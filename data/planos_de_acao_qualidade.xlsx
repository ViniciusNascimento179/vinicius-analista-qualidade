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hospitalcarebr.sharepoint.com/sites/Qualidade705/Documentos Compartilhados/"/>
    </mc:Choice>
  </mc:AlternateContent>
  <xr:revisionPtr revIDLastSave="0" documentId="8_{DA548765-6AC5-433A-BE3E-892D32E48DA1}" xr6:coauthVersionLast="47" xr6:coauthVersionMax="47" xr10:uidLastSave="{00000000-0000-0000-0000-000000000000}"/>
  <bookViews>
    <workbookView xWindow="-28920" yWindow="-1350" windowWidth="29040" windowHeight="15840" xr2:uid="{00000000-000D-0000-FFFF-FFFF00000000}"/>
  </bookViews>
  <sheets>
    <sheet name="Inspeção das Instalações" sheetId="5" r:id="rId1"/>
    <sheet name="Interações Rounds" sheetId="8" state="hidden" r:id="rId2"/>
    <sheet name="Rounds" sheetId="9" r:id="rId3"/>
    <sheet name="Interações Round" sheetId="13" r:id="rId4"/>
    <sheet name="Planos de ação Huddle" sheetId="17" r:id="rId5"/>
    <sheet name="Pacientes Watcher" sheetId="14" r:id="rId6"/>
    <sheet name="Foloow Up Huddle" sheetId="16" r:id="rId7"/>
    <sheet name="Planos de ação JCI" sheetId="10" r:id="rId8"/>
    <sheet name="Planos de Ação " sheetId="12" r:id="rId9"/>
    <sheet name="Listas" sheetId="2" state="hidden" r:id="rId10"/>
    <sheet name="Dicionario_de_Campos" sheetId="3" state="hidden" r:id="rId11"/>
    <sheet name="Dashboard_Modelo" sheetId="4" state="hidden" r:id="rId12"/>
  </sheets>
  <definedNames>
    <definedName name="_xlnm._FilterDatabase" localSheetId="6" hidden="1">'Foloow Up Huddle'!$A$1:$I$1</definedName>
    <definedName name="_xlnm._FilterDatabase" localSheetId="3" hidden="1">'Interações Round'!$A$1:$F$4828</definedName>
    <definedName name="_xlnm._FilterDatabase" localSheetId="1" hidden="1">'Interações Rounds'!$A$1:$E$1</definedName>
    <definedName name="_xlnm._FilterDatabase" localSheetId="5" hidden="1">'Pacientes Watcher'!$A$1:$O$313</definedName>
    <definedName name="_xlnm._FilterDatabase" localSheetId="4" hidden="1">'Planos de ação Huddle'!$A$2:$K$2</definedName>
    <definedName name="_xlnm._FilterDatabase" localSheetId="7" hidden="1">'Planos de ação JCI'!$A$1:$E$1092</definedName>
    <definedName name="_xlnm._FilterDatabase" localSheetId="2" hidden="1">Rounds!$B$1:$H$1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6" i="9" l="1"/>
  <c r="H154" i="9"/>
  <c r="H142" i="9"/>
  <c r="H130" i="9"/>
  <c r="H118" i="9"/>
  <c r="H106" i="9"/>
  <c r="H94" i="9"/>
  <c r="H82" i="9"/>
  <c r="H70" i="9"/>
  <c r="H58" i="9"/>
  <c r="H46" i="9"/>
  <c r="H34" i="9"/>
  <c r="H22" i="9"/>
  <c r="H10" i="9"/>
  <c r="M25" i="5"/>
  <c r="M29" i="5"/>
  <c r="L3" i="5"/>
  <c r="M3" i="5" s="1"/>
  <c r="L4" i="5"/>
  <c r="M4" i="5" s="1"/>
  <c r="L5" i="5"/>
  <c r="M5" i="5" s="1"/>
  <c r="L6" i="5"/>
  <c r="M6" i="5" s="1"/>
  <c r="L7" i="5"/>
  <c r="M7" i="5" s="1"/>
  <c r="L8" i="5"/>
  <c r="M8" i="5" s="1"/>
  <c r="L9" i="5"/>
  <c r="M9" i="5" s="1"/>
  <c r="L10" i="5"/>
  <c r="M10" i="5" s="1"/>
  <c r="L11" i="5"/>
  <c r="M11" i="5" s="1"/>
  <c r="L12" i="5"/>
  <c r="M12" i="5" s="1"/>
  <c r="L13" i="5"/>
  <c r="M13" i="5" s="1"/>
  <c r="L14" i="5"/>
  <c r="M14" i="5" s="1"/>
  <c r="L15" i="5"/>
  <c r="M15" i="5" s="1"/>
  <c r="L16" i="5"/>
  <c r="M16" i="5" s="1"/>
  <c r="L17" i="5"/>
  <c r="M17" i="5" s="1"/>
  <c r="L18" i="5"/>
  <c r="M18" i="5" s="1"/>
  <c r="L19" i="5"/>
  <c r="M19" i="5" s="1"/>
  <c r="L20" i="5"/>
  <c r="M20" i="5" s="1"/>
  <c r="L21" i="5"/>
  <c r="M21" i="5" s="1"/>
  <c r="L22" i="5"/>
  <c r="M22" i="5" s="1"/>
  <c r="L23" i="5"/>
  <c r="M23" i="5" s="1"/>
  <c r="L24" i="5"/>
  <c r="M24" i="5" s="1"/>
  <c r="L25" i="5"/>
  <c r="L26" i="5"/>
  <c r="M26" i="5" s="1"/>
  <c r="L27" i="5"/>
  <c r="M27" i="5" s="1"/>
  <c r="L28" i="5"/>
  <c r="M28" i="5" s="1"/>
  <c r="L29" i="5"/>
  <c r="L30" i="5"/>
  <c r="M30" i="5" s="1"/>
  <c r="L31" i="5"/>
  <c r="M31" i="5" s="1"/>
  <c r="L32" i="5"/>
  <c r="M32" i="5" s="1"/>
  <c r="L33" i="5"/>
  <c r="M33" i="5" s="1"/>
  <c r="L34" i="5"/>
  <c r="M34" i="5" s="1"/>
  <c r="L35" i="5"/>
  <c r="M35" i="5" s="1"/>
  <c r="L36" i="5"/>
  <c r="M36" i="5" s="1"/>
  <c r="L37" i="5"/>
  <c r="M37" i="5" s="1"/>
  <c r="L38" i="5"/>
  <c r="M38" i="5" s="1"/>
  <c r="L39" i="5"/>
  <c r="M39" i="5" s="1"/>
  <c r="L40" i="5"/>
  <c r="M40" i="5" s="1"/>
  <c r="L41" i="5"/>
  <c r="M41" i="5" s="1"/>
  <c r="L42" i="5"/>
  <c r="M42" i="5" s="1"/>
  <c r="L43" i="5"/>
  <c r="M43" i="5" s="1"/>
  <c r="L44" i="5"/>
  <c r="M44" i="5" s="1"/>
  <c r="L45" i="5"/>
  <c r="M45" i="5" s="1"/>
  <c r="L46" i="5"/>
  <c r="M46" i="5" s="1"/>
  <c r="L47" i="5"/>
  <c r="M47" i="5" s="1"/>
  <c r="L48" i="5"/>
  <c r="M48" i="5" s="1"/>
  <c r="L49" i="5"/>
  <c r="M49" i="5" s="1"/>
  <c r="L50" i="5"/>
  <c r="M50" i="5" s="1"/>
  <c r="L51" i="5"/>
  <c r="M51" i="5" s="1"/>
  <c r="L52" i="5"/>
  <c r="M52" i="5" s="1"/>
  <c r="L53" i="5"/>
  <c r="M53" i="5" s="1"/>
  <c r="L54" i="5"/>
  <c r="M54" i="5" s="1"/>
  <c r="L55" i="5"/>
  <c r="M55" i="5" s="1"/>
  <c r="L56" i="5"/>
  <c r="M56" i="5" s="1"/>
  <c r="L57" i="5"/>
  <c r="M57" i="5" s="1"/>
  <c r="L58" i="5"/>
  <c r="M58" i="5" s="1"/>
  <c r="L59" i="5"/>
  <c r="M59" i="5" s="1"/>
  <c r="L60" i="5"/>
  <c r="M60" i="5" s="1"/>
  <c r="L61" i="5"/>
  <c r="M61" i="5" s="1"/>
  <c r="L62" i="5"/>
  <c r="M62" i="5" s="1"/>
  <c r="L63" i="5"/>
  <c r="M63" i="5" s="1"/>
  <c r="L64" i="5"/>
  <c r="M64" i="5" s="1"/>
  <c r="L65" i="5"/>
  <c r="M65" i="5" s="1"/>
  <c r="L66" i="5"/>
  <c r="M66" i="5" s="1"/>
  <c r="L67" i="5"/>
  <c r="M67" i="5" s="1"/>
  <c r="L68" i="5"/>
  <c r="M68" i="5" s="1"/>
  <c r="L69" i="5"/>
  <c r="M69" i="5" s="1"/>
  <c r="L70" i="5"/>
  <c r="M70" i="5" s="1"/>
  <c r="L71" i="5"/>
  <c r="M71" i="5" s="1"/>
  <c r="L72" i="5"/>
  <c r="M72" i="5" s="1"/>
  <c r="L73" i="5"/>
  <c r="M73" i="5" s="1"/>
  <c r="L74" i="5"/>
  <c r="M74" i="5" s="1"/>
  <c r="L75" i="5"/>
  <c r="M75" i="5" s="1"/>
  <c r="L76" i="5"/>
  <c r="M76" i="5" s="1"/>
  <c r="L77" i="5"/>
  <c r="M77" i="5" s="1"/>
  <c r="L78" i="5"/>
  <c r="M78" i="5" s="1"/>
  <c r="L79" i="5"/>
  <c r="M79" i="5" s="1"/>
  <c r="L80" i="5"/>
  <c r="M80" i="5" s="1"/>
  <c r="L81" i="5"/>
  <c r="M81" i="5" s="1"/>
  <c r="L82" i="5"/>
  <c r="M82" i="5" s="1"/>
  <c r="L83" i="5"/>
  <c r="M83" i="5" s="1"/>
  <c r="L84" i="5"/>
  <c r="M84" i="5" s="1"/>
  <c r="L85" i="5"/>
  <c r="M85" i="5" s="1"/>
  <c r="L86" i="5"/>
  <c r="M86" i="5" s="1"/>
  <c r="L87" i="5"/>
  <c r="M87" i="5" s="1"/>
  <c r="L88" i="5"/>
  <c r="M88" i="5" s="1"/>
  <c r="L89" i="5"/>
  <c r="M89" i="5" s="1"/>
  <c r="L90" i="5"/>
  <c r="M90" i="5" s="1"/>
  <c r="L91" i="5"/>
  <c r="M91" i="5" s="1"/>
  <c r="L92" i="5"/>
  <c r="M92" i="5" s="1"/>
  <c r="L93" i="5"/>
  <c r="M93" i="5" s="1"/>
  <c r="L94" i="5"/>
  <c r="M94" i="5" s="1"/>
  <c r="L95" i="5"/>
  <c r="M95" i="5" s="1"/>
  <c r="L96" i="5"/>
  <c r="M96" i="5" s="1"/>
  <c r="L97" i="5"/>
  <c r="M97" i="5" s="1"/>
  <c r="L98" i="5"/>
  <c r="M98" i="5" s="1"/>
  <c r="L99" i="5"/>
  <c r="M99" i="5" s="1"/>
  <c r="L100" i="5"/>
  <c r="M100" i="5" s="1"/>
  <c r="L101" i="5"/>
  <c r="M101" i="5" s="1"/>
  <c r="L102" i="5"/>
  <c r="M102" i="5" s="1"/>
  <c r="L103" i="5"/>
  <c r="M103" i="5" s="1"/>
  <c r="L104" i="5"/>
  <c r="M104" i="5" s="1"/>
  <c r="L105" i="5"/>
  <c r="M105" i="5" s="1"/>
  <c r="L106" i="5"/>
  <c r="M106" i="5" s="1"/>
  <c r="L107" i="5"/>
  <c r="M107" i="5" s="1"/>
  <c r="L108" i="5"/>
  <c r="M108" i="5" s="1"/>
  <c r="L109" i="5"/>
  <c r="M109" i="5" s="1"/>
  <c r="L110" i="5"/>
  <c r="M110" i="5" s="1"/>
  <c r="L111" i="5"/>
  <c r="M111" i="5" s="1"/>
  <c r="L112" i="5"/>
  <c r="M112" i="5" s="1"/>
  <c r="L113" i="5"/>
  <c r="M113" i="5" s="1"/>
  <c r="L114" i="5"/>
  <c r="M114" i="5" s="1"/>
  <c r="L115" i="5"/>
  <c r="M115" i="5" s="1"/>
  <c r="L116" i="5"/>
  <c r="M116" i="5" s="1"/>
  <c r="L117" i="5"/>
  <c r="M117" i="5" s="1"/>
  <c r="L118" i="5"/>
  <c r="M118" i="5" s="1"/>
  <c r="L119" i="5"/>
  <c r="M119" i="5" s="1"/>
  <c r="L120" i="5"/>
  <c r="M120" i="5" s="1"/>
  <c r="L121" i="5"/>
  <c r="M121" i="5" s="1"/>
  <c r="L122" i="5"/>
  <c r="M122" i="5" s="1"/>
  <c r="L123" i="5"/>
  <c r="M123" i="5" s="1"/>
  <c r="L124" i="5"/>
  <c r="M124" i="5" s="1"/>
  <c r="L125" i="5"/>
  <c r="M125" i="5" s="1"/>
  <c r="L126" i="5"/>
  <c r="M126" i="5" s="1"/>
  <c r="L127" i="5"/>
  <c r="M127" i="5" s="1"/>
  <c r="L128" i="5"/>
  <c r="M128" i="5" s="1"/>
  <c r="L129" i="5"/>
  <c r="M129" i="5" s="1"/>
  <c r="L130" i="5"/>
  <c r="M130" i="5" s="1"/>
  <c r="L131" i="5"/>
  <c r="M131" i="5" s="1"/>
  <c r="L132" i="5"/>
  <c r="M132" i="5" s="1"/>
  <c r="L133" i="5"/>
  <c r="M133" i="5" s="1"/>
  <c r="L134" i="5"/>
  <c r="M134" i="5" s="1"/>
  <c r="L135" i="5"/>
  <c r="M135" i="5" s="1"/>
  <c r="L136" i="5"/>
  <c r="M136" i="5" s="1"/>
  <c r="L137" i="5"/>
  <c r="M137" i="5" s="1"/>
  <c r="L138" i="5"/>
  <c r="M138" i="5" s="1"/>
  <c r="L139" i="5"/>
  <c r="M139" i="5" s="1"/>
  <c r="L140" i="5"/>
  <c r="M140" i="5" s="1"/>
  <c r="L141" i="5"/>
  <c r="M141" i="5" s="1"/>
  <c r="L142" i="5"/>
  <c r="M142" i="5" s="1"/>
  <c r="L143" i="5"/>
  <c r="M143" i="5" s="1"/>
  <c r="L144" i="5"/>
  <c r="M144" i="5" s="1"/>
  <c r="L145" i="5"/>
  <c r="M145" i="5" s="1"/>
  <c r="L146" i="5"/>
  <c r="M146" i="5" s="1"/>
  <c r="L147" i="5"/>
  <c r="M147" i="5" s="1"/>
  <c r="L148" i="5"/>
  <c r="M148" i="5" s="1"/>
  <c r="L149" i="5"/>
  <c r="M149" i="5" s="1"/>
  <c r="L150" i="5"/>
  <c r="M150" i="5" s="1"/>
  <c r="L151" i="5"/>
  <c r="M151" i="5" s="1"/>
  <c r="L152" i="5"/>
  <c r="M152" i="5" s="1"/>
  <c r="L153" i="5"/>
  <c r="M153" i="5" s="1"/>
  <c r="L154" i="5"/>
  <c r="M154" i="5" s="1"/>
  <c r="L155" i="5"/>
  <c r="M155" i="5" s="1"/>
  <c r="L156" i="5"/>
  <c r="M156" i="5" s="1"/>
  <c r="L157" i="5"/>
  <c r="M157" i="5" s="1"/>
  <c r="L158" i="5"/>
  <c r="M158" i="5" s="1"/>
  <c r="L159" i="5"/>
  <c r="M159" i="5" s="1"/>
  <c r="L160" i="5"/>
  <c r="M160" i="5" s="1"/>
  <c r="L161" i="5"/>
  <c r="M161" i="5" s="1"/>
  <c r="L162" i="5"/>
  <c r="M162" i="5" s="1"/>
  <c r="L163" i="5"/>
  <c r="M163" i="5" s="1"/>
  <c r="L164" i="5"/>
  <c r="M164" i="5" s="1"/>
  <c r="L165" i="5"/>
  <c r="M165" i="5" s="1"/>
  <c r="L166" i="5"/>
  <c r="M166" i="5" s="1"/>
  <c r="L167" i="5"/>
  <c r="M167" i="5" s="1"/>
  <c r="L168" i="5"/>
  <c r="M168" i="5" s="1"/>
  <c r="L169" i="5"/>
  <c r="M169" i="5" s="1"/>
  <c r="L170" i="5"/>
  <c r="M170" i="5" s="1"/>
  <c r="L171" i="5"/>
  <c r="M171" i="5" s="1"/>
  <c r="L172" i="5"/>
  <c r="M172" i="5" s="1"/>
  <c r="L173" i="5"/>
  <c r="M173" i="5" s="1"/>
  <c r="L174" i="5"/>
  <c r="M174" i="5" s="1"/>
  <c r="L175" i="5"/>
  <c r="M175" i="5" s="1"/>
  <c r="L176" i="5"/>
  <c r="M176" i="5" s="1"/>
  <c r="L177" i="5"/>
  <c r="M177" i="5" s="1"/>
  <c r="L178" i="5"/>
  <c r="M178" i="5" s="1"/>
  <c r="L179" i="5"/>
  <c r="M179" i="5" s="1"/>
  <c r="L180" i="5"/>
  <c r="M180" i="5" s="1"/>
  <c r="L181" i="5"/>
  <c r="M181" i="5" s="1"/>
  <c r="L182" i="5"/>
  <c r="M182" i="5" s="1"/>
  <c r="L183" i="5"/>
  <c r="M183" i="5" s="1"/>
  <c r="L184" i="5"/>
  <c r="M184" i="5" s="1"/>
  <c r="L185" i="5"/>
  <c r="M185" i="5" s="1"/>
  <c r="L186" i="5"/>
  <c r="M186" i="5" s="1"/>
  <c r="L187" i="5"/>
  <c r="M187" i="5" s="1"/>
  <c r="L188" i="5"/>
  <c r="M188" i="5" s="1"/>
  <c r="L189" i="5"/>
  <c r="M189" i="5" s="1"/>
  <c r="L190" i="5"/>
  <c r="M190" i="5" s="1"/>
  <c r="L191" i="5"/>
  <c r="M191" i="5" s="1"/>
  <c r="L192" i="5"/>
  <c r="M192" i="5" s="1"/>
  <c r="L193" i="5"/>
  <c r="M193" i="5" s="1"/>
  <c r="L194" i="5"/>
  <c r="M194" i="5" s="1"/>
  <c r="L195" i="5"/>
  <c r="M195" i="5" s="1"/>
  <c r="L196" i="5"/>
  <c r="M196" i="5" s="1"/>
  <c r="L197" i="5"/>
  <c r="M197" i="5" s="1"/>
  <c r="L198" i="5"/>
  <c r="M198" i="5" s="1"/>
  <c r="L199" i="5"/>
  <c r="M199" i="5" s="1"/>
  <c r="L200" i="5"/>
  <c r="M200" i="5" s="1"/>
  <c r="L201" i="5"/>
  <c r="M201" i="5" s="1"/>
  <c r="L202" i="5"/>
  <c r="M202" i="5" s="1"/>
  <c r="L203" i="5"/>
  <c r="M203" i="5" s="1"/>
  <c r="L204" i="5"/>
  <c r="M204" i="5" s="1"/>
  <c r="L205" i="5"/>
  <c r="M205" i="5" s="1"/>
  <c r="L206" i="5"/>
  <c r="M206" i="5" s="1"/>
  <c r="L207" i="5"/>
  <c r="M207" i="5" s="1"/>
  <c r="L208" i="5"/>
  <c r="M208" i="5" s="1"/>
  <c r="L209" i="5"/>
  <c r="M209" i="5" s="1"/>
  <c r="L210" i="5"/>
  <c r="M210" i="5" s="1"/>
  <c r="L211" i="5"/>
  <c r="M211" i="5" s="1"/>
  <c r="L212" i="5"/>
  <c r="M212" i="5" s="1"/>
  <c r="L213" i="5"/>
  <c r="M213" i="5" s="1"/>
  <c r="L214" i="5"/>
  <c r="M214" i="5" s="1"/>
  <c r="L215" i="5"/>
  <c r="M215" i="5" s="1"/>
  <c r="L216" i="5"/>
  <c r="M216" i="5" s="1"/>
  <c r="L217" i="5"/>
  <c r="M217" i="5" s="1"/>
  <c r="L218" i="5"/>
  <c r="M218" i="5" s="1"/>
  <c r="L219" i="5"/>
  <c r="M219" i="5" s="1"/>
  <c r="L220" i="5"/>
  <c r="M220" i="5" s="1"/>
  <c r="L221" i="5"/>
  <c r="M221" i="5" s="1"/>
  <c r="L222" i="5"/>
  <c r="M222" i="5" s="1"/>
  <c r="L223" i="5"/>
  <c r="M223" i="5" s="1"/>
  <c r="L224" i="5"/>
  <c r="M224" i="5" s="1"/>
  <c r="L225" i="5"/>
  <c r="M225" i="5" s="1"/>
  <c r="L226" i="5"/>
  <c r="M226" i="5" s="1"/>
  <c r="L227" i="5"/>
  <c r="M227" i="5" s="1"/>
  <c r="L228" i="5"/>
  <c r="M228" i="5" s="1"/>
  <c r="L229" i="5"/>
  <c r="M229" i="5" s="1"/>
  <c r="L230" i="5"/>
  <c r="M230" i="5" s="1"/>
  <c r="L231" i="5"/>
  <c r="M231" i="5" s="1"/>
  <c r="L232" i="5"/>
  <c r="M232" i="5" s="1"/>
  <c r="L233" i="5"/>
  <c r="M233" i="5" s="1"/>
  <c r="L234" i="5"/>
  <c r="M234" i="5" s="1"/>
  <c r="L235" i="5"/>
  <c r="M235" i="5" s="1"/>
  <c r="L236" i="5"/>
  <c r="M236" i="5" s="1"/>
  <c r="L237" i="5"/>
  <c r="M237" i="5" s="1"/>
  <c r="L238" i="5"/>
  <c r="M238" i="5" s="1"/>
  <c r="L239" i="5"/>
  <c r="M239" i="5" s="1"/>
  <c r="L240" i="5"/>
  <c r="M240" i="5" s="1"/>
  <c r="L241" i="5"/>
  <c r="M241" i="5" s="1"/>
  <c r="L242" i="5"/>
  <c r="M242" i="5" s="1"/>
  <c r="L243" i="5"/>
  <c r="M243" i="5" s="1"/>
  <c r="L244" i="5"/>
  <c r="M244" i="5" s="1"/>
  <c r="L245" i="5"/>
  <c r="M245" i="5" s="1"/>
  <c r="L246" i="5"/>
  <c r="M246" i="5" s="1"/>
  <c r="L247" i="5"/>
  <c r="M247" i="5" s="1"/>
  <c r="L248" i="5"/>
  <c r="M248" i="5" s="1"/>
  <c r="L249" i="5"/>
  <c r="M249" i="5" s="1"/>
  <c r="L250" i="5"/>
  <c r="M250" i="5" s="1"/>
  <c r="L251" i="5"/>
  <c r="M251" i="5" s="1"/>
  <c r="L252" i="5"/>
  <c r="M252" i="5" s="1"/>
  <c r="L253" i="5"/>
  <c r="M253" i="5" s="1"/>
  <c r="L254" i="5"/>
  <c r="M254" i="5" s="1"/>
  <c r="L255" i="5"/>
  <c r="M255" i="5" s="1"/>
  <c r="L256" i="5"/>
  <c r="M256" i="5" s="1"/>
  <c r="L257" i="5"/>
  <c r="M257" i="5" s="1"/>
  <c r="L258" i="5"/>
  <c r="M258" i="5" s="1"/>
  <c r="L259" i="5"/>
  <c r="M259" i="5" s="1"/>
  <c r="L260" i="5"/>
  <c r="M260" i="5" s="1"/>
  <c r="L261" i="5"/>
  <c r="M261" i="5" s="1"/>
  <c r="L262" i="5"/>
  <c r="M262" i="5" s="1"/>
  <c r="L263" i="5"/>
  <c r="M263" i="5" s="1"/>
  <c r="L264" i="5"/>
  <c r="M264" i="5" s="1"/>
  <c r="L265" i="5"/>
  <c r="M265" i="5" s="1"/>
  <c r="L266" i="5"/>
  <c r="M266" i="5" s="1"/>
  <c r="L267" i="5"/>
  <c r="M267" i="5" s="1"/>
  <c r="L268" i="5"/>
  <c r="M268" i="5" s="1"/>
  <c r="L269" i="5"/>
  <c r="M269" i="5" s="1"/>
  <c r="L270" i="5"/>
  <c r="M270" i="5" s="1"/>
  <c r="L271" i="5"/>
  <c r="M271" i="5" s="1"/>
  <c r="L272" i="5"/>
  <c r="M272" i="5" s="1"/>
  <c r="L273" i="5"/>
  <c r="M273" i="5" s="1"/>
  <c r="L274" i="5"/>
  <c r="M274" i="5" s="1"/>
  <c r="L275" i="5"/>
  <c r="M275" i="5" s="1"/>
  <c r="L276" i="5"/>
  <c r="M276" i="5" s="1"/>
  <c r="L277" i="5"/>
  <c r="M277" i="5" s="1"/>
  <c r="L278" i="5"/>
  <c r="M278" i="5" s="1"/>
  <c r="L279" i="5"/>
  <c r="M279" i="5" s="1"/>
  <c r="L280" i="5"/>
  <c r="M280" i="5" s="1"/>
  <c r="L281" i="5"/>
  <c r="M281" i="5" s="1"/>
  <c r="L282" i="5"/>
  <c r="M282" i="5" s="1"/>
  <c r="L283" i="5"/>
  <c r="M283" i="5" s="1"/>
  <c r="L284" i="5"/>
  <c r="M284" i="5" s="1"/>
  <c r="L285" i="5"/>
  <c r="M285" i="5" s="1"/>
  <c r="L286" i="5"/>
  <c r="M286" i="5" s="1"/>
  <c r="L287" i="5"/>
  <c r="M287" i="5" s="1"/>
  <c r="L288" i="5"/>
  <c r="M288" i="5" s="1"/>
  <c r="L289" i="5"/>
  <c r="M289" i="5" s="1"/>
  <c r="L290" i="5"/>
  <c r="M290" i="5" s="1"/>
  <c r="L291" i="5"/>
  <c r="M291" i="5" s="1"/>
  <c r="L292" i="5"/>
  <c r="M292" i="5" s="1"/>
  <c r="L293" i="5"/>
  <c r="M293" i="5" s="1"/>
  <c r="L294" i="5"/>
  <c r="M294" i="5" s="1"/>
  <c r="L295" i="5"/>
  <c r="M295" i="5" s="1"/>
  <c r="L296" i="5"/>
  <c r="M296" i="5" s="1"/>
  <c r="L297" i="5"/>
  <c r="M297" i="5" s="1"/>
  <c r="L298" i="5"/>
  <c r="M298" i="5" s="1"/>
  <c r="L299" i="5"/>
  <c r="M299" i="5" s="1"/>
  <c r="L300" i="5"/>
  <c r="M300" i="5" s="1"/>
  <c r="L301" i="5"/>
  <c r="M301" i="5" s="1"/>
  <c r="L302" i="5"/>
  <c r="M302" i="5" s="1"/>
  <c r="L303" i="5"/>
  <c r="M303" i="5" s="1"/>
  <c r="L304" i="5"/>
  <c r="M304" i="5" s="1"/>
  <c r="L305" i="5"/>
  <c r="M305" i="5" s="1"/>
  <c r="L306" i="5"/>
  <c r="M306" i="5" s="1"/>
  <c r="L307" i="5"/>
  <c r="M307" i="5" s="1"/>
  <c r="L308" i="5"/>
  <c r="M308" i="5" s="1"/>
  <c r="L309" i="5"/>
  <c r="M309" i="5" s="1"/>
  <c r="L310" i="5"/>
  <c r="M310" i="5" s="1"/>
  <c r="L311" i="5"/>
  <c r="M311" i="5" s="1"/>
  <c r="L312" i="5"/>
  <c r="M312" i="5" s="1"/>
  <c r="L313" i="5"/>
  <c r="M313" i="5" s="1"/>
  <c r="L314" i="5"/>
  <c r="M314" i="5" s="1"/>
  <c r="L315" i="5"/>
  <c r="M315" i="5" s="1"/>
  <c r="L316" i="5"/>
  <c r="M316" i="5" s="1"/>
  <c r="L317" i="5"/>
  <c r="M317" i="5" s="1"/>
  <c r="L318" i="5"/>
  <c r="M318" i="5" s="1"/>
  <c r="L319" i="5"/>
  <c r="M319" i="5" s="1"/>
  <c r="L320" i="5"/>
  <c r="M320" i="5" s="1"/>
  <c r="L321" i="5"/>
  <c r="M321" i="5" s="1"/>
  <c r="L322" i="5"/>
  <c r="M322" i="5" s="1"/>
  <c r="L323" i="5"/>
  <c r="M323" i="5" s="1"/>
  <c r="L324" i="5"/>
  <c r="M324" i="5" s="1"/>
  <c r="L325" i="5"/>
  <c r="M325" i="5" s="1"/>
  <c r="L326" i="5"/>
  <c r="M326" i="5" s="1"/>
  <c r="L327" i="5"/>
  <c r="M327" i="5" s="1"/>
  <c r="L328" i="5"/>
  <c r="M328" i="5" s="1"/>
  <c r="L329" i="5"/>
  <c r="M329" i="5" s="1"/>
  <c r="L330" i="5"/>
  <c r="M330" i="5" s="1"/>
  <c r="L331" i="5"/>
  <c r="M331" i="5" s="1"/>
  <c r="L332" i="5"/>
  <c r="M332" i="5" s="1"/>
  <c r="L333" i="5"/>
  <c r="M333" i="5" s="1"/>
  <c r="L334" i="5"/>
  <c r="M334" i="5" s="1"/>
  <c r="L335" i="5"/>
  <c r="M335" i="5" s="1"/>
  <c r="L336" i="5"/>
  <c r="M336" i="5" s="1"/>
  <c r="L337" i="5"/>
  <c r="M337" i="5" s="1"/>
  <c r="L338" i="5"/>
  <c r="M338" i="5" s="1"/>
  <c r="L339" i="5"/>
  <c r="M339" i="5" s="1"/>
  <c r="L340" i="5"/>
  <c r="M340" i="5" s="1"/>
  <c r="L341" i="5"/>
  <c r="M341" i="5" s="1"/>
  <c r="L342" i="5"/>
  <c r="M342" i="5" s="1"/>
  <c r="L343" i="5"/>
  <c r="M343" i="5" s="1"/>
  <c r="L344" i="5"/>
  <c r="M344" i="5" s="1"/>
  <c r="L345" i="5"/>
  <c r="M345" i="5" s="1"/>
  <c r="L346" i="5"/>
  <c r="M346" i="5" s="1"/>
  <c r="L347" i="5"/>
  <c r="M347" i="5" s="1"/>
  <c r="L348" i="5"/>
  <c r="M348" i="5" s="1"/>
  <c r="L349" i="5"/>
  <c r="M349" i="5" s="1"/>
  <c r="L350" i="5"/>
  <c r="M350" i="5" s="1"/>
  <c r="L351" i="5"/>
  <c r="M351" i="5" s="1"/>
  <c r="L352" i="5"/>
  <c r="M352" i="5" s="1"/>
  <c r="L353" i="5"/>
  <c r="M353" i="5" s="1"/>
  <c r="L354" i="5"/>
  <c r="M354" i="5" s="1"/>
  <c r="L355" i="5"/>
  <c r="M355" i="5" s="1"/>
  <c r="L356" i="5"/>
  <c r="M356" i="5" s="1"/>
  <c r="L357" i="5"/>
  <c r="M357" i="5" s="1"/>
  <c r="L358" i="5"/>
  <c r="M358" i="5" s="1"/>
  <c r="L359" i="5"/>
  <c r="M359" i="5" s="1"/>
  <c r="L360" i="5"/>
  <c r="M360" i="5" s="1"/>
  <c r="L361" i="5"/>
  <c r="M361" i="5" s="1"/>
  <c r="L362" i="5"/>
  <c r="M362" i="5" s="1"/>
  <c r="L363" i="5"/>
  <c r="M363" i="5" s="1"/>
  <c r="L364" i="5"/>
  <c r="M364" i="5" s="1"/>
  <c r="L365" i="5"/>
  <c r="M365" i="5" s="1"/>
  <c r="L366" i="5"/>
  <c r="M366" i="5" s="1"/>
  <c r="L367" i="5"/>
  <c r="M367" i="5" s="1"/>
  <c r="L368" i="5"/>
  <c r="M368" i="5" s="1"/>
  <c r="L369" i="5"/>
  <c r="M369" i="5" s="1"/>
  <c r="L370" i="5"/>
  <c r="M370" i="5" s="1"/>
  <c r="L371" i="5"/>
  <c r="M371" i="5" s="1"/>
  <c r="L372" i="5"/>
  <c r="M372" i="5" s="1"/>
  <c r="L373" i="5"/>
  <c r="M373" i="5" s="1"/>
  <c r="L374" i="5"/>
  <c r="M374" i="5" s="1"/>
  <c r="L375" i="5"/>
  <c r="M375" i="5" s="1"/>
  <c r="L376" i="5"/>
  <c r="M376" i="5" s="1"/>
  <c r="L377" i="5"/>
  <c r="M377" i="5" s="1"/>
  <c r="L378" i="5"/>
  <c r="M378" i="5" s="1"/>
  <c r="L379" i="5"/>
  <c r="M379" i="5" s="1"/>
  <c r="L380" i="5"/>
  <c r="M380" i="5" s="1"/>
  <c r="L381" i="5"/>
  <c r="M381" i="5" s="1"/>
  <c r="L382" i="5"/>
  <c r="M382" i="5" s="1"/>
  <c r="L383" i="5"/>
  <c r="M383" i="5" s="1"/>
  <c r="L384" i="5"/>
  <c r="M384" i="5" s="1"/>
  <c r="L385" i="5"/>
  <c r="M385" i="5" s="1"/>
  <c r="L386" i="5"/>
  <c r="M386" i="5" s="1"/>
  <c r="L387" i="5"/>
  <c r="M387" i="5" s="1"/>
  <c r="L388" i="5"/>
  <c r="M388" i="5" s="1"/>
  <c r="L389" i="5"/>
  <c r="M389" i="5" s="1"/>
  <c r="L390" i="5"/>
  <c r="M390" i="5" s="1"/>
  <c r="L391" i="5"/>
  <c r="M391" i="5" s="1"/>
  <c r="L392" i="5"/>
  <c r="M392" i="5" s="1"/>
  <c r="L393" i="5"/>
  <c r="M393" i="5" s="1"/>
  <c r="L394" i="5"/>
  <c r="M394" i="5" s="1"/>
  <c r="L395" i="5"/>
  <c r="M395" i="5" s="1"/>
  <c r="L396" i="5"/>
  <c r="M396" i="5" s="1"/>
  <c r="L397" i="5"/>
  <c r="M397" i="5" s="1"/>
  <c r="L398" i="5"/>
  <c r="M398" i="5" s="1"/>
  <c r="L399" i="5"/>
  <c r="M399" i="5" s="1"/>
  <c r="L400" i="5"/>
  <c r="M400" i="5" s="1"/>
  <c r="L401" i="5"/>
  <c r="M401" i="5" s="1"/>
  <c r="L402" i="5"/>
  <c r="M402" i="5" s="1"/>
  <c r="L403" i="5"/>
  <c r="M403" i="5" s="1"/>
  <c r="L404" i="5"/>
  <c r="M404" i="5" s="1"/>
  <c r="L405" i="5"/>
  <c r="M405" i="5" s="1"/>
  <c r="L406" i="5"/>
  <c r="M406" i="5" s="1"/>
  <c r="L407" i="5"/>
  <c r="M407" i="5" s="1"/>
  <c r="L408" i="5"/>
  <c r="M408" i="5" s="1"/>
  <c r="L409" i="5"/>
  <c r="M409" i="5" s="1"/>
  <c r="L410" i="5"/>
  <c r="M410" i="5" s="1"/>
  <c r="L411" i="5"/>
  <c r="M411" i="5" s="1"/>
  <c r="L412" i="5"/>
  <c r="M412" i="5" s="1"/>
  <c r="L413" i="5"/>
  <c r="M413" i="5" s="1"/>
  <c r="L414" i="5"/>
  <c r="M414" i="5" s="1"/>
  <c r="L415" i="5"/>
  <c r="M415" i="5" s="1"/>
  <c r="L416" i="5"/>
  <c r="M416" i="5" s="1"/>
  <c r="L417" i="5"/>
  <c r="M417" i="5" s="1"/>
  <c r="L418" i="5"/>
  <c r="M418" i="5" s="1"/>
  <c r="L419" i="5"/>
  <c r="M419" i="5" s="1"/>
  <c r="L420" i="5"/>
  <c r="M420" i="5" s="1"/>
  <c r="L421" i="5"/>
  <c r="M421" i="5" s="1"/>
  <c r="L422" i="5"/>
  <c r="M422" i="5" s="1"/>
  <c r="L423" i="5"/>
  <c r="M423" i="5" s="1"/>
  <c r="L424" i="5"/>
  <c r="M424" i="5" s="1"/>
  <c r="L425" i="5"/>
  <c r="M425" i="5" s="1"/>
  <c r="L426" i="5"/>
  <c r="M426" i="5" s="1"/>
  <c r="L427" i="5"/>
  <c r="M427" i="5" s="1"/>
  <c r="L428" i="5"/>
  <c r="M428" i="5" s="1"/>
  <c r="L429" i="5"/>
  <c r="M429" i="5" s="1"/>
  <c r="L430" i="5"/>
  <c r="M430" i="5" s="1"/>
  <c r="L431" i="5"/>
  <c r="M431" i="5" s="1"/>
  <c r="L432" i="5"/>
  <c r="M432" i="5" s="1"/>
  <c r="L433" i="5"/>
  <c r="M433" i="5" s="1"/>
  <c r="L434" i="5"/>
  <c r="M434" i="5" s="1"/>
  <c r="L435" i="5"/>
  <c r="M435" i="5" s="1"/>
  <c r="L436" i="5"/>
  <c r="M436" i="5" s="1"/>
  <c r="L437" i="5"/>
  <c r="M437" i="5" s="1"/>
  <c r="L438" i="5"/>
  <c r="M438" i="5" s="1"/>
  <c r="L439" i="5"/>
  <c r="M439" i="5" s="1"/>
  <c r="L440" i="5"/>
  <c r="M440" i="5" s="1"/>
  <c r="L441" i="5"/>
  <c r="M441" i="5" s="1"/>
  <c r="L442" i="5"/>
  <c r="M442" i="5" s="1"/>
  <c r="L443" i="5"/>
  <c r="M443" i="5" s="1"/>
  <c r="L444" i="5"/>
  <c r="M444" i="5" s="1"/>
  <c r="L445" i="5"/>
  <c r="M445" i="5" s="1"/>
  <c r="L446" i="5"/>
  <c r="M446" i="5" s="1"/>
  <c r="L447" i="5"/>
  <c r="M447" i="5" s="1"/>
  <c r="L448" i="5"/>
  <c r="M448" i="5" s="1"/>
  <c r="L449" i="5"/>
  <c r="M449" i="5" s="1"/>
  <c r="L450" i="5"/>
  <c r="M450" i="5" s="1"/>
  <c r="L451" i="5"/>
  <c r="M451" i="5" s="1"/>
  <c r="L452" i="5"/>
  <c r="M452" i="5" s="1"/>
  <c r="L453" i="5"/>
  <c r="M453" i="5" s="1"/>
  <c r="L454" i="5"/>
  <c r="M454" i="5" s="1"/>
  <c r="L455" i="5"/>
  <c r="M455" i="5" s="1"/>
  <c r="L456" i="5"/>
  <c r="M456" i="5" s="1"/>
  <c r="L457" i="5"/>
  <c r="M457" i="5" s="1"/>
  <c r="L458" i="5"/>
  <c r="M458" i="5" s="1"/>
  <c r="L459" i="5"/>
  <c r="M459" i="5" s="1"/>
  <c r="L460" i="5"/>
  <c r="M460" i="5" s="1"/>
  <c r="L461" i="5"/>
  <c r="M461" i="5" s="1"/>
  <c r="L462" i="5"/>
  <c r="M462" i="5" s="1"/>
  <c r="L463" i="5"/>
  <c r="M463" i="5" s="1"/>
  <c r="L464" i="5"/>
  <c r="M464" i="5" s="1"/>
  <c r="L465" i="5"/>
  <c r="M465" i="5" s="1"/>
  <c r="L466" i="5"/>
  <c r="M466" i="5" s="1"/>
  <c r="L467" i="5"/>
  <c r="M467" i="5" s="1"/>
  <c r="L468" i="5"/>
  <c r="M468" i="5" s="1"/>
  <c r="L469" i="5"/>
  <c r="M469" i="5" s="1"/>
  <c r="L470" i="5"/>
  <c r="M470" i="5" s="1"/>
  <c r="L471" i="5"/>
  <c r="M471" i="5" s="1"/>
  <c r="L472" i="5"/>
  <c r="M472" i="5" s="1"/>
  <c r="L473" i="5"/>
  <c r="M473" i="5" s="1"/>
  <c r="L474" i="5"/>
  <c r="M474" i="5" s="1"/>
  <c r="L475" i="5"/>
  <c r="M475" i="5" s="1"/>
  <c r="L476" i="5"/>
  <c r="M476" i="5" s="1"/>
  <c r="L477" i="5"/>
  <c r="M477" i="5" s="1"/>
  <c r="L478" i="5"/>
  <c r="M478" i="5" s="1"/>
  <c r="L479" i="5"/>
  <c r="M479" i="5" s="1"/>
  <c r="L480" i="5"/>
  <c r="M480" i="5" s="1"/>
  <c r="L481" i="5"/>
  <c r="M481" i="5" s="1"/>
  <c r="L482" i="5"/>
  <c r="M482" i="5" s="1"/>
  <c r="L483" i="5"/>
  <c r="M483" i="5" s="1"/>
  <c r="L484" i="5"/>
  <c r="M484" i="5" s="1"/>
  <c r="L485" i="5"/>
  <c r="M485" i="5" s="1"/>
  <c r="L486" i="5"/>
  <c r="M486" i="5" s="1"/>
  <c r="L487" i="5"/>
  <c r="M487" i="5" s="1"/>
  <c r="L488" i="5"/>
  <c r="M488" i="5" s="1"/>
  <c r="L489" i="5"/>
  <c r="M489" i="5" s="1"/>
  <c r="L490" i="5"/>
  <c r="M490" i="5" s="1"/>
  <c r="L491" i="5"/>
  <c r="M491" i="5" s="1"/>
  <c r="L492" i="5"/>
  <c r="M492" i="5" s="1"/>
  <c r="L493" i="5"/>
  <c r="M493" i="5" s="1"/>
  <c r="L494" i="5"/>
  <c r="M494" i="5" s="1"/>
  <c r="L495" i="5"/>
  <c r="M495" i="5" s="1"/>
  <c r="L496" i="5"/>
  <c r="M496" i="5" s="1"/>
  <c r="L497" i="5"/>
  <c r="M497" i="5" s="1"/>
  <c r="L498" i="5"/>
  <c r="M498" i="5" s="1"/>
  <c r="L2" i="5"/>
  <c r="M2" i="5" s="1"/>
  <c r="H589" i="9"/>
  <c r="G589" i="9"/>
  <c r="H588" i="9"/>
  <c r="G588" i="9"/>
  <c r="H587" i="9"/>
  <c r="G587" i="9"/>
  <c r="H586" i="9"/>
  <c r="G586" i="9"/>
  <c r="H585" i="9"/>
  <c r="G585" i="9"/>
  <c r="H584" i="9"/>
  <c r="G584" i="9"/>
  <c r="H583" i="9"/>
  <c r="G583" i="9"/>
  <c r="H582" i="9"/>
  <c r="G582" i="9"/>
  <c r="H581" i="9"/>
  <c r="G581" i="9"/>
  <c r="H580" i="9"/>
  <c r="G580" i="9"/>
  <c r="H579" i="9"/>
  <c r="G579" i="9"/>
  <c r="H578" i="9"/>
  <c r="G578" i="9"/>
  <c r="H577" i="9"/>
  <c r="G577" i="9"/>
  <c r="H576" i="9"/>
  <c r="G576" i="9"/>
  <c r="H575" i="9"/>
  <c r="G575" i="9"/>
  <c r="H574" i="9"/>
  <c r="G574" i="9"/>
  <c r="H573" i="9"/>
  <c r="G573" i="9"/>
  <c r="H572" i="9"/>
  <c r="G572" i="9"/>
  <c r="H571" i="9"/>
  <c r="G571" i="9"/>
  <c r="H570" i="9"/>
  <c r="G570" i="9"/>
  <c r="H569" i="9"/>
  <c r="G569" i="9"/>
  <c r="H568" i="9"/>
  <c r="G568" i="9"/>
  <c r="H567" i="9"/>
  <c r="G567" i="9"/>
  <c r="H566" i="9"/>
  <c r="G566" i="9"/>
  <c r="H565" i="9"/>
  <c r="G565" i="9"/>
  <c r="H564" i="9"/>
  <c r="G564" i="9"/>
  <c r="H563" i="9"/>
  <c r="G563" i="9"/>
  <c r="H562" i="9"/>
  <c r="G562" i="9"/>
  <c r="H561" i="9"/>
  <c r="G561" i="9"/>
  <c r="H560" i="9"/>
  <c r="G560" i="9"/>
  <c r="H559" i="9"/>
  <c r="G559" i="9"/>
  <c r="H558" i="9"/>
  <c r="G558" i="9"/>
  <c r="H557" i="9"/>
  <c r="G557" i="9"/>
  <c r="H556" i="9"/>
  <c r="G556" i="9"/>
  <c r="H555" i="9"/>
  <c r="G555" i="9"/>
  <c r="H554" i="9"/>
  <c r="G554" i="9"/>
  <c r="H553" i="9"/>
  <c r="G553" i="9"/>
  <c r="H552" i="9"/>
  <c r="G552" i="9"/>
  <c r="H551" i="9"/>
  <c r="G551" i="9"/>
  <c r="H550" i="9"/>
  <c r="G550" i="9"/>
  <c r="H549" i="9"/>
  <c r="G549" i="9"/>
  <c r="H548" i="9"/>
  <c r="G548" i="9"/>
  <c r="H547" i="9"/>
  <c r="G547" i="9"/>
  <c r="H546" i="9"/>
  <c r="G546" i="9"/>
  <c r="H545" i="9"/>
  <c r="G545" i="9"/>
  <c r="H544" i="9"/>
  <c r="G544" i="9"/>
  <c r="H543" i="9"/>
  <c r="G543" i="9"/>
  <c r="H542" i="9"/>
  <c r="G542" i="9"/>
  <c r="H541" i="9"/>
  <c r="G541" i="9"/>
  <c r="H540" i="9"/>
  <c r="G540" i="9"/>
  <c r="H539" i="9"/>
  <c r="G539" i="9"/>
  <c r="H538" i="9"/>
  <c r="G538" i="9"/>
  <c r="H537" i="9"/>
  <c r="G537" i="9"/>
  <c r="H536" i="9"/>
  <c r="G536" i="9"/>
  <c r="H535" i="9"/>
  <c r="G535" i="9"/>
  <c r="H534" i="9"/>
  <c r="G534" i="9"/>
  <c r="H533" i="9"/>
  <c r="G533" i="9"/>
  <c r="H532" i="9"/>
  <c r="G532" i="9"/>
  <c r="H531" i="9"/>
  <c r="G531" i="9"/>
  <c r="H530" i="9"/>
  <c r="G530" i="9"/>
  <c r="H529" i="9"/>
  <c r="G529" i="9"/>
  <c r="H528" i="9"/>
  <c r="G528" i="9"/>
  <c r="H527" i="9"/>
  <c r="G527" i="9"/>
  <c r="H526" i="9"/>
  <c r="G526" i="9"/>
  <c r="H525" i="9"/>
  <c r="G525" i="9"/>
  <c r="H524" i="9"/>
  <c r="G524" i="9"/>
  <c r="H523" i="9"/>
  <c r="G523" i="9"/>
  <c r="H522" i="9"/>
  <c r="G522" i="9"/>
  <c r="H521" i="9"/>
  <c r="G521" i="9"/>
  <c r="H520" i="9"/>
  <c r="G520" i="9"/>
  <c r="H519" i="9"/>
  <c r="G519" i="9"/>
  <c r="H518" i="9"/>
  <c r="G518" i="9"/>
  <c r="H517" i="9"/>
  <c r="G517" i="9"/>
  <c r="H516" i="9"/>
  <c r="G516" i="9"/>
  <c r="H515" i="9"/>
  <c r="G515" i="9"/>
  <c r="H514" i="9"/>
  <c r="G514" i="9"/>
  <c r="H513" i="9"/>
  <c r="G513" i="9"/>
  <c r="H512" i="9"/>
  <c r="G512" i="9"/>
  <c r="H511" i="9"/>
  <c r="G511" i="9"/>
  <c r="H510" i="9"/>
  <c r="G510" i="9"/>
  <c r="H509" i="9"/>
  <c r="G509" i="9"/>
  <c r="H508" i="9"/>
  <c r="G508" i="9"/>
  <c r="H507" i="9"/>
  <c r="G507" i="9"/>
  <c r="H506" i="9"/>
  <c r="G506" i="9"/>
  <c r="H505" i="9"/>
  <c r="G505" i="9"/>
  <c r="H504" i="9"/>
  <c r="G504" i="9"/>
  <c r="H503" i="9"/>
  <c r="G503" i="9"/>
  <c r="H502" i="9"/>
  <c r="G502" i="9"/>
  <c r="H501" i="9"/>
  <c r="G501" i="9"/>
  <c r="H500" i="9"/>
  <c r="G500" i="9"/>
  <c r="H499" i="9"/>
  <c r="G499" i="9"/>
  <c r="H498" i="9"/>
  <c r="G498" i="9"/>
  <c r="H497" i="9"/>
  <c r="G497" i="9"/>
  <c r="H496" i="9"/>
  <c r="G496" i="9"/>
  <c r="H495" i="9"/>
  <c r="G495" i="9"/>
  <c r="H494" i="9"/>
  <c r="G494" i="9"/>
  <c r="H493" i="9"/>
  <c r="G493" i="9"/>
  <c r="H492" i="9"/>
  <c r="G492" i="9"/>
  <c r="H491" i="9"/>
  <c r="G491" i="9"/>
  <c r="H490" i="9"/>
  <c r="G490" i="9"/>
  <c r="H489" i="9"/>
  <c r="G489" i="9"/>
  <c r="H488" i="9"/>
  <c r="G488" i="9"/>
  <c r="H487" i="9"/>
  <c r="G487" i="9"/>
  <c r="H486" i="9"/>
  <c r="G486" i="9"/>
  <c r="H485" i="9"/>
  <c r="G485" i="9"/>
  <c r="H484" i="9"/>
  <c r="G484" i="9"/>
  <c r="H483" i="9"/>
  <c r="G483" i="9"/>
  <c r="H482" i="9"/>
  <c r="G482" i="9"/>
  <c r="H314" i="9" l="1"/>
  <c r="H315" i="9"/>
  <c r="H316" i="9"/>
  <c r="H317" i="9"/>
  <c r="H318" i="9"/>
  <c r="H319" i="9"/>
  <c r="H320" i="9"/>
  <c r="H321" i="9"/>
  <c r="H322" i="9"/>
  <c r="H323" i="9"/>
  <c r="H324" i="9"/>
  <c r="H325" i="9"/>
  <c r="G314" i="9"/>
  <c r="G315" i="9"/>
  <c r="G316" i="9"/>
  <c r="G317" i="9"/>
  <c r="G318" i="9"/>
  <c r="G319" i="9"/>
  <c r="G320" i="9"/>
  <c r="G321" i="9"/>
  <c r="G322" i="9"/>
  <c r="G323" i="9"/>
  <c r="G324" i="9"/>
  <c r="G325" i="9"/>
  <c r="H302" i="9"/>
  <c r="H303" i="9"/>
  <c r="H304" i="9"/>
  <c r="H305" i="9"/>
  <c r="H306" i="9"/>
  <c r="H307" i="9"/>
  <c r="H308" i="9"/>
  <c r="H309" i="9"/>
  <c r="H310" i="9"/>
  <c r="H311" i="9"/>
  <c r="H312" i="9"/>
  <c r="H313" i="9"/>
  <c r="G302" i="9"/>
  <c r="G303" i="9"/>
  <c r="G304" i="9"/>
  <c r="G305" i="9"/>
  <c r="G306" i="9"/>
  <c r="G307" i="9"/>
  <c r="G308" i="9"/>
  <c r="G309" i="9"/>
  <c r="G310" i="9"/>
  <c r="G311" i="9"/>
  <c r="G312" i="9"/>
  <c r="G313" i="9"/>
  <c r="G290" i="9"/>
  <c r="G291" i="9"/>
  <c r="G292" i="9"/>
  <c r="G293" i="9"/>
  <c r="G294" i="9"/>
  <c r="G295" i="9"/>
  <c r="G296" i="9"/>
  <c r="G297" i="9"/>
  <c r="G298" i="9"/>
  <c r="G299" i="9"/>
  <c r="G300" i="9"/>
  <c r="G301" i="9"/>
  <c r="H290" i="9"/>
  <c r="H291" i="9"/>
  <c r="H292" i="9"/>
  <c r="H293" i="9"/>
  <c r="H294" i="9"/>
  <c r="H295" i="9"/>
  <c r="H296" i="9"/>
  <c r="H297" i="9"/>
  <c r="H298" i="9"/>
  <c r="H299" i="9"/>
  <c r="H300" i="9"/>
  <c r="H301" i="9"/>
  <c r="H278" i="9"/>
  <c r="H279" i="9"/>
  <c r="H280" i="9"/>
  <c r="H281" i="9"/>
  <c r="H282" i="9"/>
  <c r="H283" i="9"/>
  <c r="H284" i="9"/>
  <c r="H285" i="9"/>
  <c r="H286" i="9"/>
  <c r="H287" i="9"/>
  <c r="H288" i="9"/>
  <c r="H289" i="9"/>
  <c r="G278" i="9"/>
  <c r="G279" i="9"/>
  <c r="G280" i="9"/>
  <c r="G281" i="9"/>
  <c r="G282" i="9"/>
  <c r="G283" i="9"/>
  <c r="G284" i="9"/>
  <c r="G285" i="9"/>
  <c r="G286" i="9"/>
  <c r="G287" i="9"/>
  <c r="G288" i="9"/>
  <c r="G289" i="9"/>
  <c r="H266" i="9"/>
  <c r="H267" i="9"/>
  <c r="H268" i="9"/>
  <c r="H269" i="9"/>
  <c r="H270" i="9"/>
  <c r="H271" i="9"/>
  <c r="H272" i="9"/>
  <c r="H273" i="9"/>
  <c r="H274" i="9"/>
  <c r="H275" i="9"/>
  <c r="H276" i="9"/>
  <c r="H277" i="9"/>
  <c r="G266" i="9"/>
  <c r="G267" i="9"/>
  <c r="G268" i="9"/>
  <c r="G269" i="9"/>
  <c r="G270" i="9"/>
  <c r="G271" i="9"/>
  <c r="G272" i="9"/>
  <c r="G273" i="9"/>
  <c r="G274" i="9"/>
  <c r="G275" i="9"/>
  <c r="G276" i="9"/>
  <c r="G277" i="9"/>
  <c r="H254" i="9"/>
  <c r="H255" i="9"/>
  <c r="H256" i="9"/>
  <c r="H257" i="9"/>
  <c r="H258" i="9"/>
  <c r="H259" i="9"/>
  <c r="H260" i="9"/>
  <c r="H261" i="9"/>
  <c r="H262" i="9"/>
  <c r="H263" i="9"/>
  <c r="H264" i="9"/>
  <c r="H265" i="9"/>
  <c r="G254" i="9"/>
  <c r="G255" i="9"/>
  <c r="G256" i="9"/>
  <c r="G257" i="9"/>
  <c r="G258" i="9"/>
  <c r="G259" i="9"/>
  <c r="G260" i="9"/>
  <c r="G261" i="9"/>
  <c r="G262" i="9"/>
  <c r="G263" i="9"/>
  <c r="G264" i="9"/>
  <c r="G265" i="9"/>
  <c r="H242" i="9"/>
  <c r="H243" i="9"/>
  <c r="H244" i="9"/>
  <c r="H245" i="9"/>
  <c r="H246" i="9"/>
  <c r="H247" i="9"/>
  <c r="H248" i="9"/>
  <c r="H249" i="9"/>
  <c r="H250" i="9"/>
  <c r="H251" i="9"/>
  <c r="H252" i="9"/>
  <c r="H253" i="9"/>
  <c r="G242" i="9"/>
  <c r="G243" i="9"/>
  <c r="G244" i="9"/>
  <c r="G245" i="9"/>
  <c r="G246" i="9"/>
  <c r="G247" i="9"/>
  <c r="G248" i="9"/>
  <c r="G249" i="9"/>
  <c r="G250" i="9"/>
  <c r="G251" i="9"/>
  <c r="G252" i="9"/>
  <c r="G253" i="9"/>
  <c r="H230" i="9"/>
  <c r="H231" i="9"/>
  <c r="H232" i="9"/>
  <c r="H233" i="9"/>
  <c r="H234" i="9"/>
  <c r="H235" i="9"/>
  <c r="H236" i="9"/>
  <c r="H237" i="9"/>
  <c r="H238" i="9"/>
  <c r="H239" i="9"/>
  <c r="H240" i="9"/>
  <c r="H241" i="9"/>
  <c r="G230" i="9"/>
  <c r="G231" i="9"/>
  <c r="G232" i="9"/>
  <c r="G233" i="9"/>
  <c r="G234" i="9"/>
  <c r="G235" i="9"/>
  <c r="G236" i="9"/>
  <c r="G237" i="9"/>
  <c r="G238" i="9"/>
  <c r="G239" i="9"/>
  <c r="G240" i="9"/>
  <c r="G241" i="9"/>
  <c r="H217" i="9"/>
  <c r="H218" i="9"/>
  <c r="H219" i="9"/>
  <c r="H220" i="9"/>
  <c r="H221" i="9"/>
  <c r="H222" i="9"/>
  <c r="H223" i="9"/>
  <c r="H224" i="9"/>
  <c r="H225" i="9"/>
  <c r="H226" i="9"/>
  <c r="H227" i="9"/>
  <c r="H228" i="9"/>
  <c r="H229" i="9"/>
  <c r="G218" i="9"/>
  <c r="G219" i="9"/>
  <c r="G220" i="9"/>
  <c r="G221" i="9"/>
  <c r="G222" i="9"/>
  <c r="G223" i="9"/>
  <c r="G224" i="9"/>
  <c r="G225" i="9"/>
  <c r="G226" i="9"/>
  <c r="G227" i="9"/>
  <c r="G228" i="9"/>
  <c r="G229" i="9"/>
  <c r="H206" i="9"/>
  <c r="H207" i="9"/>
  <c r="H208" i="9"/>
  <c r="H209" i="9"/>
  <c r="H210" i="9"/>
  <c r="H211" i="9"/>
  <c r="H212" i="9"/>
  <c r="H213" i="9"/>
  <c r="H214" i="9"/>
  <c r="H215" i="9"/>
  <c r="H216" i="9"/>
  <c r="G206" i="9"/>
  <c r="G207" i="9"/>
  <c r="G208" i="9"/>
  <c r="G209" i="9"/>
  <c r="G210" i="9"/>
  <c r="G211" i="9"/>
  <c r="G212" i="9"/>
  <c r="G213" i="9"/>
  <c r="G214" i="9"/>
  <c r="G215" i="9"/>
  <c r="G216" i="9"/>
  <c r="G217" i="9"/>
  <c r="H194" i="9"/>
  <c r="H195" i="9"/>
  <c r="H196" i="9"/>
  <c r="H197" i="9"/>
  <c r="H198" i="9"/>
  <c r="H199" i="9"/>
  <c r="H200" i="9"/>
  <c r="H201" i="9"/>
  <c r="H202" i="9"/>
  <c r="H203" i="9"/>
  <c r="H204" i="9"/>
  <c r="H205" i="9"/>
  <c r="G194" i="9"/>
  <c r="G195" i="9"/>
  <c r="G196" i="9"/>
  <c r="G197" i="9"/>
  <c r="G198" i="9"/>
  <c r="G199" i="9"/>
  <c r="G200" i="9"/>
  <c r="G201" i="9"/>
  <c r="G202" i="9"/>
  <c r="G203" i="9"/>
  <c r="G204" i="9"/>
  <c r="G205" i="9"/>
  <c r="H182" i="9"/>
  <c r="H183" i="9"/>
  <c r="H184" i="9"/>
  <c r="H185" i="9"/>
  <c r="H186" i="9"/>
  <c r="H187" i="9"/>
  <c r="H188" i="9"/>
  <c r="H189" i="9"/>
  <c r="H190" i="9"/>
  <c r="H191" i="9"/>
  <c r="H192" i="9"/>
  <c r="H193" i="9"/>
  <c r="G182" i="9"/>
  <c r="G183" i="9"/>
  <c r="G184" i="9"/>
  <c r="G185" i="9"/>
  <c r="G186" i="9"/>
  <c r="G187" i="9"/>
  <c r="G188" i="9"/>
  <c r="G189" i="9"/>
  <c r="G190" i="9"/>
  <c r="G191" i="9"/>
  <c r="G192" i="9"/>
  <c r="G193" i="9"/>
  <c r="H171" i="9"/>
  <c r="H172" i="9"/>
  <c r="H173" i="9"/>
  <c r="H174" i="9"/>
  <c r="H175" i="9"/>
  <c r="H176" i="9"/>
  <c r="H177" i="9"/>
  <c r="H178" i="9"/>
  <c r="H179" i="9"/>
  <c r="H180" i="9"/>
  <c r="H181" i="9"/>
  <c r="H170" i="9"/>
  <c r="G171" i="9"/>
  <c r="G172" i="9"/>
  <c r="G173" i="9"/>
  <c r="G174" i="9"/>
  <c r="G175" i="9"/>
  <c r="G176" i="9"/>
  <c r="G177" i="9"/>
  <c r="G178" i="9"/>
  <c r="G179" i="9"/>
  <c r="G180" i="9"/>
  <c r="G181" i="9"/>
  <c r="G170" i="9"/>
  <c r="H164" i="9"/>
  <c r="H152" i="9"/>
  <c r="H140" i="9"/>
  <c r="H128" i="9"/>
  <c r="H116" i="9"/>
  <c r="H104" i="9"/>
  <c r="H92" i="9"/>
  <c r="H80" i="9"/>
  <c r="H68" i="9"/>
  <c r="H56" i="9"/>
  <c r="H44" i="9"/>
  <c r="H32" i="9"/>
  <c r="H20" i="9"/>
  <c r="H8" i="9"/>
  <c r="H3" i="9"/>
  <c r="H4" i="9"/>
  <c r="H5" i="9"/>
  <c r="H6" i="9"/>
  <c r="H7" i="9"/>
  <c r="H14" i="9"/>
  <c r="H15" i="9"/>
  <c r="H16" i="9"/>
  <c r="H17" i="9"/>
  <c r="H18" i="9"/>
  <c r="H19" i="9"/>
  <c r="H26" i="9"/>
  <c r="H27" i="9"/>
  <c r="H28" i="9"/>
  <c r="H29" i="9"/>
  <c r="H30" i="9"/>
  <c r="H31" i="9"/>
  <c r="H38" i="9"/>
  <c r="H39" i="9"/>
  <c r="H40" i="9"/>
  <c r="H41" i="9"/>
  <c r="H42" i="9"/>
  <c r="H43" i="9"/>
  <c r="H50" i="9"/>
  <c r="H51" i="9"/>
  <c r="H52" i="9"/>
  <c r="H53" i="9"/>
  <c r="H54" i="9"/>
  <c r="H55" i="9"/>
  <c r="H62" i="9"/>
  <c r="H63" i="9"/>
  <c r="H64" i="9"/>
  <c r="H65" i="9"/>
  <c r="H66" i="9"/>
  <c r="H67" i="9"/>
  <c r="H74" i="9"/>
  <c r="H75" i="9"/>
  <c r="H76" i="9"/>
  <c r="H77" i="9"/>
  <c r="H78" i="9"/>
  <c r="H79" i="9"/>
  <c r="H86" i="9"/>
  <c r="H87" i="9"/>
  <c r="H88" i="9"/>
  <c r="H89" i="9"/>
  <c r="H90" i="9"/>
  <c r="H91" i="9"/>
  <c r="H98" i="9"/>
  <c r="H99" i="9"/>
  <c r="H100" i="9"/>
  <c r="H101" i="9"/>
  <c r="H102" i="9"/>
  <c r="H103" i="9"/>
  <c r="H110" i="9"/>
  <c r="H111" i="9"/>
  <c r="H112" i="9"/>
  <c r="H113" i="9"/>
  <c r="H114" i="9"/>
  <c r="H115" i="9"/>
  <c r="H122" i="9"/>
  <c r="H123" i="9"/>
  <c r="H124" i="9"/>
  <c r="H125" i="9"/>
  <c r="H126" i="9"/>
  <c r="H127" i="9"/>
  <c r="H134" i="9"/>
  <c r="H135" i="9"/>
  <c r="H136" i="9"/>
  <c r="H137" i="9"/>
  <c r="H138" i="9"/>
  <c r="H139" i="9"/>
  <c r="H146" i="9"/>
  <c r="H147" i="9"/>
  <c r="H148" i="9"/>
  <c r="H149" i="9"/>
  <c r="H150" i="9"/>
  <c r="H151" i="9"/>
  <c r="H160" i="9"/>
  <c r="H161" i="9"/>
  <c r="H162" i="9"/>
  <c r="H163" i="9"/>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H2" i="9"/>
  <c r="B15" i="4"/>
  <c r="B14" i="4"/>
  <c r="B13" i="4"/>
  <c r="B12" i="4"/>
  <c r="B11" i="4"/>
  <c r="B5" i="4"/>
  <c r="B4" i="4"/>
  <c r="B3" i="4"/>
  <c r="B2" i="4"/>
  <c r="B8" i="4" s="1"/>
  <c r="B23" i="4" l="1"/>
  <c r="B6" i="4"/>
  <c r="B19" i="4"/>
  <c r="B7" i="4"/>
  <c r="B20" i="4"/>
  <c r="B21" i="4"/>
  <c r="B22" i="4"/>
</calcChain>
</file>

<file path=xl/sharedStrings.xml><?xml version="1.0" encoding="utf-8"?>
<sst xmlns="http://schemas.openxmlformats.org/spreadsheetml/2006/main" count="94535" uniqueCount="7998">
  <si>
    <t>Ação</t>
  </si>
  <si>
    <t>Data_Registro</t>
  </si>
  <si>
    <t>Setor</t>
  </si>
  <si>
    <t>Categoria por Tópico do FMS</t>
  </si>
  <si>
    <t>Setor Responsável</t>
  </si>
  <si>
    <t>Apontamento</t>
  </si>
  <si>
    <t>Acao_Proposta</t>
  </si>
  <si>
    <t>Conteção Imediata ?</t>
  </si>
  <si>
    <t>Gravidade</t>
  </si>
  <si>
    <t>Urgência</t>
  </si>
  <si>
    <t>Tendência</t>
  </si>
  <si>
    <t>Pontuação GUT</t>
  </si>
  <si>
    <t>Prioridade GUT</t>
  </si>
  <si>
    <t>Liderança</t>
  </si>
  <si>
    <t>Prazo</t>
  </si>
  <si>
    <t>Data Conclusão Real</t>
  </si>
  <si>
    <t>Status</t>
  </si>
  <si>
    <t>Observações</t>
  </si>
  <si>
    <t>Indicador_Relacionado</t>
  </si>
  <si>
    <t>Recepção 11 de Agosto</t>
  </si>
  <si>
    <t>Proteção</t>
  </si>
  <si>
    <t>Manutenção</t>
  </si>
  <si>
    <t>Solicitar a abertura de chamados para instalação de trancas nos armários localizados no hall dos elevadores e na sala da coordenação da recepção.</t>
  </si>
  <si>
    <t>Não</t>
  </si>
  <si>
    <t>Stella e Mayara</t>
  </si>
  <si>
    <t>30 dias</t>
  </si>
  <si>
    <t>Concluído</t>
  </si>
  <si>
    <t>Risco das pessoas abrirem o armário(Paciente, Acompanhante, Fornecedores todos os tipos de pessoas que passam)</t>
  </si>
  <si>
    <t>Infraestrutura predial</t>
  </si>
  <si>
    <t>Segurança</t>
  </si>
  <si>
    <t>CCIH</t>
  </si>
  <si>
    <t>Muitos Itens pessoais achados no chão do local</t>
  </si>
  <si>
    <t>Verificar a possibilidade de disponibilizar um armário para que os colaboradores possam guardar seus pertences, considerando a presença de diversas mochilas no chão.</t>
  </si>
  <si>
    <t>A Alocação de itens pessoais no chão pode gerar o aumento de risco de infecção cruzada, comprometer a limpeza e desinfecção do ambiente , prejudicar organização, risco de quedas e sujidades</t>
  </si>
  <si>
    <t>Controle de infecção</t>
  </si>
  <si>
    <t>Foi achado no local bolo e bolachas no chão</t>
  </si>
  <si>
    <t>Conversamos no local com a Mayara</t>
  </si>
  <si>
    <t>Avaliar um local mais apropriado para o armazenamento das bolachas, evitando ao máximo que alimentos permaneçam no chão, ainda que devidamente embalados, garantindo seu acondicionamento em local adequado.</t>
  </si>
  <si>
    <t>Sistemas Utilitários</t>
  </si>
  <si>
    <t>Solicitar a abertura de chamado para reparo do vazamento no sifão do banheiro feminino PCD.</t>
  </si>
  <si>
    <t>Abertura de chamado para Concerto do Sifão</t>
  </si>
  <si>
    <t xml:space="preserve">Vazamento de Água pode decorrer em queda de pacientes </t>
  </si>
  <si>
    <t>Obras e Reformas</t>
  </si>
  <si>
    <t>Parede está muito feia e desgastada</t>
  </si>
  <si>
    <t>Solicitar a abertura de chamados para verificação das condições das paredes, principalmente na área onde ficam armazenadas as cadeiras de rodas.</t>
  </si>
  <si>
    <t>Sem risco</t>
  </si>
  <si>
    <t>Segurança contra Incêndio</t>
  </si>
  <si>
    <t>SESMT</t>
  </si>
  <si>
    <t>Verificar a possibilidade de evitar o armazenamento de materiais acima da altura permitida na sala de achados e perdidos.</t>
  </si>
  <si>
    <t>Realocar os itens no armário</t>
  </si>
  <si>
    <t>Risco de Incêndio</t>
  </si>
  <si>
    <t>Segurança contra incêndio</t>
  </si>
  <si>
    <t>T.I</t>
  </si>
  <si>
    <t>Muitos Fios bagunçados podendo gerar risco de incêndio</t>
  </si>
  <si>
    <t>Abertura de chamado para organização dos Fios</t>
  </si>
  <si>
    <t>Segurança elétrica</t>
  </si>
  <si>
    <t>Corredor  Geral Ala D</t>
  </si>
  <si>
    <t>Forro do Corredor aparenta sujidade</t>
  </si>
  <si>
    <t>Abertura de chamado para troca e limpeza</t>
  </si>
  <si>
    <t>Simone</t>
  </si>
  <si>
    <t>Limpeza/conservação</t>
  </si>
  <si>
    <t>Tomadas sem indentificação e com avarias</t>
  </si>
  <si>
    <t>Abertura de chamado para indentificação e arrumar as tomadas</t>
  </si>
  <si>
    <t>Risco da queima de equipamentos e de choques pela falta do espelho na tomada e falta de indentificação</t>
  </si>
  <si>
    <t>Forro da entrada de funcionários com umidade</t>
  </si>
  <si>
    <t>Abertura de chamado para verificação do porque da umidade e arrumar o mesmo</t>
  </si>
  <si>
    <t>Forro pode ceder por estar umido</t>
  </si>
  <si>
    <t>Ralos com necessidade de manutenção (final do corredor antes do elevador, DML da Brasanitas e sala administrativa da Brasanitas)</t>
  </si>
  <si>
    <t>Abertura de chamado para verificação do ralo e arrumar os que estão quebrados</t>
  </si>
  <si>
    <t>O Ralo não estar funcionando adequadamente pode acarretar em diversos riscos, como subir algum incento pelo ralo ou a entrada de moscas e mosquistos e mal cheiros</t>
  </si>
  <si>
    <t>Ausência de forro na sala administrativa da Brasanitas</t>
  </si>
  <si>
    <t>Abertura do chamado para verificação do porque está sem forro e adicionar o mesmo</t>
  </si>
  <si>
    <t>Pode ter muitos riscos por conta do buraco na parede</t>
  </si>
  <si>
    <t>Almoxarifado</t>
  </si>
  <si>
    <t>Extintor em local inadequado</t>
  </si>
  <si>
    <t>Na mesma hora foi solucionado e resolvido a questão e orientação</t>
  </si>
  <si>
    <t>Paloma</t>
  </si>
  <si>
    <t>Durante um apagão se o Extintor não está localizado de baixo da placa pode causar algum risco</t>
  </si>
  <si>
    <t>Tomadas sem espelho</t>
  </si>
  <si>
    <t>Abertura de chamado foi realizada para concerto</t>
  </si>
  <si>
    <t xml:space="preserve">Necessário a Abertura de chamado para verificação </t>
  </si>
  <si>
    <t>Ar-condicionado – O equipamento desliga automaticamente durante o fim de semana, fazendo com que a temperatura esteja muito acima do adequado às segundas-feiras. Considerando que o local exige controle rigoroso de temperatura, é necessária uma avaliação do sistema.</t>
  </si>
  <si>
    <t xml:space="preserve">Abertura de chamado já foi realizado </t>
  </si>
  <si>
    <t xml:space="preserve">Necessário a abertura de chamado para ar condicionado para área crítica de controle de temperatura </t>
  </si>
  <si>
    <t>Equipamentos/tecnologia</t>
  </si>
  <si>
    <t>Desnivelamento da rampa de acesso de fornecedores – A amplitude do desnível pode representar risco de acidente, especialmente no recebimento de cargas pesadas.</t>
  </si>
  <si>
    <t>Já está sendo verificado junto a Diretoria sobre essa possibilidade</t>
  </si>
  <si>
    <t>Necessário uma Ante sala para fornecedores poderem estacionar e fazer o descarregamento de forma adequada</t>
  </si>
  <si>
    <t>Assistencial</t>
  </si>
  <si>
    <t>Controles de temperatura – Identificados registros não preenchidos adequadamente.</t>
  </si>
  <si>
    <t>No Local foi solucionado com a orientação para a equipe</t>
  </si>
  <si>
    <t>Necessário o preenchimento das temperaturas e olhar o mapeamento da rotina</t>
  </si>
  <si>
    <t>Administrativo</t>
  </si>
  <si>
    <t>Pallets danificados – Identificados pallets quebrados, necessária reposição.</t>
  </si>
  <si>
    <t>Aberto Chamado para substituição do mesmo</t>
  </si>
  <si>
    <t>Pallets quebrados podem causar desmonoramento de caixas e causar acidentes</t>
  </si>
  <si>
    <t>Organização do ambiente</t>
  </si>
  <si>
    <t>Hotelaria</t>
  </si>
  <si>
    <t>Higienização do piso – A limpeza do local é realizada apenas sob demanda. Avaliamos a necessidade de uma rotina de limpeza fixa para o ambiente.</t>
  </si>
  <si>
    <t>Sinalizado a equipe responsável, mas sem retorno até o momento</t>
  </si>
  <si>
    <t>A Falta de higiene do local que armaneza itens que vai para todos os setores do hospital podem causar riscos de doenças e diversos outros riscos</t>
  </si>
  <si>
    <t>Armazenamento acima do limite de altura – Foram identificados diversos itens estocados além do limite permitido, representando risco de acidentes. É necessária uma verificação e adequação do estoque, além de melhor organização do espaçamento entre os itens, pois a locomoção dentro do almoxarifado está comprometida.</t>
  </si>
  <si>
    <t>Está sendo conversado com a Hospital Care para uma organização melhor do almoxarifado, a principio os mesmos querem utilizar o estoque da casa de saúde para ter uma reserva</t>
  </si>
  <si>
    <t>Podem ocasionar diversos riscos a superlotação do Almoxarifado</t>
  </si>
  <si>
    <t>Buraco no teto da sala de materiais químicos – Necessária abertura imediata de chamado para verificação e reparo.</t>
  </si>
  <si>
    <t>Aberto chamado para o reparo do teto</t>
  </si>
  <si>
    <t>O Buraco no teto pode causar diversos Riscos ainda mas localizado na sala de quimico</t>
  </si>
  <si>
    <t>Fósforos armazenados próximos a álcool e produtos inflamáveis – Situação de alto risco, requer adequação urgente conforme normas de segurança.</t>
  </si>
  <si>
    <t>Está sendo verificado junto a Carla da nutrição para alocar esses fosforos em outro loccal</t>
  </si>
  <si>
    <t>Ponto urgentissimo de verificação do Fosforo na sala de inflamaveis</t>
  </si>
  <si>
    <t>Goteiras nas luminárias da entrada de fornecedores – Já foram abertas diversas OS anteriormente, porém nenhuma manutenção foi realizada até o momento. Necessário escalonamento do chamado.</t>
  </si>
  <si>
    <t>Aberto chamado para reparo</t>
  </si>
  <si>
    <t>Fornecedores podem escorregar e sofrer algum acidente</t>
  </si>
  <si>
    <t>Cozinha e Estoque</t>
  </si>
  <si>
    <t>Materiais e Resíduos Perigosos</t>
  </si>
  <si>
    <t>DND Térreo: kit de contenção alocado em local inadequado, com risco de danificar a bolsa;</t>
  </si>
  <si>
    <t>Sinalizado a equipe no local para verificação</t>
  </si>
  <si>
    <t>Sim</t>
  </si>
  <si>
    <t>Carla</t>
  </si>
  <si>
    <t>Podendo rasgar a bolsa, a bolsa pode cair encima da pessoa e a dificuldade de conseguir acessa-lá</t>
  </si>
  <si>
    <t>Grande quantidade de panelas armazenadas em altura elevada, podendo gerar risco de acidente;</t>
  </si>
  <si>
    <t>Pode cair materiais encima de alguem que possa estar passando, risco de acidentes</t>
  </si>
  <si>
    <t>Alcool armazenado junto a Fosforo</t>
  </si>
  <si>
    <t>Foi alinhado com a Carla sobre a alocação de álcool no local. A mesma informou que o produto é utilizado de forma rápida para limpeza da cozinha;</t>
  </si>
  <si>
    <t>Tomada sem espelho, com OS já aberta para verificação;</t>
  </si>
  <si>
    <t>Abertura de OS para o time responsável</t>
  </si>
  <si>
    <t>Risco de acidentes</t>
  </si>
  <si>
    <t>Fósforo armazenado junto a plásticos e álcool no estoque. O item foi realocado pela Carla para local mais apropriado durante a inspeção;</t>
  </si>
  <si>
    <t>No momento da visita Carla realocou os Fosforos em outro local mais adequado</t>
  </si>
  <si>
    <t>Necessidade de avaliação urgente da ventilação do local, pois foi sinalizado que, em dias de maior temperatura, principalmente no período da tarde, o ambiente fica bastante desconfortável para permanência;</t>
  </si>
  <si>
    <t>Em andamento</t>
  </si>
  <si>
    <t>Relataram que colaborades chegam a passar mal por conta da temperatura da cozinha</t>
  </si>
  <si>
    <t>Climatização</t>
  </si>
  <si>
    <t>Abertura de OS para retirada de pregos da parede e fechamento dos buracos, devido ao risco de acidentes;</t>
  </si>
  <si>
    <t>Questão de visual da cozinha, dificuldade de limpeza das paredes por conta dos pregos e poder causar acidente se enroscar em alguem ou algo</t>
  </si>
  <si>
    <t>Torneira quebrada no setor, com OS já aberta para verificação;</t>
  </si>
  <si>
    <t>Pode causar atraso no trabalho da equipe por conta de uma torneira a menos</t>
  </si>
  <si>
    <t>No estoque de perecíveis, foram identificadas prateleiras enferrujadas, com OS já aberta para tratativa;</t>
  </si>
  <si>
    <t>Já foi aberta OS para substituição</t>
  </si>
  <si>
    <t>Com Prateleiras enferrujadas as mesmas podem ceder com o tempo causando um risco de acidente</t>
  </si>
  <si>
    <t>No estoque de perecíveis, foi sinalizada a necessidade de tela no ar-condicionado da sala. Foi aberta OS, porém a tela foi instalada apenas em um dos aparelhos;</t>
  </si>
  <si>
    <t>Pode Cair coisas nos alimentos pela falta da Tela</t>
  </si>
  <si>
    <t>Ainda no estoque de perecíveis, foi identificado forro solto e lâmpadas sem acrílico de proteção, com risco de queda;</t>
  </si>
  <si>
    <t>A Luz pode cair pela falta do acrilico de proteção</t>
  </si>
  <si>
    <t>Necessidade de avaliação do antiderrapante da rampa do estoque de perecíveis.</t>
  </si>
  <si>
    <t>Fita Antiderrapante pode evitar acidentes com colaboradores ou fornecedores</t>
  </si>
  <si>
    <t>Docas</t>
  </si>
  <si>
    <t xml:space="preserve"> Painel elétrico aberto com acesso irrestrito na área superior das docas — requer verificação urgente.</t>
  </si>
  <si>
    <t>Fechar o local para maior segurança</t>
  </si>
  <si>
    <t>Januário</t>
  </si>
  <si>
    <t>Qualquer um pode ter acesso aquela área, possibilitando a acessar e desligar o painel de energia</t>
  </si>
  <si>
    <t>Rouparia</t>
  </si>
  <si>
    <t>Exaustor na rouparia com sujeira e indício de incêndio — necessária verificação imediata.</t>
  </si>
  <si>
    <t>Manutenção do exaustor</t>
  </si>
  <si>
    <t>Luciane</t>
  </si>
  <si>
    <t>Exaustor não funcionante pode causar mal cheiro no ambiente e outros riscos</t>
  </si>
  <si>
    <t>Na mesma Sala onde está o painel elétrico aberto está muito sujo e com cheiro forte, necessário uma verificação.</t>
  </si>
  <si>
    <t>Limpeza do local e fechar</t>
  </si>
  <si>
    <t>Marjorie</t>
  </si>
  <si>
    <t>Local Sujo e com cheiro forte, necessário a limpeza do local</t>
  </si>
  <si>
    <t>Descarpacks armazenados em local inapropriado e ao ar livre — identificados com nome e setor.</t>
  </si>
  <si>
    <t>Conversado com a Marjorie e foi solucionado a situação ser colocado um container para poder armazenar descarpacks</t>
  </si>
  <si>
    <t>Descarpacks em local aberto pode causa acidentes em quem transitar no local</t>
  </si>
  <si>
    <t>Materiais perigosos</t>
  </si>
  <si>
    <t>Mops ao ar livre.</t>
  </si>
  <si>
    <t>Conversado com a Marjorie sobre a mesma sinalizou, que por conta de não ter um DML ou expurgo no local, mas vai ser visto para melhora</t>
  </si>
  <si>
    <t xml:space="preserve">Mops ao ar livre podem sujar os mesmos por conta de chuva ou sujidade </t>
  </si>
  <si>
    <t> Armário com álcoois e sabonetes ao ar livre, do lado de fora da CME.</t>
  </si>
  <si>
    <t>Conversado com a Marjorie sobre a mesma sinalizou, que por conta de não ter um DML ou expurgo no local, mas vai ser visto para melhora, mas os mesmos dentro do armário não tem risco</t>
  </si>
  <si>
    <t>Os mesmos estarem ali estão a disposição ao ar livre</t>
  </si>
  <si>
    <t>Madeiras alocadas embaixo da escada (provável descarte pendente de destinação).</t>
  </si>
  <si>
    <t>Entendemos que o armazenamento seria rápido para descarte</t>
  </si>
  <si>
    <t>Risco de incêndio ou cair em alguma pessoa</t>
  </si>
  <si>
    <t>Itens pessoais e produtos armazenados no mesmo armário.</t>
  </si>
  <si>
    <t>Conversado com a Luciane na rouparia a mesma falou que vai fazer a reorganização</t>
  </si>
  <si>
    <t>Itens pessoais com produtos pode causar risco</t>
  </si>
  <si>
    <t>Colaboradores da Brasanitas realizando limpeza de carrinhos ao ar livre, fora da sala designada — necessário alinhar com a Brasanitas.</t>
  </si>
  <si>
    <t>Enviado por e-mail para responsáveis</t>
  </si>
  <si>
    <t>A não limpeza dos carrinhos em local correto pode causar riscos</t>
  </si>
  <si>
    <t>Buraco no teto do abrigo de resíduos.</t>
  </si>
  <si>
    <t>O Buraco pode causar riscos de queda de água ou do próprio teto, colocando os colaborades em risco</t>
  </si>
  <si>
    <t>Ralo da sala de roupa suja com avaria, dificultando a circulação dos carrinhos. (Luciane realizará a abertura da OS)</t>
  </si>
  <si>
    <t xml:space="preserve">Pode causar risco e carrinhos podem cair </t>
  </si>
  <si>
    <t>Oncologia 1°D</t>
  </si>
  <si>
    <t>Foi encontrado um painel elétrico aberto dentro da sala de equipamentos. No momento da inspeção, o painel foi fechado, porém foi identificado que um dos fechos estava solto, sendo necessária avaliação/manutenção;</t>
  </si>
  <si>
    <t>Leticia</t>
  </si>
  <si>
    <t>Alguem pode acessar o Painel eletríco e pode desligar a energia ou acontecer acidentes</t>
  </si>
  <si>
    <t>Foi identificado descarte inadequado de resíduos tóxicos. A equipe foi orientada no local;</t>
  </si>
  <si>
    <t>Risco de acidentes de trabalho</t>
  </si>
  <si>
    <t>Na sala de utilidades, foi identificada uma torneira que necessita ser acionada manualmente e que estava pingando. Necessária abertura de OS para correção e avaliação de troca da torneira;</t>
  </si>
  <si>
    <t>Torneira Pingando e a mesma liga de forma manual, seria necessário a troca para não precisar ligar de forma manual</t>
  </si>
  <si>
    <t>No expurgo, o exaustor não está funcionando, sendo necessária abertura de OS para conserto;</t>
  </si>
  <si>
    <t>Um exaustor inoperante compromete a qualidade do ar</t>
  </si>
  <si>
    <t>Ainda no expurgo, foi identificado ralo quebrado, também com necessidade de abertura de OS;</t>
  </si>
  <si>
    <t xml:space="preserve">Ralo quebrado, pode subir insetos ou outras coisas por ele </t>
  </si>
  <si>
    <t>O ar-condicionado da área de preparo de medicação está pingando. Foi informado pela equipe que já foram abertas diversas OS, porém sem solução até o momento. OS 211575 – @Alan Francisco Borges de Almeida;</t>
  </si>
  <si>
    <t>Ar Condicionado pingando pode causar a queda de alguém e também o calor no local</t>
  </si>
  <si>
    <t>Foi encontrada janela aberta no posto de enfermagem, sendo necessária abertura de OS para travamento/adequação da janela;</t>
  </si>
  <si>
    <t>Janelas não podem ser abertas, pode entrar qualquer tipo de coisa pelas janelas</t>
  </si>
  <si>
    <t>Foi identificada tomada de cabo de rede sem espelho, sendo necessária abertura de OS para regularização;</t>
  </si>
  <si>
    <t>Tomada sem espelho pode causar acidentes com colaboradores</t>
  </si>
  <si>
    <t>A equipe pontuou a necessidade de avaliação da pintura do setor, com OS 211574 já aberta;</t>
  </si>
  <si>
    <t>Para organização do ambiente apenas</t>
  </si>
  <si>
    <t>Referente à organização dos fios de TI, foi aberto chamado para tratativa. OS 1213912 – @João Gregório;</t>
  </si>
  <si>
    <t>Também foi pontuada a situação dos móveis do setor, com OS 208007 já aberta.</t>
  </si>
  <si>
    <t>Movéis com madeiras descascando não é possível higienizar</t>
  </si>
  <si>
    <t>Farmácia Central</t>
  </si>
  <si>
    <t>Caixas armazenadas muito próximas ao forro;</t>
  </si>
  <si>
    <t>Elberty</t>
  </si>
  <si>
    <t>Materiais de escritório armazenados próximos ao forro;</t>
  </si>
  <si>
    <t>Materiais pessoais armazenados diretamente no chão;</t>
  </si>
  <si>
    <t>Intens diretamente no chão podem ser infectados com materiais</t>
  </si>
  <si>
    <t>Caixas de perfurocortantes armazenadas diretamente no chão;</t>
  </si>
  <si>
    <t>Gerenciamento de Emergências e Desastres</t>
  </si>
  <si>
    <t>Necessidade de atualização do plano de emergência;</t>
  </si>
  <si>
    <t>Verificar a atualização do plano de emergência</t>
  </si>
  <si>
    <t>Engenharia Clínica</t>
  </si>
  <si>
    <t>Recorrência de princípio de incêndio relacionado à seladora, assunto já em tratativa pela liderança;</t>
  </si>
  <si>
    <t>Equipamento as vezes pega fogo necessário a verificação desta questão</t>
  </si>
  <si>
    <t>Necessidade de teste do detector de fumaça</t>
  </si>
  <si>
    <t>Risco de incêndio</t>
  </si>
  <si>
    <t>Detector de fumaça obstruído por materiais;</t>
  </si>
  <si>
    <t xml:space="preserve">Dois aparelhos de ar-condicionado sem refrigeração adequada. A equipe também sinalizou gotejamento sobre os colaboradores </t>
  </si>
  <si>
    <t>Como a Sala precisa de controle de temperatura de Suma importância o funcionamento dos mesmos</t>
  </si>
  <si>
    <t>Buraco na parede da área administrativa, com OS já aberta;</t>
  </si>
  <si>
    <t>Verificar a correção do buraco na parede</t>
  </si>
  <si>
    <t>Necessidade de avaliação da rotina de higiene do espaço, pois foi sinalizado que a limpeza é realizada, porém sem definição de limpeza terminal;</t>
  </si>
  <si>
    <t>Verificar o fluxo da higiene e cronograma da higiene</t>
  </si>
  <si>
    <t>Necessidade de definição do fluxo de higiene das câmaras, incluindo responsável, periodicidade e escopo da limpeza, se interna, externa ou ambas;</t>
  </si>
  <si>
    <t>Avaliar se a porta descascada impacta no processo de higienização adequada do ambiente;</t>
  </si>
  <si>
    <t xml:space="preserve">Avaliar o risco da porta descascada </t>
  </si>
  <si>
    <t>Necessidade de avaliação do armazenamento e controle de validade de materiais, incluindo soros;</t>
  </si>
  <si>
    <t>Armazenamento desorganizado por causar riscos na procurar de materiais</t>
  </si>
  <si>
    <t>Materiais e documentos armazenados de forma misturada, sendo necessária avaliação da organização do local;</t>
  </si>
  <si>
    <t>Avaliar a disposição dos materiais no setor, considerando segurança, rastreabilidade, validade e boas práticas de armazenamento;</t>
  </si>
  <si>
    <t>Necessidade de reforço quanto ao armazenamento adequado de materiais e insumos.</t>
  </si>
  <si>
    <t>Recepção Imagem, Endoscopia, Ressonância e Ambulatório</t>
  </si>
  <si>
    <t>Forros abertos na recepção da Ressonância/Entrega de Exames;</t>
  </si>
  <si>
    <t>Ana Lúcia</t>
  </si>
  <si>
    <t>Forro Aberto, pode cair em algum paciente.</t>
  </si>
  <si>
    <t>Shaft aberto na recepção da Endoscopia, sendo necessário o travamento por questões de segurança;</t>
  </si>
  <si>
    <t>Shaft aberto causa diversos riscos, pois todos podem ter acessos e entrar dentro do Shaft</t>
  </si>
  <si>
    <t>Lâmpada quebrada;</t>
  </si>
  <si>
    <t>Sem risco, apenas organização do ambiente</t>
  </si>
  <si>
    <t>Faixas de sinalização do chão não íntegras na Recepção de Entrega de Exames;</t>
  </si>
  <si>
    <t>Sinalização para os pacientes, necessário a verificação</t>
  </si>
  <si>
    <t>Sinalização</t>
  </si>
  <si>
    <t>Materiais/documentos armazenados diretamente no chão, sendo necessário acondicionamento em local adequado;</t>
  </si>
  <si>
    <t>Diversos riscos de incendio e de infecção</t>
  </si>
  <si>
    <t>Tomada sem espelho na Recepção de Entrega de Exames;</t>
  </si>
  <si>
    <t>Pode causar choque a paciente que podem relar ou colaboradores</t>
  </si>
  <si>
    <t>Produto fora de contenção na recepção da Ressonância, referente ao álcool 70%;</t>
  </si>
  <si>
    <t>Tomadas irregulares na recepção da Ressonância;</t>
  </si>
  <si>
    <t>Cabos de rede fora do espelho;</t>
  </si>
  <si>
    <t>Sem risco apenas organização do ambiente</t>
  </si>
  <si>
    <t>Ar-condicionado com sujidade na parte superior.</t>
  </si>
  <si>
    <t>Risco de infecção</t>
  </si>
  <si>
    <t>Ressonância Magnética</t>
  </si>
  <si>
    <t>Tomadas fora do padrão, necessário abertura de O.S para substituição.</t>
  </si>
  <si>
    <t>Francislene</t>
  </si>
  <si>
    <t>Tomadas foras do padrão podem estar obsoletas e acontecer acidentes</t>
  </si>
  <si>
    <t>Durante a inspeção, conversei com os técnicos no local sobre a questão da iluminação. Eles informaram que as luzes são reguladas pela própria equipe, porém relataram que alguns profissionais preferem o ambiente mais claro para facilitar a visualização durante as atividades. Diante disso, os técnicos questionaram sobre a possibilidade de instalação de uma iluminação auxiliar, como LED ou abajur na mesa de trabalho. A situação foi repassada à @Francislene Luzia Briner, que informou que essa necessidade ainda não havia sido sinalizada anteriormente pela equipe..</t>
  </si>
  <si>
    <t>Sem Risco apenas uma sugestão vinda dos técnicos</t>
  </si>
  <si>
    <t>Foi levantado uma questão sobre os bancos de madeira durante a inspeção, e sobre a higienização dos mesmos, alguns estão começando a descascar, precisamos ver se vamos substituir os bancos, vamos fazer o reparo nos mesmos dentro de uma periodicidade ou fazer a troca do mesmo. Gostaria de sugestões sobre @CCIH - Hospital Vera Cruz @Francislene Luzia Briner</t>
  </si>
  <si>
    <t>A Falta de higiene de um item pode ocasionar diversos riscos</t>
  </si>
  <si>
    <t>Ar-condicionado sem paleta para mudança da direção do vento, necessário abertura de O.S</t>
  </si>
  <si>
    <t>Armário de baixo da Pia, descascando a tinta, Necessário abertura de O.S</t>
  </si>
  <si>
    <t>Risco de criação de fungos</t>
  </si>
  <si>
    <t>Fios desencapados perto de isopor, necessário abertura de O.S</t>
  </si>
  <si>
    <t>Diversos riscos ainda mais por estar em contato com isopor</t>
  </si>
  <si>
    <t>Questão do armazenamento de caixas dentro da sala técnica da GE2, acho que se a caixas fossem colocadas em cima de pallets haveria uma organização melhor(Sugestão)</t>
  </si>
  <si>
    <t>Divesos riscos por estar em contato diretamente com o chão</t>
  </si>
  <si>
    <t>Parede descascando dentro da sala dos técnicos, necessário abertura de O.S</t>
  </si>
  <si>
    <t>Ar-condicionado da sala de triagem sem funcionamento.</t>
  </si>
  <si>
    <t>Tomografia e Ultrassom</t>
  </si>
  <si>
    <t xml:space="preserve">Saída de Emergência obstruída com dois carrinhos </t>
  </si>
  <si>
    <t>Saída de emergência obstruída durante um caso de incêndio pode causar dano e risco as pessoas</t>
  </si>
  <si>
    <t>Hidrante obstruído por carrinho.</t>
  </si>
  <si>
    <t>Hidrante obstruído evita o combate ao incêndio</t>
  </si>
  <si>
    <t>Sistema de alarme de incêndio da Easy com placa de manutenção </t>
  </si>
  <si>
    <t>Sistema de alarme fora causa risco no aviso de caso de incêndio</t>
  </si>
  <si>
    <t>Construção e Reformas</t>
  </si>
  <si>
    <r>
      <rPr>
        <sz val="11"/>
        <color rgb="FF000000"/>
        <rFont val="Carlito"/>
      </rPr>
      <t>Piso do setor</t>
    </r>
    <r>
      <rPr>
        <sz val="12"/>
        <color rgb="FF000000"/>
        <rFont val="Aptos"/>
      </rPr>
      <t> já está no radar da Diretoria e será tratado durante o retrofit do local.</t>
    </r>
  </si>
  <si>
    <t>Piso já ocasionou a queda de pacientes mas já está no radar da diretoria</t>
  </si>
  <si>
    <t>Obras e reformas</t>
  </si>
  <si>
    <r>
      <rPr>
        <sz val="11"/>
        <color rgb="FF000000"/>
        <rFont val="Carlito"/>
      </rPr>
      <t>Equipe de radiologistas sem EPIs</t>
    </r>
    <r>
      <rPr>
        <sz val="12"/>
        <color rgb="FF000000"/>
        <rFont val="Aptos"/>
      </rPr>
      <t> no momento da inspeção. A situação foi sinalizada no local, com orientação à equipe. Foi informado que os colaboradores já foram treinados e orientados sobre o uso adequado. </t>
    </r>
  </si>
  <si>
    <t>Caso vem se repetindo a equipe do SESMT Já treinou e orientou várias vezes o pessoal sobre o uso de EPIs</t>
  </si>
  <si>
    <t>Utilidades críticas</t>
  </si>
  <si>
    <r>
      <rPr>
        <sz val="11"/>
        <color rgb="FF000000"/>
        <rFont val="Carlito"/>
      </rPr>
      <t>Equipe em sala sem dosímetro</t>
    </r>
    <r>
      <rPr>
        <sz val="12"/>
        <color rgb="FF000000"/>
        <rFont val="Aptos"/>
      </rPr>
      <t>. A situação também foi sinalizada e a equipe orientada durante a visita. </t>
    </r>
  </si>
  <si>
    <t>Tecnologia da Informação</t>
  </si>
  <si>
    <t>Questão de organização dos fios em todas as salas  Poderia, por gentileza, avaliar como podemos seguir com essa tratativa?</t>
  </si>
  <si>
    <t>Fios desorganizados podem causar diversos riscos</t>
  </si>
  <si>
    <t>Segurança das instalações</t>
  </si>
  <si>
    <t>Tomada sem espelho na segunda sala de ultrassom, sala com a placa do consultório 1, Necessário abertura de OS.</t>
  </si>
  <si>
    <t>Questão de armazenamento de itens </t>
  </si>
  <si>
    <t>Itens bagunçados podem causar risco na hora da busca dos mesmos</t>
  </si>
  <si>
    <t>Banheiro da Tomografia em manutenção Necessário abertura de OS </t>
  </si>
  <si>
    <t xml:space="preserve">Sem Risco </t>
  </si>
  <si>
    <t>Itens de higiene e materiais do hospital armazenados próximos ao armário de uso dos pacientes. Recomenda-se avaliar a instalação de tranca, a fim de evitar equívocos na guarda ou utilização dos itens por engano.</t>
  </si>
  <si>
    <t xml:space="preserve">Pode causar risco pois todos podem ter acesso ao armário e acabar armazenando bolsas em local incorreto ou uso dos materiais de forma erronea </t>
  </si>
  <si>
    <t>Controle de infecção e saneamento</t>
  </si>
  <si>
    <t>Ar-condicionado da sala dos médicos da Tomografia: foi sinalizado que o equipamento está funcionando, porém, a paleta encontra-se quebrada e foi fixada provisoriamente com fita. Necessária abertura de OS.</t>
  </si>
  <si>
    <t>Ar-condicionado da mesma sala sem funcionamento, com solicitação de retirada do equipamento. </t>
  </si>
  <si>
    <t>Higiene da geladeira onde ficam armazenadas as biópsias e medicamentos </t>
  </si>
  <si>
    <t>Geladeiras que são utilizadas para armazenamento de biópsias sem higienização podem causasr adulteração em resultados</t>
  </si>
  <si>
    <t>Materiais e resíduos perigosos</t>
  </si>
  <si>
    <t>Lâmpada da 1° sala de ultrassom quebrada, necessário abertura de OS.</t>
  </si>
  <si>
    <t>Led pode cair em alguém por estar solto</t>
  </si>
  <si>
    <t>Caneleta quebrada no Consultório 1, necessário abertura de OS.</t>
  </si>
  <si>
    <t>Questão de sinalizações de papel, as mesmas foram retirada por nós durante a inspeção!</t>
  </si>
  <si>
    <t>Risco de contaminação do papel</t>
  </si>
  <si>
    <t>Caixa de Laringo fora do plástico</t>
  </si>
  <si>
    <t>Risco de contaminar o paciente em caso de urgência e uso do carrinho</t>
  </si>
  <si>
    <t>Ar-condicionado dentro da sala de controle da Tomografia 2 não está funcionando, necessário abertura de OS </t>
  </si>
  <si>
    <t>Sem Risco</t>
  </si>
  <si>
    <t>Farmácia CRC</t>
  </si>
  <si>
    <t>Foi identificada a utilização de régua elétrica no local. Durante a inspeção, foi orientada a abertura de chamado para instalação de ponto de tomada adequado, bem como a instalação de canaleta para organização dos cabos. Necessária abertura de chamado.</t>
  </si>
  <si>
    <t>Marcia CRC</t>
  </si>
  <si>
    <t>Régua eletríca pode causar risco de principio de incêndio</t>
  </si>
  <si>
    <t>Segurança Eletríca</t>
  </si>
  <si>
    <t>Sugerimos a abertura de chamado para adequação da altura do suporte do Descarpack, visando maior ergonomia e segurança durante a utilização.</t>
  </si>
  <si>
    <t>Para pessoas de baixa estatura o Descarpack muito alto dificulta a sua visualização</t>
  </si>
  <si>
    <t>Foi identificada a necessidade de organização dos cabos de equipamentos. Solicita-se a abertura de chamado para a TI via Qualitor.</t>
  </si>
  <si>
    <t>Após a abertura de OS para adequação das tomadas abrir OS para organização dos fios</t>
  </si>
  <si>
    <t>Qualidade</t>
  </si>
  <si>
    <t>Observou-se descarte incorreto de material no Descarpack. A situação foi sinalizada e corrigida imediatamente pela equipe local.</t>
  </si>
  <si>
    <t>Foi descartado de forma incorreta, mas no local já foi solucionado</t>
  </si>
  <si>
    <t>Reforçada a necessidade de identificação adequada no recipiente de descarte tóxico, incluindo a correta fixação do adesivo de identificação.</t>
  </si>
  <si>
    <t>Falta do adesivo</t>
  </si>
  <si>
    <t>Foi observado que o produto Henetix possui embalagem/bula em francês. É necessária a disponibilização da bula em português para atendimento às exigências regulatórias.</t>
  </si>
  <si>
    <t>Pontuado pela Vigilância em outras visitas sobre a falta da bula em português</t>
  </si>
  <si>
    <t>Foram realizadas orientações e sugestões de melhoria relacionadas ao armazenamento de materiais junto à equipe responsável</t>
  </si>
  <si>
    <t>Sugestões de melhorias na forma do armazenamento e questão de materiais vencidos junto com materias em uso, evitar e separar esses materiais</t>
  </si>
  <si>
    <t>Verificamos a ausência de detector de fumaça na Farmácia do CRC e na sala de quarentena. Solicitamos avaliação da necessidade de instalação desses dispositivos.</t>
  </si>
  <si>
    <t>Foi pontuado sobre a  falta de detectores de incêndio tanto na farmácia quanto na quarentena</t>
  </si>
  <si>
    <t>Foi identificada falha no cumprimento da periodicidade de higiene estabelecida para a área. Solicitamos apoio para avaliação e adequação do processo.</t>
  </si>
  <si>
    <t>Foi pontuado pelo setor que a Higiene não tem periodicidade correta e que é feita só quando solicitada e nunca segue um cronograma correto</t>
  </si>
  <si>
    <t>Observada pintura descascada no teto da sala de quarentena. Necessária abertura de Ordem de Serviço para reparo.</t>
  </si>
  <si>
    <t>Pontuado sobre a parede estar descascando, Alan observou no local e agora falta abertura de OS para pintar novamente e resolver a questão</t>
  </si>
  <si>
    <t>Laboratório Fleury</t>
  </si>
  <si>
    <t>Equipamento Médico</t>
  </si>
  <si>
    <t>Durante a inspeção, foram encontrados equipamentos sem evidência de homologação pela Engenharia Clínica ou Manutenção. A responsável foi orientada quanto ao uso desses equipamentos, considerando o risco de incêndio e a necessidade de validação prévia para utilização.</t>
  </si>
  <si>
    <t>Silvana Fleury</t>
  </si>
  <si>
    <t>Equipamentos não homologados podem causar risco de incêndio</t>
  </si>
  <si>
    <t>Área assistencial/administrativa</t>
  </si>
  <si>
    <t>Também foram observados descartes incorretos, como descarte de material químico em Descarpack. A equipe foi orientada no local quanto à necessidade de reforçar o descarte adequado dos resíduos.</t>
  </si>
  <si>
    <t>Descarte incorreto</t>
  </si>
  <si>
    <t>Identificamos luminárias soltas, com possível risco de queda. A equipe foi orientada sobre a necessidade de abertura de Ordem de Serviço para tratativa preventiva.</t>
  </si>
  <si>
    <t>Risco de queda pois temos algumas luminárias soltando</t>
  </si>
  <si>
    <t>Foram observados alguns equipamentos conectados em adaptadores/conectores, além de duas réguas elétricas, gerando dúvida quanto à adequação e segurança do uso. Solicitamos avaliação da Manutenção/Engenharia quanto à conformidade dessas instalações. </t>
  </si>
  <si>
    <t>Também foi observada a ausência de detectores de fumaça no local. </t>
  </si>
  <si>
    <t>Risco de incêndio e falta de aparelhos para detectar incêndio, já tem orçamento pronto para a instalação</t>
  </si>
  <si>
    <t>Durante a visita, foi relatado que os aparelhos de ar-condicionado centrais desligam sozinhos em alguns momentos, mesmo após a abertura de diversos chamados para resolução. </t>
  </si>
  <si>
    <t>Como a Sala precisa de controle de temperatura é vital a climatização estar funcionante</t>
  </si>
  <si>
    <t>O ar-condicionado da sala de Urinálise também não está funcionando, com chamados já abertos para tratativa.</t>
  </si>
  <si>
    <t>Foi identificada ausência de janela e exaustor no DML, ponto que necessita de avaliação.</t>
  </si>
  <si>
    <t>Necessário um exaustor no local para ventilação do Ar</t>
  </si>
  <si>
    <t>Além disso, foram encontrados itens pessoais armazenados diretamente no chão, sendo a equipe orientada no local. Também foram observadas oportunidades de melhoria na organização dos armários.</t>
  </si>
  <si>
    <t>Questão de organização do local e orientação da equipe</t>
  </si>
  <si>
    <t>Na copa, foram encontrados itens vencidos no frigobar, com orientação imediata à equipe.</t>
  </si>
  <si>
    <t>Foram identificadas diversas oportunidades relacionadas à organização, incluindo caixas de papelão em áreas biológicas. Conversamos com a Silvana, que informou que há um processo interno em andamento com auditores de 5S para apoio ao time. Ainda assim, a equipe foi reorientada quanto às boas práticas de organização e armazenamento.</t>
  </si>
  <si>
    <t>Também foram encontrados produtos como odorizador de ambiente e limpador multiuso no local, os quais não devem ser utilizados na área.</t>
  </si>
  <si>
    <t>Retirar esses produtos que não podem ser utilizados dentro de hospitais</t>
  </si>
  <si>
    <t>Foi identificada porta aberta para a área de máquinas, sendo necessário mantê-la trancada para evitar entrada de sujidades e reduzir riscos relacionados à contaminação de amostras e possíveis impactos nos resultados dos exames.</t>
  </si>
  <si>
    <t>Trancar a porta para evitar a entrada de sujidades</t>
  </si>
  <si>
    <t>Foram observadas algumas almotolias abertas e sem identificação adequada.</t>
  </si>
  <si>
    <t>Identificamos equipamentos sem evidência de manutenção preventiva atualizada. Foi informado que esses equipamentos são controlados pela Engenharia Clínica do Fleury.</t>
  </si>
  <si>
    <t>Equipamentos são controlados pela engenharia clínica do próprio fleury</t>
  </si>
  <si>
    <t>No almoxarifado, foram encontrados produtos químicos sem identificação adequada e produtos químicos vencidos.</t>
  </si>
  <si>
    <t>Importante o mapeamento e a identificação destes produtos</t>
  </si>
  <si>
    <t>Também foi observada presença de sujidade no local, além da ausência de um cronograma de limpeza definido.</t>
  </si>
  <si>
    <t>Um cronograma de limpeza necessário</t>
  </si>
  <si>
    <t>Foram identificados alguns mobiliários enferrujados como banco estofado azul com ferrugem e armário quebrado, com madeira solta e pregos expostos.</t>
  </si>
  <si>
    <t>Troca de mobiliários verificar com a hotelaria</t>
  </si>
  <si>
    <t>As sorotecas estavam sem identificação de validade.</t>
  </si>
  <si>
    <t xml:space="preserve">Foi orientado no local para a retirada </t>
  </si>
  <si>
    <t>Também foram encontrados produtos químicos armazenados próximos a fontes de calor, inclusive sobre CPUs, o que representa risco e necessita de correção.</t>
  </si>
  <si>
    <t>CAF</t>
  </si>
  <si>
    <r>
      <rPr>
        <sz val="11"/>
        <color rgb="FF000000"/>
        <rFont val="Carlito"/>
      </rPr>
      <t>Foi observada a necessidade de disponibilizar uma </t>
    </r>
    <r>
      <rPr>
        <b/>
        <sz val="12"/>
        <color rgb="FF000000"/>
        <rFont val="Aptos"/>
      </rPr>
      <t>caixa com chaves para situações de emergência</t>
    </r>
    <r>
      <rPr>
        <sz val="12"/>
        <color rgb="FF000000"/>
        <rFont val="Aptos"/>
      </rPr>
      <t>. A Paloma solicitará duas chaves para serem armazenadas nessa caixa, e o Alan também solicitará a chave do portão com saída para a Marechal Deodoro. </t>
    </r>
  </si>
  <si>
    <t>Orientado para a Paloma solicitar 3 chaves para colocar na caixinha de emergência</t>
  </si>
  <si>
    <r>
      <rPr>
        <sz val="11"/>
        <color rgb="FF000000"/>
        <rFont val="Carlito"/>
      </rPr>
      <t>Na porta de entrada do CAF, o </t>
    </r>
    <r>
      <rPr>
        <b/>
        <sz val="12"/>
        <color rgb="FF000000"/>
        <rFont val="Aptos"/>
      </rPr>
      <t>eletroímã estava quebrado e solto da parede</t>
    </r>
    <r>
      <rPr>
        <sz val="12"/>
        <color rgb="FF000000"/>
        <rFont val="Aptos"/>
      </rPr>
      <t>, sendo necessária a abertura de OS para correção.</t>
    </r>
  </si>
  <si>
    <t>Orientado a abertura de OS para fixar o eletroímã</t>
  </si>
  <si>
    <r>
      <rPr>
        <sz val="11"/>
        <color rgb="FF000000"/>
        <rFont val="Carlito"/>
      </rPr>
      <t>Foram encontrados alguns </t>
    </r>
    <r>
      <rPr>
        <b/>
        <sz val="12"/>
        <color rgb="FF000000"/>
        <rFont val="Aptos"/>
      </rPr>
      <t>pregos expostos</t>
    </r>
    <r>
      <rPr>
        <sz val="12"/>
        <color rgb="FF000000"/>
        <rFont val="Aptos"/>
      </rPr>
      <t>, porém a situação foi solucionada no local pelo Fabiano e pelo Cesar, com a retirada dos mesmos.</t>
    </r>
  </si>
  <si>
    <t>Finalizado no local</t>
  </si>
  <si>
    <r>
      <rPr>
        <sz val="11"/>
        <color rgb="FF000000"/>
        <rFont val="Carlito"/>
      </rPr>
      <t>Foi identificado </t>
    </r>
    <r>
      <rPr>
        <b/>
        <sz val="12"/>
        <color rgb="FF000000"/>
        <rFont val="Aptos"/>
      </rPr>
      <t>bolor no teto</t>
    </r>
    <r>
      <rPr>
        <sz val="12"/>
        <color rgb="FF000000"/>
        <rFont val="Aptos"/>
      </rPr>
      <t>. Alan informou que o problema de vazamento de água já foi solucionado e que será solicitada a pintura do local.</t>
    </r>
  </si>
  <si>
    <t>Alan solicitou a pintura</t>
  </si>
  <si>
    <r>
      <rPr>
        <sz val="11"/>
        <color rgb="FF000000"/>
        <rFont val="Carlito"/>
      </rPr>
      <t>Também foi observada a ausência de uma </t>
    </r>
    <r>
      <rPr>
        <b/>
        <sz val="12"/>
        <color rgb="FF000000"/>
        <rFont val="Aptos"/>
      </rPr>
      <t>rotina definida para troca de buchas</t>
    </r>
    <r>
      <rPr>
        <sz val="12"/>
        <color rgb="FF000000"/>
        <rFont val="Aptos"/>
      </rPr>
      <t>, sendo reforçada a importância da substituição periódica para garantir melhores condições de higiene.</t>
    </r>
  </si>
  <si>
    <t>Orientado no local</t>
  </si>
  <si>
    <r>
      <rPr>
        <sz val="11"/>
        <color rgb="FF000000"/>
        <rFont val="Carlito"/>
      </rPr>
      <t>Foi identificado o uso de </t>
    </r>
    <r>
      <rPr>
        <b/>
        <sz val="12"/>
        <color rgb="FF000000"/>
        <rFont val="Aptos"/>
      </rPr>
      <t>álcool para limpeza</t>
    </r>
    <r>
      <rPr>
        <sz val="12"/>
        <color rgb="FF000000"/>
        <rFont val="Aptos"/>
      </rPr>
      <t>, sendo orientada a substituição pelo produto adequado, </t>
    </r>
    <r>
      <rPr>
        <b/>
        <sz val="12"/>
        <color rgb="FF000000"/>
        <rFont val="Aptos"/>
      </rPr>
      <t>Oxivir</t>
    </r>
    <r>
      <rPr>
        <sz val="12"/>
        <color rgb="FF000000"/>
        <rFont val="Aptos"/>
      </rPr>
      <t>.</t>
    </r>
  </si>
  <si>
    <r>
      <rPr>
        <sz val="11"/>
        <color rgb="FF000000"/>
        <rFont val="Carlito"/>
      </rPr>
      <t>Foi solicitado um </t>
    </r>
    <r>
      <rPr>
        <b/>
        <sz val="12"/>
        <color rgb="FF000000"/>
        <rFont val="Aptos"/>
      </rPr>
      <t>rodinho para a porta dos fundos do CAF</t>
    </r>
    <r>
      <rPr>
        <sz val="12"/>
        <color rgb="FF000000"/>
        <rFont val="Aptos"/>
      </rPr>
      <t>, com o objetivo de evitar a entrada de insetos por baixo da porta.</t>
    </r>
  </si>
  <si>
    <t>Foi orientado a abertura de OS para alocação do Rodinho de porta</t>
  </si>
  <si>
    <r>
      <rPr>
        <sz val="11"/>
        <color rgb="FF000000"/>
        <rFont val="Carlito"/>
      </rPr>
      <t>Paloma pontuou que a </t>
    </r>
    <r>
      <rPr>
        <b/>
        <sz val="12"/>
        <color rgb="FF000000"/>
        <rFont val="Aptos"/>
      </rPr>
      <t>higienização do local não ocorre de forma recorrente</t>
    </r>
    <r>
      <rPr>
        <sz val="12"/>
        <color rgb="FF000000"/>
        <rFont val="Aptos"/>
      </rPr>
      <t>, sendo realizada apenas quando solicitada.</t>
    </r>
  </si>
  <si>
    <t>Solicitada um cronograma para higiene recorrente</t>
  </si>
  <si>
    <r>
      <rPr>
        <sz val="11"/>
        <color rgb="FF000000"/>
        <rFont val="Carlito"/>
      </rPr>
      <t>Foi observada uma </t>
    </r>
    <r>
      <rPr>
        <b/>
        <sz val="12"/>
        <color rgb="FF000000"/>
        <rFont val="Aptos"/>
      </rPr>
      <t>mancha na parede abaixo da pia</t>
    </r>
    <r>
      <rPr>
        <sz val="12"/>
        <color rgb="FF000000"/>
        <rFont val="Aptos"/>
      </rPr>
      <t>, sendo solicitada a pintura do local.</t>
    </r>
  </si>
  <si>
    <t>Foi orientado a abertura de OS</t>
  </si>
  <si>
    <r>
      <rPr>
        <sz val="11"/>
        <color rgb="FF000000"/>
        <rFont val="Carlito"/>
      </rPr>
      <t>Na entrada, foi identificado um </t>
    </r>
    <r>
      <rPr>
        <b/>
        <sz val="12"/>
        <color rgb="FF000000"/>
        <rFont val="Aptos"/>
      </rPr>
      <t>ralo afundado</t>
    </r>
    <r>
      <rPr>
        <sz val="12"/>
        <color rgb="FF000000"/>
        <rFont val="Aptos"/>
      </rPr>
      <t>. Paloma informou que essa situação ocorre com frequência devido à passagem constante de carrinhos pelo local.</t>
    </r>
  </si>
  <si>
    <r>
      <rPr>
        <sz val="11"/>
        <color rgb="FF000000"/>
        <rFont val="Carlito"/>
      </rPr>
      <t>Durante a inspeção, a </t>
    </r>
    <r>
      <rPr>
        <b/>
        <sz val="12"/>
        <color rgb="FF000000"/>
        <rFont val="Aptos"/>
      </rPr>
      <t>porta da sala de máquinas estava aberta</t>
    </r>
    <r>
      <rPr>
        <sz val="12"/>
        <color rgb="FF000000"/>
        <rFont val="Aptos"/>
      </rPr>
      <t>. Alan realizou o fechamento da porta e também do painel de energia localizado dentro da sala.</t>
    </r>
  </si>
  <si>
    <t>Segurança Patrimonial</t>
  </si>
  <si>
    <r>
      <rPr>
        <sz val="11"/>
        <color rgb="FF000000"/>
        <rFont val="Carlito"/>
      </rPr>
      <t>Foi solicitada a avaliação para </t>
    </r>
    <r>
      <rPr>
        <b/>
        <sz val="12"/>
        <color rgb="FF000000"/>
        <rFont val="Aptos"/>
      </rPr>
      <t>reposicionamento das câmeras</t>
    </r>
    <r>
      <rPr>
        <sz val="12"/>
        <color rgb="FF000000"/>
        <rFont val="Aptos"/>
      </rPr>
      <t>, considerando que o armário de medicamentos de alta vigilância não possui câmera posicionada diretamente à frente. </t>
    </r>
  </si>
  <si>
    <t>Paloma foi orientada para o reposicionamento</t>
  </si>
  <si>
    <t>Segurança patrimonial</t>
  </si>
  <si>
    <r>
      <rPr>
        <sz val="11"/>
        <color rgb="FF000000"/>
        <rFont val="Carlito"/>
      </rPr>
      <t>Foi pontuada a presença de </t>
    </r>
    <r>
      <rPr>
        <b/>
        <sz val="12"/>
        <color rgb="FF000000"/>
        <rFont val="Aptos"/>
      </rPr>
      <t>caixas terciárias no local</t>
    </r>
    <r>
      <rPr>
        <sz val="12"/>
        <color rgb="FF000000"/>
        <rFont val="Aptos"/>
      </rPr>
      <t>.  Paloma informou que isso ocorre devido à falta de espaço físico disponível.</t>
    </r>
  </si>
  <si>
    <t>Orientado no local sobre as caixas</t>
  </si>
  <si>
    <r>
      <rPr>
        <sz val="11"/>
        <color rgb="FF000000"/>
        <rFont val="Carlito"/>
      </rPr>
      <t>Foram encontrados </t>
    </r>
    <r>
      <rPr>
        <b/>
        <sz val="12"/>
        <color rgb="FF000000"/>
        <rFont val="Aptos"/>
      </rPr>
      <t>dois checklists sem anotação de temperatura</t>
    </r>
    <r>
      <rPr>
        <sz val="12"/>
        <color rgb="FF000000"/>
        <rFont val="Aptos"/>
      </rPr>
      <t>, situação que foi corrigida no local.</t>
    </r>
  </si>
  <si>
    <t>Finalizado e orientado no local</t>
  </si>
  <si>
    <r>
      <rPr>
        <sz val="11"/>
        <color rgb="FF000000"/>
        <rFont val="Carlito"/>
      </rPr>
      <t> Foi solicitado </t>
    </r>
    <r>
      <rPr>
        <b/>
        <sz val="12"/>
        <color rgb="FF000000"/>
        <rFont val="Aptos"/>
      </rPr>
      <t>duas cadeiras ergonômicas compatíveis com a altura da bancada</t>
    </r>
    <r>
      <rPr>
        <sz val="12"/>
        <color rgb="FF000000"/>
        <rFont val="Aptos"/>
      </rPr>
      <t> para os colaboradores. O Cesar realizou a solicitação durante a inspeção.</t>
    </r>
  </si>
  <si>
    <t>Solicitado no local</t>
  </si>
  <si>
    <t>2°D Alas</t>
  </si>
  <si>
    <t>Foi encontrado uma tomada sem espelho na sala de utilidades, necessário abertura de OS para verificação.</t>
  </si>
  <si>
    <t>Thallita</t>
  </si>
  <si>
    <t>Pode causar risco de choque</t>
  </si>
  <si>
    <t>Foram encontrados materiais alocados acima do limite de altura.</t>
  </si>
  <si>
    <t>Risco de incêndio por estar perto do forro</t>
  </si>
  <si>
    <t>Ralo de dentro do abrigo de resíduos aberto, necessária abertura de OS para verificação.</t>
  </si>
  <si>
    <t>Risco de sair alguma coisa do ralo</t>
  </si>
  <si>
    <t>Pote de abaixador de língua estava aberto, E Medicamentos vencidos comunicado a enfermeira no setor.</t>
  </si>
  <si>
    <t>Risco de sujar o material</t>
  </si>
  <si>
    <t>Exaustor do abrigo de resíduos não funcionante, necessário abertura de OS para verificação.</t>
  </si>
  <si>
    <t>Exaustor não funcionante pode deixar cheiro forte no local</t>
  </si>
  <si>
    <t>Duas balanças do setor estão sem a calibração. </t>
  </si>
  <si>
    <t>Pesos de pacientes errados</t>
  </si>
  <si>
    <t>Equipamentos médicos</t>
  </si>
  <si>
    <t>Bombas estão ligadas nas tomadas, mas sem controle de higiene</t>
  </si>
  <si>
    <t>Falta de higienização pode causar infecções e outros riscos entre pacientes</t>
  </si>
  <si>
    <t>Registro sem acabamento no DML, necessário abertura de OS para verificação.</t>
  </si>
  <si>
    <t>Com o Registro sem acabamento na hora de urgência é impossível desligar o mesmo</t>
  </si>
  <si>
    <t>uma escada com ferrugem e quebrada, necessário a troca do item</t>
  </si>
  <si>
    <t>equipe tem que solicitar a troca do mesmo</t>
  </si>
  <si>
    <t>Exaustor do DML não funcionante, necessário abertura de OS para verificação.</t>
  </si>
  <si>
    <t>Mobiliários do posto de enfermagem estão com madeiras expostas, necessário a verificação.</t>
  </si>
  <si>
    <t>Dificil a higienização do local com madeiras expostas</t>
  </si>
  <si>
    <t>Geladeira com validade vencida, necessário a solicitação de higiene da mesma. </t>
  </si>
  <si>
    <t>Tem que solicitar a higienização</t>
  </si>
  <si>
    <t>Lâmina de Laringo não funcionante. </t>
  </si>
  <si>
    <t>Necessário a verificação para urgências</t>
  </si>
  <si>
    <t>Lacre do carrinho de emergência não bate com o registro.</t>
  </si>
  <si>
    <t>lacres não batendo pode ser que carrinho foi aberto e não foi registrado</t>
  </si>
  <si>
    <t>Foram encontrados resíduos encontrados diretamente no chão, do abrigo de resíduos temporário. </t>
  </si>
  <si>
    <t>Lixos no chão pode deixar o chão sujo e outros riscos de infecção</t>
  </si>
  <si>
    <t>Foram encontrados 1 suporte de álcool e 1 suporte sabão quebrados, 1 no DML e 1 na sala de resíduos. </t>
  </si>
  <si>
    <t>Necessária a verificação</t>
  </si>
  <si>
    <t>Móvel de baixo da geladeira com madeira exposta, necessário abertura de OS para verificação.</t>
  </si>
  <si>
    <t>Madeira exposta</t>
  </si>
  <si>
    <t>Foi encontrado uma Técnica com sapato inadequado, foi orientada no local pelo SESMT.</t>
  </si>
  <si>
    <t>Técnica com sapato aberto</t>
  </si>
  <si>
    <t>Endoscopia</t>
  </si>
  <si>
    <t>Foi identificado que não temos Detectores de fumaça no setor</t>
  </si>
  <si>
    <t>Gabriel/Maria</t>
  </si>
  <si>
    <t>Verificar a Instalação de detectores de fumaça no Local</t>
  </si>
  <si>
    <t>Vimos que tem apenas um extintor de Incêndio</t>
  </si>
  <si>
    <t>Verificar a possibilidade de adicionar mais um extintor no meio do corredor</t>
  </si>
  <si>
    <t>Foi identificado armário com papel toalha e álcool juntos</t>
  </si>
  <si>
    <t>Bianca</t>
  </si>
  <si>
    <t>Verificar a troca de lugar do papel para não colocar ácool e papel juntos, como perigo de incêndio</t>
  </si>
  <si>
    <t>Foram observados alguns itens acima do limite de altura dentro da sala de materiais</t>
  </si>
  <si>
    <t>Alocar materiais em outro local que não fique perto do teto</t>
  </si>
  <si>
    <t>Identificado tomada dentro da sala de observação de pacientes sem identificação</t>
  </si>
  <si>
    <t>Necessário abertura de OS para atualização da tomada</t>
  </si>
  <si>
    <t>Idenficado tomada dentro do vestiário masculino sem identificação</t>
  </si>
  <si>
    <t>Identificado 1 tomada sem espelho do lado de fora, na entrada da endoscopia</t>
  </si>
  <si>
    <t>Vazamento no teto da UDAN</t>
  </si>
  <si>
    <t>Necessário abertura de OS para verificação do ponto de vazamento</t>
  </si>
  <si>
    <t>Foi identificado fios desorganizados atrás dos computadores na sala de observação dos pacientes</t>
  </si>
  <si>
    <t>Necessário abertura de chamado para T.I verificar fios desorganizados</t>
  </si>
  <si>
    <t>Foi observado 2 poltronas na sala de observação de pacientes com o estofado exposto</t>
  </si>
  <si>
    <t>Fabiano</t>
  </si>
  <si>
    <t>Chamados foram abertos durante a inspeção para troca</t>
  </si>
  <si>
    <t>Pontuado a porta de correr da entrada na sala de materiais</t>
  </si>
  <si>
    <t>Alan</t>
  </si>
  <si>
    <t>Foi aberto chamado durante a inspeção para a verificação</t>
  </si>
  <si>
    <t>Dispenser de sabão antigo na última sala de procedimento do local</t>
  </si>
  <si>
    <t xml:space="preserve">Solicitado a troca do dispenser </t>
  </si>
  <si>
    <t>Forro do Primeiro Banheiro da Endoscopia com sinais de infiltração</t>
  </si>
  <si>
    <t>Necessário abertura de OS para verificação do ponto de infiltração</t>
  </si>
  <si>
    <t>Foi observado que não tem controle de temperatura na sala de materiais</t>
  </si>
  <si>
    <t>Solicitar para a Engenharia Clínica um Termo higrometro para poder ter o controle de temperatura da sala</t>
  </si>
  <si>
    <t>Durante a visita foi visto que o carrinho de emergência estava obstruído</t>
  </si>
  <si>
    <t>Necessário verificar uma possibilidade dele não ficar obstruído por materiais ou equipamentos</t>
  </si>
  <si>
    <t>Vai ser analisado a necessidade de um kit de derramamento</t>
  </si>
  <si>
    <t>SESMT vai analisar a possibilidade</t>
  </si>
  <si>
    <t>Avaliação de Riscos e Monitoramento</t>
  </si>
  <si>
    <t>Mapa de risco está desatualizado</t>
  </si>
  <si>
    <t>Necessário SESMT realizar a atualização do mesmo</t>
  </si>
  <si>
    <t>2°C</t>
  </si>
  <si>
    <t>Posto de enfermagem com Descarpack alocado com litragem errada, Necessário a Troca </t>
  </si>
  <si>
    <t>Necessário a troca para um descarpack maior</t>
  </si>
  <si>
    <t>2C sala de utilidades Descarpack alocado no suporte com litragem superior, Necessário a troca</t>
  </si>
  <si>
    <t> Arsenal produtos químicos fora da contenção </t>
  </si>
  <si>
    <t>Necessário a verificação de uma bandeja maior para alocação dos produtos químicos</t>
  </si>
  <si>
    <t>Sala de equipamentos painel elétrico obstruído</t>
  </si>
  <si>
    <t>Questão de Organização do Setor</t>
  </si>
  <si>
    <t>Pedaços de cama quebrados dentro do posto, Engenharia Clínica Comunicada para retirada. </t>
  </si>
  <si>
    <t>Victório</t>
  </si>
  <si>
    <t>Comunicado ao setor da Engenharia Clínica para retirada</t>
  </si>
  <si>
    <t>Sala de utilidades peso dentro do local alocado em cima do tanque, Notificado.</t>
  </si>
  <si>
    <t>Aberta notificação de peso da Fisio dentro do DML</t>
  </si>
  <si>
    <t>Armário onde fica as roupas do paciente não estava fechando, Durante a Inspeção Alan abriu OS para verificação, </t>
  </si>
  <si>
    <t>Aberta OS durante a Inspeção para verificação</t>
  </si>
  <si>
    <t>Monitores estão fora da tomada e sem limpeza registrada comunicado enfermeira do setor no momento</t>
  </si>
  <si>
    <t>Comunicado a Enfermeira e feito notificação</t>
  </si>
  <si>
    <t>Equipamentos com limpeza registrada a 2 meses atrás, </t>
  </si>
  <si>
    <t>Time assistencial não está fazendo limpeza concorrente do equipamento</t>
  </si>
  <si>
    <t>Parede suja dentro do posto de enfermagem, equipe sinalizou que não faz higiene no posto com muita frequência.</t>
  </si>
  <si>
    <t>Encaminhado por email para responsável pela higiene do setor</t>
  </si>
  <si>
    <t>2 Dispenser de Álcool no setor precisavam de solicitação, Fabiano no local identificou.</t>
  </si>
  <si>
    <t>Fabiano falou que vai realizar manutenção no local</t>
  </si>
  <si>
    <t>Pronto Socorro Adulto</t>
  </si>
  <si>
    <t>Foi encontrado um coletor Descarpack posicionado de forma invertida e sem a identificação do responsável pela montagem. Solicita-se a adequação.</t>
  </si>
  <si>
    <t>Necessáario a correção do descarpack</t>
  </si>
  <si>
    <t>Foi identificado outro coletor Descarpack sem o suporte apropriado. Solicita-se a regularização.</t>
  </si>
  <si>
    <t>Necessário treinar e orientar para quando realizar a montagem do descarpack preencher</t>
  </si>
  <si>
    <t>Foram encontradas caixas de transporte da Farmácia dentro do abrigo temporário de resíduos. Solicita-se a retirada e a definição de um local adequado para armazenamento. </t>
  </si>
  <si>
    <t>Encaminhado para responsável por e-mail</t>
  </si>
  <si>
    <t>Foram encontrados materiais e suportes quebrados dentro do abrigo temporário de resíduos. Solicita-se a retirada e a destinação adequada.</t>
  </si>
  <si>
    <t>Necessário o descarte desses suportes quebrados</t>
  </si>
  <si>
    <t>Foram identificadas duas caixas com materiais limpos, incluindo ambus e outros equipamentos, armazenadas na Sala de Utilidades, ambiente que também está sendo utilizado como abrigo temporário de resíduos. Solicita-se a retirada imediata e a realocação dos materiais.</t>
  </si>
  <si>
    <t>Necessário entender para oque é a sala pois está sendo utilizada de várias formas</t>
  </si>
  <si>
    <t>Foram encontradas caixas de papelão armazenadas diretamente no chão. Solicita-se a organização e o armazenamento adequado.</t>
  </si>
  <si>
    <t>Foram identificados produtos químicos fora de contenção, incluindo grande quantidade de álcool armazenada em armário. Solicita-se a adequação do armazenamento.</t>
  </si>
  <si>
    <t>Encaminhado para o SESMT</t>
  </si>
  <si>
    <t>Foram observadas oportunidades de melhoria relacionadas à organização geral do setor.</t>
  </si>
  <si>
    <t>As sinalizações das rotas de fuga estão inadequadas, indicando a existência de apenas uma rota. Também foi identificado um balizador de modelo antigo. Solicita-se avaliação e adequação das sinalizações e substituição do equipamento.</t>
  </si>
  <si>
    <t>A placa localizada acima do suporte de tomadas encontra-se inclinada e solta. Solicita-se a abertura de Ordem de Serviço.</t>
  </si>
  <si>
    <t>Necessário OS para verificação do ponto</t>
  </si>
  <si>
    <t>Foi identificada a utilização de régua elétrica no setor. Solicita-se a abertura de Ordem de Serviço para avaliação e regularização.</t>
  </si>
  <si>
    <t>Algumas paredes apresentam descascamento. A pintura do local já está sendo realizada durante o período noturno.</t>
  </si>
  <si>
    <t>Já está sendo realizada pintura do local durante o periodo noturno</t>
  </si>
  <si>
    <t>Foram identificadas estruturas de madeira descascando e estufadas. Há uma abertura na estrutura próxima à janela da Farmácia e sinais de dano na madeira localizada abaixo do aparelho de ar-condicionado, ocasionados por vazamento de água. Solicita-se avaliação e correção. </t>
  </si>
  <si>
    <t>Conversado com a Melissa sobre ponto de madeiras no PS a mesma já conversou com a empresa responsável para outro orçamento para arrumar pontos</t>
  </si>
  <si>
    <t>O estofado da perneira do consultório de Ginecologia encontra-se rasgado. Solicita-se avaliação para reparo ou substituição.</t>
  </si>
  <si>
    <t>Encaminhado para hotelaria</t>
  </si>
  <si>
    <t>Foi apontada a necessidade de fixação dos monitores multiparâmetros. </t>
  </si>
  <si>
    <t>Encaminhado para manutenção</t>
  </si>
  <si>
    <t>Algumas portas dos armários do posto de enfermagem não estão fechando adequadamente. Solicita-se a abertura de Ordem de Serviço.</t>
  </si>
  <si>
    <t>Foi solicitado um suporte para armazenamento das pranchas. </t>
  </si>
  <si>
    <t>O suporte de soro da Medicação Verde 01 caiu. Solicita-se a abertura de Ordem de Serviço para fixação ou realocação.</t>
  </si>
  <si>
    <t>Foram encontradas almotolias abertas. Bianca acompanhou a inspeção e realizou o descarte imediato dos itens.</t>
  </si>
  <si>
    <t>Solucionado</t>
  </si>
  <si>
    <t>Foram encontrados recipientes contendo gazes abertos. Solicita-se a adequação.</t>
  </si>
  <si>
    <t>Foram identificados materiais vencidos e próximos do vencimento no kit de via aérea difícil, além de material da CME vencido no posto de enfermagem. Bianca realizou a retirada imediata dos itens.</t>
  </si>
  <si>
    <t>Foi questionada a necessidade de manutenção das duas pias existentes na Sala de Observação Verde, considerando a possibilidade de retirada de uma delas. Solicita-se avaliação técnica quanto à existência de exigência normativa para manutenção de uma pia exclusiva para higiene das mãos e outra destinada ao preparo de medicamentos.</t>
  </si>
  <si>
    <t>Está discutindo sobre os dois pontos</t>
  </si>
  <si>
    <t>Foram identificadas tomadas sem espelho nos seguintes locais:
Sala de Utilidades;
Sala de Protocolos;
Recepção localizada entre a Sala de Observação Amarela e o PS GO;
Sala de Procedimentos do Trauma;
Farmácia do Pronto-Socorro.</t>
  </si>
  <si>
    <t>Pronto Socorro Infantil</t>
  </si>
  <si>
    <t>Presença de régua elétrica na Triagem 01 do Pronto-Socorro. Necessária abertura de OS para adequação.</t>
  </si>
  <si>
    <t>Necessário Os para verificação do ponto</t>
  </si>
  <si>
    <t>Presença de régua elétrica na Recepção do Pronto-Socorro, armazenada dentro de um armário. Necessária abertura de OS para adequação.</t>
  </si>
  <si>
    <t>Recepção Pronto Socorro</t>
  </si>
  <si>
    <t>Produtos químicos e frascos de álcool armazenados fora da bandeja de contenção na Recepção do Pronto-Socorro. Necessária reorganização do local e substituição dos produtos que não seguem a padronização institucional.</t>
  </si>
  <si>
    <t>Necessário reorganização dos Materiais e dos produtos químicos em bandejas de conteção</t>
  </si>
  <si>
    <t>Janelas da sala de espera do Pronto-Socorro Infantil abertas, ainda que possuam telas. Necessária avaliação e orientação quanto à conduta adequada.</t>
  </si>
  <si>
    <t>Verificar se as janelas podem ficar abertas com a tela ou não</t>
  </si>
  <si>
    <t>Ausência de sinalização da rota de fuga no Pronto-Socorro Infantil.</t>
  </si>
  <si>
    <t>Necessário adequação da rota de fota</t>
  </si>
  <si>
    <t>Balança do Pronto-Socorro Infantil danificada. Necessária verificação do equipamento.</t>
  </si>
  <si>
    <t>Armários com itens pessoais armazenados junto a materiais de higiene e de assistência. Necessária reorganização e separação adequada dos materiais.</t>
  </si>
  <si>
    <t>Necessário organização do setor</t>
  </si>
  <si>
    <t>Ralo do DML com retorno de água e transbordamento. Necessária abertura de OS para avaliação e correção.</t>
  </si>
  <si>
    <t>A equipe de enfermagem informou que uma das pias não é utilizada, por haver outra próxima, e que atualmente o espaço é utilizado para armazenamento de materiais. Solicitamos avaliação técnica sobre a possibilidade de retirada da pia. </t>
  </si>
  <si>
    <t>Monitores multiparamétricos sem fixação adequada. Solicitada a fixação dos equipamentos.</t>
  </si>
  <si>
    <t>Presença de superfícies com madeira exposta em alguns locais.</t>
  </si>
  <si>
    <t>Inadequações ergonômicas na Recepção de Internação, incluindo impressoras posicionadas na área destinada aos pés das recepcionistas.</t>
  </si>
  <si>
    <t>Verificar sobre conforto e ergonomia da colaboradora</t>
  </si>
  <si>
    <t>Presença de régua elétrica na Recepção de Internação. Necessária abertura de OS para adequação.</t>
  </si>
  <si>
    <t>Diversas tomadas sem identificação de voltagem em todo o Pronto-Socorro Infantil.</t>
  </si>
  <si>
    <t>Pontos de mofo e paredes descascadas. Ressaltamos que a pintura do setor está sendo realizada no período noturno.</t>
  </si>
  <si>
    <t>Está sendo solucionado</t>
  </si>
  <si>
    <t>Lâmpada danificada no banheiro feminino do Pronto-Socorro Infantil.</t>
  </si>
  <si>
    <t>Janelas abertas no banheiro feminino do Pronto-Socorro, ainda que possuam telas. Necessária avaliação e orientação quanto à conduta adequada.</t>
  </si>
  <si>
    <t>Dispensers do DML sem identificação da data da última calibração.</t>
  </si>
  <si>
    <t xml:space="preserve">Verificar última data de calibração </t>
  </si>
  <si>
    <t>Cronograma de limpeza terminal sem o devido preenchimento.</t>
  </si>
  <si>
    <t>Necessário ação para orietar colaboradores</t>
  </si>
  <si>
    <t>Gaveta do posto de enfermagem emperrada e sem fechamento adequado. Necessária abertura de OS para verificação.</t>
  </si>
  <si>
    <t>Centro Cirúrgico</t>
  </si>
  <si>
    <t>Sinalização da saída de emergência descolando da parede.</t>
  </si>
  <si>
    <t xml:space="preserve">Maria </t>
  </si>
  <si>
    <t>Carrinho obstruindo o acesso ao hidrante.</t>
  </si>
  <si>
    <t>Adriana</t>
  </si>
  <si>
    <t>Extintor obstruído por carrinhos.</t>
  </si>
  <si>
    <t>Tomada de padrão antigo na RPA, sendo necessária a abertura de OS para substituição.</t>
  </si>
  <si>
    <t>Painel elétrico aberto, necessitando fechamento para garantir a segurança do local.</t>
  </si>
  <si>
    <t>Tomada sem espelho, sendo necessária a abertura de OS para adequação.</t>
  </si>
  <si>
    <t>Régua elétrica na Farmácia do Centro Cirúrgico, necessitando avaliação e adequação.</t>
  </si>
  <si>
    <t>Tomada sem espelho na Farmácia do Centro Cirúrgico.</t>
  </si>
  <si>
    <t>Caixa com diversos espelhos de tomadas armazenada no shaft próximo ao elevador.</t>
  </si>
  <si>
    <t>Duas saídas de tubulação com as grades soltas, necessitando abertura de OS.</t>
  </si>
  <si>
    <t>Luminária apresentando alteração na tonalidade da luz, sendo necessária a substituição da lâmpada.</t>
  </si>
  <si>
    <t>Torneira do expurgo com vazamento e recipiente posicionado para contenção da água, necessitando abertura de OS.</t>
  </si>
  <si>
    <t>Tomada do expurgo soltando da parede, necessitando abertura de OS.</t>
  </si>
  <si>
    <t>Parede do expurgo apresentando avarias.</t>
  </si>
  <si>
    <t>Buraco na parede do local utilizado para armazenamento de itens da Engenharia Clínica.</t>
  </si>
  <si>
    <t>Buraco na parede próximo à pia destinada à higienização das mãos.</t>
  </si>
  <si>
    <t>Armário de material contaminado da RPA com a porta soltando, necessitando abertura de OS.</t>
  </si>
  <si>
    <t>Shaft aberto e identificado com o adesivo “Cantinho da Farmácia”.</t>
  </si>
  <si>
    <t>Móveis com madeira exposta na copa.</t>
  </si>
  <si>
    <t>Ralos abertos no vestiário e no bloco cirúrgico.</t>
  </si>
  <si>
    <t>Lixeira identificada para resíduo comum utilizando saco destinado a resíduos infectantes.</t>
  </si>
  <si>
    <t>Produtos químicos armazenados fora de bandeja de contenção.</t>
  </si>
  <si>
    <t>Materiais diversos armazenados na sala localizada embaixo da escada, próxima aos vestiários.</t>
  </si>
  <si>
    <t>Materiais armazenados no corredor, incluindo itens dispostos diretamente no chão.</t>
  </si>
  <si>
    <t>Geladeira da copa dos colaboradores apresentando ferrugem nos pés.</t>
  </si>
  <si>
    <t>Armário localizado embaixo da pia da copa aberto e contendo uma caixa trancada, sem identificação do conteúdo.</t>
  </si>
  <si>
    <t>Armários com sujidades e partes de madeira expostas.</t>
  </si>
  <si>
    <t>Armários com materiais de escritório e artigos hospitalares desorganizados.</t>
  </si>
  <si>
    <t>Caixa térmica de sorvetes armazenada próxima ao hamper de roupas sujas.</t>
  </si>
  <si>
    <t>Objetos pessoais, como bolsas e mochilas, armazenados no posto de enfermagem.</t>
  </si>
  <si>
    <t>Suporte de hamper quebrado, necessitando substituição.</t>
  </si>
  <si>
    <t>Dois armários refrigerados destinados a itens cirúrgicos sendo mantidos fechados com esparadrapo. Solicita-se avaliação da Engenharia Clínica.</t>
  </si>
  <si>
    <t>Bombas de infusão desconectadas da tomada e sem evidência de higienização.</t>
  </si>
  <si>
    <t>Equipamento de vídeo com manutenção preventiva da Engenharia Clínica vencida.</t>
  </si>
  <si>
    <t>Termo-higrômetro do arsenal aparentemente desregulado, apresentando umidade acima do recomendado.</t>
  </si>
  <si>
    <t>Registros de temperatura do arsenal com valores acima do limite recomendado.</t>
  </si>
  <si>
    <t>Rede de CO₂ desconectada.</t>
  </si>
  <si>
    <t>Cilindros de oxigênio identificados com esparadrapo.</t>
  </si>
  <si>
    <t>Cilindro de oxigênio armazenado fora do Centro Cirúrgico, sobre um carrinho de transporte.</t>
  </si>
  <si>
    <t>Coletor de perfurocortantes da Farmácia acima do limite de preenchimento e sem identificação do responsável e da data de abertura.</t>
  </si>
  <si>
    <t>Carrinho de emergência com dois lacres, necessitando adequação e padronização para utilização de apenas um lacre.</t>
  </si>
  <si>
    <t>Armário destinado ao armazenamento de materiais anatomopatológicos sem tranca, necessitando instalação de cadeado.</t>
  </si>
  <si>
    <t>Materiais da CME com prazo de desinfecção vencido, embalagens rasgadas, integridade comprometida e sinais de umidade interna. Foi identificado um laringoscópio vencido, entregue imediatamente à equipe de Enfermagem.</t>
  </si>
  <si>
    <t>Carrinho da CME sendo utilizado pela Farmácia para armazenamento de materiais.</t>
  </si>
  <si>
    <t>Carrinho da cirurgia cardíaca aberto e sem o lacre pós-cirurgia.</t>
  </si>
  <si>
    <t>Carrinho da Farmácia identificado com fita-crepe.</t>
  </si>
  <si>
    <t>Almotolias abertas com identificação de validade de um mês, embora a padronização estabeleça validade de sete dias.</t>
  </si>
  <si>
    <t>Almotolias abertas sem identificação.</t>
  </si>
  <si>
    <t>Controle de abertura do carrinho sem registro do motivo da abertura.</t>
  </si>
  <si>
    <t>Carrinho de emergência obstruído por equipamentos.</t>
  </si>
  <si>
    <t>Frasco do aspirador da rede de vácuo sem embalagem e com etiqueta fixada diretamente no recipiente por meio de fita microporosa.</t>
  </si>
  <si>
    <t>Traqueias de silicone fora da embalagem e sem evidência de desinfecção.</t>
  </si>
  <si>
    <t>Protetor de extremidades utilizado em cirurgia robótica confeccionado em espuma e reutilizado em mais de um paciente.</t>
  </si>
  <si>
    <t>Fluxo de colaboradores entre as áreas limpa e contaminada, sem a devida segregação.</t>
  </si>
  <si>
    <t>3°D Alas</t>
  </si>
  <si>
    <t>Alguns bate-macas e cantoneiras encontram-se soltos, sendo necessária a abertura de OS para adequação.</t>
  </si>
  <si>
    <t>Foi identificado um registro sem acabamento, sendo necessária a abertura de OS.</t>
  </si>
  <si>
    <t>Foram observados pontos da manta do piso do corredor com perfurações, oferecendo risco de queda para pacientes e colaboradores.</t>
  </si>
  <si>
    <t>Foram identificados pontos de bolor e infiltração na copa do setor.</t>
  </si>
  <si>
    <t>Foram encontradas tomadas sem espelho e sem identificação de voltagem.</t>
  </si>
  <si>
    <t>O armário localizado sob a pia da copa encontra-se destrancado. É necessária a abertura de OS para instalação de tranca.</t>
  </si>
  <si>
    <t>Foram identificados locais sem cantoneiras e outros com cantoneiras danificadas.</t>
  </si>
  <si>
    <t>Alguns monitores multiparamétricos e bombas de infusão estavam desconectados das tomadas e sem sinalização da última higienização. A situação foi sinalizada à Thallita, que acompanhava a inspeção, e corrigida no momento.</t>
  </si>
  <si>
    <t>Foram encontrados dois shafts abertos na sala de utilidades. Foi sinalizada a necessidade de mantê-los trancados.</t>
  </si>
  <si>
    <t>Foi identificada uma janela aberta na sala de utilidades, sendo necessária a abertura de OS para instalação de trava.</t>
  </si>
  <si>
    <t>Foi identificada a necessidade de disponibilização de uma bandeja de contenção para produtos químicos.</t>
  </si>
  <si>
    <t>Foi observado um buraco no teto, localizado no interior de um armário. Como sugestão, orientamos a instalação de um fundo falso para vedação do local.</t>
  </si>
  <si>
    <t>Foi encontrado um dispenser de papel armazenado dentro de um armário. O item foi retirado pelo Fabiano durante a inspeção.</t>
  </si>
  <si>
    <t>Foi sugerida a instalação de mais um dispenser de álcool no local, considerando que, de um lado, há dois dispensers para quatro leitos e, do outro, apenas um dispenser para cinco leitos.</t>
  </si>
  <si>
    <t>Foi identificada a necessidade de melhorar a organização dos fios.</t>
  </si>
  <si>
    <t>A torneira do banheiro feminino possui acionamento manual. Recomenda-se a substituição por um modelo que dispense o contato das mãos para o fechamento.</t>
  </si>
  <si>
    <t>Foi identificado um dispenser sem a descrição de uso fornecida pelo fabricante.</t>
  </si>
  <si>
    <t>Foi encontrado um saco de roupas disposto diretamente no chão.</t>
  </si>
  <si>
    <t>Foram identificados pontos de avaria nas paredes.</t>
  </si>
  <si>
    <t>Foi encontrado um coletor de perfurocortantes (Descarpack) sobre um contêiner. É necessário validar se o local está adequado.</t>
  </si>
  <si>
    <t>Foram identificados locais com madeira exposta.</t>
  </si>
  <si>
    <t>Um dos leitos estava sem o suporte destinado à colocação das placas, sendo necessária a abertura de OS.</t>
  </si>
  <si>
    <t>Foram encontradas almotolias abertas. A situação foi sinalizada à Thallita durante a inspeção.</t>
  </si>
  <si>
    <t>Foram encontrados frascos de álcool sem suporte no banheiro.</t>
  </si>
  <si>
    <t>Foi identificado um filtro EPA inoperante na sala de utilidades.</t>
  </si>
  <si>
    <t>É necessária a instalação de um dispenser no posto de enfermagem, pois foi encontrado um frasco de álcool sendo utilizado fora do suporte adequado.</t>
  </si>
  <si>
    <t>Foram identificados pregos expostos no interior de uma gaveta, com risco de causar acidente de trabalho.</t>
  </si>
  <si>
    <t>Duas lixeiras localizadas no posto de enfermagem estavam com os pedais inoperantes, sendo necessária a abertura de OS.</t>
  </si>
  <si>
    <t>Foi encontrado um exaustor inoperante, sendo necessária a abertura de OS.</t>
  </si>
  <si>
    <t>No banheiro feminino do posto de enfermagem, foi identificado um ralo que não fecha adequadamente, sendo necessária a sua substituição.</t>
  </si>
  <si>
    <t>Também foi reforçada a necessidade de organização do ambiente. A Thallita está ciente e acompanhou a inspeção.</t>
  </si>
  <si>
    <t>Semi 1</t>
  </si>
  <si>
    <t>Foi identificado o armazenamento de alimentos na geladeira do posto de enfermagem. A equipe foi orientada no momento da inspeção, e os alimentos foram descartados após o apontamento.</t>
  </si>
  <si>
    <t>Verificar a manutenção da retirada dos alimentos e reforçar a orientação sobre o uso da geladeira do posto.</t>
  </si>
  <si>
    <t>Identificado suporte de álcool sem abastecimento no conforto médico.</t>
  </si>
  <si>
    <t>Reabastecer o ponto de álcool do conforto médico e definir rotina de conferência.</t>
  </si>
  <si>
    <t>Foram encontrados dispensers de sabão em modelo antigo, sendo necessária a substituição de duas unidades: uma localizada no posto de enfermagem e outra no DML.</t>
  </si>
  <si>
    <t>Solicitar a substituição dos dispensers de sabão do posto e do DML por modelos padronizados.</t>
  </si>
  <si>
    <t>Identificada a necessidade de instalação/reposição de cantoneira de proteção na parede.</t>
  </si>
  <si>
    <t>Abrir OS para instalação ou fixação das cantoneiras e bate-macas indicados.</t>
  </si>
  <si>
    <t>Foram encontrados equipamentos fora da tomada.</t>
  </si>
  <si>
    <t>Regularizar a conexão dos equipamentos e verificar a rotina de conferência de disponibilidade.</t>
  </si>
  <si>
    <t>Observados sinais de infiltração no teto.</t>
  </si>
  <si>
    <t>Abrir OS para identificar e corrigir a origem da umidade ou vazamento e recuperar a superfície afetada.</t>
  </si>
  <si>
    <t>Identificada tomada sem espelho e sem identificação de voltagem no abrigo temporário de resíduos.</t>
  </si>
  <si>
    <t>Abrir OS para regularização das tomadas e conexões elétricas indicadas e verificar a correção.</t>
  </si>
  <si>
    <t>Foram encontrados abaixadores de língua armazenados de forma inadequada.</t>
  </si>
  <si>
    <t>Regularizar o acondicionamento dos abaixadores de língua e orientar a equipe.</t>
  </si>
  <si>
    <t>Identificadas irregularidades na manta do piso, podendo representar risco de queda para pacientes e colaboradores.</t>
  </si>
  <si>
    <t>Abrir OS para reparo do piso e sinalizar os pontos que ofereçam risco de queda.</t>
  </si>
  <si>
    <t>Foi encontrado uniforme privativo armazenado no posto de enfermagem junto a materiais de higiene.</t>
  </si>
  <si>
    <t>Separar o uniforme privativo dos materiais de higiene e definir local apropriado de guarda.</t>
  </si>
  <si>
    <t>Observado descarte inadequado de materiais em recipiente destinado a resíduos infectantes.</t>
  </si>
  <si>
    <t>Corrigir a segregação e o acondicionamento dos resíduos e reforçar as orientações à equipe.</t>
  </si>
  <si>
    <t>Foram encontradas almotolias abertas sem identificação da data de abertura.</t>
  </si>
  <si>
    <t>Regularizar o fechamento, a identificação e o controle de abertura das almotolias.</t>
  </si>
  <si>
    <t>Identificada uma lâmina de laringoscópio armazenada separadamente das demais e sem identificação.</t>
  </si>
  <si>
    <t>Identificar e acondicionar a lâmina de laringoscópio com os demais itens após avaliação da equipe responsável.</t>
  </si>
  <si>
    <t>A iluminação do posto de enfermagem apresentava lâmpada queimada. A substituição foi solicitada durante a própria inspeção.</t>
  </si>
  <si>
    <t>Abrir ou acompanhar OS para reparar a iluminação e verificar a fixação e o funcionamento.</t>
  </si>
  <si>
    <t>Observado armário da rouparia com armazenamento conjunto de materiais de enfermagem, água e enxoval de pacientes, sendo necessária melhor organização e segregação dos itens.</t>
  </si>
  <si>
    <t>Segregar enxoval, materiais de enfermagem e água; identificar os locais de armazenamento.</t>
  </si>
  <si>
    <t>Foram identificados equipamentos sem registro/identificação de higienização.</t>
  </si>
  <si>
    <t>Regularizar os registros de higienização dos equipamentos e revisar a rotina de conferência.</t>
  </si>
  <si>
    <t>Em relação ao kit de marca-passo, recomenda-se incluir a validade dos itens para proporcionar maior controle e rastreabilidade.</t>
  </si>
  <si>
    <t>Identificar a validade dos itens do kit de marca-passo e implantar conferência periódica.</t>
  </si>
  <si>
    <t>Identificado puxador de armário solto, sendo necessária a abertura de Ordem de Serviço (OS) para correção.</t>
  </si>
  <si>
    <t>Solicitar reparo ou substituição do mobiliário danificado e verificar sua estabilidade e fechamento.</t>
  </si>
  <si>
    <t>Orientada a separação da insulina e do rocurônio, com a divisão da caixa, visando facilitar a identificação e reduzir o risco de troca durante o armazenamento e manuseio.</t>
  </si>
  <si>
    <t>Separar e identificar os compartimentos de insulina e rocurônio conforme a orientação registrada; conferir o armazenamento.</t>
  </si>
  <si>
    <t>Unidade Cardiologica</t>
  </si>
  <si>
    <t>A porta de acesso da UCO por reconhecimento facial não está funcionando adequadamente. Mesmo sem a leitura facial, a porta permanece aberta, sendo necessária avaliação e correção.</t>
  </si>
  <si>
    <t>Abrir chamado para correção do controle de acesso facial e verificar o fechamento da porta da UCO.</t>
  </si>
  <si>
    <t>A chave de emergência encontra-se disponível, porém não está devidamente visível/sinalizada, o que pode gerar dúvidas ou dificultar sua localização em uma situação de urgência.</t>
  </si>
  <si>
    <t>Tornar a chave de emergência visível e sinalizada e orientar a equipe sobre sua localização.</t>
  </si>
  <si>
    <t>Os balizadores da rota de fuga da ala são antigos, sendo necessária avaliação quanto à adequação.</t>
  </si>
  <si>
    <t>Solicitar ao SESMT avaliação dos balizadores e sua substituição conforme a necessidade.</t>
  </si>
  <si>
    <t>A tela da janela do posto de enfermagem encontra-se rasgada, sendo necessária abertura de Ordem de Serviço (OS) para correção.</t>
  </si>
  <si>
    <t>Abrir OS para adequação da janela, tela ou trava indicada e verificar a correção.</t>
  </si>
  <si>
    <t>O exaustor do DML não está funcionando, sendo necessária abertura de OS para manutenção.</t>
  </si>
  <si>
    <t>Abrir ou acompanhar OS para avaliação e reparo do sistema de climatização/exaustão indicado; testar o funcionamento.</t>
  </si>
  <si>
    <t>Foi encontrado um relógio de mudança de decúbito armazenado dentro da sala de utilidades, sendo necessária avaliação quanto ao local adequado para armazenamento.</t>
  </si>
  <si>
    <t>Definir local apropriado para o relógio de mudança de decúbito e retirá-lo da sala de utilidades.</t>
  </si>
  <si>
    <t>Foram encontradas fraldas armazenadas em local com condições inadequadas de higiene.</t>
  </si>
  <si>
    <t>Reavaliar as condições das fraldas e transferir os itens adequados para local limpo e protegido.</t>
  </si>
  <si>
    <t>Foram identificadas tomadas sem espelho na sala da família, sendo necessária abertura de OS para correção.</t>
  </si>
  <si>
    <t>A janela do vestiário encontra-se sem tela, sendo necessária abertura de OS para adequação.</t>
  </si>
  <si>
    <t>No leito 335, foi identificado sofá com encosto solto e tomada sem espelho, sendo necessária abertura de OS para correção dos pontos.</t>
  </si>
  <si>
    <t>Abrir OS para fixação do encosto do sofá e instalação do espelho da tomada no leito 335.</t>
  </si>
  <si>
    <t>Foram observados danos na manta do piso, podendo representar risco de queda para pacientes e colaboradores.</t>
  </si>
  <si>
    <t>Foram identificados móveis com partes de madeira expostas, sendo necessária abertura de OS para correção.</t>
  </si>
  <si>
    <t>Abrir ou acompanhar OS para recuperar as superfícies danificadas e verificar o acabamento e as condições de limpeza.</t>
  </si>
  <si>
    <t>A tomada localizada no posto de enfermagem apresenta o espelho solto, sendo necessária abertura de OS.</t>
  </si>
  <si>
    <t>Necessária abertura de OS para avaliação e correção do armário localizado no posto de enfermagem.</t>
  </si>
  <si>
    <t>Abrir OS para avaliação e correção do armário do posto de enfermagem.</t>
  </si>
  <si>
    <t>Solicita-se verificação quanto às ponteiras de otoscópio, confirmando se são descartáveis ou reutilizáveis e, em caso de reutilização, qual o processo estabelecido para higienização.</t>
  </si>
  <si>
    <t>Confirmar com a CCIH e a equipe responsável se as ponteiras são descartáveis ou reutilizáveis e formalizar o processo aplicável.</t>
  </si>
  <si>
    <t>Foram encontrados produtos químicos, incluindo álcoois, armazenados fora de bandeja de contenção, sendo necessária adequação.</t>
  </si>
  <si>
    <t>Adequar o armazenamento dos produtos químicos e providenciar a bandeja de contenção necessária.</t>
  </si>
  <si>
    <t>Foram identificadas lâminas de laringoscópio vencidas. Os itens foram entregues à enfermeira responsável durante a inspeção.</t>
  </si>
  <si>
    <t>Providenciar reposição das lâminas vencidas e revisar a rotina de conferência de validade.</t>
  </si>
  <si>
    <t>Foram encontrados galões contendo produtos químicos abertos e sem tampa dentro do DML.</t>
  </si>
  <si>
    <t>Regularizar o fechamento e o armazenamento dos galões de produtos químicos do DML.</t>
  </si>
  <si>
    <t>A equipe relatou forte gosto de cloro na água proveniente do filtro. Foi verificado que o filtro se encontra dentro do prazo de validade, sendo necessária avaliação da situação.</t>
  </si>
  <si>
    <t>Solicitar avaliação da água e do filtro pela equipe responsável e registrar a tratativa.</t>
  </si>
  <si>
    <t>Foram encontrados materiais de higiene armazenados em diferentes armários fora do DML, sendo necessária avaliação e organização do armazenamento.</t>
  </si>
  <si>
    <t>Providenciar a higienização indicada e regularizar a rotina e os registros de limpeza.</t>
  </si>
  <si>
    <t>As sinalizações referentes à higienização dos frigobares do setor encontram-se com os registros de limpeza vencidos.</t>
  </si>
  <si>
    <t>Solicitar a higienização dos frigobares e atualizar os registros de limpeza.</t>
  </si>
  <si>
    <t>Foi identificada borracha de vedação do frigobar soltando, sendo necessária avaliação/manutenção.</t>
  </si>
  <si>
    <t>Abrir OS para reparar ou substituir a borracha de vedação do frigobar.</t>
  </si>
  <si>
    <t>Foram observadas oportunidades relacionadas à higienização dos armários da copa do setor.</t>
  </si>
  <si>
    <t>Solicitar a higienização dos armários da copa e revisar sua periodicidade.</t>
  </si>
  <si>
    <t>Também foram identificadas oportunidades de melhoria relacionadas à organização geral dos ambientes.</t>
  </si>
  <si>
    <t>Reorganizar e segregar os itens descritos, definir locais apropriados e orientar a equipe sobre a guarda.</t>
  </si>
  <si>
    <t>Foi encontrado um shaft próximo ao conforto médico aberto, sendo necessária regularização.</t>
  </si>
  <si>
    <t>Regularizar o fechamento e o controle de acesso; abrir OS para reparo ou instalação de tranca, quando necessário.</t>
  </si>
  <si>
    <t>A escriturária do setor informou que dois armários da enfermagem encontram-se trancados e que já foi solicitado atendimento de chaveiro, porém ainda sem retorno. Solicita-se verificação e acompanhamento da tratativa.</t>
  </si>
  <si>
    <t>Acompanhar o chamado de chaveiro e regularizar o acesso aos dois armários da enfermagem.</t>
  </si>
  <si>
    <t>Apoio Cirúrgico</t>
  </si>
  <si>
    <t>Observado dispenser sem sabão dentro do expurgo.</t>
  </si>
  <si>
    <t>Reabastecer o dispenser de sabão do expurgo e incluir o ponto na rotina de conferência.</t>
  </si>
  <si>
    <t>Exaustores da Sala de Utilidades não estão funcionantes.</t>
  </si>
  <si>
    <t>Pedal de resíduo infectante não está funcionante, necessário troca.</t>
  </si>
  <si>
    <t>Solicitar reparo ou substituição da lixeira e verificar o funcionamento do pedal.</t>
  </si>
  <si>
    <r>
      <t xml:space="preserve">Foi observado chaleiras eletrícas dentro da copa de funcionários. Necessário a retirada dos itens pois não são validados pela engenharia clínica e nem pela manutenção do Hospital Vera Cruz. Aberto notificação </t>
    </r>
    <r>
      <rPr>
        <b/>
        <sz val="12"/>
        <color rgb="FF000000"/>
        <rFont val="Aptos"/>
        <charset val="1"/>
      </rPr>
      <t>259-26-4385</t>
    </r>
  </si>
  <si>
    <t>Retirar as chaleiras não validadas e acompanhar a tratativa da notificação 259-26-4385.</t>
  </si>
  <si>
    <t>Foi encontrado comida guardada dentro do armário, estava com cheiro muito forte, foi retirado e descartado durante a inspeção.</t>
  </si>
  <si>
    <t>Verificar as condições do armário após o descarte dos alimentos e reforçar a rotina de higiene e guarda.</t>
  </si>
  <si>
    <t>Descarte inadequado de alimento no infectante.</t>
  </si>
  <si>
    <t>Orientar a equipe e adequar a segregação dos alimentos e dos resíduos infectantes.</t>
  </si>
  <si>
    <t>Leito 334, está sendo utilizado para guarda de matérias durante a obra do 4°B.</t>
  </si>
  <si>
    <t>Definir e organizar o armazenamento temporário de materiais da obra e planejar a liberação do leito 334.</t>
  </si>
  <si>
    <t>Armários de baixo da pia da sala de utilidades abertos.</t>
  </si>
  <si>
    <t>Regularizar o fechamento dos armários sob a pia da sala de utilidades e controlar o acesso.</t>
  </si>
  <si>
    <t>Hamper sendo utilizado de forma inadequada</t>
  </si>
  <si>
    <t>Reorientar a equipe quanto ao uso do hamper e verificar sua utilização adequada.</t>
  </si>
  <si>
    <t>Foi observado alguns painéis elétricos abertos, os mesmos foram fechados durante a inspeção.</t>
  </si>
  <si>
    <t>Verificar o fechamento dos painéis e manter o acesso restrito à equipe autorizada.</t>
  </si>
  <si>
    <t>Observado um Ambu no carrinho fora da embalagem de estéreo</t>
  </si>
  <si>
    <t>Retirar o Ambu com acondicionamento inadequado para avaliação e providenciar item em condições adequadas no carrinho.</t>
  </si>
  <si>
    <r>
      <t>Foi observado no carrinho de emergência Laringos sem cabo, aberto notificação</t>
    </r>
    <r>
      <rPr>
        <b/>
        <sz val="12"/>
        <color rgb="FF000000"/>
        <rFont val="Aptos"/>
        <charset val="1"/>
      </rPr>
      <t xml:space="preserve"> 259-26-4382</t>
    </r>
  </si>
  <si>
    <t>Providenciar laringoscópio completo e funcional no carrinho e acompanhar a notificação 259-26-4382.</t>
  </si>
  <si>
    <t>Trocar acrílico para melhor visualização.</t>
  </si>
  <si>
    <t>Identificar o acrílico citado no apontamento e solicitar sua substituição para melhorar a visualização.</t>
  </si>
  <si>
    <t>Adesivos da porta descolando, necessário a troca do mesmo.</t>
  </si>
  <si>
    <t>Solicitar a substituição dos adesivos descolados da porta e verificar sua fixação.</t>
  </si>
  <si>
    <t>Dentro da sala de servidores da UCO, foi verificado muitas caixas de papelão, comunicado ao Paulo sobre a organização da sala.</t>
  </si>
  <si>
    <t>Retirar as caixas de papelão da sala de servidores e alinhar sua organização com Paulo e a TI.</t>
  </si>
  <si>
    <r>
      <t>Armários do corredor com itens de assistência disposto e de livre acesso de todos, necessário trancar o mesmo e apenas abrir quando for realizar a retirada de algum material, aberto notificação</t>
    </r>
    <r>
      <rPr>
        <b/>
        <sz val="12"/>
        <color rgb="FF000000"/>
        <rFont val="Aptos"/>
      </rPr>
      <t xml:space="preserve"> 259-26-4383</t>
    </r>
  </si>
  <si>
    <t>Trancar os armários de materiais assistenciais e controlar a retirada dos itens; acompanhar a notificação 259-26-4383.</t>
  </si>
  <si>
    <t>4°D</t>
  </si>
  <si>
    <r>
      <t>Sala de equipamentos:</t>
    </r>
    <r>
      <rPr>
        <sz val="12"/>
        <color rgb="FF000000"/>
        <rFont val="Aptos"/>
        <charset val="1"/>
      </rPr>
      <t xml:space="preserve"> identificada a necessidade de organização. Também foi relatada a falta de espaço para acomodar os equipamentos.</t>
    </r>
  </si>
  <si>
    <t>Reorganizar a sala de equipamentos e avaliar a necessidade de espaço adicional.</t>
  </si>
  <si>
    <r>
      <t>Máquina de gelo:</t>
    </r>
    <r>
      <rPr>
        <sz val="12"/>
        <color rgb="FF000000"/>
        <rFont val="Aptos"/>
        <charset val="1"/>
      </rPr>
      <t xml:space="preserve"> apresentou vazamento. A verificação foi solicitada durante a inspeção.</t>
    </r>
  </si>
  <si>
    <t>Acompanhar o reparo do vazamento da máquina de gelo e verificar seu funcionamento.</t>
  </si>
  <si>
    <r>
      <t>Shaft:</t>
    </r>
    <r>
      <rPr>
        <sz val="12"/>
        <color rgb="FF000000"/>
        <rFont val="Aptos"/>
        <charset val="1"/>
      </rPr>
      <t xml:space="preserve"> encontrado aberto. Foi solicitado o fechamento com chave durante a inspeção.</t>
    </r>
  </si>
  <si>
    <t>Confirmar o fechamento do shaft com chave e reforçar a rotina de controle de acesso.</t>
  </si>
  <si>
    <r>
      <t>Equipamento desconectado:</t>
    </r>
    <r>
      <rPr>
        <sz val="12"/>
        <color rgb="FF000000"/>
        <rFont val="Aptos"/>
        <charset val="1"/>
      </rPr>
      <t xml:space="preserve"> encontrado fora da tomada e reconectado durante a inspeção.</t>
    </r>
  </si>
  <si>
    <t>Confirmar a manutenção da conexão do equipamento e incluir a verificação na rotina do setor.</t>
  </si>
  <si>
    <r>
      <t>Ponto de álcool:</t>
    </r>
    <r>
      <rPr>
        <sz val="12"/>
        <color rgb="FF000000"/>
        <rFont val="Aptos"/>
        <charset val="1"/>
      </rPr>
      <t xml:space="preserve"> identificada a necessidade de disponibilizar mais um ponto, considerando a quantidade de quartos.</t>
    </r>
  </si>
  <si>
    <t>Avaliar e instalar o ponto adicional de álcool conforme a distribuição dos quartos.</t>
  </si>
  <si>
    <r>
      <t>Exaustor do expurgo:</t>
    </r>
    <r>
      <rPr>
        <sz val="12"/>
        <color rgb="FF000000"/>
        <rFont val="Aptos"/>
        <charset val="1"/>
      </rPr>
      <t xml:space="preserve"> não estava funcionando. É necessária a abertura de ordem de serviço (OS) para avaliação.</t>
    </r>
  </si>
  <si>
    <r>
      <t>Fios e cabos:</t>
    </r>
    <r>
      <rPr>
        <sz val="12"/>
        <color rgb="FF000000"/>
        <rFont val="Aptos"/>
        <charset val="1"/>
      </rPr>
      <t xml:space="preserve"> identificada a necessidade de organização.</t>
    </r>
  </si>
  <si>
    <t>Solicitar organização e proteção dos fios e cabos; reparar as canaletas danificadas.</t>
  </si>
  <si>
    <r>
      <t>Telefone:</t>
    </r>
    <r>
      <rPr>
        <sz val="12"/>
        <color rgb="FF000000"/>
        <rFont val="Aptos"/>
        <charset val="1"/>
      </rPr>
      <t xml:space="preserve"> estava fora de serviço, com chamado já aberto para verificação.</t>
    </r>
  </si>
  <si>
    <t>Acompanhar o chamado do telefone e testar seu funcionamento após a correção.</t>
  </si>
  <si>
    <r>
      <t>Materiais vencidos:</t>
    </r>
    <r>
      <rPr>
        <sz val="12"/>
        <color rgb="FF000000"/>
        <rFont val="Aptos"/>
        <charset val="1"/>
      </rPr>
      <t xml:space="preserve"> encontrados materiais da CME e do laboratório fora do prazo de validade. Os itens foram retirados e entregues à equipe assistencial para as devidas providências.</t>
    </r>
  </si>
  <si>
    <t>Providenciar reposição dos materiais vencidos retirados e revisar a conferência de validade com CME e laboratório.</t>
  </si>
  <si>
    <r>
      <t>Porta do abrigo temporário de resíduos:</t>
    </r>
    <r>
      <rPr>
        <sz val="12"/>
        <color rgb="FF000000"/>
        <rFont val="Aptos"/>
        <charset val="1"/>
      </rPr>
      <t xml:space="preserve"> apresentou dificuldade de abertura. É necessária a abertura de OS para avaliação.</t>
    </r>
  </si>
  <si>
    <t>Abrir OS para corrigir a abertura da porta do abrigo temporário de resíduos.</t>
  </si>
  <si>
    <r>
      <t>Abrigo temporário de resíduos:</t>
    </r>
    <r>
      <rPr>
        <sz val="12"/>
        <color rgb="FF000000"/>
        <rFont val="Aptos"/>
        <charset val="1"/>
      </rPr>
      <t xml:space="preserve"> identificados pontos de mofo no interior do ambiente, que necessitam de avaliação e tratamento.</t>
    </r>
  </si>
  <si>
    <r>
      <t>Torneira:</t>
    </r>
    <r>
      <rPr>
        <sz val="12"/>
        <color rgb="FF000000"/>
        <rFont val="Aptos"/>
        <charset val="1"/>
      </rPr>
      <t xml:space="preserve"> necessária a substituição por um modelo que dispense o uso das mãos para o fechamento.</t>
    </r>
  </si>
  <si>
    <t>Abrir OS para adequação da torneira ao acionamento indicado no apontamento.</t>
  </si>
  <si>
    <r>
      <t>Lacre do carrinho:</t>
    </r>
    <r>
      <rPr>
        <sz val="12"/>
        <color rgb="FF000000"/>
        <rFont val="Aptos"/>
        <charset val="1"/>
      </rPr>
      <t xml:space="preserve"> identificada a troca do lacre sem o respectivo registro. A equipe foi orientada quanto à necessidade de registrar a substituição.</t>
    </r>
  </si>
  <si>
    <t>Regularizar o registro de troca do lacre e verificar a adesão da equipe à rotina de conferência.</t>
  </si>
  <si>
    <r>
      <t>Tomada do DML:</t>
    </r>
    <r>
      <rPr>
        <sz val="12"/>
        <color rgb="FF000000"/>
        <rFont val="Aptos"/>
        <charset val="1"/>
      </rPr>
      <t xml:space="preserve"> encontrada sem espelho de proteção, sendo necessária a regularização.</t>
    </r>
  </si>
  <si>
    <r>
      <t>Exaustor do DML:</t>
    </r>
    <r>
      <rPr>
        <sz val="12"/>
        <color rgb="FF000000"/>
        <rFont val="Aptos"/>
        <charset val="1"/>
      </rPr>
      <t xml:space="preserve"> não estava funcionando e necessita de avaliação.</t>
    </r>
  </si>
  <si>
    <r>
      <t>Lixeira:</t>
    </r>
    <r>
      <rPr>
        <sz val="12"/>
        <color rgb="FF000000"/>
        <rFont val="Aptos"/>
        <charset val="1"/>
      </rPr>
      <t xml:space="preserve"> identificado problema no pedal, sendo necessário avaliar o reparo ou a substituição.</t>
    </r>
  </si>
  <si>
    <r>
      <t>Resíduo infectante:</t>
    </r>
    <r>
      <rPr>
        <sz val="12"/>
        <color rgb="FF000000"/>
        <rFont val="Aptos"/>
        <charset val="1"/>
      </rPr>
      <t xml:space="preserve"> observado descarte incorreto. A equipe foi orientada durante a inspeção.</t>
    </r>
  </si>
  <si>
    <t>Reforçar a orientação sobre segregação de resíduos e acompanhar a adequação do descarte.</t>
  </si>
  <si>
    <r>
      <t>Prazo de validade:</t>
    </r>
    <r>
      <rPr>
        <sz val="12"/>
        <color rgb="FF000000"/>
        <rFont val="Aptos"/>
        <charset val="1"/>
      </rPr>
      <t xml:space="preserve"> identificada sinalização de oito meses, enquanto o prazo informado seria de sete meses. Solicito a confirmação do prazo correto e, se necessário, a adequação da identificação.</t>
    </r>
  </si>
  <si>
    <t>Confirmar o prazo de validade com o setor responsável e corrigir a sinalização se houver divergência.</t>
  </si>
  <si>
    <r>
      <t>Armário:</t>
    </r>
    <r>
      <rPr>
        <sz val="12"/>
        <color rgb="FF000000"/>
        <rFont val="Aptos"/>
        <charset val="1"/>
      </rPr>
      <t xml:space="preserve"> identificada a necessidade de organização.</t>
    </r>
  </si>
  <si>
    <t>Categoria'</t>
  </si>
  <si>
    <t>Subcategoria</t>
  </si>
  <si>
    <t>Mês</t>
  </si>
  <si>
    <t>Número Mês</t>
  </si>
  <si>
    <t>Quantidade</t>
  </si>
  <si>
    <t>Infra e Hotelaria</t>
  </si>
  <si>
    <t>Ar Condicionado</t>
  </si>
  <si>
    <t>Janeiro</t>
  </si>
  <si>
    <t>Fevereiro</t>
  </si>
  <si>
    <t>Março</t>
  </si>
  <si>
    <t>Abril</t>
  </si>
  <si>
    <t>Maio</t>
  </si>
  <si>
    <t>Junho</t>
  </si>
  <si>
    <t>Julho</t>
  </si>
  <si>
    <t>Agosto</t>
  </si>
  <si>
    <t>Setembro</t>
  </si>
  <si>
    <t>Outubro</t>
  </si>
  <si>
    <t>Novembro</t>
  </si>
  <si>
    <t>Dezembro</t>
  </si>
  <si>
    <t>Demandas Manutenção</t>
  </si>
  <si>
    <t>Banheiro - hidráulica</t>
  </si>
  <si>
    <t>Mau Cheiro/Vazamento</t>
  </si>
  <si>
    <t>Enxoval/Cortinas</t>
  </si>
  <si>
    <t>Tomadas S/Espelho/Luzes/TV sem Funcionamento</t>
  </si>
  <si>
    <t>Barulho</t>
  </si>
  <si>
    <t>Demandas Hotelaria Móveis</t>
  </si>
  <si>
    <t>Solicitação Rouparia - Bebedouro</t>
  </si>
  <si>
    <t>Porta - Umidade - avaria</t>
  </si>
  <si>
    <t>Solicita Higiene</t>
  </si>
  <si>
    <t>Demandas Engenharia Clínica</t>
  </si>
  <si>
    <t>Elogio</t>
  </si>
  <si>
    <t>Atraso Farmácia/Solicitação De Medicamentos</t>
  </si>
  <si>
    <t>Solicita Troca/Quantidade Dieta</t>
  </si>
  <si>
    <t>Problema/Demora alimentação</t>
  </si>
  <si>
    <t> </t>
  </si>
  <si>
    <t>Problema Solicitações Q24</t>
  </si>
  <si>
    <t>Demora Medicação</t>
  </si>
  <si>
    <t>Paciente com ponto de atenção</t>
  </si>
  <si>
    <t>Solicitação de visita do NAE/Fono/Psicologia/Fisio/Nutri/</t>
  </si>
  <si>
    <t>Demora/Conduta Atendimento Enfermagem</t>
  </si>
  <si>
    <t>Outras Demandas assistenciais</t>
  </si>
  <si>
    <t>Solicita Enfermagem</t>
  </si>
  <si>
    <t>Solicita Serviço Social</t>
  </si>
  <si>
    <t>Fluxo do Paciente</t>
  </si>
  <si>
    <t>Desospitaização-Home Care</t>
  </si>
  <si>
    <t>Dúvidas Sobre Alta</t>
  </si>
  <si>
    <t>Padrão de Acomodação</t>
  </si>
  <si>
    <t>Demora internação eletiva/PS</t>
  </si>
  <si>
    <t>Demora Ambulância outros convênios/2Care</t>
  </si>
  <si>
    <t>Dúvidas Sobre Acompanhante</t>
  </si>
  <si>
    <t>Solicitação de Vaga Cross/Solicitação de transferência para outros hospitais</t>
  </si>
  <si>
    <t>Paciente Encaminhado para Exames de Imagem/Exame Externo/Para CC/Outros Exames</t>
  </si>
  <si>
    <t>Espera/Solicita Troca De Leito</t>
  </si>
  <si>
    <t>Demora Alta para Enfermaria</t>
  </si>
  <si>
    <t>Transferência para Semi/UTI/Onco/Neuro</t>
  </si>
  <si>
    <t>Transferência para Alas</t>
  </si>
  <si>
    <t>Assistencial Médico</t>
  </si>
  <si>
    <t>Elogio equipe médica</t>
  </si>
  <si>
    <t>Solicitação de Especialidade Médica</t>
  </si>
  <si>
    <t>Falta-falha prescrição médica</t>
  </si>
  <si>
    <t>Falta da interconsulta</t>
  </si>
  <si>
    <t>Dificuldade de Contato com médico Responsável</t>
  </si>
  <si>
    <t>Consulta Médica PS</t>
  </si>
  <si>
    <t>Solicitação de Atestado</t>
  </si>
  <si>
    <t>Conduta Médico Centro Cirúrgico</t>
  </si>
  <si>
    <t>Conduta Médico</t>
  </si>
  <si>
    <t>Dúvidas Plano Terapeutico</t>
  </si>
  <si>
    <t>Solicita Visita Médica</t>
  </si>
  <si>
    <t>Sistemas Informações</t>
  </si>
  <si>
    <t>Tasy-lento ou inativo</t>
  </si>
  <si>
    <t>Wi-fi</t>
  </si>
  <si>
    <t>Vazamento de dados ou golpe</t>
  </si>
  <si>
    <t>Q24, Funcionamento tablet, Dúvidas</t>
  </si>
  <si>
    <t>Biometria-catraca</t>
  </si>
  <si>
    <t>Smart TV (acesso a canais)</t>
  </si>
  <si>
    <t>Pedências Com Convênio</t>
  </si>
  <si>
    <t>Problemas com troca de acompanhante/Paciente sem acompanhante</t>
  </si>
  <si>
    <t>Dúvidas Secretaria</t>
  </si>
  <si>
    <t>Demandas T.I</t>
  </si>
  <si>
    <t>Solicitações a recepção</t>
  </si>
  <si>
    <t>Dúvidas Solicitação de Prontuário</t>
  </si>
  <si>
    <t>Responsáveis</t>
  </si>
  <si>
    <t>Setores</t>
  </si>
  <si>
    <t>Ano</t>
  </si>
  <si>
    <t>Meses</t>
  </si>
  <si>
    <t>Realizados</t>
  </si>
  <si>
    <t>Previstos</t>
  </si>
  <si>
    <t>Pendentes</t>
  </si>
  <si>
    <t>% de Realizados</t>
  </si>
  <si>
    <t>Melissa Cogo e Carmela</t>
  </si>
  <si>
    <t>1°D</t>
  </si>
  <si>
    <t>Danielle e Dr. Eduardo</t>
  </si>
  <si>
    <t>Dr. Giroto e Thiago</t>
  </si>
  <si>
    <t>2°D</t>
  </si>
  <si>
    <t>Lilian</t>
  </si>
  <si>
    <t>Semi 2</t>
  </si>
  <si>
    <t>Dr. Gabriel</t>
  </si>
  <si>
    <t>UCO</t>
  </si>
  <si>
    <t>Melissa Savy</t>
  </si>
  <si>
    <t>3°D</t>
  </si>
  <si>
    <t>Claudia</t>
  </si>
  <si>
    <t>Neurologia</t>
  </si>
  <si>
    <t>PED/UTI PED</t>
  </si>
  <si>
    <t>Dra. Sarah e Dra. Cassiana</t>
  </si>
  <si>
    <t>5° UTI NEO/8°D</t>
  </si>
  <si>
    <t>Adriana Furlan</t>
  </si>
  <si>
    <t>Maternidade</t>
  </si>
  <si>
    <t>Dr. Átila</t>
  </si>
  <si>
    <t>UTI Adulto</t>
  </si>
  <si>
    <t>Rosicleide</t>
  </si>
  <si>
    <t>Sala Da família</t>
  </si>
  <si>
    <t>Categoria</t>
  </si>
  <si>
    <t>Interação</t>
  </si>
  <si>
    <t>Quartos</t>
  </si>
  <si>
    <t>Quarto 112</t>
  </si>
  <si>
    <t>Hotelaria/Rouparia</t>
  </si>
  <si>
    <t>Quarto 315</t>
  </si>
  <si>
    <t>Quarto 432</t>
  </si>
  <si>
    <t>Manutenção/Instalações</t>
  </si>
  <si>
    <t>UTI NEO/8°D</t>
  </si>
  <si>
    <t>Quarto 405</t>
  </si>
  <si>
    <t>Quarto 415</t>
  </si>
  <si>
    <t>Quarto 317</t>
  </si>
  <si>
    <t>Quarto 214</t>
  </si>
  <si>
    <t>Quarto 704</t>
  </si>
  <si>
    <t>Quarto 320</t>
  </si>
  <si>
    <t>Quarto 435</t>
  </si>
  <si>
    <t>Quarto 418</t>
  </si>
  <si>
    <t>Posto de Enfermagem</t>
  </si>
  <si>
    <t>Quarto 421</t>
  </si>
  <si>
    <t>Quarto 603</t>
  </si>
  <si>
    <t>Quarto 340</t>
  </si>
  <si>
    <t>Quarto 702</t>
  </si>
  <si>
    <t>Quarto 602</t>
  </si>
  <si>
    <t>Quarto 404</t>
  </si>
  <si>
    <t>Quarto 417</t>
  </si>
  <si>
    <t>Quarto 107</t>
  </si>
  <si>
    <t>Quarto 108</t>
  </si>
  <si>
    <t>Quarto 101</t>
  </si>
  <si>
    <t>Quarto 703</t>
  </si>
  <si>
    <t>Equipe Multiprofissional/Serviço Social</t>
  </si>
  <si>
    <t>Quarto 609</t>
  </si>
  <si>
    <t>Medicamentos/Farmácia</t>
  </si>
  <si>
    <t>Elogio Assistencial</t>
  </si>
  <si>
    <t>Quarto 321</t>
  </si>
  <si>
    <t>Quarto 313</t>
  </si>
  <si>
    <t>Quarto 335</t>
  </si>
  <si>
    <t>quarto 336</t>
  </si>
  <si>
    <t>Quarto 343</t>
  </si>
  <si>
    <t>Quarto 334</t>
  </si>
  <si>
    <t>Outras/Ponto de Atenção</t>
  </si>
  <si>
    <t>Quarto 301</t>
  </si>
  <si>
    <t>Quarto 312</t>
  </si>
  <si>
    <t>Nutrição/Alimentação</t>
  </si>
  <si>
    <t>Quarto 304</t>
  </si>
  <si>
    <t>Quarto 201</t>
  </si>
  <si>
    <t>Quarto 329</t>
  </si>
  <si>
    <t>Quarto 416</t>
  </si>
  <si>
    <t>Quarto 414</t>
  </si>
  <si>
    <t>Quarto 218</t>
  </si>
  <si>
    <t>Higiene/Limpeza</t>
  </si>
  <si>
    <t>Quarto 222</t>
  </si>
  <si>
    <t>Quarto 219</t>
  </si>
  <si>
    <t>Quarto 430</t>
  </si>
  <si>
    <t>Quarto 427</t>
  </si>
  <si>
    <t>Quarto 110</t>
  </si>
  <si>
    <t>Quarto 318</t>
  </si>
  <si>
    <t>Quarto 217</t>
  </si>
  <si>
    <t>Quarto 809</t>
  </si>
  <si>
    <t>Quarto 426</t>
  </si>
  <si>
    <t>Quarto 104</t>
  </si>
  <si>
    <t>Quarto 805</t>
  </si>
  <si>
    <t>Enfermagem</t>
  </si>
  <si>
    <t>Quarto 802</t>
  </si>
  <si>
    <t>Quarto 804</t>
  </si>
  <si>
    <t>Quarto 109</t>
  </si>
  <si>
    <t>Quarto 711</t>
  </si>
  <si>
    <t>Quarto 431</t>
  </si>
  <si>
    <t>Quarto 314</t>
  </si>
  <si>
    <t>Quarto 607</t>
  </si>
  <si>
    <t>Quarto 606</t>
  </si>
  <si>
    <t>Quarto 812</t>
  </si>
  <si>
    <t>Exames/Procedimentos</t>
  </si>
  <si>
    <t>Alta/Desospitalização</t>
  </si>
  <si>
    <t>Leitos/Transferência Interna</t>
  </si>
  <si>
    <t>Quarto 402</t>
  </si>
  <si>
    <t>Quarto 217A</t>
  </si>
  <si>
    <t>Quarto 223</t>
  </si>
  <si>
    <t>Quarto 808</t>
  </si>
  <si>
    <t>Admissão/Internação</t>
  </si>
  <si>
    <t>Quarto 413</t>
  </si>
  <si>
    <t>Quarto 339B</t>
  </si>
  <si>
    <t>Quarto 341</t>
  </si>
  <si>
    <t>Quarto 420</t>
  </si>
  <si>
    <t>Quarto 610</t>
  </si>
  <si>
    <t>Quarto 330</t>
  </si>
  <si>
    <t>Plano Terapêutico</t>
  </si>
  <si>
    <t>Interconsulta/Visita Médica</t>
  </si>
  <si>
    <t>Quarto 106</t>
  </si>
  <si>
    <t>Prescrição Médica</t>
  </si>
  <si>
    <t>Quarto 411</t>
  </si>
  <si>
    <t>Quarto 211</t>
  </si>
  <si>
    <t>Atendimento/Conduta Médica</t>
  </si>
  <si>
    <t>Quarto 715</t>
  </si>
  <si>
    <t>Quarto 202</t>
  </si>
  <si>
    <t>Quarto 319</t>
  </si>
  <si>
    <t>Quarto 410</t>
  </si>
  <si>
    <t>Quarto 803</t>
  </si>
  <si>
    <t>Sistemas de Informação</t>
  </si>
  <si>
    <t>Sistemas/TI/Conectividade</t>
  </si>
  <si>
    <t>Secretaria/Recepção/Prontuário</t>
  </si>
  <si>
    <t>Dispositivos Digitais</t>
  </si>
  <si>
    <t>Quarto 111</t>
  </si>
  <si>
    <t>Acesso/Acompanhante</t>
  </si>
  <si>
    <t>Quarto 810</t>
  </si>
  <si>
    <t>Quarto 342</t>
  </si>
  <si>
    <t>Conforto médico</t>
  </si>
  <si>
    <t>Conforto/Barulho</t>
  </si>
  <si>
    <t>Quarto 709</t>
  </si>
  <si>
    <t>Quarto 811</t>
  </si>
  <si>
    <t>Quarto 103</t>
  </si>
  <si>
    <t>Quarto 419</t>
  </si>
  <si>
    <t>Quarto 429</t>
  </si>
  <si>
    <t>Quarto 222B</t>
  </si>
  <si>
    <t>Quarto 102</t>
  </si>
  <si>
    <t>Quarto 114</t>
  </si>
  <si>
    <t>Quarto 337</t>
  </si>
  <si>
    <t>Quarto 338</t>
  </si>
  <si>
    <t>Quarto 706</t>
  </si>
  <si>
    <t>Quarto 714</t>
  </si>
  <si>
    <t>Quarto 434</t>
  </si>
  <si>
    <t>Quarto 601</t>
  </si>
  <si>
    <t>Quarto 421B</t>
  </si>
  <si>
    <t>Quarto 219B/A</t>
  </si>
  <si>
    <t>Quarto 218A</t>
  </si>
  <si>
    <t>Quarto 605</t>
  </si>
  <si>
    <t>Quarto 212</t>
  </si>
  <si>
    <t>Quarto 208</t>
  </si>
  <si>
    <t>Quarto 223B</t>
  </si>
  <si>
    <t>Convênio</t>
  </si>
  <si>
    <t>Corredor</t>
  </si>
  <si>
    <t>Quarto 311</t>
  </si>
  <si>
    <t>Posto de enfermagem</t>
  </si>
  <si>
    <t>Quarto 713</t>
  </si>
  <si>
    <t>Quarto 716</t>
  </si>
  <si>
    <t>Quarto 408</t>
  </si>
  <si>
    <t>Quarto 707</t>
  </si>
  <si>
    <t>Quarto 708</t>
  </si>
  <si>
    <t>Quarto 705</t>
  </si>
  <si>
    <t>Quarto 608</t>
  </si>
  <si>
    <t>Quarto 807</t>
  </si>
  <si>
    <t>Quarto 332B</t>
  </si>
  <si>
    <t>Quarto 701</t>
  </si>
  <si>
    <t>Quarto 310</t>
  </si>
  <si>
    <t>Quarto 221A</t>
  </si>
  <si>
    <t>Quarto 423</t>
  </si>
  <si>
    <t>Quarto 302</t>
  </si>
  <si>
    <t>quarto 310</t>
  </si>
  <si>
    <t>Equipe médica</t>
  </si>
  <si>
    <t>Quarto 215A</t>
  </si>
  <si>
    <t>Quarto 215B</t>
  </si>
  <si>
    <t>Quarto 217B</t>
  </si>
  <si>
    <t>Quarto 305</t>
  </si>
  <si>
    <t>Quarto 306</t>
  </si>
  <si>
    <t>Quarto 336</t>
  </si>
  <si>
    <t>Quarto 334B</t>
  </si>
  <si>
    <t>Transferência Externa/Transporte</t>
  </si>
  <si>
    <t>Quarto 401</t>
  </si>
  <si>
    <t>quarto 106</t>
  </si>
  <si>
    <t>Quarto 421A</t>
  </si>
  <si>
    <t>Quarto 331</t>
  </si>
  <si>
    <t>Quarto 316</t>
  </si>
  <si>
    <t>Quarto 307</t>
  </si>
  <si>
    <t>quarto 101</t>
  </si>
  <si>
    <t>Quarto 806</t>
  </si>
  <si>
    <t>Quarto 412</t>
  </si>
  <si>
    <t>Quarto 332A</t>
  </si>
  <si>
    <t>Conforto Médico</t>
  </si>
  <si>
    <t>Quarto 425</t>
  </si>
  <si>
    <t>Quarto 604</t>
  </si>
  <si>
    <t>Quarto 206</t>
  </si>
  <si>
    <t>Quarto 330B</t>
  </si>
  <si>
    <t>Quarto 330A</t>
  </si>
  <si>
    <t>quarto 307</t>
  </si>
  <si>
    <t>Quarto 801</t>
  </si>
  <si>
    <t>Dispensário</t>
  </si>
  <si>
    <t>Quarto 204</t>
  </si>
  <si>
    <t>Quarto 321B</t>
  </si>
  <si>
    <t>Quarto 710</t>
  </si>
  <si>
    <t>QUarto 706</t>
  </si>
  <si>
    <t>Quarto 309</t>
  </si>
  <si>
    <t>Corredor Setor</t>
  </si>
  <si>
    <t>Quarto 303</t>
  </si>
  <si>
    <t>Quarto 331B</t>
  </si>
  <si>
    <t>quarto 812</t>
  </si>
  <si>
    <t>Quarto 424</t>
  </si>
  <si>
    <t>Quarto 433</t>
  </si>
  <si>
    <t>Quarto 712</t>
  </si>
  <si>
    <t>Quarto 403</t>
  </si>
  <si>
    <t>Quarto 332</t>
  </si>
  <si>
    <t>Quarto 210</t>
  </si>
  <si>
    <t>Hospital Dia</t>
  </si>
  <si>
    <t>Quarto 207</t>
  </si>
  <si>
    <t>Quarto 428</t>
  </si>
  <si>
    <t>Quarto 219B</t>
  </si>
  <si>
    <t>Quarto 705&gt;712</t>
  </si>
  <si>
    <t>Banheiro Setor</t>
  </si>
  <si>
    <t>Carrinho do Posto</t>
  </si>
  <si>
    <t>Quarto 219A</t>
  </si>
  <si>
    <t>Quarto 215</t>
  </si>
  <si>
    <t>Quarto 224</t>
  </si>
  <si>
    <t>Quarto 221B</t>
  </si>
  <si>
    <t>Quarto 220A</t>
  </si>
  <si>
    <t>QUarto 316</t>
  </si>
  <si>
    <t>Quarto 216</t>
  </si>
  <si>
    <t>Quarto 223A</t>
  </si>
  <si>
    <t>Quarto não Informado</t>
  </si>
  <si>
    <t>Quarto 320A</t>
  </si>
  <si>
    <t>Quarto 331A</t>
  </si>
  <si>
    <t>Conforto</t>
  </si>
  <si>
    <t>Posto ENf</t>
  </si>
  <si>
    <t>posto ENf</t>
  </si>
  <si>
    <t>Enf</t>
  </si>
  <si>
    <t>Quarto 224A</t>
  </si>
  <si>
    <t>Relato Da ENF</t>
  </si>
  <si>
    <t>Quarto 220</t>
  </si>
  <si>
    <t>Segurança da Informação</t>
  </si>
  <si>
    <t>Sala analistas PS</t>
  </si>
  <si>
    <t>Pronto Socorro ADULTO /INFANTIL/ GO/ ORTP</t>
  </si>
  <si>
    <t>Quarto 332a</t>
  </si>
  <si>
    <t>Copa 4° Andar</t>
  </si>
  <si>
    <t>Centro Cirúrgico Sala 6</t>
  </si>
  <si>
    <t>Centro Cirúrgico Sala 2</t>
  </si>
  <si>
    <t>Centro Cirúrgico Sala 4</t>
  </si>
  <si>
    <t>Centro Cirúrgico Sala 7</t>
  </si>
  <si>
    <t>Centro Cirúrgico Sala 9</t>
  </si>
  <si>
    <t>Posto De Enf</t>
  </si>
  <si>
    <t>Quarto 216B</t>
  </si>
  <si>
    <t>quarto 318</t>
  </si>
  <si>
    <t>Quarto102</t>
  </si>
  <si>
    <t>Quarto 221</t>
  </si>
  <si>
    <t>quarto 315</t>
  </si>
  <si>
    <t>Pronto Socorro</t>
  </si>
  <si>
    <t>Quarto 216A</t>
  </si>
  <si>
    <t>Quarto 216b</t>
  </si>
  <si>
    <t>quarto 427</t>
  </si>
  <si>
    <t>Quarto 220b</t>
  </si>
  <si>
    <t>Quarto 339</t>
  </si>
  <si>
    <t>QUarto 112</t>
  </si>
  <si>
    <t>quarto 104</t>
  </si>
  <si>
    <t>Quarto 222b</t>
  </si>
  <si>
    <t>Quarto 613</t>
  </si>
  <si>
    <t>Quarto 321a</t>
  </si>
  <si>
    <t>Quarto 321b</t>
  </si>
  <si>
    <t>Quarto 203</t>
  </si>
  <si>
    <t>Quarto103</t>
  </si>
  <si>
    <t>Posto Enf</t>
  </si>
  <si>
    <t>Quarto 308</t>
  </si>
  <si>
    <t>Posto de Enf</t>
  </si>
  <si>
    <t>Quarto 224B</t>
  </si>
  <si>
    <t>Quarto 221b</t>
  </si>
  <si>
    <t>Recepção Central</t>
  </si>
  <si>
    <t>Quarto 218B</t>
  </si>
  <si>
    <t>Quarto 220a</t>
  </si>
  <si>
    <t>PS</t>
  </si>
  <si>
    <t>Quarto 220B</t>
  </si>
  <si>
    <t>Centro Cirurgico</t>
  </si>
  <si>
    <t>Quarto 407</t>
  </si>
  <si>
    <t>QUarto 808</t>
  </si>
  <si>
    <t>Copa 3 Andar</t>
  </si>
  <si>
    <t>Quarto 320B</t>
  </si>
  <si>
    <t>Quarto 406</t>
  </si>
  <si>
    <t>Quarto 334A</t>
  </si>
  <si>
    <t>Copa</t>
  </si>
  <si>
    <t>Quarto 612</t>
  </si>
  <si>
    <t>Quarto 321A</t>
  </si>
  <si>
    <t>Quarto 330a</t>
  </si>
  <si>
    <t>Posto Enfermagem</t>
  </si>
  <si>
    <t>QUarto 418</t>
  </si>
  <si>
    <t>quarto 103</t>
  </si>
  <si>
    <t>QUarto 104</t>
  </si>
  <si>
    <t>Quarto 330A e B</t>
  </si>
  <si>
    <t>QUarto 109</t>
  </si>
  <si>
    <t>Quarto 421b</t>
  </si>
  <si>
    <t>QUarto 609</t>
  </si>
  <si>
    <t>Quarto não sinalizado</t>
  </si>
  <si>
    <t>Leito 607</t>
  </si>
  <si>
    <t>Leito 606</t>
  </si>
  <si>
    <t>Leito 610</t>
  </si>
  <si>
    <t>Porta do setor</t>
  </si>
  <si>
    <t>Banheiro Colaboradores</t>
  </si>
  <si>
    <t>Não informado leito</t>
  </si>
  <si>
    <t>Acompanhante</t>
  </si>
  <si>
    <t>Não informado quarto</t>
  </si>
  <si>
    <t>Quarto 421 e 415</t>
  </si>
  <si>
    <t>QUarto 402</t>
  </si>
  <si>
    <t>Quarto 105</t>
  </si>
  <si>
    <t>Posto De Enfermagem</t>
  </si>
  <si>
    <t>Quarto 209</t>
  </si>
  <si>
    <t>QUarto 703</t>
  </si>
  <si>
    <t>Não Sinalizado</t>
  </si>
  <si>
    <t>Quaro 416</t>
  </si>
  <si>
    <t>Quarto 222A</t>
  </si>
  <si>
    <t>Posto De enfermagem</t>
  </si>
  <si>
    <t>Porta do fundo do setor</t>
  </si>
  <si>
    <t>QUarto 340</t>
  </si>
  <si>
    <t>Quarto 324</t>
  </si>
  <si>
    <t>Quarto 417A</t>
  </si>
  <si>
    <t>QUarto 406</t>
  </si>
  <si>
    <t>Recepção</t>
  </si>
  <si>
    <t>Leito 609</t>
  </si>
  <si>
    <t>Posto de Enferrmagem</t>
  </si>
  <si>
    <t>Paciente 208</t>
  </si>
  <si>
    <t>Leito 603</t>
  </si>
  <si>
    <t>Leito 604</t>
  </si>
  <si>
    <t>Paciente 335</t>
  </si>
  <si>
    <t>Quarto 339A</t>
  </si>
  <si>
    <t>Leito 703</t>
  </si>
  <si>
    <t>Beira leito</t>
  </si>
  <si>
    <t>Paciente 203</t>
  </si>
  <si>
    <t>Qaurto 309</t>
  </si>
  <si>
    <t>Posro Enfermagem</t>
  </si>
  <si>
    <t xml:space="preserve">Posto de enfermagem </t>
  </si>
  <si>
    <t>Quarto 422</t>
  </si>
  <si>
    <t>Sala de espera RM e U.S. quebrado</t>
  </si>
  <si>
    <t>IMAGEM</t>
  </si>
  <si>
    <t>Com defeito</t>
  </si>
  <si>
    <t>Qualidade ruim 212</t>
  </si>
  <si>
    <t>Qualidade ruim 212 (duro)</t>
  </si>
  <si>
    <t>Posto de enfermagem solicita maior quantidade</t>
  </si>
  <si>
    <t>Copos de água posto de enfermagem</t>
  </si>
  <si>
    <t>Desconfortável 702</t>
  </si>
  <si>
    <t>Quarto não higienizado 311</t>
  </si>
  <si>
    <t>Pacientes se queixam do barulho da obra</t>
  </si>
  <si>
    <t>Enf. solicita auxílio</t>
  </si>
  <si>
    <t>Ausência</t>
  </si>
  <si>
    <t>Enf. solicita troca</t>
  </si>
  <si>
    <t>Paciente 334</t>
  </si>
  <si>
    <t>Quarto 322</t>
  </si>
  <si>
    <t>Com defeito posto de enfermagem</t>
  </si>
  <si>
    <t>Dificuldade de acesso ao App Quality</t>
  </si>
  <si>
    <t>Sem acesso ao Youtube</t>
  </si>
  <si>
    <t>PS Infantil</t>
  </si>
  <si>
    <t>Equipe assistencial</t>
  </si>
  <si>
    <t>PS Adulto</t>
  </si>
  <si>
    <t>Agrupado na fonte — Sem controle, 331 sujo</t>
  </si>
  <si>
    <t>Quebrado posto de enfermagem</t>
  </si>
  <si>
    <t>Agrupado na fonte — 702, 703, 707, vazamento 708</t>
  </si>
  <si>
    <t>Ducha 302</t>
  </si>
  <si>
    <t>Agrupado na fonte — UTI</t>
  </si>
  <si>
    <t>Agrupado na fonte — UTI ped</t>
  </si>
  <si>
    <t>Mola com barulho 701</t>
  </si>
  <si>
    <t>Queimada 704</t>
  </si>
  <si>
    <t>Quebrado 207</t>
  </si>
  <si>
    <t>Rasgada 201</t>
  </si>
  <si>
    <t>Falta de colaboradores no posto de enfermagem e quartos após às 16h</t>
  </si>
  <si>
    <t>Reforma</t>
  </si>
  <si>
    <t>Com problemas leito 3</t>
  </si>
  <si>
    <t>Café gelado 206</t>
  </si>
  <si>
    <t>Entre UTI Neo</t>
  </si>
  <si>
    <t>Geral</t>
  </si>
  <si>
    <t>Diurno</t>
  </si>
  <si>
    <t>Pediram e nao receberam</t>
  </si>
  <si>
    <t>Quarto 304 MAC</t>
  </si>
  <si>
    <t>Leito 701, Nao recebeu as orientacoes certas</t>
  </si>
  <si>
    <t>Quarto 329 e 332</t>
  </si>
  <si>
    <t>Quarto 213</t>
  </si>
  <si>
    <t>Quarto 606 e 607</t>
  </si>
  <si>
    <t>Quarto 409</t>
  </si>
  <si>
    <t xml:space="preserve">Quarto 220 </t>
  </si>
  <si>
    <t>Sala dos Médicos</t>
  </si>
  <si>
    <t>Hospital</t>
  </si>
  <si>
    <t>Quarto 224 B</t>
  </si>
  <si>
    <t>Quarto 217 B</t>
  </si>
  <si>
    <t>Elogio Equipe Médica</t>
  </si>
  <si>
    <t>Quarto 335, 341 e 343</t>
  </si>
  <si>
    <t>Quarto 334A e B</t>
  </si>
  <si>
    <t>Sala da familia</t>
  </si>
  <si>
    <t>Day Hospital</t>
  </si>
  <si>
    <t>Hemodinamica</t>
  </si>
  <si>
    <t>Enf Setor</t>
  </si>
  <si>
    <t>Quarto 428B</t>
  </si>
  <si>
    <t>Banheiro</t>
  </si>
  <si>
    <t>Quarto 614</t>
  </si>
  <si>
    <t>PSI</t>
  </si>
  <si>
    <t>Mater</t>
  </si>
  <si>
    <t>Não informado na fonte</t>
  </si>
  <si>
    <t>GO</t>
  </si>
  <si>
    <t>Paciente relata estar sem na acomodação</t>
  </si>
  <si>
    <t>Posto enf 2ºD</t>
  </si>
  <si>
    <t>Agrupado na fonte — UTI A</t>
  </si>
  <si>
    <t>Agrupado na fonte — UCO/3ºC/102/802</t>
  </si>
  <si>
    <t>Centro cirurgico</t>
  </si>
  <si>
    <t>Uco</t>
  </si>
  <si>
    <t>Enfermegem</t>
  </si>
  <si>
    <t>Imagem</t>
  </si>
  <si>
    <t>Equipe de Enf 4ºC</t>
  </si>
  <si>
    <t>Agrupado na fonte — UTI P</t>
  </si>
  <si>
    <t>Quarto 09</t>
  </si>
  <si>
    <t>Quarto 15</t>
  </si>
  <si>
    <t>Quarto 20</t>
  </si>
  <si>
    <t>MELHORIA</t>
  </si>
  <si>
    <t>Em frente a imagem</t>
  </si>
  <si>
    <t>Escada vestiário cc</t>
  </si>
  <si>
    <t>Posto enfermagem</t>
  </si>
  <si>
    <t>Quartos 101</t>
  </si>
  <si>
    <t>Recepção TC e Rx</t>
  </si>
  <si>
    <t>Sala cirurgia 4</t>
  </si>
  <si>
    <t>Agrupado na fonte — Piso escorregadio, salas sujas, qualidade do serviço, 3D</t>
  </si>
  <si>
    <t>Mudança de leito</t>
  </si>
  <si>
    <t>PS Intantil M.S.S</t>
  </si>
  <si>
    <t>Fran</t>
  </si>
  <si>
    <t>Atestados/Documentos</t>
  </si>
  <si>
    <t>Comand Center</t>
  </si>
  <si>
    <t>Sala de observação</t>
  </si>
  <si>
    <t>Ar quebrado (411)</t>
  </si>
  <si>
    <t>Pingando em local de transitividade de pessoas</t>
  </si>
  <si>
    <t>Agrupado na fonte — Teto do posto de enfermagem, não vedado corretamente</t>
  </si>
  <si>
    <t>Goteira corredor da enfermagem</t>
  </si>
  <si>
    <t>Problemas no sensor pediatria</t>
  </si>
  <si>
    <t>Próximo à sala da família</t>
  </si>
  <si>
    <t>Pia 712; Rachadura sala 2 centro obstétrico</t>
  </si>
  <si>
    <t>Recepção ressonância magnética</t>
  </si>
  <si>
    <t>Sala de enfermagem precisando</t>
  </si>
  <si>
    <t>Sem balança no andar</t>
  </si>
  <si>
    <t>Refeição atrasada</t>
  </si>
  <si>
    <t>Dieta não adequada, aguardando refeição, adequação dieta vegetariana (704)</t>
  </si>
  <si>
    <t>Atraso refeição (809)</t>
  </si>
  <si>
    <t>Paciente 406 solicitando</t>
  </si>
  <si>
    <t>Quarto 319A</t>
  </si>
  <si>
    <t>CC</t>
  </si>
  <si>
    <t>Internação</t>
  </si>
  <si>
    <t>Com erros. (Consultório 5)</t>
  </si>
  <si>
    <t>Internet PS Infantil</t>
  </si>
  <si>
    <t>Sala medicação</t>
  </si>
  <si>
    <t>Posto de enfermagem pingando</t>
  </si>
  <si>
    <t>Sem funcionar</t>
  </si>
  <si>
    <t>Quarto 31A</t>
  </si>
  <si>
    <t>Quarto 31B</t>
  </si>
  <si>
    <t>Quarto 34</t>
  </si>
  <si>
    <t>Agrupado na fonte — Teto deslocado Posto enfermagem, pacientes se queixam do barulho</t>
  </si>
  <si>
    <t>Com barulho</t>
  </si>
  <si>
    <t>Do lado esquerdo sem fechar</t>
  </si>
  <si>
    <t>Sem água 334</t>
  </si>
  <si>
    <t>Fita de impacto saindo</t>
  </si>
  <si>
    <t>Com defeito 404</t>
  </si>
  <si>
    <t>Ponto diálise</t>
  </si>
  <si>
    <t>Falta espelho</t>
  </si>
  <si>
    <t>Agrupado na fonte — Não fecha (710); porta de acesso maternidade</t>
  </si>
  <si>
    <t>água muito quente 715</t>
  </si>
  <si>
    <t>Descarga (708)</t>
  </si>
  <si>
    <t>Lâmpada sem funcionar (710)</t>
  </si>
  <si>
    <t>Sem água nas pias (716)</t>
  </si>
  <si>
    <t>Luz central não funciona (810)</t>
  </si>
  <si>
    <t>Janela não fechada durante a chuva (próximo a tomografia)</t>
  </si>
  <si>
    <t>Entupido (sala de espera 2)</t>
  </si>
  <si>
    <t>Com defeito 710</t>
  </si>
  <si>
    <t>Fecha parcialmente (705)</t>
  </si>
  <si>
    <t>Sala da família</t>
  </si>
  <si>
    <t>Posto de enfermagem solicita para utilizar o Qualitor24</t>
  </si>
  <si>
    <t>Não funciona</t>
  </si>
  <si>
    <t>Atraso refeição (217B)</t>
  </si>
  <si>
    <t>Atraso da refeição</t>
  </si>
  <si>
    <t>Atraso refeição, familiar solicita dieta para diabéticos (401)</t>
  </si>
  <si>
    <t>Paciente com problema na dieta 701</t>
  </si>
  <si>
    <t>Paciente solicita ovos (705)</t>
  </si>
  <si>
    <t>Atraso refeição 806</t>
  </si>
  <si>
    <t>Paciente solicita auxílio para receber itens</t>
  </si>
  <si>
    <t>Q318A</t>
  </si>
  <si>
    <t>UTI ADULTO</t>
  </si>
  <si>
    <t>Pacientes com dificuldades de acessar a internet (221A)</t>
  </si>
  <si>
    <t>Computador sem rede</t>
  </si>
  <si>
    <t>Quarto 503</t>
  </si>
  <si>
    <t>Agrupado na fonte — Sem funcionar (UTI)</t>
  </si>
  <si>
    <t>Pediatria</t>
  </si>
  <si>
    <t>Centro cirúrgico</t>
  </si>
  <si>
    <t>Imagem ruim; canais sem funcionar (420)</t>
  </si>
  <si>
    <t>Quarto 611</t>
  </si>
  <si>
    <t>Não funciona (703)</t>
  </si>
  <si>
    <t>recepção p.s.</t>
  </si>
  <si>
    <t>Agrupado na fonte — Posto de enfermagem pingando; 201; 203; 206; 208; 210; 214 não esfria;</t>
  </si>
  <si>
    <t>Agrupado na fonte — Sem controles</t>
  </si>
  <si>
    <t>Quarto 431A</t>
  </si>
  <si>
    <t>Quarto 431B</t>
  </si>
  <si>
    <t>corredor</t>
  </si>
  <si>
    <t>Pingando 315</t>
  </si>
  <si>
    <t>Quadro de identificação 304</t>
  </si>
  <si>
    <t>Agrupado na fonte — Teto: placas caíram, paciente se queixa de poeira e barulho 413</t>
  </si>
  <si>
    <t>Descarga (419A)</t>
  </si>
  <si>
    <t>Quebrada 702</t>
  </si>
  <si>
    <t>Agrupado na fonte — Posto de enfermagem</t>
  </si>
  <si>
    <t>Quebrado 810</t>
  </si>
  <si>
    <t>Não fecha 307</t>
  </si>
  <si>
    <t>Caiu Posto Enf.</t>
  </si>
  <si>
    <t>Para colocar roupas</t>
  </si>
  <si>
    <t>Limpeza do andar e dos leitos. Queixa sobre o lixo (102)</t>
  </si>
  <si>
    <t>Para robô, pegar cor bordô</t>
  </si>
  <si>
    <t>Paciente solicita sorvete</t>
  </si>
  <si>
    <t>PS 413</t>
  </si>
  <si>
    <t>Painel posto de enf.</t>
  </si>
  <si>
    <t>Com problemas para chamar mensageiro</t>
  </si>
  <si>
    <t>Médicos Setor</t>
  </si>
  <si>
    <t xml:space="preserve">Quarto 701 </t>
  </si>
  <si>
    <t>Demora Alta para enfermaria</t>
  </si>
  <si>
    <t>Atestados/Resultados de Exames</t>
  </si>
  <si>
    <t>Q24</t>
  </si>
  <si>
    <t>Carrinho</t>
  </si>
  <si>
    <t>Sala 07</t>
  </si>
  <si>
    <t>Sala 03</t>
  </si>
  <si>
    <t>elogio Assistencial</t>
  </si>
  <si>
    <t>quarto 417</t>
  </si>
  <si>
    <t>Fluxo do paciente</t>
  </si>
  <si>
    <t>Unidade</t>
  </si>
  <si>
    <t>O_que_aconteceu</t>
  </si>
  <si>
    <t>Observação</t>
  </si>
  <si>
    <t>HVC</t>
  </si>
  <si>
    <t>Operações</t>
  </si>
  <si>
    <t>Avental - Qualidade</t>
  </si>
  <si>
    <t>Laboratório</t>
  </si>
  <si>
    <t>Hemoculturas - Atenção Global</t>
  </si>
  <si>
    <t>Não informado</t>
  </si>
  <si>
    <t>Risco de decisão clínica incorreta por erro de amostra ou comunicação.</t>
  </si>
  <si>
    <t>Operações / Enfermagem</t>
  </si>
  <si>
    <t>Sistemas de Informações</t>
  </si>
  <si>
    <t>Quality24 - Concierge: Adesão SLA</t>
  </si>
  <si>
    <t>Simone / Lilian</t>
  </si>
  <si>
    <t>Recorrência de baixa adesão, atraso e ausência de encerramento dos chamados.</t>
  </si>
  <si>
    <t>Nutrição - atraso dieta</t>
  </si>
  <si>
    <t>Recorrência de atrasos e risco de dieta inadequada ao paciente.</t>
  </si>
  <si>
    <t>Higiene CME</t>
  </si>
  <si>
    <t>Risco de infecção e interrupção cirúrgica com recorrência e pendências abertas.</t>
  </si>
  <si>
    <t>Higiene Noturno</t>
  </si>
  <si>
    <t>Recorrência, pendências abertas e impacto na segurança e experiência.</t>
  </si>
  <si>
    <t>NSP</t>
  </si>
  <si>
    <t>Falha na Identificação do Paciente PA</t>
  </si>
  <si>
    <t>Risco de evento grave, recorrência elevada e falhas em barreiras essenciais.</t>
  </si>
  <si>
    <t>Número de Punções alto/ FLEBITE</t>
  </si>
  <si>
    <t>Déborah</t>
  </si>
  <si>
    <t>Recorrência de flebite, perdas de acesso e extravasamentos.</t>
  </si>
  <si>
    <t>Prótese com lateralidade errada</t>
  </si>
  <si>
    <t>Elevador parou com paciente entubado</t>
  </si>
  <si>
    <t>Quality24 - Concierge: Uso da ferramenta</t>
  </si>
  <si>
    <t>Regiane</t>
  </si>
  <si>
    <t>Processo Toten PS</t>
  </si>
  <si>
    <t>Mãe e filho descream da maternidade sem a enfermagem e sem assinar alta. recepção ligpou no posto de enfermagem, a qual pediu para paciente retornar.</t>
  </si>
  <si>
    <t>Rose, Milena e Milena</t>
  </si>
  <si>
    <t>Potencial de dano grave, exposição legal e recorrência em unidades distintas.</t>
  </si>
  <si>
    <t>Higiene-piso liso no 1D</t>
  </si>
  <si>
    <t>Quebra pistola CME</t>
  </si>
  <si>
    <t>Alergia - aplicação de protocolo</t>
  </si>
  <si>
    <t>Deborah/ Patrícia Borges</t>
  </si>
  <si>
    <t>Potencial de dano grave e necessidade de barreira antes da exposição.</t>
  </si>
  <si>
    <t>Atraso na solicitação de PICC</t>
  </si>
  <si>
    <t>Deborah/ Dra. Larissa</t>
  </si>
  <si>
    <t>Reabordagem cirúrgica - gatilho (paciente 103/ dreno)</t>
  </si>
  <si>
    <t>Leticia/Catarina</t>
  </si>
  <si>
    <t>Risco cirúrgico, cancelamentos e falhas de lateralidade/material.</t>
  </si>
  <si>
    <t>Secretaria</t>
  </si>
  <si>
    <t>Processo Secretaria - novo fluxo alta ( paciente neuro internado sem acompanhante)</t>
  </si>
  <si>
    <t>Juliana/Lilian/ Ana Carol</t>
  </si>
  <si>
    <t>Recorrência e impacto em espera, ocupação e continuidade do cuidado.</t>
  </si>
  <si>
    <t>Lesão por pressão  paciente centro cirúrgico</t>
  </si>
  <si>
    <t>Alta recorrência e potencial de prolongamento da internação.</t>
  </si>
  <si>
    <t>Controle de Acesso - maternidade</t>
  </si>
  <si>
    <t>Baixa frequência, porém alto potencial de dano, exposição e violação de área restrita.</t>
  </si>
  <si>
    <t>Ar Condicionado parado - Hemodinâmica</t>
  </si>
  <si>
    <t>Recorrência e impacto direto em áreas críticas e equipamentos.</t>
  </si>
  <si>
    <t>Nutrição atraso - Quality</t>
  </si>
  <si>
    <t>Transição de criança PSI sem oxigênio</t>
  </si>
  <si>
    <t>Higiene - estão ficando apenas 2 colaboradores - banheiro sem papel</t>
  </si>
  <si>
    <t>Risco de queda da capacidade operacional em áreas críticas.</t>
  </si>
  <si>
    <t>Higiene - sem colaborador na Hemodinâmica</t>
  </si>
  <si>
    <t>Ar condicionado no conforto médico do CC não funciona</t>
  </si>
  <si>
    <t>UTI Neo - ponto de atenção reconhecimento facil e necessidade de uma pessoa para suporte em relação ao sistema</t>
  </si>
  <si>
    <t>Simone e Arnaldo</t>
  </si>
  <si>
    <t>UTI Pediátrica</t>
  </si>
  <si>
    <t>Troca bico mamadeira</t>
  </si>
  <si>
    <t>Juliana</t>
  </si>
  <si>
    <t>Reposição de água nas alas</t>
  </si>
  <si>
    <t>Hemodinâmica</t>
  </si>
  <si>
    <t>Atraso na angioplastia porque médico não solicitou materiais</t>
  </si>
  <si>
    <t>Atrasos repetidos com cancelamentos, jejum prolongado e impacto na alta.</t>
  </si>
  <si>
    <t>Falha de profissional de higiene na Hemodinâmica e CME</t>
  </si>
  <si>
    <t>Clexane no 2D em horário errado</t>
  </si>
  <si>
    <t>Maior volume de interações priorizadas e potencial de dano evitável.</t>
  </si>
  <si>
    <t>Reconhecimento facial não funcionou a noite na UTI Neo - por questões sistêmicas, não é problema no cadastro. equipe precisa de suporte no período noturno</t>
  </si>
  <si>
    <t>Falhas recorrentes com desvio de fluxo e aumento de filas.</t>
  </si>
  <si>
    <t>Paciente fez procedimento anos atras e a chave solicitada não era compatível</t>
  </si>
  <si>
    <t>CME</t>
  </si>
  <si>
    <t>Autoclave quebrada</t>
  </si>
  <si>
    <t>Farmácia</t>
  </si>
  <si>
    <t>Troca de medicação 6 andar (problema com prescrição)</t>
  </si>
  <si>
    <t>SCIH/CCIH</t>
  </si>
  <si>
    <t>Paciente em quarto compartilhado (com necessidade de isolamento) Neta quem alertou equipe de enfermagem.</t>
  </si>
  <si>
    <t>Recorrência em precauções, isolamento e adesão às práticas de prevenção.</t>
  </si>
  <si>
    <t>Enfermagem Alas</t>
  </si>
  <si>
    <t>Quarto 334 com cano quebrado na madrugada</t>
  </si>
  <si>
    <t>Alta recorrência e risco de queda, incêndio, dano patrimonial ou interrupção.</t>
  </si>
  <si>
    <t>Ocorrência em 21/08 PICC</t>
  </si>
  <si>
    <t>Materno Infantil - ponto de atenção reconhecimento facil e necessidade de uma pessoa para suporte em relação ao sistema.</t>
  </si>
  <si>
    <t>Cancelamento artrospatia de quadrial material sujo</t>
  </si>
  <si>
    <t>Problemas dispenário 4 andar, devido a chuva.</t>
  </si>
  <si>
    <t>Nutrição</t>
  </si>
  <si>
    <t>Lactário sem estoque - sem código NAN Supreme 2 Falta</t>
  </si>
  <si>
    <t>UTI</t>
  </si>
  <si>
    <t>UTI - reintubação domigo (PCR - foco deterioração)</t>
  </si>
  <si>
    <t>Potencial de óbito ou dano grave e necessidade de resposta tempo-dependente.</t>
  </si>
  <si>
    <t>Reconhecimento facial não funionou a noite na UTI Neo - por questões sistêmicas, não é problema no cadastro. equipe precisa de suporte no período noturno</t>
  </si>
  <si>
    <t>Lesão por pressão 607 - paciente sem colchão adequado (Adilson verificar com Carol)</t>
  </si>
  <si>
    <t>Lilian / Carol</t>
  </si>
  <si>
    <t>Dispensário inoperante - placas queimadas</t>
  </si>
  <si>
    <t>Seringa BD com cabelo e cortizonal sem pó dentro - notificado</t>
  </si>
  <si>
    <t>Pronto Atendimento</t>
  </si>
  <si>
    <t>Especialista - Flebite PA</t>
  </si>
  <si>
    <t>334 A paciente robótica precisa vaga UTI e não tem disponível</t>
  </si>
  <si>
    <t>Paciente foi extubar e apresentou pneumotorax</t>
  </si>
  <si>
    <t>Atraso na colonoscopia -  rever fluxo de acolhimento</t>
  </si>
  <si>
    <t>Dispensado agua para sondagem ao inves de soro - sem dano</t>
  </si>
  <si>
    <t>Dieta restrita para paciente</t>
  </si>
  <si>
    <t>Paciente do PA sem prescrição</t>
  </si>
  <si>
    <t>Troca de material de OPME</t>
  </si>
  <si>
    <t>Patrícia / Simone</t>
  </si>
  <si>
    <t>Higiene CC - apenas 2 pessoas (uma passou mal)</t>
  </si>
  <si>
    <t>Imagem / Radiologia</t>
  </si>
  <si>
    <t>RM leito 110 cancelada - paciente com nausea - sera avaliada sedação</t>
  </si>
  <si>
    <t>Jéssica</t>
  </si>
  <si>
    <t>Falso médico entrando em contato com pacientes</t>
  </si>
  <si>
    <t>Carol</t>
  </si>
  <si>
    <t>Evento de baixa frequência, mas alto impacto financeiro, reputacional e de privacidade.</t>
  </si>
  <si>
    <t>Dispensação errada - dexametazona - foi escrito decadron</t>
  </si>
  <si>
    <t>Lesão pressão na UTI pediatrica</t>
  </si>
  <si>
    <t>Quase queda paciente cirurgia robótica</t>
  </si>
  <si>
    <t>Recorrência e registro de eventos com dano.</t>
  </si>
  <si>
    <t>Dificuldade no acesso em paciente  319 B - paciente de reinternação</t>
  </si>
  <si>
    <t>Acesso de pessoa estranha na Imagem - disse que seria benchmarking</t>
  </si>
  <si>
    <t>Rever fluxo de refeição para acompanhante</t>
  </si>
  <si>
    <t>Pico de atraso na imagem ontem - atraso raio x</t>
  </si>
  <si>
    <t>Troca de etiqueta na Farmácia - identificado pela enfermagem</t>
  </si>
  <si>
    <t>Notificar meningites e maculosa</t>
  </si>
  <si>
    <t>Rever fluxo exame imagem - atraso</t>
  </si>
  <si>
    <t>Falta travesseiro oitavo andar</t>
  </si>
  <si>
    <t>Dispensação Defenidrin sem diluição na pediatria - criança teve reação</t>
  </si>
  <si>
    <t>Transferência de paciente do PSA&gt;UTI - sem passagem de plantão</t>
  </si>
  <si>
    <t>Risco de perda de informação clínica em transferências e resultados críticos.</t>
  </si>
  <si>
    <t>Gestão de Leitos</t>
  </si>
  <si>
    <t>PS solicitou internação em SEMI, mas paciente foi encaminhada para 8 Andar</t>
  </si>
  <si>
    <t>Entrega de psico deixada balcão semi</t>
  </si>
  <si>
    <t>Preparo amiodarona com equipo errado</t>
  </si>
  <si>
    <t>Pico de atraso 1h ressonância - Imagem</t>
  </si>
  <si>
    <t>Queda sem dano - 3D</t>
  </si>
  <si>
    <t>Especialistas</t>
  </si>
  <si>
    <t>Alinhar comunicação quanto ao PICC junto equipe médica (caso paciente com traqueo)</t>
  </si>
  <si>
    <t>Rever proteção contra mosquito na sala cirúrgico</t>
  </si>
  <si>
    <t>Erro de fracionamento identificado na farmácia. Notificar Near Miss</t>
  </si>
  <si>
    <t>Imagem - criança da UTI com tomografia agendada com sedação, crianças sem jejum. Notificar cancelamento de exame/reagendado</t>
  </si>
  <si>
    <t>Jessica/Milena</t>
  </si>
  <si>
    <t>Semi</t>
  </si>
  <si>
    <t>Internação para psiquiatria com alta após 1 hora de internação</t>
  </si>
  <si>
    <t>Carolina</t>
  </si>
  <si>
    <t>Atraso de 1 hora. 01 aparelho com drenagem e outro com demanda eletiva, avc, pacientes internados.</t>
  </si>
  <si>
    <t>Pendencia de doppler pois necessita radiologista</t>
  </si>
  <si>
    <t>321-B e 403 verificar porque solicitação de tomo após meia noite</t>
  </si>
  <si>
    <t>Dra Larissa</t>
  </si>
  <si>
    <t>Quality - ponto de atenção Nutrição</t>
  </si>
  <si>
    <t>TI</t>
  </si>
  <si>
    <t>We now sistema tasy</t>
  </si>
  <si>
    <t>Impacto em continuidade, registro clínico e produtividade.</t>
  </si>
  <si>
    <t>Exame tomografia cancelado - falha comunicação</t>
  </si>
  <si>
    <t>Higiene</t>
  </si>
  <si>
    <t>Higienização falha na terminal da UTI pediátrica</t>
  </si>
  <si>
    <t>NAE</t>
  </si>
  <si>
    <t>Lesão pressão na uco</t>
  </si>
  <si>
    <t>Adilson</t>
  </si>
  <si>
    <t>Falha de comunicação no resultado crítico</t>
  </si>
  <si>
    <t>Queda no 307</t>
  </si>
  <si>
    <t>Passagem de sonda enteral sem sucesso leito 603 (paciente com reconstrução facial) - fazer com endoscopia</t>
  </si>
  <si>
    <t>Erro fracionamento - paracetamol</t>
  </si>
  <si>
    <t>Falha identificação e transição cuidado paciente</t>
  </si>
  <si>
    <t>Falha comunicação resultado crítico do laboratorio</t>
  </si>
  <si>
    <t>Troca rótulo soro de paciente</t>
  </si>
  <si>
    <t>Reclamação de cardápio por acompanhante materno</t>
  </si>
  <si>
    <t>Paciente holandesa com ano de nascimento errado - CC</t>
  </si>
  <si>
    <t>Queda internação 2D - idoso foi colocar calça sozinho</t>
  </si>
  <si>
    <t>CC - processo de cadastro na recepção - ano de nascimento errado (paciente CC)</t>
  </si>
  <si>
    <t>Bomba injetora da hemodinâmica parada - Eng. Clínica</t>
  </si>
  <si>
    <t>Risco de interrupção do cuidado e alto volume de equipamentos indisponíveis.</t>
  </si>
  <si>
    <t>Paciente da SEMI estava sem pulseira ao sair para CC</t>
  </si>
  <si>
    <t>Atraso na tomografia</t>
  </si>
  <si>
    <t>Atraso na ambulância - paciente 109</t>
  </si>
  <si>
    <t>Recorrência e risco durante transferências internas/externas.</t>
  </si>
  <si>
    <t>Obra 2C pode ter ruido (dia todo) - ver possibilidade de avisos</t>
  </si>
  <si>
    <t>Manutenção ar-condicionado (reunião para alinhamento (Simone, Claudia, Dr. Gabriel e Januário)</t>
  </si>
  <si>
    <t>Quality 24</t>
  </si>
  <si>
    <t>Onco - problemas quality (água) Juliana já está resolvendo (acompanhar)</t>
  </si>
  <si>
    <t>Lentidão Tasy no PA</t>
  </si>
  <si>
    <t>Hiperemia em paciente eletivo pós RM - identificado que foi posicionamento errado</t>
  </si>
  <si>
    <t>Perda de cateter na UTI</t>
  </si>
  <si>
    <t>Lesão de pele na imagem 207 A - paciente parasentese</t>
  </si>
  <si>
    <t>Médico novo sem acesso ao sistema Tasy no CC</t>
  </si>
  <si>
    <t>Caixa de psicotropico Anestesia sendo devolvida sem lacre</t>
  </si>
  <si>
    <t>Elavador 3 em manutenção falta peça que só será entregue hoje</t>
  </si>
  <si>
    <t>Lesão de pele</t>
  </si>
  <si>
    <t>Lesão em orelha em criança</t>
  </si>
  <si>
    <t>Queda sem dano</t>
  </si>
  <si>
    <t>Alinhar fluxo com plantonistas da GO no pronto atendimento</t>
  </si>
  <si>
    <t>Queda UTI Neuro - paciente em delírio, sem contenção - sem dano</t>
  </si>
  <si>
    <t>Reação transfusional esperada - esta em acompanhamento</t>
  </si>
  <si>
    <t>Terceiro D sacou sonda na madrugada</t>
  </si>
  <si>
    <t>Paciente regulada de Pedreira, orientada para passar no PA - 3:15 foi entubada, instável não teve como subir para UTI - permance no PA</t>
  </si>
  <si>
    <t>Lesão por fricção na UTI</t>
  </si>
  <si>
    <t>2 pacientes com pulseira, mas sem identificação de alergia</t>
  </si>
  <si>
    <t>Atraso na RM - 1h30 no período tarde-noite</t>
  </si>
  <si>
    <t>Procedimento no CC agendado como próstata, mas era Nefro - erro das secretárias (cirurgia correta)</t>
  </si>
  <si>
    <t>Falha identificação do paciente - etiqueta trocada1D</t>
  </si>
  <si>
    <t>Atraso de 2h30 na imagem</t>
  </si>
  <si>
    <t>Peça errada entregue no CC cirurgica para finalizar reforma da Sala 3</t>
  </si>
  <si>
    <t>Espessante - sem cobertura pelo convênio</t>
  </si>
  <si>
    <t>Queda paciente sem dano</t>
  </si>
  <si>
    <t>Falha na identificação risco assistencial</t>
  </si>
  <si>
    <t>Laser CC-CME - ponto de atenção - não esta funcionando</t>
  </si>
  <si>
    <t>Vazamento agua forro banco de sangue</t>
  </si>
  <si>
    <t>Falha identificação risco assistencial - risco de queda e alergia sem apontamento</t>
  </si>
  <si>
    <t>Perda PICC no 2C</t>
  </si>
  <si>
    <t>Paciente eletiva veio fazer RM e fez broncoaspiração - internada em observação</t>
  </si>
  <si>
    <t>Problema com dispensário - adrenalina, noradrenalina - estoque baixo, remanejou da CS</t>
  </si>
  <si>
    <t>Paciente do PA teve alta do sistema, mas continuava em atendimento</t>
  </si>
  <si>
    <t>Pacientes na UTI em choque septico - pode ser falha terapeutica do antibiótico (abertas notificações). Oientado discusssão dos casos.</t>
  </si>
  <si>
    <t>Falha identificação - pulseira apagada</t>
  </si>
  <si>
    <t>Não fechamento dos chamados da manutenção no Q24</t>
  </si>
  <si>
    <t>Cânula de traqueo em falta no mercado - paciente UTI Neo</t>
  </si>
  <si>
    <t>Material incompleto - Dr. Adão - procedimento cancelado no CC</t>
  </si>
  <si>
    <t>Paciente do PSA sem prescrição médica</t>
  </si>
  <si>
    <t>Falha identificação RM paciente sem pulseira</t>
  </si>
  <si>
    <t>Atraso de 1h na RM</t>
  </si>
  <si>
    <t>Bomba injetora da hemodinâmia parada</t>
  </si>
  <si>
    <t>Falha de identificação de risco</t>
  </si>
  <si>
    <t>Perda PICC</t>
  </si>
  <si>
    <t>Falha de identificação na dieta</t>
  </si>
  <si>
    <t>Atraso 1h na RM - bubinas 9h-11h</t>
  </si>
  <si>
    <t>Antibióticos - padronizar uso</t>
  </si>
  <si>
    <t>Cânula - Dr Sidney pediu para ser sem balão devido não encontrar no mercado</t>
  </si>
  <si>
    <t>Álcool higiene - não tinha para o dispenser, apenas para mesa</t>
  </si>
  <si>
    <t>Bomba injetora da hemodinâmia continua parada</t>
  </si>
  <si>
    <t>Máquina de ressonancia com mesa parada - 1h30 de atraso - período da noite</t>
  </si>
  <si>
    <t>Chamados Q24 - nutrição e limpeza</t>
  </si>
  <si>
    <t>Falha dispensário UTI - fosfato de potássio acondicionado errado</t>
  </si>
  <si>
    <t>Falha identificação de risco</t>
  </si>
  <si>
    <t>Problema da máquina de contingência da imagem - RM provocando atraso no sábado</t>
  </si>
  <si>
    <t>Paciente 608 (código roxo) deu problema na abertura de ficha - relatório foi refeito - paciente Amil - faturamento via CS mas paciente fica no VC</t>
  </si>
  <si>
    <t>Q24 - manutenção, higiene, enfermagem, hotelaria</t>
  </si>
  <si>
    <t>Cancelamento de cirurgia Bradesco - negação de código na recepção - mudança do processo</t>
  </si>
  <si>
    <t>Falta de solução eletrolítica - empréstimo de 20 bolsas do Samaritano (Notificação 2431040)</t>
  </si>
  <si>
    <t>Cânula Neo/ Antônio - não deu certo - modelo adequado não encontrado - chegou dia 11/10</t>
  </si>
  <si>
    <t>Bomba injetora Hemodinâmica parada - peça chega na próxima semana</t>
  </si>
  <si>
    <t>1D broncoaspiração</t>
  </si>
  <si>
    <t>UTI Ped reação adversa</t>
  </si>
  <si>
    <t>Paciente saiu sem pulseira do PS</t>
  </si>
  <si>
    <t>Ponteira aparelho Multimed soltou</t>
  </si>
  <si>
    <t>Lesão PP da UTI</t>
  </si>
  <si>
    <t>Falha transição do cuidado</t>
  </si>
  <si>
    <t>Q24-queda no número de chamados</t>
  </si>
  <si>
    <t>Cirurgião negou sinalizar lateralidade - exposição do paciente</t>
  </si>
  <si>
    <t>Paciente veio no amb para colono - suspeita de broncoaspiração - evoluiu para alta</t>
  </si>
  <si>
    <t>Paciente via PA foi para Imagem realizar US Dopller e ocorreu troca de paciente</t>
  </si>
  <si>
    <t>Transferencia para UTI sem pulseira</t>
  </si>
  <si>
    <t>Queda 1D - sem dano - paciente neurologica</t>
  </si>
  <si>
    <t>Falha identificação no CC</t>
  </si>
  <si>
    <t>Paciente Ala 85 anos desceu para fumar - definir processo/ Dr.Átila</t>
  </si>
  <si>
    <t>Queda no PA - quebrou pé da cadeira</t>
  </si>
  <si>
    <t>Falha na identificação de risco</t>
  </si>
  <si>
    <t>Manutenção hoje da máquina RM que estava parada</t>
  </si>
  <si>
    <t>Dieta acompanhante - definir fluxo</t>
  </si>
  <si>
    <t>Barulho devido obra</t>
  </si>
  <si>
    <t>Perda de sonda</t>
  </si>
  <si>
    <t>Reação adversa</t>
  </si>
  <si>
    <t>Falha passagem plantão - CCxAla</t>
  </si>
  <si>
    <t>Paciente sem identificação</t>
  </si>
  <si>
    <t>Escorpião dentro do banheiro quarto 2Andar</t>
  </si>
  <si>
    <t>Mãe teve crise epilética na Imagem - foi atendida e teve alta</t>
  </si>
  <si>
    <t>Paciente Ricardo 423 - aguarda medicação - pendente autorização do Bradesco - solicitado pela operadora correção da dose - caso resolvido</t>
  </si>
  <si>
    <t>Chamados manutenção - encerrar chamado quando concluir trabalho</t>
  </si>
  <si>
    <t>Termo parada na CME</t>
  </si>
  <si>
    <t>Paciente lesão pressão estágio 2</t>
  </si>
  <si>
    <t>Retroviral prescrito de forma incorreta - feita correção junto ao médico</t>
  </si>
  <si>
    <t>Falha de risco assistencial</t>
  </si>
  <si>
    <t>Atraso na tomografia 1h - biopsia e alta demanda de PS - agendas ajustadas</t>
  </si>
  <si>
    <t>Reação ao contraste - RM - 5 pessoas</t>
  </si>
  <si>
    <t>Caso mepilex - sem cobertura pelo convênio - paciente reinternou e sinalizou que não ia pagar, porém o curativo foi aplicado</t>
  </si>
  <si>
    <t>Quebra de protocolo em paciente de ala - Hugo - enviado sem teste influnza covid para UTI</t>
  </si>
  <si>
    <t>Falha de posicionamento - paciente com edema - anestesista avaliou e confirmou falha</t>
  </si>
  <si>
    <t>Adm anticoagulante indevida</t>
  </si>
  <si>
    <t>Midazolan com erro de dosagem</t>
  </si>
  <si>
    <t>Falha dispensação - troca na conta do paciente</t>
  </si>
  <si>
    <t>Falha assinatura termo risco assistencial</t>
  </si>
  <si>
    <t>Recolhimento pantoprazol pantocal ev Eurofarma</t>
  </si>
  <si>
    <t>Identificação paciente trocada na endoscopia com outro paciente</t>
  </si>
  <si>
    <t>2 reações alérgica cipro cefaproxina</t>
  </si>
  <si>
    <t>Reação alérgica novamente contraste imagem</t>
  </si>
  <si>
    <t>Troca cama na pediatria causou desconforto pacientes devido horário - noite</t>
  </si>
  <si>
    <t>UTI: Médico refez a prescrição. A dose não foi liberada, e o paciente ficou sem</t>
  </si>
  <si>
    <t>Máquina da ressonância GE 3 parada. E bomba injetora da hemodinâmica parada. Retornou dia 16.10</t>
  </si>
  <si>
    <t>2 broncoaspiração</t>
  </si>
  <si>
    <t>Queimadura de pele de 2° grau na realização do eletro.</t>
  </si>
  <si>
    <t>Paciente sem pulseira de identificação</t>
  </si>
  <si>
    <t>Paciente com pulseira de identificação ilegível</t>
  </si>
  <si>
    <t>Pacientes não foram orientadas a assinarem termo de risco assistencial.</t>
  </si>
  <si>
    <t>Devolução de medicamento de paciente para farmácia</t>
  </si>
  <si>
    <t>Maternidade: Reação alérgica de profenid</t>
  </si>
  <si>
    <t>Edema membros inferiores na maternidade.</t>
  </si>
  <si>
    <t>Paciente idosa ficou aguardando muito tempo para internar - processo recepção.</t>
  </si>
  <si>
    <t>Cirurgia interrompida - sondagem devido sangramento</t>
  </si>
  <si>
    <t>Falha de administração sendo avaliada</t>
  </si>
  <si>
    <t>Acolhimento referente a evento adverso UTI Neo - desfecho sem abertura de BO</t>
  </si>
  <si>
    <t>Q24 - ponto de atenção manutenção</t>
  </si>
  <si>
    <t>Entrega de OPME na madrugada no CME</t>
  </si>
  <si>
    <t>Nova cânula do Antônio esta em falta - conseguiu emprestar do Centro Médico</t>
  </si>
  <si>
    <t>Sala 7 do CC irá ficar parada no período da tarde para conserto do ar condicionado</t>
  </si>
  <si>
    <t>Prescrição errada de eparina - sem dano pois enfermagem identificou</t>
  </si>
  <si>
    <t>Prescrição de SERNE errada - médico resistente a correção - Dr. Átila esta tratando</t>
  </si>
  <si>
    <t>Campo cirúrgico de quadril esta em falta - foram testados 3 marcas</t>
  </si>
  <si>
    <t>Falha na emissão de pulseira no PA</t>
  </si>
  <si>
    <t>Ponto de atenção na higiene do CC</t>
  </si>
  <si>
    <t>Perda de medicação do paciente na UCO - medicação não padronizados 2 psicotrópicos - teve que ser comprado externo.</t>
  </si>
  <si>
    <t>Atraso em administração de antibiótico no CC devido a troca de marca</t>
  </si>
  <si>
    <t>Estoque de insulina esta ok - porém esta sendo visto outras marcas</t>
  </si>
  <si>
    <t>Falta de frascos de hemocultura - não estamos sendo afetados</t>
  </si>
  <si>
    <t>CME - relatou falta de uniforme</t>
  </si>
  <si>
    <t>Equipe de Infra e Hotelaria</t>
  </si>
  <si>
    <t>Evento ocorrido no domingo - técnica auxiliando paciente, tropeçou e suporte soro caiu no paciente - estava com bolsas</t>
  </si>
  <si>
    <t>Protocolo de identificação - PA - dados errados na pulseira, paciente sem pulseira</t>
  </si>
  <si>
    <t>Farmácia liberou Quimio de urgência - aguarda liberação Bradesco</t>
  </si>
  <si>
    <t>Erro de fracionamento (losartana) - em investigação</t>
  </si>
  <si>
    <t>Travesseiros higienizados sendo guardados no expurgo</t>
  </si>
  <si>
    <t>Lesão por pressão Estágio II</t>
  </si>
  <si>
    <t>Dados de paciente com erro no Toten - problema no Tasy</t>
  </si>
  <si>
    <t>Falha no processo de prescrição de soro no PA - farmácia em tratativa com Dra. Carla</t>
  </si>
  <si>
    <t>Broncoaspiração no CC</t>
  </si>
  <si>
    <t>Falha passagem de plantão</t>
  </si>
  <si>
    <t>Queda de idoso da semi - evento com dano: fratura femur - programada cirurgia</t>
  </si>
  <si>
    <t>Paciente sem pulseira de identificação na ala</t>
  </si>
  <si>
    <t>Paciente deu entrada no PA domingo. Recepção entrou em contato com Bradesco, o qual sinalizou que estava em processo de anáLise. A mesma optou por seguir no particular. Desta forma a recepção fez o processo particular.No dia seguinte na RPA disse que queria seguir pelo convênio.</t>
  </si>
  <si>
    <t>Exame de broncospia no CC se perdeu ?? - foram vistas imagens das câmeras e laboratório analisou amostra</t>
  </si>
  <si>
    <t>610. Não está autorizado servir refeição ao acompanhante, mas ela solicitou porque não tem condições de pagar. Dr Gabriel liberou no Huddle servir refeição para ela.</t>
  </si>
  <si>
    <t>Porta do hall da maternidade quebrada</t>
  </si>
  <si>
    <t>Quimio que foi feita de urgencia (108) ainda aguardando aprovação do convênio.</t>
  </si>
  <si>
    <t>Hemodinâmica: Convênio não liberou cabo paga ablação. E empresa atrasou para cirurgias</t>
  </si>
  <si>
    <t>Paciente Oncologia - Sul América teve medicação não autorizada, mas emprestamos do Boldrini e aguardamos liberação</t>
  </si>
  <si>
    <t>Paciente Antonio/ Materno aguarda liberação de medicação</t>
  </si>
  <si>
    <t>Falha identificação do paciente</t>
  </si>
  <si>
    <t>Perda de sonda na UTI</t>
  </si>
  <si>
    <t>Fluxo Guarda de Pertence</t>
  </si>
  <si>
    <t>Levantamento de TV smart</t>
  </si>
  <si>
    <t>Há 3 semanas, paciente tece queimadura durante procedimento no CC (beucat) - ja esta suspenso o uso do material</t>
  </si>
  <si>
    <t>Paciente 301 internada para tratamento de infecção no braço direito, risco de conflito devido valor de curativo (não coberto pela Amil)</t>
  </si>
  <si>
    <t>Máquina hemodinâmica parada devido chuva</t>
  </si>
  <si>
    <t>Intercorrências com chuva que atingiu áreas internas</t>
  </si>
  <si>
    <t>Paciente com lesão UTI Neuro</t>
  </si>
  <si>
    <t>Falha identificação pulseira girassol - doenças invisíveis x admissão - risco assistencial, vulnerabilidade</t>
  </si>
  <si>
    <t>Manutenção não programada equipamento ressonância</t>
  </si>
  <si>
    <t>Teto da imagem esta abaulado</t>
  </si>
  <si>
    <t>Reação transfusional leito 419 - será investigado</t>
  </si>
  <si>
    <t>Q24 - manutenção e nutrição</t>
  </si>
  <si>
    <t>Falha de integração na prescrição - feita checagem física na farmácia</t>
  </si>
  <si>
    <t>Paciente internado na Neuro - identificação etiqueta com nome diferente; masculino saiu feminino (leito 316)</t>
  </si>
  <si>
    <t>Erro de fracionamento hidroclorotiazida na pediatria</t>
  </si>
  <si>
    <t>Princípio incêndio - cozinha Máxima</t>
  </si>
  <si>
    <t>Higiene - comportamento colaboradoras</t>
  </si>
  <si>
    <t>Falta de sinalização piso molhado causou queda de colaborador</t>
  </si>
  <si>
    <t>Processo de identificação - paciente com alergia frutos do mar</t>
  </si>
  <si>
    <t>Paciente solicitou dieta - troca de quarto - devido pulseira</t>
  </si>
  <si>
    <t>Paciente com medicação de uso contínuo no quarto</t>
  </si>
  <si>
    <t>Erro de fracionamento na farmácia</t>
  </si>
  <si>
    <t>Broncoaspiração - ver processo fono</t>
  </si>
  <si>
    <t>Reconciliação - iniciado treinamento</t>
  </si>
  <si>
    <t>Queda de energia provocou dano na máquina de tomo</t>
  </si>
  <si>
    <t>Falha na administração da dose de medicação na ala</t>
  </si>
  <si>
    <t>Robô parado na CME - falta de peça - Engenharia Clínica sem previsão</t>
  </si>
  <si>
    <t>Falha de dispensação da farmácia</t>
  </si>
  <si>
    <t>Defeito na porta de pediatria - reconhecimento facial</t>
  </si>
  <si>
    <t>Escada inadequada na entrada/saída do PS - 3 casos de queda (1 com dano)</t>
  </si>
  <si>
    <t>Termo de risco assistencial preenchido pelo acompanhante</t>
  </si>
  <si>
    <t>Paciente se recusa a entregar a medicação de uso contínuo e não quer receber medicação do hospital (304 - 3ºD)</t>
  </si>
  <si>
    <t>Todas as janelas de todos os quartos estão travadas - não podem abrir por nenhum circunstância</t>
  </si>
  <si>
    <t>Cancelamento de Cirurgia devido material não ter sido solicitado pelo médico</t>
  </si>
  <si>
    <t>Refeição para acompanhante idosa</t>
  </si>
  <si>
    <t>Manutenção lavadora CME</t>
  </si>
  <si>
    <t>Pacientes PS ortopedia sem anamnese</t>
  </si>
  <si>
    <t>Falha identificação paciente tomografia</t>
  </si>
  <si>
    <t>Paciente com lesão dispositivo venoso</t>
  </si>
  <si>
    <t>Anestesia - final do procedimento ressonancia - devolução caixa com psico - folha checagem com identificação de outro paciente</t>
  </si>
  <si>
    <t>Criança com hiperatividade em quarto conjunto - avaliar troca quarto devido incômodo</t>
  </si>
  <si>
    <t>Lactário Neo - melhoria medelas</t>
  </si>
  <si>
    <t>Jejum - ressonância</t>
  </si>
  <si>
    <t>Raio X - fluxo novo ImagemxPS</t>
  </si>
  <si>
    <t>Erro de medicação na UTI - ciprofaxina (lançamento correto - Palm deixou checar)</t>
  </si>
  <si>
    <t>Hemodinamica 2 parada devido chuva</t>
  </si>
  <si>
    <t>Quase erro administração de Puran</t>
  </si>
  <si>
    <t>Reação adversa 2D</t>
  </si>
  <si>
    <t>Entrega de tiras - setor fechado</t>
  </si>
  <si>
    <t>Paciente alérgico não identificado no PA</t>
  </si>
  <si>
    <t>CC - lateralidade médico resistente</t>
  </si>
  <si>
    <t>Queda na unidade neurológica</t>
  </si>
  <si>
    <t>Falta de sonda para PH metria</t>
  </si>
  <si>
    <t>Prescrição plasil - tira feita 14h - médico suspendeu 18h30</t>
  </si>
  <si>
    <t>Geladeiras postos alas - higienização vencida</t>
  </si>
  <si>
    <t>Fecho de pão na dieta de paciente</t>
  </si>
  <si>
    <t>Dieta 428B - acompanhante com intolerância</t>
  </si>
  <si>
    <t>Queda de energia afetou equipamento RM GE3 - parada</t>
  </si>
  <si>
    <t>Paciente encaminhado uti-hemodinamica - evacuado, curativo sangue, lençol sujo</t>
  </si>
  <si>
    <t>Queda de paciente da clínica - agachou escorregou e caiu sentada</t>
  </si>
  <si>
    <t>Erro de identificação na ala x laboratório - gerou ouvidoria</t>
  </si>
  <si>
    <t>Paciente veio da CS fazer colono.endoscopia - convenio não atende VC - transito de contas</t>
  </si>
  <si>
    <t>Rose</t>
  </si>
  <si>
    <t>CME - cano de osmose furado pela menutenção para instalação de detector de incêndio.(sem supervisão ou comunicação para responsável da área).</t>
  </si>
  <si>
    <t>Encaminhado paciente do PA para UTI ped sem passagem de plantão</t>
  </si>
  <si>
    <t>Bandejas no expurgo</t>
  </si>
  <si>
    <t>Código azul na SEMI - gatilho - fratura de fêmur - broncoaspiração - óbito</t>
  </si>
  <si>
    <t>Paciente foi fazer procedimento cirúrgico - kit com clorexidina, porém tem alergia</t>
  </si>
  <si>
    <t>Deslocamento sonda</t>
  </si>
  <si>
    <t>Reação contraste e extravazamento - tomografia</t>
  </si>
  <si>
    <t>Lesão pressão grau 2 - UTI adulto</t>
  </si>
  <si>
    <t>2 falhas passagem plantão</t>
  </si>
  <si>
    <t>2 falhas identificação - pulseira, cça 4 dias - saiu nome mãe - 56 min para correção</t>
  </si>
  <si>
    <t>Desistência de paciente com suspeita de leucemia - disse que ia para SP</t>
  </si>
  <si>
    <t>Vazamento de água no CC - lavagem do ar na área técnica - queimou lâmpadas</t>
  </si>
  <si>
    <t>Paciente trocou de quarto a pedido médico - foi para a semi - ocorreu falha de comunicação, família reclamou - leito 318</t>
  </si>
  <si>
    <t>408 aguarda desospitalização - aguarda liberação Bradesco</t>
  </si>
  <si>
    <t>Paciente passou por atendimento PS foi dispensado - esta internado no São Luiz com embolia</t>
  </si>
  <si>
    <t>Médico entrou com caneta na RM - a qual foi atraída pelo campo magnético e machucou paciente</t>
  </si>
  <si>
    <t>Erro de prescrição - sem diluente - paciente Luisa</t>
  </si>
  <si>
    <t>Broncoaspiração paciente 311 - Moacir</t>
  </si>
  <si>
    <t>Extravazamento de contraste imagem</t>
  </si>
  <si>
    <t>Lesão em paciente da RM</t>
  </si>
  <si>
    <t>Sala observação do PA fechada para adequação</t>
  </si>
  <si>
    <t>Dispensário UTI - problema no final de semana</t>
  </si>
  <si>
    <t>Alteração de prescrição dipirona RN - notificado</t>
  </si>
  <si>
    <t>Identificação paciente CC - nomes parecidos</t>
  </si>
  <si>
    <t>Paciente saiu de alta do PS - com acesso</t>
  </si>
  <si>
    <t>Falha na transição de cuidado - passagem de plantão</t>
  </si>
  <si>
    <t>Perda sonda orogastrica</t>
  </si>
  <si>
    <t>Paciente UTI sem identificação risco assistencial</t>
  </si>
  <si>
    <t>Quarto com vazamento na UCO</t>
  </si>
  <si>
    <t>Fluxo dietas - CC</t>
  </si>
  <si>
    <t>RX parado - equipamento parou</t>
  </si>
  <si>
    <t>3D - relato de ausencia de higiene</t>
  </si>
  <si>
    <t>Transição cuidado - paciente foi para quarto onde havia outro paciente em isolamento</t>
  </si>
  <si>
    <t>Avaliar contingência imagem para pacientes Unimed</t>
  </si>
  <si>
    <t>Paciente Amil - cancelou cirurgia - estava em carência, alinhou com secretaria pagamento particular e desistiu</t>
  </si>
  <si>
    <t>Broncoaspiração 3D</t>
  </si>
  <si>
    <t>Reação alérgica contraste na imagem</t>
  </si>
  <si>
    <t>Queda sem dano na unidade de internação</t>
  </si>
  <si>
    <t>Falha de comunicação quanto dieta diabético</t>
  </si>
  <si>
    <t>Paciente fumante desceu para fumar</t>
  </si>
  <si>
    <t>Reconciliação</t>
  </si>
  <si>
    <t>Armazenamento errado epinefrina no carro emergencia - incidente com paciente</t>
  </si>
  <si>
    <t>Reação adversa contraste imagem</t>
  </si>
  <si>
    <t>Terminal de salas no CC requer melhorias</t>
  </si>
  <si>
    <t>Gerado lote para item não prescrito - aberto chamado para TI - observado que são antibióticos</t>
  </si>
  <si>
    <t>Erro na administração 8D</t>
  </si>
  <si>
    <t>Celso 102 - CIPREV - iniciou quimio sem autorização e sem assinar termo</t>
  </si>
  <si>
    <t>Colaborador Brasanitas se perfurou 5o. andar</t>
  </si>
  <si>
    <t>Lesão pressão uti neuro</t>
  </si>
  <si>
    <t>Paciente sacou sonda</t>
  </si>
  <si>
    <t>Portas materno - sendo ativado abertura automática</t>
  </si>
  <si>
    <t>Paciente fumante autorizado pelo médico para descer fumar</t>
  </si>
  <si>
    <t>Fluxo paciente cadeirante</t>
  </si>
  <si>
    <t>Troca de medicação no carrinho de anestesia do CC - hidrocortizona</t>
  </si>
  <si>
    <t>Raio x portátil quebrado</t>
  </si>
  <si>
    <t>3D problemas com higiene, geladeira sem limpeza</t>
  </si>
  <si>
    <t>Falha UTI adulto - troca amostra exames</t>
  </si>
  <si>
    <t>Cateter rompeu hemodinâmica</t>
  </si>
  <si>
    <t>Pulseira identificação ilegível</t>
  </si>
  <si>
    <t>Reação bromoprida em soro 10 ml - associada a diluição</t>
  </si>
  <si>
    <t>CC - 2D identificação trocada</t>
  </si>
  <si>
    <t>Dieta errada na uco</t>
  </si>
  <si>
    <t>Juliana / Giovanna</t>
  </si>
  <si>
    <t>Demora dieta 1h depois solicitado</t>
  </si>
  <si>
    <t>Lesão pele idosa tomo</t>
  </si>
  <si>
    <t>Lesão pele 3B - paciente veio da uti</t>
  </si>
  <si>
    <t>Erro identificação coleta exame uti</t>
  </si>
  <si>
    <t>Identificação folha prontuário</t>
  </si>
  <si>
    <t>Falha dispensação eletrolito - magnesio ao invés potássio</t>
  </si>
  <si>
    <t>Sala 3 do CC pingando água</t>
  </si>
  <si>
    <t>Adriana/ Januário</t>
  </si>
  <si>
    <t>Dietas para CC - rever fluxo</t>
  </si>
  <si>
    <t>Ponto de atenção higiene UTI-Semi</t>
  </si>
  <si>
    <t>Giovanna / Marjorie</t>
  </si>
  <si>
    <t>Terbutalina - estoque baixo - materno</t>
  </si>
  <si>
    <t>Thaís</t>
  </si>
  <si>
    <t>Acidente trabalho PS - em retirada de cateter respingou urina no colaborador</t>
  </si>
  <si>
    <t>Porta entrada para exames imagem - leitura crachá não esta funcionando</t>
  </si>
  <si>
    <t>Jessica/ Januário</t>
  </si>
  <si>
    <t>CME sem higiene no dia de ontem</t>
  </si>
  <si>
    <t>Antifúngico em falta - entrega errada, sem empréstimo</t>
  </si>
  <si>
    <t>Geladeiras com limpeza vencida</t>
  </si>
  <si>
    <t>Broncoaspiração na endoscopia</t>
  </si>
  <si>
    <t>Lesão pressão</t>
  </si>
  <si>
    <t>Cadeira sala cirúrgica esta travada, médico reclamou</t>
  </si>
  <si>
    <t>Ponto de atenção higiene Imagem</t>
  </si>
  <si>
    <t>Paciente transferido CS sem atendimento registrado</t>
  </si>
  <si>
    <t>Dr. Atila, Rose, Mari</t>
  </si>
  <si>
    <t>Falha de identificação - PS para Imagem</t>
  </si>
  <si>
    <t>Paciente SEMI - fumante</t>
  </si>
  <si>
    <t>Tempo infusão - ATB: abertas notificações retroativas</t>
  </si>
  <si>
    <t>Psico anestesia com medicamento utilizado foi entregue errado</t>
  </si>
  <si>
    <t>NPP´s atrasaram devido entrega</t>
  </si>
  <si>
    <t>Kit farmácia atrasou cirurgia</t>
  </si>
  <si>
    <t>Mediação diluida instalada com atraso</t>
  </si>
  <si>
    <t>Paciente desceu hemodinamica sem enfermagem</t>
  </si>
  <si>
    <t>Fluxo paciente externo - SBAR - implantar na imagem. Paciente atrasou 2h impactando atendimentos no dia 5.8</t>
  </si>
  <si>
    <t>Atraso no CC devido recepção - rever processo Rose - agilizar primeiro horário</t>
  </si>
  <si>
    <t>GE 1 parada RM</t>
  </si>
  <si>
    <t>Broncoaspiração PS Adulto</t>
  </si>
  <si>
    <t>Dificuldade contato UCO para passagem resultado crítico</t>
  </si>
  <si>
    <t>Lesão por pressão estágio 2 - semi - desbridamento</t>
  </si>
  <si>
    <t>Lesão por pressão estágio 1 - PA</t>
  </si>
  <si>
    <t>Cadeia medicamentosa-uti médico liberou prescrição urgência, mas não tinha saldo no carrinho - só tinha no dispensário - avaliar</t>
  </si>
  <si>
    <t>CC-falha na dispensação dados do paciente não batiam, comportamento da equipe</t>
  </si>
  <si>
    <t>Dieta saiu para entrega, mas não havia identificação para qual paciente</t>
  </si>
  <si>
    <t>Parada impressora da Farmácia devido teste gerador no sábado</t>
  </si>
  <si>
    <t>Enfeites de natal no pronto socorro</t>
  </si>
  <si>
    <t>Falha de passagem resultado crítico na Imagem</t>
  </si>
  <si>
    <t>Diogo</t>
  </si>
  <si>
    <t>Catarina</t>
  </si>
  <si>
    <t>CME - termo parada - área alagada</t>
  </si>
  <si>
    <t>Criança com prescrição de remiqueide - medicação aguarda liberação do Bradesco</t>
  </si>
  <si>
    <t>Perda da chave da maleta de transporte da CCIH - principal e reserva</t>
  </si>
  <si>
    <t>SEMI - resultados discrepantes de exames</t>
  </si>
  <si>
    <t>CC - encontrados termos trocados</t>
  </si>
  <si>
    <t>Lesão pele grau 2 1D</t>
  </si>
  <si>
    <t>Flebite grau 3 na semi</t>
  </si>
  <si>
    <t>Falha risco assistencial - tinha pulseira, mas não tinha risco</t>
  </si>
  <si>
    <t>Princípio incêndio seladora da Farmácia</t>
  </si>
  <si>
    <t>Troca de armazenamento no carrinho - troca do soro no CC</t>
  </si>
  <si>
    <t>Cateter rompido pós cirurgia</t>
  </si>
  <si>
    <t>Protocolo DT - exame liberado com mais de 1h20 pós coleta</t>
  </si>
  <si>
    <t>Psico encontrado bancada 2D</t>
  </si>
  <si>
    <t>Vários apontamentos higiene</t>
  </si>
  <si>
    <t>Falha identificação de soro no carrinho</t>
  </si>
  <si>
    <t>Falha na dieta no CC</t>
  </si>
  <si>
    <t>Sem placa higiene mão 7 e 8 andar</t>
  </si>
  <si>
    <t>Eventos de flebite - 2 eventos</t>
  </si>
  <si>
    <t>Falha de identificação pertences dos pacientes</t>
  </si>
  <si>
    <t>Relato de uso de adorno na semi</t>
  </si>
  <si>
    <t>Parametrização de monitor diferente na UTI Adulto</t>
  </si>
  <si>
    <t>Resultado crítico: médico da semi negou-se a fazer readback</t>
  </si>
  <si>
    <t>Resultado de hemograma se perdeu no CO - recoleta</t>
  </si>
  <si>
    <t>Lesão de pressão - 2 casos de estágio 2</t>
  </si>
  <si>
    <t>Extravazamento de contraste na imagem</t>
  </si>
  <si>
    <t>Dispensário com problema de dispensação de noroadrenalina e sorolização</t>
  </si>
  <si>
    <t>Não utilização de filtro em pacientes no isolamento</t>
  </si>
  <si>
    <t>Medela suja</t>
  </si>
  <si>
    <t>Falha de dispensação da farmácia - erro de etiqueta</t>
  </si>
  <si>
    <t>Paciente aguardando internação no PS, sem plano e não quer assinar cobrança particular</t>
  </si>
  <si>
    <t>Simone, Dr. Atila, Lilian</t>
  </si>
  <si>
    <t>Reação adversa bextra</t>
  </si>
  <si>
    <t>Atraso de exame no PSI</t>
  </si>
  <si>
    <t>Falta de registro de enfermagem quanto a dieta enteral</t>
  </si>
  <si>
    <t>Demora para entrega de medicação na farmácia</t>
  </si>
  <si>
    <t>Paciente transferido do PS para UTI Neuro andando e sem passagem de plantão</t>
  </si>
  <si>
    <t>Refeições de colaboradores noturno sendo servida fria</t>
  </si>
  <si>
    <t>Carrinho de anestesia incompleto CC</t>
  </si>
  <si>
    <t>Lesão por pressão 2D</t>
  </si>
  <si>
    <t>Paciente sem pulseira na Imagem</t>
  </si>
  <si>
    <t>Paciente com pulseira no braço errado 2D</t>
  </si>
  <si>
    <t>Monitor multiparâmetro parado na Imagem</t>
  </si>
  <si>
    <t>Termo de Risco Assistencial com nome do acompanhante</t>
  </si>
  <si>
    <t>Falha na passagem de plantão do 2D</t>
  </si>
  <si>
    <t>Seringa descartável sem identificação 8D - paciente relatou que era para tomar rivotril</t>
  </si>
  <si>
    <t>Paciente apresenta alergia leve ao contraste henetix - Imagem</t>
  </si>
  <si>
    <t>Colaborador do CC entra na UTI para buscar paciente, porém não o leva monitorizado e não comunica enfermeira que veio buscá-lo para procedimento.</t>
  </si>
  <si>
    <t>Sala fracionamento com ar condicionado vazando</t>
  </si>
  <si>
    <t>Medicação Lexapro 10mg checada na prescrição, porém encontro medicação na gaveta de psicotrópico (2C);</t>
  </si>
  <si>
    <t>Paciente internada na UTI desde o dia 28/12, com 2 avp puncionados em PS. Não realizado troca de AVP conforme protocolo institucional;</t>
  </si>
  <si>
    <t>Paciente apresentou coceira na garganta e calor, durante a infusão do medicamento Rituximabe (150ml/h --&gt; por volta da 14:50h);</t>
  </si>
  <si>
    <t>Equipe da enfermagem realiza devolução do medicamento termolábel Eprex e Florinefe fora de seu local de armazenamento (geladeira 2ºC a 8ºC), gerando descarte desnecessário e perca de custos ao hospital (4D e UTI Adulto);</t>
  </si>
  <si>
    <t>Paciente iniciou sensação de cefaléia, náuseas e rubor facial e em tronco com algumas pápulas associadas após medicações da manhã, unasyn e profenid (2C);</t>
  </si>
  <si>
    <t>Desligado precedex as 06h conforme orientação médica. Paciente contida em MMSS e MMII, sem acompanhante até o momento, agitada, confusa, se extuba acidentalmente (UTI Adulto);</t>
  </si>
  <si>
    <t>Medicamentos do paciente estavam armazenados junto à acompanhante e não sob controle da equipe de enfermagem (2C).</t>
  </si>
  <si>
    <t>Barata presente em quarto da pediatria</t>
  </si>
  <si>
    <t>Giovanna</t>
  </si>
  <si>
    <t>Reclame Aqui - atendimento Unimed Seguros</t>
  </si>
  <si>
    <t>Luciana</t>
  </si>
  <si>
    <t>Queda 2D sem dano</t>
  </si>
  <si>
    <t>Recoleta de exame errada no 4D - identificado pelo laboratório</t>
  </si>
  <si>
    <t>Atrasos no CC - reposição carrinho - higiene hemodinâmica</t>
  </si>
  <si>
    <t>Queda na pediatria - criança agitada</t>
  </si>
  <si>
    <t>Carrinhos beira leito uco com problema - notebook queimados</t>
  </si>
  <si>
    <t>Equipe de TI</t>
  </si>
  <si>
    <t>Paciente com CNE passado via EDA apresentando obstrução, paciente relata que a bomba de infusão alarmou durante o período da Tarde e que a mesma comunicou Técnica que disse ser "problema de bateria" (2C);</t>
  </si>
  <si>
    <t>Armazenamento incorreto - medicamento termolábil e Florinefe armazenados indevidamente fora da geladeira (4D e UTI Adulto);</t>
  </si>
  <si>
    <t>Demora em realizar a conferência dos carrinhos de Mat/Med da farmácia, gerando muito atraso no processo;</t>
  </si>
  <si>
    <t>Falha de demarcação do sítio cirúrgico - pedido médico indicava lado esquerdo e paciente apresenta fratura do lado Direito</t>
  </si>
  <si>
    <t>Higiene armazena travesseiro higienizado no expurgo</t>
  </si>
  <si>
    <t>Higiene ao recolher os lixos dos quartos, usam a mesma luva, ao sair de um quarto e entrar no outro (2D).</t>
  </si>
  <si>
    <t>Banheiro entupido na materno</t>
  </si>
  <si>
    <t>Falta medicamento nizinco - atrasou dose para paciente</t>
  </si>
  <si>
    <t>3D descartou fracos de insulina</t>
  </si>
  <si>
    <t>CC realizou devolução kit sem identificação do paciente</t>
  </si>
  <si>
    <t>Barata dentro da pia do banheiro raiox</t>
  </si>
  <si>
    <t>Extravasamento contraste na imagem</t>
  </si>
  <si>
    <t>Edema em paciente do 313</t>
  </si>
  <si>
    <t>Paciente do PS para Imagem sem identificação</t>
  </si>
  <si>
    <t>Farmácia entregou psicotrópico tramal em embalagem transparente (2D)</t>
  </si>
  <si>
    <t>Porta fundo maternidade esta quebrada</t>
  </si>
  <si>
    <t>Falta de tomadas sala nova UTI neo</t>
  </si>
  <si>
    <t>Hemodinamica - carro sala 9 usado e não sabe quem usou</t>
  </si>
  <si>
    <t>Medicação do carrinho de anestesia com tampa violada</t>
  </si>
  <si>
    <t>Identificação em membro errado 2D</t>
  </si>
  <si>
    <t>Ficha anestésica sem identificação no CC</t>
  </si>
  <si>
    <t>3D esta sem cilindo de oxigênio</t>
  </si>
  <si>
    <t>Carrinho da farmácia com demora de reposição, 40 minutos. Cirurgião aguardando e sala parada.</t>
  </si>
  <si>
    <t>Higiene com 02 colaboradoras apenas. Atraso para giro de sala centro cirúrgico.</t>
  </si>
  <si>
    <t>Falta de finalização de alta pelo mensageiro</t>
  </si>
  <si>
    <t>Carrinho hemo sem lacre verde - não estava reposto</t>
  </si>
  <si>
    <t>Imagem paciente puncionado 5x</t>
  </si>
  <si>
    <t>Traça na sala cirurgica</t>
  </si>
  <si>
    <t>2D termo de risco assistencial sem assinatura do paciente</t>
  </si>
  <si>
    <t>2C dispensação errada</t>
  </si>
  <si>
    <t>Cancelamento de endoscopia sem aviso farmácia</t>
  </si>
  <si>
    <t>Cancelamento de procedimento sem identificação paciente</t>
  </si>
  <si>
    <t>Devolução psicobox hemodinamica sem controle, sem lacre</t>
  </si>
  <si>
    <t>Prescrição errada de ciclofaxina - 400ml ao invés 400 gramas - leito 215</t>
  </si>
  <si>
    <t>Reação a contraste na imagem</t>
  </si>
  <si>
    <t>Queda na imagem - paciente tropeçou piso solto - dano leve</t>
  </si>
  <si>
    <t>Cartório esta inoperante devido troca de sistema</t>
  </si>
  <si>
    <t>Pulseira Identificação sendo colocada em membro errado - RECEPÇÃO PS</t>
  </si>
  <si>
    <t>Paciente admitido sem Pulseira de Identificação - PS</t>
  </si>
  <si>
    <t>Rouparia não repõem os privativos médicos do conforto médico da UCO;</t>
  </si>
  <si>
    <t>Descarte incorreto de máscara laríngea dentro do hamper de roupa para enxoval sujo (CC);</t>
  </si>
  <si>
    <t>Farmácia não está sendo sinalizada sobre a finalização dos procedimentos para reposição de carrinho de sala (CC);</t>
  </si>
  <si>
    <t>Casa do lazer está mantendo banheiros sempre sujos, vasos sanitários quase sempre entupidos, chuveiro queimado no vestiário.</t>
  </si>
  <si>
    <t>Fluxo retirada psicobox - equipe anestesia 7h</t>
  </si>
  <si>
    <t>Mensageiro acompanhou altas casas e não finalizou o processo dando saída real no tasy;</t>
  </si>
  <si>
    <t>Problemas com a identificação de exame - Realizado o exame Ecocardiograma, mas a enfermeira escreveu nome errado. O exame que a paciente levou para casa está com o sobrenome riscado de caneta, apenas o laudo tem o nome correto. Além disso, paciente observou que o horário do exame registrado nas imagens era 15h50, e nesse horário ainda não estava no local do exame;</t>
  </si>
  <si>
    <t>Prescrição médica encontrada em prontuário de outro paciente (Alas e UTI).</t>
  </si>
  <si>
    <t>Cirurgião apontou atraso - recepção - paciente disse que ficou mais de 3h aguardando na recepção</t>
  </si>
  <si>
    <t>Baixa adesão aos SLAs da nutrição no Quality24 - Concierge Causas: 1.Processo não aderente. 2. Absenteísmo e Turnover. 3. Área com impasses com os funcionários, por mudanças nos benefícios.</t>
  </si>
  <si>
    <t>Regiane de C Neves, Juliana Firmino</t>
  </si>
  <si>
    <t>Baixa adesão aos SLAs da Hotelaria no Quality24 - Concierge Causas: 1. Setor tem horário restrito de segunda a sexta. 2. Ausência de aprovação da solicitação de transferir os chamados para Manutenção (que é quem atende).</t>
  </si>
  <si>
    <t>Regiane de C Neves, Giovanna, Simone</t>
  </si>
  <si>
    <t>Dispensação Dimorf</t>
  </si>
  <si>
    <t>Robô DaVinci com problema no braço robótico durante procedimento</t>
  </si>
  <si>
    <t>Paciente retornou da RM - extravazamento</t>
  </si>
  <si>
    <t>Elevador 6 inoperante</t>
  </si>
  <si>
    <t>Porta do 2D com problema</t>
  </si>
  <si>
    <t>2D cuidadora apontou insetos no quarto</t>
  </si>
  <si>
    <t>2D paciente sem identificação alergia</t>
  </si>
  <si>
    <t>CC início de incêndio</t>
  </si>
  <si>
    <t>4D conversa alta - colaboradora sentada</t>
  </si>
  <si>
    <t>2D tecnico chamado colaborador higiene pediu para carregar celular</t>
  </si>
  <si>
    <t>2D flebite</t>
  </si>
  <si>
    <t>2C várias tentativas punção</t>
  </si>
  <si>
    <t>Queda na adesão aos SLAs da Enfermagem no Quality24 - Concierge Causas: 1. Aviso sonoro está parando de funcionar.</t>
  </si>
  <si>
    <t>Regiane de C Neves, Arnaldo, Catarina, Milena e Carol</t>
  </si>
  <si>
    <t>Falha nome paciente CC - Elisabete - passagem cateter</t>
  </si>
  <si>
    <t>GE2 RM - parada</t>
  </si>
  <si>
    <t>Adorno CC</t>
  </si>
  <si>
    <t>Higiene Casa do Lazer</t>
  </si>
  <si>
    <t>Lesão pressão 802</t>
  </si>
  <si>
    <t>2 casos flebites</t>
  </si>
  <si>
    <t>Troca de etiqueta no lactário</t>
  </si>
  <si>
    <t>Problema operadora - BradescoxUnimed (RN)</t>
  </si>
  <si>
    <t>Entrega de psicotrópico por engano 1D</t>
  </si>
  <si>
    <t>2D horários das prescrições com divergência</t>
  </si>
  <si>
    <t>Banheiro entupido 2D</t>
  </si>
  <si>
    <t>Extavazamento soro na Imagem</t>
  </si>
  <si>
    <t>Reação contraste na Imagem</t>
  </si>
  <si>
    <t>Falha lateralidade no CC</t>
  </si>
  <si>
    <t>Flebite 4D</t>
  </si>
  <si>
    <t>Troca de coleta exame na Semi</t>
  </si>
  <si>
    <t>Ar condicionado com problema recorrente na Materno</t>
  </si>
  <si>
    <t>Não devolução kit nascimento no CO</t>
  </si>
  <si>
    <t>Admissão paciente com dados de outro - PA&gt;ALA</t>
  </si>
  <si>
    <t>Paciente 414 neuro - superdosagem - encefalopatia</t>
  </si>
  <si>
    <t>Montagem kit incorreto hemodinamica</t>
  </si>
  <si>
    <t>Fisio usando adorno</t>
  </si>
  <si>
    <t>Falha identificação Hemodinâmica</t>
  </si>
  <si>
    <t>Falha identificação coleta PS</t>
  </si>
  <si>
    <t>Flebite 1D</t>
  </si>
  <si>
    <t>Falha armazenamento de medicação na semi</t>
  </si>
  <si>
    <t>Falha dispensação 2D</t>
  </si>
  <si>
    <t>Fracionamento incorreto pela CAP</t>
  </si>
  <si>
    <t>Princípio incendio na seladora</t>
  </si>
  <si>
    <t>Paciente 8D - sem prescrição</t>
  </si>
  <si>
    <t>Apontamento de material vindo da CME com muita sujidade</t>
  </si>
  <si>
    <t>Paciente com restrição - dispensada dieta errada</t>
  </si>
  <si>
    <t>Queda 1D sem dano</t>
  </si>
  <si>
    <t>Dispensação errada de soro pela farmácia</t>
  </si>
  <si>
    <t>Empresas de OPME entregas fora do horário na CME</t>
  </si>
  <si>
    <t>Falha no registro de medicação de uso em casa</t>
  </si>
  <si>
    <t>Queixa higiene na Imagem</t>
  </si>
  <si>
    <t>Identificação errada de acompanhante</t>
  </si>
  <si>
    <t>Farmácia: Falha no processo de preenchimento do formulário de interação medicamentosa.</t>
  </si>
  <si>
    <t>Falha no recebimento de psicotrópico (2ºD).</t>
  </si>
  <si>
    <t>Falha no horário de medicação de um paciente de quimio.</t>
  </si>
  <si>
    <t>Vazamento do ar-condicionado na farmácia.</t>
  </si>
  <si>
    <t>Engenharia Clínica: Lavadora da termo na CME parada, a porta está travada.</t>
  </si>
  <si>
    <t>Segurança do Paciente: 2º C com registro errado em prontuário.</t>
  </si>
  <si>
    <t>8º D paciente está em isolamento e na porta não tem identificação sobre risco de contaminação.</t>
  </si>
  <si>
    <t>Especialistas: Recepção trocou o termo de responsabilidade dos pacientes, colocou na pasta errada.</t>
  </si>
  <si>
    <t>Imagem: Vazamento da água da chuva na recepção da ressonância.</t>
  </si>
  <si>
    <t>Uso de adorno do colaborador da farmácia no Centro Cirúrgico.</t>
  </si>
  <si>
    <t>Cancelamento cirurgia. Opme - material reprocessado de outro hospital e não descartável.</t>
  </si>
  <si>
    <t>Cancelamento: Paciente pagou cirurgia e não foi encaminhado para recepção. Paciente foi embora</t>
  </si>
  <si>
    <t>3 andar: falha passagem de plantão e prescrição médica.</t>
  </si>
  <si>
    <t>Interação medicamentosa. Não preenchimento formulários.</t>
  </si>
  <si>
    <t>Sem equipe higiene hemodinamica</t>
  </si>
  <si>
    <t>Chovendo na sala 2 hemodinamica</t>
  </si>
  <si>
    <t>Ar condicionado farmácia pingando</t>
  </si>
  <si>
    <t>RX sala 2 parada</t>
  </si>
  <si>
    <t>2D- Falha de prescrição</t>
  </si>
  <si>
    <t>2D- 4 tentativas punção pelo mesmo profissional</t>
  </si>
  <si>
    <t>3D - Flebite grau I</t>
  </si>
  <si>
    <t>3D - Falha na administração de medicação</t>
  </si>
  <si>
    <t>UTI A - Falha de dispensação de medicação</t>
  </si>
  <si>
    <t>2D - falha na conferência de tira de medicação</t>
  </si>
  <si>
    <t>2D - transferido da UTI sem termo riscos assistenciais</t>
  </si>
  <si>
    <t>3D - transferido da UTI com exames de outro paciente</t>
  </si>
  <si>
    <t>CC com atraso na cirurgia da 7h</t>
  </si>
  <si>
    <t>Paciente sem pulseira de Identific - 2°D</t>
  </si>
  <si>
    <t>Termo de Riscos Assist sem assin - 2°D</t>
  </si>
  <si>
    <t>Pcte sem pulseira de riscos assist - 2°D e CC</t>
  </si>
  <si>
    <t>Pacientes eletivos reclamando de quartos coletivos na UTI</t>
  </si>
  <si>
    <t>Rose, Mari, Enf</t>
  </si>
  <si>
    <t>Atraso de medicação para paciente</t>
  </si>
  <si>
    <t>Paciente sem pulseira risco assistencial</t>
  </si>
  <si>
    <t>Site para consulta de imagens esta fora do ar</t>
  </si>
  <si>
    <t>Falta de indocelina - ponto de atenção (empréstimo com HUB Ribeirão)</t>
  </si>
  <si>
    <t>Falha transferencia cuidado imagem</t>
  </si>
  <si>
    <t>GL - falha na tranferencia de pacientes</t>
  </si>
  <si>
    <t>Falha identificação de riscos assistenciais</t>
  </si>
  <si>
    <t>Falha passagem plantão 3D</t>
  </si>
  <si>
    <t>DIU- Falha de comunicação Secretaria com Farmacia</t>
  </si>
  <si>
    <t>Juliana Diniz</t>
  </si>
  <si>
    <t>Higiene - falha de insumos e treinamento</t>
  </si>
  <si>
    <t>Imagem - filho recusa dar informações sobre prótese do pai, para adequar exame, após solicitação e confirmação do médico responsável</t>
  </si>
  <si>
    <t>Sonda folley em falta (Marca Rush) 16, 18</t>
  </si>
  <si>
    <t>Falha equipamento biópsia mamotomia casarão do café</t>
  </si>
  <si>
    <t>Cimatização CC</t>
  </si>
  <si>
    <t>Ar condicionado 702, 704, 705 sem funcionamento</t>
  </si>
  <si>
    <t>Brasanitas armazenando sanito no hidrante 3D</t>
  </si>
  <si>
    <t>UTI neo - Pais com covid + (RN isolado- definir horário de boletim)</t>
  </si>
  <si>
    <t>Leito 430 bloqueado - infestação de formiga</t>
  </si>
  <si>
    <t>Problema com acompanhante 405 - rever fluxo</t>
  </si>
  <si>
    <t>Paciente fica perdido no 5 andar.</t>
  </si>
  <si>
    <t>Campanha do silêncio</t>
  </si>
  <si>
    <t>Ar condicionado C.O.</t>
  </si>
  <si>
    <t>Enxoval ruim - sem reposição</t>
  </si>
  <si>
    <t>Vazamento 2 banheiro feminino imagem</t>
  </si>
  <si>
    <t>Ar condicionado casarão do café sem estabilidade</t>
  </si>
  <si>
    <t>Dificuldade contato com equipe climatização</t>
  </si>
  <si>
    <t>Ar condicionado CC</t>
  </si>
  <si>
    <t>Ar codicionao Maternidade 705</t>
  </si>
  <si>
    <t>Suporte Tasy para novos cirurgiões</t>
  </si>
  <si>
    <t>Tempo de espera balcão farmácia</t>
  </si>
  <si>
    <t>Perda da chave maleta de transporte pea 3º vez Neuro</t>
  </si>
  <si>
    <t>Reconciliação medicamentosa sem termo (recorrente)</t>
  </si>
  <si>
    <t>Avaliações de desempenho até 28/02</t>
  </si>
  <si>
    <t>Paciente internando sem prescrição médica</t>
  </si>
  <si>
    <t>Revisão fluxo D.O. natimorto</t>
  </si>
  <si>
    <t>Falta do Enetix para o setor de imagem (Impossibilita funcionamento)</t>
  </si>
  <si>
    <t>Braçadeira apareho de mapa</t>
  </si>
  <si>
    <t>5 quartos com problema n ar cond. maternidade Quartos 3,4,5,7,11</t>
  </si>
  <si>
    <t>Ar condicionado CME com problmea</t>
  </si>
  <si>
    <t>Copa 4º fechada para manutençao</t>
  </si>
  <si>
    <t>Gavetas de psicotropicos no 2c e neuro abertas</t>
  </si>
  <si>
    <t>Ar condicionado 710 com defeito</t>
  </si>
  <si>
    <t>Ar condicionado 713 com muita sujeidade visivel</t>
  </si>
  <si>
    <t>605 e 606 manutenção ar condicionado</t>
  </si>
  <si>
    <t>Ar condicionado na sala 2 C.C com problema</t>
  </si>
  <si>
    <t>705 3 707 bloqueado por conta de ar condicionado</t>
  </si>
  <si>
    <t>307 vazamento ar condicionado</t>
  </si>
  <si>
    <t>Ar condicionado sala de tomografia nova</t>
  </si>
  <si>
    <t>Sala 8 centro cirurgico pingando agua pelo foco</t>
  </si>
  <si>
    <t>Mensageiro nao finalizar a alta no tasy</t>
  </si>
  <si>
    <t>Controle de Acesso / Segurança</t>
  </si>
  <si>
    <t>Acompanhantes com dificuldade de circular pelo hospital devido facial nao liberar corretamente (quarto -&gt; casa do pao de queijo)</t>
  </si>
  <si>
    <t>Ar condicionado leito bloqueado</t>
  </si>
  <si>
    <t>705 ar condicinado quebrado</t>
  </si>
  <si>
    <t>23, 26 ar condicionado com defeito</t>
  </si>
  <si>
    <t>Nova Campinas</t>
  </si>
  <si>
    <t>Teste ergometrico nova campinas parado</t>
  </si>
  <si>
    <t>MAPA parado no HVC eng em atendimento</t>
  </si>
  <si>
    <t>Jantar Massima, 3 funcionarios passaram mal após se alimentar no resturante, foi coletado amostra e caso sera investigado.</t>
  </si>
  <si>
    <t>426 ar condicionado pingando (Paciente no quarto)</t>
  </si>
  <si>
    <t>Cianina, desbastecimento de estoque, não pode ser utilizado outro produto no Robo.</t>
  </si>
  <si>
    <t>801 ar conficionado pingando com paciente internado</t>
  </si>
  <si>
    <t>Dificuldade de contato com a copa (Paciente cirurgico)</t>
  </si>
  <si>
    <t>Dificuldade com acesso com cadastro facial pacientes</t>
  </si>
  <si>
    <t>Problema em equipamento na CME, parcialmente parasilado</t>
  </si>
  <si>
    <t>T.I. não esta realizando a ronda nos monitores do quality</t>
  </si>
  <si>
    <t>Ouvidoria com atraso nas respostas por parte dos gestores</t>
  </si>
  <si>
    <t>Dificuldades com acessos nas portas por parte de acompanhantes</t>
  </si>
  <si>
    <t>Radiologia (RM) sem colaborador da higiene treinado para atuar na area</t>
  </si>
  <si>
    <t>reparo quarto 317 vazamentos</t>
  </si>
  <si>
    <t>Fluxo de autorização e verificação de cobertura testes influenza e covid</t>
  </si>
  <si>
    <t>Fluxo de abertura de ficha para pacientes da UTI pediatrica</t>
  </si>
  <si>
    <t>Fluxo farmacia para uso de medicamento que está em falta, e médico agendar procedimento (Endocianina)</t>
  </si>
  <si>
    <t>Fluxo de retirada de medicação para protocolo de febre do PS</t>
  </si>
  <si>
    <t>Ajuste horario de visitas</t>
  </si>
  <si>
    <t>Dr Gabriel bloqueia temporariamente liberação de visitas em setores fechados, FORA do horário de visita</t>
  </si>
  <si>
    <t>Projetos e Inovação</t>
  </si>
  <si>
    <t>Projeto Quality inicio</t>
  </si>
  <si>
    <t>Higienizaçao na CAF</t>
  </si>
  <si>
    <t>Fluxo de acesso, liberação na porta dos setores, facial e sensor</t>
  </si>
  <si>
    <t>Pacientes em leito coletivo na semi solicitando apartamento individual por direito</t>
  </si>
  <si>
    <t>Notificações sobre higiene, qualidade dos terminais</t>
  </si>
  <si>
    <t>CSC</t>
  </si>
  <si>
    <t>Problemas com passagens de plantoes médicos entre transferencias do HVC - CSC</t>
  </si>
  <si>
    <t>Campanhas sobre adorno dentro do Hospital</t>
  </si>
  <si>
    <t>Melhorias no quality em andamento</t>
  </si>
  <si>
    <t>Autoclave e torneira de osmose quebrada no CME</t>
  </si>
  <si>
    <t>Manta do piso da radiologia (tomografia) esta com elevações e defeitos apresentando risco de queda</t>
  </si>
  <si>
    <t>Tomógrafo indaituba parado, engenharia ciente.</t>
  </si>
  <si>
    <t>Melhorias com Dr Atila e Rosi, referente a cobranças particulares e em espcial as da bucomaxilo</t>
  </si>
  <si>
    <t>materiais em falta na farmacia</t>
  </si>
  <si>
    <t>Medicação em falta na farmacia</t>
  </si>
  <si>
    <t>Retirada de mobiliario e reposição para manutenção ou ajustes</t>
  </si>
  <si>
    <t>Manutenção no ar condicionado quarto 703</t>
  </si>
  <si>
    <t>Fluxo de instalação de cortinas no box do banheiro, divergencia entre enfermagem x higiene</t>
  </si>
  <si>
    <t>Insatisfação de cliente na comunicação, clareza na transferencia de HVC para CSC</t>
  </si>
  <si>
    <t>Apenas uma autoclave no CME funcionando</t>
  </si>
  <si>
    <t>Sala tomografo GE2 com temperatura elevada</t>
  </si>
  <si>
    <t>Ar condicionado sala de espera pronto socorro</t>
  </si>
  <si>
    <t>Liberação de laudo da analise da agua para SCIH</t>
  </si>
  <si>
    <t>Quarto com poucas tomadas, sendo necessario utilizar extensão para uso de todos os equip.429</t>
  </si>
  <si>
    <t>Berço panda com problemas tecnicos e defeitos</t>
  </si>
  <si>
    <t>Ouvidoria</t>
  </si>
  <si>
    <t>40 boletins atrasados na ouvidoria- Aguarda retorno dos gestores</t>
  </si>
  <si>
    <t>Alinhamento de fluxo de refeição de acompanhante nas semis intensiva</t>
  </si>
  <si>
    <t>Fluxo de bloqueio de elevador para acesso ao centro cirurgico</t>
  </si>
  <si>
    <t>Fluxo de Cobrança de itens nao cobertos pela operadora</t>
  </si>
  <si>
    <t>Atraso medicação T.I.</t>
  </si>
  <si>
    <t>Fluxo solicitação CupCake e bolo, aniversario ou alta</t>
  </si>
  <si>
    <t>Fluxo de visita com dificuldades</t>
  </si>
  <si>
    <t>Castelo</t>
  </si>
  <si>
    <t>Portao com problemas na unidade castelo, solto risco de queda</t>
  </si>
  <si>
    <t>Portão da unidade castelo caiu</t>
  </si>
  <si>
    <t>Fluxo de liberação de dieta, dieta liberada no tasy mas nao aparece para copeira</t>
  </si>
  <si>
    <t>problema eletrico no 304, quarto sem energia.</t>
  </si>
  <si>
    <t>Fluxo de solicitação de ambulancia, quem fica responsavel</t>
  </si>
  <si>
    <t>Treinamento para uso do equipamento de terapia de pressao negativa da Heartman</t>
  </si>
  <si>
    <t>Disponibilização de mais tomadas no quarto pediatria em pendencia</t>
  </si>
  <si>
    <t>Correção de erro de diluição pelo sistema nas medicações</t>
  </si>
  <si>
    <t>Fluxo de liberação de dieta para alergicos ou intolerantes</t>
  </si>
  <si>
    <t>Mesa cirurgica parada devido problema tecnico</t>
  </si>
  <si>
    <t>Oximetro do tesla da ressonancia da radiologia danificada</t>
  </si>
  <si>
    <t>artefatos na imagem da GE1 ressonancia</t>
  </si>
  <si>
    <t>Aliança- extravio após descer para setor de radiologia</t>
  </si>
  <si>
    <t>Transporte de medicação da empresa dientregue esta sendo feito de maneira inadequada, com caixas incorretas.</t>
  </si>
  <si>
    <t>Seladora da farmacia pegou fogo 2 vezes</t>
  </si>
  <si>
    <t>Caixas acrilicas dos pacientes voltando quebradas e sem cadeados</t>
  </si>
  <si>
    <t>Sala 2 do raio x com defeito no painel</t>
  </si>
  <si>
    <t>Instabilidade no aplicativo Effort</t>
  </si>
  <si>
    <t>Elevador nº6 parado, em manutenção ja</t>
  </si>
  <si>
    <t>Cirurgiaão não apareceu na cirurgia</t>
  </si>
  <si>
    <t>Orientação sobre biopsia de colono desencontrada pela equipe médica e assistencial</t>
  </si>
  <si>
    <t>Pacs com instabilidade no final de semana, gerando impacto no paciente com demora de liberação de laudo</t>
  </si>
  <si>
    <t>Problema nas TVs da neuro (Cabo antena)</t>
  </si>
  <si>
    <t>UTI Ped sem aparelho de CNAF suficiente, criança em possivel necessidade</t>
  </si>
  <si>
    <t>Pediatria sem berços disponiveis suficientes para demanda ped</t>
  </si>
  <si>
    <t>Ressonancia GE1 parada com previsao de retorno para apos almoço</t>
  </si>
  <si>
    <t>quarto 715, queixa sobre ar condicionado com sujeidade visivel</t>
  </si>
  <si>
    <t>Fluxo de internação para urgencia de consultório, pacientes aguardando muito tempo para internação.</t>
  </si>
  <si>
    <t>Higienização das medelas em fluxo de correção com nutrição</t>
  </si>
  <si>
    <t>CÓDIGOS INSTITUCIONAIS ONDE PEGAR HISTORICO</t>
  </si>
  <si>
    <t>quarto 420 com vazamento</t>
  </si>
  <si>
    <t>Multiplas punções notificação</t>
  </si>
  <si>
    <t>Represamento de pacientes cirurgicos na recepção</t>
  </si>
  <si>
    <t>Entrada indevida de visitantes pela entrada do PSA</t>
  </si>
  <si>
    <t>Projetos</t>
  </si>
  <si>
    <t>Baixo numero de chamados no quality</t>
  </si>
  <si>
    <t>Enfermeiro UTI discordando do fluxo de liberação de psicotropicos somente em maleta</t>
  </si>
  <si>
    <t>Higienização das medelas continua com falha</t>
  </si>
  <si>
    <t>Falha de protocolo de suicidio na UTI adulto (Ajuste barreiras)</t>
  </si>
  <si>
    <t>Mauina de congelação do centro cirurgico parada</t>
  </si>
  <si>
    <t>GE3 ressonancia em manutenção</t>
  </si>
  <si>
    <t>Sala ge3 parada para manutenção</t>
  </si>
  <si>
    <t>Dificuldade de contato com a copa para solicitar refeição e entrega de dieta</t>
  </si>
  <si>
    <t>330 Arcondicionado com barulho alto, cliente reclamando</t>
  </si>
  <si>
    <t>712 Problema no ar condicionado</t>
  </si>
  <si>
    <t>Melhorias no fluxo de chamados do Quality</t>
  </si>
  <si>
    <t>Simone / Claudia</t>
  </si>
  <si>
    <t>Termo do centro cirurgico paralizada e sem contingencia</t>
  </si>
  <si>
    <t>Maquina de congelação centro cirurigco</t>
  </si>
  <si>
    <t>Divisória da sala de observação, uma caiu e todas estão bambas, expondo paciente.</t>
  </si>
  <si>
    <t>Robo ortopedia esta com peça danificada e será necessario troca de peça. Aguardando previsão para entrega por parte do fabricante.</t>
  </si>
  <si>
    <t>Corredor da enfermaria pediatria esta pingando agua do teto</t>
  </si>
  <si>
    <t>Sala 3 centro cirurgico bloqueado devido ar condicionado</t>
  </si>
  <si>
    <t>702 placa do teto quase caiu em cima do paciente</t>
  </si>
  <si>
    <t>Orientação sobre guarda de medicamento dos pacientes no quarto.</t>
  </si>
  <si>
    <t>Alinhamento de refeição de pacinte e acompanhante em isolamento a refeição sera levada no quarto</t>
  </si>
  <si>
    <t>Fluxo de higienização das medelas em ajuste</t>
  </si>
  <si>
    <t>Reforço de barreia para identificação de paciente, pai abriu ficha no nome dele ao inves de abrir para criança</t>
  </si>
  <si>
    <t>Sala centro cirurgico com ar condicionado com defeito</t>
  </si>
  <si>
    <t>apontamento cris</t>
  </si>
  <si>
    <t>Problema com agua quente devido bomba</t>
  </si>
  <si>
    <t>Pcte positivou dengue dentro do hospital, possivel foco proximo a ala C.</t>
  </si>
  <si>
    <t>Atraso na entrega de equipamento, ocasionou atraso no inicio da agenda da ressonancia.</t>
  </si>
  <si>
    <t>Apontamentos sobre demanda de solicitações de ouvidoria</t>
  </si>
  <si>
    <t>1 seladora que pegou fogo na farmácia, manutenção acionada</t>
  </si>
  <si>
    <t>Equipe de Manutenção</t>
  </si>
  <si>
    <t>enf não está conseguindo solicitar cateter co2</t>
  </si>
  <si>
    <t>conservação das caixas de acriclico 5 quebradas</t>
  </si>
  <si>
    <t>Equipe de Farmácia</t>
  </si>
  <si>
    <t>queda de energia no dnd, acionar manunteção para verificação</t>
  </si>
  <si>
    <t>Problema no Ar condiconado do CC</t>
  </si>
  <si>
    <t>Fortalecer processo de admissão de enf/Termo Riscos</t>
  </si>
  <si>
    <t>Q24 orientação.</t>
  </si>
  <si>
    <t>Raio X portátil 1 parado</t>
  </si>
  <si>
    <t>Equipe de Engenharia Clínica</t>
  </si>
  <si>
    <t>Paciente pegou dengue internado, Dutos Manutenção</t>
  </si>
  <si>
    <t>Restaurante Massima</t>
  </si>
  <si>
    <t>Queda de colaborador, enfrente ao refeitorio, vazamento</t>
  </si>
  <si>
    <t>Higiene, plantão impar 4c Neuro</t>
  </si>
  <si>
    <t>Indentificação de paciente, (paciente que alertou recepção)</t>
  </si>
  <si>
    <t>Colaboradores novos</t>
  </si>
  <si>
    <t>Solicitações Ouvidoria</t>
  </si>
  <si>
    <t>Elogios ao Fluxo da Eng Clínica (casa de saúde)</t>
  </si>
  <si>
    <t>Falhas envolvendo protocolo de Sepse.</t>
  </si>
  <si>
    <t>Quarto 108 interditado por goteira</t>
  </si>
  <si>
    <t>SCIH/CCIH / Engenharia Clínica</t>
  </si>
  <si>
    <t>Osmose funcionando 6 dias com bacterias, onde foram atendidos alguns pacientes, os pacientes vão ficar no radar do SCIH</t>
  </si>
  <si>
    <t>Indentificação de paciente radiologia</t>
  </si>
  <si>
    <t>Treinamento Meta 1 Urgente certificação novo colaborador</t>
  </si>
  <si>
    <t>Visita Lactario em 15 Conversar</t>
  </si>
  <si>
    <t>Médicamento importado sem Registro Anvisa(em tratamento)</t>
  </si>
  <si>
    <t>Processo para Cobrança de dieta</t>
  </si>
  <si>
    <t>Leito 109 Bloqueado para manutenção</t>
  </si>
  <si>
    <t>Medicamento sem indentificação e ministrado pela própia mãe, entregue pela enfermagem(alivium)</t>
  </si>
  <si>
    <t>Jurídico</t>
  </si>
  <si>
    <t>Briga no quarto pela familia, paciente se ausentou com acesso venoso do hospital(casa de saúde)</t>
  </si>
  <si>
    <t>Rever processos de procedimentos e batimapa</t>
  </si>
  <si>
    <t>Cobrança Dieta interal Bradesco</t>
  </si>
  <si>
    <t>Laser avaliar novo Aparelho</t>
  </si>
  <si>
    <t>Revisão de protocolo de trauma</t>
  </si>
  <si>
    <t>Manunteção corretiva RM</t>
  </si>
  <si>
    <t>Apontamentos sobre CC</t>
  </si>
  <si>
    <t>Convênio Unica Saúde demorando internação</t>
  </si>
  <si>
    <t>Verificar Adição de espelhos nos quartos na Casa de Saúde</t>
  </si>
  <si>
    <t>Caneta de marcação cirurgica</t>
  </si>
  <si>
    <t>Ruido no segundo C</t>
  </si>
  <si>
    <t>Paciente sem pulseira de indentificação</t>
  </si>
  <si>
    <t>Fluxo transferencia Casa de Saúde para o Vera(verificação de convênio)</t>
  </si>
  <si>
    <t>Vazamento na copa do terceiro andar</t>
  </si>
  <si>
    <t>RM parada deis de sabado GE1</t>
  </si>
  <si>
    <t>Paciente internado sem pulseira de indentificação no 4C</t>
  </si>
  <si>
    <t>AutoClave Parada</t>
  </si>
  <si>
    <t>Sala de Anestesia parada</t>
  </si>
  <si>
    <t>Estapar</t>
  </si>
  <si>
    <t>Estapar cobrança de PCD (É isento)</t>
  </si>
  <si>
    <t>Termo do CC parada</t>
  </si>
  <si>
    <t>Impressora do CME parado</t>
  </si>
  <si>
    <t>Raio X portátil 1 ainda está parado</t>
  </si>
  <si>
    <t>Sala 2 do CC com mal cheiro</t>
  </si>
  <si>
    <t>Orientação para acompanhantes com sintomas gripais</t>
  </si>
  <si>
    <t>Técnico bipou etiqueta do paciente e veio a ficha de outro paciente</t>
  </si>
  <si>
    <t>Aparelho de Rm da cc parado (casa de saúde)</t>
  </si>
  <si>
    <t>Insatisfação com gravação de cirúrgia via microscopio</t>
  </si>
  <si>
    <t>Enf perdeu a chave da caixa acrilica Enf 3D</t>
  </si>
  <si>
    <t>Bituca de cigarros no Heliponto</t>
  </si>
  <si>
    <t>Falha de indentificação em pulseira do paciente, Bip da maquina puxava outro paciente em sistema</t>
  </si>
  <si>
    <t>Transferencia de paciente entre Vera a Casa de Saúde (paciente foi para casa de saúde de uber)</t>
  </si>
  <si>
    <t>tinta da pintura da fachada caiu em cima do carro que estava estacionado na rua (Ouvidoria)</t>
  </si>
  <si>
    <t>Erro no resultado de exames do laboratório com resultados iguais, mistura de amostas</t>
  </si>
  <si>
    <t>Dr. Rodrigo</t>
  </si>
  <si>
    <t>Suprimentos</t>
  </si>
  <si>
    <t>Hospital sem insulina Reg.</t>
  </si>
  <si>
    <t>Reforma 410 com previsao de entrega para o dia seguinte</t>
  </si>
  <si>
    <t>Transporte paciente ps para UTI sem passagem de plantao</t>
  </si>
  <si>
    <t>1 Poligrafo parado</t>
  </si>
  <si>
    <t>Mesa de Estereo do Casarão parada</t>
  </si>
  <si>
    <t>Ruido no Subsolo por manutenção</t>
  </si>
  <si>
    <t>Desospitalização</t>
  </si>
  <si>
    <t>309 vai fazer um novo PIC e acionamento da desospitalização</t>
  </si>
  <si>
    <t>CC com 8 chamados e 12,5% de adesão</t>
  </si>
  <si>
    <t>Alinhamento de fluxo de medicação via PS</t>
  </si>
  <si>
    <t>Medicamento Guardado errado no dispesário na UTI adulto</t>
  </si>
  <si>
    <t>Carro de anesestesia da sala 4 parado</t>
  </si>
  <si>
    <t>Ruído no PS até o final final da semana</t>
  </si>
  <si>
    <t>Falta de Medicação no dispesário UTI adulto</t>
  </si>
  <si>
    <t>MedSenior não autorizando internação de paciente via PS (Casa de Saúde)</t>
  </si>
  <si>
    <t>Atraso de materiais na casa de saúde</t>
  </si>
  <si>
    <t>Casa de Saúde ainda sem Insulina</t>
  </si>
  <si>
    <t>TV 416 com mal funcionamento e imagem ruim</t>
  </si>
  <si>
    <t>Maquina de congelação do cc parada</t>
  </si>
  <si>
    <t>Rx portátil parado PS (novamente)</t>
  </si>
  <si>
    <t>Queixa cobrança Buco Maxilo sem aviso prévio</t>
  </si>
  <si>
    <t>RM GE1 parada por 51m</t>
  </si>
  <si>
    <t>Bobina de joelho da unidade castelo parada</t>
  </si>
  <si>
    <t>Aguardando aprovação de termometro</t>
  </si>
  <si>
    <t>339 bloqueado</t>
  </si>
  <si>
    <t>Informação com a Fono avaliação AVC</t>
  </si>
  <si>
    <t>Processo de agendamento imagem</t>
  </si>
  <si>
    <t>Processo de transferencia da Casa de saúde para o Vera Cruz</t>
  </si>
  <si>
    <t>Indentificação de água no chão, marjorie pediu auxilio para todos sobre sinalização de água no chão</t>
  </si>
  <si>
    <t>Desistencia e evasão Casa de Saúde</t>
  </si>
  <si>
    <t>Ouvidoria PICC</t>
  </si>
  <si>
    <t>Manutenção preventina maquina ressonancia castelo</t>
  </si>
  <si>
    <t>Higiene, troca de lixo e reposição de descartaveis no final de semana no setor de radiologia</t>
  </si>
  <si>
    <t>Realização de bate mapa um dia antes para evitar atrasos nas ressonancias</t>
  </si>
  <si>
    <t>Ar condicionado Sala 6 do Centro cirurgico</t>
  </si>
  <si>
    <t>Quarto 336 Com cheiro de Esgoto, Quarto vai ser bloqueado</t>
  </si>
  <si>
    <t>321A Familia insatisfeita com quarto coletivo</t>
  </si>
  <si>
    <t>Quarto 339 com cheiro de esgoto, quarto bloqueado</t>
  </si>
  <si>
    <t>Quarto 110 Bloqueado para reforma</t>
  </si>
  <si>
    <t>Round</t>
  </si>
  <si>
    <t>416 paciente com varias queixas sobre semi intensiva, reclamou de barulho</t>
  </si>
  <si>
    <t>Reunião sobre tempo para copeira atender pedidos via Q24</t>
  </si>
  <si>
    <t>Raio X portátil PS previsão de concerto para hoje</t>
  </si>
  <si>
    <t>1 Gerador parado sem previsão de concerto</t>
  </si>
  <si>
    <t>5 Chamados sem serem atendidos no Quality</t>
  </si>
  <si>
    <t>Auditoria in loco verificou a falta de higiene nas placas</t>
  </si>
  <si>
    <t>RM do Castelo parada para manutenção</t>
  </si>
  <si>
    <t>GE 3 manutenção preventiva</t>
  </si>
  <si>
    <t>336 quarto bloqueado para manutenção e reforma</t>
  </si>
  <si>
    <t>Fio de cabelo encontrado dentro da caixa de instrumental no inicio da cirurgia</t>
  </si>
  <si>
    <t>Relacionamento Médico</t>
  </si>
  <si>
    <t>Realização de cirurgia por medico sem cadastro no Tasy</t>
  </si>
  <si>
    <t>425 paciente pediatrica, demora para processo de internação</t>
  </si>
  <si>
    <t>Agendamento Cirúrgico</t>
  </si>
  <si>
    <t>Falha na comunicação de alteração de agenda cirurgica com os médicos, onde apenas uma equipe médica foi avisada</t>
  </si>
  <si>
    <t>Ressonancia castelo parada por uma hora, porem resolvido</t>
  </si>
  <si>
    <t>Fluxo de reposição de dispensario na UTI</t>
  </si>
  <si>
    <t>Banco de Sangue</t>
  </si>
  <si>
    <t>Fluxo de assinatura de termo de consentimento reposição de sangue com fragilidade</t>
  </si>
  <si>
    <t>Material vencido no CAF</t>
  </si>
  <si>
    <t>Bolsa coletora furada, subiu para internação ainda furada</t>
  </si>
  <si>
    <t>Demora na reposição dispensário na UTI</t>
  </si>
  <si>
    <t>Paciente 417, apontado rounds</t>
  </si>
  <si>
    <t>223 com questões sociais e alimentação para acompanhantes</t>
  </si>
  <si>
    <t>808 Paciente está internado no particular para realizar coleta de medula</t>
  </si>
  <si>
    <t>Manutenção ar condicionado centro cirugico com empresa especializada</t>
  </si>
  <si>
    <t>Limpeza luminarias centro cirurgico</t>
  </si>
  <si>
    <t>330 filha Jussara - fazer visita Ouvidoria</t>
  </si>
  <si>
    <t>Fluxo retirada de acesso</t>
  </si>
  <si>
    <t>Privacidade Radiologia</t>
  </si>
  <si>
    <t>HD equipamento parado</t>
  </si>
  <si>
    <t>Vazamento area de residuos com manutençao atuando</t>
  </si>
  <si>
    <t>porta armário neuro 4c</t>
  </si>
  <si>
    <t>prontuários trocados?</t>
  </si>
  <si>
    <t>Furto estacionamento HVC estapar</t>
  </si>
  <si>
    <t>Ressonancia parada para instalação da bobina</t>
  </si>
  <si>
    <t>Alinhamento de liberação de paciente da RPA com blqueio, disseminar para equipe sobre notificações</t>
  </si>
  <si>
    <t>Apenas um tec de enfermagem acompanhou criança que engoliu brinco para o centro cirurgico</t>
  </si>
  <si>
    <t>Maquina criostato</t>
  </si>
  <si>
    <t>Crachás para acompanhantes da UTIS</t>
  </si>
  <si>
    <t>RM castelo manutenção preventiva</t>
  </si>
  <si>
    <t>Manutenção corretiva robo CC</t>
  </si>
  <si>
    <t>Demolição banheiro no PS por vazamento</t>
  </si>
  <si>
    <t>332B leito bloqueado para manutenção</t>
  </si>
  <si>
    <t>Casa de Saúde</t>
  </si>
  <si>
    <t>Fornecedor smith com atraso de entrega de instrumental para cirúrgia</t>
  </si>
  <si>
    <t>Falha administração de medicamento no paciente que possuia alergia mencionada</t>
  </si>
  <si>
    <t>Quarto 336 UCO problemas no controle de acesso, mais visitantes que o permitido</t>
  </si>
  <si>
    <t>Não entrega de materiais por fornecedor (Centro cirurgico)</t>
  </si>
  <si>
    <t>Dieta de paciente e acompanhante chegando na mesma bandeja em alguns leitos</t>
  </si>
  <si>
    <t>Falta de produto de limpeza na UTI adulto, a higiene foi feita com água</t>
  </si>
  <si>
    <t>Muitas solicitações sem o nome do paciente via Q24 para a nutrição</t>
  </si>
  <si>
    <t>311 Bloqueado para manutenção</t>
  </si>
  <si>
    <t>Ruidos setor tomografia</t>
  </si>
  <si>
    <t>Pintura no banheiro do PS GO</t>
  </si>
  <si>
    <t>Notificação por falta de indentificação de paciente Q24</t>
  </si>
  <si>
    <t>Um dos arcos cirúrgicos parados (casa de saúde)</t>
  </si>
  <si>
    <t>Polimeros da hemondinamiica permanece parado</t>
  </si>
  <si>
    <t>Manutenção RM castelo</t>
  </si>
  <si>
    <t>Falta de preenchumento de reconciliação medicamentosa</t>
  </si>
  <si>
    <t>Medicamento armazenado em local indevido (Notificação de risco Vivia)</t>
  </si>
  <si>
    <t>iniciado a troca da clorexidina alcoolica transparente pela azul</t>
  </si>
  <si>
    <t>Defeito na RM unidade castelo, chiller</t>
  </si>
  <si>
    <t>Problema no wifi da farmacia, paralisando o uso dos palms</t>
  </si>
  <si>
    <t>Empresa esteve presente para avaliar o cabeamento dos televisores (Antena)</t>
  </si>
  <si>
    <t>Paciente sem pulseira de identificação foi para leito de internação (Notificado)</t>
  </si>
  <si>
    <t>Códigos institucionais, necessidade de revisão dos fluxos, treinamento e reforço de orientação com equipes</t>
  </si>
  <si>
    <t>Falta da pulseira de identificação (insumo) na casa de saude</t>
  </si>
  <si>
    <t>Paciente do PS Codigo roxo sem aviso prévio enviado para o CC</t>
  </si>
  <si>
    <t>329 e 332A Ar condicionado com mal funcionamento</t>
  </si>
  <si>
    <t>705 Em reforma</t>
  </si>
  <si>
    <t>Preparo de Colono (informações passadas ao paciente)</t>
  </si>
  <si>
    <t>Dificuldade de contato no Telefone do Hospital (Ramal)</t>
  </si>
  <si>
    <t>Caneta Eletrocirurgica Problema no abastecimento (notificar Holding)</t>
  </si>
  <si>
    <t>RM parada, empresa vai realizar manuteção hoje</t>
  </si>
  <si>
    <t>Ruídos</t>
  </si>
  <si>
    <t>Problema na assinatura eletronica em todos os setores</t>
  </si>
  <si>
    <t>Arnaldo</t>
  </si>
  <si>
    <t>Leito 416 em manutenção</t>
  </si>
  <si>
    <t>Erro tecnico na integração entre quality e effort</t>
  </si>
  <si>
    <t>Erro na medida de medicação, aumentaram a dose administrada</t>
  </si>
  <si>
    <t>Questão de acompanhante no PS, Sobre legislação de acompanhante de mulheres</t>
  </si>
  <si>
    <t>Recoleta de exame no laboratório, mesmo o paciente alegando que já foi coletado</t>
  </si>
  <si>
    <t>Reparo no telhado CSC</t>
  </si>
  <si>
    <t>Hotelaria / Engenharia Clínica</t>
  </si>
  <si>
    <t>428 Leito Uti ped não esta adaptado sem cortina e sem monitor</t>
  </si>
  <si>
    <t>404 Paciente ped está em ala adulta, e precisa de um leito pediatrico</t>
  </si>
  <si>
    <t>340 paciente particular com queixas sobre cobranças da nutrição</t>
  </si>
  <si>
    <t>341 porta quebrada</t>
  </si>
  <si>
    <t>414 paciente com queixas sobre nutricionista e dieta</t>
  </si>
  <si>
    <t>Comunicação com os familiares na sala da familia pela alta demanda de cirúrgia</t>
  </si>
  <si>
    <t>Solicitações para a nutrição via quality sem nome e sem número de leito</t>
  </si>
  <si>
    <t>Focos cirúrgicos a troca entre os da CSC e do Centro Obstétrico</t>
  </si>
  <si>
    <t>GE1 Parada sem previsão de concerto</t>
  </si>
  <si>
    <t>Facial de liberaçao de porta com problema no centro cirurgico (Apontado pela luiza)</t>
  </si>
  <si>
    <t>Enfermagem Imagem / Radiologia</t>
  </si>
  <si>
    <t>Paciente precisou trocar de roupa para colocar avental proximo ao médico (Endoscopia)</t>
  </si>
  <si>
    <t>Casa do pao de queijo ouvidoria relacionada a higiene, produtos e serviços</t>
  </si>
  <si>
    <t>Tv neuro realizada a manutenção</t>
  </si>
  <si>
    <t>Armario Neuro caindo e gerando risco para o colaborador</t>
  </si>
  <si>
    <t>Probema com declaração de óbito para fornecimento na casa de saude. (resolvido)</t>
  </si>
  <si>
    <t>Bonilha</t>
  </si>
  <si>
    <t>Sem controle da temperatura do ar do CC 1, 2 e 5</t>
  </si>
  <si>
    <t>4 queixas sobre dificuldade de contato Call Center</t>
  </si>
  <si>
    <t>Q24 Não voltou após a queda de energia</t>
  </si>
  <si>
    <t>Paciente transferido para outro quarto sem comunicação durante a noite</t>
  </si>
  <si>
    <t>Enfermagem Pediatria</t>
  </si>
  <si>
    <t>Caixa de transporte sem cadeado</t>
  </si>
  <si>
    <t>Q24 CC</t>
  </si>
  <si>
    <t>Foco Cirúrgico centro obstetrico</t>
  </si>
  <si>
    <t>RM GE1 Parada e resolvido, e troca de peça</t>
  </si>
  <si>
    <t>OPME</t>
  </si>
  <si>
    <t>Faltou OPME de Emergência da vascular para o CC</t>
  </si>
  <si>
    <t>Monitor de anestesia não está funcionando após queda de energia</t>
  </si>
  <si>
    <t>Vazando água destilada no reservatório do laser no Centro Cirúrgico</t>
  </si>
  <si>
    <t>206 bloqueado para reforma</t>
  </si>
  <si>
    <t>As altas da Mater saíram sem alta da fono, por ser terceira</t>
  </si>
  <si>
    <t>Terceiros</t>
  </si>
  <si>
    <t>Cartório está com as atividades suspensas por falta de sistema</t>
  </si>
  <si>
    <t>Sobrecarga de energia das salas do cc, equipamento que detecta se está tendo sobrecarga</t>
  </si>
  <si>
    <t>Transferência de cuidado, reunião sexta para alinhamento</t>
  </si>
  <si>
    <t>Telhado CSC para manutenção, que casou alagamento</t>
  </si>
  <si>
    <t>Baixa adesão concierge</t>
  </si>
  <si>
    <t>GreenLight Laser parado para manutenção sem previsão de volta</t>
  </si>
  <si>
    <t>Limpeza da fachada do bloco B</t>
  </si>
  <si>
    <t>Abulancia parada na porta do hospital dia de forma erronia, aguardando alguem abrir a porta, o2 acabando e se conseguir contato com UTI.</t>
  </si>
  <si>
    <t>Paciente que foi encaminhada para casa de saude e ao chegar la foi solicitada transferencia para o HVC novamente devido HD de forma errada.</t>
  </si>
  <si>
    <t>Duplicação de fita de paciente na semi</t>
  </si>
  <si>
    <t>Leito 701 parado na manutenção</t>
  </si>
  <si>
    <t>Ruídos no casarão e na sala de espera da Rm</t>
  </si>
  <si>
    <t>Monitor de anestesia da Rm sem funcionamento, previsão apenas pra segunda</t>
  </si>
  <si>
    <t>Serviço Social</t>
  </si>
  <si>
    <t>Caso social grave leito R11 CSC, paciente</t>
  </si>
  <si>
    <t>Arco cirúrgico entrou em manutenção na data de hoje e já liberado CSC</t>
  </si>
  <si>
    <t>341 UCO bloqueado para reforma e pintura do quarto</t>
  </si>
  <si>
    <t>Prontuários não estão sendo preenchidos com a prescrição de medicamentos</t>
  </si>
  <si>
    <t>Equipe de Enfermagem</t>
  </si>
  <si>
    <t>pacientes saindo da RPA não trocam de setores no sistema e que dificulta a copa a encontrar o paciente</t>
  </si>
  <si>
    <t>Experiência do Paciente</t>
  </si>
  <si>
    <t>Barulho (NEP)</t>
  </si>
  <si>
    <t>Claudia Matias</t>
  </si>
  <si>
    <t>Pintura do teto do Centro Obstetrico (Sala 2)</t>
  </si>
  <si>
    <t>Cobrar na segunda feira controle do Ar do CC</t>
  </si>
  <si>
    <t>R11 feito reunião com a cuidadora para alinhamento CSC</t>
  </si>
  <si>
    <t>Stefany</t>
  </si>
  <si>
    <t>Infiltração no Isolamento do PS na CSC</t>
  </si>
  <si>
    <t>Interruptor com problemas no ambulatório da CSC</t>
  </si>
  <si>
    <t>432 Mãe recusou Sair de home care por questões juntos a operadora</t>
  </si>
  <si>
    <t>Rosana</t>
  </si>
  <si>
    <t>Reforma no 429 cancelada devido a indisponibilidade de leito</t>
  </si>
  <si>
    <t>Enfermagem Semi-intensiva</t>
  </si>
  <si>
    <t>Paciente de 332B recusa internação de outro paciente ao seu lado</t>
  </si>
  <si>
    <t>Carol Pimentel</t>
  </si>
  <si>
    <t>Comprimido contaminado na UCO aberto notificação</t>
  </si>
  <si>
    <t>Pedido da enfermagem pedindo medicação sem preescrição</t>
  </si>
  <si>
    <t>Paciente do 329 está indo na casa do pão de queijo pegar água quente</t>
  </si>
  <si>
    <t>Leito bloqueado vai ser rejunte na parede R06, R07a e R07b</t>
  </si>
  <si>
    <t>Manutenção preventiva TC e RM</t>
  </si>
  <si>
    <t>Médico se negou a usar mascara no centro cirurgico</t>
  </si>
  <si>
    <t>Quarto R7 em manutenção com previsão de liberação para dia 06 de agosto</t>
  </si>
  <si>
    <t>Instalação do foco cirurgico</t>
  </si>
  <si>
    <t>Enfermagem Pronto Socorro</t>
  </si>
  <si>
    <t>2 Afastamentos de enfermeiro</t>
  </si>
  <si>
    <t>Notificação sobre 2 prescrição de Antibiotico para a mesma paciente</t>
  </si>
  <si>
    <t>RM GE1 Em manutenção preventiva</t>
  </si>
  <si>
    <t>Falha no Protocolo de Sepse no PS</t>
  </si>
  <si>
    <t>1 Lesão por pressão e 2 por falha em indentificação do paciente</t>
  </si>
  <si>
    <t>Enfermagem Qualidade</t>
  </si>
  <si>
    <t>Falta de preparo para exame e falta de comunicação 2 notificações</t>
  </si>
  <si>
    <t>Thalita</t>
  </si>
  <si>
    <t>Mal funcionamento de Cânula Nasal de Alto Fluxo(CNAF) desvio de qualidade/Tecnovigilância</t>
  </si>
  <si>
    <t>Enfermagem Centro Cirúrgico</t>
  </si>
  <si>
    <t>Empresa de OPME entregou material de madrugada, adriana vai verificar com a empresa este ocorrido</t>
  </si>
  <si>
    <t>Rack do CC com problemas</t>
  </si>
  <si>
    <t>11 Altas retidas na data de ontem</t>
  </si>
  <si>
    <t>Mariane</t>
  </si>
  <si>
    <t>Solicitações App</t>
  </si>
  <si>
    <t>Queixas de confirmação de cirúrgia e comunicação antes do procedimento</t>
  </si>
  <si>
    <t>Buco Maxilo, queixa de cobrança sem aviso prévio</t>
  </si>
  <si>
    <t>1D perdeu o cadeado da maleta e a farmácia forneceu outro</t>
  </si>
  <si>
    <t>Falha 1 das autoclave</t>
  </si>
  <si>
    <t>Manutenção corretiva do miscrocopio do CC</t>
  </si>
  <si>
    <t>1 Hack do CC em manutenção</t>
  </si>
  <si>
    <t>RM GE1 em Manutenção e ainda não foi realizada</t>
  </si>
  <si>
    <t>RM do Castelo parada para manutenção corretiva</t>
  </si>
  <si>
    <t>1 Recusa de cadastro de acompanhante com mascara</t>
  </si>
  <si>
    <t>Falha envolvendo a protocolo de dor</t>
  </si>
  <si>
    <t>1 Notificação de adorno</t>
  </si>
  <si>
    <t>Notificações de falha envolvendo o protocolo de SEPSE no PS</t>
  </si>
  <si>
    <t>Enfermagem CSC</t>
  </si>
  <si>
    <t>Paciente voltou por meios próprios a casa de saúde para buscar os próprios pertences após receber alta</t>
  </si>
  <si>
    <t>Recusa da equipe a realizar procedimento em paciente</t>
  </si>
  <si>
    <t>Problemas no Garrote pneumatico no CC</t>
  </si>
  <si>
    <t>1 Notificação de evasão, paciente internou no roma as 22 horas e se evadiu do hospital</t>
  </si>
  <si>
    <t>quarto 410 sem persiana</t>
  </si>
  <si>
    <t>330A paciente se queixou sobre ficar em quarto compartilhado</t>
  </si>
  <si>
    <t>Enfermagem UTI / Semi-intensiva</t>
  </si>
  <si>
    <t>1 Erro de indentificação do paciete e vai ser notificado</t>
  </si>
  <si>
    <t>Fluxo de autorizações e comunicação de enfermagem, sobre solicitação de homecare</t>
  </si>
  <si>
    <t>1 notificação de fluxo de medicamento de alta vigilância Enfermeira da Mater</t>
  </si>
  <si>
    <t>Milena</t>
  </si>
  <si>
    <t>Enfermagem está solicitando dietas via telefone e não pelo Q24</t>
  </si>
  <si>
    <t>Ótica Cirúrgica do Robo trocada</t>
  </si>
  <si>
    <t>RM manutenção do Castelo mas ainda parada</t>
  </si>
  <si>
    <t>Lesão de pele no CC, paciente teve uma lesão na palpebra após passar por procedimento cirúrgico</t>
  </si>
  <si>
    <t>Perca de cateter venoso Central</t>
  </si>
  <si>
    <t>Medicamento sem indentificação</t>
  </si>
  <si>
    <t>Falha de indentificação de dieta para paciente no CC, bandeja chegou sem indentificação</t>
  </si>
  <si>
    <t>210 Manutenção</t>
  </si>
  <si>
    <t>Devolução de seringa da endoscopia que deveria ter sido descartada</t>
  </si>
  <si>
    <t>Monitor de anestesia parado deis de sexta</t>
  </si>
  <si>
    <t>Notificação de transporte de codigo roxo sem acompanhamento da equipe da UTI</t>
  </si>
  <si>
    <t>3 Notificação de falta de higiene na UTI</t>
  </si>
  <si>
    <t>Notificação de adorno nas unidades de UTI e Semi</t>
  </si>
  <si>
    <t>Não Colocaram paciente em isolamento que coletou Exames de covid</t>
  </si>
  <si>
    <t>Acesso perifico Vencido</t>
  </si>
  <si>
    <t>Ana Zubieta</t>
  </si>
  <si>
    <t>Paciente teve queda da própria altura e não foi solicitado exames de imagem</t>
  </si>
  <si>
    <t>Na data de ontem tiveram 3 atestados e isso acarretou em demora no atendimento</t>
  </si>
  <si>
    <t>Atraso de fornecedores de OPME que não estão cumprindo os prazos</t>
  </si>
  <si>
    <t>Semi-intensiva</t>
  </si>
  <si>
    <t>Paciente está insatisfeito pois aguarda RM deis de Segunda feira e ainda não foi feito pois Carrinho de Anestesia está parado</t>
  </si>
  <si>
    <t>Paciente estava com 10 dias de internação e já se passaram os dias e pode começar a cobrar no particular, prefeitura da cidade e jurídico estão realizando os tramistes necessários</t>
  </si>
  <si>
    <t>Queixa sobre BucoMaxilo cobrança sem aviso previo</t>
  </si>
  <si>
    <t>Problema do Hack com Instrumental da lavadora terme</t>
  </si>
  <si>
    <t>Manutenção Corretiva do mamografo (casarão do café)</t>
  </si>
  <si>
    <t>Falta de mensageiro no processo de alta</t>
  </si>
  <si>
    <t>Notificação de adorno nas UTI e UTI Neuro foram 2</t>
  </si>
  <si>
    <t>Notificação de anestesista que faz punsão sem utilizar EPI</t>
  </si>
  <si>
    <t>Leito Da Semi em manutenção 331A e 331B</t>
  </si>
  <si>
    <t>Paciente R13 Vai para a semi intensiva do Vera</t>
  </si>
  <si>
    <t>Transferência de paciente na UTI ped entre leitos, na madrugada, sem comunicação e autorização do Gerenciamento de leitos</t>
  </si>
  <si>
    <t>paciente solicitou seus pertences na RPA, equipe solicitou por sistema, ligado na recepção, informado falta de funcionários</t>
  </si>
  <si>
    <t>solicitação de materiais na farmácia de manhã e não foi entregue no carrinho</t>
  </si>
  <si>
    <t>termodesinfecção parada impactando os processos do setor</t>
  </si>
  <si>
    <t>foco na sala 3 CO</t>
  </si>
  <si>
    <t>2 notificações atraso no comparecimento das empresas Victtoria hospitalar e Somma nos procedimentos do CC</t>
  </si>
  <si>
    <t>2 notificações de pertences (CC/ apoio</t>
  </si>
  <si>
    <t>1 notificação de atendimento código amarelo (paciente com desconforto respiratório)</t>
  </si>
  <si>
    <t>Flebite no 2 D</t>
  </si>
  <si>
    <t>Troca de etiqueta na dieta</t>
  </si>
  <si>
    <t>3 punsões feitas pelo mesmo profissional</t>
  </si>
  <si>
    <t>GE3 Parou em exame e após reiniciar voltou a funcionar corretamente</t>
  </si>
  <si>
    <t>paciente desceu pro exame sem comunicação prévia e era protocolo AVC</t>
  </si>
  <si>
    <t>2 falha no processo de reconciliação medicamentosa (preenchimento da folha e template) - 8o D e UTI adulto</t>
  </si>
  <si>
    <t>Fluxo de paciente da recepção ao CC</t>
  </si>
  <si>
    <t>343 UCO Bloqueado para manutenção</t>
  </si>
  <si>
    <t>Novo Fluxo de entrega de exames está gerando muitas queixas</t>
  </si>
  <si>
    <t>2 Notificações de reconcialiação medicamentosa</t>
  </si>
  <si>
    <t>Equipamento de eletrocardiograma no PS parado</t>
  </si>
  <si>
    <t>GE3 Parou novamente durante exame</t>
  </si>
  <si>
    <t>1 Notificação de LP Alas</t>
  </si>
  <si>
    <t>1 Notificação muitas tentativas de punção no mesmo paciente na UTI Acesso Central</t>
  </si>
  <si>
    <t>Enfermagem UTI / Alas</t>
  </si>
  <si>
    <t>Notificações de escrituraria sobre adorno e cabelo e vestimentas</t>
  </si>
  <si>
    <t>410 Bloqueado para manutenção</t>
  </si>
  <si>
    <t>BucoMaxilo, ainda se mantém as queixas</t>
  </si>
  <si>
    <t>Solicitação de NPP não atendida por operadora do dia 16 para o dia 17, Opisfarma</t>
  </si>
  <si>
    <t>Enfermagem com prescrição de medicamento escrita no papel</t>
  </si>
  <si>
    <t>Notificação de geladeira em temperatura ambiente</t>
  </si>
  <si>
    <t>Falta de preenchimento do formulário de reconciliação medicamentosa 5 reconciliação medicamentosa</t>
  </si>
  <si>
    <t>Mamografo Do casarão sofreu parada durante o sabádo</t>
  </si>
  <si>
    <t>Sem Controle do Ar do bloco cirúrgico a mais de 60 dias</t>
  </si>
  <si>
    <t>Infecção de sítio cirúrgico mas já saiu de alta</t>
  </si>
  <si>
    <t>Thaís C.</t>
  </si>
  <si>
    <t>transferencia de paciente de outro hospital para o HVC, sem reserva de leito</t>
  </si>
  <si>
    <t>Paciente ficou presa dentro do elevador por 10 minutos, noitificação aberta</t>
  </si>
  <si>
    <t>Prestador de serviço teve acesso ao CC sem indentificação foi indentificado pela enfermagem dentro do CC</t>
  </si>
  <si>
    <t>paciente sobe do CC para ala de internação sem prescrição médica/ tentativa de retirada de medicação na urgência</t>
  </si>
  <si>
    <t>fluxo de alta (falta de mensageiro)</t>
  </si>
  <si>
    <t>falta de higiene no CC</t>
  </si>
  <si>
    <t>vomito seguido por engasgo e perda de consciencia, - acionamento de internista</t>
  </si>
  <si>
    <t>Flebite G1 - 8°D</t>
  </si>
  <si>
    <t>Quase Falha Medicamentosa - 3°D (prescrição médica incorreta)</t>
  </si>
  <si>
    <t>Queda no Centro Clínico nova Campinas</t>
  </si>
  <si>
    <t>Enfermagem necessitou descer para farmácia para pegar medicamentos</t>
  </si>
  <si>
    <t>Letícia</t>
  </si>
  <si>
    <t>Nefrocamp entra com equipamento no hospital sem validação da engenharia clínica</t>
  </si>
  <si>
    <t>Lesão por pressão 3°D</t>
  </si>
  <si>
    <t>Falha cadeia medicamentosa PSA</t>
  </si>
  <si>
    <t>CC 9 Chamados e 33% de adesão</t>
  </si>
  <si>
    <t>Nutrição 81 58% de adesão</t>
  </si>
  <si>
    <t>Hotelaria 1 Chamado e 0% de adesão</t>
  </si>
  <si>
    <t>Mesa de estereo taxia do casarão em manutenção já solucionada</t>
  </si>
  <si>
    <t>Leito 338 Bloqueado piso vai ser trocado</t>
  </si>
  <si>
    <t>familiar não atende às orientações de prevenção de BCP</t>
  </si>
  <si>
    <t>GTT tracionada acidentalmente, verificado balonet estourado</t>
  </si>
  <si>
    <t>Falta de orientações do Q24 para familiares feito notificação pela equipe</t>
  </si>
  <si>
    <t>2 LPP - 1°D (Estagio 1 e Estagio 2)</t>
  </si>
  <si>
    <t>Falha no preenchimento do rotulo de DVA dispositivos de terapia intravenosa - EDA</t>
  </si>
  <si>
    <t>Multiplas Punções - UTI PED</t>
  </si>
  <si>
    <t>Ausencia de Pulseira de Identific - EDA</t>
  </si>
  <si>
    <t>415 Bloqueado para manutenção</t>
  </si>
  <si>
    <t>Baixa adesão no SLA mensageiro</t>
  </si>
  <si>
    <t>RM GE2 Parada Bobina de corpo</t>
  </si>
  <si>
    <t>Sem protetor do Foco cirúrgico no centro obstétrico</t>
  </si>
  <si>
    <t>Caiu um pedaço de gesso do teto dentro do CO</t>
  </si>
  <si>
    <t>Sala 2 e Sala 6 Ar condicionado sem funcionamento</t>
  </si>
  <si>
    <t>(Near Miss 404) foi ministrar uma medicação de outro paciente e o paciente barrou</t>
  </si>
  <si>
    <t>Problema de conexão com a Vivest</t>
  </si>
  <si>
    <t>Acompanhante do paciente do 317 com atitudes agressiva aos colaboradores</t>
  </si>
  <si>
    <t>Empresa terceira tirou detectores de dentro do CC e agora está com buracos dentro do CC</t>
  </si>
  <si>
    <t>caixa cirúrgica sobe para o CME faltando ítens</t>
  </si>
  <si>
    <t>Caixa termica com termometro quebrada no PS</t>
  </si>
  <si>
    <t>Mensageiro com baixa adesão</t>
  </si>
  <si>
    <t>1 Notificação por conta de recebimento de tiras</t>
  </si>
  <si>
    <t>1 Notificação sobre falta de material no carrinho de anestesia</t>
  </si>
  <si>
    <t>1 Reação alergica a contraste na Imagem</t>
  </si>
  <si>
    <t>Paciente com Abnstinencia de Nicotina</t>
  </si>
  <si>
    <t>R13 Bloqueado no Sistema por vaso entupido</t>
  </si>
  <si>
    <t>Falta de Colaborador no Almoxarifado da Casa de Saúde</t>
  </si>
  <si>
    <t>Dr. Bonilha</t>
  </si>
  <si>
    <t>1 Falha de comunicação ( UTI A/PS)</t>
  </si>
  <si>
    <t>1 Falha de identificação de dieta 1º D</t>
  </si>
  <si>
    <t>Paciente desceu para realizar RM crânio, durante o procedimento ventilador mecanico desligou, sendo necessário ventilar manualmente.</t>
  </si>
  <si>
    <t>Vivia</t>
  </si>
  <si>
    <t>Uso adornos ( Unid Neur /Semi)</t>
  </si>
  <si>
    <t>1 Notificação devolução com papel cambriado e não dava para ler</t>
  </si>
  <si>
    <t>RM do Castelo parada</t>
  </si>
  <si>
    <t>Poligrafo parado do casarão</t>
  </si>
  <si>
    <t>Esvaziamento de dioxido nitroso</t>
  </si>
  <si>
    <t>2 Notificações sobre troca de Leite Materno, mesmo caso</t>
  </si>
  <si>
    <t>1 Falha de passagem de plantão da hemodinamica entre turnos</t>
  </si>
  <si>
    <t>1 Lesão por pressão de campo cirúrgico ainda não foi aberta notificação mas Adilson vai avaliar paciente está na UTI</t>
  </si>
  <si>
    <t>1 queda 1º D ( paciente sentada no vaso sanitário pendeu de lado e bateu a cabeça).</t>
  </si>
  <si>
    <t>1 Reação alértgica após exame de RM com constraste primovist, paciente apresentou vermelhidão em corpo e náusea.</t>
  </si>
  <si>
    <t>1 falha de adminitração de medicação 8º andar ( medicamento prescrito não foi administrado)</t>
  </si>
  <si>
    <t>1 falha de administração de medicamento ( não administrado medicação das 19h)</t>
  </si>
  <si>
    <t>1 falha de prescrição e administração de dose do antibiótico ( ceftriaxona) pediatria</t>
  </si>
  <si>
    <t>1 flebite 8º D ( edema e infitração com fixação incorreta)</t>
  </si>
  <si>
    <t>1 - Falha de comunicação entre turnos na hemodinâmica ( material de urgencia da criança não estava separado)</t>
  </si>
  <si>
    <t>1 falha na transição de cuidado ( Colaborador do CC ao encaminhar puérpera para leito após procedimento, não utiliza passante preconizado conforme protocolo institucional ( risco de queda)</t>
  </si>
  <si>
    <t>Transporte CC: 11 chamados, 45% de adesão</t>
  </si>
  <si>
    <t>Recepção: 4 chamados, 50% de adesão.</t>
  </si>
  <si>
    <t>1 Falha de comunicação na transferência do 4º Andar para a Semi Intensiva</t>
  </si>
  <si>
    <t>1 falha de comunicação entre a maternidade e Nutrição./</t>
  </si>
  <si>
    <t>1 Falha de comunicação na transição de cuidado do PS para Semi Intensiva</t>
  </si>
  <si>
    <t>PICC sacado após quadro de agitação - 8ºD</t>
  </si>
  <si>
    <t>não comunicado paciente em precaução de contato para RM</t>
  </si>
  <si>
    <t>dificuldade de contato com equipe da copa no sábado (paciente internada as 21 h para cirurgia intrauterina, JJ programado as 23h)</t>
  </si>
  <si>
    <t>reconciliação medicamentosa - folha arquivada em prontuário</t>
  </si>
  <si>
    <t>materiais com embalagem rasgada encaminhadas ao CC/</t>
  </si>
  <si>
    <t>recoletas na semi (coleta pelo PICC, amostras vindo contaminadas)</t>
  </si>
  <si>
    <t>recoleta amostra semi, com necessidade de estorno de laudo</t>
  </si>
  <si>
    <t>demora 1h12 min para retirada de medicação na farmácia central</t>
  </si>
  <si>
    <t>bobina corpo GE2 parada</t>
  </si>
  <si>
    <t>Ge1 RM sem realizar exames de medicina interna.</t>
  </si>
  <si>
    <t>Encaminhado paciente sem passagem de plantao - Pronto Socorro</t>
  </si>
  <si>
    <t>Paciente sem Pulseira de Identificação - 3°D</t>
  </si>
  <si>
    <t>Omissão de Medicação - 3°D</t>
  </si>
  <si>
    <t>falta de entrega de documentos na alta (alta dia 21, contato via telefone dia 24 e vinda ao hospital dia 25 - familiar - para pegar o resumo de alta e PM)</t>
  </si>
  <si>
    <t>- 4ºD/ isolamento por aerossóis suspenso sem alinhamento com CCIH - 3ºD</t>
  </si>
  <si>
    <t>atraso na realização das PM dos pacientes internados, impactando na dispensação das medicações plea farmácia</t>
  </si>
  <si>
    <t>Prontuario encaminhado para paciente com exame de outro paciente - Roma</t>
  </si>
  <si>
    <t>DAI em região interglutea - 1°D</t>
  </si>
  <si>
    <t>417 em reforma</t>
  </si>
  <si>
    <t>321 com a Pia quebrada</t>
  </si>
  <si>
    <t>Paciente teve queimadura de primeiro grau durante exame na RM</t>
  </si>
  <si>
    <t>Sistema de automação do CC para cobrir falhas do ar do cc</t>
  </si>
  <si>
    <t>falha na orientação de preparo para exame de colonoscopia (orientaram preparo com lactilol)/</t>
  </si>
  <si>
    <t>atraso no resultado de exame troponina (1h40 min)</t>
  </si>
  <si>
    <t>1 Lesão de pele relacionado ao adesivo médico ( Paciente alérgica ao esparadrapo), no momento da retirada do campo cirúrgico pela instrumentadora, paciente apresentou lesão de pele relacionado no abdomen</t>
  </si>
  <si>
    <t>Adilson / Déborah</t>
  </si>
  <si>
    <t>1 Lesão de pele ( Queimadura braço) , Pacientte realizou no dia 25/08 ressonância magnética de quadril, saiu da unidade se queixando de ardor no braço e ao chegar em sua residência relatou que tinha em seu braço uma queimadura de primeiro grau.</t>
  </si>
  <si>
    <t>1 LP em musculo peitoral após procedimento cirúrgico</t>
  </si>
  <si>
    <t>1 Falha de comunicação no preparo do paciente em IAM do PS para Hemodinâmica ( Risco de assistêncial)</t>
  </si>
  <si>
    <t>bobina corpo GE2 parada, Ge1 RM sem realizar exames de medicina interna.</t>
  </si>
  <si>
    <t>1 Omissão de administraçãpo de medicação ( Pronto socorro)</t>
  </si>
  <si>
    <t>acompanhante ingeriu danone e passou mal</t>
  </si>
  <si>
    <t>autorização pendente do rituximabe - aguardando retorno do convenio</t>
  </si>
  <si>
    <t>RM G2 parada 10 as 13 hs manutenção bobina</t>
  </si>
  <si>
    <t>reforma 321</t>
  </si>
  <si>
    <t>controle IHM do ar condicionado 1, 2 e 3 de setembro</t>
  </si>
  <si>
    <t>UTI Neuro: várias tentativas de punção pelo mesmo profissional</t>
  </si>
  <si>
    <t>Ana</t>
  </si>
  <si>
    <t>1D: sinais de flebite</t>
  </si>
  <si>
    <t>2C: Lesão pré existente sacral (DAI)/</t>
  </si>
  <si>
    <t>2D: lesão pré existente (DAI)</t>
  </si>
  <si>
    <t>CC: lesão por fita transpore MSE</t>
  </si>
  <si>
    <t>dispensação errada de medicamento</t>
  </si>
  <si>
    <t>paciente admitido via PS patra troca de TQT, sem identificação, prontuário e sem passagem de plantão - paciente era KPC +, sinalizado pela família após a equipe dar banho.</t>
  </si>
  <si>
    <t>kit de pequeno procedimento com materiais sujos / 2 notificações de demora de entrega de pertences via quality</t>
  </si>
  <si>
    <t>crise convulsiva na TC, acionado código laranja</t>
  </si>
  <si>
    <t>transporte de paciente com equipo desconectado</t>
  </si>
  <si>
    <t>transporte de paciente com isolamento de contato (sem EPIs)/</t>
  </si>
  <si>
    <t>Higiene: 2 - 50%</t>
  </si>
  <si>
    <t>Mensageiro: 59 - 61%</t>
  </si>
  <si>
    <t>Reforma Na Farmácia do PS</t>
  </si>
  <si>
    <t>338 Aguardando vaga Cross</t>
  </si>
  <si>
    <t>Cris</t>
  </si>
  <si>
    <t>Tomo Parada para manutenção corretiva</t>
  </si>
  <si>
    <t>paciente da CSC ficou esperando 1h30 a ambulancia para transferência/</t>
  </si>
  <si>
    <t>falta de coleta de PCR Covid (solciitado dia 25) e swab vigilância - 8ºD e 4ºD/</t>
  </si>
  <si>
    <t>paciente KPC sem isolamento de contato no setor</t>
  </si>
  <si>
    <t>reagendamento do MAPA por falha no descarregamento do aparelho (2 pacientes) após instalação de programa da TI - reagendado para 15/10</t>
  </si>
  <si>
    <t>Organizadores par reconciliação sendo utilizado para outras coisas</t>
  </si>
  <si>
    <t>perda da chave da caixa acrilica da semi intensiva</t>
  </si>
  <si>
    <t>Problema no Cheeler da RM castelo</t>
  </si>
  <si>
    <t>Bomba de Vacuo com problema no relé termico</t>
  </si>
  <si>
    <t>Falha na identificação de pacientes, entrega em leito errado devido nao conferir indicadores de identificação de pacientes</t>
  </si>
  <si>
    <t>Adilson (IPSG)</t>
  </si>
  <si>
    <t>Material que era pra ir do HVC para CSC não chegou a tempo, devido demora médico cancela cirurgia (procedimento ortopédico)</t>
  </si>
  <si>
    <t>Comportamento inadequado de paciente internado</t>
  </si>
  <si>
    <t>Perda de amostra após retirada pelo motoboy do hospital</t>
  </si>
  <si>
    <t>3 notificações isolamento de contato (passagem de plantão, uso de EPIs)</t>
  </si>
  <si>
    <t>uso de adormo</t>
  </si>
  <si>
    <t>3 notificações de dreno - dreno thopaz desligado (ala)</t>
  </si>
  <si>
    <t>2 notificações de ausencia de controle de débito (ala)</t>
  </si>
  <si>
    <t>puérpera descorada e com mal estar, acionado médico de referência, que solicita por telefone coleta de exames</t>
  </si>
  <si>
    <t>transferência de cuidados São camilo/ HVC pediatria - demora de 1 hora para inclusão no Tasy</t>
  </si>
  <si>
    <t>3 notificações Cuidados de internação PS (paciente com dor e febre, sobe sem medicar/ paciente com exames pré op e ECG para realizar)</t>
  </si>
  <si>
    <t>6 notificações sobre reconciliação medicamentosa (preenchimento da enfermagem ou local de armazenamento)</t>
  </si>
  <si>
    <t>1 LP estágio 2 Neuro</t>
  </si>
  <si>
    <t>1 reação alérgica após infusão de contraste para exame de imagem</t>
  </si>
  <si>
    <t>1 flebite no 1º D</t>
  </si>
  <si>
    <t>1 Extravasamento de contraste em MSD ( LEITO 608 na UTI)</t>
  </si>
  <si>
    <t>1 falha de identificação da pulseira ( paciente encaminhado para o setor de imagem com pulseira de identificação, ao retornar do exame está sem pulseira de identificação)</t>
  </si>
  <si>
    <t>1 falha de comunicação na passagem de plantão ( Centro cirúrgico)</t>
  </si>
  <si>
    <t>1 falha de transição de cuidado ( Centro cirúrgico e 2º D)</t>
  </si>
  <si>
    <t>1 falha de comunicação na solicitação de dieta ( Foi solicitado no quality dieta para o quarto 203 e entregue para o 203 , que encontrava-se ainda no centro cirúrgico) 1 Falha de comunicação da passagem de plantão na transição de cuidado entre a UCO e enfermaria</t>
  </si>
  <si>
    <t>221 e 222 Bloqueados para verificar vazamento</t>
  </si>
  <si>
    <t>1 Evasão de paciente e fez queixa a ouvidoria sobre o ocorrido</t>
  </si>
  <si>
    <t>Paciente 309 com diversas queixas paciente particular com conduta inadequada</t>
  </si>
  <si>
    <t>Goteira dentro do arsenal do CME, molhou todo material da cardiaca</t>
  </si>
  <si>
    <t>Manutenção nos microscopios</t>
  </si>
  <si>
    <t>Higiene: 3 chamados, 0% de adesão.</t>
  </si>
  <si>
    <t>3 notificações de falta de terminal (HD e cardiologia)</t>
  </si>
  <si>
    <t>Paciente da Oncohemato com quadro de diarréia há 3 dias, desidratada, U1 e TC com sinais de pielonefrite sem coleta de culturas ou inicio de ATB - condutas inciadas pela equipe assistente 12 hs após a internação</t>
  </si>
  <si>
    <t>5 notificações de reconciliação medicamentosa (local de armazenamento da ficha) - Alas, UTI e Maternidade</t>
  </si>
  <si>
    <t>estorno de laudo exame de sangue (8ºD)</t>
  </si>
  <si>
    <t>Uti Adulto: LP</t>
  </si>
  <si>
    <t>1D: LPP estágio II</t>
  </si>
  <si>
    <t>3D: PICC obstruído</t>
  </si>
  <si>
    <t>Manutenção corretiva da GE1 para corrigir problemas que temos tendo recentemente</t>
  </si>
  <si>
    <t>2 chamados, 0% de adesão</t>
  </si>
  <si>
    <t>CC: acidente de trabalho (descarte inadequado de perfuro cortante)</t>
  </si>
  <si>
    <t>Semi- intensiva/ 2° D/UCO: não conhecer a plataforma Quality (15 notificações)</t>
  </si>
  <si>
    <t>2° D: Descartado junto ao enxoval sujo, um aparelho de inalação (2 notificações)</t>
  </si>
  <si>
    <t>Maternidade/07°Andar: falha de comunicação sobre o preparo para realização de colonoscopia</t>
  </si>
  <si>
    <t>PS: falhas no protocolo de sepse (7 notificações)</t>
  </si>
  <si>
    <t>LPP Estagio 2 - UTI</t>
  </si>
  <si>
    <t>Queda - Ped</t>
  </si>
  <si>
    <t>Falha de Passagem de Plantao - UTI</t>
  </si>
  <si>
    <t>421A e 421B Com queixa de leito duplo querendo trocar para o leito privativo</t>
  </si>
  <si>
    <t>3 Leitos Bloqueados na Semi 2 por isolamento</t>
  </si>
  <si>
    <t>309 Bloqueado pois a porta do banheiro está quebrada</t>
  </si>
  <si>
    <t>Insento no Ar Condicionado no Leito 712</t>
  </si>
  <si>
    <t>Central de monitorização do 3C parada até as 10 horas para troca de peça</t>
  </si>
  <si>
    <t>2 Suspeitas de Infecções de sitio cirúrgico e Infecção de corrente sanguinea</t>
  </si>
  <si>
    <t>Sara</t>
  </si>
  <si>
    <t>UCO: falha na identificação amostra laboratorial</t>
  </si>
  <si>
    <t>UCO: queda dano leve</t>
  </si>
  <si>
    <t>CC- lesão por adesivo médico</t>
  </si>
  <si>
    <t>1°D: não anotado sinais vitais, paciente com DM2 de difícil controle;</t>
  </si>
  <si>
    <t>2°C: paciente em isolamento, não coletado swab vigilância;</t>
  </si>
  <si>
    <t>8°D: Paciente foi identificado com Pneumonia por broncoaspiração;</t>
  </si>
  <si>
    <t>2 Chamados para hotelaria com 0% de Adesão, vai ser aberto chamado pois chamados estão caindo fora do horário</t>
  </si>
  <si>
    <t>CC/2D: falha de comunicação na transferência de cuidados</t>
  </si>
  <si>
    <t>Paciente do 413 esta recusando visita da nutrição devido opradora não cobrir nutricionista e não querer pagar</t>
  </si>
  <si>
    <t>Manutenção preventiva na rede eletrica, afetando de forma controlada e esperada a radiologia e hemodinamica</t>
  </si>
  <si>
    <t>Januário / Diogo</t>
  </si>
  <si>
    <t>Higiene: 6 chamados, 33% de adesão.</t>
  </si>
  <si>
    <t>Hotelaria: 1 chamado, 0% de adesão.</t>
  </si>
  <si>
    <t>atraso no inicio de dieta enteral</t>
  </si>
  <si>
    <t>manejo da dor 2ºD</t>
  </si>
  <si>
    <t>Falha de identificação de envelope de prontuario - 4°D e 2°C</t>
  </si>
  <si>
    <t>atraso de 45 minutos a tarde</t>
  </si>
  <si>
    <t>Logística</t>
  </si>
  <si>
    <t>Chegaram resultados Sujos e danificados na entrega a domicilio</t>
  </si>
  <si>
    <t>Baixa adesão na Manutenção com 6 chamados e 42%</t>
  </si>
  <si>
    <t>2 Notificações de armazenamento de medicação no Posto de enfermagem</t>
  </si>
  <si>
    <t>Criostato parado no CC deis de sexta</t>
  </si>
  <si>
    <t>Uma das bombas da hemodinamica, para manutenção corretiva</t>
  </si>
  <si>
    <t>GE2 Parada por ar condicionado da sala não estar funcionando</t>
  </si>
  <si>
    <t>408 em reformas</t>
  </si>
  <si>
    <t>Demora na abertura da Unidade do castelo foi aberta com atraso</t>
  </si>
  <si>
    <t>calices e papagaios com etiquetas de pacientes colados - semi intensiva</t>
  </si>
  <si>
    <t>4 notificações de falha na abertura protocolo sepse - PS</t>
  </si>
  <si>
    <t>Colaboradora da higiene remanejada para outro setor, deixando a semi 2</t>
  </si>
  <si>
    <t>LLP proveniente CS</t>
  </si>
  <si>
    <t>8D: LPP pré existente</t>
  </si>
  <si>
    <t>1D: Skin tears</t>
  </si>
  <si>
    <t>UTI A: DAI</t>
  </si>
  <si>
    <t>PS: flebite grau I</t>
  </si>
  <si>
    <t>CC para 2D: falha passagem de plantão</t>
  </si>
  <si>
    <t>Parada de um Hack no Centro Cirúrgico</t>
  </si>
  <si>
    <t>Problemas com empresa de OPME que não compareceu com os materiais para procedimento, empresa Seven</t>
  </si>
  <si>
    <t>401 Bloqueado para reforma</t>
  </si>
  <si>
    <t>402 Paciente com queixas na ouvidoria</t>
  </si>
  <si>
    <t>Empresa vindo buscar material da Casa De Saúde sem conteiner</t>
  </si>
  <si>
    <t>Barulho perto do ultrassom e do raio X</t>
  </si>
  <si>
    <t>Melhora de transferência de paciente em isolamento</t>
  </si>
  <si>
    <t>Paciente que ultrapassa limite de peso da Maquina de RM</t>
  </si>
  <si>
    <t>3D - queda sem dano</t>
  </si>
  <si>
    <t>falha na comunicação de isolamento de contato</t>
  </si>
  <si>
    <t>atraso na entrega de materiais da empresa Seven</t>
  </si>
  <si>
    <t>atraso na entrega de materiais cirurgicos por parte da empresa T1</t>
  </si>
  <si>
    <t>extubação UTI ped</t>
  </si>
  <si>
    <t>1 LP estágio 1 em região sacral - Alas de internação 2C</t>
  </si>
  <si>
    <t>1 flebite Alas de Internação 2 C</t>
  </si>
  <si>
    <t>1 atraso na administração de medicamento cortisonal - alas de internação 2 C ( Processo de transição do cuidado)</t>
  </si>
  <si>
    <t>1 extravasamento de contraste ( Exame de prostata)</t>
  </si>
  <si>
    <t>Armário de vídeo do CC parado</t>
  </si>
  <si>
    <t>Barulho perto do antigo raio X</t>
  </si>
  <si>
    <t>Paciente obeso, relata que ao chegar no HVC para realizar RNM de Pelve foi colocado num equipamento pequeno, causando desconforto, ansiedade e mal estar,</t>
  </si>
  <si>
    <t>Devolução de medicamento fora da refrigeração ( Trimbow)</t>
  </si>
  <si>
    <t>2 notificações atendimento PS ( paciente aguardando reavaliação mas no sistema estava como finalizado reavaliação - colocado ambas novamente na fila pra reavaliação)</t>
  </si>
  <si>
    <t>Liberação de tipagem do BS (paciente com conhecimento de ser B- mas foi liberado como B+) - sem dano</t>
  </si>
  <si>
    <t>Falta de abertura de chamado para manutenção</t>
  </si>
  <si>
    <t>Mesa de histereo Taxia parada no casarão</t>
  </si>
  <si>
    <t>1 queda sem dano - 1°D</t>
  </si>
  <si>
    <t>1 extravasamento de contraste - Tomografia</t>
  </si>
  <si>
    <t>Muitas crianças de contigência na maternidade e muitas gestantes que estão em outros leitos e ponto de atenção e possível queixas</t>
  </si>
  <si>
    <t>Vanessa</t>
  </si>
  <si>
    <t>comunicação laboratório - ala</t>
  </si>
  <si>
    <t>medicação checada no sistema mas não realizada - PS</t>
  </si>
  <si>
    <t>falta de calibração de dextro</t>
  </si>
  <si>
    <t>4 notificações de demora de liberação de leito RPA</t>
  </si>
  <si>
    <t>protocolo de vancocinemia - alas</t>
  </si>
  <si>
    <t>As Tiras atrasaram devido a atestado podendo afetar fluxo</t>
  </si>
  <si>
    <t>Problema de coleta no exame na ped</t>
  </si>
  <si>
    <t>Enfermagem não fez coleta no horáario afetando resultado</t>
  </si>
  <si>
    <t>Enfermagem devolve bandeja de medicamento com sangue</t>
  </si>
  <si>
    <t>LPP Previa - Semi1</t>
  </si>
  <si>
    <t>LP Previa - PS</t>
  </si>
  <si>
    <t>AVP sem data de punção (3) - PS.</t>
  </si>
  <si>
    <t>Cobrança BucoMaxilo sem aviso prévio</t>
  </si>
  <si>
    <t>Paciente aguardando liberação de medicação do convênio para iniciar tratamento</t>
  </si>
  <si>
    <t>Muitos pacientes com bactérias de alta ressistência de assineto</t>
  </si>
  <si>
    <t>Dilleny</t>
  </si>
  <si>
    <t>1 Queda no casarão do Café notificado pela Imagem</t>
  </si>
  <si>
    <t>Paciente TQT + O2 chega ao setor da recepção ambulatorial no primeiro andar, para procedimento de troca de canula traqueal, paciente deveria ser encaminhada para o leito pré reservado</t>
  </si>
  <si>
    <t>dificuldade de contato com equipe fisioterapia semi 2 a noite</t>
  </si>
  <si>
    <t>1 LP Estágio 1 em região sacral Pré existente ( Vinda do PS)</t>
  </si>
  <si>
    <t>1 atraso na administração de medicamento para dor ( Farmacia demorou para dispensar o medicamento, foi entregue as 08:10, atrsando a adminstração) 2 D/</t>
  </si>
  <si>
    <t>1 falha de comunicação na passagem de plantão PS/Unidades de Internação.</t>
  </si>
  <si>
    <t>1 Falha de comunicação de dieta, paciente classificado como Onco care, aguradou mais de 4 horas a chegada da dieta ( foi solicitado no quality 3 vezes), paciente estava em jejum.</t>
  </si>
  <si>
    <t>Evasão de paciente na Casa de Saúde com acesso periferico</t>
  </si>
  <si>
    <t>Manutenção corretiva GE3</t>
  </si>
  <si>
    <t>Alison</t>
  </si>
  <si>
    <t>428 Em Reforma</t>
  </si>
  <si>
    <t>*preenhimento de prontuário (evolução em nome de outro profissional) - 4ºD</t>
  </si>
  <si>
    <t>prescrição de dieta errada (branda sem residuos/ leve sem residuos) - UCO</t>
  </si>
  <si>
    <t>1D: LPP pré existente</t>
  </si>
  <si>
    <t>UTIA: paciente vindo do 4D com LPP grau II</t>
  </si>
  <si>
    <t>1 notificação de fracionamento de medicação na PED</t>
  </si>
  <si>
    <t>1 Notificação sobre entrega de Tiras a Meia noite</t>
  </si>
  <si>
    <t>Microscópio Knevo parado CC</t>
  </si>
  <si>
    <t>material com perfuro cortante enviado para CME</t>
  </si>
  <si>
    <t>- protocolo de dor - 11 notificações</t>
  </si>
  <si>
    <t>- atraso na dispensação de medicamentos do noturno (entregue meia noite)</t>
  </si>
  <si>
    <t>dispensação de dose incorreta simeticona - near miss</t>
  </si>
  <si>
    <t>1 dermatite na UCO</t>
  </si>
  <si>
    <t>1 atraso na dispensão de medicamento pela farmacia , atraso na administração</t>
  </si>
  <si>
    <t>1 falha de omissão de administração de medicamento( breztri ás 18h</t>
  </si>
  <si>
    <t>1 falha de admnistração do medicamento inalatório 2</t>
  </si>
  <si>
    <t>1 falha de dose incorreta de medicação , dose prescrita 45mg, dose preparada 22,5g</t>
  </si>
  <si>
    <t>Perda de Sonda no 3D</t>
  </si>
  <si>
    <t>Equipe notificou filho de paciente que tirou foto da fisioterapia durante atendimento</t>
  </si>
  <si>
    <t>Paciente aguardando liberação do convênio para exame e fizeram o mesmo sem a liberação</t>
  </si>
  <si>
    <t>Equipe notificou paciente de assédio, encaminhado para equipe</t>
  </si>
  <si>
    <t>Evento de Crise Convulsiva, para não cair acompanhante acomoda paciente no chao. Avaliada pela equipe médica - 3°D</t>
  </si>
  <si>
    <t>Falta de Soro Glicosado no mercado, empresa fornecedora do hospital vai descontinuar o produto</t>
  </si>
  <si>
    <t>404 em manutenção</t>
  </si>
  <si>
    <t>Foco cirúrgico vão ser instalado a partir da semana quivem</t>
  </si>
  <si>
    <t>3 Notifcações para higiene por não retirar os lixos após solicitação</t>
  </si>
  <si>
    <t>Motoboy atrasou na entrega e foi notificado com a equipe</t>
  </si>
  <si>
    <t>Extravasamento de Contraste - IMAGEM</t>
  </si>
  <si>
    <t>vaso sanitário do banheiro feminino hemodinâmica</t>
  </si>
  <si>
    <t>Allan</t>
  </si>
  <si>
    <t>avaliação dos pontos de infiltração no hospital</t>
  </si>
  <si>
    <t>vazamento no call center da neuro</t>
  </si>
  <si>
    <t>funcionário da HD entra em contato com paciente e não se paramenta (paciente isolamento VRE)</t>
  </si>
  <si>
    <t>- colaboradora brasanitas sem MOP suficiente para higienização da unidade (4 pacientes em isolamento de 10 leitos) - UTI semi</t>
  </si>
  <si>
    <t>- comportamento agressivo paciente -8ºD</t>
  </si>
  <si>
    <t>- médico se queixa à equipe do odor presente no corredor entre a sala da familia e o 4ºD</t>
  </si>
  <si>
    <t>- atraso na liberação da prescrição para farmácia -UTI ped</t>
  </si>
  <si>
    <t>- liberação de exames (incluindo troponina) 1h30 após a coleta - PSA</t>
  </si>
  <si>
    <t>- AVP sem data de punção - alas de internação</t>
  </si>
  <si>
    <t>1 LP estágio 2 nas alas de internação 8 Andar</t>
  </si>
  <si>
    <t>Prescrito medicação que a paciente relata alérgia ( Familia percebeu e não chegou a administrar) Falha na .identificação do protocolo de laergia. - Alas de iternação 2 C</t>
  </si>
  <si>
    <t>1 falha de identificação ( Exame com o nome de outro paciente)</t>
  </si>
  <si>
    <t>1 falha de identificação de exame laboratório na UTI P ( Foi trocado os nomes das crianças) sendo necessário nova coleta.</t>
  </si>
  <si>
    <t>1 falha de comunicação de solicitação de vaga das alas de internação 2 C para UTI Neuro ( Médico não comunicou a equipe) enfermagem ficou sabendo pelo GL.</t>
  </si>
  <si>
    <t>Goteira em frente a engenharia Clínica</t>
  </si>
  <si>
    <t>Parada do equipe da GE1 durante 5 horas</t>
  </si>
  <si>
    <t>801 teve infiltração devido a chuva</t>
  </si>
  <si>
    <t>Command Center</t>
  </si>
  <si>
    <t>707 Rn foi a óbito e a mãe solicita sair da maternidade</t>
  </si>
  <si>
    <t>Robo Skywalker Com problemas em uma das laminas</t>
  </si>
  <si>
    <t>meia compressiva no prontuário - CC</t>
  </si>
  <si>
    <t>exame checado no sistema porém nao foi realizado -</t>
  </si>
  <si>
    <t>aumento do tempo de permanência do paciente no PS</t>
  </si>
  <si>
    <t>LPP Previa - 4°D</t>
  </si>
  <si>
    <t>Falha no protocolo de Alergia: Prescrição e Administração do medicamento - Semi 1</t>
  </si>
  <si>
    <t>Teto do expurgo no PS cedeu durante a chuva</t>
  </si>
  <si>
    <t>Falha de ministração de remédios Psicotropicos no PS</t>
  </si>
  <si>
    <t>Leito 330B paciente está com dúvidas se vai para o quarto ou se vai de alta para casa</t>
  </si>
  <si>
    <t>1 notificação sobre uma reação de uma medicação</t>
  </si>
  <si>
    <t>Mesa de EstereoTaxia parada no casarão</t>
  </si>
  <si>
    <t>Mal Cheiro na entrada do vestiario do CC</t>
  </si>
  <si>
    <t>Suspeita de infecção de corrente sanguínea em um RN</t>
  </si>
  <si>
    <t>LPP pre existente - Semi 2</t>
  </si>
  <si>
    <t>LP estagio 2- 3°D</t>
  </si>
  <si>
    <t>Queda de profissional por tropeçar em fio - CC - Sem dano</t>
  </si>
  <si>
    <t>Infiltração - 4°D</t>
  </si>
  <si>
    <t>Falha de Identificação Med - 2°C</t>
  </si>
  <si>
    <t>Passagem de CVC sem USG - Semi 1</t>
  </si>
  <si>
    <t>Gate vai readequar o projeto dos focos do cc</t>
  </si>
  <si>
    <t>Antena Danificada</t>
  </si>
  <si>
    <t>Questões sobre o teto que cedeu no PS da Casa vai ser realizado reunião com Dr. João e Simone para alinhamento da condução</t>
  </si>
  <si>
    <t>falta de materiais no dispensário 4º andar</t>
  </si>
  <si>
    <t>- 5 notificações de reconciliação medicamentosa</t>
  </si>
  <si>
    <t>- controle de vancocinemia não realizado antes da HD</t>
  </si>
  <si>
    <t>- problema no aparelho ultrassonico robotica</t>
  </si>
  <si>
    <t>- representante Handel não compareceu à cirurgia</t>
  </si>
  <si>
    <t>- atraso na entrega de tiras medicamentos</t>
  </si>
  <si>
    <t>- 2ºD sem cobertores e travesseiro plantão noturno</t>
  </si>
  <si>
    <t>- falha abertura protocolo sepse</t>
  </si>
  <si>
    <t>Lesao por adesivo médico - U.Neurolog</t>
  </si>
  <si>
    <t>Paciente declara que trocou de roupa na RPA</t>
  </si>
  <si>
    <t>Robo Skywalker ainda está parado</t>
  </si>
  <si>
    <t>Manutenção preventiva do mamografo do casarão</t>
  </si>
  <si>
    <t>paciente cirurgia correção de deformidade de membros, sedacao geral, veio sem acompanhamento- orientação medica- mas nao foi visto pela equipe do hospital</t>
  </si>
  <si>
    <t>- Paciente compareceu a setor de cardiologia para realização de exame Ecocardiograma Transesoifagico em jejum, porém ao ser questionado sobre uso de medicações o mesmo refere uso de MANJARO. Paciente refere que não foi orientado a suspender o uso.</t>
  </si>
  <si>
    <t>- processo de alta solicitado no quality, colaborador chegou em 10 min para pegar a paciente, mas paciente nao estava pronta - marido refere que tinha 1 h pra desocupar o leito</t>
  </si>
  <si>
    <t>- paciente interna pra correção de fratura transtrocanterica, alta dia 21. reinterna 22 com suboclusao intestinal, paciente sem evacuar 5 dias, precisou de medidas laxativas e sng</t>
  </si>
  <si>
    <t>1 paciente aguardando transferência para UTI de cosmopolis</t>
  </si>
  <si>
    <t>Empresa Seven atrasou na entrega do manual de OPME</t>
  </si>
  <si>
    <t>Controle de fluxo de acesso no PS adulto</t>
  </si>
  <si>
    <t>2 Crianças fora da Unidade da pediatria</t>
  </si>
  <si>
    <t>3 Atestados noturno</t>
  </si>
  <si>
    <t>1 notificação de fracionamento de conta gostas</t>
  </si>
  <si>
    <t>1 notificação de rencociliação medicamentosa</t>
  </si>
  <si>
    <t>1 falta de medicação de psicotropico</t>
  </si>
  <si>
    <t>Rm GE1 manutenção preventiva</t>
  </si>
  <si>
    <t>Quarto 107 bloqueado</t>
  </si>
  <si>
    <t>dispensação de 0,4 ml simeticona (prescrito 4 gts)</t>
  </si>
  <si>
    <t>atraso na dispensação de medicação farmácia (sábado)</t>
  </si>
  <si>
    <t>O paciente estava realizando hiperbárica em unidade externa. A clínica ligou 30 min. antes de terminar o procedimento, solicitando a remoção para a Medicar, e deram previsão de 45 min. Após esse tempo, a clínica ligou novamente para a Medicar questionando se já estavam chegando, e responderam que não haviam aberto chamado de solicitação do retorno do paciente, e deram uma nova previsão de 90 minutos.</t>
  </si>
  <si>
    <t>sinais vitais reavaliação dor</t>
  </si>
  <si>
    <t>rack de video Orthosystem no CC caiu durante movimentação do equipamento</t>
  </si>
  <si>
    <t>equipe do transporte chegou na unidade sem o check list de transporte preenchido - PS</t>
  </si>
  <si>
    <t>1 Queda sem dano na UTI Pediatrica</t>
  </si>
  <si>
    <t>1 Queda na Semi Intensivo</t>
  </si>
  <si>
    <t>1 falha de medicação UTI P ( Médica intensivista orienta adiantar a medicação BACOFLENO das 10h devido procedimento cirúrgico ás 9h, não administrado devido fluxo de dispensação do medicamento entre farmacia e setor UTI P ( Carrinho de medicação já havia saido da farmácia)</t>
  </si>
  <si>
    <t>1 flebite em MSD 2 C/ 1 erro de preparo e dispensação do medicamento Simeticona ( Prescrito 4 gotas e preparo e entregue pela farmacia 0,4 ml) Não foi administrado.</t>
  </si>
  <si>
    <t>1 falha de idenfificação pulseira na Maternidade ( Mãe nota pulseira da sua RN notificado com a pulseira de outro RN).</t>
  </si>
  <si>
    <t>1 falha de comunicação ( META 2) Paciente diabética descompensada, agendado cesareana dia 27/09 ás 9h, ocorreu atraso justificado, reagendou para 09:30h, falha de comunicação ( Paciente não foi trazida da enfermaria para o CO, paciente chegou ao CO ás 11:12h ( longo tempo de jejum.</t>
  </si>
  <si>
    <t>Higiene: 2 chamados, 50% de adesão.</t>
  </si>
  <si>
    <t>Serviço Social: 2 chamados, 0% de adesão.</t>
  </si>
  <si>
    <t>Transporte CC: 34 chamados, 50% de adesão.</t>
  </si>
  <si>
    <t>Paciente internou com 3 lesões de pele vindo de casa</t>
  </si>
  <si>
    <t>109 está em processo com o Hospital</t>
  </si>
  <si>
    <t>Dra. Isa</t>
  </si>
  <si>
    <t>38 notificações</t>
  </si>
  <si>
    <t>- Paciente admitido no 2C com dor score 8, paciente referiu ter comunicado na rpa</t>
  </si>
  <si>
    <t>- paciente interna na semi intensiva 2, proveniente do PS com quadro se melena e ao ser acomodada no leito, foi observado pela equipe, perda de movimento do lado E feito tomografia de crânio protocolo AVC</t>
  </si>
  <si>
    <t>- paciente proveniente do PS, chega na unidade semi intensiva sem monitorização cardíaca e acesso venoso sem identificação.</t>
  </si>
  <si>
    <t>Unid Neurol - LPP previa</t>
  </si>
  <si>
    <t>CC - LP (tipo queimadura) em coxa E</t>
  </si>
  <si>
    <t>3°D - LPP sacral</t>
  </si>
  <si>
    <t>2°D - Skin Tears</t>
  </si>
  <si>
    <t>PS - AVP sem identificação</t>
  </si>
  <si>
    <t>Falha do Robo Skywalker</t>
  </si>
  <si>
    <t>332 Solicitou troca de leito</t>
  </si>
  <si>
    <t>1 Notificação sobre fracionamento incorreto de medicamento</t>
  </si>
  <si>
    <t>1 notificação sobre reconcialição medicamentosa</t>
  </si>
  <si>
    <t>1 notificação sobre entrega de medicação</t>
  </si>
  <si>
    <t>1 Notificação de fracionamento errado de medicação na PED cimeticona</t>
  </si>
  <si>
    <t>Sala 3 do CC bloqueada por rompimento da sempertina</t>
  </si>
  <si>
    <t>806 Bloqueado</t>
  </si>
  <si>
    <t>- liberado leito no 8ºD mas a acomodação estava bloqueada para manutenção. Disponibilizado leito no 2ºD mas não comunicaram para o setor</t>
  </si>
  <si>
    <t>- solicitado alta para o paciente mas quando o mensageiro chegaram ao setor o paciente ainda estava de AVP - pediatria e 2ºD</t>
  </si>
  <si>
    <t>- falha na entrega de materiais e medicamentos</t>
  </si>
  <si>
    <t>- reconciliação medicamentosa - semi, UTI A e ala</t>
  </si>
  <si>
    <t>- exame não coletado no intraoperatorio (PTH) - coletado na ala</t>
  </si>
  <si>
    <t>- dispensação de simeticona em dose errada para UTI ped</t>
  </si>
  <si>
    <t>Notificações duplicidade de prescrições de medicações</t>
  </si>
  <si>
    <t>Foi pontuado sobre Medicamentos nos Quartos dos pacientes</t>
  </si>
  <si>
    <t>SkyWalker novamente deu problema no funcionamento</t>
  </si>
  <si>
    <t>Monitor de anestesia está com problemas</t>
  </si>
  <si>
    <t>Falta de preenchimento check de transferência segura</t>
  </si>
  <si>
    <t>Melhorias do Codigo Rosa e Alto falante no Casarão</t>
  </si>
  <si>
    <t>Paciente transferida do Vera para Casa pontuou sobre insatisfação no processo e dados da paciente</t>
  </si>
  <si>
    <t>3 Notificações de entrada de moradores de Rua</t>
  </si>
  <si>
    <t>dose de simeticona UTI ped</t>
  </si>
  <si>
    <t>medicações complementares no quarto, sem seguir o processo institucionar de guarda - semi e 3ºD</t>
  </si>
  <si>
    <t>presença de vetores 429 e 202</t>
  </si>
  <si>
    <t>paciente encontrou um AVP com maxzero grudado no lençol limpo - 4ºD</t>
  </si>
  <si>
    <t>falta do preenchimento do check list de remoção segura - PS</t>
  </si>
  <si>
    <t>identificação de prontuario</t>
  </si>
  <si>
    <t>UTI Ped - mais de 5 tentativas de AVP/ Imagem- Extravazamento de contraste</t>
  </si>
  <si>
    <t>1 notificação de falta de simeticona</t>
  </si>
  <si>
    <t>Rever reconcialiação medicamentosa 4 notificações</t>
  </si>
  <si>
    <t>Monitor de anestesia continua parado</t>
  </si>
  <si>
    <t>Falta de Material de OPME durante final de semana</t>
  </si>
  <si>
    <t>Impacto na entrega de de tiras perante a pedidos de desligamentos e pacientes afastados por atestado</t>
  </si>
  <si>
    <t>1 Notificação sobre conduta da equipe de enfermagem solicitando medicamentos na farmácia</t>
  </si>
  <si>
    <t>RM Parada GE2</t>
  </si>
  <si>
    <t>Processo de Pronto socorro Gerando queixas, e falta de comunicação no processo novo</t>
  </si>
  <si>
    <t>- dispensário com falta de materiais e medicamentos</t>
  </si>
  <si>
    <t>- CO - inicio do procedimento sem médico auxiliar em sala</t>
  </si>
  <si>
    <t>- falha na coleta de vancocinemia - UTI adulto</t>
  </si>
  <si>
    <t>Extravasamento de contraste na imagem</t>
  </si>
  <si>
    <t>Mancha nos instrumentais da CME</t>
  </si>
  <si>
    <t>Osilação de energia no PS</t>
  </si>
  <si>
    <t>Queda De Placa no banheiro encima do paciente que estava tomando banho</t>
  </si>
  <si>
    <t>2 Tiras com medicmantos Duplicados encaminhados para a Neurol</t>
  </si>
  <si>
    <t>1 Falha medicamentosa - dose - UTI Ped</t>
  </si>
  <si>
    <t>1 DAI - 3°D</t>
  </si>
  <si>
    <t>3 LP - 8°D</t>
  </si>
  <si>
    <t>pacientes solicitam agendamento de exames de EDA para dra ana carina, porém agendados para dra Marina</t>
  </si>
  <si>
    <t>- lactario com Aptamil 2 aberto, mas a prescrição dos RNS é de Adaptamil 1 - retirado todas as mamadeiras</t>
  </si>
  <si>
    <t>Fluxo da Sala da Família</t>
  </si>
  <si>
    <t>Registro do Quarto 421 Estoro com paciente no quarto</t>
  </si>
  <si>
    <t>Tiras das 8 e meia sairam atrasadas da farmácia</t>
  </si>
  <si>
    <t>Alfa Absoluto vai demorar por alta demanda dos hospitais dessa solicitação</t>
  </si>
  <si>
    <t>1 Notificação de queixa técnica de medicamento</t>
  </si>
  <si>
    <t>Sala de medicação verde do PS com ar condicionado parado</t>
  </si>
  <si>
    <t>solicitação de avaliação de medicação usada na EDA (ineficácia) pelo Dr Aldo, porém não foi descrito qual medicação era</t>
  </si>
  <si>
    <t>- médico entrou no quarto isolamento por acineto e não se paramentou - UTI neuro</t>
  </si>
  <si>
    <t>- agendamento da consulta pré anestésica mas não foi realizada a de orientação pra colonoscopia</t>
  </si>
  <si>
    <t>1 Extravasamento de contraste - Imagem</t>
  </si>
  <si>
    <t>Multiplas punções - Anestesia</t>
  </si>
  <si>
    <t>Multiplas Punções - NEO</t>
  </si>
  <si>
    <t>Falha de Passagem do CC para a Ala</t>
  </si>
  <si>
    <t>Dietas da UCO Chegaram 23 Da noite</t>
  </si>
  <si>
    <t>1 Bolsa do ciclovir paciente não veio para realizar o medicamento no PS</t>
  </si>
  <si>
    <t>Daniella</t>
  </si>
  <si>
    <t>1 Notificação sobre o dispensário</t>
  </si>
  <si>
    <t>2 Notificações de medicamentos refrigerado em temperatura ambiente</t>
  </si>
  <si>
    <t>hemodinâmica - falta de materiais de estoque de sala durante procedimento (cateter FR 4.0)/ falta no estoque MPA 2</t>
  </si>
  <si>
    <t>- orientação de chegada dos pacientes 30 min antes do procedimento de EDA, impactando o inicio do procedimento</t>
  </si>
  <si>
    <t>- materiais especiais entregues para esterilização fora do prazo de validade</t>
  </si>
  <si>
    <t>Laser vai ser recalibrado pela engenharia Clínica</t>
  </si>
  <si>
    <t>Equipamento Sonar Centro Obstetrico que mede os batimentos cardiacos do RN no momento do parto está com mal funcionamento</t>
  </si>
  <si>
    <t>1 Desvio de Anexo de prontuário</t>
  </si>
  <si>
    <t>Transporte ficou 40% de Adesão</t>
  </si>
  <si>
    <t>1 Paciente teve cirurgia cancelada por negativa do convênio</t>
  </si>
  <si>
    <t>Cristiane</t>
  </si>
  <si>
    <t>Lavadora Termo Está parada no CME</t>
  </si>
  <si>
    <t>Problema na coleta de bancocinemia</t>
  </si>
  <si>
    <t>Procedimento das 13 Horas teve erro no batimapa, onde foi trocado o nome da paciente e também o genero do paciente</t>
  </si>
  <si>
    <t>Mancha nos instrumentais da CME, Ainda não foi solucionado</t>
  </si>
  <si>
    <t>demora na admissão do paciente no sistema tasy - GL</t>
  </si>
  <si>
    <t>- falha na higienização da UTI adulto</t>
  </si>
  <si>
    <t>- desistência de procedimento cirurgico ( herniorrafia robótica) - agendamento para as 19h, mas com previsão de início as 21h</t>
  </si>
  <si>
    <t>LP - CC</t>
  </si>
  <si>
    <t>LPP - UTI</t>
  </si>
  <si>
    <t>Paciente foi retirada do mapa cirúrgico e foi colocado o nome de outro paciente, do sexo masculino, como se fosse realizar o mesmo procedimento, com o mesmo médico e no mesmo horário - erro verificado quando paciente chegou - acionado setor de agendamento cirúrgico, sem correção de imediato, gerando atraso de 1h30 do inicio do procedimento - 13h00) e inicio do procedimento como contingência (manual).</t>
  </si>
  <si>
    <t>dois códigos gemelares deterioração - hipotermia</t>
  </si>
  <si>
    <t>Suzana</t>
  </si>
  <si>
    <t>Rm demora exame</t>
  </si>
  <si>
    <t>Jéssica e Diego</t>
  </si>
  <si>
    <t>Tubo de coleta - tipagem, estão usando 3 tipos de tipagem, e o normal são 2 tipos</t>
  </si>
  <si>
    <t>Fluxo de fumar - autorização - qual a orientação</t>
  </si>
  <si>
    <t>ponto de atenção - invasão morador de rua, contido de imediato</t>
  </si>
  <si>
    <t>Bate mapa - divergência no sistema</t>
  </si>
  <si>
    <t>Mariane e Risco</t>
  </si>
  <si>
    <t>rotina de coleta de exame de tipagem banco de sangue</t>
  </si>
  <si>
    <t>- dispensação simeticona em dose errada - UTI ped</t>
  </si>
  <si>
    <t>- Paciente querendo fumar, orientado a descer com a enfermagem mas a portaria barrou</t>
  </si>
  <si>
    <t>- Falta de limpeza diária no cme</t>
  </si>
  <si>
    <t>2 Falha de dispensação de medicação pela farmacia/ 1 infiltração no PS</t>
  </si>
  <si>
    <t>Transporte: 31 chamados, 36% de adesão.</t>
  </si>
  <si>
    <t>Higiene: 15 chamados, 40% de adesão.</t>
  </si>
  <si>
    <t>Recepção: 1 chamado, 0% de adesão.</t>
  </si>
  <si>
    <t>1 Queda com dano leve PS</t>
  </si>
  <si>
    <t>- procedimento cirurgico agendado com nome de outro paciente, visto no dia do procedimento. solicitado para recepção cancelamento do atendimento e abertura de um novo, mas sem sucesso</t>
  </si>
  <si>
    <t>Problema com a porto (convênio) não está conseguindo fazer fluxo via Totem</t>
  </si>
  <si>
    <t>Caso paciente via Cross, vai trazer liminar do convênio</t>
  </si>
  <si>
    <t>1 Notificação de Leite Materno foi trocado o horário do Leite</t>
  </si>
  <si>
    <t>RM GE2 Ficou parada das 2 da Manhã até as 8</t>
  </si>
  <si>
    <t>Ocorrencia de falta de atendimento vinda da higiene</t>
  </si>
  <si>
    <t>Paciente com atitudes depreciativa contra os colaboradores</t>
  </si>
  <si>
    <t>Focos cirúrgicos vão ser instalados</t>
  </si>
  <si>
    <t>Restauro em um ponto na Casa de Saúde está com focos de sujeira</t>
  </si>
  <si>
    <t>- direcionamento de paciente para quarto 425</t>
  </si>
  <si>
    <t>- horário do inicio de trabalho da engenharia clinica aos sábados</t>
  </si>
  <si>
    <t>- Alunas da PUCC na sala cirurgica para assistir cirurgia, orientado médico que só poderia ser 1 aluna na sala</t>
  </si>
  <si>
    <t>- dispensação de dieta não conforme na UTI ped</t>
  </si>
  <si>
    <t>- Lactarista foi armazenar o leite materno manipulado e observou um frasco de leite materno vencido - descartado o leite</t>
  </si>
  <si>
    <t>1 Atraso de cirúrgia por conta da empresa de OPME</t>
  </si>
  <si>
    <t>1 Questão de higiene no CME no recolhimento do lixo e limpeza do loca</t>
  </si>
  <si>
    <t>Ar Condicionado do Posto de Enfermagem da UCO vazando, já chegou a queimar 2 computadores</t>
  </si>
  <si>
    <t>423 Bloqueado para reforma</t>
  </si>
  <si>
    <t>2 Bebês na NEO positivos para Influenza</t>
  </si>
  <si>
    <t>Baixa adesão ao número de chamados do concierge nos quartos via QR Code</t>
  </si>
  <si>
    <t>Falta de comunicação do OPME e o Centro Cirúrgico</t>
  </si>
  <si>
    <t>2 Pacientes se queixaram de aquecimento na RM do Castelo</t>
  </si>
  <si>
    <t>Reunião de Risco para indentificação de vulneráveis pela recepção</t>
  </si>
  <si>
    <t>1 LP estágio 2 Semi Intensiva</t>
  </si>
  <si>
    <t>Enfermagem UTI</t>
  </si>
  <si>
    <t>1 Computador a menos por conta do ar condicionado da UCO</t>
  </si>
  <si>
    <t>Foi feita reunião de alinhamento sobre o concierge e baixa adesão</t>
  </si>
  <si>
    <t>Tempo médio de liberação de leito após higiene está muito alto</t>
  </si>
  <si>
    <t>Rm do castelo parado ainda</t>
  </si>
  <si>
    <t>GE3 Manutenção corretiva</t>
  </si>
  <si>
    <t>Implementação de sabonete novo no hospital para limpeza de mãos</t>
  </si>
  <si>
    <t>Notificação sobre aquecimento da RM foi feita, vai ser acompanhado durante a proxima semana</t>
  </si>
  <si>
    <t>Obra na casa de saúde, sujidades e outros fluxos para alinhamento</t>
  </si>
  <si>
    <t>Cmd - falha na leitura do aparelho - orientado que poderia reinstalar em qualquer unidade - veio pro hvc, orientada a procurar atendimento no CMD - ouvidoria - instalação no HVc</t>
  </si>
  <si>
    <t>1 Lesão UTI NEo</t>
  </si>
  <si>
    <t>Vazou oléo de umas das esteiras e equipe deixou o chão muito liso, pode ocasionar queda</t>
  </si>
  <si>
    <t>Acompanhante está indo fazer refeição no conforto médico</t>
  </si>
  <si>
    <t>Mamografo em manutenção preventiva</t>
  </si>
  <si>
    <t>GE3 Ainda em manutenção preventiva</t>
  </si>
  <si>
    <t>Paciente fumando dentro do quarto</t>
  </si>
  <si>
    <t>- Paciente transferido do PS para o 3o B, sem passagem de plantão</t>
  </si>
  <si>
    <t>- troca de paciente coleta exame - UTI neuro</t>
  </si>
  <si>
    <t>- paciente interna aos cuidados da onco, com carta do hematologia, com solicitação de transfusão de 2CH. Não foi prescrito, paciente ficou sem prescrição ate as 23hs</t>
  </si>
  <si>
    <t>- falta de materiais da suprimed para 2 cirurgias que já estavam previamente agendadas - trocada empresa</t>
  </si>
  <si>
    <t>- falha no tempo de jejum para GTT - 8o D</t>
  </si>
  <si>
    <t>- ar condicionado da uco com vazamento</t>
  </si>
  <si>
    <t>- paciente da onco vem realizar ganciclovir com abertura de atendimento errada</t>
  </si>
  <si>
    <t>Queda sem Dano - 2°D</t>
  </si>
  <si>
    <t>Falha em passagem de Plantão da Sao Camilo para a UTI</t>
  </si>
  <si>
    <t>Totem e tasy não estão funcionando após parada para atualizar banco de dados</t>
  </si>
  <si>
    <t>Ar Condicionado da Sala 2 do CC está parado e vazando água</t>
  </si>
  <si>
    <t>406 Paciente com risco de fuga, foi aberta notificação sobre o ocorrido, o mesmo está com watcher também</t>
  </si>
  <si>
    <t>Como podemos sinalizar que o paciente é particular no Q24</t>
  </si>
  <si>
    <t>2 notificações de dispensação de medicamentos</t>
  </si>
  <si>
    <t>Danielle</t>
  </si>
  <si>
    <t>1 notificação de reação adversa a contraste</t>
  </si>
  <si>
    <t>Projeto do dispensário está ocorrendo</t>
  </si>
  <si>
    <t>Pequeno vazamento no centro cirúrgico devido a alguma batida no teto</t>
  </si>
  <si>
    <t>Fluxo de triagem aumentou o tempo do atendimento ao paciente</t>
  </si>
  <si>
    <t>abertura manual do portao da doca, sem acompanhamento do time da segurança - engenharia</t>
  </si>
  <si>
    <t>dieta enteral dispensada errada - farmácia</t>
  </si>
  <si>
    <t>demora na dispensação de dieta (sexta feira - 2 notificações)</t>
  </si>
  <si>
    <t>alta de paciente para ala com PAI - CC</t>
  </si>
  <si>
    <t>paciente foi liberado para ficar na calçada do hospital, não comunicado setor de origem</t>
  </si>
  <si>
    <t>1 falha de dosagem de medicação dispensada pela farmacia)</t>
  </si>
  <si>
    <t>1 Falha de identificação ( Paciente transferido do PS para alas de internação sem pulseira de identificação)</t>
  </si>
  <si>
    <t>2 pacientes do eixo pediátrico sem prescrição médica e sem visita médica no periodo da manhã -</t>
  </si>
  <si>
    <t>- paciente desceu no CC sem PM vigente</t>
  </si>
  <si>
    <t>- demora de dieta solicitada no quality (2h30)</t>
  </si>
  <si>
    <t>Falta de Retirada de Resíduos do Abrigo, enchendo o abrigo durante horário de pico no CC</t>
  </si>
  <si>
    <t>Sala 2 Não foi finalizada mas também não foi bloqueada</t>
  </si>
  <si>
    <t>Mãe não autorizou a coleta do PCR do filho de Covid por não cobertura do Plano, e mesmo assim foi coletado...</t>
  </si>
  <si>
    <t>Problema de entrega de exames, colaborador desligado por estar com problemas no Casarão, foi feito plano ação para colocar em dia os exames em atraso..</t>
  </si>
  <si>
    <t>Problema de Escala no CC pode afetar no tempo do fluxo do transporte Cirúrgico</t>
  </si>
  <si>
    <t>Paciente deis de ontem no PS com caréncia do convénio</t>
  </si>
  <si>
    <t>Acompanhante do 313 sofreu queda, foi notificado a mesma não quis ir ao PS</t>
  </si>
  <si>
    <t>Paciente tentou evadir novamente vai para Neuro 415</t>
  </si>
  <si>
    <t>Paciente recebeu alta com acesso Venoso</t>
  </si>
  <si>
    <t>1 Notificação de recall de medicamento</t>
  </si>
  <si>
    <t>dificuldade de transporte de paciente que vem da Casa de Saúde</t>
  </si>
  <si>
    <t>1 Notificação sobre a dificuldade de transferência do prontuário e da ficha</t>
  </si>
  <si>
    <t>Paciente com risco de Autoexterminio no PS</t>
  </si>
  <si>
    <t>Forno combinado não está funcionando e precisa do mesmo para hoje</t>
  </si>
  <si>
    <t>Procivil está fazendo muita sujeira e deixando muitos focos de poeira no Local</t>
  </si>
  <si>
    <t>Lactário - não preparado leite das 11 e 14 h da UTI neo/ falha na identificação do volume do leite (3 frascos)</t>
  </si>
  <si>
    <t>Higiene - cama suja mesmo após limpeza terminal, limpeza terminal em 30 min e falta de limpeza na UTI A</t>
  </si>
  <si>
    <t>SNE com vazamento em conexão</t>
  </si>
  <si>
    <t>Acidente de trabalho com perfuro cortante CC</t>
  </si>
  <si>
    <t>falha no registro do uso de material OPME durante procedimento</t>
  </si>
  <si>
    <t>Semi - Lesoes de Pele previa / LP MSD</t>
  </si>
  <si>
    <t>Queda de Acompanhante - Semi 1</t>
  </si>
  <si>
    <t>Pcte de Alta com AVP - Pronto Socorro</t>
  </si>
  <si>
    <t>Flebite MSD - Semi</t>
  </si>
  <si>
    <t>Horizon Está fora, Impactando Fluxo 1 no atendimento do PS</t>
  </si>
  <si>
    <t>5 Ausências na Nutrição vai impactar no Fluxo</t>
  </si>
  <si>
    <t>Transferência de cuidados treinamento está rodando mas precisamos entender onde está a falha do processo</t>
  </si>
  <si>
    <t>Atividades da Procivil Paralisadas por conta do não segmento do protocolo de obras</t>
  </si>
  <si>
    <t>paciente em isolamento de contato, não comunicado time da RM - realizado exame sem paramentação e não realizado limpeza terminal - UTI PED</t>
  </si>
  <si>
    <t>- escala UTI neo</t>
  </si>
  <si>
    <t>- aspiração de dieta em paciente intubado</t>
  </si>
  <si>
    <t>- controle de dor</t>
  </si>
  <si>
    <t>PS- lesão por fricção</t>
  </si>
  <si>
    <t>401 Em Manutenção persiana quebrada</t>
  </si>
  <si>
    <t>6 Afastamentos, pode acarretar em demora</t>
  </si>
  <si>
    <t>Falta de dieta em uma tira 1 notificação</t>
  </si>
  <si>
    <t>- Paciente retorna para PS da imagem deambulando, sem acompanhamento de colaboradores da imagem</t>
  </si>
  <si>
    <t>- encaminhamento de pacientes para ECG na cardiologia (5º andar) após as 15 hs e, em alguns casos, não fazemos o atendimento do convenio do HVC</t>
  </si>
  <si>
    <t>- encaminhado material OPME descartável (tela sem lateralidade), porém o pedido médico era a tela para lado esquerdo - conversado com a suprimed que relatou falta do material.</t>
  </si>
  <si>
    <t>- troca de prontuário e documentação na recepção -&gt; gerou atraso cirurgico</t>
  </si>
  <si>
    <t>- tempo de terminal em 15 min</t>
  </si>
  <si>
    <t>- adaptador Y não encaixa nos equipos, gerando extravasamento de dieta</t>
  </si>
  <si>
    <t>1 Lesão hematoma por medicação - 3º D</t>
  </si>
  <si>
    <t>1 LP estágio 2 Alas de internação 8º D</t>
  </si>
  <si>
    <t>1 Extravazamento Tomo (15/10/2025)</t>
  </si>
  <si>
    <t>1 falha de identificação de solicitação de exame ( Troca de paciente) PSO</t>
  </si>
  <si>
    <t>2 Notificações fitas que foram entregues e notificaram que não foi recebida</t>
  </si>
  <si>
    <t>1 notificação de paciente via PS, fluxo aprazar a prescrição da medicação</t>
  </si>
  <si>
    <t>Otica do Robo de 30° Graus</t>
  </si>
  <si>
    <t>Bomba injetora de contraste quebrou o disparador</t>
  </si>
  <si>
    <t>Falta de material para procedimento cirúrgico por falta de devolutiva de empresa</t>
  </si>
  <si>
    <t>Fluxo SAMU para a Casa de Saúde</t>
  </si>
  <si>
    <t>farmácia - atraso de dispensação , tiras com falta de medicação,</t>
  </si>
  <si>
    <t>- higiene - terminal em 20 min (602 - sexta feira), unidade suja (2ºD - sabado)/ PSI sujo (domingo)</t>
  </si>
  <si>
    <t>- pacient vem fazer a EDA e colonoscopia, no check list paciente refere uso de wegovy e que não houve questionamento sobre a medicação antes do exame - suspenso exame</t>
  </si>
  <si>
    <t>- PSA - transferencia sem prescrição de internação (2 notificações)</t>
  </si>
  <si>
    <t>- Paciente colocado em sala cirúrgica pelo Dr. Márcio sem a presença do circulante e sem a presença do termo de sítio cirúrgico e marcação de pele</t>
  </si>
  <si>
    <t>- paciente recebe clexane as 16 hs, prescrito alta domicliar as 17 hs - paciente com peridural - supenso alta médica</t>
  </si>
  <si>
    <t>- mãe passando SVA sem luvas - a mesma refere estar sondando desde a internação - 2ºD</t>
  </si>
  <si>
    <t>1 Lesão labial ( UTI Adulto</t>
  </si>
  <si>
    <t>1 lesão de pele em região maxilar vinda do centro cirurgico para NEO</t>
  </si>
  <si>
    <t>1 FLEBITE 8º d/</t>
  </si>
  <si>
    <t>1 Picc obstruido 2º C</t>
  </si>
  <si>
    <t>falta de medicação na tira dispensado pela farmacia/ Paciente transferido do PS para as alas sem prescrição médica ( 2 casos)</t>
  </si>
  <si>
    <t>1 ausencia de pulseira de identificação 2º D</t>
  </si>
  <si>
    <t>1 Falha de passagem de plantão centro cirpurgico para 2º D</t>
  </si>
  <si>
    <t>samu encaminha paciente sem regulaão de vagas</t>
  </si>
  <si>
    <t>- Paciente recebe mensagem de confirmação de consulta com endereço da unidade do iguatemi</t>
  </si>
  <si>
    <t>- falta de copeira noturno</t>
  </si>
  <si>
    <t>- ausência do motoboy para transporte de amostras (domingo)</t>
  </si>
  <si>
    <t>R05 Em manutenção pelo ar condicionado</t>
  </si>
  <si>
    <t>coleta de liquor indicada pelo medico do PS, orientado 4h de jejum - adiado punção para o dia seguinte</t>
  </si>
  <si>
    <t>laudo de exame de imagem relata exame sem contraste e na anotação const uso de contraste</t>
  </si>
  <si>
    <t>falha na dispensação de MAV - near miss</t>
  </si>
  <si>
    <t>expurgo com piso solto - 5º andar</t>
  </si>
  <si>
    <t>UCO - LPP I grau/ 8° D - LPP II grau</t>
  </si>
  <si>
    <t>UTI PED - Queda do berço dia 18/10</t>
  </si>
  <si>
    <t>1D - Flebite</t>
  </si>
  <si>
    <t>Médico não aturoiza coletar PCR da paciente</t>
  </si>
  <si>
    <t>334B Vazamento na Regua de Gás</t>
  </si>
  <si>
    <t>1 notificação De retirada de medicamentos de emergência na farmácia</t>
  </si>
  <si>
    <t>Danielli</t>
  </si>
  <si>
    <t>Concerto da bomba injetora de contraste concertada</t>
  </si>
  <si>
    <t>Vazamento no Solário</t>
  </si>
  <si>
    <t>1 Skin Tears (paciente agitada e necessario contenção, bateu a perna na grade e teve LP) - PS</t>
  </si>
  <si>
    <t>1 paciente com hiperemia, vista em avaliação do Mepilex - 2°C</t>
  </si>
  <si>
    <t>1 Multiplas Punções (5) - NEO</t>
  </si>
  <si>
    <t>Problema com a Horizon pode acarretar em queixa</t>
  </si>
  <si>
    <t>Queixa da Higiene na semi 2</t>
  </si>
  <si>
    <t>Na sala de isolamente da UTI NEO estamos com água escorrendo do teto</t>
  </si>
  <si>
    <t>Médico Preescreveu Dipirona via Oral junto com anticoagulante</t>
  </si>
  <si>
    <t>Buraco no Banheiro do CME, quando chove está caindo lá dentro</t>
  </si>
  <si>
    <t>Paciente com prescrição de medicamento que não é coberto pelo convênio</t>
  </si>
  <si>
    <t>1 notificação de prescrição do PS incluido de forma manual</t>
  </si>
  <si>
    <t>Problemas de integração de exame do fleury com tasy</t>
  </si>
  <si>
    <t>Paciente com Score 8 de dor tomou medicação e ainda se queixava de dor</t>
  </si>
  <si>
    <t>Transferência de cuidados para UTI sem comunicação previa para a equipe</t>
  </si>
  <si>
    <t>EcoTransesofagico passou mal e foi liberado sem acompanhante</t>
  </si>
  <si>
    <t>Pontos de Vazamento</t>
  </si>
  <si>
    <t>1 Notificação sobre falta de materiais para cirúrgia</t>
  </si>
  <si>
    <t>1 Notificação de prescrição de antibiotico</t>
  </si>
  <si>
    <t>PS - Falha de Preench Form Prescrição de Analgésico para Dor Aguda (180mg tegretol/ 300mg AAS - correto seria: 300mg AAS e 4 cp clopidogrel)</t>
  </si>
  <si>
    <t>4°D - Falha de Prescrição Dose/ Falha de Dispensação FARM</t>
  </si>
  <si>
    <t>WebService do Totem não está funcionando com algumas operadoras, aumentando o fluxo 2</t>
  </si>
  <si>
    <t>Está em falta o Crachá magnético da Recepção</t>
  </si>
  <si>
    <t>Fluxo de transfusão no PS</t>
  </si>
  <si>
    <t>1 Notificação no 2° D de amoxilina</t>
  </si>
  <si>
    <t>1 Ponto de melhoria a verificação da T.I sobre a questão dos perfis no Tasy para podermos indentificar a questão de alguns poderem solicitar algum medicamento</t>
  </si>
  <si>
    <t>Foi alinhado com a Procivil o esquema sobre a maneira como controlar a poeira para fazer a obra</t>
  </si>
  <si>
    <t>Estamos com pontos de água na farmácia</t>
  </si>
  <si>
    <t>- orientação de familiares e acompanhantes sobre cadastro facial</t>
  </si>
  <si>
    <t>- paciente chegou do centro cirurgico as 10h30, equipe da ala pediu dieta 2 vezes sem sucesso - retirado dieta as 13h40 pela enfermagem na cozinha</t>
  </si>
  <si>
    <t>- encaminhado paciente do CC para ala, aguardado 15 min para passagem de plantão beira leito, seu sucesso</t>
  </si>
  <si>
    <t>- caixa de psicotrópico entregres sem fechamento correto do lacre - EDA</t>
  </si>
  <si>
    <t>1 Lesão de pele Skin tears ( Semi Intensivo)</t>
  </si>
  <si>
    <t>Pacientes alinhadas de fluxo rápido se recusaram a sair pelo fluxo rápido e gostariam de ir ao quarto</t>
  </si>
  <si>
    <t>208 Em Reforma</t>
  </si>
  <si>
    <t>Qualidade e Higiene das Unidades de Guanabara e Nova Campinas</t>
  </si>
  <si>
    <t>Hemodinamica HD2 Manutenção preventiva</t>
  </si>
  <si>
    <t>Falha na lavadora do Robo</t>
  </si>
  <si>
    <t>Glicosimetro (verificar com thalita)</t>
  </si>
  <si>
    <t>Ouvidoria Fluxo com queixa no PS</t>
  </si>
  <si>
    <t>Motoboy Ainda não chegou para fazer transportes de exames</t>
  </si>
  <si>
    <t>VRF Está parado por queima de compressor</t>
  </si>
  <si>
    <t>Fleury</t>
  </si>
  <si>
    <t>Alinhamento com Fluxo do Fleury sobre equipe</t>
  </si>
  <si>
    <t>Transporte: 23 chamados, 56% de adesão.</t>
  </si>
  <si>
    <t>Higiene: 9 chamados, 44% de adesão.</t>
  </si>
  <si>
    <t>dificuldade na impressão de etiquetas no 2ºC, com solicitação da TI quase todos os dias</t>
  </si>
  <si>
    <t>- Nutrição: entrega de leite - paciente alergico a lactose</t>
  </si>
  <si>
    <t>- acompanhantes com falta de informações sobre a facial</t>
  </si>
  <si>
    <t>- teste diário do glicosímetro</t>
  </si>
  <si>
    <t>1 LP pré existente na Semi Intensiva/</t>
  </si>
  <si>
    <t>1 Lesão por fricção em bolsa escrotal - UTI</t>
  </si>
  <si>
    <t>1 Lesão em região tibial anterior E relacionado a PAI na NEO/</t>
  </si>
  <si>
    <t>1 LP ESTÁGIO 1 NA neo</t>
  </si>
  <si>
    <t>1 Reação alérgica a contraste na imagem</t>
  </si>
  <si>
    <t>1 falha de identificação do paciente Internação para Centro Cirúrgico</t>
  </si>
  <si>
    <t>1 falha passagem de plantão do PS para Semi 2</t>
  </si>
  <si>
    <t>Questão dos Crachás vai ser solucionado ainda está semana (UTI)</t>
  </si>
  <si>
    <t>404 paciente teve uma queda, durante ronda do noturno foi encontrado no chão</t>
  </si>
  <si>
    <t>QR Code e indentificação de paciente, QR tem que sinalizar quando e o A ou o B quando leito duplo</t>
  </si>
  <si>
    <t>Problema de energia na Lavadora Ultrasonica</t>
  </si>
  <si>
    <t>Januário e Victório</t>
  </si>
  <si>
    <t>Entupimento de esgoto na frente da cozinha da massima</t>
  </si>
  <si>
    <t>Porta do PS está com mal funcionamento</t>
  </si>
  <si>
    <t>Alinhamento da Casa para a Mandic</t>
  </si>
  <si>
    <t>Ar condicionado Pingando e com lençol segurando a água na RM</t>
  </si>
  <si>
    <t>presença de barata - 1ºD</t>
  </si>
  <si>
    <t>- chamado da higiene sem atendimento - 3ºD</t>
  </si>
  <si>
    <t>- paciente realiza troca de GTT as 11h30, comunicado setor sobre fim do procedimento - transferencia realizada as 13h</t>
  </si>
  <si>
    <t>- agendamento de RM de cranio, arterial de cranio e pescoço para um período da 20 min - realizado o exame e atraso na agenda de 45 min</t>
  </si>
  <si>
    <t>Neuro - DAI</t>
  </si>
  <si>
    <t>Neuro - LP previas (gluteo/trocanter e MMII)</t>
  </si>
  <si>
    <t>CC - AVP sem data de punção (2)</t>
  </si>
  <si>
    <t>Imagem - Extravasamento contraste</t>
  </si>
  <si>
    <t>3°D - Flebite G2</t>
  </si>
  <si>
    <t>3 Flebites</t>
  </si>
  <si>
    <t>3 Queixas sobre dificuldade de contato no agendamento</t>
  </si>
  <si>
    <t>Camila B.</t>
  </si>
  <si>
    <t>Escorrendo Água do teto na endoscopia</t>
  </si>
  <si>
    <t>Porta do CME está com problema</t>
  </si>
  <si>
    <t>Falta de Funcionários na nutrição, acarretando em demora no Q24</t>
  </si>
  <si>
    <t>Orçamento Pronto do Ar condicionado vai ser apresentado hoje para a diretoria</t>
  </si>
  <si>
    <t>- atraso na entrega de jantar na UTI ped</t>
  </si>
  <si>
    <t>colaborador deu saída real do leito no tasy porém paciente permanece no setor - impacto na rotina da higiene 2oC</t>
  </si>
  <si>
    <t>faltando atualização de endereço e telefone pela recepção no tasy</t>
  </si>
  <si>
    <t>- Falta de abastecimento da rouparia na CME</t>
  </si>
  <si>
    <t>- paciente com pedido de exame com anestesia porém foi agendado em agenda normal</t>
  </si>
  <si>
    <t>1 Queda de paciente do leito - Alas de internação 4 D</t>
  </si>
  <si>
    <t>1 queda e paciente em atendimento de laboratório.</t>
  </si>
  <si>
    <t>1 falha de identificação 4 Andar Ala D ( Paciente sem pulseira de identifcação no leito)</t>
  </si>
  <si>
    <t>Mapa da Copeira estava com dietas diferentes</t>
  </si>
  <si>
    <t>Mãe está com seu Bebe na UTI PED, solicitou para que não internasse outra criança no mesmo leito, foi cobrado 700 reais da mãe pelo leito pela secretaria</t>
  </si>
  <si>
    <t>1 Queixa de exame de Influenza que não tem acordo comercial</t>
  </si>
  <si>
    <t>Elevador 3 Parado, Previsão de entrega até o fim do dia</t>
  </si>
  <si>
    <t>Troca de forro na UDAN(unidade de desinfecção avançada)</t>
  </si>
  <si>
    <t>1 Caso pontual de investigação de endometriose</t>
  </si>
  <si>
    <t>- teto da udan com água</t>
  </si>
  <si>
    <t>- Paciente com problemas de internação (convênio), a internação foi realizada como particular - equipe percebeu no momento da impressão da etiqueta</t>
  </si>
  <si>
    <t>- material de OPME vencido - near miss</t>
  </si>
  <si>
    <t>-Durante o atendimento de procedimento de urgência, foi constatada falta de material OPME – material Simons 1.</t>
  </si>
  <si>
    <t>- procedimento eletivo, solicitado material OPME porém não disponível no procedimento</t>
  </si>
  <si>
    <t>- Ruptura de um medicamento padronizado (Winduza 100mg) - foi informado ao pessoal do compras com antecedência sobre o estoque baixo mas sem previsão de quando chegará o medicamento</t>
  </si>
  <si>
    <t>- prescrição duplicada de dieta enteral</t>
  </si>
  <si>
    <t>3D - Lpp estágio 2</t>
  </si>
  <si>
    <t>6D - 3 AVP sem data de punção/ 3D - flebite G1</t>
  </si>
  <si>
    <t>1 Notificação de Extravazamento de medicação na PED</t>
  </si>
  <si>
    <t>6 Boletins de dificuldade de contato</t>
  </si>
  <si>
    <t>Risco assistencial na PED perante a um caso pontual citado nos Rounds</t>
  </si>
  <si>
    <t>Perfuração de tubo no dispensário do lactário</t>
  </si>
  <si>
    <t>Questão do Posto de enfermagem e alagamentos</t>
  </si>
  <si>
    <t>- adorno centro cirurgico</t>
  </si>
  <si>
    <t>- durante procedimento do centro cirurgico, representante da empresa multimed entrou na sala alegando necessidade de realização de preventiva de equipamento em uso</t>
  </si>
  <si>
    <t>1 Quase erro de medicação no carrinho da anestesia no CC</t>
  </si>
  <si>
    <t>Leito 102 em Manutenção</t>
  </si>
  <si>
    <t>cirurgia protese joelho E sem banho pré op</t>
  </si>
  <si>
    <t>- acionado código amarelo as 14h50, avaliação médica as 16h - paciente transferida para semi</t>
  </si>
  <si>
    <t>- recebimento de resultado crítico - contato realizado com médica da hemato que solicita ligação para internista para prescrição de concentrado de hemacia - demora na prescrição</t>
  </si>
  <si>
    <t>- Paciente transferido do HVC para a Casa de Saúde sem documentação de internação, prescrições médicas e exames realizados no HVC,</t>
  </si>
  <si>
    <t>- atraso cirurgico (médico relara cirurgia as 8h mas estava no tasy as 7h)</t>
  </si>
  <si>
    <t>- Solicitado material na farmácia do CC, não tinha o material no local</t>
  </si>
  <si>
    <t>Solicitado conforme agendamento mamografia da peça pelo casarão, acionado Andressa (empresa motoboy), porém houve demora na chegada do mesmo. Cirurgião cancelou o exame devido o tempo de demora.</t>
  </si>
  <si>
    <t>Lesão Pré Existente - Semi 2 / UCO / 8°D / 3°D LP - 3°D (3)</t>
  </si>
  <si>
    <t>Falha Identificação Rotulo Med - PS / 8°D Flebite - 3°D / 8°D / 1°D</t>
  </si>
  <si>
    <t>Falha de Identificação (Nome) - Recepção</t>
  </si>
  <si>
    <t>Falha de Comunicação - CC</t>
  </si>
  <si>
    <t>- agressão verbal com colaborador</t>
  </si>
  <si>
    <t>- abertura de ficha pela recepção não realizada</t>
  </si>
  <si>
    <t>Falta de material relacionado a CAF e Farmácia no CC</t>
  </si>
  <si>
    <t>Fluxo horário de tomografia, mesmo com aviso previo, Fazer alinhamento e puxar reunião sobre isso</t>
  </si>
  <si>
    <t>Quarta Feira se inicia a troca dos dispenser do hospital, vai ser todos</t>
  </si>
  <si>
    <t>MotoBoy da Casa de Saúde não, empresa vai solicitar o envio de outro</t>
  </si>
  <si>
    <t>Transporte: 19 chamados, 57% de adesão.</t>
  </si>
  <si>
    <t>Rouparia: 2 chamados, 0% de adesão.</t>
  </si>
  <si>
    <t>Higiene: 1 chamado, 0% de adesão.</t>
  </si>
  <si>
    <t>dificuldade de comunicação entre 8ºD e PSA para passagem de plantão, atrasando a subida do paciente em 1h30</t>
  </si>
  <si>
    <t>- falhas de processos - RM</t>
  </si>
  <si>
    <t>- fratura transtrocanterica - cirurgia - alta - retorno com TVP e TEP</t>
  </si>
  <si>
    <t>- pacientes com PCR pendente para covid -&gt; pendente instituir isolamento no sistema e no setor</t>
  </si>
  <si>
    <t>- isolamento paciente VRE - semi</t>
  </si>
  <si>
    <t>- 2 falha na comunicação de internação de paciente - maternidade</t>
  </si>
  <si>
    <t>- forte odor de esgoto na farmácia o centro radiologico</t>
  </si>
  <si>
    <t>- prescrição manual de Rx de face no PSI</t>
  </si>
  <si>
    <t>- caixa de psicotropicos da EDA entregues pra farmácia fora do padrão estabelecido (saquinho e com medicação vazando)</t>
  </si>
  <si>
    <t>Lesão Pré Existente - Semi 2</t>
  </si>
  <si>
    <t>Atraso de Medicação - Pediatria</t>
  </si>
  <si>
    <t>Descarte de Bolsa de NPT por manipulação inadequada - Endoscopia</t>
  </si>
  <si>
    <t>Alinhamento de pontos de isolamento e transferência no TASY, quem sabe adicionar alguma barreira no Sistema</t>
  </si>
  <si>
    <t>Risco</t>
  </si>
  <si>
    <t>Paciente Adulto Internado na Pediatria, oque acarretou em queixas</t>
  </si>
  <si>
    <t>Sala de medicação do 1°D o Ar condicionado não está funcionando</t>
  </si>
  <si>
    <t>passagem de plantão PS/ Semi 2 - paciente com acineto - solicitado nova vaga</t>
  </si>
  <si>
    <t>- paciente admitido no apoio cirurgico, encaminhado ao CC sem coleta de exames</t>
  </si>
  <si>
    <t>- falha na orientação de baho pré operatório (Fx de clavicula)</t>
  </si>
  <si>
    <t>- falha na abertura do protocolo sepse</t>
  </si>
  <si>
    <t>- cirurgia com materiis de uma empresa checada no mapa cirurgico (RCL), porém durante o procedmento foi comunicado que também teria a empresa ALERRE</t>
  </si>
  <si>
    <t>1 Falha de passagem de plantão entre o PS e Semi Intensiva ( Paciente em isolamento por acineto e não realizado a comunicação prévia), ficando o paciente em quarto compartilhado.</t>
  </si>
  <si>
    <t>Paciente com Risco de Fuga, 336(UCO)</t>
  </si>
  <si>
    <t>Fluxo de Parto, Ver questão de como acionar o codigo, se realmente precisava realizar o acionamento do codigo</t>
  </si>
  <si>
    <t>Questão de entrega de exames a domicilio, ver como está o fluxo</t>
  </si>
  <si>
    <t>7 Notificações para a UTI de retirada de psicotropico</t>
  </si>
  <si>
    <t>1 Notificação de lanceta em duplicidade na UTI</t>
  </si>
  <si>
    <t>Laser greenLight está com problemas no Pedal</t>
  </si>
  <si>
    <t>- near miss marcação de lateralidade</t>
  </si>
  <si>
    <t>- pinça de apreensão Prorasp durante o procedimento do paciente -&gt; desvio de qualidade</t>
  </si>
  <si>
    <t>- dispensação de lancetas</t>
  </si>
  <si>
    <t>- fluxo de retirada de medicamentos do dispensário UTI A</t>
  </si>
  <si>
    <t>LPP - Estagio II - Unid Neuro</t>
  </si>
  <si>
    <t>Falha na Cadeia Medicamentosa - Erro Dose - Pronto Socorro</t>
  </si>
  <si>
    <t>Flebite - Semi 1</t>
  </si>
  <si>
    <t>Flebite - 1°D</t>
  </si>
  <si>
    <t>Sala 2 do CC parada por conta do Ar</t>
  </si>
  <si>
    <t>1 notificação de CC Segura</t>
  </si>
  <si>
    <t>Luiza</t>
  </si>
  <si>
    <t>1 Principio de Incendio na Seladora</t>
  </si>
  <si>
    <t>Falha de comunicação GL no direcionamento de pacientes semi/neuro</t>
  </si>
  <si>
    <t>Falha de comimunicacao RM - setor?</t>
  </si>
  <si>
    <t>Falha no banho pre operatório (quadrantectomia + prótese mamas/ artrodese)</t>
  </si>
  <si>
    <t>Diálise- aparelho no início da sessão apontando temperatura elevada, início da terapia, paciente se queixando de queimacao no membro - desligado aparelho</t>
  </si>
  <si>
    <t>Paciente com doença de crhon foi embora sem fazer o exame</t>
  </si>
  <si>
    <t>Médico acessando leito sem paramentacao</t>
  </si>
  <si>
    <t>Cirurgia com alta ja em sistema, alocada na uti 6o andar</t>
  </si>
  <si>
    <t>Troca de leito por período de internação</t>
  </si>
  <si>
    <t>1 LP estágio 2 em região sacral e glutea - UTI Adulto ( Solicitado parecer NAE)</t>
  </si>
  <si>
    <t>1 LP Estágio 2 em região sacral e glutea - UTI Neurologica ( Resistência familiar na mudança de decubito)</t>
  </si>
  <si>
    <t>1 LP pré existente UCO. OBSERVAÇÃO: 1 Paciente cpom risco elevado de LP 8º andar ( Dificuldade de implementação do protocolo) devido resistencia familiar.</t>
  </si>
  <si>
    <t>1 Falha de processo ( medicamento psicotrópico fora da gaveta), gaveta de medicamento controlado encontra-se aberta - Coordenadora Leticia ciente..</t>
  </si>
  <si>
    <t>Tivemos um Apontamento no Round sobre a entrega Das Tiras</t>
  </si>
  <si>
    <t>- paciente hematuria, descorado - solicitado leito pra UTI HVC</t>
  </si>
  <si>
    <t>- paciente com alta programada, coletado exames, material não encaminhado para laboratorio</t>
  </si>
  <si>
    <t>Restauração Procivil no corredor RCC / Mudança do point of care Fleury</t>
  </si>
  <si>
    <t>Ponto de Hemodialise, Saber onde vai ser os pontos e mapear eles</t>
  </si>
  <si>
    <t>Reforma 709</t>
  </si>
  <si>
    <t>1 Notificação de dispensação de um frasco, por erro do número da prescrição do médico</t>
  </si>
  <si>
    <t>Suporte do monitor da anestesia da RM acabou quebrando</t>
  </si>
  <si>
    <t>Vidro Quebrado novamente no ROMA</t>
  </si>
  <si>
    <t>dispensação de dieta - UTI ped e PSI</t>
  </si>
  <si>
    <t>- paciente internando via PS sem PM</t>
  </si>
  <si>
    <t>- encaminhamento de paciente para o leito sem comunicação prévia</t>
  </si>
  <si>
    <t>- médico entra no quarto sem paramentação - UTI A</t>
  </si>
  <si>
    <t>- Ar condicionado com gotejamento -PS</t>
  </si>
  <si>
    <t>- PM não realizada até o meio dia</t>
  </si>
  <si>
    <t>- dispensação de antibiótico - não houve entrega na farmácia central e dose errada quando entregue no setor - UTI A</t>
  </si>
  <si>
    <t>- monitor multiparametros com alarmes desligados - UTI neo</t>
  </si>
  <si>
    <t>- equipe médica não usando EPIs para entrar em leito isolamento contato - ala</t>
  </si>
  <si>
    <t>- 6 notificações de adorno</t>
  </si>
  <si>
    <t>- paciente admitido no 8º D para cirurgia em cadeira de rodas, baixa mobilidade, institucionalizado</t>
  </si>
  <si>
    <t>- paciente politrauma, interna via PS sem acionamento do trauma</t>
  </si>
  <si>
    <t>- troca de pacientes na internação</t>
  </si>
  <si>
    <t>triagem de paciente no PS na ausência do enfermeiro</t>
  </si>
  <si>
    <t>Lesão por Pressão - 8°D (2) / UCO (1)</t>
  </si>
  <si>
    <t>Troca de identificação em documentação - 8°D</t>
  </si>
  <si>
    <t>A partir de semana que vem IA passará a ser usada no agendamento</t>
  </si>
  <si>
    <t>Simone informou que caiu teto na saída de alta. Isso impacta operação da Stapar. Não pode usar primeiro subsolo para saídas de alta hoje. Acesso será todo pela 11 de Agosto.</t>
  </si>
  <si>
    <t>Mal cheiro Na farmácia do CRC</t>
  </si>
  <si>
    <t>AutoClave Parada no CC</t>
  </si>
  <si>
    <t>Paciente 211 Com multiplas queixas na Ouvidoria</t>
  </si>
  <si>
    <t>Instalações do novos dispenser, vai causar barulho nas áreas</t>
  </si>
  <si>
    <t>Maurício</t>
  </si>
  <si>
    <t>falha transferencia PS/ UCO</t>
  </si>
  <si>
    <t>- forte odor da farmácia centro radiologico 1ºD</t>
  </si>
  <si>
    <t>- RN com queda da saturação, aumentado FiO2 da VM, observado que o reservatório estava cheio</t>
  </si>
  <si>
    <t>1 Lesão de pele ( DAI) Pronto Socorro</t>
  </si>
  <si>
    <t>Multiplas punções na UCO / 1 Extravazamento de contraste</t>
  </si>
  <si>
    <t>- médico orienta paciente a entrar em contato direto com o ambulatório para retirada de duplo J</t>
  </si>
  <si>
    <t>- empresa Allent acionada para uma cirurgia no dia 17, acordado que os OPMEs descartáveis viriram junto com o instrumentador -&gt; falha de comunicação entre instrumentadora e OPME</t>
  </si>
  <si>
    <t>420 Está bloqueado para Manutenção</t>
  </si>
  <si>
    <t>Na Data de Ontem a AutoClave parou novamente</t>
  </si>
  <si>
    <t>1 pré existente em trocanter ( Transferida da Santa Casa de Itatiba ) para Uti Neuro do Vera</t>
  </si>
  <si>
    <t>Extravazamento de contraste ( Imagem)/ 1 flebite UTI Neuro / 1 circunstância de risco na cadeira medicamentosa na UTI P ( Criança em VM ) em continuidade da sedação entre troca de plantão.</t>
  </si>
  <si>
    <t>1 falha de comunicação na Semi Intensiva 2 ( Comunicação entre colaboradores) envolvendo cuidados do paciente./ 1 falha de comunicação ( Maternidade)/ 1 falha de passagem de plantão entre turnos na UTI P ( Criança intubada) envolvendo não continuidade da sedação.</t>
  </si>
  <si>
    <t>Problema com a empresa de monitorização nova a mesma não compareceu no CC</t>
  </si>
  <si>
    <t>Qual a Contigência do Fleury quando funcionários não aparecem</t>
  </si>
  <si>
    <t>2 Notificações 1 referente a comunicação na coleta de bancocinemia e 1 notificação de medicamento que não subiu no horário</t>
  </si>
  <si>
    <t>1 Ruptura de estoque de 2 dietas de parenteral</t>
  </si>
  <si>
    <t>Transferência de cuidado por conta de notificação ('- internação de paciente na UTI sem sistema tasy)</t>
  </si>
  <si>
    <t>-paciente alergico a latex, uso de SVD de latex</t>
  </si>
  <si>
    <t>- procedimento cirurgico sem médico cirurgião auxiliar - equipe conversa com o médico, orienta o protocolo institucional, comunicado médico</t>
  </si>
  <si>
    <t>- demora na retirada de exame laboratorial - internação 6º andar</t>
  </si>
  <si>
    <t>- gestante gemelar interna no apoio cirurgico - enfermeiro do cc solicita encaminhamento do paciente sem coleta de exames</t>
  </si>
  <si>
    <t>- paciente internado no apoio cirurgico 90/50 mmHg, sonolento, deambula com dificuldade, uso de fralda</t>
  </si>
  <si>
    <t>Mais um vidro quebrado no Ambulatorio da CSC</t>
  </si>
  <si>
    <t>Transporte: 24 chamados, 41% de adesão.</t>
  </si>
  <si>
    <t>Higiene: 8 chamados, 50% de adesão.</t>
  </si>
  <si>
    <t>GL: 1 chamado, 0% de adesão</t>
  </si>
  <si>
    <t>LP Pre existente - PSA/2°C</t>
  </si>
  <si>
    <t>Skin Tears (cotovelo) - Imagem</t>
  </si>
  <si>
    <t>DAI - 3°D</t>
  </si>
  <si>
    <t>Queda - Dano leve - 8°D</t>
  </si>
  <si>
    <t>Paciente sem pulseira de identificação - CC</t>
  </si>
  <si>
    <t>Falha de Passgem de Plantão - 3°D/Hemodinâmica</t>
  </si>
  <si>
    <t>4 notificações de reavaliação de dor</t>
  </si>
  <si>
    <t>1 notificação de acidente com perfuro cortante</t>
  </si>
  <si>
    <t>1 Cirúrgia Ped, demorou por conta da empresa responsável do OPME</t>
  </si>
  <si>
    <t>Problema na Bradesco fluxo 1 (totem)</t>
  </si>
  <si>
    <t>1 Notificação de um medicamento que não tinha na farmácia a pronta entrega</t>
  </si>
  <si>
    <t>Parada da Tomo e RM no Castelo para manutenção</t>
  </si>
  <si>
    <t>Alisson</t>
  </si>
  <si>
    <t>809 em Manutenção</t>
  </si>
  <si>
    <t>dificuldade de passagem de plantão 2ºC</t>
  </si>
  <si>
    <t>- fluxo de encaminhamento do pedido de congelação</t>
  </si>
  <si>
    <t>- pedido de cariotipo feito no pedido de anatomo</t>
  </si>
  <si>
    <t>- dispensação errada de campo de perneira no intraop</t>
  </si>
  <si>
    <t>- atraso na dispensação de material farmácia CC (adaptic)</t>
  </si>
  <si>
    <t>- banho pré op (protese mama/ ortop com implante de placas)</t>
  </si>
  <si>
    <t>- coleta Urocultura não processado - coletado dia 23, material não semeado para cultura</t>
  </si>
  <si>
    <t>Extravasamento de Contraste - Imgem</t>
  </si>
  <si>
    <t>Semi 1 - dificuldade passagem de plantão/ Neuro - informação incorreta em troca de curativo</t>
  </si>
  <si>
    <t>CC - troca de nome em pulseira/ Endoscopia: Troca de pacientes com mesmo nome</t>
  </si>
  <si>
    <t>2D - LPP grau II pré existente</t>
  </si>
  <si>
    <t>- devolução de materiais consignados após procedimento (não conformidade do que foi entregue e gasto do procedimento)</t>
  </si>
  <si>
    <t>321A Paciente com queixa na ouvidoria deseja leito individual</t>
  </si>
  <si>
    <t>1 Notificação na PED de troca de pulseira</t>
  </si>
  <si>
    <t>1 Notificação Na farmácia do CC na montagem de uma cirúrgia na data de ontem a noite</t>
  </si>
  <si>
    <t>Foi gerada 1 notificação no atraso das tiras de ontem que foi sinalizado</t>
  </si>
  <si>
    <t>1 Manutenção Preventiva na sala de gás estativa</t>
  </si>
  <si>
    <t>2 Notificações de prontuário sem ficha anestesica</t>
  </si>
  <si>
    <t>1 Sonda vesical no Paciente de PS notificação</t>
  </si>
  <si>
    <t>Paciente subiu sem PM de medicação</t>
  </si>
  <si>
    <t>Infestação de Cupim no Ambulatório da Casa de Saúde</t>
  </si>
  <si>
    <t>A Instalação do Piso na Casa de Saúde vai ser adiada devido a erro do piso que foi entregue</t>
  </si>
  <si>
    <t>Está tendo bastante queixas sobre o Ar condicionado pela recepção</t>
  </si>
  <si>
    <t>Tivemos 4 Códigos roxos na data de ontem</t>
  </si>
  <si>
    <t>Thayna</t>
  </si>
  <si>
    <t>803 Boqueado Ar condicionado vazando (do evaporador)</t>
  </si>
  <si>
    <t>Atraso atendimento Unidade nova campinas</t>
  </si>
  <si>
    <t>Manutenção abaixo em adesão ao Quality Concierge</t>
  </si>
  <si>
    <t>Solicitação de manutenção do expurgo do 5°Andar</t>
  </si>
  <si>
    <t>Pistola de Canula solicitação de manutenção</t>
  </si>
  <si>
    <t>Devolução de material refrigerado sem o condicionamento do material</t>
  </si>
  <si>
    <t>1 Notificação de indentificação de paciente</t>
  </si>
  <si>
    <t>IPSG</t>
  </si>
  <si>
    <t>334 Está bloqueado por formiga semi 2</t>
  </si>
  <si>
    <t>Call Center</t>
  </si>
  <si>
    <t>Médica cancelou as consultas por intercorrência pessoal, consultas canceladas</t>
  </si>
  <si>
    <t>Sistema de climatização do ambulatório já saiu o pedido e o fabricante vai demorar até 30 dias para a fabricação</t>
  </si>
  <si>
    <t>1 Flebite no Roma</t>
  </si>
  <si>
    <t>1 Notificação de 9 tentativas de pulsão</t>
  </si>
  <si>
    <t>Questão de atraso do motoboy</t>
  </si>
  <si>
    <t>1 Notificação comportamental</t>
  </si>
  <si>
    <t>- procedimento de biopsia sem check list antes do inicio do procedimento. Médico não aguardou inicio da anestesia para iniciar</t>
  </si>
  <si>
    <t>ITU - UTI neo</t>
  </si>
  <si>
    <t>sabado - acionamento da equipe médica na madrugada - acompanhante questionando as condutas médicas</t>
  </si>
  <si>
    <t>EDA e colonoscoppia sem avaliação pré anestésica</t>
  </si>
  <si>
    <t>UTI Neuro: reação alérgica a Vancomicina/ Imagem: extravazamento de contraste / Imagem: Reação alérgica grave</t>
  </si>
  <si>
    <t>2C: LPP pé existente/ 8D: LPP pré existente/ UTI Neuro: LPP grau 2.</t>
  </si>
  <si>
    <t>5 Pacientes esperando Leito para internação</t>
  </si>
  <si>
    <t>1 Cirurgia sem garrote</t>
  </si>
  <si>
    <t>CME está com alta demanda devido ao alto volume de cirúrgias</t>
  </si>
  <si>
    <t>330 Paciente se recusou a outro paciente internar com ele</t>
  </si>
  <si>
    <t>607 Porta quebrada e veneziana quebrada também</t>
  </si>
  <si>
    <t>712 Paciente bastante demandante por várias questões</t>
  </si>
  <si>
    <t>Farmácia / CAF</t>
  </si>
  <si>
    <t>1 Notificação sobre retirada e devolução de Psicotropico</t>
  </si>
  <si>
    <t>Sem Nenhum Motoboy no momento, está sendo acionado empresa responsável</t>
  </si>
  <si>
    <t>1 Notificação sobre a colocação de um DIU</t>
  </si>
  <si>
    <t>1 Notificação de Lesão Pré existente</t>
  </si>
  <si>
    <t>- demora na entrega de dietas</t>
  </si>
  <si>
    <t>- registro não conforme de protocolo AVC (20.11)</t>
  </si>
  <si>
    <t>- glosa operadora amil - exame procalcitocina - não atendimento os critérios estabelecidos pela Diretriz de utilização</t>
  </si>
  <si>
    <t>- cirurgia de artrodese - sem banho pré op</t>
  </si>
  <si>
    <t>- trocater em embalagem desmontado - equipe abriu novo material para seguimento do procedimento</t>
  </si>
  <si>
    <t>- uso de adorno (médico pediatria e técnico de enfermagem PS)</t>
  </si>
  <si>
    <t>- transporte de paciente PS - ala internação com avental de isolamento e luvas de procedimento</t>
  </si>
  <si>
    <t>8D - LPP grau 2</t>
  </si>
  <si>
    <t>1 Código Roxo</t>
  </si>
  <si>
    <t>2 Códigos Amarelos</t>
  </si>
  <si>
    <t>Dia Entregue não vai mais fazer entrega de exames</t>
  </si>
  <si>
    <t>Fluxo de Satisfação do paciente entre Quality/Ouvidoria</t>
  </si>
  <si>
    <t>1 Erro de dispensação de desosp</t>
  </si>
  <si>
    <t>1 Troca de Etiqueta de medicação</t>
  </si>
  <si>
    <t>Mamografo do Casarão ficou parado na data de ontem e foi liberado no mesmo dia</t>
  </si>
  <si>
    <t>Manutenção Corretiva na Hemo HD2</t>
  </si>
  <si>
    <t>Manutenção Preventiva na RM</t>
  </si>
  <si>
    <t>Manutenção do Expurgo satelite foi adiada</t>
  </si>
  <si>
    <t>Fluxo Internação Para Colono</t>
  </si>
  <si>
    <t>F11A Paciente com risco assistencial</t>
  </si>
  <si>
    <t>F07 Paciente com risco assistencial</t>
  </si>
  <si>
    <t>Problema de Ar no PS, não está gelando e está pingando Pacientes ficaram na Rua por conta do calor</t>
  </si>
  <si>
    <t>1 Boletim de ocorrência aberto por conta das pedras jogadas</t>
  </si>
  <si>
    <t>- fisioterapia utilizando seringa pré preenchida para atendimentos</t>
  </si>
  <si>
    <t>- paciente vindo do PS sem PM, sem AVP - comunicado internista (atendimento no periodo noturno)</t>
  </si>
  <si>
    <t>- reclamação dos cirurgios sobre falta da mascara hartmann azul e com vistor</t>
  </si>
  <si>
    <t>- falha no protocolo de jejum para EDA transesofágico - 4ºD (setor comunicou jejum a meia noite mas foi oferrtado cafe da manhã)</t>
  </si>
  <si>
    <t>- Paciente com cirurgia agendada 08 hrs - contato com recepção central (internações pendentes) - contato com GL (setor apoio estava sem pacientes)</t>
  </si>
  <si>
    <t>- preparo colonoscpoia (internado 5h30 para proceidmento as 15h porém preparo as 15h com procedimento as 18h30)</t>
  </si>
  <si>
    <t>- broncoaspiração - semi intensiva</t>
  </si>
  <si>
    <t>1 LP em região sacral UTI</t>
  </si>
  <si>
    <t>Alta demanda PS problema imagem</t>
  </si>
  <si>
    <t>Paciente sem exames, remarcado para sexta</t>
  </si>
  <si>
    <t>4 ventilações mecanicas</t>
  </si>
  <si>
    <t>Troca de medicação não prescrita</t>
  </si>
  <si>
    <t>37 isolamentos, 8 novos</t>
  </si>
  <si>
    <t>Thaís Costa</t>
  </si>
  <si>
    <t>falha ventilador neo, troca realizada</t>
  </si>
  <si>
    <t>lesao de grau 2</t>
  </si>
  <si>
    <t>falha na pasagem de plantão hvc para casa de saude</t>
  </si>
  <si>
    <t>2 pacientes aguardando leito no PS</t>
  </si>
  <si>
    <t>tubo com prazo de validade vencido</t>
  </si>
  <si>
    <t>Ar PS funcionando</t>
  </si>
  <si>
    <t>entrega de materiais para esterilização pela empresa terceira em local errado</t>
  </si>
  <si>
    <t>- paciente interna para procedimento quadril D - pedido e exames constam quadril E - familia e paciente solicitam conversa com médico titular antes do procedimento, realizado no CC</t>
  </si>
  <si>
    <t>- procedimento sob anestesia, paciente veio desacompanhado - na alta o mesmo refere não ter acompanhante, e insiste ser liberado sem acompanhante</t>
  </si>
  <si>
    <t>falha no CM IX5 - UTI neo</t>
  </si>
  <si>
    <t>circuito respiratório incompleto</t>
  </si>
  <si>
    <t>adorno (fisio)</t>
  </si>
  <si>
    <t>pacientes encaminhados para CC sem ECG</t>
  </si>
  <si>
    <t>1D: LPP grau 2.</t>
  </si>
  <si>
    <t>Farmácia central: manipulação de Slow K no lugar de Simeticona / Imagem: reação alérgica leve / 3D: administração incorreta de cloreto de potássio por SNE</t>
  </si>
  <si>
    <t>HVC para CS: falta de passagem de plantão entre médicos e equipe de enfermagem</t>
  </si>
  <si>
    <t>Elevador travou na pediatria, demora na manutenção</t>
  </si>
  <si>
    <t>Falha no agendamento médico</t>
  </si>
  <si>
    <t>Atraso na prescrisão da semi</t>
  </si>
  <si>
    <t>Recebimento do robo skywalker, dia 8 será a instalação</t>
  </si>
  <si>
    <t>LP grau 2</t>
  </si>
  <si>
    <t>solocitação para detetização de cupim</t>
  </si>
  <si>
    <t>Ar ambulatorio com problema</t>
  </si>
  <si>
    <t>Farmacêutica da noite na CSC deu atestado e auxiliar passou a noite sozinho sem uma farmacêutico</t>
  </si>
  <si>
    <t>Márcia</t>
  </si>
  <si>
    <t>Motoboy responsável pelas entregas não chegou</t>
  </si>
  <si>
    <t>7 pacientes no PS para internar</t>
  </si>
  <si>
    <t>Muitas crianças no CC 2 no momento</t>
  </si>
  <si>
    <t>Mari</t>
  </si>
  <si>
    <t>Baixo número de chamados no Q24 no giro de sala cirúrgica</t>
  </si>
  <si>
    <t>1 falha no processo de agendamento, com o mesmo médico em 2 cirurgias uma na casa de saúde e uma no Vera, causando 3 horas de atraso</t>
  </si>
  <si>
    <t>1 notificação da farmácia pedindo o atendimento da mãe para poder lançar medicamento, Rn nasceu com hypoglycemia</t>
  </si>
  <si>
    <t>2 notificação de demora no lançamento de PM</t>
  </si>
  <si>
    <t>Reforma na RM GE2</t>
  </si>
  <si>
    <t>Reforma no expurgo satélite em andamento</t>
  </si>
  <si>
    <t>Paciente kpc em leito duplo com uma gestante</t>
  </si>
  <si>
    <t>1 internação de uma paciente idosa, fez coleta de swap dentro da maternidade</t>
  </si>
  <si>
    <t>1 complicação em um procedimento na UTI Neo</t>
  </si>
  <si>
    <t>1 administração de medicamento incorreta 3D</t>
  </si>
  <si>
    <t>1 procedimento na CSC começou com 1 hora de atraso pois Cirurgião estava em outra CC</t>
  </si>
  <si>
    <t>1 Código Laranja de acompanhante uma gestante caiu</t>
  </si>
  <si>
    <t>Fluxo 1 com a 2Cara está intermitente</t>
  </si>
  <si>
    <t>AntiAlogenio paciente pode ser transferida devido a medicação</t>
  </si>
  <si>
    <t>Beatriz</t>
  </si>
  <si>
    <t>715 Paciente com risco assistencial</t>
  </si>
  <si>
    <t>Call center agenda distante com médico especifico</t>
  </si>
  <si>
    <t>2 Queixas secretaria de exames não cobertos</t>
  </si>
  <si>
    <t>1 Notificação de Peniselina</t>
  </si>
  <si>
    <t>1 Notificação sobre o avental sem esterilização</t>
  </si>
  <si>
    <t>2 Ventiladores pulmonares pararam na UTI NEO</t>
  </si>
  <si>
    <t>Instalação com o robo SkyWalker</t>
  </si>
  <si>
    <t>Falha de comunicação de transferência de Setor</t>
  </si>
  <si>
    <t>Falha de comunicação no Centro Obstetrico</t>
  </si>
  <si>
    <t>Oximetria do monitor da anestesia parado e de monitorização cardiaca</t>
  </si>
  <si>
    <t>Novamente Problema com o Motoboy do Diurno e do Noturno</t>
  </si>
  <si>
    <t>Paciente com risco assistencial</t>
  </si>
  <si>
    <t>3 Notificações de motoboy</t>
  </si>
  <si>
    <t>2 de comportamental de paciente</t>
  </si>
  <si>
    <t>2C: queda sem dano</t>
  </si>
  <si>
    <t>2C: flebite grau 1</t>
  </si>
  <si>
    <t>411 resonancia, paciente diabetico</t>
  </si>
  <si>
    <t>Juliana Contrera</t>
  </si>
  <si>
    <t>UTI pediadra, sala con goteira</t>
  </si>
  <si>
    <t>5 crianças UTI</t>
  </si>
  <si>
    <t>4 ventilações UTI</t>
  </si>
  <si>
    <t>Sem ultrasonica</t>
  </si>
  <si>
    <t>Lavadora Parada</t>
  </si>
  <si>
    <t>425 bloqueado</t>
  </si>
  <si>
    <t>1 erro de medicação, 3B erro de prescriçao, 3D troca de etiqueta, 3D LS</t>
  </si>
  <si>
    <t>Atraso motoboy</t>
  </si>
  <si>
    <t>Reposição vidros</t>
  </si>
  <si>
    <t>2 isolamentos</t>
  </si>
  <si>
    <t>Thays</t>
  </si>
  <si>
    <t>Petrobras com problema fluxo 1</t>
  </si>
  <si>
    <t>Bradesco com problema fluxo 1</t>
  </si>
  <si>
    <t>Gerência Médica</t>
  </si>
  <si>
    <t>408 Paciente com risco assistencial</t>
  </si>
  <si>
    <t>Dr. Hugo</t>
  </si>
  <si>
    <t>415 Paciente vai de transferência</t>
  </si>
  <si>
    <t>Dra. Mariana Vidal</t>
  </si>
  <si>
    <t>802 Paciente com risco assistencial</t>
  </si>
  <si>
    <t>9 Crianças no CC</t>
  </si>
  <si>
    <t>RM GE2 Liberada na data de ontem</t>
  </si>
  <si>
    <t>Mamográfo do casarão acabou parando</t>
  </si>
  <si>
    <t>1 Falha de comunicação UTI neuro DDA</t>
  </si>
  <si>
    <t>Notificação na onco Paciente da hematologia com quadro de cefaleia e retornou com uma internação</t>
  </si>
  <si>
    <t>1 notificação de reavaliação médica</t>
  </si>
  <si>
    <t>1 Notificação de transferência de um paciente com ataque cardia e apneia</t>
  </si>
  <si>
    <t>Dificuldade contato com central de agendamento</t>
  </si>
  <si>
    <t>demora procedimento EDA</t>
  </si>
  <si>
    <t>Comportamento enf RPA</t>
  </si>
  <si>
    <t>Paciente insatisfeito com fluxo rapido</t>
  </si>
  <si>
    <t>Dficuldade com senha de acesso nos exames imagem online</t>
  </si>
  <si>
    <t>Dificuldade retorno secretaria para conseguir NF</t>
  </si>
  <si>
    <t>Demora para receber refeição e insatisfação com qualidade da dieta</t>
  </si>
  <si>
    <t>Carrinho de anestesia parou durante procedimento</t>
  </si>
  <si>
    <t>Medico prescreveu medicamento que paciente era alergico mesmo sinalizado e informado duas vezes pelo paciente</t>
  </si>
  <si>
    <t>Sem agenda para endocrinologistas ambulatoriais</t>
  </si>
  <si>
    <t>Tempo demorado para entrega de refeição</t>
  </si>
  <si>
    <t>Demora para arrumar o ar condicionado apos acionar manutenção</t>
  </si>
  <si>
    <t>CME com problema de falta de agua nas pias</t>
  </si>
  <si>
    <t>Paciente em jejum sem soro glicosado e sem receber medicação</t>
  </si>
  <si>
    <t>Atraso em entrega de tiras</t>
  </si>
  <si>
    <t>Manutenção tomografo</t>
  </si>
  <si>
    <t>Alto ruido no 2°C</t>
  </si>
  <si>
    <t>Instalação dos vidros</t>
  </si>
  <si>
    <t>Atraso hemodinamica mais de 1h</t>
  </si>
  <si>
    <t>Atraso na entrega de equipamentos</t>
  </si>
  <si>
    <t>Lesão por perssão UTI</t>
  </si>
  <si>
    <t>3 ventilações UTI</t>
  </si>
  <si>
    <t>Ruídos menos intenso 2°C</t>
  </si>
  <si>
    <t>Enfermagem Gerência</t>
  </si>
  <si>
    <t>2 códigos roxo</t>
  </si>
  <si>
    <t>Dispensa incorreta de medicação</t>
  </si>
  <si>
    <t>1 código amarelo</t>
  </si>
  <si>
    <t>Liberação do quarto 213 até quinta</t>
  </si>
  <si>
    <t>Troca de tiras 425</t>
  </si>
  <si>
    <t>2°D queda sem dano</t>
  </si>
  <si>
    <t>Equipos não compatíveis com as bombas nas Alas de internação</t>
  </si>
  <si>
    <t>Colaboradores com atesdado no PS, afetará a eficiência durante o dia</t>
  </si>
  <si>
    <t>Manutenção tomografo novo</t>
  </si>
  <si>
    <t>Quartos 420 e 422 bloqueados por vazamento</t>
  </si>
  <si>
    <t>UTI: atraso de 3 hs reposição de potássio/ 3D: flebite/ 2C: omissão de mediação (Unimedrol)</t>
  </si>
  <si>
    <t>PS: ausência pulseira identificação</t>
  </si>
  <si>
    <t>PS: paciente alérgico, informado que paciente não possui alergia na passagem de plantão.</t>
  </si>
  <si>
    <t>Paciente Watcher com suspeita de agressão</t>
  </si>
  <si>
    <t>Espera de termometro para colocar na sala da geladeira de bolsas de sangue</t>
  </si>
  <si>
    <t>Teto da recepção RN com vazamento</t>
  </si>
  <si>
    <t>Manutençao resonância</t>
  </si>
  <si>
    <t>426 ar com vazamento</t>
  </si>
  <si>
    <t>Falha de identificação de tubo semi 1</t>
  </si>
  <si>
    <t>3D: LPP estágio 2/ 2D: LPP em região ociptal prévia</t>
  </si>
  <si>
    <t>Leitor facial entrada de colaboradores não está funcionando</t>
  </si>
  <si>
    <t>1 notificação ar condicionado</t>
  </si>
  <si>
    <t>715 reclamação ar via Q24</t>
  </si>
  <si>
    <t>Manutenção tomografia são camilo</t>
  </si>
  <si>
    <t>1 Notificação sobre dispensário da UTI</t>
  </si>
  <si>
    <t>715 Nutrição queixa Via Q24</t>
  </si>
  <si>
    <t>Cateter Nasal Notificação</t>
  </si>
  <si>
    <t>Julia</t>
  </si>
  <si>
    <t>conforto foi liberado pela manhã neuro</t>
  </si>
  <si>
    <t>604 aguardando vaga de semi desde ontem</t>
  </si>
  <si>
    <t>Lucas</t>
  </si>
  <si>
    <t>715 bloqueado para manutenção do chuveiro</t>
  </si>
  <si>
    <t>Bastante Cirúrgias Eletivas</t>
  </si>
  <si>
    <t>Transporte 39%</t>
  </si>
  <si>
    <t>Higiene 50%</t>
  </si>
  <si>
    <t>317 Bloqueado Previsto para liberar hoje</t>
  </si>
  <si>
    <t>NSP 6 notificações sem ponto</t>
  </si>
  <si>
    <t>1 Reação Alergica no Castelo</t>
  </si>
  <si>
    <t>1 código Roxo</t>
  </si>
  <si>
    <t>Atraso de 1h No PS CSC</t>
  </si>
  <si>
    <t>Ar do Ambulatório vai ser finalizado hoje</t>
  </si>
  <si>
    <t>2 Notificações CSC sem pontos</t>
  </si>
  <si>
    <t>1 código amarelo no 6° andar que evoluiu pra um código roxo</t>
  </si>
  <si>
    <t>Ester</t>
  </si>
  <si>
    <t>2 faltas da higienes</t>
  </si>
  <si>
    <t>Notificação de uso inadequado das tomadas</t>
  </si>
  <si>
    <t>Notificação de paciente que ao comer ficou com a mandibula travada e o talher quebrou na boca do paciente</t>
  </si>
  <si>
    <t>Sala de laudo Com mosquito</t>
  </si>
  <si>
    <t>2 pacientes internados via PS, a mais de 10h No PS</t>
  </si>
  <si>
    <t>Fluxo 1 No PS com problemas ainda</t>
  </si>
  <si>
    <t>1 LPP</t>
  </si>
  <si>
    <t>Farmácia: 13 chamados, 54% de adesão.</t>
  </si>
  <si>
    <t>CME: 1 chamado, 0% de adesão.</t>
  </si>
  <si>
    <t>Higiene do CC foi para outro setor</t>
  </si>
  <si>
    <t>Entrega de resuldado entregue a alguem não conhecido pelo paciente no casarão</t>
  </si>
  <si>
    <t>1 notificação de dispensa de medicamento incorreto</t>
  </si>
  <si>
    <t>leito 335 bloqueado para reforma</t>
  </si>
  <si>
    <t>Leito 332 acompanhante reclamou sobre infraestrutura</t>
  </si>
  <si>
    <t>26 terminais juntos como ajustar a equipe e pensar em um plano de ação</t>
  </si>
  <si>
    <t>Paciente internado sem filtro epa</t>
  </si>
  <si>
    <t>1 código roxo PS</t>
  </si>
  <si>
    <t>Sem controlador de acesso no ambulatorio</t>
  </si>
  <si>
    <t>finalizando o equipamento de ar do ambulatorio</t>
  </si>
  <si>
    <t>2 Notificações de Luminol</t>
  </si>
  <si>
    <t>Nutrição: 114 chamados, 60% de adesão.</t>
  </si>
  <si>
    <t>Transporte CC: 27 chamados, 55% de adesão.</t>
  </si>
  <si>
    <t>Higiene: 3 chamados, 66% de adesão.</t>
  </si>
  <si>
    <t>Priorizar leitos, 8 crianças</t>
  </si>
  <si>
    <t>Parada ressonancia castelo</t>
  </si>
  <si>
    <t>401 a 404 com problema na hidraulica</t>
  </si>
  <si>
    <t>332 com a marcenaria estragada, será feita a troca até terça</t>
  </si>
  <si>
    <t>2D: soro basal com identificação de outro paciente/ Imagem: 2 extravazamentos de contraste</t>
  </si>
  <si>
    <t>CMSC</t>
  </si>
  <si>
    <t>Perda de medicamentos na geladeira por falta de energia</t>
  </si>
  <si>
    <t>Cristina</t>
  </si>
  <si>
    <t>Atraso de entrega de laudo para paciente watcher</t>
  </si>
  <si>
    <t>Liberação do ar Condicionado ambulatório</t>
  </si>
  <si>
    <t>CMI</t>
  </si>
  <si>
    <t>Falta de Equipe no CMI</t>
  </si>
  <si>
    <t>2 Notificações de Frasco de Dieta rachando</t>
  </si>
  <si>
    <t>CC com atraso de mais de 1 hora para uma cirurgia Por conta de fornecedor que não sabia horário da Cirúrgia</t>
  </si>
  <si>
    <t>Evento com falha do Robo no CC com bisturi causando dano de pele em paciente Queimadura por Eletrocautério em coxa D</t>
  </si>
  <si>
    <t>Entrega de dietas para pacientes com precaução de contato, sobre quem entrega se é a copeira ou o time assistencial</t>
  </si>
  <si>
    <t>341 Liberado mais cabos de eletros precisam ser trocados</t>
  </si>
  <si>
    <t>332 Bloqueado para manutenção</t>
  </si>
  <si>
    <t>Sala de laudo colocado armadilha luminosa para os mosquitos</t>
  </si>
  <si>
    <t>Mesa cirurgica sem o controle</t>
  </si>
  <si>
    <t>Notificação de criança que chegou com queimadura previa</t>
  </si>
  <si>
    <t>Ar da recepção infusão sem funcionamento</t>
  </si>
  <si>
    <t>Ar do ambulatorio continua sem funcionamento, previsto para entrega hoje</t>
  </si>
  <si>
    <t>Notificação Tempo de Espera do time assistencial no balcão da farmácia</t>
  </si>
  <si>
    <t>Notificação Sobre a prescrição médica onde estava x ML e a farmácia dispensou y</t>
  </si>
  <si>
    <t>1 Notificação sobre demora no tempo de alta do médico ao paciente</t>
  </si>
  <si>
    <t>1 Notificação sobre paciente que fez biopsia e voltou dentro de 8 horas</t>
  </si>
  <si>
    <t>SEMI1 -Omissão de medicamento</t>
  </si>
  <si>
    <t>3°D - Flebite</t>
  </si>
  <si>
    <t>IMAGEM - Extravasamento de Contraste</t>
  </si>
  <si>
    <t>Dispensário do 4°C</t>
  </si>
  <si>
    <t>1 Notificação sobre a dificuldades de pacientes para localizar a radiologia</t>
  </si>
  <si>
    <t>Pontos de atenção: Secretária: 1 chamado, 0% adesão.</t>
  </si>
  <si>
    <t>Centro Cirúrgico: 42 chamados, 45,2% de adesão.</t>
  </si>
  <si>
    <t>Semi intensiva 1: LPP estágio 1 pré existente</t>
  </si>
  <si>
    <t>3 Pacientes no PS</t>
  </si>
  <si>
    <t>1 Paciente com carência Pediatrico no PS mais de 12 horas</t>
  </si>
  <si>
    <t>1 Cancelamento de Cirúrgia por conta de OPME errado</t>
  </si>
  <si>
    <t>332 Previsto para ser liberado hoje</t>
  </si>
  <si>
    <t>Paciente fumando maconha dentro do quarto</t>
  </si>
  <si>
    <t>Nova campinas com ausência de funcionários</t>
  </si>
  <si>
    <t>CME com OPME atrasado por conta da alta demanda</t>
  </si>
  <si>
    <t>Questão dos Dispensários da UTI vai ser investigada, tinha saldo no Sistema mais fisico ainda não tinha nada</t>
  </si>
  <si>
    <t>Atraso nas dietas</t>
  </si>
  <si>
    <t>Everton</t>
  </si>
  <si>
    <t>Elevador 2 Parado</t>
  </si>
  <si>
    <t>Vazamento na Entrega de Exames</t>
  </si>
  <si>
    <t>Alta pedido no 3°D</t>
  </si>
  <si>
    <t>Encaminhamento de Documento enviado ao CAD atrasado e ocorreu em erro de faturamento</t>
  </si>
  <si>
    <t>Ar do Ambulatório</t>
  </si>
  <si>
    <t>Ar do CMI, empresa que fez a instalação foi notificada e vão averiguar</t>
  </si>
  <si>
    <t>PS tendo muitas baratas</t>
  </si>
  <si>
    <t>Falha na comunicação da enfermagem fez com que não fosse entregue o exame</t>
  </si>
  <si>
    <t>Robo ficou com falha pela chuva no CC, foi feita a manutenção durante a madrugada</t>
  </si>
  <si>
    <t>Brinquedoteca com goteira pela chuva</t>
  </si>
  <si>
    <t>6 crianças como prioridade no CC</t>
  </si>
  <si>
    <t>CME alta demanda cirurgica</t>
  </si>
  <si>
    <t>332 liberado pela alta demanda, provavel fechamento novamente</t>
  </si>
  <si>
    <t>Falha agendamento de exame</t>
  </si>
  <si>
    <t>Paciente em isolamento circulando pelo hospital com N95</t>
  </si>
  <si>
    <t>Ar recepção infusão será realizado amanhã</t>
  </si>
  <si>
    <t>Entrega ar ambulatorio prevista para quarta</t>
  </si>
  <si>
    <t>Agendamentos sendo cancelados no Ambulatório por conta do ar</t>
  </si>
  <si>
    <t>Dificuldade de encontrar o motoboy da Titan para fazer entrega de amostra</t>
  </si>
  <si>
    <t>Paciente com PS com carência</t>
  </si>
  <si>
    <t>3 Reclamações na Ouvidoria devido ao call center</t>
  </si>
  <si>
    <t>Protocolo de Obra e protetor auricular para pacientes</t>
  </si>
  <si>
    <t>1 Notificação aberta para comportamental médico, não seguir as orientações da farmácia</t>
  </si>
  <si>
    <t>3 LPP Prévias</t>
  </si>
  <si>
    <t>1 Falta higiene</t>
  </si>
  <si>
    <t>RH</t>
  </si>
  <si>
    <t>1 Acidente de trabalho padrão percuso</t>
  </si>
  <si>
    <t>2 Pacientes no PS Aguardando vaga</t>
  </si>
  <si>
    <t>421A Bloqueado por conta que paciente não aceita outro paciente do lado</t>
  </si>
  <si>
    <t>Enfermagem Semi-intensiva / UTI</t>
  </si>
  <si>
    <t>1 Código roxo</t>
  </si>
  <si>
    <t>Medicamentos das 8 no 8°D não chegou</t>
  </si>
  <si>
    <t>1 B.o Dificuldade de agendamento</t>
  </si>
  <si>
    <t>1 falta de copeira que foi realocada para as alas, fluxo rápido pode ser afetado</t>
  </si>
  <si>
    <t>1 Not de descontamento familiar por falta de leito</t>
  </si>
  <si>
    <t>1 Not vazamento nos carrinhos de dieta</t>
  </si>
  <si>
    <t>1 Not armonização em glicosimetro não conforme</t>
  </si>
  <si>
    <t>1 Not hemodialise sem PM Médica</t>
  </si>
  <si>
    <t>1 Not de entrega de dieta sem o nome do paciente</t>
  </si>
  <si>
    <t>1 Falha totem</t>
  </si>
  <si>
    <t>1 Not Por falta de cobertor</t>
  </si>
  <si>
    <t>1 Not por paciente ter saído do PS durante atendimento e se exaltou durante o atendimento</t>
  </si>
  <si>
    <t>1 Queda sem dano</t>
  </si>
  <si>
    <t>Muita reclamação PS por conta da demora de liberação de leito</t>
  </si>
  <si>
    <t>10 crianças para CC</t>
  </si>
  <si>
    <t>Maternidade com 100% de ocupação e com um agendamento para tarde</t>
  </si>
  <si>
    <t>1 Not 426 erro de medicação</t>
  </si>
  <si>
    <t>2 leitos da pediatria sendo usado como UTI</t>
  </si>
  <si>
    <t>Pacientes reclamando sobre a falta de leitos, agilizar altas</t>
  </si>
  <si>
    <t>Mapa robusto para amanhã, hemodinamica precisará de alguem na recepção</t>
  </si>
  <si>
    <t>CME com alta temperatura, ar não gela</t>
  </si>
  <si>
    <t>Atualização servidor raio-x</t>
  </si>
  <si>
    <t>4 faltas higiene</t>
  </si>
  <si>
    <t>Colaboradores dormindo em local não apropriado</t>
  </si>
  <si>
    <t>1 codigo roxo</t>
  </si>
  <si>
    <t>Comportamental de descarte incorreto de material cortante</t>
  </si>
  <si>
    <t>UCO: LPP estágio 2/ UCO: Skin tears MSD</t>
  </si>
  <si>
    <t>Unidade indaiatuba está alagada e suja por conta da chuva, equipe higuiene chegará às 9h</t>
  </si>
  <si>
    <t>Aguardo da resolução do ar</t>
  </si>
  <si>
    <t>Um atestado para tarde no PS</t>
  </si>
  <si>
    <t>Ponto de atenção CME que ouve contaminação, já solucionado</t>
  </si>
  <si>
    <t>Not de pacientes que tiveram nausea</t>
  </si>
  <si>
    <t>Ultrassom da boston, hemodinamica</t>
  </si>
  <si>
    <t>Melhora climatização</t>
  </si>
  <si>
    <t>2 faltas higiene</t>
  </si>
  <si>
    <t>Compliance</t>
  </si>
  <si>
    <t>Agressão fisica a uma enfermeira, será aberda a notificação</t>
  </si>
  <si>
    <t>LP Pré existente - 3D/PS/ Semi 1</t>
  </si>
  <si>
    <t>Extravasamento Contraste - Imagem</t>
  </si>
  <si>
    <t>Atestado recepção</t>
  </si>
  <si>
    <t>Atraso higiene</t>
  </si>
  <si>
    <t>Not demora atentimeto PS</t>
  </si>
  <si>
    <t>Not paciente fumando no quarto, ouve lesão de pele</t>
  </si>
  <si>
    <t>Not falha de comunicação para internação</t>
  </si>
  <si>
    <t>1 Not de paciente descontente com quarto coletivo</t>
  </si>
  <si>
    <t>1 Not sobre falta de higiene na endoscopia</t>
  </si>
  <si>
    <t>Not de Rotulos de etiquetas incorretos por conta da impressora</t>
  </si>
  <si>
    <t>Notificação de congelação de amostra sem a comunicação ao paciente</t>
  </si>
  <si>
    <t>Vai ser marcada uma reunião com a Infinity por conta do fluxo 1</t>
  </si>
  <si>
    <t>Marcius</t>
  </si>
  <si>
    <t>Dificuldade de contato com o Call Center se mantém</t>
  </si>
  <si>
    <t>1 Notificação por conta do atraso do desjejum</t>
  </si>
  <si>
    <t>GE2 Parada por conta do Rompimento da serpentina</t>
  </si>
  <si>
    <t>Not de erro no seguimento de protocolo Viral</t>
  </si>
  <si>
    <t>1 LPP 8°D</t>
  </si>
  <si>
    <t>Médico Cancelou a agenda de forma repentina</t>
  </si>
  <si>
    <t>1 Not de paciente com agitação e contenção quimica e conteção mecanica que não estava na prescrição e nem no prontuário do paciente</t>
  </si>
  <si>
    <t>Vai ser feita reunião com a Brasanitas por conta dos problemas que vem ocorrendo de faltas da Higiene</t>
  </si>
  <si>
    <t>PS com um atestado de manhã e um de tarde</t>
  </si>
  <si>
    <t>1 not de medicação de parecetamol maior para paciente</t>
  </si>
  <si>
    <t>9 crianças no CC</t>
  </si>
  <si>
    <t>Temos apenas uma AutoClave funcionando</t>
  </si>
  <si>
    <t>GE2 será feita a troca de bobina de corpo</t>
  </si>
  <si>
    <t>GE2 feita a climatização</t>
  </si>
  <si>
    <t>Higiene 4 Faltas</t>
  </si>
  <si>
    <t>1 not paciente recebeu alta sem prontuario</t>
  </si>
  <si>
    <t>1 not de código roxo Paciente subiu sem médico e sem enfermeira acompanhando</t>
  </si>
  <si>
    <t>Notificações de uso de adorno</t>
  </si>
  <si>
    <t>UCO: DAI/ UCO: lesão pré existente/</t>
  </si>
  <si>
    <t>CC para semi1: falha de passagem de plantão</t>
  </si>
  <si>
    <t>Ambulatorio ar, previsão de entregua até o fim do dia</t>
  </si>
  <si>
    <t>Not De tiras atrasadas e falta de entrega</t>
  </si>
  <si>
    <t>Enfermagem Maternidade</t>
  </si>
  <si>
    <t>Reabordagem Cirúrgica em paciente da UTI NEO</t>
  </si>
  <si>
    <t>Not de glosa de angioplastia por conta do erro do cadastro do medicamento no TASY</t>
  </si>
  <si>
    <t>Daniele</t>
  </si>
  <si>
    <t>Not de devolução de medicamento</t>
  </si>
  <si>
    <t>Not de erro no agendamento cirúrgico</t>
  </si>
  <si>
    <t>Not de equipe saindo com privativo do CC</t>
  </si>
  <si>
    <t>Not de paciente em isolamento foi para quarto coletivo</t>
  </si>
  <si>
    <t>Material de opme rasgado no CC, material será reprocessado no CME, 3 caixas rasgadas</t>
  </si>
  <si>
    <t>3 faltas nutrição</t>
  </si>
  <si>
    <t>Sala 9 Foco sem funcionamento</t>
  </si>
  <si>
    <t>Manutenção ressonancia castelo</t>
  </si>
  <si>
    <t>DEA está sem Pá</t>
  </si>
  <si>
    <t>quarto 427 bloqueado</t>
  </si>
  <si>
    <t>4 faltas higuiene</t>
  </si>
  <si>
    <t>1 not de ralo aberto no Conforto médico</t>
  </si>
  <si>
    <t>1 not de medicação dispensada errada da pediatria</t>
  </si>
  <si>
    <t>8D: lesão pré existente</t>
  </si>
  <si>
    <t>UTI Ped: francionamento de medicação VO incorreta/ Pediatria: reação alérgica/ Maternidade: 7 tentativas seguidas de punção em RN/ UTI, 8D, 3D: Medicamento complementar checado mas não administrado</t>
  </si>
  <si>
    <t>1 atestado higuiene</t>
  </si>
  <si>
    <t>Ambulatorio ar, instalado e será realizado os testes</t>
  </si>
  <si>
    <t>Paciente tranferido da csc para hvc para realizar exames, porém retornou ao csc sem realizar os exames além da dificuldade de transferir os protuarios</t>
  </si>
  <si>
    <t>NOT paciente sacou sonda enteral, paciente estava com contenção e acompanhamente tirou a contenção</t>
  </si>
  <si>
    <t>CMD com falta de materiais para curativo</t>
  </si>
  <si>
    <t>2 Notificações de validação de medicamentos represadas</t>
  </si>
  <si>
    <t>Balcão Termico da cozinha cedeu, vai ser feita a manutenção</t>
  </si>
  <si>
    <t>NOT Evasão da Semi</t>
  </si>
  <si>
    <t>NOT de código azul na Imagem</t>
  </si>
  <si>
    <t>NOT de dispensação de med Errada Represada</t>
  </si>
  <si>
    <t>1 Not de falha de comunicação</t>
  </si>
  <si>
    <t>4 cirurgias canceladas</t>
  </si>
  <si>
    <t>Camila</t>
  </si>
  <si>
    <t>Robo do CC parado</t>
  </si>
  <si>
    <t>Aguardo de internação externa na pediatria</t>
  </si>
  <si>
    <t>427 liberado, porém continua com cheiro de tinta</t>
  </si>
  <si>
    <t>Médico cirurgião em duas salas, ouve desistencia de paciente</t>
  </si>
  <si>
    <t>CME fará mudança da sala de preparo</t>
  </si>
  <si>
    <t>Embalagem endoscopia não estava danificada, apenas sem a etiqueta</t>
  </si>
  <si>
    <t>Chegada de candulas da NEO</t>
  </si>
  <si>
    <t>Feita a manutenção do banho maria</t>
  </si>
  <si>
    <t>Higienes 3 faltas</t>
  </si>
  <si>
    <t>8D: Lesão pré existente/ UCO: Lesão por eletrocautério</t>
  </si>
  <si>
    <t>Imagem: 2 extravasamento contraste</t>
  </si>
  <si>
    <t>Aguardo retorno testes ar ambulatorio, será finalizado ao fim do dia</t>
  </si>
  <si>
    <t>Paciente questiona conduta médica PS, pontua que seria solicitado uma ressonancia mas não foi</t>
  </si>
  <si>
    <t>1 Chamado da Eng Clínica aberto</t>
  </si>
  <si>
    <t>DEA ainda em aberto</t>
  </si>
  <si>
    <t>1 Not sobre tirada de medicamentos e adicionado mais na conta do PAC</t>
  </si>
  <si>
    <t>1 falta prevista para tarde PS</t>
  </si>
  <si>
    <t>1 atestado recepção</t>
  </si>
  <si>
    <t>Rosi</t>
  </si>
  <si>
    <t>426 previsão para liberação hoje</t>
  </si>
  <si>
    <t>Medicação sem identificação na maternidade</t>
  </si>
  <si>
    <t>Demora de atendimento no balcão farmacia</t>
  </si>
  <si>
    <t>Amanhã será feita obras na CME, 2°C terá ruidos</t>
  </si>
  <si>
    <t>1 código azul aberto na recepção, foi um código amarelo erro código</t>
  </si>
  <si>
    <t>Falha identificação caixa CME</t>
  </si>
  <si>
    <t>Internista com adorno</t>
  </si>
  <si>
    <t>Erro no fluxo de transferência de paciente em isolamento</t>
  </si>
  <si>
    <t>Semi 2: LPP prévia/ UTI: Lesão por dispositivo médico (anchorfast),</t>
  </si>
  <si>
    <t>UTI Neuro: queda com dano leve/ PS: queda com dano leve</t>
  </si>
  <si>
    <t>2D: falha de prescrição (Amiodarona em SF)/ Neuro: flebite G4/ Farmácia: dispensação de medicação sem identificação</t>
  </si>
  <si>
    <t>Ressonancia do castelo ainda não ligou</t>
  </si>
  <si>
    <t>Será feita a troca da maca ginecoligica, será retirada amanhã</t>
  </si>
  <si>
    <t>Testes do ar ambulatorio, comprensor da maquina travou será acionada a garantia</t>
  </si>
  <si>
    <t>Atraso de exame por erro de protocolo</t>
  </si>
  <si>
    <t>Erro de protocolo de Sepse infantil</t>
  </si>
  <si>
    <t>Bradesco está fora do Ar</t>
  </si>
  <si>
    <t>Equipe não está conseguindo checagem beira Leito, T.I Foi acionada</t>
  </si>
  <si>
    <t>8 Leitos vão ser bloqueados no 2°C por conta das obras</t>
  </si>
  <si>
    <t>Questão de agenda distante para especialidade médica</t>
  </si>
  <si>
    <t>Questão do protetor auricular e verificar do porque fluxo não está correto</t>
  </si>
  <si>
    <t>Tirada da placa de indentificação e equipe foi realizado limpeza sem o devido equipamento para quarto com isolamento</t>
  </si>
  <si>
    <t>2 pacientes fizeram exames de imagem internado na CSC aguardando resultado</t>
  </si>
  <si>
    <t>Sobre o ar condicionado vai ser revista a questão da empresa com a diretoria para entendimento e ver o plano de açaõ</t>
  </si>
  <si>
    <t>UTI Neuro: LPP prévia/ CC: possível queimadura por eletrocautério</t>
  </si>
  <si>
    <t>Semi: queda de acompanhante</t>
  </si>
  <si>
    <t>1 atesdado no PS, prejudicou o fluxo de medicação</t>
  </si>
  <si>
    <t>Bradesco matém fora de ar</t>
  </si>
  <si>
    <t>Instabilidade no chamado de transporte, T.I acionada</t>
  </si>
  <si>
    <t>340 ponto de atenção, possivel watcher</t>
  </si>
  <si>
    <t>107 com alto risco de queda sem acompanhante</t>
  </si>
  <si>
    <t>Juliana Nogueira</t>
  </si>
  <si>
    <t>1 falta nutrição</t>
  </si>
  <si>
    <t>221, 223 possível liberação dos leitos</t>
  </si>
  <si>
    <t>CC (Anestesia): 12 tentativas, 18 abocath punção venosa</t>
  </si>
  <si>
    <t>Ambulatorio ar, terá um novo fornecedor previsão de conclusão da maquina para a próxima sexta</t>
  </si>
  <si>
    <t>Paciente exaltada no ambulatorio</t>
  </si>
  <si>
    <t>Paciente será tranferido da csc para hvc</t>
  </si>
  <si>
    <t>NOT de homisão de medicação</t>
  </si>
  <si>
    <t>11 Notificações sobre calibração de glicosimetro</t>
  </si>
  <si>
    <t>1 Not de atraso de exames laboratorias Fleury</t>
  </si>
  <si>
    <t>1 Not de bronco</t>
  </si>
  <si>
    <t>1 Not de erro de protocolo de paciente geriatra</t>
  </si>
  <si>
    <t>1 not de dispensação errada de Med</t>
  </si>
  <si>
    <t>Paciente a mais de 3 horas no PS, paciente com crise por conta de uso de drogas</t>
  </si>
  <si>
    <t>1 atestado PS</t>
  </si>
  <si>
    <t>Alta temperatura no GE1 e GE2, sendo estabilizada</t>
  </si>
  <si>
    <t>Garote locado do CC quebrou, está sendo trocado</t>
  </si>
  <si>
    <t>Hoje será entregue o quarto 335</t>
  </si>
  <si>
    <t>Ruido se mantém no 2°C</t>
  </si>
  <si>
    <t>NOT de mosquitos na sala cirurgica</t>
  </si>
  <si>
    <t>Semi: paciente sem pulseira de identificação</t>
  </si>
  <si>
    <t>UCO: Flebite</t>
  </si>
  <si>
    <t>4D: LPP pré existente</t>
  </si>
  <si>
    <t>Consultorios molhados por conta da chuva</t>
  </si>
  <si>
    <t>Infiltração nos corredores</t>
  </si>
  <si>
    <t>Aguardo do retorno maca ginecologica</t>
  </si>
  <si>
    <t>Tentativa de roubo de fios</t>
  </si>
  <si>
    <t>NEO sem estetoscopio nos leitos</t>
  </si>
  <si>
    <t>NOT envio de frasco a menos do que o prescrito</t>
  </si>
  <si>
    <t>2 faltas nutrição</t>
  </si>
  <si>
    <t>Bicicleta nova campinas está com danos</t>
  </si>
  <si>
    <t>330 bloqueado</t>
  </si>
  <si>
    <t>Quartos 2°C serão liberados</t>
  </si>
  <si>
    <t>Faixas do PS serão retiradas e será usada apenas as placas</t>
  </si>
  <si>
    <t>Florença tem uma tranferência</t>
  </si>
  <si>
    <t>2 NOT de pacientes que estão gravando a equipe de enfermagem</t>
  </si>
  <si>
    <t>1 NOT referente a higuiene</t>
  </si>
  <si>
    <t>1 atestado de tarde no PS</t>
  </si>
  <si>
    <t>Desencontro de agendamento cirurgia robotica</t>
  </si>
  <si>
    <t>CME vazamento de pó identificado a olho nu</t>
  </si>
  <si>
    <t>NOT de caixa devolvidas pelos anestesistas em locais errados</t>
  </si>
  <si>
    <t>Ressonancia GE1, paciente sofreu queimadura</t>
  </si>
  <si>
    <t>LImpeza do pó CME</t>
  </si>
  <si>
    <t>Aquecimento do robo por temperatura de sala</t>
  </si>
  <si>
    <t>342 não será possivel entregar hoje</t>
  </si>
  <si>
    <t>NOT falha de transporte</t>
  </si>
  <si>
    <t>8D/ 3D: flebite/ 4D: falha administração medicação</t>
  </si>
  <si>
    <t>8D, UTI Neo: Deiscência FO/ Imagem: queimadura 2 grau</t>
  </si>
  <si>
    <t>PS teve problemas com motoboy</t>
  </si>
  <si>
    <t>Aguardo programação da maca</t>
  </si>
  <si>
    <t>Ar ambulatoio</t>
  </si>
  <si>
    <t>NOT atraso liberação de laudo</t>
  </si>
  <si>
    <t>2 NOT de lesoes pré existentes</t>
  </si>
  <si>
    <t>NOT transfusão de sangue</t>
  </si>
  <si>
    <t>1 Paciente PED deis da tarde no PS por negativa do convênio 2Care</t>
  </si>
  <si>
    <t>1 NPP o tempo que pode ser prescrito por conta de frete e prazo de entrega</t>
  </si>
  <si>
    <t>Quartos bloqueados 106 Ar, 202 Registro banheiro, 342 Reforma UCO e 224 Ruído Obra CME,</t>
  </si>
  <si>
    <t>1 not PM de medicamento incorreta</t>
  </si>
  <si>
    <t>1 Not de cancelamento de procedimento por conta de materiais</t>
  </si>
  <si>
    <t>1 NOT de falta de limpeza no caf presença de vetores</t>
  </si>
  <si>
    <t>1 NOT de elevador que parou no PSI</t>
  </si>
  <si>
    <t>Notificações de processo de alta</t>
  </si>
  <si>
    <t>Posto de enfermagem caiu água dentro</t>
  </si>
  <si>
    <t>Ar do Ambulatório vai ser realizado a troca</t>
  </si>
  <si>
    <t>1 NOT Demora de liberação de laudo da imagem do HVC</t>
  </si>
  <si>
    <t>SEMI - Lesões pré existentes</t>
  </si>
  <si>
    <t>MATER - erro de Identificação de exame lab</t>
  </si>
  <si>
    <t>Transporte: 33 chamados, 33% de adesão.</t>
  </si>
  <si>
    <t>Inspeção da vigilancia sanitaria programada no PS</t>
  </si>
  <si>
    <t>1 código roxo, paciente no CC</t>
  </si>
  <si>
    <t>Entrega de refeição errada para paciente de pediatria, foi feita a troca</t>
  </si>
  <si>
    <t>Água entrando na parte que está em obra da CME</t>
  </si>
  <si>
    <t>NOT de validação de medicamentos</t>
  </si>
  <si>
    <t>2 NOT do 2°D alegando não ter recebido a medicação</t>
  </si>
  <si>
    <t>342 pronto falta apensas a higuiene, e 347 liberação prevista para quarta</t>
  </si>
  <si>
    <t>NOT de dispensario da farmacia e dois prontuarios não encontrados</t>
  </si>
  <si>
    <t>Robo estava locado no paciente e houve movimento na mesa, paciente não sofreu danos</t>
  </si>
  <si>
    <t>NOT de risco, atraso pediatras no PA</t>
  </si>
  <si>
    <t>Gabi</t>
  </si>
  <si>
    <t>Data do Ar mudou, nova previsão para segunda</t>
  </si>
  <si>
    <t>NOT suspeita de febre maculosa, não feito o tratamento</t>
  </si>
  <si>
    <t>2D: LPP estágio 2 (duplicada)</t>
  </si>
  <si>
    <t>PS: omissão de medicação</t>
  </si>
  <si>
    <t>PS: falha na passagem de plantão</t>
  </si>
  <si>
    <t>Baixa eficiencia na triagem PS</t>
  </si>
  <si>
    <t>Sala 3 CC bloqueada por manutenção eletrica, previsão para 20h</t>
  </si>
  <si>
    <t>2 CO para pacientes da maternidade</t>
  </si>
  <si>
    <t>Transporte de quimioterapia teve um leve atraso</t>
  </si>
  <si>
    <t>Inicio do retrofit do 711, ruidos intensos até sexta</t>
  </si>
  <si>
    <t>Paciente fez ressonancia, porém não recebeu o laudo de acordo com o exame</t>
  </si>
  <si>
    <t>1 Omissão na administração de medicação, soroterapia diliuida e não administrada no paciente ( sendo descartado pelo técnico de enfermagem) PSA, paciente diagnosticado com trombose</t>
  </si>
  <si>
    <t>Verificar telhado do PS</t>
  </si>
  <si>
    <t>NOT de fita trocada com o nome do paciente, a troca foi realizada</t>
  </si>
  <si>
    <t>NOT duas gazes em raiox encontrado no carrinho</t>
  </si>
  <si>
    <t>224 entregue ao final do dia</t>
  </si>
  <si>
    <t>Duas falhas em agendamentos em exame</t>
  </si>
  <si>
    <t>Falha de passagem critico laboratorial</t>
  </si>
  <si>
    <t>8°D - LP Previa</t>
  </si>
  <si>
    <t>8°D - paciente adm med por conta propria</t>
  </si>
  <si>
    <t>Farm/CAF - Identific incorreta de psicotropico</t>
  </si>
  <si>
    <t>PS- Identificação incorreta de tubo exame laboratorial</t>
  </si>
  <si>
    <t>LAB - Não comunicação de recultado critico (HB-5,9)</t>
  </si>
  <si>
    <t>Compressores do Ambulatorio chegaram</t>
  </si>
  <si>
    <t>Bradesco somente fluxo 2 Infinity acionada</t>
  </si>
  <si>
    <t>Sala do robo parada pelo aquecimento, e também está tendo vazamento sala 08</t>
  </si>
  <si>
    <t>Mesa da sala 10 do CC com problemas</t>
  </si>
  <si>
    <t>1 código amarelo 312</t>
  </si>
  <si>
    <t>Queixa 709 sobre o barulho intenso das obras</t>
  </si>
  <si>
    <t>NOT tempo atendimento do balcão</t>
  </si>
  <si>
    <t>NOT medicamento complementar no quarto do paciente</t>
  </si>
  <si>
    <t>NOT de intervenção UTI médico não atendeu equipe da farmácia</t>
  </si>
  <si>
    <t>NOT problema de devolução de medicamento</t>
  </si>
  <si>
    <t>Ressonancia castelo parado</t>
  </si>
  <si>
    <t>709 liberado e 711 bloqueado</t>
  </si>
  <si>
    <t>9 faltas higuiene</t>
  </si>
  <si>
    <t>1 código roxo, tranferencia feita sem o médico</t>
  </si>
  <si>
    <t>Semi 1 - LP Previa</t>
  </si>
  <si>
    <t>CC - Lesão Bolhosa causada por eletrocauterio</t>
  </si>
  <si>
    <t>2°D - Hiperemia reg mamaria/inguinal/suprapubica</t>
  </si>
  <si>
    <t>PS-Queda sem dano</t>
  </si>
  <si>
    <t>UTI - Flebite G2</t>
  </si>
  <si>
    <t>4°D - Omissão Medicamento</t>
  </si>
  <si>
    <t>Colaborador Titan chegou com atraso</t>
  </si>
  <si>
    <t>Not Médico prescreveu no TASY x da medicação e na impressão saiu Y barreira foi a Enfermeira</t>
  </si>
  <si>
    <t>Sala 01 com vazamento também</t>
  </si>
  <si>
    <t>Not de dispensação de dieta</t>
  </si>
  <si>
    <t>Material de OPME atrasado</t>
  </si>
  <si>
    <t>Totens do PS na data de ontem estava sem a 2care e sem o Bradesco funcionando</t>
  </si>
  <si>
    <t>802 Com vazamento no teto</t>
  </si>
  <si>
    <t>Queixa da obra que está ocorrendo no conforto médico na UTI PED</t>
  </si>
  <si>
    <t>Not reaprazamento de medicação, pode perder a estabilidade do medicamento</t>
  </si>
  <si>
    <t>Not de retirada de dispensário de medicamento mas sem registro</t>
  </si>
  <si>
    <t>Not da UTI PED criança com mal convusivo demorou para subir para o leito</t>
  </si>
  <si>
    <t>Not de acompanhante sem cadastro no 2C</t>
  </si>
  <si>
    <t>Not Pac com fratura relatou dor equipe notificou por falta do controle de dor</t>
  </si>
  <si>
    <t>Not Pac idosa relatou receio de ir de alta</t>
  </si>
  <si>
    <t>Not de paciente com caxumba fez a transferência sem o equipamento ideal</t>
  </si>
  <si>
    <t>Mudança do fluxo da 2care e a Bradesco retorna a funcionar</t>
  </si>
  <si>
    <t>Paciente do 415 durante a noite estava tentado agredir a equipe</t>
  </si>
  <si>
    <t>Goteira na brinquedoteca</t>
  </si>
  <si>
    <t>CC sala 1 e 2 com vazamento</t>
  </si>
  <si>
    <t>NOT de medicamento complementar</t>
  </si>
  <si>
    <t>Braço robo substituido e já está funcionando</t>
  </si>
  <si>
    <t>Not de dieta não entregue e de paciente que comeu dieta não preescritra</t>
  </si>
  <si>
    <t>Not de falta de higuiene</t>
  </si>
  <si>
    <t>Motoboy chegou apenas no horario de almoço, teve que deslocar uma enfermeira para fazer a entrega do exame</t>
  </si>
  <si>
    <t>Previsão para o ar até o fim do dia seguinte</t>
  </si>
  <si>
    <t>3D - Falha cadeia medicamentosa</t>
  </si>
  <si>
    <t>Falha na passagem de plantão - UCO</t>
  </si>
  <si>
    <t>Falha na passagem de plantão - PS</t>
  </si>
  <si>
    <t>1 código amarelo 402</t>
  </si>
  <si>
    <t>Not 330°B estava sem o acessorios do monitor</t>
  </si>
  <si>
    <t>Not de paciente fumando no quarto 8°D</t>
  </si>
  <si>
    <t>Not do Ar da sala do centro cirurgico</t>
  </si>
  <si>
    <t>Flebite (2)- 4°D</t>
  </si>
  <si>
    <t>Falha no Processo MAV/Psico - Neurol /Farmacia</t>
  </si>
  <si>
    <t>1 paciente sem pulseira de identificação (CC)</t>
  </si>
  <si>
    <t>1 falha de identificação de exame lab (PS)</t>
  </si>
  <si>
    <t>Manutenção do forno</t>
  </si>
  <si>
    <t>Entrega do Ar</t>
  </si>
  <si>
    <t>Not de dificuldade para acesso de exames</t>
  </si>
  <si>
    <t>Not de Dessistência de Atendimento</t>
  </si>
  <si>
    <t>Not de descarpack que estava em local umido</t>
  </si>
  <si>
    <t>Not de Pneumotorax</t>
  </si>
  <si>
    <t>Not de Medicação de Alta vigilância</t>
  </si>
  <si>
    <t>Not de PM de bomba vasoativa</t>
  </si>
  <si>
    <t>Sala 8 do robo continua quente</t>
  </si>
  <si>
    <t>Roupa médica do enchovau chegando umida e com bichos</t>
  </si>
  <si>
    <t>Not referente a atraso de entrega das tiras</t>
  </si>
  <si>
    <t>Obra no 5° andar, haverá possiveis ruidos no 4°D</t>
  </si>
  <si>
    <t>Alta demanda de giro na higiene, afetará o enchovau</t>
  </si>
  <si>
    <t>1 Omissão de medicação do Pronto Socorro. 1 multiplas punções na UTI Neuro</t>
  </si>
  <si>
    <t>Conclusão do Ar ambulatorio</t>
  </si>
  <si>
    <t>CC sem Lavadora Termodesinfectora</t>
  </si>
  <si>
    <t>Ruptura de cateter Duplo</t>
  </si>
  <si>
    <t>NOT de entrega de medicação</t>
  </si>
  <si>
    <t>Sala hemodinamica está molhada, RM GE3 não liga</t>
  </si>
  <si>
    <t>Diversas quedas de energia pela chuva</t>
  </si>
  <si>
    <t>Raio-x parado</t>
  </si>
  <si>
    <t>Liberação corredor centro cirurgico e hemodinamica</t>
  </si>
  <si>
    <t>NOT comportamental higiene</t>
  </si>
  <si>
    <t>NOT falta de comunicação</t>
  </si>
  <si>
    <t>NOT uso de adornos</t>
  </si>
  <si>
    <t>NOT feito agendamento de exame errado</t>
  </si>
  <si>
    <t>Impressoras da imagem não estão funcionando</t>
  </si>
  <si>
    <t>NOT dificuldade de comunicação equipe enfermagem</t>
  </si>
  <si>
    <t>1 LP pré existente de ILPI. 1 LESÃO SKIN TEARS UCO</t>
  </si>
  <si>
    <t>1 Queda com dano leve UCO</t>
  </si>
  <si>
    <t>2 Flebite alas (2 D e 8 D). 1 erro de medicação alas de internação.</t>
  </si>
  <si>
    <t>1 falha de passagem de plantão PS para Alas de internação.1 Falha de comunicação de Jejum PS para SND ( Dieta solicitada entes da definição do Jejum). 1 falha de transferencia de cuidado ( Paciente com HD TROMBOSE), foi deambulando do PS para o setor de Tomogtafia. 1 falha de transição de cuidado do PS para alas de internação ( Paciente com irrigação fecada e sem solução). 1 Falha de comunicação para de solicitação de plaqueta ( Pronto socorro para Banco de sangue). 1 falha de passagem de plantão do PS para Oncologia. 1 falha de passagem de plantão pelo 2 D ( Enfermagem do setor não acompanha a passagem de plantão). 1 FALHA DE COMUNICAÇÃO LABORATÓRIO ( RETIRADA DE AMOSTRAS).</t>
  </si>
  <si>
    <t>Maquina de RM HD2 não liga</t>
  </si>
  <si>
    <t>Not de Med complementar no quarto</t>
  </si>
  <si>
    <t>Not de dietas</t>
  </si>
  <si>
    <t>Not de colaborador que tem diificuldade em saber os leitos que são liberados pelo app no celular corporativo</t>
  </si>
  <si>
    <t>Not de Sonda vesical</t>
  </si>
  <si>
    <t>Not de bronco dano leve</t>
  </si>
  <si>
    <t>Not de glicosimetro</t>
  </si>
  <si>
    <t>Porta instalada que não está fechando corretamente no CC</t>
  </si>
  <si>
    <t>1 código amarelo 8°D</t>
  </si>
  <si>
    <t>CME Termodesinfectora continua parada</t>
  </si>
  <si>
    <t>Mesa de esteriotaxia do casarão parada</t>
  </si>
  <si>
    <t>NOT de adorno</t>
  </si>
  <si>
    <t>2C: 1 omissão medicação</t>
  </si>
  <si>
    <t>PS-UTI / PS-UCO: falha passagem de plantão</t>
  </si>
  <si>
    <t>Sala do robo está aquecendo</t>
  </si>
  <si>
    <t>702 vazando água</t>
  </si>
  <si>
    <t>NOT durante a conferencia da maternidade o carrinho estaavá sem lacre</t>
  </si>
  <si>
    <t>Mesa esteriotaxia arrumada</t>
  </si>
  <si>
    <t>Final da tarde será liberado o 611</t>
  </si>
  <si>
    <t>2 NOT relacionada ao dispensario</t>
  </si>
  <si>
    <t>NOT de abertura de atentimento feito com o convenio errado</t>
  </si>
  <si>
    <t>NOT uso de adorno equipe médica</t>
  </si>
  <si>
    <t>NOT de enfermagem manipulando paciente com KPC sem os equipamentos corretos</t>
  </si>
  <si>
    <t>Adm de Med suspensa apenas no ADEP pelo médico - 1°D Omissão de Medicamento (ATB) - PS Extravasamento Contraste - IMG Punção de AVP em Membro Preservado - IMG Flebite - 4°D</t>
  </si>
  <si>
    <t>Código amarelo imagem</t>
  </si>
  <si>
    <t>1 falta higiene</t>
  </si>
  <si>
    <t>Corredor PS com vazamento na bomba</t>
  </si>
  <si>
    <t>Problema no forno</t>
  </si>
  <si>
    <t>Mudança do centro obstetrico</t>
  </si>
  <si>
    <t>Aguardo da liberação da termo</t>
  </si>
  <si>
    <t>NOT de medicamento atrasado</t>
  </si>
  <si>
    <t>NOT envio de OPME errada</t>
  </si>
  <si>
    <t>Ressonancia castelo em manutenção</t>
  </si>
  <si>
    <t>Bobina ressonancia GE3 neuro e GE1 de coluna manutenção</t>
  </si>
  <si>
    <t>NOT atraso do dieta pelo quality</t>
  </si>
  <si>
    <t>NOT de trasporte paciente em isolamento de contato</t>
  </si>
  <si>
    <t>NOT equipe médica e de enfermagem que entraram em quarto com isolamento e não fizeram a higienização das mãos</t>
  </si>
  <si>
    <t>NOT atraso motoboy</t>
  </si>
  <si>
    <t>LP Pré existente- UCO LP- Semi1 LP - 8D LP - semi 1</t>
  </si>
  <si>
    <t>Falha passagem plantão- CC</t>
  </si>
  <si>
    <t>Not de Agressão ao funcionário</t>
  </si>
  <si>
    <t>1 Not de Codigo Errado no PS</t>
  </si>
  <si>
    <t>Sala 08 do centro cirúrgico Com goteira e temperatura da Sala alta</t>
  </si>
  <si>
    <t>Previsão da subida das crianças NEO de volta para a PED</t>
  </si>
  <si>
    <t>Melissa</t>
  </si>
  <si>
    <t>702 bloqueado por conta do Ar, sem previsão até o momento</t>
  </si>
  <si>
    <t>Revisão do Termo da entrega da placenta</t>
  </si>
  <si>
    <t>Pesquisa negativa do leito 404 no Q24</t>
  </si>
  <si>
    <t>Entrega da área nova e a termo não foi liberada para uso</t>
  </si>
  <si>
    <t>1 not de falta de material para cirúrgia que não estava no descritivo médico</t>
  </si>
  <si>
    <t>Not de tempo de espera na farmácia</t>
  </si>
  <si>
    <t>Not de fita duplicada</t>
  </si>
  <si>
    <t>Not de medicamento complementar no quarto</t>
  </si>
  <si>
    <t>Not de falta de limpeza terminal no banco de sangue</t>
  </si>
  <si>
    <t>Not de fluxo de dispensação da NPP</t>
  </si>
  <si>
    <t>Not de dispensário</t>
  </si>
  <si>
    <t>Not de atraso de dispensação de dieta</t>
  </si>
  <si>
    <t>Not de comunicação</t>
  </si>
  <si>
    <t>Not de técnica que foi fazer o horário de almoço da mesma e sumiu medicamento</t>
  </si>
  <si>
    <t>Forno foi liberado o orçamento</t>
  </si>
  <si>
    <t>Transferência em andamento, leito 715 bradesco</t>
  </si>
  <si>
    <t>Stella</t>
  </si>
  <si>
    <t>Paciente foi se trocar no sanitário e estava sujo</t>
  </si>
  <si>
    <t>NOT de duas tirar entregues erradas</t>
  </si>
  <si>
    <t>Permanece sem a liberação da termo</t>
  </si>
  <si>
    <t>702 liberado</t>
  </si>
  <si>
    <t>224 e 223 terão ruídos leves</t>
  </si>
  <si>
    <t>NOT sobre ar</t>
  </si>
  <si>
    <t>NOT de transferencia e o leito não estava ajustado</t>
  </si>
  <si>
    <t>Medicamento de Alta Vigilância encaminhado em embalagem transparente - Farmácia Medicações encaminhadas com identificação de outro paciente - Farmácia Múltiplas punções pelo mesmo profissional - 4°D</t>
  </si>
  <si>
    <t>Falha de passagem de Plantão - PS</t>
  </si>
  <si>
    <t>425 com uma pequena reforma nas paredes</t>
  </si>
  <si>
    <t>Mel</t>
  </si>
  <si>
    <t>Raio-x portatil parado</t>
  </si>
  <si>
    <t>221 bloqueado por vazamento, talvez seja necessario utilizar o 223</t>
  </si>
  <si>
    <t>NOT de infecção na UTI ped</t>
  </si>
  <si>
    <t>NOT demora liberação de dieta, paciente foi comprar</t>
  </si>
  <si>
    <t>NOT de suspensão de endoscopia</t>
  </si>
  <si>
    <t>3D: Medicamento diluído sem identificação e sem proteção</t>
  </si>
  <si>
    <t>Paciente 802 sendo rispido com colaboradores</t>
  </si>
  <si>
    <t>Leito 708 e 710 com problemas na rede elétrica</t>
  </si>
  <si>
    <t>321 leito bloqueado por vazamento no ar</t>
  </si>
  <si>
    <t>Mariana</t>
  </si>
  <si>
    <t>Parte da janela retirada na neuro, vão deixar apenas as percianas e retiraram a grade de proteção</t>
  </si>
  <si>
    <t>Atraso de cirurgia por alta demanda</t>
  </si>
  <si>
    <t>Desvio de fracionamento</t>
  </si>
  <si>
    <t>Atraso dieta pediatria</t>
  </si>
  <si>
    <t>NOT de demora dispensação de OPME</t>
  </si>
  <si>
    <t>NOT de invasão no PS</t>
  </si>
  <si>
    <t>2 NOT de bronco aspiração</t>
  </si>
  <si>
    <t>NOT higuiene</t>
  </si>
  <si>
    <t>Perda de PICC (obstrução) - 3°D Quase falha MED - Erro dispensação (DOSE) - Farmacia</t>
  </si>
  <si>
    <t>Problema motoboy no PS</t>
  </si>
  <si>
    <t>Ambulatório</t>
  </si>
  <si>
    <t>Fechamento de agendamendo do ambulatorio</t>
  </si>
  <si>
    <t>NOT de médico que não compareceu no consultorio</t>
  </si>
  <si>
    <t>GE3 Parada sem motivo identificado</t>
  </si>
  <si>
    <t>Está sendo feito contato com empresa para vermos a verificação desta situação</t>
  </si>
  <si>
    <t>Sem autoclave</t>
  </si>
  <si>
    <t>Victório falou que está sendo feito já a Manutenção da maquina pela emrpresa responsável</t>
  </si>
  <si>
    <t>404 bloqueado</t>
  </si>
  <si>
    <t xml:space="preserve">Bloqueado para reforma </t>
  </si>
  <si>
    <t>Sala 9 com instabilidade no quality24</t>
  </si>
  <si>
    <t>Q24 não está funcionando na Sala, está sendo feito a busca para entender o ocorrido</t>
  </si>
  <si>
    <t>Material esterio identificado com material não esterio</t>
  </si>
  <si>
    <t>Verificar o ocorrido e o motivo do ocorrido</t>
  </si>
  <si>
    <t>TC HVC em manutenção</t>
  </si>
  <si>
    <t>Manutenção do Equipamento</t>
  </si>
  <si>
    <t>Cano da Osmose estourou na CME</t>
  </si>
  <si>
    <t>Manutenção do Cano da Osmose na CME</t>
  </si>
  <si>
    <t>Piso da CME será demolido</t>
  </si>
  <si>
    <t>Reforma Estruturante da CME</t>
  </si>
  <si>
    <t>Leito 305 bloqueado para reforma</t>
  </si>
  <si>
    <t>Reforma no Leito</t>
  </si>
  <si>
    <t>Impressora do Castelo não está funcionado</t>
  </si>
  <si>
    <t>Concertado o equipamento pela T.I</t>
  </si>
  <si>
    <t>114 Paciente pediu alta pedida por conta do cheiro do banheiro</t>
  </si>
  <si>
    <t>Ver com a Manutenção está questão do mal cheiro</t>
  </si>
  <si>
    <t>Falta de Bota Pneumática no Setor, verificar está questão</t>
  </si>
  <si>
    <t>Na data havia dois pacientes utilizando a bota na UTI e por conta disso houve está falta</t>
  </si>
  <si>
    <t>Impacto em Cirúrgia com caixa não esteril</t>
  </si>
  <si>
    <t>Verificado o motivo  com fornecedor já solucionado</t>
  </si>
  <si>
    <t>CME está sendo resolvido o vazamento</t>
  </si>
  <si>
    <t>Vazamento da chuva, já solucionado</t>
  </si>
  <si>
    <t>Problema no computador para impressões</t>
  </si>
  <si>
    <t>Aberto chamado para verificação do ocorrido, já solucionado impressões voltaram ao normal</t>
  </si>
  <si>
    <t>CO com problema de goteira na sala de parto</t>
  </si>
  <si>
    <t>Solucionado o vazamento na sala de parto</t>
  </si>
  <si>
    <t>Leito 102 bloqueado por cheiro de mofo</t>
  </si>
  <si>
    <t>Já Solucionado a manutenção e limpeza do Leito</t>
  </si>
  <si>
    <t>Corredor do 5°andar com cheiro forte de esgoto</t>
  </si>
  <si>
    <t>Já Solucionado na parte da manutenção e verificado também a limpeza</t>
  </si>
  <si>
    <t xml:space="preserve">Auto Clave Parada </t>
  </si>
  <si>
    <t>Solucionado o reparo</t>
  </si>
  <si>
    <t>Vazamento de água no posto de enfermagem pediatria</t>
  </si>
  <si>
    <t>Solucionado o vazamento e feito reparo</t>
  </si>
  <si>
    <t>Sem filtro de água na ONCO</t>
  </si>
  <si>
    <t>Solucionado e alocado um novo filtro na onco</t>
  </si>
  <si>
    <t>Quebra estativa sala 6</t>
  </si>
  <si>
    <t>Solucionado e feito conserto da Estativa</t>
  </si>
  <si>
    <t>Sala congelação 5° andar, problema ar condicionado</t>
  </si>
  <si>
    <t>Feito concerto do Ar condicionado</t>
  </si>
  <si>
    <t>Ar condicionado do PS sendo revisado para possivel quebra da parede para manutenção</t>
  </si>
  <si>
    <t>Solucionado o problema do Ar condicionado</t>
  </si>
  <si>
    <t>712 Bloqueado por conta do ar condicionado</t>
  </si>
  <si>
    <t>Escrituraria</t>
  </si>
  <si>
    <t>Relógios sem pilha sobre a utilização do relógio por conta de mudança de posíção</t>
  </si>
  <si>
    <t>Setores Assistenciais</t>
  </si>
  <si>
    <t>Solucioando está questão, pois são as escriturarias do setor que faz a troca da pilha</t>
  </si>
  <si>
    <t>AutoClave 2 com problemas solicitado visita da eng clínica</t>
  </si>
  <si>
    <t>Manutenção do Equipamento feita</t>
  </si>
  <si>
    <t>Notificação sobre devolução de medicação, com relação a chamado para T.I com relação ao TASY</t>
  </si>
  <si>
    <t>Está sendo feito a abertura de chamado para, podermos ver a possibilidade de melhoria no fluxo</t>
  </si>
  <si>
    <t>Times Assistencias</t>
  </si>
  <si>
    <t>bomba de irnfusão que se usa em histeroscopia ver a padronização deste equipo</t>
  </si>
  <si>
    <t>Fluxo de padronização de equipo</t>
  </si>
  <si>
    <t>Equipamento de hipotermia ficou com cheiro de quiemado</t>
  </si>
  <si>
    <t>Ligaram o equipamento na tomada 220V, já foi solucionado</t>
  </si>
  <si>
    <t>Autoclave parada</t>
  </si>
  <si>
    <t>Ar Condicionado do CO</t>
  </si>
  <si>
    <t>Várias notificações sobre o ar condicionado na do CO, cobrar Allan na sexta feira</t>
  </si>
  <si>
    <t>Totens da Recepção estão dando problemas, resolução está sendo trata pela Horizon e pela T.I do Hospital</t>
  </si>
  <si>
    <t>Ontem houve uma paralização total dos totens (voltaram a funcionar normalmente no mesmo dia) ver porque está tendo problemas com os totens</t>
  </si>
  <si>
    <t xml:space="preserve">Concerto RM GE3 </t>
  </si>
  <si>
    <t>Esperando a chegada das peças para manutenção da Ressonância Magnética</t>
  </si>
  <si>
    <t>Obras no Oitavo Andar</t>
  </si>
  <si>
    <t>Melissa Balzan</t>
  </si>
  <si>
    <t>Acompanhar obras e queixas e reforçar no huddle sobre o protetor auricular e também para comunicar pacientes</t>
  </si>
  <si>
    <t>Obra no Pronto Socorro</t>
  </si>
  <si>
    <t xml:space="preserve">Mal cheiro da pia do PS permaneçe, será feita a manutenção no feriado (dia 21) pois deverá ser interditado </t>
  </si>
  <si>
    <t>Seladora Farmácia</t>
  </si>
  <si>
    <t xml:space="preserve">Principio de Incêndio na farmácia, foi verificado junto com a Danielli, Gabriel Do SESMT e Engenharia Clínica sobre a manutenção da Seladora e sobre o principio de incêndio </t>
  </si>
  <si>
    <t>Solicitações Q24 Nutrição</t>
  </si>
  <si>
    <t>Todas áreas assistenciais</t>
  </si>
  <si>
    <t>Solicitações estavam sendo feitas de forma inadequada, está sendo acompanhada na reunião as quintas sobre o Q24 e foi feito material pelo marketing para apoio as áreas e treinamento</t>
  </si>
  <si>
    <t>Infiltração na Parede da farmácia do CRC(notificação)</t>
  </si>
  <si>
    <t>Comunicado Allan sobre o ocorrido o mesmo falou que está sendo feito plano de ação</t>
  </si>
  <si>
    <t>Atraso Motoboy para retirada de amostras</t>
  </si>
  <si>
    <t>Está sendo feita negociação para a troca da empresa por conta dos recorrentes atrasos do motoboy ou até a falta do mesmo</t>
  </si>
  <si>
    <t>Autoclave está parada para concerto por conta de queima de peça da mesma, esperando o concerto da mesma</t>
  </si>
  <si>
    <t>Microscopio KNEVO quebrou</t>
  </si>
  <si>
    <t>Microscopio havia parado, mas o mesmo já voltou a funcionar ainda não 100% mas está sendo feito trabalho para isso</t>
  </si>
  <si>
    <t>Mesa da Sala cirúrgica 6 foi amassada</t>
  </si>
  <si>
    <t>A mesma foi concertada pela engenharia clínica, está funcionando 100% após o ocorrido</t>
  </si>
  <si>
    <t>Lavadora de pinça do Robo parada, está na contigência, termo ainda parada, Empresa Stratener já foi acionada para manutenção</t>
  </si>
  <si>
    <t>Contato com a Stratener para manutenção da peça, estamos no aguardo</t>
  </si>
  <si>
    <t>Ar Condicionado no PS da CSC, no qual pinga encima da TV (orientação foi desligar a TV por conta Ar Condicionado)</t>
  </si>
  <si>
    <t>Ar condicionado csc retirado para manutenção, e posicionado outro no lugar</t>
  </si>
  <si>
    <t>Problema na estrutura de sustentação da pia, está enferrujada pois houve vazamento (Ped), risco de contaminação</t>
  </si>
  <si>
    <t>Esperando o Plano de ação da Manutenção</t>
  </si>
  <si>
    <t>Principio de incendio em outra seladora da farmácia</t>
  </si>
  <si>
    <t>Está sendo feito estudo para troca de Seladora, orçamento já foi realizado para um outro modelo de Seladora</t>
  </si>
  <si>
    <t>Isolamento, Falta de sinalização no sistema de pacientes isolados, Afeta no fluxo do CCIH</t>
  </si>
  <si>
    <t>Feito reunião do PCI para alinhamento, ficou alinhado da integração do nível</t>
  </si>
  <si>
    <t>Leito 316 previsão de liberação até ao fim do dia</t>
  </si>
  <si>
    <t>Verificar com o Allan liberação do Leito</t>
  </si>
  <si>
    <t>Os dois Carrinhos de anestesia parado, da Sala 7 e o Backup, sendo necessário pegar emprestado o da endoscopia</t>
  </si>
  <si>
    <t>Verificar com o Victorio essa questão</t>
  </si>
  <si>
    <t>Empresa GE fez avaliação da Bobina da maquina e vai ser necessário outra peça para concerto, empresa vai avaliar o prazo para entrega e concerto</t>
  </si>
  <si>
    <t>206 e 209 com o ar condicionado pingando</t>
  </si>
  <si>
    <t>Verificar com o Allan questão dos ares e liberação</t>
  </si>
  <si>
    <t>Problemas no ar condicionado 401</t>
  </si>
  <si>
    <t>Verificar com Allan liberação do Leito</t>
  </si>
  <si>
    <t>Ar Condicionado 402, 404 e 405 (estão com barulho e intermitentes)</t>
  </si>
  <si>
    <t>Verificar com Allan sobre o fechamento dos chamados</t>
  </si>
  <si>
    <t>OPME atrasado para cirúrgia robótica (responsável já está verificando a questão com equipe sobre o horário de solicitação)</t>
  </si>
  <si>
    <t>Danielle já está verificando o ocorrido</t>
  </si>
  <si>
    <t>CME sem ultrassonica do robo, sendo feita de forma manual com previsão de 10 dias para conserto da peça (10 dias fora de serviço, vem impactando), liberação na quarta</t>
  </si>
  <si>
    <t>strattner não tem a peça a pronta reposição no Brasil, estão tentando o concerto da maquina que quebrou</t>
  </si>
  <si>
    <t>Cabo que faz espelhamento para tela danificado na hemodinamica</t>
  </si>
  <si>
    <t>Victorio não estava sabendo do ocorrido, foi sinalizado e o mesmo vai realizar a investigação</t>
  </si>
  <si>
    <t>114 Bloqueado para reforma</t>
  </si>
  <si>
    <t>Reforma estruturante</t>
  </si>
  <si>
    <t>Problema no Chiller da Sala onde fica a GE3</t>
  </si>
  <si>
    <t>Questão do Chiller da Ressonancia</t>
  </si>
  <si>
    <t>Invetário dos dispensários foram realizados e foi visto que 60% está fora do que estava em sistema</t>
  </si>
  <si>
    <t xml:space="preserve">Vão ser encaminhados relatórios para área para ser feito planos de ação, comentar no huddle do dai 15 sobre a importância deste plano de ação </t>
  </si>
  <si>
    <t>Tomografia do castelo com aumento de temperatura</t>
  </si>
  <si>
    <t>Verificar com Victório se foi feito a manutenção preventiva corretamente do equipamento</t>
  </si>
  <si>
    <t>Demora No tempo do balcão da Farmácia</t>
  </si>
  <si>
    <t>Danielle e Elberty</t>
  </si>
  <si>
    <t>O computador anteriormente disponível para uso da enfermagem no balcão da farmácia será retirado. As solicitações deverão ser planejadas e realizadas diretamente no posto de enfermagem. Observamos que este computador era utilizado de maneira inadequada, e propiciava a equipe ficar parada no balcão utilizando para outras finalidades.
Após a liberação do pedido (requisição ou aprazamento) pela enfermagem e geração do lote, a farmácia terá o prazo de até 15 minutos para atendimento. A retirada no balcão deverá ocorrer somente após esse período, quando o pedido já deverá estar separado. Enfermagem descia até a farmácia antes de termos tempo hábil para atender o pedido.
Não serão atendidas solicitações realizadas presencialmente na farmácia sem o devido aprazamento. Nesses casos, o colaborador deverá ser orientado a retornar ao setor para regularização. Enfermagem desce na farmácia sem estar com o pedido completo do que precisam e sem medicações aprazadas para a geração de lotes.
Pedidos relacionados a medicamentos para dor deverão ser priorizados no atendimento.</t>
  </si>
  <si>
    <t>Instalação da termo CME</t>
  </si>
  <si>
    <t>Luiza e Adriana</t>
  </si>
  <si>
    <t>Verificar com Victorio sobre a instalação da Termo no CME, onde está havendo muitas mudanças</t>
  </si>
  <si>
    <t>Consultorio 5 PS com danos, houve tentativa de agressão da paciente com o médico (ação tomada, será feito o boletim de ocorrência)</t>
  </si>
  <si>
    <t>Marjorie já está fazendo os tramites necessários, abertura de boletim de ocorrência e tramites jurídicos</t>
  </si>
  <si>
    <t>Not Cilindro sala 8 CC congelando (apontado que já foi ressolvido)</t>
  </si>
  <si>
    <t>Verificar com Victório sobre esta ocorrência no CC</t>
  </si>
  <si>
    <t>Geladeira CO parou de funcionar (vacinas onde ficam as vacinas)</t>
  </si>
  <si>
    <t>Verificar com o Victório sobre, para adequação</t>
  </si>
  <si>
    <t>Leito 406 cama não está funcionando (será aberto o chamado)</t>
  </si>
  <si>
    <t>Tempo estendido na reposição do carrinho da farmácia para o Centro Cirurgico (Farmácia já está investigando o ocorrido)</t>
  </si>
  <si>
    <t>Verificar com eles sobre essa questão</t>
  </si>
  <si>
    <t xml:space="preserve">Leito 222 bloqueado por estar com cheiro de esgoto </t>
  </si>
  <si>
    <t>Leito liberado na data de hoje</t>
  </si>
  <si>
    <t xml:space="preserve">Leito 711 com chuveiro quebrado </t>
  </si>
  <si>
    <t>Leito liberado na data de ontem</t>
  </si>
  <si>
    <t>Sala 8 parada para manutenção gerador robo (Centro Cirurgico)</t>
  </si>
  <si>
    <t>Verificar com o Alan</t>
  </si>
  <si>
    <t>AutoClave da CME parada</t>
  </si>
  <si>
    <t>709 e 807</t>
  </si>
  <si>
    <t>Alan está passando todos os dias as posições sobre</t>
  </si>
  <si>
    <t>406 interditado</t>
  </si>
  <si>
    <t>Muitas notificações sobre Motoboy</t>
  </si>
  <si>
    <t>Governança</t>
  </si>
  <si>
    <t>Já está tendo as posições administrativas e jurídicas para a empresa</t>
  </si>
  <si>
    <t>Geladeira de vacinas CO não está funcionando (aberta a OS)</t>
  </si>
  <si>
    <t>Victorio havia passado que tinha feito o concerto mas sinalizado na data de hoje novamente sobre</t>
  </si>
  <si>
    <t>Termo com vazamento</t>
  </si>
  <si>
    <t xml:space="preserve">Victorio vai verificar sobre </t>
  </si>
  <si>
    <t>Ultrassonica 5 andar não está funcionando</t>
  </si>
  <si>
    <t>Dispensários estão com problemas para reposição de materiais</t>
  </si>
  <si>
    <t>T.I está verificando o ocorrido, mas uso para enfermagem está livre</t>
  </si>
  <si>
    <t xml:space="preserve">Leito 223 bloqueado por estar com cheiro de esgoto </t>
  </si>
  <si>
    <t>1 Monitor do PS está em manutenção e a falta de um está afetando a operação</t>
  </si>
  <si>
    <t>Aguardando o retorno deste monitor</t>
  </si>
  <si>
    <t>Falta de higiene nos vestiarios do Centro cirúrgico</t>
  </si>
  <si>
    <t>Verificar o ocorrido com o time responsável</t>
  </si>
  <si>
    <t>Aguardando a instalação das torneiras e a instalação dos computadores</t>
  </si>
  <si>
    <t>Obra está ocorrendo no setor</t>
  </si>
  <si>
    <t>Sala 08 do Centro cirúrgico com problemas eletrícos</t>
  </si>
  <si>
    <t>Empresa responsável pelo robo vai vir na próxima semana e os mesmos vão olhar toda a instalação da sala tendo em vista que já foi trocada toda a parte eletríca da sala</t>
  </si>
  <si>
    <t>ESG da UCO não está funcionando</t>
  </si>
  <si>
    <t>Aguardando a resolução do problema</t>
  </si>
  <si>
    <t>Leito 709 Bloqueado</t>
  </si>
  <si>
    <t>Leito bloqueado devido a barulho de obras que estão ocorrendo no andar</t>
  </si>
  <si>
    <t>Time Assistencial</t>
  </si>
  <si>
    <t>Muitas notificações de medicações termolábeis por erro de devolução</t>
  </si>
  <si>
    <t>Conversado com Elberty dia 29/05 no fechamento do huddle, e o mesmo vai começar a etiquetar medicações termolabeis</t>
  </si>
  <si>
    <t>GL</t>
  </si>
  <si>
    <t>Rodizio de pacientes</t>
  </si>
  <si>
    <t xml:space="preserve">Problemas com o rodizio do paciente </t>
  </si>
  <si>
    <t>Houve queda de prateleira na sala de equipamentos do CC, Chamado aberto aguardando resolução</t>
  </si>
  <si>
    <t>Aguardando resolução do chamado</t>
  </si>
  <si>
    <t>Verificar Fluxo para pacientes que vão realizar infusão</t>
  </si>
  <si>
    <t>Fazer uma reunião para este tipo de fluxo</t>
  </si>
  <si>
    <t>Problema no Chiller novamente</t>
  </si>
  <si>
    <t>Solucionado problema</t>
  </si>
  <si>
    <t>Durante a madruga houve movimentação da Gaiola e ocorreu o acionamento do Boiller durante a madrugada</t>
  </si>
  <si>
    <t>Solucionado o problema, empresa responsável já verificou a questão</t>
  </si>
  <si>
    <t>Prateleira na sala de equipamento caiu no Centro Cirurgico (Já aberto o chamado para manutenção)</t>
  </si>
  <si>
    <t>Mudanças expurgo, e em processo de validação de sistema</t>
  </si>
  <si>
    <t>Problema no antigo tomografo (1) Ge vem verificar hoje (02/06)</t>
  </si>
  <si>
    <t>Qualificação termica da Termo nova do CME</t>
  </si>
  <si>
    <t>Manutenção em uma das Autoclaves</t>
  </si>
  <si>
    <t>Ar condicionado do Leito 709 Está em verificação</t>
  </si>
  <si>
    <t>Pressão do ar das salas do Centro Cirurgico</t>
  </si>
  <si>
    <t>Solucionado problema de pressão</t>
  </si>
  <si>
    <t>408 reclamando de sofá, paciente ficou sem travesseiro</t>
  </si>
  <si>
    <t>Solucionado problema e acolhimento do paciente</t>
  </si>
  <si>
    <t>Vazamento da termo no CME</t>
  </si>
  <si>
    <t>Solucionado o problema do vazamento</t>
  </si>
  <si>
    <t>Ótica do robo com defeitos</t>
  </si>
  <si>
    <t>Vai ser verificado no dia 12/06 se está correto</t>
  </si>
  <si>
    <t>Obra 715 e 716 (Barulho)</t>
  </si>
  <si>
    <t>Vazamento no 8°Andar (Já sendo resolvido)</t>
  </si>
  <si>
    <t>Vazamento no corredor da CME (Já sendo resolvido)</t>
  </si>
  <si>
    <t>Muitas Notificações de falta de giro de leito de pacientes</t>
  </si>
  <si>
    <t>Posicionamento lavadora das pinças do robo, está perto da pia e tem risco de molhar e danificar</t>
  </si>
  <si>
    <t>Problema sendo solucionado</t>
  </si>
  <si>
    <t>Porta do dispensário ficando aberta na farmácia</t>
  </si>
  <si>
    <t>Orientar a equipe sobre fechar a porta do dispensário após retirada</t>
  </si>
  <si>
    <t>Not atraso de entrega das tiras no setor</t>
  </si>
  <si>
    <t xml:space="preserve">Demanda aconteceu por falta de equipe, já está sendo solicitado junto ao RH hora extra para colaboradores, </t>
  </si>
  <si>
    <t xml:space="preserve">Sendo verificado </t>
  </si>
  <si>
    <t>Superaquecimento da seladora</t>
  </si>
  <si>
    <t>Osmose em manutenção</t>
  </si>
  <si>
    <t>Solucionado o problema na manutenção da Osmose</t>
  </si>
  <si>
    <t>CME sem água até as 11h</t>
  </si>
  <si>
    <t>Solucionado o problema na falta de água, água reestabelicida</t>
  </si>
  <si>
    <t>Ar condicionado não funcionando CMSC</t>
  </si>
  <si>
    <t>Solucionado o problema ar condicionado funcionante e peça trocada</t>
  </si>
  <si>
    <t>Sala T.I cheirando queimado CMSC</t>
  </si>
  <si>
    <t>338 Chão Escorregadio (necessário limpar com água) equipe ciente</t>
  </si>
  <si>
    <t>Solucionado realizada limpeza</t>
  </si>
  <si>
    <t>Problema na Vacterapia (problema no equipamento)</t>
  </si>
  <si>
    <t>Solucionado, equipamento está normal e em uso</t>
  </si>
  <si>
    <t>Problema de Delay no Q24(Gerou algumas notificações)</t>
  </si>
  <si>
    <t>Solucionado, equipamento reiniciado e solucionado</t>
  </si>
  <si>
    <t>GE2 Parada, (empresa responsável já está no hospital para manutenção)</t>
  </si>
  <si>
    <t>GE veio até o hospital prestar a manutenção, solucionado</t>
  </si>
  <si>
    <t>Problemas com moradores de Rua entrando dentro do PS(vem se repetindo durante a semana, com algumas notificações)</t>
  </si>
  <si>
    <t>Diretoria</t>
  </si>
  <si>
    <t>Verificar oque vai ser feito para esse controle de acesso</t>
  </si>
  <si>
    <t>Engenharia Clínica e Manutenção</t>
  </si>
  <si>
    <t>Telas da sala 8 com problemas centro cirurgico, (mesmo problema relacionado ao mês passado) OBS: Sala do robo</t>
  </si>
  <si>
    <t>Alan e Victório</t>
  </si>
  <si>
    <t>Victório vai agendar uma data com a Strattner, com a manutenção e Centro cirúrgico para poder parar a sala e verificar oque pode estar acontecendo dentro da sala</t>
  </si>
  <si>
    <t>Quarto 807 será entregue amanhã</t>
  </si>
  <si>
    <t>Quarto pronto e entregue</t>
  </si>
  <si>
    <t>Ruptura de medicamento na farmácia (Já solicitado com outro hospital para repor)</t>
  </si>
  <si>
    <t>Problema solucionado solicitado a outro hospital medicação</t>
  </si>
  <si>
    <t>Sem equipamento OCT na hemodinaminca (será retirado hoje)</t>
  </si>
  <si>
    <t>Empresa responsável pelo equipamento encerrou as atividades no Brasil e está recolhendo equipamentos, Diretoria ciente sobre o  caso</t>
  </si>
  <si>
    <t>Ciclo respiradorio da termo parada</t>
  </si>
  <si>
    <t>Foi solucionado problema no equipamento</t>
  </si>
  <si>
    <t>Parada da osmose CME</t>
  </si>
  <si>
    <t>Novamente foi parada,</t>
  </si>
  <si>
    <t>Instalação da pia CME</t>
  </si>
  <si>
    <t>Instalação para finalização da Obra</t>
  </si>
  <si>
    <t>Leandro</t>
  </si>
  <si>
    <t>Principio de incêndio na Seladora novamente</t>
  </si>
  <si>
    <t>Motoboy foi assaltado na hora que estava voltando ao hospital após entrega de quimioterapico, foi pego apenas documentos do paciente em questão(abertura de Boletim de ocorrência para verificação e acompanhamento do caso, jurídico ciente)</t>
  </si>
  <si>
    <t>Boletim de ocorrência vai ser aberto para acompanhamento</t>
  </si>
  <si>
    <t>Medicações muito parecidas quase acarretou em erro na administração ao paciente, notificado near miss(Elberty vai falar com a Paloma uma identificação diferente para essa medicação)</t>
  </si>
  <si>
    <t>Acompanhar um plano de ação para tratativas</t>
  </si>
  <si>
    <t>Código Rosa (Marjorie falar pontos de melhoria código rosa)</t>
  </si>
  <si>
    <t>Já foi mapeado os pontos de melhoria e vai ser levado a diretoria para vermos oque podemos melhorar</t>
  </si>
  <si>
    <t>Computadores sem Assinatura Digital no TASY</t>
  </si>
  <si>
    <t>Já foi Solucionado, mas computadores que ainda apresentarem o problema são para abrir chamado para a solução</t>
  </si>
  <si>
    <t>Ocorrência com Empresa Multimedic não trouxe equipamento para procedimento cirúrgico</t>
  </si>
  <si>
    <t>Aberto notificação para empresa sobre o ocorrido e contato com a empresa</t>
  </si>
  <si>
    <t>Reforma Quarto 201</t>
  </si>
  <si>
    <t>Alan avisou que reforma estava sendo finalizada, no aguardo da finalização e sinalização</t>
  </si>
  <si>
    <t>Alteração de laudo de água feito pelo fornecedor (vita), onde o mesmo não foi notificado.</t>
  </si>
  <si>
    <t>702 e 705 com problemas no ar condicionado</t>
  </si>
  <si>
    <t xml:space="preserve">Engenharia clínica </t>
  </si>
  <si>
    <t xml:space="preserve">Pistola de lavagem de materias quebrada gerando impacto no CME </t>
  </si>
  <si>
    <t>2 monitores parados Centro cirurgico</t>
  </si>
  <si>
    <t>Ar condicionado sala 8 Centro Cirurgico</t>
  </si>
  <si>
    <t>Salas não estão medindo pressão negativa corretamente Centro Cirurgico</t>
  </si>
  <si>
    <t>Porta entrada pediatria quebrada (manutenção já acionada)</t>
  </si>
  <si>
    <t>Falta de berços no 4°andar para internação de bebês (risco de queda)</t>
  </si>
  <si>
    <t>GE1 em manutenção preventiva</t>
  </si>
  <si>
    <t>Muitas Notificações sobre solicitação de travesseiro</t>
  </si>
  <si>
    <t xml:space="preserve">RM GE3 Parada </t>
  </si>
  <si>
    <t>T.i</t>
  </si>
  <si>
    <t>Etiquedadora maternidade não está funcionando</t>
  </si>
  <si>
    <t>Sidney</t>
  </si>
  <si>
    <t>Ramal da maternidade não está funcionado</t>
  </si>
  <si>
    <t>Reparo de manta salas centro cirurgico</t>
  </si>
  <si>
    <t>Falta de água na ressonancia por problema em tubulação (já sendo resolvido)</t>
  </si>
  <si>
    <t>Ramal da rouparia está fora</t>
  </si>
  <si>
    <t>Porta entrada pediatria, mesmo após o concerto permanece parada (funcionando normalmente no momento)</t>
  </si>
  <si>
    <t>Chamado aberto e finalizado</t>
  </si>
  <si>
    <t>705 com problemas no ar condicionado</t>
  </si>
  <si>
    <t>Parada da Sterrad na CME</t>
  </si>
  <si>
    <r>
      <t xml:space="preserve">Sterrad está abortando ciclos, empresa responsável pela maquina veio até o hospital mas não conseguiu identificar o problema da maquina, vão realizar outra visita novamente (Empresa ASP) - </t>
    </r>
    <r>
      <rPr>
        <b/>
        <sz val="10"/>
        <color rgb="FF000000"/>
        <rFont val="Arial"/>
        <charset val="1"/>
      </rPr>
      <t>resolvida no fim da tarde 14/07</t>
    </r>
  </si>
  <si>
    <t>Ressonancia GE3 parou ontem novamente</t>
  </si>
  <si>
    <t>330 bloqueado, previsão de entrega pra amanhã</t>
  </si>
  <si>
    <t>Água 705 não está esquentando (equipe manutenção já resolvendo)</t>
  </si>
  <si>
    <t>714 Ar condicionado vazando</t>
  </si>
  <si>
    <t>Quedas de energia constantes na farmácia</t>
  </si>
  <si>
    <t>Manutenção Acompanhou e foi solucionado problema</t>
  </si>
  <si>
    <t>GE3 e GE2 Paradas, Equipamentos de Shiller deu problema e após a volta do Shillers equipamentos não voltaram, Empresa GE vai vir realizar manutenção nas duas Ressonância</t>
  </si>
  <si>
    <t>Foi solucionado problema junto a empresa</t>
  </si>
  <si>
    <t>Concerto braço do robo Centro Cirurgico</t>
  </si>
  <si>
    <t>Foi solucionado o problema com empresa responsável</t>
  </si>
  <si>
    <t>Uma autoclave parada na CME (provavel problema no software)</t>
  </si>
  <si>
    <t>CME está funcionando apenas com uma Autoclave, Aguardando a Engenharia para ver a requisição da peça ou não!(Autoclave 1 CME, Software corrompido, sistema IHM, Cezar não tem mas esse sistema, outro fornecedor foi contactado)</t>
  </si>
  <si>
    <t>Problema com a Cama do 713, ela não estava funcionando corretamente, e Cama foi trocada pelo supervisor da noite(verificar com Victório)</t>
  </si>
  <si>
    <t>No aguardo do concerto da cama, já está com a Eng clínica</t>
  </si>
  <si>
    <t>Aparelho antigo da tomografia não está funcionando</t>
  </si>
  <si>
    <t>Tomografia antiga está com restrição relacionada com as mesas de exames, vai ser necessário novas peças previsão para chega é hoje no periodo da tarde</t>
  </si>
  <si>
    <t>Gerador da Casa de Sáude está apresentado dificuldades na partida, vai ser instalado um provisório, previsão de manutenção do antigo de até 72h OBS: a Partida do gerador antigo é de forma manual, e demora até 3 minutos a partida, vai ficar um Eletricista de plantão posicionado perto do aparelho</t>
  </si>
  <si>
    <t>Situação sinalizada no huddle para acompanhamento</t>
  </si>
  <si>
    <t>Carrinho de Anestesia parado(GE Já está no hospital trabalhando no equipamento)</t>
  </si>
  <si>
    <t>Realizado Reparo no equipamento</t>
  </si>
  <si>
    <t>435 Em Reforma</t>
  </si>
  <si>
    <t>Reforma para renovação das paredes e banheiro</t>
  </si>
  <si>
    <t>Tomografo com problemas na mesa de exames (A mesa de exames de tomografia é o suporte móvel onde o paciente de deita durante o procedimento)</t>
  </si>
  <si>
    <t>Realizado manutenção no equipamento</t>
  </si>
  <si>
    <t>433 Em Reforma</t>
  </si>
  <si>
    <t>Problemas de Queda de energia no 1° Andar foi solucionado</t>
  </si>
  <si>
    <t>Problema solucionado em monitoramento</t>
  </si>
  <si>
    <t>Quarto 103, houve movimentação da Cama no leito sem tirar a cama da tomada, acabou puxando a tomada para fora causando dano na parede e no sistema eletríco</t>
  </si>
  <si>
    <t>Alan realizou orientação para a equipe no huddle sobre o ocorrido, Melissa Enfermeira falou com o time assistencial do 1°D Para orientação</t>
  </si>
  <si>
    <t>Equipamento de Ressonância GE2 parada deis do domingo a noite</t>
  </si>
  <si>
    <t>Esperando retorno da Empresa GE para verificação</t>
  </si>
  <si>
    <t>GE3 teve um problema na mesa, porém foi feita a troca no mesmo dia (ocorrido no sábado)</t>
  </si>
  <si>
    <t>Solucionado mesa trocada do equipamento e está funcionante</t>
  </si>
  <si>
    <t>Autoclave ficou com a porta travada com material dentro (ocorrido no sábado) -</t>
  </si>
  <si>
    <t>Solucionado e equipamento funcionante</t>
  </si>
  <si>
    <t>Not abrigo de Residuos no 5° Andar estava aberto</t>
  </si>
  <si>
    <t>Notificação</t>
  </si>
  <si>
    <t>Houve Cancelamento de Cirúrgia Robotica na data de ontem devido a cirurgia anterior que estendeu o tempo</t>
  </si>
  <si>
    <t>Na NEO RN 502, houve falta de cateter 1.0 para RN, (foi Solucionado) Ver se foi solicitado pedido no TASY, Elberty fala de localização por itens(Fluxo de solicitação de Cateter na NEO)</t>
  </si>
  <si>
    <t>Parada da Termo no CME</t>
  </si>
  <si>
    <t>Equipamento não funcionante</t>
  </si>
  <si>
    <t>RM do Castelo parada, Empresa SIEMENS durante a noite vai realizar reparo no equipamento, Empresa trouxe o equipamento incorreto para a manutenção, empresa notificada</t>
  </si>
  <si>
    <t>Quarto 212 Bloqueado, reforma e problema na campainha, Jogaram água na régua de enfermagem</t>
  </si>
  <si>
    <t>Necessário a manutenção</t>
  </si>
  <si>
    <t>Ultrassonica do Robo Parada</t>
  </si>
  <si>
    <t>Necessário a manutenção do equipamento</t>
  </si>
  <si>
    <t>CME parada por conta de sanetização</t>
  </si>
  <si>
    <t>Aguardo de Sanetização do equipamento</t>
  </si>
  <si>
    <t>Tomografia do CMI parada</t>
  </si>
  <si>
    <t>Problema na bobina da GE3</t>
  </si>
  <si>
    <t>Leito 109 está em reforma, previsão para até amanhã</t>
  </si>
  <si>
    <t>Manutenção do Quarto</t>
  </si>
  <si>
    <t>Sobre Facial Da PED, Empresa foi acionada, foi feita primeira manutenção e vai ser necessário mais uma visita para solução do problema</t>
  </si>
  <si>
    <t>Aguardando empresa para solução</t>
  </si>
  <si>
    <t>RM GE3 Não ligou pela manhã e problema relacionado a eletríca e Temperatura da sala</t>
  </si>
  <si>
    <t>RM GE1 Parada, problena no Fan Coil e temperatura da sala(Previsão de liberação até o final do dia), Sensor de temperatura da sala quebrou...</t>
  </si>
  <si>
    <t>Secadora de Traqueia funcionando parcialmente(previsão para sexta)</t>
  </si>
  <si>
    <t>Falta de equipamente da empresa multimed para cirurgia (ontem)</t>
  </si>
  <si>
    <t>402 vazamento ar condicionado (manutenção já acionada), paciente foi para o 212</t>
  </si>
  <si>
    <t>Computadores no CMI não estão funcionando</t>
  </si>
  <si>
    <t>Aguardando T.i</t>
  </si>
  <si>
    <t>Impressoras com problemas no CMSC</t>
  </si>
  <si>
    <t>Equipamento alto refrator com problema no CMI  (oftalmo)</t>
  </si>
  <si>
    <t>NOT Caixa de transporte de medicamentos, sendo transportada sem o cadeado</t>
  </si>
  <si>
    <t>Problema na alimentação servida aos médicos(Nutrição da Mandic)</t>
  </si>
  <si>
    <t>Questão de transporte de pacientes, (pacientes se perdem dentro do hospital) Solicitações estão sendo feitas via Quality</t>
  </si>
  <si>
    <t>Manutenção Robo da Vinci(Strattner)</t>
  </si>
  <si>
    <t>Pacientes fizeram queixa sobre refeição ofertada pela nutrição da MANDIC(Será Realizada reunião de alinhamento para essa transição da nutrição)</t>
  </si>
  <si>
    <t xml:space="preserve">Sala 5 do centro cirurgico, foco cirurgico está com um dos braços está com mal contato manutenção será feita amanhã </t>
  </si>
  <si>
    <t>Um dos arcos cirurgicos está parado, GE trará as peças para manutenção</t>
  </si>
  <si>
    <t>Mamografo do casarão sem previsão de manutenção (GE está analisando e escalonado a Hospital Care)
Peça que vai precisar para concerto vai ser importada e a previsão é para 08/09</t>
  </si>
  <si>
    <t>Em Andamento</t>
  </si>
  <si>
    <t>Elevador 4 parado, previsão de concerto para amanhã até o fim do dia</t>
  </si>
  <si>
    <t>CME lavadora das pinças do robo parada (previsão de concerto para amanhã)</t>
  </si>
  <si>
    <t>Gasometro da UTI quebrado (Eng. Clinica já ciente)</t>
  </si>
  <si>
    <t>Falha no nobreak que ocasionou a queda de energia, bateria que deu problema já foi trocada</t>
  </si>
  <si>
    <t>Realizada troca da bateria</t>
  </si>
  <si>
    <t>RM do castelo não está iniciando</t>
  </si>
  <si>
    <t>Tomografo antigo parado desde ontem de tarde</t>
  </si>
  <si>
    <t>Oftlamo com vacuo alarmando (manutenção já resolvendo)</t>
  </si>
  <si>
    <t>432 Bloqueado por conta de vazamento durante a noite(Ainda sem previsão)</t>
  </si>
  <si>
    <t>Notificações sobre atraso de entrega do Gimba</t>
  </si>
  <si>
    <t>Lavadora das Pinças dos Robos, Strattner vai retornar hoje para manutenção</t>
  </si>
  <si>
    <t>Quarto 207 foi bloqueado para substituição do Ar Condicionado, o mesmo caiu no quarto por duas vezes e foi visto a necessidade de troca</t>
  </si>
  <si>
    <t>1 Falha de Identificação de paciente no Pronto Socorro</t>
  </si>
  <si>
    <t>Deborah</t>
  </si>
  <si>
    <t>Está sendo realizada a retirada do telhado do 4°D, e realizar fornecimento dos protetores auriculares principais setores afetados vão ser o 3°D e 2°C</t>
  </si>
  <si>
    <t>Not uso adorno (Falar na sexta)</t>
  </si>
  <si>
    <t>Thaiany</t>
  </si>
  <si>
    <t>Not falha na organização de prontuarios</t>
  </si>
  <si>
    <t>CMI problema no ar condicionado no PA</t>
  </si>
  <si>
    <t>Manutenção/Higiene</t>
  </si>
  <si>
    <t>Farmácia infestada com piolho de pombo (Manutenção para fazer a retirado dos ninhos e higuiene para fazer a dedetização)</t>
  </si>
  <si>
    <t>Katia</t>
  </si>
  <si>
    <t>704 com o teto pingando, será feito o pedido para bloquear e fazer a reforma</t>
  </si>
  <si>
    <t>Computador posto de enfermagem do 7°andar parou de funcionar (Será aberta a OS) - Computador será formatado, precisará de uma cpu nova até o momento sem previsão</t>
  </si>
  <si>
    <t>Eng. Clinica</t>
  </si>
  <si>
    <t>Tomografo antiga parou ontem, peças já chegaram para manutenção</t>
  </si>
  <si>
    <t>Ruidos permanecem no 4°D por conta da obra</t>
  </si>
  <si>
    <t>Falha passagem de plantão PS para Casa de Saúde</t>
  </si>
  <si>
    <t>RM GE1 também está parada, previsão para proxima segunda</t>
  </si>
  <si>
    <t>Flebite 2°D</t>
  </si>
  <si>
    <t>Falha passagem de plantão PS</t>
  </si>
  <si>
    <t>Not falha OPME</t>
  </si>
  <si>
    <t>1 Atraso de Cirúrgia por atraso médico</t>
  </si>
  <si>
    <t>Adriana Furlam</t>
  </si>
  <si>
    <t>1 Notificação de atraso de cirúrgia por conta de Empresa de OPME Notificado para tratativas</t>
  </si>
  <si>
    <t>1 Notificação, sobre paciente alterado no Pronto Socorro, Notificado para tratativas</t>
  </si>
  <si>
    <t>Lavadora do Robo está parada, acionada Engenharia Clínica</t>
  </si>
  <si>
    <t>Contínua como ponto de atenção o ruído no quarto andar</t>
  </si>
  <si>
    <t>Notificação Devolução de caixa de psicotrópico junto com caixa de apoio</t>
  </si>
  <si>
    <t>Uso de adorno pelo time da Fono</t>
  </si>
  <si>
    <t>Monitor de anestesia parado, Atividades pausadas por conta do monitor, já foi solicitado a empresa para a substituição do equipamento.</t>
  </si>
  <si>
    <t>Alas de Internação</t>
  </si>
  <si>
    <t>Queda no 218B, adicionar no Watcher</t>
  </si>
  <si>
    <t>Queixa de barulho na SEMI 1, Reforçar o uso de protetor auricular</t>
  </si>
  <si>
    <t>Ponto de atenção da transferência da SEMI 2 para o 6°D, está no radar da diretoria.</t>
  </si>
  <si>
    <t>Higuiene</t>
  </si>
  <si>
    <t>Atraso da higuiene no noturno que gerou impacto na sala do robo (Centro Cirurgico)</t>
  </si>
  <si>
    <t>Permanece como ponto de atenção o ruido do 4°D</t>
  </si>
  <si>
    <t>Not de queda 2°C</t>
  </si>
  <si>
    <t>Aberto OS para o Ar condicionado da SCIH e CME por mais de 15 dias e ainda estão pendentes</t>
  </si>
  <si>
    <t xml:space="preserve">Manutenção </t>
  </si>
  <si>
    <t>Leito 101 com a campainha quebrada</t>
  </si>
  <si>
    <t>Falha identificação de paciente Neuro</t>
  </si>
  <si>
    <t>Higuiene/Manutenção</t>
  </si>
  <si>
    <t>Piolhos de pombo na fármacia (OS aberta porém sem previsão de uma data) empresa de dedetização irá na casa de saude na data de hoje 11/09/2026</t>
  </si>
  <si>
    <t>Domingo a tomografia do PS não estará liberado, pacientes serão levados todo para a unidade do castelo</t>
  </si>
  <si>
    <t>GE1 com problemas no computador para iniciar, GE já acionada (Manutenção será feita hoje 14/09/26)</t>
  </si>
  <si>
    <t>Queda de energia ontem no hospital por média de 40 minutos</t>
  </si>
  <si>
    <t>2 not de sala parada por falta de higiene</t>
  </si>
  <si>
    <t>Pontos de alagamento na Casa de Saude por conta da chuva, refeitorio dos colaboradores não tem nem como entrar, CME e Almoxarifado estão menos critico</t>
  </si>
  <si>
    <t>Médica da unidade do Iguatemi se recusou a fazer atendimento manual por conta da queda do tasy</t>
  </si>
  <si>
    <t>Vazamento na sala 7 do centro cirurgico</t>
  </si>
  <si>
    <t>Not relacionado a higiene</t>
  </si>
  <si>
    <t>Vazamento no conforto do PS da Casa de Saúde, será verificado assim que a chuva passar</t>
  </si>
  <si>
    <t>Januario</t>
  </si>
  <si>
    <t>212 Bloqueado por conta de vazamento na parede</t>
  </si>
  <si>
    <t>431 Criança Internada por tentativa de autoexterminio (provavel alta 16/09/26)</t>
  </si>
  <si>
    <t>Centro cirúgico</t>
  </si>
  <si>
    <t>Notificação Material vencido de OPME no Centro cirúrgico</t>
  </si>
  <si>
    <t>NOT para Farmácia Falta de material no Centro Obstetrico</t>
  </si>
  <si>
    <t>Retorna o ruído, ponto de atenção</t>
  </si>
  <si>
    <t>Vazamento no conforto médico do 3°D</t>
  </si>
  <si>
    <t>G&amp;G</t>
  </si>
  <si>
    <t>Ponto de atenção citado por muitas áreas, são as vagas em aberto para contratação</t>
  </si>
  <si>
    <t>Sinalizado na Casa de Saúde que o café da manhã dos pacientes do florença estava atrasado, foi verificado com a RT da Nutrição da MANDIC(aberta Notificação)</t>
  </si>
  <si>
    <t>Problemas com Motoboy na Casa de Saúde, com atraso o mesmo entrou às 08:30 da noite</t>
  </si>
  <si>
    <t>Sendo questionado o Ramal da T.I, enfermagem da UTI não consegue fazer contato</t>
  </si>
  <si>
    <t>Muitos atrasos de procedimento cirurgico, por conta do atraso da recepção</t>
  </si>
  <si>
    <t>Sala 1, 2 e 3 do centro cirurgico com difcultades de marcar a pressão</t>
  </si>
  <si>
    <t>Problemas na passagem de plantão da higiene do centro cirurgico</t>
  </si>
  <si>
    <t>Higiene na CME (ponto de atenção)</t>
  </si>
  <si>
    <t>Ruidos 4°D</t>
  </si>
  <si>
    <t>Queda de paciente recepção</t>
  </si>
  <si>
    <t>Queda dois colaboradores da manutenção</t>
  </si>
  <si>
    <t>Queda de paciente</t>
  </si>
  <si>
    <t>Not de equipe da dor que não compareceu para atendimento do paciente</t>
  </si>
  <si>
    <t>Falta de qualidade e dificultades com a higiene do noturno no Centro Cirurgico</t>
  </si>
  <si>
    <t>Aberta OS no PS, problemas nas macas da sala vermelha e amarela</t>
  </si>
  <si>
    <t>Victorio</t>
  </si>
  <si>
    <t>Manutenção do elevador por mais 6 dias, parado desde 11/09</t>
  </si>
  <si>
    <t>Not do samu que levou dois pacientes com trauma para casa de saude</t>
  </si>
  <si>
    <t>Queda na UCO, paciente agitado</t>
  </si>
  <si>
    <t>CME porta da lavadora da termo nova está com problemas</t>
  </si>
  <si>
    <t>Ruido no 4°D</t>
  </si>
  <si>
    <t>Not falha nos terminais de frigobar</t>
  </si>
  <si>
    <t>Not sobre a dieta na ped</t>
  </si>
  <si>
    <t>Ramal T.I geral (afetando todos os setores por demora de atendimento)</t>
  </si>
  <si>
    <t>Hoje será realizada a demanda das macas</t>
  </si>
  <si>
    <t>Not de paciente fumando, que ligou o alarme de incêndio</t>
  </si>
  <si>
    <t>Not sobre perca do cateter</t>
  </si>
  <si>
    <t>Not atraso reposição de psicotropico</t>
  </si>
  <si>
    <t>Dispensário da UTI Adulto, alguns itens estavam identificados e quando você lia com o leitor ele dava identificado outro item, e também reposições que não repuseram (Aberta Notificação)</t>
  </si>
  <si>
    <t>Gerenciamento de Leitos</t>
  </si>
  <si>
    <t>Algumas Internações feitas com contigência, pacientes estão cientes e de acordo</t>
  </si>
  <si>
    <t>701 Problemas com Ar Condicionado</t>
  </si>
  <si>
    <t>Campainha do 711 não está funcionando (Vai ser aberta OS)</t>
  </si>
  <si>
    <t>Queixa da Higiene na CME, Supervisão Ciente</t>
  </si>
  <si>
    <t>Raio X Manutenção Indaiatuba (Preventiva)</t>
  </si>
  <si>
    <t>Comunicação do Robô do CC está com problemas na rede, Victório está em contato com Paulo para solução do problema</t>
  </si>
  <si>
    <t>Ausência de Higiene no Centro Cirúrgico reposição alinhada</t>
  </si>
  <si>
    <t>Equipamento Encontrado fora da Tomada Hemo Not</t>
  </si>
  <si>
    <t>NOT ausência de transição de cuidados do PS para Ala</t>
  </si>
  <si>
    <t>NOT Medicamento entregue para puerperia que fez a paciente não poder ceder o leite materno ao filho</t>
  </si>
  <si>
    <t>Substituição dos Ares da Casa de Saúde se iniciou (notificação)</t>
  </si>
  <si>
    <t>Problemas com o Sistema evense com o portão de acesso</t>
  </si>
  <si>
    <t>Atrasos na RPA pode impactar nas cirurgias</t>
  </si>
  <si>
    <t>sem acessar Tasy Dr Hugo sem acesso com bloqueio das senhas - Simone já avisou TI - impacto nas UTIs (eixo intensivo)</t>
  </si>
  <si>
    <t>Paulo</t>
  </si>
  <si>
    <t>Pacientes sem acesso a resultados no site no HVC exames de sangue e imagem</t>
  </si>
  <si>
    <t xml:space="preserve">colaboradores de fora e instrumentadores retirando medicamentos da farmacia que nao possuem autorização </t>
  </si>
  <si>
    <t xml:space="preserve">ambulatorio computadores sem fazer login </t>
  </si>
  <si>
    <t>motoboy nao atendeu mas enviaram outro mais tarde</t>
  </si>
  <si>
    <t xml:space="preserve">Enfermagem </t>
  </si>
  <si>
    <t>1 queda na colono (feita a notificação)</t>
  </si>
  <si>
    <t>Problema na geladeira da NEO (aberta a OS)</t>
  </si>
  <si>
    <t>Muitos atrasos para procedimentos cirurgicos na data de ontem</t>
  </si>
  <si>
    <t>Ar sala 3 do centro cirurgico com problemas (manutenção atuando)</t>
  </si>
  <si>
    <t>Atraso de entregua de medicamento para médico, paciente foi de alta antes de receber as duas bolsas</t>
  </si>
  <si>
    <t>Mamografo do casarão, até o momento não ligou, ficará parado até a resolução</t>
  </si>
  <si>
    <t>419 bloqueado com liberação até o fim do dia</t>
  </si>
  <si>
    <t>Problemas com a dieta que teve falta de fruta, na casa de saúde</t>
  </si>
  <si>
    <t xml:space="preserve">Parou uma sala de raio X </t>
  </si>
  <si>
    <t>PS infantil sem macas para observação do paciente, pela volumetria</t>
  </si>
  <si>
    <t>Impacto no tempo dos procedimentos cirurgicos no noturno</t>
  </si>
  <si>
    <t>Problema de senha dos computadores da UCO, do periodo noturno até hoje de manhã</t>
  </si>
  <si>
    <t>Ju</t>
  </si>
  <si>
    <t xml:space="preserve">Comentario do Q24 referente a entrega de cobertores rasgados </t>
  </si>
  <si>
    <t>Código laranja na cozinha</t>
  </si>
  <si>
    <t>Problema no Ar da cozinha (manutenção já acionada)</t>
  </si>
  <si>
    <t>Mamografo teve a manutenção realizada na data de ontem, porém hoje de manhã parou de novo com outro problema</t>
  </si>
  <si>
    <t>Sala da unidade do castelo com problemas no Ar</t>
  </si>
  <si>
    <t xml:space="preserve">Hemodinamica com problemas na temperatura </t>
  </si>
  <si>
    <t>Foco cirurgico com problemas</t>
  </si>
  <si>
    <t>Not OPME incompleta impactando no tempo cirurgico</t>
  </si>
  <si>
    <t>Not de terminal higiene</t>
  </si>
  <si>
    <t xml:space="preserve">Problemas com os piolhos de pombo na farmácia retornou, mesmo após a dedetização  </t>
  </si>
  <si>
    <t>Comunicado de parada de entrega de energia da cpfl que acontecerá no domingo</t>
  </si>
  <si>
    <t>Leticia Brabo</t>
  </si>
  <si>
    <t>Not falha passagem de plantão</t>
  </si>
  <si>
    <t>442 esperando manutenção do ar</t>
  </si>
  <si>
    <t>Atraso na entrega das dietas, subiram as 7h30</t>
  </si>
  <si>
    <t>Mamografo do café também não iniciou pela manhã</t>
  </si>
  <si>
    <t>Sala de eletro do PS sem uma previsão até o momento</t>
  </si>
  <si>
    <t>2 Not falha de identificação, paciente sem a pulseira de identificação</t>
  </si>
  <si>
    <t>Not paciente em RPA insatisfeito pelo atraso</t>
  </si>
  <si>
    <t>Not 1°D perca do glicosimetro</t>
  </si>
  <si>
    <t>Not demora atendimento farmácia</t>
  </si>
  <si>
    <t>Problemas nos armarios que estão descolando da parede no CMSC</t>
  </si>
  <si>
    <t>Alas</t>
  </si>
  <si>
    <t>Not de prescrição médica com dose errada de medicamento, sem danos ao paciente</t>
  </si>
  <si>
    <t>2 Not de paciente sem pulseira de identificação no 3°D</t>
  </si>
  <si>
    <t>Not de adorno equipe de raio-x</t>
  </si>
  <si>
    <t>Problemas com fornecimento de pão francês, foi pão mofado ao paciente</t>
  </si>
  <si>
    <t>Elevador da casa de saúde parado</t>
  </si>
  <si>
    <t>Motoboy da titan avisou de ultima que estava de atestado, que gerou atraso</t>
  </si>
  <si>
    <t>Cancelamentos dos procedimentos cirurgico</t>
  </si>
  <si>
    <t>Ar condicionado da CME parou, mas retornou na madrugada</t>
  </si>
  <si>
    <t>Unidade Cardiologica não está tendo integração com o sistema Fleury (Solicitações de pedidos) pedidos estão tendo que ser refeitos pela equipe. Solicitação para T.I</t>
  </si>
  <si>
    <t>Rafael Barros</t>
  </si>
  <si>
    <t>UTIs</t>
  </si>
  <si>
    <t>319 Paciente não está seguindo as recomendações de tratamento</t>
  </si>
  <si>
    <t>Juliana Fátima</t>
  </si>
  <si>
    <t>Assistencia</t>
  </si>
  <si>
    <t>Paciente (216A) Código Amarelo paciente ainda não subiu para Semi Intensiva, vai ser adicionado Watcher, Vai ser solicitada Intervenção do time da assistência Social</t>
  </si>
  <si>
    <t>Ultrassom do Centro Cirúrgico, apresentou problema e está parado, vai ser usado como contigência o Ultrassom da UTI</t>
  </si>
  <si>
    <t>Not de falha de Adm de insulina na SEMI 2</t>
  </si>
  <si>
    <t>Not de entrega de Psico no setor errado sem enfermeiro no recebimento</t>
  </si>
  <si>
    <t>Not Falha na passagem de plantão</t>
  </si>
  <si>
    <t>Prontuário</t>
  </si>
  <si>
    <t>N° Atendimento</t>
  </si>
  <si>
    <t>Paciente</t>
  </si>
  <si>
    <t>Nascimento</t>
  </si>
  <si>
    <t>Data de entrada</t>
  </si>
  <si>
    <t>Data Alta/óbito</t>
  </si>
  <si>
    <t>Setor inicial</t>
  </si>
  <si>
    <t>Setor final</t>
  </si>
  <si>
    <t>Última evolução</t>
  </si>
  <si>
    <t>Responsável</t>
  </si>
  <si>
    <t>Motivo</t>
  </si>
  <si>
    <t>Desfecho final</t>
  </si>
  <si>
    <t>Histórico de setores</t>
  </si>
  <si>
    <t>Observações de qualidade</t>
  </si>
  <si>
    <t>RMZC</t>
  </si>
  <si>
    <t>3B</t>
  </si>
  <si>
    <t>Estável</t>
  </si>
  <si>
    <t>Oncologia</t>
  </si>
  <si>
    <t>Remoção/Transporte</t>
  </si>
  <si>
    <t>Alta</t>
  </si>
  <si>
    <t>Data de nascimento válida não disponível</t>
  </si>
  <si>
    <t>PMMR</t>
  </si>
  <si>
    <t>UTIA</t>
  </si>
  <si>
    <t>1D</t>
  </si>
  <si>
    <t>Crítico</t>
  </si>
  <si>
    <t>Reabordagem</t>
  </si>
  <si>
    <t>Óbito</t>
  </si>
  <si>
    <t>UTIA → 102 → 1D</t>
  </si>
  <si>
    <t>LQP</t>
  </si>
  <si>
    <t>JAB</t>
  </si>
  <si>
    <t>330B</t>
  </si>
  <si>
    <t>Deteriorização Clinica</t>
  </si>
  <si>
    <t>IMFS</t>
  </si>
  <si>
    <t>Pós queixa crítica</t>
  </si>
  <si>
    <t>JTB</t>
  </si>
  <si>
    <t>JVML</t>
  </si>
  <si>
    <t>AB</t>
  </si>
  <si>
    <t>2C</t>
  </si>
  <si>
    <t>Clínica Médica</t>
  </si>
  <si>
    <t>Deteriorização</t>
  </si>
  <si>
    <t>ALVL</t>
  </si>
  <si>
    <t>3D</t>
  </si>
  <si>
    <t>Data de nascimento válida não disponível | Prontuário não informado</t>
  </si>
  <si>
    <t>ATVN</t>
  </si>
  <si>
    <t>V.M.Q</t>
  </si>
  <si>
    <t>Pós evento adverso | S/Reação</t>
  </si>
  <si>
    <t>KPPS</t>
  </si>
  <si>
    <t>Pós queixa crítica | S/demandas</t>
  </si>
  <si>
    <t>RBA</t>
  </si>
  <si>
    <t>Pós queixa crítica | Resolvido</t>
  </si>
  <si>
    <t>SBF</t>
  </si>
  <si>
    <t>216A</t>
  </si>
  <si>
    <t>Ortopedia/trauma</t>
  </si>
  <si>
    <t>Aguarda cirurgia</t>
  </si>
  <si>
    <t>CV</t>
  </si>
  <si>
    <t>331B</t>
  </si>
  <si>
    <t>Neurocir</t>
  </si>
  <si>
    <t>Risco de conflito</t>
  </si>
  <si>
    <t>DVVL</t>
  </si>
  <si>
    <t>334A</t>
  </si>
  <si>
    <t>Hematologia</t>
  </si>
  <si>
    <t>Quimioterapia</t>
  </si>
  <si>
    <t>334A → 109</t>
  </si>
  <si>
    <t>Mesmas iniciais e nascimento associados a prontuários distintos: 6378502, 666136</t>
  </si>
  <si>
    <t>FABLR</t>
  </si>
  <si>
    <t>2º D</t>
  </si>
  <si>
    <t>Pós evento adverso</t>
  </si>
  <si>
    <t>LRC</t>
  </si>
  <si>
    <t>435/430/425</t>
  </si>
  <si>
    <t>UTI PED/Ped</t>
  </si>
  <si>
    <t>435 → 435/430 → 435/430/426 → 435/430/425A → 435/430/425</t>
  </si>
  <si>
    <t>ML</t>
  </si>
  <si>
    <t>8D</t>
  </si>
  <si>
    <t>Aguarda Liberação Convênio</t>
  </si>
  <si>
    <t>AFAS</t>
  </si>
  <si>
    <t>UTI PED</t>
  </si>
  <si>
    <t>MBFB</t>
  </si>
  <si>
    <t>JMS</t>
  </si>
  <si>
    <t>PED</t>
  </si>
  <si>
    <t>MAZG</t>
  </si>
  <si>
    <t>Paracentese</t>
  </si>
  <si>
    <t>MB</t>
  </si>
  <si>
    <t>ACV</t>
  </si>
  <si>
    <t>OBS/Maternidade</t>
  </si>
  <si>
    <t>903 → 714</t>
  </si>
  <si>
    <t>MASBB</t>
  </si>
  <si>
    <t>EFAL</t>
  </si>
  <si>
    <t>416 → 308</t>
  </si>
  <si>
    <t>Mesmas iniciais e nascimento associados a prontuários distintos: 108414, 6423875</t>
  </si>
  <si>
    <t>JRS</t>
  </si>
  <si>
    <t>Mesmas iniciais e nascimento associados a prontuários distintos: 42080, 6541529 | Prontuário associado a identificações de paciente distintas</t>
  </si>
  <si>
    <t>BBS</t>
  </si>
  <si>
    <t>428A</t>
  </si>
  <si>
    <t>GLV</t>
  </si>
  <si>
    <t>PAP</t>
  </si>
  <si>
    <t>Cirurgia</t>
  </si>
  <si>
    <t>RCCN</t>
  </si>
  <si>
    <t>Infecto/Ortop</t>
  </si>
  <si>
    <t>TSA</t>
  </si>
  <si>
    <t>Paliativo</t>
  </si>
  <si>
    <t>108 → 310 → 302</t>
  </si>
  <si>
    <t>LGG</t>
  </si>
  <si>
    <t>TMO</t>
  </si>
  <si>
    <t>DAMG</t>
  </si>
  <si>
    <t>DFM</t>
  </si>
  <si>
    <t>UTI NEO</t>
  </si>
  <si>
    <t>503 → 503/707</t>
  </si>
  <si>
    <t>VRBM</t>
  </si>
  <si>
    <t>709 → 709/343</t>
  </si>
  <si>
    <t>IBC</t>
  </si>
  <si>
    <t>WRN</t>
  </si>
  <si>
    <t>Mesmas iniciais e nascimento associados a prontuários distintos: 607649, 6419009</t>
  </si>
  <si>
    <t>HGO</t>
  </si>
  <si>
    <t>LLN</t>
  </si>
  <si>
    <t>423A</t>
  </si>
  <si>
    <t>423A → 423A/431</t>
  </si>
  <si>
    <t>IMLS</t>
  </si>
  <si>
    <t>711 → 711/321</t>
  </si>
  <si>
    <t>316 → 812</t>
  </si>
  <si>
    <t>RVS</t>
  </si>
  <si>
    <t>UTI A</t>
  </si>
  <si>
    <t>Mesmas iniciais e nascimento associados a prontuários distintos: 6423102, 670678</t>
  </si>
  <si>
    <t>ARC</t>
  </si>
  <si>
    <t>425 → 425/435</t>
  </si>
  <si>
    <t>Data de nascimento não pôde ser interpretada: 26/06/20218 | Data de nascimento válida não disponível</t>
  </si>
  <si>
    <t>425/435</t>
  </si>
  <si>
    <t>ARSP</t>
  </si>
  <si>
    <t>Estabilização</t>
  </si>
  <si>
    <t>WC</t>
  </si>
  <si>
    <t>Clínica médica</t>
  </si>
  <si>
    <t>ALS</t>
  </si>
  <si>
    <t>Nefrologia</t>
  </si>
  <si>
    <t>307 → 318 → 331</t>
  </si>
  <si>
    <t>RHE</t>
  </si>
  <si>
    <t>Radiologia</t>
  </si>
  <si>
    <t>RCB</t>
  </si>
  <si>
    <t>BNLS</t>
  </si>
  <si>
    <t>Mater/UTI Neo</t>
  </si>
  <si>
    <t>JRC</t>
  </si>
  <si>
    <t>Oncologia/Cirurgia</t>
  </si>
  <si>
    <t>DAMO</t>
  </si>
  <si>
    <t>MM</t>
  </si>
  <si>
    <t>Catarina/Simone</t>
  </si>
  <si>
    <t>Data de entrada posterior à data do Huddle | Prontuário não informado</t>
  </si>
  <si>
    <t>GSS</t>
  </si>
  <si>
    <t>SMM</t>
  </si>
  <si>
    <t>332B</t>
  </si>
  <si>
    <t>JLOS</t>
  </si>
  <si>
    <t>604 / 406</t>
  </si>
  <si>
    <t>604 → 604 / 406</t>
  </si>
  <si>
    <t>MCS</t>
  </si>
  <si>
    <t>307 → 303</t>
  </si>
  <si>
    <t>GRS</t>
  </si>
  <si>
    <t>MSG</t>
  </si>
  <si>
    <t>430/423</t>
  </si>
  <si>
    <t>430 → 430/423</t>
  </si>
  <si>
    <t>MMLV</t>
  </si>
  <si>
    <t>Prontuário associado a identificações de paciente distintas</t>
  </si>
  <si>
    <t>MMLL</t>
  </si>
  <si>
    <t>MAR</t>
  </si>
  <si>
    <t>Risco de deterioração</t>
  </si>
  <si>
    <t>JPR</t>
  </si>
  <si>
    <t>EH</t>
  </si>
  <si>
    <t>101 → 320</t>
  </si>
  <si>
    <t>LFA</t>
  </si>
  <si>
    <t>Risco de suicídio</t>
  </si>
  <si>
    <t>VMF</t>
  </si>
  <si>
    <t>PRM</t>
  </si>
  <si>
    <t>ENM</t>
  </si>
  <si>
    <t>102 → 416 → 204</t>
  </si>
  <si>
    <t>MAA</t>
  </si>
  <si>
    <t>MARA</t>
  </si>
  <si>
    <t>431A/426</t>
  </si>
  <si>
    <t>401 → 431A → 431A/426</t>
  </si>
  <si>
    <t>BCC</t>
  </si>
  <si>
    <t>RRJ</t>
  </si>
  <si>
    <t>ISIS</t>
  </si>
  <si>
    <t>SBC</t>
  </si>
  <si>
    <t>MAG</t>
  </si>
  <si>
    <t>NNB</t>
  </si>
  <si>
    <t>IMO</t>
  </si>
  <si>
    <t>108 → 111</t>
  </si>
  <si>
    <t>MCV</t>
  </si>
  <si>
    <t>FNS</t>
  </si>
  <si>
    <t>UTI NEMater</t>
  </si>
  <si>
    <t>Catarina/ Sara</t>
  </si>
  <si>
    <t>609 → 806</t>
  </si>
  <si>
    <t>Mesmas iniciais e nascimento associados a prontuários distintos: 42080, 6541529</t>
  </si>
  <si>
    <t>LVDR</t>
  </si>
  <si>
    <t>321A</t>
  </si>
  <si>
    <t>Risco de agressão</t>
  </si>
  <si>
    <t>LBJ</t>
  </si>
  <si>
    <t>804 → 803 → 801</t>
  </si>
  <si>
    <t>SCDO</t>
  </si>
  <si>
    <t>MVR</t>
  </si>
  <si>
    <t>TGO</t>
  </si>
  <si>
    <t>JCG</t>
  </si>
  <si>
    <t>ELW</t>
  </si>
  <si>
    <t>607 / 107</t>
  </si>
  <si>
    <t>Carol / Catarina</t>
  </si>
  <si>
    <t>607 → 607 / 107</t>
  </si>
  <si>
    <t>JV</t>
  </si>
  <si>
    <t>502/432/423</t>
  </si>
  <si>
    <t>502 → 502/432 → 502/432/423</t>
  </si>
  <si>
    <t>LET</t>
  </si>
  <si>
    <t>ACM</t>
  </si>
  <si>
    <t>331A</t>
  </si>
  <si>
    <t>331B → 221B → 331A</t>
  </si>
  <si>
    <t>LRSO</t>
  </si>
  <si>
    <t>Data de entrada não pôde ser interpretada: RECOLOCADO 21/10/2024 | Data de entrada válida não disponível</t>
  </si>
  <si>
    <t>VLSMB</t>
  </si>
  <si>
    <t>Catarina/ Bia</t>
  </si>
  <si>
    <t>DCFFK</t>
  </si>
  <si>
    <t>Data de entrada mais de dois anos anterior ao Huddle | Data de nascimento posterior à data de entrada</t>
  </si>
  <si>
    <t>MGOA</t>
  </si>
  <si>
    <t>428B</t>
  </si>
  <si>
    <t>ESC</t>
  </si>
  <si>
    <t>419/610</t>
  </si>
  <si>
    <t>419 → 419/610</t>
  </si>
  <si>
    <t>MBF</t>
  </si>
  <si>
    <t>504/506</t>
  </si>
  <si>
    <t>WPS</t>
  </si>
  <si>
    <t>RCRL</t>
  </si>
  <si>
    <t>112 → 110</t>
  </si>
  <si>
    <t>MCM</t>
  </si>
  <si>
    <t>223A</t>
  </si>
  <si>
    <t>WWB</t>
  </si>
  <si>
    <t>TIO</t>
  </si>
  <si>
    <t>L.M.P</t>
  </si>
  <si>
    <t>319 → 602</t>
  </si>
  <si>
    <t>FFR</t>
  </si>
  <si>
    <t>114 → 320</t>
  </si>
  <si>
    <t>BRFO</t>
  </si>
  <si>
    <t>MOF</t>
  </si>
  <si>
    <t>204 → 336 → 807 → 320</t>
  </si>
  <si>
    <t>CAR</t>
  </si>
  <si>
    <t>Mesmas iniciais e nascimento associados a prontuários distintos: 6608038, 906284</t>
  </si>
  <si>
    <t>C.A.R</t>
  </si>
  <si>
    <t>Catarina / Bia</t>
  </si>
  <si>
    <t>PCC</t>
  </si>
  <si>
    <t>501 → 503</t>
  </si>
  <si>
    <t>Data de nascimento posterior à data de entrada</t>
  </si>
  <si>
    <t>M.L.R.S.M</t>
  </si>
  <si>
    <t>Sara/Carol</t>
  </si>
  <si>
    <t>MGS</t>
  </si>
  <si>
    <t>Registros idênticos na mesma aba, linhas: 79, 82</t>
  </si>
  <si>
    <t>NS</t>
  </si>
  <si>
    <t>TMPC</t>
  </si>
  <si>
    <t>MACZ</t>
  </si>
  <si>
    <t>Sara/ Catarina</t>
  </si>
  <si>
    <t>Mesmas iniciais e nascimento associados a prontuários distintos: 6656033, 6742539</t>
  </si>
  <si>
    <t>KSSOM</t>
  </si>
  <si>
    <t>LSB</t>
  </si>
  <si>
    <t>D.T.C.T</t>
  </si>
  <si>
    <t>Risco de evasão</t>
  </si>
  <si>
    <t>M.I.M.C</t>
  </si>
  <si>
    <t>Dileny/ Catarina</t>
  </si>
  <si>
    <t>FA</t>
  </si>
  <si>
    <t>PFM</t>
  </si>
  <si>
    <t>Data de entrada não pôde ser interpretada: 140/01/2025 | Data de entrada válida não disponível</t>
  </si>
  <si>
    <t>ABF</t>
  </si>
  <si>
    <t>RMBS</t>
  </si>
  <si>
    <t>RRS</t>
  </si>
  <si>
    <t>EEZW</t>
  </si>
  <si>
    <t>GBCB</t>
  </si>
  <si>
    <t>702/709</t>
  </si>
  <si>
    <t>702 → 702/709</t>
  </si>
  <si>
    <t>L.E.B</t>
  </si>
  <si>
    <t>Mesmas iniciais e nascimento associados a prontuários distintos: 6558101, 9709628</t>
  </si>
  <si>
    <t>L.E.P.M</t>
  </si>
  <si>
    <t>SB</t>
  </si>
  <si>
    <t>RCL</t>
  </si>
  <si>
    <t>J.M.</t>
  </si>
  <si>
    <t>RFGL</t>
  </si>
  <si>
    <t>RLDP</t>
  </si>
  <si>
    <t>DBA</t>
  </si>
  <si>
    <t>106 → 114</t>
  </si>
  <si>
    <t>CCSC</t>
  </si>
  <si>
    <t>SV</t>
  </si>
  <si>
    <t>Sara/ Cristiane</t>
  </si>
  <si>
    <t>LYMI</t>
  </si>
  <si>
    <t>DOSM</t>
  </si>
  <si>
    <t>ZFZS</t>
  </si>
  <si>
    <t>DCS</t>
  </si>
  <si>
    <t>JBCN</t>
  </si>
  <si>
    <t>NLPS</t>
  </si>
  <si>
    <t>334B</t>
  </si>
  <si>
    <t>Catarina / Carolina</t>
  </si>
  <si>
    <t>334B → 609</t>
  </si>
  <si>
    <t>Data de nascimento posterior à data de entrada | Data de nascimento posterior à data do Huddle</t>
  </si>
  <si>
    <t>WF</t>
  </si>
  <si>
    <t>EAAMS</t>
  </si>
  <si>
    <t>MAM</t>
  </si>
  <si>
    <t>ACL</t>
  </si>
  <si>
    <t>ETPL</t>
  </si>
  <si>
    <t>112 → 106</t>
  </si>
  <si>
    <t>LMM</t>
  </si>
  <si>
    <t>603/317</t>
  </si>
  <si>
    <t>Transferência</t>
  </si>
  <si>
    <t>603 → 603/317</t>
  </si>
  <si>
    <t>RRHS</t>
  </si>
  <si>
    <t>MUH</t>
  </si>
  <si>
    <t>SRG</t>
  </si>
  <si>
    <t>106 → 314</t>
  </si>
  <si>
    <t>FSM</t>
  </si>
  <si>
    <t>Mesmas iniciais e nascimento associados a prontuários distintos: 569372, 6809421</t>
  </si>
  <si>
    <t>C.A.S</t>
  </si>
  <si>
    <t>M.B.</t>
  </si>
  <si>
    <t>M.J.A.M.</t>
  </si>
  <si>
    <t>606 / 803</t>
  </si>
  <si>
    <t>606 → 606 / 803</t>
  </si>
  <si>
    <t>MK</t>
  </si>
  <si>
    <t>RSF</t>
  </si>
  <si>
    <t>Reinternação</t>
  </si>
  <si>
    <t>JMP</t>
  </si>
  <si>
    <t>208 → 202 → 204</t>
  </si>
  <si>
    <t>ADSA</t>
  </si>
  <si>
    <t>NPS</t>
  </si>
  <si>
    <t>505 → 710</t>
  </si>
  <si>
    <t>JCA</t>
  </si>
  <si>
    <t>Data de nascimento não pôde ser interpretada: 19/11/20218 | Data de nascimento válida não disponível</t>
  </si>
  <si>
    <t>AFA</t>
  </si>
  <si>
    <t>PBF</t>
  </si>
  <si>
    <t>CP</t>
  </si>
  <si>
    <t>JAD</t>
  </si>
  <si>
    <t>AMM</t>
  </si>
  <si>
    <t>OCC</t>
  </si>
  <si>
    <t>411/432</t>
  </si>
  <si>
    <t>Catarina+Milena</t>
  </si>
  <si>
    <t>RFG</t>
  </si>
  <si>
    <t>LCC</t>
  </si>
  <si>
    <t>Catarina/Carolina</t>
  </si>
  <si>
    <t>ELK</t>
  </si>
  <si>
    <t>E.P.Z</t>
  </si>
  <si>
    <t>BP</t>
  </si>
  <si>
    <t>218B</t>
  </si>
  <si>
    <t>FP</t>
  </si>
  <si>
    <t>425/430</t>
  </si>
  <si>
    <t>425/430/609</t>
  </si>
  <si>
    <t>Milena/Carol</t>
  </si>
  <si>
    <t>425/430 → 425/430/609</t>
  </si>
  <si>
    <t>EBZ</t>
  </si>
  <si>
    <t>RK</t>
  </si>
  <si>
    <t>CMK</t>
  </si>
  <si>
    <t>IJMO</t>
  </si>
  <si>
    <t>319 → 716</t>
  </si>
  <si>
    <t>LFO</t>
  </si>
  <si>
    <t>LGF</t>
  </si>
  <si>
    <t>Átila</t>
  </si>
  <si>
    <t>AFM</t>
  </si>
  <si>
    <t>Tranplante de medula óssea</t>
  </si>
  <si>
    <t>JDV</t>
  </si>
  <si>
    <t>BAS</t>
  </si>
  <si>
    <t>A.B.J</t>
  </si>
  <si>
    <t>P.F.G.C.C</t>
  </si>
  <si>
    <t>N.P.N</t>
  </si>
  <si>
    <t>417 / 337</t>
  </si>
  <si>
    <t>417 → 417 / 337</t>
  </si>
  <si>
    <t>Mesmas iniciais e nascimento associados a prontuários distintos: 610, 6940473, 6975283</t>
  </si>
  <si>
    <t>J.L.A.R</t>
  </si>
  <si>
    <t>L.E.T</t>
  </si>
  <si>
    <t>431A/430</t>
  </si>
  <si>
    <t>430 → 431A → 431A/430</t>
  </si>
  <si>
    <t>M. P. Z.S</t>
  </si>
  <si>
    <t>C. T..L.P</t>
  </si>
  <si>
    <t>217b</t>
  </si>
  <si>
    <t>A.C.P.L</t>
  </si>
  <si>
    <t>Mesmas iniciais e nascimento associados a prontuários distintos: 7221239, 830000</t>
  </si>
  <si>
    <t>L.F.C</t>
  </si>
  <si>
    <t>606 / 317</t>
  </si>
  <si>
    <t>606 → 606 / 317</t>
  </si>
  <si>
    <t>L.V.P.N.M</t>
  </si>
  <si>
    <t>L.P.A</t>
  </si>
  <si>
    <t>P.B.M.C</t>
  </si>
  <si>
    <t>212/334B</t>
  </si>
  <si>
    <t>212 → 334 → 334B → 212/334B</t>
  </si>
  <si>
    <t>D.A.C</t>
  </si>
  <si>
    <t>C. P. S.</t>
  </si>
  <si>
    <t>224A</t>
  </si>
  <si>
    <t>N.P.N.</t>
  </si>
  <si>
    <t>330A</t>
  </si>
  <si>
    <t>Carol/Catarina</t>
  </si>
  <si>
    <t>330A → 308</t>
  </si>
  <si>
    <t>L.R.V.B</t>
  </si>
  <si>
    <t>G.E.Z.S</t>
  </si>
  <si>
    <t>S.H.R</t>
  </si>
  <si>
    <t>708/</t>
  </si>
  <si>
    <t>708/605/335 /807</t>
  </si>
  <si>
    <t>Milena/Carol/Leticia</t>
  </si>
  <si>
    <t>708/ → 708/603 → 708/605 → 708/605/335 → 708/605/335 /807</t>
  </si>
  <si>
    <t>Prontuário associado a datas de nascimento distintas</t>
  </si>
  <si>
    <t>J. A. T</t>
  </si>
  <si>
    <t>218b</t>
  </si>
  <si>
    <t>Sara/Catarina</t>
  </si>
  <si>
    <t>Reabordagem cirúrigica</t>
  </si>
  <si>
    <t>218b → 218B</t>
  </si>
  <si>
    <t>E.P.S</t>
  </si>
  <si>
    <t>223B</t>
  </si>
  <si>
    <t>C.R.P</t>
  </si>
  <si>
    <t>111 → 111 / 318 → 111 / 318 / 103 → 337</t>
  </si>
  <si>
    <t>N.C.E</t>
  </si>
  <si>
    <t>A.P.A</t>
  </si>
  <si>
    <t>C.O.L.D</t>
  </si>
  <si>
    <t>221B/319</t>
  </si>
  <si>
    <t>Catarina / Carol</t>
  </si>
  <si>
    <t>A.F.C.B</t>
  </si>
  <si>
    <t>L.B</t>
  </si>
  <si>
    <t>M.G.S.N</t>
  </si>
  <si>
    <t>A.N.R</t>
  </si>
  <si>
    <t>415 / 608</t>
  </si>
  <si>
    <t>L.A.N.</t>
  </si>
  <si>
    <t>E.C.P</t>
  </si>
  <si>
    <t>J.L.L</t>
  </si>
  <si>
    <t>A.C.M.G</t>
  </si>
  <si>
    <t>S.A.S.N</t>
  </si>
  <si>
    <t>M.M.S</t>
  </si>
  <si>
    <t>M.M.L</t>
  </si>
  <si>
    <t>F.S.F</t>
  </si>
  <si>
    <t>A.C</t>
  </si>
  <si>
    <t>F.A.C.F</t>
  </si>
  <si>
    <t>704 → 704/711</t>
  </si>
  <si>
    <t>M.A.C.M.</t>
  </si>
  <si>
    <t>810 / 317 / 310</t>
  </si>
  <si>
    <t>810 → 810 / 317 → 310 → 810 / 317 / 310</t>
  </si>
  <si>
    <t>E.L.C</t>
  </si>
  <si>
    <t>RN de F.C.B</t>
  </si>
  <si>
    <t>RN F.A.C.F</t>
  </si>
  <si>
    <t>M.A..F.</t>
  </si>
  <si>
    <t>808 → 802</t>
  </si>
  <si>
    <t>Mesmas iniciais e nascimento associados a prontuários distintos: 7045923, 88976</t>
  </si>
  <si>
    <t>B.D.L</t>
  </si>
  <si>
    <t>431A</t>
  </si>
  <si>
    <t>A.G.S</t>
  </si>
  <si>
    <t>G.R.S</t>
  </si>
  <si>
    <t>Data de entrada posterior à data do Huddle</t>
  </si>
  <si>
    <t>A.C.P</t>
  </si>
  <si>
    <t>F.O.T</t>
  </si>
  <si>
    <t>RN I.A.D</t>
  </si>
  <si>
    <t>Data de entrada posterior à data do Huddle | Data de nascimento posterior à data de entrada | Data de nascimento posterior à data do Huddle | Prontuário associado a datas de nascimento distintas</t>
  </si>
  <si>
    <t>215 / 334A</t>
  </si>
  <si>
    <t>R.A.S</t>
  </si>
  <si>
    <t>M.L</t>
  </si>
  <si>
    <t>A.G</t>
  </si>
  <si>
    <t>215B</t>
  </si>
  <si>
    <t>Data de entrada posterior à data do Huddle | Prontuário associado a identificações de paciente distintas</t>
  </si>
  <si>
    <t>R.S.R</t>
  </si>
  <si>
    <t> 0</t>
  </si>
  <si>
    <t>Data de entrada válida não disponível | Data de nascimento válida não disponível | Prontuário associado a identificações de paciente distintas</t>
  </si>
  <si>
    <t>D.S.F</t>
  </si>
  <si>
    <t>Mesmas iniciais e nascimento associados a prontuários distintos: 7234381, 80698</t>
  </si>
  <si>
    <t>A.S.G.A</t>
  </si>
  <si>
    <t>414 / 604</t>
  </si>
  <si>
    <t>414 → 414 / 604</t>
  </si>
  <si>
    <t>602 / 316</t>
  </si>
  <si>
    <t>602 → 602 / 316</t>
  </si>
  <si>
    <t>A.A.S.N</t>
  </si>
  <si>
    <t>C.O.L.A</t>
  </si>
  <si>
    <t>332A</t>
  </si>
  <si>
    <t>Maria.E. M.S</t>
  </si>
  <si>
    <t>8º D - 802</t>
  </si>
  <si>
    <t>Raquel. F. P.F</t>
  </si>
  <si>
    <t>1º D - 108</t>
  </si>
  <si>
    <t>Maite MGP</t>
  </si>
  <si>
    <t>Átila Vendite</t>
  </si>
  <si>
    <t>Mesmas iniciais e nascimento associados a prontuários distintos: 924940, 934940</t>
  </si>
  <si>
    <t>Maros J. A</t>
  </si>
  <si>
    <t>8º D - 811</t>
  </si>
  <si>
    <t>Samuel A. E.V.</t>
  </si>
  <si>
    <t>1º D - 107</t>
  </si>
  <si>
    <t>Carlos A.S.V</t>
  </si>
  <si>
    <t>Letícia Mendes</t>
  </si>
  <si>
    <t>Joao LDM</t>
  </si>
  <si>
    <t>PED - 423A</t>
  </si>
  <si>
    <t>Sebastiana LD'F</t>
  </si>
  <si>
    <t>SEMI 2-331B</t>
  </si>
  <si>
    <t>Letícia/Ester</t>
  </si>
  <si>
    <t>Código Amarelo</t>
  </si>
  <si>
    <t>Carlos L R</t>
  </si>
  <si>
    <t>217 A</t>
  </si>
  <si>
    <t>Zaira A.F.</t>
  </si>
  <si>
    <t>8ºD &gt; UCO</t>
  </si>
  <si>
    <t>Letícia/ Ester</t>
  </si>
  <si>
    <t>Leandro JS</t>
  </si>
  <si>
    <t>215A &gt; 601</t>
  </si>
  <si>
    <t>Código Roxo</t>
  </si>
  <si>
    <t>Neyde B R</t>
  </si>
  <si>
    <t>Leda S.M.U.</t>
  </si>
  <si>
    <t>Ester/ Letícia</t>
  </si>
  <si>
    <t>Raphael ERH</t>
  </si>
  <si>
    <t>Aparecida F R L</t>
  </si>
  <si>
    <t>Maria C. M. A</t>
  </si>
  <si>
    <t>Geralda A.C</t>
  </si>
  <si>
    <t>Joã R. S.</t>
  </si>
  <si>
    <t>401 → 709</t>
  </si>
  <si>
    <t>Ana M.M.M.</t>
  </si>
  <si>
    <t>408&gt;313</t>
  </si>
  <si>
    <t>Renato A.S.</t>
  </si>
  <si>
    <t>114 &gt; 806</t>
  </si>
  <si>
    <t>Letícia/Beatriz</t>
  </si>
  <si>
    <t>114 → 114 &gt; 806</t>
  </si>
  <si>
    <t>Carlito P. S.</t>
  </si>
  <si>
    <t>Igor P. N.</t>
  </si>
  <si>
    <t>310 &gt; 610</t>
  </si>
  <si>
    <t>610 → 310 &gt; 610</t>
  </si>
  <si>
    <t>Antonio J. L.J</t>
  </si>
  <si>
    <t>303 &gt; 803</t>
  </si>
  <si>
    <t>303 → 303 &gt; 803</t>
  </si>
  <si>
    <t>M.D.F.G</t>
  </si>
  <si>
    <t>-</t>
  </si>
  <si>
    <t>- → 412</t>
  </si>
  <si>
    <t>Neide A. B. S</t>
  </si>
  <si>
    <t>Luiz A. P.</t>
  </si>
  <si>
    <t>Debora M.S.</t>
  </si>
  <si>
    <t>802 &gt; 606</t>
  </si>
  <si>
    <t>Código Azul</t>
  </si>
  <si>
    <t>OBS PS</t>
  </si>
  <si>
    <t>Karla M.B.P.J</t>
  </si>
  <si>
    <t>Jose L.O.</t>
  </si>
  <si>
    <t>Sandra B.S</t>
  </si>
  <si>
    <t>Isabela P.F.</t>
  </si>
  <si>
    <t>Jarbas.C</t>
  </si>
  <si>
    <t>Claudia/ Letícia</t>
  </si>
  <si>
    <t>338 → 701</t>
  </si>
  <si>
    <t>Eliana A R P</t>
  </si>
  <si>
    <t>A.A.M.M</t>
  </si>
  <si>
    <t>Raquel F.P.F</t>
  </si>
  <si>
    <t>E.P.P</t>
  </si>
  <si>
    <t>Melissa / Letícia</t>
  </si>
  <si>
    <t>A. R.S</t>
  </si>
  <si>
    <t>Letícia/ Juliana</t>
  </si>
  <si>
    <t>K.G.S.Z</t>
  </si>
  <si>
    <t>Melissa/Juliana</t>
  </si>
  <si>
    <t>T. B. B</t>
  </si>
  <si>
    <t>V. V. V</t>
  </si>
  <si>
    <t>332B → 312</t>
  </si>
  <si>
    <t>Alice C. T. C</t>
  </si>
  <si>
    <t>A. G. S</t>
  </si>
  <si>
    <t>217B</t>
  </si>
  <si>
    <t>A.R.D</t>
  </si>
  <si>
    <t>Letícia/ Dra Carla</t>
  </si>
  <si>
    <t>V.M.</t>
  </si>
  <si>
    <t>S.H.V.G</t>
  </si>
  <si>
    <t>S.F.M.</t>
  </si>
  <si>
    <t>Queda</t>
  </si>
  <si>
    <t>P.A.A.S</t>
  </si>
  <si>
    <t>Léticia</t>
  </si>
  <si>
    <t>306 e 305</t>
  </si>
  <si>
    <t>V.A.N</t>
  </si>
  <si>
    <t>C.F.B</t>
  </si>
  <si>
    <t>Risco de Deterioração</t>
  </si>
  <si>
    <t>712, 713, 701 e 106</t>
  </si>
  <si>
    <t>R.H.M.G</t>
  </si>
  <si>
    <t>320, 334A e 329</t>
  </si>
  <si>
    <t>J.C.M</t>
  </si>
  <si>
    <t>R.T.T.S</t>
  </si>
  <si>
    <t>410, 311</t>
  </si>
  <si>
    <t xml:space="preserve">32949	</t>
  </si>
  <si>
    <t>E.T</t>
  </si>
  <si>
    <t>418, 608</t>
  </si>
  <si>
    <t>Shirley D P</t>
  </si>
  <si>
    <t>Letícia/ Josi</t>
  </si>
  <si>
    <t>312. 208</t>
  </si>
  <si>
    <t>Edna P P</t>
  </si>
  <si>
    <t>Internada</t>
  </si>
  <si>
    <t>303, 812</t>
  </si>
  <si>
    <t>Transferida para Casa de Saúde</t>
  </si>
  <si>
    <t>Valdemar T</t>
  </si>
  <si>
    <t>340, 802 e 808</t>
  </si>
  <si>
    <t>Regina M G O V</t>
  </si>
  <si>
    <t>Letícia/ Thallita</t>
  </si>
  <si>
    <t>Anesia O S</t>
  </si>
  <si>
    <t>310. 609 e 304</t>
  </si>
  <si>
    <t>Sheila R S</t>
  </si>
  <si>
    <t>óbito</t>
  </si>
  <si>
    <t>223, 221, 334A, 612, 602, 216, 321A, 321B, 319, 107, 104</t>
  </si>
  <si>
    <t>Flavio R.H.M</t>
  </si>
  <si>
    <t>Risco de Suicídio</t>
  </si>
  <si>
    <t>415, 606</t>
  </si>
  <si>
    <t>Ana Paula G F</t>
  </si>
  <si>
    <t>411, 614, 801</t>
  </si>
  <si>
    <t>Carlota V</t>
  </si>
  <si>
    <t>321B, 216, 314</t>
  </si>
  <si>
    <t>Paulo.A.E</t>
  </si>
  <si>
    <t>211, 319</t>
  </si>
  <si>
    <t>Data Ocorrência</t>
  </si>
  <si>
    <t>Área</t>
  </si>
  <si>
    <t>Descrição do Problema</t>
  </si>
  <si>
    <t>Pendente</t>
  </si>
  <si>
    <t>2026</t>
  </si>
  <si>
    <t>Será feita a movimentação para área nova</t>
  </si>
  <si>
    <t>NOT comunicação</t>
  </si>
  <si>
    <t>Ressonancia GE3 parada</t>
  </si>
  <si>
    <t>Manutenção ressonancia imagem</t>
  </si>
  <si>
    <t>Leito 321A com paciente, sem acessorios</t>
  </si>
  <si>
    <t>Previsão de ruido 2C para amanhã</t>
  </si>
  <si>
    <t>NOT de prescrisão médica ilegiveis</t>
  </si>
  <si>
    <t>NOT comodação de isolamento</t>
  </si>
  <si>
    <t>NOT de comportamento hostil de paciente</t>
  </si>
  <si>
    <t>NOT entrega de dieta</t>
  </si>
  <si>
    <t>NOT não conformidade no carro da semi</t>
  </si>
  <si>
    <t>NOT material para doutor não entregue</t>
  </si>
  <si>
    <t>NOT sala do CC sem resfriamento adequado</t>
  </si>
  <si>
    <t>LPP previa - Semio1 LP - Semi 1 LPP previa - UCO</t>
  </si>
  <si>
    <t>Queda sem dano - 1°D</t>
  </si>
  <si>
    <t>(3)Identificação de Medicamento com etiqueta incorreta - 2°D Entrega de Medicamento MAV/PSICO sem presença do enf - NEuro Medicação com identificação de outro paciente - UTI Ped Alergia a contraste - Imagem</t>
  </si>
  <si>
    <t>Falha de Identificação de Dieta - Nutrição</t>
  </si>
  <si>
    <t>Paciente desistiu do tratamento médico</t>
  </si>
  <si>
    <t>Motoboy da titan não chegou até o momento</t>
  </si>
  <si>
    <t>NOT falta de coleta</t>
  </si>
  <si>
    <t>RN caiu do colo e sofreu uma fratura no crânio, está internado</t>
  </si>
  <si>
    <t>Manutenção preventiva na tomografia</t>
  </si>
  <si>
    <t>Castelo ainda com problemas na imagem da ressonancia</t>
  </si>
  <si>
    <t>NOT falha de dispensa de medicamento</t>
  </si>
  <si>
    <t>NOT devoluçao de medicação</t>
  </si>
  <si>
    <t>NOT paciente do cc sem prescrição médica</t>
  </si>
  <si>
    <t>NOT entrega de exame para o paciente errado</t>
  </si>
  <si>
    <t>1 lesao de pele relacionado ao dispositivo médico oximetria - UTI P. 1 LP PRÉ EXISTENTE TROBANTER ( PRONTO SOCORRO).</t>
  </si>
  <si>
    <t>Copeiras realizando entrega de dietas sem conferencia dos 2 marcadores de identificação - Nutrição</t>
  </si>
  <si>
    <t>NOT higiene</t>
  </si>
  <si>
    <t>NOT de paciente que passou mal após medicação</t>
  </si>
  <si>
    <t>NOT transferência de paciente sem pulseira de identificação</t>
  </si>
  <si>
    <t>Transferência leito 430</t>
  </si>
  <si>
    <t>Estela</t>
  </si>
  <si>
    <t>NOT atraso de entrega de tiras no 3°C</t>
  </si>
  <si>
    <t>Tomografia parada, chegará hoje a nova peça</t>
  </si>
  <si>
    <t>NOT de infiltração cozinha, risco eletrico</t>
  </si>
  <si>
    <t>NOT atendimento fisioterapia</t>
  </si>
  <si>
    <t>PS: 26/02 falha de identificação (raio X e medicação) PS: falha de identificação (medicação)</t>
  </si>
  <si>
    <t>NOT médico recusa avental de chumbo na hemodinamica</t>
  </si>
  <si>
    <t>Semi intensiva/ UTI Neuro: lesão pré existente</t>
  </si>
  <si>
    <t>Imagem: reação alérgica</t>
  </si>
  <si>
    <t>NOT médico cancelou consulta faltando 30 minutos</t>
  </si>
  <si>
    <t>Código amarelo 409</t>
  </si>
  <si>
    <t>Leito 103 com cheiro de cigarro</t>
  </si>
  <si>
    <t>Código amarelo pediatria, criança está estavel</t>
  </si>
  <si>
    <t>Quality24 está fora do ar</t>
  </si>
  <si>
    <t>Cano estourou na CME</t>
  </si>
  <si>
    <t>NOT problema de recebimento de tiras na pediatria noturno ( buscar melhoria )</t>
  </si>
  <si>
    <t>NOT de medicamentos complementares</t>
  </si>
  <si>
    <t>NOT material de separação OPME que não foi conferido</t>
  </si>
  <si>
    <t>Manutenção ressonancia GE3</t>
  </si>
  <si>
    <t>Manutenção da mesa no casarão do café</t>
  </si>
  <si>
    <t>NOT de dieta não entregue</t>
  </si>
  <si>
    <t>NOT de cadastro incorreto</t>
  </si>
  <si>
    <t>NOT de agendamento feito no casarão, exame que não é realizado</t>
  </si>
  <si>
    <t>NOT adorno médico</t>
  </si>
  <si>
    <t>Hiperemia Sacral - UCO</t>
  </si>
  <si>
    <t>Queda sem dano - 3°D</t>
  </si>
  <si>
    <t>Sem impressora no castelo desde dia 23/02</t>
  </si>
  <si>
    <t>Problema na rede de gases Indaiatuba</t>
  </si>
  <si>
    <t>4 salas hemodinamicas parada, sem ninguem da higiene</t>
  </si>
  <si>
    <t>NOT paciente atendimento médico ps sem passar pela triagem</t>
  </si>
  <si>
    <t>2 NOT motoboy</t>
  </si>
  <si>
    <t>Duas cirurgias canceladas por OPME com caixa furada</t>
  </si>
  <si>
    <t>1 código amarelo, transferido para UTI</t>
  </si>
  <si>
    <t>Ultrasonica parado no 1° andar</t>
  </si>
  <si>
    <t>NOT atraso liberação pedido caf</t>
  </si>
  <si>
    <t>Tomografia CMI parada e quedas de energia</t>
  </si>
  <si>
    <t>NOT hemodinaminca parada por 1hora por falta de higiene</t>
  </si>
  <si>
    <t>1 lesão de pele ( hematoma) pós punção - 8 Andar</t>
  </si>
  <si>
    <t>1 Queda criança PSI - Paciente foi de alta</t>
  </si>
  <si>
    <t>Impressora do castelo funcionando normalmente</t>
  </si>
  <si>
    <t>PS médico demora de atendimento</t>
  </si>
  <si>
    <t>Bota Pneumática já pontuado no Round de ontem</t>
  </si>
  <si>
    <t>Not de sorolização na conta dos pacientes</t>
  </si>
  <si>
    <t>1 Not de liberação de paciente no PS menor de 18 anos</t>
  </si>
  <si>
    <t>1 Not de Near miss</t>
  </si>
  <si>
    <t>1 Not de código com falha de passagem de plantão sem o médico</t>
  </si>
  <si>
    <t>1 Not de falha em colonoscopia</t>
  </si>
  <si>
    <t>1 Not de falha de antibiotico</t>
  </si>
  <si>
    <t>1 Not de Rm</t>
  </si>
  <si>
    <t>1 Not de ausência de kit de sutura no PS</t>
  </si>
  <si>
    <t>Vazamento de Gás (oxigenio) na área externa (no momento está contido)</t>
  </si>
  <si>
    <t>1 Not de escoliação de paciente relacionada a contenção mecanica do paciente em atendimento anterior</t>
  </si>
  <si>
    <t>5 crianças no CC</t>
  </si>
  <si>
    <t>Paciente passou por cirurgia e reclamou muito no RPA, recebeu a alta sem a PM</t>
  </si>
  <si>
    <t>Paciente se exaltou e quebrou o cateter, foi aberto o código</t>
  </si>
  <si>
    <t>Problemas com o leite para PED e a Neonatal de madrugada</t>
  </si>
  <si>
    <t>Impacto na cirurgia, problema na caixa que não era esteril</t>
  </si>
  <si>
    <t>NOT de reação de medicamento</t>
  </si>
  <si>
    <t>NOT de antibiotico que não foi retirado da geladeira, não foi junto com o material para medicação</t>
  </si>
  <si>
    <t>Tomografia CMI liberada</t>
  </si>
  <si>
    <t>Leito 305 entregue</t>
  </si>
  <si>
    <t>Alas A, B e C poderá ficar sem água durante a madrugada</t>
  </si>
  <si>
    <t>NOT de material OPME</t>
  </si>
  <si>
    <t>NOT medicações complementares</t>
  </si>
  <si>
    <t>NOT de cirurgia que material chegou furado</t>
  </si>
  <si>
    <t>NOT paciente PS recebendo infusão de maneiras erradas</t>
  </si>
  <si>
    <t>NOT médicamento complementar</t>
  </si>
  <si>
    <t>NOT ausencia de higiene no CO</t>
  </si>
  <si>
    <t>NOT transferência de paciente</t>
  </si>
  <si>
    <t>NOT de tranfusão de sangue</t>
  </si>
  <si>
    <t>UCO: dermatite</t>
  </si>
  <si>
    <t>PS: falha de administração</t>
  </si>
  <si>
    <t>PS para UCO: falha passagem de plantão</t>
  </si>
  <si>
    <t>NOT falha de comunicação, consulta ambulatorio cancelada porém não avisado aos pacientes</t>
  </si>
  <si>
    <t>Dois erros de medicação, onde 1 paciente recebeu a medicação errada</t>
  </si>
  <si>
    <t>Paciente reclama da poltrona do quarto</t>
  </si>
  <si>
    <t>Problema no computador para impreções</t>
  </si>
  <si>
    <t>Hoje será o recebimento da lavadora nova</t>
  </si>
  <si>
    <t>Altos ruidos se mantem</t>
  </si>
  <si>
    <t>NOT falta de ficha anestesica</t>
  </si>
  <si>
    <t>NOT de entrega de dieta para paciente de jejum</t>
  </si>
  <si>
    <t>NOT de piso com risco de queda na imagem</t>
  </si>
  <si>
    <t>Imagem - Queda sem Dano</t>
  </si>
  <si>
    <t>4°D - Administração de dose errada 1°D - Administração de medicamento em paciente errada (duas pacientes com o mesmo nome) (2) Form medicamento uso contínuo sem identificação do paciente/ leito/setor</t>
  </si>
  <si>
    <t>(2) Form medicamento uso contínuo sem identificação do paciente/ leito/setor</t>
  </si>
  <si>
    <t>NOT de amostra patologica em outro setor</t>
  </si>
  <si>
    <t>NOT higiene do PS adulto</t>
  </si>
  <si>
    <t>Baixa eficiencia no final de semana no PS por conta da falta de colaboradores</t>
  </si>
  <si>
    <t>2 códigos amarelos</t>
  </si>
  <si>
    <t>RN sofreu lesão no couro cabeludo</t>
  </si>
  <si>
    <t>Autoclave parada, liberada amanhã</t>
  </si>
  <si>
    <t>Leito 431 em reforma</t>
  </si>
  <si>
    <t>NOT dificuldade devolução no quality</t>
  </si>
  <si>
    <t>NOT banho pré operatorio</t>
  </si>
  <si>
    <t>NOT falha comunicação médico e equipe</t>
  </si>
  <si>
    <t>NOT medicação de uso próprio</t>
  </si>
  <si>
    <t>2 NOT de adorno</t>
  </si>
  <si>
    <t>NOT de exame RN</t>
  </si>
  <si>
    <t>NOT dificuldade cadastro facial</t>
  </si>
  <si>
    <t>UCO - LP 3°D - LP</t>
  </si>
  <si>
    <t>1°D - Flebite 2°D - FLebite previa vinda de outra insitituição UCO - Omissão de Medicação IMG - Extravasamento de Contraste</t>
  </si>
  <si>
    <t>NOT motoboy</t>
  </si>
  <si>
    <t>NOT falha comunicação equipe transporte</t>
  </si>
  <si>
    <t>Totens com problemas, bradesco e 2care fora</t>
  </si>
  <si>
    <t>NOT de dispensario, falta de detalhes para investigação</t>
  </si>
  <si>
    <t>4 NOT de medicamento complementar nos quartos</t>
  </si>
  <si>
    <t>NOT de alergia</t>
  </si>
  <si>
    <t>NOT paciente PS onco, demora de atentimento</t>
  </si>
  <si>
    <t>2 lesóes de pele</t>
  </si>
  <si>
    <t>1 código roxo</t>
  </si>
  <si>
    <t>NOT dificuldade comunicação raio-x</t>
  </si>
  <si>
    <t>NOT de atendimento de paciente</t>
  </si>
  <si>
    <t>Código amarelo no leito 212</t>
  </si>
  <si>
    <t>NOT falta de planejamento de pedido material</t>
  </si>
  <si>
    <t>NOT uso adorno na UTI NEO</t>
  </si>
  <si>
    <t>UCO: lesão por disposito médico/ 8D: LPP estágio 2</t>
  </si>
  <si>
    <t>Problema de atraso com ambulancias</t>
  </si>
  <si>
    <t>Tatiana</t>
  </si>
  <si>
    <t>Ar condicionado café com problemas e CMI</t>
  </si>
  <si>
    <t>NOT demora avaliação médica PS</t>
  </si>
  <si>
    <t>17 crianças no CC, sem leitos até o momento</t>
  </si>
  <si>
    <t>Código amarelo leito 408</t>
  </si>
  <si>
    <t>Paciente 806 ponto de atenção sobre medicação e cirúrgia na data de hoje</t>
  </si>
  <si>
    <t>Infiltração no PS</t>
  </si>
  <si>
    <t>Ruidos no 2°C</t>
  </si>
  <si>
    <t>4 NOT atraso entrega enxoval</t>
  </si>
  <si>
    <t>NOT unidade castelo agendamento</t>
  </si>
  <si>
    <t>Lavanderia com problemas Empresa Terceira</t>
  </si>
  <si>
    <t>Problema na imagem</t>
  </si>
  <si>
    <t>Código azul acionado incorretamente</t>
  </si>
  <si>
    <t>Código laranja, queda de funcionario</t>
  </si>
  <si>
    <t>Ar condicionado</t>
  </si>
  <si>
    <t>NOT dificuldade encaminhamento do paciente para raio-x, possível tecnico responsável dormindo</t>
  </si>
  <si>
    <t>Falha transição de cuidado, falha de comunicação</t>
  </si>
  <si>
    <t>NOT tempo atendimento balcão da farmácia</t>
  </si>
  <si>
    <t>Ressonancia GE3 parada desde ontem</t>
  </si>
  <si>
    <t>Manutenção hemodinaminca</t>
  </si>
  <si>
    <t>NOT UTI ped montagem inadequada do leito</t>
  </si>
  <si>
    <t>NOT UTI ped identificação de risco</t>
  </si>
  <si>
    <t>NOT de paciente que agiu de maneira agressiva com a equipe e queria pedido de alta (desistencia de atendimento)</t>
  </si>
  <si>
    <t>Desistencia de tratamento evasão (buscar melhoria)</t>
  </si>
  <si>
    <t>1 Lesão de pele Skin tears ( Alas de internação) 1 Lesão em calcâneo bilateral notificado pelo centro cirúrgico.</t>
  </si>
  <si>
    <t>1 Queda sem dano na entrada do PS no dia ( retroativa dia 12.03)</t>
  </si>
  <si>
    <t>1 omissão de admnistração ( clexane) Alas de internação. 1 falha na prescrição e administração do medicamento ciclosporina.</t>
  </si>
  <si>
    <t>1 falha de identificação pela recepção central ( Criança encaminhada para o centro cirúrgico com a pulseira de edentificação em branco)</t>
  </si>
  <si>
    <t>Ponto de atenção PS casa de saude (aumento de queixas)</t>
  </si>
  <si>
    <t>NOT fluxo verificação de sinais vitais</t>
  </si>
  <si>
    <t>1 not de fracionamento incorreto de med</t>
  </si>
  <si>
    <t>1 not de envio de medicação não preescrita</t>
  </si>
  <si>
    <t>Not de falta de materiais no dispensário</t>
  </si>
  <si>
    <t>Not de liberação de resultado do exame que paciente não fez a coleta</t>
  </si>
  <si>
    <t>Not de equipamento sem bateria, foi visto no momento que o paciente estava na sala</t>
  </si>
  <si>
    <t>Analista demorou contato e acabou atrasando fluxo do paciente para o Vera Cruz, mas foi solucionado</t>
  </si>
  <si>
    <t>Claudia Brambila</t>
  </si>
  <si>
    <t>2 códigos roxo PS</t>
  </si>
  <si>
    <t>Not falta de seringa no ps</t>
  </si>
  <si>
    <t>Not queda de profissional por vazamento de agua do ar condicionado</t>
  </si>
  <si>
    <t>Not 2°C paciente resistente a restrição do tabaco</t>
  </si>
  <si>
    <t>Not reconciliação medicamnetosa</t>
  </si>
  <si>
    <t>Not passagem de sonda inadequada no ps</t>
  </si>
  <si>
    <t>Not falha de comunicação transferencia paciente 2°C</t>
  </si>
  <si>
    <t>Not preescricões médicas divergentes</t>
  </si>
  <si>
    <t>bomba de irrigação que se usa em histeroscopia ver a padronização deste equipo</t>
  </si>
  <si>
    <t>Not de problemas com equipamento que não tinha sido solicitado antes da cirúrgia</t>
  </si>
  <si>
    <t>Código amarelo no 208, ataque cardiaco e febre, paciente estavel</t>
  </si>
  <si>
    <t>Not 2D não enviado dipirona paciente 206</t>
  </si>
  <si>
    <t>Not prescrição médica feita a parte para paciente no 2D</t>
  </si>
  <si>
    <t>Ressonancia GE3 parada desde ontem a noite</t>
  </si>
  <si>
    <t>Mudança de salas, pode ter ruidos</t>
  </si>
  <si>
    <t>UTI: LPP grau II/ 1D: lesão por fricção</t>
  </si>
  <si>
    <t>3D: omissão de medicação/ Imagem: reação alérgica leve</t>
  </si>
  <si>
    <t>PS para 2D: dificuldade passagem plantão/ PS para UTI: paciente em cadeira de rodas, sem monitorização, somente enfermagem/ PS: PAciente suspeita de TEP encaminhado para a imagem deambulando</t>
  </si>
  <si>
    <t>Not de biopscia de pulmão não realizada</t>
  </si>
  <si>
    <t>Not de higiene da geladeira não realizada</t>
  </si>
  <si>
    <t>2 Not falta de telefonia na csc</t>
  </si>
  <si>
    <t>Telefonia da CSC não está funcionando, foi aberto chamado para T.I e foi solucionado parcialmente, Paulo vai ser acionado novamente para a resolução completa do problema</t>
  </si>
  <si>
    <t>Problema ressonancia do castelo, foi resolvido ontem mesmo</t>
  </si>
  <si>
    <t>PS paciente com suspeita de sarrampo, resolver com vigilancia e fazer bloqueio de funcionario</t>
  </si>
  <si>
    <t>1 LP estagio 3 pré existente - alas de internação</t>
  </si>
  <si>
    <t>2 Extravazamento de contraste na RNM. 2 Falha de checagem de medicação complementar administrada, paciente não faz uso da medicação e 2 caso paciente não trouxe a medicação.</t>
  </si>
  <si>
    <t>Not retirada de material CME</t>
  </si>
  <si>
    <t>2 Not acidente trabalho brazanitas com agulha</t>
  </si>
  <si>
    <t>Problema ar condicionado CMI</t>
  </si>
  <si>
    <t>Ainda se matém fora os ramais</t>
  </si>
  <si>
    <t>Near miss paciente com risco de queda muito agitado, não foi feita medida de controle do paciente</t>
  </si>
  <si>
    <t>2 falha de passagem de plantão noturno</t>
  </si>
  <si>
    <t>Piso muito liso por remoção de cera UTI, risco de queda</t>
  </si>
  <si>
    <t>2 códicos amarelos, onco e 2D</t>
  </si>
  <si>
    <t>Not falta de envio medicamento</t>
  </si>
  <si>
    <t>Ressonacia GE3 parada desde semana passada</t>
  </si>
  <si>
    <t>Ressonancia GE1 ficou parada no domingo, já está funcionado</t>
  </si>
  <si>
    <t>Mangueira do time center estourou e afetou o quarto e quinto pavimento</t>
  </si>
  <si>
    <t>Not falha de transporte</t>
  </si>
  <si>
    <t>Not cabo de pinça quebrou durante processo com o paciente</t>
  </si>
  <si>
    <t>Not falha de comunição equipe alas</t>
  </si>
  <si>
    <t>Not falha agendamento</t>
  </si>
  <si>
    <t>Not falha abastecimento de materiais</t>
  </si>
  <si>
    <t>Not descarte inadequado de residuos</t>
  </si>
  <si>
    <t>Geladeira da farmácia com problemas de temperatura</t>
  </si>
  <si>
    <t>3 Not processo de triagem PS</t>
  </si>
  <si>
    <t>Terapia Infusional</t>
  </si>
  <si>
    <t>Paciente de um ano ficou muito tempo de jejum para realizar coleta de exame</t>
  </si>
  <si>
    <t>Marca do lenço pra banho foi trocado no ano passado, e a nova está causando lesão nos pacientes, isso vai ser visto pelo IPSG na JCI</t>
  </si>
  <si>
    <t>GE3 Permanece parada deis de sexta feira</t>
  </si>
  <si>
    <t>1 Notificação de queda do chão escorregadio que foi sinalzado ontem</t>
  </si>
  <si>
    <t>1 de falta de limpeza no banco de sangue</t>
  </si>
  <si>
    <t>Geladeira da farmácia ainda não foi retirada</t>
  </si>
  <si>
    <t>Totens fluxo 2 com erro RPA bradesco</t>
  </si>
  <si>
    <t>Houve 5 códigos amarelos na noite anterior</t>
  </si>
  <si>
    <t>Not de medicamento não entregue pela farmácia</t>
  </si>
  <si>
    <t>Not de troca de marca de material, foi feita indicando que o material não chegou</t>
  </si>
  <si>
    <t>Not falta de verificação de validade de insulina</t>
  </si>
  <si>
    <t>Not envio incorreto de medicamento, sem dados para investigar</t>
  </si>
  <si>
    <t>Solicitaçoes do quality feita apenas com o nome do paciente para nutrição</t>
  </si>
  <si>
    <t>Ressonancia GE3 permanece parada</t>
  </si>
  <si>
    <t>340 bloqueado para reforma</t>
  </si>
  <si>
    <t>Elevador 3 parado até às 15h</t>
  </si>
  <si>
    <t>Flebite grau 3 neuro</t>
  </si>
  <si>
    <t>Not falha comunicação código roxo</t>
  </si>
  <si>
    <t>Ficha anestesica sem identificação do paciente</t>
  </si>
  <si>
    <t>Not pinça rompeu durante procedimento</t>
  </si>
  <si>
    <t>Not acionamento de código amarelo errado na imagem</t>
  </si>
  <si>
    <t>PA são camilio elevador de transporte pacientes parado</t>
  </si>
  <si>
    <t>Manutenção na geladeira farmácia será feita hoje</t>
  </si>
  <si>
    <t>Continua com problemas no toten da recepção com a bradesco (foi aberto o chamado novamente)</t>
  </si>
  <si>
    <t>417 aguarda transferencia hoje, paciente bem agitado</t>
  </si>
  <si>
    <t>Programada o sistema de osmose (ficará sem no final de semana)</t>
  </si>
  <si>
    <t>Not de entregua de agua dexilada sem identificação correta</t>
  </si>
  <si>
    <t>Not de tempo no balcão farmácia, colaboradora sentada no chão enquanto aguarda.</t>
  </si>
  <si>
    <t>Tomografia indaiatuba parada, recebimento do tubo apenas na segunda</t>
  </si>
  <si>
    <t>Ressonancia GE3 liberada</t>
  </si>
  <si>
    <t>Leito 340 liberado</t>
  </si>
  <si>
    <t>1D: falha de identificação ficha medicamentosa</t>
  </si>
  <si>
    <t>Not falha ausencia de preescrição</t>
  </si>
  <si>
    <t>Not dispensa errada material OPME, médico trouxe a propria bomba</t>
  </si>
  <si>
    <t>Not CC material aberto sem autorização pelo médico</t>
  </si>
  <si>
    <t>Elevador PA permanece parado</t>
  </si>
  <si>
    <t>Geladeira farmácia consertada, porém continua com erros na temperatura (será revisada caso precise de conserto novamente)</t>
  </si>
  <si>
    <t>Código amarelo na PED</t>
  </si>
  <si>
    <t>431 ar condicionado vazando</t>
  </si>
  <si>
    <t>ECNO fluxo</t>
  </si>
  <si>
    <t>Atualização mapa de setores JCI</t>
  </si>
  <si>
    <t>Mari/Claudia</t>
  </si>
  <si>
    <t>808 paciente com muitas queixas</t>
  </si>
  <si>
    <t>Autoclave 2 parada</t>
  </si>
  <si>
    <t>Not dispensa incorreta de medicação</t>
  </si>
  <si>
    <t>Not falta de entregua de medicação</t>
  </si>
  <si>
    <t>Not desvio qualidade autocaf</t>
  </si>
  <si>
    <t>Permanece com dificuldades no quality</t>
  </si>
  <si>
    <t>411 bloqueado para reforma, será liberado amanhã</t>
  </si>
  <si>
    <t>Problema de identificação, foi colocado o nome do pai ao inves do paciente</t>
  </si>
  <si>
    <t>Not entregua dieta</t>
  </si>
  <si>
    <t>Not transporte paciente em precaução de contato</t>
  </si>
  <si>
    <t>Not falta de materiais no dispensario</t>
  </si>
  <si>
    <t>Not engasgo de paciente por prescrição de dieta errada</t>
  </si>
  <si>
    <t>Chamados para manutenção sendo abertas sem as informações necessarias</t>
  </si>
  <si>
    <t>Pendencias da engenharia na csc, cama, balança e a geladeira da farmácia</t>
  </si>
  <si>
    <t>402 em Manutenção</t>
  </si>
  <si>
    <t>Vazamento na obra da cme sem impacto no fluxo</t>
  </si>
  <si>
    <t>Not Queda 2°C</t>
  </si>
  <si>
    <t>not cadastro incorreto pac</t>
  </si>
  <si>
    <t>2 Not atraso de prescrição</t>
  </si>
  <si>
    <t>Pia observação com mal cheiro PS, foi aberto o chamado</t>
  </si>
  <si>
    <t>1 Código amarelo 105</t>
  </si>
  <si>
    <t>1 Códiogo roxo</t>
  </si>
  <si>
    <t>Nots das UTI sobre materiais entregues e não estão sendo cobrados</t>
  </si>
  <si>
    <t>Not abertura manutenção, acumulo de material</t>
  </si>
  <si>
    <t>Not hemodinamica atendimento</t>
  </si>
  <si>
    <t>Not CC sobre uso de pinça</t>
  </si>
  <si>
    <t>Problemas com solicitação de raio-x, sendo feito contigencia</t>
  </si>
  <si>
    <t>Not demora atendimento classificação de risco</t>
  </si>
  <si>
    <t>Not de medicamento não entregue na UTI adulto</t>
  </si>
  <si>
    <t>Ressonancia GE3 permanece, previsão de entregua amanhã no fim da tarde</t>
  </si>
  <si>
    <t>Not ausensia de registro</t>
  </si>
  <si>
    <t>Not de reação alergica</t>
  </si>
  <si>
    <t>Not de ausencia da pulseira</t>
  </si>
  <si>
    <t>1D: skin tears</t>
  </si>
  <si>
    <t>8D: flebite grau 3/ Imagem: extravazamento</t>
  </si>
  <si>
    <t>Semi: falha de passagem de plantão</t>
  </si>
  <si>
    <t>Mal cheiro da pia do PS permaneçe, será feita a manutenção no feriado (dia 21) pois deverá ser interditado</t>
  </si>
  <si>
    <t>Not após reação de medicamento</t>
  </si>
  <si>
    <t>Previsão da peça GE de chegar hoje de tarde</t>
  </si>
  <si>
    <t>Flebite mater</t>
  </si>
  <si>
    <t>LPP UTI adulto</t>
  </si>
  <si>
    <t>Not falta limpeza casa lazer</t>
  </si>
  <si>
    <t>Not atraso dieta</t>
  </si>
  <si>
    <t>Not reação alergica</t>
  </si>
  <si>
    <t>4 Not de adorno</t>
  </si>
  <si>
    <t>Not de passagem de plantão</t>
  </si>
  <si>
    <t>Fluxo Ecno ainda não resolvido, porém está em funcionamento</t>
  </si>
  <si>
    <t>Not ausencia de colaboradores recepção, pacientes entraram sem identificação</t>
  </si>
  <si>
    <t>Not de paciente infantil com condições especiais</t>
  </si>
  <si>
    <t>Fluxo PS acolhimento com Recepção</t>
  </si>
  <si>
    <t>Hemodinamica com material vencido, foi aberta notificação no final de semana</t>
  </si>
  <si>
    <t>Not falta de material dispensário (alinhar para identificar o material e o dispensário na not)</t>
  </si>
  <si>
    <t>Ressonancia GE3 continua parada (peças chegará de tarde)</t>
  </si>
  <si>
    <t>Not ausensia de pulseira</t>
  </si>
  <si>
    <t>Not atraso de dieta</t>
  </si>
  <si>
    <t>Not adorno e uso de sapato aberto</t>
  </si>
  <si>
    <t>UTI Adulto: LPP estágio 2/ 2D: lesão corto contusa</t>
  </si>
  <si>
    <t>Imagem: reação alérgica/ UTI Adulto: falha de processo (medicamento Foscarnet)</t>
  </si>
  <si>
    <t>2C: falha identificação amostra HIV/ 2D: paciente sem pulseira de identificação</t>
  </si>
  <si>
    <t>1D para CS: falha transferência de cuidados</t>
  </si>
  <si>
    <t>Farmácia ainda aguarda resolução, peças previstas para chegar na quarta</t>
  </si>
  <si>
    <t>Not atraso de envio de amostras motoboy, foi necessario enviar alguem do assistencial para realizar as entregas</t>
  </si>
  <si>
    <t>1 Totem Parado no PS, Problema com a Horizon prestadora do serviço</t>
  </si>
  <si>
    <t>102 Pesquisa Negativa</t>
  </si>
  <si>
    <t>not de coleta de bancocinemia</t>
  </si>
  <si>
    <t>Fluxo de medicamentos de Alta Vigilância</t>
  </si>
  <si>
    <t>Nova Previsão de entrega da RM</t>
  </si>
  <si>
    <t>1 Not retroativa de bronco</t>
  </si>
  <si>
    <t>1 Not de falha de cadastro de exame</t>
  </si>
  <si>
    <t>2 Not de comportamental</t>
  </si>
  <si>
    <t>1 Not de falha de transporte de pac</t>
  </si>
  <si>
    <t>1 Not de uso de adorno da liderança</t>
  </si>
  <si>
    <t>1 Not de abertura de atendimento ambulatório</t>
  </si>
  <si>
    <t>1 código roxo na maternidade, leito 402</t>
  </si>
  <si>
    <t>Quarto 420 com cheiro do encanamento</t>
  </si>
  <si>
    <t>Peças importadas com previsão de chegada no dia 23 para conserto RM</t>
  </si>
  <si>
    <t>Leito 207 será entregue amanhã</t>
  </si>
  <si>
    <t>Not ausencia colaborador higiene endoscopia</t>
  </si>
  <si>
    <t>Not Ar condicionado sala de parto</t>
  </si>
  <si>
    <t>Not amostra urina não entregue</t>
  </si>
  <si>
    <t>Not de dieta não entregue, (solicitação quality dieta)</t>
  </si>
  <si>
    <t>Manutenção Tomografo</t>
  </si>
  <si>
    <t>Not atendimento médico</t>
  </si>
  <si>
    <t>Reforço sobre o fluxo dos protetores de ouvido quando houver barulhos</t>
  </si>
  <si>
    <t>Problema de reposição de prontuario na UTI adulto no noturno ( já resolvido)</t>
  </si>
  <si>
    <t>Imagem: reação alérgica leve</t>
  </si>
  <si>
    <t>Not recusa de tratamento</t>
  </si>
  <si>
    <t>Not insatisfação de atendimento</t>
  </si>
  <si>
    <t>Not ramais bloqueados</t>
  </si>
  <si>
    <t>Código amarelo, paciente foi para CC</t>
  </si>
  <si>
    <t>Nesse final de semana será feita a manutenção da pia do PS</t>
  </si>
  <si>
    <t>Totens continuam com inconsistencias</t>
  </si>
  <si>
    <t>1 código amarelo no 802</t>
  </si>
  <si>
    <t>Um dos arcos cirurgicos forma consertados, um continua para para reforma</t>
  </si>
  <si>
    <t>1 Mutiplas lesões Prévia</t>
  </si>
  <si>
    <t>1 falha de tempo de infusão de MAV ( Prescrito infundir em 4 horas), infundido em 7h.</t>
  </si>
  <si>
    <t>Not uso adorno</t>
  </si>
  <si>
    <t>Not falha abastecimento prontuário</t>
  </si>
  <si>
    <t>Not de pulsão</t>
  </si>
  <si>
    <t>Not de dieta não entregua</t>
  </si>
  <si>
    <t>Not falha de entregua farmácia</t>
  </si>
  <si>
    <t>Ar condicionado cmi parado</t>
  </si>
  <si>
    <t>Geladeira farmácia, precisa ser trocada outra peça</t>
  </si>
  <si>
    <t>Not amostra não retirada pelo motoboy</t>
  </si>
  <si>
    <t>Not tempo atendimento balcão</t>
  </si>
  <si>
    <t>Not entrega de tiras</t>
  </si>
  <si>
    <t>Engenharia Clínica / Manutenção</t>
  </si>
  <si>
    <t>Banheiro exaustor pegou fogo na unidade do castelo (lampada queimada porém não desligada, principio de incendio)</t>
  </si>
  <si>
    <t>Manutenção preventiva da autoclave</t>
  </si>
  <si>
    <t>Semi2 : lesão pre existente/ UTI A: LPP estágio 2</t>
  </si>
  <si>
    <t>8D e Imagem: Paciente sem pulseira de identificação</t>
  </si>
  <si>
    <t>Not demora alta para leito</t>
  </si>
  <si>
    <t>Not demora entrega kit banho</t>
  </si>
  <si>
    <t>Not demora entrega dieta</t>
  </si>
  <si>
    <t>Not de persiana quebrada no 2° andar</t>
  </si>
  <si>
    <t>Not de curativo vencido</t>
  </si>
  <si>
    <t>Durante a semana terá falta de um medicamento</t>
  </si>
  <si>
    <t>Not atraso retirada amostra de sangue motoboy (ponto recorrente)</t>
  </si>
  <si>
    <t>Imagem e PS: extravazamento/ UTI Neuo: omissão de medicação (Tamiflu)</t>
  </si>
  <si>
    <t>2C: queda</t>
  </si>
  <si>
    <t>Problema no convenio porto seguro ontem</t>
  </si>
  <si>
    <t>2 códigos amarelos, 108 e 104</t>
  </si>
  <si>
    <t>Paciente do 8 andar irá para o 6 para realizar exame, raiox portatil não passa pelo elevador 1 e 2</t>
  </si>
  <si>
    <t>Médico preescreveu medicamento (dipirona) alergico para o paciente</t>
  </si>
  <si>
    <t>Autoclave materno parada no CME</t>
  </si>
  <si>
    <t>Dri</t>
  </si>
  <si>
    <t>Principio de incendio em uma das seladoras farmácia</t>
  </si>
  <si>
    <t>Solicitações quality continua tendo erros (solicitação nutrição)</t>
  </si>
  <si>
    <t>Valvula termo queimada</t>
  </si>
  <si>
    <t>Microscopio parado CC, ainda não está funcionando 100%</t>
  </si>
  <si>
    <t>Not mesa sala 6 CC foi danificada</t>
  </si>
  <si>
    <t>4 Not falta de isolamento correto</t>
  </si>
  <si>
    <t>2 Not falha de identificação de risco paciente</t>
  </si>
  <si>
    <t>Not de presença alimentos em 2 postos da enfermagem</t>
  </si>
  <si>
    <t>Not de tranferencia de paciente sem prontuario</t>
  </si>
  <si>
    <t>UTI Adulto: LPP estágio 1 prévia/ Lesão prévia Joelho E</t>
  </si>
  <si>
    <t>2C: Flebite/ 2C: 5 tentativas punção para coleta de exames</t>
  </si>
  <si>
    <t>Reaprazamento das peças da GE3 previstas para hoje sem confirmação, Empresa GE não confirmou</t>
  </si>
  <si>
    <t>Not Infiltração na farmácia do CRC, Alan e Marjorie cientes e em andamento</t>
  </si>
  <si>
    <t>Apontamentos de Glicosimetro</t>
  </si>
  <si>
    <t>1 código amarelo durante a noite</t>
  </si>
  <si>
    <t>1 código roxo na mater</t>
  </si>
  <si>
    <t>Queda de RN sem danos, possivel defeito na trava do berço (Engenharia irá analisar)</t>
  </si>
  <si>
    <t>Espera de posicioamento do fornecedor para conserto da lavadora de pinça do Robo</t>
  </si>
  <si>
    <t>Robo durante cirurgia houve falha no braço, robo retornou a funcionar</t>
  </si>
  <si>
    <t>Peça GE não entregue na data, previsto para dia 28</t>
  </si>
  <si>
    <t>Temperatura da GE2 elevada, sendo feito a verificação</t>
  </si>
  <si>
    <t>Victorio/Allan</t>
  </si>
  <si>
    <t>Not falha de jejum exame</t>
  </si>
  <si>
    <t>Not de não troca de luvas pelas copeiras</t>
  </si>
  <si>
    <t>Tomadas expostas e pisos furados no CC</t>
  </si>
  <si>
    <t>Remoção da cera do piso do CC, chão cheio de borrões</t>
  </si>
  <si>
    <t>Um código azul de sexta para sabado</t>
  </si>
  <si>
    <t>Colção termico da cardiaca consertada e liberada para uso</t>
  </si>
  <si>
    <t>Not uso de equipamento eletrico na copa</t>
  </si>
  <si>
    <t>Not de utensilios de palhaço não higienizados da maneira correta</t>
  </si>
  <si>
    <t>GE3 permanece parado</t>
  </si>
  <si>
    <t>Queda de um Bebe, foi visto erro no fluxo também da solicitação da avaliação médica</t>
  </si>
  <si>
    <t>(Notificação) Encaminhamento de material de perfuro cortante</t>
  </si>
  <si>
    <t>Tomografia antiga, está em manutenção peça está acaminho aguardando empresa GE</t>
  </si>
  <si>
    <t>Falta de material no dispensário (not)</t>
  </si>
  <si>
    <t>Tempo alto no atendimento de balcão da farmácia (NOT)</t>
  </si>
  <si>
    <t>Falha de indentificação de anatomo em paciente (NOT)</t>
  </si>
  <si>
    <t>2 códigos amarelos abertos</t>
  </si>
  <si>
    <t>Solicitação de dieta quality permanece com erros</t>
  </si>
  <si>
    <t>Peça da GE3 instalada, mas não resolvida possivel problema na bobina</t>
  </si>
  <si>
    <t>Elevador 3 será bloqueado das 13h às 16h</t>
  </si>
  <si>
    <t>Checagem carrinho farmaceutico, sendo recorrente (not)</t>
  </si>
  <si>
    <t>Código roxo maternidade</t>
  </si>
  <si>
    <t>Falha de comunicação em tranferencia de paciente do HVC para CSC</t>
  </si>
  <si>
    <t>Ressonancia GE3 permanece parada, peças serão importadas(previsão para está semana)</t>
  </si>
  <si>
    <t>Colaborador sentado no chão aguardando atendimento farmácia (not)</t>
  </si>
  <si>
    <t>Falta tiras de identificação (not)</t>
  </si>
  <si>
    <t>Atraso retirada de amostras motoboy (not)</t>
  </si>
  <si>
    <t>Unimed e Porto Seguro ficaram fora do Totem na data de ontem</t>
  </si>
  <si>
    <t>Not de acidente de trabalho no PS</t>
  </si>
  <si>
    <t>4 Not sobre entrega de dieta vi Q24</t>
  </si>
  <si>
    <t>Houve problemas com a Unimed, Porto e Sulamerica no totem, na data de ontem (resolvido)</t>
  </si>
  <si>
    <t>Ar condicionado 404 (leito liberado de manhã)</t>
  </si>
  <si>
    <t>Previsão de chegada peças GE para dia 11/05 confirmado pela propria GE</t>
  </si>
  <si>
    <t>CME instalação da nova lavadora</t>
  </si>
  <si>
    <t>Exame realizado de forma incorreta mesmo com a insistencia do paciente (not)</t>
  </si>
  <si>
    <t>Comportamento entre profissionais (not recorrente)</t>
  </si>
  <si>
    <t>Caixa termo-lábio</t>
  </si>
  <si>
    <t>Preventivas dos equipamentos e calibração dos termometros</t>
  </si>
  <si>
    <t>Sala do robo em manutenção</t>
  </si>
  <si>
    <t>GE3 previsão de conserto para amanhã</t>
  </si>
  <si>
    <t>Not sobre questão comportamental, vem sendo recorrente</t>
  </si>
  <si>
    <t>Manutenção na tomografia (tomo antiga)</t>
  </si>
  <si>
    <t>Manutenção ressonancia do castelo, previsão de 2h para conclusão</t>
  </si>
  <si>
    <t>Acidente de trabalho na higiene (not)</t>
  </si>
  <si>
    <t>Queda 7 andar</t>
  </si>
  <si>
    <t>Atraso motoboy (not)</t>
  </si>
  <si>
    <t>114 Bloqueado para reforma estrutural</t>
  </si>
  <si>
    <t>Atraso de quimioterapico atrasou procedimento cirúrgico</t>
  </si>
  <si>
    <t>1 Not de medicação em dosagem errada</t>
  </si>
  <si>
    <t>1 Not de entrega errada de medicação</t>
  </si>
  <si>
    <t>1 Not de Conduta médica</t>
  </si>
  <si>
    <t>1 Not de Carrinho da farmácia sendo utilizado pelas copeiras</t>
  </si>
  <si>
    <t>1 Not de perfuração de bexiga mas foi suturado</t>
  </si>
  <si>
    <t>1 Not de Ramais não funcionantes</t>
  </si>
  <si>
    <t>Tomografia castelo com aumento de temperatura</t>
  </si>
  <si>
    <t>114 será liberado até o fim do dia</t>
  </si>
  <si>
    <t>Geladeira CO parou de funcionar (vacinas continuam dentro)</t>
  </si>
  <si>
    <t>1 código roxo durante parto</t>
  </si>
  <si>
    <t>Elevador 1 parado</t>
  </si>
  <si>
    <t>Not do marketing que entrou nos leitos dos pacientes sem realizar a higuiene das mãos</t>
  </si>
  <si>
    <t>1 código laranja no ONCO</t>
  </si>
  <si>
    <t>Leito 222 bloqueado por estar com cheiro de esgoto</t>
  </si>
  <si>
    <t>Leito 711 com chuveiro quebrado (Liberado)</t>
  </si>
  <si>
    <t>Cama 406 permanece quebrada</t>
  </si>
  <si>
    <t>CME permanece sem lavadora do robo e com a instalação da termo (manutenção lavadora será realizada hoje)</t>
  </si>
  <si>
    <t>Atualização robo skywalker (Centro Cirurgico)</t>
  </si>
  <si>
    <t>CME autoclave parada</t>
  </si>
  <si>
    <t>PS aparelho com problemas</t>
  </si>
  <si>
    <t>Not de acesso vencido</t>
  </si>
  <si>
    <t>Not de dieta vencida</t>
  </si>
  <si>
    <t>222 ainda segue bloqueado, com cheiro de esgoto</t>
  </si>
  <si>
    <t>709 e 807 bloqueado por conta do barulho da obra</t>
  </si>
  <si>
    <t>310 solicitação de Berço para um Bebê</t>
  </si>
  <si>
    <t>Diminuindo os casos de duplicidade de dieta e aumento na adesão</t>
  </si>
  <si>
    <t>1 Not queimadura RM</t>
  </si>
  <si>
    <t>1 falha de acesso venoso vencido</t>
  </si>
  <si>
    <t>1 falha de extensão médica para medicação</t>
  </si>
  <si>
    <t>1 sonda naso mal posicionada</t>
  </si>
  <si>
    <t>1 not de erro de isolamento</t>
  </si>
  <si>
    <t>1 not de encerramento de erro na abertura de chamado para dieta</t>
  </si>
  <si>
    <t>1 pedido de válvula de oxigênio para São Camilo, Cris vai retirar no casarão a Válvula</t>
  </si>
  <si>
    <t>1 not de medicação errada, foi barrado</t>
  </si>
  <si>
    <t>2h30 sem motoboy na CSC, o mesmo se acidentou, contingência deu certo</t>
  </si>
  <si>
    <t>3 Not de atraso motoboy</t>
  </si>
  <si>
    <t>Liberação de medicação feita no balcão</t>
  </si>
  <si>
    <t>Liberação de prescrição de dispensário</t>
  </si>
  <si>
    <t>Lavadora liberada</t>
  </si>
  <si>
    <t>222 liberado</t>
  </si>
  <si>
    <t>Ruido no 7 andar</t>
  </si>
  <si>
    <t>7 not sobre novo fluxo da farmácia</t>
  </si>
  <si>
    <t>2 not higuiene utilizando pano e não o mobi</t>
  </si>
  <si>
    <t>Colaboradores fora dos padrões da instituição (utilizando shorts, adorno, cabelo solto)</t>
  </si>
  <si>
    <t>Motoboy diurno não compareceu (informado que o motoboy sofreu acidente</t>
  </si>
  <si>
    <t>Not PS ar condicionado não funcionando corretamente</t>
  </si>
  <si>
    <t>Sem um monitor do PS está impossibilitando a abertura do terceiro acolhimento do PS</t>
  </si>
  <si>
    <t>Comunicação dos colaboradores para os pacientes da recepção até o centro cirúrgico</t>
  </si>
  <si>
    <t>Problema recorrente do cheiro de esgoto no 2°C, 223 manutenção no vaso sanitário</t>
  </si>
  <si>
    <t>806 Muitas queixas assistencial a Ouvidoria</t>
  </si>
  <si>
    <t>Pontos de diálise ainda tendo muitas queixas</t>
  </si>
  <si>
    <t>1 AutoClave parada</t>
  </si>
  <si>
    <t>1 Not de erro na transferência de paciente</t>
  </si>
  <si>
    <t>1 Not de tempo que paciente fica no leito e que precisa fazer a troca</t>
  </si>
  <si>
    <t>Problemas de reposição nos dispensários, no período da manhã mas já solucionado no momento</t>
  </si>
  <si>
    <t>Motoboy chegando atrasado, problema recorrente para retirada de amostras... 2 NOT</t>
  </si>
  <si>
    <t>Mudança dos telas do CC</t>
  </si>
  <si>
    <t>Aguardo da termo e autoclave mantém parada</t>
  </si>
  <si>
    <t>Chiler da ressonancia parou no sabádo (já resolvido)</t>
  </si>
  <si>
    <t>Sala 08 do CC, Cautero quando liga desliga tela da tv, e Persiana com problemas também, poblema eletríco</t>
  </si>
  <si>
    <t>709 ainda se mantém bloqueado</t>
  </si>
  <si>
    <t>Rodizio de paciente se mantém ainda sem soluções</t>
  </si>
  <si>
    <t>Problemas no Chiller</t>
  </si>
  <si>
    <t>Problemas temperatura sala GE1 e GE3</t>
  </si>
  <si>
    <t>Durante a madrugada teve uma movimentação nas gaiolas, trouxe alteração na temperatura</t>
  </si>
  <si>
    <t>715 e 716 vai iniciar a obra para reforma do quarto, pode causar barulho</t>
  </si>
  <si>
    <t>CME hoje vai ativar modulo do Expurgo e do arsenal</t>
  </si>
  <si>
    <t>Not de Ar condicionado Sala do centro cirúrgico</t>
  </si>
  <si>
    <t>Not de colaboradores usando privativo na rua</t>
  </si>
  <si>
    <t>Previsão de liberação 709 para o fim da tarde</t>
  </si>
  <si>
    <t>Falha comunicação passagem de plantão</t>
  </si>
  <si>
    <t>Not farmácia, falta de checagem dos carrinhos</t>
  </si>
  <si>
    <t>Thaiane</t>
  </si>
  <si>
    <t>Not colaborador querendo receber morfina, busca ter a aplicação com frequência</t>
  </si>
  <si>
    <t>Acompanhante de paciente do 8° andar, com falta de comportamento</t>
  </si>
  <si>
    <t>Not de muitas tentativas de pulsão</t>
  </si>
  <si>
    <t>Taiane</t>
  </si>
  <si>
    <t>Ficou ontem o dia inteiro sem higiene (aberto a not de risco)</t>
  </si>
  <si>
    <t>Not higiene da alas florença</t>
  </si>
  <si>
    <t>Not de paciente que tomou café e não podia ter tomado</t>
  </si>
  <si>
    <t>Empresa encaminhou tipo de enxerto não compátivel com procedimento</t>
  </si>
  <si>
    <t>Dieta de criança que era para ser pastosa (queixa ouvidoria)</t>
  </si>
  <si>
    <t>Millene</t>
  </si>
  <si>
    <t>Preventiva da RM GE3</t>
  </si>
  <si>
    <t>3 notificações para o Banco de sangue de ausência de passagem para retirada de tipagem sanguínea</t>
  </si>
  <si>
    <t>Not de retirada de equipamento sem o consenso da Eng Clínica, estão entrando e saindo com equipamentos sem validação da Eng Clínica(ECMO)</t>
  </si>
  <si>
    <t>Not atraso atendimento balcão</t>
  </si>
  <si>
    <t>Not aspiração no Centro Cirurgico, por conter farofa na dieta do paciente</t>
  </si>
  <si>
    <t>Not de cama retirada do leito sem motivo</t>
  </si>
  <si>
    <t>Orientação guarda de pertençe das malas (pessoal da estapar)</t>
  </si>
  <si>
    <t>Milene</t>
  </si>
  <si>
    <t>Not de quebra de jejum</t>
  </si>
  <si>
    <t>Not do ar clinica da oncologia</t>
  </si>
  <si>
    <t>Desistensia de tratamento, por demora de chagada da bolsa de sangue</t>
  </si>
  <si>
    <t>Not comportamental de paciente</t>
  </si>
  <si>
    <t>Not demora de atendimento do PS</t>
  </si>
  <si>
    <t>Problemas com o motoboy da titan</t>
  </si>
  <si>
    <t>Indicação errada de lateralidade</t>
  </si>
  <si>
    <t>Lavadora do CME parada</t>
  </si>
  <si>
    <t>4 not de pacientes a mais de 7 dias em leito, sem ser feito o giro de leito</t>
  </si>
  <si>
    <t>Falha de comunicação em transferencia do HVC para a Casa de Saúde</t>
  </si>
  <si>
    <t>Ruidos no 7°Andar por conta da obra</t>
  </si>
  <si>
    <t>Not uso de adorno</t>
  </si>
  <si>
    <t>Not de terceiros não paramentados em locais necessarios</t>
  </si>
  <si>
    <t>4 Not giro de leito</t>
  </si>
  <si>
    <t>Dopler da mater em manutenção</t>
  </si>
  <si>
    <t>Not porta do dispensário ficando aberta na farmácia</t>
  </si>
  <si>
    <t>Manutenção corretiva GE1 e GE2</t>
  </si>
  <si>
    <t>Not higiene leito do 1°D</t>
  </si>
  <si>
    <t>Not falta de isolamento, positivo covid e influenza</t>
  </si>
  <si>
    <t>Desvio de controle de água</t>
  </si>
  <si>
    <t>Not comportamental da enfermagem</t>
  </si>
  <si>
    <t>Entrega quimioterapia com atrasos</t>
  </si>
  <si>
    <t>Not adorno equipe médica</t>
  </si>
  <si>
    <t>Not após dieta (iorgute) paciente teve nauseas</t>
  </si>
  <si>
    <t>Sala T.I cheirando queimado</t>
  </si>
  <si>
    <t>Problemas com o totem</t>
  </si>
  <si>
    <t>Not paciente de isolamento transferido sem mascara</t>
  </si>
  <si>
    <t>Código Amarelo da PED e foi para UTI PED</t>
  </si>
  <si>
    <t>Fluxo da Sala Da Família</t>
  </si>
  <si>
    <t>Not de reposição de dispensário (Os mesmos já foram invetariados)</t>
  </si>
  <si>
    <t>Notificações sobre prontuário em sacos transparentes (a Melhoria já havia sido realizada para o transporte em sigilo)</t>
  </si>
  <si>
    <t>Chamados da T.I Sem resolução no PS</t>
  </si>
  <si>
    <t>Capinograficos impactando na cirurgia</t>
  </si>
  <si>
    <t>Cama 408 parou de funcionar, foi retirada e está na sala de equipamentos</t>
  </si>
  <si>
    <t>3 Not tempo atendimento no balcão</t>
  </si>
  <si>
    <t>Manutenção corretiva da tomografia antiga</t>
  </si>
  <si>
    <t>Ruidos no 7°Andar e no terreo por conta da obra</t>
  </si>
  <si>
    <t>Not de entrega de equipamento para setor, mas não se encontram no setor</t>
  </si>
  <si>
    <t>Not 3 bolsas ventilatorias rasgadas</t>
  </si>
  <si>
    <t>Not de cirurgia sem OPME, apenas os materiais do proprio médico</t>
  </si>
  <si>
    <t>Problema ar condicionado 1°andar CMSC (sendo recorrente)</t>
  </si>
  <si>
    <t>Sala Ambulatorio e PS sem internet (realizada contigencia e T.I acionada)</t>
  </si>
  <si>
    <t>1 código amarelo na Onco</t>
  </si>
  <si>
    <t>Not falha de medicamento no 114</t>
  </si>
  <si>
    <t>Ressonancia do Castelo em manutenção preventiva</t>
  </si>
  <si>
    <t>Liberação quarto 807 até 12h</t>
  </si>
  <si>
    <t>Not liberação de acesso em paciente pulsionado</t>
  </si>
  <si>
    <t>Not UTI sendo utilizado o corredor para ir ao 6°D (Lilian) Alinhar fluxo</t>
  </si>
  <si>
    <t>Not falta de higiene CME (gerou quase queda de colaborador) (Simone)</t>
  </si>
  <si>
    <t>Aguardo de peças para troca do Ar</t>
  </si>
  <si>
    <t>Not de paciente 28 dias internado sem o giro de leito</t>
  </si>
  <si>
    <t>Aguardar nova data para revisão das telas da sala 8 centro cirurgico</t>
  </si>
  <si>
    <t>Not colaborador noturno não fez entrega das tiras da farmácia</t>
  </si>
  <si>
    <t>Not falha de passagem plantão</t>
  </si>
  <si>
    <t>Not erro de dieta</t>
  </si>
  <si>
    <t>Problemas com a bradesco no toten (Já resolvido)</t>
  </si>
  <si>
    <t>Not uso de adornos e sapatos inadequados equipe enfermagem e médica</t>
  </si>
  <si>
    <t>Cirurgia feita em paciente em precaução de contato, feito em kpc (tasy não sinalizou)</t>
  </si>
  <si>
    <t>Not ausencia de limpeza noturna na CME</t>
  </si>
  <si>
    <t>Unidade após plantão noturno permanece sem higiene</t>
  </si>
  <si>
    <t>Computadores sem assinutura digital nos setores (necessario abrir chamado)</t>
  </si>
  <si>
    <t>Not médica utilizando adorno em atendimento de paciente em emtubação</t>
  </si>
  <si>
    <t>Not falha sinalização de isolamento e atraso para atendimento Centro Cirurgico</t>
  </si>
  <si>
    <t>Not dispensação incorreta de medicação</t>
  </si>
  <si>
    <t>Horizon não carrega, sendo utilizado o fluxo 2</t>
  </si>
  <si>
    <t>109 bloqueado para reforma</t>
  </si>
  <si>
    <t>Not agulha desencapada em sofá</t>
  </si>
  <si>
    <t>Not goteira hemodinamica</t>
  </si>
  <si>
    <t>Sarue andando pela csc</t>
  </si>
  <si>
    <t>2 códigos azuis no PS</t>
  </si>
  <si>
    <t>Problemas multimedic que não trouxe equipamento para cirurgia</t>
  </si>
  <si>
    <t>Tempo de cirurgia com o robo muito alto</t>
  </si>
  <si>
    <t>Código azul Alas</t>
  </si>
  <si>
    <t>Código roxo na mater</t>
  </si>
  <si>
    <t>Not atraso tiras de médicamentos</t>
  </si>
  <si>
    <t>Problemas com a lavadaora do robo (resolvido essa manhã)</t>
  </si>
  <si>
    <t>Reforma 201, ainda se mantém bloqueado</t>
  </si>
  <si>
    <t>Problemas no ar da Onco</t>
  </si>
  <si>
    <t>Not time higuiene, pisos sujos e lixos cheios nas alas</t>
  </si>
  <si>
    <t>Representante do material de OPME não compareceu e foi notificado</t>
  </si>
  <si>
    <t>Falha no balanço hidrico</t>
  </si>
  <si>
    <t>Not de Falta de abastecimento de material do Grupo Fleury</t>
  </si>
  <si>
    <t>2 cógidos amarelos Alas</t>
  </si>
  <si>
    <t>1 código amarelo e roxo Mater</t>
  </si>
  <si>
    <t>Not medicação para ped que foi extraviado (já resolvido)</t>
  </si>
  <si>
    <t>Not paciente internado há 17 dias, necessário o giro de leito.</t>
  </si>
  <si>
    <t>Not falha envio de documentação do paciente</t>
  </si>
  <si>
    <t>Código amarelo Alas</t>
  </si>
  <si>
    <t>Pistola de lavagem de materias quebrada gerando impacto no CME</t>
  </si>
  <si>
    <t>Not uso de adornos equipe medica CC</t>
  </si>
  <si>
    <t>Instabilidade na bradesco (Já em tratativa)</t>
  </si>
  <si>
    <t>Reclamação médica das telas sala 8 Centro Cirurgico permanece</t>
  </si>
  <si>
    <t>Salas não estão medindo pressão corretamente Centro Cirurgico</t>
  </si>
  <si>
    <t>Pistola lavagem CME será resolvida hoje</t>
  </si>
  <si>
    <t>Sala 8 será revisada as telas na proxima sexta</t>
  </si>
  <si>
    <t>Ar condicionado sala 705 (será entregue até às 12h)</t>
  </si>
  <si>
    <t>Adorno e Isolamento</t>
  </si>
  <si>
    <t>Controle de TV no setor florença (já resolvido)</t>
  </si>
  <si>
    <t>Código laranja ressonancia na sexta</t>
  </si>
  <si>
    <t>Telas sala 8 Centro Cirurgico (Empresa já contatada para resolução)</t>
  </si>
  <si>
    <t>Códigos roxos Centro Cirurgico</t>
  </si>
  <si>
    <t>Pistola de lavegam permanece quebrada CME</t>
  </si>
  <si>
    <t>Not de entrega de materiais incorretos no CC que gerou atraso nas cirurgias</t>
  </si>
  <si>
    <t>Not de paciente não identificado em isolamento</t>
  </si>
  <si>
    <t>Not problema impressora das pulseiras (chamado já aberto)</t>
  </si>
  <si>
    <t>Porta entrada pediatria quebrada (manutenção já acionada) mas ainda não foi solucionado</t>
  </si>
  <si>
    <t>Paciente oncologica em isolamento (questão de comunicação com a paciente) se ela sabe das informações para se evitar uma queixa 17 horas no Pronto Socorro Claudia solicitou para Ouvidoria acompanhar</t>
  </si>
  <si>
    <t>Médico Operando sem auxiliar(sendo avaliado pelo time do relacionamento médico)</t>
  </si>
  <si>
    <t>Expurgo do Centro cirúrgico</t>
  </si>
  <si>
    <t>Solicitações de travesseiro</t>
  </si>
  <si>
    <t>2 códigos amaleros nas Alas</t>
  </si>
  <si>
    <t>1 código amarelo ped</t>
  </si>
  <si>
    <t>Porta pediatria permanece quebrada (será resolvida hoje 10/07)</t>
  </si>
  <si>
    <t>Ressonancia GE3 parada, previsão para voltar a funcionar até o fim do dia</t>
  </si>
  <si>
    <t>Muitos ruidos na parte da ultrasson e 2°C durante o final de semana</t>
  </si>
  <si>
    <t>Impressora das pulseiras do PS será realizado o concerto hoje</t>
  </si>
  <si>
    <t>Manutenção corretiva mamografo do casarão</t>
  </si>
  <si>
    <t>Not paciente kpc internado na onco</t>
  </si>
  <si>
    <t>Not 8°andar filho de paciente recusa que a paciente use a pulseira de identificação</t>
  </si>
  <si>
    <t>Ressonancia GE3 havia retornado a funcionar, porém teve o mesmo prolema e está parada</t>
  </si>
  <si>
    <t>Ramal rouparia parada</t>
  </si>
  <si>
    <t>2 códigos laranjas</t>
  </si>
  <si>
    <t>Dra. Carla</t>
  </si>
  <si>
    <t>Parada da esterrar na CME</t>
  </si>
  <si>
    <t>Ambulatorio unidade CMSC 1 com as impressoras sem funcionar (T.I acionada)</t>
  </si>
  <si>
    <t>1 Paciente da linha de cuidado da Oncopediatria, Internou na data de 13/07/2026</t>
  </si>
  <si>
    <t>Melissa Cogo</t>
  </si>
  <si>
    <t>Código amarelo aberto para uma puerpera, estava na maternidade foi transferida para UTI</t>
  </si>
  <si>
    <t>107 Realizou queixa a ouvidoria</t>
  </si>
  <si>
    <t>219 e 107 realizaram pesquisas negativas via Q24</t>
  </si>
  <si>
    <t>Maria Lidia</t>
  </si>
  <si>
    <t>Quedas de energias constantes na farmácia, Alan Ciente</t>
  </si>
  <si>
    <t>104 se recusou a mudança de leito, Está a mais de 15 dias no mesmo leito e precisa se fazer o giro</t>
  </si>
  <si>
    <t>Sterrad está abortando ciclos, empresa responsável pela maquina veio até o hospital mas não conseguiu identificar o problema da maquina, vão realizar outra visita novamente (Empresa ASP) - resolvida no fim da tarde 14/07</t>
  </si>
  <si>
    <t>Not de Falha de passagem do Vera para Casa de Saúde</t>
  </si>
  <si>
    <t>334B ponto de atenção paciente reativa (para round)</t>
  </si>
  <si>
    <t>Principio de incendio na seladora (já acionado a Eng. Clinica e aberto a not)</t>
  </si>
  <si>
    <t>Peças da GE chegaram hoje e será feita a manutenção - FInalizado</t>
  </si>
  <si>
    <t>Not uso de privativo na rua</t>
  </si>
  <si>
    <t>5 pacientes aguardando no eixo intensivo para o giro</t>
  </si>
  <si>
    <t>Paciente invadiu consultorio médico por atraso, paciente estava alterada</t>
  </si>
  <si>
    <t>Paciente na internação queria bater no filho e na equipe com um cinto</t>
  </si>
  <si>
    <t>Not comportamental de médica do centro cirurgico</t>
  </si>
  <si>
    <t>Not de falha no protocolo de AVC</t>
  </si>
  <si>
    <t>Código laranja acionado na madrugada de ontem</t>
  </si>
  <si>
    <t>Problema com toten que gerou número 2</t>
  </si>
  <si>
    <t>Problemas com o robo Centro Cirurgico</t>
  </si>
  <si>
    <t>Porta 713 que não abre (aberto a OS para resolução) - Manutenção já resolvendo</t>
  </si>
  <si>
    <t>Porta entrada pediatria travou novamente (aberto o chamado)</t>
  </si>
  <si>
    <t>Manutenção preventiva na osmose</t>
  </si>
  <si>
    <t>Colaborador disponibilizou crachá para fornecedor ter entrada na GE (periogo radioproteção)</t>
  </si>
  <si>
    <t>Problema de queda no 1°andar</t>
  </si>
  <si>
    <t>Estudo das seladoras da farmácia (Eng. Clinica com Farmácia)</t>
  </si>
  <si>
    <t>Ruído na Antiga Ultrasom a semana toda, vai afetar o 2°C, Encaminhar comunicado no Grupo para reforço do protocolo de ruído</t>
  </si>
  <si>
    <t>Formulário de transferência de cuidado, precisa verificar esse treinamento e envolvimento da equipe</t>
  </si>
  <si>
    <t>Questões de dispensários, sinalizado para a farmácia, enc p/Paloma</t>
  </si>
  <si>
    <t>Paciente internou p/ realização de qumio</t>
  </si>
  <si>
    <t>Melhoria devido a uma ouvidoria, verificado oportunidades de melhorias após essa queixa, vai ser levado a reunião do Q24</t>
  </si>
  <si>
    <t>AutoClave 1 se mantém parada, previsão de chegada da peça e para amanhã</t>
  </si>
  <si>
    <t>Reforçar para as equipes a importância do treinamento da Dankia para dispensário</t>
  </si>
  <si>
    <t>1 Not de falha de indentificação no quadro do paciente</t>
  </si>
  <si>
    <t>1 Not sobre uso de adornos por parte da equipe médica</t>
  </si>
  <si>
    <t>Sobre Comand Center São Camilo, está sendo implantado a melhoria com a realização de treinamento de equipe</t>
  </si>
  <si>
    <t>Uma melhoria, uma nova comissão de internação evitáveis do 2Care, que vão mapear todas as internações de pacientes 2Care</t>
  </si>
  <si>
    <t>Equipamento para exames de RM com problemas (empresa já está resolvendo)</t>
  </si>
  <si>
    <t>Empresa terceira responsável por material de Cirurgia não compareceu, cirurgia seguiu pois instrumentadora conhecia o material.</t>
  </si>
  <si>
    <t>Quarto 435 Em reforma previsão de entrega para o final</t>
  </si>
  <si>
    <t>Problema Aparelho anestesia que faz ressonância</t>
  </si>
  <si>
    <t>Tomografo Antigo relacionado a mesa que apresentou problemas</t>
  </si>
  <si>
    <t>Problemas com empresa de anatomo no CC</t>
  </si>
  <si>
    <t>Quarto 433 em reforma, previsão de entrega na segunda de manhã</t>
  </si>
  <si>
    <t>Problemas com queda de energia no 1°andar já resolvido</t>
  </si>
  <si>
    <t>Quarto 103, foi feita a movimentação da cama que gerou danos na tomado, gerando risco</t>
  </si>
  <si>
    <t>2 códigos roxos na mater</t>
  </si>
  <si>
    <t>GE2 parada desde ontem de noite</t>
  </si>
  <si>
    <t>Autoclave ficou com a porta travada com material dentro (ocorrido no sábado) - já resolvido</t>
  </si>
  <si>
    <t>Ruidos na ressonancia</t>
  </si>
  <si>
    <t>Not abrigo de residuos no 5°andar estáva aberto</t>
  </si>
  <si>
    <t>435 Entregue, mas por conta do cheiro forte de tinta leito vai ser manter bloqueado</t>
  </si>
  <si>
    <t>Neonatologia</t>
  </si>
  <si>
    <t>RM do Castelo parada, Empresa SIEMENS durante a noite vai realizar reparo no equipamento</t>
  </si>
  <si>
    <t>2 Falhas de indentificação de documento</t>
  </si>
  <si>
    <t>2 Quase falhas de indentificação no Centro Círurgico</t>
  </si>
  <si>
    <t>1 Falha de Identificação de paciente</t>
  </si>
  <si>
    <t>Prontuário indo sem a montagem correta do mesmo</t>
  </si>
  <si>
    <t>Ponto do Gerador na Casa de Saúde deverá ser concluido na data de amanhã no periodo da tarde</t>
  </si>
  <si>
    <t>código roxo na madrugada</t>
  </si>
  <si>
    <t>Ultrassonica do robo parada</t>
  </si>
  <si>
    <t>Peças para upgrade da RM do castelo vieram erradas, previsão para chegada das peças para amanhã</t>
  </si>
  <si>
    <t>212 será liberado ao fim do dia</t>
  </si>
  <si>
    <t>Liberação do gerador</t>
  </si>
  <si>
    <t>Cama com problema no 711, já aberto a OS</t>
  </si>
  <si>
    <t>CME lavadora das pinças do robo permanece parada</t>
  </si>
  <si>
    <t>Peças da RM do castelo chegaram agora de manhã.</t>
  </si>
  <si>
    <t>Not falta de giro de leito</t>
  </si>
  <si>
    <t>Not de terminal vencida</t>
  </si>
  <si>
    <t>Liberado para uso a RM do castelo</t>
  </si>
  <si>
    <t>CME secadora de traqueias com problemas (empresa já acionada)</t>
  </si>
  <si>
    <t>Lavadora do robo liberada</t>
  </si>
  <si>
    <t>Not adornos por parte da equipe da fisioterapia</t>
  </si>
  <si>
    <t>Autoclave parada (já liberada)</t>
  </si>
  <si>
    <t>Paciente se Recusou a ser entubado (329)</t>
  </si>
  <si>
    <t>Paciente em PS Não aceita ir para leito compartilhado(já em acolhimento via ouvidoria)</t>
  </si>
  <si>
    <t>1 Falha medicamentosa, identificação de paciente</t>
  </si>
  <si>
    <t>2 alergia de contraste</t>
  </si>
  <si>
    <t>1 Not de med de alta vigilância, recebido por Tec de enfermagem</t>
  </si>
  <si>
    <t>1 Not, por falta de triagem na tomografia</t>
  </si>
  <si>
    <t>Sem Internet no CMSC, Lanchonete está sem internet e não consegue emitir nota, havendo queixa por parte dos pacientes. (Contactado Arnaldo e Sidney para resolução do problema).</t>
  </si>
  <si>
    <t>Paciente aguardando Bolsa de sangue, já foi notificado o banco de sangue os mesmos estão cientes da situação, bolsa precisa ser isteriotipada(Até o final da manhã) - resolvido</t>
  </si>
  <si>
    <t>1 Falha de medicação foi preparada mas não foi administrada (near miss)</t>
  </si>
  <si>
    <t>2 códigos amarelos, queda sem dano</t>
  </si>
  <si>
    <t>2 lesões de pele</t>
  </si>
  <si>
    <t>1 perca de cateter do picc (aberta a notificação)</t>
  </si>
  <si>
    <t>Not uso de adorno equipe médica</t>
  </si>
  <si>
    <t>Not paciente alergico a alho recebeu a dieta com alho (após foi passada outra dieta)</t>
  </si>
  <si>
    <t>3 quedas de energia na casa de saúde, aparentemente o transformador explodiu 2 vezes (manutenção já acionada)</t>
  </si>
  <si>
    <t>Muita reclamação médica pela demora dos pacientes subirem para cirurgia</t>
  </si>
  <si>
    <t>Not adorno equipe da fisio</t>
  </si>
  <si>
    <t>Not de 2 acidentes com perfurocortante</t>
  </si>
  <si>
    <t>1 Raio-x do PS parado</t>
  </si>
  <si>
    <t>Eng. Clinica mudando para o térreo, estão sem internet e sem ramal</t>
  </si>
  <si>
    <t>1 Not de falha de identificação</t>
  </si>
  <si>
    <t>Not problema no ar da RPA</t>
  </si>
  <si>
    <t>Not de seringa sem identificação</t>
  </si>
  <si>
    <t>108 código amarelo</t>
  </si>
  <si>
    <t>1 not de quantidade de frasco de medicamento encontrado no leito do paciente, era para ter 4 frascos e só foram encontrados 3, ultimo frasco encontrado no dia seguinte.</t>
  </si>
  <si>
    <t>Falha de passagem de plantão 2°D</t>
  </si>
  <si>
    <t>1 Not de falta de pulseira de identificação</t>
  </si>
  <si>
    <t>Equipamento alto refrator com problema no CMI (oftalmo)</t>
  </si>
  <si>
    <t>Raio x do PS não funcionante, aguardando peça para concerto.</t>
  </si>
  <si>
    <t>NOT de Pulseira improvisada de Indetificação</t>
  </si>
  <si>
    <t>1 Falha de medicação no 2°D</t>
  </si>
  <si>
    <t>NOT sobre engasgo com protese dentária</t>
  </si>
  <si>
    <t>Adicionar pacientes que são notificados no WATCHER</t>
  </si>
  <si>
    <t>Sala 5 do centro cirurgico, foco cirurgico está com um dos braços está com mal contato manutenção será feita amanhã</t>
  </si>
  <si>
    <t>Not médico realizando cirurgia sem médico auxiliar</t>
  </si>
  <si>
    <t>Problemas nos computadores do ambulatorio, médicos não conseguem realizar o login (T.I já acionada)</t>
  </si>
  <si>
    <t>Ar condicionado ligando e desligando sozinho no ambulatorio desde terça (Manutenção já acionada)</t>
  </si>
  <si>
    <t xml:space="preserve">Eng. Clinica </t>
  </si>
  <si>
    <t>Um dos arcos cirurgicos está parado, GE trará as peças para manutenção (Resolvido)</t>
  </si>
  <si>
    <t>Código amarelo RN na mater</t>
  </si>
  <si>
    <t>Problemas com comandos na cama da ped</t>
  </si>
  <si>
    <t>Sala 5 do centro cirurgico bloqueado para manutenção do foco cirurgico</t>
  </si>
  <si>
    <t>Final de semana com ruidos no 2°C</t>
  </si>
  <si>
    <t>Falha identificação endoscopia</t>
  </si>
  <si>
    <t>Not falha de coleta</t>
  </si>
  <si>
    <t>Not de paciente sem pulseira de riscos</t>
  </si>
  <si>
    <t>Raio X do PS com previsão de voltar a funcionar na terça feira, foram aprovadas as peças para concerto</t>
  </si>
  <si>
    <t>Metade das caixas do CC não foram esterializados no final de semana por ter apenas um enfermeiro no noturno</t>
  </si>
  <si>
    <t>Centro CIrurgico</t>
  </si>
  <si>
    <t>Encontrado OPME vencido na hemodinamica</t>
  </si>
  <si>
    <t>Falta de limpeza nos corredores do centro cirurgico</t>
  </si>
  <si>
    <t>Durante cirurgia na sexta, caiu água na sala da cirurgia, não gerou dano</t>
  </si>
  <si>
    <t>Código amarelo 803</t>
  </si>
  <si>
    <t>Not Lesão de pele no CC</t>
  </si>
  <si>
    <t>Not Falha passagem de plantão no CC</t>
  </si>
  <si>
    <t>Not Queda 3°D</t>
  </si>
  <si>
    <t>Not falha transição de cuidado</t>
  </si>
  <si>
    <t>Not dieta</t>
  </si>
  <si>
    <t xml:space="preserve">Not acidente de trabalho com perfurocortande </t>
  </si>
  <si>
    <t>Not falha passagem de plantão da Casa para o Vera</t>
  </si>
  <si>
    <t>Ruidos 2°C</t>
  </si>
  <si>
    <t>IRAS Notificado UTI NEO</t>
  </si>
  <si>
    <t>3 Notificações de Agendamento Inadequado</t>
  </si>
  <si>
    <t>1 Notificação de envio de notificação duplicado</t>
  </si>
  <si>
    <t xml:space="preserve">Problema de baratas no ambulatorio </t>
  </si>
  <si>
    <t>Queda 306 código amarelo</t>
  </si>
  <si>
    <t xml:space="preserve">Mamografo do casarão do café sem funcionar (previsão das peças chegar às 10h) </t>
  </si>
  <si>
    <t>Not de paciente que chegou com curativo inadequado</t>
  </si>
  <si>
    <t>Not paciente isolamento kpc sem paramentação de transporte</t>
  </si>
  <si>
    <t>3 códigos amarelos</t>
  </si>
  <si>
    <t xml:space="preserve">Melissa </t>
  </si>
  <si>
    <t>Q24 pesquisa negativa em relação a enfermagem e higuiene</t>
  </si>
  <si>
    <t>Cirurgia marcada as 5h da manhã, apoio não estavá às 5h (falha de comunicar o apoio sobre) gerou atraso na cirurgia que iniciou 7h da manhã. (Alinhamento com o apoio para cirurgias que iniciaram 5h da manhã para não gerar atraso) marcado para paciente as 3h da madrugada e foi alinhado para ele entrar pela recepção do PS</t>
  </si>
  <si>
    <t>LPP na semi 1</t>
  </si>
  <si>
    <t>Falha identificação recepção PS</t>
  </si>
  <si>
    <t>Problema nas impressoras da uco está impactando nas altas (já aberto o chamado)</t>
  </si>
  <si>
    <t>Dr. Mariana Vidal</t>
  </si>
  <si>
    <t>not queda 335</t>
  </si>
  <si>
    <t>Falta de atendimento dos chamados da T.I que está impactando a enfermagem (técnico já acionado para resolução)</t>
  </si>
  <si>
    <t>GE2 parada, modulo de radio frequencia queimada, sem previsão para chegada das peças</t>
  </si>
  <si>
    <t>Mamografo permanece parado, chegará novas peças para manutenção</t>
  </si>
  <si>
    <t>Sistema de água da osmose danificado na clinica de oftalmo</t>
  </si>
  <si>
    <t>Not paciente colonizado sem kpc</t>
  </si>
  <si>
    <t>Not falta de reposição de insumos para higuienização das mãos</t>
  </si>
  <si>
    <t>Not falta de enxovais</t>
  </si>
  <si>
    <t>Código azul 2°D durante o final de semana</t>
  </si>
  <si>
    <t>2 códigos amarelos na mater e 2 códigos roxo</t>
  </si>
  <si>
    <t>Fármacia</t>
  </si>
  <si>
    <t>Not atraso atendimento de balcão na fármacia</t>
  </si>
  <si>
    <t>Apenas uma Autoclave funcionando na CME</t>
  </si>
  <si>
    <t>RM GE3 parou durante o final de semana, e apresentou falhas novamente (está funcionado normalmente no momento)</t>
  </si>
  <si>
    <t>214 bloqueado por vazamento no banheiro</t>
  </si>
  <si>
    <t>Estravazamente de contraste em paciente, acabou entrando dentro da maquina e houve impacto na mesma</t>
  </si>
  <si>
    <t>Not laudo de paciente entregue para pessoa errada</t>
  </si>
  <si>
    <t xml:space="preserve">CME Troca do Ar Condicionado </t>
  </si>
  <si>
    <t>Elevadores geraram impacto no fluxo de altas da recepção</t>
  </si>
  <si>
    <t>429 paciente no mesmo leito a mais de 15 dias (ponto de atenção)</t>
  </si>
  <si>
    <t>Dispensação incorreta da farmácia</t>
  </si>
  <si>
    <t>Multiplas punções no 4°D</t>
  </si>
  <si>
    <t>Not médico operando sem o cirurgião auxiliar no CC</t>
  </si>
  <si>
    <t>Atualização tasy, saiu da tela inicial e foi usado a condigencia (gerou impactos na manhã) - CMI e CMSC</t>
  </si>
  <si>
    <t>Queda de energia e de rede no ps</t>
  </si>
  <si>
    <t>Bianca Canoletti</t>
  </si>
  <si>
    <t xml:space="preserve">Semi e UCO sem ramal até a resolução da rede </t>
  </si>
  <si>
    <t>211 código amarelo queda</t>
  </si>
  <si>
    <t>Código amarelo RN</t>
  </si>
  <si>
    <t>Eng, Clinica</t>
  </si>
  <si>
    <t>CME sem a ultrassonica</t>
  </si>
  <si>
    <t>Pax e orquilix da imagem não estão funcionando por conta da queda de energia</t>
  </si>
  <si>
    <t>Mamografo possivel liberação hoje por manutenção preventiva (liberado)</t>
  </si>
  <si>
    <t>Not LPP UTI</t>
  </si>
  <si>
    <t>Not curativo com sanito</t>
  </si>
  <si>
    <t>Not broncoaspiração</t>
  </si>
  <si>
    <t>CMI em contigencia por conta da queda de rede</t>
  </si>
  <si>
    <t>Setores da casa de saude em contigencia por conta da queda de rede</t>
  </si>
  <si>
    <t>Geladeira de vacina da CO (Eng. Clinica já ciente)</t>
  </si>
  <si>
    <t>Not uso de adorno farmácia</t>
  </si>
  <si>
    <t>Lavadora das pinças, estrater ainda não trouxe uma previsão das peças</t>
  </si>
  <si>
    <t>Falha passagem de plantão pediatria</t>
  </si>
  <si>
    <t>Not de pneumotorrax</t>
  </si>
  <si>
    <t>715 código amarelo, engasgo de RN</t>
  </si>
  <si>
    <t>VIctorio</t>
  </si>
  <si>
    <t>RM do castelo, equipamento parado desde sexta com peça para manutenção prevista para chegar amanhã</t>
  </si>
  <si>
    <t>CME permanece sem a lavadora do robo, estrater retornará amanhã para manutenção</t>
  </si>
  <si>
    <t>RM do Castelo foi Liberada na data de ontem por volta do Meio dia</t>
  </si>
  <si>
    <t>Lavadora do robo na CME concertada</t>
  </si>
  <si>
    <t>Previsão de liberação do 207 até o fim do dia</t>
  </si>
  <si>
    <t>1 código amarelo na onco</t>
  </si>
  <si>
    <t>707 bloqueado por pintura e troca de lampadas, previsão de entrega até o final do dia</t>
  </si>
  <si>
    <t>RM GE3 parou, está dando falhas para iniciar, GE já acionada (Concluido)</t>
  </si>
  <si>
    <t>1 código amarelo no 4°D</t>
  </si>
  <si>
    <t>603 bloqueado por entupimento (previsão para 10h30)</t>
  </si>
  <si>
    <t>103 Bloqueado, para reserva da Quimio</t>
  </si>
  <si>
    <t>GE1 Parada, GE já ciente, engenherio da empresa vai vir ao vera com peças para substituição. (Concluido)</t>
  </si>
  <si>
    <t>Semi 2 precisando de uma central para monitoramento dos pacientes, pois só tem na uti geral - 6°andar (será resolvido hoje, Eng. Clinica e T.I atuando) - Resolvido</t>
  </si>
  <si>
    <t xml:space="preserve">1 código amarelo </t>
  </si>
  <si>
    <t>Not código roxo</t>
  </si>
  <si>
    <t>808 bloqueado (Liberado até o fim do dia)</t>
  </si>
  <si>
    <t>Alas de internação</t>
  </si>
  <si>
    <t>Troca de eletronidos da farmácia</t>
  </si>
  <si>
    <t>Raio-x sala 2 do ps teve problemas no sábado e foi resolvido no sábado mesmo</t>
  </si>
  <si>
    <t>808 Bloqueado para reforma</t>
  </si>
  <si>
    <t>A partir de agora teremos apenas um ponto de internação, o outro vai ser uma terceira triagem onde vai ser realizado o eletro.</t>
  </si>
  <si>
    <t>311 Bloqueado, previsão até as 15</t>
  </si>
  <si>
    <t>408 Bloqueado previsão de liberação hoje</t>
  </si>
  <si>
    <t>Engenharia clínica</t>
  </si>
  <si>
    <t>RM do Castelo parada, está sendo verificada por técnico o ocorrido</t>
  </si>
  <si>
    <t>4 códigos amarelo, 3 foram na ala cirurgica</t>
  </si>
  <si>
    <t>1 código amarelo RN</t>
  </si>
  <si>
    <t>335 bloqueado para reforma (previsão até o fim do dia)</t>
  </si>
  <si>
    <t>Reforma na sala 6 do Centro Cirurgico amanhã (inicio da reforma 18/09 previsto para liberação 19/09 de manhã)</t>
  </si>
  <si>
    <t>Leito 335 bloqueado (previsão de entrega até o fim do dia)</t>
  </si>
  <si>
    <t>Escala alinhada para higiene do Centro Cirurgico do noturno</t>
  </si>
  <si>
    <t>Detedização de baratas realizada na Endoscopia na data de ontem</t>
  </si>
  <si>
    <t>1 código amarelo no final de semana</t>
  </si>
  <si>
    <t>Josi</t>
  </si>
  <si>
    <t>1 codigo amarelo</t>
  </si>
  <si>
    <t>rm castelo consertado e liberado</t>
  </si>
  <si>
    <t>314 ponto de atenção, familia trouxe panela de pressão (já feita a orientação)</t>
  </si>
  <si>
    <t>Teste ergonometrico do nova campinas parado (Resolvido 29/09/26)</t>
  </si>
  <si>
    <t>RM do castelo não ligou pela manhã, problema na bomba d'agua. Resolvido e liberado</t>
  </si>
  <si>
    <t>RM GE2 e GE3 ficaram parada no inicio da manhã, resolvido e liberado</t>
  </si>
  <si>
    <t>Manutenção preventiva do foco cirurgico na sala 5</t>
  </si>
  <si>
    <t>Amanhã no Horário do almoço vai ser iniciado um novo fluxo de alimentação do acompanhante, equipe está sendo treinada para não haver falhas</t>
  </si>
  <si>
    <t>Manutenção Corretiva da Stativa e focos da Sala 06, Gatting</t>
  </si>
  <si>
    <t>Foi realizado o teste de gás durante a noite de ontem, para contigência.</t>
  </si>
  <si>
    <t>Capítulo</t>
  </si>
  <si>
    <t>Padrões</t>
  </si>
  <si>
    <t>Elementos de Mensuração</t>
  </si>
  <si>
    <t>Descrição do elemento</t>
  </si>
  <si>
    <t>Classificação (C - N)</t>
  </si>
  <si>
    <t>Necessário Documento</t>
  </si>
  <si>
    <t>AOP</t>
  </si>
  <si>
    <t>Padrão AOP.01.00
Todos os pacientes têm suas necessidades de saúde identificadas por meio de um processo de avaliação definido pelo hospital.</t>
  </si>
  <si>
    <t>A política do hospital define, por escrito, o conteúdo mínimo das avaliações para pacientes internados para cada disciplina clínica que realiza as avaliações. (Ver também AOP.01.01, EM 2)</t>
  </si>
  <si>
    <t>Não Conforme</t>
  </si>
  <si>
    <t>A política do hospital define, por escrito, o conteúdo mínimo das avaliações para pacientes ambulatoriais para cada disciplina clínica que realiza avaliações. (Ver também AOP.01.01, EM 2)</t>
  </si>
  <si>
    <t>Somente pessoas qualificadas e permitidas por licenciamento, leis e regulamentos aplicáveis ou certificação realizam as avaliações. (Ver também AOP.01.01, EM 3)</t>
  </si>
  <si>
    <t>Conforme</t>
  </si>
  <si>
    <t>O hospital identifica as informações a serem documentadas para as avaliações.</t>
  </si>
  <si>
    <t>Padrão AOP.01.01
A avaliação inicial de cada paciente inclui um histórico de saúde e uma avaliação das necessidades físicas, psicológicas, espirituais/culturais, sociais e econômicas do paciente.</t>
  </si>
  <si>
    <t>Todo os pacientes têm uma avaliação inicial consistente com os requisitos definidos na política do hospital.</t>
  </si>
  <si>
    <t>A avaliação inclui o seguinte: • Exame físico • História de saúde • História do uso de medicamentos e alergias conhecidas • Avaliação psicológica inicial indicada pela condição do paciente • Avaliação socioeconômica inicial, quando indicada pelas necessidades do paciente • Avaliação espiritual e cultural inicial, quando indicada pelas necessidades do paciente (Veja também AOP.01.00, EMs 1 e 2)</t>
  </si>
  <si>
    <t>O hospital descreve requisitos sobre quem é responsável pela avaliação inicial e o prazo da avaliação, incluindo o seguinte: • Quais partes da avaliação inicial cada disciplina é responsável por completar • Conteúdo mínimo para a avaliação médica inicial • Conteúdo mínimo para a avaliação inicial de enfermagem • Conteúdo mínimo para outras avaliações (por exemplo, fisioterapia, fonoaudiologia, serviço social) • Prazo para a conclusão da avaliação inicial • Requisitos de documentação para a avaliação inicial (Ver também AOP.01.00, EM 3)</t>
  </si>
  <si>
    <t>O hospital identifica, por escrito, os grupos de pacientes e populações atendidas que necessitam modificações em sua avaliação inicial.</t>
  </si>
  <si>
    <t>A avaliação inicial para populações especiais de pacientes é modificada para refletir suas necessidades.</t>
  </si>
  <si>
    <t>A avaliação inicial de enfermagem é concluída em até 8 horas e a avaliação médica é concluída em até 24 horas após a admissão no hospital.</t>
  </si>
  <si>
    <t>A avaliação inicial resulta em um diagnóstico inicial ou diagnósticos que requerem tratamento e monitoramento.</t>
  </si>
  <si>
    <t>A avaliação inicial de enfermagem resulta em uma lista de necessidades ou condições específicas de enfermagem que requerem cuidados, intervenções ou monitoramento de enfermagem.</t>
  </si>
  <si>
    <t>O diagnóstico pré-operatório é documentado para pacientes que necessitam de cirurgia de emergência.</t>
  </si>
  <si>
    <t>Padrão AOP.01.02
O hospital tem um processo para aceitar avaliações iniciais de fontes externas.</t>
  </si>
  <si>
    <t>As avaliações médicas iniciais aceitas são menores ou iguais a 30 dias.</t>
  </si>
  <si>
    <t>Para avaliações iniciais menores ou iguais a 30 dias, a avaliação é revisada e validada; quaisquer alterações na condição do paciente desde a avaliação ou "nenhuma alteração" são documentadas no prontuário do paciente no momento da admissão ou registro.</t>
  </si>
  <si>
    <t>Se a avaliação inicial tiver mais de 30 dias no momento da admissão ou registro, a história médica é atualizada e a avaliação inicial é repetida de acordo com a política de avaliação inicial do hospital.</t>
  </si>
  <si>
    <t>Padrão AOP.01.03
Os pacientes são triados para necessidades nutricionais, funcionais e outras necessidades especiais e são avaliados quando indicado pela triagem.</t>
  </si>
  <si>
    <t>Ferramentas de triagem baseadas em evidências são usadas para identificar pacientes que necessitam de avaliação nutricional adicional e as ferramentas são implementadas consistentemente em todo o hospital.</t>
  </si>
  <si>
    <t>Os pacientes cuja triagem indica risco ou problema nutricional recebem uma avaliação nutricional.</t>
  </si>
  <si>
    <t>Os instrumentos de triagem são usados para identificar pacientes que necessitam de avaliação funcional adicional, e os instrumentos são implementados de forma consistente em todo o hospital.</t>
  </si>
  <si>
    <t>Os pacientes cuja triagem indica um risco ou problema funcional recebem uma avaliação funcional.</t>
  </si>
  <si>
    <t>Quando identificada a necessidade de avaliações especializadas adicionais, os pacientes são encaminhados dentro ou fora do hospital.</t>
  </si>
  <si>
    <t xml:space="preserve">Padrão AOP.01.04
Todos os pacientes são triados quanto à dor e avaliados quando a dor está presente.
</t>
  </si>
  <si>
    <t>Todos os pacientes internados são rastreados para dor e o rastreamento é documentado.</t>
  </si>
  <si>
    <t>Pacientes ambulatoriais cuja condição, diagnóstico ou situação pode indicar que estão em risco de dor são rastreados para dor.</t>
  </si>
  <si>
    <t>Quando a dor é identificada pela triagem, uma avaliação da dor é realizada e documentada. (Veja também COP.07.00, EM 1)</t>
  </si>
  <si>
    <t>Pacientes são reavaliados quanto à dor após quaisquer intervenções de controle da dor</t>
  </si>
  <si>
    <t>Se necessário, o paciente é encaminhado ou transferido para um ambiente de cuidado que tenha as capacidades e os recursos para tratar a dor do paciente.</t>
  </si>
  <si>
    <t>Padrão AOP.01.05
Todos os pacientes são reavaliados em intervalos com base em sua condição e tratamento.</t>
  </si>
  <si>
    <r>
      <rPr>
        <sz val="11"/>
        <color rgb="FF000000"/>
        <rFont val="Calibri"/>
        <scheme val="minor"/>
      </rPr>
      <t xml:space="preserve">A política do hospital define, por escrito, a frequência com que os pacientes são reavaliados por vários membros da equipe de saúde e outras circunstâncias em que uma reavaliação é necessária, incluindo o seguinte: • </t>
    </r>
    <r>
      <rPr>
        <sz val="11"/>
        <color rgb="FFFFC000"/>
        <rFont val="Calibri"/>
        <scheme val="minor"/>
      </rPr>
      <t xml:space="preserve">Intervalos definidos por vários membros da equipe de atendimento, incluindo médicos, enfermeiros e outros membros do corpo clínico (por exemplo, terapeutas, assistentes sociais) </t>
    </r>
    <r>
      <rPr>
        <sz val="11"/>
        <color rgb="FF000000"/>
        <rFont val="Calibri"/>
        <scheme val="minor"/>
      </rPr>
      <t>• Quando houve uma mudança significativa na condição do paciente • Quando o diagnóstico mudou e o plano de cuidados precisa ser revisto (Ver também COP.01.01, EM 3) • Para determinar se o paciente está pronto para a transferência e alta.</t>
    </r>
  </si>
  <si>
    <t>Um médico reavalia pacientes pelo menos diariamente, incluindo fins de semana, durante a fase aguda de seus cuidados e tratamento.</t>
  </si>
  <si>
    <t>A política do hospital define, por escrito, populações de pacientes que podem não necessitar de uma avaliação diária e define o intervalo mínimo de reavaliação para esses pacientes.</t>
  </si>
  <si>
    <t>Reavaliações estão documentados no prontuário do paciente.</t>
  </si>
  <si>
    <t>Padrão AOP.02.00
O hospital desenvolve e implementa um processo para reduzir o risco de quedas e danos ao paciente decorrentes de quedas</t>
  </si>
  <si>
    <t>O hospital rastreia todos os pacientes internados quanto ao risco de quedas e utiliza ferramentas de triagem baseadas em evidências apropriadas para a população de pacientes.</t>
  </si>
  <si>
    <t>O hospital faz a triagem de todos os pacientes ambulatoriais cuja condição, diagnóstico, situação ou localização possa colocá-los em risco de quedas e utiliza instrumentos de triagem apropriados para os pacientes atendidos.</t>
  </si>
  <si>
    <t>O hospital implementa um processo de avaliação e, quando aplicável, de reavaliação de pacientes que podem se tornar em risco de quedas devido a uma mudança de condição ou que já estão em risco de quedas com base na avaliação documentada.</t>
  </si>
  <si>
    <t>Intervenções para reduzir o risco de quedas são implementadas para aqueles pacientes, situações e locais identificados dentro do hospital avaliados como de risco e as intervenções são documentadas.</t>
  </si>
  <si>
    <t>Padrão AOP.03.00
Os serviços laboratoriais estão disponíveis para atender às necessidades dos pacientes e todos os serviços laboratoriais atendem às normas, leis e regulamentos locais e nacionais aplicáveis.</t>
  </si>
  <si>
    <t>Serviços de laboratório, incluindo fontes externas de serviços laboratoriais, atendem às normas, leis e regulamentos locais e nacionais aplicáveis.</t>
  </si>
  <si>
    <t>Serviços de laboratório atendem às necessidades dos pacientes e outros serviços prestados pelo hospital, incluindo um processo de acesso aos serviços laboratoriais após o horário de expediente e para necessidades emergenciais.</t>
  </si>
  <si>
    <t>Especialistas em áreas especializadas são contatados quando necessário. (Ver também GLD.05.00, EM 1)</t>
  </si>
  <si>
    <t>Padrão AOP.03.01
Um indivíduo qualificado é responsável pelo gerenciamento do serviço de laboratório clínico ou serviço de patologia e todo o pessoal do laboratório é qualificado para realizar os exames e interpretar os resultados.</t>
  </si>
  <si>
    <t>O laboratório clínico, e outros serviços laboratoriais em todo o hospital, estão sob a direção e supervisão de uma ou mais pessoas qualificadas. (Ver também GLD.06.00, EM 1)</t>
  </si>
  <si>
    <t>As responsabilidades do líder de laboratório qualificado incluem o seguinte:
 • Desenvolver, implementar e manter políticas e procedimentos 
• Supervisionar administrativamente os serviços laboratoriais 
• Manter todos os programas de controle de qualidade necessários
• Desenvolver e implementar um programa de contratação de pessoal
• Recomendar fontes externas de serviços laboratoriais 
• Monitorar e revisar todos os serviços laboratoriais</t>
  </si>
  <si>
    <t>Todo o pessoal do laboratório tem as qualificações necessárias para realizar e interpretar exames.</t>
  </si>
  <si>
    <t>Um programa de pessoal de laboratório é implementado para que a equipe possa realizar exames prontamente e garantir equipe atuando durante todo o horário de funcionamento e durante emergências.</t>
  </si>
  <si>
    <t>O pessoal de supervisão do laboratório é identificado e tem as qualificações e experiência adequadas para a função.</t>
  </si>
  <si>
    <t>Padrão AOP.03.02
O hospital definiu requisitos para a supervisão do programa de exame no ponto de atendimento (point-of-care testing program).</t>
  </si>
  <si>
    <t>A pessoa responsável pela gestão dos serviços laboratoriais, ou um designado, supervisiona o programa POCT.</t>
  </si>
  <si>
    <t>O pessoal que realiza POCT possuem as qualificações e treinamentos exigidos e são competentes para realizar o POCT.</t>
  </si>
  <si>
    <t>O programa POCT inclui um processo definido para a comunicação de resultados de exames anormais, incluindo relato de resultados críticos. (Ver também IPSG.02.00, EM 1)</t>
  </si>
  <si>
    <t>O programa POCT inclui requisitos de desempenho e documentação de controle de qualidade.</t>
  </si>
  <si>
    <t>O programa POCT é monitorado, avaliado e incluído em atividades de melhoria de qualidade.</t>
  </si>
  <si>
    <t>Padrão AOP.03.03
Os resultados laboratoriais são relatados dentro dos prazos definidos pela política do hospital.</t>
  </si>
  <si>
    <t>O hospital tem uma política escrita que estabelece o tempo esperado de relatório para resultados de exames de rotina e urgentes.</t>
  </si>
  <si>
    <t>O hospital monitora se os exames urgentes são relatados dentro do prazo esperado.</t>
  </si>
  <si>
    <t>O hospital monitora se os resultados laboratoriais de rotina são relatados dentro do prazo esperado.</t>
  </si>
  <si>
    <t>Quando os resultados laboratoriais não são relatados dentro do prazo esperado, o hospital toma medidas corretivas.</t>
  </si>
  <si>
    <t>Padrão AOP.03.04
Todos os equipamentos de testes laboratoriais são regularmente inspecionados, mantidos e calibrados e registros apropriados são mantidos para essas atividades.</t>
  </si>
  <si>
    <t>O laboratório gerencia equipamentos de laboratório com um processo escrito de como os equipamentos são selecionados e adquiridos.</t>
  </si>
  <si>
    <t>Existe um inventário de todos os equipamentos de laboratório. (Ver também FMS.07.00, EM 2)</t>
  </si>
  <si>
    <t>O equipamento do laboratório é inspecionado e testado quando novo e de acordo com as diretrizes do fabricante; as inspeções são documentadas.</t>
  </si>
  <si>
    <t>O equipamento do laboratório é calibrado e mantido de acordo com as diretrizes do fabricante e a calibração e a manutenção são documentadas.</t>
  </si>
  <si>
    <t>O hospital monitora e atua em avisos de perigo, recalls, incidentes reportáveis, problemas e falhas em equipamentos de laboratório. (Ver também FMS.07.01, EM 1)</t>
  </si>
  <si>
    <t>Padrão AOP.03.05
Reagentes e suprimentos essenciais estão disponíveis, e todos os reagentes são avaliados para garantir a precisão dos resultados.</t>
  </si>
  <si>
    <t>Os reagentes e suprimentos essenciais são identificados e estão disponíveis e há um processo para quando os reagentes essenciais não estão disponíveis. (Ver também FMS.05.00, EM 2)</t>
  </si>
  <si>
    <t>Todos os reagentes são armazenados e dispensados de acordo com as instruções do fabricante.</t>
  </si>
  <si>
    <t>O laboratório estabelece e segue a política escrita do hospital para a avaliação de todos os reagentes para garantir a exatidão e precisão dos resultados.</t>
  </si>
  <si>
    <t>Todos os reagentes são submetidos à testes de controle de qualidade como definido pelos fabricantes.</t>
  </si>
  <si>
    <t>Registros dos testes dos reagentes incluem as seguintes informações: • Identidade do reagente • Data de recepção ou preparação • Número do lote • Data de validade • Data de quando foi colocado em uso (Veja também FMS.05.00, EM 2)</t>
  </si>
  <si>
    <t>Padrão AOP.03.06
São estabelecidos e implementados procedimentos para coleta, identificação, manuseio, transporte e descarte seguros das amostras.</t>
  </si>
  <si>
    <t>Procedimentos são estabelecidos e implementados para a solicitação de exames.</t>
  </si>
  <si>
    <t>Procedimentos são estabelecidos e implementados para a coleta e identificação de amostras.</t>
  </si>
  <si>
    <t>Procedimentos são estabelecidos e implementados para o transporte, armazenamento e preservação de amostras.</t>
  </si>
  <si>
    <t>Procedimentos são estabelecidos e implementados para o recebimento e rastreamento de amostras.</t>
  </si>
  <si>
    <t>Procedimentos são estabelecidos e implementados para o descarte de amostras.</t>
  </si>
  <si>
    <t>Procedimentos são seguido quando são utilizados os serviços laboratoriais contratados.</t>
  </si>
  <si>
    <t>Padrão AOP.03.07
Normas e faixas estabelecidas são usadas para interpretar e relatar resultados clínicos laboratoriais.</t>
  </si>
  <si>
    <t>O laboratório estabelece faixas de referência para cada exame realizado</t>
  </si>
  <si>
    <t>A faixa é incluída no prontuário no momento em que os resultados dos exames são relatados.</t>
  </si>
  <si>
    <t>As faixas são fornecidas quando os exames são realizados por serviços laboratoriais contratados.</t>
  </si>
  <si>
    <t>As faixas são apropriadas à localização geográfica do hospital e à demografia dos pacientes.</t>
  </si>
  <si>
    <t>As revisões e atualizações laboratoriais variam conforme necessário.</t>
  </si>
  <si>
    <t>Padrão AOP.03.08
O hospital implementou processos de controle de qualidade e ensaios de proficiência dos serviços laboratoriais.</t>
  </si>
  <si>
    <t>O hospital estabelece e implementa um programa de controle de qualidade escrito para o laboratório clínico</t>
  </si>
  <si>
    <t>O programa inclui a validação de métodos de teste para exatidão, precisão e alcance reportado</t>
  </si>
  <si>
    <t>O programa inclui a vigilância diária e a documentação dos resultados dos exames.</t>
  </si>
  <si>
    <t>O programa inclui rápida correção e documentação de deficiências.</t>
  </si>
  <si>
    <t>O laboratório participa de um programa de ensaios de proficiência ou uma alternativa para todos os exames laboratoriais quando avaliações externas de qualidade não estão disponíveis.</t>
  </si>
  <si>
    <t>Os resultados dos ensaios de proficiência do laboratório atendem a critérios de desempenho satisfatórios de acordo com leis e regulamentos.</t>
  </si>
  <si>
    <t>Padrão AOP.03.09
O hospital garante a qualidade dos serviços prestados pelos laboratórios contratados.</t>
  </si>
  <si>
    <t>O hospital mantém cópia da licença e do certificado ou carta de acreditação ou certificação, de autoridade reconhecida, para todos os laboratórios contratados utilizados pelo hospital.</t>
  </si>
  <si>
    <t>O hospital mantém documentação que comprova que qualquer laboratório contratado utilizado pelo hospital participa de um programa de ensaios de proficiência.</t>
  </si>
  <si>
    <t>O hospital determina os dados de frequência e tipo de expectativa de desempenho dos laboratórios contratados. (Ver também GLD.05.00, EMs 4 e 5)</t>
  </si>
  <si>
    <t>O indivíduo responsável pelo laboratório ou um designado analisa os dados de desempenho dos laboratórios contratados e toma medidas com base nos resultados. (Ver também GLD.05.00, EMs 4 e 5)</t>
  </si>
  <si>
    <t>Um relatório anual dos dados dos laboratórios contratados é fornecido aos líderes responsáveis pelo gerenciamento e renovação de contratos.</t>
  </si>
  <si>
    <t>Padrão AOP.04.00
Um indivíduo qualificado (s) é responsável pelos serviços de banco de sangue e/ou transfusão e garante que os serviços cumpram as leis e regulamentos e padrões reconhecidos de prática.</t>
  </si>
  <si>
    <t>Um(s) indivíduo(s) qualificado é responsável pelo banco de sangue e/ou serviços de transfusão. (Veja também GLD.06.00, EM 1)</t>
  </si>
  <si>
    <t>O banco de sangue implementou e documentou processos para o seguinte: 
• Seleção de doadores de sangue
• Triagem sanguínea para doença
• Coleta de sangue 
• Armazenamento de sangue 
• Testes de compatibilidade 
• Distribuição do sangue</t>
  </si>
  <si>
    <t>Resultados de controle de qualidade para todos os serviços de banco de sangue e transfusão são implantados e documentados.</t>
  </si>
  <si>
    <t>O banco de sangue e os serviços transfusionais estão em conformidade com as leis e regulamentos aplicáveis e com os padrões reconhecidos de prática.</t>
  </si>
  <si>
    <t>O hospital tem um processo para monitorar e melhorar a utilização de hemoderivados em todo o hospital, incluindo o seguinte:
 • Utilização ótima dos produtos derivados do sangue
 • Práticas transfusionais seguras
 • Disponibilidade de hemoderivados</t>
  </si>
  <si>
    <t>O hospital tem um programa de vigilância em hemovigilância para monitorar, investigar e notificar quaisquer eventos adversos e eventos de quase falhas envolvendo bancos de sangue e/ou serviços transfusionais. (Ver também QPS.03.04, EM 3)</t>
  </si>
  <si>
    <t>Padrão AOP.04.01
Diretrizes e procedimentos clínicos são implementados para o manuseio e administração de sangue e hemoderivados.</t>
  </si>
  <si>
    <t>O hospital identifica quem está autorizado a administrar sangue e hemoderivados de acordo com as leis e regulamentos.</t>
  </si>
  <si>
    <t>Indivíduos que administram sangue e hemoderivados devem ter educação, conhecimento e experiência clínica para fazê-lo com segurança.</t>
  </si>
  <si>
    <t>O hospital fornece e documenta a formação das práticas associadas à administração de sangue e hemoderivados.</t>
  </si>
  <si>
    <t>Diretrizes e procedimentos clínicos são uniformemente implementados para o manuseio e administração de sangue e hemoderivados.</t>
  </si>
  <si>
    <t>As diretrizes e procedimentos clínicos abordam os seguintes processos:
•	Consentimento do paciente para administração
•	Obtenção de sangue do banco de sangue ou área de armazenamento de sangue
•	Identificação do paciente
•	Administração de sangue
•	Acompanhamento do paciente
•	Identificação e resposta a sinais de potenciais reações transfusionais</t>
  </si>
  <si>
    <t>AOP.05.00-Os serviços de radiologia e diagnóstico por imagem estão disponíveis para atender às necessidades dos pacientes e todos os serviços atendem às normas, leis e regulamentos locais e nacionais aplicáveis.</t>
  </si>
  <si>
    <t>Os serviços de radiologia e diagnóstico por imagem atendem aos padrões profissionais aplicáveis, leis e regulamentos locais e nacionais.</t>
  </si>
  <si>
    <t>Os serviços de radiologia e diagnóstico por imagem estão disponíveis para atender às necessidades relacionadas à população de pacientes do hospital, escopo dos serviços e necessidades de emergência, inclusive após o horário normal.</t>
  </si>
  <si>
    <t>O hospital mantém uma lista de especialistas em áreas de diagnóstico especializadas e garante que a lista é acessível aos profissionais que precisam.</t>
  </si>
  <si>
    <t>Fontes externas são selecionados com base nas recomendações do indivíduo responsável pelos serviços de radiologia e diagnóstico por imagem e têm um registro aceitável e oportuno de desempenho e conformidade com as leis e regulamentos aplicáveis.</t>
  </si>
  <si>
    <t>Padrão AOP.05.01
Um indivíduo qualificado é responsável pelo gerenciamento dos serviços de radiologia e diagnóstico por imagem e indivíduos com qualificações e experiência adequadas realizam exames de diagnóstico por imagem, interpretam os resultados e relatam os resultados.</t>
  </si>
  <si>
    <t>Os serviços de radiologia e diagnóstico por imagem estão sob a direção de uma ou mais pessoas qualificadas. (Ver também GLD.06.00, EM 1)</t>
  </si>
  <si>
    <t>As responsabilidades do indivíduo que gerencia os serviços de radiologia e diagnóstico por imagem incluem o seguinte: 
• Desenvolver, implementar e manter políticas e procedimentos 
• Supervisionar tarefas administrativas 
• Supervisionar o controle de qualidade 
• Desenvolver e implementar um programa de contratação de pessoal
 • Recomendar fontes externas de serviços de radiologia e diagnóstico por imagem 
• Monitorar e revisar todos os serviços de radiologia e diagnóstico por imagem</t>
  </si>
  <si>
    <t>Profissionais com qualificação e experiência adequadas realizam exames de diagnóstico e imagem.</t>
  </si>
  <si>
    <t>Profissionais com qualificações e experiência adequadas interpretam os resultados do exame e verificam e relatam os resultados dentro do prazo definido pela política do hospital.</t>
  </si>
  <si>
    <t>Há um número adequado de profissionais para atender às necessidades dos pacientes e ao escopo de serviços do hospital.</t>
  </si>
  <si>
    <t>A equipe de supervisão de radiologia e diagnóstico por imagem tem qualificações e experiência adequadas para a função.</t>
  </si>
  <si>
    <t>Padrão AOP.05.02
Um programa de segurança de radiação e/ou diagnóstico por imagem para pacientes, funcionários e visitantes é implementado e está em conformidade com as normas, leis e regulamentos profissionais aplicáveis</t>
  </si>
  <si>
    <t>O programa de segurança dos serviços de radiologia e diagnóstico por imagem para pacientes, profissionais e visitantes é implementado e está em conformidade com as normas, leis e regulamentos profissionais aplicáveis</t>
  </si>
  <si>
    <t>A equipe de radiologia e diagnóstico por imagem é orientada para os requisitos de segurança e recebe educação e treinamento contínuos para quaisquer novos procedimentos, equipamentos e materiais perigosos. (Ver também SQE.01.07, EM 1)</t>
  </si>
  <si>
    <t>Equipamentos de proteção de segurança e dispositivos adequados às práticas e perigos encontrados pela radiação e diagnóstico por imagem estão disponíveis para profissionais, pacientes e visitantes e na área em que os serviços de radiologia e diagnóstico por imagem são fornecidos.</t>
  </si>
  <si>
    <t>A educação em segurança radiológica inclui os princípios do ALARA e a implementação de protocolos que identificam a dose máxima de radiação para cada tipo de estudo</t>
  </si>
  <si>
    <t>Os perigos da ressonância magnética são abordados usando padrões da indústria e diretrizes baseadas em evidências.</t>
  </si>
  <si>
    <t>O hospital designa um indivíduo para servir como gestor de segurança radiológica que é responsável pelo seguinte: 
• Garantir que os serviços radiológicos sejam prestados de acordo com leis, regulamentos e políticas organizacionais • Monitorar a conformidade com as práticas de segurança radiológica estabelecidas (incluindo a supervisão da monitorização de dosimetria)</t>
  </si>
  <si>
    <t>O programa de segurança em radiação e/ou diagnóstico por imagem faz parte dos programas de gerenciamento de instalações e prevenção e controle de infecções da organização e fornece relatórios a esses programas, pelo menos anualmente, e quando ocorrem eventos de segurança e controle de infecção.</t>
  </si>
  <si>
    <t>Padrão AOP.05.03
Os resultados dos exames de radiologia e diagnóstico por imagem estão disponíveis em tempo hábil, conforme definido pela política do hospital.</t>
  </si>
  <si>
    <t>O hospital possui uma política escrita que estabelece o tempo esperado de laudo para os resultados de diagnóstico por imagem.</t>
  </si>
  <si>
    <t>O hospital monitora se os resultados de radiologia e diagnóstico por imagem de urgência ou emergência são relatados dentro do prazo esperado.</t>
  </si>
  <si>
    <t>O hospital monitora se os resultados de radiologia e diagnóstico por imagem de rotina são relatados dentro o prazo esperado.</t>
  </si>
  <si>
    <t>Quando os resultados da radiologia e do diagnóstico por imagem não são relatados dentro do prazo esperado, o hospital toma medidas corretivas</t>
  </si>
  <si>
    <t>Padrão AOP.05.04
Todos os equipamentos utilizados para a realização de exames radiológicos e de diagnóstico por imagem são regularmente inspecionados, mantidos e calibrados e registros apropriados são mantidos para essas atividades.</t>
  </si>
  <si>
    <t>O hospital desenvolve e implementa um programa escrito para gerenciar equipamentos de radiologia e diagnóstico por imagem, incluindo como os equipamentos de radiologia são selecionados e adquiridos.</t>
  </si>
  <si>
    <t>Existe um inventário documentado de todos os equipamentos de radiologia e diagnóstico por imagem. (Veja também FMS.07.00, EM 2)</t>
  </si>
  <si>
    <t>Os equipamentos dos serviços de radiologia e diagnóstico por imagem são inspecionados e testados quando novos e de acordo com a idade, o uso e as recomendações de cada fabricante; as inspeções são documentadas.</t>
  </si>
  <si>
    <t>Os equipamentos dos serviços de radiologia e diagnóstico por imagem são calibrados e mantidos de acordo com cada uma das recomendações do fabricante e a calibração e manutenção é documentada.</t>
  </si>
  <si>
    <t>O hospital tem um sistema implantado para monitorar e atuar em equipamentos de radiologia e diagnóstico por imagem com avisos de perigo, recalls, incidentes reportáveis, problemas e falhas. (Ver também FMS.07.01, EM 1)</t>
  </si>
  <si>
    <t>Padrão AOP.05.05
O hospital implantou procedimentos de controle de qualidade para serviços de radiologia e diagnóstico por imagem.</t>
  </si>
  <si>
    <t>O hospital estabelece e implementa um programa de controle de qualidade escrito para os serviços de radiologia e diagnóstico por imagem.</t>
  </si>
  <si>
    <t>O controle de qualidade inclui a validação de métodos de testes para exatidão e precisão.</t>
  </si>
  <si>
    <t>O controle de qualidade inclui rápida correção e documentação quando uma deficiência é identificada.</t>
  </si>
  <si>
    <t>Padrão AOP.05.06
O hospital garante a qualidade dos serviços prestados por todas as fontes externas contratadas de serviços de radiologia e diagnóstico por imagem.</t>
  </si>
  <si>
    <t>O hospital mantém uma cópia da licença de uma autoridade reconhecida para todos os contratados serviços de radiologia e diagnóstico por imagem utilizados pelo hospital.</t>
  </si>
  <si>
    <t>O hospital mantém cópia do certificado ou carta de acreditação ou certificação de autoridade reconhecida para todos os serviços de radiologia e diagnóstico por imagem contratados utilizados pelo hospital.</t>
  </si>
  <si>
    <t>O hospital determina a frequência e o tipo de dados de qualidade dos serviços de radiologia e diagnóstico por imagem contratados. (Ver também GLD.05.00, EMs 4 e 5)</t>
  </si>
  <si>
    <t>O indivíduo responsável pelos serviços de radiologia e diagnóstico por imagem ou um designado analisa os dados de medição de desempenho dos serviços de radiologia e diagnóstico por imagem contratados e toma medidas com base nos resultados. (Ver também GLD.05.00, EMs 4 e 5)</t>
  </si>
  <si>
    <t>Um relatório anual com os dados dos serviços contratados de radiologia e diagnóstico por imagem são fornecidos para quem toma decisões sobre gerenciamento e renovação de contratos.</t>
  </si>
  <si>
    <t>Padrão AOP.06.00
Quando aplicável, o hospital estabelece e implementa um programa de segurança em medicina nuclear que atende às normas, leis e regulamentos profissionais aplicáveis</t>
  </si>
  <si>
    <t>Um indivíduo qualificado é responsável por supervisionar os serviços de medicina nuclear e os membros relevantes da equipe são devidamente treinados, qualificados e certificados para desempenhar suas respectivas funções em segurança e procedimentos de medicina nuclear.</t>
  </si>
  <si>
    <t>Não Se Aplica</t>
  </si>
  <si>
    <t>O hospital implementa protocolos de segurança radiológica, incluindo o uso de blindagem adequada, equipamentos de proteção individual (EPIs) e dispositivos de monitoramento para pacientes e profissionais.</t>
  </si>
  <si>
    <t>As doses de radiação administradas aos pacientes são otimizadas para fins diagnósticos e terapêuticos e o procedimento inclui monitorar e minimizar a exposição à radiação, obtendo as informações diagnósticas ou o efeito necessário.</t>
  </si>
  <si>
    <t>A aquisição, armazenamento, manuseio e descarte de radiofármacos está em conformidade com leis, regulamentos, normas profissionais e diretrizes dos fabricantes.</t>
  </si>
  <si>
    <t>Pacientes e familiares são informados sobre os procedimentos e precauções de segurança.</t>
  </si>
  <si>
    <t>Padrão PCC.01.00
O hospital implementa processos que apoiam os direitos do paciente e da família durante o cuidado.</t>
  </si>
  <si>
    <t>Líderes do hospital trabalham de forma colaborativa para proteger e promover os direitos dos pacientes e familiares.</t>
  </si>
  <si>
    <t>Líderes do hospital implementam os direitos do paciente e da família conforme identificados nas leis e regulamentos.</t>
  </si>
  <si>
    <t>Líderes do hospital protegem os direitos do paciente e da família em relação às práticas culturais do pacientes comunitários ou individuais atendidos.</t>
  </si>
  <si>
    <t>Líderes do hospital protegem o direito do paciente de identificar quem o paciente deseja que participe das decisões de cuidado.</t>
  </si>
  <si>
    <t>O hospital tem um processo para determinar as preferências do paciente ou da família em relação ao que e quando as informações são fornecidas ao paciente, família ou outras pessoas.</t>
  </si>
  <si>
    <t>Todos da equipe clínica são treinados sobre como apoiar os direitos do paciente e da família e sobre sua participação no cuidado.</t>
  </si>
  <si>
    <t>Padrão PCC.01.01
O hospital respeita, protege e promove os direitos dos pacientes.</t>
  </si>
  <si>
    <t>Informações sobre os direitos e responsabilidades do paciente são fornecidos a cada paciente em um idioma que o paciente entenda. (Veja também MOI.02.02, EM 3)</t>
  </si>
  <si>
    <t>A política escrita do hospital sobre os direitos do paciente está disponível para a equipe. (Veja também SQE.01.06, EM 2)</t>
  </si>
  <si>
    <t>O hospital trata o paciente de maneira respeitosa que apoia a dignidade do paciente.</t>
  </si>
  <si>
    <t>As crenças, valores e preferências espirituais e culturais do paciente são respeitados.</t>
  </si>
  <si>
    <t>O hospital responde a solicitações relacionadas ao apoio religioso ou espiritual.</t>
  </si>
  <si>
    <t>Padrão PCC.01.02
O hospital protege a privacidade do paciente, a confidencialidade e o acesso às informações de saúde.</t>
  </si>
  <si>
    <t>Privacidade do paciente é respeitada para todas as entrevistas clínicas, exames, procedimentos/tratamentos E transporte. (Veja também GLD.09.00, EM 3; HCT.01.03, EM 2; MOI.01.01, EM 1; MOI.01.02, EM 3)</t>
  </si>
  <si>
    <t>A confidencialidade das informações do paciente é mantida de acordo com as leis e regulamentos.</t>
  </si>
  <si>
    <t>O hospital tem um processo para que os pacientes deem permissão para a divulgação de informações consistentes com as leis e regulamentos.</t>
  </si>
  <si>
    <t>O hospital tem um processo para fornecer aos pacientes acesso às suas informações de saúde consistente com leis, regulamentos e cultura.</t>
  </si>
  <si>
    <t>O hospital fornece aos pacientes acesso a informações de saúde, independentemente de sua capacidade de pagamento.</t>
  </si>
  <si>
    <t xml:space="preserve">Padrão PCC.01.03
O hospital fornece aos pacientes informações sobre a segurança dos bens pessoais.
</t>
  </si>
  <si>
    <t>O hospital determinou seu nível de responsabilidade pelos bens dos pacientes. (Veja também FMS.04.00, EM 2)</t>
  </si>
  <si>
    <t>Os pacientes recebem informações sobre a responsabilidade do hospital pela proteção de bens pessoais.</t>
  </si>
  <si>
    <t>Os bens dos pacientes são protegidos quando o hospital assume a responsabilidade ou quando o paciente é incapaz de assumir a responsabilidade.</t>
  </si>
  <si>
    <t>Padrão PCC.01.04
O hospital identifica suas populações vulneráveis e os riscos para essas populações.</t>
  </si>
  <si>
    <t>O hospital inclui as seguintes fontes, no mínimo, ao definir suas populações vulneráveis: • Lista predeterminada de populações generalizadas conforme aplicável ao escopo de serviços do hospital • Determinado pelos resultados da avaliação anual dos riscos • Em acordo com leis e regulamentos</t>
  </si>
  <si>
    <t>A lista predeterminada do hospital inclui as seguintes populações vulneráveis, conforme aplicável ao escopo de serviços do hospital: • Deficientes e doentes crônicos • Socioeconomicamente desfavorecidos • Idoso/frágil • Crianças/adolescentes • Minorias raciais / étnicas • Minorias Sexuais</t>
  </si>
  <si>
    <t>O hospital realiza uma avaliação de risco da população vulnerável, anualmente, no mínimo, para identificar o seguinte: • Populações vulneráveis que o hospital atende • Riscos associados a cada população vulnerável • Recursos específicos necessários para apoiar os cuidados, tratamento e serviços dessas populações vulneráveis, incluindo recursos comunitários para os cuidados na continuidade após a alta • Educação da equipe para populações vulneráveis selecionadas, conforme determinado pelo hospital</t>
  </si>
  <si>
    <t>O hospital estabelece uma política escrita e implementa um processo para identificar como os riscos são gerenciados para cada população vulnerável. (Veja também PCI.07.00, EM 2; HRP.02.02, EM 3)</t>
  </si>
  <si>
    <t>Padrão PCC.02.00
Pacientes e familiares estão envolvidos em todos os aspectos de seus cuidados, tratamento e serviços.</t>
  </si>
  <si>
    <t>O hospital apoia e promove o envolvimento do paciente e da família nos processos de cuidado e na tomada de decisões</t>
  </si>
  <si>
    <r>
      <t xml:space="preserve">A equipe de saúde informa os pacientes e seus familiares sobre condições médicas, qualquer disgnóstico confirmado, um prognóstico e os cuidados e tratamentos planejados para incenticar o envilvimento e a colbaoração do paciente </t>
    </r>
    <r>
      <rPr>
        <i/>
        <sz val="11"/>
        <color theme="1"/>
        <rFont val="Calibri"/>
        <family val="2"/>
        <scheme val="minor"/>
      </rPr>
      <t>(Ver também</t>
    </r>
    <r>
      <rPr>
        <sz val="11"/>
        <rFont val="Carlito"/>
      </rPr>
      <t xml:space="preserve"> PCC.03.00, EM 1)</t>
    </r>
  </si>
  <si>
    <r>
      <t>Os pacientes são informados de quaisquer resultados imprevistos que ocorreram durante o curso de seus cuidados e tratamento (</t>
    </r>
    <r>
      <rPr>
        <i/>
        <sz val="11"/>
        <color theme="1"/>
        <rFont val="Calibri"/>
        <family val="2"/>
        <scheme val="minor"/>
      </rPr>
      <t>Ver também</t>
    </r>
    <r>
      <rPr>
        <sz val="11"/>
        <rFont val="Carlito"/>
      </rPr>
      <t xml:space="preserve"> MMU.07.00, EM1)</t>
    </r>
  </si>
  <si>
    <t>O hospital permite que um paciente busque uma segunda opinião sem comprometes o atendimento do paciente.</t>
  </si>
  <si>
    <t>Padrão PCC.02.01
O hospital informa os pacientes e familiares sobre seus direitos e responsabilidades de recusar ou interromper o tratamento, suspender os serviços de ressuscitação e renunciar ou retirar tratamentos de suporte à vida.</t>
  </si>
  <si>
    <t>O hospital identifica sua posição sobre a interrupção de serviços de ressuscitação e a renúncia ou retirada de tratamentos de suporte à vida.</t>
  </si>
  <si>
    <t>A posição do hospital está alinhada com as normas religiosas e culturais de sua comunidade e quaisquer requisitos legais ou regulamentares.</t>
  </si>
  <si>
    <t>O hospital informa os pacientes e familiares sobre seus direitos de recusar ou interromper o tratamento e as responsabilidades do hospital relacionadas a essas decisões.</t>
  </si>
  <si>
    <t>O hospital informa pacientes sobre as consequências dessas deisões.</t>
  </si>
  <si>
    <t>O hospital informa os pacientes sobre as alternativas de atendimento e tratamento disponíveis.</t>
  </si>
  <si>
    <t>O hospital fornece aos profissionais de saúde recursos relacionados às considerações éticas e legais na realização dos desejos dos pacientes.</t>
  </si>
  <si>
    <t>Padrão PCC.02.02
O hospital avalia os dados de experiência do paciente e faz melhorias para melhorar a qualidade do cuidado ao paciente.</t>
  </si>
  <si>
    <t>Líderes do hospital implementam um processo para coletar e avaliar a experiência do paciente.</t>
  </si>
  <si>
    <t>Dados dos pacientes são coletados, agregados, analisados e transformados em informações para identificar e implementar estratégias para melhorar a experiência do paciente. (Veja também QPS.03.00, EM 2)</t>
  </si>
  <si>
    <t>Líderes do hospital determinam áreas prioritárias para melhorar a experiência do paciente que impactarão positivamente o cuidado ao paciente.</t>
  </si>
  <si>
    <t>Dados são coletados e analisados a seguir a implantação de melhorias na experiência do paciente para avaliar suas impacto na qualidade do cuidado ao paciente.</t>
  </si>
  <si>
    <t>Padrão PCC.02.03 O hospital informa os pacientes e familiares sobre seu direito de relatar reclamações e de serem notificados sobre erros relacionados ao seu cuidado e sobre o processo do hospital para agir sobre eles.</t>
  </si>
  <si>
    <t>Pacientes e familiares são informados sobre o processo de comunicação de reclamações. (Veja também APR.09.00, EMs 1 e 2)</t>
  </si>
  <si>
    <t>O hospital investiga e, quando possível, resolve as reclamações dentro de um prazo conforme definido na política do hospital. Se a reclamação não puder ser resolvida imediatamente, o hospital confirma o recebimento da reclamação e notifica o paciente sobre o acompanhamento da reclamação.</t>
  </si>
  <si>
    <t>O hospital desenvolve uma política escrita que aborda a divulgação de erros clínicos a pacientes que inclui, no mínimo, o seguinte: • Como o hospital define o erro clínico • Circunstâncias em que se recomenda a divulgação de um erro clínico • Quem é responsável por notificar um paciente sobre um erro clínico • Outras pessoas ou entidades que devem ser notificadas, quando aplicável</t>
  </si>
  <si>
    <t>O hospital implementa e segue sua política de divulgação de erros clínicos.</t>
  </si>
  <si>
    <t>O hospital segue seu processo interno para analisar erros clínicos e evitar que o erro ocorra novamente.</t>
  </si>
  <si>
    <t>Padrão PCC.03.00
O consentimento informado é obtido por meio de um processo definido pelo hospital e realizado por uma equipe treinada de uma maneira e linguagem que o paciente ou seu representante possam entender.</t>
  </si>
  <si>
    <t>O hospital desenvolve uma política por escrito e implementa um processo de consentimento informado que inclui pelo menos o seguinte • Definir quais informações devem ser discutidas e documentadas como parte do processo de consentimento • Identificar situações em que um tomador de decisão substituto é necessário ou permitido e que, além do paciente, pode fornecer consentimento, de acordo com as leis e regulamentos • Estipular que a data e a hora devem ser documentadas como parte do processo de consentimento • Identificar e treinar a equipe que tem permissão para obter consentimento informado • Descrever o processo e os requisitos para obter o consentimento de emergência ou ignorar o processo de consentimento informado • Documentar os requisitos para obter o consentimento informado por telefone, se permitido (ver também ACC.02.01, EM 5; COP.09.06, EM 1; COP.10.01, EM 1; PCC.02.00, EM 2)</t>
  </si>
  <si>
    <t>A política do hospital identifica quais testes, procedimentos e tratamentos exigem consentimento, incluindo, em mínimo, o seguinte: • Cirurgia • Anestesia e sedação • Uso de sangue e hemoderivados • Outros procedimentos e tratamentos de alto risco identificados pelo hospital (ver também ASC.02.03, ME 1; COP.09.06, ME 1; COP.10.01, ME 1; IPSG.04.00, ME 1)</t>
  </si>
  <si>
    <t>O processo de consentimento informado e a educação relacionada são fornecidos de uma maneira e linguagem que o paciente ou tomador de decisão substituto entenda. (Veja também ACC.02.01, ME 4)</t>
  </si>
  <si>
    <t>O consentimento informado é obtido de maneira consistente com o processo descrito na política do hospital.</t>
  </si>
  <si>
    <t>Padrão PCC.04.00
O hospital oferece um programa de educação baseado nos cuidados, tratamentos e serviços que presta e atende às necessidades da população de pacientes que atende.</t>
  </si>
  <si>
    <t>O hospital planeja a educação com base nos cuidados, tratamentos e serviços prestados e nas necessidades de sua população de pacientes. (Veja também ASC.02.03, EM 2; ASC.03.01, EM 2; HCT.01.01, EM 4)</t>
  </si>
  <si>
    <t>O hospital tem um programa para educar pacientes em todo o hospital que inclui o seguinte: • Supervisão por um membro qualificado da equipe clínica • Acesso a recursos educacionais com base nos cuidados, tratamentos e serviços prestados e nas necessidades da população de pacientes</t>
  </si>
  <si>
    <t>A educação do paciente e da família é desenvolvida e ministrada de forma colaborativa por membros da equipe interdisciplinar.</t>
  </si>
  <si>
    <t>A equipe clínica que fornece a educação tem o conhecimento do assunto e as habilidades de comunicação para fazê-lo.</t>
  </si>
  <si>
    <t>Padrão PCC.04.01
As necessidades educacionais e a capacidade de aprendizado de cada paciente são avaliadas e documentadas em seu prontuário.</t>
  </si>
  <si>
    <t>Cada paciente e, quando apropriado, as necessidades e preferências educacionais da família são avaliadas e registradas no prontuário médico do paciente. Isso deve incluir, no mínimo, o seguinte: • A língua que o paciente prefere para a educação • O(s) formulário(s) que o paciente prefere para educação • Quem deve receber educação além do paciente (por exemplo, um cônjuge ou cuidador) • Qualquer barreira conhecida para aprendizado</t>
  </si>
  <si>
    <t>A educação fornecida para pacientes e familiares está documentado no prontuário do paciente. (Veja também ACC.04.01, EM 5)</t>
  </si>
  <si>
    <t>O hospital tem um processo para verificar se os pacientes e familiares confirmam o recebimento e a compreensão da educação oferecida. (Veja também ACC.04.01, EM 5)</t>
  </si>
  <si>
    <t>ASC</t>
  </si>
  <si>
    <t>Padrão ASC.01.00
O hospital oferece serviços de sedação e anestesia para atender às necessidades dos pacientes e de acordo com os padrões de prática profissional e leis e regulamentos.</t>
  </si>
  <si>
    <t>O hospital oferece serviços de sedação e anestesia que atendem às necessidades dos pacientes que o hospital atende.</t>
  </si>
  <si>
    <t>O hospital oferece serviços de sedação e anestesia que cumprem as leis e regulamentos.</t>
  </si>
  <si>
    <t>O hospital oferece serviços de sedação e anestesia que atendem aos padrões de prática profissional para atendimento.</t>
  </si>
  <si>
    <t>Um indivíduo qualificado assume a responsabilidade profissional pelos serviços de anestesia prestados, independentemente da localização no hospital. As responsabilidades incluem o seguinte: • Desenvolver, implementar e manter políticas e procedimentos • Fornecer supervisão administrativa • Manter todos os programas de melhoria de qualidade necessários • Monitorar e revisar todos os serviços de sedação e anestesia</t>
  </si>
  <si>
    <t>Este(s) indivíduo(s) qualificado(s) é(são) responsável(is) por gerenciar os serviços de sedação e anestesia, incluindo garantir o seguinte: • Os serviços de sedação e anestesia são uniformes em todo o hospital. • Os serviços de sedação e anestesia estão disponíveis o tempo todo para emergências. • As responsabilidades de monitorar e revisar todos os serviços de sedação e anestesia são definidas e realizadas.</t>
  </si>
  <si>
    <t>O hospital tem um processo para a seleção de serviços de anestesia contratados que inclui o seguinte: 
• Uma lista atualizada de serviços de anestesia por contrato deve ser usada para selecionar serviços de anestesia contratados e aprovados pelos líderes do hospital e pelo(s) indivíduo(s) profissionalmente qualificado(s) e responsável(is) pelos serviços de anestesia. 
• O serviço de anestesia contratado deve ter registros aceitáveis de desempenho e seguir as leis e regulamentos aplicáveis. 
• O hospital deve ter um registro de todo o treinamento e educação concluídos para cada contrato de equipe de anestesia, conforme exigido pelo hospital.
 • Existe um contrato atual em vigor quando os serviços de anestesia contratados são usados. (Veja também GLD.05.00, EM 3)</t>
  </si>
  <si>
    <t>Padrão ASC.02.00
A administração de sedação é padronizada em todo o hospital.</t>
  </si>
  <si>
    <t>O hospital estabeleceu uma política escrita e processos padronizados para sedação em todo o hospital.</t>
  </si>
  <si>
    <t xml:space="preserve">Conforme </t>
  </si>
  <si>
    <t>A política e a prática para sedação são compreendidas por todos os profissionais autorizados a administrar sedação e as políticas abordam pelo menos o seguinte:
 • Áreas do hospital onde pode ocorrer sedação • Qualificações ou competências especiais do pessoal envolvido no processo de sedação • Diferenças entre populações pediátricas, adultas e geriátricas ou outras considerações especiais • Medicamentos usados em conjunto com certas populações • Disponibilidade imediata e uso de equipamento médico especializado, conforme apropriado para o paciente • Processo de consentimento informado para o procedimento e o uso de sedação • Um indivíduo com treinamento avançado de suporte de vida está imediatamente disponível para pacientes sob cuidados para sedação ou anestesia (Veja também SQE.01.08, EM 2)</t>
  </si>
  <si>
    <t>Padrão ASC.02.01
Os profissionais responsáveis pela sedação e a equipe responsável pelo monitoramento dos pacientes que recebem sedação são qualificados.</t>
  </si>
  <si>
    <t>Os profissionais de saúde responsáveis por fornecer sedação demostram evidências de competência em pelo menos o seguinte: 
• Técnicas e vários modos de sedação 
• Farmacologia de drogas sedativas e o uso de agentes reversores
 • Requisitos de monitoramento
 • Resposta a complicações 
• Avaliação das vias aéreas (ver também SQE.01.03, EM 1)</t>
  </si>
  <si>
    <t>O indivíduo responsável pelo monitoramento do paciente durante a sedação do procedimento é competente em pelo menos o seguinte: 
• Monitorização dos requisitos desde a fase de administração ativa durante o procedimento até a fase de recuperação após o procedimento
 • Resposta a complicações
 • Uso de agentes de reversão 
• Critérios de recuperação
 • Avaliação das vias aéreas (ver também SQE.01.03, EM 1)</t>
  </si>
  <si>
    <t>As competências sobre sedação para todos os profissionais envolvidos na sedação estão documentados nos registros de pessoal.</t>
  </si>
  <si>
    <t>Padrão ASC.02.02
A sedação é administrada e monitorada de acordo com as diretrizes da prática profissional e documentada no prontuário do paciente.</t>
  </si>
  <si>
    <t>É realizada uma avaliação de pré-sedação que inclui pelo menos os seguintes critérios ao avaliar o risco e a adequação da sedação para o paciente:
 • Identificar problemas nas vias aéreas que podem influenciar o tipo de sedação utilizada. 
• Avaliar os pacientes em risco quanto à adequação da sedação. 
• Selecionar e planejar o tipo e o nível de sedação necessários com base na avaliação do paciente, riscos identificados e tipo de procedimento que está sendo realizado. 
• Administrar sedação com segurança com base no plano. • Interpretar os resultados do monitoramento do paciente durante a sedação e a recuperação do procedimento.</t>
  </si>
  <si>
    <t>Um indivíduo qualificado monitora o paciente durante o período de sedação e documenta o monitoramento no prontuário.</t>
  </si>
  <si>
    <t>Os critérios estabelecidos são usados e documentados para a recuperação e alta da sedação do procedimento quando um paciente recebe alta por um indivíduo autorizado que não seja um anestesiologista totalmente qualificado.</t>
  </si>
  <si>
    <t>A avaliação pré-sedação é realizada por um indivíduo qualificado para fazê-lo e documentado no prontuário do paciente.</t>
  </si>
  <si>
    <t>Os seguintes critérios são a base nas diretrizes de prática profissional e definidas na política do hospital: 
• Escopo e conteúdo da avaliação da pré-sedação
• Critérios para a recuperação e alta da sedação, incluindo critérios de monitorização</t>
  </si>
  <si>
    <t>O paciente, a família e/ou os tomadores de decisão são instruídos sobre os riscos, benefícios e alternativas da sedação. (Ver também PCC.03.00, EM 2)</t>
  </si>
  <si>
    <t>O paciente, a família e/ou os tomadores de decisão são instruídos sobre a recuperação da sedação pós_x0002_procedimento e o controle da dor. (Ver também PCC.04.00, EM 1)</t>
  </si>
  <si>
    <t>Um indivíduo qualificado fornece e documenta a educação.</t>
  </si>
  <si>
    <t>Padrão ASC.03.00
Um indivíduo qualificado realiza uma avaliação pré-anestésica e uma avaliação pré-indução.</t>
  </si>
  <si>
    <t>A avaliação pré-anestésica é realizada e inclui pelo menos os seguintes elementos ao avaliar o risco e a adequação da anestesia para o paciente: • Identificar problemas nas vias aéreas que podem influenciar o tipo de anestesia utilizada. • Avaliar os pacientes em risco quanto à adequação da anestesia. • Selecionar a anestesia e planejar os cuidados anestésicos. • Administrar um anestésico com segurança com base na avaliação do paciente, riscos identificados e tipo de procedimento • Interpretar os resultados do monitoramento do paciente durante a anestesia e a recuperação.</t>
  </si>
  <si>
    <t>Uma avaliação pré-indução separada é realizada para reavaliar os pacientes imediatamente antes da indução da anestesia.</t>
  </si>
  <si>
    <t>A avaliação pré-anestésica e a avaliação pré-indução são realizadas por um (s) indivíduo (s) qualificado (s) para fazê-lo e documentado no prontuário médico do paciente.</t>
  </si>
  <si>
    <t>O escopo e conteúdo da avaliação pré-anestésica e a avaliação pré-indução são baseadas na nas diretrizes profissionais e definidas na política hospitalar.</t>
  </si>
  <si>
    <t>ASC.03.01-Padrão ASC.03.01
O plano de cuidados anestésicos de cada paciente é discutido com o paciente e/ou com aqueles que tomam decisões pelo paciente e documentado no prontuário médico do paciente.</t>
  </si>
  <si>
    <t>Um indivíduo qualificado planeja e documenta os cuidados anestésicos no prontuário do paciente.</t>
  </si>
  <si>
    <t>O paciente, a família e/ou os tomadores de decisão são instruídos sobre os riscos, benefícios e alternativas da anestesia. (Ver também PCC.04.00, EM 1)</t>
  </si>
  <si>
    <t>Quando aplicável, o paciente, a família e/ou os tomadores de decisão são instruídos, antes da realização do procedimento, sobre as opções disponíveis para o tratamento da dor pós-operatória; Essa educação está documentada.</t>
  </si>
  <si>
    <t>O agente anestésico, a dose (quando aplicável) e a técnica anestésica estão documentados no registro de anestesia do paciente.</t>
  </si>
  <si>
    <t>O anestesiologista, ou outro indivíduo qualificado autorizado a administrar anestesia e os assistentes de anestesia são identificados no registro de anestesia do paciente.</t>
  </si>
  <si>
    <t>O cuidado de anestesia é administrado e monitorado de acordo com as diretrizes da prática profissional como definido na política do hospital</t>
  </si>
  <si>
    <t>Padrão ASC.03.02
O estado fisiológico de cada paciente durante a anestesia e a cirurgia é monitorado de acordo com as diretrizes da prática profissional e documentado no prontuário do paciente.</t>
  </si>
  <si>
    <t>A frequência e o tipo de monitoramento durante a anestesia e a cirurgia são baseados no estado pré_x0002_anestésico do paciente, na anestesia utilizada e no procedimento cirúrgico realizado.</t>
  </si>
  <si>
    <t>O monitoramento do estado fisiológico do paciente é consistente com as diretrizes da prática profissional</t>
  </si>
  <si>
    <t>Os resultados do monitoramento são documentados no prontuário do paciente. (Veja também COP.01.00, EM 5)</t>
  </si>
  <si>
    <t>Padrão ASC.03.03
O estado pós-anestésico de cada paciente é monitorado e o paciente recebe alta da área de recuperação por um indivíduo qualificado ou usando critérios estabelecidos.</t>
  </si>
  <si>
    <t>Pacientes são monitorados durante o período de recuperação pós-anestésica de acordo com as diretrizes da prática profissional e conforme definido na política do hospital.</t>
  </si>
  <si>
    <t>Os resultados do monitoramento são documentados no prontuário do paciente</t>
  </si>
  <si>
    <t>Os pacientes recebem alta da unidade pós-anestésica ou o monitoramento da recuperação é interrompido de acordo com uma das seguintes alternativas: • O paciente recebe alta ou o monitoramento da recuperação é interrompido por um anestesiologista totalmente qualificado ou outro indivíduo autorizado pelo(s) indivíduo(s) responsável(is) pelo gerenciamento dos serviços de anestesia. • O paciente recebe alta ou o monitoramento da recuperação é interrompido por um enfermeiro ou indivíduo qualificado de acordo com os critérios pós-anestésicos desenvolvidos pelos líderes do hospital e o prontuário do paciente contém evidências de que os critérios são atendidos. • O paciente recebe alta para uma unidade capaz de fornecer cuidados pós-anestésicos ou pós-sedação para pacientes selecionados, como uma unidade de terapia intensiva cardiovascular ou unidade de terapia intensiva neurocirúrgica, entre outros.</t>
  </si>
  <si>
    <t>Os seguintes tempos de recuperação da anestesia são registrados no prontuário médico do paciente: 
• Início da recuperação
• Quando a fase de recuperação está concluída</t>
  </si>
  <si>
    <t>Padrão ASC.04.00
Os Cuidados cirúrgicos de cada paciente são planejados com base nos resultados da avaliação pré-operatória e documentados no prontuário do paciente</t>
  </si>
  <si>
    <t>Uma avaliação pré-operatória é realizada e documentada por um profissional qualificado antes da cirurgia.</t>
  </si>
  <si>
    <r>
      <rPr>
        <sz val="11"/>
        <color rgb="FF000000"/>
        <rFont val="Calibri"/>
        <scheme val="minor"/>
      </rPr>
      <t xml:space="preserve">A avaliação pré-operatória inclui o seguinte: • Exame físico e resultados de exames • Necessidades médicas • Necessidades psicológicas • Necessidades sociais • Necessidades econômicas • </t>
    </r>
    <r>
      <rPr>
        <sz val="11"/>
        <color rgb="FFFF0000"/>
        <rFont val="Calibri"/>
        <scheme val="minor"/>
      </rPr>
      <t>Necessidades de alta</t>
    </r>
  </si>
  <si>
    <t>O atendimento cirúrgico para cada paciente é planejado com base nas informações da avaliação pré_x0002_operatória</t>
  </si>
  <si>
    <t>Um diagnóstico pré-operatório e o procedimento cirúrgico planejado são documentados no prontuário do paciente antes do procedimento.</t>
  </si>
  <si>
    <t>Padrão ASC.4.01
Os riscos, benefícios e alternativas são discutidos com o paciente e sua família ou com aqueles que tomam decisões pelo paciente.</t>
  </si>
  <si>
    <t>A família do paciente e/ou os tomadores de decisão são instruídos sobre os seguintes elementos relacionados ao procedimento cirúrgico planejado: • Nome do exame, procedimento ou tratamento coberto pelo consentimento informado • Nome do(s) profissional(is) responsável(is) que realiza(m) o(s) procedimento(s) • Riscos e benefícios do procedimento planejado • A probabilidade de sucesso, possíveis complicações, o processo de recuperação e possíveis resultados do não tratamento • Opções e/ou alternativas cirúrgicas e não cirúrgicas disponíveis para tratar o paciente • A necessidade, os riscos e os benefícios e as alternativas ao uso de sangue e hemoderivados</t>
  </si>
  <si>
    <t>O cirurgião do paciente ou outro indivíduo qualificado, conforme definido pela política do hospital, fornece e documenta a educação.</t>
  </si>
  <si>
    <t>Padrão ASC.04.02
As informações sobre o procedimento cirúrgico são documentadas no prontuário do paciente para facilitar a continuidade dos cuidados</t>
  </si>
  <si>
    <t>Relatórios cirúrgicos, modelos ou notas de progresso operatório incluem pelo menos os seguintes elementos: • Diagnóstico pré-operatório e procedimento planejado • Diagnóstico pós-operatório • Nome do cirurgião operatório e assistentes • Procedimentos realizados e descrição dos resultados de cada procedimentoComplicações perioperatórias
• Tubos e/ou drenos colocados no intraoperatório
• Amostras cirúrgicas enviados para exame
• Quantidade de perda de sangue e quantidade de sangue transfundido
• Data, horário e assinatura do médico responsável</t>
  </si>
  <si>
    <t>O hospital identifica informações que podem ser rotineiramente registradas em outras áreas específicas do prontuário.</t>
  </si>
  <si>
    <t>O relatório cirúrgico, modelo ou nota de progresso operatório está disponível imediatamente após a cirurgia, antes que o paciente seja transferido para o próximo nível de atendimento.</t>
  </si>
  <si>
    <t>Padrão ASC.04.03
O atendimento ao paciente após a cirurgia é planejado e documentado.</t>
  </si>
  <si>
    <t>Todos os cuidados, tratamentos e serviços pós-cirúrgicos atendem às necessidades pós-cirúrgicas imediatas do paciente.</t>
  </si>
  <si>
    <t>O(s) plano(s) pós-cirúrgico(s) contínuo(s) é(são) documentado(s) no prontuário do paciente dentro de 24 horas pelo cirurgião responsável ou verificado por uma outra assinatura do cirurgião responsável, no plano documentado inserido pelo assistente do cirurgião.</t>
  </si>
  <si>
    <t>O plano contínuo de cuidados pós-cirúrgicos inclui cuidados, tratamento e serviços com base nas necessidades avaliadas do paciente.</t>
  </si>
  <si>
    <t>Quando indicado por uma mudança nas necessidades do paciente, o plano de cuidados pós-cirúrgicos é atualizado ou revisado com base na reavaliação do paciente pelos profissionais de saúde. (Veja também COP.01.01, EM 3)</t>
  </si>
  <si>
    <t>Padrão ASC.04.04
Os cuidados cirúrgicos que incluem a implantação de um dispositivo médico são planejados com consideração especial sobre como os processos padrão devem ser modificados.</t>
  </si>
  <si>
    <t>Os serviços cirúrgicos do hospital identificam os tipos de dispositivos médicos implantáveis que estão incluídos em seu escopo de serviços.</t>
  </si>
  <si>
    <t>Políticas escritas e as práticas incluem, pelo menos, o seguinte: • Seleção de dispositivos com base na ciência e pesquisa atuais • Verificação da presença de implantes na sala de cirurgia • Verificação das qualificações e formação de qualquer pessoal técnico externo necessário durante o procedimento de implante (por exemplo, o representante do fabricante que pode ser obrigado a calibrar o dispositivo) • Processo de notificação de eventos adversos relacionados a dispositivos implantáveis • Notificação de mau funcionamento de dispositivos implantáveis às agências reguladoras • Considerações exclusivas de prevenção e controle de infecções • Quaisquer instruções especiais de alta para o paciente</t>
  </si>
  <si>
    <t>O paciente recebe informações sobre o dispositivo implantável que incluem, pelo menos, o seguinte: • Informações de identificação no dispositivo, incluindo o identificador exclusivo do dispositivo • Como o rastreamento de longo prazo do dispositivo será suportado • Processo de notificação em caso de problema com o dispositivo • Educação sobre como o compartilhamento de informações do dispositivo apoia os cuidados de saúde de longo prazo dos pacientes, vigilância de segurança e pesquisas futuras</t>
  </si>
  <si>
    <t>O hospital possui um processo de rastreamento de dispositivos médicos implantáveis.</t>
  </si>
  <si>
    <t>O hospital implementa um processo para entrar em contato e acompanhar os pacientes em um período de tempo definido após receber a notificação de um recall de um dispositivo médico implantável.</t>
  </si>
  <si>
    <t>ACC</t>
  </si>
  <si>
    <t>Padrão ACC.01.00-Os pacientes internados no hospital ou que procuram serviços ambulatoriais são triados para identificar se suas necessidades de cuidados de saúde correspondem à missão, escopo de cuidados e recursos do hospital.</t>
  </si>
  <si>
    <t>Os resultados da triagem determinam se os pacientes são aceitos ou admitidos no hospital, dependendo das necessidades do paciente que correspondem à missão, ao escopo do cuidado e aos recursos disponíveis do hospital.</t>
  </si>
  <si>
    <t>Pacientes fora da missão do hospital, escopo de cuidados ou recursos disponíveis são avaliados e estabilizados dentro da capacidade do hospital antes da transferência.</t>
  </si>
  <si>
    <t>O hospital transfere, encaminha ou auxilia o paciente ou família na identificação e/ou obtenção de fontes apropriadas de cuidados se suas necessidades não corresponderem à missão, escopo de cuidados ou recursos disponíveis do hospital.</t>
  </si>
  <si>
    <t>Os pacientes são admitidos no serviço ou unidade que atende às suas necessidades mais urgentes.</t>
  </si>
  <si>
    <t>As avaliações e tratamentos realizados antes da transferência estão documentados em um registo mantido pelo hospital que transfere. (Ver também ACC.03.00, EM 4)</t>
  </si>
  <si>
    <t>Existe um processo para fornecer os resultados dos exames diagnósticos aos responsáveis por determinar se o paciente deve ser internado, transferido ou encaminhado.</t>
  </si>
  <si>
    <r>
      <t>Padrão ACC.01.01</t>
    </r>
    <r>
      <rPr>
        <sz val="11"/>
        <color rgb="FF000000"/>
        <rFont val="Aptos Narrow"/>
        <family val="2"/>
      </rPr>
      <t>-Pacientes com necessidades emergentes, urgentes ou imediatas são priorizados para avaliação e tratamento.</t>
    </r>
  </si>
  <si>
    <t>O hospital seleciona e utiliza um processo de triagem baseado em evidências, adequado à sua população de pacientes, para identificar e priorizar pacientes com necessidades emergentes, urgentes e imediatas.</t>
  </si>
  <si>
    <t>O hospital identificou quais exames específicos ou exames de diagnóstico devem ser concluídos antes de admitir ou registrar pacientes.</t>
  </si>
  <si>
    <t>O processo de triagem inclui o reconhecimento precoce de doenças transmissíveis.</t>
  </si>
  <si>
    <t>A equipe é treinada para usar o processo de triagem, incluindo o reconhecimento precoce de doenças transmissíveis.</t>
  </si>
  <si>
    <t>Existe um processo de observação dos pacientes quando clinicamente indicado.</t>
  </si>
  <si>
    <t>Padrão- ACC.01.02- hospital considera as necessidades clínicas dos pacientes e informa quando há atrasos incomuns para os serviços de diagnóstico e/ou tratamento.</t>
  </si>
  <si>
    <t>Pacientes são informados quando haverá atraso no atendimento e/ou tratamento.</t>
  </si>
  <si>
    <t>Os pacientes são informados dos motivos do atraso e recebem informações sobre as alternativas disponíveis de acordo com suas necessidades clínicas.</t>
  </si>
  <si>
    <t>As informações sobre atrasos incomuns e razões para o atraso estão documentadas no prontuário do paciente.</t>
  </si>
  <si>
    <t>Padrão ACC.02.00
O hospital tem um processo de gerenciamento do fluxo de pacientes em todo o hospital que inclui a admissão e o registro de pacientes, conforme aplicável ao ambiente de atendimento ao paciente.</t>
  </si>
  <si>
    <t>O hospital implementa um processo de fluxo de pacientes, incluindo o seguinte:
• Disponibilidade de leitos apropriados
 • Equipe devidamente treinada
 • Movimentação e progressão esperadas nas áreas de cuidado
 • Disponibilidade de serviços não clínicos</t>
  </si>
  <si>
    <t>O hospital tem um processo de admissão de pacientes, independentemente de sua origem de chegada, incluindo um processo de registro para pacientes que não necessitam de internação.</t>
  </si>
  <si>
    <t>O hospital planeja e dispõe sobre o atendimento de pacientes que estão internados no pronto socorro e em outras áreas de admissão temporária, incluindo o seguinte:
• Alocação de espaço, utilitários, equipamentos, equipamentos médicos e suprimentos
• Planos de pessoal
• Disponibilidade de recursos clínicos
 • Disponibilidade de recursos não clínicos
• Prestação de cuidados oportunos e equivalentes para satisfazer as necessidades dos pacientes
• Um limite de tempo para a admissão de pacientes no departamento de emergência e outras áreas de admissão temporária e um processo para gerenciar pacientes quando os períodos de admissão temporário excedem esse limite de tempo</t>
  </si>
  <si>
    <t>Os processos de fluxo de pacientes são revisados quanto à efetividade e as melhorias de processo são identificadas e implementadas.</t>
  </si>
  <si>
    <t>Padrão ACC.02.01
No momento da admissão, o paciente e a família recebem educação e orientação para a área de cuidado do paciente, informações sobre os cuidados propostos e eventuais custos esperados para o cuidado e os resultados esperados do cuidado.</t>
  </si>
  <si>
    <t>O paciente e a família recebem educação e orientação para a área de cuidado ao paciente.</t>
  </si>
  <si>
    <t>O paciente e a família recebem informações sobre os cuidados, tratamento e serviços propostos, incluindo os resultados esperados.</t>
  </si>
  <si>
    <t>O paciente e a família recebem informações sobre os custos esperados relacionados aos cuidados, tratamentos e serviços propostos</t>
  </si>
  <si>
    <t>Pacientes e familiares são informados quanto ao escopo de um consentimento geral, se usado pelo hospital. (Veja também PCC.03.00, EM 3)</t>
  </si>
  <si>
    <t>O hospital define, por escrito, como um consentimento geral é documentado no prontuário do paciente, se usado pelo hospital. (Ver também PCC.03.00, EM 1)</t>
  </si>
  <si>
    <t>Todos os pacientes recebem informações sobre a probabilidade de alunos e estagiários participarem de processos assistenciais.</t>
  </si>
  <si>
    <t>Padrão ACC.02.02
O hospital estabelece critérios para admissão e alta de unidades ou departamentos que prestam serviços especializados.</t>
  </si>
  <si>
    <t>O hospital estabeleceu critérios de admissão por escrito, baseados em parâmetros de priorização, diagnóstico e/ou objetivos, para unidades ou departamentos especializados.</t>
  </si>
  <si>
    <t>O hospital estabeleceu critérios escritos de alta e/ou transferência de unidades especializadas ou departamentos para um nível diferente de atenção</t>
  </si>
  <si>
    <t>Os prontuários dos pacientes que são admitidos em unidades ou departamentos especializados contêm evidências de que preenchem os critérios para atendimento, tratamento e serviços. (Ver também GLD.06.00, EM 3)</t>
  </si>
  <si>
    <t>Os prontuários dos pacientes que são transferidos ou dispensados de unidades ou departamentos especializados contêm evidências de que atendem aos critérios para alta. (Ver também ACC.03.00, EM 1; ACC.05.00, EM 1; GLD.06.00, EM 4)</t>
  </si>
  <si>
    <t>Padrão ACC.03.00
O hospital oferece serviços de assistência contínua ao paciente e coordenação entre os prestadores de cuidados de saúde.</t>
  </si>
  <si>
    <t>Os líderes do hospital implementam processos que apoiam a continuidade e a coordenação do cuidado em todos as áreas de cuidado. (Ver também ACC.02.02, EM 4; ACC.05.00, EM 1; GLD.06.00, EM 4)</t>
  </si>
  <si>
    <t>O prontuário do paciente está disponível aos profissionais que estão autorizados a ter acesso e precisam dele para o cuidado do paciente. (Ver também MOI.01.01, EM 4)</t>
  </si>
  <si>
    <t>O prontuário do paciente está atualizado com as últimas informações sobre o paciente.</t>
  </si>
  <si>
    <t>O prontuário do paciente ou um resumo das informações de atendimento ao paciente é transferido com o paciente para outro serviço ou unidade no hospital. (Ver também ACC.01.00, EM 5)</t>
  </si>
  <si>
    <t>O sumário de transferência escrito no prontuário do paciente contém, no mínimo, o seguinte: • O motivo da admissão • Achados significativos e resultados de exames • Diagnóstico • Procedimentos realizados • Medicamentos administrados durante a internação, incluindo última vez de administração e medicamentos atuais (Ver também MMU.04.02, EM 2) • Outros tratamentos • Condição do paciente no momento da transferência</t>
  </si>
  <si>
    <t>A coordenação e a continuidade de cuidado são apoiadas por meio de várias ferramentas, como planos de cuidados, diretrizes ou protocolos.</t>
  </si>
  <si>
    <t>Padrão ACC.03.01
Há um indivíduo qualificado responsável pelo cuidado do paciente.</t>
  </si>
  <si>
    <t>Um indivíduo qualificado responsável pela coordenação do cuidado do paciente está disponível em todas as fases do atendimento hospitalar e é identificado no prontuário do paciente.</t>
  </si>
  <si>
    <t>Existe um processo para transferir a responsabilidade pela coordenação do cuidado.</t>
  </si>
  <si>
    <t>O processo identifica como a responsabilidade transferida é assumida e a participação ou cobertura é documentada.</t>
  </si>
  <si>
    <t>Padrão ACC.04.00- O hospital desenvolve e implementa um processo de planejamento de alta e encaminhamento baseado na prontidão do paciente para alta.</t>
  </si>
  <si>
    <t>A alta e/ou encaminhamento do paciente é consistente com critérios, indicações ou diretrizes relevantes.</t>
  </si>
  <si>
    <t>O processo de planejamento da alta começa com a avaliação inicial e inclui cuidados, tratamento, equipamentos e serviços que atendam às necessidades contínuas do paciente.</t>
  </si>
  <si>
    <t>Os pacientes não encaminhados diretamente ou transferidos recebem o nome e a localização de um(s) local(is) para cuidados continuados.</t>
  </si>
  <si>
    <t>Os pacientes não encaminhados diretamente ou transferidos recebem instruções, por escrito, sobre quando retornar ao hospital para cuidados continuados, tratamento e serviço, e quando e como obter atendimento de urgência.</t>
  </si>
  <si>
    <t>Os pacientes, a família, conforme apropriado e a equipe envolvida no cuidado do paciente participam do processo de planejamento da alta.</t>
  </si>
  <si>
    <t>O planejamento e as instruções de alta são documentados no prontuário do paciente e fornecidos ao paciente por escrito.</t>
  </si>
  <si>
    <t>Padrão ACC.04.01
O processo de alta hospitalar inclui a educação do paciente e da família relacionada à necessidade contínua do paciente de cuidados continuados, tratamento e serviços</t>
  </si>
  <si>
    <t>Pacientes e as famílias recebem uma lista completa por escrito de medicamentos a serem tomados em casa e são educados sobre seu uso seguro, incluindo o seguinte:
• Efeitos colaterais potenciais
• Potenciais interações entre medicamentos
• Potenciais interações entre medicamentos e alimentos</t>
  </si>
  <si>
    <t>Pacientes e as famílias são educadas sobre alimentação e nutrição adequadas.</t>
  </si>
  <si>
    <t>Pacientes e familiares são orientados sobre o manejo da dor. (Ver também COP.07.00, EM 3)</t>
  </si>
  <si>
    <t>Pacientes e familiares são educados sobre o uso seguro e eficaz de equipamentos médicos e atividades e serviços de reabilitação.</t>
  </si>
  <si>
    <t>A educação do paciente e da família está documentada no prontuário do paciente e inclui o seguinte:
 • Que informação e educação foram fornecidas
• Como a informação e a educação foram entregues (por exemplo, por escrito, verbalmente, por demonstração)*
• Confirmação de que o paciente e/ou família compreendeu as informações e orientações fornecidas (Ver também PCC.04.01, EMs 2 e 3)</t>
  </si>
  <si>
    <t>Padrão ACC.04.02
O resumo completo da alta é preparado para todos os pacientes e está incluído no prontuário do paciente.</t>
  </si>
  <si>
    <t>Um resumo de alta é preparado por um indivíduo qualificado.</t>
  </si>
  <si>
    <t>O resumo da alta contém, pelo menos, o seguinte:
 • Motivo da admissão, diagnósticos e comorbidades
• Achados físicos significativos e outros
• Procedimentos diagnósticos e terapêuticos realizados
• Medicamentos no momento da alta, incluindo data/hora da última dose administrada durante a hospitalização
• Todos os medicamentos a serem tomados em casa
• Equipamento terapêutico no momento da alta
• A condição do paciente no momento da alta
• Instruções de acompanhamento</t>
  </si>
  <si>
    <t>Uma cópia do resumo de alta é fornecida ao profissional de saúde responsável pelos cuidados continuados ou de acompanhamento do paciente.</t>
  </si>
  <si>
    <t>O paciente ou cuidador recebe uma cópia do resumo de alta.</t>
  </si>
  <si>
    <t>Uma cópia do resumo de alta preenchido é incluída no prontuário do paciente no momento da alta.</t>
  </si>
  <si>
    <t>Padrão ACC.04.03
O atendimento de emergência está documentado.</t>
  </si>
  <si>
    <t>Os prontuários de todos os pacientes de emergência incluem horários de chegada e partida.</t>
  </si>
  <si>
    <t>Os prontuários dos pacientes que receberam alta do pronto socorro incluem conclusões após o término do tratamento.</t>
  </si>
  <si>
    <t>Os prontuários dos pacientes que receberam alta do pronto socorro incluem a condição do paciente na alta hospitalar</t>
  </si>
  <si>
    <t>Os prontuários dos pacientes que recebem alta do pronto socorro incluem quaisquer instruções de cuidados de acompanhamento</t>
  </si>
  <si>
    <t>Padrão ACC.04.04
Os prontuários contêm perfis de pacientes.</t>
  </si>
  <si>
    <t>Todos os prontuários de pacientes contêm um perfil de paciente ou visão geral semelhante.</t>
  </si>
  <si>
    <t>O hospital identifica as informações necessárias a serem incluídas nos perfis.</t>
  </si>
  <si>
    <t>O perfil do paciente é de fácil acesso e revisão e consistente dentro das áreas de cuidado</t>
  </si>
  <si>
    <t>O processo é avaliado para garantir que a implementação seja consistente com a política e forneça aos médicos uma visão geral e precisa do paciente</t>
  </si>
  <si>
    <t>Padrão ACC.04.05
O hospital tem um processo para o manejo de pacientes que saem contra orientação médica.</t>
  </si>
  <si>
    <t>Existe um processo escrito para gerenciar pacientes que saem contra orientação médica; Esse processo inclui o seguinte:
• Pacientes internados que saem informando e sem informar a equipe do hospital
• Pacientes que fugiram
• Pacientes recebendo tratamento complexo que não completam ou não retornam para tratamento ("no shows")
• Requisitos de documentação</t>
  </si>
  <si>
    <t>Existe um processo para informar o paciente sobre os riscos médicos de um tratamento inadequado.</t>
  </si>
  <si>
    <t>O paciente recebe alta de acordo com o processo de alta hospitalar.</t>
  </si>
  <si>
    <t>Há um processo para notificar o provedor de cuidados primários do paciente se um paciente sair contra a orientação médica.</t>
  </si>
  <si>
    <t>O processo é consistente com as leis e regulamentos aplicáveis, incluindo requisitos para relatar casos de doenças infecciosas e quando os pacientes podem ser uma ameaça para si mesmos ou para outros</t>
  </si>
  <si>
    <t>Quando consistente com as leis e regulamentos regionais, o hospital desenvolve um processo para permitir que os pacientes deixem o hospital durante o curso planejado do tratamento por um período de tempo definido.</t>
  </si>
  <si>
    <t>Padrão ACC.05.00
O hospital tem um processo de transferência de pacientes para outras organizações de saúde com base no status do paciente e na capacidade do hospital de atender a essas necessidades.</t>
  </si>
  <si>
    <t>O hospital desenvolve um processo de transferência por escrito baseado nas necessidades de cuidados continuados dos pacientes e garante que a organização receptora atenda às necessidades do paciente a ser transferido. (Ver também ACC.02.02, EM 4; ACC.03.00, EM1; GLD.06.00, EM 4)</t>
  </si>
  <si>
    <t>O processo de transferência aborda como e quando a responsabilidade pelo cuidado continuado é transferida para outro provedor.</t>
  </si>
  <si>
    <t>O processo de transferência identifica quem é responsável por monitorar o paciente durante a transferência e as qualificações da equipe necessárias para o tipo de paciente que está sendo transferido.</t>
  </si>
  <si>
    <t>O processo de transferência identifica os medicamentos, insumos e equipamentos médicos necessários durante o transporte.</t>
  </si>
  <si>
    <t>O processo de transferência aborda um mecanismo de acompanhamento que fornece informações sobre a condição do paciente na chegada à organização receptora.</t>
  </si>
  <si>
    <t>O processo de transferência aborda as situações em que a transferência não é possível.</t>
  </si>
  <si>
    <t>Padrão ACC.05.01
A organização receptora recebe um resumo por escrito da condição clínica do paciente e das intervenções fornecidas pelo hospital e o processo é documentado no prontuário do paciente.</t>
  </si>
  <si>
    <t>O resumo clínico escrito é transferido com o paciente e inclui pelo menos o seguinte:
• Condição ou estado do paciente
• Procedimentos e outras intervenções fornecidas
• Necessidades contínuas do paciente e o motivo da transferência</t>
  </si>
  <si>
    <t>A documentação de transferência inclui pelo menos o seguinte:
• Nome do prestador de serviços e nome da pessoa que aceita receber o paciente
• Motivo(s) da transferência
• Mudanças na condição ou estado do paciente
• Outras documentações exigidas pela política do hospital</t>
  </si>
  <si>
    <t>Padrão ACC.06.00
Os serviços de transporte do hospital estão em conformidade com as leis e regulamentos relevantes e atendem aos requisitos para um transporte seguro e de alta qualidade.</t>
  </si>
  <si>
    <t>O processo para alta ou transferência de pacientes inclui uma avaliação das necessidades de transporte de pacientes.</t>
  </si>
  <si>
    <t>Os serviços de transporte, incluindo os contratados e os veículos de transporte de propriedade do hospital atendem às leis e regulamentos pertinentes e aos requisitos do hospital para um transporte seguro e de alta qualidade.</t>
  </si>
  <si>
    <t>Todos os veículos utilizados para transporte, contratados ou de propriedade do hospital cumprem o programa de prevenção e controle de infecção do hospital.</t>
  </si>
  <si>
    <t>Todos os veículos utilizados para transporte, contratados ou de propriedade do hospital possuem equipamentos médicos, insumos e medicamentos adequados para atender às necessidades do paciente transportado.</t>
  </si>
  <si>
    <t>O transporte fornecido ou organizado é adequado às necessidades e condições do paciente.</t>
  </si>
  <si>
    <t>Existe um processo para monitorar a qualidade e a segurança do transporte fornecido ou organizado pelo hospital, incluindo um processo de reclamação.</t>
  </si>
  <si>
    <t>COP</t>
  </si>
  <si>
    <t>Padrão COP.01.00
Existe um processo uniforme para prescrever e concluir solicitações de tratamento</t>
  </si>
  <si>
    <t>O hospital implementa um processo uniforme escrito para prescrever solicitações de pacientes que inclui o seguinte:
 • Informações exigidas na solicitação
• Identificação de solicitações que podem ser recebidos verbalmente, por telefone e por mensagem de texto (Veja também MMU.04.01, EM 6)
• Quem está qualificado e autorizado a prescrever solicitações de pacientes (ver também MMU.04.00, EM 1)
 • Como e onde as solicitações são documentadas uniformemente nos prontuários dos pacientes
• Quais profissionais estão autorizados a receber e gravar solicitações verbais, telefônicos e de texto, de acordo com as leis e regulamentos
 • Prazo em que as solicitações s verbais, telefônicas e de texto devem ser assinadas pelo prescritor</t>
  </si>
  <si>
    <t>As solicitações de exames de diagnóstico por imagem e laboratório clínico incluem uma indicação/justificativa clínica quando necessário para interpretação.</t>
  </si>
  <si>
    <t>Ordens verbais completas, incluindo ordens por telefone, são documentadas e lidas pelo destinatário e confirmadas pelo indivíduo que dá a ordem.</t>
  </si>
  <si>
    <t>Os procedimentos e tratamentos são realizados conforme solicitado e são documentados no prontuário do paciente.</t>
  </si>
  <si>
    <t>Os resultados dos procedimentos e tratamentos realizados são documentados no prontuário do paciente. (Veja também ASC.03.02, EM 3)</t>
  </si>
  <si>
    <t>Os resultados dos exames relatados verbalmente são documentados e lidos pelo receptor e confirmados pelo indivíduo que fornece o resultado do exame.</t>
  </si>
  <si>
    <t>Padrão COP.01.01
Um plano individualizado de cuidados é desenvolvido e documentado para cada paciente.</t>
  </si>
  <si>
    <t>O cuidado a cada paciente é planejado pelo médico responsável, enfermeiro e outros membros da equipe de saúde dentro de 24 horas após a admissão como paciente internado.</t>
  </si>
  <si>
    <t>O plano de cuidados é individualizado com base nos dados de avaliação inicial do paciente e nas necessidades identificadas e é documentado no prontuário do paciente.</t>
  </si>
  <si>
    <t>O plano de cuidados é atualizado ou revisado com base em quaisquer alterações na condição do paciente e é documentado no prontuário do paciente. (Veja também AOP.01.05, EM 1; ASC.04.03, EM 4)</t>
  </si>
  <si>
    <t>Os resultados ou as conclusões de quaisquer reuniões da equipe de cuidado ao paciente ou outras discussões colaborativas são documentadas no prontuário do paciente.</t>
  </si>
  <si>
    <t>Padrão COP.01.02
A prestação de serviços de alto risco é orientada por diretrizes, leis e regulamentos de prática profissional.</t>
  </si>
  <si>
    <t>Líderes do hospital identificam, por escrito, os serviços de alto risco, incluindo, pelo menos, os seguintes, quando prestados pelo hospital:
• Serviços de emergência
• Suporte de vida, incluindo ventiladores e oxigenação por membrana extracorpórea (ECMO)
 • Serviços de doenças infecciosas
• Diálise
• Contenções
 • Quimioterapia
• Serviços de cuidados crítico</t>
  </si>
  <si>
    <t>Líderes do hospital estabelecem e implementam políticas, procedimentos e/ou princípios de cuidado por escrito para serviços de alto risco prestados pelo hospital.</t>
  </si>
  <si>
    <t>A equipe é treinada para usar as ferramentas escritas para serviços de alto risco</t>
  </si>
  <si>
    <t>Os líderes do hospital identificam riscos adicionais que podem afetar os serviços de alto risco e implementam medidas para reduzir e/ou prevenir esses riscos.</t>
  </si>
  <si>
    <t>Condições adquiridas no hospital são rastreadas e incluídas no programa de melhoria da qualidade do hospital.</t>
  </si>
  <si>
    <t>Padrão COP.02.00
O hospital implementa políticas e procedimentos para segurança de sistemas de alarme clínico.</t>
  </si>
  <si>
    <t>Líderes do hospital implementam um programa de gerenciamento por escrito para sinais de alarme que representam um risco para a segurança do paciente.</t>
  </si>
  <si>
    <t>O programa identifica os sinais de alarme mais importantes a serem gerenciados com base no risco para a segurança do paciente.</t>
  </si>
  <si>
    <t>Líderes do hospital desenvolvem e implementam estratégias para gerenciar alarmes que incluam o seguinte:
• Configurações clinicamente apropriadas para sinais de alarme
• Situações em que os sinais de alarme podem ser desativados
• Circunstâncias em que os parâmetros de alarme devem ser revisados e/ou alterados (por exemplo, com mudanças significativas na condição do paciente, quando os pacientes são transferidos para diferentes níveis de cuidado)
• Identificação daqueles que têm autoridade para definir parâmetros de alarme
• Designação daqueles que têm autoridade para alterar os parâmetros de alarme
• Reduzindo o ruído de alarme desnecessário e melhorando a fadiga de alarme entre a equipe clínica</t>
  </si>
  <si>
    <t>A equipe clínica é instruída sobre a finalidade e a operação dos sistemas de alarme pelos quais é responsável.</t>
  </si>
  <si>
    <t>A equipe responsável pelo gerenciamento de alarmes clínicos é treinada e competente para fazê-lo.</t>
  </si>
  <si>
    <t>Os sistemas, políticas e procedimentos de alarme e os procedimentos de treinamento de pessoal são revisados conforme necessário e de acordo com o processo de revisão de políticas do hospital, no mínimo a cada três anos, para identificar e implementar melhorias.</t>
  </si>
  <si>
    <t>Padrão COP.03.00
A equipe clínica é treinada para reconhecer e responder às mudanças na condição de um paciente.</t>
  </si>
  <si>
    <t>O hospital tem um processo sistemático para reconhecer e responder a mudanças ou deterioração da condição do paciente.</t>
  </si>
  <si>
    <t>O hospital implementa critérios de alerta precoce específicos para a idade documentados que descrevem os primeiros sinais de um alteração ou deterioração da condição de um paciente.</t>
  </si>
  <si>
    <t>O hospital tem um processo para que a equipe busque assistência adicional quando tiver dúvidas sobre a condição de um paciente com base nos critérios de alerta precoce do hospital.</t>
  </si>
  <si>
    <t>O hospital informa ao paciente e à família como procurar assistência quando eles têm preocupações sobre a condição de um paciente.</t>
  </si>
  <si>
    <t>Padrão COP.04.00
Os serviços de ressuscitação estão disponíveis em todo o hospital.</t>
  </si>
  <si>
    <t>Os serviços de ressuscitação estão disponíveis e são fornecidos a todos os pacientes 24 horas por dia, todos os dias, em todas as áreas do hospital.</t>
  </si>
  <si>
    <t>Equipamentos médicos para ressuscitação e medicamentos para suporte básico e avançado de vida são padronizados e estão disponíveis para uso com base nas populações atendidas. (Veja também MMU.03.01, EM 4)</t>
  </si>
  <si>
    <t>Em todas as áreas do hospital, o suporte básico de vida é iniciado imediatamente após o reconhecimento da parada cardíaca ou respiratória, e o suporte avançado de vida é iniciado em menos de 5 minutos.</t>
  </si>
  <si>
    <t>O hospital realiza uma revisão interna de todos os eventos de ressuscitação quanto à eficácia e faz esforços para melhorar as áreas de melhoria identificadas, incluindo, no mínimo, as seguintes:
• Com que frequência os sinais de alerta precoce de deterioração clínica estavam presentes antes da parada cardíaca intra-hospitalar em pacientes em unidades de cuidados não monitorados ou não intensivas
• Pontualidade da resposta da equipe a uma parada cardíaca
• Pontualidade do início do suporte avançado de vida cardiovascular (advanced cardiovascular life support - ACLS) com o menor tempo possível
• A qualidade da ressuscitação cardiopulmonar (RCP)
• Processos de cuidado pós-parada cardíaca
 • Resultados após a parada cardíaca</t>
  </si>
  <si>
    <t>Padrão COP.05.00
O hospital tem um processo para identificar e proteger pacientes em risco de suicídio e automutilação.</t>
  </si>
  <si>
    <t>O hospital realiza uma avaliação de risco ambiental que identifica características no ambiente físico que podem ser usadas para tentar suicídio ou automutilação; o hospital toma as medidas necessárias para minimizar o(s) risco(s). (Veja também FMS.03.00, EM 1; FMS.04.00, EM 2)</t>
  </si>
  <si>
    <t>Usando uma ferramenta de triagem validada, o hospital rastreia todos os pacientes quanto à ideação suicida que estão sendo avaliados ou tratados por condições comportamentais como principal motivo de cuidado.</t>
  </si>
  <si>
    <t>O hospital usa um processo baseado em evidências para realizar uma avaliação de suicídio de pacientes com triagem positiva para ideação suicida. A avaliação pergunta diretamente sobre ideação suicida, plano, intenção, comportamentos suicidas ou de automutilação, fatores de risco e fatores de proteção.</t>
  </si>
  <si>
    <t>As triagens para suicídio e as avaliações são documentadas no prontuário do paciente ou de acordo com as leis e regulamentos, quando aplicável.</t>
  </si>
  <si>
    <t>O hospital segue políticas e procedimentos escritos que abordam o cuidado de pacientes identificados como em risco de suicídio. No mínimo, as políticas devem incluir o seguinte: • Treinamento e avaliação de competências da equipe que cuida de pacientes com risco de suicídio • Diretrizes para reavaliação de pacientes com risco de suicídio e automutilação • Monitoramento de pacientes com alto risco de suicídio e automutilação</t>
  </si>
  <si>
    <t>O hospital segue políticas e procedimentos escritos para aconselhamento e acompanhamento na alta para pacientes identificados como em risco de suicídio e automutilação.</t>
  </si>
  <si>
    <t>O hospital monitora a implementação e a eficácia das políticas e procedimentos de triagem, avaliação e gerenciamento de pacientes em risco de suicídio e automutilação e toma as medidas necessárias para melhorar a adesão.</t>
  </si>
  <si>
    <t>Padrão COP.06.00
Alimentos, produtos nutricionais e terapia nutricional estão disponíveis para os pacientes.</t>
  </si>
  <si>
    <t>Uma variedade de opções alimentares ou nutricionais, consistentes com a condição, cuidados e necessidades do paciente, está regularmente disponível.</t>
  </si>
  <si>
    <t>Há um pedido de alimentos no prontuário do paciente com base no estado nutricional e nas necessidades do paciente antes de os pacientes internados serem alimentados.</t>
  </si>
  <si>
    <t>A distribuição de alimentos é oportuna e pedidos especiais são atendidos.</t>
  </si>
  <si>
    <t>Quando familiares fornecem alimentos, eles são educados sobre as limitações alimentares dos pacientes.</t>
  </si>
  <si>
    <t>Produtos alimentares e de nutrição, incluindo aqueles fornecidos pela família, são armazenados em condições adequadas, seguindo as diretrizes atuais de armazenamento de alimentos, para evitar contaminação.</t>
  </si>
  <si>
    <t>Pacientes determinados como estando em risco nutricional recebem terapia nutricional.</t>
  </si>
  <si>
    <t>Um processo colaborativo é usado para planejar, administrar e monitorar a terapia nutricional.</t>
  </si>
  <si>
    <t>A resposta do paciente à terapia nutricional é monitorada e documentada no prontuário.</t>
  </si>
  <si>
    <t>Padrão COP.07.00
A dor é gerenciada de forma eficaz.</t>
  </si>
  <si>
    <t>Os pacientes são informados sobre a probabilidade de dor e as opções para o controle da dor quando a dor é um resultado esperado de tratamentos, procedimentos ou exames planejados. (Veja também AOP.01.04, EM 3)</t>
  </si>
  <si>
    <t>Os pacientes com dor recebem cuidados de acordo com as diretrizes de controle da dor e em alinhamento com os objetivos do paciente para o controle da dor.</t>
  </si>
  <si>
    <t>O hospital possui processos para se comunicar e educar pacientes e familiares sobre a dor. (Veja também ACC.01.04, EM 3)</t>
  </si>
  <si>
    <t>O hospital oferece educação à equipe clínica sobre avaliação e tratamento da dor.</t>
  </si>
  <si>
    <t>Padrão COP.08.00
O hospital possui um processo para fornecer cuidados de fim de vida que atende às necessidades do paciente e da família e otimiza o conforto e a dignidade do paciente.</t>
  </si>
  <si>
    <t>O hospital possui um processo para avaliar e gerenciar as necessidades dos pacientes que recebem cuidados de fim de vida.</t>
  </si>
  <si>
    <t>A equipe é educada e treinada para avaliar e gerenciar as necessidades dos pacientes e suas famílias no final da vida.</t>
  </si>
  <si>
    <t>O hospital oferece cuidado ao paciente e serviços de apoio que acomodam o paciente e sua família levando em consideração suas preferências pessoais, espirituais/religiosas e culturais.</t>
  </si>
  <si>
    <t>Os cuidados de fim de vida abordam os sintomas, condições e necessidades de cuidados de saúde do paciente em fim de vida, conforme indicado por sua avaliação, incluindo necessidades de dor e conforto.</t>
  </si>
  <si>
    <t>O paciente e a família estão envolvidos nas decisões de cuidados de fim de vida.</t>
  </si>
  <si>
    <t>O hospital fornece apoio à família do paciente, cuidadores e membros da equipe que cuidam do paciente em fim de vida</t>
  </si>
  <si>
    <t>Padrão COP.09.00
O hospital informa pacientes e familiares sobre como doar órgãos e outros tecidos.</t>
  </si>
  <si>
    <t>O hospital apoia as escolhas do paciente e da família para doar órgãos e outros tecidos</t>
  </si>
  <si>
    <t>O hospital fornece informações aos pacientes e familiares sobre o processo de doação.</t>
  </si>
  <si>
    <t>O hospital fornece informações ao paciente e à família sobre a maneira como a captação de órgão é organizada.</t>
  </si>
  <si>
    <t>O hospital garante que controles adequados estejam em vigor para evitar que os pacientes se sintam pressionados a doar.</t>
  </si>
  <si>
    <t>Padrão COP.09.01
O hospital supervisiona o processo de captação de órgãos e tecidos.</t>
  </si>
  <si>
    <t>O hospital desenvolve um processo escrito de doação e captação de órgãos e tecidos que seja consistente com as leis e regulamentos da região e seus valores religiosos e culturais.</t>
  </si>
  <si>
    <t>O hospital identifica os requisitos de consentimento para doação e captação de órgãos e tecidos e desenvolve um processo de consentimento consistente com esses requisitos.</t>
  </si>
  <si>
    <t>A equipe é treinada sobre as questões e preocupações relacionadas à doação de órgãos e coleta de tecidos e à disponibilidade de transplantes</t>
  </si>
  <si>
    <t>O hospital coopera com hospitais e agências relevantes na comunidade para respeitar e implementar escolhas de doação.</t>
  </si>
  <si>
    <t>Padrão COP.09.02
Os líderes do hospital fornecem recursos para apoiar o programa de transplante de órgãos, tecidos e/ou células.</t>
  </si>
  <si>
    <t>A educação e o treinamento da equipe são específicos para os tipos de transplantes de órgãos, tecidos e/ou células realizados pelo hospital.</t>
  </si>
  <si>
    <t>Os líderes do hospital alocam recursos para o programa de transplante.</t>
  </si>
  <si>
    <t>Os sistemas de gerenciamento de informações são usados para apoiar a qualidade do programa de transplante</t>
  </si>
  <si>
    <t>Padrão-COP.09.03-O hospital identifica um líder qualificado do programa de transplante e inclui uma equipe interdisciplinar composta por uma equipe clínica com experiência nos programas de transplante relevantes.</t>
  </si>
  <si>
    <t>O programa de transplante tem uma infraestrutura, incluindo sistemas e políticas e procedimentos escritos, capaz de suportar todos os aspectos do programa.</t>
  </si>
  <si>
    <t>Um (s) indivíduo (s) qualificado (s) supervisiona e gerencia o programa de transplante.</t>
  </si>
  <si>
    <t>O(s) indivíduo(s) cumpre(m) as responsabilidades de supervisão do programa, conforme definido pelo programa de transplante.</t>
  </si>
  <si>
    <t>O programa de transplante documenta a composição de cada equipe de transplante.</t>
  </si>
  <si>
    <t>O programa de transplante documenta as responsabilidades dos integrantes da equipe.</t>
  </si>
  <si>
    <t>Com base nos serviços prestados pela equipe de transplante, a equipe inclui indivíduos com experiência em medicina, enfermagem, nutrição, farmacologia, prevenção e controle de infecções, serviços sociais, serviços psicológicos, serviços de reabilitação e coordenação de transplantes.</t>
  </si>
  <si>
    <t>O programa de transplante avalia os membros da equipe quanto a qualificações, treinamento e experiência no momento em que cada indivíduo está sendo considerado para a equipe de transplante.</t>
  </si>
  <si>
    <t>Padrão COP.09.04
Existe um mecanismo de coordenação designado para todas as atividades de transplante.</t>
  </si>
  <si>
    <t>O indivíduo responsável pela coordenação dos cuidados do doador vivo e do receptor do transplante é identificado e está disponível em todas as fases do tratamento do transplante.</t>
  </si>
  <si>
    <t>O hospital garante que a continuidade dos cuidados aos pacientes transplantados (candidatos e receptores) seja facilitada durante as fases pré-transplante, transplante e alta do transplante.</t>
  </si>
  <si>
    <t>A continuidade do cuidado é facilitada para doadores vivos durante as fases de avaliação, doação e alta da doação.</t>
  </si>
  <si>
    <t>A coordenação de todas as atividades de transplante é comunicado a todos os profissionais envolvidos nas atividades do programa de transplante.</t>
  </si>
  <si>
    <t>Padrão COP 09.05
O hospital cumpre as responsabilidades de transplante de órgãos, tecidos e células.</t>
  </si>
  <si>
    <t>O hospital que realiza transplantes de órgãos sólidos, tecidos e/ou células cumpre todas as regras estabelecidas pela rede local, regional ou nacional de captação e transplantes.</t>
  </si>
  <si>
    <t>Oe hospital que realiza transplantes de órgãos sólidos compartilha todos os dados relacionados com os processos exigidos por redes local, regional ou nacional de captação e transplantes.</t>
  </si>
  <si>
    <t>O hospital desenvolve e mantém procedimentos escritos padronizados para a captação, recebimento, armazenamento e envio de órgãos, tecidos e/ou células.</t>
  </si>
  <si>
    <t>O hospital verifica, no momento do recebimento do órgão, se a integridade da embalagem foi cumprida, e se a faixa de temperatura de transporte foi controlada e está aceitável para o(s) órgão(s), tecidos e/ou células. Essa verificação é documentada.</t>
  </si>
  <si>
    <t>O hospital segue as instruções escritas dos fornecedores ou fabricantes de tecidos para transporte, manuseio, armazenamento e uso de tecidos.</t>
  </si>
  <si>
    <t>O hospital segue o processo para rastrear transplante de tecidos.</t>
  </si>
  <si>
    <t>Refrigeradores, freezers, tanques de nitrogênio e outros equipamentos de armazenamento usados para armazenar órgãos, tecidos e células a uma temperatura controlada, têm alarmes funcionais e um plano de backup de emergência.</t>
  </si>
  <si>
    <t>Padrão COP.09.06
O programa de transplante obtém consentimento informado específico para transplante de órgãos, tecidos e/ou células do candidato a receptor de transplante</t>
  </si>
  <si>
    <t>O programa de transplante segue a política escrita do hospital ao obter o consentimento informado de candidatos a transplante de órgãos sólidos, tecidos e/ou células. (Ver também PCC.03.00, EMs 1 e 2)</t>
  </si>
  <si>
    <t>O programa de transplante informa o candidato a transplante em potencial sobre os fatores de risco do doador de órgãos que podem afetar o sucesso do transplante ou a saúde do candidato como receptor, incluindo, mas não se limitando ao seguinte: • Histórico do doador, conforme apropriado para as leis e regulamentos do país/região • Estado do(s) órgão(s) utilizado(s) • Idade do(s) órgão(s) • Risco potencial de contrair doença(s) infecciosa(s) se a(s) doença(s) não puder(em) ser detectada(s) em um doador infectado • Potenciais riscos psicossociais</t>
  </si>
  <si>
    <t>O programa de transplante informa o candidato a transplante em potencial sobre a taxa de sobrevida de um ano observada e esperada do centro de transplante após o transplante de órgãos sólidos; ou, quando o programa de transplante estiver em operação há menos de 18 meses, a taxa de sobrevida de um ano documentada na literatura.</t>
  </si>
  <si>
    <t>O programa de transplante informa o candidato a transplante de órgãos sólidos, tecidos e/ou células sobre possíveis taxas de rejeição, medicamentos imunossupressores e possíveis custos associados, conforme aplicável ao tipo de transplante.</t>
  </si>
  <si>
    <t>O programa de transplante informa o candidato a transplante de órgãos, tecidos e/ou células sobre tratamentos alternativos.</t>
  </si>
  <si>
    <t>Padrão COP.09.07
O programa de transplante tem protocolos documentados, diretrizes de prática clínica ou procedimentos para
recuperação e recebimento de órgãos para garantir a compatibilidade, segurança, eficácia e qualidade de células, tecidos e órgãos humanos para transplante.</t>
  </si>
  <si>
    <t>A equipe de transplante segue protocolos escritos de recuperação de órgãos, diretrizes de prática clínica ou procedimentos, que incluem a revisão dos dados essenciais do doador e do receptor para garantir a compatibilidade antes que a recuperação de órgãos, tecidos ou células ocorra.</t>
  </si>
  <si>
    <t>O cirurgião de transplante é responsável por confirmar, por escrito, a adequação médica dos órgãos, tecidos e células do doador para transplante no receptor.</t>
  </si>
  <si>
    <t>Quando um órgão ou tecido chega ao centro de transplante, o cirurgião de transplante e pelo menos um outro profissional de saúde no centro de transplante verificam e documentam se o tipo sanguíneo do doador e outros dados essenciais são compatíveis com o receptor antes do transplante.</t>
  </si>
  <si>
    <t>O cirurgião de transplante é responsável por confirmar que a avaliação do doador e o teste do doador para doenças infecciosas e malignidade foram concluídos e documentados no prontuário antes que ocorra a recuperação e o transplante de órgãos, tecidos ou células.</t>
  </si>
  <si>
    <t>Quando um órgão chega ao centro de transplante, o cirurgião de transplante e pelo menos um outro profissional de saúde no centro de transplante verificam e documentam se a avaliação e o exame do órgão doador não mostram evidências de doença e a condição do órgão é adequada para transplante.</t>
  </si>
  <si>
    <t>Padrão COP.09.08
As diretrizes de prática clínica e os critérios clínicos orientam a seleção e o cuidado de pacientes transplantados de órgãos, tecidos e células.</t>
  </si>
  <si>
    <t>O programa de transplante documentou diretrizes de prática clínica específicas de células, tecidos e/ou órgãos para as fases pré-transplante, transplante e alta do transplante</t>
  </si>
  <si>
    <t>Cada paciente transplantado está sob os cuidados de uma equipe multidisciplinar de atendimento ao paciente coordenada pelo médico transplantador principal do paciente durante as fases pré-transplante, transplante e alta do transplante.</t>
  </si>
  <si>
    <t>Os candidatos a receptores de transplante são avaliados quanto à adequação de outras terapias médicas e cirúrgicas que podem produzir taxas de sobrevida de curto e longo prazo comparáveis ao transplante.</t>
  </si>
  <si>
    <t>Os candidatos a receptores de transplante recebem uma avaliação psicológica por um psiquiatra, psicólogo, assistente social ou outro profissional de saúde qualificado com experiência em transplante para determinar a capacidade de tomada de decisão do paciente e rastrear qualquer doença psiquiátrica preexistente.</t>
  </si>
  <si>
    <t>O programa de transplante atualiza continuamente as informações clínicas no prontuário do doador e/ou receptor do transplante.</t>
  </si>
  <si>
    <t>O programa de transplante documenta a confirmação da compatibilidade de órgãos no prontuário do doador.</t>
  </si>
  <si>
    <t>Padrão COP.10.00
Os programas de transplante que realizam transplante de doadores vivos aderem às leis e regulamentos locais e regionais e protegem os direitos dos potenciais ou atuais doadores vivos.</t>
  </si>
  <si>
    <t>Os programas de transplante que realizam transplante com doador vivo cumprem as leis e regulamentos locais e regionais.</t>
  </si>
  <si>
    <t>O doador de órgãos vivos tem o direito de tomar uma decisão sobre a doação em um ambiente livre de coerção e pressão.</t>
  </si>
  <si>
    <t>Um indivíduo com conhecimento de doação de órgãos vivos, transplante, ética médica e consentimento informado é identificado e nomeado como mediador (advocate) do doador vivo.</t>
  </si>
  <si>
    <t>O indivíduo nomeado como mediador do doador vivo não está envolvido em atividades de transplante de rotina.</t>
  </si>
  <si>
    <t>O indivíduo nomeado como o mediador do doador vivo informa, apoia e respeita o doador vivo de maneira culturalmente apropriada durante a tomada de decisões.</t>
  </si>
  <si>
    <t>Padrão COP.10.01
Os programas de transplante que realizam transplantes com doadores vivos obtêm consentimento informado específico para doação de órgãos do potencial doador vivo.</t>
  </si>
  <si>
    <t>Consentimento informado para doação em vida é obtido por pessoal treinado e está em um idioma que o potencial doador vivo possa entender. (Ver também PCC.03.00, EMs 1 e 2)</t>
  </si>
  <si>
    <t>O programa de transplante informa o potencial doador vivo sobre possíveis complicações, riscos (incluindo riscos psicológicos) e futuros problemas de saúde associados à doação de órgãos vivos.</t>
  </si>
  <si>
    <t>O programa de transplante informa o potencial doador vivo sobre tratamentos alternativos para o candidato a transplante.</t>
  </si>
  <si>
    <t>O programa de transplante informa o potencial doador vivo sobre o direito do doador de optar por não doar a qualquer momento durante o processo de doação.</t>
  </si>
  <si>
    <t>Padrão COP.10.02
Os programas de transplante que realizam transplantes com doadores vivos usam critérios de seleção clínica e psicológica para determinar a adequação de potenciais doadores vivos.</t>
  </si>
  <si>
    <t>O programa de transplante documenta critérios definidos de seleção de doadores vivos de órgãos específicos.</t>
  </si>
  <si>
    <t>Os critérios de seleção de doadores vivos do programa de transplante são consistentes com as leis e regulamentos e os princípios da ética médica. (Veja também GLD.07.00, EM 1)</t>
  </si>
  <si>
    <t>Os resultados de uma avaliação médica relacionada à própria saúde física do doador vivo são incluídos na determinação da adequação para doação.</t>
  </si>
  <si>
    <t>Os resultados dos exames médicos que identificam doenças infecciosas ou malignidades são incluídos na determinação da aptidão para doação.</t>
  </si>
  <si>
    <t>Os resultados de uma avaliação psicológica realizada por um psiquiatra, psicólogo ou assistente social com experiência em transplante são documentados no prontuário do doador vivo e incluídos na determinação da adequação para doação.</t>
  </si>
  <si>
    <t>O programa de transplante documenta a confirmação da compatibilidade de órgãos no prontuário do doador vivo.</t>
  </si>
  <si>
    <t>Padrão COP.10.03
Planos individualizados de cuidado do paciente orientam o cuidado de doadores vivos.</t>
  </si>
  <si>
    <t>A realização de programas de transplantes com doadores vivos é orientada por diretrizes documentadas para cuidados com doadores vivos nas fases de avaliação, doação e alta.</t>
  </si>
  <si>
    <t>Os programas de transplante que realizam transplantes de doadores vivos fornecem cuidado interdisciplinar por uma equipe coordenada por um médico para cada doador durante as fases de avaliação, doação e alta.</t>
  </si>
  <si>
    <t>O candidato a doador vivo recebe apoio psicológico contínuo após a doação.</t>
  </si>
  <si>
    <t>GHI</t>
  </si>
  <si>
    <t>1- Padrão GHI.01.00
Os líderes do hospital garantem que as estratégias ambientais sejam formalmente incluídas e implementadas como parte das operações e governança da organização.</t>
  </si>
  <si>
    <r>
      <t xml:space="preserve">Os líderes do hospital incluem a sustentabilidade ambiental e os cuidados de baixo carbono e resilientes na </t>
    </r>
    <r>
      <rPr>
        <b/>
        <sz val="11"/>
        <color rgb="FF000000"/>
        <rFont val="Aptos Narrow"/>
      </rPr>
      <t>agenda do conselho para discutir pelo menos uma vez por ano, com relatórios de progresso,</t>
    </r>
    <r>
      <rPr>
        <sz val="11"/>
        <color rgb="FF000000"/>
        <rFont val="Aptos Narrow"/>
      </rPr>
      <t xml:space="preserve"> declaração de recursos </t>
    </r>
    <r>
      <rPr>
        <sz val="11"/>
        <color rgb="FFFF0000"/>
        <rFont val="Aptos Narrow"/>
      </rPr>
      <t>alocados e avaliação da implementação das estratégias</t>
    </r>
    <r>
      <rPr>
        <sz val="11"/>
        <color rgb="FF000000"/>
        <rFont val="Aptos Narrow"/>
      </rPr>
      <t xml:space="preserve">. As </t>
    </r>
    <r>
      <rPr>
        <b/>
        <sz val="11"/>
        <color rgb="FF000000"/>
        <rFont val="Aptos Narrow"/>
      </rPr>
      <t xml:space="preserve">atas </t>
    </r>
    <r>
      <rPr>
        <sz val="11"/>
        <color rgb="FF000000"/>
        <rFont val="Aptos Narrow"/>
      </rPr>
      <t xml:space="preserve">refletem as </t>
    </r>
    <r>
      <rPr>
        <b/>
        <sz val="11"/>
        <color rgb="FF000000"/>
        <rFont val="Aptos Narrow"/>
      </rPr>
      <t>medidas tomadas</t>
    </r>
    <r>
      <rPr>
        <sz val="11"/>
        <color rgb="FF000000"/>
        <rFont val="Aptos Narrow"/>
      </rPr>
      <t xml:space="preserve"> e qualquer seguimento dessas ações.</t>
    </r>
  </si>
  <si>
    <r>
      <t xml:space="preserve">Progressos nas estratégias ambientais estão incluídas no </t>
    </r>
    <r>
      <rPr>
        <b/>
        <sz val="11"/>
        <color rgb="FF000000"/>
        <rFont val="Aptos Narrow"/>
      </rPr>
      <t>relatório anual</t>
    </r>
    <r>
      <rPr>
        <sz val="11"/>
        <color rgb="FF000000"/>
        <rFont val="Aptos Narrow"/>
      </rPr>
      <t xml:space="preserve"> da organização para visibilidade pública e responsabilidade perante a comunidade e outras partes interessadas (stakeholders).</t>
    </r>
  </si>
  <si>
    <r>
      <t xml:space="preserve">Os líderes do hospital </t>
    </r>
    <r>
      <rPr>
        <b/>
        <sz val="11"/>
        <color rgb="FF000000"/>
        <rFont val="Aptos Narrow"/>
      </rPr>
      <t>indicam ou designam e avaliam, anualmente, o desempenho de uma pessoa na função de liderança que se reporta ao conselho</t>
    </r>
    <r>
      <rPr>
        <sz val="11"/>
        <color rgb="FF000000"/>
        <rFont val="Aptos Narrow"/>
      </rPr>
      <t xml:space="preserve"> (por exemplo, </t>
    </r>
    <r>
      <rPr>
        <sz val="11"/>
        <color rgb="FFFF0000"/>
        <rFont val="Aptos Narrow"/>
      </rPr>
      <t>Diretor de Sustentabilidade</t>
    </r>
    <r>
      <rPr>
        <sz val="11"/>
        <color rgb="FF000000"/>
        <rFont val="Aptos Narrow"/>
      </rPr>
      <t>) para garantir que as estratégias ambientais façam parte das prioridades da organização e sejam efetivamente implementadas nos processos de rastreamento e governança. (Veja também GLD.06.00, EM 1)</t>
    </r>
  </si>
  <si>
    <r>
      <t xml:space="preserve">A pessoa indicada ou designada como tendo a </t>
    </r>
    <r>
      <rPr>
        <b/>
        <sz val="11"/>
        <color rgb="FF000000"/>
        <rFont val="Aptos Narrow"/>
      </rPr>
      <t>função principal é responsável pelo seguinte:</t>
    </r>
    <r>
      <rPr>
        <sz val="11"/>
        <color rgb="FF000000"/>
        <rFont val="Aptos Narrow"/>
      </rPr>
      <t xml:space="preserve"> • Definir o plano de sustentabilidade, estratégias e metas do hospital, em consulta com as partes interessadas (stakeholders). • Supervisionar a implementação de processos relacionados à sustentabilidade ambiental • Reportar-se aos líderes e conselho do hospital para apresentar o progresso feito e agir sobre os pontos de discussão resultantes • Produzir relatórios e peças de comunicação para as partes interessadas (stakeholders) relevantes.</t>
    </r>
  </si>
  <si>
    <t>2- Padrão GHI.02.00
Os líderes do hospital estabelecem mecanismos para aumentar a conscientização e envolver e treinar os profissionais sobre mudanças climáticas e saúde em toda a organização.</t>
  </si>
  <si>
    <r>
      <t xml:space="preserve">Toda a equipe clínica e não clínica em todo o hospital passam por </t>
    </r>
    <r>
      <rPr>
        <b/>
        <sz val="11"/>
        <color rgb="FF000000"/>
        <rFont val="Aptos Narrow"/>
      </rPr>
      <t>sessões de treinamento anuais</t>
    </r>
    <r>
      <rPr>
        <sz val="11"/>
        <color rgb="FF000000"/>
        <rFont val="Aptos Narrow"/>
      </rPr>
      <t xml:space="preserve"> específicas, com o objetivo de fornecer conhecimentos básicos sobre as mudanças climáticas, seu impacto na saúde humana e boas práticas que podem ser implementadas para cuidados de saúde ambientalmente sustentáveis e resilientes.</t>
    </r>
  </si>
  <si>
    <r>
      <t xml:space="preserve">Os líderes do hospital </t>
    </r>
    <r>
      <rPr>
        <b/>
        <sz val="11"/>
        <color rgb="FF000000"/>
        <rFont val="Aptos Narrow"/>
      </rPr>
      <t xml:space="preserve">comunicam aos profissionais sobre sustentabilidade ambiental e as metas </t>
    </r>
    <r>
      <rPr>
        <sz val="11"/>
        <color rgb="FF000000"/>
        <rFont val="Aptos Narrow"/>
      </rPr>
      <t>e atividades de cuidadda organização.</t>
    </r>
  </si>
  <si>
    <r>
      <t xml:space="preserve">Um processo é implementado para </t>
    </r>
    <r>
      <rPr>
        <b/>
        <sz val="11"/>
        <color rgb="FF000000"/>
        <rFont val="Aptos Narrow"/>
      </rPr>
      <t>coletar ideias da equipe</t>
    </r>
    <r>
      <rPr>
        <sz val="11"/>
        <color rgb="FF000000"/>
        <rFont val="Aptos Narrow"/>
      </rPr>
      <t>, que são revisadas pela pessoa líder de sustentabilidade, para identificar possíveis novas iniciativas e prioridades.</t>
    </r>
  </si>
  <si>
    <r>
      <t xml:space="preserve">Um módulo em mudanças climática, sustentabilidade ambiental e cuidados de baixo carbono e resilientes são incluído na </t>
    </r>
    <r>
      <rPr>
        <b/>
        <sz val="11"/>
        <color rgb="FF000000"/>
        <rFont val="Aptos Narrow"/>
      </rPr>
      <t>orientação/integração de novos profissionais</t>
    </r>
    <r>
      <rPr>
        <sz val="11"/>
        <color rgb="FF000000"/>
        <rFont val="Aptos Narrow"/>
      </rPr>
      <t>. (Veja também SQE.01.06, EM 1)</t>
    </r>
  </si>
  <si>
    <t>3- Padrão GHI.03.00
Os líderes hospitalares desenvolvem e começam a implementar um plano para medir e reduzir o uso de materiais e recursos ambientais, incluindo energia, água e emissões.</t>
  </si>
  <si>
    <r>
      <t>Líderes do hospital e os gestores elaboram um pl</t>
    </r>
    <r>
      <rPr>
        <b/>
        <sz val="11"/>
        <color rgb="FF000000"/>
        <rFont val="Aptos Narrow"/>
      </rPr>
      <t>ano escrito de mensuração incluindo metas</t>
    </r>
    <r>
      <rPr>
        <sz val="11"/>
        <color rgb="FF000000"/>
        <rFont val="Aptos Narrow"/>
      </rPr>
      <t xml:space="preserve"> e seu monitoramento para reduzir o desperdício, a emissão de carbono e o uso de recursos ambientais.</t>
    </r>
  </si>
  <si>
    <r>
      <t>O</t>
    </r>
    <r>
      <rPr>
        <b/>
        <sz val="11"/>
        <color rgb="FF000000"/>
        <rFont val="Aptos Narrow"/>
      </rPr>
      <t xml:space="preserve"> percentual de energia renovável</t>
    </r>
    <r>
      <rPr>
        <sz val="11"/>
        <color rgb="FF000000"/>
        <rFont val="Aptos Narrow"/>
      </rPr>
      <t xml:space="preserve"> (comprada ou autoproduzida) em comparação com o total de energia consumido é identificado e relatado ao conselho, anualmente.</t>
    </r>
  </si>
  <si>
    <r>
      <t xml:space="preserve">Líderes do hospital </t>
    </r>
    <r>
      <rPr>
        <b/>
        <sz val="11"/>
        <color rgb="FF000000"/>
        <rFont val="Aptos Narrow"/>
      </rPr>
      <t xml:space="preserve">implementam ações para otimizar a conservação da água </t>
    </r>
    <r>
      <rPr>
        <sz val="11"/>
        <color rgb="FF000000"/>
        <rFont val="Aptos Narrow"/>
      </rPr>
      <t>e relatar a quantidade de água conservada ao conselho, anualmente.</t>
    </r>
  </si>
  <si>
    <r>
      <t xml:space="preserve">Líderes do hospital e os gestores podem demonstrar o </t>
    </r>
    <r>
      <rPr>
        <b/>
        <sz val="11"/>
        <color rgb="FF000000"/>
        <rFont val="Aptos Narrow"/>
      </rPr>
      <t>progresso anual em relação à redução das emissões de carbono ou impactos ambientais negativos</t>
    </r>
    <r>
      <rPr>
        <sz val="11"/>
        <color rgb="FF000000"/>
        <rFont val="Aptos Narrow"/>
      </rPr>
      <t xml:space="preserve"> das operações em pelo menos uma das seguintes áreas de gerenciamento de instalações: • Gerenciamento de resíduos • Práticas de limpeza • Serviços de roupa de cama e lavanderia</t>
    </r>
  </si>
  <si>
    <r>
      <t xml:space="preserve">Líderes do hospital e os gestores </t>
    </r>
    <r>
      <rPr>
        <b/>
        <sz val="11"/>
        <color rgb="FF000000"/>
        <rFont val="Aptos Narrow"/>
      </rPr>
      <t>contribuem para reduzir a intensidade carbónica dos alimentos</t>
    </r>
    <r>
      <rPr>
        <sz val="11"/>
        <color rgb="FF000000"/>
        <rFont val="Aptos Narrow"/>
      </rPr>
      <t xml:space="preserve"> e dos produtos de restauração; por exemplo, adquirindo pelo menos 50% dos </t>
    </r>
    <r>
      <rPr>
        <b/>
        <sz val="11"/>
        <color rgb="FF000000"/>
        <rFont val="Aptos Narrow"/>
      </rPr>
      <t>alimentos produzidos localmente</t>
    </r>
    <r>
      <rPr>
        <sz val="11"/>
        <color rgb="FF000000"/>
        <rFont val="Aptos Narrow"/>
      </rPr>
      <t>, sempre que possível, e fornecendo opções vegetarianas diariamente.</t>
    </r>
  </si>
  <si>
    <r>
      <t xml:space="preserve">As </t>
    </r>
    <r>
      <rPr>
        <b/>
        <sz val="11"/>
        <color rgb="FF000000"/>
        <rFont val="Aptos Narrow"/>
      </rPr>
      <t>práticas clínicas</t>
    </r>
    <r>
      <rPr>
        <sz val="11"/>
        <color rgb="FF000000"/>
        <rFont val="Aptos Narrow"/>
      </rPr>
      <t xml:space="preserve"> são avaliadas para reduzir o impacto ambiental.</t>
    </r>
  </si>
  <si>
    <t>4- Padrão GHI.04.00
Os líderes do hospital implementam ações para reduzir o impacto ambiental da cadeia de suprimentos em todas as operações e identificam áreas para reduzir o uso desnecessário de suprimentos dentro do hospital.</t>
  </si>
  <si>
    <r>
      <t xml:space="preserve">Os </t>
    </r>
    <r>
      <rPr>
        <b/>
        <sz val="11"/>
        <color rgb="FF000000"/>
        <rFont val="Aptos Narrow"/>
      </rPr>
      <t>critérios de sustentabilidade</t>
    </r>
    <r>
      <rPr>
        <sz val="11"/>
        <color rgb="FF000000"/>
        <rFont val="Aptos Narrow"/>
      </rPr>
      <t xml:space="preserve"> climática e ambiental estão incluídos nas diretrizes de </t>
    </r>
    <r>
      <rPr>
        <b/>
        <sz val="11"/>
        <color rgb="FF000000"/>
        <rFont val="Aptos Narrow"/>
      </rPr>
      <t xml:space="preserve">aquisição </t>
    </r>
    <r>
      <rPr>
        <sz val="11"/>
        <color rgb="FF000000"/>
        <rFont val="Aptos Narrow"/>
      </rPr>
      <t>do hospital. (Veja também GLD.05.02, EM 3)</t>
    </r>
  </si>
  <si>
    <r>
      <t xml:space="preserve">Para qualquer </t>
    </r>
    <r>
      <rPr>
        <b/>
        <sz val="11"/>
        <color rgb="FF000000"/>
        <rFont val="Aptos Narrow"/>
      </rPr>
      <t>novo contrato com fornecedores</t>
    </r>
    <r>
      <rPr>
        <sz val="11"/>
        <color rgb="FF000000"/>
        <rFont val="Aptos Narrow"/>
      </rPr>
      <t xml:space="preserve"> ou vendedores, os gerentes de departamento priorizam fornecedores e vendedores que tenham </t>
    </r>
    <r>
      <rPr>
        <b/>
        <sz val="11"/>
        <color rgb="FF000000"/>
        <rFont val="Aptos Narrow"/>
      </rPr>
      <t>objetivos de sustentabilidade e redução de emissões de carbono</t>
    </r>
    <r>
      <rPr>
        <sz val="11"/>
        <color rgb="FF000000"/>
        <rFont val="Aptos Narrow"/>
      </rPr>
      <t xml:space="preserve"> em vigor. (Veja também GLD.05.02, EM 3)</t>
    </r>
  </si>
  <si>
    <r>
      <t xml:space="preserve">Líderes do hospital e os gestores de departamentos </t>
    </r>
    <r>
      <rPr>
        <b/>
        <sz val="11"/>
        <color rgb="FF000000"/>
        <rFont val="Aptos Narrow"/>
      </rPr>
      <t>identificam oportunidades para otimizar processos dentro do hospital, identificando suprimentos desnecessários e/ou evitáveis</t>
    </r>
    <r>
      <rPr>
        <sz val="11"/>
        <color rgb="FF000000"/>
        <rFont val="Aptos Narrow"/>
      </rPr>
      <t xml:space="preserve"> em pelo menos três das seguintes áreas: • Produtos farmacêuticos e outros produtos químicos usados para tratamentos • Produtos químicos usados para fins de esterilização, desinfecção e limpeza • Produtos alimentares e agrícolas • Dispositivos médicos • Equipamentos e instrumentos do hospital</t>
    </r>
  </si>
  <si>
    <r>
      <t xml:space="preserve">Líderes do hospital e os gestores de departamentos implementam ações para avaliar os </t>
    </r>
    <r>
      <rPr>
        <b/>
        <sz val="11"/>
        <color rgb="FF000000"/>
        <rFont val="Aptos Narrow"/>
      </rPr>
      <t>benefícios de itens reutilizáveis</t>
    </r>
    <r>
      <rPr>
        <sz val="11"/>
        <color rgb="FF000000"/>
        <rFont val="Aptos Narrow"/>
      </rPr>
      <t xml:space="preserve"> em vez de materiais de uso único em áreas clínicas e não clínicas. (Veja também PCI.03.01, EM 1)</t>
    </r>
  </si>
  <si>
    <t>5- Padrão GHI.05.00
Os líderes do hospital avaliam os riscos ambientais e os cenários que podem afetar a prestação de serviços, as operações hospitalares e as populações de pacientes, com planos para cumprir as recomendações e regras locais de preparação para emergências, incluindo aquelas exigidas pela cobertura de seguro de propriedade.</t>
  </si>
  <si>
    <r>
      <t xml:space="preserve">Impactos de mudanças climáticas estão incluídos no registro de </t>
    </r>
    <r>
      <rPr>
        <b/>
        <sz val="11"/>
        <color rgb="FF000000"/>
        <rFont val="Aptos Narrow"/>
      </rPr>
      <t>risco do hospital</t>
    </r>
    <r>
      <rPr>
        <sz val="11"/>
        <color rgb="FF000000"/>
        <rFont val="Aptos Narrow"/>
      </rPr>
      <t xml:space="preserve"> ou documento equivalente.</t>
    </r>
  </si>
  <si>
    <r>
      <t xml:space="preserve">Líderes do hospital desenvolvem um </t>
    </r>
    <r>
      <rPr>
        <b/>
        <sz val="11"/>
        <color rgb="FF000000"/>
        <rFont val="Aptos Narrow"/>
      </rPr>
      <t>plano escrito de ações adaptativas para mitigar perigos e riscos atuais e futuros relacionados ao clima,</t>
    </r>
    <r>
      <rPr>
        <sz val="11"/>
        <color rgb="FF000000"/>
        <rFont val="Aptos Narrow"/>
      </rPr>
      <t xml:space="preserve"> com base em informações recentes (ou seja, nos últimos três anos) e progride em direção às metas acordadas pela organização. (Ver também FMS.09.00, EMs 1 e 2)</t>
    </r>
  </si>
  <si>
    <r>
      <t xml:space="preserve">Uma </t>
    </r>
    <r>
      <rPr>
        <b/>
        <sz val="11"/>
        <color rgb="FF000000"/>
        <rFont val="Aptos Narrow"/>
      </rPr>
      <t>avaliação de riscos</t>
    </r>
    <r>
      <rPr>
        <sz val="11"/>
        <color rgb="FF000000"/>
        <rFont val="Aptos Narrow"/>
      </rPr>
      <t xml:space="preserve"> ambientais, cenários e vulnerabilidades dentro das comunidades é realizado a cada </t>
    </r>
    <r>
      <rPr>
        <b/>
        <sz val="11"/>
        <color rgb="FF000000"/>
        <rFont val="Aptos Narrow"/>
      </rPr>
      <t>três anos</t>
    </r>
    <r>
      <rPr>
        <sz val="11"/>
        <color rgb="FF000000"/>
        <rFont val="Aptos Narrow"/>
      </rPr>
      <t>. Os resultados são apresentados em um relatório e informam o plano de ações adaptativas, que é atualizado de acordo com os resultados. (Veja também FMS.09.00, EM 3)</t>
    </r>
  </si>
  <si>
    <r>
      <t xml:space="preserve">Líderes do hospital desenvolvem programas de preparação para cenários climáticos adversos e eventos. O </t>
    </r>
    <r>
      <rPr>
        <b/>
        <sz val="11"/>
        <color rgb="FF000000"/>
        <rFont val="Aptos Narrow"/>
      </rPr>
      <t>plano de preparação é testado e atualizado anualmente</t>
    </r>
    <r>
      <rPr>
        <sz val="11"/>
        <color rgb="FF000000"/>
        <rFont val="Aptos Narrow"/>
      </rPr>
      <t xml:space="preserve"> e inclui medidas tomadas para treinar os profissionais para responder a esses cenários. (Ver também FMS.02.00, EM 1; FMS.09.00, EM 1).</t>
    </r>
    <r>
      <rPr>
        <b/>
        <sz val="11"/>
        <color rgb="FF000000"/>
        <rFont val="Aptos Narrow"/>
      </rPr>
      <t xml:space="preserve"> Será verificado na reunião 14/10/2025</t>
    </r>
  </si>
  <si>
    <t>GLD</t>
  </si>
  <si>
    <t>Padrão GLD.01.00
A estrutura, autoridade e responsabilidades da entidade de governo do hospital são descritas em estatutos, políticas e procedimentos ou documentos escritos semelhantes.</t>
  </si>
  <si>
    <t>A estrutura, a autoridade e as responsabilidades da entidade de governo do hospital são descritas em um documento escrito, estatutos e/ou políticas e procedimentos, com os responsáveis pela governança do hospital identificados.</t>
  </si>
  <si>
    <t>A entidade de governo aprova o capital do hospital e orçamento(s) operacional(is) que se alinham com os serviços do hospital e fornecem os recursos necessários para cumprir a missão do hospital.</t>
  </si>
  <si>
    <t>A entidade de governo aprova a participação do hospital na educação profissional de saúde e pesquisa e na supervisão da qualidade de tais programas.</t>
  </si>
  <si>
    <t>A entidade de governo aponta, e avalia anualmente, o(s) diretor(s) geral(s) do hospital e a avaliação está documentada.</t>
  </si>
  <si>
    <t>O hospital tem políticas escritas que descrevem quando e como a autoridade da entidade de governo e o(s) diretor(s) geral(s) podem ser delegados.</t>
  </si>
  <si>
    <t>Padrão GLD.02.00
Um diretor geral é responsável por operar o hospital e cumprir as leis e regulamentos aplicáveis.</t>
  </si>
  <si>
    <t>A educação e a experiência do(s) diretor(s) geral(s) correspondem aos requisitos da descrição do cargo.</t>
  </si>
  <si>
    <t>O(s) diretor(s) geral(s) recomenda(m) políticas, planos estratégicos e orçamentos à entidade de governo.</t>
  </si>
  <si>
    <t>O(s) diretor(s) geral(s) garante(m) a implementação consistente das políticas aprovadas pelo hospital.</t>
  </si>
  <si>
    <t>O(s) diretor(s) geral(s) garante(m) o cumprimento das leis e regulamentos aplicáveis</t>
  </si>
  <si>
    <t>O(s) diretor(s) geral(s) responde(m) a quaisquer relatórios de agências reguladoras e de inspeção.</t>
  </si>
  <si>
    <t>Padrão GLD.03.00
Os líderes do hospital são identificados e são coletivamente responsáveis por definir a missão do hospital e criar os programas e políticas necessários para cumprir a missão.</t>
  </si>
  <si>
    <t>Os líderes do hospital são responsáveis por definir a missão, a visão e os objetivos do hospital.</t>
  </si>
  <si>
    <t>Os líderes do hospital são responsáveis por criar as políticas e procedimentos necessários para realizar a missão.</t>
  </si>
  <si>
    <t>Os líderes do hospital garantem que as políticas e procedimentos sejam seguidos.</t>
  </si>
  <si>
    <t>Padrão GLD.03.01
Os líderes do hospital identificam, planejam e comunicam o tipo de serviços clínicos necessários para atender às necessidades dos pacientes atendidos pelo hospital.</t>
  </si>
  <si>
    <t>Os líderes do hospital determinam e planejam com os líderes de departamento/serviço o tipo de atendimento, tratamento e serviços a serem prestados pelo hospital que sejam consistentes com a missão do hospital e as necessidades do pacientes atendidos. (Veja também SQE.01.05, EM 1)</t>
  </si>
  <si>
    <t>Os líderes do hospital se comunicam com as principais partes interessadas na comunidade do hospital para facilitar o acesso aos cuidados e o acesso às informações sobre seus serviços de atendimento ao paciente. (Veja também MOI.01.00, EM 1)</t>
  </si>
  <si>
    <t>Os líderes do hospital fornecem dados e comunicam informações relacionadas à segurança e qualidade dos serviços do hospital às partes interessadas, que incluem equipe de enfermagem, equipe não clínica e administrativa, pacientes, familiares e partes interessadas externas.</t>
  </si>
  <si>
    <t>Os líderes do hospital implementam políticas escritas para fornecer atendimento uniforme das seguintes maneiras:
• O hospital oferece cuidados e tratamento para as necessidades imediatas do paciente e o encaminha para o nível adequado de atendimento.
 • O acesso a cuidados imediatos e tratamento por profissionais qualificados não depende do dia da semana ou da hora do dia.
 • A acuidade da condição do paciente determina os recursos alocados para atender às necessidades do paciente.
• O escopo, o nível de atendimento, os tratamentos e os serviços disponíveis e fornecidos aos pacientes são comparáveis em todo o hospital.</t>
  </si>
  <si>
    <t>Padrão GLD.03.02
Os líderes do hospital garantem uma comunicação eficaz em todo o hospital.</t>
  </si>
  <si>
    <t>Os líderes do hospital garantem que os processos estejam em vigor para comunicar informações relevantes em todo o hospital em tempo hábil. (Veja também MOI.01.00, EM 1)</t>
  </si>
  <si>
    <t>Os líderes do hospital garantem uma comunicação eficaz entre departamentos clínicos e não clínicos, serviços e membros individuais da equipe. (Veja também MOI.01.00, EM 1)</t>
  </si>
  <si>
    <t>Líderes do hospital comunicam a visão, missão, metas, políticas e planos do hospital à equipe</t>
  </si>
  <si>
    <t>Padrão GLD.04.00
Os líderes do hospital planejam, desenvolvem e implementam um programa de qualidade e segurança do paciente.</t>
  </si>
  <si>
    <t>Os líderes do hospital participam do desenvolvimento e implementação de um programa de qualidade e segurança do paciente em todo o hospital. (Veja também PCI.08.00, EM 1; QPS.01.00, EM 3; QPS.03.03, EM 1)</t>
  </si>
  <si>
    <t>Os líderes do hospital selecionam e implementam um processo em todo o hospital para medir, avaliar dados, planejar mudanças e sustentar melhorias na qualidade e segurança do paciente, além de fornecer educação à equipe sobre esse processo de melhoria da qualidade. (Veja também QPS.02.00, EM 2; QPS.04.00, EM 4)</t>
  </si>
  <si>
    <t>Os líderes do hospital determinam como o programa será dirigido e gerenciado diariamente e garantem que o programa tenha recursos adequados para ser eficaz. (Veja também QPS.01.00, EM 1)</t>
  </si>
  <si>
    <t>Os líderes hospital implementam uma estrutura e um processo para o monitoramento e coordenação geral do programa de qualidade e segurança do paciente. (Veja também PCI.08.00, EM 3)</t>
  </si>
  <si>
    <t>Os líderes do hospital definem, por escrito, eventos de segurança do doente, incluindo eventos sentinela, conforme descrito no capítulo "Política de Eventos Sentinela" (SE) deste manual e incentivam relatórios externos voluntários de programas como o Banco de Dados de Eventos Sentinela da Joint Commission International, além de programas obrigatórios de acordo com as leis e regulamentos, quando aplicável.</t>
  </si>
  <si>
    <t>O hospital realiza análises sistemáticas abrangentes, completas e confiáveis (por exemplo, análises de causa raiz) em resposta a eventos sentinela, conforme descrito no capítulo "Política de Eventos Sentinela" (SE) deste manual.</t>
  </si>
  <si>
    <t>Os líderes do hospital estabelecem um processo para fornecer ativamente sistemas de apoio para a equipe que está envolvida em um evento adverso ou em um evento sentinela. (Veja também FMS.07.01, EM 2)</t>
  </si>
  <si>
    <t>Padrão GLD.04.01
Os líderes do hospital relatam informações de melhoria de qualidade e segurança do paciente à entidade de governo e à equipe do hospital.</t>
  </si>
  <si>
    <t>A entidade de governo revisa e aprova anualmente o programa de qualidade e segurança do paciente do hospital. (Veja também FMS.02.00, EM 4)</t>
  </si>
  <si>
    <t>Pelo menos trimestralmente, os líderes do hospital fornecem à entidade de governo relatórios escritos sobre qualidade e segurança do paciente que, no mínimo, inclua o seguinte: • Todas as falhas do sistema ou do processo (veja também QPS.02.00, EM 3) • O número e o tipo de eventos sentinela (consulte também a Política de Eventos Sentinela) • Se os pacientes e familiares foram informados do evento • Todas as ações tomadas para melhorar a segurança, tanto de forma proativa quanto em resposta a ocorrências reais • Acompanhamento das ações tomadas, quando necessário</t>
  </si>
  <si>
    <t>Líderes do hospital comunicam regularmente informações sobre melhoria da qualidade e o programa de segurança do paciente à equipe.</t>
  </si>
  <si>
    <t>Padrão GLD.04.02
Os líderes do hospital colaboram para priorizar quais processos em todo o hospital serão medidos, quais atividades de melhoria e segurança do paciente em todo o hospital serão implementadas e como o sucesso desses esforços em todo o hospital será medido.</t>
  </si>
  <si>
    <t>Líderes do hospital usam os dados disponíveis para definir prioridades coletivas para atividades de medição e melhoria em todo o hospital e para considerar possíveis melhorias no sistema. (Veja também QPS.04.00, EM 1)</t>
  </si>
  <si>
    <t>Líderes do hospital definem prioridades para o cumprimento das Metas Internacionais de Segurança do Paciente.</t>
  </si>
  <si>
    <t>Líderes do hospital conduzem uma avaliação anual de dados orientada por dados e focada no risco para erros de diagnóstico que se concentra em pelo menos uma das seguintes áreas: • Radiologia • Patologia • Laboratório/microbiologia • Coordenação de cuidados</t>
  </si>
  <si>
    <t>Líderes do hospital implementam intervenções baseadas em evidências com base na avaliação de risco de erro diagnóstico e análise de dados, com a intenção de melhorar a(s) área(s) de foco diagnóstico e avaliar a eficácia das intervenções de forma contínua, reavaliando quando indicado.</t>
  </si>
  <si>
    <t>Padrão GLD.05.00
Os líderes do hospital são responsáveis pela revisão, seleção e monitoramento de contratos clínicos e não clínicos e inspecionam a conformidade com os serviços contratados conforme necessário.</t>
  </si>
  <si>
    <t>Líderes do hospital identificam um(s) indivíduo(s) com responsabilidade de supervisão dos contratos para atender às necessidades do paciente e da gerência. (Veja também AOP.03.00, EM 3)</t>
  </si>
  <si>
    <t>O hospital tem uma descrição escrita da natureza e do âmbito dos serviços a prestar por meio de acordos contratuais</t>
  </si>
  <si>
    <t>Líderes de departamento/serviços participam da revisão, seleção e monitoramento de contratos clínicos e não clínicos. (Veja também ASC.01.00, EM 6)</t>
  </si>
  <si>
    <t>Líderes do hospital monitoram a conformidade com os serviços contratados e tomam medidas para manter a continuidade dos serviços quando os contratos são renegociados ou rescindidos. (Ver também AOP.03.09, EMs 3 e 4; AOP.05.06, EMs 3 e 4)</t>
  </si>
  <si>
    <t>Todos os contratos estipulam os dados de qualidade e desempenho que devem ser comunicados ao hospital, a frequência e mecanismo de relatórios e como o hospital responderá quando os requisitos ou expectativas de qualidade não forem atendidos. (Ver também AOP.03.09, EMs 3 e 4; AOP.05.06, EMs 3 e 4)</t>
  </si>
  <si>
    <t>Dados de qualidade reportados no âmbito dos contratos são integradas no controle do programa de qualidade do hospital</t>
  </si>
  <si>
    <t>Padrão GLD.05.01
Os líderes do hospital garantem que os profissionais de saúde e a equipe clínica não empregada pelo hospital tenham as credenciais corretas e sejam competentes e/ou tenham privilégios para os serviços prestados aos pacientes do hospital.</t>
  </si>
  <si>
    <t>Todos os serviços de diagnósticos, consultivos e de tratamento prestados por profissionais de saúde independentes fora do hospital são credenciados e têm privilégios definidos pelo hospital para fornecer tais serviços.</t>
  </si>
  <si>
    <t>Profissionais de saúde independentes que prestam serviços de atendimento ao paciente nas instalações do hospital, mas não são profissionais ou membros da equipe clínica são credenciados são credenciados, têm privilégios e são avaliados conforme exigido em SQE.05.00 a SQE.07.01.</t>
  </si>
  <si>
    <t>Qualquer equipe de apoio que acompanhe profissionais de saúde independentes e forneça cuidados e serviços no hospital está em conformidade com os requisitos para verificação de fontes primárias.</t>
  </si>
  <si>
    <t>A qualidade dos serviços prestados por profissionais independentes fora do hospital é monitorada como um componente do programa de melhoria da qualidade do hospital.</t>
  </si>
  <si>
    <t>Padrão GLD.05.02
Os líderes do hospital usam dados e informações na tomada de decisões de recursos para entender suas implicações na segurança e qualidade do paciente.</t>
  </si>
  <si>
    <t>Os líderes do hospital usam dados e informações ao tomar decisões sobre compra, substituição ou obsolescência de equipamentos médicos. (Veja também FMS.07.00, EM 1)</t>
  </si>
  <si>
    <t>Os líderes do hospital usam dados e informações ao tomar decisões sobre as necessidades de pessoal para apoiar continuamente a segurança e a qualidade do paciente.</t>
  </si>
  <si>
    <t>Os líderes do hospital usam as recomendações de organizações profissionais e outras fontes autorizadas na tomada de decisões sobre recursos. (Ver também GHI.04.00, EMs 1 e 2)</t>
  </si>
  <si>
    <t>Os líderes do hospital monitoram os resultados de suas decisões e usam os dados para avaliar e melhorar a qualidade de suas decisões de compra e alocação de recursos.</t>
  </si>
  <si>
    <t>Padrão GLD.05.03
Os líderes do hospital estabelecem uma estratégia de cadeia de suprimentos que inclui a proteção de pacientes e profissionais contra suprimentos instáveis, contaminados, defeituosos e falsificados.</t>
  </si>
  <si>
    <t>Os líderes do hospital definem uma estratégia de cadeia de suprimentos por escrito que faça o seguinte:
• Definir as etapas da cadeia de suprimentos.
 • Identificar riscos nas etapas da cadeia de suprimentos.
• Definir os suprimentos de maior risco.
 • Descrever recomendações sobre a mitigação de riscos que garantirão a continuidade de serviços de atendimento ao paciente seguros e de alta qualidade.</t>
  </si>
  <si>
    <t>O hospital tem um processo para realizar o rastreamento retrospectivo de suprimentos considerados instáveis, contaminado, defeituoso ou falsificado.</t>
  </si>
  <si>
    <t>O hospital notifica o fabricante e/ou distribuidor quando suprimentos instáveis, contaminados, defeituosos ou falsificados são identificados.</t>
  </si>
  <si>
    <t>Padrão GLD.06.00
O hospital identifica o escopo de serviços e a estrutura de cada departamento ou serviço.</t>
  </si>
  <si>
    <t>Cada departamento ou serviço do hospital é dirigido por um indivíduo com qualificação, treinamento, educação e experiência comparáveis aos serviços prestados. (Veja também AOP.03.01, EM 1; AOP.04.00, EM 1; AOP.05.01, EM 1; MMU.01.00, EM s 1 e 5; FMS.01.01, EM 1; HCT.01.00, EM 2; PCI.01.00, EM 1; QPS.01.00, EM 1; GHI.01.00, EM 3)</t>
  </si>
  <si>
    <t>Os líderes de departamento/serviço recomendam espaço, equipamentos médicos, pessoal, tecnologia e outros recursos necessários ao departamento ou serviço e têm um processo em vigor para responder à escassez. (Veja também SQE.01.00, EM 1)</t>
  </si>
  <si>
    <t>Os líderes de departamento/serviço descrevem os serviços atuais e planejados fornecidos por cada departamento ou serviço. (Veja também ACC.02.02, EM 3)</t>
  </si>
  <si>
    <t>Existe coordenação/ou integração de serviços dentro e entre outros departamentos e serviços. (Ver também ACC.02.02, EM 4; ACC.03.00, EM 1; ACC.05.00, EM 1)</t>
  </si>
  <si>
    <t>Padrão GLD.06.01
Os líderes de departamento/serviço participam das prioridades de melhoria em todo o hospital e no monitoramento e melhoria do atendimento ao paciente específico para o departamento/serviço.</t>
  </si>
  <si>
    <t>Líderes de departamento/serviço implementam medidas de qualidade em todo o hospital relacionadas aos serviços prestados pelo seu departamento ou serviço, incluindo quaisquer serviços contratados pelos quais sejam responsáveis. (Veja também FMS.02.00, EM 2)</t>
  </si>
  <si>
    <t>Líderes de departamento/serviço implementam medidas de qualidade para reduzir a variação e melhorar os processos dentro do departamento ou serviço. (Veja também FMS.02.00, EM 3)</t>
  </si>
  <si>
    <t>Líderes de departamento/serviço selecionam medidas com base na necessidade de melhoria e, quando a melhoria for sustentada, selecionam uma nova medida. (Veja também QPS.04.00, EM 2)</t>
  </si>
  <si>
    <t>Quando aplicável, a avaliação da participação em atividades de qualidade e os resultados das atividades de medição são incluídos na avaliação do pessoal do departamento.</t>
  </si>
  <si>
    <t>Padrão GLD.06.02
Os líderes de departamento/serviço selecionam e implementam diretrizes de prática clínica, fluxogramas clínicos e protocolos clínicos ao projetar ou melhorar processos.</t>
  </si>
  <si>
    <t>Anualmente, os líderes de departamento/serviço determinam coletivamente pelo menos cinco áreas prioritárias nas quais concentrar o uso das diretrizes de prática clínica.</t>
  </si>
  <si>
    <t>Os líderes de departamento/serviço colaboram com a equipe clínica apropriada para selecionar, revisar, aprovar e modificar as diretrizes de prática clínica, fluxogramas clínicos e protocolos clínicos, conforme necessário.</t>
  </si>
  <si>
    <t>Os líderes de departamento/serviço implementam diretrizes de prática clínica, fluxogramas clínicos e protocolos clínicos para cada área prioritária identificada, conforme relevante para o departamento/serviço.</t>
  </si>
  <si>
    <t>Os líderes de departamento/serviço demonstram como a implementação das diretrizes de prática clínica, fluxogramas clínicos e protocolos clínicos apoia a redução da variação no processo e melhores resultados.</t>
  </si>
  <si>
    <t>Padrão GLD.07.00
Os líderes do hospital estabelecem uma estrutura de gerenciamento ético que promove uma cultura de práticas éticas e tomada de decisões para garantir que o atendimento ao paciente seja prestado dentro das normas comerciais, financeiras, éticas e legais e proteja os pacientes e seus direitos.</t>
  </si>
  <si>
    <t>Os líderes do hospital estabelecem uma estrutura para o gerenciamento ético do hospital que promova o seguinte: • Uma cultura de práticas éticas e tomada de decisão para garantir a proteção dos pacientes e seus direitos (ver também COP.10.02, EM 2; HRP.01.02, EM 1; HRP.01.03, EM 3) • Um mecanismo pelo qual os profissionais de saúde e outros profissionais podem levantar preocupações éticas sem medo de retaliação (ver também GLD.07.01, EM 5) • A(s) estrutura(s) e os processos apoiam a supervisão de questões éticas profissionais e empresariais.</t>
  </si>
  <si>
    <t>A estrutura ética garante que o atendimento ao paciente seja fornecido dentro das normas comerciais, financeiras, éticas e legais.</t>
  </si>
  <si>
    <t>O hospital garante a não discriminação nas práticas de emprego e na prestação de cuidados ao paciente no contexto das normas culturais e regulatórias do país.</t>
  </si>
  <si>
    <t>Os líderes do hospital identificam as normas éticas nacionais e internacionais aplicáveis ao desenvolver a estrutura de conduta ética do hospital.</t>
  </si>
  <si>
    <t>O hospital cobra com precisão os serviços e garante que os incentivos financeiros e os acordos de pagamento não afetem o atendimento, o tratamento ou os serviços do paciente.</t>
  </si>
  <si>
    <t>O hospital provê uma resolução eficaz para conflitos éticos que surgem dentro de um prazo definido.</t>
  </si>
  <si>
    <t>Padrão GLD.07.01
Os líderes do hospital criam e mantêm uma cultura de segurança e qualidade em todo o hospital.</t>
  </si>
  <si>
    <t>Os líderes do hospital estabelecem oportunidades para melhorar a cultura de segurança na organização. (Veja também a Política de Eventos Sentinela e APR.09.00, EM 1)</t>
  </si>
  <si>
    <t>Os líderes do hospital desenvolvem um código de conduta que identifique e corrija comportamentos que são inaceitáveis.</t>
  </si>
  <si>
    <t>Os líderes do hospital estabelecem regularmente educação programada e fornecem recursos (como literatura e conselhos) relevantes para a cultura de segurança do hospital para todos os indivíduos que trabalham no hospital. (Veja também SQE.01.07, EM 3; SQE.07.00, EM 2)</t>
  </si>
  <si>
    <t>Os líderes do hospital fornecem um sistema acessível e confidencial para relatar questões relevantes para uma cultura de segurança no hospital.</t>
  </si>
  <si>
    <t>Os líderes do hospital implementam um processo para evitar retaliação contra indivíduos que relatam problemas de cultura de segurança e garantem que todos os relatórios sejam investigados dentro de um prazo definido. (Veja também GLD.07.00, EM 1)</t>
  </si>
  <si>
    <t>Os líderes do hospital identificam e agem sobre questões sistêmicas que levam os profissionais de saúde a se envolverem em comportamentos inseguros.</t>
  </si>
  <si>
    <t>Padrão GLD.07.02
O hospital implementa um programa de prevenção da violência no local de trabalho para fornecer um local de trabalho seguro e protegido.</t>
  </si>
  <si>
    <t>O programa de prevenção da violência no local de trabalho é liderado por um indivíduo designado e desenvolvido por uma equipe interdisciplinar.</t>
  </si>
  <si>
    <t>O hospital desenvolve e implementa políticas e procedimentos escritos para prevenir e responder a violência no local de trabalho. (Veja também FMS.03.00, EM 1; FMS.04.00, EM 7; SQE.02.02, EMs 1 e 3)</t>
  </si>
  <si>
    <t>O hospital implementa um processo de notificação de incidentes para analisar incidentes e tendências. (Ver também FMS.03.00, EMs 3 e 5; FMS.04.00, EM 9)</t>
  </si>
  <si>
    <t>O hospital implementa um processo de acompanhamento e apoio às vítimas e testemunhas afetadas pela violência no local de trabalho, incluindo trauma e aconselhamento psicológico, se necessário.</t>
  </si>
  <si>
    <t>O hospital implementa um processo para relatar incidentes de violência no local de trabalho ao corpo diretivo. (Veja também SQE.02.02, EM 3)</t>
  </si>
  <si>
    <t>Padrão GLD.08.00
A formação profissional em saúde, quando ministrada dentro do hospital, é orientada pelos parâmetros educacionais definidos pelo programa acadêmico patrocinador e pelos líderes do hospital.</t>
  </si>
  <si>
    <t>O hospital fornece um mecanismo (s) para supervisão do (s) programa (s) de treinamento.</t>
  </si>
  <si>
    <t>O hospital tem um registro completo de todos os alunos e estagiários dentro do hospital.</t>
  </si>
  <si>
    <t>O hospital tem documentação do estado de matrícula, licenciamento ou certificações alcançadas e classificação acadêmica dos alunos e estagiários.</t>
  </si>
  <si>
    <t>O hospital provê o nível de supervisão exigido para cada tipo e nível de estudante e estagiário.</t>
  </si>
  <si>
    <t>O hospital provê uma oportunidade para estudantes e estagiários avaliarem o programa educacional e para receber feedback</t>
  </si>
  <si>
    <t>Padrão GLD.09.00
A pesquisa com seres humanos, quando fornecida dentro do hospital, é guiada por leis, regulamentos e pelos líderes do hospital.</t>
  </si>
  <si>
    <t>Líderes do hospital identificam o(s) profissional(s) responsável(is) pelo desenvolvimento e conformidade com as políticas de pesquisa com seres humanos alinhadas com os requisitos regulatórios e profissionais.</t>
  </si>
  <si>
    <t>Não se aplica</t>
  </si>
  <si>
    <t>Para ajudar o paciente a determinar se deve participar de pesquisas, investigações ou ensaios clínicos, o hospital fornece ao paciente todas as seguintes informações:
 • uma explicação do objetivo e escopo da pesquisa
• a duração esperada da participação do paciente
 • uma descrição clara dos procedimentos a serem seguidos • uma declaração dos potenciais benefícios, riscos, desconfortos e efeitos colaterais
• cuidados, tratamentos e serviços alternativos disponíveis para o paciente que possam ser vantajosos para o paciente</t>
  </si>
  <si>
    <t>O hospital documenta o seguinte no formulário de consentimento de pesquisa: • Que o paciente recebeu informações para ajudar a determinar se deve participar da pesquisa, investigação ou ensaio clínico • Que o paciente foi informado de que a recusa em participar da pesquisa, investigação ou ensaio clínico ou a interrupção da participação a qualquer momento não prejudicará seu acesso a cuidados, tratamento e serviços não relacionados à pesquisa • O nome da pessoa que forneceu as informações e a data em que o formulário foi assinado • O direito do paciente à privacidade, confidencialidade e segurança (ver também PCC.01.02, EM 1)</t>
  </si>
  <si>
    <t>Líderes do hospital garantem que haja uma fonte de seguro de indenização para compensar os pacientes que participam de pesquisas clínicas que experimentam um evento adverso.</t>
  </si>
  <si>
    <t>A supervisão das atividades de pesquisa com seres humanos inclui processos para fornecer confidencialidade e segurança das informações de pesquisa.</t>
  </si>
  <si>
    <t>SQE</t>
  </si>
  <si>
    <t>Padrão SQE.01.00
Os líderes dos departamentos e serviços do hospital definem as qualificações desejadas de toda a equipe.</t>
  </si>
  <si>
    <t>Os líderes de departamento e/ou de serviço consideram os seguintes elementos para projetar as necessidades dos membros da equipe:
• Missão do hospital
• Composição de populações de pacientes atendidas pelo hospital e a complexidade as necessidades de atendimento ao paciente
 • Escopo dos serviços prestados pelo hospital
 • Volume de pacientes
• Equipamento médico e tecnologia utilizados no atendimento ao paciente (Ver também GLD.06.00, EM 2)</t>
  </si>
  <si>
    <t>O hospital define as qualificações dos membros da equipe específicas para suas responsabilidades do cargo.</t>
  </si>
  <si>
    <t>O recrutamento e retenção de todos da equipe cumprem as leis e regulamentos aplicáveis.</t>
  </si>
  <si>
    <t>Padrão SQE.01.01
O hospital define as responsabilidades de cada membro da equipe em uma descrição de cargo atual.</t>
  </si>
  <si>
    <t>Cada membro da equipe que não tem permissão para praticar de forma independente tem uma descrição de cargo.</t>
  </si>
  <si>
    <t>Cada descrição de cargo inclui responsabilidades definidas para o membro da equipe com este cargo.</t>
  </si>
  <si>
    <t>Descrições de cargos e/ou privilégios específicos são necessários para o corpo médico, quando atua no hospital nas seguintes circunstâncias:
• Atua principalmente em uma função gerencial ou em funções clínicas e gerenciais duplas, com as responsabilidades gerenciais identificadas em uma descrição de cargo.
• Tem responsabilidades clínicas selecionadas para as quais não foram autorizados a praticar de forma independente.
 • Está envolvido em um programa de educação e sob supervisão.
 • Está autorizado a prestar serviços temporariamente no hospital.</t>
  </si>
  <si>
    <t>Descrições de cargo são mantidas atualizadas de acordo com a política do hospital. (Veja também SQE.01.04, EM 3)</t>
  </si>
  <si>
    <t>Padrão SQE.01.02
Os líderes dos departamentos e serviços do hospital implementam processos de recrutamento e retenção de pessoal.</t>
  </si>
  <si>
    <t>O hospital implementa um processo coordenado para recrutar pessoal.</t>
  </si>
  <si>
    <t>O hospital implementa um processo coordenado para avaliar as qualificações dos novos profissionais.</t>
  </si>
  <si>
    <t>O hospital implementa um processo coordenado para nomear indivíduos para a equipe.</t>
  </si>
  <si>
    <t>O hospital implementa um processo uniforme em todo o hospital para tipos semelhantes de pessoal.</t>
  </si>
  <si>
    <t>Padrão SQE.01.03
O hospital avalia o desempenho da equipe.</t>
  </si>
  <si>
    <t xml:space="preserve">O hospital usa um processo definido para garantir que as qualificações da equipe sejam consistentes com os cuidados, tratamentos e serviços que oferece. (Ver também ASC.02.01, EMs 1 e 2) </t>
  </si>
  <si>
    <t>O hospital avalia a equipe com base nas expectativas de desempenho que refletem suas responsabilidades do cargo. (Veja também HRP.02.01, EM 2)</t>
  </si>
  <si>
    <t>Os novos profissionais são avaliados antes ou no momento em que iniciam suas responsabilidades de trabalho.</t>
  </si>
  <si>
    <t>O departamento ou serviço ao qual o indivíduo é designado realiza a avaliação.</t>
  </si>
  <si>
    <t>Um indivíduo com a formação educacional, experiência ou conhecimento relacionados às habilidades que estão sendo revisadas conduz ou coparticipa da avaliação.</t>
  </si>
  <si>
    <t>Avaliações da equipe clínica são concluídas e documentadas anualmente ou com mais frequência, conforme definido por política do hospital ou consistente com leis e regulamentos.</t>
  </si>
  <si>
    <t>Padrão SQE.01.04
Há informações pessoais documentadas para cada membro da equipe.</t>
  </si>
  <si>
    <t>Arquivos pessoais para cada membro da equipe são padronizados, atualizados e mantidos</t>
  </si>
  <si>
    <t>Os arquivos pessoais são mantidos em sigilo e seguros, de acordo com a política do hospital.</t>
  </si>
  <si>
    <t>Os arquivos pessoais contêm evidências documentadas do seguinte:
• Descrição do cargo atual que inclui qualificações e responsabilidades do trabalho, conforme indicado (Veja também SQE.01.01, EM 4)
• Histórico de trabalho do membro da equipe
• Registro de orientação concluída sobre o hospital
 • Registro da orientação concluída sobre o cargo/função específica
• Registro de treinamento e educação frequentados pelo membro da equipe
• Avaliações anuais de desempenho concluídas e outras avaliações, conforme definido pela política do hospital ou consistente com leis e regulamentos
• Avaliações anuais de competência do membro da equipe concluídas e outras avaliações de competência, conforme definido pela política do hospital ou consistente com leis e regulamentos</t>
  </si>
  <si>
    <t>Padrão SQE.01.05
O hospital tem a equipe necessária para apoiar os cuidados, tratamentos e serviços que oferece.</t>
  </si>
  <si>
    <t>Líderes do hospital implementam um processo de pessoal para o hospital que apoie o atendimento, o tratamento e os serviços que ele oferece. (Veja também GLD.03.01, EM 1)</t>
  </si>
  <si>
    <t>O processo de pessoal do hospital indica o número, os tipos e as qualificações desejadas da equipe, usando um método de pessoal reconhecido.</t>
  </si>
  <si>
    <t>O processo de pessoal do hospital descreve a atribuição e reatribuição de profissionais.</t>
  </si>
  <si>
    <t>O processo de pessoal do hospital está em conformidade com as leis e regulamentos locais.</t>
  </si>
  <si>
    <t>A efetividade do processo de pessoal do hospital é continuamente monitorada.</t>
  </si>
  <si>
    <t>O processo de pessoal do hospital é revisado e atualizado de acordo com a política do hospital e quando indicado.</t>
  </si>
  <si>
    <t>O processo de pessoal do hospital envolve a coordenação com vários líderes de departamentos/serviços do hospital.</t>
  </si>
  <si>
    <t>Padrão SQE.01.06
O hospital fornece orientação para todos os profissionais.</t>
  </si>
  <si>
    <t>O hospital completa a orientação antes que a equipe forneça cuidados, tratamento e serviços. (Veja também GHI.02.00, EM 4)</t>
  </si>
  <si>
    <t>O hospital orienta a equipe sobre o seguinte, de acordo com a descrição de seu cargo: • Problemas de qualidade e segurança de alto risco (por exemplo, notificações de erros médicos, práticas de prevenção e controle de infecções, políticas do hospital sobre pedidos de medicamentos por telefone) • O hospital, o departamento e/ou unidade para o qual eles são designados • Suas responsabilidades específicas do cargo e quaisquer atribuições específicas • Políticas e procedimentos relevantes em todo o hospital e departamentos e/ou unidades • Direitos do paciente, incluindo aspectos éticos de cuidados, tratamento ou serviços e o processo usado para abordar questões éticas com base em seus deveres e responsabilidades de cargo (ver também PCC.01.01, EM 2)</t>
  </si>
  <si>
    <t>Outros profissionais clínicos que acompanham o corpo médico e prestam cuidados, tratamentos e serviços são orientados sobre o hospital.</t>
  </si>
  <si>
    <t>Estudantes, estagiários e voluntários são orientados sobre o hospital e têm responsabilidades designadas.</t>
  </si>
  <si>
    <t>A conclusão da orientação e uma descrição dos objetivos são documentadas para todos os membros da equipe em seus arquivos pessoais.</t>
  </si>
  <si>
    <t>Padrão SQE.01.07
Os membros da equipe participam da educação e do treinamento.</t>
  </si>
  <si>
    <t>Os membros da equipe participam de educação e treinamento continuados para manter ou aumentar sua competência e conforme necessário. (Veja também AOP.05.02, EM 2)</t>
  </si>
  <si>
    <t>São fornecidos educação e treinamento continuados aos membros da equipe do hospital</t>
  </si>
  <si>
    <t>O hospital utiliza várias fontes de dados e informações, incluindo os resultados de qualidade e segurança e atividades de medição, para identificar as necessidades de educação dos membros da equipe. (Veja também GLD.07.01, EM 3)</t>
  </si>
  <si>
    <t>Os programas de educação da equipe são desenvolvidos e fornecidos com base nesses dados e informações.</t>
  </si>
  <si>
    <t>A educação é relevante para a capacidade de cada membro da equipe de atender às necessidades do paciente e/ou aos requisitos de educação continuada.</t>
  </si>
  <si>
    <t>O hospital fornece tempo e recursos adequados para que todos os membros da equipe participem de oportunidades relevantes de educação e treinamento.</t>
  </si>
  <si>
    <t>Conclusões de treinamento e educação são documentadas para todos os membros da equipe em seus arquivos pessoais.</t>
  </si>
  <si>
    <t>Padrão SQE.01.08
Os membros da equipe são competentes em técnicas de ressuscitação apropriadas à sua função no hospital.</t>
  </si>
  <si>
    <t>A equipe clínica que presta atendimento, tratamento e serviços ao paciente, incluindo o corpo médico, é treinada em pelo menos suporte básico de vida (basic life support - BLS).</t>
  </si>
  <si>
    <t>O hospital identifica o nível de treinamento (suporte básico ou avançado de vida), adequado às suas funções no hospital, para todo o corpo clínico que presta atendimento ao paciente. (Veja também ASC.02.00, EM 2)</t>
  </si>
  <si>
    <t>Evidencia de que o membro do corpo clínico concluiu e passou o nível de treinamento apropriado para sua função está documentada no arquivo pessoal.</t>
  </si>
  <si>
    <t>O nível de treinamento apropriado para sua função na equipe clínica é repetido com base nos requisitos e/ou prazos estabelecidos por um programa de treinamento reconhecido, ou a cada dois anos, se um programa de treinamento reconhecido não for usado.</t>
  </si>
  <si>
    <t>O hospital identifica pessoal não clínico a ser treinado em suporte básico de vida (BLS).</t>
  </si>
  <si>
    <t>Evidência de que o membro da equipe não clínica concluiu e foi aprovado no nível de treinamento apropriado para sua função está documentado no arquivo de pessoal.</t>
  </si>
  <si>
    <t>O nível de treinamento apropriado para sua função na equipe não clínica é repetido com base nos requisitos e/ou prazos estabelecidos por um programa de treinamento reconhecido, ou a cada dois anos, se um programa de treinamento reconhecido não é usado.</t>
  </si>
  <si>
    <t>Padrão SQE.02.00
O hospital oferece um programa de saúde e segurança dos membros da equipe que aborda a saúde física e mental e condições de trabalho seguras.</t>
  </si>
  <si>
    <t>O hospital implementa um programa de saúde e segurança para os membros da equipe que responde às necessidades urgentes e não urgentes da equipe por meio de tratamento direto e encaminhamento.</t>
  </si>
  <si>
    <t>O programa de saúde e segurança para os membros da equipe, no mínimo, inclui o seguinte:
• Triagem inicial de saúde no emprego
• Medidas para controlar exposições profissionais prejudiciais, como exposição a drogas tóxicas e níveis de ruído prejudiciais
• Educação, treinamento e recursos sobre manuseio seguro de pacientes
• Educação, treinamento e recursos para membros da equipe que podem ser segundas vítimas de eventos adversos ou sentinela
• Tratamento para condições ou lesões comuns relacionadas ao trabalho (ver também PCI.08.01, EM 1)</t>
  </si>
  <si>
    <t>O programa de saúde e segurança para os membros da equipe avalia e fornece recursos para lidar com o seguinte:
• Saúde mental da equipe
• Burnout
• Fadiga da compaixão
 • Risco de suicídio e automutilação</t>
  </si>
  <si>
    <t>O hospital implementa um processo de acompanhamento e apoio ao pessoal que é segunda vítima de eventos adversos ou sentinela.</t>
  </si>
  <si>
    <t>O hospital demonstra as ações tomadas para a prevenção da saúde mental da equipe para, no mínimo, abordar o seguinte: • Burnout • Fadiga da compaixão • Risco de automutilação • Suicídio</t>
  </si>
  <si>
    <t>Padrão SQE.02.01
O hospital identifica membros da equipe em risco de exposição e possível transmissão de doenças evitáveis por vacinação e implementa um programa de vacinação e imunização da equipe.</t>
  </si>
  <si>
    <t>O hospital identifica infecções epidemiologicamente significativas, bem como membros da equipe clínica com alto risco de exposição e transmissão de infecções. (Veja também PCI.08.01, EM 2)</t>
  </si>
  <si>
    <t>O hospital desenvolve e implementa um programa de vacinação e imunização ara membros da equipe clínica. (Veja também PCI.07.02, EM 5)</t>
  </si>
  <si>
    <t>O programa de vacinação e imunização para membros da equipe clínica inclui uma política e um processo para a administração e gerenciamento de vacinações e imunizações.</t>
  </si>
  <si>
    <t>O hospital avalia os riscos associados a membros da equipe clínica não vacinados e identifica estratégias para reduzir o risco de exposição de pacientes e profissionais a doenças infecciosas de membros da equipe clínica não vacinados.</t>
  </si>
  <si>
    <t>O programa de prevenção e controle de infecções orienta a avaliação, aconselhamento e acompanhamento de profissionais expostos a doenças infecciosas. (Veja também PCI.08.01, EM 1)</t>
  </si>
  <si>
    <t>Padrão SQE.02.02
Líderes e membros da equipe são treinados e demonstram competência na prevenção da violência no local de trabalho.</t>
  </si>
  <si>
    <t>O hospital fornece treinamento, educação e recursos (no momento da contratação, anualmente e sempre que ocorrerem mudanças em relação ao programa de prevenção da violência no local de trabalho) para líderes e membros da equipe. (Veja também GLD.07.02, EM 2)</t>
  </si>
  <si>
    <t>O hospital determina quais aspectos do treinamento são apropriados para indivíduos com base em suas funções e responsabilidades.</t>
  </si>
  <si>
    <t>O treinamento, educação e os recursos abordam a prevenção, reconhecimento, resposta e denúncia de violência no local de trabalho da seguinte forma: • O que constitui violência no local de trabalho (ver também GLD.07.02, EM 2) • Educação sobre as funções e responsabilidades dos líderes, equipe clínica, pessoal de segurança e aplicação da lei externa • Treinamento em detecção precoce, desescalada, habilidades de intervenção não física, técnicas de intervenção física e resposta a incidentes de emergência • O processo de notificação para incidentes de violência no local de trabalho (ver também GLD.07.02, EM 5)</t>
  </si>
  <si>
    <t>Padrão SQE.03.00
O hospital possui um processo uniforme para coletar, verificar e avaliar as credenciais do corpo de enfermagem.</t>
  </si>
  <si>
    <t>O hospital tem um procedimento padronizado para coletar, verificar e documentar a educação, certificações e experiência de cada membro corpo de enfermagem.</t>
  </si>
  <si>
    <t>Educação, treinamento e as certificações são verificadas a partir da fonte original de acordo com os parâmetros encontrados no propósito de SQE.05.01 e são documentadas.</t>
  </si>
  <si>
    <t>Licenciamento é verificado a partir da fonte original consistente com os seguintes parâmetros e está documentado:
 • O hospital deve verificar se o terceiro implementa o processo de verificação conforme descrito na política ou regulamentos do hospital e se o processo atende às expectativas descritas nesses padrões.
• O hospital afiliado que já realizou a verificação da fonte primária de candidato para o corpo de enfermagem, é aceitável se o hospital tiver acreditação atual da Joint Commission International (JCI) com "total conformidade" em seu processo de verificação encontrado em SQE.03.00, EMs 1 e 2.
 • O hospital que baseia suas decisões em parte em informações de uma agência designada, oficial, governamental ou não governamental, deve avaliar a agência que fornece as informações inicialmente e depois periodicamente para garantir que os padrões da JCI continuem a ser atendidos</t>
  </si>
  <si>
    <t>Um arquivo é mantido com as credenciais de cada membro do corpo de enfermagem.</t>
  </si>
  <si>
    <t>O hospital tem um processo para garantir que as credenciais dos enfermeiros contratados sejam válidas e completas antes da atribuição da função.</t>
  </si>
  <si>
    <t>O hospital tem um processo para garantir que os enfermeiros que não são funcionários do hospital, mas acompanham médicos particulares e prestam serviços aos pacientes do hospital, tenham credenciais válidas.</t>
  </si>
  <si>
    <t>Padrão SQE.03.01
O hospital possui um processo padronizado para identificar responsabilidades do cargo e planejar atribuições de trabalho clínico com base nas credenciais do membro do corpo de enfermagem e em quaisquer requisitos regulamentares.</t>
  </si>
  <si>
    <t>O corpo de enfermagem tem educação, experiência, treinamento e/ou certificação, consistente com o escopo de serviços do hospital, conforme indicado em sua descrição de cargo e conforme aplicável à sua função.</t>
  </si>
  <si>
    <t>Os critérios básicos para avaliar o corpo de enfermagem no programa incluem, no mínimo, licença atual e competência atual.</t>
  </si>
  <si>
    <t>Licenciamento, educação, treinamento e experiência do membro do corpo de enfermagem são usados para planejar atribuições de trabalho clínico.</t>
  </si>
  <si>
    <t>O processo considera as leis e regulamentos aplicáveis.</t>
  </si>
  <si>
    <t>O processo apoia planos de pessoal de enfermagem.</t>
  </si>
  <si>
    <t>Padrão SQE.03.02-O hospital possui um processo padronizado para a participação do corpo de enfermagem nas atividades de melhoria contínua da qualidade do hospital, incluindo a avaliação do desempenho individual, quando indicado</t>
  </si>
  <si>
    <t>O corpo de enfermagem participa das atividades de melhoria contínua da qualidade do hospital.</t>
  </si>
  <si>
    <t>O desempenho de membros individuais do corpo de enfermagem é revisado quando indicado por variações observadas na tendência ou como desvios negativos para atividades de melhoria contínua da qualidade</t>
  </si>
  <si>
    <t>Informações do processo de revisão são documentadas nos arquivos pessoais do corpo de enfermagem ou em um arquivo de credenciais, consistente com a política do hospital.</t>
  </si>
  <si>
    <t>Padrão SQE.04.00
O hospital tem um processo uniforme para coletar, verificar e avaliar credenciais de outros profissionais de saúde.</t>
  </si>
  <si>
    <t>O hospital tem um processo padronizado para coletar, documentar e verificar a educação, certificações e experiência de cada membro de outros profissionais de saúde.</t>
  </si>
  <si>
    <t>A educação, o treinamento e as certificações são verificadas a partir da fonte original consistente com os parâmetros encontrados no propósito de SQE.05.01 e estão documentados.</t>
  </si>
  <si>
    <t>O licenciamento é verificado a partir da fonte original consistente com os seguintes parâmetros e está documentado: • O hospital deve verificar se o terceiro implementa o processo de verificação conforme descrito na política ou regulamentos do hospital e se o processo atende às expectativas descritas nesses padrões. • O hospital afiliado que já realizou a verificação de fonte primária do candidato para outros profissionais de saúde é aceitável se o hospital tiver a acreditação atual da Joint Commission International (JCI) com "total conformidade" em seu processo de verificação encontrado em SQE.04.00, EMs 1 e 2. • O hospital que baseia suas decisões em parte em informações de uma agência designada, oficial, governamental ou não governamental, deve avaliar a agência que fornece as informações inicialmente e depois periodicamente para garantir que os padrões da JCI continuem a ser atendidos.</t>
  </si>
  <si>
    <t>Um arquivo é mantido com cópias de qualquer licença, certificação ou registro necessário para outros profissionais de saúde.</t>
  </si>
  <si>
    <t>O hospital tem um processo para garantir que os profissionais de saúde que não são funcionários do hospital, mas acompanham médicos particulares e prestam serviços aos pacientes do hospital, tenham credenciais válidas comparáveis aos requisitos de credenciais do hospital.</t>
  </si>
  <si>
    <t>Padrão SQE.04.01
O hospital tem um processo uniforme para identificar responsabilidades do cargo e fazer atribuições de trabalho clínico com base nas credenciais de outros profissionais de saúde e em quaisquer requisitos regulamentares.</t>
  </si>
  <si>
    <t>Licenciamento, educação, treinamento e experiência de outros profissionais de saúde são usados para fazer atribuições de trabalho clínico.</t>
  </si>
  <si>
    <t>O processo considera leis e regulamentos relevantes.</t>
  </si>
  <si>
    <t>O processo apoia o processo de pessoal para outra equipe clínica.</t>
  </si>
  <si>
    <t>Padrão SQE.04.02
O hospital tem um processo uniforme para a participação de outros profissionais de saúde nas atividades de melhoria contínua da qualidade do hospital.</t>
  </si>
  <si>
    <t>Outros profissionais de saúde participam das atividades de melhoria contínua da qualidade do hospital.</t>
  </si>
  <si>
    <t>O desempenho de outros profissionais de saúde é revisado quando indicado pelos resultados das atividades de melhoria contínua da qualidade.</t>
  </si>
  <si>
    <t>Informações apropriadas do processo de revisão são documentadas nos arquivos pessoais de outros profissionais de saúde.</t>
  </si>
  <si>
    <t>Padrão SQE.05.00
O hospital tem um processo uniforme para coletar as credenciais dos membros do corpo médico autorizados a fornecer atendimento ao paciente sem supervisão.</t>
  </si>
  <si>
    <t>O hospital tem um processo contínuo e uniforme para gerenciar as credenciais dos membros do corpo médico.</t>
  </si>
  <si>
    <t>Os membros do corpo médico autorizados por leis e regulamentos e pelo hospital a prestar atendimento ao paciente sem supervisão são identificados.</t>
  </si>
  <si>
    <t>Registros de educação, licenciamento e outras credenciais exigidas por leis e regulamentos são copiadas pelo hospital e mantido para cada membro do corpo médico em seu arquivo pessoal ou em um registro de credencial separado.</t>
  </si>
  <si>
    <t>Todas as credenciadas definidas pela política do hospital são copiadas pelo hospital e mantidos para cada membro do corpo médico em seu arquivo pessoal ou em um registro de credencial separado.</t>
  </si>
  <si>
    <t>Padrão SQE.05.01
A educação, licenciamento/registro e outras credenciais exigidas pelas leis e regulamentos dos membros do corpo médico e pelo hospital são verificadas e mantidas atualizadas.</t>
  </si>
  <si>
    <t>Educação, licenciamento/registro e outras credenciais exigidas por leis e regulamentos ou emitidas por entidades educacionais ou profissionais reconhecidas como base para privilégios clínicos são verificadas a partir da fonte original que emitiu a credencial.</t>
  </si>
  <si>
    <t>As credenciais adicionais exigidas pela política do hospital são verificadas da fonte que emitiu a credencial quando exigido pela política do hospital.</t>
  </si>
  <si>
    <t>Quando uma terceira parte de verificação é usada, o hospital verifica se o terceiro (por exemplo, uma agência governamental) implementa o processo de verificação conforme descrito na política do hospital e/ou nas leis e regulamentos e se o processo atende às seguintes expectativas: • O hospital verifica se o terceiro implementa o processo de verificação conforme descrito em • política ou regulamentos do hospital e se o processo atende às expectativas descritas nesses padrões. • O hospital afiliado que já realizou a verificação de fonte primária do candidato ao corpo médico é aceitável se o hospital afiliado tiver a acreditação atual da Joint Commission International (JCI) com "total conformidade" em seu processo de verificação encontrado em SQE.05.01, EMs 1 e 2. • O hospital que baseia suas decisões em parte em informações de uma agência designada, oficial, governamental ou não governamental, deve avaliar a agência que fornece as informações inicialmente e depois periodicamente para garantir que os padrões da JCI continuem a ser atendidos</t>
  </si>
  <si>
    <t>Padrão SQE.05.02 Existe um processo de decisão uniforme para a nomeação inicial de membros do corpo médico e outros autorizados a praticar de forma independente.</t>
  </si>
  <si>
    <t>As nomeações para o corpo médico são feitas de acordo com a política do hospital e são consistentes com a população de pacientes do hospital, missão e cuidados, tratamento e serviços prestados.</t>
  </si>
  <si>
    <t>Nomeações não são feitas até que, pelo menos, o licenciamento/registro tenha sido verificado a partir da fonte primária, e o membro do corpo médico forneça serviços de atendimento ao paciente sob supervisão, até que todas as credenciais exigidas por leis e regulamentos tenham sido verificadas a partir da fonte original, até um máximo de 90 dias.</t>
  </si>
  <si>
    <t>O método de supervisão, frequência de supervisão e supervisores responsáveis são documentados no arquivo de credencial do indivíduo.</t>
  </si>
  <si>
    <t>Padrão SQE.06.00
O hospital tem um processo padronizado, objetivo e baseado em evidências para conceder ou negar privilégios para membros do corpo médico e outros autorizados a praticar de forma independente.</t>
  </si>
  <si>
    <t>O processo de concessão de privilégio utilizado pelo hospital atende aos seguintes critérios: • Padronizado, objetivo e baseado em evidências • Documentado nas políticas do hospital • Ativo e contínuo à medida que as credenciais dos membros do corpo médico mudam • Seguido para todas as classes de membros do corpo médico • A eficácia do processo pode ser demonstrada.</t>
  </si>
  <si>
    <t>O hospital estabelece critérios que determinam a capacidade de um membro do corpo médico de prestar atendimento, tratamento e serviços ao paciente dentro do escopo do(s) privilégio(s) solicitado(s), incluindo a avaliação do seguinte: • Licenciamento e/ou certificação atual, conforme indicado, verificado com a fonte primária • A formação específica relevante do candidato, verificada com a fonte primária • Evidência de capacidade física para realizar o privilégio solicitado • Dados da revisão da prática profissional por uma organização que atualmente concede privilégio ao candidato (se disponível) • Recomendação de colegas e/ou professores • Ao renovar privilégios, revisão do desempenho do membro da equipe médica dentro do hospital</t>
  </si>
  <si>
    <t>Os privilégios clínicos de todos os membros do corpo médico são disponibilizados para os indivíduos ou locais do hospital em que o membro do corpo médico prestará serviços.</t>
  </si>
  <si>
    <t>Cada membro do corpo médico fornece apenas os serviços que foram especificamente concedidos pelo hospital.</t>
  </si>
  <si>
    <t>O hospital implementa um processo para responder à solicitação de um paciente por informações adicionais sobre o membro do corpo médico responsável por seus cuidados.</t>
  </si>
  <si>
    <t>Padrão SQE.06.01
Os líderes do hospital concedem privilégios clínicos temporários ao corpo médico por um período limitado de tempo e por circunstâncias definidas pela política do hospital.</t>
  </si>
  <si>
    <t>Privilégios temporários são concedidos para atender a uma necessidade específica de atendimento ao paciente pelo período de tempo definido na política do hospital.</t>
  </si>
  <si>
    <t>Quando privilégios temporários são concedidos para atender a uma necessidade específica, o corpo médico organizado verifica o licenciamento atual e a competência atual.</t>
  </si>
  <si>
    <t>Privilégios temporários dos requerentes de novos privilégios podem ser concedidos enquanto aguardam revisão e aprovação pelo corpo médico organizado, após verificação do seguinte: • Licenciamento atual • Treinamento ou experiência relevante • Competência atual • Capacidade de executar os privilégios solicitados • Outros critérios exigidos pelas leis e regulamentos aplicáveis • Uma consulta e avaliação de qualquer banco de dados do corpo médico relevante ou informações da plataforma, se aplicável • Um aplicativo completo • Nenhuma contestação atual ou anteriormente bem-sucedida de licenciamento ou registro • Nenhuma sujeição à rescisão involuntária da participação do corpo médico em outra organização • Nenhuma sujeição a limitação involuntária, redução, negação ou perda de privilégios clínicos</t>
  </si>
  <si>
    <t>Todos os privilégios temporários são concedidos pelo líder do hospital designado e de acordo com a política do hospital.</t>
  </si>
  <si>
    <t>Todos os privilégios são concedidos por recomendação do líder do corpo médico ou designado autorizado por política do hospital.</t>
  </si>
  <si>
    <t>Privilégios temporários dos requerentes que solicitem novos privilégios são concedidos por um período máximo de 120 dias.</t>
  </si>
  <si>
    <t>Padrão SQE.06.02
No mínimo, a cada três anos, o hospital decide conceder, negar e/ou modificar a associação solicitada ao corpo médico e para os privilégios clínicos.</t>
  </si>
  <si>
    <t>O hospital determina se a associação ao corpo médico e os privilégios clínicos continuam com ou sem modificação com base na avaliação contínua da prática profissional do membro do corpo médico, pelo menos a cada três anos.</t>
  </si>
  <si>
    <t>O arquivo pessoal de cada membro do corpo médico contém evidências de que todas as credenciais estão atualizadas.</t>
  </si>
  <si>
    <t>O arquivo pessoal de cada membro do corpo médico contêm quaisquer credenciais obtidas após a nomeação inicial e incluem evidências de verificação de fonte primária antes do uso na modificação ou adição de privilégios clínicos.</t>
  </si>
  <si>
    <t>Membros do corpo médico e outros s clínicos que solicitam privilégios são notificados sobre a decisão de concessão. No caso de negação de privilégio, o requerente é informado do motivo da recusa.</t>
  </si>
  <si>
    <t>O hospital tem implementado um processo para divulgar todas as decisões de concessão, modificação ou restrição a todas as pessoas ou entidades internas e externas apropriadas, conforme definido pela política do hospital e pelas leis e regulamentos aplicáveis.</t>
  </si>
  <si>
    <t>A decisão de renovação é documentada no arquivo de credencial do membro do corpo médico e inclui a identificação do avaliador e quaisquer condições especiais identificadas durante a revisão.</t>
  </si>
  <si>
    <t>Padrão SQE.07.00
O hospital usa um processo padronizado contínuo para avaliar a qualidade e a segurança do atendimento ao paciente prestado por cada membro do corpo médico.</t>
  </si>
  <si>
    <t>Todos os membros do corpo médico estão incluídos em um processo contínuo de avaliação da prática profissional e avaliação padronizada no nível do departamento/serviço, conforme definido pela política do hospital.</t>
  </si>
  <si>
    <t>O processo de avaliação da prática profissional contínua identifica áreas de alcance e potencial melhoria relacionada aos comportamentos, crescimento profissional e resultados clínicos do membro do corpo médico e os resultados são revisados com informações objetivas e baseadas em evidências, conforme disponíveis. Esses resultados são comparados a outros membros do corpo médico do departamento/serviço. (Veja também GLD.07.01, EM 3)</t>
  </si>
  <si>
    <t>Os dados e informação de monitoramento são revistas pelo menos de 12 em 12 meses pelo departamento ou chefe de serviço do indivíduo, gerente médico sênior ou equipe do corpo médico e os resultados, conclusões e quaisquer ações tomadas são documentados no arquivo de credenciais do membro do corpo médico e outros registros relevantes.</t>
  </si>
  <si>
    <t>Fontes de dados em todo o hospital e departamento/serviço são usadas em avaliações contínuas de indivíduos membros do corpo médico. Esses dados atendem aos seguintes critérios:
• São coletados de uma maneira que identifica prontamente o membro individual do corpo médico.
• Refere-se à prática clínica de cada membro do corpo médico.</t>
  </si>
  <si>
    <t>Quando os achados afetam a nomeação ou privilégios do membro do corpo médico, há um processo para agir de acordo com os achados e tais ações "por causa" são documentadas no arquivo do membro do corpo médico e são repercutidas na lista de privilégios clínicos. A notificação é enviada aos locais em que o membro do corpo médico presta serviços.</t>
  </si>
  <si>
    <t>Padrão SQE.07.01
Os líderes hospitalares definem as circunstâncias que exigem monitoramento e avaliação do desempenho profissional de um membro do corpo médico.</t>
  </si>
  <si>
    <t>Um período de avaliação da prática profissional focada é implementado para todos com privilégios inicialmente solicitados.</t>
  </si>
  <si>
    <t>Critérios são desenvolvidos para avaliar o desempenho do membro do corpo médico ou de outra equipe médica quando são identificados problemas que afetam a prestação de cuidados seguros e de alta qualidade ao paciente.</t>
  </si>
  <si>
    <t>O processo de monitoramento de desempenho é claramente definido e inclui cada um dos seguintes elementos: • Critérios para a realização do monitoramento de desempenho • Método para estabelecer um plano de monitoramento específico para o privilégio solicitado • Método para determinar a duração do controle do desempenho • Circunstâncias em que é necessário o controle por uma fonte externa</t>
  </si>
  <si>
    <t>A avaliação da prática profissional focada da prática é implementada de forma consistente de acordo com os critérios e processos definidos pela política do hospital.</t>
  </si>
  <si>
    <t>As medidas utilizadas para resolver problemas de desempenho são definidas por escrito e implementados.</t>
  </si>
  <si>
    <t>QPS</t>
  </si>
  <si>
    <t>Padrão QPS.01.00
Um indivíduo qualificado orienta a implementação do programa de qualidade e segurança do paciente do hospital e gerencia as atividades necessárias para realizar um programa eficaz de melhoria contínua da qualidade e segurança do paciente dentro do hospital.</t>
  </si>
  <si>
    <t>Líderes do hospital selecionam indivíduo(s) qualificado(s) com experiência nos métodos e processos de melhoria para liderar a implementação do programa de qualidade e segurança do paciente do hospital. (Veja também GLD.06.00, EM 1; GLD.04.00, EM 3; PCI.08.00, EM 1)</t>
  </si>
  <si>
    <t>O indivíduo(s) que lidera o programa de qualidade e segurança do paciente seleciona e supervisiona pessoal qualificado para o programa.</t>
  </si>
  <si>
    <t>O programa de qualidade e segurança do paciente fornece suporte e coordenação aos líderes de departamento/serviço para medidas semelhantes em todo o hospital e para as prioridades de melhoria do hospital. (Veja também GLD.04.00, EM 1; QPS.03.03, EM 1)</t>
  </si>
  <si>
    <t>O programa de qualidade e segurança do paciente implementa um programa de treinamento para todos os profissionais que é consistente com as funções dos membros da equipe no programa de qualidade e segurança do paciente.</t>
  </si>
  <si>
    <t>O programa de qualidade e segurança do paciente é responsável pela comunicação regular do desempenho contínuo, resultados da análise de dados e resultados dos esforços de melhoria da qualidade para todos os profissionais.</t>
  </si>
  <si>
    <t>O hospital define as qualificações para seus líderes de programa de qualidade e segurança do paciente e sua equipe.</t>
  </si>
  <si>
    <t>Padrão QPS.02.00
A equipe do programa de qualidade e segurança do paciente apoia o processo de seleção de indicadores de qualidade e medidas e fornece coordenação e integração das atividades de medição em todo o hospital.</t>
  </si>
  <si>
    <t>O programa de qualidade e segurança do paciente integra e apoia a seleção de medidas e indicadores em todo o hospital e no nível do departamento ou serviço.</t>
  </si>
  <si>
    <t>O programa de qualidade e segurança do paciente fornece coordenação e integração de todas as atividades de medição específicas do departamento e do serviço em todo o hospital. (Veja também GLD.04.00, EM 2)</t>
  </si>
  <si>
    <t>O programa de qualidade e segurança do paciente integra sistemas de notificações de eventos de segurança do paciente, medidas de cultura de segurança, indicadores de qualidade e outras medidas para facilitar soluções e melhorias integradas. (Veja também GLD.04.01, EM 2)</t>
  </si>
  <si>
    <t>O programa de qualidade e segurança do paciente acompanha os progressos realizados na coleta prevista de dados de medição e indicadores de qualidade para as prioridades selecionadas.</t>
  </si>
  <si>
    <t>Padrão QPS.03.00
O programa de qualidade e segurança do paciente inclui a coleta, agregação e análise de dados para apoiar o atendimento, tratamento e serviços do paciente; a gestão hospitalar; o programa de melhoria contínua da qualidade; e a participação em bases de dados externas.</t>
  </si>
  <si>
    <t>O programa de qualidade e segurança do paciente tem um processo para agregar dados de várias fontes.</t>
  </si>
  <si>
    <t>Dados e informações agregados apoiam o atendimento, o tratamento e os serviços do paciente; a gestão hospitalar; a revisão da prática profissional; e o programa geral de qualidade e segurança do paciente. (Ver também PCC.02.02, EM 2; QPS.03.02, EM 1)</t>
  </si>
  <si>
    <t>O hospital fornece dados agregados e informações à agências fora do hospital, quando exigido por leis e regulamentos.</t>
  </si>
  <si>
    <t>O hospital implementa um processo para contribuir e aprender com bancos de dados externos para fins de comparação</t>
  </si>
  <si>
    <t>O hospital mantém segurança e confidencialidade ao contribuir ou usar bancos de dados externos.</t>
  </si>
  <si>
    <t>Padrão QPS.03.01
O hospital usa um processo estabelecido e estatisticamente sólido para validar os dados como um componente de seu programa de qualidade e segurança do paciente.</t>
  </si>
  <si>
    <t>O hospital valida dados quando qualquer uma das seguintes condições for observada, no mínimo:
• Uma nova medida é implementada (em particular, aquelas medidas clínicas que se destinam a ajudar um hospital a avaliar e melhorar um processo ou resultado clínico importante).
• Os dados serão tornados públicos no site do hospital ou de outras formas.
• Foi feita uma alteração em uma medida existente, como os métodos de coleta de dados foram alterados ou o processo de coleta de dados ou o coletor foi alterado.
• Os dados resultantes de uma medida existente mudaram de forma inexplicável.
• A fonte de dados mudou, como quando parte do prontuário do paciente foi transformado em formato eletrônico e, portanto, a fonte de dados agora é eletrônica e em papel.
• O sujeito da coleta de dados mudou, como mudanças na idade média dos pacientes, comorbidades, alterações no protocolo de pesquisa, novas diretrizes de prática implementadas ou novas tecnologias e metodologias de tratamento introduzidas.
 • Quando o método de coleta de dados é manual e a equipe de coleta de dados mudou no meio do ciclo.</t>
  </si>
  <si>
    <t>O hospital utiliza uma metodologia baseada em evidências para validação de dados.</t>
  </si>
  <si>
    <t>Os líderes do hospital assumem a responsabilidade pela validade dos dados de qualidade e resultados tornados públicos.</t>
  </si>
  <si>
    <t>Padrão QPS.03.02
Indivíduos com experiência, conhecimento e habilidades especializadas agregam, validam e analisam os dados sistematicamente no hospital.</t>
  </si>
  <si>
    <t>O hospital agrega, analisa e transforma dados em informações úteis para identificar oportunidades de melhoria. (Veja também QPS.03.00, EM 2)</t>
  </si>
  <si>
    <t>O hospital define e aprova qualificações apropriadas para indivíduos que participam da coleta, agregação, validação e análise de dados.</t>
  </si>
  <si>
    <t>O hospital utiliza ferramentas e técnicas estatísticas estabelecidas no processo de análise.</t>
  </si>
  <si>
    <t>Os líderes do hospital determinam a frequência de relatar os resultados da análise aos responsáveis por ação, de acordo com as leis e regulamentos e os padrões nacionais do setor de saúde.</t>
  </si>
  <si>
    <t>A análise de dados suporta comparações interna e externamente ao longo do tempo, incluindo comparações com bancos de dados de hospitais semelhantes, com as melhores práticas e com fontes científicas profissionais objetivas.</t>
  </si>
  <si>
    <t>Padrão QPS.03.03
O processo de análise de dados inclui pelo menos uma avaliação, por ano, do impacto clínico, financeiro e operacional das prioridades de melhoria em todo o hospital.</t>
  </si>
  <si>
    <t>O hospital coleta dados sobre a quantidade e o tipo de recursos usados em pelo menos um projeto de melhoria prioritária em todo o hospital, por ano, antes e depois da melhoria. (Ver também GLD.04.00, EM 1; QPS.01.00, EM 3)</t>
  </si>
  <si>
    <t>A equipe do programa de qualidade e segurança do paciente trabalha com outras unidades, como recursos humanos, tecnologia da informação e finanças, para decidir quais dados devem ser coletados.</t>
  </si>
  <si>
    <t>O hospital usa os resultados da análise para refinar o processo e relatá-lo por meio do mecanismo do programa de qualidade e segurança do paciente aos líderes.</t>
  </si>
  <si>
    <t>Padrão QPS.03.04
O hospital identifica tendências e variações indesejáveis e sempre realiza uma análise intensiva ou uma análise sistemática abrangente, quando estas são evidentes em sua coleta de dados.</t>
  </si>
  <si>
    <t>O hospital implementa processos de coleta de dados para garantir que os riscos à segurança do paciente sejam identificados.</t>
  </si>
  <si>
    <t>O hospital conduz uma análise intensiva, ou uma análise sistemática abrangente, de dados quando ocorrem eventos adversos, padrões ou tendências indesejáveis.</t>
  </si>
  <si>
    <r>
      <t>O hospital realiza coleta e análise de dados para todos os itens a seguir, no mínimo, quando aplicável: • Todas as reações transfusionais confirmadas • Todas as reações medicamentosas graves ou eventos de segurança do paciente relacionados a medicamentos, conforme definido pelo hospital ou pelas leis e regulamentos • Todos os erros de medicação e quase falhas, conforme definido pelo hospital (ver também MMU.07.01, EM 2) • Todos os principais eventos ou erros de segurança do paciente relacionados a procedimentos cirúrgicos</t>
    </r>
    <r>
      <rPr>
        <sz val="11"/>
        <color rgb="FFFF0000"/>
        <rFont val="Aptos Narrow"/>
        <family val="2"/>
      </rPr>
      <t xml:space="preserve"> • Todas as principais discrepâncias entre os diagnósticos pré e pós-operatórios; por exemplo, um diagnóstico pré-operatório de obstrução intestinal e diagnóstico pós-operatório de obstrução de aneurisma aórtico abdominal (abdominal aortic aneurysm - AAA) </t>
    </r>
    <r>
      <rPr>
        <sz val="11"/>
        <color rgb="FF000000"/>
        <rFont val="Aptos Narrow"/>
        <family val="2"/>
      </rPr>
      <t>• Eventos de segurança do paciente ou padrões de eventos durante a sedação do procedimento, independentemente da via de administração • Eventos de segurança do paciente ou padrões de eventos durante a anestesia, independentemente da via de administração • Eventos de segurança do paciente ou erros relacionados à identificação do paciente • Eventos de segurança do paciente ou erros relacionados a amostras de patologia, como biópsia ou outras amostras de tecido (Veja também AOP.04.00, EM 6)</t>
    </r>
  </si>
  <si>
    <t>O hospital usa os resultados das análises para implementar ações que melhorem a qualidade e a segurança do serviço, tratamento ou função.</t>
  </si>
  <si>
    <t>O hospital relata dados para riscos identificados para a segurança do paciente para a entidade de governo como parte do programa de qualidade e segurança do paciente.</t>
  </si>
  <si>
    <t>O hospital implementa medidas destinadas a incentivar a notificação de incidentes de eventos de segurança do paciente pela equipe do hospital.</t>
  </si>
  <si>
    <t>Padrão QPS.04.00
O hospital alcança e sustenta a melhoria da qualidade e segurança.</t>
  </si>
  <si>
    <t>O hospital planeja, testa e implementa melhorias na qualidade e segurança do paciente. (Veja também GLD.04.02, EM 1)</t>
  </si>
  <si>
    <t>Dados estão disponíveis para demonstrar que as melhorias são eficazes e sustentadas. (Veja também GLD.06.01, EM 3)</t>
  </si>
  <si>
    <t>O hospital faz mudanças de política quando necessário para planejar, executar e sustentar a melhoria.</t>
  </si>
  <si>
    <t>Melhorias bem-sucedidas são documentadas e revisadas pelo programa de qualidade e segurança do paciente e líderes do hospital para entender por que os esforços foram ou não bem-sucedidos. (Veja também GLD.04.00, EM 2)</t>
  </si>
  <si>
    <t>Padrão QPS.04.01
O hospital usa um programa contínuo de gerenciamento de riscos, supervisionado por indivíduos qualificados com experiência, conhecimento e habilidades apropriados, para identificar e reduzir proativamente eventos adversos imprevistos e outros riscos de segurança para pacientes e profissionais.</t>
  </si>
  <si>
    <t>A estrutura do programa de gerenciamento de riscos do hospital para todos os departamentos e serviços do hospital inclui o seguinte: • Uma política de gerenciamento de riscos que identifica e prioriza a urgência do risco e tem um plano para minimizar o impacto • Identificação de riscos • Priorização de riscos • Relatório de risco • Escopo, objetivos e ferramentas para avaliar riscos • Gerenciamento de riscos, para incluir análise de riscos • Gerenciamento de passivos financeiros relacionados a riscos, como ações judiciais</t>
  </si>
  <si>
    <t>Líderes do hospital identificar e priorizar os riscos potenciais que podem ter o maior impacto sobre segurança do paciente e da equipe e na qualidade do atendimento, tratamento e serviços do paciente.</t>
  </si>
  <si>
    <t>O hospital conduz um exercício proativo de redução de risco em pelo menos um dos processos de risco prioritário, pelo menos uma vez por ano.</t>
  </si>
  <si>
    <t>O hospital redesenha e implementa processos de alto risco com base nos resultados da análise de o exercício de redução de risco.</t>
  </si>
  <si>
    <t>Líderes do hospital implementam estratégias de comunicação para a equipe, governança e partes interessadas (stakeholders), conforme apropriado.</t>
  </si>
  <si>
    <t>O hospital define as qualificações para o pessoal de gerenciamento de riscos.</t>
  </si>
  <si>
    <t>Padrão IPSG.01.00
O hospital implementa um processo para melhorar a precisão na identificação dos pacientes.</t>
  </si>
  <si>
    <t>O hospital usa pelo menos dois identificadores de paciente, que não incluem o uso do número do quarto do paciente ou localização no hospital, para identificar o paciente e rotular elementos associados ao plano de cuidados e tratamento do paciente. (Veja também MMU.04.01, EM 4; MMU.05.03, EM 4; MOI.03.00, EM 1)</t>
  </si>
  <si>
    <t>O hospital identifica pacientes com pelo menos dois identificadores antes de realizar procedimentos diagnósticos, fornecer tratamentos e realizar outros procedimentos. (Veja também MMU.04.01, EM 4)</t>
  </si>
  <si>
    <t>O hospital garante a correta identificação dos pacientes em circunstâncias especiais, como paciente em coma ou recém-nascido que não é imediatamente nomeado.</t>
  </si>
  <si>
    <t>Padrão IPSG.02.00
O hospital implementa um processo para relatar resultados críticos de exames diagnóstico.</t>
  </si>
  <si>
    <t>O hospital defines, por escrito, resultados de exames críticos que podem representar valores urgentes ou emergentes de risco de vida para exames de diagnóstico. (Veja também AOP.03.02, EM 3)</t>
  </si>
  <si>
    <t>O hospital desenvolve um processo formal de relatório que identifica como os resultados críticos do de exames diagnósticos são relatados/comunicados aos profissionais de saúde e o prazo esperado para relatar os resultados críticos.</t>
  </si>
  <si>
    <t>O hospital identifica quais informações críticas de resultados estão documentadas no prontuário.</t>
  </si>
  <si>
    <t>O hospital monitora a conformidade com os prazos definidos para reportar e agir sobre resultados críticos e documenta as ações tomadas quando os prazos não são cumpridos.</t>
  </si>
  <si>
    <t>Padrão IPSG.02.01
O hospital implementa um processo padronizado para comunicação de transição (handover communication).</t>
  </si>
  <si>
    <t>O hospital implementa um procedimento padronizado para comunicar informações críticas entre profissionais de saúde durante a transição de cuidado ao paciente.</t>
  </si>
  <si>
    <t>O hospital usa formulários, ferramentas ou métodos padronizados que suportam um processo de transição consistente e completo que inclui a oportunidade para todos os profissionais envolvidos esclarecerem informações e fazerem perguntas.</t>
  </si>
  <si>
    <t>O hospital coleta, analisa, rasteia dados de tendências para eventos de segurança do paciente relacionados a transições.</t>
  </si>
  <si>
    <t>Padrão IPSG.03.00
O hospital implementa um processo para melhorar a segurança de medicamentos de alta vigilância.</t>
  </si>
  <si>
    <t>O hospital identifica, por escrito, sua lista de medicamentos de alta vigilância. (Veja também MMU.02.00, EM 1)</t>
  </si>
  <si>
    <t>O hospital implementa uma estratégia de mitigação de risco para reduzir o risco de danos causados por medicamentos de alta vigilância que é uniforme em todo o hospital e, além disso, inclui estratégias personalizadas para medicamentos específicos quando necessário.</t>
  </si>
  <si>
    <t>O hospital revisa e, conforme necessário, atualiza sua lista de medicamentos de alta vigilância, no mínimo, anualmente.</t>
  </si>
  <si>
    <t>Padrão IPSG.03.01
O hospital implementa um processo para melhorar a segurança de medicamentos com aparência/grafia ou sons semelhantes (look-alike/sound-alike).</t>
  </si>
  <si>
    <t>O hospital identifica, por escrito, sua lista de medicamentos com aparência/grafia ou sons semelhantes (look-alike/sound-alike). (Veja também MMU.02.00, EM 1; MMU.07.01, EM 2)</t>
  </si>
  <si>
    <t>O hospital implementa um processo de gerenciamento de medicamentos com aparência/grafia ou sons semelhantes que é abrangente e uniforme em todo o hospital. (Veja também MMU.07.01, EM 2)</t>
  </si>
  <si>
    <t>O hospital revisa e revisa, quando necessário, sua lista de medicamentos com aparência/grafia ou sons semelhantes, no mínimo, anualmente.</t>
  </si>
  <si>
    <t>Padrão IPSG.03.02
O hospital implementa um processo para gerenciar o uso seguro de eletrólitos concentrados.</t>
  </si>
  <si>
    <t>Somente indivíduos qualificados e treinados têm acesso a eletrólitos concentrados e eles são rotulados com advertências apropriadas e segregados de outros medicamentos durante todo o processo de armazenamento e dispensação. (Veja também MMU.04.00, EM 1; MMU.04.01, EMs 4 e 5; MMU.05.00, EM 1; MMU.05.03, EM 4)</t>
  </si>
  <si>
    <t>O hospital armazena apenas frascos de eletrólitos concentrados fora da farmácia para situações de emergência ou fins específicos e estes são claramente identificados na política do hospital. (Ver também MMU.03.00, EMs 1 e 2)</t>
  </si>
  <si>
    <t>O hospital realiza avaliações de risco proativas iniciais e contínuas, pelo menos anualmente, para todas as áreas onde os eletrólitos concentrados são armazenados.</t>
  </si>
  <si>
    <t>Padrão IPSG.04.00
O hospital implementa um processo de verificação pré-operatória e marcação do local do procedimento cirúrgico/invasivo.</t>
  </si>
  <si>
    <t>O hospital implementa um processo de verificação pré-operatória usando uma lista de verificação ou outro mecanismo para documentar a verificação do seguinte: • Consentimento informado apropriado ao procedimento • Paciente correto, procedimento correto e local correto • Todos os documentos necessários, hemoderivados, equipamentos médicos e dispositivos médicos implantáveis estão disponíveis, corretos e funcionais • Se existe risco de perda de sangue &gt; 500 mL (7 mL/kg em crianças) • Se o paciente tem uma via aérea difícil ou risco de aspiração • Qualquer alergia conhecida (Veja também PCC.03.00, EM 2)</t>
  </si>
  <si>
    <t>O hospital usa uma marca instantaneamente reconhecível e inequívoca para identificar o local cirúrgico/invasivo que é consistente em todo o hospital.</t>
  </si>
  <si>
    <t>O processo de marcação do local cirúrgico/invasivo inclui o seguinte: 
• Marcação concluída pela pessoa que realiza o procedimento 
• Paciente envolvido no processo de marcação 
• Processo alternativo de marcação do local para casos em que a marcação pode resultar em danos
 • Processo alternativo de identificação do local para pacientes que recusam a marcação do local 
• Técnicas alternativas de marcação do local para situações em que a marcação de rotina do local não é possível (por exemplo, laser, radiocirurgia estereotáxica ou odontológica)</t>
  </si>
  <si>
    <t>Padrão IPSG.04.01
O hospital implementa um processo para o time-out que é realizado imediatamente antes do início do procedimento cirúrgico/invasivo e o sign-out que é realizado após o procedimento.</t>
  </si>
  <si>
    <t>A equipe completa participa ativamente de um processo de time-out, que inclui os seguintes elementos na área em que o procedimento cirúrgico/invasivo será realizado, imediatamente antes de iniciar o procedimento, e isso está documentado: • Identificação correta do paciente
• Procedimento correto a ser feito
• Local correto do procedimento cirúrgico/invasivo</t>
  </si>
  <si>
    <t>Antes de o paciente deixar a área em que o procedimento cirúrgico/invasivo foi realizado, é realizado um processo de sign-out, que inclui pelo menos o seguinte:
• Nome do procedimento cirúrgico/invasivo que foi registrado/escrito
• Conclusão das contagens de instrumentos, compressas e agulhas, conforme aplicável
 • Rotulagem de amostras
• Quaisquer problemas com equipamentos a serem resolvidos, conforme aplicável</t>
  </si>
  <si>
    <t>Quando procedimentos cirúrgicos/invasivos são realizados, incluindo procedimentos médicos e odontológicos feitos em ambientes diferentes da sala de cirurgia, o hospital usa processos uniformes para garantir uma cirurgia segura.</t>
  </si>
  <si>
    <t>Quando dois ou mais procedimentos separados estão sendo realizados no mesmo paciente por cirurgiões diferentes, a equipe deve realizar outro time-out antes que cada novo procedimento seja iniciado.</t>
  </si>
  <si>
    <t>Padrão IPSG.05.00
O hospital implementa diretrizes de higiene das mãos baseadas em evidências para reduzir o risco de infecções associadas aos cuidados de saúde</t>
  </si>
  <si>
    <t>O hospital adota diretrizes atuais de higiene das mãos baseadas em evidências. (Veja também PCI.07.01, EMs 2, 5 e 6)</t>
  </si>
  <si>
    <t>O hospital implementa um programa de higiene das mãos baseado em evidências em todo o hospital. (Veja também PCI.07.01, EMs 2, 5 e 6)</t>
  </si>
  <si>
    <t>O hospital coleta e analisa os dados para conformidade com os procedimentos de lavagem e desinfecção das mãos de acordo com as diretrizes de higiene das mãos baseadas em evidências em todo o hospital.</t>
  </si>
  <si>
    <t>MMU</t>
  </si>
  <si>
    <t>Padrão MMU.01.00
O hospital gerencia seus processos de gerenciamento de medicamentos.</t>
  </si>
  <si>
    <t>Um indivíduo qualificado supervisiona a equipe interdisciplinar de gerenciamento de medicamentos estabelecida para desenvolver as políticas e processos de gerenciamento de medicamentos no hospital. (Veja também GLD.06.00, EM 1; HRP.02.01, EM 2)</t>
  </si>
  <si>
    <r>
      <rPr>
        <sz val="11"/>
        <color rgb="FF000000"/>
        <rFont val="Calibri"/>
        <scheme val="minor"/>
      </rPr>
      <t>A equipe interdisciplinar de gerenciamento de medicamentos desenvolve políticas escritas e um plano para um sistema uniforme de gerenciamento de medicamentos que esteja em conformidade com as leis e regulamentos aplicáveis e inclua os seguintes processos, conforme aplicável: • Planejamento • Seleção e contratação • Armazenamento • Prescrição • Preparação, distribuição e distribuição • Administração • Monitoramento dos efeitos da medicação • Notificação de erros de medicação e eventos adversos • Avaliação •</t>
    </r>
    <r>
      <rPr>
        <sz val="11"/>
        <color rgb="FFFF0000"/>
        <rFont val="Calibri"/>
        <scheme val="minor"/>
      </rPr>
      <t xml:space="preserve"> Processos formais para o gerenciamento de escassez e substituições de medicamentos</t>
    </r>
  </si>
  <si>
    <t>A equipe interdisciplinar de gerenciamento de medicamentos é definida por escrito e inclui, no mínimo, um farmacêutico, um médico, uma enfermeira, um profissional de prevenção e controle de infecções e líderes do hospital.</t>
  </si>
  <si>
    <t>Todas as configurações, serviços e indivíduos que gerenciam processos de medicação estão incluídos na estrutura organizacional.</t>
  </si>
  <si>
    <t>Um farmacêutico licenciado ou outro indivíduo qualificado supervisiona diretamente as atividades da farmácia ou serviço farmacêutico e garante a conformidade com as leis e regulamentos aplicáveis. (Veja também GLD.06.00, EM 1)</t>
  </si>
  <si>
    <t>O hospital documenta pelo menos uma revisão anual do sistema de gerenciamento de medicamentos.</t>
  </si>
  <si>
    <t>Fontes apropriadas e atualizadas de informações sobre medicamentos estão prontamente disponíveis para os envolvidos no uso de medicamentos.</t>
  </si>
  <si>
    <t>Padrão MMU.01.01
O hospital implementa um programa para o uso prudente de antimicrobianos com base no princípio da administração de antimicrobianos.</t>
  </si>
  <si>
    <t>O hospital implementa um programa escrito para administração de antimicrobianos baseado em evidências científicas, diretrizes de prática clínica aceitas e leis e regulamentos locais e, no mínimo, inclui o seguinte: • Documentação indicando que o escopo do programa de administração de antimicrobianos inclui todo o hospital e todos os serviços associados ao hospital • Implementação de pelo menos duas diretrizes de prática clínica baseadas em evidências para melhorar o uso de antimicrobianos para as indicações mais comuns • Avaliação de adesão a pelo menos uma das diretrizes de prática clínica baseadas em evidências que o hospital implementa (incluindo seleção antimicrobiana e duração da terapia, quando aplicável)</t>
  </si>
  <si>
    <t>O hospital tem uma equipe interdisciplinar que supervisiona o programa de administração de antibióticos. A equipe interdisciplinar é definida e inclui, no mínimo, um profissional de prevenção e controle de infecções, um médico, um enfermeiro, um farmacêutico e líderes do hospital.</t>
  </si>
  <si>
    <t>O programa de administração de antimicrobianos demonstra coordenação entre todos os componentes do hospital responsáveis pelo uso e resistência antimicrobiana, incluindo, entre outros, o programa de prevenção e controle de infecções, o programa de qualidade e segurança do paciente, o corpo médico, os serviços de enfermagem e os serviços de farmácia.</t>
  </si>
  <si>
    <t>O programa inclui diretrizes para o uso ideal da terapia antimicrobiana para o tratamento de infecções selecionadas e/ou de alto risco, incluindo o uso adequado de terapia antimicrobiana profilática.</t>
  </si>
  <si>
    <t>Existe um mecanismo para supervisionar o programa de administração de antimicrobianos e a eficácia do programa é monitorada de acordo com a política do hospital.</t>
  </si>
  <si>
    <t>O programa de administração de antimicrobianos, analisa e relata dados aos líderes do hospital, ao comitê interdisciplinar de medicamentos, departamento de prevenção e controle de infecções, departamento de melhoria da qualidade, líderes da farmácia, todos os profissionais e outras partes interessadas de acordo com a política do hospital.</t>
  </si>
  <si>
    <t>O programa de administração de antimicrobianos usa dados do programa para melhorar o desempenho das atividades de administração de antimicrobianos.</t>
  </si>
  <si>
    <t>Pacientes e familiares recebem educação sobre o programa de administração de antimicrobianos e sobre o uso apropriado de antimicrobianos.</t>
  </si>
  <si>
    <t>Padrão MMU.01.02
O hospital possui um processo de recall de medicamentos.</t>
  </si>
  <si>
    <t>O hospital implementa uma política escrita para receber e agir sobre notificações de medicamentos recolhidos, incluindo medicamentos manipulados dentro do hospital nos quais os produtos que foram recolhidos foram usados.</t>
  </si>
  <si>
    <t>A política inclui identificar, recuperar e devolver, ou destruir com segurança e adequadamente, medicamentos recolhidos pelo fabricante, fornecedor ou agência reguladora.</t>
  </si>
  <si>
    <t>O hospital separa os medicamentos recolhidos do restante do estoque de medicamentos para evitar o uso ou distribuição acidental e os rotula claramente como "Recolhidos".</t>
  </si>
  <si>
    <t>O hospital notifica os pacientes que receberam medicamentos recolhidos e fornece orientações adequadas.</t>
  </si>
  <si>
    <t>O hospital tem um processo para informar os profissionais de saúde sobre o recall e aconselhá-los sobre tratamentos alternativos, se necessário.</t>
  </si>
  <si>
    <t>O processo inclui documentação de todas as ações tomadas relacionadas ao recall de um medicamento, incluindo detalhes como o aviso de recall, números de lote afetados, ações tomadas, comunicações enviadas e quaisquer respostas recebidas.</t>
  </si>
  <si>
    <t>O hospital estabelece e implementa um processo escrito para o seguinte: • Identificar, recuperar e devolver medicamentos abertos e fechados, vencidos e desatualizados • Usar medicamentos fechados e vencidos e medicamentos desatualizados • Destruir medicamentos sabidamente vencidos ou desatualizados</t>
  </si>
  <si>
    <t>O hospital separa medicamentos vencidos do restante do estoque de medicamentos para evitar o uso ou distribuição acidental e os rotula claramente como "Vencidos".</t>
  </si>
  <si>
    <t>O processo inclui documentação de todas as ações tomadas relacionadas ao medicamento vencido.</t>
  </si>
  <si>
    <t>A equipe interdisciplinar colabora com os líderes do hospital para desenvolver critérios para determinar como as decisões são tomadas para quais medicamentos estão disponíveis para dispensação ou administração. (Ver também IPSG.03.00, EM 1; IPSG.03.01, EM 1)</t>
  </si>
  <si>
    <t>A lista de medicamentos por marca e nome genérico, estocados no hospital ou prontamente disponível nos serviços contratados é revisada anualmente.</t>
  </si>
  <si>
    <t>O processo usado para elaborar e monitorar a lista (a menos que determinado por regulamento ou autoridade externa ao hospital) é desenvolvido pela equipe interdisciplinar em colaboração com os líderes do hospital.</t>
  </si>
  <si>
    <t>Existe um processo para aquisição de medicamentos durante o seguinte: a. À noite ou quando a farmácia está fechada b. Quando um medicamento não está no formulário, estocado ou prontamente disponível no hospital</t>
  </si>
  <si>
    <t>Medicamentos são armazenados em condições adequadas para a estabilidade do produto, incluindo medicamentos armazenados em unidades de atendimento ao paciente e ambulâncias individuais, conforme aplicável. (Veja também IPSG.03.02, EM 2)</t>
  </si>
  <si>
    <t>O hospital armazena todos os medicamentos, incluindo biológicos e medicamentos controlados (programados), em uma área segura para evitar desvios e trancados, conforme aplicável, de acordo com as leis e regulamentos. Esses medicamentos são contabilizados com precisão de acordo com as leis e regulamentos aplicáveis. (Veja também IPSG.03.02, EM 2; FMS.05.00, EM 2)</t>
  </si>
  <si>
    <t>Existe um processo escrito de gerenciamento de medicamentos ou produtos que requerem manuseamento especial, como medicamentos perigosos, medicamentos radioativos e medicamentos experimentais. (Veja também MMU.06.00, EM 6)</t>
  </si>
  <si>
    <t>Medicamentos e produtos químicos usados para preparar medicamentos são rotulados com precisão com conteúdo, datas de validade e avisos aplicáveis.</t>
  </si>
  <si>
    <t>Todas as áreas de armazenamento de medicamentos, incluindo de medicamentos em unidades de atendimento ao paciente e ambulâncias (conforme aplicável), são inspecionadas periodicamente para garantir que os medicamentos sejam armazenados adequadamente.</t>
  </si>
  <si>
    <t>Medicamentos estão protegidos contra perda ou roubo em todo o hospital. (Veja também FMS.04.00, EM 2)</t>
  </si>
  <si>
    <t>Padrão MMU.03.01
Medicamentos de emergência estão disponíveis, armazenados uniformemente, monitorados e seguros quando armazenados fora da farmácia.</t>
  </si>
  <si>
    <t>Medicamentos de emergência estão imediatamente disponíveis nas áreas de atendimento ao paciente ou são facilmente acessíveis dentro do hospital para atender às necessidades de emergência.</t>
  </si>
  <si>
    <t>O hospital estabelece e implementa um processo escrito consistente e uniforme de como medicamentos de emergência são armazenados; mantidos; substituídos quando usados, danificados ou desatualizados; e protegidos de perda ou roubo. (Veja também FMS.04.00, EM 2)</t>
  </si>
  <si>
    <t>Acesso a medicamentos de emergência não exigirá um indivíduo específico ou chaves para desbloquear o carrinho de emergência.</t>
  </si>
  <si>
    <t>O hospital uses uma abordagem baseada em risco para identificar e implementar estratégias para melhorar a eficiência e a precisão na administração de medicamentos durante a ressuscitação de emergência. Essa abordagem inclui, no mínimo, o seguinte:
 • Revisão de dados internos de situações de emergência anteriores para avaliar a disponibilidade de medicamentos de emergência (ver também COP.04.00, EM 2) • Revisão da sobre o literatura sobre o assunto.</t>
  </si>
  <si>
    <t>Padrão MMU.04.00
O hospital identifica os indivíduos qualificados com permissão para prescrever ou solicitar medicamentos.</t>
  </si>
  <si>
    <t>Somente aqueles permitidos pelo hospital e pelo licenciamento, leis e regulamentos relevantes prescrevem ou solicitam medicamentos. (Veja também COP.01.00, EM 1; IPSG.03.02, EM 1)</t>
  </si>
  <si>
    <t>Indivíduos permitidos a prescrever e solicitar medicamentos são conhecidos do serviço farmacêutico ou de outras pessoas que dispensam medicamentos.</t>
  </si>
  <si>
    <t>Padrão MMU.04.01
O hospital identifica práticas seguras de prescrição, pedido e transcrição e define os elementos de um pedido ou prescrição completa.</t>
  </si>
  <si>
    <t>O hospital estabelece, implementa e treina a equipe em um processo escrito para a prescrição, pedido e transcrição seguros de medicamentos no hospital.</t>
  </si>
  <si>
    <t>Um diagnóstico, condições ou indicação de uso existe para cada medicamento prescrito.</t>
  </si>
  <si>
    <t>Todas as solicitações e prescrições contêm os seguintes elementos:
 • Nome da droga 
• Dose 
• Frequência 
• Via de administração (Ver também IPSG.03.02, EM 1)</t>
  </si>
  <si>
    <t>Elementos adicionais de pedidos ou prescrições completas de medicamentos incluem, no mínimo, conforme apropriado para a prescrição:
 • Dados necessários para identificar com precisão o paciente
 • Quando nomes genéricos ou de marcas são aceitáveis ou obrigatórios 
• Diretrizes específicas para o uso de ordens PRN
 • Pedidos baseados em peso 
• Taxas de administração de perfusões intravenosas 
• Prescrições especiais, como titulação, redução gradual ou prescrições de faixas 
• As prescrições de incluem o nome do medicamento, a via do medicamento, a taxa inicial de infusão (dose/unidade de tempo), as unidades incrementais para as quais a taxa ou dose pode ser aumentada ou diminuída, a frequência com que a taxa ou dose pode ser alterada, a taxa ou dose máxima de infusão e a medida clínica objetiva a ser usada para orientar as alterações. (Ver também IPSG.01.00, EMs 1 e 2; IPSG.03.02, EM 1)</t>
  </si>
  <si>
    <r>
      <rPr>
        <sz val="11"/>
        <color rgb="FFFF0000"/>
        <rFont val="Calibri"/>
        <scheme val="minor"/>
      </rPr>
      <t xml:space="preserve">O hospital implementa uma política por escrito que inclua os seguintes tipos de prescrições de medicamentos:’ 
• Prescrições como necessário (PRN) 
• Prescrições permanentes 
• Prescrições de parada automáticas 
</t>
    </r>
    <r>
      <rPr>
        <b/>
        <sz val="11"/>
        <color rgb="FFFF0000"/>
        <rFont val="Calibri"/>
        <scheme val="minor"/>
      </rPr>
      <t xml:space="preserve">• Titulação de prescrições 
• Prescrições de redução gradual 
</t>
    </r>
    <r>
      <rPr>
        <sz val="11"/>
        <color rgb="FFFF0000"/>
        <rFont val="Calibri"/>
        <scheme val="minor"/>
      </rPr>
      <t xml:space="preserve">• Prescrições de intervalo 
• Prescrições assinadas e mantidas 
</t>
    </r>
    <r>
      <rPr>
        <b/>
        <sz val="11"/>
        <color rgb="FFFF0000"/>
        <rFont val="Calibri"/>
        <scheme val="minor"/>
      </rPr>
      <t xml:space="preserve">• Prescrições de medicamentos manipulados ou misturas de medicamentos não disponíveis comercialmente
</t>
    </r>
    <r>
      <rPr>
        <sz val="11"/>
        <color rgb="FFFF0000"/>
        <rFont val="Calibri"/>
        <scheme val="minor"/>
      </rPr>
      <t xml:space="preserve"> • Prescrições de dispositivos relacionados a medicamentos (por exemplo, nebulizadores, cateteres) 
• Prescrições de medicamentos experimentais, se aplicável 
• Prescrições de produtos à base de plantas, se aplicável 
</t>
    </r>
    <r>
      <rPr>
        <b/>
        <sz val="11"/>
        <color rgb="FFFF0000"/>
        <rFont val="Calibri"/>
        <scheme val="minor"/>
      </rPr>
      <t>• Prescrições de medicamentos na alta ou transferência</t>
    </r>
  </si>
  <si>
    <t>O hospital implementa um processo escrito para gerenciar os seguintes pedidos de medicamentos: 
• Incompleto, ilegível ou pouco claro; incluindo medidas para evitar a continuação da ocorrência
 • Tipos especiais de prescrições, como emergência, parada ou parada automática e quaisquer elementos exclusivos de tais prescrições a. Prescrições de medicamentos verbais, telefônicos e de texto e o processo para verificar tais pedidos (Veja também COP.01.00, EM 1)</t>
  </si>
  <si>
    <t>Medicamentos prescritos e solicitados são documentados no prontuário do paciente ou inseridos no prontuário do paciente na alta ou transferência.</t>
  </si>
  <si>
    <t xml:space="preserve">Padrão MMU.04.02
O hospital tem um processo de reconciliação de medicamentos.
</t>
  </si>
  <si>
    <t>O hospital identifica, por escrito, as informações necessárias para conciliar os medicamentos atuais e os recém-encomendados.</t>
  </si>
  <si>
    <t>O prontuário do paciente contém uma lista de medicamentos atuais tomados antes da admissão ou registro como paciente ambulatorial e essas informações são disponibilizadas aos profissionais de saúde do paciente e à farmácia, conforme necessário. (Veja também ACC.03.00, EM 5)</t>
  </si>
  <si>
    <t>A reconciliação de medicamentos inclui a comparação das prescrições iniciais de medicamentos com a lista de medicamentos tomados antes da admissão, de acordo com o processo estabelecido pelo hospital</t>
  </si>
  <si>
    <t>Uma revisão de medicamentos é conduzida quando há mudanças no nível de cuidado, unidade ou serviço de saúde do paciente, incluindo o processo de planejamento de alta para gerenciamento de medicamentos</t>
  </si>
  <si>
    <t>MMU.05.00
Os medicamentos são preparados e dispensados em um ambiente seguro e limpo</t>
  </si>
  <si>
    <t>A preparação e distribuição de medicamentos seguem as leis, regulamentos e padrões profissionais de prática. (Veja também IPSG.03.02, EM 1)</t>
  </si>
  <si>
    <t>Os medicamentos são preparados e dispensados em áreas limpas, organizadas, seguras e funcionalmente separadas com equipamentos e suprimentos médicos apropriados. (Veja também PCI.04.00, EMs 1 e 2)</t>
  </si>
  <si>
    <t>A equipe que prepara/compõe produtos/medicamentos estéreis é treinada e competente nos princípios de preparação de medicamentos e técnicas assépticas e recebe recursos para apoiar o processo de preparação de medicamentos.</t>
  </si>
  <si>
    <t>Durante a preparação, a equipe inspeciona visualmente o medicamento em busca de partículas, descoloração ou outra perda de integridade.</t>
  </si>
  <si>
    <t>As diretrizes para o uso de frascos de uso único e multidose são identificadas e implementadas nos processos de medicação.</t>
  </si>
  <si>
    <t>Medicamentos armazenados, preparados e dispensados em áreas fora da farmácia (por exemplo, unidades de atendimento de pacientes) cumprem as mesmas medidas de limpeza exigidas na farmácia.</t>
  </si>
  <si>
    <t>Padrão MMU.05.01
O processo do hospital para radiofármacos está de acordo com as leis, regulamentos e diretrizes.</t>
  </si>
  <si>
    <t>O hospital tem a processo escrito para preparar e dispensar radiofármacos de acordo com as leis e regulamentos e diretrizes de prática clínica.</t>
  </si>
  <si>
    <t>Os radiofármacos são preparados por, ou sob a supervisão de, um indivíduo devidamente treinado e qualificado (por exemplo, um tecnólogo nuclear, farmacêutico registrado, médico em medicina ou osteopatia, químico, biólogo ou enfermeiro qualificado).</t>
  </si>
  <si>
    <t>As instalações radiofarmacêuticas estéreis são projetadas e controladas para minimizar a contaminação do ar e fornecem um ambiente de trabalho confortável e adequadamente iluminado.</t>
  </si>
  <si>
    <t>Os radiofármacos são transportados e armazenados de acordo com as leis, regulamentos e diretrizes para manter sua estabilidade e radioatividade até que sejam administrados.</t>
  </si>
  <si>
    <t>Radiofármaco são embalados em recipientes apropriados e rotulados para fornecer as seguintes informações essenciais: 
• Nome do radiofármacos
 • Dosagem
 • Data de validade 
• Símbolo(s) de advertência de radiação</t>
  </si>
  <si>
    <t>MMU.05.02
As prescrições ou pedidos de medicamentos são revisados quanto à adequação</t>
  </si>
  <si>
    <t>O hospital define, por escrito, as informações específicas do paciente necessárias para um processo de revisão eficaz e a fonte ou disponibilidade dessas informações estão disponíveis em todos os momentos quando a farmácia está aberta ou fechada.</t>
  </si>
  <si>
    <t>Cada prescrição ou solicitação é revisada quanto à adequação de uma maneira, identificada pelo hospital, que garante uma revisão completa da adequação antes da dispensação e administração, exceto em caso de emergência ou quando o médico solicitante estiver presente para solicitar, administrar e monitorar o paciente, de acordo com as leis e regulamentos. (Veja também MMU.06.00, EM 2)</t>
  </si>
  <si>
    <t>O processo para realizar uma revisão de adequação para um pedido ou prescrição antes da dispensação inclui a avaliação do seguinte: • Adequação do medicamento, dose, frequência e via de administração • Duplicação terapêutica • Alergias ou sensibilidades reais ou potenciais • Interações reais ou potenciais entre o medicamento e outros medicamentos ou alimentos • Variação dos critérios hospitalares de uso • Peso do paciente e outras informações fisiológicas • Impacto atual ou potencial, conforme indicado pelos valores laboratoriais • Outras contraindicações</t>
  </si>
  <si>
    <t>Indivíduos autorizados a realizar revisões de adequação, atendem aos seguintes critérios: • São avaliados como competentes para fazê-lo por um (s) indivíduo (s) qualificado (s). • Têm permissão para fazê-lo por privilégios ou descrições de cargos. • São fornecidos recursos para apoiar o processo de revisão.</t>
  </si>
  <si>
    <t>Quando o profissional licenciado designado não está disponível para realizar a revisão completa da adequação, um indivíduo treinado conduz e documenta uma revisão dos seguintes elementos críticos para a primeira dose, antes da revisão completa da adequação que deve ser realizada dentro de 24 horas: • Alergias • Interações medicamentosas letais • Dosagem baseada no peso • Toxicidade potencial de órgãos</t>
  </si>
  <si>
    <t>Os programas de suporte à decisão clínica usados em conjunto com um profissional licenciado designado ou indivíduo treinado para a revisão completa da adequação, bem como outros programas de computador e materiais de referência impressos usados para verificar os elementos críticos de uma revisão de adequação, são atuais e atualizados.</t>
  </si>
  <si>
    <t>Após a revisão do pedido de medicação, preocupações, questões ou dúvidas são esclarecidas com o prescritor individual antes da dispensação de acordo com a política do hospital.</t>
  </si>
  <si>
    <t>MMU.05.03
Um sistema é usado para dispensar medicamentos com segurança na dose certa para o paciente certo no momento certo</t>
  </si>
  <si>
    <t>O hospital dispensa medicamentos e mantém registros de acordo com leis e regulamentos, licenciamento e padrões profissionais de prática.</t>
  </si>
  <si>
    <t>Os medicamentos são dispensados na forma mais pronta para administração disponível.</t>
  </si>
  <si>
    <t>O sistema apoia a dispensação e documentação precisas e oportunas das práticas de dispensação que atendem às necessidades do paciente.</t>
  </si>
  <si>
    <t>O hospital tem uma política escrita para práticas de rotulagem de medicamentos que, no mínimo, inclui o seguinte:
 • Informações nos rótulos dos medicamentos 
• Medicamentos não administrados imediatamente 
• Preparação de medicamentos individualizados para vários pacientes (ver também IPSG.01.00, EM 1)
 • Quando um medicamento do paciente é preparado por alguém que não seja a pessoa que administra o medicamento (ver também IPSG.03.02, EM 1)</t>
  </si>
  <si>
    <t>Todos os medicamentos preparados no hospital são corretamente rotulados com o seguinte:
 • Nome, concentração e quantidade do medicamento (se não for aparente no recipiente)
 • Data de validade quando não usado dentro de 24 horas 
• Data e hora de expiração e quando a expiração ocorre em menos de 24 horas
 • A data preparada e o diluente para todas as misturas intravenosas compostas e fórmulas de nutrição parenteral</t>
  </si>
  <si>
    <t>MMU.06.00
A Administração de medicamentos é realizada com segurança por indivíduos qualificados</t>
  </si>
  <si>
    <t>Somente funcionários clínicos autorizados administram medicamentos. O hospital define aqueles que estão autorizados a administrar medicamentos, com ou sem supervisão, de acordo com as leis e regulamentos. O hospital pode impor, quando apropriado, limites à administração de medicamentos dos indivíduos.</t>
  </si>
  <si>
    <t>O hospital implementa um processo de administração de medicamentos para verificar se o medicamento é administrado corretamente de acordo com a prescrição ou pedido de medicamento. (Veja também MMU.05.02, EM 2)</t>
  </si>
  <si>
    <t>Antes de administrar, o indivíduo que administra o medicamento deve fazer o seguinte: • Verificar a identidade do paciente • Verificar se o medicamento selecionado corresponde ao pedido ou prescrição do medicamento e ao rótulo do produto, incluindo tempo, frequência, dose e via. • Inspecionar visualmente o medicamento quanto a partículas, descoloração ou outra perda de integridade. • Verificar se o medicamento não expirou. • Verificar se não existem contraindicações conhecidas. • Verificar se o medicamento está sendo administrado no momento adequado, na dose prescrita e pela via correta. • Discutir preocupações não resolvidas sobre a medicação com o médico ou profissional de saúde do paciente (se diferente do médico ou profissional de saúde) e/ou equipe envolvida com o cuidado, tratamento e serviços do paciente de acordo com a política do hospital.</t>
  </si>
  <si>
    <t>Os medicamentos são administrados conforme prescrito em tempo hábil e cada dose é registrada no prontuário do paciente.</t>
  </si>
  <si>
    <t>Conforme apropriado, antes de administrar um novo medicamento, o paciente ou família é informado sobre quaisquer possíveis reações adversas medicamentosas clinicamente significativas ou outras preocupações relacionadas à administração de um novo medicamento e tem a oportunidade de fazer perguntas. Essa educação está documentada no prontuário do paciente</t>
  </si>
  <si>
    <t>Antes de administrar um medicamento radioativo para fins de diagnóstico, a equipe verifica se a dose a ser administrada está dentro de 20% da dose prescrita ou, se a dose for prescrita como um intervalo, a equipe verifica se a dose a ser administrada está dentro da faixa prescrita. (Veja também MMU.03.00, ME 3)</t>
  </si>
  <si>
    <t>Não se Aplica</t>
  </si>
  <si>
    <t>MMU.06.01
As políticas e procedimentos orientam a utilização de medicamentos trazidos para o hospital pelo paciente ou família, medicamentos prescritos para autoadministração do paciente e medicamentos trazidos para o hospital como amostras</t>
  </si>
  <si>
    <t>O hospital define, por escrito, quando medicamentos trazidos para o hospital por pacientes ou suas famílias ou trazidos para o hospital como amostras podem ser administrados.</t>
  </si>
  <si>
    <t>Se a autoadministração de medicamentos é permitida, o hospital segue os processos escritos que orientam a autoadministração segura e precisa de medicamentos ou a administração de medicamentos por Membros da família. Os processos abordam treinamento, supervisão e documentação.</t>
  </si>
  <si>
    <t>O hospital educa pacientes e familiares envolvidos na autoadministração e documentos no prontuário do paciente sobre o seguinte: • Nome da medicação, tipo e motive do uso • Como administrar o medicamento, incluindo processo, horário, frequência, via e dose • Ações antecipadas e potenciais efeitos colaterais do medicamento administrado • Monitoramento dos efeitos da medicação • Armazenamento adequado do medicamento</t>
  </si>
  <si>
    <t>O hospital determina que o paciente ou o membro da família que administra o medicamento é competente na administração de medicamentos antes de permitir que eles administrem medicamentos.</t>
  </si>
  <si>
    <t>MMU.07.00
O Hospital monitora e responde a eventos adversos reais ou potenciais com medicamentos e reações adversas a medicamentos</t>
  </si>
  <si>
    <t>O hospital segue um processo escrito para monitorar, responder e documentar eventos adversos a medicamentos reais ou potenciais e reações adversas a medicamentos. (Ver também PCC.02.00, EM 3)</t>
  </si>
  <si>
    <t>O hospital segue um processo escrito abordando a notificação do prescritor em caso de eventos medicamentosos e reações adversas a medicamentos.</t>
  </si>
  <si>
    <t>O hospital cumpre os requisitos de relatórios internos e externos para eventos adversos com medicamentos reais ou potenciais e reações adversas a medicamentos.</t>
  </si>
  <si>
    <t>O hospital usa um processo padronizado para relatar eventos adversos a medicamentos como parte do programa de qualidade e segurança do paciente do hospital.</t>
  </si>
  <si>
    <t>Os eventos adversos a medicamentos são relatados conforme identificados pelo processo no prazo necessário.</t>
  </si>
  <si>
    <t>O hospital realiza uma análise de causa raiz dos dados quando ocorrem padrões de eventos adversos a medicamentos ou tendências indesejáveis.</t>
  </si>
  <si>
    <t>O hospital usa a análise de eventos adversos relacionados a medicamentos para melhorar os processos de uso de medicamentos.</t>
  </si>
  <si>
    <t>MMU.07.01
O Hospital Implementa um processo para identificar, relatar, gerenciar, e rastrear todos os erros de medicação e eventos de quase falhas(or close calls)</t>
  </si>
  <si>
    <t>O hospital adota definições de erro de medicação e quase falhas em diretrizes estabelecidas e atualizadas.</t>
  </si>
  <si>
    <t>O hospital estabelece e implementa processos escritos para o seguinte: 
• Identificação de erros de medicação e quase falhas 
• Notificação oportuna de erros de medicação e quase falhas 
• Gerenciar erros de medicação e quase falhas, incluindo investigação, desenvolvimento de plano(s) de ação e acompanhamento das ações ao longo do tempo, conforme aplicável 
• Rastreamento de erros de medicação e quase falhas (ver também IPSG.03.01, EMs 1 e 2; QPS.03.04, EM 3)</t>
  </si>
  <si>
    <t>Os responsáveis para atuar e acompanhar os relatórios.</t>
  </si>
  <si>
    <t>O hospital conduz uma análise de causa raiz dos dados quando ocorrem erros de medicação e padrões de quase falhas ou tendências indesejáveis.</t>
  </si>
  <si>
    <t>O hospital usa a análise de erros de medicação e eventos de quase falhas para melhorar os processos de uso de medicamentos.</t>
  </si>
  <si>
    <t>HCT</t>
  </si>
  <si>
    <t>Padrão HCT.01.00
Os líderes do hospital identificam um indivíduo qualificado para supervisionar a tecnologia e os processos de informação de saúde do hospital.</t>
  </si>
  <si>
    <t>Os líderes do hospital fornecem suporte e recursos para serviços de tecnologia no hospital.</t>
  </si>
  <si>
    <t>Os líderes do hospital identificam um indivíduo qualificado para supervisionar sistemas e processos tecnológicos. (Veja também GLD.06.00, EM 1)</t>
  </si>
  <si>
    <t>Os líderes do hospital e um indivíduo(s) qualificado(s) participa(m) de processos como seleção, teste, implementação e avaliação de sistemas de tecnologia da informação em saúde novos e em evolução.</t>
  </si>
  <si>
    <t>Novos e em evolução sistemas de tecnologia da informação em saúde são monitorados e avaliados quanto à usabilidade, eficácia, uso pretendido pela equipe e segurança do paciente, e melhorias são identificadas e implementadas com base nos resultados.</t>
  </si>
  <si>
    <t>Padrão HCT.01.01
Quando os dados e informações do paciente são enviados eletronicamente, por meio de dispositivos móveis ou outras formas de comunicação eletrônica, o hospital implementa processos para garantir a qualidade do atendimento ao paciente, a conformidade com as leis e regulamentos locais e a manutenção da segurança e confidencialidade das informações do paciente.</t>
  </si>
  <si>
    <t>Quando os dados e informações do paciente são transmitidos por meio de mensagens de texto móveis ou ferramentas de comunicação eletrônica, o hospital garante que o processo seja feito por meio de uma plataforma segura e cumpra o seguinte: 
• Processos de login seguros e criptografados para autenticação de usuários (protegidos por senha e exclusivos para cada usuário) 
• Processos para garantir que apenas indivíduos autorizados estejam no diretório da plataforma para receber mensagens 
• Confirmações de entrega e leitura de mensagens
 • Carimbo de data e hora para mensagens</t>
  </si>
  <si>
    <t>Processos para proteger e assegurar as informações do paciente contra acesso e uso não autorizados (Veja também MOI.01.02, ME 3)</t>
  </si>
  <si>
    <t>Quando dispositivos móveis são utilizados para comunicar dados e informações do paciente, o hospital implementa diretrizes e processos escritos para proteger as informações do paciente. (Veja também MOI.01.02, EM 3)</t>
  </si>
  <si>
    <t>O hospital estabelece processos para garantir que as informações relacionadas aos cuidados de um paciente enviadas eletronicamente (por exemplo, por meio de mensagens de texto ou e-mails) sejam documentadas no prontuário do paciente. (Veja também MOI.03.00, EM 4)</t>
  </si>
  <si>
    <t>Quando o hospital implementa um portal do paciente ou se comunica com os pacientes por meio de mensagens de texto ou e-mails, o hospital faz o seguinte: • Educa o paciente sobre o portal do paciente e confirma a prontidão para uso. (Ver também PCC.04.00, EM 1) 
• Obtém o consentimento dos pacientes para participar do portal e/ou receber mensagens de texto ou e-mails.</t>
  </si>
  <si>
    <t>Quando o hospital permite que as informações do paciente sejam comunicadas por meio de mensagens de texto, e-mails e portais de pacientes, o hospital possui um processo para garantir que as dúvidas que surgem sobre as informações trocados são abordados em tempo hábil e monitora as melhorias necessárias para o processos de comunicação.</t>
  </si>
  <si>
    <t>Padrão HCT.01.03
Para hospitais que usam ferramentas de suporte à decisão clínica de inteligência artificial, existem processos de seleção, implementação, supervisão e melhoria.</t>
  </si>
  <si>
    <t>O hospital identifica indivíduos qualificados para selecionar as ferramentas de IA relevantes para suas respectivas áreas de especialização (por exemplo, farmácia, tratamento de feridas, cirurgia).</t>
  </si>
  <si>
    <t>O hospital estabelece diretrizes e processos escritos para supervisão da eficácia da IA e ferramentas utilizadas pelo hospital. Isso inclui o seguinte: • Processos de aprovação e implementação • Envolvimento do profissional humano na tomada de decisão final do atendimento ao paciente • Segurança e privacidade dos dados do paciente (ver também PCC.01.02, EM 1) • Identificação de discrepâncias do sistema • Análise de provedores e fontes de terceiros relevantes • Atualizações de software/tecnologia conforme considerado apropriado • Considerações éticas</t>
  </si>
  <si>
    <t>O hospital rastreia o uso e as tendências continuamente e relata os resultados às partes relevantes (por exemplo, principais partes interessadas (stakeholders)., equipe de liderança, fontes de terceiros).</t>
  </si>
  <si>
    <t xml:space="preserve">Padrão HCT.01.04
O hospital desenvolve, mantém e testa um programa para resposta ao tempo de inatividade planejado e não planejado dos sistemas de dados.
</t>
  </si>
  <si>
    <t>O hospital mantém e testa pelo menos anualmente um programa escrito para resposta ao tempo de inatividade planejado e não planejado dos sistemas de dados. (Ver também FMS.08.00, EM 1; HCT.01.05, EM 1)</t>
  </si>
  <si>
    <t>O hospital identifica o provável impacto que o tempo de inatividade planejado e não planejado dos sistemas de dados terá em todos os aspectos do atendimento e dos serviços.</t>
  </si>
  <si>
    <t>O programa inclui estratégias de continuidade para a prestação de cuidados e serviços contínuos seguros e de alta qualidade ao paciente, incluindo serviços prestados por fornecedores externos, durante o tempo de inatividade planejado e o não planejado dos sistemas de dados.</t>
  </si>
  <si>
    <t>O programa identifica estratégias de comunicação interna e, quando aplicável, externa para paradas planejadas e não planejadas.</t>
  </si>
  <si>
    <t>O hospital implementa táticas de recuperação de tempo de inatividade e processos contínuos de backup de dados para recuperar e manter dados e garantir a integridade dos dados e manter a confidencialidade e segurança das informações do paciente.</t>
  </si>
  <si>
    <t>A equipe é treinada nas estratégias e táticas usadas para o tempo de inatividade planejado e não planejado dos sistemas de dados.</t>
  </si>
  <si>
    <t>Padrão HCT.01.05
O hospital desenvolve e mantém processos e procedimentos para segurança cibernética e gerenciamento de riscos cibernéticos.</t>
  </si>
  <si>
    <t>O hospital mantém e testa pelo menos anualmente um programa escrito de resposta a incidentes que inclui o seguinte: • Identificar o provável impacto que um ataque cibernético nos sistemas de dados terá em todos os aspectos do atendimento e das operações (ver também HCT.01.04, EM 1) • Identificar estratégias para a prestação de cuidados e serviços contínuos, seguros e de alta qualidade</t>
  </si>
  <si>
    <t>O programa identifica estratégias de comunicação interna e externa para as pessoas afetadas por ataques ou eventos cibernéticos.</t>
  </si>
  <si>
    <t>O hospital implementa táticas de recuperação e processos contínuos de backup de dados para recuperar e manter dados, garantindo integridade, confidencialidade e segurança dos dados.</t>
  </si>
  <si>
    <t>Padrão HCT.02.00 O hospital estabelece e implementa um programa para o uso seguro de lasers, eletrocirúrgicos e outros ópticos
dispositivos de radiação utilizados para a realização de procedimentos e tratamentos.</t>
  </si>
  <si>
    <t>O programa escrito do hospital para o uso seguro de lasers, eletrocirúrgicos e outros dispositivos de radiação óptica atende aos seguintes critérios: • Baseia-se nos padrões da indústria e nas diretrizes profissionais e está em conformidade com as leis e regulamentos aplicáveis. • Faz parte da estrutura de gerenciamento e segurança das instalações do hospital. • Fornece relatórios pelo menos anualmente e quando ocorrer algum evento de segurança. (Veja também FMS.03.00, EM 1)</t>
  </si>
  <si>
    <t>Um indivíduo qualificado com o treinamento e experiência apropriados supervisiona e supervisiona o programa de segurança a laser, eletrocirúrgicos e de radiação óptica.</t>
  </si>
  <si>
    <t>Todos da equipe envolvidos no uso de lasers, eletrocirúrgicos e outros dispositivos de radiação óptica recebem treinamento de segurança e educação continuada; O treinamento e a educação continuada estão documentados.</t>
  </si>
  <si>
    <t>O hospital estabelece e implementa controles administrativos e de engenharia para o programa de segurança a laser, eletrocirúrgicos e de radiação óptica para promover a segurança e prevenir lesões para pacientes e profissionais.</t>
  </si>
  <si>
    <t>Equipamentos de proteção individual apropriados para o tipo de lasers, eletrocirúrgicos e outros dispositivos de radiação óptica e tipo de procedimentos estão disponíveis para profissionais e pacientes e os profissionais os usam corretamente e garantem que os pacientes e profissionais estejam protegidos durante os procedimentos.</t>
  </si>
  <si>
    <t>O hospital possui processos de inspeção, teste e manutenção de lasers, eletrocirúrgicos e outros dispositivos de radiação óptica, incluindo calibração de rotina e verificações de alinhamento de lasers e essas atividades são realizadas por indivíduos qualificados e treinados.</t>
  </si>
  <si>
    <t>MOI</t>
  </si>
  <si>
    <t>Padrão MOI.01.00
O hospital planeja o gerenciamento de informações e seleciona processos para atender às necessidades daqueles que precisam de dados e informações.</t>
  </si>
  <si>
    <t>O hospital seleciona processos para atender às necessidades de informações do seguinte: 
• Aqueles que prestam serviços clínicos 
• Os líderes do hospital e líderes de departamento/serviço (ver também GLD.03.02, EMs 1 e 2)
• Indivíduos, serviços e agências fora do hospital (ver também GLD.03.01, EM 2)
• Pacientes acessando dados pessoais</t>
  </si>
  <si>
    <t>Os processos implementados são adequados ao tamanho do hospital, complexidade dos serviços, disponibilidade de pessoal treinado, recursos técnicos e outros recursos.</t>
  </si>
  <si>
    <t>O planejamento e o desenho dos processos de gerenciamento de informações do hospital incluem o seguinte: 
• A missão do hospital 
• Serviços prestados 
• Recursos
 • Acesso à tecnologia acessível 
• Avaliações de usabilidade e interoperabilidade 
• Apoio para uma comunicação eficaz entre os cuidadores</t>
  </si>
  <si>
    <t>Padrão MOI.01.01
O hospital mantém a confidencialidade, segurança, privacidade e integridade dos dados e informações por meio de processos para gerenciar e controlar o acesso.</t>
  </si>
  <si>
    <t>O hospital implementa processos consistentes com as leis e regulamentos para garantir a confidencialidade, segurança e integridade de dados e informações. (Veja também PCC.01.02, EM 1)</t>
  </si>
  <si>
    <t>O hospital identifica, por escrito, aqueles autorizados a acessar dados e informações, incluindo aqueles autorizados a fazer registros no prontuário do paciente e determina seu nível de acesso com base na função e responsabilidades de cada indivíduo.</t>
  </si>
  <si>
    <t>O hospital tem um processo em vigor para conceder privilégios de acesso dados e informações à indivíduos autorizados, de acordo com seu nível de acesso.</t>
  </si>
  <si>
    <t>O hospital implementa processos para garantir que os dados e informações sejam acessados apenas por indivíduos autorizados e de acordo com seu nível de acesso. (Veja também ACC.03.00, EM 2)</t>
  </si>
  <si>
    <t>O hospital implementa processos para garantir que apenas indivíduos autorizados façam registros no prontuário do paciente e de acordo com seu nível de acesso.</t>
  </si>
  <si>
    <t>O hospital monitora o cumprimento dos processos e a divulgação de informações e age quando ocorrem violações.</t>
  </si>
  <si>
    <t>Padrão MOI.01.02
O hospital mantém a confidencialidade, segurança, privacidade e integridade dos dados e informações por meio de processos que protegem contra perda, roubo, dano, destruição, software malicioso (ransomware) e outros ataques cibernéticos.</t>
  </si>
  <si>
    <t>O hospital conduz e documenta uma avaliação anual de riscos de segurança da informação em toda a organização e os riscos de segurança de dados são identificados e priorizados a partir da avaliação de riscos.</t>
  </si>
  <si>
    <t>Os dados e informações são armazenados de maneira a proteger contra perda, roubo, dano, destruição, software malicioso (ransomware) e outros ataques cibernéticos.</t>
  </si>
  <si>
    <t>O hospital implementa as melhores práticas de segurança de dados para proteger e proteger dados e informações. (Ver também PCC.01.02, EM 1; HCT.01.01, EMs 1 e 2)</t>
  </si>
  <si>
    <t>O hospital identifica metas, implementa melhorias para abordar os riscos de segurança de dados e monitora dados de melhoria para garantir que os riscos são reduzidos ou eliminados.</t>
  </si>
  <si>
    <t>O hospital estabelece uma política escrita com procedimentos a seguir no caso de um sucesso de um ataque cibernético.</t>
  </si>
  <si>
    <t>Padrão MOI.01.03
O hospital determina o tempo de arquivamento dos prontuários, dados e outras informações do paciente.</t>
  </si>
  <si>
    <t>O hospital determina o tempo de arquivamento dos prontuários dos pacientes e outros dados e informações e cumpre as leis e regulamentos.</t>
  </si>
  <si>
    <t>O processo de arquivamento fornece confidencialidade e segurança esperadas</t>
  </si>
  <si>
    <t>Os prontuários, dados e outras informações do paciente são destruídos ou excluídos de uma maneira que não compromete a confidencialidade e a segurança.</t>
  </si>
  <si>
    <t>Padrão MOI.01.04
A equipe clínica, os tomadores de decisão e outros membros da equipe são educados e treinados em sistemas de
informação, segurança da informação e os princípios de uso e gerenciamento de informações.</t>
  </si>
  <si>
    <t>A equipe clínica, os tomadores de decisão e outros recebem educação e treinamento sobre sistemas de informação, segurança da informação e os princípios de uso e gerenciamento de informações, conforme apropriado ao seu papel e responsabilidades.</t>
  </si>
  <si>
    <t>Os profissionais que usam um sistema de prontuário eletrônico recebem educação, treinamento contínuo e avaliação para garantir que possam usar o sistema de maneira eficaz e eficiente para cumprir suas responsabilidades de trabalho.</t>
  </si>
  <si>
    <t>Os profissionais recebem educação e treinamento anual contínuo relacionado à segurança cibernética com base em suas funções e responsabilidades.</t>
  </si>
  <si>
    <t>Dados e informações clínicas e gerenciais são integrados conforme necessário para apoiar a tomada de decisões.</t>
  </si>
  <si>
    <t>Padrão MOI.02.00
Os documentos, incluindo políticas, procedimentos e programas, são gerenciados de maneira consistente e uniforme.</t>
  </si>
  <si>
    <t>Existe um documento de orientação por escrito que define os requisitos para revisar políticas e procedimentos, incluindo o seguinte: • Revisão e aprovação de todos os documentos por uma pessoa autorizada antes da emissão • Frequência de revisão e aprovação contínua de documentos • Controles para garantir que apenas estão disponíveis versões atuais e relevantes dos documentos • Método para identificação das mudanças</t>
  </si>
  <si>
    <t>Existe um documento de orientação escrito que define os requisitos para o gerenciamento de políticas e procedimentos, incluindo o seguinte: • Manutenção da identidade e da legibilidade • Gerenciamento de documentos originados fora do hospital • Arquivamento de documentos obsoletos pelo tempo exigido por leis e regulamentos, garantindo que eles não sejam usados • Rastreamento de todos os documentos em circulação (por exemplo, identificados por título, data de emissão, edição e/ou data de revisão atual, número de páginas e quem autorizou e/ou revisou o documento)</t>
  </si>
  <si>
    <t>Existem formatos padronizados para todos os documentos semelhantes (por exemplo, todas as políticas).</t>
  </si>
  <si>
    <t>Os requisitos do documento de orientação são implementados e evidentes nas políticas, procedimentos e programas encontrados em todo o hospital</t>
  </si>
  <si>
    <t>Padrão MOI.02.01
Os líderes revisam, aprovam e gerenciam a implementação de políticas e procedimentos que orientam e apoiam o atendimento e os serviços ao paciente.</t>
  </si>
  <si>
    <t>As políticas, procedimentos e planos necessários estão disponíveis e a equipe entende como acessar os documentos relevantes para suas responsabilidades.</t>
  </si>
  <si>
    <t>Os profissionais são treinados e entendem os documentos relevantes para suas responsabilidades.</t>
  </si>
  <si>
    <t>Os requisitos das políticas, procedimentos e planos são totalmente implementados e evidentes nas ações de cada membro da equipe.</t>
  </si>
  <si>
    <t>A implementação de políticas, procedimentos e planos é monitorada e as informações apoiam a implementação total.</t>
  </si>
  <si>
    <t>Padrão MOI.02.02
O hospital usa códigos padronizados de diagnóstico e procedimento e garante o uso uniforme de símbolos e abreviações aprovados em todo o hospital.</t>
  </si>
  <si>
    <t>O hospital usa códigos de diagnóstico e códigos de procedimento padronizados.</t>
  </si>
  <si>
    <t>O hospital implementa a utilização uniforme dos símbolos aprovados e identifica os que não devem ser utilizados.</t>
  </si>
  <si>
    <t>Se o hospital permite o uso de abreviações, atende aos seguintes critérios: • O hospital implementa um uso uniforme de abreviações aprovadas com apenas um significado. • O hospital implementa uma lista de abreviações que não deve ser usada. • O hospital não usa abreviações em consentimentos informados, documentos de direitos do paciente, instruções de alta ou resumos de alta. (Veja também PCC.01.01, ME 1) • Quando uma abreviatura é usada pela primeira vez na documentação, o termo deve primeiro ser escrito na forma completa, com a abreviatura entre parênteses. • O hospital monitora o uso de abreviações e toma medidas para melhorar os processos conforme necessário.</t>
  </si>
  <si>
    <t>Padrão MOI.02.03
O hospital recupera, divulga e transmite informações de saúde em tempo hábil em um formato que atenda às expectativas do usuário e com a frequência desejada.</t>
  </si>
  <si>
    <t>A disseminação de dados e informações atende às necessidades de indivíduos e programas dentro e fora do hospital que fornecem atendimento, tratamento e serviços ao paciente.</t>
  </si>
  <si>
    <t>O hospital divulga dados e informações em formatos úteis dentro de prazos definidos pelo hospital e consistentes com as leis e regulamentos.</t>
  </si>
  <si>
    <t>A equipe que presta cuidado ao paciente tem acesso aos dados e informações necessários para realizar seu trabalho responsabilidades e prestar atendimento ao paciente com segurança e eficácia.</t>
  </si>
  <si>
    <t>Padrão MOI.03.00
O hospital inicia e mantém um prontuário padronizado e preciso para cada paciente avaliado ou tratado e determina o conteúdo, o formato e a localização dos registros no prontuário.</t>
  </si>
  <si>
    <t>O prontuário do paciente contém o seguinte: • Pelo menos dois identificadores únicos para cada artigo (ver também IPSG.01.00, EM 1) • Autor de cada registro • Data de cada registro • Hora de cada registro</t>
  </si>
  <si>
    <t>O conteúdo específico, formato e localização das registros nos prontuários dos pacientes são padronizados e determinados pelo hospital.</t>
  </si>
  <si>
    <t>O hospital implementa um processo sobre o uso adequado de copiar e colar, preenchimento automático, correção automática e modelos e fornece educação e treinamento sobre o processo para todos os profissionais que documentam no prontuário eletrônico.</t>
  </si>
  <si>
    <t>O hospital implementa processos para facilitar a documentação precisa e completa nos prontuários dos pacientes. (Veja também HCT.01.01, EM 3)</t>
  </si>
  <si>
    <t>Existem processes para saber como as registros são corrigidos, substituídos, revisados e autenticados.</t>
  </si>
  <si>
    <t>Padrão MOI.03.01
Como parte de suas atividades de monitoramento e melhoria de desempenho, o hospital avalia regularmente o conteúdo do prontuário do paciente.</t>
  </si>
  <si>
    <t>Uma amostra representativa de prontuários que incluem prontuários ativos e de alta, em todas as áreas de serviços, é revisada pelo menos trimestralmente ou com mais frequência, conforme determinado por leis e regulamentos.</t>
  </si>
  <si>
    <t>A revisão é conduzida por médicos, enfermeiros e outros autorizados a gerenciar ou fazer anotações nos prontuários médicos dos pacientes.</t>
  </si>
  <si>
    <t>A revisão se concentra na pontualidade, precisão, integridade e legibilidade do prontuário.</t>
  </si>
  <si>
    <t>O conteúdo do prontuário exigido por leis ou regulamentos está incluído no processo de revisão.</t>
  </si>
  <si>
    <t>Os resultados do processo de revisão é incorporado ao mecanismo de supervisão de qualidade do hospital.</t>
  </si>
  <si>
    <t>PCI</t>
  </si>
  <si>
    <t>Padrão PCI.01.00
Um (s) indivíduo (s) qualificado (s) orienta a implementação do programa de prevenção e controle de infecções do hospital e supervisiona as atividades necessárias para realizar o programa em todo o hospital.</t>
  </si>
  <si>
    <t>Um ou mais profissionais qualificados supervisiona o programa de prevenção e controle de infecções e garante que o programa esteja em conformidade com as leis e regulamentos locais e nacionais e as diretrizes de controle de infecção aplicáveis. (Veja também GLD.06.00, EM 1)</t>
  </si>
  <si>
    <t>As qualificações do(s) indivíduo(s) supervisor(es) e as qualificações da equipe para o programa de prevenção e controle de infecções são determinadas pelos líderes do hospital, com base na população de pacientes do hospital, escopo e complexidade dos serviços, localização geográfica, volume de pacientes, nível de riscos e número de funcionários e profissionais de saúde.</t>
  </si>
  <si>
    <t>Esse indivíduo(s) coordena com os líderes do hospital as prioridades, recursos e oportunidades de melhoria da qualidade relacionadas ao programa de prevenção e controle de infecções.</t>
  </si>
  <si>
    <t>O hospital relata os resultados do programa de prevenção e controle de infecções às agências de saúde pública como Necessário.</t>
  </si>
  <si>
    <t>O hospital toma ação apropriada em relatórios de agências de saúde pública relevantes.</t>
  </si>
  <si>
    <t>Padrão PCI.01.01
O hospital coordena as atividades de prevenção e controle de infecções em todos os departamentos e serviços.</t>
  </si>
  <si>
    <t>Existe um mecanismo formal de coordenação interdisciplinar, como um comitê para o programa de prevenção e controle de infecções que envolve profissionais de prevenção e controle de infecções.</t>
  </si>
  <si>
    <t>Todos os departamentos e serviços do hospital estão incluídos no programa de prevenção e controle de infecções. (Veja também FMS.03.00, EM 1)</t>
  </si>
  <si>
    <t>A função e as atividades do mecanismo de coordenação estão documentadas.</t>
  </si>
  <si>
    <t>O hospital define intervalos de tempo para reuniões e conteúdo do comitê, com base em leis e regulamentos, e requisitos de diretrizes de controle de infecção e política hospitalar.</t>
  </si>
  <si>
    <t>O programa de prevenção e controle de infecções apoia a equipe em todo o hospital para atividades de prevenção e controle de infecções.</t>
  </si>
  <si>
    <t>Padrão PCI.01.02
Os líderes do hospital fornecem recursos para apoiar o programa de prevenção e controle de infecções.</t>
  </si>
  <si>
    <t>Os líderes do hospital aprovam os níveis de pessoal e fornecem pessoal para o programa de prevenção e controle de infecções de acordo com o tamanho do hospital, complexidade das atividades, nível de riscos e escopo do programa.</t>
  </si>
  <si>
    <t>Os líderes do hospital garantem que o programa de prevenção e controle de infecções receba os recursos necessários para cumprir suas metas e responsabilidades.</t>
  </si>
  <si>
    <t>Os sistemas de gerenciamento de informações suportam o programa de prevenção e controle de infecções.</t>
  </si>
  <si>
    <t>Padrão PCI.02.00
O hospital usa um método baseado em dados de risco para estabelecer prioridades, implementar intervenções e monitorar a eficácia do programa de prevenção e controle de infecções associadas aos cuidados de saúde.</t>
  </si>
  <si>
    <t>O hospital completa e documenta uma avaliação de risco de prevenção e controle de infecções para estabelecer as prioridades do programa de infecção associada aos cuidados de saúde por meio da coleta e análise de dados, pelo menos anualmente, e quando necessário para eventos específicos, e inclui, no mínimo, o seguinte: • Infecções do trato respiratório • Infecções do trato urinário • Dispositivos invasivos intravasculares • Sítios cirúrgicos • Organismos multirresistentes • Infecções epidemiologicamente significativas • Infecções emergentes ou reemergentes na comunidade</t>
  </si>
  <si>
    <t>O hospital identifica e implementa intervenções baseadas em evidências para abordar os riscos de infecção identificados na avaliação de risco.</t>
  </si>
  <si>
    <t>O hospital implementa intervenções de prevenção e controle de infecções para reduzir as taxas de infecções associadas aos cuidados de saúde, incluindo organismos multirresistentes, por meio da implementação de bundles de cuidados baseados em evidências, sempre que aplicáveis.</t>
  </si>
  <si>
    <t>O hospital monitora a eficácia das intervenções de prevenção e controlo de infeções através de coleta e análise de dados e atualiza conforme indicado.</t>
  </si>
  <si>
    <t>O hospital realiza monitoramento e vigilância contínuos de dados para garantir que os riscos de infecção sejam reduzidos ou eliminados.</t>
  </si>
  <si>
    <t>Padrão PCI.02.01
O laboratório implementa um processo para reduzir os riscos de infecção resultantes da exposição a doenças infecciosas e materiais e resíduos de risco biológico.</t>
  </si>
  <si>
    <t>O laboratório implementa políticas e procedimentos escritos para reduzir os riscos de infecção.</t>
  </si>
  <si>
    <t>O hospital relata infecções adquiridas em laboratório, conforme definido na política e em conformidade com as leis e regulamentos.</t>
  </si>
  <si>
    <t>O laboratório segue regras de biossegurança para práticas relevantes: • As exposições a aerossóis e gotículas são controladas. • Jalecos, aventais ou uniformes de laboratório são usados. • Os gabinetes de biossegurança são usados quando exigido por leis e regulamentos ou diretrizes do fabricante. • Os procedimentos explicam como lidar com acidentes e lesões, incluindo procedimentos de descontaminação, procedimentos de tratamento de emergência e a localização e uso de equipamentos de segurança. • Os procedimentos definem a coleta, o transporte e o manuseio seguros de todas as amostras. • O treinamento para a equipe de laboratório inclui práticas de precaução, modos de transmissão e prevenção da exposição a patógenos transmitidos pelo sangue. • Os procedimentos abordam como gerenciar e reduzir o risco de exposição a doenças infecciosas.</t>
  </si>
  <si>
    <t>O hospital toma ações corretivas, que são documentadas e revisadas, quando problemas com a prática são identificados ou ocorrem acidentes.</t>
  </si>
  <si>
    <t>Padrão PCI.03.00
O hospital reduz o risco de infecções associadas a equipamentos, dispositivos e suprimentos médicos/cirúrgicos por meio de limpeza, desinfecção, esterilização e armazenamento adequados.</t>
  </si>
  <si>
    <t>O hospital implementa práticas adequadas de prevenção e controle de infecções ao limpar e realizar desinfecção de nível baixo e intermediário de equipamentos, dispositivos e suprimentos médicos não críticos que abordam o seguinte: • Uso de desinfetantes aprovados de acordo com as instruções do rótulo do produto, incluindo a indicação, diluição de uso especificado quando aplicável, tempo de contato e método de aplicação • Uso de agentes desinfetantes e métodos aprovados pelos fabricantes de equipamentos ou dispositivos</t>
  </si>
  <si>
    <t>O hospital implementa práticas adequadas de prevenção e controle de infecções ao realizar desinfecção e esterilização de alto nível de equipamentos, dispositivos e suprimentos médicos críticos que abordam o seguinte: • Uso de esterilizantes químicos aprovados e desinfetantes de alto nível de acordo com o rótulo do produto e as instruções do fabricante do dispositivo • Documentação necessária para os ciclos de reprocessamento do dispositivo, incluindo, mas não se limitando a registros do ciclo do esterilizador, a frequência dos testes químicos ou biológicos e os resultados dos testes de concentração apropriada para produtos químicos usados na desinfecção de alto nível • Resolução de conflitos ou discrepâncias entre as instruções dos fabricantes de dispositivos médicos e as instruções dos fabricantes para equipamentos automatizados de desinfecção ou esterilização de alto nível • Critérios e processo de uso da esterilização a vapor de uso imediato • Ações a serem tomadas no caso de um erro ou falha de reprocessamento identificado antes da liberação do(s) item(ns) reprocessado(s) ou depois que o(s) item(ns) reprocessado(s) foi(ram) usado(s) ou armazenado(s) para uso posterior</t>
  </si>
  <si>
    <t>A equipe que reprocessa equipamentos, dispositivos e suprimentos médicos/cirúrgicos recebe treinamento inicial e contínuo e demonstra competência em protocolos de limpeza e desinfecção; o treinamento e a competência da equipe estão documentados.</t>
  </si>
  <si>
    <t>Um (s) indivíduo (s) qualificado (s) supervisiona os processos de limpeza, desinfecção, esterilização e armazenamento de equipamentos, dispositivos e suprimentos.</t>
  </si>
  <si>
    <t>Os métodos de limpeza, desinfecção, esterilização e armazenamento de equipamentos e dispositivos são coordenados e aplicados uniformemente em todo o hospital.</t>
  </si>
  <si>
    <t>Equipamentos, dispositivos e suprimentos limpos, desinfetados e esterilizados são armazenados adequadamente em áreas de armazenamento designadas que evitam a contaminação antes do uso.</t>
  </si>
  <si>
    <t>O hospital implementa um processo para rastrear instrumentos desinfetados e esterilizados de alto nível, usados para procedimentos de pacientes para ciclos específicos de desinfecção e esterilização, equipamentos e pacientes individuais.</t>
  </si>
  <si>
    <t>O hospital tem um procedimento escrito para identificar e retirar instrumentos para esterilização individual, ciclos e equipamentos.</t>
  </si>
  <si>
    <t>Padrão PCI.03.01
O hospital implementa um processo para gerenciar a reutilização de dispositivos de uso único de acordo com os requisitos do fabricante e quaisquer leis e regulamentos aplicáveis.</t>
  </si>
  <si>
    <t>O hospital identifica, por escrito, dispositivos e materiais de uso único que podem ser reutilizados de acordo com as leis e regulamentos locais e nacionais. (Veja também GHI.04.00, EM 4)</t>
  </si>
  <si>
    <t>O hospital tem um processo para identificar quando um dispositivo de uso único não é mais seguro ou adequado para reutilização.</t>
  </si>
  <si>
    <t>O hospital possui um processo de limpeza, desinfecção ou esterilização para cada dispositivo reutilizável de uso único, de acordo com as leis e regulamentos, requisitos do fabricante ou outros requisitos aplicáveis.</t>
  </si>
  <si>
    <t>O hospital tem um processo escrito para rastrear a reutilização de dispositivos de uso único para pacientes individuais.</t>
  </si>
  <si>
    <t>O hospital coleta e analisa dados para quaisquer eventos adversos e implementa melhorias relacionadas ao processo de reutilização.</t>
  </si>
  <si>
    <t>Padrão PCI.03.02
O hospital implementa um processo para gerenciar dispositivos e suprimentos vencidos e danificados.</t>
  </si>
  <si>
    <t>O hospital implementa um processo para gerenciar suprimentos expirados.</t>
  </si>
  <si>
    <t>O hospital implementa um processo para gerenciar suprimentos danificados.</t>
  </si>
  <si>
    <t>O hospital armazena os suprimentos de forma a evitar contaminação ou danos e sob condições ambientais recomendadas pelo fabricante, quando aplicável.</t>
  </si>
  <si>
    <t>Padrão PCI.04.00
O programa de prevenção e controle de infecções supervisiona a limpeza e desinfecção do ambiente.</t>
  </si>
  <si>
    <t>O programa de prevenção e controle de infecções implementa diretrizes e procedimentos de limpeza e desinfecção baseados em evidências em todo o hospital. (Veja também MMU.05.00, EM 2)</t>
  </si>
  <si>
    <t>Diretrizes baseadas em evidências são usadas para direcionar os procedimentos de limpeza e desinfecção em áreas de alto risco, conforme indicado pelos padrões de limpeza e desinfecção baseados em evidências. (Veja também MMU.05.00, EM 2)</t>
  </si>
  <si>
    <t>Diretrizes baseadas em evidências são usadas para direcionar a limpeza e desinfecção de áreas onde pacientes com doenças infecciosas recebem cuidados, inclusive após a alta do paciente.</t>
  </si>
  <si>
    <t>O hospital monitora processos de limpeza e desinfecção do ambiente e os dados são usados para fazer alterações no processo, quando aplicável.</t>
  </si>
  <si>
    <t>Padrão PCI.04.01
O programa de prevenção e controle de infecções segue diretrizes baseadas em evidências relacionadas à limpeza e desinfecção de roupas, lençóis e trajes privativos fornecidos pelo hospital.</t>
  </si>
  <si>
    <t>Os métodos de lavagem estão em conformidade com as leis e regulamentos locais e nacionais e seguem as diretrizes de agências de controle de infecção reconhecidas.</t>
  </si>
  <si>
    <t>Precauções padrão são usadas ao manusear roupas, lençóis e trajes privativos fornecidos pelo hospital e precauções apropriadas baseadas na transmissão são usadas conforme indicado pelo risco de infecção.</t>
  </si>
  <si>
    <t>Roupas, lençóis e trajes privativos são transportados, processados e armazenados de maneira a evitar a contaminação cruzada de itens sujos e limpos.</t>
  </si>
  <si>
    <t>Os profissionais usam trajes limpos fornecidos pelo hospital em áreas críticas identificadas pelo hospital, de acordo com o controle de infecção aplicável, os padrões nacionais do setor de saúde e a política do hospital.</t>
  </si>
  <si>
    <t>Padrão PCI.05.00
O hospital implementa processos para descarte adequado de resíduos, gerenciamento adequado de tecidos humanos e manuseio e descarte seguros de perfurocortantes e agulhas.</t>
  </si>
  <si>
    <t>O hospital implementa práticas para reduzir o risco de infecção pelo manuseio e descarte de resíduos infecciosos, sangue e componentes sanguíneos, fluidos corporais e tecidos corporais. (Veja também FMS.05.00, EM 2)</t>
  </si>
  <si>
    <t>O hospital identifica e implementa práticas para reduzir o risco de lesões e infecções decorrentes do manuseio e gerenciamento de perfurocortantes e agulhas.</t>
  </si>
  <si>
    <t>Objetos perfurocortantes e agulhas são coletados em recipientes dedicados, que podem ser fechados, à prova de furos e à prova de vazamentos que não são reutilizados.</t>
  </si>
  <si>
    <t>O hospital descarta objetos perfurocortantes e agulhas com segurança ou contrata fornecedores que garantem o descarte adequado de recipientes de perfurocortantes em locais dedicados a resíduos perigosos ou conforme determinado pelas leis e regulamentos nacionais.</t>
  </si>
  <si>
    <t>A área mortuária e post-mortem opera de maneira a cumprir as leis, regulamentos e culturas/costumes locais e é gerenciada de maneira a minimizar o risco de transmissão de infecções.</t>
  </si>
  <si>
    <t>A equipe é treinada em prevenção de contaminação cruzada, manutenção da cadeia de custódia, quando necessário e procedimentos de manuseio respeitosos e seguros em áreas post-mortem.</t>
  </si>
  <si>
    <t>O hospital tem uma política escrita para a cadeia de custódia direta para todos os corpos e partes do corpo manuseados por patologia, necrotério e outras áreas post-mortem.</t>
  </si>
  <si>
    <t>Padrão PCI.05.01
O hospital reduz o risco de infecções associadas à exposição a sangue, fluidos corporais e outros materiais potencialmente infecciosos.</t>
  </si>
  <si>
    <t>O hospital identifica processos que podem resultar na exposição do paciente ou da equipe a sangue e fluidos corporais</t>
  </si>
  <si>
    <t>O hospital implementa práticas para reduzir o risco de exposição a sangue e fluidos corporais.</t>
  </si>
  <si>
    <t>O hospital usa um processo rápido para relatar a exposição de pacientes, profissionais e visitantes a sangue e fluidos corporais em tempo hábil</t>
  </si>
  <si>
    <t>O hospital usa um processo para atuar na exposição de pacientes, profissionais e visitantes a sangue e fluidos corporais</t>
  </si>
  <si>
    <t>A equipe é treinada no processo de relatar um incidente de exposição.</t>
  </si>
  <si>
    <t>O hospital rastreia e monitora incidentes de exposição de pacientes e profissionais a sangue e fluidos corporais.</t>
  </si>
  <si>
    <t>Os relatórios de incidentes de exposição são revisados e ações são tomadas para minimizar o risco de futuras exposições a sangue e fluidos corporais.</t>
  </si>
  <si>
    <t>Padrão PCI.06.00
O hospital reduz o risco de infecções associadas às operações de serviços de alimentação e dietética.</t>
  </si>
  <si>
    <t>O hospital armazena alimentos e nutrição de maneira a reduzir o risco de infecção, incluindo aqueles armazenados fora da cozinha e das áreas de preparação de alimentos.</t>
  </si>
  <si>
    <t>O hospital adota e implementa medidas de saneamento de cozinha e diretrizes para áreas de preparação para evitar o risco de contaminação cruzada e infecção.</t>
  </si>
  <si>
    <t>O hospital prepara produtos alimentícios e nutricionais usando saneamento e temperatura adequados.</t>
  </si>
  <si>
    <t>O hospital usa um processo para garantir que a temperatura adequada dos alimentos seja mantida durante o processo de preparação, transporte e distribuição.</t>
  </si>
  <si>
    <t>As diretrizes profissionais são adotadas para produtos nutricionais que têm requisitos especiais de armazenamento e preparação, como leite humano, fórmula para bebês e outros produtos enterais.</t>
  </si>
  <si>
    <t>Padrão PCI.07.00
O hospital protege pacientes, visitantes e profissionais da transmissão de infecções e doenças transmissíveis.</t>
  </si>
  <si>
    <t>O hospital usa um processo para isolar pacientes com doenças infecciosas e a equipe usa precauções baseadas na transmissão, de acordo com as diretrizes recomendadas. (Veja também FMS.09.01, EM 1)</t>
  </si>
  <si>
    <t>O hospital protege pacientes imunocomprometidos ou vulneráveis por meio de isolamento ou uso de isolamento reverso/protetor de acordo com as diretrizes recomendadas. (Veja também PCC.01.04, EM 4)</t>
  </si>
  <si>
    <t>O hospital monitora e disponibiliza rotineiramente salas de pressão negativa para pacientes infecciosos que necessitam de isolamento para infecções transmitidas pelo ar.</t>
  </si>
  <si>
    <t>O hospital implementa um processo para abordar o tratamento de pacientes com infecções transmitidas pelo ar quando as salas de pressão negativa não estão disponíveis, incluindo a adição de salas temporárias de pressão negativa.</t>
  </si>
  <si>
    <t>A equipe é treinada no manejo de pacientes infecciosos quando há um influxo repentino ou quando as salas de pressão negativa não estão disponíveis.</t>
  </si>
  <si>
    <t>Padrão PCI.07.01
O hospital fornece recursos e equipamentos para proteger funcionários, profissionais de saúde, pacientes e visitantes de riscos biológicos, físicos e químicos e estes estão prontamente disponíveis para uso.</t>
  </si>
  <si>
    <t>O hospital identifica situações em que são necessários equipamentos de proteção individual</t>
  </si>
  <si>
    <t>O hospital garante que equipamentos de proteção individual adequados e agentes de higiene das mãos estejam prontamente disponíveis quando necessário. (Ver também IPSG.05.00, EMs 1 e 2; FMS.09.01, EM 1)</t>
  </si>
  <si>
    <t>Os profissionais são treinados e usam corretamente os equipamentos de proteção individual em cada situação identificada.</t>
  </si>
  <si>
    <t>O hospital implementa procedimentos de desinfecção ambiental para áreas e situações do hospital identificadas como de risco de transmissão de infecções.</t>
  </si>
  <si>
    <t>Sabão líquido e água corrente, desinfetantes para as mãos e toalhas descartáveis são fornecidos em áreas onde são necessários procedimentos de lavagem e desinfecção das mãos e secadores de ar para as mãos não são usados nas áreas de atendimento ao paciente. (Ver também IPSG.05.00, EMs 1 e 2)</t>
  </si>
  <si>
    <t>Pacientes e visitantes são instruídos sobre quando são obrigados a desinfetar as mãos, quando as precauções baseadas na transmissão, como a precaução de isolamento, devem ser seguidas e como usar corretamente o equipamento de proteção individual, quando aplicável. (Ver também IPSG.05.00, EMs 1 e 2)</t>
  </si>
  <si>
    <t xml:space="preserve">Padrão PCI.07.02
O hospital implementa processos para apoiar a preparação para doenças infecciosas epidemiologicamente significativas ou patógenos especiais.
</t>
  </si>
  <si>
    <t>O hospital implementa protocolos para doenças infecciosas de alta consequência ou patógenos especiais, que estão prontamente disponíveis para uso no ponto de atendimento e abordam o seguinte: • Procedimentos para triagem nos pontos de entrada do hospital para sintomas respiratórios, febre, erupção cutânea e histórico de viagens para identificar ou iniciar a avaliação de doenças de alta consequência ou patógenos especiais. (Veja também FMS.09.01, EM 3) Nota: Os pontos de entrada podem incluir o departamento de emergência, atendimento de urgência e clínicas ambulatoriais. • Procedimentos de isolamento do paciente • Procedimentos para informar as autoridades de saúde pública e o pessoal essencial do hospital • Procedimentos para o equipamento de proteção individual necessário e técnicas adequadas de colocação e retirada • Procedimentos de controle de infecção para apoiar a prestação contínua e segura de cuidados enquanto o paciente está isolado e para reduzir a exposição entre profissionais, pacientes e visitantes • Procedimentos para gerenciamento de resíduos e limpeza e desinfecção de espaços, superfícies e equipamentos de atendimento ao paciente</t>
  </si>
  <si>
    <t>O hospital implementa educação e treinamento e avalia as competências da equipe que implementará protocolos para doenças de alta consequência ou patógenos especiais.</t>
  </si>
  <si>
    <t>O hospital coordena com os serviços de transporte e as autoridades locais de saúde pública a implementação de critérios e procedimentos para a transferência de pacientes para instalações com maior nível de atendimento.</t>
  </si>
  <si>
    <t>O hospital tem políticas e procedimentos escritos para monitorar e gerenciar o pessoal que estão expostos profissionalmente ou suspeita-se terem sido expostos a um agente infeccioso de alta consequência ou a um agente patogénico especial.</t>
  </si>
  <si>
    <t>A resposta do hospital a patógenos de alto impacto inclui um plano de vacinação de todos os funcionários, líderes e profissionais de saúde, quando aplicável. (Veja também SQE.02.01, EM 2)</t>
  </si>
  <si>
    <t>Padrão PCI.08.00
O processo de prevenção e controle de infecções é integrado ao programa geral do hospital para qualidade e segurança do paciente, usando dados e medidas que são epidemiologicamente importantes para o hospital.</t>
  </si>
  <si>
    <t>O hospital integra atividades de prevenção e controle de infecções ao programa de qualidade e segurança do paciente. (Ver também GLD.04.00, EM 1; QPS.01.00, EM 1)</t>
  </si>
  <si>
    <t>O hospital coleta e analisa dados para as atividades de prevenção e controle de infecções, incluindo aquelas epidemiologicamente importantes.</t>
  </si>
  <si>
    <t>O hospital usa dados de monitoramento para avaliar e apoiar melhorias no programa de prevenção e controle de infecções pelo menos uma vez por ano. (Veja também GLD.04.00, EM 4)</t>
  </si>
  <si>
    <t>Dados de monitoramento incluem taxas de infecção de benchmarking interno e externo, conforme aplicável.</t>
  </si>
  <si>
    <t>O programa de prevenção e controle documenta dados de monitoramento e fornece relatórios de análise de dados aos líderes, trimestralmente.</t>
  </si>
  <si>
    <t>Padrão PCI.08.01
O hospital oferece educação sobre práticas de prevenção e controle de infecções para funcionários, profissionais de saúde, pacientes, familiares e outros, quando indicado por sua função no hospital.</t>
  </si>
  <si>
    <t>O hospital oferece educação inicial sobre prevenção e controle de infecções a todos os funcionários e profissionais de saúde quando eles começam a trabalhar no hospital. (Veja também SQE.02.00, EM 2; SQE.02.01, EM 5)</t>
  </si>
  <si>
    <t>O hospital oferece educação e treinamento contínuos a todos os profissionais relacionados ao programa de prevenção e controle de infecções do hospital e sobre as tendências emergentes na prevenção e controle de infecções pelo menos uma vez por ano. (Veja também SQE.02.01, EM 1)</t>
  </si>
  <si>
    <t>O hospital oferece educação sobre prevenção e controle de infecções para pacientes e familiares.</t>
  </si>
  <si>
    <t>O hospital comunica as descobertas e tendências das atividades do programa de prevenção e controle de infecções a todos os profissionais.</t>
  </si>
  <si>
    <t>O hospital comunica informações e dados do programa de prevenção e controle de infecções para líderes e para a entidade de governo.</t>
  </si>
  <si>
    <t>FMS</t>
  </si>
  <si>
    <t>Padrão FMS.01.00
O hospital está em conformidade com as leis, regulamentos, códigos de segurança de construção e incêndio relevantes e requisitos de inspeção de instalações.</t>
  </si>
  <si>
    <t>Líderes do hospital implementam as leis, regulamentos, códigos de construção e segurança contra incêndio nacionais e locais e outros requisitos aplicáveis às instalações do hospital.</t>
  </si>
  <si>
    <t>Ações corretivas adotadas para atender às condições dos relatórios e inspeções externas das instalações por autoridades nacionais e locais estão documentadas.</t>
  </si>
  <si>
    <t>Líderes do hospital planejam e orçam a substituição ou atualização de instalações, sistemas e equipamentos necessários para atender aos requisitos e para a operação contínua de uma instalação segura, protegida e eficaz.</t>
  </si>
  <si>
    <t>Quando o hospital está localizado dentro de um edifício multiuso, os líderes do hospital obtêm evidências de conformidade com leis, regulamentos, códigos, relatórios de inspeção de instalações, requisitos de manutenção de sistemas utilitários e outros requisitos relacionados a sistemas compartilhados e problemas de construção.</t>
  </si>
  <si>
    <t>Padrão FMS.01.01
Um indivíduo qualificado supervisiona o gerenciamento da instalação e a estrutura de segurança.</t>
  </si>
  <si>
    <t>Supervisão e orientação da estrutura de gerenciamento e segurança da instalação é atribuída a um (s) indivíduo (s) qualificado (s) por experiência e treinamento e a evidência da experiência e treinamento é documentada. (Veja também GLD.06.00, EM 1)</t>
  </si>
  <si>
    <t>O(s) indivíduo(s) qualificado(s) é(são) responsável(is) por garantir o seguinte: • Recomendações de espaço, tecnologia e outros recursos para apoiar o gerenciamento de instalações e a estrutura de segurança são fornecidas aos líderes do hospital.
 • Os programas de gerenciamento e segurança de instalações são atuais e totalmente implementados.
 • Profissionais e outros são treinados nos programas. 
• Os programas são coordenados, avaliados e monitorados. 
• Os programas são revisados e atualizados pelo menos anualmente, ou com mais frequência, se necessário (por exemplo, quando há mudanças nos requisitos das leis e regulamentos do país ou mudanças nas instalações, sistemas ou equipamentos do hospital).</t>
  </si>
  <si>
    <t>Quando entidades comerciais independentes estão presentes dentro da organização, as entidades cumprem os programas de gerenciamento e segurança de instalações aplicáveis.</t>
  </si>
  <si>
    <t>Padrão FMS.02.00
O hospital desenvolve e documenta uma avaliação de risco com base no gerenciamento de instalações e riscos de segurança identificados em toda a organização, prioriza os riscos, estabelece metas e implementa melhorias para reduzir e eliminar riscos.</t>
  </si>
  <si>
    <t>O hospital desenvolve e implementa uma avaliação de risco anual que inclui oito programas de gerenciamento e segurança de instalações:
 • Segurança (Ver também FMS.03.00, EM 2) 
• Proteção 
• Materiais e resíduos perigosos 
• Segurança contra incêndios (ver também FMS.06.00, EM 3) 
• Equipamento médico 
• Sistemas utilitários 
• Gerenciamento de emergências e desastres (ver também GHI.05.00, EM 4) • Construção e reformas (ver também FMS.10.00, EM 1)</t>
  </si>
  <si>
    <t>O hospital prioriza os riscos, identifica metas e principais melhorias de desempenho e implementa melhorias para reduzir e eliminar riscos. (Veja também GLD.06.01, EM 1)</t>
  </si>
  <si>
    <t>O hospital avalia a eficácia das melhorias e, com base nos resultados, atualiza os programas de gerenciamento e segurança de instalações aplicáveis. (Veja também GLD.06.01, EM 2)</t>
  </si>
  <si>
    <t>Líderes do hospital fornecem o relatório anual de avaliação de risco e a eficácia dos programas de gerenciamento e segurança das instalações para a entidade de governo e a entidade de governo toma medidas com base no relatório. (Veja também GLD.04.01, EM 1)</t>
  </si>
  <si>
    <t>Padrão FMS.03.00
O hospital implementa um programa para fornecer uma instalação física segura.</t>
  </si>
  <si>
    <t>O hospital desenvolve e implementa um programa escrito para fornecer uma instalação física segura. (Veja também COP.05.00, EM 1; GLD.07.02, EM 2; HCT.02.00, EM 1; PCI.01.01, EM 2)</t>
  </si>
  <si>
    <t>O hospital tem uma inspeção de segurança documentada, atual e precisa de suas instalações físicas. Os resultados da inspeção da instalação são revisados e abordados em uma avaliação de risco abrangente em toda a instalação. (Veja também FMS.02.00, EM 1)</t>
  </si>
  <si>
    <t>O hospital identifica e implementa melhorias e monitora dados para garantir que os  riscos de segurança relacionados à violência no local de trabalho são reduzidos ou eliminados. (Veja também GLD.07.02, EM 3)</t>
  </si>
  <si>
    <t>Com base em seu(s) processo(s), o hospital relata e investiga incidentes de segurança envolvendo pacientes, profissionais ou outras pessoas dentro de suas instalações.</t>
  </si>
  <si>
    <t>Com base em seu(s) processo(s), o hospital relata e investiga incidentes de segurança relacionados à violência no local de trabalho envolvendo pacientes, profissionais ou outras pessoas dentro de suas instalações. (Veja também GLD.07.02, EM 3)</t>
  </si>
  <si>
    <t>Padrão FMS.04.00
O hospital implementa um programa para fornecer um ambiente protegido para pacientes, familiares, profissionais e visitantes.</t>
  </si>
  <si>
    <t>O hospital desenvolve e implementa um programa escrito para fornecer um ambiente protegido.</t>
  </si>
  <si>
    <t>O programa de proteção identifica todas as áreas de risco de segurança e áreas restritas e garante que sejam monitoradas e mantidas em proteção. (Veja também COP.05.00, EM 1; MMU.03.00, EM 6; MMU.03.01, EM 2; PCC.01.03, EM 1)</t>
  </si>
  <si>
    <t>O programa de proteção garante que os pacientes relevantes, bem como profissionais, estudantes, estagiários, trabalhadores contratados, voluntários, fornecedores e indivíduos associados a entidades comerciais independentes, sejam identificados.</t>
  </si>
  <si>
    <t>Todos os equipamentos e sistemas de segurança, incluindo dispositivos relacionados à detecção, notificação de alarme e resposta oportuna, são inspecionados, avaliados e mantidos.</t>
  </si>
  <si>
    <t>O programa de proteção inclui a educação da equipe relevante sobre funções e responsabilidades durante um evento relacionado à proteção.</t>
  </si>
  <si>
    <t>O hospital realiza exercícios regulares com a equipe para avaliar o programa de proteção e a integração com os socorristas locais.</t>
  </si>
  <si>
    <t>O hospital realiza uma análise anual do local de trabalho relacionada ao seu programa de prevenção da violência no local de trabalho e toma medidas para mitigar ou resolver os riscos de proteção identificados para a violência no local de trabalho. (Veja também GLD.07.02, EM 2)</t>
  </si>
  <si>
    <t>Com base em seu(s) processo(s), o hospital relata e investiga incidentes de proteção envolvendo pacientes, profissionais ou outras pessoas dentro de suas instalações.</t>
  </si>
  <si>
    <t>Com base em seu(s) processo(s), o hospital relata e investiga incidentes de proteção relacionados à violência no local de trabalho envolvendo pacientes, profissionais ou outras pessoas dentro de suas instalações. (Veja também GLD.07.02, EM 3)</t>
  </si>
  <si>
    <t>Padrão FMS.05.00
O hospital implementa um programa de gerenciamento de materiais e resíduos perigosos.</t>
  </si>
  <si>
    <t>O hospital desenvolve e implementa um programa escrito para o gerenciamento de materiais e resíduos perigosos. (Veja também HRP.02.01, EM 2)</t>
  </si>
  <si>
    <t>O programa de materiais e resíduos perigosos identifica o tipo, as quantidades e os locais de materiais e resíduos perigosos e possui um inventário completo, que é atualizado pelo menos anualmente, para refletir as mudanças nos materiais perigosos usados e armazenados na organização. (Ver também AOP.03.05, EMs 1 e 5; MMU.03.00, EM 2; PCI.05.00, EM 1)</t>
  </si>
  <si>
    <t>O programa de materiais e resíduos perigosos estabelece e implementa procedimentos para rotulagem clara, manuseio seguro, armazenamento e uso de materiais perigosos que sejam consistentes com as fichas de dados de segurança.</t>
  </si>
  <si>
    <t>O programa de materiais e resíduos perigosos estabelece e implementa o equipamento de proteção adequado necessário durante o manuseio e uso de materiais perigosos.</t>
  </si>
  <si>
    <t>O programa de materiais e resíduos perigosos estabelece e implementa procedimentos para o gerenciamento de derramamentos e exposições, incluindo o uso de equipamentos de proteção adequados e relatórios de derramamentos e exposições.</t>
  </si>
  <si>
    <t>As informações sobre os materiais perigosos relacionados ao manuseio seguro, procedimentos de manuseio de derramamentos e procedimentos para gerenciamento de exposições estão atualizados e disponíveis todo o tempo.</t>
  </si>
  <si>
    <t>A equipe pode descrever e/ou demonstrar precauções e procedimentos para manuseio e gerenciamento de materiais e resíduos perigosos, conforme aplicável à função e responsabilidades do profissional.</t>
  </si>
  <si>
    <t>Padrão FMS.06.00
O hospital estabelece e implementa um programa de segurança contra incêndio que está em conformidade com os códigos, leis e regulamentos nacionais e locais.</t>
  </si>
  <si>
    <t>O hospital desenvolve e implementa um programa escrito de segurança contra incêndio para proteger todos os ocupantes das instalações do hospital de emergências de incêndio e fumaça.</t>
  </si>
  <si>
    <t>O programa de segurança contra incêndio inclui a aplicação de medidas temporárias, quando necessário, para assegurar que a segurança dos pacientes, profissionais e visitantes do hospital é mantida quando os riscos de segurança contra incêndio não podem ser resolvidos imediatamente.</t>
  </si>
  <si>
    <t>Uma avaliação de risco abrangente do hospital, em toda a instalação, conforme exigido pelo FMS.02.00, EM 1, inclui a avaliação dos seguintes riscos relacionados a incêndio: 
• Separações de fogo 
• Separações/compartimentos de fumaça 
• Áreas perigosas (e espaços acima dos tetos nessas áreas), como salas de roupa suja, salas de coleta de lixo e salas de armazenamento de gás medicinal
 • Saídas de incêndio 
• Cozinha e aparelhos de cozinha produtores de gordura 
• Calhas de lavanderia e lixo 
• Sistemas e equipamentos de energia de emergência 
• Componentes do sistema de gás medicinal e vácuo 
• Armazenamento e manuseio de materiais potencialmente inflamáveis (por exemplo, líquidos inflamáveis, gases combustíveis, gases medicinais oxidantes, como oxigênio e óxido nitroso)
 • Procedimentos e precauções para prevenir e gerenciar incêndios cirúrgicos
 • Riscos de incêndio relacionados a projetos de construção, reforma ou demolição</t>
  </si>
  <si>
    <t>Padrão FMS.06.01
O hospital mantém equipamentos de segurança contra incêndio e recursos de construção de segurança contra incêndio</t>
  </si>
  <si>
    <t>O programa de segurança contra incêndio inclui equipamentos/sistemas para a deteção precoce e notificação de alarme de incêndio e fumo</t>
  </si>
  <si>
    <t>O programa de segurança contra incêndio inclui equipamentos/sistemas para a supressão de incêndios.</t>
  </si>
  <si>
    <t>O programa de segurança contra incêndio inclui a saída segura da instalação por meio de acesso livre e desobstruído às saídas.</t>
  </si>
  <si>
    <t>O programa de segurança contra incêndio inclui sinalização de saída claramente visível que é compreensível para os ocupantes do hospital.</t>
  </si>
  <si>
    <t>O programa de segurança contra incêndio inclui iluminação para corredores de saída de emergência e escadas.</t>
  </si>
  <si>
    <t>Quando exigido pelas leis e regulamentos locais, o programa de segurança contra incêndio inclui contenção de fogo e fumaça e esses recursos são mantidos para garantir eficácia e segurança.</t>
  </si>
  <si>
    <t>Padrão FMS.06.02
Todos os equipamentos e sistemas de segurança contra incêndio, incluindo dispositivos relacionados à detecção precoce, notificação de alarme e supressão, são inspecionados, avaliados e mantidos.</t>
  </si>
  <si>
    <t>Todos os equipamentos e sistemas de segurança, incluindo aqueles para detecção e supressão de fumaça e incêndio, são inspecionados, avaliados e mantidos de acordo com as recomendações dos fabricantes ou conforme exigido pelos códigos, leis e regulamentos locais, o que definir o requisito mais rigoroso.</t>
  </si>
  <si>
    <t>Inspeção, testes e a manutenção de todos os equipamentos e sistemas de segurança contra incêndios está documentada, incluindo resultados e ações corretivas.</t>
  </si>
  <si>
    <t>Quaisquer deficiências identificadas nos equipamentos e sistemas de segurança contra incêndio são imediatamente corrigidos ou medidas temporárias são implementadas para reduzir o risco de incêndio até que as deficiências possam ser totalmente corrigidas.</t>
  </si>
  <si>
    <t>Padrão FMS.06.03
O hospital realiza exercícios regulares com a equipe para avaliar o programa de segurança contra incêndio.</t>
  </si>
  <si>
    <t>Todo o pessoal do hospital, incluindo o turno da noite e fins de semana, são treinados no programa de segurança contra incêndio e participam de testes para avaliar o programa de segurança contra incêndio pelo menos uma vez por ano ou com mais frequência, quando exigido por leis e regulamentos ou outras autoridades.</t>
  </si>
  <si>
    <t>A equipe que presta atendimento ao paciente pode descrever e demonstrar como trazer os pacientes para a segurança</t>
  </si>
  <si>
    <t>Resultados dos testes para avaliar o programa de segurança contra incêndio são documentados e os profissionais que não passam são reeducados e testados novamente no programa de segurança contra incêndio.</t>
  </si>
  <si>
    <t>Padrão FMS.06.04
O programa de segurança contra incêndio inclui limitar o fumo de profissionais e pacientes a áreas designadas de não atendimento ao paciente na instalação.</t>
  </si>
  <si>
    <t>O programa de segurança contra incêndio aborda a eliminação ou limitação de fumar dentro das instalações do hospital.</t>
  </si>
  <si>
    <t>O programa se aplica a pacientes, familiares, visitantes e profissionais.</t>
  </si>
  <si>
    <t>O programa identifica quem pode conceder exceções ao paciente para fumar e quando essas exceções se aplicam.</t>
  </si>
  <si>
    <t>Padrão FMS.07.00
O hospital desenvolve e implementa um programa de gerenciamento de equipamentos médicos em toda a organização.</t>
  </si>
  <si>
    <t>O hospital desenvolve e implementa um programa escrito para o gerenciamento de equipamentos médicos de propriedade e de não propriedade do hospital (arrendado, alugado, de propriedade do paciente). (Veja também GLD.05.02, EM 1; HRP.02.01, EM 2)</t>
  </si>
  <si>
    <t>O programa de equipamentos inclui o seguinte: 
• Um inventário de todos os equipamentos médicos 
• Inspeções regulares quando o equipamento é novo e conforme exigido pelas diretrizes dos fabricantes 
• Testes de acordo com o uso e os requisitos dos fabricantes 
• Documentação dos resultados 
• Desempenho de manutenção preventiva e calibração conforme aplicável
 • Adesão às leis e regulamentos locais (ver também AOP.03.04, EM 2; AOP.05.04, EM 2)</t>
  </si>
  <si>
    <t>O hospital identifica objetivos, implementa melhorias e monitora dados para garantir que os riscos com equipamentos são reduzidos ou eliminados.</t>
  </si>
  <si>
    <t>Padrão FMS.07.01
O hospital tem um processo para monitorar e agir em avisos de perigo com equipamentos médicos, recalls, incidentes notificáveis, problemas e falhas.</t>
  </si>
  <si>
    <t>O hospital tem um processo para monitorar e agir em avisos de perigo com equipamentos médicos e dispositivos implantáveis, recalls, incidentes notificáveis, problemas e falhas. (Ver também AOP.03.04, EM 5; AOP.05.04, EM 5)</t>
  </si>
  <si>
    <t>O hospital notifica quaisquer mortes, ferimentos graves ou doenças resultantes do uso de equipamentos médicos por meio do processo de notificação de incidentes e eventos adversos do hospital. (Veja também GLD.04.00, EM 7)</t>
  </si>
  <si>
    <t>O Programa de gerenciamento de equipamentos médicos  aborda o uso de qualquer equipamento médico com um problema ou falha relatada ou que seja objeto de um aviso de perigo ou esteja sob recall</t>
  </si>
  <si>
    <t>Padrão FMS.08.00
O hospital implementa um programa de gerenciamento de sistemas utilitários em toda a organização.</t>
  </si>
  <si>
    <t>O hospital desenvolve e implementa um programa escrito para o gerenciamento de sistemas utilitários em todo o hospital. (Veja também HCT.01.04, EM 1)</t>
  </si>
  <si>
    <t>O hospital identifica e implementa melhorias e monitora os dados para garantir que os riscos dos sistemas utilitários são reduzidos ou eliminados.</t>
  </si>
  <si>
    <t>O hospital inventaria seus componentes de sistemas utilitários e mapeia sua distribuição atual.</t>
  </si>
  <si>
    <t>O hospital identifica, por escrito, as atividades e intervalos para inspecionar, avaliar e realizar manutenção preventiva e de rotina em todos os componentes operacionais dos sistemas utilitários no inventário, com base em critérios como recomendações dos fabricantes, níveis de risco e experiência do hospital.</t>
  </si>
  <si>
    <t>O hospital rotula controles do sistemas utilitários para facilitar desligamentos de emergência parciais ou completos.</t>
  </si>
  <si>
    <t>Padrão FMS.08.01
O programa de sistemas utilitários do hospital garante que os serviços essenciais, incluindo energia, água e gases medicinais, estejam sempre disponíveis e fontes alternativas para serviços essenciais sejam testadas e avaliadas</t>
  </si>
  <si>
    <t>O hospital garante disponibilidade/continuidade de backup de serviços essenciais (incluindo energia, água e gás medicinal) 24 horas por dia, 7 dias por semana. (Veja também FMS.09.00, EM 1)</t>
  </si>
  <si>
    <t>O hospital testa e avalia a disponibilidade e a qualidade da(s) fonte(s) alternativa(s) de água pelo menos anualmente ou com mais frequência, se exigido pelas leis e regulamentos locais ou condições da fonte de água. O hospital documenta os resultados dos testes.</t>
  </si>
  <si>
    <t>O hospital testa e avalia fontes alternativas de energia pelo menos trimestralmente ou com mais frequência se exigido pelas leis e regulamentos locais, recomendações dos fabricantes ou condições da fonte de energia. O hospital documenta os resultados dos testes.</t>
  </si>
  <si>
    <t>Padrão FMS.08.02
Indivíduos ou autoridades designados monitoram a qualidade da água regularmente.</t>
  </si>
  <si>
    <t>A qualidade da água potável é testada e avaliada pelo menos trimestralmente ou com mais frequência de acordo com as leis e regulamentos, condições das fontes de água e experiência anterior com problemas de qualidade da água. Os resultados do teste são documentados</t>
  </si>
  <si>
    <t>A qualidade da água não potável é testada e avaliada pelo menos a cada seis (6) meses ou mais frequentemente com base em leis e regulamentos locais, condições das fontes de água e experiência anterior com problemas de qualidade da água. Os resultados do teste são documentados.</t>
  </si>
  <si>
    <t>Medidas preventivas e estratégias são implementadas para reduzir os riscos de contaminação e crescimento de bactérias na água.</t>
  </si>
  <si>
    <t>Linhas de água de unidades odontológicas são tratadas, testadas e avaliados de acordo com as diretrizes do fabricante e tratamentos e testes são documentados.</t>
  </si>
  <si>
    <t>Padrão FMS.08.03
A qualidade da água usada na hemodiálise é testada e avaliada quanto a contaminantes químicos, bacterianos e de endotoxinas e os processos para serviços de hemodiálise seguem padrões profissionais de qualidade da água e de prevenção e controle de infecções</t>
  </si>
  <si>
    <t>Serviços de hemodiálise no hospital, seguem os padrões da indústria e as diretrizes profissionais para manter a qualidade da água e implementar medidas de prevenção e controle de infecções.</t>
  </si>
  <si>
    <t>A água usada na hemodiálise é testada de acordo com as diretrizes baseadas em evidências antes e durante os tratamentos e avaliados mensalmente quanto ao crescimento bacteriano e endotoxinas e avaliados anualmente quanto a contaminantes químicos. Os resultados do teste são documentados.</t>
  </si>
  <si>
    <t>O hospital realiza desinfecção de rotina do sistema de distribuição de água de hemodiálise.</t>
  </si>
  <si>
    <t>O hospital realiza testes e avaliações em todas as máquinas de hemodiálise anualmente, incluindo máquinas que não estão em uso e os resultados dos testes são documentados</t>
  </si>
  <si>
    <t>O hospital estabelece e implementa procedimentos para o reprocessamento de dialisadores, incluindo, como aplicável, frequência de reutilização/substituição de dialisadores e processos de limpeza e teste de dialisadores.</t>
  </si>
  <si>
    <t>Padrão FMS.08.04
O hospital reduz o risco de infecção nas instalações por meio do uso de controles mecânicos e de engenharia.</t>
  </si>
  <si>
    <t>O hospital opera e mantém sistemas de ventilação com pressão negativa e positiva de acordo com as leis e regulamentos locais e nacionais e padrões profissionais.</t>
  </si>
  <si>
    <t>O hospital opera e mantém controles de temperatura para água, vapor e outros de acordo com as leis e regulamentos locais e nacionais e padrões profissionais.</t>
  </si>
  <si>
    <t>O hospital opera e mantém o fluxo de ar, sistemas de ventilação e controles de umidade de maneira a minimizar o risco de infecção no hospital, de acordo com as leis e regulamentos locais e nacionais e diretrizes profissionais.</t>
  </si>
  <si>
    <t>Padrão FMS.09.00
O hospital desenvolve, mantém e avalia um programa de gerenciamento de emergências para responder a emergências e desastres internos e externos que têm o potencial de ocorrer dentro do hospital e na comunidade.</t>
  </si>
  <si>
    <t>O hospital desenvolve, avalia e mantém um programa escrito de gerenciamento de emergências e desastres que fornece processos para o seguinte: • Determinar o tipo, a probabilidade e as consequências de perigos, ameaças e eventos (Veja também • GHI.05.00, EM 2) • Identificar as vulnerabilidades estruturais e não estruturais dos ambientes de atendimento ao paciente do hospital e como o hospital se comportará em caso de emergência ou desastre • Planejar fontes alternativas de energia e água em emergências e desastres • Determinar o papel do hospital em tais eventos • Determinar estratégias de comunicação para eventos • Gerenciar recursos durante eventos, incluindo fontes alternativas (ver também FMS.08.01, EM 1) • Gerenciar atividades clínicas durante um evento, incluindo locais de atendimento alternativos • Identificar e atribuir funções e responsabilidades da equipe durante um evento (incluindo profissionais contratados, fornecedores e outros identificados pelo hospital. (ver também GHI.05.00, EM 4) • Gerenciar emergências e desastres quando as responsabilidades pessoais da equipe entram em conflito com a responsabilidade do hospital de fornecer atendimento ao paciente</t>
  </si>
  <si>
    <t>O hospital identifica grandes emergências e/ou desastres internos e externos, como emergências e desastres naturais ou outros que representem riscos significativos de ocorrência, levando em consideração a localização geográfica do hospital. (Veja também GHI.05.00, EM 2)</t>
  </si>
  <si>
    <t>O hospital identifica e realiza uma avaliação anual dos elementos críticos da emergência do programa de gerenciamento de desastres. No mínimo, os elementos críticos incluem o seguinte: • Tipo, probabilidade e consequências de perigos, ameaças e eventos • Vulnerabilidades estruturais e não estruturais dos ambientes de atendimento ao paciente do hospital e como o hospital se comportará em caso de emergência ou desastre (ver também GHI.05.00, ME 3) • Fontes alternativas de energia e água nas emergências e desastres</t>
  </si>
  <si>
    <t>Ações de acompanhamento identificados a partir de testes e análise (debriefing) são desenvolvidos e implementados.</t>
  </si>
  <si>
    <t>Padrão FMS.09.01
O hospital implementa e avalia um programa de gerenciamento de emergência para responder à ocorrência de doenças transmissíveis globais.</t>
  </si>
  <si>
    <t>O hospital desenvolve e implementa um programa de preparação para emergências para responder a doenças transmissíveis globais que inclui o seguinte: • Um processo para determinar quando procedimentos de gerenciamento de emergência são ativados em resposta a doenças infecciosas emergentes ou reemergentes (ver também PCI.07.00, EM 1) • Estratégias de comunicação interna e externa, incluindo autoridades locais e globais de vigilância de doenças • Identificação e atribuição de funções e responsabilidades da equipe • Identificação de cadeias de suprimentos alternativas para equipamentos de proteção individual e outros suprimentos críticos (ver também PCI.07.01, EM 2)</t>
  </si>
  <si>
    <t>O hospital implementa planos de pessoal de emergência para garantir a continuidade das operações e a prestação de cuidados ao paciente.</t>
  </si>
  <si>
    <t>O hospital identifica os primeiros pontos de entrada do paciente no sistema hospitalar e tem um procedimento para restringir o acesso a pontos de acesso predeterminados. (Veja também PCI.07.02, EM 1)</t>
  </si>
  <si>
    <t>O hospital avalia todo o programa pelo menos anualmente e, quando aplicável, envolve autoridades locais, regionais e/ou nacionais</t>
  </si>
  <si>
    <t>Ações de acompanhamento identificadas a partir do processo de avaliação e análise (debriefing) são desenvolvidas e implementadas.</t>
  </si>
  <si>
    <t>O hospital implementa um processo para gerenciar um fluxo repentino de pacientes com doenças contagiosas.</t>
  </si>
  <si>
    <t>Padrão FMS.10.00
Ao planejar projetos de construção, reforma e demolição ou atividades de manutenção que afetam o atendimento ao paciente, a organização realiza uma avaliação de risco pré-construção.</t>
  </si>
  <si>
    <t>Ao planejar para projetos de construção, reforma ou demolição, ou atividades de manutenção que afetam o atendimento ao paciente, o hospital realiza uma avaliação de risco pré-construção (PCRA) que inclui, no mínimo, o seguinte: • Qualidade do ar • Prevenção e controle de infecções • Sistemas Utilitários • Ruído • Vibração • Materiais e resíduos perigosos • Segurança contra incêndios • Proteção • Procedimentos de emergência, incluindo vias/saídas alternativas e acesso a serviços de emergência • Outros perigos que afetam o cuidado, o tratamento e os serviços (ver também FMS.02.00, EM 1)</t>
  </si>
  <si>
    <t>O hospital toma ação baseada em sua avaliação para minimizar os riscos durante os projetos de construção, reforma e demolição e atividades de manutenção que afetam o atendimento ao paciente.</t>
  </si>
  <si>
    <t>O hospital garante que a conformidade do contratado seja monitorada, aplicada e documentada.</t>
  </si>
  <si>
    <t>ID_Plano</t>
  </si>
  <si>
    <t>Data_Reuniao</t>
  </si>
  <si>
    <t>Comite_Origem</t>
  </si>
  <si>
    <t>Plano_de_Acao</t>
  </si>
  <si>
    <t>Responsaveis</t>
  </si>
  <si>
    <t>Departamento</t>
  </si>
  <si>
    <t>Prazo_Informado</t>
  </si>
  <si>
    <t>Historico</t>
  </si>
  <si>
    <t>Origem</t>
  </si>
  <si>
    <t>IPSG-20260804-001</t>
  </si>
  <si>
    <t>Revisar o termo de ciência/esclarecimento sobre riscos assistenciais e protocolos institucionais, incluindo nomenclatura, riscos contemplados, responsável legal/representante, vínculo com protocolos e possibilidade de inclusão no Tasy.</t>
  </si>
  <si>
    <t>Qualidade, Enfermagem, Débora, Thaís e Dr. Manara.</t>
  </si>
  <si>
    <t>Próxima Reunião</t>
  </si>
  <si>
    <t>Termos estão sendo atualizados para o Projeto ONE CARE</t>
  </si>
  <si>
    <t>ATA de reunião</t>
  </si>
  <si>
    <t>IPSG-20260804-002</t>
  </si>
  <si>
    <t>Definir fluxo de contingência para recusa de pulseira de identificação, incluindo pacientes neurodivergentes, registro da recusa, barreiras alternativas, identificação em transferências/exames e conferência segura para administração de medicamentos.</t>
  </si>
  <si>
    <t>IPSG, Enfermagem, Corpo Clínico e Qualidade.</t>
  </si>
  <si>
    <t>Definir Fluxo para recusa de Pulseira</t>
  </si>
  <si>
    <t>IPSG-20260804-003</t>
  </si>
  <si>
    <t>Reavaliar o processo de resultado crítico e readback, garantindo documentação, leitura de volta e confirmação, além de revisar o uso do telefone corporativo médico no fluxo atual.</t>
  </si>
  <si>
    <t>Qualidade, IPSG, Laboratório/Fleury, Corpo Clínico e Enfermagem.</t>
  </si>
  <si>
    <t>Está sendo visto a falta do registro em prontuário dos resultados críticos</t>
  </si>
  <si>
    <t>IPSG-20260804-004</t>
  </si>
  <si>
    <t>Realizar auditoria direcionada do fluxo de resultados críticos, comparando comunicação do laboratório, horário do registro em prontuário, registro médico/enfermagem e evidência de readback.</t>
  </si>
  <si>
    <t>Qualidade e IPSG.</t>
  </si>
  <si>
    <t>Auditoria para verificação do Fluxo de resultados Críticos</t>
  </si>
  <si>
    <t>IPSG-20260804-005</t>
  </si>
  <si>
    <t>Validar impactos do Tasy HTML5 nos processos vinculados às metas internacionais, incluindo relatórios, registros, treinamentos dos multiplicadores e participação da Qualidade na validação do sistema.</t>
  </si>
  <si>
    <t>IPSG, Projeto ONE CARE</t>
  </si>
  <si>
    <t>Está sendo feita transição de tasy e foi levantando sobre o ponto dos relatórios que são tirados do TASY</t>
  </si>
  <si>
    <t>IPSG-20260804-006</t>
  </si>
  <si>
    <t>Consolidar plano de treinamento das Metas 1, 2 e 5, contemplando colaboradores, médicos, terceiros, emissão de certificados e evidência de participação.</t>
  </si>
  <si>
    <t>Qualidade, Dra. Sarah, IPSG</t>
  </si>
  <si>
    <t>Verificar sobre a Plataforma Educare com a Hospital Care para se verificar como está a plataforma para terceiros e para médicos</t>
  </si>
  <si>
    <t>IPSG-20260804-007</t>
  </si>
  <si>
    <t>Verificar Sobre os temas de dispensação de eletrólitos na forma mais pronta possível, eletrólitos, carrinhos, lacres, psicobox e dispensação com o MMU</t>
  </si>
  <si>
    <t>MMU, Farmácia, Enfermagem e Qualidade.</t>
  </si>
  <si>
    <t>Verificar sobre tema na reunião do MMU para definição das Ações</t>
  </si>
  <si>
    <t>MMU-20260804-001</t>
  </si>
  <si>
    <t>Validar, de forma multidisciplinar, a lista definitiva de medicamentos e materiais dos carrinhos, com quantitativos por item, por tipo de carrinho e por gaveta, antes de qualquer compra de psicobox, acessórios ou novos carrinhos.</t>
  </si>
  <si>
    <t>Farmácia / Enfermagem / Corpo Clínico</t>
  </si>
  <si>
    <t>Farmácia / Assistencial</t>
  </si>
  <si>
    <t>Próxima reunião</t>
  </si>
  <si>
    <t>Incluir 33 carrinhos mencionados e usar o levantamento como base para decisões de padronização.</t>
  </si>
  <si>
    <t>MMU-20260804-002</t>
  </si>
  <si>
    <t>Definir solução única e padronizada para segregação de eletrólitos e medicamentos de alta vigilância em todos os carrinhos, contemplando barreira física/visual, identificação, lacre e atualização dos documentos institucionais 058, PEDINOP e mapeamento de risco da Farmácia.</t>
  </si>
  <si>
    <t>Farmácia /   Enfermagem</t>
  </si>
  <si>
    <t xml:space="preserve">Farmácia </t>
  </si>
  <si>
    <t>A barreira deve reduzir risco de confusão em emergência e ser aplicável a todos os modelos de carrinho.</t>
  </si>
  <si>
    <t>MMU-20260804-003</t>
  </si>
  <si>
    <t>Revisar e formalizar o fluxo de lacres, vinculando lacre numerado ao carrinho específico, controlando retirada na farmácia, abertura, reposição, uso de lacre vermelho e restrição de lacres para processos não relacionados aos carrinhos.</t>
  </si>
  <si>
    <t>Atualmente há rastreabilidade parcial; ampliar controle até a reposição do carrinho.</t>
  </si>
  <si>
    <t>MMU-20260804-004</t>
  </si>
  <si>
    <t>Reavaliar o fluxo de prescrição, retirada e reposição em situações de emergência, incluindo integração futura com Tasy/HTML/One Care e plano de contingência até a prescrição automática, garantindo evidência do item usado e do carrinho de origem.</t>
  </si>
  <si>
    <t>Farmácia / TI / Enfermagem</t>
  </si>
  <si>
    <t>Farmácia / TI</t>
  </si>
  <si>
    <t>Necessário reduzir o limbo atual entre prescrição, retirada e reposição do carrinho.</t>
  </si>
  <si>
    <t>MMU-20260804-005</t>
  </si>
  <si>
    <t>Padronizar o fluxo de entrega/retirada de psicotrópicos e eletrólitos, incluindo entrega uma hora antes da administração, situações fora de horário, atendimento prioritário na farmácia e orientação das equipes para evitar atalhos, uso indevido de crachá ou normalização de desvios.</t>
  </si>
  <si>
    <t>Farmácia / Enfermagem / Qualidade</t>
  </si>
  <si>
    <t>Avaliar ficha/crachá/prescrição diferenciada/campainha ou outro mecanismo de prioridade.</t>
  </si>
  <si>
    <t>MMU-20260804-006</t>
  </si>
  <si>
    <t>Levantar custos e alternativas para psicobox/carrinhos e, em paralelo, revisitar postos de enfermagem para avaliar rocurônio e medicamentos refrigerados de risco, definindo quantitativos, identificação, lacre e retirada de itens sem necessidade assistencial.</t>
  </si>
  <si>
    <t xml:space="preserve">Farmácia / Operações / Enfermagem / </t>
  </si>
  <si>
    <t>Farmácia / Operações</t>
  </si>
  <si>
    <t>Apresentar cenário ideal, cenário mínimo e plano B, considerando limitações orçamentárias.</t>
  </si>
  <si>
    <t>MMU-20260804-007</t>
  </si>
  <si>
    <t>Para visita Simulada verificar questão de dispensar na forma mais pronta possível, verificar com avaliadores se desta forma está correta ou se será necessário uma Capela para conformidade do Elemento.</t>
  </si>
  <si>
    <t>Farmácia / Qualidade</t>
  </si>
  <si>
    <t>Visita Simulada</t>
  </si>
  <si>
    <t>Item do IPSG sobre dispensação de eletrolítos, na forma mais pronta possível.</t>
  </si>
  <si>
    <t>COPACC-20260804-001</t>
  </si>
  <si>
    <t>COP/ACC</t>
  </si>
  <si>
    <t>Atualização dos Programas de transplantes</t>
  </si>
  <si>
    <t>Mariane, Dr Átila</t>
  </si>
  <si>
    <t>Próxima Reunião do Comitê</t>
  </si>
  <si>
    <t>Está sendo atualizado conforme o andamento do comitê</t>
  </si>
  <si>
    <t>COPACC-20260804-002</t>
  </si>
  <si>
    <t>Olhar para Política de alarmes clínicos com mais cuidado e atualização dos documentos do Comitê</t>
  </si>
  <si>
    <t>COPACC-20260804-003</t>
  </si>
  <si>
    <t>Ponto crítico que é a informação sobre os custos esperados relacionados aos cuidados</t>
  </si>
  <si>
    <t>Mariane, Dr Átila, Qualidade</t>
  </si>
  <si>
    <t>COPACC-20260804-004</t>
  </si>
  <si>
    <t>Atualização dos Documentos do Comitê</t>
  </si>
  <si>
    <t>Mariane, Dr. Átila</t>
  </si>
  <si>
    <t>FMS-20260805-001</t>
  </si>
  <si>
    <t>Verificar o controle das pressões e avaliar, junto ao Januário, se houve oscilação no período analisado.</t>
  </si>
  <si>
    <t>SCIH / Januário</t>
  </si>
  <si>
    <t>Puxar assunto com reunião de trabalho com Januário</t>
  </si>
  <si>
    <t>FMS-20260805-002</t>
  </si>
  <si>
    <t>Ver atualização do Programa de doenças emergentes com a Thaís</t>
  </si>
  <si>
    <t>SCIH / Vinicius</t>
  </si>
  <si>
    <t>Está na esteira de aprovação</t>
  </si>
  <si>
    <t>FMS-20260805-003</t>
  </si>
  <si>
    <t>A Verificação do Controle das Salas com a Adriana do SIGN IN e SIGN OUT</t>
  </si>
  <si>
    <t>SCIH</t>
  </si>
  <si>
    <t>Dentro do prazo</t>
  </si>
  <si>
    <t>Vai ser visto na Reunião do Centro Cirúrgico com a participação do Dr. João</t>
  </si>
  <si>
    <t>FMS-20260805-004</t>
  </si>
  <si>
    <t>Verificar sobre a atualização do Programa e do Protocolo de Sarampo para com base nisso dar treinamento a equipe do PS e usar casos verdadeiros fazer o The Briefing e usar como base nas melhorias e evidências para JCI</t>
  </si>
  <si>
    <t>SCIH / FMS</t>
  </si>
  <si>
    <t>Levar para visita Simulada se está correto fazer desta forma</t>
  </si>
  <si>
    <t>Prioridade</t>
  </si>
  <si>
    <t>Status_Prazo</t>
  </si>
  <si>
    <t>ORIENTAÇÕES PARA USO DA BASE</t>
  </si>
  <si>
    <t>Não iniciado</t>
  </si>
  <si>
    <t>Baixa</t>
  </si>
  <si>
    <t>Safety Huddle</t>
  </si>
  <si>
    <t>No prazo</t>
  </si>
  <si>
    <t>1. Preencha apenas as colunas de A até V. As colunas W até AC são calculadas automaticamente.</t>
  </si>
  <si>
    <t>Média</t>
  </si>
  <si>
    <t>Inspeção das Instalações</t>
  </si>
  <si>
    <t>Vence em até 7 dias</t>
  </si>
  <si>
    <t>2. Não mescle células, não altere os nomes dos cabeçalhos e não deixe linhas totalmente em branco no meio da base.</t>
  </si>
  <si>
    <t>Em validação</t>
  </si>
  <si>
    <t>Round de Liderança</t>
  </si>
  <si>
    <t>Atrasado</t>
  </si>
  <si>
    <t>3. Use sempre datas reais nos campos de data, evitando textos como “semana que vem”.</t>
  </si>
  <si>
    <t>Urgente</t>
  </si>
  <si>
    <t>Auditoria Interna</t>
  </si>
  <si>
    <t>4. Padronize nomes de setores e responsáveis para evitar duplicidades no Power BI.</t>
  </si>
  <si>
    <t>Cancelado</t>
  </si>
  <si>
    <t>Comitê</t>
  </si>
  <si>
    <t>Sem prazo</t>
  </si>
  <si>
    <t>5. Sempre registre evidência quando a ação for concluída: link de OS, foto, ata, e-mail ou documento.</t>
  </si>
  <si>
    <t>6. Para o Power BI, conecte preferencialmente na tabela chamada tblPlanosAcao.</t>
  </si>
  <si>
    <t>Infra e  Hotelaria</t>
  </si>
  <si>
    <t>Inspeção</t>
  </si>
  <si>
    <t>Reunião</t>
  </si>
  <si>
    <t>Outro</t>
  </si>
  <si>
    <t>Outros</t>
  </si>
  <si>
    <t>NEP</t>
  </si>
  <si>
    <t>Projetos Documentos</t>
  </si>
  <si>
    <t>Campo</t>
  </si>
  <si>
    <t>Como preencher</t>
  </si>
  <si>
    <t>Tipo/Regra</t>
  </si>
  <si>
    <t>Importância para Power BI</t>
  </si>
  <si>
    <t>ID_Acao</t>
  </si>
  <si>
    <t>Código único da ação. Exemplo: PA-2026-001</t>
  </si>
  <si>
    <t>Texto único</t>
  </si>
  <si>
    <t>Evita duplicidade e facilita relacionamento entre tabelas.</t>
  </si>
  <si>
    <t>Data em que o problema ou oportunidade foi registrado.</t>
  </si>
  <si>
    <t>Data</t>
  </si>
  <si>
    <t>Permite análise mensal, anual e por período.</t>
  </si>
  <si>
    <t>Fonte que gerou a ação: Huddle, Round, Auditoria, Comitê etc.</t>
  </si>
  <si>
    <t>Lista suspensa</t>
  </si>
  <si>
    <t>Ajuda a identificar onde surgem mais demandas.</t>
  </si>
  <si>
    <t>Setor responsável ou onde o problema ocorreu.</t>
  </si>
  <si>
    <t>Texto padronizado</t>
  </si>
  <si>
    <t>Base para filtros e ranking por área.</t>
  </si>
  <si>
    <t>Processo</t>
  </si>
  <si>
    <t>Processo impactado pela ação.</t>
  </si>
  <si>
    <t>Texto</t>
  </si>
  <si>
    <t>Permite agrupar ações por fluxo/processo.</t>
  </si>
  <si>
    <t>Classificação principal: FMS, PCI, QPS, IPSG etc.</t>
  </si>
  <si>
    <t>Facilita análise por capítulo/acreditação.</t>
  </si>
  <si>
    <t>Criticidade</t>
  </si>
  <si>
    <t>Grau de risco/impacto da não conformidade.</t>
  </si>
  <si>
    <t>Ajuda na priorização.</t>
  </si>
  <si>
    <t>Descrição objetiva do achado/problema.</t>
  </si>
  <si>
    <t>Mantém histórico e clareza do plano.</t>
  </si>
  <si>
    <t>Causa_Raiz</t>
  </si>
  <si>
    <t>Causa provável ou raiz, quando conhecida.</t>
  </si>
  <si>
    <t>Apoia análise crítica e prevenção de recorrência.</t>
  </si>
  <si>
    <t>Ação corretiva/preventiva definida.</t>
  </si>
  <si>
    <t>Mostra o que será feito.</t>
  </si>
  <si>
    <t>Responsavel</t>
  </si>
  <si>
    <t>Pessoa ou área responsável pela execução.</t>
  </si>
  <si>
    <t>Permite cobrança e painel por responsável.</t>
  </si>
  <si>
    <t>Cargo_Responsavel</t>
  </si>
  <si>
    <t>Preencher de forma padronizada ou deixar calculado quando for fórmula.</t>
  </si>
  <si>
    <t>Texto/Data/Fórmula</t>
  </si>
  <si>
    <t>Apoia organização e leitura no Power BI.</t>
  </si>
  <si>
    <t>Prazo_Inicial</t>
  </si>
  <si>
    <t>Prazo_Final</t>
  </si>
  <si>
    <t>Data combinada para conclusão.</t>
  </si>
  <si>
    <t>Base dos indicadores de atraso e vencimento.</t>
  </si>
  <si>
    <t>Data_Conclusao</t>
  </si>
  <si>
    <t>Data real da conclusão. Preencher somente quando finalizada.</t>
  </si>
  <si>
    <t>Permite medir tempo de execução.</t>
  </si>
  <si>
    <t>Situação atual da ação.</t>
  </si>
  <si>
    <t>Base dos indicadores executivos.</t>
  </si>
  <si>
    <t>Evidencia_Link</t>
  </si>
  <si>
    <t>Link ou caminho da evidência, OS, foto, documento ou ata.</t>
  </si>
  <si>
    <t>Texto/link</t>
  </si>
  <si>
    <t>Facilita rastreabilidade em auditoria.</t>
  </si>
  <si>
    <t>Observacoes</t>
  </si>
  <si>
    <t>Custo_Estimado</t>
  </si>
  <si>
    <t>Elemento_JCI_ONA</t>
  </si>
  <si>
    <t>Mes_Registro</t>
  </si>
  <si>
    <t>Ano_Registro</t>
  </si>
  <si>
    <t>Dias_Para_Vencer</t>
  </si>
  <si>
    <t>Dias_Atraso</t>
  </si>
  <si>
    <t>Campo calculado automaticamente. Não editar.</t>
  </si>
  <si>
    <t>Fórmula</t>
  </si>
  <si>
    <t>Classifica no prazo, vencendo, atrasado ou concluído.</t>
  </si>
  <si>
    <t>%_Conclusao</t>
  </si>
  <si>
    <t>Atualizado_Em</t>
  </si>
  <si>
    <t>Indicador</t>
  </si>
  <si>
    <t>Valor</t>
  </si>
  <si>
    <t>Total de ações</t>
  </si>
  <si>
    <t>Concluídas</t>
  </si>
  <si>
    <t>Não iniciadas</t>
  </si>
  <si>
    <t>Atrasadas</t>
  </si>
  <si>
    <t>Vencem em até 7 dias</t>
  </si>
  <si>
    <t>% Conclusão</t>
  </si>
  <si>
    <t>Status do Prazo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</si>
</sst>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quot;Quarto &quot;\ 0"/>
    <numFmt numFmtId="165" formatCode="&quot;R$&quot;\ #,##0.00"/>
  </numFmts>
  <fonts count="68">
    <font>
      <sz val="11"/>
      <name val="Carlito"/>
    </font>
    <font>
      <sz val="11"/>
      <color theme="1"/>
      <name val="Calibri"/>
      <scheme val="minor"/>
    </font>
    <font>
      <b/>
      <sz val="11"/>
      <color rgb="FFFFFFFF"/>
      <name val="Carlito"/>
    </font>
    <font>
      <b/>
      <sz val="11"/>
      <color rgb="FF000000"/>
      <name val="Carlito"/>
    </font>
    <font>
      <sz val="11"/>
      <color rgb="FF000000"/>
      <name val="Aptos Narrow"/>
      <family val="2"/>
    </font>
    <font>
      <sz val="10"/>
      <color rgb="FF000000"/>
      <name val="Arial"/>
      <charset val="1"/>
    </font>
    <font>
      <sz val="10"/>
      <color rgb="FF000000"/>
      <name val="Arial"/>
    </font>
    <font>
      <sz val="11"/>
      <color rgb="FF000000"/>
      <name val="Carlito"/>
    </font>
    <font>
      <sz val="12"/>
      <color rgb="FF000000"/>
      <name val="Aptos"/>
      <family val="2"/>
    </font>
    <font>
      <sz val="12"/>
      <color rgb="FF000000"/>
      <name val="Aptos"/>
      <charset val="1"/>
    </font>
    <font>
      <sz val="11"/>
      <color rgb="FF000000"/>
      <name val="Calibri"/>
      <family val="2"/>
    </font>
    <font>
      <b/>
      <sz val="11"/>
      <color rgb="FF000000"/>
      <name val="Calibri"/>
      <family val="2"/>
    </font>
    <font>
      <sz val="12"/>
      <color rgb="FF000000"/>
      <name val="Calibri"/>
      <family val="2"/>
    </font>
    <font>
      <sz val="11"/>
      <color theme="1"/>
      <name val="Carlito"/>
    </font>
    <font>
      <sz val="12"/>
      <color rgb="FF000000"/>
      <name val="Aptos"/>
    </font>
    <font>
      <sz val="11"/>
      <name val="Carlito"/>
    </font>
    <font>
      <sz val="8"/>
      <color rgb="FF000000"/>
      <name val="Calibri"/>
      <family val="2"/>
    </font>
    <font>
      <sz val="7"/>
      <color rgb="FF000000"/>
      <name val="Calibri"/>
      <family val="2"/>
    </font>
    <font>
      <b/>
      <sz val="11"/>
      <color theme="0"/>
      <name val="Arial"/>
      <family val="2"/>
    </font>
    <font>
      <sz val="12"/>
      <color rgb="FF242424"/>
      <name val="Aptos Narrow"/>
      <family val="2"/>
    </font>
    <font>
      <sz val="11"/>
      <color rgb="FF242424"/>
      <name val="Aptos Narrow"/>
      <family val="2"/>
    </font>
    <font>
      <b/>
      <sz val="12"/>
      <color rgb="FF000000"/>
      <name val="Calibri"/>
      <family val="2"/>
    </font>
    <font>
      <sz val="10"/>
      <color theme="1"/>
      <name val="Arial"/>
    </font>
    <font>
      <sz val="11"/>
      <color rgb="FF000000"/>
      <name val="Calibri"/>
    </font>
    <font>
      <b/>
      <sz val="12"/>
      <color rgb="FF000000"/>
      <name val="Aptos"/>
    </font>
    <font>
      <b/>
      <sz val="11"/>
      <color theme="0"/>
      <name val="Calibri"/>
      <family val="2"/>
      <scheme val="minor"/>
    </font>
    <font>
      <sz val="11"/>
      <color rgb="FFFF0000"/>
      <name val="Calibri"/>
      <family val="2"/>
      <scheme val="minor"/>
    </font>
    <font>
      <b/>
      <sz val="11"/>
      <color theme="1"/>
      <name val="Calibri"/>
      <family val="2"/>
      <scheme val="minor"/>
    </font>
    <font>
      <sz val="11"/>
      <color rgb="FF000000"/>
      <name val="Calibri"/>
      <scheme val="minor"/>
    </font>
    <font>
      <sz val="11"/>
      <color rgb="FFC00000"/>
      <name val="Calibri"/>
      <family val="2"/>
      <scheme val="minor"/>
    </font>
    <font>
      <sz val="11"/>
      <color rgb="FFFFC000"/>
      <name val="Calibri"/>
      <scheme val="minor"/>
    </font>
    <font>
      <sz val="11"/>
      <color rgb="FF000000"/>
      <name val="Calibri"/>
      <family val="2"/>
      <scheme val="minor"/>
    </font>
    <font>
      <i/>
      <sz val="11"/>
      <color theme="1"/>
      <name val="Calibri"/>
      <family val="2"/>
      <scheme val="minor"/>
    </font>
    <font>
      <sz val="11"/>
      <color rgb="FFFF0000"/>
      <name val="Calibri"/>
      <scheme val="minor"/>
    </font>
    <font>
      <sz val="11"/>
      <color rgb="FF000000"/>
      <name val="Aptos Narrow"/>
    </font>
    <font>
      <b/>
      <sz val="11"/>
      <color rgb="FF000000"/>
      <name val="Aptos Narrow"/>
    </font>
    <font>
      <b/>
      <sz val="11"/>
      <color rgb="FF000000"/>
      <name val="Aptos Narrow"/>
      <family val="2"/>
    </font>
    <font>
      <sz val="11"/>
      <color rgb="FFFF0000"/>
      <name val="Aptos Narrow"/>
      <family val="2"/>
    </font>
    <font>
      <sz val="11"/>
      <color rgb="FFFF0000"/>
      <name val="Aptos Narrow"/>
    </font>
    <font>
      <b/>
      <sz val="11"/>
      <color rgb="FFFF0000"/>
      <name val="Calibri"/>
      <scheme val="minor"/>
    </font>
    <font>
      <sz val="11"/>
      <color theme="7" tint="-0.249977111117893"/>
      <name val="Calibri"/>
      <family val="2"/>
      <scheme val="minor"/>
    </font>
    <font>
      <sz val="11"/>
      <color theme="3" tint="0.499984740745262"/>
      <name val="Calibri"/>
      <family val="2"/>
      <scheme val="minor"/>
    </font>
    <font>
      <sz val="11"/>
      <color theme="3" tint="0.249977111117893"/>
      <name val="Calibri"/>
      <family val="2"/>
      <scheme val="minor"/>
    </font>
    <font>
      <b/>
      <sz val="10"/>
      <color rgb="FF000000"/>
      <name val="Arial"/>
      <charset val="1"/>
    </font>
    <font>
      <sz val="11"/>
      <color rgb="FF000000"/>
      <name val="Calibri"/>
      <charset val="1"/>
    </font>
    <font>
      <b/>
      <sz val="16"/>
      <color theme="0"/>
      <name val="Carlito"/>
    </font>
    <font>
      <b/>
      <sz val="9"/>
      <color rgb="FF2D4B7D"/>
      <name val="Arial"/>
    </font>
    <font>
      <sz val="9"/>
      <color rgb="FF1F1F1F"/>
      <name val="Arial"/>
    </font>
    <font>
      <sz val="12"/>
      <color theme="1"/>
      <name val="Aptos"/>
      <charset val="1"/>
    </font>
    <font>
      <b/>
      <sz val="10"/>
      <color rgb="FFFFFFFF"/>
      <name val="Carlito"/>
    </font>
    <font>
      <sz val="9"/>
      <color rgb="FF243447"/>
      <name val="Carlito"/>
    </font>
    <font>
      <sz val="10"/>
      <color rgb="FF17365D"/>
      <name val="Arial"/>
    </font>
    <font>
      <sz val="9"/>
      <color rgb="FF243447"/>
      <name val="Carlito"/>
      <charset val="1"/>
    </font>
    <font>
      <sz val="11"/>
      <color rgb="FF17365D"/>
      <name val="Carlito"/>
    </font>
    <font>
      <sz val="10"/>
      <color rgb="FF000000"/>
      <name val="Calibri"/>
      <charset val="1"/>
    </font>
    <font>
      <sz val="11"/>
      <color rgb="FF1F2937"/>
      <name val="Calibri"/>
    </font>
    <font>
      <sz val="11"/>
      <color rgb="FF1F2937"/>
      <name val="Carlito"/>
    </font>
    <font>
      <sz val="10"/>
      <color rgb="FF0892BD"/>
      <name val="Arial"/>
    </font>
    <font>
      <sz val="11"/>
      <color rgb="FF1F2937"/>
      <name val="Carlito"/>
      <charset val="1"/>
    </font>
    <font>
      <sz val="11"/>
      <color rgb="FF000000"/>
      <name val="Carlito"/>
      <charset val="1"/>
    </font>
    <font>
      <b/>
      <sz val="12"/>
      <color rgb="FF000000"/>
      <name val="Aptos"/>
      <charset val="1"/>
    </font>
    <font>
      <sz val="11"/>
      <color rgb="FF000000"/>
      <name val="Arial"/>
    </font>
    <font>
      <sz val="11"/>
      <color theme="1"/>
      <name val="Calibri"/>
      <scheme val="major"/>
    </font>
    <font>
      <sz val="12"/>
      <color rgb="FF000000"/>
      <name val="Calibri"/>
      <charset val="1"/>
    </font>
    <font>
      <sz val="12"/>
      <color theme="1"/>
      <name val="Calibri"/>
      <scheme val="minor"/>
    </font>
    <font>
      <sz val="11"/>
      <color rgb="FF006100"/>
      <name val="Calibri"/>
    </font>
    <font>
      <b/>
      <sz val="10"/>
      <color rgb="FF000000"/>
      <name val="Arial"/>
    </font>
    <font>
      <sz val="11"/>
      <color rgb="FF9C5700"/>
      <name val="Calibri"/>
    </font>
  </fonts>
  <fills count="56">
    <fill>
      <patternFill patternType="none"/>
    </fill>
    <fill>
      <patternFill patternType="gray125"/>
    </fill>
    <fill>
      <patternFill patternType="solid">
        <fgColor rgb="FF2D4B7D"/>
      </patternFill>
    </fill>
    <fill>
      <patternFill patternType="solid">
        <fgColor rgb="FF00DBBB"/>
      </patternFill>
    </fill>
    <fill>
      <patternFill patternType="solid">
        <fgColor rgb="FF00C3F7"/>
      </patternFill>
    </fill>
    <fill>
      <patternFill patternType="solid">
        <fgColor rgb="FFC0E6F5"/>
        <bgColor rgb="FFC0E6F5"/>
      </patternFill>
    </fill>
    <fill>
      <patternFill patternType="solid">
        <fgColor rgb="FFFFFFFF"/>
        <bgColor rgb="FF000000"/>
      </patternFill>
    </fill>
    <fill>
      <patternFill patternType="solid">
        <fgColor rgb="FFC2FAEB"/>
        <bgColor rgb="FF000000"/>
      </patternFill>
    </fill>
    <fill>
      <patternFill patternType="solid">
        <fgColor rgb="FF59A7EB"/>
        <bgColor rgb="FF000000"/>
      </patternFill>
    </fill>
    <fill>
      <patternFill patternType="solid">
        <fgColor rgb="FFF28585"/>
        <bgColor rgb="FF000000"/>
      </patternFill>
    </fill>
    <fill>
      <patternFill patternType="solid">
        <fgColor rgb="FFD1669C"/>
        <bgColor rgb="FF000000"/>
      </patternFill>
    </fill>
    <fill>
      <patternFill patternType="solid">
        <fgColor rgb="FF9BBB59"/>
        <bgColor rgb="FF000000"/>
      </patternFill>
    </fill>
    <fill>
      <patternFill patternType="solid">
        <fgColor rgb="FFFCD5B4"/>
        <bgColor rgb="FF000000"/>
      </patternFill>
    </fill>
    <fill>
      <patternFill patternType="solid">
        <fgColor theme="4" tint="0.79998168889431442"/>
        <bgColor theme="4" tint="0.79998168889431442"/>
      </patternFill>
    </fill>
    <fill>
      <patternFill patternType="solid">
        <fgColor rgb="FFFFFFFF"/>
        <bgColor indexed="64"/>
      </patternFill>
    </fill>
    <fill>
      <patternFill patternType="solid">
        <fgColor rgb="FFFFC000"/>
        <bgColor rgb="FF000000"/>
      </patternFill>
    </fill>
    <fill>
      <patternFill patternType="solid">
        <fgColor rgb="FF00DBBB"/>
        <bgColor indexed="64"/>
      </patternFill>
    </fill>
    <fill>
      <patternFill patternType="solid">
        <fgColor theme="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4"/>
        <bgColor theme="4"/>
      </patternFill>
    </fill>
    <fill>
      <patternFill patternType="solid">
        <fgColor rgb="FFD9E2F3"/>
        <bgColor rgb="FF000000"/>
      </patternFill>
    </fill>
    <fill>
      <patternFill patternType="solid">
        <fgColor rgb="FFEBF1DE"/>
        <bgColor rgb="FFEBF1DE"/>
      </patternFill>
    </fill>
    <fill>
      <patternFill patternType="solid">
        <fgColor rgb="FFFFF2CC"/>
        <bgColor rgb="FF000000"/>
      </patternFill>
    </fill>
    <fill>
      <patternFill patternType="solid">
        <fgColor theme="6" tint="0.79998168889431442"/>
        <bgColor theme="6" tint="0.79998168889431442"/>
      </patternFill>
    </fill>
    <fill>
      <patternFill patternType="solid">
        <fgColor rgb="FFFFF2CC"/>
      </patternFill>
    </fill>
    <fill>
      <patternFill patternType="solid">
        <fgColor rgb="FFA9D08E"/>
        <bgColor rgb="FF000000"/>
      </patternFill>
    </fill>
    <fill>
      <patternFill patternType="solid">
        <fgColor rgb="FFF8CBAD"/>
        <bgColor rgb="FF000000"/>
      </patternFill>
    </fill>
    <fill>
      <patternFill patternType="solid">
        <fgColor rgb="FFC9C9C9"/>
        <bgColor rgb="FF000000"/>
      </patternFill>
    </fill>
    <fill>
      <patternFill patternType="solid">
        <fgColor rgb="FF9BC2E6"/>
        <bgColor rgb="FF000000"/>
      </patternFill>
    </fill>
    <fill>
      <patternFill patternType="solid">
        <fgColor rgb="FFBFBFBF"/>
        <bgColor rgb="FF000000"/>
      </patternFill>
    </fill>
    <fill>
      <patternFill patternType="solid">
        <fgColor rgb="FFA9D08E"/>
        <bgColor rgb="FFC0E6F5"/>
      </patternFill>
    </fill>
    <fill>
      <patternFill patternType="solid">
        <fgColor rgb="FFFFF2CC"/>
        <bgColor rgb="FFC0E6F5"/>
      </patternFill>
    </fill>
    <fill>
      <patternFill patternType="solid">
        <fgColor rgb="FFF8CBAD"/>
        <bgColor rgb="FFC0E6F5"/>
      </patternFill>
    </fill>
    <fill>
      <patternFill patternType="solid">
        <fgColor rgb="FFC9C9C9"/>
        <bgColor rgb="FFC0E6F5"/>
      </patternFill>
    </fill>
    <fill>
      <patternFill patternType="solid">
        <fgColor rgb="FF9BC2E6"/>
        <bgColor rgb="FFC0E6F5"/>
      </patternFill>
    </fill>
    <fill>
      <patternFill patternType="solid">
        <fgColor rgb="FFFFFF00"/>
        <bgColor indexed="64"/>
      </patternFill>
    </fill>
    <fill>
      <patternFill patternType="solid">
        <fgColor rgb="FFF2F7F8"/>
        <bgColor rgb="FF000000"/>
      </patternFill>
    </fill>
    <fill>
      <patternFill patternType="solid">
        <fgColor rgb="FFC0E6F5"/>
        <bgColor rgb="FF000000"/>
      </patternFill>
    </fill>
    <fill>
      <patternFill patternType="solid">
        <fgColor theme="3" tint="0.89999084444715716"/>
        <bgColor indexed="64"/>
      </patternFill>
    </fill>
    <fill>
      <patternFill patternType="solid">
        <fgColor rgb="FFFF0000"/>
        <bgColor indexed="64"/>
      </patternFill>
    </fill>
    <fill>
      <patternFill patternType="solid">
        <fgColor rgb="FF00D9F0"/>
        <bgColor rgb="FF000000"/>
      </patternFill>
    </fill>
    <fill>
      <patternFill patternType="solid">
        <fgColor rgb="FFFFC7CE"/>
        <bgColor rgb="FF000000"/>
      </patternFill>
    </fill>
    <fill>
      <patternFill patternType="solid">
        <fgColor rgb="FFFFEB9C"/>
        <bgColor rgb="FF000000"/>
      </patternFill>
    </fill>
    <fill>
      <patternFill patternType="solid">
        <fgColor rgb="FFC6EFCE"/>
        <bgColor rgb="FF000000"/>
      </patternFill>
    </fill>
    <fill>
      <patternFill patternType="solid">
        <fgColor rgb="FFFABF8F"/>
        <bgColor rgb="FF000000"/>
      </patternFill>
    </fill>
    <fill>
      <patternFill patternType="solid">
        <fgColor rgb="FFC00000"/>
        <bgColor rgb="FF000000"/>
      </patternFill>
    </fill>
    <fill>
      <patternFill patternType="solid">
        <fgColor rgb="FFFDE9D9"/>
        <bgColor rgb="FF000000"/>
      </patternFill>
    </fill>
    <fill>
      <patternFill patternType="solid">
        <fgColor rgb="FF0070C0"/>
        <bgColor rgb="FF000000"/>
      </patternFill>
    </fill>
    <fill>
      <patternFill patternType="solid">
        <fgColor rgb="FFB1A0C7"/>
        <bgColor rgb="FF000000"/>
      </patternFill>
    </fill>
    <fill>
      <patternFill patternType="solid">
        <fgColor rgb="FFFFFF00"/>
        <bgColor rgb="FF000000"/>
      </patternFill>
    </fill>
    <fill>
      <patternFill patternType="solid">
        <fgColor rgb="FF0892BD"/>
        <bgColor rgb="FF000000"/>
      </patternFill>
    </fill>
    <fill>
      <patternFill patternType="solid">
        <fgColor rgb="FFFF0000"/>
        <bgColor rgb="FF000000"/>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right/>
      <top style="thin">
        <color rgb="FF44B3E1"/>
      </top>
      <bottom style="thin">
        <color rgb="FF44B3E1"/>
      </bottom>
      <diagonal/>
    </border>
  </borders>
  <cellStyleXfs count="3">
    <xf numFmtId="0" fontId="0" fillId="0" borderId="0"/>
    <xf numFmtId="9" fontId="15" fillId="0" borderId="0" applyFont="0" applyFill="0" applyBorder="0" applyAlignment="0" applyProtection="0"/>
    <xf numFmtId="44" fontId="15" fillId="0" borderId="0" applyFont="0" applyFill="0" applyBorder="0" applyAlignment="0" applyProtection="0"/>
  </cellStyleXfs>
  <cellXfs count="347">
    <xf numFmtId="0" fontId="0" fillId="0" borderId="0" xfId="0"/>
    <xf numFmtId="0" fontId="2" fillId="2" borderId="0" xfId="0" applyFont="1" applyFill="1" applyAlignment="1">
      <alignment horizontal="center" vertical="center" wrapText="1"/>
    </xf>
    <xf numFmtId="0" fontId="0" fillId="0" borderId="0" xfId="0" applyAlignment="1">
      <alignment wrapText="1"/>
    </xf>
    <xf numFmtId="9" fontId="0" fillId="0" borderId="0" xfId="0" applyNumberFormat="1"/>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4" borderId="0" xfId="0" applyFont="1" applyFill="1" applyAlignment="1">
      <alignment horizontal="center"/>
    </xf>
    <xf numFmtId="0" fontId="4" fillId="0" borderId="1" xfId="0" applyFont="1" applyBorder="1" applyAlignment="1">
      <alignment wrapText="1"/>
    </xf>
    <xf numFmtId="0" fontId="5" fillId="0" borderId="1" xfId="0" applyFont="1" applyBorder="1" applyAlignment="1">
      <alignment wrapText="1"/>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1" xfId="0" applyBorder="1" applyAlignment="1">
      <alignment wrapText="1"/>
    </xf>
    <xf numFmtId="0" fontId="0" fillId="0" borderId="1" xfId="0" applyBorder="1"/>
    <xf numFmtId="0" fontId="4" fillId="0" borderId="1" xfId="0" applyFont="1" applyBorder="1"/>
    <xf numFmtId="14" fontId="4" fillId="0" borderId="1" xfId="0" applyNumberFormat="1" applyFont="1" applyBorder="1"/>
    <xf numFmtId="14" fontId="4" fillId="0" borderId="1" xfId="0" applyNumberFormat="1" applyFont="1" applyBorder="1" applyAlignment="1">
      <alignment wrapText="1"/>
    </xf>
    <xf numFmtId="14" fontId="6" fillId="0" borderId="1" xfId="0" applyNumberFormat="1" applyFont="1" applyBorder="1" applyAlignment="1">
      <alignment wrapText="1"/>
    </xf>
    <xf numFmtId="0" fontId="10" fillId="0" borderId="3" xfId="0" applyFont="1" applyBorder="1"/>
    <xf numFmtId="0" fontId="7" fillId="5" borderId="1" xfId="0" applyFont="1" applyFill="1" applyBorder="1" applyAlignment="1">
      <alignment vertical="top" wrapText="1"/>
    </xf>
    <xf numFmtId="14" fontId="7" fillId="5" borderId="1" xfId="0" applyNumberFormat="1" applyFont="1" applyFill="1" applyBorder="1" applyAlignment="1">
      <alignment vertical="top" wrapText="1"/>
    </xf>
    <xf numFmtId="0" fontId="8" fillId="5" borderId="1" xfId="0" applyFont="1" applyFill="1" applyBorder="1" applyAlignment="1">
      <alignment wrapText="1"/>
    </xf>
    <xf numFmtId="0" fontId="7" fillId="0" borderId="1" xfId="0" applyFont="1" applyBorder="1" applyAlignment="1">
      <alignment vertical="top" wrapText="1"/>
    </xf>
    <xf numFmtId="14" fontId="7" fillId="0" borderId="1" xfId="0" applyNumberFormat="1" applyFont="1" applyBorder="1" applyAlignment="1">
      <alignment vertical="top" wrapText="1"/>
    </xf>
    <xf numFmtId="0" fontId="7" fillId="0" borderId="1" xfId="0" applyFont="1" applyBorder="1" applyAlignment="1">
      <alignment wrapText="1"/>
    </xf>
    <xf numFmtId="0" fontId="7" fillId="5" borderId="1" xfId="0" applyFont="1" applyFill="1" applyBorder="1" applyAlignment="1">
      <alignment wrapText="1"/>
    </xf>
    <xf numFmtId="0" fontId="9" fillId="6" borderId="1" xfId="0" applyFont="1" applyFill="1" applyBorder="1" applyAlignment="1">
      <alignment wrapText="1"/>
    </xf>
    <xf numFmtId="0" fontId="9" fillId="5" borderId="1" xfId="0" applyFont="1" applyFill="1" applyBorder="1" applyAlignment="1">
      <alignment wrapText="1"/>
    </xf>
    <xf numFmtId="0" fontId="9" fillId="0" borderId="1" xfId="0" applyFont="1" applyBorder="1" applyAlignment="1">
      <alignment wrapText="1"/>
    </xf>
    <xf numFmtId="0" fontId="13" fillId="0" borderId="1" xfId="0" applyFont="1" applyBorder="1" applyAlignment="1">
      <alignment vertical="top" wrapText="1"/>
    </xf>
    <xf numFmtId="14" fontId="13" fillId="0" borderId="1" xfId="0" applyNumberFormat="1" applyFont="1" applyBorder="1" applyAlignment="1">
      <alignment vertical="top" wrapText="1"/>
    </xf>
    <xf numFmtId="0" fontId="13" fillId="13" borderId="1" xfId="0" applyFont="1" applyFill="1" applyBorder="1" applyAlignment="1">
      <alignment vertical="top" wrapText="1"/>
    </xf>
    <xf numFmtId="14" fontId="13" fillId="13" borderId="1" xfId="0" applyNumberFormat="1" applyFont="1" applyFill="1" applyBorder="1" applyAlignment="1">
      <alignment vertical="top" wrapText="1"/>
    </xf>
    <xf numFmtId="0" fontId="7" fillId="13" borderId="1" xfId="0" applyFont="1" applyFill="1" applyBorder="1" applyAlignment="1">
      <alignment vertical="top" wrapText="1"/>
    </xf>
    <xf numFmtId="0" fontId="9" fillId="14" borderId="1" xfId="0" applyFont="1" applyFill="1" applyBorder="1" applyAlignment="1">
      <alignment wrapText="1"/>
    </xf>
    <xf numFmtId="9" fontId="0" fillId="0" borderId="0" xfId="1" applyFont="1"/>
    <xf numFmtId="0" fontId="11" fillId="15" borderId="5" xfId="0" applyFont="1" applyFill="1" applyBorder="1"/>
    <xf numFmtId="0" fontId="11" fillId="15" borderId="6" xfId="0" applyFont="1" applyFill="1" applyBorder="1"/>
    <xf numFmtId="0" fontId="19" fillId="8" borderId="5" xfId="0" applyFont="1" applyFill="1" applyBorder="1"/>
    <xf numFmtId="0" fontId="12" fillId="13" borderId="5" xfId="0" applyFont="1" applyFill="1" applyBorder="1"/>
    <xf numFmtId="0" fontId="11" fillId="8" borderId="5" xfId="0" applyFont="1" applyFill="1" applyBorder="1"/>
    <xf numFmtId="0" fontId="10" fillId="13" borderId="5" xfId="0" applyFont="1" applyFill="1" applyBorder="1"/>
    <xf numFmtId="0" fontId="10" fillId="13" borderId="6" xfId="0" applyFont="1" applyFill="1" applyBorder="1" applyAlignment="1">
      <alignment wrapText="1"/>
    </xf>
    <xf numFmtId="0" fontId="12" fillId="0" borderId="5" xfId="0" applyFont="1" applyBorder="1"/>
    <xf numFmtId="0" fontId="10" fillId="0" borderId="5" xfId="0" applyFont="1" applyBorder="1"/>
    <xf numFmtId="0" fontId="10" fillId="0" borderId="6" xfId="0" applyFont="1" applyBorder="1" applyAlignment="1">
      <alignment wrapText="1"/>
    </xf>
    <xf numFmtId="0" fontId="12" fillId="13" borderId="5" xfId="0" applyFont="1" applyFill="1" applyBorder="1" applyAlignment="1">
      <alignment wrapText="1"/>
    </xf>
    <xf numFmtId="0" fontId="12" fillId="0" borderId="5" xfId="0" applyFont="1" applyBorder="1" applyAlignment="1">
      <alignment wrapText="1"/>
    </xf>
    <xf numFmtId="0" fontId="16" fillId="13" borderId="5" xfId="0" applyFont="1" applyFill="1" applyBorder="1"/>
    <xf numFmtId="0" fontId="16" fillId="0" borderId="5" xfId="0" applyFont="1" applyBorder="1"/>
    <xf numFmtId="0" fontId="20" fillId="9" borderId="5" xfId="0" applyFont="1" applyFill="1" applyBorder="1"/>
    <xf numFmtId="0" fontId="10" fillId="13" borderId="6" xfId="0" applyFont="1" applyFill="1" applyBorder="1"/>
    <xf numFmtId="0" fontId="10" fillId="0" borderId="6" xfId="0" applyFont="1" applyBorder="1"/>
    <xf numFmtId="0" fontId="17" fillId="0" borderId="5" xfId="0" applyFont="1" applyBorder="1"/>
    <xf numFmtId="0" fontId="17" fillId="13" borderId="5" xfId="0" applyFont="1" applyFill="1" applyBorder="1"/>
    <xf numFmtId="0" fontId="10" fillId="13" borderId="5" xfId="0" applyFont="1" applyFill="1" applyBorder="1" applyAlignment="1">
      <alignment wrapText="1"/>
    </xf>
    <xf numFmtId="0" fontId="10" fillId="0" borderId="5" xfId="0" applyFont="1" applyBorder="1" applyAlignment="1">
      <alignment wrapText="1"/>
    </xf>
    <xf numFmtId="0" fontId="21" fillId="10" borderId="5" xfId="0" applyFont="1" applyFill="1" applyBorder="1" applyAlignment="1">
      <alignment wrapText="1"/>
    </xf>
    <xf numFmtId="0" fontId="12" fillId="11" borderId="5" xfId="0" applyFont="1" applyFill="1" applyBorder="1"/>
    <xf numFmtId="0" fontId="10" fillId="12" borderId="5" xfId="0" applyFont="1" applyFill="1" applyBorder="1"/>
    <xf numFmtId="0" fontId="10" fillId="12" borderId="7" xfId="0" applyFont="1" applyFill="1" applyBorder="1"/>
    <xf numFmtId="0" fontId="10" fillId="0" borderId="7" xfId="0" applyFont="1" applyBorder="1"/>
    <xf numFmtId="0" fontId="11" fillId="8" borderId="7" xfId="0" applyFont="1" applyFill="1" applyBorder="1"/>
    <xf numFmtId="0" fontId="11" fillId="15" borderId="5" xfId="0" quotePrefix="1" applyFont="1" applyFill="1" applyBorder="1"/>
    <xf numFmtId="0" fontId="0" fillId="0" borderId="2" xfId="0" applyBorder="1" applyAlignment="1">
      <alignment wrapText="1"/>
    </xf>
    <xf numFmtId="14" fontId="6" fillId="0" borderId="1" xfId="0" applyNumberFormat="1" applyFont="1" applyBorder="1" applyAlignment="1">
      <alignment horizontal="left" vertical="top" wrapText="1"/>
    </xf>
    <xf numFmtId="0" fontId="23" fillId="0" borderId="1" xfId="0" applyFont="1" applyBorder="1" applyAlignment="1">
      <alignment wrapText="1"/>
    </xf>
    <xf numFmtId="0" fontId="23" fillId="0" borderId="8" xfId="0" applyFont="1" applyBorder="1" applyAlignment="1">
      <alignment wrapText="1"/>
    </xf>
    <xf numFmtId="0" fontId="25" fillId="16" borderId="3" xfId="0" applyFont="1" applyFill="1" applyBorder="1" applyAlignment="1">
      <alignment horizontal="center" vertical="center" wrapText="1"/>
    </xf>
    <xf numFmtId="0" fontId="0" fillId="0" borderId="3" xfId="0" applyBorder="1" applyAlignment="1">
      <alignment vertical="center" wrapText="1"/>
    </xf>
    <xf numFmtId="0" fontId="28" fillId="0" borderId="3" xfId="0" applyFont="1" applyBorder="1" applyAlignment="1">
      <alignment vertical="center" wrapText="1"/>
    </xf>
    <xf numFmtId="0" fontId="29" fillId="0" borderId="3" xfId="0" applyFont="1" applyBorder="1" applyAlignment="1">
      <alignment vertical="center" wrapText="1"/>
    </xf>
    <xf numFmtId="0" fontId="0" fillId="17" borderId="3" xfId="0" applyFill="1" applyBorder="1" applyAlignment="1">
      <alignment vertical="center" wrapText="1"/>
    </xf>
    <xf numFmtId="0" fontId="31" fillId="0" borderId="3" xfId="0" applyFont="1" applyBorder="1" applyAlignment="1">
      <alignment vertical="center" wrapText="1"/>
    </xf>
    <xf numFmtId="0" fontId="0" fillId="0" borderId="1" xfId="0" applyBorder="1" applyAlignment="1">
      <alignment vertical="center" wrapText="1"/>
    </xf>
    <xf numFmtId="0" fontId="0" fillId="0" borderId="4" xfId="0" applyBorder="1" applyAlignment="1">
      <alignment vertical="center" wrapText="1"/>
    </xf>
    <xf numFmtId="0" fontId="26" fillId="0" borderId="3" xfId="0" applyFont="1" applyBorder="1" applyAlignment="1">
      <alignment vertical="center" wrapText="1"/>
    </xf>
    <xf numFmtId="0" fontId="27" fillId="18" borderId="3" xfId="0" applyFont="1" applyFill="1" applyBorder="1" applyAlignment="1">
      <alignment horizontal="center" vertical="center" wrapText="1"/>
    </xf>
    <xf numFmtId="0" fontId="4" fillId="0" borderId="3" xfId="0" applyFont="1" applyBorder="1" applyAlignment="1">
      <alignment vertical="center" wrapText="1"/>
    </xf>
    <xf numFmtId="0" fontId="4" fillId="0" borderId="6" xfId="0" applyFont="1" applyBorder="1" applyAlignment="1">
      <alignment vertical="center" wrapText="1"/>
    </xf>
    <xf numFmtId="0" fontId="4" fillId="6" borderId="3" xfId="0" applyFont="1" applyFill="1" applyBorder="1" applyAlignment="1">
      <alignment vertical="center" wrapText="1"/>
    </xf>
    <xf numFmtId="0" fontId="0" fillId="0" borderId="2" xfId="0" applyBorder="1" applyAlignment="1">
      <alignment vertical="center" wrapText="1"/>
    </xf>
    <xf numFmtId="0" fontId="0" fillId="0" borderId="6" xfId="0"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34" fillId="0" borderId="3" xfId="0" applyFont="1" applyBorder="1" applyAlignment="1">
      <alignment vertical="center" wrapText="1"/>
    </xf>
    <xf numFmtId="0" fontId="37" fillId="0" borderId="3" xfId="0" applyFont="1" applyBorder="1" applyAlignment="1">
      <alignment vertical="center" wrapText="1"/>
    </xf>
    <xf numFmtId="0" fontId="37" fillId="0" borderId="1" xfId="0" applyFont="1" applyBorder="1" applyAlignment="1">
      <alignmen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vertical="center"/>
    </xf>
    <xf numFmtId="0" fontId="18" fillId="7" borderId="0" xfId="0" applyFont="1" applyFill="1" applyAlignment="1">
      <alignment horizontal="center"/>
    </xf>
    <xf numFmtId="0" fontId="18" fillId="7" borderId="12" xfId="0" applyFont="1" applyFill="1" applyBorder="1" applyAlignment="1">
      <alignment horizontal="center"/>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5" xfId="0" applyFont="1" applyBorder="1" applyAlignment="1">
      <alignment horizontal="center" vertical="center" wrapText="1"/>
    </xf>
    <xf numFmtId="0" fontId="35" fillId="0" borderId="3" xfId="0" applyFont="1" applyBorder="1" applyAlignment="1">
      <alignment vertical="center" wrapText="1"/>
    </xf>
    <xf numFmtId="0" fontId="36" fillId="0" borderId="3" xfId="0" applyFont="1" applyBorder="1" applyAlignment="1">
      <alignment vertical="center" wrapText="1"/>
    </xf>
    <xf numFmtId="0" fontId="34" fillId="0" borderId="6" xfId="0" applyFont="1" applyBorder="1" applyAlignment="1">
      <alignment horizontal="center" vertical="center" wrapText="1"/>
    </xf>
    <xf numFmtId="0" fontId="36" fillId="0" borderId="6" xfId="0" applyFont="1" applyBorder="1" applyAlignment="1">
      <alignment horizontal="center" vertical="center" wrapText="1"/>
    </xf>
    <xf numFmtId="0" fontId="36" fillId="0" borderId="6" xfId="0" applyFont="1" applyBorder="1" applyAlignment="1">
      <alignment vertical="center" wrapText="1"/>
    </xf>
    <xf numFmtId="0" fontId="36" fillId="0" borderId="3" xfId="0" applyFont="1" applyBorder="1" applyAlignment="1">
      <alignment horizontal="center" vertical="center" wrapText="1"/>
    </xf>
    <xf numFmtId="0" fontId="0" fillId="0" borderId="3" xfId="0" applyBorder="1" applyAlignment="1">
      <alignment horizontal="center" vertical="center"/>
    </xf>
    <xf numFmtId="0" fontId="0" fillId="0" borderId="6" xfId="0" applyBorder="1" applyAlignment="1">
      <alignment horizontal="center" vertical="center"/>
    </xf>
    <xf numFmtId="0" fontId="4" fillId="0" borderId="1" xfId="0" applyFont="1" applyBorder="1" applyAlignment="1">
      <alignment horizontal="center" vertical="center" wrapText="1"/>
    </xf>
    <xf numFmtId="0" fontId="40" fillId="0" borderId="1" xfId="0" applyFont="1" applyBorder="1" applyAlignment="1">
      <alignment vertical="center" wrapText="1"/>
    </xf>
    <xf numFmtId="0" fontId="41" fillId="0" borderId="1" xfId="0" applyFont="1" applyBorder="1" applyAlignment="1">
      <alignment vertical="center" wrapText="1"/>
    </xf>
    <xf numFmtId="0" fontId="0" fillId="0" borderId="1" xfId="0" applyBorder="1" applyAlignment="1">
      <alignment horizontal="left" vertical="center" wrapText="1"/>
    </xf>
    <xf numFmtId="0" fontId="0" fillId="21" borderId="1" xfId="0" applyFill="1" applyBorder="1" applyAlignment="1">
      <alignment horizontal="center" vertical="center" wrapText="1"/>
    </xf>
    <xf numFmtId="0" fontId="42" fillId="0" borderId="1" xfId="0" applyFont="1" applyBorder="1" applyAlignment="1">
      <alignment vertical="center" wrapText="1"/>
    </xf>
    <xf numFmtId="0" fontId="13" fillId="13" borderId="1" xfId="0" applyFont="1" applyFill="1" applyBorder="1" applyAlignment="1">
      <alignment wrapText="1"/>
    </xf>
    <xf numFmtId="0" fontId="4" fillId="0" borderId="10" xfId="0" applyFont="1" applyBorder="1" applyAlignment="1">
      <alignment vertical="center" wrapText="1"/>
    </xf>
    <xf numFmtId="14" fontId="0" fillId="0" borderId="0" xfId="0" applyNumberFormat="1"/>
    <xf numFmtId="0" fontId="9" fillId="13" borderId="1" xfId="0" applyFont="1" applyFill="1" applyBorder="1" applyAlignment="1">
      <alignment wrapText="1"/>
    </xf>
    <xf numFmtId="0" fontId="48" fillId="0" borderId="1" xfId="0" applyFont="1" applyBorder="1" applyAlignment="1">
      <alignment wrapText="1"/>
    </xf>
    <xf numFmtId="0" fontId="48" fillId="13" borderId="1" xfId="0" applyFont="1" applyFill="1" applyBorder="1" applyAlignment="1">
      <alignment wrapText="1"/>
    </xf>
    <xf numFmtId="14" fontId="0" fillId="0" borderId="1" xfId="0" applyNumberFormat="1" applyBorder="1" applyAlignment="1">
      <alignment wrapText="1"/>
    </xf>
    <xf numFmtId="0" fontId="46" fillId="24" borderId="3" xfId="0" applyFont="1" applyFill="1" applyBorder="1" applyAlignment="1">
      <alignment wrapText="1"/>
    </xf>
    <xf numFmtId="0" fontId="47" fillId="26" borderId="3" xfId="0" applyFont="1" applyFill="1" applyBorder="1"/>
    <xf numFmtId="0" fontId="47" fillId="25" borderId="3" xfId="0" applyFont="1" applyFill="1" applyBorder="1"/>
    <xf numFmtId="14" fontId="47" fillId="25" borderId="3" xfId="0" applyNumberFormat="1" applyFont="1" applyFill="1" applyBorder="1" applyAlignment="1">
      <alignment horizontal="center" vertical="center"/>
    </xf>
    <xf numFmtId="0" fontId="47" fillId="25" borderId="3" xfId="0" applyFont="1" applyFill="1" applyBorder="1" applyAlignment="1">
      <alignment wrapText="1"/>
    </xf>
    <xf numFmtId="0" fontId="47" fillId="0" borderId="3" xfId="0" applyFont="1" applyBorder="1"/>
    <xf numFmtId="14" fontId="47" fillId="0" borderId="3" xfId="0" applyNumberFormat="1" applyFont="1" applyBorder="1" applyAlignment="1">
      <alignment horizontal="center" vertical="center"/>
    </xf>
    <xf numFmtId="0" fontId="47" fillId="0" borderId="3" xfId="0" applyFont="1" applyBorder="1" applyAlignment="1">
      <alignment wrapText="1"/>
    </xf>
    <xf numFmtId="0" fontId="47" fillId="27" borderId="3" xfId="0" applyFont="1" applyFill="1" applyBorder="1" applyAlignment="1">
      <alignment vertical="top"/>
    </xf>
    <xf numFmtId="0" fontId="47" fillId="27" borderId="3" xfId="0" applyFont="1" applyFill="1" applyBorder="1" applyAlignment="1">
      <alignment vertical="top" wrapText="1"/>
    </xf>
    <xf numFmtId="14" fontId="47" fillId="28" borderId="3" xfId="0" applyNumberFormat="1" applyFont="1" applyFill="1" applyBorder="1" applyAlignment="1">
      <alignment vertical="top"/>
    </xf>
    <xf numFmtId="0" fontId="47" fillId="0" borderId="3" xfId="0" applyFont="1" applyBorder="1" applyAlignment="1">
      <alignment vertical="top"/>
    </xf>
    <xf numFmtId="0" fontId="47" fillId="0" borderId="3" xfId="0" applyFont="1" applyBorder="1" applyAlignment="1">
      <alignment vertical="top" wrapText="1"/>
    </xf>
    <xf numFmtId="14" fontId="47" fillId="27" borderId="3" xfId="0" applyNumberFormat="1" applyFont="1" applyFill="1" applyBorder="1" applyAlignment="1">
      <alignment horizontal="center" vertical="center"/>
    </xf>
    <xf numFmtId="0" fontId="4" fillId="0" borderId="13" xfId="0" applyFont="1" applyBorder="1" applyAlignment="1">
      <alignment vertical="center" wrapText="1"/>
    </xf>
    <xf numFmtId="0" fontId="4" fillId="0" borderId="14" xfId="0" applyFont="1" applyBorder="1" applyAlignment="1">
      <alignment vertical="center" wrapText="1"/>
    </xf>
    <xf numFmtId="0" fontId="26" fillId="0" borderId="1" xfId="0" applyFont="1" applyBorder="1" applyAlignment="1">
      <alignment vertical="center" wrapText="1"/>
    </xf>
    <xf numFmtId="0" fontId="33" fillId="0" borderId="1" xfId="0" applyFont="1" applyBorder="1" applyAlignment="1">
      <alignment vertical="center" wrapText="1"/>
    </xf>
    <xf numFmtId="0" fontId="26" fillId="0" borderId="2" xfId="0" applyFont="1" applyBorder="1" applyAlignment="1">
      <alignment vertical="center" wrapText="1"/>
    </xf>
    <xf numFmtId="0" fontId="51" fillId="29" borderId="1" xfId="0" applyFont="1" applyFill="1" applyBorder="1" applyAlignment="1">
      <alignment wrapText="1"/>
    </xf>
    <xf numFmtId="0" fontId="51" fillId="26" borderId="1" xfId="0" applyFont="1" applyFill="1" applyBorder="1" applyAlignment="1">
      <alignment wrapText="1"/>
    </xf>
    <xf numFmtId="0" fontId="51" fillId="30" borderId="1" xfId="0" applyFont="1" applyFill="1" applyBorder="1" applyAlignment="1">
      <alignment wrapText="1"/>
    </xf>
    <xf numFmtId="0" fontId="51" fillId="32" borderId="1" xfId="0" applyFont="1" applyFill="1" applyBorder="1" applyAlignment="1">
      <alignment wrapText="1"/>
    </xf>
    <xf numFmtId="0" fontId="3" fillId="33" borderId="1" xfId="0" applyFont="1" applyFill="1" applyBorder="1" applyAlignment="1">
      <alignment wrapText="1"/>
    </xf>
    <xf numFmtId="0" fontId="51" fillId="6" borderId="1" xfId="0" applyFont="1" applyFill="1" applyBorder="1" applyAlignment="1">
      <alignment wrapText="1"/>
    </xf>
    <xf numFmtId="17" fontId="51" fillId="6" borderId="1" xfId="0" applyNumberFormat="1" applyFont="1" applyFill="1" applyBorder="1"/>
    <xf numFmtId="0" fontId="6" fillId="6" borderId="1" xfId="0" applyFont="1" applyFill="1" applyBorder="1" applyAlignment="1">
      <alignment wrapText="1"/>
    </xf>
    <xf numFmtId="0" fontId="6" fillId="31" borderId="1" xfId="0" applyFont="1" applyFill="1" applyBorder="1" applyAlignment="1">
      <alignment wrapText="1"/>
    </xf>
    <xf numFmtId="0" fontId="51" fillId="6" borderId="1" xfId="0" quotePrefix="1" applyFont="1" applyFill="1" applyBorder="1" applyAlignment="1">
      <alignment wrapText="1"/>
    </xf>
    <xf numFmtId="49" fontId="3" fillId="33" borderId="1" xfId="0" applyNumberFormat="1" applyFont="1" applyFill="1" applyBorder="1" applyAlignment="1">
      <alignment wrapText="1"/>
    </xf>
    <xf numFmtId="49" fontId="51" fillId="6" borderId="1" xfId="0" applyNumberFormat="1" applyFont="1" applyFill="1" applyBorder="1"/>
    <xf numFmtId="49" fontId="0" fillId="0" borderId="0" xfId="0" applyNumberFormat="1"/>
    <xf numFmtId="14" fontId="13" fillId="0" borderId="1" xfId="0" applyNumberFormat="1" applyFont="1" applyBorder="1" applyAlignment="1">
      <alignment wrapText="1"/>
    </xf>
    <xf numFmtId="0" fontId="13" fillId="0" borderId="1" xfId="0" applyFont="1" applyBorder="1" applyAlignment="1">
      <alignment wrapText="1"/>
    </xf>
    <xf numFmtId="14" fontId="13" fillId="13" borderId="1" xfId="0" applyNumberFormat="1" applyFont="1" applyFill="1" applyBorder="1" applyAlignment="1">
      <alignment wrapText="1"/>
    </xf>
    <xf numFmtId="14" fontId="6" fillId="13" borderId="1" xfId="0" applyNumberFormat="1" applyFont="1" applyFill="1" applyBorder="1" applyAlignment="1">
      <alignment wrapText="1"/>
    </xf>
    <xf numFmtId="0" fontId="13" fillId="13" borderId="1" xfId="0" applyFont="1" applyFill="1" applyBorder="1"/>
    <xf numFmtId="0" fontId="4" fillId="13" borderId="1" xfId="0" applyFont="1" applyFill="1" applyBorder="1"/>
    <xf numFmtId="0" fontId="4" fillId="13" borderId="1" xfId="0" applyFont="1" applyFill="1" applyBorder="1" applyAlignment="1">
      <alignment wrapText="1"/>
    </xf>
    <xf numFmtId="14" fontId="4" fillId="13" borderId="1" xfId="0" applyNumberFormat="1" applyFont="1" applyFill="1" applyBorder="1"/>
    <xf numFmtId="0" fontId="13" fillId="0" borderId="1" xfId="0" applyFont="1" applyBorder="1"/>
    <xf numFmtId="14" fontId="4" fillId="13" borderId="1" xfId="0" applyNumberFormat="1" applyFont="1" applyFill="1" applyBorder="1" applyAlignment="1">
      <alignment wrapText="1"/>
    </xf>
    <xf numFmtId="0" fontId="5" fillId="13" borderId="1" xfId="0" applyFont="1" applyFill="1" applyBorder="1" applyAlignment="1">
      <alignment wrapText="1"/>
    </xf>
    <xf numFmtId="14" fontId="13" fillId="13" borderId="1" xfId="0" applyNumberFormat="1" applyFont="1" applyFill="1" applyBorder="1"/>
    <xf numFmtId="14" fontId="13" fillId="0" borderId="1" xfId="0" applyNumberFormat="1" applyFont="1" applyBorder="1"/>
    <xf numFmtId="14" fontId="6" fillId="13" borderId="1" xfId="0" applyNumberFormat="1" applyFont="1" applyFill="1" applyBorder="1" applyAlignment="1">
      <alignment horizontal="left" vertical="top" wrapText="1"/>
    </xf>
    <xf numFmtId="0" fontId="0" fillId="19" borderId="3" xfId="0" applyFill="1" applyBorder="1" applyAlignment="1">
      <alignment horizontal="center" vertical="center" wrapText="1"/>
    </xf>
    <xf numFmtId="0" fontId="0" fillId="17" borderId="1" xfId="0" applyFill="1" applyBorder="1" applyAlignment="1">
      <alignment vertical="center" wrapText="1"/>
    </xf>
    <xf numFmtId="0" fontId="0" fillId="21" borderId="1" xfId="0" applyFill="1" applyBorder="1" applyAlignment="1">
      <alignment vertical="center" wrapText="1"/>
    </xf>
    <xf numFmtId="0" fontId="0" fillId="0" borderId="7" xfId="0" applyBorder="1" applyAlignment="1">
      <alignment vertical="center" wrapText="1"/>
    </xf>
    <xf numFmtId="0" fontId="0" fillId="39" borderId="3" xfId="0" applyFill="1" applyBorder="1" applyAlignment="1">
      <alignment vertical="center" wrapText="1"/>
    </xf>
    <xf numFmtId="0" fontId="0" fillId="0" borderId="9" xfId="0" applyBorder="1" applyAlignment="1">
      <alignment horizontal="center" vertical="center" wrapText="1"/>
    </xf>
    <xf numFmtId="0" fontId="0" fillId="0" borderId="9" xfId="0" applyBorder="1" applyAlignment="1">
      <alignment vertical="center" wrapText="1"/>
    </xf>
    <xf numFmtId="0" fontId="0" fillId="39" borderId="9" xfId="0" applyFill="1" applyBorder="1" applyAlignment="1">
      <alignment vertical="center" wrapText="1"/>
    </xf>
    <xf numFmtId="0" fontId="0" fillId="0" borderId="7" xfId="0" applyBorder="1" applyAlignment="1">
      <alignment horizontal="center" vertical="center" wrapText="1"/>
    </xf>
    <xf numFmtId="0" fontId="27" fillId="22" borderId="3" xfId="0" applyFont="1" applyFill="1" applyBorder="1" applyAlignment="1">
      <alignment horizontal="center" vertical="center"/>
    </xf>
    <xf numFmtId="0" fontId="18" fillId="7" borderId="12" xfId="0" applyFont="1" applyFill="1" applyBorder="1" applyAlignment="1">
      <alignment horizontal="center" vertical="center"/>
    </xf>
    <xf numFmtId="0" fontId="0" fillId="0" borderId="0" xfId="0" applyAlignment="1">
      <alignment horizontal="center" vertical="center"/>
    </xf>
    <xf numFmtId="0" fontId="0" fillId="0" borderId="9" xfId="0" applyBorder="1" applyAlignment="1">
      <alignment vertical="center"/>
    </xf>
    <xf numFmtId="0" fontId="34" fillId="5" borderId="1" xfId="0" applyFont="1" applyFill="1" applyBorder="1" applyAlignment="1">
      <alignment wrapText="1"/>
    </xf>
    <xf numFmtId="0" fontId="34" fillId="0" borderId="1" xfId="0" applyFont="1" applyBorder="1" applyAlignment="1">
      <alignment wrapText="1"/>
    </xf>
    <xf numFmtId="0" fontId="6" fillId="0" borderId="1" xfId="0" applyFont="1" applyBorder="1" applyAlignment="1">
      <alignment wrapText="1"/>
    </xf>
    <xf numFmtId="0" fontId="6" fillId="5" borderId="1" xfId="0" applyFont="1" applyFill="1" applyBorder="1" applyAlignment="1">
      <alignment wrapText="1"/>
    </xf>
    <xf numFmtId="0" fontId="7" fillId="41" borderId="1" xfId="0" applyFont="1" applyFill="1" applyBorder="1" applyAlignment="1">
      <alignment wrapText="1"/>
    </xf>
    <xf numFmtId="0" fontId="26" fillId="0" borderId="7" xfId="0" applyFont="1" applyBorder="1" applyAlignment="1">
      <alignment vertical="center" wrapText="1"/>
    </xf>
    <xf numFmtId="0" fontId="27" fillId="39" borderId="3" xfId="0" applyFont="1" applyFill="1" applyBorder="1" applyAlignment="1">
      <alignment horizontal="center" vertical="center" wrapText="1"/>
    </xf>
    <xf numFmtId="0" fontId="27" fillId="20" borderId="3" xfId="0" applyFont="1" applyFill="1" applyBorder="1" applyAlignment="1">
      <alignment horizontal="center" vertical="center"/>
    </xf>
    <xf numFmtId="0" fontId="6" fillId="0" borderId="1" xfId="0" applyFont="1" applyBorder="1" applyAlignment="1">
      <alignment horizontal="left" vertical="top" wrapText="1"/>
    </xf>
    <xf numFmtId="0" fontId="6" fillId="0" borderId="11" xfId="0" applyFont="1" applyBorder="1" applyAlignment="1">
      <alignment horizontal="left" vertical="top" wrapText="1"/>
    </xf>
    <xf numFmtId="0" fontId="6" fillId="0" borderId="4" xfId="0" applyFont="1" applyBorder="1" applyAlignment="1">
      <alignment horizontal="left" vertical="top" wrapText="1"/>
    </xf>
    <xf numFmtId="0" fontId="6" fillId="0" borderId="2" xfId="0" applyFont="1" applyBorder="1" applyAlignment="1">
      <alignment horizontal="left" vertical="top" wrapText="1"/>
    </xf>
    <xf numFmtId="0" fontId="3" fillId="33" borderId="1" xfId="0" applyFont="1" applyFill="1" applyBorder="1" applyAlignment="1">
      <alignment horizontal="right" wrapText="1"/>
    </xf>
    <xf numFmtId="14" fontId="51" fillId="6" borderId="1" xfId="0" applyNumberFormat="1" applyFont="1" applyFill="1" applyBorder="1" applyAlignment="1">
      <alignment horizontal="right" wrapText="1"/>
    </xf>
    <xf numFmtId="14" fontId="51" fillId="6" borderId="1" xfId="0" applyNumberFormat="1" applyFont="1" applyFill="1" applyBorder="1" applyAlignment="1">
      <alignment horizontal="right"/>
    </xf>
    <xf numFmtId="14" fontId="6" fillId="0" borderId="1" xfId="0" applyNumberFormat="1" applyFont="1" applyBorder="1" applyAlignment="1">
      <alignment horizontal="right" vertical="top" wrapText="1"/>
    </xf>
    <xf numFmtId="14" fontId="6" fillId="0" borderId="1" xfId="0" applyNumberFormat="1" applyFont="1" applyBorder="1" applyAlignment="1">
      <alignment horizontal="right" wrapText="1"/>
    </xf>
    <xf numFmtId="14" fontId="6" fillId="0" borderId="0" xfId="0" applyNumberFormat="1" applyFont="1" applyAlignment="1">
      <alignment horizontal="right" vertical="top" wrapText="1"/>
    </xf>
    <xf numFmtId="14" fontId="6" fillId="0" borderId="8" xfId="0" applyNumberFormat="1" applyFont="1" applyBorder="1" applyAlignment="1">
      <alignment horizontal="right" vertical="top" wrapText="1"/>
    </xf>
    <xf numFmtId="14" fontId="6" fillId="0" borderId="2" xfId="0" applyNumberFormat="1" applyFont="1" applyBorder="1" applyAlignment="1">
      <alignment horizontal="right" vertical="top" wrapText="1"/>
    </xf>
    <xf numFmtId="0" fontId="0" fillId="0" borderId="0" xfId="0" applyAlignment="1">
      <alignment horizontal="right"/>
    </xf>
    <xf numFmtId="0" fontId="3" fillId="0" borderId="1" xfId="0" applyFont="1" applyBorder="1" applyAlignment="1">
      <alignment wrapText="1"/>
    </xf>
    <xf numFmtId="0" fontId="51" fillId="0" borderId="1" xfId="0" applyFont="1" applyBorder="1"/>
    <xf numFmtId="0" fontId="0" fillId="0" borderId="0" xfId="0" applyAlignment="1">
      <alignment horizontal="center" vertical="center" wrapText="1"/>
    </xf>
    <xf numFmtId="0" fontId="0" fillId="0" borderId="0" xfId="0" applyAlignment="1">
      <alignment horizontal="left" vertical="top"/>
    </xf>
    <xf numFmtId="0" fontId="53" fillId="5" borderId="1" xfId="0" applyFont="1" applyFill="1" applyBorder="1"/>
    <xf numFmtId="14" fontId="53" fillId="5" borderId="1" xfId="0" applyNumberFormat="1" applyFont="1" applyFill="1" applyBorder="1"/>
    <xf numFmtId="0" fontId="53" fillId="34" borderId="1" xfId="0" applyFont="1" applyFill="1" applyBorder="1"/>
    <xf numFmtId="0" fontId="53" fillId="5" borderId="1" xfId="0" applyFont="1" applyFill="1" applyBorder="1" applyAlignment="1">
      <alignment wrapText="1"/>
    </xf>
    <xf numFmtId="14" fontId="53" fillId="0" borderId="1" xfId="0" applyNumberFormat="1" applyFont="1" applyBorder="1"/>
    <xf numFmtId="0" fontId="53" fillId="0" borderId="1" xfId="0" applyFont="1" applyBorder="1"/>
    <xf numFmtId="0" fontId="53" fillId="29" borderId="1" xfId="0" applyFont="1" applyFill="1" applyBorder="1"/>
    <xf numFmtId="0" fontId="53" fillId="0" borderId="1" xfId="0" applyFont="1" applyBorder="1" applyAlignment="1">
      <alignment wrapText="1"/>
    </xf>
    <xf numFmtId="0" fontId="53" fillId="35" borderId="1" xfId="0" applyFont="1" applyFill="1" applyBorder="1"/>
    <xf numFmtId="0" fontId="53" fillId="36" borderId="1" xfId="0" applyFont="1" applyFill="1" applyBorder="1"/>
    <xf numFmtId="0" fontId="53" fillId="37" borderId="1" xfId="0" applyFont="1" applyFill="1" applyBorder="1"/>
    <xf numFmtId="0" fontId="53" fillId="38" borderId="1" xfId="0" applyFont="1" applyFill="1" applyBorder="1"/>
    <xf numFmtId="0" fontId="53" fillId="32" borderId="1" xfId="0" applyFont="1" applyFill="1" applyBorder="1"/>
    <xf numFmtId="0" fontId="53" fillId="31" borderId="1" xfId="0" applyFont="1" applyFill="1" applyBorder="1"/>
    <xf numFmtId="0" fontId="53" fillId="0" borderId="1" xfId="0" quotePrefix="1" applyFont="1" applyBorder="1" applyAlignment="1">
      <alignment wrapText="1"/>
    </xf>
    <xf numFmtId="0" fontId="53" fillId="5" borderId="1" xfId="0" quotePrefix="1" applyFont="1" applyFill="1" applyBorder="1" applyAlignment="1">
      <alignment wrapText="1"/>
    </xf>
    <xf numFmtId="0" fontId="22" fillId="0" borderId="1" xfId="0" applyFont="1" applyBorder="1" applyAlignment="1">
      <alignment horizontal="left" vertical="top" wrapText="1"/>
    </xf>
    <xf numFmtId="0" fontId="22" fillId="13" borderId="1" xfId="0" applyFont="1" applyFill="1" applyBorder="1" applyAlignment="1">
      <alignment horizontal="left" vertical="top" wrapText="1"/>
    </xf>
    <xf numFmtId="14" fontId="5" fillId="0" borderId="1" xfId="0" applyNumberFormat="1" applyFont="1" applyBorder="1"/>
    <xf numFmtId="14" fontId="5" fillId="13" borderId="1" xfId="0" applyNumberFormat="1" applyFont="1" applyFill="1" applyBorder="1"/>
    <xf numFmtId="14" fontId="0" fillId="0" borderId="1" xfId="0" applyNumberFormat="1" applyBorder="1"/>
    <xf numFmtId="0" fontId="0" fillId="0" borderId="3" xfId="0" applyBorder="1"/>
    <xf numFmtId="0" fontId="57" fillId="0" borderId="1" xfId="0" applyFont="1" applyBorder="1" applyAlignment="1">
      <alignment horizontal="left" vertical="top" wrapText="1"/>
    </xf>
    <xf numFmtId="14" fontId="22" fillId="0" borderId="1" xfId="0" applyNumberFormat="1" applyFont="1" applyBorder="1" applyAlignment="1">
      <alignment horizontal="left" vertical="top" wrapText="1"/>
    </xf>
    <xf numFmtId="0" fontId="57" fillId="0" borderId="0" xfId="0" applyFont="1" applyAlignment="1">
      <alignment horizontal="left" vertical="top" wrapText="1"/>
    </xf>
    <xf numFmtId="0" fontId="57" fillId="0" borderId="2" xfId="0" applyFont="1" applyBorder="1" applyAlignment="1">
      <alignment horizontal="left" vertical="top" wrapText="1"/>
    </xf>
    <xf numFmtId="0" fontId="22" fillId="0" borderId="8" xfId="0" applyFont="1" applyBorder="1" applyAlignment="1">
      <alignment horizontal="left" vertical="top" wrapText="1"/>
    </xf>
    <xf numFmtId="0" fontId="22" fillId="17" borderId="1" xfId="0" applyFont="1" applyFill="1" applyBorder="1" applyAlignment="1">
      <alignment horizontal="left" vertical="top" wrapText="1"/>
    </xf>
    <xf numFmtId="0" fontId="49" fillId="42" borderId="3" xfId="0" applyFont="1" applyFill="1" applyBorder="1" applyAlignment="1">
      <alignment wrapText="1"/>
    </xf>
    <xf numFmtId="0" fontId="49" fillId="42" borderId="3" xfId="0" applyFont="1" applyFill="1" applyBorder="1" applyAlignment="1">
      <alignment horizontal="center" vertical="center" wrapText="1"/>
    </xf>
    <xf numFmtId="0" fontId="50" fillId="42" borderId="3" xfId="0" applyFont="1" applyFill="1" applyBorder="1"/>
    <xf numFmtId="14" fontId="50" fillId="42" borderId="3" xfId="0" applyNumberFormat="1" applyFont="1" applyFill="1" applyBorder="1"/>
    <xf numFmtId="0" fontId="50" fillId="42" borderId="3" xfId="0" applyFont="1" applyFill="1" applyBorder="1" applyAlignment="1">
      <alignment horizontal="center" vertical="center"/>
    </xf>
    <xf numFmtId="0" fontId="50" fillId="42" borderId="3" xfId="0" applyFont="1" applyFill="1" applyBorder="1" applyAlignment="1">
      <alignment horizontal="center" vertical="center" wrapText="1"/>
    </xf>
    <xf numFmtId="0" fontId="50" fillId="42" borderId="3" xfId="0" applyFont="1" applyFill="1" applyBorder="1" applyAlignment="1">
      <alignment wrapText="1"/>
    </xf>
    <xf numFmtId="0" fontId="52" fillId="42" borderId="3" xfId="0" applyFont="1" applyFill="1" applyBorder="1"/>
    <xf numFmtId="14" fontId="52" fillId="42" borderId="3" xfId="0" applyNumberFormat="1" applyFont="1" applyFill="1" applyBorder="1"/>
    <xf numFmtId="0" fontId="50" fillId="42" borderId="3" xfId="0" quotePrefix="1" applyFont="1" applyFill="1" applyBorder="1" applyAlignment="1">
      <alignment horizontal="center" vertical="center"/>
    </xf>
    <xf numFmtId="0" fontId="50" fillId="42" borderId="3" xfId="0" quotePrefix="1" applyFont="1" applyFill="1" applyBorder="1" applyAlignment="1">
      <alignment horizontal="center" vertical="center" wrapText="1"/>
    </xf>
    <xf numFmtId="2" fontId="50" fillId="42" borderId="3" xfId="0" applyNumberFormat="1" applyFont="1" applyFill="1" applyBorder="1"/>
    <xf numFmtId="14" fontId="0" fillId="42" borderId="3" xfId="0" applyNumberFormat="1" applyFill="1" applyBorder="1"/>
    <xf numFmtId="0" fontId="0" fillId="42" borderId="3" xfId="0" applyFill="1" applyBorder="1" applyAlignment="1">
      <alignment horizontal="center" vertical="center"/>
    </xf>
    <xf numFmtId="0" fontId="0" fillId="42" borderId="3" xfId="0" applyFill="1" applyBorder="1"/>
    <xf numFmtId="0" fontId="50" fillId="42" borderId="3" xfId="0" applyFont="1" applyFill="1" applyBorder="1" applyAlignment="1">
      <alignment horizontal="center"/>
    </xf>
    <xf numFmtId="14" fontId="50" fillId="42" borderId="3" xfId="0" applyNumberFormat="1" applyFont="1" applyFill="1" applyBorder="1" applyAlignment="1">
      <alignment horizontal="center" vertical="center" wrapText="1"/>
    </xf>
    <xf numFmtId="0" fontId="50" fillId="42" borderId="3" xfId="0" applyFont="1" applyFill="1" applyBorder="1" applyAlignment="1">
      <alignment horizontal="center" wrapText="1"/>
    </xf>
    <xf numFmtId="0" fontId="49" fillId="42" borderId="3" xfId="2" applyNumberFormat="1" applyFont="1" applyFill="1" applyBorder="1" applyAlignment="1">
      <alignment wrapText="1"/>
    </xf>
    <xf numFmtId="0" fontId="50" fillId="42" borderId="3" xfId="2" applyNumberFormat="1" applyFont="1" applyFill="1" applyBorder="1" applyAlignment="1"/>
    <xf numFmtId="0" fontId="44" fillId="0" borderId="3" xfId="0" applyFont="1" applyBorder="1" applyAlignment="1">
      <alignment horizontal="center" vertical="center"/>
    </xf>
    <xf numFmtId="14" fontId="2" fillId="2" borderId="0" xfId="0" applyNumberFormat="1" applyFont="1" applyFill="1" applyAlignment="1">
      <alignment horizontal="center" vertical="center" wrapText="1"/>
    </xf>
    <xf numFmtId="14" fontId="0" fillId="0" borderId="0" xfId="0" applyNumberFormat="1" applyAlignment="1">
      <alignment wrapText="1"/>
    </xf>
    <xf numFmtId="9" fontId="18" fillId="7" borderId="12" xfId="1" applyFont="1" applyFill="1" applyBorder="1" applyAlignment="1">
      <alignment horizontal="center"/>
    </xf>
    <xf numFmtId="9" fontId="44" fillId="0" borderId="3" xfId="0" applyNumberFormat="1" applyFont="1" applyBorder="1" applyAlignment="1">
      <alignment horizontal="center" vertical="center"/>
    </xf>
    <xf numFmtId="0" fontId="54" fillId="0" borderId="3" xfId="0" applyFont="1" applyBorder="1" applyAlignment="1">
      <alignment horizontal="center" vertical="center"/>
    </xf>
    <xf numFmtId="0" fontId="54" fillId="0" borderId="6" xfId="0" applyFont="1" applyBorder="1" applyAlignment="1">
      <alignment horizontal="center" vertical="center"/>
    </xf>
    <xf numFmtId="0" fontId="0" fillId="0" borderId="15" xfId="0" applyBorder="1"/>
    <xf numFmtId="0" fontId="13" fillId="0" borderId="2" xfId="0" applyFont="1" applyBorder="1" applyAlignment="1">
      <alignment wrapText="1"/>
    </xf>
    <xf numFmtId="0" fontId="9" fillId="0" borderId="0" xfId="0" applyFont="1" applyAlignment="1">
      <alignment wrapText="1"/>
    </xf>
    <xf numFmtId="0" fontId="7" fillId="41" borderId="0" xfId="0" applyFont="1" applyFill="1" applyAlignment="1">
      <alignment wrapText="1"/>
    </xf>
    <xf numFmtId="0" fontId="7" fillId="0" borderId="0" xfId="0" applyFont="1" applyAlignment="1">
      <alignment wrapText="1"/>
    </xf>
    <xf numFmtId="0" fontId="2" fillId="2" borderId="1" xfId="0" applyFont="1" applyFill="1" applyBorder="1" applyAlignment="1">
      <alignment horizontal="left" vertical="top" wrapText="1"/>
    </xf>
    <xf numFmtId="17" fontId="53" fillId="5" borderId="1" xfId="0" applyNumberFormat="1" applyFont="1" applyFill="1" applyBorder="1" applyAlignment="1">
      <alignment horizontal="left" vertical="top"/>
    </xf>
    <xf numFmtId="0" fontId="53" fillId="5" borderId="1" xfId="0" applyFont="1" applyFill="1" applyBorder="1" applyAlignment="1">
      <alignment horizontal="left" vertical="top"/>
    </xf>
    <xf numFmtId="17" fontId="53" fillId="0" borderId="1" xfId="0" applyNumberFormat="1" applyFont="1" applyBorder="1" applyAlignment="1">
      <alignment horizontal="left" vertical="top"/>
    </xf>
    <xf numFmtId="0" fontId="0" fillId="0" borderId="1" xfId="0" applyBorder="1" applyAlignment="1">
      <alignment horizontal="left" vertical="top"/>
    </xf>
    <xf numFmtId="17" fontId="0" fillId="0" borderId="1" xfId="0" applyNumberFormat="1" applyBorder="1" applyAlignment="1">
      <alignment horizontal="left" vertical="top"/>
    </xf>
    <xf numFmtId="0" fontId="50" fillId="42" borderId="3" xfId="2" applyNumberFormat="1" applyFont="1" applyFill="1" applyBorder="1" applyAlignment="1">
      <alignment horizontal="right"/>
    </xf>
    <xf numFmtId="165" fontId="6" fillId="0" borderId="1" xfId="0" applyNumberFormat="1" applyFont="1" applyBorder="1" applyAlignment="1">
      <alignment vertical="center"/>
    </xf>
    <xf numFmtId="0" fontId="50" fillId="39" borderId="3" xfId="0" applyFont="1" applyFill="1" applyBorder="1"/>
    <xf numFmtId="0" fontId="50" fillId="42" borderId="3" xfId="0" applyFont="1" applyFill="1" applyBorder="1" applyAlignment="1">
      <alignment horizontal="right"/>
    </xf>
    <xf numFmtId="0" fontId="59" fillId="0" borderId="0" xfId="0" applyFont="1" applyAlignment="1">
      <alignment wrapText="1"/>
    </xf>
    <xf numFmtId="0" fontId="0" fillId="0" borderId="1" xfId="0" applyBorder="1" applyAlignment="1">
      <alignment horizontal="right"/>
    </xf>
    <xf numFmtId="0" fontId="6" fillId="0" borderId="1" xfId="0" applyFont="1" applyBorder="1" applyAlignment="1">
      <alignment horizontal="left" vertical="top"/>
    </xf>
    <xf numFmtId="0" fontId="6" fillId="43" borderId="1" xfId="0" applyFont="1" applyFill="1" applyBorder="1" applyAlignment="1">
      <alignment horizontal="left" vertical="top" wrapText="1"/>
    </xf>
    <xf numFmtId="0" fontId="6" fillId="18" borderId="1" xfId="0" applyFont="1" applyFill="1" applyBorder="1" applyAlignment="1">
      <alignment horizontal="left" vertical="top" wrapText="1"/>
    </xf>
    <xf numFmtId="0" fontId="61" fillId="18" borderId="1" xfId="0" applyFont="1" applyFill="1" applyBorder="1" applyAlignment="1">
      <alignment horizontal="left" vertical="top" wrapText="1"/>
    </xf>
    <xf numFmtId="0" fontId="62" fillId="0" borderId="1" xfId="0" applyFont="1" applyBorder="1" applyAlignment="1">
      <alignment horizontal="center" vertical="center"/>
    </xf>
    <xf numFmtId="0" fontId="45" fillId="23" borderId="1" xfId="0" applyFont="1" applyFill="1" applyBorder="1" applyAlignment="1">
      <alignment horizontal="center" wrapText="1"/>
    </xf>
    <xf numFmtId="0" fontId="45" fillId="23" borderId="1" xfId="0" applyFont="1" applyFill="1" applyBorder="1" applyAlignment="1">
      <alignment horizontal="left" vertical="top" wrapText="1"/>
    </xf>
    <xf numFmtId="0" fontId="45" fillId="23" borderId="1" xfId="0" applyFont="1" applyFill="1" applyBorder="1" applyAlignment="1">
      <alignment horizontal="center" vertical="center" wrapText="1"/>
    </xf>
    <xf numFmtId="0" fontId="55" fillId="0" borderId="1" xfId="0" applyFont="1" applyBorder="1" applyAlignment="1">
      <alignment wrapText="1"/>
    </xf>
    <xf numFmtId="0" fontId="55" fillId="40" borderId="1" xfId="0" applyFont="1" applyFill="1" applyBorder="1" applyAlignment="1">
      <alignment wrapText="1"/>
    </xf>
    <xf numFmtId="0" fontId="56" fillId="6" borderId="1" xfId="0" applyFont="1" applyFill="1" applyBorder="1" applyAlignment="1">
      <alignment wrapText="1"/>
    </xf>
    <xf numFmtId="164" fontId="56" fillId="6" borderId="1" xfId="0" applyNumberFormat="1" applyFont="1" applyFill="1" applyBorder="1" applyAlignment="1">
      <alignment horizontal="left" vertical="top"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xf numFmtId="0" fontId="12" fillId="0" borderId="1" xfId="0" applyFont="1" applyBorder="1"/>
    <xf numFmtId="0" fontId="12" fillId="0" borderId="1" xfId="0" applyFont="1" applyBorder="1" applyAlignment="1">
      <alignment horizontal="left"/>
    </xf>
    <xf numFmtId="0" fontId="10" fillId="0" borderId="1" xfId="0" applyFont="1" applyBorder="1" applyAlignment="1">
      <alignment wrapText="1"/>
    </xf>
    <xf numFmtId="0" fontId="58" fillId="0" borderId="1" xfId="0" applyFont="1" applyBorder="1"/>
    <xf numFmtId="0" fontId="10" fillId="0" borderId="1" xfId="0" applyFont="1" applyBorder="1" applyAlignment="1">
      <alignment vertical="center" wrapText="1"/>
    </xf>
    <xf numFmtId="0" fontId="10" fillId="6" borderId="1" xfId="0" applyFont="1" applyFill="1" applyBorder="1"/>
    <xf numFmtId="0" fontId="62" fillId="0" borderId="1" xfId="0" applyFont="1" applyBorder="1" applyAlignment="1">
      <alignment horizontal="center" vertical="center" wrapText="1"/>
    </xf>
    <xf numFmtId="0" fontId="62" fillId="0" borderId="1" xfId="0" applyFont="1" applyBorder="1"/>
    <xf numFmtId="0" fontId="44" fillId="0" borderId="1" xfId="0" applyFont="1" applyBorder="1"/>
    <xf numFmtId="0" fontId="63" fillId="0" borderId="1" xfId="0" applyFont="1" applyBorder="1"/>
    <xf numFmtId="0" fontId="64" fillId="0" borderId="1" xfId="0" applyFont="1" applyBorder="1" applyAlignment="1">
      <alignment horizontal="left"/>
    </xf>
    <xf numFmtId="0" fontId="62" fillId="0" borderId="1" xfId="0" applyFont="1" applyBorder="1" applyAlignment="1">
      <alignment wrapText="1"/>
    </xf>
    <xf numFmtId="0" fontId="62" fillId="0" borderId="1" xfId="0" applyFont="1" applyBorder="1" applyAlignment="1">
      <alignment vertical="center" wrapText="1"/>
    </xf>
    <xf numFmtId="0" fontId="62" fillId="0" borderId="1" xfId="0" applyFont="1" applyBorder="1" applyAlignment="1">
      <alignment vertical="center"/>
    </xf>
    <xf numFmtId="0" fontId="44" fillId="0" borderId="1" xfId="0" applyFont="1" applyBorder="1" applyAlignment="1">
      <alignment wrapText="1"/>
    </xf>
    <xf numFmtId="0" fontId="62" fillId="17" borderId="1" xfId="0" applyFont="1" applyFill="1" applyBorder="1"/>
    <xf numFmtId="0" fontId="6" fillId="0" borderId="9" xfId="0" applyFont="1" applyBorder="1" applyAlignment="1">
      <alignment wrapText="1"/>
    </xf>
    <xf numFmtId="0" fontId="23" fillId="0" borderId="9" xfId="0" applyFont="1" applyBorder="1"/>
    <xf numFmtId="0" fontId="23" fillId="44" borderId="9" xfId="0" applyFont="1" applyFill="1" applyBorder="1"/>
    <xf numFmtId="0" fontId="6" fillId="45" borderId="9" xfId="0" applyFont="1" applyFill="1" applyBorder="1" applyAlignment="1">
      <alignment wrapText="1"/>
    </xf>
    <xf numFmtId="0" fontId="65" fillId="47" borderId="9" xfId="0" applyFont="1" applyFill="1" applyBorder="1"/>
    <xf numFmtId="0" fontId="6" fillId="0" borderId="8" xfId="0" applyFont="1" applyBorder="1" applyAlignment="1">
      <alignment wrapText="1"/>
    </xf>
    <xf numFmtId="0" fontId="6" fillId="0" borderId="16" xfId="0" applyFont="1" applyBorder="1" applyAlignment="1">
      <alignment wrapText="1"/>
    </xf>
    <xf numFmtId="0" fontId="23" fillId="0" borderId="16" xfId="0" applyFont="1" applyBorder="1"/>
    <xf numFmtId="0" fontId="23" fillId="44" borderId="16" xfId="0" applyFont="1" applyFill="1" applyBorder="1"/>
    <xf numFmtId="0" fontId="6" fillId="48" borderId="16" xfId="0" applyFont="1" applyFill="1" applyBorder="1" applyAlignment="1">
      <alignment wrapText="1"/>
    </xf>
    <xf numFmtId="0" fontId="65" fillId="47" borderId="16" xfId="0" applyFont="1" applyFill="1" applyBorder="1"/>
    <xf numFmtId="0" fontId="6" fillId="45" borderId="16" xfId="0" applyFont="1" applyFill="1" applyBorder="1" applyAlignment="1">
      <alignment wrapText="1"/>
    </xf>
    <xf numFmtId="0" fontId="6" fillId="6" borderId="16" xfId="0" applyFont="1" applyFill="1" applyBorder="1" applyAlignment="1">
      <alignment wrapText="1"/>
    </xf>
    <xf numFmtId="0" fontId="6" fillId="49" borderId="16" xfId="0" applyFont="1" applyFill="1" applyBorder="1" applyAlignment="1">
      <alignment wrapText="1"/>
    </xf>
    <xf numFmtId="0" fontId="57" fillId="0" borderId="16" xfId="0" applyFont="1" applyBorder="1" applyAlignment="1">
      <alignment wrapText="1"/>
    </xf>
    <xf numFmtId="0" fontId="23" fillId="50" borderId="16" xfId="0" applyFont="1" applyFill="1" applyBorder="1"/>
    <xf numFmtId="0" fontId="23" fillId="51" borderId="16" xfId="0" applyFont="1" applyFill="1" applyBorder="1"/>
    <xf numFmtId="0" fontId="6" fillId="52" borderId="16" xfId="0" applyFont="1" applyFill="1" applyBorder="1" applyAlignment="1">
      <alignment wrapText="1"/>
    </xf>
    <xf numFmtId="0" fontId="57" fillId="0" borderId="17" xfId="0" applyFont="1" applyBorder="1" applyAlignment="1">
      <alignment wrapText="1"/>
    </xf>
    <xf numFmtId="0" fontId="6" fillId="53" borderId="16" xfId="0" applyFont="1" applyFill="1" applyBorder="1" applyAlignment="1">
      <alignment wrapText="1"/>
    </xf>
    <xf numFmtId="0" fontId="66" fillId="0" borderId="16" xfId="0" applyFont="1" applyBorder="1" applyAlignment="1">
      <alignment wrapText="1"/>
    </xf>
    <xf numFmtId="0" fontId="6" fillId="54" borderId="16" xfId="0" applyFont="1" applyFill="1" applyBorder="1" applyAlignment="1">
      <alignment wrapText="1"/>
    </xf>
    <xf numFmtId="0" fontId="6" fillId="0" borderId="16" xfId="0" applyFont="1" applyBorder="1"/>
    <xf numFmtId="0" fontId="67" fillId="46" borderId="16" xfId="0" applyFont="1" applyFill="1" applyBorder="1"/>
    <xf numFmtId="0" fontId="6" fillId="55" borderId="16" xfId="0" applyFont="1" applyFill="1" applyBorder="1" applyAlignment="1">
      <alignment wrapText="1"/>
    </xf>
    <xf numFmtId="0" fontId="6" fillId="0" borderId="17" xfId="0" applyFont="1" applyBorder="1" applyAlignment="1">
      <alignment wrapText="1"/>
    </xf>
    <xf numFmtId="0" fontId="6" fillId="45" borderId="18" xfId="0" applyFont="1" applyFill="1" applyBorder="1" applyAlignment="1">
      <alignment wrapText="1"/>
    </xf>
    <xf numFmtId="0" fontId="6" fillId="0" borderId="1" xfId="0" applyFont="1" applyBorder="1"/>
    <xf numFmtId="0" fontId="23" fillId="48" borderId="16" xfId="0" applyFont="1" applyFill="1" applyBorder="1"/>
    <xf numFmtId="0" fontId="23" fillId="15" borderId="16" xfId="0" applyFont="1" applyFill="1" applyBorder="1"/>
    <xf numFmtId="0" fontId="6" fillId="15" borderId="16" xfId="0" applyFont="1" applyFill="1" applyBorder="1" applyAlignment="1">
      <alignment wrapText="1"/>
    </xf>
    <xf numFmtId="0" fontId="61" fillId="15" borderId="16" xfId="0" applyFont="1" applyFill="1" applyBorder="1" applyAlignment="1">
      <alignment wrapText="1"/>
    </xf>
    <xf numFmtId="14" fontId="6" fillId="0" borderId="8" xfId="0" applyNumberFormat="1" applyFont="1" applyBorder="1" applyAlignment="1">
      <alignment wrapText="1"/>
    </xf>
    <xf numFmtId="0" fontId="9" fillId="6" borderId="19" xfId="0" applyFont="1" applyFill="1" applyBorder="1" applyAlignment="1">
      <alignment wrapText="1"/>
    </xf>
    <xf numFmtId="0" fontId="9" fillId="5" borderId="19" xfId="0" applyFont="1" applyFill="1" applyBorder="1" applyAlignment="1">
      <alignment wrapText="1"/>
    </xf>
    <xf numFmtId="0" fontId="9" fillId="0" borderId="19" xfId="0" applyFont="1" applyBorder="1" applyAlignment="1">
      <alignment wrapText="1"/>
    </xf>
    <xf numFmtId="0" fontId="14" fillId="5" borderId="19" xfId="0" applyFont="1" applyFill="1" applyBorder="1" applyAlignment="1">
      <alignment wrapText="1"/>
    </xf>
    <xf numFmtId="0" fontId="60" fillId="6" borderId="19" xfId="0" applyFont="1" applyFill="1" applyBorder="1" applyAlignment="1">
      <alignment wrapText="1"/>
    </xf>
    <xf numFmtId="0" fontId="1" fillId="0" borderId="3" xfId="0" applyFont="1" applyBorder="1" applyAlignment="1">
      <alignment vertical="center" wrapText="1"/>
    </xf>
    <xf numFmtId="0" fontId="1" fillId="0" borderId="1" xfId="0" applyFont="1" applyBorder="1" applyAlignment="1">
      <alignment vertical="center" wrapText="1"/>
    </xf>
  </cellXfs>
  <cellStyles count="3">
    <cellStyle name="Currency" xfId="2" builtinId="4"/>
    <cellStyle name="Normal" xfId="0" builtinId="0"/>
    <cellStyle name="Percent" xfId="1" builtinId="5"/>
  </cellStyles>
  <dxfs count="110">
    <dxf>
      <font>
        <b val="0"/>
        <i val="0"/>
        <strike val="0"/>
        <condense val="0"/>
        <extend val="0"/>
        <outline val="0"/>
        <shadow val="0"/>
        <u val="none"/>
        <vertAlign val="baseline"/>
        <sz val="9"/>
        <color rgb="FF1F1F1F"/>
        <name val="Arial"/>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1F1F1F"/>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1F1F1F"/>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1F1F1F"/>
        <name val="Arial"/>
        <scheme val="none"/>
      </font>
      <fill>
        <patternFill patternType="solid">
          <fgColor rgb="FF000000"/>
          <bgColor rgb="FFFFF2CC"/>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1F1F1F"/>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1F1F1F"/>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1F1F1F"/>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1F1F1F"/>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1F1F1F"/>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1F1F1F"/>
        <name val="Arial"/>
        <scheme val="none"/>
      </font>
      <numFmt numFmtId="19" formatCode="dd/mm/yyyy"/>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1F1F1F"/>
        <name val="Arial"/>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rgb="FFC4D79B"/>
        </top>
      </border>
    </dxf>
    <dxf>
      <border outline="0">
        <bottom style="thin">
          <color rgb="FFBFBFBF"/>
        </bottom>
      </border>
    </dxf>
    <dxf>
      <border outline="0">
        <top style="thin">
          <color rgb="FFBFBFBF"/>
        </top>
        <bottom style="thin">
          <color rgb="FFC4D79B"/>
        </bottom>
      </border>
    </dxf>
    <dxf>
      <font>
        <b val="0"/>
        <i val="0"/>
        <strike val="0"/>
        <condense val="0"/>
        <extend val="0"/>
        <outline val="0"/>
        <shadow val="0"/>
        <u val="none"/>
        <vertAlign val="baseline"/>
        <sz val="9"/>
        <color rgb="FF1F1F1F"/>
        <name val="Arial"/>
        <scheme val="none"/>
      </font>
    </dxf>
    <dxf>
      <font>
        <b/>
        <i val="0"/>
        <strike val="0"/>
        <condense val="0"/>
        <extend val="0"/>
        <outline val="0"/>
        <shadow val="0"/>
        <u val="none"/>
        <vertAlign val="baseline"/>
        <sz val="9"/>
        <color rgb="FF2D4B7D"/>
        <name val="Arial"/>
        <scheme val="none"/>
      </font>
      <fill>
        <patternFill patternType="solid">
          <fgColor rgb="FF000000"/>
          <bgColor rgb="FFD9E2F3"/>
        </patternFill>
      </fill>
      <alignment horizontal="general"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9" tint="0.39994506668294322"/>
        </patternFill>
      </fill>
    </dxf>
    <dxf>
      <fill>
        <patternFill>
          <bgColor theme="5" tint="0.39994506668294322"/>
        </patternFill>
      </fill>
    </dxf>
    <dxf>
      <fill>
        <patternFill>
          <bgColor theme="9" tint="0.59996337778862885"/>
        </patternFill>
      </fill>
    </dxf>
    <dxf>
      <fill>
        <patternFill>
          <bgColor rgb="FF0070C0"/>
        </patternFill>
      </fill>
    </dxf>
    <dxf>
      <fill>
        <patternFill>
          <bgColor theme="9" tint="0.79998168889431442"/>
        </patternFill>
      </fill>
    </dxf>
    <dxf>
      <fill>
        <patternFill>
          <bgColor rgb="FF92D050"/>
        </patternFill>
      </fill>
    </dxf>
    <dxf>
      <fill>
        <patternFill>
          <bgColor theme="0" tint="-0.14996795556505021"/>
        </patternFill>
      </fill>
    </dxf>
    <dxf>
      <fill>
        <patternFill>
          <bgColor theme="9" tint="-0.24994659260841701"/>
        </patternFill>
      </fill>
    </dxf>
    <dxf>
      <fill>
        <patternFill>
          <bgColor theme="2" tint="-0.24994659260841701"/>
        </patternFill>
      </fill>
    </dxf>
    <dxf>
      <fill>
        <patternFill>
          <bgColor rgb="FF00B0F0"/>
        </patternFill>
      </fill>
    </dxf>
    <dxf>
      <font>
        <color rgb="FF006100"/>
      </font>
      <fill>
        <patternFill>
          <bgColor rgb="FFC6EFCE"/>
        </patternFill>
      </fill>
    </dxf>
    <dxf>
      <fill>
        <patternFill>
          <bgColor rgb="FFB1A0C7"/>
        </patternFill>
      </fill>
    </dxf>
    <dxf>
      <fill>
        <patternFill>
          <bgColor theme="6"/>
        </patternFill>
      </fill>
    </dxf>
    <dxf>
      <fill>
        <patternFill>
          <bgColor rgb="FFFFC7CE"/>
        </patternFill>
      </fill>
    </dxf>
    <dxf>
      <fill>
        <patternFill>
          <bgColor theme="9" tint="0.39994506668294322"/>
        </patternFill>
      </fill>
    </dxf>
    <dxf>
      <font>
        <color rgb="FF9C5700"/>
      </font>
      <fill>
        <patternFill>
          <bgColor rgb="FFFFEB9C"/>
        </patternFill>
      </fill>
    </dxf>
    <dxf>
      <fill>
        <patternFill>
          <bgColor rgb="FF0892BD"/>
        </patternFill>
      </fill>
    </dxf>
    <dxf>
      <fill>
        <patternFill>
          <bgColor rgb="FFFFC000"/>
        </patternFill>
      </fill>
    </dxf>
    <dxf>
      <fill>
        <patternFill>
          <bgColor rgb="FF00D9F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00B0F0"/>
        </patternFill>
      </fill>
    </dxf>
    <dxf>
      <font>
        <color rgb="FF006100"/>
      </font>
      <fill>
        <patternFill>
          <bgColor rgb="FFC6EFCE"/>
        </patternFill>
      </fill>
    </dxf>
    <dxf>
      <fill>
        <patternFill>
          <bgColor theme="9" tint="0.39994506668294322"/>
        </patternFill>
      </fill>
    </dxf>
    <dxf>
      <fill>
        <patternFill>
          <bgColor rgb="FFFFC7CE"/>
        </patternFill>
      </fill>
    </dxf>
    <dxf>
      <fill>
        <patternFill>
          <bgColor theme="6"/>
        </patternFill>
      </fill>
    </dxf>
    <dxf>
      <fill>
        <patternFill>
          <bgColor rgb="FFB1A0C7"/>
        </patternFill>
      </fill>
    </dxf>
    <dxf>
      <fill>
        <patternFill>
          <bgColor rgb="FF0892BD"/>
        </patternFill>
      </fill>
    </dxf>
    <dxf>
      <fill>
        <patternFill>
          <bgColor rgb="FF00D9F0"/>
        </patternFill>
      </fill>
    </dxf>
    <dxf>
      <fill>
        <patternFill>
          <bgColor rgb="FF0070C0"/>
        </patternFill>
      </fill>
    </dxf>
    <dxf>
      <fill>
        <patternFill>
          <bgColor rgb="FFFFC000"/>
        </patternFill>
      </fill>
    </dxf>
    <dxf>
      <fill>
        <patternFill>
          <bgColor theme="9" tint="0.79998168889431442"/>
        </patternFill>
      </fill>
    </dxf>
    <dxf>
      <fill>
        <patternFill>
          <bgColor rgb="FF92D050"/>
        </patternFill>
      </fill>
    </dxf>
    <dxf>
      <fill>
        <patternFill>
          <bgColor theme="0" tint="-0.14996795556505021"/>
        </patternFill>
      </fill>
    </dxf>
    <dxf>
      <fill>
        <patternFill>
          <bgColor theme="9" tint="-0.24994659260841701"/>
        </patternFill>
      </fill>
    </dxf>
    <dxf>
      <fill>
        <patternFill>
          <bgColor theme="2" tint="-0.24994659260841701"/>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ill>
        <patternFill>
          <bgColor theme="9" tint="0.39994506668294322"/>
        </patternFill>
      </fill>
    </dxf>
    <dxf>
      <fill>
        <patternFill>
          <bgColor rgb="FFFFC7CE"/>
        </patternFill>
      </fill>
    </dxf>
    <dxf>
      <fill>
        <patternFill>
          <bgColor theme="6"/>
        </patternFill>
      </fill>
    </dxf>
    <dxf>
      <fill>
        <patternFill>
          <bgColor rgb="FFB1A0C7"/>
        </patternFill>
      </fill>
    </dxf>
    <dxf>
      <fill>
        <patternFill>
          <bgColor rgb="FF0892BD"/>
        </patternFill>
      </fill>
    </dxf>
    <dxf>
      <fill>
        <patternFill>
          <bgColor rgb="FF00D9F0"/>
        </patternFill>
      </fill>
    </dxf>
    <dxf>
      <fill>
        <patternFill>
          <bgColor rgb="FF0070C0"/>
        </patternFill>
      </fill>
    </dxf>
    <dxf>
      <fill>
        <patternFill>
          <bgColor rgb="FFFFC000"/>
        </patternFill>
      </fill>
    </dxf>
    <dxf>
      <fill>
        <patternFill>
          <bgColor theme="9" tint="0.79998168889431442"/>
        </patternFill>
      </fill>
    </dxf>
    <dxf>
      <fill>
        <patternFill>
          <bgColor rgb="FF92D050"/>
        </patternFill>
      </fill>
    </dxf>
    <dxf>
      <fill>
        <patternFill>
          <bgColor theme="0" tint="-0.14996795556505021"/>
        </patternFill>
      </fill>
    </dxf>
    <dxf>
      <fill>
        <patternFill>
          <bgColor theme="9" tint="-0.24994659260841701"/>
        </patternFill>
      </fill>
    </dxf>
    <dxf>
      <fill>
        <patternFill>
          <bgColor theme="2" tint="-0.24994659260841701"/>
        </patternFill>
      </fill>
    </dxf>
    <dxf>
      <font>
        <b val="0"/>
        <i val="0"/>
        <strike val="0"/>
        <condense val="0"/>
        <extend val="0"/>
        <outline val="0"/>
        <shadow val="0"/>
        <u val="none"/>
        <vertAlign val="baseline"/>
        <sz val="11"/>
        <color rgb="FF000000"/>
        <name val="Calibri"/>
        <charset val="1"/>
        <scheme val="none"/>
      </font>
      <numFmt numFmtId="13" formatCode="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charset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charset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rgb="FF000000"/>
        </left>
        <right style="thin">
          <color rgb="FF000000"/>
        </right>
        <top style="thin">
          <color rgb="FF000000"/>
        </top>
      </border>
    </dxf>
    <dxf>
      <font>
        <b val="0"/>
        <i val="0"/>
        <strike val="0"/>
        <condense val="0"/>
        <extend val="0"/>
        <outline val="0"/>
        <shadow val="0"/>
        <u val="none"/>
        <vertAlign val="baseline"/>
        <sz val="11"/>
        <color rgb="FF000000"/>
        <name val="Calibri"/>
        <charset val="1"/>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Arial"/>
        <family val="2"/>
        <scheme val="none"/>
      </font>
      <fill>
        <patternFill patternType="solid">
          <fgColor rgb="FF000000"/>
          <bgColor rgb="FFC2FAEB"/>
        </patternFill>
      </fill>
      <alignment horizontal="center" vertical="bottom" textRotation="0" wrapText="0" indent="0" justifyLastLine="0" shrinkToFit="0" readingOrder="0"/>
    </dxf>
    <dxf>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rlito"/>
        <scheme val="none"/>
      </font>
      <numFmt numFmtId="0" formatCode="Genera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alignment textRotation="0" wrapText="1" indent="0" justifyLastLine="0" shrinkToFit="0" readingOrder="0"/>
    </dxf>
    <dxf>
      <alignment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color rgb="FF006100"/>
      </font>
      <fill>
        <patternFill patternType="solid">
          <bgColor rgb="FFD9EAD3"/>
        </patternFill>
      </fill>
    </dxf>
    <dxf>
      <font>
        <b/>
        <color rgb="FF9C5700"/>
      </font>
      <fill>
        <patternFill patternType="solid">
          <bgColor rgb="FFFCE5CD"/>
        </patternFill>
      </fill>
    </dxf>
    <dxf>
      <font>
        <b/>
        <color rgb="FF8B0000"/>
      </font>
      <fill>
        <patternFill patternType="solid">
          <bgColor rgb="FFF4CCCC"/>
        </patternFill>
      </fill>
    </dxf>
    <dxf>
      <font>
        <color rgb="FF374151"/>
      </font>
    </dxf>
    <dxf>
      <font>
        <color rgb="FF075985"/>
      </font>
    </dxf>
    <dxf>
      <font>
        <b/>
        <color rgb="FF166534"/>
      </font>
    </dxf>
  </dxfs>
  <tableStyles count="0" defaultTableStyle="TableStyleMedium2" defaultPivotStyle="PivotStyleLight16"/>
  <colors>
    <mruColors>
      <color rgb="FFF285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B5D419E-2108-4273-99B3-7DDBE12413EA}" name="tblPlanosAcao5" displayName="tblPlanosAcao5" ref="A1:S498" headerRowDxfId="103" dataDxfId="102" totalsRowDxfId="101">
  <autoFilter ref="A1:S498" xr:uid="{8B5D419E-2108-4273-99B3-7DDBE12413EA}"/>
  <tableColumns count="19">
    <tableColumn id="1" xr3:uid="{DAC1EC57-80FB-4726-94AC-5C3863AF1FD6}" name="Ação" dataDxfId="100"/>
    <tableColumn id="2" xr3:uid="{BA61715C-5A8A-4E18-9F96-D96D684A7E91}" name="Data_Registro" dataDxfId="99"/>
    <tableColumn id="4" xr3:uid="{537B528E-D54E-457C-B194-3BEF5F4DEF23}" name="Setor" dataDxfId="98"/>
    <tableColumn id="5" xr3:uid="{64E85C48-C43B-467D-9144-4113CF963B1B}" name="Categoria por Tópico do FMS" dataDxfId="97"/>
    <tableColumn id="6" xr3:uid="{D442D611-D72E-42A2-A680-CFB7F2CB924D}" name="Setor Responsável" dataDxfId="96"/>
    <tableColumn id="8" xr3:uid="{AE70D7E1-E472-4E98-B562-AC26D05F8C20}" name="Apontamento" dataDxfId="95"/>
    <tableColumn id="10" xr3:uid="{41B0A5CD-04D4-486A-8FA3-C4543C217E81}" name="Acao_Proposta" dataDxfId="94"/>
    <tableColumn id="19" xr3:uid="{C245E5CC-2A46-48C0-83D9-B049EC1E9CAD}" name="Conteção Imediata ?" dataDxfId="93"/>
    <tableColumn id="7" xr3:uid="{DFE61B8F-9F5C-43D8-9988-3D7CDBF5AE2E}" name="Gravidade" dataDxfId="92"/>
    <tableColumn id="3" xr3:uid="{4F14893F-68AC-445B-9FDA-3F46FA2694A2}" name="Urgência" dataDxfId="91"/>
    <tableColumn id="9" xr3:uid="{81B3FE85-784E-4B00-BE72-D99EA17D41F8}" name="Tendência" dataDxfId="90"/>
    <tableColumn id="12" xr3:uid="{60749434-E558-450F-A08C-D4B07CDDB237}" name="Pontuação GUT" dataDxfId="89">
      <calculatedColumnFormula>IF(COUNT(I2:K2)=3,I2*J2*K2,"")</calculatedColumnFormula>
    </tableColumn>
    <tableColumn id="17" xr3:uid="{0C1853A5-AB84-42CC-9B54-271D5F81E785}" name="Prioridade GUT" dataDxfId="88">
      <calculatedColumnFormula>IF(OR(H2="Sim",Y2="Ameaça imediata"),"Imediata",IF(L2="","Pendente de avaliação",IF(J2=5,"Alta",IF(L2&gt;=65,"Alta",IF(L2&gt;=28,"Moderada","Baixa")))))</calculatedColumnFormula>
    </tableColumn>
    <tableColumn id="11" xr3:uid="{3E4455CE-5BD9-4CA5-8BBA-58F31828CD7C}" name="Liderança" dataDxfId="87"/>
    <tableColumn id="13" xr3:uid="{6A1305AD-7E61-4093-A432-0716B0B14C29}" name="Prazo" dataDxfId="86"/>
    <tableColumn id="15" xr3:uid="{7FC22115-7809-4219-B126-5F231753B971}" name="Data Conclusão Real" dataDxfId="85"/>
    <tableColumn id="16" xr3:uid="{CDA0A248-5B7D-403F-B903-E069BEF95969}" name="Status" dataDxfId="84"/>
    <tableColumn id="18" xr3:uid="{63064C18-4B08-45B1-81CD-C1D51FFBC148}" name="Observações" dataDxfId="83"/>
    <tableColumn id="21" xr3:uid="{3CA615F9-9000-40F8-BDE4-681FBD82CA21}" name="Indicador_Relacionado" dataDxfId="8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3506C2D-5D87-4320-999E-7A807A19BC89}" name="Table6" displayName="Table6" ref="A1:H637" totalsRowShown="0" headerRowDxfId="81" dataDxfId="80" tableBorderDxfId="79">
  <autoFilter ref="A1:H637" xr:uid="{B3506C2D-5D87-4320-999E-7A807A19BC89}"/>
  <tableColumns count="8">
    <tableColumn id="1" xr3:uid="{32E0E9E5-8D6A-44AD-9897-36F6C2A9641B}" name="Responsáveis" dataDxfId="78"/>
    <tableColumn id="2" xr3:uid="{7062B0AC-FC45-46AF-8598-F46D9F824932}" name="Setores" dataDxfId="77"/>
    <tableColumn id="8" xr3:uid="{5FB6B76B-047B-48A3-90C0-42D63D235CE2}" name="Ano" dataDxfId="76"/>
    <tableColumn id="3" xr3:uid="{C37889C3-B4AB-4467-98B2-97B881D03DF5}" name="Meses" dataDxfId="75"/>
    <tableColumn id="4" xr3:uid="{0C3EC85E-A703-4D4A-97E8-D8DFAFEFDCCE}" name="Realizados" dataDxfId="74"/>
    <tableColumn id="5" xr3:uid="{9EE6F983-CD23-4072-845B-22068B1FC98F}" name="Previstos" dataDxfId="73"/>
    <tableColumn id="6" xr3:uid="{8E2DB707-00C4-4E89-B55E-C082C34122FF}" name="Pendentes" dataDxfId="72">
      <calculatedColumnFormula>Rounds!$F2-Rounds!$E2</calculatedColumnFormula>
    </tableColumn>
    <tableColumn id="7" xr3:uid="{CE67B4C7-C5FB-4379-A1FB-87933558C89C}" name="% de Realizados" dataDxfId="71"/>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396B00-8A4E-4268-BE3D-21417997ED22}" name="Table7" displayName="Table7" ref="A1:K19" totalsRowShown="0" headerRowDxfId="15" dataDxfId="14" headerRowBorderDxfId="12" tableBorderDxfId="13" totalsRowBorderDxfId="11">
  <autoFilter ref="A1:K19" xr:uid="{EE396B00-8A4E-4268-BE3D-21417997ED22}"/>
  <tableColumns count="11">
    <tableColumn id="1" xr3:uid="{1D7B7960-09AB-4A6C-9743-759F61EB11EE}" name="ID_Plano" dataDxfId="10"/>
    <tableColumn id="2" xr3:uid="{FABF430C-5443-4C78-8141-63C044DEC934}" name="Data_Reuniao" dataDxfId="9"/>
    <tableColumn id="3" xr3:uid="{3051879B-0827-41EF-8BD8-36A63A61FFAE}" name="Comite_Origem" dataDxfId="8"/>
    <tableColumn id="5" xr3:uid="{F8AB00C8-F285-447F-99DF-4B03E82B321D}" name="Plano_de_Acao" dataDxfId="7"/>
    <tableColumn id="6" xr3:uid="{F3C4A0A6-0A1A-44CF-ABC3-90484F483897}" name="Responsaveis" dataDxfId="6"/>
    <tableColumn id="7" xr3:uid="{B650F256-84AE-4333-9131-3EFCAD0C391B}" name="Departamento" dataDxfId="5"/>
    <tableColumn id="8" xr3:uid="{4603E5AC-684D-4153-A03F-4D302E564FB0}" name="Prazo_Informado" dataDxfId="4"/>
    <tableColumn id="9" xr3:uid="{02769094-E4B3-4021-96FC-6A15DD1A3A47}" name="30 dias" dataDxfId="3"/>
    <tableColumn id="10" xr3:uid="{AF1AD0C7-0BF0-48C2-A30F-3CF3DAF22067}" name="Status" dataDxfId="2"/>
    <tableColumn id="13" xr3:uid="{03757E4C-6484-44B0-A306-91DBA7E8898E}" name="Historico" dataDxfId="1"/>
    <tableColumn id="14" xr3:uid="{C70AFB2B-94E3-4901-947C-11A4B93F8D84}" name="Origem"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Dicionario" displayName="tblDicionario" ref="A1:D30">
  <tableColumns count="4">
    <tableColumn id="1" xr3:uid="{00000000-0010-0000-0100-000001000000}" name="Campo"/>
    <tableColumn id="2" xr3:uid="{00000000-0010-0000-0100-000002000000}" name="Como preencher"/>
    <tableColumn id="3" xr3:uid="{00000000-0010-0000-0100-000003000000}" name="Tipo/Regra"/>
    <tableColumn id="4" xr3:uid="{00000000-0010-0000-0100-000004000000}" name="Importância para Power BI"/>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Resumo" displayName="tblResumo" ref="A1:B8">
  <tableColumns count="2">
    <tableColumn id="1" xr3:uid="{00000000-0010-0000-0200-000001000000}" name="Indicador"/>
    <tableColumn id="2" xr3:uid="{00000000-0010-0000-0200-000002000000}" name="Valo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5592-7C7F-43E0-AF2F-650D763B026F}">
  <dimension ref="A1:S498"/>
  <sheetViews>
    <sheetView tabSelected="1" topLeftCell="C311" zoomScale="85" zoomScaleNormal="85" workbookViewId="0">
      <selection activeCell="H1" sqref="H1:H1048576"/>
    </sheetView>
  </sheetViews>
  <sheetFormatPr defaultColWidth="9" defaultRowHeight="14.25" customHeight="1"/>
  <cols>
    <col min="1" max="1" width="7.25" style="2" bestFit="1" customWidth="1"/>
    <col min="2" max="2" width="27.125" style="2" bestFit="1" customWidth="1"/>
    <col min="3" max="3" width="22.5" style="2" customWidth="1"/>
    <col min="4" max="4" width="16.875" style="2" customWidth="1"/>
    <col min="5" max="5" width="29.125" style="2" customWidth="1"/>
    <col min="6" max="6" width="61.25" style="2" bestFit="1" customWidth="1"/>
    <col min="7" max="7" width="84.5" style="2" bestFit="1" customWidth="1"/>
    <col min="8" max="8" width="11.75" style="2" bestFit="1" customWidth="1"/>
    <col min="9" max="9" width="17.625" style="2" bestFit="1" customWidth="1"/>
    <col min="10" max="10" width="16.25" style="2" bestFit="1" customWidth="1"/>
    <col min="11" max="11" width="17.75" style="2" bestFit="1" customWidth="1"/>
    <col min="12" max="12" width="23.125" style="2" bestFit="1" customWidth="1"/>
    <col min="13" max="13" width="63" style="2" customWidth="1"/>
    <col min="14" max="14" width="11.875" style="2" bestFit="1" customWidth="1"/>
    <col min="15" max="15" width="13.625" style="254" bestFit="1" customWidth="1"/>
    <col min="16" max="16" width="15.5" style="2" customWidth="1"/>
    <col min="17" max="17" width="16.625" style="2" customWidth="1"/>
    <col min="18" max="18" width="32.25" style="2" customWidth="1"/>
    <col min="19" max="19" width="25.5" style="2" bestFit="1" customWidth="1"/>
    <col min="20" max="16384" width="9" style="2"/>
  </cols>
  <sheetData>
    <row r="1" spans="1:19" ht="39" customHeight="1">
      <c r="A1" s="1" t="s">
        <v>0</v>
      </c>
      <c r="B1" s="253" t="s">
        <v>1</v>
      </c>
      <c r="C1" s="1" t="s">
        <v>2</v>
      </c>
      <c r="D1" s="1" t="s">
        <v>3</v>
      </c>
      <c r="E1" s="1" t="s">
        <v>4</v>
      </c>
      <c r="F1" s="1" t="s">
        <v>5</v>
      </c>
      <c r="G1" s="1" t="s">
        <v>6</v>
      </c>
      <c r="H1" s="1" t="s">
        <v>7</v>
      </c>
      <c r="I1" s="1" t="s">
        <v>8</v>
      </c>
      <c r="J1" s="1" t="s">
        <v>9</v>
      </c>
      <c r="K1" s="1" t="s">
        <v>10</v>
      </c>
      <c r="L1" s="1" t="s">
        <v>11</v>
      </c>
      <c r="M1" s="1" t="s">
        <v>12</v>
      </c>
      <c r="N1" s="1" t="s">
        <v>13</v>
      </c>
      <c r="O1" s="253" t="s">
        <v>14</v>
      </c>
      <c r="P1" s="253" t="s">
        <v>15</v>
      </c>
      <c r="Q1" s="1" t="s">
        <v>16</v>
      </c>
      <c r="R1" s="1" t="s">
        <v>17</v>
      </c>
      <c r="S1" s="1" t="s">
        <v>18</v>
      </c>
    </row>
    <row r="2" spans="1:19" ht="66.75">
      <c r="A2" s="18">
        <v>1</v>
      </c>
      <c r="B2" s="19">
        <v>46119</v>
      </c>
      <c r="C2" s="18" t="s">
        <v>19</v>
      </c>
      <c r="D2" s="179" t="s">
        <v>20</v>
      </c>
      <c r="E2" s="11" t="s">
        <v>21</v>
      </c>
      <c r="F2" s="20" t="s">
        <v>22</v>
      </c>
      <c r="G2" s="18" t="s">
        <v>22</v>
      </c>
      <c r="H2" s="18" t="s">
        <v>23</v>
      </c>
      <c r="I2" s="18">
        <v>1</v>
      </c>
      <c r="J2" s="18">
        <v>1</v>
      </c>
      <c r="K2" s="18">
        <v>1</v>
      </c>
      <c r="L2" s="18">
        <f>IF(COUNT(I2:K2)=3,I2*J2*K2,"")</f>
        <v>1</v>
      </c>
      <c r="M2" s="18" t="str">
        <f>IF(OR(H2="Sim",Y2="Ameaça imediata"),"Imediata",IF(L2="","Pendente de avaliação",IF(J2=5,"Alta",IF(L2&gt;=65,"Alta",IF(L2&gt;=28,"Moderada","Baixa")))))</f>
        <v>Baixa</v>
      </c>
      <c r="N2" s="18" t="s">
        <v>24</v>
      </c>
      <c r="O2" s="19" t="s">
        <v>25</v>
      </c>
      <c r="P2" s="19">
        <v>46142</v>
      </c>
      <c r="Q2" s="11" t="s">
        <v>26</v>
      </c>
      <c r="R2" s="18" t="s">
        <v>27</v>
      </c>
      <c r="S2" s="18" t="s">
        <v>28</v>
      </c>
    </row>
    <row r="3" spans="1:19" ht="100.5">
      <c r="A3" s="18">
        <v>2</v>
      </c>
      <c r="B3" s="22">
        <v>46119</v>
      </c>
      <c r="C3" s="21" t="s">
        <v>19</v>
      </c>
      <c r="D3" s="180" t="s">
        <v>29</v>
      </c>
      <c r="E3" s="11" t="s">
        <v>30</v>
      </c>
      <c r="F3" s="21" t="s">
        <v>31</v>
      </c>
      <c r="G3" s="21" t="s">
        <v>32</v>
      </c>
      <c r="H3" s="21" t="s">
        <v>23</v>
      </c>
      <c r="I3" s="21">
        <v>1</v>
      </c>
      <c r="J3" s="21">
        <v>1</v>
      </c>
      <c r="K3" s="21">
        <v>1</v>
      </c>
      <c r="L3" s="21">
        <f t="shared" ref="L3:L66" si="0">IF(COUNT(I3:K3)=3,I3*J3*K3,"")</f>
        <v>1</v>
      </c>
      <c r="M3" s="21" t="str">
        <f t="shared" ref="M2:M65" si="1">IF(OR(H3="Sim",Y3="Ameaça imediata"),"Imediata",IF(L3="","Pendente de avaliação",IF(J3=5,"Alta",IF(L3&gt;=65,"Alta",IF(L3&gt;=28,"Moderada","Baixa")))))</f>
        <v>Baixa</v>
      </c>
      <c r="N3" s="21" t="s">
        <v>24</v>
      </c>
      <c r="O3" s="22">
        <v>46119</v>
      </c>
      <c r="P3" s="22">
        <v>46142</v>
      </c>
      <c r="Q3" s="11" t="s">
        <v>26</v>
      </c>
      <c r="R3" s="21" t="s">
        <v>33</v>
      </c>
      <c r="S3" s="21" t="s">
        <v>34</v>
      </c>
    </row>
    <row r="4" spans="1:19" ht="117">
      <c r="A4" s="18">
        <v>3</v>
      </c>
      <c r="B4" s="19">
        <v>46119</v>
      </c>
      <c r="C4" s="18" t="s">
        <v>19</v>
      </c>
      <c r="D4" s="179" t="s">
        <v>29</v>
      </c>
      <c r="E4" s="11" t="s">
        <v>30</v>
      </c>
      <c r="F4" s="18" t="s">
        <v>35</v>
      </c>
      <c r="G4" s="18" t="s">
        <v>36</v>
      </c>
      <c r="H4" s="18" t="s">
        <v>23</v>
      </c>
      <c r="I4" s="18">
        <v>1</v>
      </c>
      <c r="J4" s="18">
        <v>1</v>
      </c>
      <c r="K4" s="18">
        <v>1</v>
      </c>
      <c r="L4" s="18">
        <f t="shared" si="0"/>
        <v>1</v>
      </c>
      <c r="M4" s="18" t="str">
        <f t="shared" si="1"/>
        <v>Baixa</v>
      </c>
      <c r="N4" s="18" t="s">
        <v>24</v>
      </c>
      <c r="O4" s="19">
        <v>46119</v>
      </c>
      <c r="P4" s="19">
        <v>46142</v>
      </c>
      <c r="Q4" s="11" t="s">
        <v>26</v>
      </c>
      <c r="R4" s="18" t="s">
        <v>37</v>
      </c>
      <c r="S4" s="18" t="s">
        <v>34</v>
      </c>
    </row>
    <row r="5" spans="1:19" ht="33.75">
      <c r="A5" s="18">
        <v>4</v>
      </c>
      <c r="B5" s="22">
        <v>46119</v>
      </c>
      <c r="C5" s="21" t="s">
        <v>19</v>
      </c>
      <c r="D5" s="180" t="s">
        <v>38</v>
      </c>
      <c r="E5" s="11" t="s">
        <v>21</v>
      </c>
      <c r="F5" s="21" t="s">
        <v>39</v>
      </c>
      <c r="G5" s="21" t="s">
        <v>40</v>
      </c>
      <c r="H5" s="21" t="s">
        <v>23</v>
      </c>
      <c r="I5" s="21">
        <v>1</v>
      </c>
      <c r="J5" s="21">
        <v>3</v>
      </c>
      <c r="K5" s="21">
        <v>2</v>
      </c>
      <c r="L5" s="21">
        <f t="shared" si="0"/>
        <v>6</v>
      </c>
      <c r="M5" s="21" t="str">
        <f t="shared" si="1"/>
        <v>Baixa</v>
      </c>
      <c r="N5" s="21" t="s">
        <v>24</v>
      </c>
      <c r="O5" s="22">
        <v>46119</v>
      </c>
      <c r="P5" s="22">
        <v>46142</v>
      </c>
      <c r="Q5" s="11" t="s">
        <v>26</v>
      </c>
      <c r="R5" s="21" t="s">
        <v>41</v>
      </c>
      <c r="S5" s="21" t="s">
        <v>42</v>
      </c>
    </row>
    <row r="6" spans="1:19" ht="33.75">
      <c r="A6" s="18">
        <v>5</v>
      </c>
      <c r="B6" s="19">
        <v>46119</v>
      </c>
      <c r="C6" s="18" t="s">
        <v>19</v>
      </c>
      <c r="D6" s="179" t="s">
        <v>29</v>
      </c>
      <c r="E6" s="11" t="s">
        <v>21</v>
      </c>
      <c r="F6" s="18" t="s">
        <v>43</v>
      </c>
      <c r="G6" s="18" t="s">
        <v>44</v>
      </c>
      <c r="H6" s="18" t="s">
        <v>23</v>
      </c>
      <c r="I6" s="18">
        <v>1</v>
      </c>
      <c r="J6" s="18">
        <v>1</v>
      </c>
      <c r="K6" s="18">
        <v>1</v>
      </c>
      <c r="L6" s="18">
        <f t="shared" si="0"/>
        <v>1</v>
      </c>
      <c r="M6" s="18" t="str">
        <f t="shared" si="1"/>
        <v>Baixa</v>
      </c>
      <c r="N6" s="18" t="s">
        <v>24</v>
      </c>
      <c r="O6" s="19">
        <v>46119</v>
      </c>
      <c r="P6" s="19">
        <v>46142</v>
      </c>
      <c r="Q6" s="11" t="s">
        <v>26</v>
      </c>
      <c r="R6" s="18" t="s">
        <v>45</v>
      </c>
      <c r="S6" s="18" t="s">
        <v>28</v>
      </c>
    </row>
    <row r="7" spans="1:19" ht="33.75">
      <c r="A7" s="18">
        <v>6</v>
      </c>
      <c r="B7" s="22">
        <v>46119</v>
      </c>
      <c r="C7" s="21" t="s">
        <v>19</v>
      </c>
      <c r="D7" s="180" t="s">
        <v>46</v>
      </c>
      <c r="E7" s="11" t="s">
        <v>47</v>
      </c>
      <c r="F7" s="21" t="s">
        <v>48</v>
      </c>
      <c r="G7" s="21" t="s">
        <v>49</v>
      </c>
      <c r="H7" s="21" t="s">
        <v>23</v>
      </c>
      <c r="I7" s="21">
        <v>2</v>
      </c>
      <c r="J7" s="21">
        <v>2</v>
      </c>
      <c r="K7" s="21">
        <v>3</v>
      </c>
      <c r="L7" s="21">
        <f t="shared" si="0"/>
        <v>12</v>
      </c>
      <c r="M7" s="21" t="str">
        <f t="shared" si="1"/>
        <v>Baixa</v>
      </c>
      <c r="N7" s="21" t="s">
        <v>24</v>
      </c>
      <c r="O7" s="22">
        <v>46119</v>
      </c>
      <c r="P7" s="22">
        <v>46142</v>
      </c>
      <c r="Q7" s="11" t="s">
        <v>26</v>
      </c>
      <c r="R7" s="21" t="s">
        <v>50</v>
      </c>
      <c r="S7" s="21" t="s">
        <v>51</v>
      </c>
    </row>
    <row r="8" spans="1:19" ht="33.75">
      <c r="A8" s="18">
        <v>7</v>
      </c>
      <c r="B8" s="19">
        <v>46119</v>
      </c>
      <c r="C8" s="18" t="s">
        <v>19</v>
      </c>
      <c r="D8" s="179" t="s">
        <v>38</v>
      </c>
      <c r="E8" s="11" t="s">
        <v>52</v>
      </c>
      <c r="F8" s="18" t="s">
        <v>53</v>
      </c>
      <c r="G8" s="18" t="s">
        <v>54</v>
      </c>
      <c r="H8" s="18" t="s">
        <v>23</v>
      </c>
      <c r="I8" s="18">
        <v>1</v>
      </c>
      <c r="J8" s="18">
        <v>1</v>
      </c>
      <c r="K8" s="18">
        <v>1</v>
      </c>
      <c r="L8" s="18">
        <f t="shared" si="0"/>
        <v>1</v>
      </c>
      <c r="M8" s="18" t="str">
        <f t="shared" si="1"/>
        <v>Baixa</v>
      </c>
      <c r="N8" s="18" t="s">
        <v>24</v>
      </c>
      <c r="O8" s="19">
        <v>46119</v>
      </c>
      <c r="P8" s="19">
        <v>46142</v>
      </c>
      <c r="Q8" s="11" t="s">
        <v>26</v>
      </c>
      <c r="R8" s="18" t="s">
        <v>50</v>
      </c>
      <c r="S8" s="18" t="s">
        <v>55</v>
      </c>
    </row>
    <row r="9" spans="1:19" ht="16.5">
      <c r="A9" s="18">
        <v>8</v>
      </c>
      <c r="B9" s="22">
        <v>46126</v>
      </c>
      <c r="C9" s="21" t="s">
        <v>56</v>
      </c>
      <c r="D9" s="181" t="s">
        <v>29</v>
      </c>
      <c r="E9" s="11" t="s">
        <v>21</v>
      </c>
      <c r="F9" s="21" t="s">
        <v>57</v>
      </c>
      <c r="G9" s="21" t="s">
        <v>58</v>
      </c>
      <c r="H9" s="21" t="s">
        <v>23</v>
      </c>
      <c r="I9" s="21">
        <v>1</v>
      </c>
      <c r="J9" s="21">
        <v>1</v>
      </c>
      <c r="K9" s="21">
        <v>2</v>
      </c>
      <c r="L9" s="21">
        <f t="shared" si="0"/>
        <v>2</v>
      </c>
      <c r="M9" s="21" t="str">
        <f t="shared" si="1"/>
        <v>Baixa</v>
      </c>
      <c r="N9" s="21" t="s">
        <v>59</v>
      </c>
      <c r="O9" s="22">
        <v>46126</v>
      </c>
      <c r="P9" s="22">
        <v>46156</v>
      </c>
      <c r="Q9" s="11" t="s">
        <v>26</v>
      </c>
      <c r="R9" s="21" t="s">
        <v>45</v>
      </c>
      <c r="S9" s="21" t="s">
        <v>60</v>
      </c>
    </row>
    <row r="10" spans="1:19" ht="50.25">
      <c r="A10" s="18">
        <v>9</v>
      </c>
      <c r="B10" s="19">
        <v>46126</v>
      </c>
      <c r="C10" s="18" t="s">
        <v>56</v>
      </c>
      <c r="D10" s="179" t="s">
        <v>38</v>
      </c>
      <c r="E10" s="11" t="s">
        <v>21</v>
      </c>
      <c r="F10" s="18" t="s">
        <v>61</v>
      </c>
      <c r="G10" s="18" t="s">
        <v>62</v>
      </c>
      <c r="H10" s="18" t="s">
        <v>23</v>
      </c>
      <c r="I10" s="18">
        <v>1</v>
      </c>
      <c r="J10" s="18">
        <v>1</v>
      </c>
      <c r="K10" s="18">
        <v>2</v>
      </c>
      <c r="L10" s="18">
        <f t="shared" si="0"/>
        <v>2</v>
      </c>
      <c r="M10" s="18" t="str">
        <f t="shared" si="1"/>
        <v>Baixa</v>
      </c>
      <c r="N10" s="18" t="s">
        <v>59</v>
      </c>
      <c r="O10" s="19">
        <v>46126</v>
      </c>
      <c r="P10" s="19">
        <v>46156</v>
      </c>
      <c r="Q10" s="11" t="s">
        <v>26</v>
      </c>
      <c r="R10" s="18" t="s">
        <v>63</v>
      </c>
      <c r="S10" s="18" t="s">
        <v>55</v>
      </c>
    </row>
    <row r="11" spans="1:19" ht="16.5">
      <c r="A11" s="18">
        <v>10</v>
      </c>
      <c r="B11" s="22">
        <v>46126</v>
      </c>
      <c r="C11" s="21" t="s">
        <v>56</v>
      </c>
      <c r="D11" s="180" t="s">
        <v>38</v>
      </c>
      <c r="E11" s="11" t="s">
        <v>21</v>
      </c>
      <c r="F11" s="21" t="s">
        <v>64</v>
      </c>
      <c r="G11" s="21" t="s">
        <v>65</v>
      </c>
      <c r="H11" s="21" t="s">
        <v>23</v>
      </c>
      <c r="I11" s="21">
        <v>1</v>
      </c>
      <c r="J11" s="21">
        <v>1</v>
      </c>
      <c r="K11" s="21">
        <v>2</v>
      </c>
      <c r="L11" s="21">
        <f t="shared" si="0"/>
        <v>2</v>
      </c>
      <c r="M11" s="21" t="str">
        <f t="shared" si="1"/>
        <v>Baixa</v>
      </c>
      <c r="N11" s="21" t="s">
        <v>59</v>
      </c>
      <c r="O11" s="22">
        <v>46126</v>
      </c>
      <c r="P11" s="22">
        <v>46156</v>
      </c>
      <c r="Q11" s="11" t="s">
        <v>26</v>
      </c>
      <c r="R11" s="21" t="s">
        <v>66</v>
      </c>
      <c r="S11" s="21" t="s">
        <v>60</v>
      </c>
    </row>
    <row r="12" spans="1:19" ht="84">
      <c r="A12" s="18">
        <v>11</v>
      </c>
      <c r="B12" s="19">
        <v>46126</v>
      </c>
      <c r="C12" s="18" t="s">
        <v>56</v>
      </c>
      <c r="D12" s="179" t="s">
        <v>38</v>
      </c>
      <c r="E12" s="11" t="s">
        <v>21</v>
      </c>
      <c r="F12" s="18" t="s">
        <v>67</v>
      </c>
      <c r="G12" s="18" t="s">
        <v>68</v>
      </c>
      <c r="H12" s="18" t="s">
        <v>23</v>
      </c>
      <c r="I12" s="18">
        <v>3</v>
      </c>
      <c r="J12" s="18">
        <v>1</v>
      </c>
      <c r="K12" s="18">
        <v>2</v>
      </c>
      <c r="L12" s="18">
        <f t="shared" si="0"/>
        <v>6</v>
      </c>
      <c r="M12" s="18" t="str">
        <f t="shared" si="1"/>
        <v>Baixa</v>
      </c>
      <c r="N12" s="18" t="s">
        <v>59</v>
      </c>
      <c r="O12" s="19">
        <v>46126</v>
      </c>
      <c r="P12" s="19">
        <v>46156</v>
      </c>
      <c r="Q12" s="11" t="s">
        <v>26</v>
      </c>
      <c r="R12" s="18" t="s">
        <v>69</v>
      </c>
      <c r="S12" s="18" t="s">
        <v>34</v>
      </c>
    </row>
    <row r="13" spans="1:19" ht="33.75">
      <c r="A13" s="18">
        <v>12</v>
      </c>
      <c r="B13" s="22">
        <v>46126</v>
      </c>
      <c r="C13" s="21" t="s">
        <v>56</v>
      </c>
      <c r="D13" s="180" t="s">
        <v>29</v>
      </c>
      <c r="E13" s="11" t="s">
        <v>21</v>
      </c>
      <c r="F13" s="21" t="s">
        <v>70</v>
      </c>
      <c r="G13" s="21" t="s">
        <v>71</v>
      </c>
      <c r="H13" s="21" t="s">
        <v>23</v>
      </c>
      <c r="I13" s="21">
        <v>2</v>
      </c>
      <c r="J13" s="21">
        <v>2</v>
      </c>
      <c r="K13" s="21">
        <v>2</v>
      </c>
      <c r="L13" s="21">
        <f t="shared" si="0"/>
        <v>8</v>
      </c>
      <c r="M13" s="21" t="str">
        <f t="shared" si="1"/>
        <v>Baixa</v>
      </c>
      <c r="N13" s="21" t="s">
        <v>59</v>
      </c>
      <c r="O13" s="22">
        <v>46126</v>
      </c>
      <c r="P13" s="22">
        <v>46156</v>
      </c>
      <c r="Q13" s="11" t="s">
        <v>26</v>
      </c>
      <c r="R13" s="21" t="s">
        <v>72</v>
      </c>
      <c r="S13" s="21" t="s">
        <v>28</v>
      </c>
    </row>
    <row r="14" spans="1:19" ht="50.25">
      <c r="A14" s="18">
        <v>13</v>
      </c>
      <c r="B14" s="19">
        <v>46135</v>
      </c>
      <c r="C14" s="18" t="s">
        <v>73</v>
      </c>
      <c r="D14" s="179" t="s">
        <v>46</v>
      </c>
      <c r="E14" s="11" t="s">
        <v>47</v>
      </c>
      <c r="F14" s="18" t="s">
        <v>74</v>
      </c>
      <c r="G14" s="18" t="s">
        <v>75</v>
      </c>
      <c r="H14" s="18" t="s">
        <v>23</v>
      </c>
      <c r="I14" s="18">
        <v>3</v>
      </c>
      <c r="J14" s="18">
        <v>2</v>
      </c>
      <c r="K14" s="18">
        <v>2</v>
      </c>
      <c r="L14" s="18">
        <f t="shared" si="0"/>
        <v>12</v>
      </c>
      <c r="M14" s="18" t="str">
        <f t="shared" si="1"/>
        <v>Baixa</v>
      </c>
      <c r="N14" s="18" t="s">
        <v>76</v>
      </c>
      <c r="O14" s="19">
        <v>46135</v>
      </c>
      <c r="P14" s="19">
        <v>46139</v>
      </c>
      <c r="Q14" s="11" t="s">
        <v>26</v>
      </c>
      <c r="R14" s="18" t="s">
        <v>77</v>
      </c>
      <c r="S14" s="18" t="s">
        <v>51</v>
      </c>
    </row>
    <row r="15" spans="1:19" ht="33.75">
      <c r="A15" s="18">
        <v>14</v>
      </c>
      <c r="B15" s="22">
        <v>46135</v>
      </c>
      <c r="C15" s="21" t="s">
        <v>73</v>
      </c>
      <c r="D15" s="180" t="s">
        <v>38</v>
      </c>
      <c r="E15" s="11" t="s">
        <v>21</v>
      </c>
      <c r="F15" s="21" t="s">
        <v>78</v>
      </c>
      <c r="G15" s="21" t="s">
        <v>79</v>
      </c>
      <c r="H15" s="21" t="s">
        <v>23</v>
      </c>
      <c r="I15" s="21">
        <v>1</v>
      </c>
      <c r="J15" s="21">
        <v>1</v>
      </c>
      <c r="K15" s="21">
        <v>2</v>
      </c>
      <c r="L15" s="21">
        <f t="shared" si="0"/>
        <v>2</v>
      </c>
      <c r="M15" s="21" t="str">
        <f t="shared" si="1"/>
        <v>Baixa</v>
      </c>
      <c r="N15" s="21" t="s">
        <v>76</v>
      </c>
      <c r="O15" s="22">
        <v>46135</v>
      </c>
      <c r="P15" s="22">
        <v>46139</v>
      </c>
      <c r="Q15" s="11" t="s">
        <v>26</v>
      </c>
      <c r="R15" s="21" t="s">
        <v>80</v>
      </c>
      <c r="S15" s="21" t="s">
        <v>55</v>
      </c>
    </row>
    <row r="16" spans="1:19" ht="66.75">
      <c r="A16" s="18">
        <v>15</v>
      </c>
      <c r="B16" s="19">
        <v>46135</v>
      </c>
      <c r="C16" s="18" t="s">
        <v>73</v>
      </c>
      <c r="D16" s="179" t="s">
        <v>38</v>
      </c>
      <c r="E16" s="11" t="s">
        <v>21</v>
      </c>
      <c r="F16" s="18" t="s">
        <v>81</v>
      </c>
      <c r="G16" s="18" t="s">
        <v>82</v>
      </c>
      <c r="H16" s="18" t="s">
        <v>23</v>
      </c>
      <c r="I16" s="18">
        <v>4</v>
      </c>
      <c r="J16" s="18">
        <v>2</v>
      </c>
      <c r="K16" s="18">
        <v>4</v>
      </c>
      <c r="L16" s="18">
        <f t="shared" si="0"/>
        <v>32</v>
      </c>
      <c r="M16" s="18" t="str">
        <f t="shared" si="1"/>
        <v>Moderada</v>
      </c>
      <c r="N16" s="18" t="s">
        <v>76</v>
      </c>
      <c r="O16" s="19">
        <v>46135</v>
      </c>
      <c r="P16" s="19">
        <v>46139</v>
      </c>
      <c r="Q16" s="11" t="s">
        <v>26</v>
      </c>
      <c r="R16" s="18" t="s">
        <v>83</v>
      </c>
      <c r="S16" s="18" t="s">
        <v>84</v>
      </c>
    </row>
    <row r="17" spans="1:19" ht="66.75">
      <c r="A17" s="18">
        <v>16</v>
      </c>
      <c r="B17" s="22">
        <v>46135</v>
      </c>
      <c r="C17" s="21" t="s">
        <v>73</v>
      </c>
      <c r="D17" s="180" t="s">
        <v>29</v>
      </c>
      <c r="E17" s="11" t="s">
        <v>21</v>
      </c>
      <c r="F17" s="21" t="s">
        <v>85</v>
      </c>
      <c r="G17" s="21" t="s">
        <v>86</v>
      </c>
      <c r="H17" s="21" t="s">
        <v>23</v>
      </c>
      <c r="I17" s="21">
        <v>2</v>
      </c>
      <c r="J17" s="21">
        <v>1</v>
      </c>
      <c r="K17" s="21">
        <v>3</v>
      </c>
      <c r="L17" s="21">
        <f t="shared" si="0"/>
        <v>6</v>
      </c>
      <c r="M17" s="21" t="str">
        <f t="shared" si="1"/>
        <v>Baixa</v>
      </c>
      <c r="N17" s="21" t="s">
        <v>76</v>
      </c>
      <c r="O17" s="22">
        <v>46135</v>
      </c>
      <c r="P17" s="22">
        <v>46295</v>
      </c>
      <c r="Q17" s="11" t="s">
        <v>26</v>
      </c>
      <c r="R17" s="21" t="s">
        <v>87</v>
      </c>
      <c r="S17" s="21" t="s">
        <v>28</v>
      </c>
    </row>
    <row r="18" spans="1:19" ht="50.25">
      <c r="A18" s="18">
        <v>17</v>
      </c>
      <c r="B18" s="19">
        <v>46135</v>
      </c>
      <c r="C18" s="18" t="s">
        <v>73</v>
      </c>
      <c r="D18" s="179" t="s">
        <v>38</v>
      </c>
      <c r="E18" s="11" t="s">
        <v>88</v>
      </c>
      <c r="F18" s="18" t="s">
        <v>89</v>
      </c>
      <c r="G18" s="18" t="s">
        <v>90</v>
      </c>
      <c r="H18" s="18" t="s">
        <v>23</v>
      </c>
      <c r="I18" s="18">
        <v>2</v>
      </c>
      <c r="J18" s="18">
        <v>2</v>
      </c>
      <c r="K18" s="18">
        <v>2</v>
      </c>
      <c r="L18" s="18">
        <f t="shared" si="0"/>
        <v>8</v>
      </c>
      <c r="M18" s="18" t="str">
        <f t="shared" si="1"/>
        <v>Baixa</v>
      </c>
      <c r="N18" s="18" t="s">
        <v>76</v>
      </c>
      <c r="O18" s="19">
        <v>46135</v>
      </c>
      <c r="P18" s="19">
        <v>46135</v>
      </c>
      <c r="Q18" s="11" t="s">
        <v>26</v>
      </c>
      <c r="R18" s="18" t="s">
        <v>91</v>
      </c>
      <c r="S18" s="18" t="s">
        <v>34</v>
      </c>
    </row>
    <row r="19" spans="1:19" ht="50.25">
      <c r="A19" s="18">
        <v>18</v>
      </c>
      <c r="B19" s="22">
        <v>46135</v>
      </c>
      <c r="C19" s="21" t="s">
        <v>73</v>
      </c>
      <c r="D19" s="180" t="s">
        <v>29</v>
      </c>
      <c r="E19" s="11" t="s">
        <v>92</v>
      </c>
      <c r="F19" s="21" t="s">
        <v>93</v>
      </c>
      <c r="G19" s="21" t="s">
        <v>94</v>
      </c>
      <c r="H19" s="21" t="s">
        <v>23</v>
      </c>
      <c r="I19" s="21">
        <v>1</v>
      </c>
      <c r="J19" s="21">
        <v>2</v>
      </c>
      <c r="K19" s="21">
        <v>2</v>
      </c>
      <c r="L19" s="21">
        <f t="shared" si="0"/>
        <v>4</v>
      </c>
      <c r="M19" s="21" t="str">
        <f t="shared" si="1"/>
        <v>Baixa</v>
      </c>
      <c r="N19" s="21" t="s">
        <v>76</v>
      </c>
      <c r="O19" s="22">
        <v>46135</v>
      </c>
      <c r="P19" s="22">
        <v>46139</v>
      </c>
      <c r="Q19" s="11" t="s">
        <v>26</v>
      </c>
      <c r="R19" s="21" t="s">
        <v>95</v>
      </c>
      <c r="S19" s="21" t="s">
        <v>96</v>
      </c>
    </row>
    <row r="20" spans="1:19" ht="84">
      <c r="A20" s="18">
        <v>19</v>
      </c>
      <c r="B20" s="19">
        <v>46135</v>
      </c>
      <c r="C20" s="18" t="s">
        <v>73</v>
      </c>
      <c r="D20" s="179" t="s">
        <v>29</v>
      </c>
      <c r="E20" s="11" t="s">
        <v>97</v>
      </c>
      <c r="F20" s="18" t="s">
        <v>98</v>
      </c>
      <c r="G20" s="18" t="s">
        <v>99</v>
      </c>
      <c r="H20" s="18" t="s">
        <v>23</v>
      </c>
      <c r="I20" s="18">
        <v>1</v>
      </c>
      <c r="J20" s="18">
        <v>1</v>
      </c>
      <c r="K20" s="18">
        <v>2</v>
      </c>
      <c r="L20" s="18">
        <f t="shared" si="0"/>
        <v>2</v>
      </c>
      <c r="M20" s="18" t="str">
        <f t="shared" si="1"/>
        <v>Baixa</v>
      </c>
      <c r="N20" s="18" t="s">
        <v>76</v>
      </c>
      <c r="O20" s="19">
        <v>46135</v>
      </c>
      <c r="P20" s="19">
        <v>46171</v>
      </c>
      <c r="Q20" s="11" t="s">
        <v>26</v>
      </c>
      <c r="R20" s="18" t="s">
        <v>100</v>
      </c>
      <c r="S20" s="18" t="s">
        <v>60</v>
      </c>
    </row>
    <row r="21" spans="1:19" ht="84">
      <c r="A21" s="18">
        <v>20</v>
      </c>
      <c r="B21" s="22">
        <v>46135</v>
      </c>
      <c r="C21" s="21" t="s">
        <v>73</v>
      </c>
      <c r="D21" s="180" t="s">
        <v>46</v>
      </c>
      <c r="E21" s="11" t="s">
        <v>47</v>
      </c>
      <c r="F21" s="21" t="s">
        <v>101</v>
      </c>
      <c r="G21" s="21" t="s">
        <v>102</v>
      </c>
      <c r="H21" s="21" t="s">
        <v>23</v>
      </c>
      <c r="I21" s="21">
        <v>3</v>
      </c>
      <c r="J21" s="21">
        <v>3</v>
      </c>
      <c r="K21" s="21">
        <v>3</v>
      </c>
      <c r="L21" s="21">
        <f t="shared" si="0"/>
        <v>27</v>
      </c>
      <c r="M21" s="21" t="str">
        <f t="shared" si="1"/>
        <v>Baixa</v>
      </c>
      <c r="N21" s="21" t="s">
        <v>76</v>
      </c>
      <c r="O21" s="22">
        <v>46135</v>
      </c>
      <c r="P21" s="22">
        <v>46171</v>
      </c>
      <c r="Q21" s="11" t="s">
        <v>26</v>
      </c>
      <c r="R21" s="21" t="s">
        <v>103</v>
      </c>
      <c r="S21" s="21" t="s">
        <v>51</v>
      </c>
    </row>
    <row r="22" spans="1:19" ht="50.25">
      <c r="A22" s="18">
        <v>21</v>
      </c>
      <c r="B22" s="19">
        <v>46135</v>
      </c>
      <c r="C22" s="18" t="s">
        <v>73</v>
      </c>
      <c r="D22" s="179" t="s">
        <v>29</v>
      </c>
      <c r="E22" s="11" t="s">
        <v>21</v>
      </c>
      <c r="F22" s="18" t="s">
        <v>104</v>
      </c>
      <c r="G22" s="18" t="s">
        <v>105</v>
      </c>
      <c r="H22" s="18" t="s">
        <v>23</v>
      </c>
      <c r="I22" s="18">
        <v>3</v>
      </c>
      <c r="J22" s="18">
        <v>3</v>
      </c>
      <c r="K22" s="18">
        <v>3</v>
      </c>
      <c r="L22" s="18">
        <f t="shared" si="0"/>
        <v>27</v>
      </c>
      <c r="M22" s="18" t="str">
        <f t="shared" si="1"/>
        <v>Baixa</v>
      </c>
      <c r="N22" s="18" t="s">
        <v>76</v>
      </c>
      <c r="O22" s="19">
        <v>46135</v>
      </c>
      <c r="P22" s="19">
        <v>46171</v>
      </c>
      <c r="Q22" s="11" t="s">
        <v>26</v>
      </c>
      <c r="R22" s="18" t="s">
        <v>106</v>
      </c>
      <c r="S22" s="18" t="s">
        <v>28</v>
      </c>
    </row>
    <row r="23" spans="1:19" ht="50.25">
      <c r="A23" s="18">
        <v>22</v>
      </c>
      <c r="B23" s="22">
        <v>46135</v>
      </c>
      <c r="C23" s="21" t="s">
        <v>73</v>
      </c>
      <c r="D23" s="180" t="s">
        <v>46</v>
      </c>
      <c r="E23" s="11" t="s">
        <v>21</v>
      </c>
      <c r="F23" s="21" t="s">
        <v>107</v>
      </c>
      <c r="G23" s="21" t="s">
        <v>108</v>
      </c>
      <c r="H23" s="21" t="s">
        <v>23</v>
      </c>
      <c r="I23" s="21">
        <v>4</v>
      </c>
      <c r="J23" s="21">
        <v>4</v>
      </c>
      <c r="K23" s="21">
        <v>5</v>
      </c>
      <c r="L23" s="21">
        <f t="shared" si="0"/>
        <v>80</v>
      </c>
      <c r="M23" s="21" t="str">
        <f t="shared" si="1"/>
        <v>Alta</v>
      </c>
      <c r="N23" s="21" t="s">
        <v>76</v>
      </c>
      <c r="O23" s="22">
        <v>46135</v>
      </c>
      <c r="P23" s="22">
        <v>46171</v>
      </c>
      <c r="Q23" s="11" t="s">
        <v>26</v>
      </c>
      <c r="R23" s="21" t="s">
        <v>109</v>
      </c>
      <c r="S23" s="21" t="s">
        <v>51</v>
      </c>
    </row>
    <row r="24" spans="1:19" ht="50.25">
      <c r="A24" s="18">
        <v>23</v>
      </c>
      <c r="B24" s="19">
        <v>46135</v>
      </c>
      <c r="C24" s="18" t="s">
        <v>73</v>
      </c>
      <c r="D24" s="179" t="s">
        <v>38</v>
      </c>
      <c r="E24" s="11" t="s">
        <v>21</v>
      </c>
      <c r="F24" s="18" t="s">
        <v>110</v>
      </c>
      <c r="G24" s="18" t="s">
        <v>111</v>
      </c>
      <c r="H24" s="18" t="s">
        <v>23</v>
      </c>
      <c r="I24" s="18">
        <v>2</v>
      </c>
      <c r="J24" s="18">
        <v>2</v>
      </c>
      <c r="K24" s="18">
        <v>2</v>
      </c>
      <c r="L24" s="18">
        <f t="shared" si="0"/>
        <v>8</v>
      </c>
      <c r="M24" s="18" t="str">
        <f t="shared" si="1"/>
        <v>Baixa</v>
      </c>
      <c r="N24" s="18" t="s">
        <v>76</v>
      </c>
      <c r="O24" s="19">
        <v>46135</v>
      </c>
      <c r="P24" s="19">
        <v>46171</v>
      </c>
      <c r="Q24" s="11" t="s">
        <v>26</v>
      </c>
      <c r="R24" s="18" t="s">
        <v>112</v>
      </c>
      <c r="S24" s="18" t="s">
        <v>42</v>
      </c>
    </row>
    <row r="25" spans="1:19" ht="50.25">
      <c r="A25" s="18">
        <v>24</v>
      </c>
      <c r="B25" s="22">
        <v>46147</v>
      </c>
      <c r="C25" s="21" t="s">
        <v>113</v>
      </c>
      <c r="D25" s="180" t="s">
        <v>114</v>
      </c>
      <c r="E25" s="11" t="s">
        <v>21</v>
      </c>
      <c r="F25" s="21" t="s">
        <v>115</v>
      </c>
      <c r="G25" s="21" t="s">
        <v>116</v>
      </c>
      <c r="H25" s="21" t="s">
        <v>117</v>
      </c>
      <c r="I25" s="21">
        <v>3</v>
      </c>
      <c r="J25" s="21">
        <v>5</v>
      </c>
      <c r="K25" s="21">
        <v>3</v>
      </c>
      <c r="L25" s="21">
        <f t="shared" si="0"/>
        <v>45</v>
      </c>
      <c r="M25" s="21" t="str">
        <f t="shared" si="1"/>
        <v>Imediata</v>
      </c>
      <c r="N25" s="21" t="s">
        <v>118</v>
      </c>
      <c r="O25" s="22">
        <v>46147</v>
      </c>
      <c r="P25" s="22">
        <v>46178</v>
      </c>
      <c r="Q25" s="11" t="s">
        <v>26</v>
      </c>
      <c r="R25" s="21" t="s">
        <v>119</v>
      </c>
      <c r="S25" s="21" t="s">
        <v>51</v>
      </c>
    </row>
    <row r="26" spans="1:19" ht="50.25">
      <c r="A26" s="18">
        <v>25</v>
      </c>
      <c r="B26" s="19">
        <v>46147</v>
      </c>
      <c r="C26" s="18" t="s">
        <v>113</v>
      </c>
      <c r="D26" s="179" t="s">
        <v>29</v>
      </c>
      <c r="E26" s="11" t="s">
        <v>47</v>
      </c>
      <c r="F26" s="18" t="s">
        <v>120</v>
      </c>
      <c r="G26" s="18" t="s">
        <v>116</v>
      </c>
      <c r="H26" s="18" t="s">
        <v>23</v>
      </c>
      <c r="I26" s="18">
        <v>3</v>
      </c>
      <c r="J26" s="18">
        <v>3</v>
      </c>
      <c r="K26" s="18">
        <v>3</v>
      </c>
      <c r="L26" s="18">
        <f t="shared" si="0"/>
        <v>27</v>
      </c>
      <c r="M26" s="18" t="str">
        <f t="shared" si="1"/>
        <v>Baixa</v>
      </c>
      <c r="N26" s="18" t="s">
        <v>118</v>
      </c>
      <c r="O26" s="19">
        <v>46147</v>
      </c>
      <c r="P26" s="19">
        <v>46178</v>
      </c>
      <c r="Q26" s="11" t="s">
        <v>26</v>
      </c>
      <c r="R26" s="18" t="s">
        <v>121</v>
      </c>
      <c r="S26" s="18" t="s">
        <v>96</v>
      </c>
    </row>
    <row r="27" spans="1:19" ht="84">
      <c r="A27" s="18">
        <v>26</v>
      </c>
      <c r="B27" s="22">
        <v>46147</v>
      </c>
      <c r="C27" s="21" t="s">
        <v>113</v>
      </c>
      <c r="D27" s="180" t="s">
        <v>46</v>
      </c>
      <c r="E27" s="11" t="s">
        <v>47</v>
      </c>
      <c r="F27" s="23" t="s">
        <v>122</v>
      </c>
      <c r="G27" s="21" t="s">
        <v>116</v>
      </c>
      <c r="H27" s="21" t="s">
        <v>23</v>
      </c>
      <c r="I27" s="21">
        <v>3</v>
      </c>
      <c r="J27" s="21">
        <v>3</v>
      </c>
      <c r="K27" s="21">
        <v>3</v>
      </c>
      <c r="L27" s="21">
        <f t="shared" si="0"/>
        <v>27</v>
      </c>
      <c r="M27" s="21" t="str">
        <f t="shared" si="1"/>
        <v>Baixa</v>
      </c>
      <c r="N27" s="21" t="s">
        <v>118</v>
      </c>
      <c r="O27" s="22">
        <v>46147</v>
      </c>
      <c r="P27" s="22">
        <v>46178</v>
      </c>
      <c r="Q27" s="11" t="s">
        <v>26</v>
      </c>
      <c r="R27" s="21" t="s">
        <v>123</v>
      </c>
      <c r="S27" s="21" t="s">
        <v>51</v>
      </c>
    </row>
    <row r="28" spans="1:19" ht="16.5">
      <c r="A28" s="18">
        <v>27</v>
      </c>
      <c r="B28" s="19">
        <v>46147</v>
      </c>
      <c r="C28" s="18" t="s">
        <v>113</v>
      </c>
      <c r="D28" s="182" t="s">
        <v>38</v>
      </c>
      <c r="E28" s="11" t="s">
        <v>21</v>
      </c>
      <c r="F28" s="18" t="s">
        <v>124</v>
      </c>
      <c r="G28" s="18" t="s">
        <v>125</v>
      </c>
      <c r="H28" s="18" t="s">
        <v>23</v>
      </c>
      <c r="I28" s="18">
        <v>1</v>
      </c>
      <c r="J28" s="18">
        <v>2</v>
      </c>
      <c r="K28" s="18">
        <v>1</v>
      </c>
      <c r="L28" s="18">
        <f t="shared" si="0"/>
        <v>2</v>
      </c>
      <c r="M28" s="18" t="str">
        <f t="shared" si="1"/>
        <v>Baixa</v>
      </c>
      <c r="N28" s="18" t="s">
        <v>118</v>
      </c>
      <c r="O28" s="19">
        <v>46147</v>
      </c>
      <c r="P28" s="19">
        <v>46178</v>
      </c>
      <c r="Q28" s="11" t="s">
        <v>26</v>
      </c>
      <c r="R28" s="18" t="s">
        <v>126</v>
      </c>
      <c r="S28" s="18" t="s">
        <v>55</v>
      </c>
    </row>
    <row r="29" spans="1:19" ht="33.75">
      <c r="A29" s="18">
        <v>28</v>
      </c>
      <c r="B29" s="22">
        <v>46147</v>
      </c>
      <c r="C29" s="21" t="s">
        <v>113</v>
      </c>
      <c r="D29" s="180" t="s">
        <v>46</v>
      </c>
      <c r="E29" s="11" t="s">
        <v>47</v>
      </c>
      <c r="F29" s="21" t="s">
        <v>127</v>
      </c>
      <c r="G29" s="21" t="s">
        <v>128</v>
      </c>
      <c r="H29" s="21" t="s">
        <v>117</v>
      </c>
      <c r="I29" s="21">
        <v>3</v>
      </c>
      <c r="J29" s="21">
        <v>3</v>
      </c>
      <c r="K29" s="21">
        <v>3</v>
      </c>
      <c r="L29" s="21">
        <f t="shared" si="0"/>
        <v>27</v>
      </c>
      <c r="M29" s="21" t="str">
        <f t="shared" si="1"/>
        <v>Imediata</v>
      </c>
      <c r="N29" s="21" t="s">
        <v>118</v>
      </c>
      <c r="O29" s="22">
        <v>46147</v>
      </c>
      <c r="P29" s="22">
        <v>46178</v>
      </c>
      <c r="Q29" s="11" t="s">
        <v>26</v>
      </c>
      <c r="R29" s="21" t="s">
        <v>50</v>
      </c>
      <c r="S29" s="21" t="s">
        <v>51</v>
      </c>
    </row>
    <row r="30" spans="1:19" ht="58.5" customHeight="1">
      <c r="A30" s="18">
        <v>29</v>
      </c>
      <c r="B30" s="19">
        <v>46147</v>
      </c>
      <c r="C30" s="18" t="s">
        <v>113</v>
      </c>
      <c r="D30" s="179" t="s">
        <v>38</v>
      </c>
      <c r="E30" s="11" t="s">
        <v>21</v>
      </c>
      <c r="F30" s="18" t="s">
        <v>129</v>
      </c>
      <c r="G30" s="18" t="s">
        <v>125</v>
      </c>
      <c r="H30" s="18" t="s">
        <v>23</v>
      </c>
      <c r="I30" s="18">
        <v>3</v>
      </c>
      <c r="J30" s="18">
        <v>3</v>
      </c>
      <c r="K30" s="18">
        <v>3</v>
      </c>
      <c r="L30" s="18">
        <f t="shared" si="0"/>
        <v>27</v>
      </c>
      <c r="M30" s="18" t="str">
        <f t="shared" si="1"/>
        <v>Baixa</v>
      </c>
      <c r="N30" s="18" t="s">
        <v>118</v>
      </c>
      <c r="O30" s="19">
        <v>46147</v>
      </c>
      <c r="P30" s="19">
        <v>46178</v>
      </c>
      <c r="Q30" s="11" t="s">
        <v>130</v>
      </c>
      <c r="R30" s="18" t="s">
        <v>131</v>
      </c>
      <c r="S30" s="18" t="s">
        <v>132</v>
      </c>
    </row>
    <row r="31" spans="1:19" ht="84">
      <c r="A31" s="18">
        <v>30</v>
      </c>
      <c r="B31" s="22">
        <v>46147</v>
      </c>
      <c r="C31" s="21" t="s">
        <v>113</v>
      </c>
      <c r="D31" s="180" t="s">
        <v>29</v>
      </c>
      <c r="E31" s="11" t="s">
        <v>21</v>
      </c>
      <c r="F31" s="21" t="s">
        <v>133</v>
      </c>
      <c r="G31" s="21" t="s">
        <v>125</v>
      </c>
      <c r="H31" s="21" t="s">
        <v>23</v>
      </c>
      <c r="I31" s="21">
        <v>1</v>
      </c>
      <c r="J31" s="21">
        <v>1</v>
      </c>
      <c r="K31" s="21">
        <v>1</v>
      </c>
      <c r="L31" s="21">
        <f t="shared" si="0"/>
        <v>1</v>
      </c>
      <c r="M31" s="21" t="str">
        <f t="shared" si="1"/>
        <v>Baixa</v>
      </c>
      <c r="N31" s="21" t="s">
        <v>118</v>
      </c>
      <c r="O31" s="22">
        <v>46147</v>
      </c>
      <c r="P31" s="22">
        <v>46178</v>
      </c>
      <c r="Q31" s="11" t="s">
        <v>130</v>
      </c>
      <c r="R31" s="21" t="s">
        <v>134</v>
      </c>
      <c r="S31" s="21" t="s">
        <v>96</v>
      </c>
    </row>
    <row r="32" spans="1:19" ht="50.25">
      <c r="A32" s="18">
        <v>31</v>
      </c>
      <c r="B32" s="19">
        <v>46147</v>
      </c>
      <c r="C32" s="18" t="s">
        <v>113</v>
      </c>
      <c r="D32" s="179" t="s">
        <v>38</v>
      </c>
      <c r="E32" s="11" t="s">
        <v>21</v>
      </c>
      <c r="F32" s="18" t="s">
        <v>135</v>
      </c>
      <c r="G32" s="18" t="s">
        <v>125</v>
      </c>
      <c r="H32" s="18" t="s">
        <v>23</v>
      </c>
      <c r="I32" s="18">
        <v>3</v>
      </c>
      <c r="J32" s="18">
        <v>5</v>
      </c>
      <c r="K32" s="18">
        <v>3</v>
      </c>
      <c r="L32" s="18">
        <f t="shared" si="0"/>
        <v>45</v>
      </c>
      <c r="M32" s="18" t="str">
        <f t="shared" si="1"/>
        <v>Alta</v>
      </c>
      <c r="N32" s="18" t="s">
        <v>118</v>
      </c>
      <c r="O32" s="19">
        <v>46147</v>
      </c>
      <c r="P32" s="19">
        <v>46178</v>
      </c>
      <c r="Q32" s="11" t="s">
        <v>130</v>
      </c>
      <c r="R32" s="18" t="s">
        <v>136</v>
      </c>
      <c r="S32" s="18" t="s">
        <v>42</v>
      </c>
    </row>
    <row r="33" spans="1:19" ht="50.25">
      <c r="A33" s="18">
        <v>32</v>
      </c>
      <c r="B33" s="22">
        <v>46147</v>
      </c>
      <c r="C33" s="21" t="s">
        <v>113</v>
      </c>
      <c r="D33" s="180" t="s">
        <v>29</v>
      </c>
      <c r="E33" s="11" t="s">
        <v>92</v>
      </c>
      <c r="F33" s="21" t="s">
        <v>137</v>
      </c>
      <c r="G33" s="21" t="s">
        <v>138</v>
      </c>
      <c r="H33" s="21" t="s">
        <v>23</v>
      </c>
      <c r="I33" s="21">
        <v>2</v>
      </c>
      <c r="J33" s="21">
        <v>1</v>
      </c>
      <c r="K33" s="21">
        <v>2</v>
      </c>
      <c r="L33" s="21">
        <f t="shared" si="0"/>
        <v>4</v>
      </c>
      <c r="M33" s="21" t="str">
        <f t="shared" si="1"/>
        <v>Baixa</v>
      </c>
      <c r="N33" s="21" t="s">
        <v>118</v>
      </c>
      <c r="O33" s="22">
        <v>46147</v>
      </c>
      <c r="P33" s="22">
        <v>46178</v>
      </c>
      <c r="Q33" s="11" t="s">
        <v>130</v>
      </c>
      <c r="R33" s="21" t="s">
        <v>139</v>
      </c>
      <c r="S33" s="21" t="s">
        <v>96</v>
      </c>
    </row>
    <row r="34" spans="1:19" ht="50.25">
      <c r="A34" s="18">
        <v>33</v>
      </c>
      <c r="B34" s="19">
        <v>46147</v>
      </c>
      <c r="C34" s="18" t="s">
        <v>113</v>
      </c>
      <c r="D34" s="179" t="s">
        <v>38</v>
      </c>
      <c r="E34" s="11" t="s">
        <v>21</v>
      </c>
      <c r="F34" s="18" t="s">
        <v>140</v>
      </c>
      <c r="G34" s="18" t="s">
        <v>125</v>
      </c>
      <c r="H34" s="18" t="s">
        <v>23</v>
      </c>
      <c r="I34" s="18">
        <v>2</v>
      </c>
      <c r="J34" s="18">
        <v>1</v>
      </c>
      <c r="K34" s="18">
        <v>2</v>
      </c>
      <c r="L34" s="18">
        <f t="shared" si="0"/>
        <v>4</v>
      </c>
      <c r="M34" s="18" t="str">
        <f t="shared" si="1"/>
        <v>Baixa</v>
      </c>
      <c r="N34" s="18" t="s">
        <v>118</v>
      </c>
      <c r="O34" s="19">
        <v>46147</v>
      </c>
      <c r="P34" s="19">
        <v>46178</v>
      </c>
      <c r="Q34" s="11" t="s">
        <v>130</v>
      </c>
      <c r="R34" s="18" t="s">
        <v>141</v>
      </c>
      <c r="S34" s="18" t="s">
        <v>96</v>
      </c>
    </row>
    <row r="35" spans="1:19" ht="33.75">
      <c r="A35" s="18">
        <v>34</v>
      </c>
      <c r="B35" s="22">
        <v>46147</v>
      </c>
      <c r="C35" s="21" t="s">
        <v>113</v>
      </c>
      <c r="D35" s="180" t="s">
        <v>29</v>
      </c>
      <c r="E35" s="11" t="s">
        <v>21</v>
      </c>
      <c r="F35" s="21" t="s">
        <v>142</v>
      </c>
      <c r="G35" s="21" t="s">
        <v>125</v>
      </c>
      <c r="H35" s="21" t="s">
        <v>23</v>
      </c>
      <c r="I35" s="21">
        <v>2</v>
      </c>
      <c r="J35" s="21">
        <v>1</v>
      </c>
      <c r="K35" s="21">
        <v>2</v>
      </c>
      <c r="L35" s="21">
        <f t="shared" si="0"/>
        <v>4</v>
      </c>
      <c r="M35" s="21" t="str">
        <f t="shared" si="1"/>
        <v>Baixa</v>
      </c>
      <c r="N35" s="21" t="s">
        <v>118</v>
      </c>
      <c r="O35" s="22">
        <v>46147</v>
      </c>
      <c r="P35" s="22">
        <v>46178</v>
      </c>
      <c r="Q35" s="11" t="s">
        <v>130</v>
      </c>
      <c r="R35" s="21" t="s">
        <v>143</v>
      </c>
      <c r="S35" s="21" t="s">
        <v>42</v>
      </c>
    </row>
    <row r="36" spans="1:19" ht="50.25">
      <c r="A36" s="18">
        <v>35</v>
      </c>
      <c r="B36" s="19">
        <v>46147</v>
      </c>
      <c r="C36" s="18" t="s">
        <v>113</v>
      </c>
      <c r="D36" s="179" t="s">
        <v>29</v>
      </c>
      <c r="E36" s="11" t="s">
        <v>21</v>
      </c>
      <c r="F36" s="18" t="s">
        <v>144</v>
      </c>
      <c r="G36" s="18" t="s">
        <v>125</v>
      </c>
      <c r="H36" s="18" t="s">
        <v>23</v>
      </c>
      <c r="I36" s="18">
        <v>2</v>
      </c>
      <c r="J36" s="18">
        <v>1</v>
      </c>
      <c r="K36" s="18">
        <v>3</v>
      </c>
      <c r="L36" s="18">
        <f t="shared" si="0"/>
        <v>6</v>
      </c>
      <c r="M36" s="18" t="str">
        <f t="shared" si="1"/>
        <v>Baixa</v>
      </c>
      <c r="N36" s="18" t="s">
        <v>118</v>
      </c>
      <c r="O36" s="19">
        <v>46147</v>
      </c>
      <c r="P36" s="19">
        <v>46178</v>
      </c>
      <c r="Q36" s="11" t="s">
        <v>130</v>
      </c>
      <c r="R36" s="18" t="s">
        <v>145</v>
      </c>
      <c r="S36" s="18" t="s">
        <v>96</v>
      </c>
    </row>
    <row r="37" spans="1:19" ht="50.25">
      <c r="A37" s="18">
        <v>36</v>
      </c>
      <c r="B37" s="22">
        <v>46154</v>
      </c>
      <c r="C37" s="21" t="s">
        <v>146</v>
      </c>
      <c r="D37" s="180" t="s">
        <v>38</v>
      </c>
      <c r="E37" s="11" t="s">
        <v>21</v>
      </c>
      <c r="F37" s="21" t="s">
        <v>147</v>
      </c>
      <c r="G37" s="21" t="s">
        <v>148</v>
      </c>
      <c r="H37" s="21" t="s">
        <v>23</v>
      </c>
      <c r="I37" s="21">
        <v>3</v>
      </c>
      <c r="J37" s="21">
        <v>2</v>
      </c>
      <c r="K37" s="21">
        <v>3</v>
      </c>
      <c r="L37" s="21">
        <f t="shared" si="0"/>
        <v>18</v>
      </c>
      <c r="M37" s="21" t="str">
        <f t="shared" si="1"/>
        <v>Baixa</v>
      </c>
      <c r="N37" s="21" t="s">
        <v>149</v>
      </c>
      <c r="O37" s="22">
        <v>46154</v>
      </c>
      <c r="P37" s="22">
        <v>46185</v>
      </c>
      <c r="Q37" s="11" t="s">
        <v>130</v>
      </c>
      <c r="R37" s="21" t="s">
        <v>150</v>
      </c>
      <c r="S37" s="21" t="s">
        <v>55</v>
      </c>
    </row>
    <row r="38" spans="1:19" ht="50.25">
      <c r="A38" s="18">
        <v>37</v>
      </c>
      <c r="B38" s="19">
        <v>46154</v>
      </c>
      <c r="C38" s="18" t="s">
        <v>151</v>
      </c>
      <c r="D38" s="179" t="s">
        <v>46</v>
      </c>
      <c r="E38" s="11" t="s">
        <v>21</v>
      </c>
      <c r="F38" s="18" t="s">
        <v>152</v>
      </c>
      <c r="G38" s="18" t="s">
        <v>153</v>
      </c>
      <c r="H38" s="18" t="s">
        <v>23</v>
      </c>
      <c r="I38" s="18">
        <v>3</v>
      </c>
      <c r="J38" s="18">
        <v>2</v>
      </c>
      <c r="K38" s="18">
        <v>3</v>
      </c>
      <c r="L38" s="18">
        <f t="shared" si="0"/>
        <v>18</v>
      </c>
      <c r="M38" s="18" t="str">
        <f t="shared" si="1"/>
        <v>Baixa</v>
      </c>
      <c r="N38" s="18" t="s">
        <v>154</v>
      </c>
      <c r="O38" s="19">
        <v>46154</v>
      </c>
      <c r="P38" s="19">
        <v>46185</v>
      </c>
      <c r="Q38" s="11" t="s">
        <v>130</v>
      </c>
      <c r="R38" s="18" t="s">
        <v>155</v>
      </c>
      <c r="S38" s="18" t="s">
        <v>55</v>
      </c>
    </row>
    <row r="39" spans="1:19" ht="33.75">
      <c r="A39" s="18">
        <v>38</v>
      </c>
      <c r="B39" s="22">
        <v>46154</v>
      </c>
      <c r="C39" s="21" t="s">
        <v>146</v>
      </c>
      <c r="D39" s="180" t="s">
        <v>29</v>
      </c>
      <c r="E39" s="11" t="s">
        <v>97</v>
      </c>
      <c r="F39" s="21" t="s">
        <v>156</v>
      </c>
      <c r="G39" s="21" t="s">
        <v>157</v>
      </c>
      <c r="H39" s="21" t="s">
        <v>23</v>
      </c>
      <c r="I39" s="21">
        <v>3</v>
      </c>
      <c r="J39" s="21">
        <v>3</v>
      </c>
      <c r="K39" s="21">
        <v>3</v>
      </c>
      <c r="L39" s="21">
        <f t="shared" si="0"/>
        <v>27</v>
      </c>
      <c r="M39" s="21" t="str">
        <f t="shared" si="1"/>
        <v>Baixa</v>
      </c>
      <c r="N39" s="21" t="s">
        <v>158</v>
      </c>
      <c r="O39" s="22">
        <v>46154</v>
      </c>
      <c r="P39" s="22">
        <v>46185</v>
      </c>
      <c r="Q39" s="11" t="s">
        <v>130</v>
      </c>
      <c r="R39" s="21" t="s">
        <v>159</v>
      </c>
      <c r="S39" s="21" t="s">
        <v>60</v>
      </c>
    </row>
    <row r="40" spans="1:19" ht="50.25">
      <c r="A40" s="18">
        <v>39</v>
      </c>
      <c r="B40" s="19">
        <v>46154</v>
      </c>
      <c r="C40" s="18" t="s">
        <v>146</v>
      </c>
      <c r="D40" s="179" t="s">
        <v>114</v>
      </c>
      <c r="E40" s="11" t="s">
        <v>97</v>
      </c>
      <c r="F40" s="18" t="s">
        <v>160</v>
      </c>
      <c r="G40" s="18" t="s">
        <v>161</v>
      </c>
      <c r="H40" s="18" t="s">
        <v>23</v>
      </c>
      <c r="I40" s="18">
        <v>2</v>
      </c>
      <c r="J40" s="18">
        <v>1</v>
      </c>
      <c r="K40" s="18">
        <v>2</v>
      </c>
      <c r="L40" s="18">
        <f t="shared" si="0"/>
        <v>4</v>
      </c>
      <c r="M40" s="18" t="str">
        <f t="shared" si="1"/>
        <v>Baixa</v>
      </c>
      <c r="N40" s="18" t="s">
        <v>158</v>
      </c>
      <c r="O40" s="19">
        <v>46154</v>
      </c>
      <c r="P40" s="19">
        <v>46185</v>
      </c>
      <c r="Q40" s="11" t="s">
        <v>130</v>
      </c>
      <c r="R40" s="18" t="s">
        <v>162</v>
      </c>
      <c r="S40" s="18" t="s">
        <v>163</v>
      </c>
    </row>
    <row r="41" spans="1:19" ht="50.25">
      <c r="A41" s="18">
        <v>40</v>
      </c>
      <c r="B41" s="22">
        <v>46154</v>
      </c>
      <c r="C41" s="21" t="s">
        <v>146</v>
      </c>
      <c r="D41" s="180" t="s">
        <v>29</v>
      </c>
      <c r="E41" s="11" t="s">
        <v>97</v>
      </c>
      <c r="F41" s="21" t="s">
        <v>164</v>
      </c>
      <c r="G41" s="21" t="s">
        <v>165</v>
      </c>
      <c r="H41" s="21" t="s">
        <v>23</v>
      </c>
      <c r="I41" s="21">
        <v>2</v>
      </c>
      <c r="J41" s="21">
        <v>1</v>
      </c>
      <c r="K41" s="21">
        <v>2</v>
      </c>
      <c r="L41" s="21">
        <f t="shared" si="0"/>
        <v>4</v>
      </c>
      <c r="M41" s="21" t="str">
        <f t="shared" si="1"/>
        <v>Baixa</v>
      </c>
      <c r="N41" s="21" t="s">
        <v>158</v>
      </c>
      <c r="O41" s="22">
        <v>46154</v>
      </c>
      <c r="P41" s="22">
        <v>46185</v>
      </c>
      <c r="Q41" s="11" t="s">
        <v>130</v>
      </c>
      <c r="R41" s="21" t="s">
        <v>166</v>
      </c>
      <c r="S41" s="21" t="s">
        <v>60</v>
      </c>
    </row>
    <row r="42" spans="1:19" ht="33.75">
      <c r="A42" s="18">
        <v>41</v>
      </c>
      <c r="B42" s="19">
        <v>46154</v>
      </c>
      <c r="C42" s="18" t="s">
        <v>146</v>
      </c>
      <c r="D42" s="179" t="s">
        <v>114</v>
      </c>
      <c r="E42" s="11" t="s">
        <v>97</v>
      </c>
      <c r="F42" s="18" t="s">
        <v>167</v>
      </c>
      <c r="G42" s="18" t="s">
        <v>168</v>
      </c>
      <c r="H42" s="18" t="s">
        <v>23</v>
      </c>
      <c r="I42" s="18">
        <v>2</v>
      </c>
      <c r="J42" s="18">
        <v>1</v>
      </c>
      <c r="K42" s="18">
        <v>3</v>
      </c>
      <c r="L42" s="18">
        <f t="shared" si="0"/>
        <v>6</v>
      </c>
      <c r="M42" s="18" t="str">
        <f t="shared" si="1"/>
        <v>Baixa</v>
      </c>
      <c r="N42" s="18" t="s">
        <v>158</v>
      </c>
      <c r="O42" s="19">
        <v>46154</v>
      </c>
      <c r="P42" s="19">
        <v>46185</v>
      </c>
      <c r="Q42" s="11" t="s">
        <v>130</v>
      </c>
      <c r="R42" s="18" t="s">
        <v>169</v>
      </c>
      <c r="S42" s="18" t="s">
        <v>163</v>
      </c>
    </row>
    <row r="43" spans="1:19" ht="33.75">
      <c r="A43" s="18">
        <v>42</v>
      </c>
      <c r="B43" s="22">
        <v>46154</v>
      </c>
      <c r="C43" s="21" t="s">
        <v>146</v>
      </c>
      <c r="D43" s="180" t="s">
        <v>46</v>
      </c>
      <c r="E43" s="11" t="s">
        <v>21</v>
      </c>
      <c r="F43" s="21" t="s">
        <v>170</v>
      </c>
      <c r="G43" s="21" t="s">
        <v>171</v>
      </c>
      <c r="H43" s="21" t="s">
        <v>23</v>
      </c>
      <c r="I43" s="21">
        <v>3</v>
      </c>
      <c r="J43" s="21">
        <v>2</v>
      </c>
      <c r="K43" s="21">
        <v>3</v>
      </c>
      <c r="L43" s="21">
        <f t="shared" si="0"/>
        <v>18</v>
      </c>
      <c r="M43" s="21" t="str">
        <f t="shared" si="1"/>
        <v>Baixa</v>
      </c>
      <c r="N43" s="21" t="s">
        <v>149</v>
      </c>
      <c r="O43" s="22">
        <v>46154</v>
      </c>
      <c r="P43" s="22">
        <v>46185</v>
      </c>
      <c r="Q43" s="11" t="s">
        <v>130</v>
      </c>
      <c r="R43" s="21" t="s">
        <v>172</v>
      </c>
      <c r="S43" s="21" t="s">
        <v>96</v>
      </c>
    </row>
    <row r="44" spans="1:19" ht="33.75">
      <c r="A44" s="18">
        <v>43</v>
      </c>
      <c r="B44" s="19">
        <v>46154</v>
      </c>
      <c r="C44" s="18" t="s">
        <v>146</v>
      </c>
      <c r="D44" s="179" t="s">
        <v>114</v>
      </c>
      <c r="E44" s="11" t="s">
        <v>30</v>
      </c>
      <c r="F44" s="18" t="s">
        <v>173</v>
      </c>
      <c r="G44" s="18" t="s">
        <v>174</v>
      </c>
      <c r="H44" s="18" t="s">
        <v>23</v>
      </c>
      <c r="I44" s="18">
        <v>2</v>
      </c>
      <c r="J44" s="18">
        <v>1</v>
      </c>
      <c r="K44" s="18">
        <v>2</v>
      </c>
      <c r="L44" s="18">
        <f t="shared" si="0"/>
        <v>4</v>
      </c>
      <c r="M44" s="18" t="str">
        <f t="shared" si="1"/>
        <v>Baixa</v>
      </c>
      <c r="N44" s="18" t="s">
        <v>154</v>
      </c>
      <c r="O44" s="19">
        <v>46154</v>
      </c>
      <c r="P44" s="19">
        <v>46185</v>
      </c>
      <c r="Q44" s="11" t="s">
        <v>130</v>
      </c>
      <c r="R44" s="18" t="s">
        <v>175</v>
      </c>
      <c r="S44" s="18" t="s">
        <v>163</v>
      </c>
    </row>
    <row r="45" spans="1:19" ht="33.75">
      <c r="A45" s="18">
        <v>44</v>
      </c>
      <c r="B45" s="22">
        <v>46154</v>
      </c>
      <c r="C45" s="21" t="s">
        <v>146</v>
      </c>
      <c r="D45" s="180" t="s">
        <v>29</v>
      </c>
      <c r="E45" s="11" t="s">
        <v>30</v>
      </c>
      <c r="F45" s="21" t="s">
        <v>176</v>
      </c>
      <c r="G45" s="21" t="s">
        <v>177</v>
      </c>
      <c r="H45" s="21" t="s">
        <v>23</v>
      </c>
      <c r="I45" s="21">
        <v>3</v>
      </c>
      <c r="J45" s="21">
        <v>1</v>
      </c>
      <c r="K45" s="21">
        <v>2</v>
      </c>
      <c r="L45" s="21">
        <f t="shared" si="0"/>
        <v>6</v>
      </c>
      <c r="M45" s="21" t="str">
        <f t="shared" si="1"/>
        <v>Baixa</v>
      </c>
      <c r="N45" s="21" t="s">
        <v>158</v>
      </c>
      <c r="O45" s="22">
        <v>46154</v>
      </c>
      <c r="P45" s="22">
        <v>46185</v>
      </c>
      <c r="Q45" s="11" t="s">
        <v>130</v>
      </c>
      <c r="R45" s="21" t="s">
        <v>178</v>
      </c>
      <c r="S45" s="21" t="s">
        <v>60</v>
      </c>
    </row>
    <row r="46" spans="1:19" ht="50.25">
      <c r="A46" s="18">
        <v>45</v>
      </c>
      <c r="B46" s="19">
        <v>46154</v>
      </c>
      <c r="C46" s="18" t="s">
        <v>146</v>
      </c>
      <c r="D46" s="179" t="s">
        <v>29</v>
      </c>
      <c r="E46" s="11" t="s">
        <v>21</v>
      </c>
      <c r="F46" s="24" t="s">
        <v>179</v>
      </c>
      <c r="G46" s="18" t="s">
        <v>177</v>
      </c>
      <c r="H46" s="18" t="s">
        <v>23</v>
      </c>
      <c r="I46" s="18">
        <v>2</v>
      </c>
      <c r="J46" s="18">
        <v>1</v>
      </c>
      <c r="K46" s="18">
        <v>2</v>
      </c>
      <c r="L46" s="18">
        <f t="shared" si="0"/>
        <v>4</v>
      </c>
      <c r="M46" s="18" t="str">
        <f t="shared" si="1"/>
        <v>Baixa</v>
      </c>
      <c r="N46" s="18" t="s">
        <v>158</v>
      </c>
      <c r="O46" s="19">
        <v>46154</v>
      </c>
      <c r="P46" s="19">
        <v>46185</v>
      </c>
      <c r="Q46" s="11" t="s">
        <v>130</v>
      </c>
      <c r="R46" s="18" t="s">
        <v>180</v>
      </c>
      <c r="S46" s="18" t="s">
        <v>28</v>
      </c>
    </row>
    <row r="47" spans="1:19" ht="33.75">
      <c r="A47" s="18">
        <v>46</v>
      </c>
      <c r="B47" s="22">
        <v>46154</v>
      </c>
      <c r="C47" s="21" t="s">
        <v>146</v>
      </c>
      <c r="D47" s="180" t="s">
        <v>38</v>
      </c>
      <c r="E47" s="11" t="s">
        <v>21</v>
      </c>
      <c r="F47" s="25" t="s">
        <v>181</v>
      </c>
      <c r="G47" s="21" t="s">
        <v>177</v>
      </c>
      <c r="H47" s="21" t="s">
        <v>23</v>
      </c>
      <c r="I47" s="21">
        <v>2</v>
      </c>
      <c r="J47" s="21">
        <v>4</v>
      </c>
      <c r="K47" s="21">
        <v>3</v>
      </c>
      <c r="L47" s="21">
        <f t="shared" si="0"/>
        <v>24</v>
      </c>
      <c r="M47" s="21" t="str">
        <f t="shared" si="1"/>
        <v>Baixa</v>
      </c>
      <c r="N47" s="21" t="s">
        <v>154</v>
      </c>
      <c r="O47" s="22">
        <v>46154</v>
      </c>
      <c r="P47" s="22">
        <v>46185</v>
      </c>
      <c r="Q47" s="11" t="s">
        <v>130</v>
      </c>
      <c r="R47" s="21" t="s">
        <v>182</v>
      </c>
      <c r="S47" s="21" t="s">
        <v>28</v>
      </c>
    </row>
    <row r="48" spans="1:19" ht="66.75">
      <c r="A48" s="18">
        <v>47</v>
      </c>
      <c r="B48" s="19">
        <v>46161</v>
      </c>
      <c r="C48" s="18" t="s">
        <v>183</v>
      </c>
      <c r="D48" s="179" t="s">
        <v>38</v>
      </c>
      <c r="E48" s="11" t="s">
        <v>21</v>
      </c>
      <c r="F48" s="18" t="s">
        <v>184</v>
      </c>
      <c r="G48" s="18" t="s">
        <v>177</v>
      </c>
      <c r="H48" s="18" t="s">
        <v>23</v>
      </c>
      <c r="I48" s="18">
        <v>3</v>
      </c>
      <c r="J48" s="18">
        <v>4</v>
      </c>
      <c r="K48" s="18">
        <v>3</v>
      </c>
      <c r="L48" s="18">
        <f t="shared" si="0"/>
        <v>36</v>
      </c>
      <c r="M48" s="18" t="str">
        <f t="shared" si="1"/>
        <v>Moderada</v>
      </c>
      <c r="N48" s="18" t="s">
        <v>185</v>
      </c>
      <c r="O48" s="19">
        <v>46161</v>
      </c>
      <c r="P48" s="19">
        <v>46192</v>
      </c>
      <c r="Q48" s="11" t="s">
        <v>130</v>
      </c>
      <c r="R48" s="18" t="s">
        <v>186</v>
      </c>
      <c r="S48" s="18" t="s">
        <v>55</v>
      </c>
    </row>
    <row r="49" spans="1:19" ht="33.75">
      <c r="A49" s="18">
        <v>48</v>
      </c>
      <c r="B49" s="22">
        <v>46161</v>
      </c>
      <c r="C49" s="21" t="s">
        <v>183</v>
      </c>
      <c r="D49" s="180" t="s">
        <v>114</v>
      </c>
      <c r="E49" s="11" t="s">
        <v>30</v>
      </c>
      <c r="F49" s="21" t="s">
        <v>187</v>
      </c>
      <c r="G49" s="21" t="s">
        <v>177</v>
      </c>
      <c r="H49" s="21" t="s">
        <v>23</v>
      </c>
      <c r="I49" s="21">
        <v>3</v>
      </c>
      <c r="J49" s="21">
        <v>2</v>
      </c>
      <c r="K49" s="21">
        <v>3</v>
      </c>
      <c r="L49" s="21">
        <f t="shared" si="0"/>
        <v>18</v>
      </c>
      <c r="M49" s="21" t="str">
        <f t="shared" si="1"/>
        <v>Baixa</v>
      </c>
      <c r="N49" s="21" t="s">
        <v>185</v>
      </c>
      <c r="O49" s="22">
        <v>46161</v>
      </c>
      <c r="P49" s="22">
        <v>46192</v>
      </c>
      <c r="Q49" s="11" t="s">
        <v>130</v>
      </c>
      <c r="R49" s="21" t="s">
        <v>188</v>
      </c>
      <c r="S49" s="21" t="s">
        <v>34</v>
      </c>
    </row>
    <row r="50" spans="1:19" ht="66.75">
      <c r="A50" s="18">
        <v>49</v>
      </c>
      <c r="B50" s="19">
        <v>46161</v>
      </c>
      <c r="C50" s="18" t="s">
        <v>183</v>
      </c>
      <c r="D50" s="179" t="s">
        <v>38</v>
      </c>
      <c r="E50" s="11" t="s">
        <v>21</v>
      </c>
      <c r="F50" s="18" t="s">
        <v>189</v>
      </c>
      <c r="G50" s="18" t="s">
        <v>177</v>
      </c>
      <c r="H50" s="18" t="s">
        <v>23</v>
      </c>
      <c r="I50" s="18">
        <v>2</v>
      </c>
      <c r="J50" s="18">
        <v>4</v>
      </c>
      <c r="K50" s="18">
        <v>3</v>
      </c>
      <c r="L50" s="18">
        <f t="shared" si="0"/>
        <v>24</v>
      </c>
      <c r="M50" s="18" t="str">
        <f t="shared" si="1"/>
        <v>Baixa</v>
      </c>
      <c r="N50" s="18" t="s">
        <v>185</v>
      </c>
      <c r="O50" s="19">
        <v>46161</v>
      </c>
      <c r="P50" s="19">
        <v>46192</v>
      </c>
      <c r="Q50" s="11" t="s">
        <v>130</v>
      </c>
      <c r="R50" s="18" t="s">
        <v>190</v>
      </c>
      <c r="S50" s="18" t="s">
        <v>60</v>
      </c>
    </row>
    <row r="51" spans="1:19" ht="33.75">
      <c r="A51" s="18">
        <v>50</v>
      </c>
      <c r="B51" s="22">
        <v>46161</v>
      </c>
      <c r="C51" s="21" t="s">
        <v>183</v>
      </c>
      <c r="D51" s="180" t="s">
        <v>38</v>
      </c>
      <c r="E51" s="11" t="s">
        <v>21</v>
      </c>
      <c r="F51" s="21" t="s">
        <v>191</v>
      </c>
      <c r="G51" s="21" t="s">
        <v>177</v>
      </c>
      <c r="H51" s="21" t="s">
        <v>23</v>
      </c>
      <c r="I51" s="21">
        <v>2</v>
      </c>
      <c r="J51" s="21">
        <v>4</v>
      </c>
      <c r="K51" s="21">
        <v>3</v>
      </c>
      <c r="L51" s="21">
        <f t="shared" si="0"/>
        <v>24</v>
      </c>
      <c r="M51" s="21" t="str">
        <f t="shared" si="1"/>
        <v>Baixa</v>
      </c>
      <c r="N51" s="21" t="s">
        <v>185</v>
      </c>
      <c r="O51" s="22">
        <v>46161</v>
      </c>
      <c r="P51" s="22">
        <v>46192</v>
      </c>
      <c r="Q51" s="11" t="s">
        <v>130</v>
      </c>
      <c r="R51" s="21" t="s">
        <v>192</v>
      </c>
      <c r="S51" s="21" t="s">
        <v>51</v>
      </c>
    </row>
    <row r="52" spans="1:19" ht="33.75">
      <c r="A52" s="18">
        <v>51</v>
      </c>
      <c r="B52" s="19">
        <v>46161</v>
      </c>
      <c r="C52" s="18" t="s">
        <v>183</v>
      </c>
      <c r="D52" s="179" t="s">
        <v>38</v>
      </c>
      <c r="E52" s="11" t="s">
        <v>21</v>
      </c>
      <c r="F52" s="18" t="s">
        <v>193</v>
      </c>
      <c r="G52" s="18" t="s">
        <v>177</v>
      </c>
      <c r="H52" s="18" t="s">
        <v>23</v>
      </c>
      <c r="I52" s="18">
        <v>2</v>
      </c>
      <c r="J52" s="18">
        <v>4</v>
      </c>
      <c r="K52" s="18">
        <v>3</v>
      </c>
      <c r="L52" s="18">
        <f t="shared" si="0"/>
        <v>24</v>
      </c>
      <c r="M52" s="18" t="str">
        <f t="shared" si="1"/>
        <v>Baixa</v>
      </c>
      <c r="N52" s="18" t="s">
        <v>185</v>
      </c>
      <c r="O52" s="19">
        <v>46161</v>
      </c>
      <c r="P52" s="19">
        <v>46192</v>
      </c>
      <c r="Q52" s="11" t="s">
        <v>130</v>
      </c>
      <c r="R52" s="18" t="s">
        <v>194</v>
      </c>
      <c r="S52" s="18" t="s">
        <v>34</v>
      </c>
    </row>
    <row r="53" spans="1:19" ht="66.75">
      <c r="A53" s="18">
        <v>52</v>
      </c>
      <c r="B53" s="22">
        <v>46161</v>
      </c>
      <c r="C53" s="21" t="s">
        <v>183</v>
      </c>
      <c r="D53" s="180" t="s">
        <v>38</v>
      </c>
      <c r="E53" s="11" t="s">
        <v>21</v>
      </c>
      <c r="F53" s="21" t="s">
        <v>195</v>
      </c>
      <c r="G53" s="21" t="s">
        <v>177</v>
      </c>
      <c r="H53" s="21" t="s">
        <v>23</v>
      </c>
      <c r="I53" s="21">
        <v>2</v>
      </c>
      <c r="J53" s="21">
        <v>5</v>
      </c>
      <c r="K53" s="21">
        <v>3</v>
      </c>
      <c r="L53" s="21">
        <f t="shared" si="0"/>
        <v>30</v>
      </c>
      <c r="M53" s="21" t="str">
        <f t="shared" si="1"/>
        <v>Alta</v>
      </c>
      <c r="N53" s="21" t="s">
        <v>185</v>
      </c>
      <c r="O53" s="22">
        <v>46161</v>
      </c>
      <c r="P53" s="22">
        <v>46192</v>
      </c>
      <c r="Q53" s="11" t="s">
        <v>130</v>
      </c>
      <c r="R53" s="21" t="s">
        <v>196</v>
      </c>
      <c r="S53" s="21" t="s">
        <v>60</v>
      </c>
    </row>
    <row r="54" spans="1:19" ht="50.25">
      <c r="A54" s="18">
        <v>53</v>
      </c>
      <c r="B54" s="19">
        <v>46161</v>
      </c>
      <c r="C54" s="18" t="s">
        <v>183</v>
      </c>
      <c r="D54" s="179" t="s">
        <v>29</v>
      </c>
      <c r="E54" s="11" t="s">
        <v>21</v>
      </c>
      <c r="F54" s="18" t="s">
        <v>197</v>
      </c>
      <c r="G54" s="18" t="s">
        <v>177</v>
      </c>
      <c r="H54" s="18" t="s">
        <v>23</v>
      </c>
      <c r="I54" s="18">
        <v>2</v>
      </c>
      <c r="J54" s="18">
        <v>3</v>
      </c>
      <c r="K54" s="18">
        <v>3</v>
      </c>
      <c r="L54" s="18">
        <f t="shared" si="0"/>
        <v>18</v>
      </c>
      <c r="M54" s="18" t="str">
        <f t="shared" si="1"/>
        <v>Baixa</v>
      </c>
      <c r="N54" s="18" t="s">
        <v>185</v>
      </c>
      <c r="O54" s="19">
        <v>46161</v>
      </c>
      <c r="P54" s="19">
        <v>46192</v>
      </c>
      <c r="Q54" s="11" t="s">
        <v>130</v>
      </c>
      <c r="R54" s="18" t="s">
        <v>198</v>
      </c>
      <c r="S54" s="18" t="s">
        <v>96</v>
      </c>
    </row>
    <row r="55" spans="1:19" ht="33.75">
      <c r="A55" s="18">
        <v>54</v>
      </c>
      <c r="B55" s="22">
        <v>46161</v>
      </c>
      <c r="C55" s="21" t="s">
        <v>183</v>
      </c>
      <c r="D55" s="180" t="s">
        <v>38</v>
      </c>
      <c r="E55" s="11" t="s">
        <v>52</v>
      </c>
      <c r="F55" s="21" t="s">
        <v>199</v>
      </c>
      <c r="G55" s="21" t="s">
        <v>177</v>
      </c>
      <c r="H55" s="21" t="s">
        <v>23</v>
      </c>
      <c r="I55" s="21">
        <v>1</v>
      </c>
      <c r="J55" s="21">
        <v>2</v>
      </c>
      <c r="K55" s="21">
        <v>2</v>
      </c>
      <c r="L55" s="21">
        <f t="shared" si="0"/>
        <v>4</v>
      </c>
      <c r="M55" s="21" t="str">
        <f t="shared" si="1"/>
        <v>Baixa</v>
      </c>
      <c r="N55" s="21" t="s">
        <v>185</v>
      </c>
      <c r="O55" s="22">
        <v>46161</v>
      </c>
      <c r="P55" s="22">
        <v>46192</v>
      </c>
      <c r="Q55" s="11" t="s">
        <v>130</v>
      </c>
      <c r="R55" s="21" t="s">
        <v>200</v>
      </c>
      <c r="S55" s="21" t="s">
        <v>55</v>
      </c>
    </row>
    <row r="56" spans="1:19" ht="33.75">
      <c r="A56" s="18">
        <v>55</v>
      </c>
      <c r="B56" s="19">
        <v>46161</v>
      </c>
      <c r="C56" s="18" t="s">
        <v>183</v>
      </c>
      <c r="D56" s="179" t="s">
        <v>29</v>
      </c>
      <c r="E56" s="11" t="s">
        <v>21</v>
      </c>
      <c r="F56" s="18" t="s">
        <v>201</v>
      </c>
      <c r="G56" s="18" t="s">
        <v>177</v>
      </c>
      <c r="H56" s="18" t="s">
        <v>23</v>
      </c>
      <c r="I56" s="18">
        <v>1</v>
      </c>
      <c r="J56" s="18">
        <v>2</v>
      </c>
      <c r="K56" s="18">
        <v>2</v>
      </c>
      <c r="L56" s="18">
        <f t="shared" si="0"/>
        <v>4</v>
      </c>
      <c r="M56" s="18" t="str">
        <f t="shared" si="1"/>
        <v>Baixa</v>
      </c>
      <c r="N56" s="18" t="s">
        <v>185</v>
      </c>
      <c r="O56" s="19">
        <v>46161</v>
      </c>
      <c r="P56" s="19">
        <v>46192</v>
      </c>
      <c r="Q56" s="11" t="s">
        <v>130</v>
      </c>
      <c r="R56" s="18" t="s">
        <v>202</v>
      </c>
      <c r="S56" s="18" t="s">
        <v>96</v>
      </c>
    </row>
    <row r="57" spans="1:19" ht="33.75">
      <c r="A57" s="18">
        <v>56</v>
      </c>
      <c r="B57" s="22">
        <v>46161</v>
      </c>
      <c r="C57" s="21" t="s">
        <v>183</v>
      </c>
      <c r="D57" s="180" t="s">
        <v>38</v>
      </c>
      <c r="E57" s="11" t="s">
        <v>52</v>
      </c>
      <c r="F57" s="21" t="s">
        <v>203</v>
      </c>
      <c r="G57" s="21" t="s">
        <v>177</v>
      </c>
      <c r="H57" s="21" t="s">
        <v>23</v>
      </c>
      <c r="I57" s="21">
        <v>1</v>
      </c>
      <c r="J57" s="21">
        <v>2</v>
      </c>
      <c r="K57" s="21">
        <v>2</v>
      </c>
      <c r="L57" s="21">
        <f t="shared" si="0"/>
        <v>4</v>
      </c>
      <c r="M57" s="21" t="str">
        <f t="shared" si="1"/>
        <v>Baixa</v>
      </c>
      <c r="N57" s="21" t="s">
        <v>185</v>
      </c>
      <c r="O57" s="22">
        <v>46161</v>
      </c>
      <c r="P57" s="22">
        <v>46192</v>
      </c>
      <c r="Q57" s="11" t="s">
        <v>130</v>
      </c>
      <c r="R57" s="21" t="s">
        <v>202</v>
      </c>
      <c r="S57" s="21" t="s">
        <v>55</v>
      </c>
    </row>
    <row r="58" spans="1:19" ht="33.75">
      <c r="A58" s="18">
        <v>57</v>
      </c>
      <c r="B58" s="19">
        <v>46161</v>
      </c>
      <c r="C58" s="18" t="s">
        <v>183</v>
      </c>
      <c r="D58" s="179" t="s">
        <v>29</v>
      </c>
      <c r="E58" s="11" t="s">
        <v>21</v>
      </c>
      <c r="F58" s="18" t="s">
        <v>204</v>
      </c>
      <c r="G58" s="18" t="s">
        <v>177</v>
      </c>
      <c r="H58" s="18" t="s">
        <v>23</v>
      </c>
      <c r="I58" s="18">
        <v>1</v>
      </c>
      <c r="J58" s="18">
        <v>2</v>
      </c>
      <c r="K58" s="18">
        <v>2</v>
      </c>
      <c r="L58" s="18">
        <f t="shared" si="0"/>
        <v>4</v>
      </c>
      <c r="M58" s="18" t="str">
        <f t="shared" si="1"/>
        <v>Baixa</v>
      </c>
      <c r="N58" s="18" t="s">
        <v>185</v>
      </c>
      <c r="O58" s="19">
        <v>46161</v>
      </c>
      <c r="P58" s="19">
        <v>46192</v>
      </c>
      <c r="Q58" s="11" t="s">
        <v>130</v>
      </c>
      <c r="R58" s="18" t="s">
        <v>205</v>
      </c>
      <c r="S58" s="18" t="s">
        <v>96</v>
      </c>
    </row>
    <row r="59" spans="1:19" ht="33.75">
      <c r="A59" s="18">
        <v>58</v>
      </c>
      <c r="B59" s="22">
        <v>46175</v>
      </c>
      <c r="C59" s="21" t="s">
        <v>206</v>
      </c>
      <c r="D59" s="180" t="s">
        <v>46</v>
      </c>
      <c r="E59" s="11" t="s">
        <v>47</v>
      </c>
      <c r="F59" s="21" t="s">
        <v>207</v>
      </c>
      <c r="G59" s="21" t="s">
        <v>177</v>
      </c>
      <c r="H59" s="21" t="s">
        <v>23</v>
      </c>
      <c r="I59" s="21">
        <v>3</v>
      </c>
      <c r="J59" s="21">
        <v>4</v>
      </c>
      <c r="K59" s="21">
        <v>3</v>
      </c>
      <c r="L59" s="21">
        <f t="shared" si="0"/>
        <v>36</v>
      </c>
      <c r="M59" s="21" t="str">
        <f t="shared" si="1"/>
        <v>Moderada</v>
      </c>
      <c r="N59" s="21" t="s">
        <v>208</v>
      </c>
      <c r="O59" s="22">
        <v>46175</v>
      </c>
      <c r="P59" s="22">
        <v>46205</v>
      </c>
      <c r="Q59" s="11" t="s">
        <v>130</v>
      </c>
      <c r="R59" s="21" t="s">
        <v>172</v>
      </c>
      <c r="S59" s="21" t="s">
        <v>51</v>
      </c>
    </row>
    <row r="60" spans="1:19" ht="33.75">
      <c r="A60" s="18">
        <v>59</v>
      </c>
      <c r="B60" s="19">
        <v>46175</v>
      </c>
      <c r="C60" s="18" t="s">
        <v>206</v>
      </c>
      <c r="D60" s="179" t="s">
        <v>46</v>
      </c>
      <c r="E60" s="11" t="s">
        <v>47</v>
      </c>
      <c r="F60" s="18" t="s">
        <v>209</v>
      </c>
      <c r="G60" s="18" t="s">
        <v>177</v>
      </c>
      <c r="H60" s="18" t="s">
        <v>23</v>
      </c>
      <c r="I60" s="18">
        <v>3</v>
      </c>
      <c r="J60" s="18">
        <v>4</v>
      </c>
      <c r="K60" s="18">
        <v>3</v>
      </c>
      <c r="L60" s="18">
        <f t="shared" si="0"/>
        <v>36</v>
      </c>
      <c r="M60" s="18" t="str">
        <f t="shared" si="1"/>
        <v>Moderada</v>
      </c>
      <c r="N60" s="18" t="s">
        <v>208</v>
      </c>
      <c r="O60" s="19">
        <v>46175</v>
      </c>
      <c r="P60" s="19">
        <v>46205</v>
      </c>
      <c r="Q60" s="11" t="s">
        <v>130</v>
      </c>
      <c r="R60" s="18" t="s">
        <v>172</v>
      </c>
      <c r="S60" s="18" t="s">
        <v>51</v>
      </c>
    </row>
    <row r="61" spans="1:19" ht="33.75">
      <c r="A61" s="18">
        <v>60</v>
      </c>
      <c r="B61" s="22">
        <v>46175</v>
      </c>
      <c r="C61" s="21" t="s">
        <v>206</v>
      </c>
      <c r="D61" s="180" t="s">
        <v>29</v>
      </c>
      <c r="E61" s="11" t="s">
        <v>30</v>
      </c>
      <c r="F61" s="21" t="s">
        <v>210</v>
      </c>
      <c r="G61" s="21" t="s">
        <v>177</v>
      </c>
      <c r="H61" s="21" t="s">
        <v>23</v>
      </c>
      <c r="I61" s="21">
        <v>1</v>
      </c>
      <c r="J61" s="21">
        <v>2</v>
      </c>
      <c r="K61" s="21">
        <v>2</v>
      </c>
      <c r="L61" s="21">
        <f t="shared" si="0"/>
        <v>4</v>
      </c>
      <c r="M61" s="21" t="str">
        <f t="shared" si="1"/>
        <v>Baixa</v>
      </c>
      <c r="N61" s="21" t="s">
        <v>208</v>
      </c>
      <c r="O61" s="22">
        <v>46175</v>
      </c>
      <c r="P61" s="22">
        <v>46205</v>
      </c>
      <c r="Q61" s="11" t="s">
        <v>130</v>
      </c>
      <c r="R61" s="21" t="s">
        <v>211</v>
      </c>
      <c r="S61" s="21" t="s">
        <v>34</v>
      </c>
    </row>
    <row r="62" spans="1:19" ht="33.75">
      <c r="A62" s="18">
        <v>61</v>
      </c>
      <c r="B62" s="19">
        <v>46175</v>
      </c>
      <c r="C62" s="18" t="s">
        <v>206</v>
      </c>
      <c r="D62" s="179" t="s">
        <v>114</v>
      </c>
      <c r="E62" s="11" t="s">
        <v>30</v>
      </c>
      <c r="F62" s="18" t="s">
        <v>212</v>
      </c>
      <c r="G62" s="18" t="s">
        <v>177</v>
      </c>
      <c r="H62" s="18" t="s">
        <v>23</v>
      </c>
      <c r="I62" s="18">
        <v>3</v>
      </c>
      <c r="J62" s="18">
        <v>4</v>
      </c>
      <c r="K62" s="18">
        <v>3</v>
      </c>
      <c r="L62" s="18">
        <f t="shared" si="0"/>
        <v>36</v>
      </c>
      <c r="M62" s="18" t="str">
        <f t="shared" si="1"/>
        <v>Moderada</v>
      </c>
      <c r="N62" s="18" t="s">
        <v>208</v>
      </c>
      <c r="O62" s="19">
        <v>46175</v>
      </c>
      <c r="P62" s="19">
        <v>46205</v>
      </c>
      <c r="Q62" s="11" t="s">
        <v>130</v>
      </c>
      <c r="R62" s="18" t="s">
        <v>211</v>
      </c>
      <c r="S62" s="18" t="s">
        <v>34</v>
      </c>
    </row>
    <row r="63" spans="1:19" ht="43.5">
      <c r="A63" s="18">
        <v>62</v>
      </c>
      <c r="B63" s="22">
        <v>46175</v>
      </c>
      <c r="C63" s="21" t="s">
        <v>206</v>
      </c>
      <c r="D63" s="180" t="s">
        <v>213</v>
      </c>
      <c r="E63" s="11" t="s">
        <v>47</v>
      </c>
      <c r="F63" s="21" t="s">
        <v>214</v>
      </c>
      <c r="G63" s="21" t="s">
        <v>177</v>
      </c>
      <c r="H63" s="21" t="s">
        <v>23</v>
      </c>
      <c r="I63" s="21">
        <v>2</v>
      </c>
      <c r="J63" s="21">
        <v>4</v>
      </c>
      <c r="K63" s="21">
        <v>3</v>
      </c>
      <c r="L63" s="21">
        <f t="shared" si="0"/>
        <v>24</v>
      </c>
      <c r="M63" s="21" t="str">
        <f t="shared" si="1"/>
        <v>Baixa</v>
      </c>
      <c r="N63" s="21" t="s">
        <v>208</v>
      </c>
      <c r="O63" s="22">
        <v>46175</v>
      </c>
      <c r="P63" s="22">
        <v>46205</v>
      </c>
      <c r="Q63" s="11" t="s">
        <v>130</v>
      </c>
      <c r="R63" s="21" t="s">
        <v>215</v>
      </c>
      <c r="S63" s="21" t="s">
        <v>51</v>
      </c>
    </row>
    <row r="64" spans="1:19" ht="33.75">
      <c r="A64" s="18">
        <v>63</v>
      </c>
      <c r="B64" s="19">
        <v>46175</v>
      </c>
      <c r="C64" s="18" t="s">
        <v>206</v>
      </c>
      <c r="D64" s="179" t="s">
        <v>46</v>
      </c>
      <c r="E64" s="11" t="s">
        <v>216</v>
      </c>
      <c r="F64" s="18" t="s">
        <v>217</v>
      </c>
      <c r="G64" s="18" t="s">
        <v>177</v>
      </c>
      <c r="H64" s="18" t="s">
        <v>23</v>
      </c>
      <c r="I64" s="18">
        <v>3</v>
      </c>
      <c r="J64" s="18">
        <v>4</v>
      </c>
      <c r="K64" s="18">
        <v>4</v>
      </c>
      <c r="L64" s="18">
        <f t="shared" si="0"/>
        <v>48</v>
      </c>
      <c r="M64" s="18" t="str">
        <f t="shared" si="1"/>
        <v>Moderada</v>
      </c>
      <c r="N64" s="18" t="s">
        <v>208</v>
      </c>
      <c r="O64" s="19">
        <v>46175</v>
      </c>
      <c r="P64" s="19">
        <v>46205</v>
      </c>
      <c r="Q64" s="11" t="s">
        <v>130</v>
      </c>
      <c r="R64" s="18" t="s">
        <v>218</v>
      </c>
      <c r="S64" s="18" t="s">
        <v>51</v>
      </c>
    </row>
    <row r="65" spans="1:19" ht="29.25">
      <c r="A65" s="18">
        <v>64</v>
      </c>
      <c r="B65" s="22">
        <v>46175</v>
      </c>
      <c r="C65" s="21" t="s">
        <v>206</v>
      </c>
      <c r="D65" s="180" t="s">
        <v>46</v>
      </c>
      <c r="E65" s="11" t="s">
        <v>47</v>
      </c>
      <c r="F65" s="21" t="s">
        <v>219</v>
      </c>
      <c r="G65" s="21" t="s">
        <v>177</v>
      </c>
      <c r="H65" s="21" t="s">
        <v>23</v>
      </c>
      <c r="I65" s="21">
        <v>2</v>
      </c>
      <c r="J65" s="21">
        <v>4</v>
      </c>
      <c r="K65" s="21">
        <v>3</v>
      </c>
      <c r="L65" s="21">
        <f t="shared" si="0"/>
        <v>24</v>
      </c>
      <c r="M65" s="21" t="str">
        <f t="shared" si="1"/>
        <v>Baixa</v>
      </c>
      <c r="N65" s="21" t="s">
        <v>208</v>
      </c>
      <c r="O65" s="22">
        <v>46175</v>
      </c>
      <c r="P65" s="22">
        <v>46205</v>
      </c>
      <c r="Q65" s="11" t="s">
        <v>130</v>
      </c>
      <c r="R65" s="21" t="s">
        <v>220</v>
      </c>
      <c r="S65" s="21" t="s">
        <v>51</v>
      </c>
    </row>
    <row r="66" spans="1:19" ht="29.25">
      <c r="A66" s="18">
        <v>65</v>
      </c>
      <c r="B66" s="19">
        <v>46175</v>
      </c>
      <c r="C66" s="18" t="s">
        <v>206</v>
      </c>
      <c r="D66" s="179" t="s">
        <v>46</v>
      </c>
      <c r="E66" s="11" t="s">
        <v>47</v>
      </c>
      <c r="F66" s="18" t="s">
        <v>221</v>
      </c>
      <c r="G66" s="18" t="s">
        <v>177</v>
      </c>
      <c r="H66" s="18" t="s">
        <v>23</v>
      </c>
      <c r="I66" s="18">
        <v>3</v>
      </c>
      <c r="J66" s="18">
        <v>4</v>
      </c>
      <c r="K66" s="18">
        <v>3</v>
      </c>
      <c r="L66" s="18">
        <f t="shared" si="0"/>
        <v>36</v>
      </c>
      <c r="M66" s="18" t="str">
        <f t="shared" ref="M66:M129" si="2">IF(OR(H66="Sim",Y66="Ameaça imediata"),"Imediata",IF(L66="","Pendente de avaliação",IF(J66=5,"Alta",IF(L66&gt;=65,"Alta",IF(L66&gt;=28,"Moderada","Baixa")))))</f>
        <v>Moderada</v>
      </c>
      <c r="N66" s="18" t="s">
        <v>208</v>
      </c>
      <c r="O66" s="19">
        <v>46175</v>
      </c>
      <c r="P66" s="19">
        <v>46205</v>
      </c>
      <c r="Q66" s="11" t="s">
        <v>130</v>
      </c>
      <c r="R66" s="18" t="s">
        <v>220</v>
      </c>
      <c r="S66" s="18" t="s">
        <v>55</v>
      </c>
    </row>
    <row r="67" spans="1:19" ht="50.25">
      <c r="A67" s="18">
        <v>66</v>
      </c>
      <c r="B67" s="22">
        <v>46175</v>
      </c>
      <c r="C67" s="21" t="s">
        <v>206</v>
      </c>
      <c r="D67" s="180" t="s">
        <v>38</v>
      </c>
      <c r="E67" s="11" t="s">
        <v>21</v>
      </c>
      <c r="F67" s="21" t="s">
        <v>222</v>
      </c>
      <c r="G67" s="21" t="s">
        <v>177</v>
      </c>
      <c r="H67" s="21" t="s">
        <v>23</v>
      </c>
      <c r="I67" s="21">
        <v>3</v>
      </c>
      <c r="J67" s="21">
        <v>4</v>
      </c>
      <c r="K67" s="21">
        <v>3</v>
      </c>
      <c r="L67" s="21">
        <f t="shared" ref="L67:L130" si="3">IF(COUNT(I67:K67)=3,I67*J67*K67,"")</f>
        <v>36</v>
      </c>
      <c r="M67" s="21" t="str">
        <f t="shared" si="2"/>
        <v>Moderada</v>
      </c>
      <c r="N67" s="21" t="s">
        <v>208</v>
      </c>
      <c r="O67" s="22">
        <v>46175</v>
      </c>
      <c r="P67" s="22">
        <v>46205</v>
      </c>
      <c r="Q67" s="11" t="s">
        <v>130</v>
      </c>
      <c r="R67" s="21" t="s">
        <v>223</v>
      </c>
      <c r="S67" s="21" t="s">
        <v>34</v>
      </c>
    </row>
    <row r="68" spans="1:19" ht="33.75">
      <c r="A68" s="18">
        <v>67</v>
      </c>
      <c r="B68" s="19">
        <v>46175</v>
      </c>
      <c r="C68" s="18" t="s">
        <v>206</v>
      </c>
      <c r="D68" s="179" t="s">
        <v>29</v>
      </c>
      <c r="E68" s="11" t="s">
        <v>21</v>
      </c>
      <c r="F68" s="18" t="s">
        <v>224</v>
      </c>
      <c r="G68" s="18" t="s">
        <v>177</v>
      </c>
      <c r="H68" s="18" t="s">
        <v>23</v>
      </c>
      <c r="I68" s="18">
        <v>1</v>
      </c>
      <c r="J68" s="18">
        <v>4</v>
      </c>
      <c r="K68" s="18">
        <v>3</v>
      </c>
      <c r="L68" s="18">
        <f t="shared" si="3"/>
        <v>12</v>
      </c>
      <c r="M68" s="18" t="str">
        <f t="shared" si="2"/>
        <v>Baixa</v>
      </c>
      <c r="N68" s="18" t="s">
        <v>208</v>
      </c>
      <c r="O68" s="19">
        <v>46175</v>
      </c>
      <c r="P68" s="19">
        <v>46205</v>
      </c>
      <c r="Q68" s="11" t="s">
        <v>130</v>
      </c>
      <c r="R68" s="18" t="s">
        <v>225</v>
      </c>
      <c r="S68" s="18" t="s">
        <v>28</v>
      </c>
    </row>
    <row r="69" spans="1:19" ht="50.25">
      <c r="A69" s="18">
        <v>68</v>
      </c>
      <c r="B69" s="22">
        <v>46175</v>
      </c>
      <c r="C69" s="21" t="s">
        <v>206</v>
      </c>
      <c r="D69" s="180" t="s">
        <v>29</v>
      </c>
      <c r="E69" s="11" t="s">
        <v>97</v>
      </c>
      <c r="F69" s="21" t="s">
        <v>226</v>
      </c>
      <c r="G69" s="21" t="s">
        <v>177</v>
      </c>
      <c r="H69" s="21" t="s">
        <v>23</v>
      </c>
      <c r="I69" s="21">
        <v>2</v>
      </c>
      <c r="J69" s="21">
        <v>4</v>
      </c>
      <c r="K69" s="21">
        <v>3</v>
      </c>
      <c r="L69" s="21">
        <f t="shared" si="3"/>
        <v>24</v>
      </c>
      <c r="M69" s="21" t="str">
        <f t="shared" si="2"/>
        <v>Baixa</v>
      </c>
      <c r="N69" s="21" t="s">
        <v>208</v>
      </c>
      <c r="O69" s="22">
        <v>46175</v>
      </c>
      <c r="P69" s="22">
        <v>46205</v>
      </c>
      <c r="Q69" s="11" t="s">
        <v>130</v>
      </c>
      <c r="R69" s="21" t="s">
        <v>227</v>
      </c>
      <c r="S69" s="21" t="s">
        <v>34</v>
      </c>
    </row>
    <row r="70" spans="1:19" ht="50.25">
      <c r="A70" s="18">
        <v>69</v>
      </c>
      <c r="B70" s="19">
        <v>46175</v>
      </c>
      <c r="C70" s="18" t="s">
        <v>206</v>
      </c>
      <c r="D70" s="179" t="s">
        <v>29</v>
      </c>
      <c r="E70" s="11" t="s">
        <v>97</v>
      </c>
      <c r="F70" s="18" t="s">
        <v>228</v>
      </c>
      <c r="G70" s="18" t="s">
        <v>177</v>
      </c>
      <c r="H70" s="18" t="s">
        <v>23</v>
      </c>
      <c r="I70" s="18">
        <v>2</v>
      </c>
      <c r="J70" s="18">
        <v>4</v>
      </c>
      <c r="K70" s="18">
        <v>3</v>
      </c>
      <c r="L70" s="18">
        <f t="shared" si="3"/>
        <v>24</v>
      </c>
      <c r="M70" s="18" t="str">
        <f t="shared" si="2"/>
        <v>Baixa</v>
      </c>
      <c r="N70" s="18" t="s">
        <v>208</v>
      </c>
      <c r="O70" s="19">
        <v>46175</v>
      </c>
      <c r="P70" s="19">
        <v>46205</v>
      </c>
      <c r="Q70" s="11" t="s">
        <v>130</v>
      </c>
      <c r="R70" s="18" t="s">
        <v>227</v>
      </c>
      <c r="S70" s="18" t="s">
        <v>34</v>
      </c>
    </row>
    <row r="71" spans="1:19" ht="33.75">
      <c r="A71" s="18">
        <v>70</v>
      </c>
      <c r="B71" s="22">
        <v>46175</v>
      </c>
      <c r="C71" s="21" t="s">
        <v>206</v>
      </c>
      <c r="D71" s="180" t="s">
        <v>29</v>
      </c>
      <c r="E71" s="11" t="s">
        <v>30</v>
      </c>
      <c r="F71" s="21" t="s">
        <v>229</v>
      </c>
      <c r="G71" s="21" t="s">
        <v>177</v>
      </c>
      <c r="H71" s="21" t="s">
        <v>23</v>
      </c>
      <c r="I71" s="21">
        <v>2</v>
      </c>
      <c r="J71" s="21">
        <v>4</v>
      </c>
      <c r="K71" s="21">
        <v>3</v>
      </c>
      <c r="L71" s="21">
        <f t="shared" si="3"/>
        <v>24</v>
      </c>
      <c r="M71" s="21" t="str">
        <f t="shared" si="2"/>
        <v>Baixa</v>
      </c>
      <c r="N71" s="21" t="s">
        <v>208</v>
      </c>
      <c r="O71" s="22">
        <v>46175</v>
      </c>
      <c r="P71" s="22">
        <v>46205</v>
      </c>
      <c r="Q71" s="11" t="s">
        <v>130</v>
      </c>
      <c r="R71" s="21" t="s">
        <v>230</v>
      </c>
      <c r="S71" s="21" t="s">
        <v>34</v>
      </c>
    </row>
    <row r="72" spans="1:19" ht="33.75">
      <c r="A72" s="18">
        <v>71</v>
      </c>
      <c r="B72" s="19">
        <v>46175</v>
      </c>
      <c r="C72" s="18" t="s">
        <v>206</v>
      </c>
      <c r="D72" s="179" t="s">
        <v>29</v>
      </c>
      <c r="E72" s="11" t="s">
        <v>30</v>
      </c>
      <c r="F72" s="18" t="s">
        <v>231</v>
      </c>
      <c r="G72" s="18" t="s">
        <v>177</v>
      </c>
      <c r="H72" s="18" t="s">
        <v>23</v>
      </c>
      <c r="I72" s="18">
        <v>3</v>
      </c>
      <c r="J72" s="18">
        <v>4</v>
      </c>
      <c r="K72" s="18">
        <v>3</v>
      </c>
      <c r="L72" s="18">
        <f t="shared" si="3"/>
        <v>36</v>
      </c>
      <c r="M72" s="18" t="str">
        <f t="shared" si="2"/>
        <v>Moderada</v>
      </c>
      <c r="N72" s="18" t="s">
        <v>208</v>
      </c>
      <c r="O72" s="19">
        <v>46175</v>
      </c>
      <c r="P72" s="19">
        <v>46205</v>
      </c>
      <c r="Q72" s="11" t="s">
        <v>130</v>
      </c>
      <c r="R72" s="18" t="s">
        <v>232</v>
      </c>
      <c r="S72" s="18" t="s">
        <v>96</v>
      </c>
    </row>
    <row r="73" spans="1:19" ht="33.75">
      <c r="A73" s="18">
        <v>72</v>
      </c>
      <c r="B73" s="22">
        <v>46175</v>
      </c>
      <c r="C73" s="21" t="s">
        <v>206</v>
      </c>
      <c r="D73" s="180" t="s">
        <v>29</v>
      </c>
      <c r="E73" s="11" t="s">
        <v>30</v>
      </c>
      <c r="F73" s="21" t="s">
        <v>233</v>
      </c>
      <c r="G73" s="21" t="s">
        <v>177</v>
      </c>
      <c r="H73" s="21" t="s">
        <v>23</v>
      </c>
      <c r="I73" s="21">
        <v>2</v>
      </c>
      <c r="J73" s="21">
        <v>3</v>
      </c>
      <c r="K73" s="21">
        <v>3</v>
      </c>
      <c r="L73" s="21">
        <f t="shared" si="3"/>
        <v>18</v>
      </c>
      <c r="M73" s="21" t="str">
        <f t="shared" si="2"/>
        <v>Baixa</v>
      </c>
      <c r="N73" s="21" t="s">
        <v>208</v>
      </c>
      <c r="O73" s="22">
        <v>46175</v>
      </c>
      <c r="P73" s="22">
        <v>46205</v>
      </c>
      <c r="Q73" s="11" t="s">
        <v>130</v>
      </c>
      <c r="R73" s="21" t="s">
        <v>232</v>
      </c>
      <c r="S73" s="21" t="s">
        <v>96</v>
      </c>
    </row>
    <row r="74" spans="1:19" ht="33.75">
      <c r="A74" s="18">
        <v>73</v>
      </c>
      <c r="B74" s="19">
        <v>46175</v>
      </c>
      <c r="C74" s="18" t="s">
        <v>206</v>
      </c>
      <c r="D74" s="179" t="s">
        <v>29</v>
      </c>
      <c r="E74" s="11" t="s">
        <v>88</v>
      </c>
      <c r="F74" s="18" t="s">
        <v>234</v>
      </c>
      <c r="G74" s="18" t="s">
        <v>177</v>
      </c>
      <c r="H74" s="18" t="s">
        <v>23</v>
      </c>
      <c r="I74" s="18">
        <v>3</v>
      </c>
      <c r="J74" s="18">
        <v>3</v>
      </c>
      <c r="K74" s="18">
        <v>3</v>
      </c>
      <c r="L74" s="18">
        <f t="shared" si="3"/>
        <v>27</v>
      </c>
      <c r="M74" s="18" t="str">
        <f t="shared" si="2"/>
        <v>Baixa</v>
      </c>
      <c r="N74" s="18" t="s">
        <v>208</v>
      </c>
      <c r="O74" s="19">
        <v>46175</v>
      </c>
      <c r="P74" s="19">
        <v>46205</v>
      </c>
      <c r="Q74" s="11" t="s">
        <v>130</v>
      </c>
      <c r="R74" s="18" t="s">
        <v>232</v>
      </c>
      <c r="S74" s="18" t="s">
        <v>96</v>
      </c>
    </row>
    <row r="75" spans="1:19" ht="33.75">
      <c r="A75" s="18">
        <v>74</v>
      </c>
      <c r="B75" s="22">
        <v>46175</v>
      </c>
      <c r="C75" s="21" t="s">
        <v>206</v>
      </c>
      <c r="D75" s="180" t="s">
        <v>29</v>
      </c>
      <c r="E75" s="11" t="s">
        <v>92</v>
      </c>
      <c r="F75" s="21" t="s">
        <v>235</v>
      </c>
      <c r="G75" s="21" t="s">
        <v>177</v>
      </c>
      <c r="H75" s="21" t="s">
        <v>23</v>
      </c>
      <c r="I75" s="21">
        <v>3</v>
      </c>
      <c r="J75" s="21">
        <v>4</v>
      </c>
      <c r="K75" s="21">
        <v>3</v>
      </c>
      <c r="L75" s="21">
        <f t="shared" si="3"/>
        <v>36</v>
      </c>
      <c r="M75" s="21" t="str">
        <f t="shared" si="2"/>
        <v>Moderada</v>
      </c>
      <c r="N75" s="21" t="s">
        <v>208</v>
      </c>
      <c r="O75" s="22">
        <v>46175</v>
      </c>
      <c r="P75" s="22">
        <v>46205</v>
      </c>
      <c r="Q75" s="11" t="s">
        <v>130</v>
      </c>
      <c r="R75" s="21" t="s">
        <v>232</v>
      </c>
      <c r="S75" s="21" t="s">
        <v>96</v>
      </c>
    </row>
    <row r="76" spans="1:19" ht="50.25">
      <c r="A76" s="18">
        <v>75</v>
      </c>
      <c r="B76" s="19">
        <v>46168</v>
      </c>
      <c r="C76" s="18" t="s">
        <v>236</v>
      </c>
      <c r="D76" s="179" t="s">
        <v>29</v>
      </c>
      <c r="E76" s="11" t="s">
        <v>21</v>
      </c>
      <c r="F76" s="26" t="s">
        <v>237</v>
      </c>
      <c r="G76" s="18" t="s">
        <v>177</v>
      </c>
      <c r="H76" s="18" t="s">
        <v>23</v>
      </c>
      <c r="I76" s="18">
        <v>2</v>
      </c>
      <c r="J76" s="18">
        <v>4</v>
      </c>
      <c r="K76" s="18">
        <v>3</v>
      </c>
      <c r="L76" s="18">
        <f t="shared" si="3"/>
        <v>24</v>
      </c>
      <c r="M76" s="18" t="str">
        <f t="shared" si="2"/>
        <v>Baixa</v>
      </c>
      <c r="N76" s="18" t="s">
        <v>238</v>
      </c>
      <c r="O76" s="19">
        <v>46168</v>
      </c>
      <c r="P76" s="19">
        <v>46199</v>
      </c>
      <c r="Q76" s="11" t="s">
        <v>130</v>
      </c>
      <c r="R76" s="18" t="s">
        <v>239</v>
      </c>
      <c r="S76" s="18" t="s">
        <v>96</v>
      </c>
    </row>
    <row r="77" spans="1:19" ht="50.25">
      <c r="A77" s="18">
        <v>76</v>
      </c>
      <c r="B77" s="22">
        <v>46168</v>
      </c>
      <c r="C77" s="21" t="s">
        <v>236</v>
      </c>
      <c r="D77" s="180" t="s">
        <v>20</v>
      </c>
      <c r="E77" s="11" t="s">
        <v>21</v>
      </c>
      <c r="F77" s="27" t="s">
        <v>240</v>
      </c>
      <c r="G77" s="21" t="s">
        <v>177</v>
      </c>
      <c r="H77" s="21" t="s">
        <v>23</v>
      </c>
      <c r="I77" s="21">
        <v>4</v>
      </c>
      <c r="J77" s="21">
        <v>4</v>
      </c>
      <c r="K77" s="21">
        <v>3</v>
      </c>
      <c r="L77" s="21">
        <f t="shared" si="3"/>
        <v>48</v>
      </c>
      <c r="M77" s="21" t="str">
        <f t="shared" si="2"/>
        <v>Moderada</v>
      </c>
      <c r="N77" s="21" t="s">
        <v>238</v>
      </c>
      <c r="O77" s="22">
        <v>46168</v>
      </c>
      <c r="P77" s="22">
        <v>46199</v>
      </c>
      <c r="Q77" s="11" t="s">
        <v>130</v>
      </c>
      <c r="R77" s="21" t="s">
        <v>241</v>
      </c>
      <c r="S77" s="21" t="s">
        <v>96</v>
      </c>
    </row>
    <row r="78" spans="1:19" ht="50.25">
      <c r="A78" s="18">
        <v>77</v>
      </c>
      <c r="B78" s="19">
        <v>46168</v>
      </c>
      <c r="C78" s="18" t="s">
        <v>236</v>
      </c>
      <c r="D78" s="179" t="s">
        <v>38</v>
      </c>
      <c r="E78" s="11" t="s">
        <v>21</v>
      </c>
      <c r="F78" s="26" t="s">
        <v>242</v>
      </c>
      <c r="G78" s="18" t="s">
        <v>177</v>
      </c>
      <c r="H78" s="18" t="s">
        <v>23</v>
      </c>
      <c r="I78" s="18">
        <v>1</v>
      </c>
      <c r="J78" s="18">
        <v>3</v>
      </c>
      <c r="K78" s="18">
        <v>3</v>
      </c>
      <c r="L78" s="18">
        <f t="shared" si="3"/>
        <v>9</v>
      </c>
      <c r="M78" s="18" t="str">
        <f t="shared" si="2"/>
        <v>Baixa</v>
      </c>
      <c r="N78" s="18" t="s">
        <v>238</v>
      </c>
      <c r="O78" s="19">
        <v>46168</v>
      </c>
      <c r="P78" s="19">
        <v>46199</v>
      </c>
      <c r="Q78" s="11" t="s">
        <v>130</v>
      </c>
      <c r="R78" s="18" t="s">
        <v>243</v>
      </c>
      <c r="S78" s="18" t="s">
        <v>55</v>
      </c>
    </row>
    <row r="79" spans="1:19" ht="50.25">
      <c r="A79" s="18">
        <v>78</v>
      </c>
      <c r="B79" s="22">
        <v>46168</v>
      </c>
      <c r="C79" s="21" t="s">
        <v>236</v>
      </c>
      <c r="D79" s="180" t="s">
        <v>29</v>
      </c>
      <c r="E79" s="11" t="s">
        <v>97</v>
      </c>
      <c r="F79" s="27" t="s">
        <v>244</v>
      </c>
      <c r="G79" s="21" t="s">
        <v>177</v>
      </c>
      <c r="H79" s="21"/>
      <c r="I79" s="21">
        <v>1</v>
      </c>
      <c r="J79" s="21">
        <v>2</v>
      </c>
      <c r="K79" s="21">
        <v>1</v>
      </c>
      <c r="L79" s="21">
        <f t="shared" si="3"/>
        <v>2</v>
      </c>
      <c r="M79" s="21" t="str">
        <f t="shared" si="2"/>
        <v>Baixa</v>
      </c>
      <c r="N79" s="21" t="s">
        <v>238</v>
      </c>
      <c r="O79" s="22">
        <v>46168</v>
      </c>
      <c r="P79" s="22">
        <v>46199</v>
      </c>
      <c r="Q79" s="11" t="s">
        <v>26</v>
      </c>
      <c r="R79" s="21" t="s">
        <v>245</v>
      </c>
      <c r="S79" s="21" t="s">
        <v>246</v>
      </c>
    </row>
    <row r="80" spans="1:19" ht="50.25">
      <c r="A80" s="18">
        <v>79</v>
      </c>
      <c r="B80" s="19">
        <v>46168</v>
      </c>
      <c r="C80" s="18" t="s">
        <v>236</v>
      </c>
      <c r="D80" s="179" t="s">
        <v>29</v>
      </c>
      <c r="E80" s="11" t="s">
        <v>30</v>
      </c>
      <c r="F80" s="26" t="s">
        <v>247</v>
      </c>
      <c r="G80" s="18" t="s">
        <v>177</v>
      </c>
      <c r="H80" s="18"/>
      <c r="I80" s="18">
        <v>2</v>
      </c>
      <c r="J80" s="18">
        <v>2</v>
      </c>
      <c r="K80" s="18">
        <v>3</v>
      </c>
      <c r="L80" s="18">
        <f t="shared" si="3"/>
        <v>12</v>
      </c>
      <c r="M80" s="18" t="str">
        <f t="shared" si="2"/>
        <v>Baixa</v>
      </c>
      <c r="N80" s="18" t="s">
        <v>238</v>
      </c>
      <c r="O80" s="19">
        <v>46168</v>
      </c>
      <c r="P80" s="19">
        <v>46199</v>
      </c>
      <c r="Q80" s="11" t="s">
        <v>130</v>
      </c>
      <c r="R80" s="18" t="s">
        <v>248</v>
      </c>
      <c r="S80" s="18" t="s">
        <v>34</v>
      </c>
    </row>
    <row r="81" spans="1:19" ht="50.25">
      <c r="A81" s="18">
        <v>80</v>
      </c>
      <c r="B81" s="22">
        <v>46168</v>
      </c>
      <c r="C81" s="21" t="s">
        <v>236</v>
      </c>
      <c r="D81" s="180" t="s">
        <v>38</v>
      </c>
      <c r="E81" s="11" t="s">
        <v>21</v>
      </c>
      <c r="F81" s="27" t="s">
        <v>249</v>
      </c>
      <c r="G81" s="21" t="s">
        <v>177</v>
      </c>
      <c r="H81" s="21"/>
      <c r="I81" s="21">
        <v>1</v>
      </c>
      <c r="J81" s="21">
        <v>1</v>
      </c>
      <c r="K81" s="21">
        <v>3</v>
      </c>
      <c r="L81" s="21">
        <f t="shared" si="3"/>
        <v>3</v>
      </c>
      <c r="M81" s="21" t="str">
        <f t="shared" si="2"/>
        <v>Baixa</v>
      </c>
      <c r="N81" s="21" t="s">
        <v>238</v>
      </c>
      <c r="O81" s="22">
        <v>46168</v>
      </c>
      <c r="P81" s="22">
        <v>46199</v>
      </c>
      <c r="Q81" s="11" t="s">
        <v>130</v>
      </c>
      <c r="R81" s="21" t="s">
        <v>250</v>
      </c>
      <c r="S81" s="21" t="s">
        <v>55</v>
      </c>
    </row>
    <row r="82" spans="1:19" ht="50.25">
      <c r="A82" s="18">
        <v>81</v>
      </c>
      <c r="B82" s="19">
        <v>46168</v>
      </c>
      <c r="C82" s="18" t="s">
        <v>236</v>
      </c>
      <c r="D82" s="179" t="s">
        <v>114</v>
      </c>
      <c r="E82" s="11" t="s">
        <v>30</v>
      </c>
      <c r="F82" s="26" t="s">
        <v>251</v>
      </c>
      <c r="G82" s="18" t="s">
        <v>177</v>
      </c>
      <c r="H82" s="18"/>
      <c r="I82" s="18">
        <v>3</v>
      </c>
      <c r="J82" s="18">
        <v>3</v>
      </c>
      <c r="K82" s="18">
        <v>3</v>
      </c>
      <c r="L82" s="18">
        <f t="shared" si="3"/>
        <v>27</v>
      </c>
      <c r="M82" s="18" t="str">
        <f t="shared" si="2"/>
        <v>Baixa</v>
      </c>
      <c r="N82" s="18" t="s">
        <v>238</v>
      </c>
      <c r="O82" s="19">
        <v>46168</v>
      </c>
      <c r="P82" s="19">
        <v>46199</v>
      </c>
      <c r="Q82" s="11" t="s">
        <v>130</v>
      </c>
      <c r="R82" s="18" t="s">
        <v>248</v>
      </c>
      <c r="S82" s="18" t="s">
        <v>60</v>
      </c>
    </row>
    <row r="83" spans="1:19" ht="50.25">
      <c r="A83" s="18">
        <v>82</v>
      </c>
      <c r="B83" s="22">
        <v>46168</v>
      </c>
      <c r="C83" s="21" t="s">
        <v>236</v>
      </c>
      <c r="D83" s="180" t="s">
        <v>38</v>
      </c>
      <c r="E83" s="11" t="s">
        <v>21</v>
      </c>
      <c r="F83" s="27" t="s">
        <v>252</v>
      </c>
      <c r="G83" s="21" t="s">
        <v>177</v>
      </c>
      <c r="H83" s="21"/>
      <c r="I83" s="21">
        <v>1</v>
      </c>
      <c r="J83" s="21">
        <v>2</v>
      </c>
      <c r="K83" s="21">
        <v>3</v>
      </c>
      <c r="L83" s="21">
        <f t="shared" si="3"/>
        <v>6</v>
      </c>
      <c r="M83" s="21" t="str">
        <f t="shared" si="2"/>
        <v>Baixa</v>
      </c>
      <c r="N83" s="21" t="s">
        <v>238</v>
      </c>
      <c r="O83" s="22">
        <v>46168</v>
      </c>
      <c r="P83" s="22">
        <v>46199</v>
      </c>
      <c r="Q83" s="11" t="s">
        <v>130</v>
      </c>
      <c r="R83" s="21" t="s">
        <v>250</v>
      </c>
      <c r="S83" s="21" t="s">
        <v>55</v>
      </c>
    </row>
    <row r="84" spans="1:19" ht="50.25">
      <c r="A84" s="18">
        <v>83</v>
      </c>
      <c r="B84" s="19">
        <v>46168</v>
      </c>
      <c r="C84" s="18" t="s">
        <v>236</v>
      </c>
      <c r="D84" s="179" t="s">
        <v>38</v>
      </c>
      <c r="E84" s="11" t="s">
        <v>52</v>
      </c>
      <c r="F84" s="26" t="s">
        <v>253</v>
      </c>
      <c r="G84" s="18" t="s">
        <v>177</v>
      </c>
      <c r="H84" s="18"/>
      <c r="I84" s="18">
        <v>1</v>
      </c>
      <c r="J84" s="18">
        <v>2</v>
      </c>
      <c r="K84" s="18">
        <v>3</v>
      </c>
      <c r="L84" s="18">
        <f t="shared" si="3"/>
        <v>6</v>
      </c>
      <c r="M84" s="18" t="str">
        <f t="shared" si="2"/>
        <v>Baixa</v>
      </c>
      <c r="N84" s="18" t="s">
        <v>238</v>
      </c>
      <c r="O84" s="19">
        <v>46168</v>
      </c>
      <c r="P84" s="19">
        <v>46199</v>
      </c>
      <c r="Q84" s="11" t="s">
        <v>130</v>
      </c>
      <c r="R84" s="18" t="s">
        <v>254</v>
      </c>
      <c r="S84" s="18" t="s">
        <v>55</v>
      </c>
    </row>
    <row r="85" spans="1:19" ht="50.25">
      <c r="A85" s="18">
        <v>84</v>
      </c>
      <c r="B85" s="22">
        <v>46168</v>
      </c>
      <c r="C85" s="21" t="s">
        <v>236</v>
      </c>
      <c r="D85" s="180" t="s">
        <v>38</v>
      </c>
      <c r="E85" s="11" t="s">
        <v>21</v>
      </c>
      <c r="F85" s="27" t="s">
        <v>255</v>
      </c>
      <c r="G85" s="21" t="s">
        <v>177</v>
      </c>
      <c r="H85" s="21"/>
      <c r="I85" s="21">
        <v>2</v>
      </c>
      <c r="J85" s="21">
        <v>3</v>
      </c>
      <c r="K85" s="21">
        <v>3</v>
      </c>
      <c r="L85" s="21">
        <f t="shared" si="3"/>
        <v>18</v>
      </c>
      <c r="M85" s="21" t="str">
        <f t="shared" si="2"/>
        <v>Baixa</v>
      </c>
      <c r="N85" s="21" t="s">
        <v>238</v>
      </c>
      <c r="O85" s="22">
        <v>46168</v>
      </c>
      <c r="P85" s="22">
        <v>46199</v>
      </c>
      <c r="Q85" s="11" t="s">
        <v>130</v>
      </c>
      <c r="R85" s="21" t="s">
        <v>256</v>
      </c>
      <c r="S85" s="21" t="s">
        <v>60</v>
      </c>
    </row>
    <row r="86" spans="1:19" ht="33.75">
      <c r="A86" s="18">
        <v>85</v>
      </c>
      <c r="B86" s="19">
        <v>46182</v>
      </c>
      <c r="C86" s="18" t="s">
        <v>257</v>
      </c>
      <c r="D86" s="179" t="s">
        <v>38</v>
      </c>
      <c r="E86" s="11" t="s">
        <v>21</v>
      </c>
      <c r="F86" s="18" t="s">
        <v>258</v>
      </c>
      <c r="G86" s="18" t="s">
        <v>177</v>
      </c>
      <c r="H86" s="18"/>
      <c r="I86" s="18">
        <v>1</v>
      </c>
      <c r="J86" s="18">
        <v>2</v>
      </c>
      <c r="K86" s="18">
        <v>3</v>
      </c>
      <c r="L86" s="18">
        <f t="shared" si="3"/>
        <v>6</v>
      </c>
      <c r="M86" s="18" t="str">
        <f t="shared" si="2"/>
        <v>Baixa</v>
      </c>
      <c r="N86" s="18" t="s">
        <v>259</v>
      </c>
      <c r="O86" s="19">
        <v>46182</v>
      </c>
      <c r="P86" s="19">
        <v>46212</v>
      </c>
      <c r="Q86" s="11" t="s">
        <v>130</v>
      </c>
      <c r="R86" s="18" t="s">
        <v>260</v>
      </c>
      <c r="S86" s="18" t="s">
        <v>55</v>
      </c>
    </row>
    <row r="87" spans="1:19" ht="138.75">
      <c r="A87" s="18">
        <v>86</v>
      </c>
      <c r="B87" s="22">
        <v>46182</v>
      </c>
      <c r="C87" s="21" t="s">
        <v>257</v>
      </c>
      <c r="D87" s="180" t="s">
        <v>38</v>
      </c>
      <c r="E87" s="11" t="s">
        <v>92</v>
      </c>
      <c r="F87" s="27" t="s">
        <v>261</v>
      </c>
      <c r="G87" s="21" t="s">
        <v>177</v>
      </c>
      <c r="H87" s="21"/>
      <c r="I87" s="21">
        <v>1</v>
      </c>
      <c r="J87" s="21">
        <v>3</v>
      </c>
      <c r="K87" s="21">
        <v>1</v>
      </c>
      <c r="L87" s="21">
        <f t="shared" si="3"/>
        <v>3</v>
      </c>
      <c r="M87" s="21" t="str">
        <f t="shared" si="2"/>
        <v>Baixa</v>
      </c>
      <c r="N87" s="21" t="s">
        <v>259</v>
      </c>
      <c r="O87" s="22">
        <v>46182</v>
      </c>
      <c r="P87" s="22">
        <v>46212</v>
      </c>
      <c r="Q87" s="11" t="s">
        <v>130</v>
      </c>
      <c r="R87" s="21" t="s">
        <v>262</v>
      </c>
      <c r="S87" s="21" t="s">
        <v>96</v>
      </c>
    </row>
    <row r="88" spans="1:19" ht="92.25">
      <c r="A88" s="18">
        <v>87</v>
      </c>
      <c r="B88" s="19">
        <v>46182</v>
      </c>
      <c r="C88" s="18" t="s">
        <v>257</v>
      </c>
      <c r="D88" s="179" t="s">
        <v>29</v>
      </c>
      <c r="E88" s="11" t="s">
        <v>30</v>
      </c>
      <c r="F88" s="26" t="s">
        <v>263</v>
      </c>
      <c r="G88" s="18" t="s">
        <v>177</v>
      </c>
      <c r="H88" s="18"/>
      <c r="I88" s="18">
        <v>3</v>
      </c>
      <c r="J88" s="18">
        <v>3</v>
      </c>
      <c r="K88" s="18">
        <v>3</v>
      </c>
      <c r="L88" s="18">
        <f t="shared" si="3"/>
        <v>27</v>
      </c>
      <c r="M88" s="18" t="str">
        <f t="shared" si="2"/>
        <v>Baixa</v>
      </c>
      <c r="N88" s="18" t="s">
        <v>259</v>
      </c>
      <c r="O88" s="19">
        <v>46182</v>
      </c>
      <c r="P88" s="19">
        <v>46212</v>
      </c>
      <c r="Q88" s="11" t="s">
        <v>130</v>
      </c>
      <c r="R88" s="18" t="s">
        <v>264</v>
      </c>
      <c r="S88" s="18" t="s">
        <v>34</v>
      </c>
    </row>
    <row r="89" spans="1:19" ht="30.75">
      <c r="A89" s="18">
        <v>88</v>
      </c>
      <c r="B89" s="22">
        <v>46182</v>
      </c>
      <c r="C89" s="21" t="s">
        <v>257</v>
      </c>
      <c r="D89" s="180" t="s">
        <v>38</v>
      </c>
      <c r="E89" s="11" t="s">
        <v>21</v>
      </c>
      <c r="F89" s="27" t="s">
        <v>265</v>
      </c>
      <c r="G89" s="21" t="s">
        <v>177</v>
      </c>
      <c r="H89" s="21"/>
      <c r="I89" s="21">
        <v>2</v>
      </c>
      <c r="J89" s="21">
        <v>3</v>
      </c>
      <c r="K89" s="21">
        <v>2</v>
      </c>
      <c r="L89" s="21">
        <f t="shared" si="3"/>
        <v>12</v>
      </c>
      <c r="M89" s="21" t="str">
        <f t="shared" si="2"/>
        <v>Baixa</v>
      </c>
      <c r="N89" s="21" t="s">
        <v>259</v>
      </c>
      <c r="O89" s="22">
        <v>46182</v>
      </c>
      <c r="P89" s="22">
        <v>46212</v>
      </c>
      <c r="Q89" s="11" t="s">
        <v>130</v>
      </c>
      <c r="R89" s="21" t="s">
        <v>45</v>
      </c>
      <c r="S89" s="21" t="s">
        <v>96</v>
      </c>
    </row>
    <row r="90" spans="1:19" ht="30.75">
      <c r="A90" s="18">
        <v>89</v>
      </c>
      <c r="B90" s="19">
        <v>46182</v>
      </c>
      <c r="C90" s="18" t="s">
        <v>257</v>
      </c>
      <c r="D90" s="179" t="s">
        <v>29</v>
      </c>
      <c r="E90" s="11" t="s">
        <v>21</v>
      </c>
      <c r="F90" s="26" t="s">
        <v>266</v>
      </c>
      <c r="G90" s="18" t="s">
        <v>177</v>
      </c>
      <c r="H90" s="18"/>
      <c r="I90" s="18">
        <v>2</v>
      </c>
      <c r="J90" s="18">
        <v>2</v>
      </c>
      <c r="K90" s="18">
        <v>3</v>
      </c>
      <c r="L90" s="18">
        <f t="shared" si="3"/>
        <v>12</v>
      </c>
      <c r="M90" s="18" t="str">
        <f t="shared" si="2"/>
        <v>Baixa</v>
      </c>
      <c r="N90" s="18" t="s">
        <v>259</v>
      </c>
      <c r="O90" s="19">
        <v>46182</v>
      </c>
      <c r="P90" s="19">
        <v>46212</v>
      </c>
      <c r="Q90" s="11" t="s">
        <v>130</v>
      </c>
      <c r="R90" s="18" t="s">
        <v>267</v>
      </c>
      <c r="S90" s="18" t="s">
        <v>96</v>
      </c>
    </row>
    <row r="91" spans="1:19" ht="33.75">
      <c r="A91" s="18">
        <v>90</v>
      </c>
      <c r="B91" s="22">
        <v>46182</v>
      </c>
      <c r="C91" s="21" t="s">
        <v>257</v>
      </c>
      <c r="D91" s="180" t="s">
        <v>38</v>
      </c>
      <c r="E91" s="11" t="s">
        <v>21</v>
      </c>
      <c r="F91" s="27" t="s">
        <v>268</v>
      </c>
      <c r="G91" s="21" t="s">
        <v>177</v>
      </c>
      <c r="H91" s="21"/>
      <c r="I91" s="21">
        <v>3</v>
      </c>
      <c r="J91" s="21">
        <v>3</v>
      </c>
      <c r="K91" s="21">
        <v>3</v>
      </c>
      <c r="L91" s="21">
        <f t="shared" si="3"/>
        <v>27</v>
      </c>
      <c r="M91" s="21" t="str">
        <f t="shared" si="2"/>
        <v>Baixa</v>
      </c>
      <c r="N91" s="21" t="s">
        <v>259</v>
      </c>
      <c r="O91" s="22">
        <v>46182</v>
      </c>
      <c r="P91" s="22">
        <v>46212</v>
      </c>
      <c r="Q91" s="11" t="s">
        <v>130</v>
      </c>
      <c r="R91" s="21" t="s">
        <v>269</v>
      </c>
      <c r="S91" s="21" t="s">
        <v>55</v>
      </c>
    </row>
    <row r="92" spans="1:19" ht="46.5">
      <c r="A92" s="18">
        <v>91</v>
      </c>
      <c r="B92" s="19">
        <v>46182</v>
      </c>
      <c r="C92" s="18" t="s">
        <v>257</v>
      </c>
      <c r="D92" s="179" t="s">
        <v>46</v>
      </c>
      <c r="E92" s="11" t="s">
        <v>92</v>
      </c>
      <c r="F92" s="26" t="s">
        <v>270</v>
      </c>
      <c r="G92" s="18" t="s">
        <v>177</v>
      </c>
      <c r="H92" s="18"/>
      <c r="I92" s="18">
        <v>2</v>
      </c>
      <c r="J92" s="18">
        <v>3</v>
      </c>
      <c r="K92" s="18">
        <v>2</v>
      </c>
      <c r="L92" s="18">
        <f t="shared" si="3"/>
        <v>12</v>
      </c>
      <c r="M92" s="18" t="str">
        <f t="shared" si="2"/>
        <v>Baixa</v>
      </c>
      <c r="N92" s="18" t="s">
        <v>259</v>
      </c>
      <c r="O92" s="19">
        <v>46182</v>
      </c>
      <c r="P92" s="19">
        <v>46212</v>
      </c>
      <c r="Q92" s="11" t="s">
        <v>130</v>
      </c>
      <c r="R92" s="18" t="s">
        <v>271</v>
      </c>
      <c r="S92" s="18" t="s">
        <v>51</v>
      </c>
    </row>
    <row r="93" spans="1:19" ht="30.75">
      <c r="A93" s="18">
        <v>92</v>
      </c>
      <c r="B93" s="22">
        <v>46182</v>
      </c>
      <c r="C93" s="21" t="s">
        <v>257</v>
      </c>
      <c r="D93" s="180" t="s">
        <v>29</v>
      </c>
      <c r="E93" s="11" t="s">
        <v>21</v>
      </c>
      <c r="F93" s="27" t="s">
        <v>272</v>
      </c>
      <c r="G93" s="21" t="s">
        <v>177</v>
      </c>
      <c r="H93" s="21"/>
      <c r="I93" s="21">
        <v>1</v>
      </c>
      <c r="J93" s="21">
        <v>3</v>
      </c>
      <c r="K93" s="21">
        <v>2</v>
      </c>
      <c r="L93" s="21">
        <f t="shared" si="3"/>
        <v>6</v>
      </c>
      <c r="M93" s="21" t="str">
        <f t="shared" si="2"/>
        <v>Baixa</v>
      </c>
      <c r="N93" s="21" t="s">
        <v>259</v>
      </c>
      <c r="O93" s="22">
        <v>46182</v>
      </c>
      <c r="P93" s="22">
        <v>46212</v>
      </c>
      <c r="Q93" s="11" t="s">
        <v>130</v>
      </c>
      <c r="R93" s="21" t="s">
        <v>45</v>
      </c>
      <c r="S93" s="21" t="s">
        <v>96</v>
      </c>
    </row>
    <row r="94" spans="1:19" ht="16.5">
      <c r="A94" s="18">
        <v>93</v>
      </c>
      <c r="B94" s="19">
        <v>46182</v>
      </c>
      <c r="C94" s="18" t="s">
        <v>257</v>
      </c>
      <c r="D94" s="179" t="s">
        <v>38</v>
      </c>
      <c r="E94" s="11" t="s">
        <v>21</v>
      </c>
      <c r="F94" s="26" t="s">
        <v>273</v>
      </c>
      <c r="G94" s="18" t="s">
        <v>177</v>
      </c>
      <c r="H94" s="18"/>
      <c r="I94" s="18">
        <v>2</v>
      </c>
      <c r="J94" s="18">
        <v>4</v>
      </c>
      <c r="K94" s="18">
        <v>3</v>
      </c>
      <c r="L94" s="18">
        <f t="shared" si="3"/>
        <v>24</v>
      </c>
      <c r="M94" s="18" t="str">
        <f t="shared" si="2"/>
        <v>Baixa</v>
      </c>
      <c r="N94" s="18" t="s">
        <v>259</v>
      </c>
      <c r="O94" s="19">
        <v>46182</v>
      </c>
      <c r="P94" s="19">
        <v>46212</v>
      </c>
      <c r="Q94" s="11" t="s">
        <v>130</v>
      </c>
      <c r="R94" s="18" t="s">
        <v>45</v>
      </c>
      <c r="S94" s="18" t="s">
        <v>96</v>
      </c>
    </row>
    <row r="95" spans="1:19" ht="50.25">
      <c r="A95" s="28">
        <v>94</v>
      </c>
      <c r="B95" s="29">
        <v>46189</v>
      </c>
      <c r="C95" s="28" t="s">
        <v>274</v>
      </c>
      <c r="D95" s="180" t="s">
        <v>46</v>
      </c>
      <c r="E95" s="28" t="s">
        <v>47</v>
      </c>
      <c r="F95" s="28" t="s">
        <v>275</v>
      </c>
      <c r="G95" s="7"/>
      <c r="H95" s="7"/>
      <c r="I95" s="7">
        <v>4</v>
      </c>
      <c r="J95" s="7">
        <v>4</v>
      </c>
      <c r="K95" s="7">
        <v>3</v>
      </c>
      <c r="L95" s="21">
        <f t="shared" si="3"/>
        <v>48</v>
      </c>
      <c r="M95" s="21" t="str">
        <f t="shared" si="2"/>
        <v>Moderada</v>
      </c>
      <c r="N95" s="18" t="s">
        <v>259</v>
      </c>
      <c r="O95" s="29">
        <v>46189</v>
      </c>
      <c r="P95" s="29">
        <v>46219</v>
      </c>
      <c r="Q95" s="28" t="s">
        <v>130</v>
      </c>
      <c r="R95" s="28" t="s">
        <v>276</v>
      </c>
      <c r="S95" s="28" t="s">
        <v>51</v>
      </c>
    </row>
    <row r="96" spans="1:19" ht="33.75">
      <c r="A96" s="30">
        <v>95</v>
      </c>
      <c r="B96" s="31">
        <v>46189</v>
      </c>
      <c r="C96" s="30" t="s">
        <v>274</v>
      </c>
      <c r="D96" s="179" t="s">
        <v>46</v>
      </c>
      <c r="E96" s="30" t="s">
        <v>47</v>
      </c>
      <c r="F96" s="30" t="s">
        <v>277</v>
      </c>
      <c r="G96" s="7"/>
      <c r="H96" s="7"/>
      <c r="I96" s="7">
        <v>4</v>
      </c>
      <c r="J96" s="7">
        <v>4</v>
      </c>
      <c r="K96" s="7">
        <v>3</v>
      </c>
      <c r="L96" s="18">
        <f t="shared" si="3"/>
        <v>48</v>
      </c>
      <c r="M96" s="18" t="str">
        <f t="shared" si="2"/>
        <v>Moderada</v>
      </c>
      <c r="N96" s="18" t="s">
        <v>259</v>
      </c>
      <c r="O96" s="31">
        <v>46189</v>
      </c>
      <c r="P96" s="29">
        <v>46219</v>
      </c>
      <c r="Q96" s="30" t="s">
        <v>130</v>
      </c>
      <c r="R96" s="30" t="s">
        <v>278</v>
      </c>
      <c r="S96" s="30" t="s">
        <v>51</v>
      </c>
    </row>
    <row r="97" spans="1:19" ht="33.75">
      <c r="A97" s="28">
        <v>96</v>
      </c>
      <c r="B97" s="29">
        <v>46189</v>
      </c>
      <c r="C97" s="28" t="s">
        <v>274</v>
      </c>
      <c r="D97" s="180" t="s">
        <v>46</v>
      </c>
      <c r="E97" s="28" t="s">
        <v>47</v>
      </c>
      <c r="F97" s="28" t="s">
        <v>279</v>
      </c>
      <c r="G97" s="7"/>
      <c r="H97" s="7"/>
      <c r="I97" s="7">
        <v>4</v>
      </c>
      <c r="J97" s="7">
        <v>4</v>
      </c>
      <c r="K97" s="7">
        <v>3</v>
      </c>
      <c r="L97" s="21">
        <f t="shared" si="3"/>
        <v>48</v>
      </c>
      <c r="M97" s="21" t="str">
        <f t="shared" si="2"/>
        <v>Moderada</v>
      </c>
      <c r="N97" s="18" t="s">
        <v>259</v>
      </c>
      <c r="O97" s="29">
        <v>46189</v>
      </c>
      <c r="P97" s="29">
        <v>46219</v>
      </c>
      <c r="Q97" s="28" t="s">
        <v>130</v>
      </c>
      <c r="R97" s="28" t="s">
        <v>280</v>
      </c>
      <c r="S97" s="28" t="s">
        <v>51</v>
      </c>
    </row>
    <row r="98" spans="1:19" ht="50.25">
      <c r="A98" s="30">
        <v>97</v>
      </c>
      <c r="B98" s="31">
        <v>46189</v>
      </c>
      <c r="C98" s="30" t="s">
        <v>274</v>
      </c>
      <c r="D98" s="179" t="s">
        <v>281</v>
      </c>
      <c r="E98" s="30" t="s">
        <v>21</v>
      </c>
      <c r="F98" s="32" t="s">
        <v>282</v>
      </c>
      <c r="G98" s="7"/>
      <c r="H98" s="7"/>
      <c r="I98" s="7">
        <v>3</v>
      </c>
      <c r="J98" s="7">
        <v>3</v>
      </c>
      <c r="K98" s="7">
        <v>3</v>
      </c>
      <c r="L98" s="18">
        <f t="shared" si="3"/>
        <v>27</v>
      </c>
      <c r="M98" s="18" t="str">
        <f t="shared" si="2"/>
        <v>Baixa</v>
      </c>
      <c r="N98" s="18" t="s">
        <v>259</v>
      </c>
      <c r="O98" s="31">
        <v>46189</v>
      </c>
      <c r="P98" s="29">
        <v>46219</v>
      </c>
      <c r="Q98" s="30" t="s">
        <v>130</v>
      </c>
      <c r="R98" s="30" t="s">
        <v>283</v>
      </c>
      <c r="S98" s="30" t="s">
        <v>284</v>
      </c>
    </row>
    <row r="99" spans="1:19" ht="50.25">
      <c r="A99" s="28">
        <v>98</v>
      </c>
      <c r="B99" s="29">
        <v>46189</v>
      </c>
      <c r="C99" s="28" t="s">
        <v>274</v>
      </c>
      <c r="D99" s="180" t="s">
        <v>29</v>
      </c>
      <c r="E99" s="28" t="s">
        <v>47</v>
      </c>
      <c r="F99" s="21" t="s">
        <v>285</v>
      </c>
      <c r="G99" s="7"/>
      <c r="H99" s="7"/>
      <c r="I99" s="7">
        <v>4</v>
      </c>
      <c r="J99" s="7">
        <v>5</v>
      </c>
      <c r="K99" s="7">
        <v>4</v>
      </c>
      <c r="L99" s="21">
        <f t="shared" si="3"/>
        <v>80</v>
      </c>
      <c r="M99" s="21" t="str">
        <f t="shared" si="2"/>
        <v>Alta</v>
      </c>
      <c r="N99" s="18" t="s">
        <v>259</v>
      </c>
      <c r="O99" s="29">
        <v>46189</v>
      </c>
      <c r="P99" s="29">
        <v>46219</v>
      </c>
      <c r="Q99" s="28" t="s">
        <v>26</v>
      </c>
      <c r="R99" s="28" t="s">
        <v>286</v>
      </c>
      <c r="S99" s="28" t="s">
        <v>287</v>
      </c>
    </row>
    <row r="100" spans="1:19" ht="50.25">
      <c r="A100" s="30">
        <v>99</v>
      </c>
      <c r="B100" s="31">
        <v>46189</v>
      </c>
      <c r="C100" s="30" t="s">
        <v>274</v>
      </c>
      <c r="D100" s="179" t="s">
        <v>29</v>
      </c>
      <c r="E100" s="30" t="s">
        <v>47</v>
      </c>
      <c r="F100" s="32" t="s">
        <v>288</v>
      </c>
      <c r="G100" s="7"/>
      <c r="H100" s="7"/>
      <c r="I100" s="7">
        <v>4</v>
      </c>
      <c r="J100" s="7">
        <v>5</v>
      </c>
      <c r="K100" s="7">
        <v>4</v>
      </c>
      <c r="L100" s="18">
        <f t="shared" si="3"/>
        <v>80</v>
      </c>
      <c r="M100" s="18" t="str">
        <f t="shared" si="2"/>
        <v>Alta</v>
      </c>
      <c r="N100" s="18" t="s">
        <v>259</v>
      </c>
      <c r="O100" s="31">
        <v>46189</v>
      </c>
      <c r="P100" s="29">
        <v>46219</v>
      </c>
      <c r="Q100" s="30" t="s">
        <v>130</v>
      </c>
      <c r="R100" s="30" t="s">
        <v>286</v>
      </c>
      <c r="S100" s="30" t="s">
        <v>287</v>
      </c>
    </row>
    <row r="101" spans="1:19" ht="33.75">
      <c r="A101" s="28">
        <v>100</v>
      </c>
      <c r="B101" s="29">
        <v>46189</v>
      </c>
      <c r="C101" s="28" t="s">
        <v>274</v>
      </c>
      <c r="D101" s="180" t="s">
        <v>38</v>
      </c>
      <c r="E101" s="28" t="s">
        <v>289</v>
      </c>
      <c r="F101" s="28" t="s">
        <v>290</v>
      </c>
      <c r="G101" s="7"/>
      <c r="H101" s="7"/>
      <c r="I101" s="7">
        <v>1</v>
      </c>
      <c r="J101" s="7">
        <v>1</v>
      </c>
      <c r="K101" s="7">
        <v>2</v>
      </c>
      <c r="L101" s="21">
        <f t="shared" si="3"/>
        <v>2</v>
      </c>
      <c r="M101" s="21" t="str">
        <f t="shared" si="2"/>
        <v>Baixa</v>
      </c>
      <c r="N101" s="18" t="s">
        <v>259</v>
      </c>
      <c r="O101" s="29">
        <v>46189</v>
      </c>
      <c r="P101" s="29">
        <v>46219</v>
      </c>
      <c r="Q101" s="28" t="s">
        <v>130</v>
      </c>
      <c r="R101" s="28" t="s">
        <v>291</v>
      </c>
      <c r="S101" s="28" t="s">
        <v>292</v>
      </c>
    </row>
    <row r="102" spans="1:19" ht="33.75">
      <c r="A102" s="30">
        <v>101</v>
      </c>
      <c r="B102" s="31">
        <v>46189</v>
      </c>
      <c r="C102" s="30" t="s">
        <v>274</v>
      </c>
      <c r="D102" s="179" t="s">
        <v>38</v>
      </c>
      <c r="E102" s="30" t="s">
        <v>21</v>
      </c>
      <c r="F102" s="30" t="s">
        <v>293</v>
      </c>
      <c r="G102" s="7"/>
      <c r="H102" s="7"/>
      <c r="I102" s="7">
        <v>1</v>
      </c>
      <c r="J102" s="7">
        <v>1</v>
      </c>
      <c r="K102" s="7">
        <v>2</v>
      </c>
      <c r="L102" s="18">
        <f t="shared" si="3"/>
        <v>2</v>
      </c>
      <c r="M102" s="18" t="str">
        <f t="shared" si="2"/>
        <v>Baixa</v>
      </c>
      <c r="N102" s="18" t="s">
        <v>259</v>
      </c>
      <c r="O102" s="31">
        <v>46189</v>
      </c>
      <c r="P102" s="29">
        <v>46219</v>
      </c>
      <c r="Q102" s="30" t="s">
        <v>130</v>
      </c>
      <c r="R102" s="30" t="s">
        <v>260</v>
      </c>
      <c r="S102" s="30" t="s">
        <v>292</v>
      </c>
    </row>
    <row r="103" spans="1:19" ht="33.75">
      <c r="A103" s="28">
        <v>102</v>
      </c>
      <c r="B103" s="29">
        <v>46189</v>
      </c>
      <c r="C103" s="28" t="s">
        <v>274</v>
      </c>
      <c r="D103" s="180" t="s">
        <v>29</v>
      </c>
      <c r="E103" s="28" t="s">
        <v>30</v>
      </c>
      <c r="F103" s="28" t="s">
        <v>294</v>
      </c>
      <c r="G103" s="7"/>
      <c r="H103" s="7"/>
      <c r="I103" s="7">
        <v>1</v>
      </c>
      <c r="J103" s="7">
        <v>1</v>
      </c>
      <c r="K103" s="7">
        <v>2</v>
      </c>
      <c r="L103" s="21">
        <f t="shared" si="3"/>
        <v>2</v>
      </c>
      <c r="M103" s="21" t="str">
        <f t="shared" si="2"/>
        <v>Baixa</v>
      </c>
      <c r="N103" s="18" t="s">
        <v>259</v>
      </c>
      <c r="O103" s="29">
        <v>46189</v>
      </c>
      <c r="P103" s="29">
        <v>46219</v>
      </c>
      <c r="Q103" s="28" t="s">
        <v>130</v>
      </c>
      <c r="R103" s="28" t="s">
        <v>295</v>
      </c>
      <c r="S103" s="28" t="s">
        <v>292</v>
      </c>
    </row>
    <row r="104" spans="1:19" ht="24">
      <c r="A104" s="30">
        <v>103</v>
      </c>
      <c r="B104" s="31">
        <v>46189</v>
      </c>
      <c r="C104" s="30" t="s">
        <v>274</v>
      </c>
      <c r="D104" s="182" t="s">
        <v>281</v>
      </c>
      <c r="E104" s="30" t="s">
        <v>21</v>
      </c>
      <c r="F104" s="30" t="s">
        <v>296</v>
      </c>
      <c r="G104" s="7"/>
      <c r="H104" s="7"/>
      <c r="I104" s="7">
        <v>2</v>
      </c>
      <c r="J104" s="7">
        <v>5</v>
      </c>
      <c r="K104" s="7">
        <v>3</v>
      </c>
      <c r="L104" s="18">
        <f t="shared" si="3"/>
        <v>30</v>
      </c>
      <c r="M104" s="18" t="str">
        <f t="shared" si="2"/>
        <v>Alta</v>
      </c>
      <c r="N104" s="18" t="s">
        <v>259</v>
      </c>
      <c r="O104" s="31">
        <v>46189</v>
      </c>
      <c r="P104" s="29">
        <v>46219</v>
      </c>
      <c r="Q104" s="30" t="s">
        <v>130</v>
      </c>
      <c r="R104" s="30" t="s">
        <v>297</v>
      </c>
      <c r="S104" s="30" t="s">
        <v>292</v>
      </c>
    </row>
    <row r="105" spans="1:19" ht="84">
      <c r="A105" s="28">
        <v>104</v>
      </c>
      <c r="B105" s="29">
        <v>46189</v>
      </c>
      <c r="C105" s="28" t="s">
        <v>274</v>
      </c>
      <c r="D105" s="180" t="s">
        <v>20</v>
      </c>
      <c r="E105" s="28" t="s">
        <v>30</v>
      </c>
      <c r="F105" s="28" t="s">
        <v>298</v>
      </c>
      <c r="G105" s="7"/>
      <c r="H105" s="7"/>
      <c r="I105" s="7">
        <v>3</v>
      </c>
      <c r="J105" s="7">
        <v>3</v>
      </c>
      <c r="K105" s="7">
        <v>2</v>
      </c>
      <c r="L105" s="21">
        <f t="shared" si="3"/>
        <v>18</v>
      </c>
      <c r="M105" s="21" t="str">
        <f t="shared" si="2"/>
        <v>Baixa</v>
      </c>
      <c r="N105" s="18" t="s">
        <v>259</v>
      </c>
      <c r="O105" s="29">
        <v>46189</v>
      </c>
      <c r="P105" s="29">
        <v>46219</v>
      </c>
      <c r="Q105" s="28" t="s">
        <v>130</v>
      </c>
      <c r="R105" s="28" t="s">
        <v>299</v>
      </c>
      <c r="S105" s="28" t="s">
        <v>300</v>
      </c>
    </row>
    <row r="106" spans="1:19" ht="66.75">
      <c r="A106" s="30">
        <v>105</v>
      </c>
      <c r="B106" s="31">
        <v>46189</v>
      </c>
      <c r="C106" s="30" t="s">
        <v>274</v>
      </c>
      <c r="D106" s="179" t="s">
        <v>38</v>
      </c>
      <c r="E106" s="30" t="s">
        <v>21</v>
      </c>
      <c r="F106" s="30" t="s">
        <v>301</v>
      </c>
      <c r="G106" s="7"/>
      <c r="H106" s="7"/>
      <c r="I106" s="7">
        <v>2</v>
      </c>
      <c r="J106" s="7">
        <v>3</v>
      </c>
      <c r="K106" s="7">
        <v>2</v>
      </c>
      <c r="L106" s="18">
        <f t="shared" si="3"/>
        <v>12</v>
      </c>
      <c r="M106" s="18" t="str">
        <f t="shared" si="2"/>
        <v>Baixa</v>
      </c>
      <c r="N106" s="18" t="s">
        <v>259</v>
      </c>
      <c r="O106" s="31">
        <v>46189</v>
      </c>
      <c r="P106" s="29">
        <v>46219</v>
      </c>
      <c r="Q106" s="30" t="s">
        <v>130</v>
      </c>
      <c r="R106" s="30" t="s">
        <v>297</v>
      </c>
      <c r="S106" s="30" t="s">
        <v>292</v>
      </c>
    </row>
    <row r="107" spans="1:19" ht="33.75">
      <c r="A107" s="28">
        <v>106</v>
      </c>
      <c r="B107" s="29">
        <v>46189</v>
      </c>
      <c r="C107" s="28" t="s">
        <v>274</v>
      </c>
      <c r="D107" s="180" t="s">
        <v>38</v>
      </c>
      <c r="E107" s="28" t="s">
        <v>21</v>
      </c>
      <c r="F107" s="28" t="s">
        <v>302</v>
      </c>
      <c r="G107" s="7"/>
      <c r="H107" s="7"/>
      <c r="I107" s="7">
        <v>2</v>
      </c>
      <c r="J107" s="7">
        <v>4</v>
      </c>
      <c r="K107" s="7">
        <v>2</v>
      </c>
      <c r="L107" s="21">
        <f t="shared" si="3"/>
        <v>16</v>
      </c>
      <c r="M107" s="21" t="str">
        <f t="shared" si="2"/>
        <v>Baixa</v>
      </c>
      <c r="N107" s="18" t="s">
        <v>259</v>
      </c>
      <c r="O107" s="29">
        <v>46189</v>
      </c>
      <c r="P107" s="29">
        <v>46219</v>
      </c>
      <c r="Q107" s="28" t="s">
        <v>130</v>
      </c>
      <c r="R107" s="28" t="s">
        <v>297</v>
      </c>
      <c r="S107" s="28" t="s">
        <v>292</v>
      </c>
    </row>
    <row r="108" spans="1:19" ht="66.75">
      <c r="A108" s="30">
        <v>107</v>
      </c>
      <c r="B108" s="31">
        <v>46189</v>
      </c>
      <c r="C108" s="30" t="s">
        <v>274</v>
      </c>
      <c r="D108" s="179" t="s">
        <v>29</v>
      </c>
      <c r="E108" s="30" t="s">
        <v>97</v>
      </c>
      <c r="F108" s="30" t="s">
        <v>303</v>
      </c>
      <c r="G108" s="7"/>
      <c r="H108" s="7"/>
      <c r="I108" s="7">
        <v>3</v>
      </c>
      <c r="J108" s="7">
        <v>4</v>
      </c>
      <c r="K108" s="7">
        <v>4</v>
      </c>
      <c r="L108" s="18">
        <f t="shared" si="3"/>
        <v>48</v>
      </c>
      <c r="M108" s="18" t="str">
        <f t="shared" si="2"/>
        <v>Moderada</v>
      </c>
      <c r="N108" s="18" t="s">
        <v>259</v>
      </c>
      <c r="O108" s="31">
        <v>46189</v>
      </c>
      <c r="P108" s="29">
        <v>46219</v>
      </c>
      <c r="Q108" s="30" t="s">
        <v>130</v>
      </c>
      <c r="R108" s="30" t="s">
        <v>304</v>
      </c>
      <c r="S108" s="30" t="s">
        <v>305</v>
      </c>
    </row>
    <row r="109" spans="1:19" ht="33.75">
      <c r="A109" s="28">
        <v>108</v>
      </c>
      <c r="B109" s="29">
        <v>46189</v>
      </c>
      <c r="C109" s="28" t="s">
        <v>274</v>
      </c>
      <c r="D109" s="180" t="s">
        <v>38</v>
      </c>
      <c r="E109" s="28" t="s">
        <v>21</v>
      </c>
      <c r="F109" s="28" t="s">
        <v>306</v>
      </c>
      <c r="G109" s="7"/>
      <c r="H109" s="7"/>
      <c r="I109" s="7">
        <v>2</v>
      </c>
      <c r="J109" s="7">
        <v>4</v>
      </c>
      <c r="K109" s="7">
        <v>3</v>
      </c>
      <c r="L109" s="21">
        <f t="shared" si="3"/>
        <v>24</v>
      </c>
      <c r="M109" s="21" t="str">
        <f t="shared" si="2"/>
        <v>Baixa</v>
      </c>
      <c r="N109" s="18" t="s">
        <v>259</v>
      </c>
      <c r="O109" s="29">
        <v>46189</v>
      </c>
      <c r="P109" s="29">
        <v>46219</v>
      </c>
      <c r="Q109" s="28" t="s">
        <v>130</v>
      </c>
      <c r="R109" s="28" t="s">
        <v>307</v>
      </c>
      <c r="S109" s="28" t="s">
        <v>292</v>
      </c>
    </row>
    <row r="110" spans="1:19" ht="16.5">
      <c r="A110" s="30">
        <v>109</v>
      </c>
      <c r="B110" s="31">
        <v>46189</v>
      </c>
      <c r="C110" s="30" t="s">
        <v>274</v>
      </c>
      <c r="D110" s="24" t="s">
        <v>38</v>
      </c>
      <c r="E110" s="30" t="s">
        <v>21</v>
      </c>
      <c r="F110" s="30" t="s">
        <v>308</v>
      </c>
      <c r="G110" s="11"/>
      <c r="H110" s="11"/>
      <c r="I110" s="11">
        <v>1</v>
      </c>
      <c r="J110" s="11">
        <v>2</v>
      </c>
      <c r="K110" s="11">
        <v>3</v>
      </c>
      <c r="L110" s="18">
        <f t="shared" si="3"/>
        <v>6</v>
      </c>
      <c r="M110" s="18" t="str">
        <f t="shared" si="2"/>
        <v>Baixa</v>
      </c>
      <c r="N110" s="18" t="s">
        <v>259</v>
      </c>
      <c r="O110" s="31">
        <v>46189</v>
      </c>
      <c r="P110" s="29">
        <v>46219</v>
      </c>
      <c r="Q110" s="30" t="s">
        <v>130</v>
      </c>
      <c r="R110" s="30" t="s">
        <v>45</v>
      </c>
      <c r="S110" s="30" t="s">
        <v>292</v>
      </c>
    </row>
    <row r="111" spans="1:19" ht="33.75">
      <c r="A111" s="28">
        <v>110</v>
      </c>
      <c r="B111" s="29">
        <v>46189</v>
      </c>
      <c r="C111" s="28" t="s">
        <v>274</v>
      </c>
      <c r="D111" s="23" t="s">
        <v>29</v>
      </c>
      <c r="E111" s="28" t="s">
        <v>30</v>
      </c>
      <c r="F111" s="28" t="s">
        <v>309</v>
      </c>
      <c r="G111" s="11"/>
      <c r="H111" s="11"/>
      <c r="I111" s="11">
        <v>2</v>
      </c>
      <c r="J111" s="11">
        <v>3</v>
      </c>
      <c r="K111" s="11">
        <v>3</v>
      </c>
      <c r="L111" s="21">
        <f t="shared" si="3"/>
        <v>18</v>
      </c>
      <c r="M111" s="21" t="str">
        <f t="shared" si="2"/>
        <v>Baixa</v>
      </c>
      <c r="N111" s="18" t="s">
        <v>259</v>
      </c>
      <c r="O111" s="29">
        <v>46189</v>
      </c>
      <c r="P111" s="29">
        <v>46219</v>
      </c>
      <c r="Q111" s="28" t="s">
        <v>130</v>
      </c>
      <c r="R111" s="28" t="s">
        <v>310</v>
      </c>
      <c r="S111" s="28" t="s">
        <v>292</v>
      </c>
    </row>
    <row r="112" spans="1:19" ht="33.75">
      <c r="A112" s="30">
        <v>111</v>
      </c>
      <c r="B112" s="31">
        <v>46189</v>
      </c>
      <c r="C112" s="30" t="s">
        <v>274</v>
      </c>
      <c r="D112" s="24" t="s">
        <v>29</v>
      </c>
      <c r="E112" s="30" t="s">
        <v>30</v>
      </c>
      <c r="F112" s="30" t="s">
        <v>311</v>
      </c>
      <c r="G112" s="11"/>
      <c r="H112" s="11"/>
      <c r="I112" s="11">
        <v>4</v>
      </c>
      <c r="J112" s="11">
        <v>4</v>
      </c>
      <c r="K112" s="11">
        <v>4</v>
      </c>
      <c r="L112" s="18">
        <f t="shared" si="3"/>
        <v>64</v>
      </c>
      <c r="M112" s="18" t="str">
        <f t="shared" si="2"/>
        <v>Moderada</v>
      </c>
      <c r="N112" s="18" t="s">
        <v>259</v>
      </c>
      <c r="O112" s="31">
        <v>46189</v>
      </c>
      <c r="P112" s="29">
        <v>46219</v>
      </c>
      <c r="Q112" s="30" t="s">
        <v>130</v>
      </c>
      <c r="R112" s="30" t="s">
        <v>312</v>
      </c>
      <c r="S112" s="30" t="s">
        <v>305</v>
      </c>
    </row>
    <row r="113" spans="1:19" ht="33.75">
      <c r="A113" s="28">
        <v>112</v>
      </c>
      <c r="B113" s="29">
        <v>46189</v>
      </c>
      <c r="C113" s="28" t="s">
        <v>274</v>
      </c>
      <c r="D113" s="23" t="s">
        <v>38</v>
      </c>
      <c r="E113" s="28" t="s">
        <v>21</v>
      </c>
      <c r="F113" s="28" t="s">
        <v>313</v>
      </c>
      <c r="G113" s="11"/>
      <c r="H113" s="11"/>
      <c r="I113" s="11">
        <v>3</v>
      </c>
      <c r="J113" s="11">
        <v>4</v>
      </c>
      <c r="K113" s="11">
        <v>3</v>
      </c>
      <c r="L113" s="21">
        <f t="shared" si="3"/>
        <v>36</v>
      </c>
      <c r="M113" s="21" t="str">
        <f t="shared" si="2"/>
        <v>Moderada</v>
      </c>
      <c r="N113" s="18" t="s">
        <v>259</v>
      </c>
      <c r="O113" s="29">
        <v>46189</v>
      </c>
      <c r="P113" s="29">
        <v>46219</v>
      </c>
      <c r="Q113" s="28" t="s">
        <v>130</v>
      </c>
      <c r="R113" s="28" t="s">
        <v>314</v>
      </c>
      <c r="S113" s="28" t="s">
        <v>292</v>
      </c>
    </row>
    <row r="114" spans="1:19" ht="66.75">
      <c r="A114" s="30">
        <v>113</v>
      </c>
      <c r="B114" s="31">
        <v>46196</v>
      </c>
      <c r="C114" s="30" t="s">
        <v>315</v>
      </c>
      <c r="D114" s="24" t="s">
        <v>38</v>
      </c>
      <c r="E114" s="30" t="s">
        <v>21</v>
      </c>
      <c r="F114" s="30" t="s">
        <v>316</v>
      </c>
      <c r="G114" s="11"/>
      <c r="H114" s="11"/>
      <c r="I114" s="11">
        <v>3</v>
      </c>
      <c r="J114" s="11">
        <v>4</v>
      </c>
      <c r="K114" s="11">
        <v>2</v>
      </c>
      <c r="L114" s="18">
        <f t="shared" si="3"/>
        <v>24</v>
      </c>
      <c r="M114" s="18" t="str">
        <f t="shared" si="2"/>
        <v>Baixa</v>
      </c>
      <c r="N114" s="11" t="s">
        <v>317</v>
      </c>
      <c r="O114" s="31">
        <v>46196</v>
      </c>
      <c r="P114" s="31">
        <v>46226</v>
      </c>
      <c r="Q114" s="30" t="s">
        <v>130</v>
      </c>
      <c r="R114" s="30" t="s">
        <v>318</v>
      </c>
      <c r="S114" s="30" t="s">
        <v>319</v>
      </c>
    </row>
    <row r="115" spans="1:19" ht="50.25">
      <c r="A115" s="28">
        <v>114</v>
      </c>
      <c r="B115" s="29">
        <v>46196</v>
      </c>
      <c r="C115" s="28" t="s">
        <v>315</v>
      </c>
      <c r="D115" s="23" t="s">
        <v>114</v>
      </c>
      <c r="E115" s="28" t="s">
        <v>47</v>
      </c>
      <c r="F115" s="33" t="s">
        <v>320</v>
      </c>
      <c r="G115" s="11"/>
      <c r="H115" s="11"/>
      <c r="I115" s="11">
        <v>2</v>
      </c>
      <c r="J115" s="11">
        <v>3</v>
      </c>
      <c r="K115" s="11">
        <v>3</v>
      </c>
      <c r="L115" s="21">
        <f t="shared" si="3"/>
        <v>18</v>
      </c>
      <c r="M115" s="21" t="str">
        <f t="shared" si="2"/>
        <v>Baixa</v>
      </c>
      <c r="N115" s="11" t="s">
        <v>317</v>
      </c>
      <c r="O115" s="29">
        <v>46196</v>
      </c>
      <c r="P115" s="31">
        <v>46226</v>
      </c>
      <c r="Q115" s="28" t="s">
        <v>130</v>
      </c>
      <c r="R115" s="28" t="s">
        <v>321</v>
      </c>
      <c r="S115" s="28" t="s">
        <v>305</v>
      </c>
    </row>
    <row r="116" spans="1:19" ht="50.25">
      <c r="A116" s="30">
        <v>115</v>
      </c>
      <c r="B116" s="31">
        <v>46196</v>
      </c>
      <c r="C116" s="30" t="s">
        <v>315</v>
      </c>
      <c r="D116" s="24" t="s">
        <v>38</v>
      </c>
      <c r="E116" s="30" t="s">
        <v>289</v>
      </c>
      <c r="F116" s="30" t="s">
        <v>322</v>
      </c>
      <c r="G116" s="11"/>
      <c r="H116" s="11"/>
      <c r="I116" s="11">
        <v>1</v>
      </c>
      <c r="J116" s="11">
        <v>2</v>
      </c>
      <c r="K116" s="11">
        <v>2</v>
      </c>
      <c r="L116" s="18">
        <f t="shared" si="3"/>
        <v>4</v>
      </c>
      <c r="M116" s="18" t="str">
        <f t="shared" si="2"/>
        <v>Baixa</v>
      </c>
      <c r="N116" s="11" t="s">
        <v>317</v>
      </c>
      <c r="O116" s="31">
        <v>46196</v>
      </c>
      <c r="P116" s="31">
        <v>46226</v>
      </c>
      <c r="Q116" s="30" t="s">
        <v>130</v>
      </c>
      <c r="R116" s="30" t="s">
        <v>323</v>
      </c>
      <c r="S116" s="30" t="s">
        <v>319</v>
      </c>
    </row>
    <row r="117" spans="1:19" ht="33.75">
      <c r="A117" s="28">
        <v>116</v>
      </c>
      <c r="B117" s="29">
        <v>46196</v>
      </c>
      <c r="C117" s="28" t="s">
        <v>315</v>
      </c>
      <c r="D117" s="23" t="s">
        <v>114</v>
      </c>
      <c r="E117" s="28" t="s">
        <v>324</v>
      </c>
      <c r="F117" s="33" t="s">
        <v>325</v>
      </c>
      <c r="G117" s="11"/>
      <c r="H117" s="11"/>
      <c r="I117" s="11">
        <v>3</v>
      </c>
      <c r="J117" s="11">
        <v>4</v>
      </c>
      <c r="K117" s="11">
        <v>3</v>
      </c>
      <c r="L117" s="21">
        <f t="shared" si="3"/>
        <v>36</v>
      </c>
      <c r="M117" s="21" t="str">
        <f t="shared" si="2"/>
        <v>Moderada</v>
      </c>
      <c r="N117" s="11" t="s">
        <v>317</v>
      </c>
      <c r="O117" s="29">
        <v>46196</v>
      </c>
      <c r="P117" s="31">
        <v>46226</v>
      </c>
      <c r="Q117" s="28" t="s">
        <v>26</v>
      </c>
      <c r="R117" s="28" t="s">
        <v>326</v>
      </c>
      <c r="S117" s="28" t="s">
        <v>305</v>
      </c>
    </row>
    <row r="118" spans="1:19" ht="33.75">
      <c r="A118" s="30">
        <v>117</v>
      </c>
      <c r="B118" s="31">
        <v>46196</v>
      </c>
      <c r="C118" s="30" t="s">
        <v>315</v>
      </c>
      <c r="D118" s="24" t="s">
        <v>114</v>
      </c>
      <c r="E118" s="30" t="s">
        <v>47</v>
      </c>
      <c r="F118" s="30" t="s">
        <v>327</v>
      </c>
      <c r="G118" s="11"/>
      <c r="H118" s="11"/>
      <c r="I118" s="11">
        <v>2</v>
      </c>
      <c r="J118" s="11">
        <v>2</v>
      </c>
      <c r="K118" s="11">
        <v>2</v>
      </c>
      <c r="L118" s="18">
        <f t="shared" si="3"/>
        <v>8</v>
      </c>
      <c r="M118" s="18" t="str">
        <f t="shared" si="2"/>
        <v>Baixa</v>
      </c>
      <c r="N118" s="11" t="s">
        <v>317</v>
      </c>
      <c r="O118" s="31">
        <v>46196</v>
      </c>
      <c r="P118" s="31">
        <v>46226</v>
      </c>
      <c r="Q118" s="30" t="s">
        <v>130</v>
      </c>
      <c r="R118" s="30" t="s">
        <v>328</v>
      </c>
      <c r="S118" s="30" t="s">
        <v>305</v>
      </c>
    </row>
    <row r="119" spans="1:19" ht="50.25">
      <c r="A119" s="28">
        <v>118</v>
      </c>
      <c r="B119" s="29">
        <v>46196</v>
      </c>
      <c r="C119" s="28" t="s">
        <v>315</v>
      </c>
      <c r="D119" s="23" t="s">
        <v>114</v>
      </c>
      <c r="E119" s="28" t="s">
        <v>324</v>
      </c>
      <c r="F119" s="33" t="s">
        <v>329</v>
      </c>
      <c r="G119" s="11"/>
      <c r="H119" s="11"/>
      <c r="I119" s="11">
        <v>4</v>
      </c>
      <c r="J119" s="11">
        <v>3</v>
      </c>
      <c r="K119" s="11">
        <v>4</v>
      </c>
      <c r="L119" s="21">
        <f t="shared" si="3"/>
        <v>48</v>
      </c>
      <c r="M119" s="21" t="str">
        <f t="shared" si="2"/>
        <v>Moderada</v>
      </c>
      <c r="N119" s="11" t="s">
        <v>317</v>
      </c>
      <c r="O119" s="29">
        <v>46196</v>
      </c>
      <c r="P119" s="31">
        <v>46226</v>
      </c>
      <c r="Q119" s="28" t="s">
        <v>130</v>
      </c>
      <c r="R119" s="28" t="s">
        <v>330</v>
      </c>
      <c r="S119" s="28" t="s">
        <v>305</v>
      </c>
    </row>
    <row r="120" spans="1:19" ht="84">
      <c r="A120" s="30">
        <v>119</v>
      </c>
      <c r="B120" s="31">
        <v>46196</v>
      </c>
      <c r="C120" s="30" t="s">
        <v>315</v>
      </c>
      <c r="D120" s="24" t="s">
        <v>29</v>
      </c>
      <c r="E120" s="30" t="s">
        <v>324</v>
      </c>
      <c r="F120" s="30" t="s">
        <v>331</v>
      </c>
      <c r="G120" s="11"/>
      <c r="H120" s="11"/>
      <c r="I120" s="11">
        <v>4</v>
      </c>
      <c r="J120" s="11">
        <v>3</v>
      </c>
      <c r="K120" s="11">
        <v>4</v>
      </c>
      <c r="L120" s="18">
        <f t="shared" si="3"/>
        <v>48</v>
      </c>
      <c r="M120" s="18" t="str">
        <f t="shared" si="2"/>
        <v>Moderada</v>
      </c>
      <c r="N120" s="11" t="s">
        <v>317</v>
      </c>
      <c r="O120" s="31">
        <v>46196</v>
      </c>
      <c r="P120" s="31">
        <v>46226</v>
      </c>
      <c r="Q120" s="30" t="s">
        <v>130</v>
      </c>
      <c r="R120" s="30" t="s">
        <v>332</v>
      </c>
      <c r="S120" s="30" t="s">
        <v>305</v>
      </c>
    </row>
    <row r="121" spans="1:19" ht="50.25">
      <c r="A121" s="28">
        <v>120</v>
      </c>
      <c r="B121" s="29">
        <v>46196</v>
      </c>
      <c r="C121" s="28" t="s">
        <v>315</v>
      </c>
      <c r="D121" s="23" t="s">
        <v>46</v>
      </c>
      <c r="E121" s="28" t="s">
        <v>324</v>
      </c>
      <c r="F121" s="33" t="s">
        <v>333</v>
      </c>
      <c r="G121" s="11"/>
      <c r="H121" s="11"/>
      <c r="I121" s="11">
        <v>3</v>
      </c>
      <c r="J121" s="11">
        <v>3</v>
      </c>
      <c r="K121" s="11">
        <v>3</v>
      </c>
      <c r="L121" s="21">
        <f t="shared" si="3"/>
        <v>27</v>
      </c>
      <c r="M121" s="21" t="str">
        <f t="shared" si="2"/>
        <v>Baixa</v>
      </c>
      <c r="N121" s="11" t="s">
        <v>317</v>
      </c>
      <c r="O121" s="29">
        <v>46196</v>
      </c>
      <c r="P121" s="31">
        <v>46226</v>
      </c>
      <c r="Q121" s="28" t="s">
        <v>130</v>
      </c>
      <c r="R121" s="28" t="s">
        <v>334</v>
      </c>
      <c r="S121" s="28" t="s">
        <v>51</v>
      </c>
    </row>
    <row r="122" spans="1:19" ht="84">
      <c r="A122" s="30">
        <v>121</v>
      </c>
      <c r="B122" s="31">
        <v>46196</v>
      </c>
      <c r="C122" s="30" t="s">
        <v>315</v>
      </c>
      <c r="D122" s="24" t="s">
        <v>29</v>
      </c>
      <c r="E122" s="30" t="s">
        <v>324</v>
      </c>
      <c r="F122" s="30" t="s">
        <v>335</v>
      </c>
      <c r="G122" s="11"/>
      <c r="H122" s="11"/>
      <c r="I122" s="11">
        <v>3</v>
      </c>
      <c r="J122" s="11">
        <v>4</v>
      </c>
      <c r="K122" s="11">
        <v>3</v>
      </c>
      <c r="L122" s="18">
        <f t="shared" si="3"/>
        <v>36</v>
      </c>
      <c r="M122" s="18" t="str">
        <f t="shared" si="2"/>
        <v>Moderada</v>
      </c>
      <c r="N122" s="11" t="s">
        <v>317</v>
      </c>
      <c r="O122" s="31">
        <v>46196</v>
      </c>
      <c r="P122" s="31">
        <v>46226</v>
      </c>
      <c r="Q122" s="30" t="s">
        <v>130</v>
      </c>
      <c r="R122" s="30" t="s">
        <v>336</v>
      </c>
      <c r="S122" s="30" t="s">
        <v>300</v>
      </c>
    </row>
    <row r="123" spans="1:19" ht="84">
      <c r="A123" s="28">
        <v>122</v>
      </c>
      <c r="B123" s="29">
        <v>46196</v>
      </c>
      <c r="C123" s="28" t="s">
        <v>315</v>
      </c>
      <c r="D123" s="23" t="s">
        <v>29</v>
      </c>
      <c r="E123" s="28" t="s">
        <v>21</v>
      </c>
      <c r="F123" s="33" t="s">
        <v>337</v>
      </c>
      <c r="G123" s="11"/>
      <c r="H123" s="11"/>
      <c r="I123" s="11">
        <v>1</v>
      </c>
      <c r="J123" s="11">
        <v>2</v>
      </c>
      <c r="K123" s="11">
        <v>2</v>
      </c>
      <c r="L123" s="21">
        <f t="shared" si="3"/>
        <v>4</v>
      </c>
      <c r="M123" s="21" t="str">
        <f t="shared" si="2"/>
        <v>Baixa</v>
      </c>
      <c r="N123" s="11" t="s">
        <v>317</v>
      </c>
      <c r="O123" s="29">
        <v>46196</v>
      </c>
      <c r="P123" s="31">
        <v>46226</v>
      </c>
      <c r="Q123" s="28" t="s">
        <v>130</v>
      </c>
      <c r="R123" s="28" t="s">
        <v>338</v>
      </c>
      <c r="S123" s="28" t="s">
        <v>284</v>
      </c>
    </row>
    <row r="124" spans="1:19" ht="84">
      <c r="A124" s="30">
        <v>123</v>
      </c>
      <c r="B124" s="31">
        <v>46206</v>
      </c>
      <c r="C124" s="30" t="s">
        <v>339</v>
      </c>
      <c r="D124" s="24" t="s">
        <v>340</v>
      </c>
      <c r="E124" s="30" t="s">
        <v>21</v>
      </c>
      <c r="F124" s="30" t="s">
        <v>341</v>
      </c>
      <c r="G124" s="11"/>
      <c r="H124" s="11"/>
      <c r="I124" s="11">
        <v>3</v>
      </c>
      <c r="J124" s="11">
        <v>4</v>
      </c>
      <c r="K124" s="11">
        <v>3</v>
      </c>
      <c r="L124" s="18">
        <f t="shared" si="3"/>
        <v>36</v>
      </c>
      <c r="M124" s="18" t="str">
        <f t="shared" si="2"/>
        <v>Moderada</v>
      </c>
      <c r="N124" s="30" t="s">
        <v>342</v>
      </c>
      <c r="O124" s="31">
        <v>46206</v>
      </c>
      <c r="P124" s="11"/>
      <c r="Q124" s="30" t="s">
        <v>26</v>
      </c>
      <c r="R124" s="30" t="s">
        <v>343</v>
      </c>
      <c r="S124" s="30" t="s">
        <v>51</v>
      </c>
    </row>
    <row r="125" spans="1:19" ht="50.25">
      <c r="A125" s="28">
        <v>124</v>
      </c>
      <c r="B125" s="29">
        <v>46206</v>
      </c>
      <c r="C125" s="28" t="s">
        <v>339</v>
      </c>
      <c r="D125" s="23" t="s">
        <v>114</v>
      </c>
      <c r="E125" s="28" t="s">
        <v>344</v>
      </c>
      <c r="F125" s="28" t="s">
        <v>345</v>
      </c>
      <c r="G125" s="11"/>
      <c r="H125" s="11"/>
      <c r="I125" s="11">
        <v>3</v>
      </c>
      <c r="J125" s="11">
        <v>4</v>
      </c>
      <c r="K125" s="11">
        <v>3</v>
      </c>
      <c r="L125" s="21">
        <f t="shared" si="3"/>
        <v>36</v>
      </c>
      <c r="M125" s="21" t="str">
        <f t="shared" si="2"/>
        <v>Moderada</v>
      </c>
      <c r="N125" s="28" t="s">
        <v>342</v>
      </c>
      <c r="O125" s="29">
        <v>46206</v>
      </c>
      <c r="P125" s="11"/>
      <c r="Q125" s="28" t="s">
        <v>26</v>
      </c>
      <c r="R125" s="28" t="s">
        <v>346</v>
      </c>
      <c r="S125" s="28" t="s">
        <v>305</v>
      </c>
    </row>
    <row r="126" spans="1:19" ht="50.25">
      <c r="A126" s="30">
        <v>125</v>
      </c>
      <c r="B126" s="31">
        <v>46206</v>
      </c>
      <c r="C126" s="30" t="s">
        <v>339</v>
      </c>
      <c r="D126" s="24" t="s">
        <v>38</v>
      </c>
      <c r="E126" s="30" t="s">
        <v>21</v>
      </c>
      <c r="F126" s="30" t="s">
        <v>347</v>
      </c>
      <c r="G126" s="11"/>
      <c r="H126" s="11"/>
      <c r="I126" s="11">
        <v>2</v>
      </c>
      <c r="J126" s="11">
        <v>3</v>
      </c>
      <c r="K126" s="11">
        <v>2</v>
      </c>
      <c r="L126" s="18">
        <f t="shared" si="3"/>
        <v>12</v>
      </c>
      <c r="M126" s="18" t="str">
        <f t="shared" si="2"/>
        <v>Baixa</v>
      </c>
      <c r="N126" s="30" t="s">
        <v>342</v>
      </c>
      <c r="O126" s="31">
        <v>46206</v>
      </c>
      <c r="P126" s="11"/>
      <c r="Q126" s="30" t="s">
        <v>130</v>
      </c>
      <c r="R126" s="30" t="s">
        <v>348</v>
      </c>
      <c r="S126" s="30" t="s">
        <v>292</v>
      </c>
    </row>
    <row r="127" spans="1:19" ht="66.75">
      <c r="A127" s="28">
        <v>126</v>
      </c>
      <c r="B127" s="29">
        <v>46206</v>
      </c>
      <c r="C127" s="28" t="s">
        <v>339</v>
      </c>
      <c r="D127" s="23" t="s">
        <v>38</v>
      </c>
      <c r="E127" s="28" t="s">
        <v>21</v>
      </c>
      <c r="F127" s="28" t="s">
        <v>349</v>
      </c>
      <c r="G127" s="11"/>
      <c r="H127" s="11"/>
      <c r="I127" s="11">
        <v>3</v>
      </c>
      <c r="J127" s="11">
        <v>4</v>
      </c>
      <c r="K127" s="11">
        <v>4</v>
      </c>
      <c r="L127" s="21">
        <f t="shared" si="3"/>
        <v>48</v>
      </c>
      <c r="M127" s="21" t="str">
        <f t="shared" si="2"/>
        <v>Moderada</v>
      </c>
      <c r="N127" s="28" t="s">
        <v>342</v>
      </c>
      <c r="O127" s="29">
        <v>46206</v>
      </c>
      <c r="P127" s="11"/>
      <c r="Q127" s="28" t="s">
        <v>130</v>
      </c>
      <c r="R127" s="28" t="s">
        <v>220</v>
      </c>
      <c r="S127" s="28" t="s">
        <v>319</v>
      </c>
    </row>
    <row r="128" spans="1:19" ht="50.25">
      <c r="A128" s="30">
        <v>127</v>
      </c>
      <c r="B128" s="31">
        <v>46206</v>
      </c>
      <c r="C128" s="30" t="s">
        <v>339</v>
      </c>
      <c r="D128" s="24" t="s">
        <v>46</v>
      </c>
      <c r="E128" s="30" t="s">
        <v>47</v>
      </c>
      <c r="F128" s="30" t="s">
        <v>350</v>
      </c>
      <c r="G128" s="11"/>
      <c r="H128" s="11"/>
      <c r="I128" s="11">
        <v>3</v>
      </c>
      <c r="J128" s="11">
        <v>4</v>
      </c>
      <c r="K128" s="11">
        <v>4</v>
      </c>
      <c r="L128" s="18">
        <f t="shared" si="3"/>
        <v>48</v>
      </c>
      <c r="M128" s="18" t="str">
        <f t="shared" si="2"/>
        <v>Moderada</v>
      </c>
      <c r="N128" s="30" t="s">
        <v>342</v>
      </c>
      <c r="O128" s="31">
        <v>46206</v>
      </c>
      <c r="P128" s="11"/>
      <c r="Q128" s="30" t="s">
        <v>130</v>
      </c>
      <c r="R128" s="30" t="s">
        <v>351</v>
      </c>
      <c r="S128" s="30" t="s">
        <v>51</v>
      </c>
    </row>
    <row r="129" spans="1:19" ht="50.25">
      <c r="A129" s="28">
        <v>128</v>
      </c>
      <c r="B129" s="29">
        <v>46206</v>
      </c>
      <c r="C129" s="28" t="s">
        <v>339</v>
      </c>
      <c r="D129" s="23" t="s">
        <v>38</v>
      </c>
      <c r="E129" s="28" t="s">
        <v>21</v>
      </c>
      <c r="F129" s="28" t="s">
        <v>352</v>
      </c>
      <c r="G129" s="11"/>
      <c r="H129" s="11" t="s">
        <v>117</v>
      </c>
      <c r="I129" s="11">
        <v>3</v>
      </c>
      <c r="J129" s="11">
        <v>4</v>
      </c>
      <c r="K129" s="11">
        <v>4</v>
      </c>
      <c r="L129" s="21">
        <f t="shared" si="3"/>
        <v>48</v>
      </c>
      <c r="M129" s="21" t="str">
        <f t="shared" si="2"/>
        <v>Imediata</v>
      </c>
      <c r="N129" s="28" t="s">
        <v>342</v>
      </c>
      <c r="O129" s="29">
        <v>46206</v>
      </c>
      <c r="P129" s="11"/>
      <c r="Q129" s="28" t="s">
        <v>130</v>
      </c>
      <c r="R129" s="28" t="s">
        <v>353</v>
      </c>
      <c r="S129" s="28" t="s">
        <v>132</v>
      </c>
    </row>
    <row r="130" spans="1:19" ht="50.25">
      <c r="A130" s="30">
        <v>129</v>
      </c>
      <c r="B130" s="31">
        <v>46206</v>
      </c>
      <c r="C130" s="30" t="s">
        <v>339</v>
      </c>
      <c r="D130" s="24" t="s">
        <v>38</v>
      </c>
      <c r="E130" s="30" t="s">
        <v>21</v>
      </c>
      <c r="F130" s="30" t="s">
        <v>354</v>
      </c>
      <c r="G130" s="11"/>
      <c r="H130" s="11"/>
      <c r="I130" s="11">
        <v>4</v>
      </c>
      <c r="J130" s="11">
        <v>5</v>
      </c>
      <c r="K130" s="11">
        <v>4</v>
      </c>
      <c r="L130" s="18">
        <f t="shared" si="3"/>
        <v>80</v>
      </c>
      <c r="M130" s="18" t="str">
        <f t="shared" ref="M130:M193" si="4">IF(OR(H130="Sim",Y130="Ameaça imediata"),"Imediata",IF(L130="","Pendente de avaliação",IF(J130=5,"Alta",IF(L130&gt;=65,"Alta",IF(L130&gt;=28,"Moderada","Baixa")))))</f>
        <v>Alta</v>
      </c>
      <c r="N130" s="30" t="s">
        <v>342</v>
      </c>
      <c r="O130" s="31">
        <v>46206</v>
      </c>
      <c r="P130" s="11"/>
      <c r="Q130" s="30" t="s">
        <v>130</v>
      </c>
      <c r="R130" s="30" t="s">
        <v>353</v>
      </c>
      <c r="S130" s="30" t="s">
        <v>132</v>
      </c>
    </row>
    <row r="131" spans="1:19" ht="33.75">
      <c r="A131" s="28">
        <v>130</v>
      </c>
      <c r="B131" s="29">
        <v>46206</v>
      </c>
      <c r="C131" s="28" t="s">
        <v>339</v>
      </c>
      <c r="D131" s="23" t="s">
        <v>38</v>
      </c>
      <c r="E131" s="28" t="s">
        <v>21</v>
      </c>
      <c r="F131" s="28" t="s">
        <v>355</v>
      </c>
      <c r="G131" s="11"/>
      <c r="H131" s="11"/>
      <c r="I131" s="11">
        <v>2</v>
      </c>
      <c r="J131" s="11">
        <v>4</v>
      </c>
      <c r="K131" s="11">
        <v>3</v>
      </c>
      <c r="L131" s="21">
        <f t="shared" ref="L131:L194" si="5">IF(COUNT(I131:K131)=3,I131*J131*K131,"")</f>
        <v>24</v>
      </c>
      <c r="M131" s="21" t="str">
        <f t="shared" si="4"/>
        <v>Baixa</v>
      </c>
      <c r="N131" s="28" t="s">
        <v>342</v>
      </c>
      <c r="O131" s="29">
        <v>46206</v>
      </c>
      <c r="P131" s="11"/>
      <c r="Q131" s="28" t="s">
        <v>130</v>
      </c>
      <c r="R131" s="28" t="s">
        <v>356</v>
      </c>
      <c r="S131" s="28" t="s">
        <v>132</v>
      </c>
    </row>
    <row r="132" spans="1:19" ht="66.75">
      <c r="A132" s="30">
        <v>131</v>
      </c>
      <c r="B132" s="31">
        <v>46206</v>
      </c>
      <c r="C132" s="30" t="s">
        <v>339</v>
      </c>
      <c r="D132" s="24" t="s">
        <v>29</v>
      </c>
      <c r="E132" s="30" t="s">
        <v>344</v>
      </c>
      <c r="F132" s="30" t="s">
        <v>357</v>
      </c>
      <c r="G132" s="11"/>
      <c r="H132" s="11"/>
      <c r="I132" s="11">
        <v>2</v>
      </c>
      <c r="J132" s="11">
        <v>2</v>
      </c>
      <c r="K132" s="11">
        <v>2</v>
      </c>
      <c r="L132" s="18">
        <f t="shared" si="5"/>
        <v>8</v>
      </c>
      <c r="M132" s="18" t="str">
        <f t="shared" si="4"/>
        <v>Baixa</v>
      </c>
      <c r="N132" s="30" t="s">
        <v>342</v>
      </c>
      <c r="O132" s="31">
        <v>46206</v>
      </c>
      <c r="P132" s="11"/>
      <c r="Q132" s="30" t="s">
        <v>26</v>
      </c>
      <c r="R132" s="30" t="s">
        <v>358</v>
      </c>
      <c r="S132" s="30" t="s">
        <v>300</v>
      </c>
    </row>
    <row r="133" spans="1:19" ht="33.75">
      <c r="A133" s="28">
        <v>132</v>
      </c>
      <c r="B133" s="29">
        <v>46206</v>
      </c>
      <c r="C133" s="28" t="s">
        <v>339</v>
      </c>
      <c r="D133" s="23" t="s">
        <v>29</v>
      </c>
      <c r="E133" s="28" t="s">
        <v>344</v>
      </c>
      <c r="F133" s="28" t="s">
        <v>359</v>
      </c>
      <c r="G133" s="11"/>
      <c r="H133" s="11"/>
      <c r="I133" s="11">
        <v>3</v>
      </c>
      <c r="J133" s="11">
        <v>4</v>
      </c>
      <c r="K133" s="11">
        <v>3</v>
      </c>
      <c r="L133" s="21">
        <f t="shared" si="5"/>
        <v>36</v>
      </c>
      <c r="M133" s="21" t="str">
        <f t="shared" si="4"/>
        <v>Moderada</v>
      </c>
      <c r="N133" s="28" t="s">
        <v>342</v>
      </c>
      <c r="O133" s="29">
        <v>46206</v>
      </c>
      <c r="P133" s="11"/>
      <c r="Q133" s="28" t="s">
        <v>26</v>
      </c>
      <c r="R133" s="28" t="s">
        <v>358</v>
      </c>
      <c r="S133" s="28" t="s">
        <v>300</v>
      </c>
    </row>
    <row r="134" spans="1:19" ht="100.5">
      <c r="A134" s="30">
        <v>133</v>
      </c>
      <c r="B134" s="31">
        <v>46206</v>
      </c>
      <c r="C134" s="30" t="s">
        <v>339</v>
      </c>
      <c r="D134" s="24" t="s">
        <v>29</v>
      </c>
      <c r="E134" s="30" t="s">
        <v>344</v>
      </c>
      <c r="F134" s="30" t="s">
        <v>360</v>
      </c>
      <c r="G134" s="11"/>
      <c r="H134" s="11"/>
      <c r="I134" s="11">
        <v>2</v>
      </c>
      <c r="J134" s="11">
        <v>4</v>
      </c>
      <c r="K134" s="11">
        <v>3</v>
      </c>
      <c r="L134" s="18">
        <f t="shared" si="5"/>
        <v>24</v>
      </c>
      <c r="M134" s="18" t="str">
        <f t="shared" si="4"/>
        <v>Baixa</v>
      </c>
      <c r="N134" s="30" t="s">
        <v>342</v>
      </c>
      <c r="O134" s="31">
        <v>46206</v>
      </c>
      <c r="P134" s="11"/>
      <c r="Q134" s="30" t="s">
        <v>26</v>
      </c>
      <c r="R134" s="30" t="s">
        <v>358</v>
      </c>
      <c r="S134" s="30" t="s">
        <v>300</v>
      </c>
    </row>
    <row r="135" spans="1:19" ht="50.25">
      <c r="A135" s="28">
        <v>134</v>
      </c>
      <c r="B135" s="29">
        <v>46206</v>
      </c>
      <c r="C135" s="28" t="s">
        <v>339</v>
      </c>
      <c r="D135" s="23" t="s">
        <v>114</v>
      </c>
      <c r="E135" s="28" t="s">
        <v>30</v>
      </c>
      <c r="F135" s="28" t="s">
        <v>361</v>
      </c>
      <c r="G135" s="11"/>
      <c r="H135" s="11"/>
      <c r="I135" s="11">
        <v>3</v>
      </c>
      <c r="J135" s="11">
        <v>3</v>
      </c>
      <c r="K135" s="11">
        <v>3</v>
      </c>
      <c r="L135" s="21">
        <f t="shared" si="5"/>
        <v>27</v>
      </c>
      <c r="M135" s="21" t="str">
        <f t="shared" si="4"/>
        <v>Baixa</v>
      </c>
      <c r="N135" s="28" t="s">
        <v>342</v>
      </c>
      <c r="O135" s="29">
        <v>46206</v>
      </c>
      <c r="P135" s="11"/>
      <c r="Q135" s="28" t="s">
        <v>130</v>
      </c>
      <c r="R135" s="28" t="s">
        <v>362</v>
      </c>
      <c r="S135" s="28" t="s">
        <v>300</v>
      </c>
    </row>
    <row r="136" spans="1:19" ht="66.75">
      <c r="A136" s="30">
        <v>135</v>
      </c>
      <c r="B136" s="31">
        <v>46206</v>
      </c>
      <c r="C136" s="30" t="s">
        <v>339</v>
      </c>
      <c r="D136" s="24" t="s">
        <v>20</v>
      </c>
      <c r="E136" s="30" t="s">
        <v>21</v>
      </c>
      <c r="F136" s="30" t="s">
        <v>363</v>
      </c>
      <c r="G136" s="11"/>
      <c r="H136" s="11"/>
      <c r="I136" s="11">
        <v>3</v>
      </c>
      <c r="J136" s="11">
        <v>3</v>
      </c>
      <c r="K136" s="11">
        <v>3</v>
      </c>
      <c r="L136" s="18">
        <f t="shared" si="5"/>
        <v>27</v>
      </c>
      <c r="M136" s="18" t="str">
        <f t="shared" si="4"/>
        <v>Baixa</v>
      </c>
      <c r="N136" s="30" t="s">
        <v>342</v>
      </c>
      <c r="O136" s="31">
        <v>46206</v>
      </c>
      <c r="P136" s="11"/>
      <c r="Q136" s="30" t="s">
        <v>130</v>
      </c>
      <c r="R136" s="30" t="s">
        <v>364</v>
      </c>
      <c r="S136" s="30" t="s">
        <v>300</v>
      </c>
    </row>
    <row r="137" spans="1:19" ht="33.75">
      <c r="A137" s="28">
        <v>136</v>
      </c>
      <c r="B137" s="29">
        <v>46206</v>
      </c>
      <c r="C137" s="28" t="s">
        <v>339</v>
      </c>
      <c r="D137" s="23" t="s">
        <v>114</v>
      </c>
      <c r="E137" s="28" t="s">
        <v>344</v>
      </c>
      <c r="F137" s="28" t="s">
        <v>365</v>
      </c>
      <c r="G137" s="11"/>
      <c r="H137" s="11"/>
      <c r="I137" s="11">
        <v>4</v>
      </c>
      <c r="J137" s="11">
        <v>4</v>
      </c>
      <c r="K137" s="11">
        <v>4</v>
      </c>
      <c r="L137" s="21">
        <f t="shared" si="5"/>
        <v>64</v>
      </c>
      <c r="M137" s="21" t="str">
        <f t="shared" si="4"/>
        <v>Moderada</v>
      </c>
      <c r="N137" s="28" t="s">
        <v>342</v>
      </c>
      <c r="O137" s="29">
        <v>46206</v>
      </c>
      <c r="P137" s="11"/>
      <c r="Q137" s="28" t="s">
        <v>26</v>
      </c>
      <c r="R137" s="28" t="s">
        <v>358</v>
      </c>
      <c r="S137" s="28" t="s">
        <v>305</v>
      </c>
    </row>
    <row r="138" spans="1:19" ht="50.25">
      <c r="A138" s="30">
        <v>137</v>
      </c>
      <c r="B138" s="31">
        <v>46206</v>
      </c>
      <c r="C138" s="30" t="s">
        <v>339</v>
      </c>
      <c r="D138" s="24" t="s">
        <v>340</v>
      </c>
      <c r="E138" s="30" t="s">
        <v>344</v>
      </c>
      <c r="F138" s="30" t="s">
        <v>366</v>
      </c>
      <c r="G138" s="11"/>
      <c r="H138" s="11"/>
      <c r="I138" s="11">
        <v>3</v>
      </c>
      <c r="J138" s="11">
        <v>2</v>
      </c>
      <c r="K138" s="11">
        <v>3</v>
      </c>
      <c r="L138" s="18">
        <f t="shared" si="5"/>
        <v>18</v>
      </c>
      <c r="M138" s="18" t="str">
        <f t="shared" si="4"/>
        <v>Baixa</v>
      </c>
      <c r="N138" s="30" t="s">
        <v>342</v>
      </c>
      <c r="O138" s="31">
        <v>46206</v>
      </c>
      <c r="P138" s="11"/>
      <c r="Q138" s="30" t="s">
        <v>26</v>
      </c>
      <c r="R138" s="30" t="s">
        <v>367</v>
      </c>
      <c r="S138" s="30" t="s">
        <v>287</v>
      </c>
    </row>
    <row r="139" spans="1:19" ht="33.75">
      <c r="A139" s="28">
        <v>138</v>
      </c>
      <c r="B139" s="29">
        <v>46206</v>
      </c>
      <c r="C139" s="28" t="s">
        <v>339</v>
      </c>
      <c r="D139" s="23" t="s">
        <v>114</v>
      </c>
      <c r="E139" s="28" t="s">
        <v>47</v>
      </c>
      <c r="F139" s="28" t="s">
        <v>368</v>
      </c>
      <c r="G139" s="11"/>
      <c r="H139" s="11"/>
      <c r="I139" s="11">
        <v>4</v>
      </c>
      <c r="J139" s="11">
        <v>5</v>
      </c>
      <c r="K139" s="11">
        <v>4</v>
      </c>
      <c r="L139" s="21">
        <f t="shared" si="5"/>
        <v>80</v>
      </c>
      <c r="M139" s="21" t="str">
        <f t="shared" si="4"/>
        <v>Alta</v>
      </c>
      <c r="N139" s="28" t="s">
        <v>342</v>
      </c>
      <c r="O139" s="29">
        <v>46206</v>
      </c>
      <c r="P139" s="11"/>
      <c r="Q139" s="28" t="s">
        <v>130</v>
      </c>
      <c r="R139" s="28" t="s">
        <v>369</v>
      </c>
      <c r="S139" s="28" t="s">
        <v>305</v>
      </c>
    </row>
    <row r="140" spans="1:19" ht="33.75">
      <c r="A140" s="30">
        <v>139</v>
      </c>
      <c r="B140" s="31">
        <v>46206</v>
      </c>
      <c r="C140" s="30" t="s">
        <v>339</v>
      </c>
      <c r="D140" s="24" t="s">
        <v>29</v>
      </c>
      <c r="E140" s="30" t="s">
        <v>97</v>
      </c>
      <c r="F140" s="30" t="s">
        <v>370</v>
      </c>
      <c r="G140" s="11"/>
      <c r="H140" s="11"/>
      <c r="I140" s="11">
        <v>3</v>
      </c>
      <c r="J140" s="11">
        <v>4</v>
      </c>
      <c r="K140" s="11">
        <v>3</v>
      </c>
      <c r="L140" s="18">
        <f t="shared" si="5"/>
        <v>36</v>
      </c>
      <c r="M140" s="18" t="str">
        <f t="shared" si="4"/>
        <v>Moderada</v>
      </c>
      <c r="N140" s="30" t="s">
        <v>342</v>
      </c>
      <c r="O140" s="31">
        <v>46206</v>
      </c>
      <c r="P140" s="11"/>
      <c r="Q140" s="30" t="s">
        <v>130</v>
      </c>
      <c r="R140" s="30" t="s">
        <v>371</v>
      </c>
      <c r="S140" s="30" t="s">
        <v>300</v>
      </c>
    </row>
    <row r="141" spans="1:19" ht="50.25">
      <c r="A141" s="28">
        <v>140</v>
      </c>
      <c r="B141" s="29">
        <v>46206</v>
      </c>
      <c r="C141" s="28" t="s">
        <v>339</v>
      </c>
      <c r="D141" s="23" t="s">
        <v>29</v>
      </c>
      <c r="E141" s="28" t="s">
        <v>97</v>
      </c>
      <c r="F141" s="28" t="s">
        <v>372</v>
      </c>
      <c r="G141" s="11"/>
      <c r="H141" s="11"/>
      <c r="I141" s="11">
        <v>3</v>
      </c>
      <c r="J141" s="11">
        <v>3</v>
      </c>
      <c r="K141" s="11">
        <v>3</v>
      </c>
      <c r="L141" s="21">
        <f t="shared" si="5"/>
        <v>27</v>
      </c>
      <c r="M141" s="21" t="str">
        <f t="shared" si="4"/>
        <v>Baixa</v>
      </c>
      <c r="N141" s="28" t="s">
        <v>342</v>
      </c>
      <c r="O141" s="29">
        <v>46206</v>
      </c>
      <c r="P141" s="11"/>
      <c r="Q141" s="28" t="s">
        <v>130</v>
      </c>
      <c r="R141" s="28" t="s">
        <v>373</v>
      </c>
      <c r="S141" s="28" t="s">
        <v>292</v>
      </c>
    </row>
    <row r="142" spans="1:19" ht="33.75">
      <c r="A142" s="30">
        <v>141</v>
      </c>
      <c r="B142" s="31">
        <v>46206</v>
      </c>
      <c r="C142" s="30" t="s">
        <v>339</v>
      </c>
      <c r="D142" s="24" t="s">
        <v>29</v>
      </c>
      <c r="E142" s="30" t="s">
        <v>344</v>
      </c>
      <c r="F142" s="30" t="s">
        <v>374</v>
      </c>
      <c r="G142" s="11"/>
      <c r="H142" s="11"/>
      <c r="I142" s="11">
        <v>3</v>
      </c>
      <c r="J142" s="11">
        <v>4</v>
      </c>
      <c r="K142" s="11">
        <v>3</v>
      </c>
      <c r="L142" s="18">
        <f t="shared" si="5"/>
        <v>36</v>
      </c>
      <c r="M142" s="18" t="str">
        <f t="shared" si="4"/>
        <v>Moderada</v>
      </c>
      <c r="N142" s="30" t="s">
        <v>342</v>
      </c>
      <c r="O142" s="31">
        <v>46206</v>
      </c>
      <c r="P142" s="11"/>
      <c r="Q142" s="30" t="s">
        <v>26</v>
      </c>
      <c r="R142" s="30" t="s">
        <v>375</v>
      </c>
      <c r="S142" s="30" t="s">
        <v>300</v>
      </c>
    </row>
    <row r="143" spans="1:19" ht="50.25">
      <c r="A143" s="28">
        <v>142</v>
      </c>
      <c r="B143" s="29">
        <v>46206</v>
      </c>
      <c r="C143" s="28" t="s">
        <v>339</v>
      </c>
      <c r="D143" s="23" t="s">
        <v>114</v>
      </c>
      <c r="E143" s="28" t="s">
        <v>344</v>
      </c>
      <c r="F143" s="28" t="s">
        <v>376</v>
      </c>
      <c r="G143" s="11"/>
      <c r="H143" s="11"/>
      <c r="I143" s="11">
        <v>3</v>
      </c>
      <c r="J143" s="11">
        <v>4</v>
      </c>
      <c r="K143" s="11">
        <v>3</v>
      </c>
      <c r="L143" s="21">
        <f t="shared" si="5"/>
        <v>36</v>
      </c>
      <c r="M143" s="21" t="str">
        <f t="shared" si="4"/>
        <v>Moderada</v>
      </c>
      <c r="N143" s="28" t="s">
        <v>342</v>
      </c>
      <c r="O143" s="29">
        <v>46206</v>
      </c>
      <c r="P143" s="11"/>
      <c r="Q143" s="28" t="s">
        <v>130</v>
      </c>
      <c r="R143" s="28" t="s">
        <v>375</v>
      </c>
      <c r="S143" s="28" t="s">
        <v>51</v>
      </c>
    </row>
    <row r="144" spans="1:19" ht="66.75">
      <c r="A144" s="30">
        <v>143</v>
      </c>
      <c r="B144" s="31">
        <v>46210</v>
      </c>
      <c r="C144" s="30" t="s">
        <v>377</v>
      </c>
      <c r="D144" s="24" t="s">
        <v>213</v>
      </c>
      <c r="E144" s="30" t="s">
        <v>97</v>
      </c>
      <c r="F144" s="32" t="s">
        <v>378</v>
      </c>
      <c r="G144" s="11"/>
      <c r="H144" s="11"/>
      <c r="I144" s="11">
        <v>4</v>
      </c>
      <c r="J144" s="11">
        <v>4</v>
      </c>
      <c r="K144" s="11">
        <v>4</v>
      </c>
      <c r="L144" s="18">
        <f t="shared" si="5"/>
        <v>64</v>
      </c>
      <c r="M144" s="18" t="str">
        <f t="shared" si="4"/>
        <v>Moderada</v>
      </c>
      <c r="N144" s="30" t="s">
        <v>76</v>
      </c>
      <c r="O144" s="31">
        <v>46210</v>
      </c>
      <c r="P144" s="11"/>
      <c r="Q144" s="30" t="s">
        <v>130</v>
      </c>
      <c r="R144" s="30" t="s">
        <v>379</v>
      </c>
      <c r="S144" s="30" t="s">
        <v>51</v>
      </c>
    </row>
    <row r="145" spans="1:19" ht="33.75">
      <c r="A145" s="28">
        <v>144</v>
      </c>
      <c r="B145" s="29">
        <v>46210</v>
      </c>
      <c r="C145" s="28" t="s">
        <v>377</v>
      </c>
      <c r="D145" s="23" t="s">
        <v>20</v>
      </c>
      <c r="E145" s="28" t="s">
        <v>21</v>
      </c>
      <c r="F145" s="21" t="s">
        <v>380</v>
      </c>
      <c r="G145" s="11"/>
      <c r="H145" s="11"/>
      <c r="I145" s="11">
        <v>2</v>
      </c>
      <c r="J145" s="11">
        <v>3</v>
      </c>
      <c r="K145" s="11">
        <v>2</v>
      </c>
      <c r="L145" s="21">
        <f t="shared" si="5"/>
        <v>12</v>
      </c>
      <c r="M145" s="21" t="str">
        <f t="shared" si="4"/>
        <v>Baixa</v>
      </c>
      <c r="N145" s="28" t="s">
        <v>76</v>
      </c>
      <c r="O145" s="29">
        <v>46210</v>
      </c>
      <c r="P145" s="11"/>
      <c r="Q145" s="28" t="s">
        <v>130</v>
      </c>
      <c r="R145" s="28" t="s">
        <v>381</v>
      </c>
      <c r="S145" s="28" t="s">
        <v>292</v>
      </c>
    </row>
    <row r="146" spans="1:19" ht="50.25">
      <c r="A146" s="30">
        <v>145</v>
      </c>
      <c r="B146" s="31">
        <v>46210</v>
      </c>
      <c r="C146" s="30" t="s">
        <v>377</v>
      </c>
      <c r="D146" s="24" t="s">
        <v>29</v>
      </c>
      <c r="E146" s="30" t="s">
        <v>97</v>
      </c>
      <c r="F146" s="32" t="s">
        <v>382</v>
      </c>
      <c r="G146" s="11"/>
      <c r="H146" s="11"/>
      <c r="I146" s="11">
        <v>2</v>
      </c>
      <c r="J146" s="11">
        <v>3</v>
      </c>
      <c r="K146" s="11">
        <v>2</v>
      </c>
      <c r="L146" s="18">
        <f t="shared" si="5"/>
        <v>12</v>
      </c>
      <c r="M146" s="18" t="str">
        <f t="shared" si="4"/>
        <v>Baixa</v>
      </c>
      <c r="N146" s="30" t="s">
        <v>76</v>
      </c>
      <c r="O146" s="31">
        <v>46210</v>
      </c>
      <c r="P146" s="11"/>
      <c r="Q146" s="30" t="s">
        <v>26</v>
      </c>
      <c r="R146" s="30" t="s">
        <v>383</v>
      </c>
      <c r="S146" s="30" t="s">
        <v>292</v>
      </c>
    </row>
    <row r="147" spans="1:19" ht="50.25">
      <c r="A147" s="28">
        <v>146</v>
      </c>
      <c r="B147" s="29">
        <v>46210</v>
      </c>
      <c r="C147" s="28" t="s">
        <v>377</v>
      </c>
      <c r="D147" s="23" t="s">
        <v>29</v>
      </c>
      <c r="E147" s="28" t="s">
        <v>21</v>
      </c>
      <c r="F147" s="21" t="s">
        <v>384</v>
      </c>
      <c r="G147" s="11"/>
      <c r="H147" s="11"/>
      <c r="I147" s="11">
        <v>2</v>
      </c>
      <c r="J147" s="11">
        <v>2</v>
      </c>
      <c r="K147" s="11">
        <v>2</v>
      </c>
      <c r="L147" s="21">
        <f t="shared" si="5"/>
        <v>8</v>
      </c>
      <c r="M147" s="21" t="str">
        <f t="shared" si="4"/>
        <v>Baixa</v>
      </c>
      <c r="N147" s="28" t="s">
        <v>76</v>
      </c>
      <c r="O147" s="29">
        <v>46210</v>
      </c>
      <c r="P147" s="11"/>
      <c r="Q147" s="28" t="s">
        <v>26</v>
      </c>
      <c r="R147" s="28" t="s">
        <v>385</v>
      </c>
      <c r="S147" s="28" t="s">
        <v>292</v>
      </c>
    </row>
    <row r="148" spans="1:19" ht="50.25">
      <c r="A148" s="30">
        <v>147</v>
      </c>
      <c r="B148" s="31">
        <v>46210</v>
      </c>
      <c r="C148" s="30" t="s">
        <v>377</v>
      </c>
      <c r="D148" s="24" t="s">
        <v>29</v>
      </c>
      <c r="E148" s="30" t="s">
        <v>344</v>
      </c>
      <c r="F148" s="32" t="s">
        <v>386</v>
      </c>
      <c r="G148" s="11"/>
      <c r="H148" s="11"/>
      <c r="I148" s="11">
        <v>2</v>
      </c>
      <c r="J148" s="11">
        <v>2</v>
      </c>
      <c r="K148" s="11">
        <v>2</v>
      </c>
      <c r="L148" s="18">
        <f t="shared" si="5"/>
        <v>8</v>
      </c>
      <c r="M148" s="18" t="str">
        <f t="shared" si="4"/>
        <v>Baixa</v>
      </c>
      <c r="N148" s="30" t="s">
        <v>76</v>
      </c>
      <c r="O148" s="31">
        <v>46210</v>
      </c>
      <c r="P148" s="11"/>
      <c r="Q148" s="30" t="s">
        <v>130</v>
      </c>
      <c r="R148" s="30" t="s">
        <v>387</v>
      </c>
      <c r="S148" s="30" t="s">
        <v>300</v>
      </c>
    </row>
    <row r="149" spans="1:19" ht="33.75">
      <c r="A149" s="28">
        <v>148</v>
      </c>
      <c r="B149" s="29">
        <v>46210</v>
      </c>
      <c r="C149" s="28" t="s">
        <v>377</v>
      </c>
      <c r="D149" s="23" t="s">
        <v>114</v>
      </c>
      <c r="E149" s="28" t="s">
        <v>344</v>
      </c>
      <c r="F149" s="21" t="s">
        <v>388</v>
      </c>
      <c r="G149" s="11"/>
      <c r="H149" s="11"/>
      <c r="I149" s="11">
        <v>2</v>
      </c>
      <c r="J149" s="11">
        <v>3</v>
      </c>
      <c r="K149" s="11">
        <v>3</v>
      </c>
      <c r="L149" s="21">
        <f t="shared" si="5"/>
        <v>18</v>
      </c>
      <c r="M149" s="21" t="str">
        <f t="shared" si="4"/>
        <v>Baixa</v>
      </c>
      <c r="N149" s="28" t="s">
        <v>76</v>
      </c>
      <c r="O149" s="29">
        <v>46210</v>
      </c>
      <c r="P149" s="11"/>
      <c r="Q149" s="28" t="s">
        <v>130</v>
      </c>
      <c r="R149" s="28" t="s">
        <v>387</v>
      </c>
      <c r="S149" s="28" t="s">
        <v>305</v>
      </c>
    </row>
    <row r="150" spans="1:19" ht="33.75">
      <c r="A150" s="30">
        <v>149</v>
      </c>
      <c r="B150" s="31">
        <v>46210</v>
      </c>
      <c r="C150" s="30" t="s">
        <v>377</v>
      </c>
      <c r="D150" s="24" t="s">
        <v>29</v>
      </c>
      <c r="E150" s="30" t="s">
        <v>21</v>
      </c>
      <c r="F150" s="32" t="s">
        <v>389</v>
      </c>
      <c r="G150" s="11"/>
      <c r="H150" s="11"/>
      <c r="I150" s="11">
        <v>2</v>
      </c>
      <c r="J150" s="11">
        <v>1</v>
      </c>
      <c r="K150" s="11">
        <v>1</v>
      </c>
      <c r="L150" s="18">
        <f t="shared" si="5"/>
        <v>2</v>
      </c>
      <c r="M150" s="18" t="str">
        <f t="shared" si="4"/>
        <v>Baixa</v>
      </c>
      <c r="N150" s="30" t="s">
        <v>76</v>
      </c>
      <c r="O150" s="31">
        <v>46210</v>
      </c>
      <c r="P150" s="11"/>
      <c r="Q150" s="30" t="s">
        <v>130</v>
      </c>
      <c r="R150" s="30" t="s">
        <v>390</v>
      </c>
      <c r="S150" s="30" t="s">
        <v>300</v>
      </c>
    </row>
    <row r="151" spans="1:19" ht="33.75">
      <c r="A151" s="28">
        <v>150</v>
      </c>
      <c r="B151" s="29">
        <v>46210</v>
      </c>
      <c r="C151" s="28" t="s">
        <v>377</v>
      </c>
      <c r="D151" s="23" t="s">
        <v>29</v>
      </c>
      <c r="E151" s="28" t="s">
        <v>97</v>
      </c>
      <c r="F151" s="21" t="s">
        <v>391</v>
      </c>
      <c r="G151" s="11"/>
      <c r="H151" s="11"/>
      <c r="I151" s="11">
        <v>3</v>
      </c>
      <c r="J151" s="11">
        <v>3</v>
      </c>
      <c r="K151" s="11">
        <v>3</v>
      </c>
      <c r="L151" s="21">
        <f t="shared" si="5"/>
        <v>27</v>
      </c>
      <c r="M151" s="21" t="str">
        <f t="shared" si="4"/>
        <v>Baixa</v>
      </c>
      <c r="N151" s="28" t="s">
        <v>76</v>
      </c>
      <c r="O151" s="29">
        <v>46210</v>
      </c>
      <c r="P151" s="11"/>
      <c r="Q151" s="28" t="s">
        <v>130</v>
      </c>
      <c r="R151" s="28" t="s">
        <v>392</v>
      </c>
      <c r="S151" s="28" t="s">
        <v>300</v>
      </c>
    </row>
    <row r="152" spans="1:19" ht="33.75">
      <c r="A152" s="30">
        <v>151</v>
      </c>
      <c r="B152" s="31">
        <v>46210</v>
      </c>
      <c r="C152" s="30" t="s">
        <v>377</v>
      </c>
      <c r="D152" s="24" t="s">
        <v>29</v>
      </c>
      <c r="E152" s="30" t="s">
        <v>21</v>
      </c>
      <c r="F152" s="32" t="s">
        <v>393</v>
      </c>
      <c r="G152" s="11"/>
      <c r="H152" s="11"/>
      <c r="I152" s="11">
        <v>3</v>
      </c>
      <c r="J152" s="11">
        <v>3</v>
      </c>
      <c r="K152" s="11">
        <v>3</v>
      </c>
      <c r="L152" s="18">
        <f t="shared" si="5"/>
        <v>27</v>
      </c>
      <c r="M152" s="18" t="str">
        <f t="shared" si="4"/>
        <v>Baixa</v>
      </c>
      <c r="N152" s="30" t="s">
        <v>76</v>
      </c>
      <c r="O152" s="31">
        <v>46210</v>
      </c>
      <c r="P152" s="11"/>
      <c r="Q152" s="30" t="s">
        <v>130</v>
      </c>
      <c r="R152" s="30" t="s">
        <v>394</v>
      </c>
      <c r="S152" s="30" t="s">
        <v>292</v>
      </c>
    </row>
    <row r="153" spans="1:19" ht="50.25">
      <c r="A153" s="28">
        <v>152</v>
      </c>
      <c r="B153" s="29">
        <v>46210</v>
      </c>
      <c r="C153" s="28" t="s">
        <v>377</v>
      </c>
      <c r="D153" s="23" t="s">
        <v>38</v>
      </c>
      <c r="E153" s="28" t="s">
        <v>21</v>
      </c>
      <c r="F153" s="21" t="s">
        <v>395</v>
      </c>
      <c r="G153" s="11"/>
      <c r="H153" s="11"/>
      <c r="I153" s="11">
        <v>3</v>
      </c>
      <c r="J153" s="11">
        <v>3</v>
      </c>
      <c r="K153" s="11">
        <v>3</v>
      </c>
      <c r="L153" s="21">
        <f t="shared" si="5"/>
        <v>27</v>
      </c>
      <c r="M153" s="21" t="str">
        <f t="shared" si="4"/>
        <v>Baixa</v>
      </c>
      <c r="N153" s="28" t="s">
        <v>76</v>
      </c>
      <c r="O153" s="29">
        <v>46210</v>
      </c>
      <c r="P153" s="11"/>
      <c r="Q153" s="28" t="s">
        <v>130</v>
      </c>
      <c r="R153" s="28" t="s">
        <v>394</v>
      </c>
      <c r="S153" s="28" t="s">
        <v>300</v>
      </c>
    </row>
    <row r="154" spans="1:19" ht="50.25">
      <c r="A154" s="30">
        <v>153</v>
      </c>
      <c r="B154" s="31">
        <v>46210</v>
      </c>
      <c r="C154" s="30" t="s">
        <v>377</v>
      </c>
      <c r="D154" s="24" t="s">
        <v>20</v>
      </c>
      <c r="E154" s="30" t="s">
        <v>21</v>
      </c>
      <c r="F154" s="32" t="s">
        <v>396</v>
      </c>
      <c r="G154" s="11"/>
      <c r="H154" s="11"/>
      <c r="I154" s="11">
        <v>3</v>
      </c>
      <c r="J154" s="11">
        <v>3</v>
      </c>
      <c r="K154" s="11">
        <v>3</v>
      </c>
      <c r="L154" s="18">
        <f t="shared" si="5"/>
        <v>27</v>
      </c>
      <c r="M154" s="18" t="str">
        <f t="shared" si="4"/>
        <v>Baixa</v>
      </c>
      <c r="N154" s="30" t="s">
        <v>76</v>
      </c>
      <c r="O154" s="31">
        <v>46210</v>
      </c>
      <c r="P154" s="11"/>
      <c r="Q154" s="30" t="s">
        <v>26</v>
      </c>
      <c r="R154" s="30" t="s">
        <v>383</v>
      </c>
      <c r="S154" s="30" t="s">
        <v>292</v>
      </c>
    </row>
    <row r="155" spans="1:19" ht="50.25">
      <c r="A155" s="28">
        <v>154</v>
      </c>
      <c r="B155" s="29">
        <v>46210</v>
      </c>
      <c r="C155" s="28" t="s">
        <v>377</v>
      </c>
      <c r="D155" s="23" t="s">
        <v>20</v>
      </c>
      <c r="E155" s="28" t="s">
        <v>397</v>
      </c>
      <c r="F155" s="21" t="s">
        <v>398</v>
      </c>
      <c r="G155" s="11"/>
      <c r="H155" s="11"/>
      <c r="I155" s="11">
        <v>3</v>
      </c>
      <c r="J155" s="11">
        <v>4</v>
      </c>
      <c r="K155" s="11">
        <v>3</v>
      </c>
      <c r="L155" s="21">
        <f t="shared" si="5"/>
        <v>36</v>
      </c>
      <c r="M155" s="21" t="str">
        <f t="shared" si="4"/>
        <v>Moderada</v>
      </c>
      <c r="N155" s="28" t="s">
        <v>76</v>
      </c>
      <c r="O155" s="29">
        <v>46210</v>
      </c>
      <c r="P155" s="11"/>
      <c r="Q155" s="28" t="s">
        <v>130</v>
      </c>
      <c r="R155" s="28" t="s">
        <v>399</v>
      </c>
      <c r="S155" s="28" t="s">
        <v>400</v>
      </c>
    </row>
    <row r="156" spans="1:19" ht="33.75">
      <c r="A156" s="30">
        <v>155</v>
      </c>
      <c r="B156" s="31">
        <v>46210</v>
      </c>
      <c r="C156" s="30" t="s">
        <v>377</v>
      </c>
      <c r="D156" s="24" t="s">
        <v>29</v>
      </c>
      <c r="E156" s="30" t="s">
        <v>30</v>
      </c>
      <c r="F156" s="32" t="s">
        <v>401</v>
      </c>
      <c r="G156" s="11"/>
      <c r="H156" s="11"/>
      <c r="I156" s="11">
        <v>3</v>
      </c>
      <c r="J156" s="11">
        <v>4</v>
      </c>
      <c r="K156" s="11">
        <v>3</v>
      </c>
      <c r="L156" s="18">
        <f t="shared" si="5"/>
        <v>36</v>
      </c>
      <c r="M156" s="18" t="str">
        <f t="shared" si="4"/>
        <v>Moderada</v>
      </c>
      <c r="N156" s="30" t="s">
        <v>76</v>
      </c>
      <c r="O156" s="31">
        <v>46210</v>
      </c>
      <c r="P156" s="11"/>
      <c r="Q156" s="30" t="s">
        <v>130</v>
      </c>
      <c r="R156" s="30" t="s">
        <v>402</v>
      </c>
      <c r="S156" s="30" t="s">
        <v>305</v>
      </c>
    </row>
    <row r="157" spans="1:19" ht="33.75">
      <c r="A157" s="28">
        <v>156</v>
      </c>
      <c r="B157" s="29">
        <v>46210</v>
      </c>
      <c r="C157" s="28" t="s">
        <v>377</v>
      </c>
      <c r="D157" s="23" t="s">
        <v>38</v>
      </c>
      <c r="E157" s="28" t="s">
        <v>324</v>
      </c>
      <c r="F157" s="21" t="s">
        <v>403</v>
      </c>
      <c r="G157" s="11"/>
      <c r="H157" s="11"/>
      <c r="I157" s="11">
        <v>3</v>
      </c>
      <c r="J157" s="11">
        <v>3</v>
      </c>
      <c r="K157" s="11">
        <v>3</v>
      </c>
      <c r="L157" s="21">
        <f t="shared" si="5"/>
        <v>27</v>
      </c>
      <c r="M157" s="21" t="str">
        <f t="shared" si="4"/>
        <v>Baixa</v>
      </c>
      <c r="N157" s="28" t="s">
        <v>76</v>
      </c>
      <c r="O157" s="29">
        <v>46210</v>
      </c>
      <c r="P157" s="11"/>
      <c r="Q157" s="28" t="s">
        <v>26</v>
      </c>
      <c r="R157" s="28" t="s">
        <v>404</v>
      </c>
      <c r="S157" s="28" t="s">
        <v>300</v>
      </c>
    </row>
    <row r="158" spans="1:19" ht="50.25">
      <c r="A158" s="30">
        <v>157</v>
      </c>
      <c r="B158" s="31">
        <v>46210</v>
      </c>
      <c r="C158" s="30" t="s">
        <v>377</v>
      </c>
      <c r="D158" s="24" t="s">
        <v>29</v>
      </c>
      <c r="E158" s="30" t="s">
        <v>97</v>
      </c>
      <c r="F158" s="32" t="s">
        <v>405</v>
      </c>
      <c r="G158" s="11"/>
      <c r="H158" s="11"/>
      <c r="I158" s="11">
        <v>3</v>
      </c>
      <c r="J158" s="11">
        <v>3</v>
      </c>
      <c r="K158" s="11">
        <v>3</v>
      </c>
      <c r="L158" s="18">
        <f t="shared" si="5"/>
        <v>27</v>
      </c>
      <c r="M158" s="18" t="str">
        <f t="shared" si="4"/>
        <v>Baixa</v>
      </c>
      <c r="N158" s="30" t="s">
        <v>76</v>
      </c>
      <c r="O158" s="31">
        <v>46210</v>
      </c>
      <c r="P158" s="11"/>
      <c r="Q158" s="30" t="s">
        <v>26</v>
      </c>
      <c r="R158" s="30" t="s">
        <v>406</v>
      </c>
      <c r="S158" s="30" t="s">
        <v>287</v>
      </c>
    </row>
    <row r="159" spans="1:19" ht="33.75">
      <c r="A159" s="30">
        <v>158</v>
      </c>
      <c r="B159" s="29">
        <v>46217</v>
      </c>
      <c r="C159" s="11" t="s">
        <v>407</v>
      </c>
      <c r="D159" s="23" t="s">
        <v>38</v>
      </c>
      <c r="E159" s="28" t="s">
        <v>21</v>
      </c>
      <c r="F159" s="28" t="s">
        <v>408</v>
      </c>
      <c r="G159" s="11"/>
      <c r="H159" s="11"/>
      <c r="I159" s="11">
        <v>3</v>
      </c>
      <c r="J159" s="11">
        <v>2</v>
      </c>
      <c r="K159" s="11">
        <v>3</v>
      </c>
      <c r="L159" s="21">
        <f t="shared" si="5"/>
        <v>18</v>
      </c>
      <c r="M159" s="21" t="str">
        <f t="shared" si="4"/>
        <v>Baixa</v>
      </c>
      <c r="N159" s="11" t="s">
        <v>409</v>
      </c>
      <c r="O159" s="29">
        <v>46217</v>
      </c>
      <c r="P159" s="11"/>
      <c r="Q159" s="28" t="s">
        <v>130</v>
      </c>
      <c r="R159" s="28" t="s">
        <v>410</v>
      </c>
      <c r="S159" s="28" t="s">
        <v>292</v>
      </c>
    </row>
    <row r="160" spans="1:19" ht="33.75">
      <c r="A160" s="30">
        <v>159</v>
      </c>
      <c r="B160" s="31">
        <v>46217</v>
      </c>
      <c r="C160" s="11" t="s">
        <v>407</v>
      </c>
      <c r="D160" s="24" t="s">
        <v>46</v>
      </c>
      <c r="E160" s="30" t="s">
        <v>47</v>
      </c>
      <c r="F160" s="30" t="s">
        <v>411</v>
      </c>
      <c r="G160" s="11"/>
      <c r="H160" s="11"/>
      <c r="I160" s="11">
        <v>3</v>
      </c>
      <c r="J160" s="11">
        <v>4</v>
      </c>
      <c r="K160" s="11">
        <v>3</v>
      </c>
      <c r="L160" s="18">
        <f t="shared" si="5"/>
        <v>36</v>
      </c>
      <c r="M160" s="18" t="str">
        <f t="shared" si="4"/>
        <v>Moderada</v>
      </c>
      <c r="N160" s="11" t="s">
        <v>409</v>
      </c>
      <c r="O160" s="31">
        <v>46217</v>
      </c>
      <c r="P160" s="11"/>
      <c r="Q160" s="30" t="s">
        <v>26</v>
      </c>
      <c r="R160" s="30" t="s">
        <v>412</v>
      </c>
      <c r="S160" s="30" t="s">
        <v>292</v>
      </c>
    </row>
    <row r="161" spans="1:19" ht="33.75">
      <c r="A161" s="30">
        <v>160</v>
      </c>
      <c r="B161" s="29">
        <v>46217</v>
      </c>
      <c r="C161" s="11" t="s">
        <v>407</v>
      </c>
      <c r="D161" s="23" t="s">
        <v>38</v>
      </c>
      <c r="E161" s="28" t="s">
        <v>21</v>
      </c>
      <c r="F161" s="28" t="s">
        <v>413</v>
      </c>
      <c r="G161" s="11"/>
      <c r="H161" s="11"/>
      <c r="I161" s="11">
        <v>3</v>
      </c>
      <c r="J161" s="11">
        <v>3</v>
      </c>
      <c r="K161" s="11">
        <v>3</v>
      </c>
      <c r="L161" s="21">
        <f t="shared" si="5"/>
        <v>27</v>
      </c>
      <c r="M161" s="21" t="str">
        <f t="shared" si="4"/>
        <v>Baixa</v>
      </c>
      <c r="N161" s="11" t="s">
        <v>409</v>
      </c>
      <c r="O161" s="29">
        <v>46217</v>
      </c>
      <c r="P161" s="11"/>
      <c r="Q161" s="28" t="s">
        <v>130</v>
      </c>
      <c r="R161" s="28" t="s">
        <v>414</v>
      </c>
      <c r="S161" s="28" t="s">
        <v>300</v>
      </c>
    </row>
    <row r="162" spans="1:19" ht="33.75">
      <c r="A162" s="30">
        <v>161</v>
      </c>
      <c r="B162" s="31">
        <v>46217</v>
      </c>
      <c r="C162" s="11" t="s">
        <v>407</v>
      </c>
      <c r="D162" s="24" t="s">
        <v>29</v>
      </c>
      <c r="E162" s="30" t="s">
        <v>30</v>
      </c>
      <c r="F162" s="30" t="s">
        <v>415</v>
      </c>
      <c r="G162" s="11"/>
      <c r="H162" s="11"/>
      <c r="I162" s="11">
        <v>3</v>
      </c>
      <c r="J162" s="11">
        <v>3</v>
      </c>
      <c r="K162" s="11">
        <v>3</v>
      </c>
      <c r="L162" s="18">
        <f t="shared" si="5"/>
        <v>27</v>
      </c>
      <c r="M162" s="18" t="str">
        <f t="shared" si="4"/>
        <v>Baixa</v>
      </c>
      <c r="N162" s="11" t="s">
        <v>409</v>
      </c>
      <c r="O162" s="31">
        <v>46217</v>
      </c>
      <c r="P162" s="11"/>
      <c r="Q162" s="30" t="s">
        <v>26</v>
      </c>
      <c r="R162" s="30" t="s">
        <v>416</v>
      </c>
      <c r="S162" s="30" t="s">
        <v>300</v>
      </c>
    </row>
    <row r="163" spans="1:19" ht="33.75">
      <c r="A163" s="30">
        <v>162</v>
      </c>
      <c r="B163" s="29">
        <v>46217</v>
      </c>
      <c r="C163" s="11" t="s">
        <v>407</v>
      </c>
      <c r="D163" s="23" t="s">
        <v>38</v>
      </c>
      <c r="E163" s="28" t="s">
        <v>21</v>
      </c>
      <c r="F163" s="28" t="s">
        <v>417</v>
      </c>
      <c r="G163" s="11"/>
      <c r="H163" s="11"/>
      <c r="I163" s="11">
        <v>3</v>
      </c>
      <c r="J163" s="11">
        <v>3</v>
      </c>
      <c r="K163" s="11">
        <v>3</v>
      </c>
      <c r="L163" s="21">
        <f t="shared" si="5"/>
        <v>27</v>
      </c>
      <c r="M163" s="21" t="str">
        <f t="shared" si="4"/>
        <v>Baixa</v>
      </c>
      <c r="N163" s="11" t="s">
        <v>409</v>
      </c>
      <c r="O163" s="29">
        <v>46217</v>
      </c>
      <c r="P163" s="11"/>
      <c r="Q163" s="28" t="s">
        <v>130</v>
      </c>
      <c r="R163" s="28" t="s">
        <v>418</v>
      </c>
      <c r="S163" s="28" t="s">
        <v>132</v>
      </c>
    </row>
    <row r="164" spans="1:19" ht="33.75">
      <c r="A164" s="30">
        <v>163</v>
      </c>
      <c r="B164" s="31">
        <v>46217</v>
      </c>
      <c r="C164" s="11" t="s">
        <v>407</v>
      </c>
      <c r="D164" s="24" t="s">
        <v>340</v>
      </c>
      <c r="E164" s="30" t="s">
        <v>216</v>
      </c>
      <c r="F164" s="30" t="s">
        <v>419</v>
      </c>
      <c r="G164" s="11"/>
      <c r="H164" s="11"/>
      <c r="I164" s="11">
        <v>3</v>
      </c>
      <c r="J164" s="11">
        <v>3</v>
      </c>
      <c r="K164" s="11">
        <v>3</v>
      </c>
      <c r="L164" s="18">
        <f t="shared" si="5"/>
        <v>27</v>
      </c>
      <c r="M164" s="18" t="str">
        <f t="shared" si="4"/>
        <v>Baixa</v>
      </c>
      <c r="N164" s="11" t="s">
        <v>409</v>
      </c>
      <c r="O164" s="31">
        <v>46217</v>
      </c>
      <c r="P164" s="11"/>
      <c r="Q164" s="30" t="s">
        <v>130</v>
      </c>
      <c r="R164" s="30" t="s">
        <v>420</v>
      </c>
      <c r="S164" s="30" t="s">
        <v>421</v>
      </c>
    </row>
    <row r="165" spans="1:19" ht="50.25">
      <c r="A165" s="30">
        <v>164</v>
      </c>
      <c r="B165" s="29">
        <v>46217</v>
      </c>
      <c r="C165" s="11" t="s">
        <v>407</v>
      </c>
      <c r="D165" s="23" t="s">
        <v>340</v>
      </c>
      <c r="E165" s="28" t="s">
        <v>30</v>
      </c>
      <c r="F165" s="28" t="s">
        <v>422</v>
      </c>
      <c r="G165" s="11"/>
      <c r="H165" s="11"/>
      <c r="I165" s="11">
        <v>3</v>
      </c>
      <c r="J165" s="11">
        <v>3</v>
      </c>
      <c r="K165" s="11">
        <v>3</v>
      </c>
      <c r="L165" s="21">
        <f t="shared" si="5"/>
        <v>27</v>
      </c>
      <c r="M165" s="21" t="str">
        <f t="shared" si="4"/>
        <v>Baixa</v>
      </c>
      <c r="N165" s="11" t="s">
        <v>409</v>
      </c>
      <c r="O165" s="29">
        <v>46217</v>
      </c>
      <c r="P165" s="11"/>
      <c r="Q165" s="28" t="s">
        <v>130</v>
      </c>
      <c r="R165" s="28" t="s">
        <v>423</v>
      </c>
      <c r="S165" s="28" t="s">
        <v>300</v>
      </c>
    </row>
    <row r="166" spans="1:19" ht="50.25">
      <c r="A166" s="30">
        <v>165</v>
      </c>
      <c r="B166" s="31">
        <v>46217</v>
      </c>
      <c r="C166" s="11" t="s">
        <v>407</v>
      </c>
      <c r="D166" s="24" t="s">
        <v>38</v>
      </c>
      <c r="E166" s="30" t="s">
        <v>21</v>
      </c>
      <c r="F166" s="30" t="s">
        <v>424</v>
      </c>
      <c r="G166" s="11"/>
      <c r="H166" s="11"/>
      <c r="I166" s="11">
        <v>2</v>
      </c>
      <c r="J166" s="11">
        <v>2</v>
      </c>
      <c r="K166" s="11">
        <v>2</v>
      </c>
      <c r="L166" s="18">
        <f t="shared" si="5"/>
        <v>8</v>
      </c>
      <c r="M166" s="18" t="str">
        <f t="shared" si="4"/>
        <v>Baixa</v>
      </c>
      <c r="N166" s="11" t="s">
        <v>409</v>
      </c>
      <c r="O166" s="31">
        <v>46217</v>
      </c>
      <c r="P166" s="11"/>
      <c r="Q166" s="30" t="s">
        <v>130</v>
      </c>
      <c r="R166" s="30" t="s">
        <v>425</v>
      </c>
      <c r="S166" s="30" t="s">
        <v>292</v>
      </c>
    </row>
    <row r="167" spans="1:19" ht="33.75">
      <c r="A167" s="30">
        <v>166</v>
      </c>
      <c r="B167" s="29">
        <v>46217</v>
      </c>
      <c r="C167" s="11" t="s">
        <v>407</v>
      </c>
      <c r="D167" s="23" t="s">
        <v>29</v>
      </c>
      <c r="E167" s="28" t="s">
        <v>344</v>
      </c>
      <c r="F167" s="28" t="s">
        <v>426</v>
      </c>
      <c r="G167" s="11"/>
      <c r="H167" s="11"/>
      <c r="I167" s="11">
        <v>2</v>
      </c>
      <c r="J167" s="11">
        <v>2</v>
      </c>
      <c r="K167" s="11">
        <v>2</v>
      </c>
      <c r="L167" s="21">
        <f t="shared" si="5"/>
        <v>8</v>
      </c>
      <c r="M167" s="21" t="str">
        <f t="shared" si="4"/>
        <v>Baixa</v>
      </c>
      <c r="N167" s="11" t="s">
        <v>409</v>
      </c>
      <c r="O167" s="29">
        <v>46217</v>
      </c>
      <c r="P167" s="11"/>
      <c r="Q167" s="28" t="s">
        <v>26</v>
      </c>
      <c r="R167" s="28" t="s">
        <v>427</v>
      </c>
      <c r="S167" s="28" t="s">
        <v>292</v>
      </c>
    </row>
    <row r="168" spans="1:19" ht="33.75">
      <c r="A168" s="30">
        <v>167</v>
      </c>
      <c r="B168" s="31">
        <v>46217</v>
      </c>
      <c r="C168" s="11" t="s">
        <v>407</v>
      </c>
      <c r="D168" s="24" t="s">
        <v>38</v>
      </c>
      <c r="E168" s="30" t="s">
        <v>21</v>
      </c>
      <c r="F168" s="30" t="s">
        <v>428</v>
      </c>
      <c r="G168" s="11"/>
      <c r="H168" s="11"/>
      <c r="I168" s="11">
        <v>2</v>
      </c>
      <c r="J168" s="11">
        <v>2</v>
      </c>
      <c r="K168" s="11">
        <v>2</v>
      </c>
      <c r="L168" s="18">
        <f t="shared" si="5"/>
        <v>8</v>
      </c>
      <c r="M168" s="18" t="str">
        <f t="shared" si="4"/>
        <v>Baixa</v>
      </c>
      <c r="N168" s="11" t="s">
        <v>409</v>
      </c>
      <c r="O168" s="31">
        <v>46217</v>
      </c>
      <c r="P168" s="11"/>
      <c r="Q168" s="30" t="s">
        <v>130</v>
      </c>
      <c r="R168" s="30" t="s">
        <v>418</v>
      </c>
      <c r="S168" s="30" t="s">
        <v>132</v>
      </c>
    </row>
    <row r="169" spans="1:19" ht="33.75">
      <c r="A169" s="30">
        <v>168</v>
      </c>
      <c r="B169" s="29">
        <v>46217</v>
      </c>
      <c r="C169" s="11" t="s">
        <v>407</v>
      </c>
      <c r="D169" s="23" t="s">
        <v>29</v>
      </c>
      <c r="E169" s="28" t="s">
        <v>21</v>
      </c>
      <c r="F169" s="28" t="s">
        <v>429</v>
      </c>
      <c r="G169" s="11"/>
      <c r="H169" s="11"/>
      <c r="I169" s="11">
        <v>2</v>
      </c>
      <c r="J169" s="11">
        <v>2</v>
      </c>
      <c r="K169" s="11">
        <v>2</v>
      </c>
      <c r="L169" s="21">
        <f t="shared" si="5"/>
        <v>8</v>
      </c>
      <c r="M169" s="21" t="str">
        <f t="shared" si="4"/>
        <v>Baixa</v>
      </c>
      <c r="N169" s="11" t="s">
        <v>409</v>
      </c>
      <c r="O169" s="29">
        <v>46217</v>
      </c>
      <c r="P169" s="11"/>
      <c r="Q169" s="28" t="s">
        <v>130</v>
      </c>
      <c r="R169" s="28" t="s">
        <v>430</v>
      </c>
      <c r="S169" s="28" t="s">
        <v>300</v>
      </c>
    </row>
    <row r="170" spans="1:19" ht="33.75">
      <c r="A170" s="30">
        <v>169</v>
      </c>
      <c r="B170" s="31">
        <v>46217</v>
      </c>
      <c r="C170" s="11" t="s">
        <v>407</v>
      </c>
      <c r="D170" s="24" t="s">
        <v>29</v>
      </c>
      <c r="E170" s="30" t="s">
        <v>30</v>
      </c>
      <c r="F170" s="30" t="s">
        <v>431</v>
      </c>
      <c r="G170" s="11"/>
      <c r="H170" s="11"/>
      <c r="I170" s="11">
        <v>2</v>
      </c>
      <c r="J170" s="11">
        <v>4</v>
      </c>
      <c r="K170" s="11">
        <v>3</v>
      </c>
      <c r="L170" s="18">
        <f t="shared" si="5"/>
        <v>24</v>
      </c>
      <c r="M170" s="18" t="str">
        <f t="shared" si="4"/>
        <v>Baixa</v>
      </c>
      <c r="N170" s="11" t="s">
        <v>409</v>
      </c>
      <c r="O170" s="31">
        <v>46217</v>
      </c>
      <c r="P170" s="11"/>
      <c r="Q170" s="30" t="s">
        <v>130</v>
      </c>
      <c r="R170" s="30" t="s">
        <v>432</v>
      </c>
      <c r="S170" s="30" t="s">
        <v>300</v>
      </c>
    </row>
    <row r="171" spans="1:19" ht="33.75">
      <c r="A171" s="30">
        <v>170</v>
      </c>
      <c r="B171" s="29">
        <v>46217</v>
      </c>
      <c r="C171" s="11" t="s">
        <v>407</v>
      </c>
      <c r="D171" s="23" t="s">
        <v>340</v>
      </c>
      <c r="E171" s="28" t="s">
        <v>216</v>
      </c>
      <c r="F171" s="28" t="s">
        <v>433</v>
      </c>
      <c r="G171" s="11"/>
      <c r="H171" s="11"/>
      <c r="I171" s="11">
        <v>4</v>
      </c>
      <c r="J171" s="11">
        <v>4</v>
      </c>
      <c r="K171" s="11">
        <v>4</v>
      </c>
      <c r="L171" s="21">
        <f t="shared" si="5"/>
        <v>64</v>
      </c>
      <c r="M171" s="21" t="str">
        <f t="shared" si="4"/>
        <v>Moderada</v>
      </c>
      <c r="N171" s="11" t="s">
        <v>409</v>
      </c>
      <c r="O171" s="29">
        <v>46217</v>
      </c>
      <c r="P171" s="11"/>
      <c r="Q171" s="28" t="s">
        <v>130</v>
      </c>
      <c r="R171" s="28" t="s">
        <v>434</v>
      </c>
      <c r="S171" s="28" t="s">
        <v>421</v>
      </c>
    </row>
    <row r="172" spans="1:19" ht="50.25">
      <c r="A172" s="30">
        <v>171</v>
      </c>
      <c r="B172" s="31">
        <v>46217</v>
      </c>
      <c r="C172" s="11" t="s">
        <v>407</v>
      </c>
      <c r="D172" s="24" t="s">
        <v>29</v>
      </c>
      <c r="E172" s="30" t="s">
        <v>344</v>
      </c>
      <c r="F172" s="30" t="s">
        <v>435</v>
      </c>
      <c r="G172" s="11"/>
      <c r="H172" s="11"/>
      <c r="I172" s="11">
        <v>4</v>
      </c>
      <c r="J172" s="11">
        <v>4</v>
      </c>
      <c r="K172" s="11">
        <v>4</v>
      </c>
      <c r="L172" s="18">
        <f t="shared" si="5"/>
        <v>64</v>
      </c>
      <c r="M172" s="18" t="str">
        <f t="shared" si="4"/>
        <v>Moderada</v>
      </c>
      <c r="N172" s="11" t="s">
        <v>409</v>
      </c>
      <c r="O172" s="31">
        <v>46217</v>
      </c>
      <c r="P172" s="11"/>
      <c r="Q172" s="30" t="s">
        <v>130</v>
      </c>
      <c r="R172" s="30" t="s">
        <v>436</v>
      </c>
      <c r="S172" s="30" t="s">
        <v>300</v>
      </c>
    </row>
    <row r="173" spans="1:19" ht="33.75">
      <c r="A173" s="30">
        <v>172</v>
      </c>
      <c r="B173" s="29">
        <v>46217</v>
      </c>
      <c r="C173" s="11" t="s">
        <v>407</v>
      </c>
      <c r="D173" s="23" t="s">
        <v>114</v>
      </c>
      <c r="E173" s="28" t="s">
        <v>30</v>
      </c>
      <c r="F173" s="28" t="s">
        <v>437</v>
      </c>
      <c r="G173" s="11"/>
      <c r="H173" s="11"/>
      <c r="I173" s="11">
        <v>3</v>
      </c>
      <c r="J173" s="11">
        <v>3</v>
      </c>
      <c r="K173" s="11">
        <v>3</v>
      </c>
      <c r="L173" s="21">
        <f t="shared" si="5"/>
        <v>27</v>
      </c>
      <c r="M173" s="21" t="str">
        <f t="shared" si="4"/>
        <v>Baixa</v>
      </c>
      <c r="N173" s="11" t="s">
        <v>409</v>
      </c>
      <c r="O173" s="29">
        <v>46217</v>
      </c>
      <c r="P173" s="11"/>
      <c r="Q173" s="28" t="s">
        <v>130</v>
      </c>
      <c r="R173" s="28" t="s">
        <v>438</v>
      </c>
      <c r="S173" s="28" t="s">
        <v>300</v>
      </c>
    </row>
    <row r="174" spans="1:19" ht="33.75">
      <c r="A174" s="30">
        <v>173</v>
      </c>
      <c r="B174" s="31">
        <v>46217</v>
      </c>
      <c r="C174" s="11" t="s">
        <v>407</v>
      </c>
      <c r="D174" s="24" t="s">
        <v>29</v>
      </c>
      <c r="E174" s="30" t="s">
        <v>97</v>
      </c>
      <c r="F174" s="30" t="s">
        <v>439</v>
      </c>
      <c r="G174" s="11"/>
      <c r="H174" s="11"/>
      <c r="I174" s="11">
        <v>3</v>
      </c>
      <c r="J174" s="11">
        <v>4</v>
      </c>
      <c r="K174" s="11">
        <v>3</v>
      </c>
      <c r="L174" s="18">
        <f t="shared" si="5"/>
        <v>36</v>
      </c>
      <c r="M174" s="18" t="str">
        <f t="shared" si="4"/>
        <v>Moderada</v>
      </c>
      <c r="N174" s="11" t="s">
        <v>409</v>
      </c>
      <c r="O174" s="31">
        <v>46217</v>
      </c>
      <c r="P174" s="11"/>
      <c r="Q174" s="30" t="s">
        <v>130</v>
      </c>
      <c r="R174" s="30" t="s">
        <v>440</v>
      </c>
      <c r="S174" s="30" t="s">
        <v>292</v>
      </c>
    </row>
    <row r="175" spans="1:19" ht="33.75">
      <c r="A175" s="30">
        <v>174</v>
      </c>
      <c r="B175" s="29">
        <v>46217</v>
      </c>
      <c r="C175" s="11" t="s">
        <v>407</v>
      </c>
      <c r="D175" s="23" t="s">
        <v>29</v>
      </c>
      <c r="E175" s="28" t="s">
        <v>21</v>
      </c>
      <c r="F175" s="28" t="s">
        <v>441</v>
      </c>
      <c r="G175" s="11"/>
      <c r="H175" s="11"/>
      <c r="I175" s="11">
        <v>3</v>
      </c>
      <c r="J175" s="11">
        <v>3</v>
      </c>
      <c r="K175" s="11">
        <v>3</v>
      </c>
      <c r="L175" s="21">
        <f t="shared" si="5"/>
        <v>27</v>
      </c>
      <c r="M175" s="21" t="str">
        <f t="shared" si="4"/>
        <v>Baixa</v>
      </c>
      <c r="N175" s="11" t="s">
        <v>409</v>
      </c>
      <c r="O175" s="29">
        <v>46217</v>
      </c>
      <c r="P175" s="11"/>
      <c r="Q175" s="28" t="s">
        <v>130</v>
      </c>
      <c r="R175" s="28" t="s">
        <v>442</v>
      </c>
      <c r="S175" s="28" t="s">
        <v>300</v>
      </c>
    </row>
    <row r="176" spans="1:19" ht="33.75">
      <c r="A176" s="28">
        <v>175</v>
      </c>
      <c r="B176" s="29">
        <v>46217</v>
      </c>
      <c r="C176" s="28" t="s">
        <v>407</v>
      </c>
      <c r="D176" s="24" t="s">
        <v>29</v>
      </c>
      <c r="E176" s="28" t="s">
        <v>47</v>
      </c>
      <c r="F176" s="28" t="s">
        <v>443</v>
      </c>
      <c r="G176" s="28"/>
      <c r="H176" s="28"/>
      <c r="I176" s="28">
        <v>3</v>
      </c>
      <c r="J176" s="28">
        <v>3</v>
      </c>
      <c r="K176" s="28">
        <v>3</v>
      </c>
      <c r="L176" s="18">
        <f t="shared" si="5"/>
        <v>27</v>
      </c>
      <c r="M176" s="18" t="str">
        <f t="shared" si="4"/>
        <v>Baixa</v>
      </c>
      <c r="N176" s="28" t="s">
        <v>409</v>
      </c>
      <c r="O176" s="29">
        <v>46217</v>
      </c>
      <c r="P176" s="28"/>
      <c r="Q176" s="28" t="s">
        <v>26</v>
      </c>
      <c r="R176" s="28" t="s">
        <v>444</v>
      </c>
      <c r="S176" s="28" t="s">
        <v>292</v>
      </c>
    </row>
    <row r="177" spans="1:19" ht="33.75">
      <c r="A177" s="28">
        <v>176</v>
      </c>
      <c r="B177" s="29">
        <v>46231</v>
      </c>
      <c r="C177" s="28" t="s">
        <v>445</v>
      </c>
      <c r="D177" s="23" t="s">
        <v>46</v>
      </c>
      <c r="E177" s="28" t="s">
        <v>47</v>
      </c>
      <c r="F177" s="28" t="s">
        <v>446</v>
      </c>
      <c r="G177" s="28"/>
      <c r="H177" s="28"/>
      <c r="I177" s="28">
        <v>3</v>
      </c>
      <c r="J177" s="28">
        <v>3</v>
      </c>
      <c r="K177" s="28">
        <v>3</v>
      </c>
      <c r="L177" s="21">
        <f t="shared" si="5"/>
        <v>27</v>
      </c>
      <c r="M177" s="21" t="str">
        <f t="shared" si="4"/>
        <v>Baixa</v>
      </c>
      <c r="N177" s="28" t="s">
        <v>447</v>
      </c>
      <c r="O177" s="29">
        <v>46231</v>
      </c>
      <c r="P177" s="28"/>
      <c r="Q177" s="28" t="s">
        <v>130</v>
      </c>
      <c r="R177" s="28" t="s">
        <v>448</v>
      </c>
      <c r="S177" s="28" t="s">
        <v>51</v>
      </c>
    </row>
    <row r="178" spans="1:19" ht="33.75">
      <c r="A178" s="28">
        <v>177</v>
      </c>
      <c r="B178" s="29">
        <v>46231</v>
      </c>
      <c r="C178" s="28" t="s">
        <v>445</v>
      </c>
      <c r="D178" s="24" t="s">
        <v>46</v>
      </c>
      <c r="E178" s="28" t="s">
        <v>47</v>
      </c>
      <c r="F178" s="28" t="s">
        <v>449</v>
      </c>
      <c r="G178" s="28"/>
      <c r="H178" s="28"/>
      <c r="I178" s="28">
        <v>3</v>
      </c>
      <c r="J178" s="28">
        <v>2</v>
      </c>
      <c r="K178" s="28">
        <v>3</v>
      </c>
      <c r="L178" s="18">
        <f t="shared" si="5"/>
        <v>18</v>
      </c>
      <c r="M178" s="18" t="str">
        <f t="shared" si="4"/>
        <v>Baixa</v>
      </c>
      <c r="N178" s="28" t="s">
        <v>447</v>
      </c>
      <c r="O178" s="29">
        <v>46231</v>
      </c>
      <c r="P178" s="28"/>
      <c r="Q178" s="28" t="s">
        <v>130</v>
      </c>
      <c r="R178" s="28" t="s">
        <v>450</v>
      </c>
      <c r="S178" s="28" t="s">
        <v>51</v>
      </c>
    </row>
    <row r="179" spans="1:19" ht="50.25">
      <c r="A179" s="28">
        <v>178</v>
      </c>
      <c r="B179" s="29">
        <v>46231</v>
      </c>
      <c r="C179" s="28" t="s">
        <v>445</v>
      </c>
      <c r="D179" s="23" t="s">
        <v>46</v>
      </c>
      <c r="E179" s="28" t="s">
        <v>47</v>
      </c>
      <c r="F179" s="28" t="s">
        <v>451</v>
      </c>
      <c r="G179" s="28"/>
      <c r="H179" s="28"/>
      <c r="I179" s="28">
        <v>3</v>
      </c>
      <c r="J179" s="28">
        <v>3</v>
      </c>
      <c r="K179" s="28">
        <v>3</v>
      </c>
      <c r="L179" s="21">
        <f t="shared" si="5"/>
        <v>27</v>
      </c>
      <c r="M179" s="21" t="str">
        <f t="shared" si="4"/>
        <v>Baixa</v>
      </c>
      <c r="N179" s="28" t="s">
        <v>452</v>
      </c>
      <c r="O179" s="29">
        <v>46231</v>
      </c>
      <c r="P179" s="28"/>
      <c r="Q179" s="28" t="s">
        <v>130</v>
      </c>
      <c r="R179" s="28" t="s">
        <v>453</v>
      </c>
      <c r="S179" s="28" t="s">
        <v>51</v>
      </c>
    </row>
    <row r="180" spans="1:19" ht="33.75">
      <c r="A180" s="28">
        <v>179</v>
      </c>
      <c r="B180" s="29">
        <v>46231</v>
      </c>
      <c r="C180" s="28" t="s">
        <v>445</v>
      </c>
      <c r="D180" s="24" t="s">
        <v>46</v>
      </c>
      <c r="E180" s="28" t="s">
        <v>47</v>
      </c>
      <c r="F180" s="28" t="s">
        <v>454</v>
      </c>
      <c r="G180" s="28"/>
      <c r="H180" s="28"/>
      <c r="I180" s="28">
        <v>3</v>
      </c>
      <c r="J180" s="28">
        <v>3</v>
      </c>
      <c r="K180" s="28">
        <v>3</v>
      </c>
      <c r="L180" s="18">
        <f t="shared" si="5"/>
        <v>27</v>
      </c>
      <c r="M180" s="18" t="str">
        <f t="shared" si="4"/>
        <v>Baixa</v>
      </c>
      <c r="N180" s="28" t="s">
        <v>452</v>
      </c>
      <c r="O180" s="29">
        <v>46231</v>
      </c>
      <c r="P180" s="28"/>
      <c r="Q180" s="28" t="s">
        <v>130</v>
      </c>
      <c r="R180" s="28" t="s">
        <v>455</v>
      </c>
      <c r="S180" s="28" t="s">
        <v>51</v>
      </c>
    </row>
    <row r="181" spans="1:19" ht="33.75">
      <c r="A181" s="28">
        <v>180</v>
      </c>
      <c r="B181" s="29">
        <v>46231</v>
      </c>
      <c r="C181" s="28" t="s">
        <v>445</v>
      </c>
      <c r="D181" s="23" t="s">
        <v>38</v>
      </c>
      <c r="E181" s="28" t="s">
        <v>21</v>
      </c>
      <c r="F181" s="28" t="s">
        <v>456</v>
      </c>
      <c r="G181" s="28"/>
      <c r="H181" s="28"/>
      <c r="I181" s="28">
        <v>3</v>
      </c>
      <c r="J181" s="28">
        <v>3</v>
      </c>
      <c r="K181" s="28">
        <v>3</v>
      </c>
      <c r="L181" s="21">
        <f t="shared" si="5"/>
        <v>27</v>
      </c>
      <c r="M181" s="21" t="str">
        <f t="shared" si="4"/>
        <v>Baixa</v>
      </c>
      <c r="N181" s="28" t="s">
        <v>452</v>
      </c>
      <c r="O181" s="29">
        <v>46231</v>
      </c>
      <c r="P181" s="28"/>
      <c r="Q181" s="28" t="s">
        <v>130</v>
      </c>
      <c r="R181" s="28" t="s">
        <v>457</v>
      </c>
      <c r="S181" s="28" t="s">
        <v>292</v>
      </c>
    </row>
    <row r="182" spans="1:19" ht="33.75">
      <c r="A182" s="28">
        <v>181</v>
      </c>
      <c r="B182" s="29">
        <v>46231</v>
      </c>
      <c r="C182" s="28" t="s">
        <v>445</v>
      </c>
      <c r="D182" s="24" t="s">
        <v>38</v>
      </c>
      <c r="E182" s="28" t="s">
        <v>21</v>
      </c>
      <c r="F182" s="28" t="s">
        <v>458</v>
      </c>
      <c r="G182" s="28"/>
      <c r="H182" s="28"/>
      <c r="I182" s="28">
        <v>3</v>
      </c>
      <c r="J182" s="28">
        <v>3</v>
      </c>
      <c r="K182" s="28">
        <v>3</v>
      </c>
      <c r="L182" s="18">
        <f t="shared" si="5"/>
        <v>27</v>
      </c>
      <c r="M182" s="18" t="str">
        <f t="shared" si="4"/>
        <v>Baixa</v>
      </c>
      <c r="N182" s="28" t="s">
        <v>452</v>
      </c>
      <c r="O182" s="29">
        <v>46231</v>
      </c>
      <c r="P182" s="28"/>
      <c r="Q182" s="28" t="s">
        <v>130</v>
      </c>
      <c r="R182" s="28" t="s">
        <v>457</v>
      </c>
      <c r="S182" s="28" t="s">
        <v>292</v>
      </c>
    </row>
    <row r="183" spans="1:19" ht="33.75">
      <c r="A183" s="28">
        <v>182</v>
      </c>
      <c r="B183" s="29">
        <v>46231</v>
      </c>
      <c r="C183" s="28" t="s">
        <v>445</v>
      </c>
      <c r="D183" s="23" t="s">
        <v>38</v>
      </c>
      <c r="E183" s="28" t="s">
        <v>21</v>
      </c>
      <c r="F183" s="28" t="s">
        <v>459</v>
      </c>
      <c r="G183" s="28"/>
      <c r="H183" s="28"/>
      <c r="I183" s="28">
        <v>3</v>
      </c>
      <c r="J183" s="28">
        <v>3</v>
      </c>
      <c r="K183" s="28">
        <v>3</v>
      </c>
      <c r="L183" s="21">
        <f t="shared" si="5"/>
        <v>27</v>
      </c>
      <c r="M183" s="21" t="str">
        <f t="shared" si="4"/>
        <v>Baixa</v>
      </c>
      <c r="N183" s="28" t="s">
        <v>452</v>
      </c>
      <c r="O183" s="29">
        <v>46231</v>
      </c>
      <c r="P183" s="28"/>
      <c r="Q183" s="28" t="s">
        <v>130</v>
      </c>
      <c r="R183" s="28" t="s">
        <v>457</v>
      </c>
      <c r="S183" s="28" t="s">
        <v>292</v>
      </c>
    </row>
    <row r="184" spans="1:19" ht="33.75">
      <c r="A184" s="28">
        <v>183</v>
      </c>
      <c r="B184" s="29">
        <v>46231</v>
      </c>
      <c r="C184" s="28" t="s">
        <v>445</v>
      </c>
      <c r="D184" s="24" t="s">
        <v>38</v>
      </c>
      <c r="E184" s="28" t="s">
        <v>21</v>
      </c>
      <c r="F184" s="28" t="s">
        <v>460</v>
      </c>
      <c r="G184" s="28"/>
      <c r="H184" s="28"/>
      <c r="I184" s="28">
        <v>3</v>
      </c>
      <c r="J184" s="28">
        <v>4</v>
      </c>
      <c r="K184" s="28">
        <v>3</v>
      </c>
      <c r="L184" s="18">
        <f t="shared" si="5"/>
        <v>36</v>
      </c>
      <c r="M184" s="18" t="str">
        <f t="shared" si="4"/>
        <v>Moderada</v>
      </c>
      <c r="N184" s="28" t="s">
        <v>452</v>
      </c>
      <c r="O184" s="29">
        <v>46231</v>
      </c>
      <c r="P184" s="28"/>
      <c r="Q184" s="28" t="s">
        <v>130</v>
      </c>
      <c r="R184" s="28" t="s">
        <v>461</v>
      </c>
      <c r="S184" s="28" t="s">
        <v>300</v>
      </c>
    </row>
    <row r="185" spans="1:19" ht="33.75">
      <c r="A185" s="28">
        <v>184</v>
      </c>
      <c r="B185" s="29">
        <v>46231</v>
      </c>
      <c r="C185" s="28" t="s">
        <v>445</v>
      </c>
      <c r="D185" s="23" t="s">
        <v>38</v>
      </c>
      <c r="E185" s="28" t="s">
        <v>289</v>
      </c>
      <c r="F185" s="28" t="s">
        <v>462</v>
      </c>
      <c r="G185" s="28"/>
      <c r="H185" s="28"/>
      <c r="I185" s="28">
        <v>2</v>
      </c>
      <c r="J185" s="28">
        <v>2</v>
      </c>
      <c r="K185" s="28">
        <v>2</v>
      </c>
      <c r="L185" s="21">
        <f t="shared" si="5"/>
        <v>8</v>
      </c>
      <c r="M185" s="21" t="str">
        <f t="shared" si="4"/>
        <v>Baixa</v>
      </c>
      <c r="N185" s="28" t="s">
        <v>452</v>
      </c>
      <c r="O185" s="29">
        <v>46231</v>
      </c>
      <c r="P185" s="28"/>
      <c r="Q185" s="28" t="s">
        <v>130</v>
      </c>
      <c r="R185" s="28" t="s">
        <v>463</v>
      </c>
      <c r="S185" s="28" t="s">
        <v>292</v>
      </c>
    </row>
    <row r="186" spans="1:19" ht="33.75">
      <c r="A186" s="28">
        <v>185</v>
      </c>
      <c r="B186" s="29">
        <v>46231</v>
      </c>
      <c r="C186" s="28" t="s">
        <v>445</v>
      </c>
      <c r="D186" s="24" t="s">
        <v>29</v>
      </c>
      <c r="E186" s="28" t="s">
        <v>97</v>
      </c>
      <c r="F186" s="28" t="s">
        <v>464</v>
      </c>
      <c r="G186" s="28"/>
      <c r="H186" s="28"/>
      <c r="I186" s="28">
        <v>2</v>
      </c>
      <c r="J186" s="28">
        <v>2</v>
      </c>
      <c r="K186" s="28">
        <v>2</v>
      </c>
      <c r="L186" s="18">
        <f t="shared" si="5"/>
        <v>8</v>
      </c>
      <c r="M186" s="18" t="str">
        <f t="shared" si="4"/>
        <v>Baixa</v>
      </c>
      <c r="N186" s="28" t="s">
        <v>465</v>
      </c>
      <c r="O186" s="29">
        <v>46231</v>
      </c>
      <c r="P186" s="28"/>
      <c r="Q186" s="28" t="s">
        <v>130</v>
      </c>
      <c r="R186" s="28" t="s">
        <v>466</v>
      </c>
      <c r="S186" s="28" t="s">
        <v>300</v>
      </c>
    </row>
    <row r="187" spans="1:19" ht="33.75">
      <c r="A187" s="28">
        <v>186</v>
      </c>
      <c r="B187" s="29">
        <v>46231</v>
      </c>
      <c r="C187" s="28" t="s">
        <v>445</v>
      </c>
      <c r="D187" s="23" t="s">
        <v>29</v>
      </c>
      <c r="E187" s="28" t="s">
        <v>21</v>
      </c>
      <c r="F187" s="28" t="s">
        <v>467</v>
      </c>
      <c r="G187" s="28"/>
      <c r="H187" s="28"/>
      <c r="I187" s="28">
        <v>2</v>
      </c>
      <c r="J187" s="28">
        <v>2</v>
      </c>
      <c r="K187" s="28">
        <v>2</v>
      </c>
      <c r="L187" s="21">
        <f t="shared" si="5"/>
        <v>8</v>
      </c>
      <c r="M187" s="21" t="str">
        <f t="shared" si="4"/>
        <v>Baixa</v>
      </c>
      <c r="N187" s="28" t="s">
        <v>468</v>
      </c>
      <c r="O187" s="29">
        <v>46231</v>
      </c>
      <c r="P187" s="28"/>
      <c r="Q187" s="28" t="s">
        <v>130</v>
      </c>
      <c r="R187" s="28" t="s">
        <v>469</v>
      </c>
      <c r="S187" s="28" t="s">
        <v>292</v>
      </c>
    </row>
    <row r="188" spans="1:19" ht="33.75">
      <c r="A188" s="28">
        <v>187</v>
      </c>
      <c r="B188" s="29">
        <v>46231</v>
      </c>
      <c r="C188" s="28" t="s">
        <v>445</v>
      </c>
      <c r="D188" s="24" t="s">
        <v>29</v>
      </c>
      <c r="E188" s="28" t="s">
        <v>97</v>
      </c>
      <c r="F188" s="28" t="s">
        <v>470</v>
      </c>
      <c r="G188" s="28"/>
      <c r="H188" s="28"/>
      <c r="I188" s="28">
        <v>2</v>
      </c>
      <c r="J188" s="28">
        <v>2</v>
      </c>
      <c r="K188" s="28">
        <v>2</v>
      </c>
      <c r="L188" s="18">
        <f t="shared" si="5"/>
        <v>8</v>
      </c>
      <c r="M188" s="18" t="str">
        <f t="shared" si="4"/>
        <v>Baixa</v>
      </c>
      <c r="N188" s="28" t="s">
        <v>465</v>
      </c>
      <c r="O188" s="29">
        <v>46231</v>
      </c>
      <c r="P188" s="28"/>
      <c r="Q188" s="28" t="s">
        <v>130</v>
      </c>
      <c r="R188" s="28" t="s">
        <v>471</v>
      </c>
      <c r="S188" s="28" t="s">
        <v>300</v>
      </c>
    </row>
    <row r="189" spans="1:19" ht="33.75">
      <c r="A189" s="28">
        <v>188</v>
      </c>
      <c r="B189" s="29">
        <v>46231</v>
      </c>
      <c r="C189" s="28" t="s">
        <v>445</v>
      </c>
      <c r="D189" s="23" t="s">
        <v>38</v>
      </c>
      <c r="E189" s="28" t="s">
        <v>21</v>
      </c>
      <c r="F189" s="28" t="s">
        <v>472</v>
      </c>
      <c r="G189" s="28"/>
      <c r="H189" s="28"/>
      <c r="I189" s="28">
        <v>2</v>
      </c>
      <c r="J189" s="28">
        <v>4</v>
      </c>
      <c r="K189" s="28">
        <v>2</v>
      </c>
      <c r="L189" s="21">
        <f t="shared" si="5"/>
        <v>16</v>
      </c>
      <c r="M189" s="21" t="str">
        <f t="shared" si="4"/>
        <v>Baixa</v>
      </c>
      <c r="N189" s="28" t="s">
        <v>452</v>
      </c>
      <c r="O189" s="29">
        <v>46231</v>
      </c>
      <c r="P189" s="28"/>
      <c r="Q189" s="28" t="s">
        <v>130</v>
      </c>
      <c r="R189" s="28" t="s">
        <v>473</v>
      </c>
      <c r="S189" s="28" t="s">
        <v>292</v>
      </c>
    </row>
    <row r="190" spans="1:19" ht="50.25">
      <c r="A190" s="28">
        <v>189</v>
      </c>
      <c r="B190" s="29">
        <v>46231</v>
      </c>
      <c r="C190" s="28" t="s">
        <v>445</v>
      </c>
      <c r="D190" s="24" t="s">
        <v>38</v>
      </c>
      <c r="E190" s="28" t="s">
        <v>216</v>
      </c>
      <c r="F190" s="28" t="s">
        <v>474</v>
      </c>
      <c r="G190" s="28"/>
      <c r="H190" s="28"/>
      <c r="I190" s="28">
        <v>3</v>
      </c>
      <c r="J190" s="28">
        <v>3</v>
      </c>
      <c r="K190" s="28">
        <v>3</v>
      </c>
      <c r="L190" s="18">
        <f t="shared" si="5"/>
        <v>27</v>
      </c>
      <c r="M190" s="18" t="str">
        <f t="shared" si="4"/>
        <v>Baixa</v>
      </c>
      <c r="N190" s="28" t="s">
        <v>452</v>
      </c>
      <c r="O190" s="29">
        <v>46231</v>
      </c>
      <c r="P190" s="28"/>
      <c r="Q190" s="28" t="s">
        <v>130</v>
      </c>
      <c r="R190" s="28" t="s">
        <v>475</v>
      </c>
      <c r="S190" s="28" t="s">
        <v>292</v>
      </c>
    </row>
    <row r="191" spans="1:19" ht="50.25">
      <c r="A191" s="28">
        <v>190</v>
      </c>
      <c r="B191" s="29">
        <v>46231</v>
      </c>
      <c r="C191" s="28" t="s">
        <v>445</v>
      </c>
      <c r="D191" s="23" t="s">
        <v>29</v>
      </c>
      <c r="E191" s="28" t="s">
        <v>344</v>
      </c>
      <c r="F191" s="28" t="s">
        <v>476</v>
      </c>
      <c r="G191" s="28"/>
      <c r="H191" s="28"/>
      <c r="I191" s="28">
        <v>5</v>
      </c>
      <c r="J191" s="28">
        <v>4</v>
      </c>
      <c r="K191" s="28">
        <v>4</v>
      </c>
      <c r="L191" s="21">
        <f t="shared" si="5"/>
        <v>80</v>
      </c>
      <c r="M191" s="21" t="str">
        <f t="shared" si="4"/>
        <v>Alta</v>
      </c>
      <c r="N191" s="28" t="s">
        <v>452</v>
      </c>
      <c r="O191" s="29">
        <v>46231</v>
      </c>
      <c r="P191" s="28"/>
      <c r="Q191" s="28" t="s">
        <v>130</v>
      </c>
      <c r="R191" s="28" t="s">
        <v>477</v>
      </c>
      <c r="S191" s="28" t="s">
        <v>287</v>
      </c>
    </row>
    <row r="192" spans="1:19" ht="33.75">
      <c r="A192" s="28">
        <v>191</v>
      </c>
      <c r="B192" s="29">
        <v>46231</v>
      </c>
      <c r="C192" s="28" t="s">
        <v>445</v>
      </c>
      <c r="D192" s="24" t="s">
        <v>114</v>
      </c>
      <c r="E192" s="28" t="s">
        <v>47</v>
      </c>
      <c r="F192" s="28" t="s">
        <v>478</v>
      </c>
      <c r="G192" s="28"/>
      <c r="H192" s="28"/>
      <c r="I192" s="28">
        <v>3</v>
      </c>
      <c r="J192" s="28">
        <v>3</v>
      </c>
      <c r="K192" s="28">
        <v>3</v>
      </c>
      <c r="L192" s="18">
        <f t="shared" si="5"/>
        <v>27</v>
      </c>
      <c r="M192" s="18" t="str">
        <f t="shared" si="4"/>
        <v>Baixa</v>
      </c>
      <c r="N192" s="28" t="s">
        <v>447</v>
      </c>
      <c r="O192" s="29">
        <v>46231</v>
      </c>
      <c r="P192" s="28"/>
      <c r="Q192" s="28" t="s">
        <v>130</v>
      </c>
      <c r="R192" s="28" t="s">
        <v>479</v>
      </c>
      <c r="S192" s="28" t="s">
        <v>300</v>
      </c>
    </row>
    <row r="193" spans="1:19" ht="33.75">
      <c r="A193" s="28">
        <v>192</v>
      </c>
      <c r="B193" s="29">
        <v>46231</v>
      </c>
      <c r="C193" s="28" t="s">
        <v>445</v>
      </c>
      <c r="D193" s="23" t="s">
        <v>480</v>
      </c>
      <c r="E193" s="28" t="s">
        <v>47</v>
      </c>
      <c r="F193" s="28" t="s">
        <v>481</v>
      </c>
      <c r="G193" s="28"/>
      <c r="H193" s="28"/>
      <c r="I193" s="28">
        <v>3</v>
      </c>
      <c r="J193" s="28">
        <v>4</v>
      </c>
      <c r="K193" s="28">
        <v>3</v>
      </c>
      <c r="L193" s="21">
        <f t="shared" si="5"/>
        <v>36</v>
      </c>
      <c r="M193" s="21" t="str">
        <f t="shared" si="4"/>
        <v>Moderada</v>
      </c>
      <c r="N193" s="28" t="s">
        <v>447</v>
      </c>
      <c r="O193" s="29">
        <v>46231</v>
      </c>
      <c r="P193" s="28"/>
      <c r="Q193" s="28" t="s">
        <v>130</v>
      </c>
      <c r="R193" s="28" t="s">
        <v>482</v>
      </c>
      <c r="S193" s="28" t="s">
        <v>51</v>
      </c>
    </row>
    <row r="194" spans="1:19" ht="33.75">
      <c r="A194" s="28">
        <v>193</v>
      </c>
      <c r="B194" s="31">
        <v>46238</v>
      </c>
      <c r="C194" s="30" t="s">
        <v>483</v>
      </c>
      <c r="D194" s="183" t="s">
        <v>114</v>
      </c>
      <c r="E194" s="30" t="s">
        <v>47</v>
      </c>
      <c r="F194" s="116" t="s">
        <v>484</v>
      </c>
      <c r="G194" s="11"/>
      <c r="H194" s="11"/>
      <c r="I194" s="11">
        <v>3</v>
      </c>
      <c r="J194" s="11">
        <v>3</v>
      </c>
      <c r="K194" s="11">
        <v>3</v>
      </c>
      <c r="L194" s="18">
        <f t="shared" si="5"/>
        <v>27</v>
      </c>
      <c r="M194" s="18" t="str">
        <f t="shared" ref="M194:M257" si="6">IF(OR(H194="Sim",Y194="Ameaça imediata"),"Imediata",IF(L194="","Pendente de avaliação",IF(J194=5,"Alta",IF(L194&gt;=65,"Alta",IF(L194&gt;=28,"Moderada","Baixa")))))</f>
        <v>Baixa</v>
      </c>
      <c r="N194" s="30" t="s">
        <v>185</v>
      </c>
      <c r="O194" s="31">
        <v>46240</v>
      </c>
      <c r="P194" s="11"/>
      <c r="Q194" s="28" t="s">
        <v>130</v>
      </c>
      <c r="R194" s="30" t="s">
        <v>485</v>
      </c>
      <c r="S194" s="30" t="s">
        <v>344</v>
      </c>
    </row>
    <row r="195" spans="1:19" ht="33.75">
      <c r="A195" s="28">
        <v>194</v>
      </c>
      <c r="B195" s="29">
        <v>46238</v>
      </c>
      <c r="C195" s="28" t="s">
        <v>483</v>
      </c>
      <c r="D195" s="23" t="s">
        <v>114</v>
      </c>
      <c r="E195" s="28" t="s">
        <v>47</v>
      </c>
      <c r="F195" s="117" t="s">
        <v>486</v>
      </c>
      <c r="G195" s="11"/>
      <c r="H195" s="11"/>
      <c r="I195" s="11">
        <v>3</v>
      </c>
      <c r="J195" s="11">
        <v>3</v>
      </c>
      <c r="K195" s="11">
        <v>3</v>
      </c>
      <c r="L195" s="21">
        <f t="shared" ref="L195:L258" si="7">IF(COUNT(I195:K195)=3,I195*J195*K195,"")</f>
        <v>27</v>
      </c>
      <c r="M195" s="21" t="str">
        <f t="shared" si="6"/>
        <v>Baixa</v>
      </c>
      <c r="N195" s="28" t="s">
        <v>185</v>
      </c>
      <c r="O195" s="29">
        <v>46240</v>
      </c>
      <c r="P195" s="11"/>
      <c r="Q195" s="28" t="s">
        <v>130</v>
      </c>
      <c r="R195" s="28" t="s">
        <v>485</v>
      </c>
      <c r="S195" s="28" t="s">
        <v>344</v>
      </c>
    </row>
    <row r="196" spans="1:19" ht="50.25">
      <c r="A196" s="28">
        <v>195</v>
      </c>
      <c r="B196" s="31">
        <v>46238</v>
      </c>
      <c r="C196" s="30" t="s">
        <v>483</v>
      </c>
      <c r="D196" s="183" t="s">
        <v>114</v>
      </c>
      <c r="E196" s="30" t="s">
        <v>344</v>
      </c>
      <c r="F196" s="118" t="s">
        <v>487</v>
      </c>
      <c r="G196" s="11"/>
      <c r="H196" s="11"/>
      <c r="I196" s="11">
        <v>4</v>
      </c>
      <c r="J196" s="11">
        <v>4</v>
      </c>
      <c r="K196" s="11">
        <v>3</v>
      </c>
      <c r="L196" s="18">
        <f t="shared" si="7"/>
        <v>48</v>
      </c>
      <c r="M196" s="18" t="str">
        <f t="shared" si="6"/>
        <v>Moderada</v>
      </c>
      <c r="N196" s="30" t="s">
        <v>185</v>
      </c>
      <c r="O196" s="31">
        <v>46240</v>
      </c>
      <c r="P196" s="11"/>
      <c r="Q196" s="28" t="s">
        <v>130</v>
      </c>
      <c r="R196" s="30" t="s">
        <v>488</v>
      </c>
      <c r="S196" s="30" t="s">
        <v>344</v>
      </c>
    </row>
    <row r="197" spans="1:19" ht="33.75">
      <c r="A197" s="28">
        <v>196</v>
      </c>
      <c r="B197" s="29">
        <v>46238</v>
      </c>
      <c r="C197" s="28" t="s">
        <v>483</v>
      </c>
      <c r="D197" s="23" t="s">
        <v>38</v>
      </c>
      <c r="E197" s="28" t="s">
        <v>344</v>
      </c>
      <c r="F197" s="117" t="s">
        <v>489</v>
      </c>
      <c r="G197" s="11"/>
      <c r="H197" s="11"/>
      <c r="I197" s="11">
        <v>3</v>
      </c>
      <c r="J197" s="11">
        <v>4</v>
      </c>
      <c r="K197" s="11">
        <v>3</v>
      </c>
      <c r="L197" s="21">
        <f t="shared" si="7"/>
        <v>36</v>
      </c>
      <c r="M197" s="21" t="str">
        <f t="shared" si="6"/>
        <v>Moderada</v>
      </c>
      <c r="N197" s="28" t="s">
        <v>185</v>
      </c>
      <c r="O197" s="29">
        <v>46240</v>
      </c>
      <c r="P197" s="11"/>
      <c r="Q197" s="28" t="s">
        <v>130</v>
      </c>
      <c r="R197" s="28" t="s">
        <v>490</v>
      </c>
      <c r="S197" s="28" t="s">
        <v>344</v>
      </c>
    </row>
    <row r="198" spans="1:19" ht="33.75">
      <c r="A198" s="28">
        <v>197</v>
      </c>
      <c r="B198" s="31">
        <v>46238</v>
      </c>
      <c r="C198" s="30" t="s">
        <v>483</v>
      </c>
      <c r="D198" s="183" t="s">
        <v>340</v>
      </c>
      <c r="E198" s="30" t="s">
        <v>216</v>
      </c>
      <c r="F198" s="118" t="s">
        <v>491</v>
      </c>
      <c r="G198" s="11"/>
      <c r="H198" s="11"/>
      <c r="I198" s="11">
        <v>3</v>
      </c>
      <c r="J198" s="11">
        <v>4</v>
      </c>
      <c r="K198" s="11">
        <v>3</v>
      </c>
      <c r="L198" s="18">
        <f t="shared" si="7"/>
        <v>36</v>
      </c>
      <c r="M198" s="18" t="str">
        <f t="shared" si="6"/>
        <v>Moderada</v>
      </c>
      <c r="N198" s="30" t="s">
        <v>492</v>
      </c>
      <c r="O198" s="31">
        <v>46240</v>
      </c>
      <c r="P198" s="11"/>
      <c r="Q198" s="28" t="s">
        <v>130</v>
      </c>
      <c r="R198" s="30" t="s">
        <v>493</v>
      </c>
      <c r="S198" s="30" t="s">
        <v>216</v>
      </c>
    </row>
    <row r="199" spans="1:19" ht="33.75">
      <c r="A199" s="28">
        <v>198</v>
      </c>
      <c r="B199" s="29">
        <v>46238</v>
      </c>
      <c r="C199" s="28" t="s">
        <v>483</v>
      </c>
      <c r="D199" s="23" t="s">
        <v>29</v>
      </c>
      <c r="E199" s="28" t="s">
        <v>30</v>
      </c>
      <c r="F199" s="117" t="s">
        <v>494</v>
      </c>
      <c r="G199" s="11"/>
      <c r="H199" s="11"/>
      <c r="I199" s="11">
        <v>3</v>
      </c>
      <c r="J199" s="11">
        <v>4</v>
      </c>
      <c r="K199" s="11">
        <v>3</v>
      </c>
      <c r="L199" s="21">
        <f t="shared" si="7"/>
        <v>36</v>
      </c>
      <c r="M199" s="21" t="str">
        <f t="shared" si="6"/>
        <v>Moderada</v>
      </c>
      <c r="N199" s="28" t="s">
        <v>185</v>
      </c>
      <c r="O199" s="29">
        <v>46240</v>
      </c>
      <c r="P199" s="11"/>
      <c r="Q199" s="28" t="s">
        <v>130</v>
      </c>
      <c r="R199" s="28" t="s">
        <v>495</v>
      </c>
      <c r="S199" s="28" t="s">
        <v>344</v>
      </c>
    </row>
    <row r="200" spans="1:19" ht="33.75">
      <c r="A200" s="28">
        <v>199</v>
      </c>
      <c r="B200" s="31">
        <v>46238</v>
      </c>
      <c r="C200" s="30" t="s">
        <v>483</v>
      </c>
      <c r="D200" s="183" t="s">
        <v>29</v>
      </c>
      <c r="E200" s="30" t="s">
        <v>21</v>
      </c>
      <c r="F200" s="118" t="s">
        <v>496</v>
      </c>
      <c r="G200" s="11"/>
      <c r="H200" s="11"/>
      <c r="I200" s="11">
        <v>3</v>
      </c>
      <c r="J200" s="11">
        <v>3</v>
      </c>
      <c r="K200" s="11">
        <v>3</v>
      </c>
      <c r="L200" s="18">
        <f t="shared" si="7"/>
        <v>27</v>
      </c>
      <c r="M200" s="18" t="str">
        <f t="shared" si="6"/>
        <v>Baixa</v>
      </c>
      <c r="N200" s="30" t="s">
        <v>468</v>
      </c>
      <c r="O200" s="31">
        <v>46240</v>
      </c>
      <c r="P200" s="11"/>
      <c r="Q200" s="28" t="s">
        <v>130</v>
      </c>
      <c r="R200" s="30" t="s">
        <v>497</v>
      </c>
      <c r="S200" s="30" t="s">
        <v>21</v>
      </c>
    </row>
    <row r="201" spans="1:19" ht="33.75">
      <c r="A201" s="28">
        <v>200</v>
      </c>
      <c r="B201" s="29">
        <v>46238</v>
      </c>
      <c r="C201" s="28" t="s">
        <v>483</v>
      </c>
      <c r="D201" s="23" t="s">
        <v>340</v>
      </c>
      <c r="E201" s="28" t="s">
        <v>344</v>
      </c>
      <c r="F201" s="117" t="s">
        <v>498</v>
      </c>
      <c r="G201" s="11"/>
      <c r="H201" s="11"/>
      <c r="I201" s="11">
        <v>3</v>
      </c>
      <c r="J201" s="11">
        <v>4</v>
      </c>
      <c r="K201" s="11">
        <v>3</v>
      </c>
      <c r="L201" s="21">
        <f t="shared" si="7"/>
        <v>36</v>
      </c>
      <c r="M201" s="21" t="str">
        <f t="shared" si="6"/>
        <v>Moderada</v>
      </c>
      <c r="N201" s="28" t="s">
        <v>185</v>
      </c>
      <c r="O201" s="29">
        <v>46240</v>
      </c>
      <c r="P201" s="11"/>
      <c r="Q201" s="28" t="s">
        <v>130</v>
      </c>
      <c r="R201" s="28" t="s">
        <v>499</v>
      </c>
      <c r="S201" s="28" t="s">
        <v>344</v>
      </c>
    </row>
    <row r="202" spans="1:19" ht="33.75">
      <c r="A202" s="28">
        <v>201</v>
      </c>
      <c r="B202" s="31">
        <v>46238</v>
      </c>
      <c r="C202" s="30" t="s">
        <v>483</v>
      </c>
      <c r="D202" s="183" t="s">
        <v>340</v>
      </c>
      <c r="E202" s="30" t="s">
        <v>344</v>
      </c>
      <c r="F202" s="118" t="s">
        <v>500</v>
      </c>
      <c r="G202" s="11"/>
      <c r="H202" s="11"/>
      <c r="I202" s="11">
        <v>3</v>
      </c>
      <c r="J202" s="11">
        <v>4</v>
      </c>
      <c r="K202" s="11">
        <v>3</v>
      </c>
      <c r="L202" s="18">
        <f t="shared" si="7"/>
        <v>36</v>
      </c>
      <c r="M202" s="18" t="str">
        <f t="shared" si="6"/>
        <v>Moderada</v>
      </c>
      <c r="N202" s="30" t="s">
        <v>185</v>
      </c>
      <c r="O202" s="31">
        <v>46240</v>
      </c>
      <c r="P202" s="11"/>
      <c r="Q202" s="28" t="s">
        <v>130</v>
      </c>
      <c r="R202" s="30" t="s">
        <v>501</v>
      </c>
      <c r="S202" s="30" t="s">
        <v>344</v>
      </c>
    </row>
    <row r="203" spans="1:19" ht="33.75">
      <c r="A203" s="28">
        <v>202</v>
      </c>
      <c r="B203" s="29">
        <v>46238</v>
      </c>
      <c r="C203" s="28" t="s">
        <v>483</v>
      </c>
      <c r="D203" s="23" t="s">
        <v>29</v>
      </c>
      <c r="E203" s="28" t="s">
        <v>97</v>
      </c>
      <c r="F203" s="117" t="s">
        <v>502</v>
      </c>
      <c r="G203" s="11"/>
      <c r="H203" s="11"/>
      <c r="I203" s="11">
        <v>3</v>
      </c>
      <c r="J203" s="11">
        <v>4</v>
      </c>
      <c r="K203" s="11">
        <v>3</v>
      </c>
      <c r="L203" s="21">
        <f t="shared" si="7"/>
        <v>36</v>
      </c>
      <c r="M203" s="21" t="str">
        <f t="shared" si="6"/>
        <v>Moderada</v>
      </c>
      <c r="N203" s="28" t="s">
        <v>185</v>
      </c>
      <c r="O203" s="29">
        <v>46240</v>
      </c>
      <c r="P203" s="11"/>
      <c r="Q203" s="28" t="s">
        <v>130</v>
      </c>
      <c r="R203" s="28" t="s">
        <v>503</v>
      </c>
      <c r="S203" s="28" t="s">
        <v>97</v>
      </c>
    </row>
    <row r="204" spans="1:19" ht="33.75">
      <c r="A204" s="28">
        <v>203</v>
      </c>
      <c r="B204" s="31">
        <v>46238</v>
      </c>
      <c r="C204" s="30" t="s">
        <v>483</v>
      </c>
      <c r="D204" s="183" t="s">
        <v>29</v>
      </c>
      <c r="E204" s="30" t="s">
        <v>97</v>
      </c>
      <c r="F204" s="118" t="s">
        <v>504</v>
      </c>
      <c r="G204" s="11"/>
      <c r="H204" s="11"/>
      <c r="I204" s="11">
        <v>3</v>
      </c>
      <c r="J204" s="11">
        <v>3</v>
      </c>
      <c r="K204" s="11">
        <v>3</v>
      </c>
      <c r="L204" s="18">
        <f t="shared" si="7"/>
        <v>27</v>
      </c>
      <c r="M204" s="18" t="str">
        <f t="shared" si="6"/>
        <v>Baixa</v>
      </c>
      <c r="N204" s="30" t="s">
        <v>465</v>
      </c>
      <c r="O204" s="31">
        <v>46240</v>
      </c>
      <c r="P204" s="11"/>
      <c r="Q204" s="28" t="s">
        <v>130</v>
      </c>
      <c r="R204" s="30" t="s">
        <v>505</v>
      </c>
      <c r="S204" s="30" t="s">
        <v>97</v>
      </c>
    </row>
    <row r="205" spans="1:19" ht="46.5">
      <c r="A205" s="28">
        <v>204</v>
      </c>
      <c r="B205" s="152">
        <v>46245</v>
      </c>
      <c r="C205" s="153" t="s">
        <v>506</v>
      </c>
      <c r="D205" s="23" t="s">
        <v>114</v>
      </c>
      <c r="E205" s="153" t="s">
        <v>47</v>
      </c>
      <c r="F205" s="118" t="s">
        <v>507</v>
      </c>
      <c r="G205" s="153"/>
      <c r="H205" s="153"/>
      <c r="I205" s="153">
        <v>3</v>
      </c>
      <c r="J205" s="153">
        <v>3</v>
      </c>
      <c r="K205" s="153">
        <v>3</v>
      </c>
      <c r="L205" s="21">
        <f t="shared" si="7"/>
        <v>27</v>
      </c>
      <c r="M205" s="21" t="str">
        <f t="shared" si="6"/>
        <v>Baixa</v>
      </c>
      <c r="N205" s="153" t="s">
        <v>447</v>
      </c>
      <c r="O205" s="152">
        <v>46247</v>
      </c>
      <c r="P205" s="153"/>
      <c r="Q205" s="30" t="s">
        <v>130</v>
      </c>
      <c r="R205" s="153" t="s">
        <v>508</v>
      </c>
      <c r="S205" s="153" t="s">
        <v>47</v>
      </c>
    </row>
    <row r="206" spans="1:19" ht="50.25">
      <c r="A206" s="28">
        <v>205</v>
      </c>
      <c r="B206" s="154">
        <v>46245</v>
      </c>
      <c r="C206" s="113" t="s">
        <v>506</v>
      </c>
      <c r="D206" s="183" t="s">
        <v>114</v>
      </c>
      <c r="E206" s="113" t="s">
        <v>47</v>
      </c>
      <c r="F206" s="118" t="s">
        <v>509</v>
      </c>
      <c r="G206" s="113"/>
      <c r="H206" s="113"/>
      <c r="I206" s="113">
        <v>3</v>
      </c>
      <c r="J206" s="113">
        <v>3</v>
      </c>
      <c r="K206" s="113">
        <v>3</v>
      </c>
      <c r="L206" s="18">
        <f t="shared" si="7"/>
        <v>27</v>
      </c>
      <c r="M206" s="18" t="str">
        <f t="shared" si="6"/>
        <v>Baixa</v>
      </c>
      <c r="N206" s="113" t="s">
        <v>447</v>
      </c>
      <c r="O206" s="154">
        <v>46247</v>
      </c>
      <c r="P206" s="113"/>
      <c r="Q206" s="30" t="s">
        <v>26</v>
      </c>
      <c r="R206" s="113" t="s">
        <v>510</v>
      </c>
      <c r="S206" s="113" t="s">
        <v>47</v>
      </c>
    </row>
    <row r="207" spans="1:19" ht="46.5">
      <c r="A207" s="28">
        <v>206</v>
      </c>
      <c r="B207" s="152">
        <v>46245</v>
      </c>
      <c r="C207" s="153" t="s">
        <v>506</v>
      </c>
      <c r="D207" s="23" t="s">
        <v>114</v>
      </c>
      <c r="E207" s="153" t="s">
        <v>30</v>
      </c>
      <c r="F207" s="118" t="s">
        <v>511</v>
      </c>
      <c r="G207" s="153"/>
      <c r="H207" s="153"/>
      <c r="I207" s="153">
        <v>3</v>
      </c>
      <c r="J207" s="153">
        <v>4</v>
      </c>
      <c r="K207" s="153">
        <v>3</v>
      </c>
      <c r="L207" s="21">
        <f t="shared" si="7"/>
        <v>36</v>
      </c>
      <c r="M207" s="21" t="str">
        <f t="shared" si="6"/>
        <v>Moderada</v>
      </c>
      <c r="N207" s="153" t="s">
        <v>447</v>
      </c>
      <c r="O207" s="152">
        <v>46247</v>
      </c>
      <c r="P207" s="153"/>
      <c r="Q207" s="30" t="s">
        <v>130</v>
      </c>
      <c r="R207" s="153" t="s">
        <v>512</v>
      </c>
      <c r="S207" s="153" t="s">
        <v>30</v>
      </c>
    </row>
    <row r="208" spans="1:19" ht="46.5">
      <c r="A208" s="28">
        <v>207</v>
      </c>
      <c r="B208" s="154">
        <v>46245</v>
      </c>
      <c r="C208" s="113" t="s">
        <v>506</v>
      </c>
      <c r="D208" s="183" t="s">
        <v>114</v>
      </c>
      <c r="E208" s="113" t="s">
        <v>21</v>
      </c>
      <c r="F208" s="118" t="s">
        <v>513</v>
      </c>
      <c r="G208" s="113"/>
      <c r="H208" s="113"/>
      <c r="I208" s="113">
        <v>3</v>
      </c>
      <c r="J208" s="113">
        <v>3</v>
      </c>
      <c r="K208" s="113">
        <v>3</v>
      </c>
      <c r="L208" s="18">
        <f t="shared" si="7"/>
        <v>27</v>
      </c>
      <c r="M208" s="18" t="str">
        <f t="shared" si="6"/>
        <v>Baixa</v>
      </c>
      <c r="N208" s="113" t="s">
        <v>468</v>
      </c>
      <c r="O208" s="154">
        <v>46247</v>
      </c>
      <c r="P208" s="113"/>
      <c r="Q208" s="30" t="s">
        <v>130</v>
      </c>
      <c r="R208" s="113" t="s">
        <v>514</v>
      </c>
      <c r="S208" s="113" t="s">
        <v>21</v>
      </c>
    </row>
    <row r="209" spans="1:19" ht="77.25">
      <c r="A209" s="28">
        <v>208</v>
      </c>
      <c r="B209" s="152">
        <v>46245</v>
      </c>
      <c r="C209" s="153" t="s">
        <v>506</v>
      </c>
      <c r="D209" s="23" t="s">
        <v>114</v>
      </c>
      <c r="E209" s="153" t="s">
        <v>30</v>
      </c>
      <c r="F209" s="118" t="s">
        <v>515</v>
      </c>
      <c r="G209" s="153"/>
      <c r="H209" s="153"/>
      <c r="I209" s="153">
        <v>3</v>
      </c>
      <c r="J209" s="153">
        <v>3</v>
      </c>
      <c r="K209" s="153">
        <v>3</v>
      </c>
      <c r="L209" s="21">
        <f t="shared" si="7"/>
        <v>27</v>
      </c>
      <c r="M209" s="21" t="str">
        <f t="shared" si="6"/>
        <v>Baixa</v>
      </c>
      <c r="N209" s="153" t="s">
        <v>452</v>
      </c>
      <c r="O209" s="152">
        <v>46247</v>
      </c>
      <c r="P209" s="153"/>
      <c r="Q209" s="30" t="s">
        <v>130</v>
      </c>
      <c r="R209" s="153" t="s">
        <v>516</v>
      </c>
      <c r="S209" s="153" t="s">
        <v>30</v>
      </c>
    </row>
    <row r="210" spans="1:19" ht="30.75">
      <c r="A210" s="28">
        <v>209</v>
      </c>
      <c r="B210" s="154">
        <v>46245</v>
      </c>
      <c r="C210" s="113" t="s">
        <v>506</v>
      </c>
      <c r="D210" s="183" t="s">
        <v>29</v>
      </c>
      <c r="E210" s="113" t="s">
        <v>92</v>
      </c>
      <c r="F210" s="118" t="s">
        <v>517</v>
      </c>
      <c r="G210" s="113"/>
      <c r="H210" s="113"/>
      <c r="I210" s="113">
        <v>2</v>
      </c>
      <c r="J210" s="113">
        <v>3</v>
      </c>
      <c r="K210" s="113">
        <v>3</v>
      </c>
      <c r="L210" s="18">
        <f t="shared" si="7"/>
        <v>18</v>
      </c>
      <c r="M210" s="18" t="str">
        <f t="shared" si="6"/>
        <v>Baixa</v>
      </c>
      <c r="N210" s="113" t="s">
        <v>452</v>
      </c>
      <c r="O210" s="154">
        <v>46247</v>
      </c>
      <c r="P210" s="113"/>
      <c r="Q210" s="30" t="s">
        <v>130</v>
      </c>
      <c r="R210" s="113" t="s">
        <v>490</v>
      </c>
      <c r="S210" s="113" t="s">
        <v>92</v>
      </c>
    </row>
    <row r="211" spans="1:19" ht="46.5">
      <c r="A211" s="28">
        <v>210</v>
      </c>
      <c r="B211" s="152">
        <v>46245</v>
      </c>
      <c r="C211" s="153" t="s">
        <v>506</v>
      </c>
      <c r="D211" s="23" t="s">
        <v>114</v>
      </c>
      <c r="E211" s="153" t="s">
        <v>47</v>
      </c>
      <c r="F211" s="118" t="s">
        <v>518</v>
      </c>
      <c r="G211" s="153"/>
      <c r="H211" s="153"/>
      <c r="I211" s="153">
        <v>3</v>
      </c>
      <c r="J211" s="153">
        <v>3</v>
      </c>
      <c r="K211" s="153">
        <v>3</v>
      </c>
      <c r="L211" s="21">
        <f t="shared" si="7"/>
        <v>27</v>
      </c>
      <c r="M211" s="21" t="str">
        <f t="shared" si="6"/>
        <v>Baixa</v>
      </c>
      <c r="N211" s="153" t="s">
        <v>447</v>
      </c>
      <c r="O211" s="152">
        <v>46247</v>
      </c>
      <c r="P211" s="153"/>
      <c r="Q211" s="30" t="s">
        <v>130</v>
      </c>
      <c r="R211" s="153" t="s">
        <v>519</v>
      </c>
      <c r="S211" s="153" t="s">
        <v>47</v>
      </c>
    </row>
    <row r="212" spans="1:19" ht="30.75">
      <c r="A212" s="28">
        <v>211</v>
      </c>
      <c r="B212" s="154">
        <v>46245</v>
      </c>
      <c r="C212" s="113" t="s">
        <v>506</v>
      </c>
      <c r="D212" s="183" t="s">
        <v>29</v>
      </c>
      <c r="E212" s="113" t="s">
        <v>92</v>
      </c>
      <c r="F212" s="118" t="s">
        <v>520</v>
      </c>
      <c r="G212" s="113"/>
      <c r="H212" s="113"/>
      <c r="I212" s="113">
        <v>3</v>
      </c>
      <c r="J212" s="113">
        <v>3</v>
      </c>
      <c r="K212" s="113">
        <v>3</v>
      </c>
      <c r="L212" s="18">
        <f t="shared" si="7"/>
        <v>27</v>
      </c>
      <c r="M212" s="18" t="str">
        <f t="shared" si="6"/>
        <v>Baixa</v>
      </c>
      <c r="N212" s="113" t="s">
        <v>452</v>
      </c>
      <c r="O212" s="154">
        <v>46247</v>
      </c>
      <c r="P212" s="113"/>
      <c r="Q212" s="30" t="s">
        <v>26</v>
      </c>
      <c r="R212" s="113" t="s">
        <v>490</v>
      </c>
      <c r="S212" s="113" t="s">
        <v>92</v>
      </c>
    </row>
    <row r="213" spans="1:19" ht="61.5">
      <c r="A213" s="28">
        <v>212</v>
      </c>
      <c r="B213" s="152">
        <v>46245</v>
      </c>
      <c r="C213" s="153" t="s">
        <v>506</v>
      </c>
      <c r="D213" s="23" t="s">
        <v>46</v>
      </c>
      <c r="E213" s="153" t="s">
        <v>47</v>
      </c>
      <c r="F213" s="118" t="s">
        <v>521</v>
      </c>
      <c r="G213" s="153"/>
      <c r="H213" s="153"/>
      <c r="I213" s="153">
        <v>3</v>
      </c>
      <c r="J213" s="153">
        <v>3</v>
      </c>
      <c r="K213" s="153">
        <v>3</v>
      </c>
      <c r="L213" s="21">
        <f t="shared" si="7"/>
        <v>27</v>
      </c>
      <c r="M213" s="21" t="str">
        <f t="shared" si="6"/>
        <v>Baixa</v>
      </c>
      <c r="N213" s="153" t="s">
        <v>447</v>
      </c>
      <c r="O213" s="152">
        <v>46247</v>
      </c>
      <c r="P213" s="153"/>
      <c r="Q213" s="30" t="s">
        <v>130</v>
      </c>
      <c r="R213" s="153" t="s">
        <v>519</v>
      </c>
      <c r="S213" s="153" t="s">
        <v>47</v>
      </c>
    </row>
    <row r="214" spans="1:19" ht="33.75">
      <c r="A214" s="28">
        <v>213</v>
      </c>
      <c r="B214" s="154">
        <v>46245</v>
      </c>
      <c r="C214" s="113" t="s">
        <v>506</v>
      </c>
      <c r="D214" s="183" t="s">
        <v>29</v>
      </c>
      <c r="E214" s="113" t="s">
        <v>21</v>
      </c>
      <c r="F214" s="118" t="s">
        <v>522</v>
      </c>
      <c r="G214" s="113"/>
      <c r="H214" s="113"/>
      <c r="I214" s="113">
        <v>2</v>
      </c>
      <c r="J214" s="113">
        <v>3</v>
      </c>
      <c r="K214" s="113">
        <v>3</v>
      </c>
      <c r="L214" s="18">
        <f t="shared" si="7"/>
        <v>18</v>
      </c>
      <c r="M214" s="18" t="str">
        <f t="shared" si="6"/>
        <v>Baixa</v>
      </c>
      <c r="N214" s="113" t="s">
        <v>468</v>
      </c>
      <c r="O214" s="154">
        <v>46247</v>
      </c>
      <c r="P214" s="113"/>
      <c r="Q214" s="30" t="s">
        <v>130</v>
      </c>
      <c r="R214" s="113" t="s">
        <v>523</v>
      </c>
      <c r="S214" s="113" t="s">
        <v>21</v>
      </c>
    </row>
    <row r="215" spans="1:19" ht="33.75">
      <c r="A215" s="28">
        <v>214</v>
      </c>
      <c r="B215" s="152">
        <v>46245</v>
      </c>
      <c r="C215" s="153" t="s">
        <v>506</v>
      </c>
      <c r="D215" s="23" t="s">
        <v>38</v>
      </c>
      <c r="E215" s="153" t="s">
        <v>21</v>
      </c>
      <c r="F215" s="118" t="s">
        <v>524</v>
      </c>
      <c r="G215" s="153"/>
      <c r="H215" s="153"/>
      <c r="I215" s="153">
        <v>3</v>
      </c>
      <c r="J215" s="153">
        <v>3</v>
      </c>
      <c r="K215" s="153">
        <v>3</v>
      </c>
      <c r="L215" s="21">
        <f t="shared" si="7"/>
        <v>27</v>
      </c>
      <c r="M215" s="21" t="str">
        <f t="shared" si="6"/>
        <v>Baixa</v>
      </c>
      <c r="N215" s="153" t="s">
        <v>468</v>
      </c>
      <c r="O215" s="152">
        <v>46247</v>
      </c>
      <c r="P215" s="153"/>
      <c r="Q215" s="30" t="s">
        <v>130</v>
      </c>
      <c r="R215" s="153" t="s">
        <v>523</v>
      </c>
      <c r="S215" s="153" t="s">
        <v>21</v>
      </c>
    </row>
    <row r="216" spans="1:19" ht="33.75">
      <c r="A216" s="28">
        <v>215</v>
      </c>
      <c r="B216" s="154">
        <v>46245</v>
      </c>
      <c r="C216" s="113" t="s">
        <v>506</v>
      </c>
      <c r="D216" s="183" t="s">
        <v>29</v>
      </c>
      <c r="E216" s="113" t="s">
        <v>21</v>
      </c>
      <c r="F216" s="118" t="s">
        <v>525</v>
      </c>
      <c r="G216" s="113"/>
      <c r="H216" s="113"/>
      <c r="I216" s="113">
        <v>3</v>
      </c>
      <c r="J216" s="113">
        <v>3</v>
      </c>
      <c r="K216" s="113">
        <v>3</v>
      </c>
      <c r="L216" s="18">
        <f t="shared" si="7"/>
        <v>27</v>
      </c>
      <c r="M216" s="18" t="str">
        <f t="shared" si="6"/>
        <v>Baixa</v>
      </c>
      <c r="N216" s="113" t="s">
        <v>468</v>
      </c>
      <c r="O216" s="154">
        <v>46247</v>
      </c>
      <c r="P216" s="113"/>
      <c r="Q216" s="30" t="s">
        <v>26</v>
      </c>
      <c r="R216" s="113" t="s">
        <v>526</v>
      </c>
      <c r="S216" s="113" t="s">
        <v>21</v>
      </c>
    </row>
    <row r="217" spans="1:19" ht="84">
      <c r="A217" s="28">
        <v>216</v>
      </c>
      <c r="B217" s="152">
        <v>46245</v>
      </c>
      <c r="C217" s="153" t="s">
        <v>506</v>
      </c>
      <c r="D217" s="23" t="s">
        <v>29</v>
      </c>
      <c r="E217" s="153" t="s">
        <v>21</v>
      </c>
      <c r="F217" s="118" t="s">
        <v>527</v>
      </c>
      <c r="G217" s="153"/>
      <c r="H217" s="153"/>
      <c r="I217" s="153">
        <v>3</v>
      </c>
      <c r="J217" s="153">
        <v>3</v>
      </c>
      <c r="K217" s="153">
        <v>3</v>
      </c>
      <c r="L217" s="21">
        <f t="shared" si="7"/>
        <v>27</v>
      </c>
      <c r="M217" s="21" t="str">
        <f t="shared" si="6"/>
        <v>Baixa</v>
      </c>
      <c r="N217" s="153" t="s">
        <v>468</v>
      </c>
      <c r="O217" s="152">
        <v>46247</v>
      </c>
      <c r="P217" s="153"/>
      <c r="Q217" s="30" t="s">
        <v>130</v>
      </c>
      <c r="R217" s="153" t="s">
        <v>528</v>
      </c>
      <c r="S217" s="153" t="s">
        <v>21</v>
      </c>
    </row>
    <row r="218" spans="1:19" ht="33.75">
      <c r="A218" s="28">
        <v>217</v>
      </c>
      <c r="B218" s="154">
        <v>46245</v>
      </c>
      <c r="C218" s="113" t="s">
        <v>506</v>
      </c>
      <c r="D218" s="183" t="s">
        <v>340</v>
      </c>
      <c r="E218" s="113" t="s">
        <v>97</v>
      </c>
      <c r="F218" s="118" t="s">
        <v>529</v>
      </c>
      <c r="G218" s="113"/>
      <c r="H218" s="113"/>
      <c r="I218" s="113">
        <v>3</v>
      </c>
      <c r="J218" s="113">
        <v>3</v>
      </c>
      <c r="K218" s="113">
        <v>3</v>
      </c>
      <c r="L218" s="18">
        <f t="shared" si="7"/>
        <v>27</v>
      </c>
      <c r="M218" s="18" t="str">
        <f t="shared" si="6"/>
        <v>Baixa</v>
      </c>
      <c r="N218" s="113" t="s">
        <v>465</v>
      </c>
      <c r="O218" s="154">
        <v>46247</v>
      </c>
      <c r="P218" s="113"/>
      <c r="Q218" s="30" t="s">
        <v>130</v>
      </c>
      <c r="R218" s="113" t="s">
        <v>530</v>
      </c>
      <c r="S218" s="113" t="s">
        <v>97</v>
      </c>
    </row>
    <row r="219" spans="1:19" ht="33.75">
      <c r="A219" s="28">
        <v>218</v>
      </c>
      <c r="B219" s="152">
        <v>46245</v>
      </c>
      <c r="C219" s="153" t="s">
        <v>506</v>
      </c>
      <c r="D219" s="23" t="s">
        <v>340</v>
      </c>
      <c r="E219" s="153" t="s">
        <v>21</v>
      </c>
      <c r="F219" s="118" t="s">
        <v>531</v>
      </c>
      <c r="G219" s="153"/>
      <c r="H219" s="153"/>
      <c r="I219" s="153">
        <v>3</v>
      </c>
      <c r="J219" s="153">
        <v>3</v>
      </c>
      <c r="K219" s="153">
        <v>3</v>
      </c>
      <c r="L219" s="21">
        <f t="shared" si="7"/>
        <v>27</v>
      </c>
      <c r="M219" s="21" t="str">
        <f t="shared" si="6"/>
        <v>Baixa</v>
      </c>
      <c r="N219" s="153" t="s">
        <v>468</v>
      </c>
      <c r="O219" s="152">
        <v>46247</v>
      </c>
      <c r="P219" s="153"/>
      <c r="Q219" s="30" t="s">
        <v>130</v>
      </c>
      <c r="R219" s="153" t="s">
        <v>532</v>
      </c>
      <c r="S219" s="153" t="s">
        <v>21</v>
      </c>
    </row>
    <row r="220" spans="1:19" ht="46.5">
      <c r="A220" s="28">
        <v>219</v>
      </c>
      <c r="B220" s="154">
        <v>46245</v>
      </c>
      <c r="C220" s="113" t="s">
        <v>506</v>
      </c>
      <c r="D220" s="183" t="s">
        <v>29</v>
      </c>
      <c r="E220" s="113" t="s">
        <v>21</v>
      </c>
      <c r="F220" s="118" t="s">
        <v>533</v>
      </c>
      <c r="G220" s="113"/>
      <c r="H220" s="113"/>
      <c r="I220" s="113">
        <v>2</v>
      </c>
      <c r="J220" s="113">
        <v>3</v>
      </c>
      <c r="K220" s="113">
        <v>3</v>
      </c>
      <c r="L220" s="18">
        <f t="shared" si="7"/>
        <v>18</v>
      </c>
      <c r="M220" s="18" t="str">
        <f t="shared" si="6"/>
        <v>Baixa</v>
      </c>
      <c r="N220" s="113" t="s">
        <v>468</v>
      </c>
      <c r="O220" s="154">
        <v>46247</v>
      </c>
      <c r="P220" s="113"/>
      <c r="Q220" s="30" t="s">
        <v>130</v>
      </c>
      <c r="R220" s="113" t="s">
        <v>532</v>
      </c>
      <c r="S220" s="113" t="s">
        <v>21</v>
      </c>
    </row>
    <row r="221" spans="1:19" ht="16.5">
      <c r="A221" s="28">
        <v>220</v>
      </c>
      <c r="B221" s="152">
        <v>46245</v>
      </c>
      <c r="C221" s="153" t="s">
        <v>506</v>
      </c>
      <c r="D221" s="23" t="s">
        <v>29</v>
      </c>
      <c r="E221" s="153" t="s">
        <v>21</v>
      </c>
      <c r="F221" s="118" t="s">
        <v>534</v>
      </c>
      <c r="G221" s="153"/>
      <c r="H221" s="153"/>
      <c r="I221" s="153">
        <v>2</v>
      </c>
      <c r="J221" s="153">
        <v>3</v>
      </c>
      <c r="K221" s="153">
        <v>3</v>
      </c>
      <c r="L221" s="21">
        <f t="shared" si="7"/>
        <v>18</v>
      </c>
      <c r="M221" s="21" t="str">
        <f t="shared" si="6"/>
        <v>Baixa</v>
      </c>
      <c r="N221" s="153" t="s">
        <v>468</v>
      </c>
      <c r="O221" s="152">
        <v>46247</v>
      </c>
      <c r="P221" s="153"/>
      <c r="Q221" s="30" t="s">
        <v>130</v>
      </c>
      <c r="R221" s="153" t="s">
        <v>532</v>
      </c>
      <c r="S221" s="153" t="s">
        <v>21</v>
      </c>
    </row>
    <row r="222" spans="1:19" ht="30.75">
      <c r="A222" s="28">
        <v>221</v>
      </c>
      <c r="B222" s="154">
        <v>46245</v>
      </c>
      <c r="C222" s="113" t="s">
        <v>506</v>
      </c>
      <c r="D222" s="183" t="s">
        <v>29</v>
      </c>
      <c r="E222" s="113" t="s">
        <v>21</v>
      </c>
      <c r="F222" s="118" t="s">
        <v>535</v>
      </c>
      <c r="G222" s="113"/>
      <c r="H222" s="113"/>
      <c r="I222" s="113">
        <v>3</v>
      </c>
      <c r="J222" s="113">
        <v>4</v>
      </c>
      <c r="K222" s="113">
        <v>3</v>
      </c>
      <c r="L222" s="18">
        <f t="shared" si="7"/>
        <v>36</v>
      </c>
      <c r="M222" s="18" t="str">
        <f t="shared" si="6"/>
        <v>Moderada</v>
      </c>
      <c r="N222" s="113" t="s">
        <v>468</v>
      </c>
      <c r="O222" s="154">
        <v>46247</v>
      </c>
      <c r="P222" s="113"/>
      <c r="Q222" s="30" t="s">
        <v>130</v>
      </c>
      <c r="R222" s="113" t="s">
        <v>532</v>
      </c>
      <c r="S222" s="113" t="s">
        <v>21</v>
      </c>
    </row>
    <row r="223" spans="1:19" ht="33.75">
      <c r="A223" s="28">
        <v>222</v>
      </c>
      <c r="B223" s="152">
        <v>46245</v>
      </c>
      <c r="C223" s="153" t="s">
        <v>506</v>
      </c>
      <c r="D223" s="23" t="s">
        <v>114</v>
      </c>
      <c r="E223" s="153" t="s">
        <v>88</v>
      </c>
      <c r="F223" s="118" t="s">
        <v>536</v>
      </c>
      <c r="G223" s="153"/>
      <c r="H223" s="153"/>
      <c r="I223" s="153">
        <v>3</v>
      </c>
      <c r="J223" s="153">
        <v>4</v>
      </c>
      <c r="K223" s="153">
        <v>3</v>
      </c>
      <c r="L223" s="21">
        <f t="shared" si="7"/>
        <v>36</v>
      </c>
      <c r="M223" s="21" t="str">
        <f t="shared" si="6"/>
        <v>Moderada</v>
      </c>
      <c r="N223" s="153" t="s">
        <v>452</v>
      </c>
      <c r="O223" s="152">
        <v>46247</v>
      </c>
      <c r="P223" s="153"/>
      <c r="Q223" s="30" t="s">
        <v>26</v>
      </c>
      <c r="R223" s="153" t="s">
        <v>537</v>
      </c>
      <c r="S223" s="153" t="s">
        <v>88</v>
      </c>
    </row>
    <row r="224" spans="1:19" ht="33.75">
      <c r="A224" s="28">
        <v>223</v>
      </c>
      <c r="B224" s="154">
        <v>46245</v>
      </c>
      <c r="C224" s="113" t="s">
        <v>506</v>
      </c>
      <c r="D224" s="183" t="s">
        <v>29</v>
      </c>
      <c r="E224" s="113" t="s">
        <v>88</v>
      </c>
      <c r="F224" s="118" t="s">
        <v>538</v>
      </c>
      <c r="G224" s="113"/>
      <c r="H224" s="113"/>
      <c r="I224" s="113">
        <v>3</v>
      </c>
      <c r="J224" s="113">
        <v>4</v>
      </c>
      <c r="K224" s="113">
        <v>3</v>
      </c>
      <c r="L224" s="18">
        <f t="shared" si="7"/>
        <v>36</v>
      </c>
      <c r="M224" s="18" t="str">
        <f t="shared" si="6"/>
        <v>Moderada</v>
      </c>
      <c r="N224" s="113" t="s">
        <v>452</v>
      </c>
      <c r="O224" s="154">
        <v>46247</v>
      </c>
      <c r="P224" s="113"/>
      <c r="Q224" s="30" t="s">
        <v>130</v>
      </c>
      <c r="R224" s="113" t="s">
        <v>512</v>
      </c>
      <c r="S224" s="113" t="s">
        <v>88</v>
      </c>
    </row>
    <row r="225" spans="1:19" ht="46.5">
      <c r="A225" s="28">
        <v>224</v>
      </c>
      <c r="B225" s="152">
        <v>46245</v>
      </c>
      <c r="C225" s="153" t="s">
        <v>506</v>
      </c>
      <c r="D225" s="23" t="s">
        <v>29</v>
      </c>
      <c r="E225" s="153" t="s">
        <v>88</v>
      </c>
      <c r="F225" s="118" t="s">
        <v>539</v>
      </c>
      <c r="G225" s="153"/>
      <c r="H225" s="153"/>
      <c r="I225" s="153">
        <v>3</v>
      </c>
      <c r="J225" s="153">
        <v>5</v>
      </c>
      <c r="K225" s="153">
        <v>3</v>
      </c>
      <c r="L225" s="21">
        <f t="shared" si="7"/>
        <v>45</v>
      </c>
      <c r="M225" s="21" t="str">
        <f t="shared" si="6"/>
        <v>Alta</v>
      </c>
      <c r="N225" s="153" t="s">
        <v>452</v>
      </c>
      <c r="O225" s="152">
        <v>46247</v>
      </c>
      <c r="P225" s="153"/>
      <c r="Q225" s="30" t="s">
        <v>26</v>
      </c>
      <c r="R225" s="153" t="s">
        <v>537</v>
      </c>
      <c r="S225" s="153" t="s">
        <v>88</v>
      </c>
    </row>
    <row r="226" spans="1:19" ht="119.25" customHeight="1">
      <c r="A226" s="28">
        <v>225</v>
      </c>
      <c r="B226" s="154">
        <v>46245</v>
      </c>
      <c r="C226" s="113" t="s">
        <v>506</v>
      </c>
      <c r="D226" s="183" t="s">
        <v>38</v>
      </c>
      <c r="E226" s="113" t="s">
        <v>21</v>
      </c>
      <c r="F226" s="118" t="s">
        <v>540</v>
      </c>
      <c r="G226" s="113"/>
      <c r="H226" s="113"/>
      <c r="I226" s="113">
        <v>2</v>
      </c>
      <c r="J226" s="113">
        <v>3</v>
      </c>
      <c r="K226" s="113">
        <v>3</v>
      </c>
      <c r="L226" s="18">
        <f t="shared" si="7"/>
        <v>18</v>
      </c>
      <c r="M226" s="18" t="str">
        <f t="shared" si="6"/>
        <v>Baixa</v>
      </c>
      <c r="N226" s="113" t="s">
        <v>468</v>
      </c>
      <c r="O226" s="154">
        <v>46247</v>
      </c>
      <c r="P226" s="113"/>
      <c r="Q226" s="30" t="s">
        <v>130</v>
      </c>
      <c r="R226" s="113" t="s">
        <v>541</v>
      </c>
      <c r="S226" s="113" t="s">
        <v>21</v>
      </c>
    </row>
    <row r="227" spans="1:19" ht="108">
      <c r="A227" s="28">
        <v>226</v>
      </c>
      <c r="B227" s="152">
        <v>46245</v>
      </c>
      <c r="C227" s="153" t="s">
        <v>506</v>
      </c>
      <c r="D227" s="23" t="s">
        <v>38</v>
      </c>
      <c r="E227" s="153" t="s">
        <v>21</v>
      </c>
      <c r="F227" s="118" t="s">
        <v>542</v>
      </c>
      <c r="G227" s="153"/>
      <c r="H227" s="153"/>
      <c r="I227" s="153">
        <v>2</v>
      </c>
      <c r="J227" s="153">
        <v>3</v>
      </c>
      <c r="K227" s="153">
        <v>3</v>
      </c>
      <c r="L227" s="21">
        <f t="shared" si="7"/>
        <v>18</v>
      </c>
      <c r="M227" s="21" t="str">
        <f t="shared" si="6"/>
        <v>Baixa</v>
      </c>
      <c r="N227" s="153" t="s">
        <v>468</v>
      </c>
      <c r="O227" s="152">
        <v>46247</v>
      </c>
      <c r="P227" s="153"/>
      <c r="Q227" s="153" t="s">
        <v>130</v>
      </c>
      <c r="R227" s="153" t="s">
        <v>523</v>
      </c>
      <c r="S227" s="153" t="s">
        <v>21</v>
      </c>
    </row>
    <row r="228" spans="1:19" ht="33.75">
      <c r="A228" s="28">
        <v>227</v>
      </c>
      <c r="B228" s="119">
        <v>46254</v>
      </c>
      <c r="C228" s="11" t="s">
        <v>543</v>
      </c>
      <c r="D228" s="24" t="s">
        <v>38</v>
      </c>
      <c r="E228" s="11" t="s">
        <v>21</v>
      </c>
      <c r="F228" s="118" t="s">
        <v>544</v>
      </c>
      <c r="G228" s="11"/>
      <c r="H228" s="11"/>
      <c r="I228" s="11">
        <v>3</v>
      </c>
      <c r="J228" s="11">
        <v>3</v>
      </c>
      <c r="K228" s="11">
        <v>3</v>
      </c>
      <c r="L228" s="18">
        <f t="shared" si="7"/>
        <v>27</v>
      </c>
      <c r="M228" s="18" t="str">
        <f t="shared" si="6"/>
        <v>Baixa</v>
      </c>
      <c r="N228" s="153" t="s">
        <v>468</v>
      </c>
      <c r="O228" s="119">
        <v>46259</v>
      </c>
      <c r="P228" s="11"/>
      <c r="Q228" s="11" t="s">
        <v>130</v>
      </c>
      <c r="R228" s="11" t="s">
        <v>545</v>
      </c>
      <c r="S228" s="11" t="s">
        <v>21</v>
      </c>
    </row>
    <row r="229" spans="1:19" ht="46.5">
      <c r="A229" s="28">
        <v>228</v>
      </c>
      <c r="B229" s="119">
        <v>46254</v>
      </c>
      <c r="C229" s="11" t="s">
        <v>543</v>
      </c>
      <c r="D229" s="23" t="s">
        <v>38</v>
      </c>
      <c r="E229" s="11" t="s">
        <v>21</v>
      </c>
      <c r="F229" s="118" t="s">
        <v>546</v>
      </c>
      <c r="G229" s="11"/>
      <c r="H229" s="11"/>
      <c r="I229" s="11">
        <v>3</v>
      </c>
      <c r="J229" s="11">
        <v>3</v>
      </c>
      <c r="K229" s="11">
        <v>3</v>
      </c>
      <c r="L229" s="21">
        <f t="shared" si="7"/>
        <v>27</v>
      </c>
      <c r="M229" s="21" t="str">
        <f t="shared" si="6"/>
        <v>Baixa</v>
      </c>
      <c r="N229" s="153" t="s">
        <v>468</v>
      </c>
      <c r="O229" s="119">
        <v>46259</v>
      </c>
      <c r="P229" s="11"/>
      <c r="Q229" s="11" t="s">
        <v>130</v>
      </c>
      <c r="R229" s="11" t="s">
        <v>545</v>
      </c>
      <c r="S229" s="11" t="s">
        <v>21</v>
      </c>
    </row>
    <row r="230" spans="1:19" ht="91.5" customHeight="1">
      <c r="A230" s="28">
        <v>229</v>
      </c>
      <c r="B230" s="119">
        <v>46254</v>
      </c>
      <c r="C230" s="11" t="s">
        <v>547</v>
      </c>
      <c r="D230" s="24" t="s">
        <v>114</v>
      </c>
      <c r="E230" s="11" t="s">
        <v>47</v>
      </c>
      <c r="F230" s="118" t="s">
        <v>548</v>
      </c>
      <c r="G230" s="11"/>
      <c r="H230" s="11"/>
      <c r="I230" s="11">
        <v>3</v>
      </c>
      <c r="J230" s="11">
        <v>4</v>
      </c>
      <c r="K230" s="11">
        <v>3</v>
      </c>
      <c r="L230" s="18">
        <f t="shared" si="7"/>
        <v>36</v>
      </c>
      <c r="M230" s="18" t="str">
        <f t="shared" si="6"/>
        <v>Moderada</v>
      </c>
      <c r="N230" s="11" t="s">
        <v>447</v>
      </c>
      <c r="O230" s="119">
        <v>46259</v>
      </c>
      <c r="P230" s="11"/>
      <c r="Q230" s="11" t="s">
        <v>130</v>
      </c>
      <c r="R230" s="11" t="s">
        <v>549</v>
      </c>
      <c r="S230" s="11" t="s">
        <v>47</v>
      </c>
    </row>
    <row r="231" spans="1:19" ht="46.5">
      <c r="A231" s="28">
        <v>230</v>
      </c>
      <c r="B231" s="119">
        <v>46254</v>
      </c>
      <c r="C231" s="11" t="s">
        <v>543</v>
      </c>
      <c r="D231" s="23" t="s">
        <v>29</v>
      </c>
      <c r="E231" s="11" t="s">
        <v>21</v>
      </c>
      <c r="F231" s="118" t="s">
        <v>550</v>
      </c>
      <c r="G231" s="11"/>
      <c r="H231" s="11"/>
      <c r="I231" s="11">
        <v>3</v>
      </c>
      <c r="J231" s="11">
        <v>3</v>
      </c>
      <c r="K231" s="11">
        <v>3</v>
      </c>
      <c r="L231" s="21">
        <f t="shared" si="7"/>
        <v>27</v>
      </c>
      <c r="M231" s="21" t="str">
        <f t="shared" si="6"/>
        <v>Baixa</v>
      </c>
      <c r="N231" s="11" t="s">
        <v>468</v>
      </c>
      <c r="O231" s="119">
        <v>46259</v>
      </c>
      <c r="P231" s="11"/>
      <c r="Q231" s="11" t="s">
        <v>130</v>
      </c>
      <c r="R231" s="11" t="s">
        <v>551</v>
      </c>
      <c r="S231" s="11" t="s">
        <v>21</v>
      </c>
    </row>
    <row r="232" spans="1:19" ht="33.75">
      <c r="A232" s="28">
        <v>231</v>
      </c>
      <c r="B232" s="119">
        <v>46254</v>
      </c>
      <c r="C232" s="11" t="s">
        <v>543</v>
      </c>
      <c r="D232" s="24" t="s">
        <v>46</v>
      </c>
      <c r="E232" s="11" t="s">
        <v>47</v>
      </c>
      <c r="F232" s="118" t="s">
        <v>552</v>
      </c>
      <c r="G232" s="11"/>
      <c r="H232" s="11"/>
      <c r="I232" s="11">
        <v>3</v>
      </c>
      <c r="J232" s="11">
        <v>3</v>
      </c>
      <c r="K232" s="11">
        <v>3</v>
      </c>
      <c r="L232" s="18">
        <f t="shared" si="7"/>
        <v>27</v>
      </c>
      <c r="M232" s="18" t="str">
        <f t="shared" si="6"/>
        <v>Baixa</v>
      </c>
      <c r="N232" s="11" t="s">
        <v>447</v>
      </c>
      <c r="O232" s="119">
        <v>46259</v>
      </c>
      <c r="P232" s="11"/>
      <c r="Q232" s="11" t="s">
        <v>130</v>
      </c>
      <c r="R232" s="11" t="s">
        <v>553</v>
      </c>
      <c r="S232" s="11" t="s">
        <v>47</v>
      </c>
    </row>
    <row r="233" spans="1:19" ht="33.75">
      <c r="A233" s="28">
        <v>232</v>
      </c>
      <c r="B233" s="119">
        <v>46254</v>
      </c>
      <c r="C233" s="11" t="s">
        <v>543</v>
      </c>
      <c r="D233" s="23" t="s">
        <v>340</v>
      </c>
      <c r="E233" s="11" t="s">
        <v>216</v>
      </c>
      <c r="F233" s="118" t="s">
        <v>554</v>
      </c>
      <c r="G233" s="11"/>
      <c r="H233" s="11"/>
      <c r="I233" s="11">
        <v>3</v>
      </c>
      <c r="J233" s="11">
        <v>4</v>
      </c>
      <c r="K233" s="11">
        <v>3</v>
      </c>
      <c r="L233" s="21">
        <f t="shared" si="7"/>
        <v>36</v>
      </c>
      <c r="M233" s="21" t="str">
        <f t="shared" si="6"/>
        <v>Moderada</v>
      </c>
      <c r="N233" s="11" t="s">
        <v>492</v>
      </c>
      <c r="O233" s="119">
        <v>46259</v>
      </c>
      <c r="P233" s="11"/>
      <c r="Q233" s="11" t="s">
        <v>130</v>
      </c>
      <c r="R233" s="11" t="s">
        <v>523</v>
      </c>
      <c r="S233" s="11" t="s">
        <v>216</v>
      </c>
    </row>
    <row r="234" spans="1:19" ht="46.5">
      <c r="A234" s="28">
        <v>233</v>
      </c>
      <c r="B234" s="119">
        <v>46254</v>
      </c>
      <c r="C234" s="11" t="s">
        <v>543</v>
      </c>
      <c r="D234" s="24" t="s">
        <v>29</v>
      </c>
      <c r="E234" s="11" t="s">
        <v>92</v>
      </c>
      <c r="F234" s="118" t="s">
        <v>555</v>
      </c>
      <c r="G234" s="11"/>
      <c r="H234" s="11"/>
      <c r="I234" s="11">
        <v>3</v>
      </c>
      <c r="J234" s="11">
        <v>3</v>
      </c>
      <c r="K234" s="11">
        <v>3</v>
      </c>
      <c r="L234" s="18">
        <f t="shared" si="7"/>
        <v>27</v>
      </c>
      <c r="M234" s="18" t="str">
        <f t="shared" si="6"/>
        <v>Baixa</v>
      </c>
      <c r="N234" s="11" t="s">
        <v>452</v>
      </c>
      <c r="O234" s="119">
        <v>46259</v>
      </c>
      <c r="P234" s="11"/>
      <c r="Q234" s="11" t="s">
        <v>130</v>
      </c>
      <c r="R234" s="11" t="s">
        <v>556</v>
      </c>
      <c r="S234" s="11" t="s">
        <v>92</v>
      </c>
    </row>
    <row r="235" spans="1:19" ht="33.75">
      <c r="A235" s="28">
        <v>234</v>
      </c>
      <c r="B235" s="119">
        <v>46254</v>
      </c>
      <c r="C235" s="11" t="s">
        <v>543</v>
      </c>
      <c r="D235" s="23" t="s">
        <v>38</v>
      </c>
      <c r="E235" s="11" t="s">
        <v>21</v>
      </c>
      <c r="F235" s="118" t="s">
        <v>557</v>
      </c>
      <c r="G235" s="11"/>
      <c r="H235" s="11"/>
      <c r="I235" s="11">
        <v>3</v>
      </c>
      <c r="J235" s="11">
        <v>3</v>
      </c>
      <c r="K235" s="11">
        <v>3</v>
      </c>
      <c r="L235" s="21">
        <f t="shared" si="7"/>
        <v>27</v>
      </c>
      <c r="M235" s="21" t="str">
        <f t="shared" si="6"/>
        <v>Baixa</v>
      </c>
      <c r="N235" s="11" t="s">
        <v>468</v>
      </c>
      <c r="O235" s="119">
        <v>46259</v>
      </c>
      <c r="P235" s="11"/>
      <c r="Q235" s="11" t="s">
        <v>130</v>
      </c>
      <c r="R235" s="11" t="s">
        <v>523</v>
      </c>
      <c r="S235" s="11" t="s">
        <v>21</v>
      </c>
    </row>
    <row r="236" spans="1:19" ht="61.5">
      <c r="A236" s="28">
        <v>235</v>
      </c>
      <c r="B236" s="119">
        <v>46254</v>
      </c>
      <c r="C236" s="11" t="s">
        <v>543</v>
      </c>
      <c r="D236" s="24" t="s">
        <v>38</v>
      </c>
      <c r="E236" s="11" t="s">
        <v>21</v>
      </c>
      <c r="F236" s="118" t="s">
        <v>558</v>
      </c>
      <c r="G236" s="11"/>
      <c r="H236" s="11"/>
      <c r="I236" s="11">
        <v>3</v>
      </c>
      <c r="J236" s="11">
        <v>3</v>
      </c>
      <c r="K236" s="11">
        <v>3</v>
      </c>
      <c r="L236" s="18">
        <f t="shared" si="7"/>
        <v>27</v>
      </c>
      <c r="M236" s="18" t="str">
        <f t="shared" si="6"/>
        <v>Baixa</v>
      </c>
      <c r="N236" s="11" t="s">
        <v>468</v>
      </c>
      <c r="O236" s="119">
        <v>46259</v>
      </c>
      <c r="P236" s="11"/>
      <c r="Q236" s="11" t="s">
        <v>130</v>
      </c>
      <c r="R236" s="11" t="s">
        <v>523</v>
      </c>
      <c r="S236" s="11" t="s">
        <v>21</v>
      </c>
    </row>
    <row r="237" spans="1:19" ht="33.75">
      <c r="A237" s="28">
        <v>236</v>
      </c>
      <c r="B237" s="119">
        <v>46254</v>
      </c>
      <c r="C237" s="11" t="s">
        <v>543</v>
      </c>
      <c r="D237" s="23" t="s">
        <v>340</v>
      </c>
      <c r="E237" s="11" t="s">
        <v>216</v>
      </c>
      <c r="F237" s="118" t="s">
        <v>559</v>
      </c>
      <c r="G237" s="11"/>
      <c r="H237" s="11"/>
      <c r="I237" s="11">
        <v>3</v>
      </c>
      <c r="J237" s="11">
        <v>4</v>
      </c>
      <c r="K237" s="11">
        <v>3</v>
      </c>
      <c r="L237" s="21">
        <f t="shared" si="7"/>
        <v>36</v>
      </c>
      <c r="M237" s="21" t="str">
        <f t="shared" si="6"/>
        <v>Moderada</v>
      </c>
      <c r="N237" s="11" t="s">
        <v>492</v>
      </c>
      <c r="O237" s="119">
        <v>46259</v>
      </c>
      <c r="P237" s="11"/>
      <c r="Q237" s="11" t="s">
        <v>130</v>
      </c>
      <c r="R237" s="11" t="s">
        <v>523</v>
      </c>
      <c r="S237" s="11" t="s">
        <v>216</v>
      </c>
    </row>
    <row r="238" spans="1:19" ht="33.75">
      <c r="A238" s="28">
        <v>237</v>
      </c>
      <c r="B238" s="119">
        <v>46254</v>
      </c>
      <c r="C238" s="11" t="s">
        <v>543</v>
      </c>
      <c r="D238" s="24" t="s">
        <v>29</v>
      </c>
      <c r="E238" s="11" t="s">
        <v>21</v>
      </c>
      <c r="F238" s="118" t="s">
        <v>560</v>
      </c>
      <c r="G238" s="11"/>
      <c r="H238" s="11"/>
      <c r="I238" s="11">
        <v>3</v>
      </c>
      <c r="J238" s="11">
        <v>3</v>
      </c>
      <c r="K238" s="11">
        <v>3</v>
      </c>
      <c r="L238" s="18">
        <f t="shared" si="7"/>
        <v>27</v>
      </c>
      <c r="M238" s="18" t="str">
        <f t="shared" si="6"/>
        <v>Baixa</v>
      </c>
      <c r="N238" s="11" t="s">
        <v>468</v>
      </c>
      <c r="O238" s="119">
        <v>46259</v>
      </c>
      <c r="P238" s="11"/>
      <c r="Q238" s="11" t="s">
        <v>130</v>
      </c>
      <c r="R238" s="11" t="s">
        <v>523</v>
      </c>
      <c r="S238" s="11" t="s">
        <v>21</v>
      </c>
    </row>
    <row r="239" spans="1:19" ht="46.5">
      <c r="A239" s="28">
        <v>238</v>
      </c>
      <c r="B239" s="119">
        <v>46254</v>
      </c>
      <c r="C239" s="11" t="s">
        <v>547</v>
      </c>
      <c r="D239" s="23" t="s">
        <v>29</v>
      </c>
      <c r="E239" s="11" t="s">
        <v>21</v>
      </c>
      <c r="F239" s="118" t="s">
        <v>561</v>
      </c>
      <c r="G239" s="11"/>
      <c r="H239" s="11"/>
      <c r="I239" s="11">
        <v>3</v>
      </c>
      <c r="J239" s="11">
        <v>3</v>
      </c>
      <c r="K239" s="11">
        <v>3</v>
      </c>
      <c r="L239" s="21">
        <f t="shared" si="7"/>
        <v>27</v>
      </c>
      <c r="M239" s="21" t="str">
        <f t="shared" si="6"/>
        <v>Baixa</v>
      </c>
      <c r="N239" s="11" t="s">
        <v>447</v>
      </c>
      <c r="O239" s="119">
        <v>46259</v>
      </c>
      <c r="P239" s="11"/>
      <c r="Q239" s="11" t="s">
        <v>130</v>
      </c>
      <c r="R239" s="11" t="s">
        <v>562</v>
      </c>
      <c r="S239" s="11" t="s">
        <v>21</v>
      </c>
    </row>
    <row r="240" spans="1:19" ht="33.75">
      <c r="A240" s="28">
        <v>239</v>
      </c>
      <c r="B240" s="119">
        <v>46254</v>
      </c>
      <c r="C240" s="11" t="s">
        <v>547</v>
      </c>
      <c r="D240" s="24" t="s">
        <v>38</v>
      </c>
      <c r="E240" s="11" t="s">
        <v>21</v>
      </c>
      <c r="F240" s="118" t="s">
        <v>563</v>
      </c>
      <c r="G240" s="11"/>
      <c r="H240" s="11"/>
      <c r="I240" s="11">
        <v>3</v>
      </c>
      <c r="J240" s="11">
        <v>3</v>
      </c>
      <c r="K240" s="11">
        <v>4</v>
      </c>
      <c r="L240" s="18">
        <f t="shared" si="7"/>
        <v>36</v>
      </c>
      <c r="M240" s="18" t="str">
        <f t="shared" si="6"/>
        <v>Moderada</v>
      </c>
      <c r="N240" s="11" t="s">
        <v>468</v>
      </c>
      <c r="O240" s="119">
        <v>46259</v>
      </c>
      <c r="P240" s="11"/>
      <c r="Q240" s="11" t="s">
        <v>130</v>
      </c>
      <c r="R240" s="11" t="s">
        <v>523</v>
      </c>
      <c r="S240" s="11" t="s">
        <v>21</v>
      </c>
    </row>
    <row r="241" spans="1:19" ht="33.75">
      <c r="A241" s="28">
        <v>240</v>
      </c>
      <c r="B241" s="119">
        <v>46254</v>
      </c>
      <c r="C241" s="11" t="s">
        <v>543</v>
      </c>
      <c r="D241" s="23" t="s">
        <v>38</v>
      </c>
      <c r="E241" s="11" t="s">
        <v>21</v>
      </c>
      <c r="F241" s="118" t="s">
        <v>564</v>
      </c>
      <c r="G241" s="11"/>
      <c r="H241" s="11"/>
      <c r="I241" s="11">
        <v>3</v>
      </c>
      <c r="J241" s="11">
        <v>3</v>
      </c>
      <c r="K241" s="11">
        <v>3</v>
      </c>
      <c r="L241" s="21">
        <f t="shared" si="7"/>
        <v>27</v>
      </c>
      <c r="M241" s="21" t="str">
        <f t="shared" si="6"/>
        <v>Baixa</v>
      </c>
      <c r="N241" s="11" t="s">
        <v>468</v>
      </c>
      <c r="O241" s="119">
        <v>46259</v>
      </c>
      <c r="P241" s="11"/>
      <c r="Q241" s="11" t="s">
        <v>130</v>
      </c>
      <c r="R241" s="11" t="s">
        <v>523</v>
      </c>
      <c r="S241" s="11" t="s">
        <v>21</v>
      </c>
    </row>
    <row r="242" spans="1:19" ht="30.75">
      <c r="A242" s="28">
        <v>241</v>
      </c>
      <c r="B242" s="119">
        <v>46254</v>
      </c>
      <c r="C242" s="11" t="s">
        <v>543</v>
      </c>
      <c r="D242" s="24" t="s">
        <v>29</v>
      </c>
      <c r="E242" s="11" t="s">
        <v>21</v>
      </c>
      <c r="F242" s="118" t="s">
        <v>565</v>
      </c>
      <c r="G242" s="11"/>
      <c r="H242" s="11"/>
      <c r="I242" s="11">
        <v>3</v>
      </c>
      <c r="J242" s="11">
        <v>3</v>
      </c>
      <c r="K242" s="11">
        <v>3</v>
      </c>
      <c r="L242" s="18">
        <f t="shared" si="7"/>
        <v>27</v>
      </c>
      <c r="M242" s="18" t="str">
        <f t="shared" si="6"/>
        <v>Baixa</v>
      </c>
      <c r="N242" s="11" t="s">
        <v>468</v>
      </c>
      <c r="O242" s="119">
        <v>46259</v>
      </c>
      <c r="P242" s="11"/>
      <c r="Q242" s="11" t="s">
        <v>26</v>
      </c>
      <c r="R242" s="11" t="s">
        <v>566</v>
      </c>
      <c r="S242" s="11" t="s">
        <v>21</v>
      </c>
    </row>
    <row r="243" spans="1:19" ht="33.75">
      <c r="A243" s="28">
        <v>242</v>
      </c>
      <c r="B243" s="119">
        <v>46254</v>
      </c>
      <c r="C243" s="11" t="s">
        <v>547</v>
      </c>
      <c r="D243" s="23" t="s">
        <v>38</v>
      </c>
      <c r="E243" s="11" t="s">
        <v>21</v>
      </c>
      <c r="F243" s="118" t="s">
        <v>567</v>
      </c>
      <c r="G243" s="11"/>
      <c r="H243" s="11"/>
      <c r="I243" s="11">
        <v>3</v>
      </c>
      <c r="J243" s="11">
        <v>3</v>
      </c>
      <c r="K243" s="11">
        <v>3</v>
      </c>
      <c r="L243" s="21">
        <f t="shared" si="7"/>
        <v>27</v>
      </c>
      <c r="M243" s="21" t="str">
        <f t="shared" si="6"/>
        <v>Baixa</v>
      </c>
      <c r="N243" s="11" t="s">
        <v>468</v>
      </c>
      <c r="O243" s="119">
        <v>46259</v>
      </c>
      <c r="P243" s="11"/>
      <c r="Q243" s="11" t="s">
        <v>130</v>
      </c>
      <c r="R243" s="11" t="s">
        <v>523</v>
      </c>
      <c r="S243" s="11" t="s">
        <v>21</v>
      </c>
    </row>
    <row r="244" spans="1:19" ht="46.5">
      <c r="A244" s="28">
        <v>243</v>
      </c>
      <c r="B244" s="119">
        <v>46254</v>
      </c>
      <c r="C244" s="11" t="s">
        <v>547</v>
      </c>
      <c r="D244" s="24" t="s">
        <v>29</v>
      </c>
      <c r="E244" s="11" t="s">
        <v>21</v>
      </c>
      <c r="F244" s="118" t="s">
        <v>568</v>
      </c>
      <c r="G244" s="11"/>
      <c r="H244" s="11"/>
      <c r="I244" s="11">
        <v>3</v>
      </c>
      <c r="J244" s="11">
        <v>3</v>
      </c>
      <c r="K244" s="11">
        <v>3</v>
      </c>
      <c r="L244" s="18">
        <f t="shared" si="7"/>
        <v>27</v>
      </c>
      <c r="M244" s="18" t="str">
        <f t="shared" si="6"/>
        <v>Baixa</v>
      </c>
      <c r="N244" s="11" t="s">
        <v>468</v>
      </c>
      <c r="O244" s="119">
        <v>46259</v>
      </c>
      <c r="P244" s="11"/>
      <c r="Q244" s="11" t="s">
        <v>130</v>
      </c>
      <c r="R244" s="11" t="s">
        <v>551</v>
      </c>
      <c r="S244" s="11" t="s">
        <v>21</v>
      </c>
    </row>
    <row r="245" spans="1:19" ht="33.75">
      <c r="A245" s="28">
        <v>244</v>
      </c>
      <c r="B245" s="119">
        <v>46254</v>
      </c>
      <c r="C245" s="11" t="s">
        <v>543</v>
      </c>
      <c r="D245" s="23" t="s">
        <v>114</v>
      </c>
      <c r="E245" s="11" t="s">
        <v>97</v>
      </c>
      <c r="F245" s="118" t="s">
        <v>569</v>
      </c>
      <c r="G245" s="11"/>
      <c r="H245" s="11"/>
      <c r="I245" s="11">
        <v>3</v>
      </c>
      <c r="J245" s="11">
        <v>3</v>
      </c>
      <c r="K245" s="11">
        <v>3</v>
      </c>
      <c r="L245" s="21">
        <f t="shared" si="7"/>
        <v>27</v>
      </c>
      <c r="M245" s="21" t="str">
        <f t="shared" si="6"/>
        <v>Baixa</v>
      </c>
      <c r="N245" s="11" t="s">
        <v>158</v>
      </c>
      <c r="O245" s="119">
        <v>46259</v>
      </c>
      <c r="P245" s="11"/>
      <c r="Q245" s="11" t="s">
        <v>130</v>
      </c>
      <c r="R245" s="11" t="s">
        <v>570</v>
      </c>
      <c r="S245" s="11" t="s">
        <v>97</v>
      </c>
    </row>
    <row r="246" spans="1:19" ht="33.75">
      <c r="A246" s="28">
        <v>245</v>
      </c>
      <c r="B246" s="119">
        <v>46254</v>
      </c>
      <c r="C246" s="11" t="s">
        <v>543</v>
      </c>
      <c r="D246" s="24" t="s">
        <v>29</v>
      </c>
      <c r="E246" s="11" t="s">
        <v>97</v>
      </c>
      <c r="F246" s="118" t="s">
        <v>571</v>
      </c>
      <c r="G246" s="11"/>
      <c r="H246" s="11"/>
      <c r="I246" s="11">
        <v>3</v>
      </c>
      <c r="J246" s="11">
        <v>3</v>
      </c>
      <c r="K246" s="11">
        <v>3</v>
      </c>
      <c r="L246" s="18">
        <f t="shared" si="7"/>
        <v>27</v>
      </c>
      <c r="M246" s="18" t="str">
        <f t="shared" si="6"/>
        <v>Baixa</v>
      </c>
      <c r="N246" s="11" t="s">
        <v>158</v>
      </c>
      <c r="O246" s="119">
        <v>46259</v>
      </c>
      <c r="P246" s="11"/>
      <c r="Q246" s="11" t="s">
        <v>130</v>
      </c>
      <c r="R246" s="11" t="s">
        <v>572</v>
      </c>
      <c r="S246" s="11" t="s">
        <v>97</v>
      </c>
    </row>
    <row r="247" spans="1:19" ht="33.75">
      <c r="A247" s="28">
        <v>246</v>
      </c>
      <c r="B247" s="119">
        <v>46254</v>
      </c>
      <c r="C247" s="11" t="s">
        <v>543</v>
      </c>
      <c r="D247" s="23" t="s">
        <v>29</v>
      </c>
      <c r="E247" s="11" t="s">
        <v>21</v>
      </c>
      <c r="F247" s="118" t="s">
        <v>573</v>
      </c>
      <c r="G247" s="11"/>
      <c r="H247" s="11"/>
      <c r="I247" s="11">
        <v>3</v>
      </c>
      <c r="J247" s="11">
        <v>3</v>
      </c>
      <c r="K247" s="11">
        <v>3</v>
      </c>
      <c r="L247" s="21">
        <f t="shared" si="7"/>
        <v>27</v>
      </c>
      <c r="M247" s="21" t="str">
        <f t="shared" si="6"/>
        <v>Baixa</v>
      </c>
      <c r="N247" s="11" t="s">
        <v>468</v>
      </c>
      <c r="O247" s="119">
        <v>46259</v>
      </c>
      <c r="P247" s="11"/>
      <c r="Q247" s="11" t="s">
        <v>130</v>
      </c>
      <c r="R247" s="11" t="s">
        <v>523</v>
      </c>
      <c r="S247" s="11" t="s">
        <v>21</v>
      </c>
    </row>
    <row r="248" spans="1:19" ht="33.75">
      <c r="A248" s="28">
        <v>247</v>
      </c>
      <c r="B248" s="119">
        <v>46261</v>
      </c>
      <c r="C248" s="11" t="s">
        <v>574</v>
      </c>
      <c r="D248" s="262" t="s">
        <v>46</v>
      </c>
      <c r="E248" s="11" t="s">
        <v>47</v>
      </c>
      <c r="F248" s="27" t="s">
        <v>575</v>
      </c>
      <c r="G248" s="11"/>
      <c r="H248" s="11"/>
      <c r="I248" s="11">
        <v>3</v>
      </c>
      <c r="J248" s="11">
        <v>3</v>
      </c>
      <c r="K248" s="11">
        <v>3</v>
      </c>
      <c r="L248" s="18">
        <f t="shared" si="7"/>
        <v>27</v>
      </c>
      <c r="M248" s="18" t="str">
        <f t="shared" si="6"/>
        <v>Baixa</v>
      </c>
      <c r="N248" s="11" t="s">
        <v>576</v>
      </c>
      <c r="O248" s="119">
        <v>46292</v>
      </c>
      <c r="P248" s="11"/>
      <c r="Q248" s="11" t="s">
        <v>130</v>
      </c>
      <c r="R248" s="11"/>
      <c r="S248" s="11"/>
    </row>
    <row r="249" spans="1:19" ht="33.75">
      <c r="A249" s="28">
        <v>248</v>
      </c>
      <c r="B249" s="119">
        <v>46261</v>
      </c>
      <c r="C249" s="11" t="s">
        <v>574</v>
      </c>
      <c r="D249" s="263" t="s">
        <v>46</v>
      </c>
      <c r="E249" s="11" t="s">
        <v>47</v>
      </c>
      <c r="F249" s="27" t="s">
        <v>577</v>
      </c>
      <c r="G249" s="11"/>
      <c r="H249" s="11"/>
      <c r="I249" s="11">
        <v>3</v>
      </c>
      <c r="J249" s="11">
        <v>4</v>
      </c>
      <c r="K249" s="11">
        <v>3</v>
      </c>
      <c r="L249" s="21">
        <f t="shared" si="7"/>
        <v>36</v>
      </c>
      <c r="M249" s="21" t="str">
        <f t="shared" si="6"/>
        <v>Moderada</v>
      </c>
      <c r="N249" s="11" t="s">
        <v>578</v>
      </c>
      <c r="O249" s="119">
        <v>46292</v>
      </c>
      <c r="P249" s="11"/>
      <c r="Q249" s="11" t="s">
        <v>130</v>
      </c>
      <c r="R249" s="11"/>
      <c r="S249" s="11"/>
    </row>
    <row r="250" spans="1:19" ht="33.75">
      <c r="A250" s="28">
        <v>249</v>
      </c>
      <c r="B250" s="119">
        <v>46261</v>
      </c>
      <c r="C250" s="11" t="s">
        <v>574</v>
      </c>
      <c r="D250" s="262" t="s">
        <v>46</v>
      </c>
      <c r="E250" s="11" t="s">
        <v>47</v>
      </c>
      <c r="F250" s="27" t="s">
        <v>579</v>
      </c>
      <c r="G250" s="11"/>
      <c r="H250" s="11"/>
      <c r="I250" s="11">
        <v>3</v>
      </c>
      <c r="J250" s="11">
        <v>4</v>
      </c>
      <c r="K250" s="11">
        <v>3</v>
      </c>
      <c r="L250" s="18">
        <f t="shared" si="7"/>
        <v>36</v>
      </c>
      <c r="M250" s="18" t="str">
        <f t="shared" si="6"/>
        <v>Moderada</v>
      </c>
      <c r="N250" s="11" t="s">
        <v>158</v>
      </c>
      <c r="O250" s="119">
        <v>46292</v>
      </c>
      <c r="P250" s="11"/>
      <c r="Q250" s="11" t="s">
        <v>130</v>
      </c>
      <c r="R250" s="11"/>
      <c r="S250" s="11"/>
    </row>
    <row r="251" spans="1:19" ht="30.75">
      <c r="A251" s="28">
        <v>250</v>
      </c>
      <c r="B251" s="119">
        <v>46261</v>
      </c>
      <c r="C251" s="11" t="s">
        <v>574</v>
      </c>
      <c r="D251" s="263" t="s">
        <v>38</v>
      </c>
      <c r="E251" s="11" t="s">
        <v>21</v>
      </c>
      <c r="F251" s="27" t="s">
        <v>580</v>
      </c>
      <c r="G251" s="11"/>
      <c r="H251" s="11"/>
      <c r="I251" s="11">
        <v>3</v>
      </c>
      <c r="J251" s="11">
        <v>3</v>
      </c>
      <c r="K251" s="11">
        <v>3</v>
      </c>
      <c r="L251" s="21">
        <f t="shared" si="7"/>
        <v>27</v>
      </c>
      <c r="M251" s="21" t="str">
        <f t="shared" si="6"/>
        <v>Baixa</v>
      </c>
      <c r="N251" s="11" t="s">
        <v>468</v>
      </c>
      <c r="O251" s="119">
        <v>46292</v>
      </c>
      <c r="P251" s="11"/>
      <c r="Q251" s="11" t="s">
        <v>130</v>
      </c>
      <c r="R251" s="11"/>
      <c r="S251" s="11"/>
    </row>
    <row r="252" spans="1:19" ht="30.75">
      <c r="A252" s="28">
        <v>251</v>
      </c>
      <c r="B252" s="119">
        <v>46261</v>
      </c>
      <c r="C252" s="11" t="s">
        <v>574</v>
      </c>
      <c r="D252" s="262" t="s">
        <v>38</v>
      </c>
      <c r="E252" s="11" t="s">
        <v>21</v>
      </c>
      <c r="F252" s="27" t="s">
        <v>581</v>
      </c>
      <c r="G252" s="11"/>
      <c r="H252" s="11"/>
      <c r="I252" s="11">
        <v>3</v>
      </c>
      <c r="J252" s="11">
        <v>3</v>
      </c>
      <c r="K252" s="11">
        <v>3</v>
      </c>
      <c r="L252" s="18">
        <f t="shared" si="7"/>
        <v>27</v>
      </c>
      <c r="M252" s="18" t="str">
        <f t="shared" si="6"/>
        <v>Baixa</v>
      </c>
      <c r="N252" s="11" t="s">
        <v>468</v>
      </c>
      <c r="O252" s="119">
        <v>46292</v>
      </c>
      <c r="P252" s="11"/>
      <c r="Q252" s="11" t="s">
        <v>130</v>
      </c>
      <c r="R252" s="11"/>
      <c r="S252" s="11"/>
    </row>
    <row r="253" spans="1:19" ht="30.75">
      <c r="A253" s="28">
        <v>252</v>
      </c>
      <c r="B253" s="119">
        <v>46261</v>
      </c>
      <c r="C253" s="11" t="s">
        <v>574</v>
      </c>
      <c r="D253" s="263" t="s">
        <v>38</v>
      </c>
      <c r="E253" s="11" t="s">
        <v>21</v>
      </c>
      <c r="F253" s="27" t="s">
        <v>582</v>
      </c>
      <c r="G253" s="11"/>
      <c r="H253" s="11"/>
      <c r="I253" s="11">
        <v>3</v>
      </c>
      <c r="J253" s="11">
        <v>3</v>
      </c>
      <c r="K253" s="11">
        <v>3</v>
      </c>
      <c r="L253" s="21">
        <f t="shared" si="7"/>
        <v>27</v>
      </c>
      <c r="M253" s="21" t="str">
        <f t="shared" si="6"/>
        <v>Baixa</v>
      </c>
      <c r="N253" s="11" t="s">
        <v>468</v>
      </c>
      <c r="O253" s="119">
        <v>46292</v>
      </c>
      <c r="P253" s="11"/>
      <c r="Q253" s="11" t="s">
        <v>130</v>
      </c>
      <c r="R253" s="11"/>
      <c r="S253" s="11"/>
    </row>
    <row r="254" spans="1:19" ht="30.75">
      <c r="A254" s="28">
        <v>253</v>
      </c>
      <c r="B254" s="119">
        <v>46261</v>
      </c>
      <c r="C254" s="11" t="s">
        <v>574</v>
      </c>
      <c r="D254" s="262" t="s">
        <v>38</v>
      </c>
      <c r="E254" s="11" t="s">
        <v>21</v>
      </c>
      <c r="F254" s="27" t="s">
        <v>583</v>
      </c>
      <c r="G254" s="11"/>
      <c r="H254" s="11"/>
      <c r="I254" s="11">
        <v>3</v>
      </c>
      <c r="J254" s="11">
        <v>3</v>
      </c>
      <c r="K254" s="11">
        <v>3</v>
      </c>
      <c r="L254" s="18">
        <f t="shared" si="7"/>
        <v>27</v>
      </c>
      <c r="M254" s="18" t="str">
        <f t="shared" si="6"/>
        <v>Baixa</v>
      </c>
      <c r="N254" s="11" t="s">
        <v>468</v>
      </c>
      <c r="O254" s="119">
        <v>46292</v>
      </c>
      <c r="P254" s="11"/>
      <c r="Q254" s="11" t="s">
        <v>130</v>
      </c>
      <c r="R254" s="11"/>
      <c r="S254" s="11"/>
    </row>
    <row r="255" spans="1:19" ht="16.5">
      <c r="A255" s="28">
        <v>254</v>
      </c>
      <c r="B255" s="119">
        <v>46261</v>
      </c>
      <c r="C255" s="11" t="s">
        <v>574</v>
      </c>
      <c r="D255" s="263" t="s">
        <v>38</v>
      </c>
      <c r="E255" s="11" t="s">
        <v>21</v>
      </c>
      <c r="F255" s="27" t="s">
        <v>584</v>
      </c>
      <c r="G255" s="11"/>
      <c r="H255" s="11"/>
      <c r="I255" s="11">
        <v>3</v>
      </c>
      <c r="J255" s="11">
        <v>3</v>
      </c>
      <c r="K255" s="11">
        <v>3</v>
      </c>
      <c r="L255" s="21">
        <f t="shared" si="7"/>
        <v>27</v>
      </c>
      <c r="M255" s="21" t="str">
        <f t="shared" si="6"/>
        <v>Baixa</v>
      </c>
      <c r="N255" s="11" t="s">
        <v>468</v>
      </c>
      <c r="O255" s="119">
        <v>46292</v>
      </c>
      <c r="P255" s="11"/>
      <c r="Q255" s="11" t="s">
        <v>130</v>
      </c>
      <c r="R255" s="11"/>
      <c r="S255" s="11"/>
    </row>
    <row r="256" spans="1:19" ht="30.75">
      <c r="A256" s="28">
        <v>255</v>
      </c>
      <c r="B256" s="119">
        <v>46261</v>
      </c>
      <c r="C256" s="11" t="s">
        <v>574</v>
      </c>
      <c r="D256" s="262" t="s">
        <v>29</v>
      </c>
      <c r="E256" s="11" t="s">
        <v>21</v>
      </c>
      <c r="F256" s="27" t="s">
        <v>585</v>
      </c>
      <c r="G256" s="11"/>
      <c r="H256" s="11"/>
      <c r="I256" s="11">
        <v>3</v>
      </c>
      <c r="J256" s="11">
        <v>3</v>
      </c>
      <c r="K256" s="11">
        <v>3</v>
      </c>
      <c r="L256" s="18">
        <f t="shared" si="7"/>
        <v>27</v>
      </c>
      <c r="M256" s="18" t="str">
        <f t="shared" si="6"/>
        <v>Baixa</v>
      </c>
      <c r="N256" s="11" t="s">
        <v>468</v>
      </c>
      <c r="O256" s="119">
        <v>46292</v>
      </c>
      <c r="P256" s="11"/>
      <c r="Q256" s="11" t="s">
        <v>130</v>
      </c>
      <c r="R256" s="11"/>
      <c r="S256" s="11"/>
    </row>
    <row r="257" spans="1:19" ht="30.75">
      <c r="A257" s="28">
        <v>256</v>
      </c>
      <c r="B257" s="119">
        <v>46261</v>
      </c>
      <c r="C257" s="11" t="s">
        <v>574</v>
      </c>
      <c r="D257" s="263" t="s">
        <v>38</v>
      </c>
      <c r="E257" s="11" t="s">
        <v>21</v>
      </c>
      <c r="F257" s="27" t="s">
        <v>586</v>
      </c>
      <c r="G257" s="11"/>
      <c r="H257" s="11"/>
      <c r="I257" s="11">
        <v>3</v>
      </c>
      <c r="J257" s="11">
        <v>3</v>
      </c>
      <c r="K257" s="11">
        <v>3</v>
      </c>
      <c r="L257" s="21">
        <f t="shared" si="7"/>
        <v>27</v>
      </c>
      <c r="M257" s="21" t="str">
        <f t="shared" si="6"/>
        <v>Baixa</v>
      </c>
      <c r="N257" s="11" t="s">
        <v>468</v>
      </c>
      <c r="O257" s="119">
        <v>46292</v>
      </c>
      <c r="P257" s="11"/>
      <c r="Q257" s="11" t="s">
        <v>130</v>
      </c>
      <c r="R257" s="11"/>
      <c r="S257" s="11"/>
    </row>
    <row r="258" spans="1:19" ht="30.75">
      <c r="A258" s="28">
        <v>257</v>
      </c>
      <c r="B258" s="119">
        <v>46261</v>
      </c>
      <c r="C258" s="11" t="s">
        <v>574</v>
      </c>
      <c r="D258" s="262" t="s">
        <v>38</v>
      </c>
      <c r="E258" s="11" t="s">
        <v>21</v>
      </c>
      <c r="F258" s="27" t="s">
        <v>587</v>
      </c>
      <c r="G258" s="11"/>
      <c r="H258" s="11"/>
      <c r="I258" s="11">
        <v>2</v>
      </c>
      <c r="J258" s="11">
        <v>3</v>
      </c>
      <c r="K258" s="11">
        <v>3</v>
      </c>
      <c r="L258" s="18">
        <f t="shared" si="7"/>
        <v>18</v>
      </c>
      <c r="M258" s="18" t="str">
        <f t="shared" ref="M258:M320" si="8">IF(OR(H258="Sim",Y258="Ameaça imediata"),"Imediata",IF(L258="","Pendente de avaliação",IF(J258=5,"Alta",IF(L258&gt;=65,"Alta",IF(L258&gt;=28,"Moderada","Baixa")))))</f>
        <v>Baixa</v>
      </c>
      <c r="N258" s="11" t="s">
        <v>468</v>
      </c>
      <c r="O258" s="119">
        <v>46292</v>
      </c>
      <c r="P258" s="11"/>
      <c r="Q258" s="11" t="s">
        <v>130</v>
      </c>
      <c r="R258" s="11"/>
      <c r="S258" s="11"/>
    </row>
    <row r="259" spans="1:19" ht="30.75">
      <c r="A259" s="28">
        <v>258</v>
      </c>
      <c r="B259" s="119">
        <v>46261</v>
      </c>
      <c r="C259" s="11" t="s">
        <v>574</v>
      </c>
      <c r="D259" s="263" t="s">
        <v>38</v>
      </c>
      <c r="E259" s="11" t="s">
        <v>21</v>
      </c>
      <c r="F259" s="27" t="s">
        <v>588</v>
      </c>
      <c r="G259" s="11"/>
      <c r="H259" s="11"/>
      <c r="I259" s="11">
        <v>3</v>
      </c>
      <c r="J259" s="11">
        <v>3</v>
      </c>
      <c r="K259" s="11">
        <v>3</v>
      </c>
      <c r="L259" s="21">
        <f t="shared" ref="L259:L321" si="9">IF(COUNT(I259:K259)=3,I259*J259*K259,"")</f>
        <v>27</v>
      </c>
      <c r="M259" s="21" t="str">
        <f t="shared" si="8"/>
        <v>Baixa</v>
      </c>
      <c r="N259" s="11" t="s">
        <v>468</v>
      </c>
      <c r="O259" s="119">
        <v>46292</v>
      </c>
      <c r="P259" s="11"/>
      <c r="Q259" s="11" t="s">
        <v>130</v>
      </c>
      <c r="R259" s="11"/>
      <c r="S259" s="11"/>
    </row>
    <row r="260" spans="1:19" ht="30.75">
      <c r="A260" s="28">
        <v>259</v>
      </c>
      <c r="B260" s="119">
        <v>46261</v>
      </c>
      <c r="C260" s="11" t="s">
        <v>574</v>
      </c>
      <c r="D260" s="262" t="s">
        <v>38</v>
      </c>
      <c r="E260" s="11" t="s">
        <v>21</v>
      </c>
      <c r="F260" s="27" t="s">
        <v>589</v>
      </c>
      <c r="G260" s="11"/>
      <c r="H260" s="11"/>
      <c r="I260" s="11">
        <v>3</v>
      </c>
      <c r="J260" s="11">
        <v>3</v>
      </c>
      <c r="K260" s="11">
        <v>3</v>
      </c>
      <c r="L260" s="18">
        <f t="shared" si="9"/>
        <v>27</v>
      </c>
      <c r="M260" s="18" t="str">
        <f t="shared" si="8"/>
        <v>Baixa</v>
      </c>
      <c r="N260" s="11" t="s">
        <v>468</v>
      </c>
      <c r="O260" s="119">
        <v>46292</v>
      </c>
      <c r="P260" s="11"/>
      <c r="Q260" s="11" t="s">
        <v>130</v>
      </c>
      <c r="R260" s="11"/>
      <c r="S260" s="11"/>
    </row>
    <row r="261" spans="1:19" ht="16.5">
      <c r="A261" s="28">
        <v>260</v>
      </c>
      <c r="B261" s="119">
        <v>46261</v>
      </c>
      <c r="C261" s="11" t="s">
        <v>574</v>
      </c>
      <c r="D261" s="263" t="s">
        <v>29</v>
      </c>
      <c r="E261" s="11" t="s">
        <v>21</v>
      </c>
      <c r="F261" s="27" t="s">
        <v>590</v>
      </c>
      <c r="G261" s="11"/>
      <c r="H261" s="11"/>
      <c r="I261" s="11">
        <v>1</v>
      </c>
      <c r="J261" s="11">
        <v>3</v>
      </c>
      <c r="K261" s="11">
        <v>3</v>
      </c>
      <c r="L261" s="21">
        <f t="shared" si="9"/>
        <v>9</v>
      </c>
      <c r="M261" s="21" t="str">
        <f t="shared" si="8"/>
        <v>Baixa</v>
      </c>
      <c r="N261" s="11" t="s">
        <v>468</v>
      </c>
      <c r="O261" s="119">
        <v>46292</v>
      </c>
      <c r="P261" s="11"/>
      <c r="Q261" s="11" t="s">
        <v>130</v>
      </c>
      <c r="R261" s="11"/>
      <c r="S261" s="11"/>
    </row>
    <row r="262" spans="1:19" ht="30.75">
      <c r="A262" s="28">
        <v>261</v>
      </c>
      <c r="B262" s="119">
        <v>46261</v>
      </c>
      <c r="C262" s="11" t="s">
        <v>574</v>
      </c>
      <c r="D262" s="262" t="s">
        <v>29</v>
      </c>
      <c r="E262" s="11" t="s">
        <v>216</v>
      </c>
      <c r="F262" s="27" t="s">
        <v>591</v>
      </c>
      <c r="G262" s="11"/>
      <c r="H262" s="11"/>
      <c r="I262" s="11">
        <v>3</v>
      </c>
      <c r="J262" s="11">
        <v>3</v>
      </c>
      <c r="K262" s="11">
        <v>3</v>
      </c>
      <c r="L262" s="18">
        <f t="shared" si="9"/>
        <v>27</v>
      </c>
      <c r="M262" s="18" t="str">
        <f t="shared" si="8"/>
        <v>Baixa</v>
      </c>
      <c r="N262" s="11" t="s">
        <v>468</v>
      </c>
      <c r="O262" s="119">
        <v>46292</v>
      </c>
      <c r="P262" s="11"/>
      <c r="Q262" s="11" t="s">
        <v>130</v>
      </c>
      <c r="R262" s="11"/>
      <c r="S262" s="11"/>
    </row>
    <row r="263" spans="1:19" ht="16.5">
      <c r="A263" s="28">
        <v>262</v>
      </c>
      <c r="B263" s="119">
        <v>46261</v>
      </c>
      <c r="C263" s="11" t="s">
        <v>574</v>
      </c>
      <c r="D263" s="263" t="s">
        <v>29</v>
      </c>
      <c r="E263" s="11" t="s">
        <v>21</v>
      </c>
      <c r="F263" s="27" t="s">
        <v>592</v>
      </c>
      <c r="G263" s="11"/>
      <c r="H263" s="11"/>
      <c r="I263" s="11">
        <v>1</v>
      </c>
      <c r="J263" s="11">
        <v>3</v>
      </c>
      <c r="K263" s="11">
        <v>3</v>
      </c>
      <c r="L263" s="21">
        <f t="shared" si="9"/>
        <v>9</v>
      </c>
      <c r="M263" s="21" t="str">
        <f t="shared" si="8"/>
        <v>Baixa</v>
      </c>
      <c r="N263" s="11" t="s">
        <v>468</v>
      </c>
      <c r="O263" s="119">
        <v>46292</v>
      </c>
      <c r="P263" s="11"/>
      <c r="Q263" s="11" t="s">
        <v>130</v>
      </c>
      <c r="R263" s="11"/>
      <c r="S263" s="11"/>
    </row>
    <row r="264" spans="1:19" ht="30.75">
      <c r="A264" s="28">
        <v>263</v>
      </c>
      <c r="B264" s="119">
        <v>46261</v>
      </c>
      <c r="C264" s="11" t="s">
        <v>574</v>
      </c>
      <c r="D264" s="262" t="s">
        <v>29</v>
      </c>
      <c r="E264" s="11" t="s">
        <v>88</v>
      </c>
      <c r="F264" s="27" t="s">
        <v>593</v>
      </c>
      <c r="G264" s="11"/>
      <c r="H264" s="11"/>
      <c r="I264" s="11">
        <v>4</v>
      </c>
      <c r="J264" s="11">
        <v>4</v>
      </c>
      <c r="K264" s="11">
        <v>3</v>
      </c>
      <c r="L264" s="18">
        <f t="shared" si="9"/>
        <v>48</v>
      </c>
      <c r="M264" s="18" t="str">
        <f t="shared" si="8"/>
        <v>Moderada</v>
      </c>
      <c r="N264" s="11" t="s">
        <v>468</v>
      </c>
      <c r="O264" s="119">
        <v>46292</v>
      </c>
      <c r="P264" s="11"/>
      <c r="Q264" s="11" t="s">
        <v>130</v>
      </c>
      <c r="R264" s="11"/>
      <c r="S264" s="11"/>
    </row>
    <row r="265" spans="1:19" ht="16.5">
      <c r="A265" s="28">
        <v>264</v>
      </c>
      <c r="B265" s="119">
        <v>46261</v>
      </c>
      <c r="C265" s="11" t="s">
        <v>574</v>
      </c>
      <c r="D265" s="263" t="s">
        <v>20</v>
      </c>
      <c r="E265" s="11" t="s">
        <v>21</v>
      </c>
      <c r="F265" s="27" t="s">
        <v>594</v>
      </c>
      <c r="G265" s="11"/>
      <c r="H265" s="11"/>
      <c r="I265" s="11">
        <v>3</v>
      </c>
      <c r="J265" s="11">
        <v>3</v>
      </c>
      <c r="K265" s="11">
        <v>3</v>
      </c>
      <c r="L265" s="21">
        <f t="shared" si="9"/>
        <v>27</v>
      </c>
      <c r="M265" s="21" t="str">
        <f t="shared" si="8"/>
        <v>Baixa</v>
      </c>
      <c r="N265" s="11" t="s">
        <v>468</v>
      </c>
      <c r="O265" s="119">
        <v>46292</v>
      </c>
      <c r="P265" s="11"/>
      <c r="Q265" s="11" t="s">
        <v>130</v>
      </c>
      <c r="R265" s="11"/>
      <c r="S265" s="11"/>
    </row>
    <row r="266" spans="1:19" ht="16.5">
      <c r="A266" s="28">
        <v>265</v>
      </c>
      <c r="B266" s="119">
        <v>46261</v>
      </c>
      <c r="C266" s="11" t="s">
        <v>574</v>
      </c>
      <c r="D266" s="262" t="s">
        <v>29</v>
      </c>
      <c r="E266" s="11" t="s">
        <v>21</v>
      </c>
      <c r="F266" s="27" t="s">
        <v>595</v>
      </c>
      <c r="G266" s="11"/>
      <c r="H266" s="11"/>
      <c r="I266" s="11">
        <v>3</v>
      </c>
      <c r="J266" s="11">
        <v>3</v>
      </c>
      <c r="K266" s="11">
        <v>3</v>
      </c>
      <c r="L266" s="18">
        <f t="shared" si="9"/>
        <v>27</v>
      </c>
      <c r="M266" s="18" t="str">
        <f t="shared" si="8"/>
        <v>Baixa</v>
      </c>
      <c r="N266" s="11" t="s">
        <v>468</v>
      </c>
      <c r="O266" s="119">
        <v>46292</v>
      </c>
      <c r="P266" s="11"/>
      <c r="Q266" s="11" t="s">
        <v>130</v>
      </c>
      <c r="R266" s="11"/>
      <c r="S266" s="11"/>
    </row>
    <row r="267" spans="1:19" ht="16.5">
      <c r="A267" s="28">
        <v>266</v>
      </c>
      <c r="B267" s="119">
        <v>46261</v>
      </c>
      <c r="C267" s="11" t="s">
        <v>574</v>
      </c>
      <c r="D267" s="263" t="s">
        <v>38</v>
      </c>
      <c r="E267" s="11" t="s">
        <v>88</v>
      </c>
      <c r="F267" s="27" t="s">
        <v>596</v>
      </c>
      <c r="G267" s="11"/>
      <c r="H267" s="11"/>
      <c r="I267" s="11">
        <v>2</v>
      </c>
      <c r="J267" s="11">
        <v>3</v>
      </c>
      <c r="K267" s="11">
        <v>3</v>
      </c>
      <c r="L267" s="21">
        <f t="shared" si="9"/>
        <v>18</v>
      </c>
      <c r="M267" s="21" t="str">
        <f t="shared" si="8"/>
        <v>Baixa</v>
      </c>
      <c r="N267" s="11" t="s">
        <v>468</v>
      </c>
      <c r="O267" s="119">
        <v>46292</v>
      </c>
      <c r="P267" s="11"/>
      <c r="Q267" s="11" t="s">
        <v>130</v>
      </c>
      <c r="R267" s="11"/>
      <c r="S267" s="11"/>
    </row>
    <row r="268" spans="1:19" ht="33.75">
      <c r="A268" s="28">
        <v>267</v>
      </c>
      <c r="B268" s="119">
        <v>46261</v>
      </c>
      <c r="C268" s="11" t="s">
        <v>574</v>
      </c>
      <c r="D268" s="262" t="s">
        <v>114</v>
      </c>
      <c r="E268" s="11" t="s">
        <v>97</v>
      </c>
      <c r="F268" s="27" t="s">
        <v>597</v>
      </c>
      <c r="G268" s="11"/>
      <c r="H268" s="11"/>
      <c r="I268" s="11">
        <v>3</v>
      </c>
      <c r="J268" s="11">
        <v>3</v>
      </c>
      <c r="K268" s="11">
        <v>3</v>
      </c>
      <c r="L268" s="18">
        <f t="shared" si="9"/>
        <v>27</v>
      </c>
      <c r="M268" s="18" t="str">
        <f t="shared" si="8"/>
        <v>Baixa</v>
      </c>
      <c r="N268" s="11" t="s">
        <v>465</v>
      </c>
      <c r="O268" s="119">
        <v>46292</v>
      </c>
      <c r="P268" s="11"/>
      <c r="Q268" s="11" t="s">
        <v>130</v>
      </c>
      <c r="R268" s="11"/>
      <c r="S268" s="11"/>
    </row>
    <row r="269" spans="1:19" ht="33.75">
      <c r="A269" s="28">
        <v>268</v>
      </c>
      <c r="B269" s="119">
        <v>46261</v>
      </c>
      <c r="C269" s="11" t="s">
        <v>574</v>
      </c>
      <c r="D269" s="263" t="s">
        <v>114</v>
      </c>
      <c r="E269" s="11" t="s">
        <v>47</v>
      </c>
      <c r="F269" s="27" t="s">
        <v>598</v>
      </c>
      <c r="G269" s="11"/>
      <c r="H269" s="11"/>
      <c r="I269" s="11">
        <v>3</v>
      </c>
      <c r="J269" s="11">
        <v>3</v>
      </c>
      <c r="K269" s="11">
        <v>3</v>
      </c>
      <c r="L269" s="21">
        <f t="shared" si="9"/>
        <v>27</v>
      </c>
      <c r="M269" s="21" t="str">
        <f t="shared" si="8"/>
        <v>Baixa</v>
      </c>
      <c r="N269" s="11" t="s">
        <v>576</v>
      </c>
      <c r="O269" s="119">
        <v>46292</v>
      </c>
      <c r="P269" s="11"/>
      <c r="Q269" s="11" t="s">
        <v>130</v>
      </c>
      <c r="R269" s="11"/>
      <c r="S269" s="11"/>
    </row>
    <row r="270" spans="1:19" ht="33.75">
      <c r="A270" s="28">
        <v>269</v>
      </c>
      <c r="B270" s="119">
        <v>46261</v>
      </c>
      <c r="C270" s="11" t="s">
        <v>574</v>
      </c>
      <c r="D270" s="262" t="s">
        <v>46</v>
      </c>
      <c r="E270" s="11" t="s">
        <v>97</v>
      </c>
      <c r="F270" s="27" t="s">
        <v>599</v>
      </c>
      <c r="G270" s="11"/>
      <c r="H270" s="11"/>
      <c r="I270" s="11">
        <v>3</v>
      </c>
      <c r="J270" s="11">
        <v>3</v>
      </c>
      <c r="K270" s="11">
        <v>3</v>
      </c>
      <c r="L270" s="18">
        <f t="shared" si="9"/>
        <v>27</v>
      </c>
      <c r="M270" s="18" t="str">
        <f t="shared" si="8"/>
        <v>Baixa</v>
      </c>
      <c r="N270" s="11" t="s">
        <v>465</v>
      </c>
      <c r="O270" s="119">
        <v>46292</v>
      </c>
      <c r="P270" s="11"/>
      <c r="Q270" s="11" t="s">
        <v>130</v>
      </c>
      <c r="R270" s="11"/>
      <c r="S270" s="11"/>
    </row>
    <row r="271" spans="1:19" ht="30.75">
      <c r="A271" s="28">
        <v>270</v>
      </c>
      <c r="B271" s="119">
        <v>46261</v>
      </c>
      <c r="C271" s="11" t="s">
        <v>574</v>
      </c>
      <c r="D271" s="263" t="s">
        <v>29</v>
      </c>
      <c r="E271" s="11" t="s">
        <v>92</v>
      </c>
      <c r="F271" s="27" t="s">
        <v>600</v>
      </c>
      <c r="G271" s="11"/>
      <c r="H271" s="11"/>
      <c r="I271" s="11">
        <v>3</v>
      </c>
      <c r="J271" s="11">
        <v>3</v>
      </c>
      <c r="K271" s="11">
        <v>3</v>
      </c>
      <c r="L271" s="21">
        <f t="shared" si="9"/>
        <v>27</v>
      </c>
      <c r="M271" s="21" t="str">
        <f t="shared" si="8"/>
        <v>Baixa</v>
      </c>
      <c r="N271" s="11" t="s">
        <v>578</v>
      </c>
      <c r="O271" s="119">
        <v>46292</v>
      </c>
      <c r="P271" s="11"/>
      <c r="Q271" s="11" t="s">
        <v>130</v>
      </c>
      <c r="R271" s="11"/>
      <c r="S271" s="11"/>
    </row>
    <row r="272" spans="1:19" ht="30.75">
      <c r="A272" s="28">
        <v>271</v>
      </c>
      <c r="B272" s="119">
        <v>46261</v>
      </c>
      <c r="C272" s="11" t="s">
        <v>574</v>
      </c>
      <c r="D272" s="262" t="s">
        <v>29</v>
      </c>
      <c r="E272" s="11" t="s">
        <v>21</v>
      </c>
      <c r="F272" s="27" t="s">
        <v>601</v>
      </c>
      <c r="G272" s="11"/>
      <c r="H272" s="11"/>
      <c r="I272" s="11">
        <v>3</v>
      </c>
      <c r="J272" s="11">
        <v>3</v>
      </c>
      <c r="K272" s="11">
        <v>3</v>
      </c>
      <c r="L272" s="18">
        <f t="shared" si="9"/>
        <v>27</v>
      </c>
      <c r="M272" s="18" t="str">
        <f t="shared" si="8"/>
        <v>Baixa</v>
      </c>
      <c r="N272" s="11" t="s">
        <v>468</v>
      </c>
      <c r="O272" s="119">
        <v>46292</v>
      </c>
      <c r="P272" s="11"/>
      <c r="Q272" s="11" t="s">
        <v>130</v>
      </c>
      <c r="R272" s="11"/>
      <c r="S272" s="11"/>
    </row>
    <row r="273" spans="1:19" ht="30.75">
      <c r="A273" s="28">
        <v>272</v>
      </c>
      <c r="B273" s="119">
        <v>46261</v>
      </c>
      <c r="C273" s="11" t="s">
        <v>574</v>
      </c>
      <c r="D273" s="263" t="s">
        <v>20</v>
      </c>
      <c r="E273" s="11" t="s">
        <v>21</v>
      </c>
      <c r="F273" s="27" t="s">
        <v>602</v>
      </c>
      <c r="G273" s="11"/>
      <c r="H273" s="11"/>
      <c r="I273" s="11">
        <v>3</v>
      </c>
      <c r="J273" s="11">
        <v>3</v>
      </c>
      <c r="K273" s="11">
        <v>3</v>
      </c>
      <c r="L273" s="21">
        <f t="shared" si="9"/>
        <v>27</v>
      </c>
      <c r="M273" s="21" t="str">
        <f t="shared" si="8"/>
        <v>Baixa</v>
      </c>
      <c r="N273" s="11" t="s">
        <v>578</v>
      </c>
      <c r="O273" s="119">
        <v>46292</v>
      </c>
      <c r="P273" s="11"/>
      <c r="Q273" s="11" t="s">
        <v>130</v>
      </c>
      <c r="R273" s="11"/>
      <c r="S273" s="11"/>
    </row>
    <row r="274" spans="1:19" ht="16.5">
      <c r="A274" s="28">
        <v>273</v>
      </c>
      <c r="B274" s="119">
        <v>46261</v>
      </c>
      <c r="C274" s="11" t="s">
        <v>574</v>
      </c>
      <c r="D274" s="262" t="s">
        <v>29</v>
      </c>
      <c r="E274" s="11" t="s">
        <v>21</v>
      </c>
      <c r="F274" s="27" t="s">
        <v>603</v>
      </c>
      <c r="G274" s="11"/>
      <c r="H274" s="11"/>
      <c r="I274" s="11">
        <v>3</v>
      </c>
      <c r="J274" s="11">
        <v>3</v>
      </c>
      <c r="K274" s="11">
        <v>3</v>
      </c>
      <c r="L274" s="18">
        <f t="shared" si="9"/>
        <v>27</v>
      </c>
      <c r="M274" s="18" t="str">
        <f t="shared" si="8"/>
        <v>Baixa</v>
      </c>
      <c r="N274" s="274" t="s">
        <v>578</v>
      </c>
      <c r="O274" s="119">
        <v>46292</v>
      </c>
      <c r="P274" s="11"/>
      <c r="Q274" s="11" t="s">
        <v>130</v>
      </c>
      <c r="R274" s="11"/>
      <c r="S274" s="11"/>
    </row>
    <row r="275" spans="1:19" ht="30.75">
      <c r="A275" s="28">
        <v>274</v>
      </c>
      <c r="B275" s="119">
        <v>46261</v>
      </c>
      <c r="C275" s="11" t="s">
        <v>574</v>
      </c>
      <c r="D275" s="263" t="s">
        <v>29</v>
      </c>
      <c r="E275" s="11" t="s">
        <v>92</v>
      </c>
      <c r="F275" s="27" t="s">
        <v>604</v>
      </c>
      <c r="G275" s="11"/>
      <c r="H275" s="11"/>
      <c r="I275" s="11">
        <v>3</v>
      </c>
      <c r="J275" s="11">
        <v>3</v>
      </c>
      <c r="K275" s="11">
        <v>3</v>
      </c>
      <c r="L275" s="18">
        <f t="shared" si="9"/>
        <v>27</v>
      </c>
      <c r="M275" s="18" t="str">
        <f t="shared" si="8"/>
        <v>Baixa</v>
      </c>
      <c r="N275" s="274" t="s">
        <v>578</v>
      </c>
      <c r="O275" s="119">
        <v>46292</v>
      </c>
      <c r="P275" s="11"/>
      <c r="Q275" s="11" t="s">
        <v>130</v>
      </c>
      <c r="R275" s="11"/>
      <c r="S275" s="11"/>
    </row>
    <row r="276" spans="1:19" ht="30.75">
      <c r="A276" s="28">
        <v>275</v>
      </c>
      <c r="B276" s="119">
        <v>46261</v>
      </c>
      <c r="C276" s="11" t="s">
        <v>574</v>
      </c>
      <c r="D276" s="262" t="s">
        <v>29</v>
      </c>
      <c r="E276" s="11" t="s">
        <v>88</v>
      </c>
      <c r="F276" s="27" t="s">
        <v>605</v>
      </c>
      <c r="G276" s="11"/>
      <c r="H276" s="11"/>
      <c r="I276" s="11">
        <v>3</v>
      </c>
      <c r="J276" s="11">
        <v>3</v>
      </c>
      <c r="K276" s="11">
        <v>3</v>
      </c>
      <c r="L276" s="21">
        <f t="shared" si="9"/>
        <v>27</v>
      </c>
      <c r="M276" s="21" t="str">
        <f t="shared" si="8"/>
        <v>Baixa</v>
      </c>
      <c r="N276" s="274" t="s">
        <v>578</v>
      </c>
      <c r="O276" s="119">
        <v>46292</v>
      </c>
      <c r="P276" s="11"/>
      <c r="Q276" s="11" t="s">
        <v>130</v>
      </c>
      <c r="R276" s="11"/>
      <c r="S276" s="11"/>
    </row>
    <row r="277" spans="1:19" ht="30.75">
      <c r="A277" s="28">
        <v>276</v>
      </c>
      <c r="B277" s="119">
        <v>46261</v>
      </c>
      <c r="C277" s="11" t="s">
        <v>574</v>
      </c>
      <c r="D277" s="263" t="s">
        <v>29</v>
      </c>
      <c r="E277" s="11" t="s">
        <v>88</v>
      </c>
      <c r="F277" s="27" t="s">
        <v>606</v>
      </c>
      <c r="G277" s="11"/>
      <c r="H277" s="11"/>
      <c r="I277" s="11">
        <v>3</v>
      </c>
      <c r="J277" s="11">
        <v>3</v>
      </c>
      <c r="K277" s="11">
        <v>3</v>
      </c>
      <c r="L277" s="18">
        <f t="shared" si="9"/>
        <v>27</v>
      </c>
      <c r="M277" s="18" t="str">
        <f t="shared" si="8"/>
        <v>Baixa</v>
      </c>
      <c r="N277" s="274" t="s">
        <v>578</v>
      </c>
      <c r="O277" s="119">
        <v>46292</v>
      </c>
      <c r="P277" s="11"/>
      <c r="Q277" s="11" t="s">
        <v>130</v>
      </c>
      <c r="R277" s="11"/>
      <c r="S277" s="11"/>
    </row>
    <row r="278" spans="1:19" ht="16.5">
      <c r="A278" s="28">
        <v>277</v>
      </c>
      <c r="B278" s="119">
        <v>46261</v>
      </c>
      <c r="C278" s="11" t="s">
        <v>574</v>
      </c>
      <c r="D278" s="262" t="s">
        <v>29</v>
      </c>
      <c r="E278" s="11" t="s">
        <v>97</v>
      </c>
      <c r="F278" s="27" t="s">
        <v>607</v>
      </c>
      <c r="G278" s="11"/>
      <c r="H278" s="11"/>
      <c r="I278" s="11">
        <v>3</v>
      </c>
      <c r="J278" s="11">
        <v>3</v>
      </c>
      <c r="K278" s="11">
        <v>3</v>
      </c>
      <c r="L278" s="21">
        <f t="shared" si="9"/>
        <v>27</v>
      </c>
      <c r="M278" s="21" t="str">
        <f t="shared" si="8"/>
        <v>Baixa</v>
      </c>
      <c r="N278" s="274" t="s">
        <v>578</v>
      </c>
      <c r="O278" s="119">
        <v>46292</v>
      </c>
      <c r="P278" s="11"/>
      <c r="Q278" s="11" t="s">
        <v>130</v>
      </c>
      <c r="R278" s="11"/>
      <c r="S278" s="11"/>
    </row>
    <row r="279" spans="1:19" ht="46.5">
      <c r="A279" s="28">
        <v>278</v>
      </c>
      <c r="B279" s="119">
        <v>46261</v>
      </c>
      <c r="C279" s="11" t="s">
        <v>574</v>
      </c>
      <c r="D279" s="263" t="s">
        <v>340</v>
      </c>
      <c r="E279" s="11" t="s">
        <v>216</v>
      </c>
      <c r="F279" s="27" t="s">
        <v>608</v>
      </c>
      <c r="G279" s="11"/>
      <c r="H279" s="11"/>
      <c r="I279" s="11">
        <v>4</v>
      </c>
      <c r="J279" s="11">
        <v>4</v>
      </c>
      <c r="K279" s="11">
        <v>3</v>
      </c>
      <c r="L279" s="18">
        <f t="shared" si="9"/>
        <v>48</v>
      </c>
      <c r="M279" s="18" t="str">
        <f t="shared" si="8"/>
        <v>Moderada</v>
      </c>
      <c r="N279" s="274" t="s">
        <v>578</v>
      </c>
      <c r="O279" s="119">
        <v>46292</v>
      </c>
      <c r="P279" s="11"/>
      <c r="Q279" s="11" t="s">
        <v>130</v>
      </c>
      <c r="R279" s="11"/>
      <c r="S279" s="11"/>
    </row>
    <row r="280" spans="1:19" ht="33.75">
      <c r="A280" s="28">
        <v>279</v>
      </c>
      <c r="B280" s="119">
        <v>46261</v>
      </c>
      <c r="C280" s="11" t="s">
        <v>574</v>
      </c>
      <c r="D280" s="262" t="s">
        <v>340</v>
      </c>
      <c r="E280" s="11" t="s">
        <v>216</v>
      </c>
      <c r="F280" s="27" t="s">
        <v>609</v>
      </c>
      <c r="G280" s="11"/>
      <c r="H280" s="11"/>
      <c r="I280" s="11">
        <v>4</v>
      </c>
      <c r="J280" s="11">
        <v>4</v>
      </c>
      <c r="K280" s="11">
        <v>4</v>
      </c>
      <c r="L280" s="21">
        <f t="shared" si="9"/>
        <v>64</v>
      </c>
      <c r="M280" s="21" t="str">
        <f t="shared" si="8"/>
        <v>Moderada</v>
      </c>
      <c r="N280" s="274" t="s">
        <v>578</v>
      </c>
      <c r="O280" s="119">
        <v>46292</v>
      </c>
      <c r="P280" s="11"/>
      <c r="Q280" s="11" t="s">
        <v>130</v>
      </c>
      <c r="R280" s="11"/>
      <c r="S280" s="11"/>
    </row>
    <row r="281" spans="1:19" ht="33.75">
      <c r="A281" s="28">
        <v>280</v>
      </c>
      <c r="B281" s="119">
        <v>46261</v>
      </c>
      <c r="C281" s="11" t="s">
        <v>574</v>
      </c>
      <c r="D281" s="263" t="s">
        <v>340</v>
      </c>
      <c r="E281" s="11" t="s">
        <v>216</v>
      </c>
      <c r="F281" s="27" t="s">
        <v>610</v>
      </c>
      <c r="G281" s="11"/>
      <c r="H281" s="11"/>
      <c r="I281" s="11">
        <v>4</v>
      </c>
      <c r="J281" s="11">
        <v>4</v>
      </c>
      <c r="K281" s="11">
        <v>4</v>
      </c>
      <c r="L281" s="18">
        <f t="shared" si="9"/>
        <v>64</v>
      </c>
      <c r="M281" s="18" t="str">
        <f t="shared" si="8"/>
        <v>Moderada</v>
      </c>
      <c r="N281" s="274" t="s">
        <v>578</v>
      </c>
      <c r="O281" s="119">
        <v>46292</v>
      </c>
      <c r="P281" s="11"/>
      <c r="Q281" s="11" t="s">
        <v>130</v>
      </c>
      <c r="R281" s="11"/>
      <c r="S281" s="11"/>
    </row>
    <row r="282" spans="1:19" ht="33.75">
      <c r="A282" s="28">
        <v>281</v>
      </c>
      <c r="B282" s="119">
        <v>46261</v>
      </c>
      <c r="C282" s="11" t="s">
        <v>574</v>
      </c>
      <c r="D282" s="262" t="s">
        <v>340</v>
      </c>
      <c r="E282" s="11" t="s">
        <v>216</v>
      </c>
      <c r="F282" s="27" t="s">
        <v>611</v>
      </c>
      <c r="G282" s="11"/>
      <c r="H282" s="11"/>
      <c r="I282" s="11">
        <v>4</v>
      </c>
      <c r="J282" s="11">
        <v>4</v>
      </c>
      <c r="K282" s="11">
        <v>3</v>
      </c>
      <c r="L282" s="21">
        <f t="shared" si="9"/>
        <v>48</v>
      </c>
      <c r="M282" s="21" t="str">
        <f t="shared" si="8"/>
        <v>Moderada</v>
      </c>
      <c r="N282" s="274" t="s">
        <v>578</v>
      </c>
      <c r="O282" s="119">
        <v>46292</v>
      </c>
      <c r="P282" s="11"/>
      <c r="Q282" s="11" t="s">
        <v>130</v>
      </c>
      <c r="R282" s="11"/>
      <c r="S282" s="11"/>
    </row>
    <row r="283" spans="1:19" ht="30.75">
      <c r="A283" s="28">
        <v>282</v>
      </c>
      <c r="B283" s="119">
        <v>46261</v>
      </c>
      <c r="C283" s="11" t="s">
        <v>574</v>
      </c>
      <c r="D283" s="263" t="s">
        <v>38</v>
      </c>
      <c r="E283" s="11" t="s">
        <v>216</v>
      </c>
      <c r="F283" s="27" t="s">
        <v>612</v>
      </c>
      <c r="G283" s="11"/>
      <c r="H283" s="11"/>
      <c r="I283" s="11">
        <v>3</v>
      </c>
      <c r="J283" s="11">
        <v>3</v>
      </c>
      <c r="K283" s="11">
        <v>3</v>
      </c>
      <c r="L283" s="18">
        <f t="shared" si="9"/>
        <v>27</v>
      </c>
      <c r="M283" s="18" t="str">
        <f t="shared" si="8"/>
        <v>Baixa</v>
      </c>
      <c r="N283" s="274" t="s">
        <v>578</v>
      </c>
      <c r="O283" s="119">
        <v>46292</v>
      </c>
      <c r="P283" s="11"/>
      <c r="Q283" s="11" t="s">
        <v>130</v>
      </c>
      <c r="R283" s="11"/>
      <c r="S283" s="11"/>
    </row>
    <row r="284" spans="1:19" ht="16.5">
      <c r="A284" s="28">
        <v>283</v>
      </c>
      <c r="B284" s="119">
        <v>46261</v>
      </c>
      <c r="C284" s="11" t="s">
        <v>574</v>
      </c>
      <c r="D284" s="262" t="s">
        <v>38</v>
      </c>
      <c r="E284" s="11" t="s">
        <v>88</v>
      </c>
      <c r="F284" s="27" t="s">
        <v>613</v>
      </c>
      <c r="G284" s="11"/>
      <c r="H284" s="11"/>
      <c r="I284" s="11">
        <v>3</v>
      </c>
      <c r="J284" s="11">
        <v>3</v>
      </c>
      <c r="K284" s="11">
        <v>3</v>
      </c>
      <c r="L284" s="21">
        <f t="shared" si="9"/>
        <v>27</v>
      </c>
      <c r="M284" s="21" t="str">
        <f t="shared" si="8"/>
        <v>Baixa</v>
      </c>
      <c r="N284" s="274" t="s">
        <v>578</v>
      </c>
      <c r="O284" s="119">
        <v>46292</v>
      </c>
      <c r="P284" s="11"/>
      <c r="Q284" s="11" t="s">
        <v>130</v>
      </c>
      <c r="R284" s="11"/>
      <c r="S284" s="11"/>
    </row>
    <row r="285" spans="1:19" ht="33.75">
      <c r="A285" s="28">
        <v>284</v>
      </c>
      <c r="B285" s="119">
        <v>46261</v>
      </c>
      <c r="C285" s="11" t="s">
        <v>574</v>
      </c>
      <c r="D285" s="263" t="s">
        <v>114</v>
      </c>
      <c r="E285" s="11" t="s">
        <v>21</v>
      </c>
      <c r="F285" s="27" t="s">
        <v>614</v>
      </c>
      <c r="G285" s="11"/>
      <c r="H285" s="11"/>
      <c r="I285" s="11">
        <v>3</v>
      </c>
      <c r="J285" s="11">
        <v>3</v>
      </c>
      <c r="K285" s="11">
        <v>3</v>
      </c>
      <c r="L285" s="18">
        <f t="shared" si="9"/>
        <v>27</v>
      </c>
      <c r="M285" s="18" t="str">
        <f t="shared" si="8"/>
        <v>Baixa</v>
      </c>
      <c r="N285" s="274" t="s">
        <v>578</v>
      </c>
      <c r="O285" s="119">
        <v>46292</v>
      </c>
      <c r="P285" s="11"/>
      <c r="Q285" s="11" t="s">
        <v>130</v>
      </c>
      <c r="R285" s="11"/>
      <c r="S285" s="11"/>
    </row>
    <row r="286" spans="1:19" ht="33.75">
      <c r="A286" s="28">
        <v>285</v>
      </c>
      <c r="B286" s="119">
        <v>46261</v>
      </c>
      <c r="C286" s="11" t="s">
        <v>574</v>
      </c>
      <c r="D286" s="262" t="s">
        <v>114</v>
      </c>
      <c r="E286" s="11" t="s">
        <v>88</v>
      </c>
      <c r="F286" s="27" t="s">
        <v>615</v>
      </c>
      <c r="G286" s="11"/>
      <c r="H286" s="11"/>
      <c r="I286" s="11">
        <v>3</v>
      </c>
      <c r="J286" s="11">
        <v>3</v>
      </c>
      <c r="K286" s="11">
        <v>3</v>
      </c>
      <c r="L286" s="21">
        <f t="shared" si="9"/>
        <v>27</v>
      </c>
      <c r="M286" s="21" t="str">
        <f t="shared" si="8"/>
        <v>Baixa</v>
      </c>
      <c r="N286" s="274" t="s">
        <v>578</v>
      </c>
      <c r="O286" s="119">
        <v>46292</v>
      </c>
      <c r="P286" s="11"/>
      <c r="Q286" s="11" t="s">
        <v>130</v>
      </c>
      <c r="R286" s="11"/>
      <c r="S286" s="11"/>
    </row>
    <row r="287" spans="1:19" ht="46.5">
      <c r="A287" s="28">
        <v>286</v>
      </c>
      <c r="B287" s="119">
        <v>46261</v>
      </c>
      <c r="C287" s="11" t="s">
        <v>574</v>
      </c>
      <c r="D287" s="263" t="s">
        <v>114</v>
      </c>
      <c r="E287" s="11" t="s">
        <v>88</v>
      </c>
      <c r="F287" s="27" t="s">
        <v>616</v>
      </c>
      <c r="G287" s="11"/>
      <c r="H287" s="11"/>
      <c r="I287" s="11">
        <v>3</v>
      </c>
      <c r="J287" s="11">
        <v>5</v>
      </c>
      <c r="K287" s="11">
        <v>3</v>
      </c>
      <c r="L287" s="18">
        <f t="shared" si="9"/>
        <v>45</v>
      </c>
      <c r="M287" s="18" t="str">
        <f t="shared" si="8"/>
        <v>Alta</v>
      </c>
      <c r="N287" s="274" t="s">
        <v>578</v>
      </c>
      <c r="O287" s="119">
        <v>46292</v>
      </c>
      <c r="P287" s="11"/>
      <c r="Q287" s="11" t="s">
        <v>130</v>
      </c>
      <c r="R287" s="11"/>
      <c r="S287" s="11"/>
    </row>
    <row r="288" spans="1:19" ht="30.75">
      <c r="A288" s="28">
        <v>287</v>
      </c>
      <c r="B288" s="119">
        <v>46261</v>
      </c>
      <c r="C288" s="11" t="s">
        <v>574</v>
      </c>
      <c r="D288" s="262" t="s">
        <v>29</v>
      </c>
      <c r="E288" s="11" t="s">
        <v>88</v>
      </c>
      <c r="F288" s="27" t="s">
        <v>617</v>
      </c>
      <c r="G288" s="11"/>
      <c r="H288" s="11"/>
      <c r="I288" s="11">
        <v>5</v>
      </c>
      <c r="J288" s="11">
        <v>5</v>
      </c>
      <c r="K288" s="11">
        <v>5</v>
      </c>
      <c r="L288" s="21">
        <f t="shared" si="9"/>
        <v>125</v>
      </c>
      <c r="M288" s="21" t="str">
        <f t="shared" si="8"/>
        <v>Alta</v>
      </c>
      <c r="N288" s="274" t="s">
        <v>578</v>
      </c>
      <c r="O288" s="119">
        <v>46292</v>
      </c>
      <c r="P288" s="11"/>
      <c r="Q288" s="11" t="s">
        <v>130</v>
      </c>
      <c r="R288" s="11"/>
      <c r="S288" s="11"/>
    </row>
    <row r="289" spans="1:19" ht="46.5">
      <c r="A289" s="28">
        <v>288</v>
      </c>
      <c r="B289" s="119">
        <v>46261</v>
      </c>
      <c r="C289" s="11" t="s">
        <v>574</v>
      </c>
      <c r="D289" s="263" t="s">
        <v>20</v>
      </c>
      <c r="E289" s="11" t="s">
        <v>216</v>
      </c>
      <c r="F289" s="27" t="s">
        <v>618</v>
      </c>
      <c r="G289" s="11"/>
      <c r="H289" s="11"/>
      <c r="I289" s="11">
        <v>5</v>
      </c>
      <c r="J289" s="11">
        <v>5</v>
      </c>
      <c r="K289" s="11">
        <v>5</v>
      </c>
      <c r="L289" s="18">
        <f t="shared" si="9"/>
        <v>125</v>
      </c>
      <c r="M289" s="18" t="str">
        <f t="shared" si="8"/>
        <v>Alta</v>
      </c>
      <c r="N289" s="274" t="s">
        <v>578</v>
      </c>
      <c r="O289" s="119">
        <v>46292</v>
      </c>
      <c r="P289" s="11"/>
      <c r="Q289" s="11" t="s">
        <v>130</v>
      </c>
      <c r="R289" s="11"/>
      <c r="S289" s="11"/>
    </row>
    <row r="290" spans="1:19" ht="61.5">
      <c r="A290" s="28">
        <v>289</v>
      </c>
      <c r="B290" s="119">
        <v>46261</v>
      </c>
      <c r="C290" s="11" t="s">
        <v>574</v>
      </c>
      <c r="D290" s="262" t="s">
        <v>29</v>
      </c>
      <c r="E290" s="11" t="s">
        <v>88</v>
      </c>
      <c r="F290" s="27" t="s">
        <v>619</v>
      </c>
      <c r="G290" s="11"/>
      <c r="H290" s="11"/>
      <c r="I290" s="11">
        <v>5</v>
      </c>
      <c r="J290" s="11">
        <v>5</v>
      </c>
      <c r="K290" s="11">
        <v>5</v>
      </c>
      <c r="L290" s="21">
        <f t="shared" si="9"/>
        <v>125</v>
      </c>
      <c r="M290" s="21" t="str">
        <f t="shared" si="8"/>
        <v>Alta</v>
      </c>
      <c r="N290" s="274" t="s">
        <v>578</v>
      </c>
      <c r="O290" s="119">
        <v>46292</v>
      </c>
      <c r="P290" s="11"/>
      <c r="Q290" s="11" t="s">
        <v>130</v>
      </c>
      <c r="R290" s="11"/>
      <c r="S290" s="11"/>
    </row>
    <row r="291" spans="1:19" ht="30.75">
      <c r="A291" s="28">
        <v>290</v>
      </c>
      <c r="B291" s="119">
        <v>46261</v>
      </c>
      <c r="C291" s="11" t="s">
        <v>574</v>
      </c>
      <c r="D291" s="263" t="s">
        <v>29</v>
      </c>
      <c r="E291" s="11" t="s">
        <v>88</v>
      </c>
      <c r="F291" s="27" t="s">
        <v>620</v>
      </c>
      <c r="G291" s="11"/>
      <c r="H291" s="11"/>
      <c r="I291" s="11">
        <v>3</v>
      </c>
      <c r="J291" s="11">
        <v>5</v>
      </c>
      <c r="K291" s="11">
        <v>3</v>
      </c>
      <c r="L291" s="18">
        <f t="shared" si="9"/>
        <v>45</v>
      </c>
      <c r="M291" s="18" t="str">
        <f t="shared" si="8"/>
        <v>Alta</v>
      </c>
      <c r="N291" s="274" t="s">
        <v>578</v>
      </c>
      <c r="O291" s="119">
        <v>46292</v>
      </c>
      <c r="P291" s="11"/>
      <c r="Q291" s="11" t="s">
        <v>130</v>
      </c>
      <c r="R291" s="11"/>
      <c r="S291" s="11"/>
    </row>
    <row r="292" spans="1:19" ht="16.5">
      <c r="A292" s="28">
        <v>291</v>
      </c>
      <c r="B292" s="119">
        <v>46261</v>
      </c>
      <c r="C292" s="11" t="s">
        <v>574</v>
      </c>
      <c r="D292" s="262" t="s">
        <v>29</v>
      </c>
      <c r="E292" s="11" t="s">
        <v>88</v>
      </c>
      <c r="F292" s="27" t="s">
        <v>621</v>
      </c>
      <c r="G292" s="11"/>
      <c r="H292" s="11"/>
      <c r="I292" s="11">
        <v>5</v>
      </c>
      <c r="J292" s="11">
        <v>5</v>
      </c>
      <c r="K292" s="11">
        <v>5</v>
      </c>
      <c r="L292" s="21">
        <f t="shared" si="9"/>
        <v>125</v>
      </c>
      <c r="M292" s="21" t="str">
        <f t="shared" si="8"/>
        <v>Alta</v>
      </c>
      <c r="N292" s="274" t="s">
        <v>578</v>
      </c>
      <c r="O292" s="119">
        <v>46292</v>
      </c>
      <c r="P292" s="11"/>
      <c r="Q292" s="11" t="s">
        <v>130</v>
      </c>
      <c r="R292" s="11"/>
      <c r="S292" s="11"/>
    </row>
    <row r="293" spans="1:19" ht="16.5">
      <c r="A293" s="28">
        <v>292</v>
      </c>
      <c r="B293" s="119">
        <v>46261</v>
      </c>
      <c r="C293" s="11" t="s">
        <v>574</v>
      </c>
      <c r="D293" s="263" t="s">
        <v>29</v>
      </c>
      <c r="E293" s="11" t="s">
        <v>88</v>
      </c>
      <c r="F293" s="27" t="s">
        <v>622</v>
      </c>
      <c r="G293" s="11"/>
      <c r="H293" s="11"/>
      <c r="I293" s="11">
        <v>3</v>
      </c>
      <c r="J293" s="11">
        <v>3</v>
      </c>
      <c r="K293" s="11">
        <v>3</v>
      </c>
      <c r="L293" s="18">
        <f t="shared" si="9"/>
        <v>27</v>
      </c>
      <c r="M293" s="18" t="str">
        <f t="shared" si="8"/>
        <v>Baixa</v>
      </c>
      <c r="N293" s="274" t="s">
        <v>578</v>
      </c>
      <c r="O293" s="119">
        <v>46292</v>
      </c>
      <c r="P293" s="11"/>
      <c r="Q293" s="11" t="s">
        <v>130</v>
      </c>
      <c r="R293" s="11"/>
      <c r="S293" s="11"/>
    </row>
    <row r="294" spans="1:19" ht="33.75">
      <c r="A294" s="28">
        <v>293</v>
      </c>
      <c r="B294" s="119">
        <v>46261</v>
      </c>
      <c r="C294" s="11" t="s">
        <v>574</v>
      </c>
      <c r="D294" s="262" t="s">
        <v>114</v>
      </c>
      <c r="E294" s="11" t="s">
        <v>88</v>
      </c>
      <c r="F294" s="27" t="s">
        <v>623</v>
      </c>
      <c r="G294" s="11"/>
      <c r="H294" s="11"/>
      <c r="I294" s="11">
        <v>4</v>
      </c>
      <c r="J294" s="11">
        <v>5</v>
      </c>
      <c r="K294" s="11">
        <v>4</v>
      </c>
      <c r="L294" s="21">
        <f t="shared" si="9"/>
        <v>80</v>
      </c>
      <c r="M294" s="21" t="str">
        <f t="shared" si="8"/>
        <v>Alta</v>
      </c>
      <c r="N294" s="274" t="s">
        <v>578</v>
      </c>
      <c r="O294" s="119">
        <v>46292</v>
      </c>
      <c r="P294" s="11"/>
      <c r="Q294" s="11" t="s">
        <v>130</v>
      </c>
      <c r="R294" s="11"/>
      <c r="S294" s="11"/>
    </row>
    <row r="295" spans="1:19" ht="33.75">
      <c r="A295" s="28">
        <v>294</v>
      </c>
      <c r="B295" s="119">
        <v>46261</v>
      </c>
      <c r="C295" s="11" t="s">
        <v>574</v>
      </c>
      <c r="D295" s="263" t="s">
        <v>114</v>
      </c>
      <c r="E295" s="11" t="s">
        <v>88</v>
      </c>
      <c r="F295" s="27" t="s">
        <v>624</v>
      </c>
      <c r="G295" s="11"/>
      <c r="H295" s="11"/>
      <c r="I295" s="11">
        <v>4</v>
      </c>
      <c r="J295" s="11">
        <v>5</v>
      </c>
      <c r="K295" s="11">
        <v>4</v>
      </c>
      <c r="L295" s="18">
        <f t="shared" si="9"/>
        <v>80</v>
      </c>
      <c r="M295" s="18" t="str">
        <f t="shared" si="8"/>
        <v>Alta</v>
      </c>
      <c r="N295" s="274" t="s">
        <v>578</v>
      </c>
      <c r="O295" s="119">
        <v>46292</v>
      </c>
      <c r="P295" s="11"/>
      <c r="Q295" s="11" t="s">
        <v>130</v>
      </c>
      <c r="R295" s="11"/>
      <c r="S295" s="11"/>
    </row>
    <row r="296" spans="1:19" ht="30.75">
      <c r="A296" s="28">
        <v>295</v>
      </c>
      <c r="B296" s="119">
        <v>46261</v>
      </c>
      <c r="C296" s="11" t="s">
        <v>574</v>
      </c>
      <c r="D296" s="262" t="s">
        <v>29</v>
      </c>
      <c r="E296" s="11" t="s">
        <v>88</v>
      </c>
      <c r="F296" s="27" t="s">
        <v>625</v>
      </c>
      <c r="G296" s="11"/>
      <c r="H296" s="11"/>
      <c r="I296" s="11">
        <v>5</v>
      </c>
      <c r="J296" s="11">
        <v>5</v>
      </c>
      <c r="K296" s="11">
        <v>5</v>
      </c>
      <c r="L296" s="21">
        <f t="shared" si="9"/>
        <v>125</v>
      </c>
      <c r="M296" s="21" t="str">
        <f t="shared" si="8"/>
        <v>Alta</v>
      </c>
      <c r="N296" s="274" t="s">
        <v>578</v>
      </c>
      <c r="O296" s="119">
        <v>46292</v>
      </c>
      <c r="P296" s="11"/>
      <c r="Q296" s="11" t="s">
        <v>130</v>
      </c>
      <c r="R296" s="11"/>
      <c r="S296" s="11"/>
    </row>
    <row r="297" spans="1:19" ht="16.5">
      <c r="A297" s="28">
        <v>296</v>
      </c>
      <c r="B297" s="119">
        <v>46261</v>
      </c>
      <c r="C297" s="11" t="s">
        <v>574</v>
      </c>
      <c r="D297" s="263" t="s">
        <v>29</v>
      </c>
      <c r="E297" s="11" t="s">
        <v>88</v>
      </c>
      <c r="F297" s="27" t="s">
        <v>626</v>
      </c>
      <c r="G297" s="11"/>
      <c r="H297" s="11"/>
      <c r="I297" s="11">
        <v>5</v>
      </c>
      <c r="J297" s="11">
        <v>5</v>
      </c>
      <c r="K297" s="11">
        <v>4</v>
      </c>
      <c r="L297" s="18">
        <f t="shared" si="9"/>
        <v>100</v>
      </c>
      <c r="M297" s="18" t="str">
        <f t="shared" si="8"/>
        <v>Alta</v>
      </c>
      <c r="N297" s="274" t="s">
        <v>578</v>
      </c>
      <c r="O297" s="119">
        <v>46292</v>
      </c>
      <c r="P297" s="11"/>
      <c r="Q297" s="11" t="s">
        <v>130</v>
      </c>
      <c r="R297" s="11"/>
      <c r="S297" s="11"/>
    </row>
    <row r="298" spans="1:19" ht="46.5">
      <c r="A298" s="28">
        <v>297</v>
      </c>
      <c r="B298" s="119">
        <v>46261</v>
      </c>
      <c r="C298" s="11" t="s">
        <v>574</v>
      </c>
      <c r="D298" s="262" t="s">
        <v>29</v>
      </c>
      <c r="E298" s="11" t="s">
        <v>88</v>
      </c>
      <c r="F298" s="27" t="s">
        <v>627</v>
      </c>
      <c r="G298" s="11"/>
      <c r="H298" s="11"/>
      <c r="I298" s="11">
        <v>3</v>
      </c>
      <c r="J298" s="11">
        <v>3</v>
      </c>
      <c r="K298" s="11">
        <v>3</v>
      </c>
      <c r="L298" s="21">
        <f t="shared" si="9"/>
        <v>27</v>
      </c>
      <c r="M298" s="21" t="str">
        <f t="shared" si="8"/>
        <v>Baixa</v>
      </c>
      <c r="N298" s="274" t="s">
        <v>578</v>
      </c>
      <c r="O298" s="119">
        <v>46292</v>
      </c>
      <c r="P298" s="11"/>
      <c r="Q298" s="11" t="s">
        <v>130</v>
      </c>
      <c r="R298" s="11"/>
      <c r="S298" s="11"/>
    </row>
    <row r="299" spans="1:19" ht="30.75">
      <c r="A299" s="28">
        <v>298</v>
      </c>
      <c r="B299" s="119">
        <v>46261</v>
      </c>
      <c r="C299" s="11" t="s">
        <v>574</v>
      </c>
      <c r="D299" s="263" t="s">
        <v>29</v>
      </c>
      <c r="E299" s="11" t="s">
        <v>88</v>
      </c>
      <c r="F299" s="27" t="s">
        <v>628</v>
      </c>
      <c r="G299" s="11"/>
      <c r="H299" s="11"/>
      <c r="I299" s="11">
        <v>4</v>
      </c>
      <c r="J299" s="11">
        <v>5</v>
      </c>
      <c r="K299" s="11">
        <v>4</v>
      </c>
      <c r="L299" s="18">
        <f t="shared" si="9"/>
        <v>80</v>
      </c>
      <c r="M299" s="18" t="str">
        <f t="shared" si="8"/>
        <v>Alta</v>
      </c>
      <c r="N299" s="274" t="s">
        <v>578</v>
      </c>
      <c r="O299" s="119">
        <v>46292</v>
      </c>
      <c r="P299" s="11"/>
      <c r="Q299" s="11" t="s">
        <v>130</v>
      </c>
      <c r="R299" s="11"/>
      <c r="S299" s="11"/>
    </row>
    <row r="300" spans="1:19" ht="30.75">
      <c r="A300" s="28">
        <v>299</v>
      </c>
      <c r="B300" s="119">
        <v>46261</v>
      </c>
      <c r="C300" s="11" t="s">
        <v>574</v>
      </c>
      <c r="D300" s="262" t="s">
        <v>29</v>
      </c>
      <c r="E300" s="11" t="s">
        <v>88</v>
      </c>
      <c r="F300" s="27" t="s">
        <v>629</v>
      </c>
      <c r="G300" s="11"/>
      <c r="H300" s="11"/>
      <c r="I300" s="11">
        <v>4</v>
      </c>
      <c r="J300" s="11">
        <v>3</v>
      </c>
      <c r="K300" s="11">
        <v>4</v>
      </c>
      <c r="L300" s="21">
        <f t="shared" si="9"/>
        <v>48</v>
      </c>
      <c r="M300" s="21" t="str">
        <f t="shared" si="8"/>
        <v>Moderada</v>
      </c>
      <c r="N300" s="274" t="s">
        <v>578</v>
      </c>
      <c r="O300" s="119">
        <v>46292</v>
      </c>
      <c r="P300" s="11"/>
      <c r="Q300" s="11" t="s">
        <v>130</v>
      </c>
      <c r="R300" s="11"/>
      <c r="S300" s="11"/>
    </row>
    <row r="301" spans="1:19" ht="30.75">
      <c r="A301" s="28">
        <v>300</v>
      </c>
      <c r="B301" s="119">
        <v>46261</v>
      </c>
      <c r="C301" s="11" t="s">
        <v>574</v>
      </c>
      <c r="D301" s="263" t="s">
        <v>29</v>
      </c>
      <c r="E301" s="11" t="s">
        <v>88</v>
      </c>
      <c r="F301" s="27" t="s">
        <v>630</v>
      </c>
      <c r="G301" s="11"/>
      <c r="H301" s="11"/>
      <c r="I301" s="11">
        <v>5</v>
      </c>
      <c r="J301" s="11">
        <v>5</v>
      </c>
      <c r="K301" s="11">
        <v>5</v>
      </c>
      <c r="L301" s="18">
        <f t="shared" si="9"/>
        <v>125</v>
      </c>
      <c r="M301" s="18" t="str">
        <f t="shared" si="8"/>
        <v>Alta</v>
      </c>
      <c r="N301" s="274" t="s">
        <v>578</v>
      </c>
      <c r="O301" s="119">
        <v>46292</v>
      </c>
      <c r="P301" s="11"/>
      <c r="Q301" s="11" t="s">
        <v>130</v>
      </c>
      <c r="R301" s="11"/>
      <c r="S301" s="11"/>
    </row>
    <row r="302" spans="1:19" ht="30.75">
      <c r="A302" s="28">
        <v>301</v>
      </c>
      <c r="B302" s="119">
        <v>46266</v>
      </c>
      <c r="C302" s="11" t="s">
        <v>631</v>
      </c>
      <c r="D302" s="262" t="s">
        <v>29</v>
      </c>
      <c r="E302" s="11" t="s">
        <v>21</v>
      </c>
      <c r="F302" s="261" t="s">
        <v>632</v>
      </c>
      <c r="G302" s="11"/>
      <c r="H302" s="11"/>
      <c r="I302" s="11">
        <v>3</v>
      </c>
      <c r="J302" s="11">
        <v>3</v>
      </c>
      <c r="K302" s="11">
        <v>3</v>
      </c>
      <c r="L302" s="21">
        <f t="shared" si="9"/>
        <v>27</v>
      </c>
      <c r="M302" s="21" t="str">
        <f t="shared" si="8"/>
        <v>Baixa</v>
      </c>
      <c r="N302" s="11"/>
      <c r="O302" s="119"/>
      <c r="P302" s="11"/>
      <c r="Q302" s="11"/>
      <c r="R302" s="11"/>
      <c r="S302" s="11"/>
    </row>
    <row r="303" spans="1:19" ht="30.75">
      <c r="A303" s="28">
        <v>302</v>
      </c>
      <c r="B303" s="119">
        <v>46266</v>
      </c>
      <c r="C303" s="11" t="s">
        <v>631</v>
      </c>
      <c r="D303" s="263" t="s">
        <v>38</v>
      </c>
      <c r="E303" s="11" t="s">
        <v>21</v>
      </c>
      <c r="F303" s="261" t="s">
        <v>633</v>
      </c>
      <c r="G303" s="11"/>
      <c r="H303" s="11"/>
      <c r="I303" s="11">
        <v>3</v>
      </c>
      <c r="J303" s="11">
        <v>3</v>
      </c>
      <c r="K303" s="11">
        <v>3</v>
      </c>
      <c r="L303" s="18">
        <f t="shared" si="9"/>
        <v>27</v>
      </c>
      <c r="M303" s="18" t="str">
        <f t="shared" si="8"/>
        <v>Baixa</v>
      </c>
      <c r="N303" s="11"/>
      <c r="O303" s="119"/>
      <c r="P303" s="11"/>
      <c r="Q303" s="11"/>
      <c r="R303" s="11"/>
      <c r="S303" s="11"/>
    </row>
    <row r="304" spans="1:19" ht="46.5">
      <c r="A304" s="28">
        <v>303</v>
      </c>
      <c r="B304" s="119">
        <v>46266</v>
      </c>
      <c r="C304" s="11" t="s">
        <v>631</v>
      </c>
      <c r="D304" s="262" t="s">
        <v>29</v>
      </c>
      <c r="E304" s="11" t="s">
        <v>21</v>
      </c>
      <c r="F304" s="261" t="s">
        <v>634</v>
      </c>
      <c r="G304" s="11"/>
      <c r="H304" s="11"/>
      <c r="I304" s="11">
        <v>3</v>
      </c>
      <c r="J304" s="11">
        <v>4</v>
      </c>
      <c r="K304" s="11">
        <v>3</v>
      </c>
      <c r="L304" s="21">
        <f t="shared" si="9"/>
        <v>36</v>
      </c>
      <c r="M304" s="21" t="str">
        <f t="shared" si="8"/>
        <v>Moderada</v>
      </c>
      <c r="N304" s="11"/>
      <c r="O304" s="119"/>
      <c r="P304" s="11"/>
      <c r="Q304" s="11"/>
      <c r="R304" s="11"/>
      <c r="S304" s="11"/>
    </row>
    <row r="305" spans="1:19" ht="16.5">
      <c r="A305" s="28">
        <v>304</v>
      </c>
      <c r="B305" s="119">
        <v>46266</v>
      </c>
      <c r="C305" s="11" t="s">
        <v>631</v>
      </c>
      <c r="D305" s="263" t="s">
        <v>38</v>
      </c>
      <c r="E305" s="11" t="s">
        <v>21</v>
      </c>
      <c r="F305" s="261" t="s">
        <v>635</v>
      </c>
      <c r="G305" s="11"/>
      <c r="H305" s="11"/>
      <c r="I305" s="11">
        <v>3</v>
      </c>
      <c r="J305" s="11">
        <v>3</v>
      </c>
      <c r="K305" s="11">
        <v>3</v>
      </c>
      <c r="L305" s="18">
        <f t="shared" si="9"/>
        <v>27</v>
      </c>
      <c r="M305" s="18" t="str">
        <f t="shared" si="8"/>
        <v>Baixa</v>
      </c>
      <c r="N305" s="11"/>
      <c r="O305" s="119"/>
      <c r="P305" s="11"/>
      <c r="Q305" s="11"/>
      <c r="R305" s="11"/>
      <c r="S305" s="11"/>
    </row>
    <row r="306" spans="1:19" ht="30.75">
      <c r="A306" s="28">
        <v>305</v>
      </c>
      <c r="B306" s="119">
        <v>46266</v>
      </c>
      <c r="C306" s="11" t="s">
        <v>631</v>
      </c>
      <c r="D306" s="262" t="s">
        <v>38</v>
      </c>
      <c r="E306" s="11" t="s">
        <v>21</v>
      </c>
      <c r="F306" s="261" t="s">
        <v>636</v>
      </c>
      <c r="G306" s="11"/>
      <c r="H306" s="11"/>
      <c r="I306" s="11">
        <v>3</v>
      </c>
      <c r="J306" s="11">
        <v>3</v>
      </c>
      <c r="K306" s="11">
        <v>3</v>
      </c>
      <c r="L306" s="21">
        <f t="shared" si="9"/>
        <v>27</v>
      </c>
      <c r="M306" s="21" t="str">
        <f t="shared" si="8"/>
        <v>Baixa</v>
      </c>
      <c r="N306" s="11"/>
      <c r="O306" s="119"/>
      <c r="P306" s="11"/>
      <c r="Q306" s="11"/>
      <c r="R306" s="11"/>
      <c r="S306" s="11"/>
    </row>
    <row r="307" spans="1:19" ht="30.75">
      <c r="A307" s="28">
        <v>306</v>
      </c>
      <c r="B307" s="119">
        <v>46266</v>
      </c>
      <c r="C307" s="11" t="s">
        <v>631</v>
      </c>
      <c r="D307" s="263" t="s">
        <v>20</v>
      </c>
      <c r="E307" s="11" t="s">
        <v>21</v>
      </c>
      <c r="F307" s="261" t="s">
        <v>637</v>
      </c>
      <c r="G307" s="11"/>
      <c r="H307" s="11"/>
      <c r="I307" s="11">
        <v>3</v>
      </c>
      <c r="J307" s="11">
        <v>3</v>
      </c>
      <c r="K307" s="11">
        <v>3</v>
      </c>
      <c r="L307" s="18">
        <f t="shared" si="9"/>
        <v>27</v>
      </c>
      <c r="M307" s="18" t="str">
        <f t="shared" si="8"/>
        <v>Baixa</v>
      </c>
      <c r="N307" s="11"/>
      <c r="O307" s="119"/>
      <c r="P307" s="11"/>
      <c r="Q307" s="11"/>
      <c r="R307" s="11"/>
      <c r="S307" s="11"/>
    </row>
    <row r="308" spans="1:19" ht="30.75">
      <c r="A308" s="28">
        <v>307</v>
      </c>
      <c r="B308" s="119">
        <v>46266</v>
      </c>
      <c r="C308" s="11" t="s">
        <v>631</v>
      </c>
      <c r="D308" s="262" t="s">
        <v>29</v>
      </c>
      <c r="E308" s="11" t="s">
        <v>21</v>
      </c>
      <c r="F308" s="261" t="s">
        <v>638</v>
      </c>
      <c r="G308" s="11"/>
      <c r="H308" s="11"/>
      <c r="I308" s="11">
        <v>3</v>
      </c>
      <c r="J308" s="11">
        <v>3</v>
      </c>
      <c r="K308" s="11">
        <v>3</v>
      </c>
      <c r="L308" s="21">
        <f t="shared" si="9"/>
        <v>27</v>
      </c>
      <c r="M308" s="21" t="str">
        <f t="shared" si="8"/>
        <v>Baixa</v>
      </c>
      <c r="N308" s="11"/>
      <c r="O308" s="119"/>
      <c r="P308" s="11"/>
      <c r="Q308" s="11"/>
      <c r="R308" s="11"/>
      <c r="S308" s="11"/>
    </row>
    <row r="309" spans="1:19" ht="61.5">
      <c r="A309" s="28">
        <v>308</v>
      </c>
      <c r="B309" s="119">
        <v>46266</v>
      </c>
      <c r="C309" s="11" t="s">
        <v>631</v>
      </c>
      <c r="D309" s="263" t="s">
        <v>340</v>
      </c>
      <c r="E309" s="11" t="s">
        <v>216</v>
      </c>
      <c r="F309" s="261" t="s">
        <v>639</v>
      </c>
      <c r="G309" s="11"/>
      <c r="H309" s="11"/>
      <c r="I309" s="11">
        <v>3</v>
      </c>
      <c r="J309" s="11">
        <v>5</v>
      </c>
      <c r="K309" s="11">
        <v>3</v>
      </c>
      <c r="L309" s="18">
        <f t="shared" si="9"/>
        <v>45</v>
      </c>
      <c r="M309" s="18" t="str">
        <f t="shared" si="8"/>
        <v>Alta</v>
      </c>
      <c r="N309" s="11"/>
      <c r="O309" s="119"/>
      <c r="P309" s="11"/>
      <c r="Q309" s="11"/>
      <c r="R309" s="11"/>
      <c r="S309" s="11"/>
    </row>
    <row r="310" spans="1:19" ht="30.75">
      <c r="A310" s="28">
        <v>309</v>
      </c>
      <c r="B310" s="119">
        <v>46266</v>
      </c>
      <c r="C310" s="11" t="s">
        <v>631</v>
      </c>
      <c r="D310" s="262" t="s">
        <v>20</v>
      </c>
      <c r="E310" s="11" t="s">
        <v>21</v>
      </c>
      <c r="F310" s="261" t="s">
        <v>640</v>
      </c>
      <c r="G310" s="11"/>
      <c r="H310" s="11"/>
      <c r="I310" s="11">
        <v>3</v>
      </c>
      <c r="J310" s="11">
        <v>3</v>
      </c>
      <c r="K310" s="11">
        <v>3</v>
      </c>
      <c r="L310" s="21">
        <f t="shared" si="9"/>
        <v>27</v>
      </c>
      <c r="M310" s="21" t="str">
        <f t="shared" si="8"/>
        <v>Baixa</v>
      </c>
      <c r="N310" s="11"/>
      <c r="O310" s="119"/>
      <c r="P310" s="11"/>
      <c r="Q310" s="11"/>
      <c r="R310" s="11"/>
      <c r="S310" s="11"/>
    </row>
    <row r="311" spans="1:19" ht="30.75">
      <c r="A311" s="28">
        <v>310</v>
      </c>
      <c r="B311" s="119">
        <v>46266</v>
      </c>
      <c r="C311" s="11" t="s">
        <v>631</v>
      </c>
      <c r="D311" s="263" t="s">
        <v>29</v>
      </c>
      <c r="E311" s="11" t="s">
        <v>21</v>
      </c>
      <c r="F311" s="261" t="s">
        <v>641</v>
      </c>
      <c r="G311" s="11"/>
      <c r="H311" s="11"/>
      <c r="I311" s="11">
        <v>3</v>
      </c>
      <c r="J311" s="11">
        <v>3</v>
      </c>
      <c r="K311" s="11">
        <v>3</v>
      </c>
      <c r="L311" s="18">
        <f t="shared" si="9"/>
        <v>27</v>
      </c>
      <c r="M311" s="18" t="str">
        <f t="shared" si="8"/>
        <v>Baixa</v>
      </c>
      <c r="N311" s="11"/>
      <c r="O311" s="119"/>
      <c r="P311" s="11"/>
      <c r="Q311" s="11"/>
      <c r="R311" s="11"/>
      <c r="S311" s="11"/>
    </row>
    <row r="312" spans="1:19" ht="33.75">
      <c r="A312" s="28">
        <v>311</v>
      </c>
      <c r="B312" s="119">
        <v>46266</v>
      </c>
      <c r="C312" s="11" t="s">
        <v>631</v>
      </c>
      <c r="D312" s="262" t="s">
        <v>114</v>
      </c>
      <c r="E312" s="11" t="s">
        <v>47</v>
      </c>
      <c r="F312" s="261" t="s">
        <v>642</v>
      </c>
      <c r="G312" s="11"/>
      <c r="H312" s="11"/>
      <c r="I312" s="11">
        <v>3</v>
      </c>
      <c r="J312" s="11">
        <v>3</v>
      </c>
      <c r="K312" s="11">
        <v>3</v>
      </c>
      <c r="L312" s="21">
        <f t="shared" si="9"/>
        <v>27</v>
      </c>
      <c r="M312" s="21" t="str">
        <f t="shared" si="8"/>
        <v>Baixa</v>
      </c>
      <c r="N312" s="11"/>
      <c r="O312" s="119"/>
      <c r="P312" s="11"/>
      <c r="Q312" s="11"/>
      <c r="R312" s="11"/>
      <c r="S312" s="11"/>
    </row>
    <row r="313" spans="1:19" ht="46.5">
      <c r="A313" s="28">
        <v>312</v>
      </c>
      <c r="B313" s="119">
        <v>46266</v>
      </c>
      <c r="C313" s="11" t="s">
        <v>631</v>
      </c>
      <c r="D313" s="263" t="s">
        <v>29</v>
      </c>
      <c r="E313" s="11" t="s">
        <v>21</v>
      </c>
      <c r="F313" s="261" t="s">
        <v>643</v>
      </c>
      <c r="G313" s="11"/>
      <c r="H313" s="11"/>
      <c r="I313" s="11">
        <v>3</v>
      </c>
      <c r="J313" s="11">
        <v>3</v>
      </c>
      <c r="K313" s="11">
        <v>3</v>
      </c>
      <c r="L313" s="18">
        <f t="shared" si="9"/>
        <v>27</v>
      </c>
      <c r="M313" s="18" t="str">
        <f t="shared" si="8"/>
        <v>Baixa</v>
      </c>
      <c r="N313" s="11"/>
      <c r="O313" s="119"/>
      <c r="P313" s="11"/>
      <c r="Q313" s="11"/>
      <c r="R313" s="11"/>
      <c r="S313" s="11"/>
    </row>
    <row r="314" spans="1:19" ht="30.75">
      <c r="A314" s="28">
        <v>313</v>
      </c>
      <c r="B314" s="119">
        <v>46266</v>
      </c>
      <c r="C314" s="11" t="s">
        <v>631</v>
      </c>
      <c r="D314" s="262" t="s">
        <v>29</v>
      </c>
      <c r="E314" s="11" t="s">
        <v>97</v>
      </c>
      <c r="F314" s="261" t="s">
        <v>644</v>
      </c>
      <c r="G314" s="11"/>
      <c r="H314" s="11"/>
      <c r="I314" s="11">
        <v>3</v>
      </c>
      <c r="J314" s="11">
        <v>3</v>
      </c>
      <c r="K314" s="11">
        <v>3</v>
      </c>
      <c r="L314" s="21">
        <f t="shared" si="9"/>
        <v>27</v>
      </c>
      <c r="M314" s="21" t="str">
        <f t="shared" si="8"/>
        <v>Baixa</v>
      </c>
      <c r="N314" s="11"/>
      <c r="O314" s="119"/>
      <c r="P314" s="11"/>
      <c r="Q314" s="11"/>
      <c r="R314" s="11"/>
      <c r="S314" s="11"/>
    </row>
    <row r="315" spans="1:19" ht="46.5">
      <c r="A315" s="28">
        <v>314</v>
      </c>
      <c r="B315" s="119">
        <v>46266</v>
      </c>
      <c r="C315" s="11" t="s">
        <v>631</v>
      </c>
      <c r="D315" s="263" t="s">
        <v>29</v>
      </c>
      <c r="E315" s="11" t="s">
        <v>97</v>
      </c>
      <c r="F315" s="261" t="s">
        <v>645</v>
      </c>
      <c r="G315" s="11"/>
      <c r="H315" s="11"/>
      <c r="I315" s="11">
        <v>3</v>
      </c>
      <c r="J315" s="11">
        <v>3</v>
      </c>
      <c r="K315" s="11">
        <v>3</v>
      </c>
      <c r="L315" s="18">
        <f t="shared" si="9"/>
        <v>27</v>
      </c>
      <c r="M315" s="18" t="str">
        <f t="shared" si="8"/>
        <v>Baixa</v>
      </c>
      <c r="N315" s="11"/>
      <c r="O315" s="119"/>
      <c r="P315" s="11"/>
      <c r="Q315" s="11"/>
      <c r="R315" s="11"/>
      <c r="S315" s="11"/>
    </row>
    <row r="316" spans="1:19" ht="16.5">
      <c r="A316" s="28">
        <v>315</v>
      </c>
      <c r="B316" s="119">
        <v>46266</v>
      </c>
      <c r="C316" s="11" t="s">
        <v>631</v>
      </c>
      <c r="D316" s="262" t="s">
        <v>38</v>
      </c>
      <c r="E316" s="11" t="s">
        <v>52</v>
      </c>
      <c r="F316" s="261" t="s">
        <v>646</v>
      </c>
      <c r="G316" s="11"/>
      <c r="H316" s="11"/>
      <c r="I316" s="11">
        <v>3</v>
      </c>
      <c r="J316" s="11">
        <v>3</v>
      </c>
      <c r="K316" s="11">
        <v>3</v>
      </c>
      <c r="L316" s="21">
        <f t="shared" si="9"/>
        <v>27</v>
      </c>
      <c r="M316" s="21" t="str">
        <f t="shared" si="8"/>
        <v>Baixa</v>
      </c>
      <c r="N316" s="11"/>
      <c r="O316" s="119"/>
      <c r="P316" s="11"/>
      <c r="Q316" s="11"/>
      <c r="R316" s="11"/>
      <c r="S316" s="11"/>
    </row>
    <row r="317" spans="1:19" ht="46.5">
      <c r="A317" s="28">
        <v>316</v>
      </c>
      <c r="B317" s="119">
        <v>46266</v>
      </c>
      <c r="C317" s="11" t="s">
        <v>631</v>
      </c>
      <c r="D317" s="263" t="s">
        <v>38</v>
      </c>
      <c r="E317" s="11" t="s">
        <v>21</v>
      </c>
      <c r="F317" s="261" t="s">
        <v>647</v>
      </c>
      <c r="G317" s="11"/>
      <c r="H317" s="11"/>
      <c r="I317" s="11">
        <v>3</v>
      </c>
      <c r="J317" s="11">
        <v>4</v>
      </c>
      <c r="K317" s="11">
        <v>3</v>
      </c>
      <c r="L317" s="18">
        <f t="shared" si="9"/>
        <v>36</v>
      </c>
      <c r="M317" s="18" t="str">
        <f t="shared" si="8"/>
        <v>Moderada</v>
      </c>
      <c r="N317" s="11"/>
      <c r="O317" s="119"/>
      <c r="P317" s="11"/>
      <c r="Q317" s="11"/>
      <c r="R317" s="11"/>
      <c r="S317" s="11"/>
    </row>
    <row r="318" spans="1:19" ht="30.75">
      <c r="A318" s="28">
        <v>317</v>
      </c>
      <c r="B318" s="119">
        <v>46266</v>
      </c>
      <c r="C318" s="11" t="s">
        <v>631</v>
      </c>
      <c r="D318" s="262" t="s">
        <v>29</v>
      </c>
      <c r="E318" s="11" t="s">
        <v>97</v>
      </c>
      <c r="F318" s="261" t="s">
        <v>648</v>
      </c>
      <c r="G318" s="11"/>
      <c r="H318" s="11"/>
      <c r="I318" s="11">
        <v>3</v>
      </c>
      <c r="J318" s="11">
        <v>3</v>
      </c>
      <c r="K318" s="11">
        <v>3</v>
      </c>
      <c r="L318" s="21">
        <f t="shared" si="9"/>
        <v>27</v>
      </c>
      <c r="M318" s="21" t="str">
        <f t="shared" si="8"/>
        <v>Baixa</v>
      </c>
      <c r="N318" s="11"/>
      <c r="O318" s="119"/>
      <c r="P318" s="11"/>
      <c r="Q318" s="11"/>
      <c r="R318" s="11"/>
      <c r="S318" s="11"/>
    </row>
    <row r="319" spans="1:19" ht="16.5">
      <c r="A319" s="28">
        <v>318</v>
      </c>
      <c r="B319" s="119">
        <v>46266</v>
      </c>
      <c r="C319" s="11" t="s">
        <v>631</v>
      </c>
      <c r="D319" s="263" t="s">
        <v>29</v>
      </c>
      <c r="E319" s="11" t="s">
        <v>88</v>
      </c>
      <c r="F319" s="261" t="s">
        <v>649</v>
      </c>
      <c r="G319" s="11"/>
      <c r="H319" s="11"/>
      <c r="I319" s="11">
        <v>3</v>
      </c>
      <c r="J319" s="11">
        <v>3</v>
      </c>
      <c r="K319" s="11">
        <v>3</v>
      </c>
      <c r="L319" s="18">
        <f t="shared" si="9"/>
        <v>27</v>
      </c>
      <c r="M319" s="18" t="str">
        <f t="shared" si="8"/>
        <v>Baixa</v>
      </c>
      <c r="N319" s="11"/>
      <c r="O319" s="119"/>
      <c r="P319" s="11"/>
      <c r="Q319" s="11"/>
      <c r="R319" s="11"/>
      <c r="S319" s="11"/>
    </row>
    <row r="320" spans="1:19" ht="16.5">
      <c r="A320" s="28">
        <v>319</v>
      </c>
      <c r="B320" s="119">
        <v>46266</v>
      </c>
      <c r="C320" s="11" t="s">
        <v>631</v>
      </c>
      <c r="D320" s="262" t="s">
        <v>29</v>
      </c>
      <c r="E320" s="11" t="s">
        <v>21</v>
      </c>
      <c r="F320" s="261" t="s">
        <v>650</v>
      </c>
      <c r="G320" s="11"/>
      <c r="H320" s="11"/>
      <c r="I320" s="11">
        <v>3</v>
      </c>
      <c r="J320" s="11">
        <v>3</v>
      </c>
      <c r="K320" s="11">
        <v>3</v>
      </c>
      <c r="L320" s="21">
        <f t="shared" si="9"/>
        <v>27</v>
      </c>
      <c r="M320" s="21" t="str">
        <f t="shared" si="8"/>
        <v>Baixa</v>
      </c>
      <c r="N320" s="11"/>
      <c r="O320" s="119"/>
      <c r="P320" s="11"/>
      <c r="Q320" s="11"/>
      <c r="R320" s="11"/>
      <c r="S320" s="11"/>
    </row>
    <row r="321" spans="1:19" ht="33.75">
      <c r="A321" s="28">
        <v>320</v>
      </c>
      <c r="B321" s="119">
        <v>46266</v>
      </c>
      <c r="C321" s="11" t="s">
        <v>631</v>
      </c>
      <c r="D321" s="263" t="s">
        <v>114</v>
      </c>
      <c r="E321" s="11" t="s">
        <v>97</v>
      </c>
      <c r="F321" s="261" t="s">
        <v>651</v>
      </c>
      <c r="G321" s="11"/>
      <c r="H321" s="11"/>
      <c r="I321" s="11">
        <v>3</v>
      </c>
      <c r="J321" s="11">
        <v>3</v>
      </c>
      <c r="K321" s="11">
        <v>3</v>
      </c>
      <c r="L321" s="18">
        <f t="shared" si="9"/>
        <v>27</v>
      </c>
      <c r="M321" s="18" t="str">
        <f t="shared" ref="M321:M384" si="10">IF(OR(H321="Sim",Y321="Ameaça imediata"),"Imediata",IF(L321="","Pendente de avaliação",IF(J321=5,"Alta",IF(L321&gt;=65,"Alta",IF(L321&gt;=28,"Moderada","Baixa")))))</f>
        <v>Baixa</v>
      </c>
      <c r="N321" s="11"/>
      <c r="O321" s="119"/>
      <c r="P321" s="11"/>
      <c r="Q321" s="11"/>
      <c r="R321" s="11"/>
      <c r="S321" s="11"/>
    </row>
    <row r="322" spans="1:19" ht="16.5">
      <c r="A322" s="28">
        <v>321</v>
      </c>
      <c r="B322" s="119">
        <v>46266</v>
      </c>
      <c r="C322" s="11" t="s">
        <v>631</v>
      </c>
      <c r="D322" s="262" t="s">
        <v>29</v>
      </c>
      <c r="E322" s="11" t="s">
        <v>21</v>
      </c>
      <c r="F322" s="261" t="s">
        <v>652</v>
      </c>
      <c r="G322" s="11"/>
      <c r="H322" s="11"/>
      <c r="I322" s="11">
        <v>3</v>
      </c>
      <c r="J322" s="11">
        <v>3</v>
      </c>
      <c r="K322" s="11">
        <v>3</v>
      </c>
      <c r="L322" s="21">
        <f t="shared" ref="L322:L385" si="11">IF(COUNT(I322:K322)=3,I322*J322*K322,"")</f>
        <v>27</v>
      </c>
      <c r="M322" s="21" t="str">
        <f t="shared" si="10"/>
        <v>Baixa</v>
      </c>
      <c r="N322" s="11"/>
      <c r="O322" s="119"/>
      <c r="P322" s="11"/>
      <c r="Q322" s="11"/>
      <c r="R322" s="11"/>
      <c r="S322" s="11"/>
    </row>
    <row r="323" spans="1:19" ht="30.75">
      <c r="A323" s="28">
        <v>322</v>
      </c>
      <c r="B323" s="119">
        <v>46266</v>
      </c>
      <c r="C323" s="11" t="s">
        <v>631</v>
      </c>
      <c r="D323" s="263" t="s">
        <v>29</v>
      </c>
      <c r="E323" s="11" t="s">
        <v>21</v>
      </c>
      <c r="F323" s="261" t="s">
        <v>653</v>
      </c>
      <c r="G323" s="11"/>
      <c r="H323" s="11"/>
      <c r="I323" s="11">
        <v>3</v>
      </c>
      <c r="J323" s="11">
        <v>3</v>
      </c>
      <c r="K323" s="11">
        <v>3</v>
      </c>
      <c r="L323" s="18">
        <f t="shared" si="11"/>
        <v>27</v>
      </c>
      <c r="M323" s="18" t="str">
        <f t="shared" si="10"/>
        <v>Baixa</v>
      </c>
      <c r="N323" s="11"/>
      <c r="O323" s="119"/>
      <c r="P323" s="11"/>
      <c r="Q323" s="11"/>
      <c r="R323" s="11"/>
      <c r="S323" s="11"/>
    </row>
    <row r="324" spans="1:19" ht="33.75">
      <c r="A324" s="28">
        <v>323</v>
      </c>
      <c r="B324" s="119">
        <v>46266</v>
      </c>
      <c r="C324" s="11" t="s">
        <v>631</v>
      </c>
      <c r="D324" s="262" t="s">
        <v>114</v>
      </c>
      <c r="E324" s="11" t="s">
        <v>88</v>
      </c>
      <c r="F324" s="261" t="s">
        <v>654</v>
      </c>
      <c r="G324" s="11"/>
      <c r="H324" s="11"/>
      <c r="I324" s="11">
        <v>4</v>
      </c>
      <c r="J324" s="11">
        <v>5</v>
      </c>
      <c r="K324" s="11">
        <v>4</v>
      </c>
      <c r="L324" s="21">
        <f t="shared" si="11"/>
        <v>80</v>
      </c>
      <c r="M324" s="21" t="str">
        <f t="shared" si="10"/>
        <v>Alta</v>
      </c>
      <c r="N324" s="11"/>
      <c r="O324" s="119"/>
      <c r="P324" s="11"/>
      <c r="Q324" s="11"/>
      <c r="R324" s="11"/>
      <c r="S324" s="11"/>
    </row>
    <row r="325" spans="1:19" ht="33.75">
      <c r="A325" s="28">
        <v>324</v>
      </c>
      <c r="B325" s="119">
        <v>46266</v>
      </c>
      <c r="C325" s="11" t="s">
        <v>631</v>
      </c>
      <c r="D325" s="263" t="s">
        <v>114</v>
      </c>
      <c r="E325" s="11" t="s">
        <v>97</v>
      </c>
      <c r="F325" s="261" t="s">
        <v>655</v>
      </c>
      <c r="G325" s="11"/>
      <c r="H325" s="11"/>
      <c r="I325" s="11">
        <v>3</v>
      </c>
      <c r="J325" s="11">
        <v>3</v>
      </c>
      <c r="K325" s="11">
        <v>3</v>
      </c>
      <c r="L325" s="18">
        <f t="shared" si="11"/>
        <v>27</v>
      </c>
      <c r="M325" s="18" t="str">
        <f t="shared" si="10"/>
        <v>Baixa</v>
      </c>
      <c r="N325" s="11"/>
      <c r="O325" s="119"/>
      <c r="P325" s="11"/>
      <c r="Q325" s="11"/>
      <c r="R325" s="11"/>
      <c r="S325" s="11"/>
    </row>
    <row r="326" spans="1:19" ht="16.5">
      <c r="A326" s="28">
        <v>325</v>
      </c>
      <c r="B326" s="119">
        <v>46266</v>
      </c>
      <c r="C326" s="11" t="s">
        <v>631</v>
      </c>
      <c r="D326" s="262" t="s">
        <v>38</v>
      </c>
      <c r="E326" s="11" t="s">
        <v>21</v>
      </c>
      <c r="F326" s="261" t="s">
        <v>656</v>
      </c>
      <c r="G326" s="11"/>
      <c r="H326" s="11"/>
      <c r="I326" s="11">
        <v>3</v>
      </c>
      <c r="J326" s="11">
        <v>3</v>
      </c>
      <c r="K326" s="11">
        <v>3</v>
      </c>
      <c r="L326" s="21">
        <f t="shared" si="11"/>
        <v>27</v>
      </c>
      <c r="M326" s="21" t="str">
        <f t="shared" si="10"/>
        <v>Baixa</v>
      </c>
      <c r="N326" s="11"/>
      <c r="O326" s="119"/>
      <c r="P326" s="11"/>
      <c r="Q326" s="11"/>
      <c r="R326" s="11"/>
      <c r="S326" s="11"/>
    </row>
    <row r="327" spans="1:19" ht="46.5">
      <c r="A327" s="28">
        <v>326</v>
      </c>
      <c r="B327" s="119">
        <v>46266</v>
      </c>
      <c r="C327" s="11" t="s">
        <v>631</v>
      </c>
      <c r="D327" s="263" t="s">
        <v>114</v>
      </c>
      <c r="E327" s="11" t="s">
        <v>97</v>
      </c>
      <c r="F327" s="261" t="s">
        <v>657</v>
      </c>
      <c r="G327" s="11"/>
      <c r="H327" s="11"/>
      <c r="I327" s="11">
        <v>3</v>
      </c>
      <c r="J327" s="11">
        <v>3</v>
      </c>
      <c r="K327" s="11">
        <v>3</v>
      </c>
      <c r="L327" s="18">
        <f t="shared" si="11"/>
        <v>27</v>
      </c>
      <c r="M327" s="18" t="str">
        <f t="shared" si="10"/>
        <v>Baixa</v>
      </c>
      <c r="N327" s="11"/>
      <c r="O327" s="119"/>
      <c r="P327" s="11"/>
      <c r="Q327" s="11"/>
      <c r="R327" s="11"/>
      <c r="S327" s="11"/>
    </row>
    <row r="328" spans="1:19" ht="30.75">
      <c r="A328" s="28">
        <v>327</v>
      </c>
      <c r="B328" s="119">
        <v>46266</v>
      </c>
      <c r="C328" s="11" t="s">
        <v>631</v>
      </c>
      <c r="D328" s="262" t="s">
        <v>29</v>
      </c>
      <c r="E328" s="11" t="s">
        <v>21</v>
      </c>
      <c r="F328" s="261" t="s">
        <v>658</v>
      </c>
      <c r="G328" s="11"/>
      <c r="H328" s="11"/>
      <c r="I328" s="11">
        <v>3</v>
      </c>
      <c r="J328" s="11">
        <v>5</v>
      </c>
      <c r="K328" s="11">
        <v>3</v>
      </c>
      <c r="L328" s="21">
        <f t="shared" si="11"/>
        <v>45</v>
      </c>
      <c r="M328" s="21" t="str">
        <f t="shared" si="10"/>
        <v>Alta</v>
      </c>
      <c r="N328" s="11"/>
      <c r="O328" s="119"/>
      <c r="P328" s="11"/>
      <c r="Q328" s="11"/>
      <c r="R328" s="11"/>
      <c r="S328" s="11"/>
    </row>
    <row r="329" spans="1:19" ht="33.75">
      <c r="A329" s="28">
        <v>328</v>
      </c>
      <c r="B329" s="119">
        <v>46266</v>
      </c>
      <c r="C329" s="11" t="s">
        <v>631</v>
      </c>
      <c r="D329" s="263" t="s">
        <v>114</v>
      </c>
      <c r="E329" s="11" t="s">
        <v>97</v>
      </c>
      <c r="F329" s="261" t="s">
        <v>659</v>
      </c>
      <c r="G329" s="11"/>
      <c r="H329" s="11"/>
      <c r="I329" s="11">
        <v>3</v>
      </c>
      <c r="J329" s="11">
        <v>4</v>
      </c>
      <c r="K329" s="11">
        <v>3</v>
      </c>
      <c r="L329" s="18">
        <f t="shared" si="11"/>
        <v>36</v>
      </c>
      <c r="M329" s="18" t="str">
        <f t="shared" si="10"/>
        <v>Moderada</v>
      </c>
      <c r="N329" s="11"/>
      <c r="O329" s="119"/>
      <c r="P329" s="11"/>
      <c r="Q329" s="11"/>
      <c r="R329" s="11"/>
      <c r="S329" s="11"/>
    </row>
    <row r="330" spans="1:19" ht="30.75">
      <c r="A330" s="28">
        <v>329</v>
      </c>
      <c r="B330" s="119">
        <v>46266</v>
      </c>
      <c r="C330" s="11" t="s">
        <v>631</v>
      </c>
      <c r="D330" s="262" t="s">
        <v>38</v>
      </c>
      <c r="E330" s="11" t="s">
        <v>21</v>
      </c>
      <c r="F330" s="261" t="s">
        <v>660</v>
      </c>
      <c r="G330" s="11"/>
      <c r="H330" s="11"/>
      <c r="I330" s="11">
        <v>3</v>
      </c>
      <c r="J330" s="11">
        <v>4</v>
      </c>
      <c r="K330" s="11">
        <v>3</v>
      </c>
      <c r="L330" s="21">
        <f t="shared" si="11"/>
        <v>36</v>
      </c>
      <c r="M330" s="21" t="str">
        <f t="shared" si="10"/>
        <v>Moderada</v>
      </c>
      <c r="N330" s="11"/>
      <c r="O330" s="119"/>
      <c r="P330" s="11"/>
      <c r="Q330" s="11"/>
      <c r="R330" s="11"/>
      <c r="S330" s="11"/>
    </row>
    <row r="331" spans="1:19" ht="46.5">
      <c r="A331" s="28">
        <v>330</v>
      </c>
      <c r="B331" s="119">
        <v>46266</v>
      </c>
      <c r="C331" s="11" t="s">
        <v>631</v>
      </c>
      <c r="D331" s="263" t="s">
        <v>38</v>
      </c>
      <c r="E331" s="11" t="s">
        <v>21</v>
      </c>
      <c r="F331" s="261" t="s">
        <v>661</v>
      </c>
      <c r="G331" s="11"/>
      <c r="H331" s="11"/>
      <c r="I331" s="11">
        <v>3</v>
      </c>
      <c r="J331" s="11">
        <v>3</v>
      </c>
      <c r="K331" s="11">
        <v>3</v>
      </c>
      <c r="L331" s="18">
        <f t="shared" si="11"/>
        <v>27</v>
      </c>
      <c r="M331" s="18" t="str">
        <f t="shared" si="10"/>
        <v>Baixa</v>
      </c>
      <c r="N331" s="11"/>
      <c r="O331" s="119"/>
      <c r="P331" s="11"/>
      <c r="Q331" s="11"/>
      <c r="R331" s="11"/>
      <c r="S331" s="11"/>
    </row>
    <row r="332" spans="1:19" ht="30.75">
      <c r="A332" s="28">
        <v>331</v>
      </c>
      <c r="B332" s="119">
        <v>46266</v>
      </c>
      <c r="C332" s="11" t="s">
        <v>631</v>
      </c>
      <c r="D332" s="262" t="s">
        <v>29</v>
      </c>
      <c r="E332" s="11" t="s">
        <v>88</v>
      </c>
      <c r="F332" s="261" t="s">
        <v>662</v>
      </c>
      <c r="G332" s="11"/>
      <c r="H332" s="11"/>
      <c r="I332" s="11">
        <v>3</v>
      </c>
      <c r="J332" s="11">
        <v>4</v>
      </c>
      <c r="K332" s="11">
        <v>3</v>
      </c>
      <c r="L332" s="21">
        <f t="shared" si="11"/>
        <v>36</v>
      </c>
      <c r="M332" s="21" t="str">
        <f t="shared" si="10"/>
        <v>Moderada</v>
      </c>
      <c r="N332" s="11"/>
      <c r="O332" s="119"/>
      <c r="P332" s="11"/>
      <c r="Q332" s="11"/>
      <c r="R332" s="11"/>
      <c r="S332" s="11"/>
    </row>
    <row r="333" spans="1:19" ht="46.5">
      <c r="A333" s="28">
        <v>332</v>
      </c>
      <c r="B333" s="119">
        <v>46273</v>
      </c>
      <c r="C333" s="11" t="s">
        <v>663</v>
      </c>
      <c r="D333" s="23" t="s">
        <v>29</v>
      </c>
      <c r="E333" s="23" t="s">
        <v>344</v>
      </c>
      <c r="F333" s="340" t="s">
        <v>664</v>
      </c>
      <c r="G333" s="23" t="s">
        <v>665</v>
      </c>
      <c r="H333" s="23" t="s">
        <v>23</v>
      </c>
      <c r="I333" s="23">
        <v>3</v>
      </c>
      <c r="J333" s="23">
        <v>4</v>
      </c>
      <c r="K333" s="23">
        <v>3</v>
      </c>
      <c r="L333" s="18">
        <f t="shared" si="11"/>
        <v>36</v>
      </c>
      <c r="M333" s="18" t="str">
        <f t="shared" si="10"/>
        <v>Moderada</v>
      </c>
      <c r="N333" s="11"/>
      <c r="O333" s="119"/>
      <c r="P333" s="11"/>
      <c r="Q333" s="11"/>
      <c r="R333" s="11"/>
      <c r="S333" s="11"/>
    </row>
    <row r="334" spans="1:19" ht="30.75">
      <c r="A334" s="28">
        <v>333</v>
      </c>
      <c r="B334" s="119">
        <v>46273</v>
      </c>
      <c r="C334" s="11" t="s">
        <v>663</v>
      </c>
      <c r="D334" s="24" t="s">
        <v>29</v>
      </c>
      <c r="E334" s="24" t="s">
        <v>97</v>
      </c>
      <c r="F334" s="341" t="s">
        <v>666</v>
      </c>
      <c r="G334" s="24" t="s">
        <v>667</v>
      </c>
      <c r="H334" s="24" t="s">
        <v>23</v>
      </c>
      <c r="I334" s="24">
        <v>3</v>
      </c>
      <c r="J334" s="24">
        <v>3</v>
      </c>
      <c r="K334" s="24">
        <v>3</v>
      </c>
      <c r="L334" s="21">
        <f t="shared" si="11"/>
        <v>27</v>
      </c>
      <c r="M334" s="21" t="str">
        <f t="shared" si="10"/>
        <v>Baixa</v>
      </c>
      <c r="N334" s="11"/>
      <c r="O334" s="119"/>
      <c r="P334" s="11"/>
      <c r="Q334" s="11"/>
      <c r="R334" s="11"/>
      <c r="S334" s="11"/>
    </row>
    <row r="335" spans="1:19" ht="46.5">
      <c r="A335" s="28">
        <v>334</v>
      </c>
      <c r="B335" s="119">
        <v>46273</v>
      </c>
      <c r="C335" s="11" t="s">
        <v>663</v>
      </c>
      <c r="D335" s="23" t="s">
        <v>29</v>
      </c>
      <c r="E335" s="23" t="s">
        <v>97</v>
      </c>
      <c r="F335" s="340" t="s">
        <v>668</v>
      </c>
      <c r="G335" s="23" t="s">
        <v>669</v>
      </c>
      <c r="H335" s="23" t="s">
        <v>23</v>
      </c>
      <c r="I335" s="23">
        <v>2</v>
      </c>
      <c r="J335" s="23">
        <v>2</v>
      </c>
      <c r="K335" s="23">
        <v>2</v>
      </c>
      <c r="L335" s="18">
        <f t="shared" si="11"/>
        <v>8</v>
      </c>
      <c r="M335" s="18" t="str">
        <f t="shared" si="10"/>
        <v>Baixa</v>
      </c>
      <c r="N335" s="11"/>
      <c r="O335" s="119"/>
      <c r="P335" s="11"/>
      <c r="Q335" s="11"/>
      <c r="R335" s="11"/>
      <c r="S335" s="11"/>
    </row>
    <row r="336" spans="1:19" ht="30.75">
      <c r="A336" s="28">
        <v>335</v>
      </c>
      <c r="B336" s="119">
        <v>46273</v>
      </c>
      <c r="C336" s="11" t="s">
        <v>663</v>
      </c>
      <c r="D336" s="24" t="s">
        <v>29</v>
      </c>
      <c r="E336" s="24" t="s">
        <v>21</v>
      </c>
      <c r="F336" s="341" t="s">
        <v>670</v>
      </c>
      <c r="G336" s="24" t="s">
        <v>671</v>
      </c>
      <c r="H336" s="24" t="s">
        <v>23</v>
      </c>
      <c r="I336" s="24">
        <v>3</v>
      </c>
      <c r="J336" s="24">
        <v>3</v>
      </c>
      <c r="K336" s="24">
        <v>3</v>
      </c>
      <c r="L336" s="21">
        <f t="shared" si="11"/>
        <v>27</v>
      </c>
      <c r="M336" s="21" t="str">
        <f t="shared" si="10"/>
        <v>Baixa</v>
      </c>
      <c r="N336" s="11"/>
      <c r="O336" s="119"/>
      <c r="P336" s="11"/>
      <c r="Q336" s="11"/>
      <c r="R336" s="11"/>
      <c r="S336" s="11"/>
    </row>
    <row r="337" spans="1:19" ht="33.75">
      <c r="A337" s="28">
        <v>336</v>
      </c>
      <c r="B337" s="119">
        <v>46273</v>
      </c>
      <c r="C337" s="11" t="s">
        <v>663</v>
      </c>
      <c r="D337" s="23" t="s">
        <v>340</v>
      </c>
      <c r="E337" s="23" t="s">
        <v>216</v>
      </c>
      <c r="F337" s="340" t="s">
        <v>672</v>
      </c>
      <c r="G337" s="23" t="s">
        <v>673</v>
      </c>
      <c r="H337" s="23" t="s">
        <v>117</v>
      </c>
      <c r="I337" s="23">
        <v>3</v>
      </c>
      <c r="J337" s="23">
        <v>5</v>
      </c>
      <c r="K337" s="23">
        <v>3</v>
      </c>
      <c r="L337" s="18">
        <f t="shared" si="11"/>
        <v>45</v>
      </c>
      <c r="M337" s="18" t="str">
        <f t="shared" si="10"/>
        <v>Imediata</v>
      </c>
      <c r="N337" s="11"/>
      <c r="O337" s="119"/>
      <c r="P337" s="11"/>
      <c r="Q337" s="11"/>
      <c r="R337" s="11"/>
      <c r="S337" s="11"/>
    </row>
    <row r="338" spans="1:19" ht="33.75">
      <c r="A338" s="28">
        <v>337</v>
      </c>
      <c r="B338" s="119">
        <v>46273</v>
      </c>
      <c r="C338" s="11" t="s">
        <v>663</v>
      </c>
      <c r="D338" s="24" t="s">
        <v>38</v>
      </c>
      <c r="E338" s="24" t="s">
        <v>21</v>
      </c>
      <c r="F338" s="341" t="s">
        <v>674</v>
      </c>
      <c r="G338" s="24" t="s">
        <v>675</v>
      </c>
      <c r="H338" s="24" t="s">
        <v>23</v>
      </c>
      <c r="I338" s="24">
        <v>3</v>
      </c>
      <c r="J338" s="24">
        <v>3</v>
      </c>
      <c r="K338" s="24">
        <v>3</v>
      </c>
      <c r="L338" s="21">
        <f t="shared" si="11"/>
        <v>27</v>
      </c>
      <c r="M338" s="21" t="str">
        <f t="shared" si="10"/>
        <v>Baixa</v>
      </c>
      <c r="N338" s="11"/>
      <c r="O338" s="119"/>
      <c r="P338" s="11"/>
      <c r="Q338" s="11"/>
      <c r="R338" s="11"/>
      <c r="S338" s="11"/>
    </row>
    <row r="339" spans="1:19" ht="30.75">
      <c r="A339" s="28">
        <v>338</v>
      </c>
      <c r="B339" s="119">
        <v>46273</v>
      </c>
      <c r="C339" s="11" t="s">
        <v>663</v>
      </c>
      <c r="D339" s="23" t="s">
        <v>38</v>
      </c>
      <c r="E339" s="23" t="s">
        <v>21</v>
      </c>
      <c r="F339" s="340" t="s">
        <v>676</v>
      </c>
      <c r="G339" s="23" t="s">
        <v>677</v>
      </c>
      <c r="H339" s="23" t="s">
        <v>23</v>
      </c>
      <c r="I339" s="23">
        <v>3</v>
      </c>
      <c r="J339" s="23">
        <v>3</v>
      </c>
      <c r="K339" s="23">
        <v>3</v>
      </c>
      <c r="L339" s="18">
        <f t="shared" si="11"/>
        <v>27</v>
      </c>
      <c r="M339" s="18" t="str">
        <f t="shared" si="10"/>
        <v>Baixa</v>
      </c>
      <c r="N339" s="11"/>
      <c r="O339" s="119"/>
      <c r="P339" s="11"/>
      <c r="Q339" s="11"/>
      <c r="R339" s="11"/>
      <c r="S339" s="11"/>
    </row>
    <row r="340" spans="1:19" ht="30.75">
      <c r="A340" s="28">
        <v>339</v>
      </c>
      <c r="B340" s="119">
        <v>46273</v>
      </c>
      <c r="C340" s="11" t="s">
        <v>663</v>
      </c>
      <c r="D340" s="24" t="s">
        <v>29</v>
      </c>
      <c r="E340" s="24" t="s">
        <v>30</v>
      </c>
      <c r="F340" s="341" t="s">
        <v>678</v>
      </c>
      <c r="G340" s="24" t="s">
        <v>679</v>
      </c>
      <c r="H340" s="24" t="s">
        <v>23</v>
      </c>
      <c r="I340" s="24">
        <v>3</v>
      </c>
      <c r="J340" s="24">
        <v>3</v>
      </c>
      <c r="K340" s="24">
        <v>3</v>
      </c>
      <c r="L340" s="21">
        <f t="shared" si="11"/>
        <v>27</v>
      </c>
      <c r="M340" s="21" t="str">
        <f t="shared" si="10"/>
        <v>Baixa</v>
      </c>
      <c r="N340" s="11"/>
      <c r="O340" s="119"/>
      <c r="P340" s="11"/>
      <c r="Q340" s="11"/>
      <c r="R340" s="11"/>
      <c r="S340" s="11"/>
    </row>
    <row r="341" spans="1:19" ht="30.75">
      <c r="A341" s="28">
        <v>340</v>
      </c>
      <c r="B341" s="119">
        <v>46273</v>
      </c>
      <c r="C341" s="11" t="s">
        <v>663</v>
      </c>
      <c r="D341" s="23" t="s">
        <v>29</v>
      </c>
      <c r="E341" s="23" t="s">
        <v>21</v>
      </c>
      <c r="F341" s="340" t="s">
        <v>680</v>
      </c>
      <c r="G341" s="23" t="s">
        <v>681</v>
      </c>
      <c r="H341" s="23" t="s">
        <v>23</v>
      </c>
      <c r="I341" s="23">
        <v>3</v>
      </c>
      <c r="J341" s="23">
        <v>4</v>
      </c>
      <c r="K341" s="23">
        <v>3</v>
      </c>
      <c r="L341" s="18">
        <f t="shared" si="11"/>
        <v>36</v>
      </c>
      <c r="M341" s="18" t="str">
        <f t="shared" si="10"/>
        <v>Moderada</v>
      </c>
      <c r="N341" s="11"/>
      <c r="O341" s="119"/>
      <c r="P341" s="11"/>
      <c r="Q341" s="11"/>
      <c r="R341" s="11"/>
      <c r="S341" s="11"/>
    </row>
    <row r="342" spans="1:19" ht="30.75">
      <c r="A342" s="28">
        <v>341</v>
      </c>
      <c r="B342" s="119">
        <v>46273</v>
      </c>
      <c r="C342" s="11" t="s">
        <v>663</v>
      </c>
      <c r="D342" s="24" t="s">
        <v>29</v>
      </c>
      <c r="E342" s="24" t="s">
        <v>92</v>
      </c>
      <c r="F342" s="341" t="s">
        <v>682</v>
      </c>
      <c r="G342" s="24" t="s">
        <v>683</v>
      </c>
      <c r="H342" s="24" t="s">
        <v>23</v>
      </c>
      <c r="I342" s="24">
        <v>3</v>
      </c>
      <c r="J342" s="24">
        <v>3</v>
      </c>
      <c r="K342" s="24">
        <v>3</v>
      </c>
      <c r="L342" s="21">
        <f t="shared" si="11"/>
        <v>27</v>
      </c>
      <c r="M342" s="21" t="str">
        <f t="shared" si="10"/>
        <v>Baixa</v>
      </c>
      <c r="N342" s="11"/>
      <c r="O342" s="119"/>
      <c r="P342" s="11"/>
      <c r="Q342" s="11"/>
      <c r="R342" s="11"/>
      <c r="S342" s="11"/>
    </row>
    <row r="343" spans="1:19" ht="33.75">
      <c r="A343" s="28">
        <v>342</v>
      </c>
      <c r="B343" s="119">
        <v>46273</v>
      </c>
      <c r="C343" s="11" t="s">
        <v>663</v>
      </c>
      <c r="D343" s="23" t="s">
        <v>114</v>
      </c>
      <c r="E343" s="23" t="s">
        <v>344</v>
      </c>
      <c r="F343" s="340" t="s">
        <v>684</v>
      </c>
      <c r="G343" s="23" t="s">
        <v>685</v>
      </c>
      <c r="H343" s="23" t="s">
        <v>23</v>
      </c>
      <c r="I343" s="23">
        <v>3</v>
      </c>
      <c r="J343" s="23">
        <v>4</v>
      </c>
      <c r="K343" s="23">
        <v>3</v>
      </c>
      <c r="L343" s="18">
        <f t="shared" si="11"/>
        <v>36</v>
      </c>
      <c r="M343" s="18" t="str">
        <f t="shared" si="10"/>
        <v>Moderada</v>
      </c>
      <c r="N343" s="11"/>
      <c r="O343" s="119"/>
      <c r="P343" s="11"/>
      <c r="Q343" s="11"/>
      <c r="R343" s="11"/>
      <c r="S343" s="11"/>
    </row>
    <row r="344" spans="1:19" ht="33.75">
      <c r="A344" s="28">
        <v>343</v>
      </c>
      <c r="B344" s="119">
        <v>46273</v>
      </c>
      <c r="C344" s="11" t="s">
        <v>663</v>
      </c>
      <c r="D344" s="24" t="s">
        <v>114</v>
      </c>
      <c r="E344" s="24" t="s">
        <v>88</v>
      </c>
      <c r="F344" s="341" t="s">
        <v>686</v>
      </c>
      <c r="G344" s="24" t="s">
        <v>687</v>
      </c>
      <c r="H344" s="24" t="s">
        <v>117</v>
      </c>
      <c r="I344" s="24">
        <v>4</v>
      </c>
      <c r="J344" s="24">
        <v>5</v>
      </c>
      <c r="K344" s="24">
        <v>4</v>
      </c>
      <c r="L344" s="21">
        <f t="shared" si="11"/>
        <v>80</v>
      </c>
      <c r="M344" s="21" t="str">
        <f t="shared" si="10"/>
        <v>Imediata</v>
      </c>
      <c r="N344" s="11"/>
      <c r="O344" s="119"/>
      <c r="P344" s="11"/>
      <c r="Q344" s="11"/>
      <c r="R344" s="11"/>
      <c r="S344" s="11"/>
    </row>
    <row r="345" spans="1:19" ht="33.75">
      <c r="A345" s="28">
        <v>344</v>
      </c>
      <c r="B345" s="119">
        <v>46273</v>
      </c>
      <c r="C345" s="11" t="s">
        <v>663</v>
      </c>
      <c r="D345" s="23" t="s">
        <v>29</v>
      </c>
      <c r="E345" s="23" t="s">
        <v>30</v>
      </c>
      <c r="F345" s="340" t="s">
        <v>688</v>
      </c>
      <c r="G345" s="23" t="s">
        <v>689</v>
      </c>
      <c r="H345" s="23" t="s">
        <v>23</v>
      </c>
      <c r="I345" s="23">
        <v>4</v>
      </c>
      <c r="J345" s="23">
        <v>4</v>
      </c>
      <c r="K345" s="23">
        <v>4</v>
      </c>
      <c r="L345" s="18">
        <f t="shared" si="11"/>
        <v>64</v>
      </c>
      <c r="M345" s="18" t="str">
        <f t="shared" si="10"/>
        <v>Moderada</v>
      </c>
      <c r="N345" s="11"/>
      <c r="O345" s="119"/>
      <c r="P345" s="11"/>
      <c r="Q345" s="11"/>
      <c r="R345" s="11"/>
      <c r="S345" s="11"/>
    </row>
    <row r="346" spans="1:19" ht="30.75">
      <c r="A346" s="28">
        <v>345</v>
      </c>
      <c r="B346" s="119">
        <v>46273</v>
      </c>
      <c r="C346" s="11" t="s">
        <v>663</v>
      </c>
      <c r="D346" s="24" t="s">
        <v>38</v>
      </c>
      <c r="E346" s="24" t="s">
        <v>21</v>
      </c>
      <c r="F346" s="341" t="s">
        <v>690</v>
      </c>
      <c r="G346" s="24" t="s">
        <v>691</v>
      </c>
      <c r="H346" s="24" t="s">
        <v>23</v>
      </c>
      <c r="I346" s="24">
        <v>3</v>
      </c>
      <c r="J346" s="24">
        <v>3</v>
      </c>
      <c r="K346" s="24">
        <v>3</v>
      </c>
      <c r="L346" s="21">
        <f t="shared" si="11"/>
        <v>27</v>
      </c>
      <c r="M346" s="21" t="str">
        <f t="shared" si="10"/>
        <v>Baixa</v>
      </c>
      <c r="N346" s="11"/>
      <c r="O346" s="119"/>
      <c r="P346" s="11"/>
      <c r="Q346" s="11"/>
      <c r="R346" s="11"/>
      <c r="S346" s="11"/>
    </row>
    <row r="347" spans="1:19" ht="46.5">
      <c r="A347" s="28">
        <v>346</v>
      </c>
      <c r="B347" s="119">
        <v>46273</v>
      </c>
      <c r="C347" s="11" t="s">
        <v>663</v>
      </c>
      <c r="D347" s="23" t="s">
        <v>29</v>
      </c>
      <c r="E347" s="23" t="s">
        <v>92</v>
      </c>
      <c r="F347" s="340" t="s">
        <v>692</v>
      </c>
      <c r="G347" s="23" t="s">
        <v>693</v>
      </c>
      <c r="H347" s="23" t="s">
        <v>23</v>
      </c>
      <c r="I347" s="23">
        <v>3</v>
      </c>
      <c r="J347" s="23">
        <v>3</v>
      </c>
      <c r="K347" s="23">
        <v>3</v>
      </c>
      <c r="L347" s="18">
        <f t="shared" si="11"/>
        <v>27</v>
      </c>
      <c r="M347" s="18" t="str">
        <f t="shared" si="10"/>
        <v>Baixa</v>
      </c>
      <c r="N347" s="11"/>
      <c r="O347" s="119"/>
      <c r="P347" s="11"/>
      <c r="Q347" s="11"/>
      <c r="R347" s="11"/>
      <c r="S347" s="11"/>
    </row>
    <row r="348" spans="1:19" ht="33.75">
      <c r="A348" s="28">
        <v>347</v>
      </c>
      <c r="B348" s="119">
        <v>46273</v>
      </c>
      <c r="C348" s="11" t="s">
        <v>663</v>
      </c>
      <c r="D348" s="24" t="s">
        <v>340</v>
      </c>
      <c r="E348" s="24" t="s">
        <v>344</v>
      </c>
      <c r="F348" s="341" t="s">
        <v>694</v>
      </c>
      <c r="G348" s="24" t="s">
        <v>695</v>
      </c>
      <c r="H348" s="24" t="s">
        <v>23</v>
      </c>
      <c r="I348" s="24">
        <v>3</v>
      </c>
      <c r="J348" s="24">
        <v>4</v>
      </c>
      <c r="K348" s="24">
        <v>3</v>
      </c>
      <c r="L348" s="21">
        <f t="shared" si="11"/>
        <v>36</v>
      </c>
      <c r="M348" s="21" t="str">
        <f t="shared" si="10"/>
        <v>Moderada</v>
      </c>
      <c r="N348" s="11"/>
      <c r="O348" s="119"/>
      <c r="P348" s="11"/>
      <c r="Q348" s="11"/>
      <c r="R348" s="11"/>
      <c r="S348" s="11"/>
    </row>
    <row r="349" spans="1:19" ht="30.75">
      <c r="A349" s="28">
        <v>348</v>
      </c>
      <c r="B349" s="119">
        <v>46273</v>
      </c>
      <c r="C349" s="11" t="s">
        <v>663</v>
      </c>
      <c r="D349" s="23" t="s">
        <v>29</v>
      </c>
      <c r="E349" s="23" t="s">
        <v>344</v>
      </c>
      <c r="F349" s="340" t="s">
        <v>696</v>
      </c>
      <c r="G349" s="23" t="s">
        <v>697</v>
      </c>
      <c r="H349" s="23" t="s">
        <v>23</v>
      </c>
      <c r="I349" s="23">
        <v>3</v>
      </c>
      <c r="J349" s="23">
        <v>4</v>
      </c>
      <c r="K349" s="23">
        <v>3</v>
      </c>
      <c r="L349" s="18">
        <f t="shared" si="11"/>
        <v>36</v>
      </c>
      <c r="M349" s="18" t="str">
        <f t="shared" si="10"/>
        <v>Moderada</v>
      </c>
      <c r="N349" s="11"/>
      <c r="O349" s="119"/>
      <c r="P349" s="11"/>
      <c r="Q349" s="11"/>
      <c r="R349" s="11"/>
      <c r="S349" s="11"/>
    </row>
    <row r="350" spans="1:19" ht="30.75">
      <c r="A350" s="28">
        <v>349</v>
      </c>
      <c r="B350" s="119">
        <v>46273</v>
      </c>
      <c r="C350" s="11" t="s">
        <v>663</v>
      </c>
      <c r="D350" s="24" t="s">
        <v>29</v>
      </c>
      <c r="E350" s="24" t="s">
        <v>21</v>
      </c>
      <c r="F350" s="341" t="s">
        <v>698</v>
      </c>
      <c r="G350" s="24" t="s">
        <v>699</v>
      </c>
      <c r="H350" s="24" t="s">
        <v>23</v>
      </c>
      <c r="I350" s="24">
        <v>3</v>
      </c>
      <c r="J350" s="24">
        <v>3</v>
      </c>
      <c r="K350" s="24">
        <v>3</v>
      </c>
      <c r="L350" s="21">
        <f t="shared" si="11"/>
        <v>27</v>
      </c>
      <c r="M350" s="21" t="str">
        <f t="shared" si="10"/>
        <v>Baixa</v>
      </c>
      <c r="N350" s="11"/>
      <c r="O350" s="119"/>
      <c r="P350" s="11"/>
      <c r="Q350" s="11"/>
      <c r="R350" s="11"/>
      <c r="S350" s="11"/>
    </row>
    <row r="351" spans="1:19" ht="46.5">
      <c r="A351" s="28">
        <v>350</v>
      </c>
      <c r="B351" s="119">
        <v>46273</v>
      </c>
      <c r="C351" s="11" t="s">
        <v>663</v>
      </c>
      <c r="D351" s="23" t="s">
        <v>29</v>
      </c>
      <c r="E351" s="23" t="s">
        <v>88</v>
      </c>
      <c r="F351" s="340" t="s">
        <v>700</v>
      </c>
      <c r="G351" s="23" t="s">
        <v>701</v>
      </c>
      <c r="H351" s="23" t="s">
        <v>23</v>
      </c>
      <c r="I351" s="23">
        <v>4</v>
      </c>
      <c r="J351" s="23">
        <v>4</v>
      </c>
      <c r="K351" s="23">
        <v>3</v>
      </c>
      <c r="L351" s="18">
        <f t="shared" si="11"/>
        <v>48</v>
      </c>
      <c r="M351" s="18" t="str">
        <f t="shared" si="10"/>
        <v>Moderada</v>
      </c>
      <c r="N351" s="11"/>
      <c r="O351" s="119"/>
      <c r="P351" s="11"/>
      <c r="Q351" s="11"/>
      <c r="R351" s="11"/>
      <c r="S351" s="11"/>
    </row>
    <row r="352" spans="1:19" ht="46.5">
      <c r="A352" s="28">
        <v>351</v>
      </c>
      <c r="B352" s="119">
        <v>46280</v>
      </c>
      <c r="C352" s="11" t="s">
        <v>702</v>
      </c>
      <c r="D352" s="24" t="s">
        <v>20</v>
      </c>
      <c r="E352" s="24" t="s">
        <v>21</v>
      </c>
      <c r="F352" s="341" t="s">
        <v>703</v>
      </c>
      <c r="G352" s="24" t="s">
        <v>704</v>
      </c>
      <c r="H352" s="24" t="s">
        <v>23</v>
      </c>
      <c r="I352" s="24">
        <v>2</v>
      </c>
      <c r="J352" s="24">
        <v>3</v>
      </c>
      <c r="K352" s="24">
        <v>2</v>
      </c>
      <c r="L352" s="21">
        <f t="shared" si="11"/>
        <v>12</v>
      </c>
      <c r="M352" s="21" t="str">
        <f t="shared" si="10"/>
        <v>Baixa</v>
      </c>
      <c r="N352" s="11"/>
      <c r="O352" s="119"/>
      <c r="P352" s="11"/>
      <c r="Q352" s="11"/>
      <c r="R352" s="11"/>
      <c r="S352" s="11"/>
    </row>
    <row r="353" spans="1:19" ht="50.25">
      <c r="A353" s="28">
        <v>352</v>
      </c>
      <c r="B353" s="119">
        <v>46280</v>
      </c>
      <c r="C353" s="11" t="s">
        <v>702</v>
      </c>
      <c r="D353" s="23" t="s">
        <v>213</v>
      </c>
      <c r="E353" s="23" t="s">
        <v>97</v>
      </c>
      <c r="F353" s="340" t="s">
        <v>705</v>
      </c>
      <c r="G353" s="23" t="s">
        <v>706</v>
      </c>
      <c r="H353" s="23" t="s">
        <v>23</v>
      </c>
      <c r="I353" s="23">
        <v>4</v>
      </c>
      <c r="J353" s="23">
        <v>4</v>
      </c>
      <c r="K353" s="23">
        <v>4</v>
      </c>
      <c r="L353" s="18">
        <f t="shared" si="11"/>
        <v>64</v>
      </c>
      <c r="M353" s="18" t="str">
        <f t="shared" si="10"/>
        <v>Moderada</v>
      </c>
      <c r="N353" s="11"/>
      <c r="O353" s="119"/>
      <c r="P353" s="11"/>
      <c r="Q353" s="11"/>
      <c r="R353" s="11"/>
      <c r="S353" s="11"/>
    </row>
    <row r="354" spans="1:19" ht="33.75">
      <c r="A354" s="28">
        <v>353</v>
      </c>
      <c r="B354" s="119">
        <v>46280</v>
      </c>
      <c r="C354" s="11" t="s">
        <v>702</v>
      </c>
      <c r="D354" s="24" t="s">
        <v>46</v>
      </c>
      <c r="E354" s="24" t="s">
        <v>47</v>
      </c>
      <c r="F354" s="341" t="s">
        <v>707</v>
      </c>
      <c r="G354" s="24" t="s">
        <v>708</v>
      </c>
      <c r="H354" s="24" t="s">
        <v>23</v>
      </c>
      <c r="I354" s="24">
        <v>3</v>
      </c>
      <c r="J354" s="24">
        <v>3</v>
      </c>
      <c r="K354" s="24">
        <v>3</v>
      </c>
      <c r="L354" s="21">
        <f t="shared" si="11"/>
        <v>27</v>
      </c>
      <c r="M354" s="21" t="str">
        <f t="shared" si="10"/>
        <v>Baixa</v>
      </c>
      <c r="N354" s="11"/>
      <c r="O354" s="119"/>
      <c r="P354" s="11"/>
      <c r="Q354" s="11"/>
      <c r="R354" s="11"/>
      <c r="S354" s="11"/>
    </row>
    <row r="355" spans="1:19" ht="33.75">
      <c r="A355" s="28">
        <v>354</v>
      </c>
      <c r="B355" s="119">
        <v>46280</v>
      </c>
      <c r="C355" s="11" t="s">
        <v>702</v>
      </c>
      <c r="D355" s="23" t="s">
        <v>340</v>
      </c>
      <c r="E355" s="23" t="s">
        <v>216</v>
      </c>
      <c r="F355" s="340" t="s">
        <v>672</v>
      </c>
      <c r="G355" s="23" t="s">
        <v>673</v>
      </c>
      <c r="H355" s="23" t="s">
        <v>117</v>
      </c>
      <c r="I355" s="23">
        <v>3</v>
      </c>
      <c r="J355" s="23">
        <v>5</v>
      </c>
      <c r="K355" s="23">
        <v>3</v>
      </c>
      <c r="L355" s="18">
        <f t="shared" si="11"/>
        <v>45</v>
      </c>
      <c r="M355" s="18" t="str">
        <f t="shared" si="10"/>
        <v>Imediata</v>
      </c>
      <c r="N355" s="11"/>
      <c r="O355" s="119"/>
      <c r="P355" s="11"/>
      <c r="Q355" s="11"/>
      <c r="R355" s="11"/>
      <c r="S355" s="11"/>
    </row>
    <row r="356" spans="1:19" ht="30.75">
      <c r="A356" s="28">
        <v>355</v>
      </c>
      <c r="B356" s="119">
        <v>46280</v>
      </c>
      <c r="C356" s="11" t="s">
        <v>702</v>
      </c>
      <c r="D356" s="24" t="s">
        <v>29</v>
      </c>
      <c r="E356" s="24" t="s">
        <v>21</v>
      </c>
      <c r="F356" s="341" t="s">
        <v>709</v>
      </c>
      <c r="G356" s="24" t="s">
        <v>710</v>
      </c>
      <c r="H356" s="24" t="s">
        <v>23</v>
      </c>
      <c r="I356" s="24">
        <v>3</v>
      </c>
      <c r="J356" s="24">
        <v>3</v>
      </c>
      <c r="K356" s="24">
        <v>3</v>
      </c>
      <c r="L356" s="21">
        <f t="shared" si="11"/>
        <v>27</v>
      </c>
      <c r="M356" s="21" t="str">
        <f t="shared" si="10"/>
        <v>Baixa</v>
      </c>
      <c r="N356" s="11"/>
      <c r="O356" s="119"/>
      <c r="P356" s="11"/>
      <c r="Q356" s="11"/>
      <c r="R356" s="11"/>
      <c r="S356" s="11"/>
    </row>
    <row r="357" spans="1:19" ht="33.75">
      <c r="A357" s="28">
        <v>356</v>
      </c>
      <c r="B357" s="119">
        <v>46280</v>
      </c>
      <c r="C357" s="11" t="s">
        <v>702</v>
      </c>
      <c r="D357" s="23" t="s">
        <v>38</v>
      </c>
      <c r="E357" s="23" t="s">
        <v>21</v>
      </c>
      <c r="F357" s="340" t="s">
        <v>711</v>
      </c>
      <c r="G357" s="23" t="s">
        <v>712</v>
      </c>
      <c r="H357" s="23" t="s">
        <v>23</v>
      </c>
      <c r="I357" s="23">
        <v>3</v>
      </c>
      <c r="J357" s="23">
        <v>4</v>
      </c>
      <c r="K357" s="23">
        <v>3</v>
      </c>
      <c r="L357" s="18">
        <f t="shared" si="11"/>
        <v>36</v>
      </c>
      <c r="M357" s="18" t="str">
        <f t="shared" si="10"/>
        <v>Moderada</v>
      </c>
      <c r="N357" s="11"/>
      <c r="O357" s="119"/>
      <c r="P357" s="11"/>
      <c r="Q357" s="11"/>
      <c r="R357" s="11"/>
      <c r="S357" s="11"/>
    </row>
    <row r="358" spans="1:19" ht="46.5">
      <c r="A358" s="28">
        <v>357</v>
      </c>
      <c r="B358" s="119">
        <v>46280</v>
      </c>
      <c r="C358" s="11" t="s">
        <v>702</v>
      </c>
      <c r="D358" s="24" t="s">
        <v>29</v>
      </c>
      <c r="E358" s="24" t="s">
        <v>30</v>
      </c>
      <c r="F358" s="341" t="s">
        <v>713</v>
      </c>
      <c r="G358" s="24" t="s">
        <v>714</v>
      </c>
      <c r="H358" s="24" t="s">
        <v>23</v>
      </c>
      <c r="I358" s="24">
        <v>3</v>
      </c>
      <c r="J358" s="24">
        <v>4</v>
      </c>
      <c r="K358" s="24">
        <v>3</v>
      </c>
      <c r="L358" s="21">
        <f t="shared" si="11"/>
        <v>36</v>
      </c>
      <c r="M358" s="21" t="str">
        <f t="shared" si="10"/>
        <v>Moderada</v>
      </c>
      <c r="N358" s="11"/>
      <c r="O358" s="119"/>
      <c r="P358" s="11"/>
      <c r="Q358" s="11"/>
      <c r="R358" s="11"/>
      <c r="S358" s="11"/>
    </row>
    <row r="359" spans="1:19" ht="33.75">
      <c r="A359" s="28">
        <v>358</v>
      </c>
      <c r="B359" s="119">
        <v>46280</v>
      </c>
      <c r="C359" s="11" t="s">
        <v>702</v>
      </c>
      <c r="D359" s="23" t="s">
        <v>114</v>
      </c>
      <c r="E359" s="23" t="s">
        <v>30</v>
      </c>
      <c r="F359" s="340" t="s">
        <v>715</v>
      </c>
      <c r="G359" s="23" t="s">
        <v>716</v>
      </c>
      <c r="H359" s="23" t="s">
        <v>23</v>
      </c>
      <c r="I359" s="23">
        <v>3</v>
      </c>
      <c r="J359" s="23">
        <v>3</v>
      </c>
      <c r="K359" s="23">
        <v>3</v>
      </c>
      <c r="L359" s="18">
        <f t="shared" si="11"/>
        <v>27</v>
      </c>
      <c r="M359" s="18" t="str">
        <f t="shared" si="10"/>
        <v>Baixa</v>
      </c>
      <c r="N359" s="11"/>
      <c r="O359" s="119"/>
      <c r="P359" s="11"/>
      <c r="Q359" s="11"/>
      <c r="R359" s="11"/>
      <c r="S359" s="11"/>
    </row>
    <row r="360" spans="1:19" ht="30.75">
      <c r="A360" s="28">
        <v>359</v>
      </c>
      <c r="B360" s="119">
        <v>46280</v>
      </c>
      <c r="C360" s="11" t="s">
        <v>702</v>
      </c>
      <c r="D360" s="24" t="s">
        <v>38</v>
      </c>
      <c r="E360" s="24" t="s">
        <v>21</v>
      </c>
      <c r="F360" s="341" t="s">
        <v>717</v>
      </c>
      <c r="G360" s="24" t="s">
        <v>677</v>
      </c>
      <c r="H360" s="24" t="s">
        <v>23</v>
      </c>
      <c r="I360" s="24">
        <v>3</v>
      </c>
      <c r="J360" s="24">
        <v>3</v>
      </c>
      <c r="K360" s="24">
        <v>3</v>
      </c>
      <c r="L360" s="21">
        <f t="shared" si="11"/>
        <v>27</v>
      </c>
      <c r="M360" s="21" t="str">
        <f t="shared" si="10"/>
        <v>Baixa</v>
      </c>
      <c r="N360" s="11"/>
      <c r="O360" s="119"/>
      <c r="P360" s="11"/>
      <c r="Q360" s="11"/>
      <c r="R360" s="11"/>
      <c r="S360" s="11"/>
    </row>
    <row r="361" spans="1:19" ht="30.75">
      <c r="A361" s="28">
        <v>360</v>
      </c>
      <c r="B361" s="119">
        <v>46280</v>
      </c>
      <c r="C361" s="11" t="s">
        <v>702</v>
      </c>
      <c r="D361" s="23" t="s">
        <v>29</v>
      </c>
      <c r="E361" s="23" t="s">
        <v>21</v>
      </c>
      <c r="F361" s="340" t="s">
        <v>718</v>
      </c>
      <c r="G361" s="23" t="s">
        <v>710</v>
      </c>
      <c r="H361" s="23" t="s">
        <v>23</v>
      </c>
      <c r="I361" s="23">
        <v>3</v>
      </c>
      <c r="J361" s="23">
        <v>3</v>
      </c>
      <c r="K361" s="23">
        <v>3</v>
      </c>
      <c r="L361" s="18">
        <f t="shared" si="11"/>
        <v>27</v>
      </c>
      <c r="M361" s="18" t="str">
        <f t="shared" si="10"/>
        <v>Baixa</v>
      </c>
      <c r="N361" s="11"/>
      <c r="O361" s="119"/>
      <c r="P361" s="11"/>
      <c r="Q361" s="11"/>
      <c r="R361" s="11"/>
      <c r="S361" s="11"/>
    </row>
    <row r="362" spans="1:19" ht="46.5">
      <c r="A362" s="28">
        <v>361</v>
      </c>
      <c r="B362" s="119">
        <v>46280</v>
      </c>
      <c r="C362" s="11" t="s">
        <v>702</v>
      </c>
      <c r="D362" s="24" t="s">
        <v>29</v>
      </c>
      <c r="E362" s="24" t="s">
        <v>97</v>
      </c>
      <c r="F362" s="341" t="s">
        <v>719</v>
      </c>
      <c r="G362" s="24" t="s">
        <v>720</v>
      </c>
      <c r="H362" s="24" t="s">
        <v>23</v>
      </c>
      <c r="I362" s="24">
        <v>3</v>
      </c>
      <c r="J362" s="24">
        <v>3</v>
      </c>
      <c r="K362" s="24">
        <v>3</v>
      </c>
      <c r="L362" s="21">
        <f t="shared" si="11"/>
        <v>27</v>
      </c>
      <c r="M362" s="21" t="str">
        <f t="shared" si="10"/>
        <v>Baixa</v>
      </c>
      <c r="N362" s="11"/>
      <c r="O362" s="119"/>
      <c r="P362" s="11"/>
      <c r="Q362" s="11"/>
      <c r="R362" s="11"/>
      <c r="S362" s="11"/>
    </row>
    <row r="363" spans="1:19" ht="30.75">
      <c r="A363" s="28">
        <v>362</v>
      </c>
      <c r="B363" s="119">
        <v>46280</v>
      </c>
      <c r="C363" s="11" t="s">
        <v>702</v>
      </c>
      <c r="D363" s="23" t="s">
        <v>29</v>
      </c>
      <c r="E363" s="23" t="s">
        <v>21</v>
      </c>
      <c r="F363" s="340" t="s">
        <v>721</v>
      </c>
      <c r="G363" s="23" t="s">
        <v>681</v>
      </c>
      <c r="H363" s="23" t="s">
        <v>23</v>
      </c>
      <c r="I363" s="23">
        <v>3</v>
      </c>
      <c r="J363" s="23">
        <v>4</v>
      </c>
      <c r="K363" s="23">
        <v>3</v>
      </c>
      <c r="L363" s="18">
        <f t="shared" si="11"/>
        <v>36</v>
      </c>
      <c r="M363" s="18" t="str">
        <f t="shared" si="10"/>
        <v>Moderada</v>
      </c>
      <c r="N363" s="11"/>
      <c r="O363" s="119"/>
      <c r="P363" s="11"/>
      <c r="Q363" s="11"/>
      <c r="R363" s="11"/>
      <c r="S363" s="11"/>
    </row>
    <row r="364" spans="1:19" ht="33.75">
      <c r="A364" s="28">
        <v>363</v>
      </c>
      <c r="B364" s="119">
        <v>46280</v>
      </c>
      <c r="C364" s="11" t="s">
        <v>702</v>
      </c>
      <c r="D364" s="24" t="s">
        <v>29</v>
      </c>
      <c r="E364" s="24" t="s">
        <v>21</v>
      </c>
      <c r="F364" s="341" t="s">
        <v>722</v>
      </c>
      <c r="G364" s="24" t="s">
        <v>723</v>
      </c>
      <c r="H364" s="24" t="s">
        <v>23</v>
      </c>
      <c r="I364" s="24">
        <v>3</v>
      </c>
      <c r="J364" s="24">
        <v>3</v>
      </c>
      <c r="K364" s="24">
        <v>3</v>
      </c>
      <c r="L364" s="21">
        <f t="shared" si="11"/>
        <v>27</v>
      </c>
      <c r="M364" s="21" t="str">
        <f t="shared" si="10"/>
        <v>Baixa</v>
      </c>
      <c r="N364" s="11"/>
      <c r="O364" s="119"/>
      <c r="P364" s="11"/>
      <c r="Q364" s="11"/>
      <c r="R364" s="11"/>
      <c r="S364" s="11"/>
    </row>
    <row r="365" spans="1:19" ht="30.75">
      <c r="A365" s="28">
        <v>364</v>
      </c>
      <c r="B365" s="119">
        <v>46280</v>
      </c>
      <c r="C365" s="11" t="s">
        <v>702</v>
      </c>
      <c r="D365" s="23" t="s">
        <v>38</v>
      </c>
      <c r="E365" s="23" t="s">
        <v>21</v>
      </c>
      <c r="F365" s="340" t="s">
        <v>724</v>
      </c>
      <c r="G365" s="23" t="s">
        <v>677</v>
      </c>
      <c r="H365" s="23" t="s">
        <v>23</v>
      </c>
      <c r="I365" s="23">
        <v>3</v>
      </c>
      <c r="J365" s="23">
        <v>3</v>
      </c>
      <c r="K365" s="23">
        <v>3</v>
      </c>
      <c r="L365" s="18">
        <f t="shared" si="11"/>
        <v>27</v>
      </c>
      <c r="M365" s="18" t="str">
        <f t="shared" si="10"/>
        <v>Baixa</v>
      </c>
      <c r="N365" s="11"/>
      <c r="O365" s="119"/>
      <c r="P365" s="11"/>
      <c r="Q365" s="11"/>
      <c r="R365" s="11"/>
      <c r="S365" s="11"/>
    </row>
    <row r="366" spans="1:19" ht="30.75">
      <c r="A366" s="28">
        <v>365</v>
      </c>
      <c r="B366" s="119">
        <v>46280</v>
      </c>
      <c r="C366" s="11" t="s">
        <v>702</v>
      </c>
      <c r="D366" s="24" t="s">
        <v>29</v>
      </c>
      <c r="E366" s="24" t="s">
        <v>21</v>
      </c>
      <c r="F366" s="341" t="s">
        <v>725</v>
      </c>
      <c r="G366" s="24" t="s">
        <v>726</v>
      </c>
      <c r="H366" s="24" t="s">
        <v>23</v>
      </c>
      <c r="I366" s="24">
        <v>3</v>
      </c>
      <c r="J366" s="24">
        <v>3</v>
      </c>
      <c r="K366" s="24">
        <v>3</v>
      </c>
      <c r="L366" s="21">
        <f t="shared" si="11"/>
        <v>27</v>
      </c>
      <c r="M366" s="21" t="str">
        <f t="shared" si="10"/>
        <v>Baixa</v>
      </c>
      <c r="N366" s="11"/>
      <c r="O366" s="119"/>
      <c r="P366" s="11"/>
      <c r="Q366" s="11"/>
      <c r="R366" s="11"/>
      <c r="S366" s="11"/>
    </row>
    <row r="367" spans="1:19" ht="46.5">
      <c r="A367" s="28">
        <v>366</v>
      </c>
      <c r="B367" s="119">
        <v>46280</v>
      </c>
      <c r="C367" s="11" t="s">
        <v>702</v>
      </c>
      <c r="D367" s="23" t="s">
        <v>340</v>
      </c>
      <c r="E367" s="23" t="s">
        <v>30</v>
      </c>
      <c r="F367" s="340" t="s">
        <v>727</v>
      </c>
      <c r="G367" s="23" t="s">
        <v>728</v>
      </c>
      <c r="H367" s="23" t="s">
        <v>23</v>
      </c>
      <c r="I367" s="23">
        <v>3</v>
      </c>
      <c r="J367" s="23">
        <v>4</v>
      </c>
      <c r="K367" s="23">
        <v>3</v>
      </c>
      <c r="L367" s="18">
        <f t="shared" si="11"/>
        <v>36</v>
      </c>
      <c r="M367" s="18" t="str">
        <f t="shared" si="10"/>
        <v>Moderada</v>
      </c>
      <c r="N367" s="11"/>
      <c r="O367" s="119"/>
      <c r="P367" s="11"/>
      <c r="Q367" s="11"/>
      <c r="R367" s="11"/>
      <c r="S367" s="11"/>
    </row>
    <row r="368" spans="1:19" ht="46.5">
      <c r="A368" s="28">
        <v>367</v>
      </c>
      <c r="B368" s="119">
        <v>46280</v>
      </c>
      <c r="C368" s="11" t="s">
        <v>702</v>
      </c>
      <c r="D368" s="24" t="s">
        <v>114</v>
      </c>
      <c r="E368" s="24" t="s">
        <v>47</v>
      </c>
      <c r="F368" s="341" t="s">
        <v>729</v>
      </c>
      <c r="G368" s="24" t="s">
        <v>730</v>
      </c>
      <c r="H368" s="24" t="s">
        <v>23</v>
      </c>
      <c r="I368" s="24">
        <v>3</v>
      </c>
      <c r="J368" s="24">
        <v>3</v>
      </c>
      <c r="K368" s="24">
        <v>3</v>
      </c>
      <c r="L368" s="21">
        <f t="shared" si="11"/>
        <v>27</v>
      </c>
      <c r="M368" s="21" t="str">
        <f t="shared" si="10"/>
        <v>Baixa</v>
      </c>
      <c r="N368" s="11"/>
      <c r="O368" s="119"/>
      <c r="P368" s="11"/>
      <c r="Q368" s="11"/>
      <c r="R368" s="11"/>
      <c r="S368" s="11"/>
    </row>
    <row r="369" spans="1:19" ht="30.75">
      <c r="A369" s="28">
        <v>368</v>
      </c>
      <c r="B369" s="119">
        <v>46280</v>
      </c>
      <c r="C369" s="11" t="s">
        <v>702</v>
      </c>
      <c r="D369" s="23" t="s">
        <v>29</v>
      </c>
      <c r="E369" s="23" t="s">
        <v>88</v>
      </c>
      <c r="F369" s="340" t="s">
        <v>731</v>
      </c>
      <c r="G369" s="23" t="s">
        <v>732</v>
      </c>
      <c r="H369" s="23" t="s">
        <v>117</v>
      </c>
      <c r="I369" s="23">
        <v>3</v>
      </c>
      <c r="J369" s="23">
        <v>5</v>
      </c>
      <c r="K369" s="23">
        <v>3</v>
      </c>
      <c r="L369" s="18">
        <f t="shared" si="11"/>
        <v>45</v>
      </c>
      <c r="M369" s="18" t="str">
        <f t="shared" si="10"/>
        <v>Imediata</v>
      </c>
      <c r="N369" s="11"/>
      <c r="O369" s="119"/>
      <c r="P369" s="11"/>
      <c r="Q369" s="11"/>
      <c r="R369" s="11"/>
      <c r="S369" s="11"/>
    </row>
    <row r="370" spans="1:19" ht="33.75">
      <c r="A370" s="28">
        <v>369</v>
      </c>
      <c r="B370" s="119">
        <v>46280</v>
      </c>
      <c r="C370" s="11" t="s">
        <v>702</v>
      </c>
      <c r="D370" s="24" t="s">
        <v>114</v>
      </c>
      <c r="E370" s="24" t="s">
        <v>88</v>
      </c>
      <c r="F370" s="341" t="s">
        <v>733</v>
      </c>
      <c r="G370" s="24" t="s">
        <v>734</v>
      </c>
      <c r="H370" s="24" t="s">
        <v>117</v>
      </c>
      <c r="I370" s="24">
        <v>4</v>
      </c>
      <c r="J370" s="24">
        <v>5</v>
      </c>
      <c r="K370" s="24">
        <v>4</v>
      </c>
      <c r="L370" s="21">
        <f t="shared" si="11"/>
        <v>80</v>
      </c>
      <c r="M370" s="21" t="str">
        <f t="shared" si="10"/>
        <v>Imediata</v>
      </c>
      <c r="N370" s="11"/>
      <c r="O370" s="119"/>
      <c r="P370" s="11"/>
      <c r="Q370" s="11"/>
      <c r="R370" s="11"/>
      <c r="S370" s="11"/>
    </row>
    <row r="371" spans="1:19" ht="46.5">
      <c r="A371" s="28">
        <v>370</v>
      </c>
      <c r="B371" s="119">
        <v>46280</v>
      </c>
      <c r="C371" s="11" t="s">
        <v>702</v>
      </c>
      <c r="D371" s="23" t="s">
        <v>38</v>
      </c>
      <c r="E371" s="23" t="s">
        <v>21</v>
      </c>
      <c r="F371" s="340" t="s">
        <v>735</v>
      </c>
      <c r="G371" s="23" t="s">
        <v>736</v>
      </c>
      <c r="H371" s="23" t="s">
        <v>23</v>
      </c>
      <c r="I371" s="23">
        <v>3</v>
      </c>
      <c r="J371" s="23">
        <v>4</v>
      </c>
      <c r="K371" s="23">
        <v>3</v>
      </c>
      <c r="L371" s="18">
        <f t="shared" si="11"/>
        <v>36</v>
      </c>
      <c r="M371" s="18" t="str">
        <f t="shared" si="10"/>
        <v>Moderada</v>
      </c>
      <c r="N371" s="11"/>
      <c r="O371" s="119"/>
      <c r="P371" s="11"/>
      <c r="Q371" s="11"/>
      <c r="R371" s="11"/>
      <c r="S371" s="11"/>
    </row>
    <row r="372" spans="1:19" ht="46.5">
      <c r="A372" s="28">
        <v>371</v>
      </c>
      <c r="B372" s="119">
        <v>46280</v>
      </c>
      <c r="C372" s="11" t="s">
        <v>702</v>
      </c>
      <c r="D372" s="24" t="s">
        <v>29</v>
      </c>
      <c r="E372" s="24" t="s">
        <v>92</v>
      </c>
      <c r="F372" s="341" t="s">
        <v>737</v>
      </c>
      <c r="G372" s="24" t="s">
        <v>738</v>
      </c>
      <c r="H372" s="24" t="s">
        <v>23</v>
      </c>
      <c r="I372" s="24">
        <v>3</v>
      </c>
      <c r="J372" s="24">
        <v>3</v>
      </c>
      <c r="K372" s="24">
        <v>3</v>
      </c>
      <c r="L372" s="21">
        <f t="shared" si="11"/>
        <v>27</v>
      </c>
      <c r="M372" s="21" t="str">
        <f t="shared" si="10"/>
        <v>Baixa</v>
      </c>
      <c r="N372" s="11"/>
      <c r="O372" s="119"/>
      <c r="P372" s="11"/>
      <c r="Q372" s="11"/>
      <c r="R372" s="11"/>
      <c r="S372" s="11"/>
    </row>
    <row r="373" spans="1:19" ht="30.75">
      <c r="A373" s="28">
        <v>372</v>
      </c>
      <c r="B373" s="119">
        <v>46280</v>
      </c>
      <c r="C373" s="11" t="s">
        <v>702</v>
      </c>
      <c r="D373" s="23" t="s">
        <v>29</v>
      </c>
      <c r="E373" s="23" t="s">
        <v>30</v>
      </c>
      <c r="F373" s="340" t="s">
        <v>739</v>
      </c>
      <c r="G373" s="23" t="s">
        <v>740</v>
      </c>
      <c r="H373" s="23" t="s">
        <v>23</v>
      </c>
      <c r="I373" s="23">
        <v>2</v>
      </c>
      <c r="J373" s="23">
        <v>4</v>
      </c>
      <c r="K373" s="23">
        <v>3</v>
      </c>
      <c r="L373" s="18">
        <f t="shared" si="11"/>
        <v>24</v>
      </c>
      <c r="M373" s="18" t="str">
        <f t="shared" si="10"/>
        <v>Baixa</v>
      </c>
      <c r="N373" s="11"/>
      <c r="O373" s="119"/>
      <c r="P373" s="11"/>
      <c r="Q373" s="11"/>
      <c r="R373" s="11"/>
      <c r="S373" s="11"/>
    </row>
    <row r="374" spans="1:19" ht="30.75">
      <c r="A374" s="28">
        <v>373</v>
      </c>
      <c r="B374" s="119">
        <v>46280</v>
      </c>
      <c r="C374" s="11" t="s">
        <v>702</v>
      </c>
      <c r="D374" s="24" t="s">
        <v>29</v>
      </c>
      <c r="E374" s="24" t="s">
        <v>21</v>
      </c>
      <c r="F374" s="341" t="s">
        <v>741</v>
      </c>
      <c r="G374" s="24" t="s">
        <v>742</v>
      </c>
      <c r="H374" s="24" t="s">
        <v>23</v>
      </c>
      <c r="I374" s="24">
        <v>3</v>
      </c>
      <c r="J374" s="24">
        <v>3</v>
      </c>
      <c r="K374" s="24">
        <v>3</v>
      </c>
      <c r="L374" s="21">
        <f t="shared" si="11"/>
        <v>27</v>
      </c>
      <c r="M374" s="21" t="str">
        <f t="shared" si="10"/>
        <v>Baixa</v>
      </c>
      <c r="N374" s="11"/>
      <c r="O374" s="119"/>
      <c r="P374" s="11"/>
      <c r="Q374" s="11"/>
      <c r="R374" s="11"/>
      <c r="S374" s="11"/>
    </row>
    <row r="375" spans="1:19" ht="30.75">
      <c r="A375" s="28">
        <v>374</v>
      </c>
      <c r="B375" s="119">
        <v>46280</v>
      </c>
      <c r="C375" s="11" t="s">
        <v>702</v>
      </c>
      <c r="D375" s="23" t="s">
        <v>29</v>
      </c>
      <c r="E375" s="23" t="s">
        <v>97</v>
      </c>
      <c r="F375" s="340" t="s">
        <v>743</v>
      </c>
      <c r="G375" s="23" t="s">
        <v>744</v>
      </c>
      <c r="H375" s="23" t="s">
        <v>23</v>
      </c>
      <c r="I375" s="23">
        <v>3</v>
      </c>
      <c r="J375" s="23">
        <v>4</v>
      </c>
      <c r="K375" s="23">
        <v>3</v>
      </c>
      <c r="L375" s="18">
        <f t="shared" si="11"/>
        <v>36</v>
      </c>
      <c r="M375" s="18" t="str">
        <f t="shared" si="10"/>
        <v>Moderada</v>
      </c>
      <c r="N375" s="11"/>
      <c r="O375" s="119"/>
      <c r="P375" s="11"/>
      <c r="Q375" s="11"/>
      <c r="R375" s="11"/>
      <c r="S375" s="11"/>
    </row>
    <row r="376" spans="1:19" ht="33.75">
      <c r="A376" s="28">
        <v>375</v>
      </c>
      <c r="B376" s="119">
        <v>46280</v>
      </c>
      <c r="C376" s="11" t="s">
        <v>702</v>
      </c>
      <c r="D376" s="24" t="s">
        <v>29</v>
      </c>
      <c r="E376" s="24" t="s">
        <v>92</v>
      </c>
      <c r="F376" s="341" t="s">
        <v>745</v>
      </c>
      <c r="G376" s="24" t="s">
        <v>746</v>
      </c>
      <c r="H376" s="24" t="s">
        <v>23</v>
      </c>
      <c r="I376" s="24">
        <v>3</v>
      </c>
      <c r="J376" s="24">
        <v>3</v>
      </c>
      <c r="K376" s="24">
        <v>3</v>
      </c>
      <c r="L376" s="21">
        <f t="shared" si="11"/>
        <v>27</v>
      </c>
      <c r="M376" s="21" t="str">
        <f t="shared" si="10"/>
        <v>Baixa</v>
      </c>
      <c r="N376" s="11"/>
      <c r="O376" s="119"/>
      <c r="P376" s="11"/>
      <c r="Q376" s="11"/>
      <c r="R376" s="11"/>
      <c r="S376" s="11"/>
    </row>
    <row r="377" spans="1:19" ht="33.75">
      <c r="A377" s="28">
        <v>376</v>
      </c>
      <c r="B377" s="119">
        <v>46280</v>
      </c>
      <c r="C377" s="11" t="s">
        <v>702</v>
      </c>
      <c r="D377" s="23" t="s">
        <v>20</v>
      </c>
      <c r="E377" s="23" t="s">
        <v>21</v>
      </c>
      <c r="F377" s="340" t="s">
        <v>747</v>
      </c>
      <c r="G377" s="23" t="s">
        <v>748</v>
      </c>
      <c r="H377" s="23" t="s">
        <v>23</v>
      </c>
      <c r="I377" s="23">
        <v>3</v>
      </c>
      <c r="J377" s="23">
        <v>3</v>
      </c>
      <c r="K377" s="23">
        <v>3</v>
      </c>
      <c r="L377" s="18">
        <f t="shared" si="11"/>
        <v>27</v>
      </c>
      <c r="M377" s="18" t="str">
        <f t="shared" si="10"/>
        <v>Baixa</v>
      </c>
      <c r="N377" s="11"/>
      <c r="O377" s="119"/>
      <c r="P377" s="11"/>
      <c r="Q377" s="11"/>
      <c r="R377" s="11"/>
      <c r="S377" s="11"/>
    </row>
    <row r="378" spans="1:19" ht="61.5">
      <c r="A378" s="28">
        <v>377</v>
      </c>
      <c r="B378" s="119">
        <v>46280</v>
      </c>
      <c r="C378" s="11" t="s">
        <v>702</v>
      </c>
      <c r="D378" s="24" t="s">
        <v>29</v>
      </c>
      <c r="E378" s="24" t="s">
        <v>21</v>
      </c>
      <c r="F378" s="341" t="s">
        <v>749</v>
      </c>
      <c r="G378" s="24" t="s">
        <v>750</v>
      </c>
      <c r="H378" s="24" t="s">
        <v>23</v>
      </c>
      <c r="I378" s="24">
        <v>3</v>
      </c>
      <c r="J378" s="24">
        <v>3</v>
      </c>
      <c r="K378" s="24">
        <v>3</v>
      </c>
      <c r="L378" s="21">
        <f t="shared" si="11"/>
        <v>27</v>
      </c>
      <c r="M378" s="21" t="str">
        <f t="shared" si="10"/>
        <v>Baixa</v>
      </c>
      <c r="N378" s="11"/>
      <c r="O378" s="119"/>
      <c r="P378" s="11"/>
      <c r="Q378" s="11"/>
      <c r="R378" s="11"/>
      <c r="S378" s="11"/>
    </row>
    <row r="379" spans="1:19" ht="16.5">
      <c r="A379" s="28">
        <v>378</v>
      </c>
      <c r="B379" s="119">
        <v>46287</v>
      </c>
      <c r="C379" s="11" t="s">
        <v>751</v>
      </c>
      <c r="D379" s="23" t="s">
        <v>29</v>
      </c>
      <c r="E379" s="23" t="s">
        <v>97</v>
      </c>
      <c r="F379" s="342" t="s">
        <v>752</v>
      </c>
      <c r="G379" s="23" t="s">
        <v>753</v>
      </c>
      <c r="H379" s="23" t="s">
        <v>23</v>
      </c>
      <c r="I379" s="23">
        <v>3</v>
      </c>
      <c r="J379" s="23">
        <v>3</v>
      </c>
      <c r="K379" s="23">
        <v>3</v>
      </c>
      <c r="L379" s="18">
        <f t="shared" si="11"/>
        <v>27</v>
      </c>
      <c r="M379" s="18" t="str">
        <f t="shared" si="10"/>
        <v>Baixa</v>
      </c>
      <c r="N379" s="11"/>
      <c r="O379" s="119"/>
      <c r="P379" s="11"/>
      <c r="Q379" s="11"/>
      <c r="R379" s="11"/>
      <c r="S379" s="11"/>
    </row>
    <row r="380" spans="1:19" ht="33.75">
      <c r="A380" s="28">
        <v>379</v>
      </c>
      <c r="B380" s="119">
        <v>46287</v>
      </c>
      <c r="C380" s="11" t="s">
        <v>751</v>
      </c>
      <c r="D380" s="24" t="s">
        <v>38</v>
      </c>
      <c r="E380" s="24" t="s">
        <v>21</v>
      </c>
      <c r="F380" s="341" t="s">
        <v>754</v>
      </c>
      <c r="G380" s="24" t="s">
        <v>712</v>
      </c>
      <c r="H380" s="24" t="s">
        <v>23</v>
      </c>
      <c r="I380" s="24">
        <v>3</v>
      </c>
      <c r="J380" s="24">
        <v>4</v>
      </c>
      <c r="K380" s="24">
        <v>3</v>
      </c>
      <c r="L380" s="21">
        <f t="shared" si="11"/>
        <v>36</v>
      </c>
      <c r="M380" s="21" t="str">
        <f t="shared" si="10"/>
        <v>Moderada</v>
      </c>
      <c r="N380" s="11"/>
      <c r="O380" s="119"/>
      <c r="P380" s="11"/>
      <c r="Q380" s="11"/>
      <c r="R380" s="11"/>
      <c r="S380" s="11"/>
    </row>
    <row r="381" spans="1:19" ht="33.75">
      <c r="A381" s="28">
        <v>380</v>
      </c>
      <c r="B381" s="119">
        <v>46287</v>
      </c>
      <c r="C381" s="11" t="s">
        <v>751</v>
      </c>
      <c r="D381" s="23" t="s">
        <v>114</v>
      </c>
      <c r="E381" s="23" t="s">
        <v>97</v>
      </c>
      <c r="F381" s="342" t="s">
        <v>755</v>
      </c>
      <c r="G381" s="23" t="s">
        <v>756</v>
      </c>
      <c r="H381" s="23" t="s">
        <v>23</v>
      </c>
      <c r="I381" s="23">
        <v>3</v>
      </c>
      <c r="J381" s="23">
        <v>4</v>
      </c>
      <c r="K381" s="23">
        <v>3</v>
      </c>
      <c r="L381" s="18">
        <f t="shared" si="11"/>
        <v>36</v>
      </c>
      <c r="M381" s="18" t="str">
        <f t="shared" si="10"/>
        <v>Moderada</v>
      </c>
      <c r="N381" s="11"/>
      <c r="O381" s="119"/>
      <c r="P381" s="11"/>
      <c r="Q381" s="11"/>
      <c r="R381" s="11"/>
      <c r="S381" s="11"/>
    </row>
    <row r="382" spans="1:19" ht="61.5">
      <c r="A382" s="28">
        <v>381</v>
      </c>
      <c r="B382" s="119">
        <v>46287</v>
      </c>
      <c r="C382" s="11" t="s">
        <v>751</v>
      </c>
      <c r="D382" s="24" t="s">
        <v>340</v>
      </c>
      <c r="E382" s="24" t="s">
        <v>21</v>
      </c>
      <c r="F382" s="341" t="s">
        <v>757</v>
      </c>
      <c r="G382" s="24" t="s">
        <v>758</v>
      </c>
      <c r="H382" s="24" t="s">
        <v>23</v>
      </c>
      <c r="I382" s="24">
        <v>3</v>
      </c>
      <c r="J382" s="24">
        <v>4</v>
      </c>
      <c r="K382" s="24">
        <v>3</v>
      </c>
      <c r="L382" s="21">
        <f t="shared" si="11"/>
        <v>36</v>
      </c>
      <c r="M382" s="21" t="str">
        <f t="shared" si="10"/>
        <v>Moderada</v>
      </c>
      <c r="N382" s="11"/>
      <c r="O382" s="119"/>
      <c r="P382" s="11"/>
      <c r="Q382" s="11"/>
      <c r="R382" s="11"/>
      <c r="S382" s="11"/>
    </row>
    <row r="383" spans="1:19" ht="33.75">
      <c r="A383" s="28">
        <v>382</v>
      </c>
      <c r="B383" s="119">
        <v>46287</v>
      </c>
      <c r="C383" s="11" t="s">
        <v>751</v>
      </c>
      <c r="D383" s="23" t="s">
        <v>29</v>
      </c>
      <c r="E383" s="23" t="s">
        <v>88</v>
      </c>
      <c r="F383" s="342" t="s">
        <v>759</v>
      </c>
      <c r="G383" s="23" t="s">
        <v>760</v>
      </c>
      <c r="H383" s="23" t="s">
        <v>23</v>
      </c>
      <c r="I383" s="23">
        <v>3</v>
      </c>
      <c r="J383" s="23">
        <v>4</v>
      </c>
      <c r="K383" s="23">
        <v>3</v>
      </c>
      <c r="L383" s="18">
        <f t="shared" si="11"/>
        <v>36</v>
      </c>
      <c r="M383" s="18" t="str">
        <f t="shared" si="10"/>
        <v>Moderada</v>
      </c>
      <c r="N383" s="11"/>
      <c r="O383" s="119"/>
      <c r="P383" s="11"/>
      <c r="Q383" s="11"/>
      <c r="R383" s="11"/>
      <c r="S383" s="11"/>
    </row>
    <row r="384" spans="1:19" ht="33.75">
      <c r="A384" s="28">
        <v>383</v>
      </c>
      <c r="B384" s="119">
        <v>46287</v>
      </c>
      <c r="C384" s="11" t="s">
        <v>751</v>
      </c>
      <c r="D384" s="24" t="s">
        <v>114</v>
      </c>
      <c r="E384" s="24" t="s">
        <v>344</v>
      </c>
      <c r="F384" s="341" t="s">
        <v>761</v>
      </c>
      <c r="G384" s="24" t="s">
        <v>762</v>
      </c>
      <c r="H384" s="24" t="s">
        <v>23</v>
      </c>
      <c r="I384" s="24">
        <v>3</v>
      </c>
      <c r="J384" s="24">
        <v>4</v>
      </c>
      <c r="K384" s="24">
        <v>3</v>
      </c>
      <c r="L384" s="21">
        <f t="shared" si="11"/>
        <v>36</v>
      </c>
      <c r="M384" s="21" t="str">
        <f t="shared" si="10"/>
        <v>Moderada</v>
      </c>
      <c r="N384" s="11"/>
      <c r="O384" s="119"/>
      <c r="P384" s="11"/>
      <c r="Q384" s="11"/>
      <c r="R384" s="11"/>
      <c r="S384" s="11"/>
    </row>
    <row r="385" spans="1:19" ht="33.75">
      <c r="A385" s="28">
        <v>384</v>
      </c>
      <c r="B385" s="119">
        <v>46287</v>
      </c>
      <c r="C385" s="11" t="s">
        <v>751</v>
      </c>
      <c r="D385" s="23" t="s">
        <v>281</v>
      </c>
      <c r="E385" s="23" t="s">
        <v>92</v>
      </c>
      <c r="F385" s="342" t="s">
        <v>763</v>
      </c>
      <c r="G385" s="23" t="s">
        <v>764</v>
      </c>
      <c r="H385" s="23" t="s">
        <v>23</v>
      </c>
      <c r="I385" s="23">
        <v>3</v>
      </c>
      <c r="J385" s="23">
        <v>3</v>
      </c>
      <c r="K385" s="23">
        <v>3</v>
      </c>
      <c r="L385" s="18">
        <f t="shared" si="11"/>
        <v>27</v>
      </c>
      <c r="M385" s="18" t="str">
        <f t="shared" ref="M385:M448" si="12">IF(OR(H385="Sim",Y385="Ameaça imediata"),"Imediata",IF(L385="","Pendente de avaliação",IF(J385=5,"Alta",IF(L385&gt;=65,"Alta",IF(L385&gt;=28,"Moderada","Baixa")))))</f>
        <v>Baixa</v>
      </c>
      <c r="N385" s="11"/>
      <c r="O385" s="119"/>
      <c r="P385" s="11"/>
      <c r="Q385" s="11"/>
      <c r="R385" s="11"/>
      <c r="S385" s="11"/>
    </row>
    <row r="386" spans="1:19" ht="16.5">
      <c r="A386" s="28">
        <v>385</v>
      </c>
      <c r="B386" s="119">
        <v>46287</v>
      </c>
      <c r="C386" s="11" t="s">
        <v>751</v>
      </c>
      <c r="D386" s="24" t="s">
        <v>20</v>
      </c>
      <c r="E386" s="24" t="s">
        <v>21</v>
      </c>
      <c r="F386" s="341" t="s">
        <v>765</v>
      </c>
      <c r="G386" s="24" t="s">
        <v>766</v>
      </c>
      <c r="H386" s="24" t="s">
        <v>23</v>
      </c>
      <c r="I386" s="24">
        <v>3</v>
      </c>
      <c r="J386" s="24">
        <v>3</v>
      </c>
      <c r="K386" s="24">
        <v>3</v>
      </c>
      <c r="L386" s="21">
        <f t="shared" ref="L386:L449" si="13">IF(COUNT(I386:K386)=3,I386*J386*K386,"")</f>
        <v>27</v>
      </c>
      <c r="M386" s="21" t="str">
        <f t="shared" si="12"/>
        <v>Baixa</v>
      </c>
      <c r="N386" s="11"/>
      <c r="O386" s="119"/>
      <c r="P386" s="11"/>
      <c r="Q386" s="11"/>
      <c r="R386" s="11"/>
      <c r="S386" s="11"/>
    </row>
    <row r="387" spans="1:19" ht="16.5">
      <c r="A387" s="28">
        <v>386</v>
      </c>
      <c r="B387" s="119">
        <v>46287</v>
      </c>
      <c r="C387" s="11" t="s">
        <v>751</v>
      </c>
      <c r="D387" s="23" t="s">
        <v>29</v>
      </c>
      <c r="E387" s="23" t="s">
        <v>88</v>
      </c>
      <c r="F387" s="342" t="s">
        <v>767</v>
      </c>
      <c r="G387" s="23" t="s">
        <v>768</v>
      </c>
      <c r="H387" s="23" t="s">
        <v>23</v>
      </c>
      <c r="I387" s="23">
        <v>3</v>
      </c>
      <c r="J387" s="23">
        <v>3</v>
      </c>
      <c r="K387" s="23">
        <v>3</v>
      </c>
      <c r="L387" s="18">
        <f t="shared" si="13"/>
        <v>27</v>
      </c>
      <c r="M387" s="18" t="str">
        <f t="shared" si="12"/>
        <v>Baixa</v>
      </c>
      <c r="N387" s="11"/>
      <c r="O387" s="119"/>
      <c r="P387" s="11"/>
      <c r="Q387" s="11"/>
      <c r="R387" s="11"/>
      <c r="S387" s="11"/>
    </row>
    <row r="388" spans="1:19" ht="30.75">
      <c r="A388" s="28">
        <v>387</v>
      </c>
      <c r="B388" s="119">
        <v>46287</v>
      </c>
      <c r="C388" s="11" t="s">
        <v>751</v>
      </c>
      <c r="D388" s="24" t="s">
        <v>38</v>
      </c>
      <c r="E388" s="24" t="s">
        <v>21</v>
      </c>
      <c r="F388" s="341" t="s">
        <v>769</v>
      </c>
      <c r="G388" s="24" t="s">
        <v>770</v>
      </c>
      <c r="H388" s="24" t="s">
        <v>23</v>
      </c>
      <c r="I388" s="24">
        <v>3</v>
      </c>
      <c r="J388" s="24">
        <v>3</v>
      </c>
      <c r="K388" s="24">
        <v>3</v>
      </c>
      <c r="L388" s="21">
        <f t="shared" si="13"/>
        <v>27</v>
      </c>
      <c r="M388" s="21" t="str">
        <f t="shared" si="12"/>
        <v>Baixa</v>
      </c>
      <c r="N388" s="11"/>
      <c r="O388" s="119"/>
      <c r="P388" s="11"/>
      <c r="Q388" s="11"/>
      <c r="R388" s="11"/>
      <c r="S388" s="11"/>
    </row>
    <row r="389" spans="1:19" ht="33.75">
      <c r="A389" s="28">
        <v>388</v>
      </c>
      <c r="B389" s="119">
        <v>46287</v>
      </c>
      <c r="C389" s="11" t="s">
        <v>751</v>
      </c>
      <c r="D389" s="23" t="s">
        <v>29</v>
      </c>
      <c r="E389" s="23" t="s">
        <v>88</v>
      </c>
      <c r="F389" s="342" t="s">
        <v>771</v>
      </c>
      <c r="G389" s="23" t="s">
        <v>772</v>
      </c>
      <c r="H389" s="23" t="s">
        <v>23</v>
      </c>
      <c r="I389" s="23">
        <v>4</v>
      </c>
      <c r="J389" s="23">
        <v>4</v>
      </c>
      <c r="K389" s="23">
        <v>4</v>
      </c>
      <c r="L389" s="18">
        <f t="shared" si="13"/>
        <v>64</v>
      </c>
      <c r="M389" s="18" t="str">
        <f t="shared" si="12"/>
        <v>Moderada</v>
      </c>
      <c r="N389" s="11"/>
      <c r="O389" s="119"/>
      <c r="P389" s="11"/>
      <c r="Q389" s="11"/>
      <c r="R389" s="11"/>
      <c r="S389" s="11"/>
    </row>
    <row r="390" spans="1:19" ht="33.75">
      <c r="A390" s="28">
        <v>389</v>
      </c>
      <c r="B390" s="119">
        <v>46287</v>
      </c>
      <c r="C390" s="11" t="s">
        <v>751</v>
      </c>
      <c r="D390" s="24" t="s">
        <v>340</v>
      </c>
      <c r="E390" s="24" t="s">
        <v>216</v>
      </c>
      <c r="F390" s="341" t="s">
        <v>773</v>
      </c>
      <c r="G390" s="24" t="s">
        <v>774</v>
      </c>
      <c r="H390" s="24" t="s">
        <v>117</v>
      </c>
      <c r="I390" s="24">
        <v>4</v>
      </c>
      <c r="J390" s="24">
        <v>5</v>
      </c>
      <c r="K390" s="24">
        <v>4</v>
      </c>
      <c r="L390" s="21">
        <f t="shared" si="13"/>
        <v>80</v>
      </c>
      <c r="M390" s="21" t="str">
        <f t="shared" si="12"/>
        <v>Imediata</v>
      </c>
      <c r="N390" s="11"/>
      <c r="O390" s="119"/>
      <c r="P390" s="11"/>
      <c r="Q390" s="11"/>
      <c r="R390" s="11"/>
      <c r="S390" s="11"/>
    </row>
    <row r="391" spans="1:19" ht="33.75">
      <c r="A391" s="28">
        <v>390</v>
      </c>
      <c r="B391" s="119">
        <v>46287</v>
      </c>
      <c r="C391" s="11" t="s">
        <v>751</v>
      </c>
      <c r="D391" s="23" t="s">
        <v>29</v>
      </c>
      <c r="E391" s="23" t="s">
        <v>21</v>
      </c>
      <c r="F391" s="342" t="s">
        <v>775</v>
      </c>
      <c r="G391" s="23" t="s">
        <v>776</v>
      </c>
      <c r="H391" s="23" t="s">
        <v>23</v>
      </c>
      <c r="I391" s="23">
        <v>2</v>
      </c>
      <c r="J391" s="23">
        <v>3</v>
      </c>
      <c r="K391" s="23">
        <v>3</v>
      </c>
      <c r="L391" s="18">
        <f t="shared" si="13"/>
        <v>18</v>
      </c>
      <c r="M391" s="18" t="str">
        <f t="shared" si="12"/>
        <v>Baixa</v>
      </c>
      <c r="N391" s="11"/>
      <c r="O391" s="119"/>
      <c r="P391" s="11"/>
      <c r="Q391" s="11"/>
      <c r="R391" s="11"/>
      <c r="S391" s="11"/>
    </row>
    <row r="392" spans="1:19" ht="16.5">
      <c r="A392" s="28">
        <v>391</v>
      </c>
      <c r="B392" s="119">
        <v>46287</v>
      </c>
      <c r="C392" s="11" t="s">
        <v>751</v>
      </c>
      <c r="D392" s="24" t="s">
        <v>29</v>
      </c>
      <c r="E392" s="24" t="s">
        <v>21</v>
      </c>
      <c r="F392" s="341" t="s">
        <v>777</v>
      </c>
      <c r="G392" s="24" t="s">
        <v>778</v>
      </c>
      <c r="H392" s="24" t="s">
        <v>23</v>
      </c>
      <c r="I392" s="24">
        <v>2</v>
      </c>
      <c r="J392" s="24">
        <v>3</v>
      </c>
      <c r="K392" s="24">
        <v>2</v>
      </c>
      <c r="L392" s="21">
        <f t="shared" si="13"/>
        <v>12</v>
      </c>
      <c r="M392" s="21" t="str">
        <f t="shared" si="12"/>
        <v>Baixa</v>
      </c>
      <c r="N392" s="11"/>
      <c r="O392" s="119"/>
      <c r="P392" s="11"/>
      <c r="Q392" s="11"/>
      <c r="R392" s="11"/>
      <c r="S392" s="11"/>
    </row>
    <row r="393" spans="1:19" ht="33.75">
      <c r="A393" s="28">
        <v>392</v>
      </c>
      <c r="B393" s="119">
        <v>46287</v>
      </c>
      <c r="C393" s="11" t="s">
        <v>751</v>
      </c>
      <c r="D393" s="23" t="s">
        <v>46</v>
      </c>
      <c r="E393" s="23" t="s">
        <v>52</v>
      </c>
      <c r="F393" s="342" t="s">
        <v>779</v>
      </c>
      <c r="G393" s="23" t="s">
        <v>780</v>
      </c>
      <c r="H393" s="23" t="s">
        <v>23</v>
      </c>
      <c r="I393" s="23">
        <v>2</v>
      </c>
      <c r="J393" s="23">
        <v>3</v>
      </c>
      <c r="K393" s="23">
        <v>2</v>
      </c>
      <c r="L393" s="18">
        <f t="shared" si="13"/>
        <v>12</v>
      </c>
      <c r="M393" s="18" t="str">
        <f t="shared" si="12"/>
        <v>Baixa</v>
      </c>
      <c r="N393" s="11"/>
      <c r="O393" s="119"/>
      <c r="P393" s="11"/>
      <c r="Q393" s="11"/>
      <c r="R393" s="11"/>
      <c r="S393" s="11"/>
    </row>
    <row r="394" spans="1:19" ht="61.5">
      <c r="A394" s="28">
        <v>393</v>
      </c>
      <c r="B394" s="119">
        <v>46287</v>
      </c>
      <c r="C394" s="11" t="s">
        <v>751</v>
      </c>
      <c r="D394" s="24" t="s">
        <v>20</v>
      </c>
      <c r="E394" s="24" t="s">
        <v>88</v>
      </c>
      <c r="F394" s="343" t="s">
        <v>781</v>
      </c>
      <c r="G394" s="24" t="s">
        <v>782</v>
      </c>
      <c r="H394" s="24" t="s">
        <v>23</v>
      </c>
      <c r="I394" s="24">
        <v>3</v>
      </c>
      <c r="J394" s="24">
        <v>3</v>
      </c>
      <c r="K394" s="24">
        <v>2</v>
      </c>
      <c r="L394" s="21">
        <f t="shared" si="13"/>
        <v>18</v>
      </c>
      <c r="M394" s="21" t="str">
        <f t="shared" si="12"/>
        <v>Baixa</v>
      </c>
      <c r="N394" s="11"/>
      <c r="O394" s="119"/>
      <c r="P394" s="11"/>
      <c r="Q394" s="11"/>
      <c r="R394" s="11"/>
      <c r="S394" s="11"/>
    </row>
    <row r="395" spans="1:19" ht="46.5">
      <c r="A395" s="11">
        <v>394</v>
      </c>
      <c r="B395" s="119">
        <v>46301</v>
      </c>
      <c r="C395" s="11" t="s">
        <v>783</v>
      </c>
      <c r="D395" s="23" t="s">
        <v>29</v>
      </c>
      <c r="E395" s="23" t="s">
        <v>88</v>
      </c>
      <c r="F395" s="344" t="s">
        <v>784</v>
      </c>
      <c r="G395" s="23" t="s">
        <v>785</v>
      </c>
      <c r="H395" s="23" t="s">
        <v>23</v>
      </c>
      <c r="I395" s="23">
        <v>3</v>
      </c>
      <c r="J395" s="23">
        <v>3</v>
      </c>
      <c r="K395" s="23">
        <v>3</v>
      </c>
      <c r="L395" s="18">
        <f t="shared" si="13"/>
        <v>27</v>
      </c>
      <c r="M395" s="18" t="str">
        <f t="shared" si="12"/>
        <v>Baixa</v>
      </c>
      <c r="N395" s="11"/>
      <c r="O395" s="119"/>
      <c r="P395" s="11"/>
      <c r="Q395" s="11"/>
      <c r="R395" s="11"/>
      <c r="S395" s="11"/>
    </row>
    <row r="396" spans="1:19" ht="30.75">
      <c r="A396" s="11">
        <v>395</v>
      </c>
      <c r="B396" s="119">
        <v>46301</v>
      </c>
      <c r="C396" s="11" t="s">
        <v>783</v>
      </c>
      <c r="D396" s="24" t="s">
        <v>38</v>
      </c>
      <c r="E396" s="24" t="s">
        <v>21</v>
      </c>
      <c r="F396" s="344" t="s">
        <v>786</v>
      </c>
      <c r="G396" s="24" t="s">
        <v>787</v>
      </c>
      <c r="H396" s="24" t="s">
        <v>23</v>
      </c>
      <c r="I396" s="24">
        <v>3</v>
      </c>
      <c r="J396" s="24">
        <v>3</v>
      </c>
      <c r="K396" s="24">
        <v>3</v>
      </c>
      <c r="L396" s="21">
        <f t="shared" si="13"/>
        <v>27</v>
      </c>
      <c r="M396" s="21" t="str">
        <f t="shared" si="12"/>
        <v>Baixa</v>
      </c>
      <c r="N396" s="11"/>
      <c r="O396" s="119"/>
      <c r="P396" s="11"/>
      <c r="Q396" s="11"/>
      <c r="R396" s="11"/>
      <c r="S396" s="11"/>
    </row>
    <row r="397" spans="1:19" ht="30.75">
      <c r="A397" s="11">
        <v>396</v>
      </c>
      <c r="B397" s="119">
        <v>46301</v>
      </c>
      <c r="C397" s="11" t="s">
        <v>783</v>
      </c>
      <c r="D397" s="23" t="s">
        <v>20</v>
      </c>
      <c r="E397" s="23" t="s">
        <v>21</v>
      </c>
      <c r="F397" s="344" t="s">
        <v>788</v>
      </c>
      <c r="G397" s="23" t="s">
        <v>789</v>
      </c>
      <c r="H397" s="23" t="s">
        <v>23</v>
      </c>
      <c r="I397" s="23">
        <v>3</v>
      </c>
      <c r="J397" s="23">
        <v>3</v>
      </c>
      <c r="K397" s="23">
        <v>3</v>
      </c>
      <c r="L397" s="18">
        <f t="shared" si="13"/>
        <v>27</v>
      </c>
      <c r="M397" s="18" t="str">
        <f t="shared" si="12"/>
        <v>Baixa</v>
      </c>
      <c r="N397" s="11"/>
      <c r="O397" s="119"/>
      <c r="P397" s="11"/>
      <c r="Q397" s="11"/>
      <c r="R397" s="11"/>
      <c r="S397" s="11"/>
    </row>
    <row r="398" spans="1:19" ht="33.75">
      <c r="A398" s="11">
        <v>397</v>
      </c>
      <c r="B398" s="119">
        <v>46301</v>
      </c>
      <c r="C398" s="11" t="s">
        <v>783</v>
      </c>
      <c r="D398" s="24" t="s">
        <v>340</v>
      </c>
      <c r="E398" s="24" t="s">
        <v>216</v>
      </c>
      <c r="F398" s="344" t="s">
        <v>790</v>
      </c>
      <c r="G398" s="24" t="s">
        <v>791</v>
      </c>
      <c r="H398" s="24" t="s">
        <v>117</v>
      </c>
      <c r="I398" s="24">
        <v>3</v>
      </c>
      <c r="J398" s="24">
        <v>5</v>
      </c>
      <c r="K398" s="24">
        <v>3</v>
      </c>
      <c r="L398" s="21">
        <f t="shared" si="13"/>
        <v>45</v>
      </c>
      <c r="M398" s="21" t="str">
        <f t="shared" si="12"/>
        <v>Imediata</v>
      </c>
      <c r="N398" s="11"/>
      <c r="O398" s="119"/>
      <c r="P398" s="11"/>
      <c r="Q398" s="11"/>
      <c r="R398" s="11"/>
      <c r="S398" s="11"/>
    </row>
    <row r="399" spans="1:19" ht="30.75">
      <c r="A399" s="11">
        <v>398</v>
      </c>
      <c r="B399" s="119">
        <v>46301</v>
      </c>
      <c r="C399" s="11" t="s">
        <v>783</v>
      </c>
      <c r="D399" s="23" t="s">
        <v>29</v>
      </c>
      <c r="E399" s="23" t="s">
        <v>97</v>
      </c>
      <c r="F399" s="344" t="s">
        <v>792</v>
      </c>
      <c r="G399" s="23" t="s">
        <v>793</v>
      </c>
      <c r="H399" s="23" t="s">
        <v>23</v>
      </c>
      <c r="I399" s="23">
        <v>3</v>
      </c>
      <c r="J399" s="23">
        <v>3</v>
      </c>
      <c r="K399" s="23">
        <v>3</v>
      </c>
      <c r="L399" s="18">
        <f t="shared" si="13"/>
        <v>27</v>
      </c>
      <c r="M399" s="18" t="str">
        <f t="shared" si="12"/>
        <v>Baixa</v>
      </c>
      <c r="N399" s="11"/>
      <c r="O399" s="119"/>
      <c r="P399" s="11"/>
      <c r="Q399" s="11"/>
      <c r="R399" s="11"/>
      <c r="S399" s="11"/>
    </row>
    <row r="400" spans="1:19" ht="33.75">
      <c r="A400" s="11">
        <v>399</v>
      </c>
      <c r="B400" s="119">
        <v>46301</v>
      </c>
      <c r="C400" s="11" t="s">
        <v>783</v>
      </c>
      <c r="D400" s="24" t="s">
        <v>38</v>
      </c>
      <c r="E400" s="24" t="s">
        <v>21</v>
      </c>
      <c r="F400" s="344" t="s">
        <v>794</v>
      </c>
      <c r="G400" s="24" t="s">
        <v>712</v>
      </c>
      <c r="H400" s="24" t="s">
        <v>23</v>
      </c>
      <c r="I400" s="24">
        <v>3</v>
      </c>
      <c r="J400" s="24">
        <v>4</v>
      </c>
      <c r="K400" s="24">
        <v>3</v>
      </c>
      <c r="L400" s="21">
        <f t="shared" si="13"/>
        <v>36</v>
      </c>
      <c r="M400" s="21" t="str">
        <f t="shared" si="12"/>
        <v>Moderada</v>
      </c>
      <c r="N400" s="11"/>
      <c r="O400" s="119"/>
      <c r="P400" s="11"/>
      <c r="Q400" s="11"/>
      <c r="R400" s="11"/>
      <c r="S400" s="11"/>
    </row>
    <row r="401" spans="1:19" ht="16.5">
      <c r="A401" s="11">
        <v>400</v>
      </c>
      <c r="B401" s="119">
        <v>46301</v>
      </c>
      <c r="C401" s="11" t="s">
        <v>783</v>
      </c>
      <c r="D401" s="23" t="s">
        <v>38</v>
      </c>
      <c r="E401" s="23" t="s">
        <v>52</v>
      </c>
      <c r="F401" s="344" t="s">
        <v>795</v>
      </c>
      <c r="G401" s="23" t="s">
        <v>796</v>
      </c>
      <c r="H401" s="23" t="s">
        <v>23</v>
      </c>
      <c r="I401" s="23">
        <v>3</v>
      </c>
      <c r="J401" s="23">
        <v>3</v>
      </c>
      <c r="K401" s="23">
        <v>3</v>
      </c>
      <c r="L401" s="18">
        <f t="shared" si="13"/>
        <v>27</v>
      </c>
      <c r="M401" s="18" t="str">
        <f t="shared" si="12"/>
        <v>Baixa</v>
      </c>
      <c r="N401" s="11"/>
      <c r="O401" s="119"/>
      <c r="P401" s="11"/>
      <c r="Q401" s="11"/>
      <c r="R401" s="11"/>
      <c r="S401" s="11"/>
    </row>
    <row r="402" spans="1:19" ht="30.75">
      <c r="A402" s="11">
        <v>401</v>
      </c>
      <c r="B402" s="119">
        <v>46301</v>
      </c>
      <c r="C402" s="11" t="s">
        <v>783</v>
      </c>
      <c r="D402" s="24" t="s">
        <v>38</v>
      </c>
      <c r="E402" s="24" t="s">
        <v>52</v>
      </c>
      <c r="F402" s="344" t="s">
        <v>797</v>
      </c>
      <c r="G402" s="24" t="s">
        <v>798</v>
      </c>
      <c r="H402" s="24" t="s">
        <v>23</v>
      </c>
      <c r="I402" s="24">
        <v>3</v>
      </c>
      <c r="J402" s="24">
        <v>3</v>
      </c>
      <c r="K402" s="24">
        <v>3</v>
      </c>
      <c r="L402" s="21">
        <f t="shared" si="13"/>
        <v>27</v>
      </c>
      <c r="M402" s="21" t="str">
        <f t="shared" si="12"/>
        <v>Baixa</v>
      </c>
      <c r="N402" s="11"/>
      <c r="O402" s="119"/>
      <c r="P402" s="11"/>
      <c r="Q402" s="11"/>
      <c r="R402" s="11"/>
      <c r="S402" s="11"/>
    </row>
    <row r="403" spans="1:19" ht="46.5">
      <c r="A403" s="11">
        <v>402</v>
      </c>
      <c r="B403" s="119">
        <v>46301</v>
      </c>
      <c r="C403" s="11" t="s">
        <v>783</v>
      </c>
      <c r="D403" s="23" t="s">
        <v>29</v>
      </c>
      <c r="E403" s="23" t="s">
        <v>88</v>
      </c>
      <c r="F403" s="344" t="s">
        <v>799</v>
      </c>
      <c r="G403" s="23" t="s">
        <v>800</v>
      </c>
      <c r="H403" s="23" t="s">
        <v>117</v>
      </c>
      <c r="I403" s="23">
        <v>3</v>
      </c>
      <c r="J403" s="23">
        <v>5</v>
      </c>
      <c r="K403" s="23">
        <v>3</v>
      </c>
      <c r="L403" s="18">
        <f t="shared" si="13"/>
        <v>45</v>
      </c>
      <c r="M403" s="18" t="str">
        <f t="shared" si="12"/>
        <v>Imediata</v>
      </c>
      <c r="N403" s="11"/>
      <c r="O403" s="119"/>
      <c r="P403" s="11"/>
      <c r="Q403" s="11"/>
      <c r="R403" s="11"/>
      <c r="S403" s="11"/>
    </row>
    <row r="404" spans="1:19" ht="30.75">
      <c r="A404" s="11">
        <v>403</v>
      </c>
      <c r="B404" s="119">
        <v>46301</v>
      </c>
      <c r="C404" s="11" t="s">
        <v>783</v>
      </c>
      <c r="D404" s="24" t="s">
        <v>29</v>
      </c>
      <c r="E404" s="24" t="s">
        <v>21</v>
      </c>
      <c r="F404" s="344" t="s">
        <v>801</v>
      </c>
      <c r="G404" s="24" t="s">
        <v>802</v>
      </c>
      <c r="H404" s="24" t="s">
        <v>23</v>
      </c>
      <c r="I404" s="24">
        <v>3</v>
      </c>
      <c r="J404" s="24">
        <v>3</v>
      </c>
      <c r="K404" s="24">
        <v>3</v>
      </c>
      <c r="L404" s="21">
        <f t="shared" si="13"/>
        <v>27</v>
      </c>
      <c r="M404" s="21" t="str">
        <f t="shared" si="12"/>
        <v>Baixa</v>
      </c>
      <c r="N404" s="11"/>
      <c r="O404" s="119"/>
      <c r="P404" s="11"/>
      <c r="Q404" s="11"/>
      <c r="R404" s="11"/>
      <c r="S404" s="11"/>
    </row>
    <row r="405" spans="1:19" ht="33.75">
      <c r="A405" s="11">
        <v>404</v>
      </c>
      <c r="B405" s="119">
        <v>46301</v>
      </c>
      <c r="C405" s="11" t="s">
        <v>783</v>
      </c>
      <c r="D405" s="23" t="s">
        <v>38</v>
      </c>
      <c r="E405" s="23" t="s">
        <v>21</v>
      </c>
      <c r="F405" s="344" t="s">
        <v>803</v>
      </c>
      <c r="G405" s="23" t="s">
        <v>675</v>
      </c>
      <c r="H405" s="23" t="s">
        <v>23</v>
      </c>
      <c r="I405" s="23">
        <v>3</v>
      </c>
      <c r="J405" s="23">
        <v>3</v>
      </c>
      <c r="K405" s="23">
        <v>3</v>
      </c>
      <c r="L405" s="18">
        <f t="shared" si="13"/>
        <v>27</v>
      </c>
      <c r="M405" s="18" t="str">
        <f t="shared" si="12"/>
        <v>Baixa</v>
      </c>
      <c r="N405" s="11"/>
      <c r="O405" s="119"/>
      <c r="P405" s="11"/>
      <c r="Q405" s="11"/>
      <c r="R405" s="11"/>
      <c r="S405" s="11"/>
    </row>
    <row r="406" spans="1:19" ht="30.75">
      <c r="A406" s="11">
        <v>405</v>
      </c>
      <c r="B406" s="119">
        <v>46301</v>
      </c>
      <c r="C406" s="11" t="s">
        <v>783</v>
      </c>
      <c r="D406" s="24" t="s">
        <v>38</v>
      </c>
      <c r="E406" s="24" t="s">
        <v>21</v>
      </c>
      <c r="F406" s="344" t="s">
        <v>804</v>
      </c>
      <c r="G406" s="24" t="s">
        <v>805</v>
      </c>
      <c r="H406" s="24" t="s">
        <v>23</v>
      </c>
      <c r="I406" s="24">
        <v>3</v>
      </c>
      <c r="J406" s="24">
        <v>4</v>
      </c>
      <c r="K406" s="24">
        <v>3</v>
      </c>
      <c r="L406" s="21">
        <f t="shared" si="13"/>
        <v>36</v>
      </c>
      <c r="M406" s="21" t="str">
        <f t="shared" si="12"/>
        <v>Moderada</v>
      </c>
      <c r="N406" s="11"/>
      <c r="O406" s="119"/>
      <c r="P406" s="11"/>
      <c r="Q406" s="11"/>
      <c r="R406" s="11"/>
      <c r="S406" s="11"/>
    </row>
    <row r="407" spans="1:19" ht="46.5">
      <c r="A407" s="11">
        <v>406</v>
      </c>
      <c r="B407" s="119">
        <v>46301</v>
      </c>
      <c r="C407" s="11" t="s">
        <v>783</v>
      </c>
      <c r="D407" s="23" t="s">
        <v>29</v>
      </c>
      <c r="E407" s="23" t="s">
        <v>344</v>
      </c>
      <c r="F407" s="344" t="s">
        <v>806</v>
      </c>
      <c r="G407" s="23" t="s">
        <v>807</v>
      </c>
      <c r="H407" s="23" t="s">
        <v>23</v>
      </c>
      <c r="I407" s="23">
        <v>4</v>
      </c>
      <c r="J407" s="23">
        <v>4</v>
      </c>
      <c r="K407" s="23">
        <v>4</v>
      </c>
      <c r="L407" s="18">
        <f t="shared" si="13"/>
        <v>64</v>
      </c>
      <c r="M407" s="18" t="str">
        <f t="shared" si="12"/>
        <v>Moderada</v>
      </c>
      <c r="N407" s="11"/>
      <c r="O407" s="119"/>
      <c r="P407" s="11"/>
      <c r="Q407" s="11"/>
      <c r="R407" s="11"/>
      <c r="S407" s="11"/>
    </row>
    <row r="408" spans="1:19" ht="30.75">
      <c r="A408" s="11">
        <v>407</v>
      </c>
      <c r="B408" s="119">
        <v>46301</v>
      </c>
      <c r="C408" s="11" t="s">
        <v>783</v>
      </c>
      <c r="D408" s="24" t="s">
        <v>38</v>
      </c>
      <c r="E408" s="24" t="s">
        <v>21</v>
      </c>
      <c r="F408" s="344" t="s">
        <v>808</v>
      </c>
      <c r="G408" s="24" t="s">
        <v>677</v>
      </c>
      <c r="H408" s="24" t="s">
        <v>23</v>
      </c>
      <c r="I408" s="24">
        <v>3</v>
      </c>
      <c r="J408" s="24">
        <v>3</v>
      </c>
      <c r="K408" s="24">
        <v>3</v>
      </c>
      <c r="L408" s="21">
        <f t="shared" si="13"/>
        <v>27</v>
      </c>
      <c r="M408" s="21" t="str">
        <f t="shared" si="12"/>
        <v>Baixa</v>
      </c>
      <c r="N408" s="11"/>
      <c r="O408" s="119"/>
      <c r="P408" s="11"/>
      <c r="Q408" s="11"/>
      <c r="R408" s="11"/>
      <c r="S408" s="11"/>
    </row>
    <row r="409" spans="1:19" ht="33.75">
      <c r="A409" s="11">
        <v>408</v>
      </c>
      <c r="B409" s="119">
        <v>46301</v>
      </c>
      <c r="C409" s="11" t="s">
        <v>783</v>
      </c>
      <c r="D409" s="23" t="s">
        <v>38</v>
      </c>
      <c r="E409" s="23" t="s">
        <v>21</v>
      </c>
      <c r="F409" s="344" t="s">
        <v>809</v>
      </c>
      <c r="G409" s="23" t="s">
        <v>712</v>
      </c>
      <c r="H409" s="23" t="s">
        <v>23</v>
      </c>
      <c r="I409" s="23">
        <v>3</v>
      </c>
      <c r="J409" s="23">
        <v>4</v>
      </c>
      <c r="K409" s="23">
        <v>3</v>
      </c>
      <c r="L409" s="18">
        <f t="shared" si="13"/>
        <v>36</v>
      </c>
      <c r="M409" s="18" t="str">
        <f t="shared" si="12"/>
        <v>Moderada</v>
      </c>
      <c r="N409" s="11"/>
      <c r="O409" s="119"/>
      <c r="P409" s="11"/>
      <c r="Q409" s="11"/>
      <c r="R409" s="11"/>
      <c r="S409" s="11"/>
    </row>
    <row r="410" spans="1:19" ht="33.75">
      <c r="A410" s="11">
        <v>409</v>
      </c>
      <c r="B410" s="119">
        <v>46301</v>
      </c>
      <c r="C410" s="11" t="s">
        <v>783</v>
      </c>
      <c r="D410" s="24" t="s">
        <v>114</v>
      </c>
      <c r="E410" s="24" t="s">
        <v>97</v>
      </c>
      <c r="F410" s="344" t="s">
        <v>810</v>
      </c>
      <c r="G410" s="24" t="s">
        <v>756</v>
      </c>
      <c r="H410" s="24" t="s">
        <v>23</v>
      </c>
      <c r="I410" s="24">
        <v>3</v>
      </c>
      <c r="J410" s="24">
        <v>4</v>
      </c>
      <c r="K410" s="24">
        <v>3</v>
      </c>
      <c r="L410" s="21">
        <f t="shared" si="13"/>
        <v>36</v>
      </c>
      <c r="M410" s="21" t="str">
        <f t="shared" si="12"/>
        <v>Moderada</v>
      </c>
      <c r="N410" s="11"/>
      <c r="O410" s="119"/>
      <c r="P410" s="11"/>
      <c r="Q410" s="11"/>
      <c r="R410" s="11"/>
      <c r="S410" s="11"/>
    </row>
    <row r="411" spans="1:19" ht="33.75">
      <c r="A411" s="11">
        <v>410</v>
      </c>
      <c r="B411" s="119">
        <v>46301</v>
      </c>
      <c r="C411" s="11" t="s">
        <v>783</v>
      </c>
      <c r="D411" s="23" t="s">
        <v>114</v>
      </c>
      <c r="E411" s="23" t="s">
        <v>344</v>
      </c>
      <c r="F411" s="344" t="s">
        <v>811</v>
      </c>
      <c r="G411" s="23" t="s">
        <v>812</v>
      </c>
      <c r="H411" s="23" t="s">
        <v>23</v>
      </c>
      <c r="I411" s="23">
        <v>3</v>
      </c>
      <c r="J411" s="23">
        <v>4</v>
      </c>
      <c r="K411" s="23">
        <v>3</v>
      </c>
      <c r="L411" s="18">
        <f t="shared" si="13"/>
        <v>36</v>
      </c>
      <c r="M411" s="18" t="str">
        <f t="shared" si="12"/>
        <v>Moderada</v>
      </c>
      <c r="N411" s="11"/>
      <c r="O411" s="119"/>
      <c r="P411" s="11"/>
      <c r="Q411" s="11"/>
      <c r="R411" s="11"/>
      <c r="S411" s="11"/>
    </row>
    <row r="412" spans="1:19" ht="61.5">
      <c r="A412" s="11">
        <v>411</v>
      </c>
      <c r="B412" s="119">
        <v>46301</v>
      </c>
      <c r="C412" s="11" t="s">
        <v>783</v>
      </c>
      <c r="D412" s="24" t="s">
        <v>29</v>
      </c>
      <c r="E412" s="24" t="s">
        <v>88</v>
      </c>
      <c r="F412" s="344" t="s">
        <v>813</v>
      </c>
      <c r="G412" s="24" t="s">
        <v>814</v>
      </c>
      <c r="H412" s="24" t="s">
        <v>23</v>
      </c>
      <c r="I412" s="24">
        <v>3</v>
      </c>
      <c r="J412" s="24">
        <v>4</v>
      </c>
      <c r="K412" s="24">
        <v>3</v>
      </c>
      <c r="L412" s="21">
        <f t="shared" si="13"/>
        <v>36</v>
      </c>
      <c r="M412" s="21" t="str">
        <f t="shared" si="12"/>
        <v>Moderada</v>
      </c>
      <c r="N412" s="11"/>
      <c r="O412" s="119"/>
      <c r="P412" s="11"/>
      <c r="Q412" s="11"/>
      <c r="R412" s="11"/>
      <c r="S412" s="11"/>
    </row>
    <row r="413" spans="1:19" ht="33.75">
      <c r="A413" s="11">
        <v>412</v>
      </c>
      <c r="B413" s="119">
        <v>46301</v>
      </c>
      <c r="C413" s="11" t="s">
        <v>783</v>
      </c>
      <c r="D413" s="23" t="s">
        <v>29</v>
      </c>
      <c r="E413" s="23" t="s">
        <v>88</v>
      </c>
      <c r="F413" s="344" t="s">
        <v>815</v>
      </c>
      <c r="G413" s="23" t="s">
        <v>746</v>
      </c>
      <c r="H413" s="23" t="s">
        <v>23</v>
      </c>
      <c r="I413" s="23">
        <v>3</v>
      </c>
      <c r="J413" s="23">
        <v>3</v>
      </c>
      <c r="K413" s="23">
        <v>3</v>
      </c>
      <c r="L413" s="18">
        <f t="shared" si="13"/>
        <v>27</v>
      </c>
      <c r="M413" s="18" t="str">
        <f t="shared" si="12"/>
        <v>Baixa</v>
      </c>
      <c r="N413" s="11"/>
      <c r="O413" s="119"/>
      <c r="P413" s="11"/>
      <c r="Q413" s="11"/>
      <c r="R413" s="11"/>
      <c r="S413" s="11"/>
    </row>
    <row r="414" spans="1:19">
      <c r="A414" s="11"/>
      <c r="B414" s="11"/>
      <c r="C414" s="11"/>
      <c r="D414" s="11"/>
      <c r="E414" s="11"/>
      <c r="F414" s="11"/>
      <c r="G414" s="11"/>
      <c r="H414" s="11"/>
      <c r="I414" s="11"/>
      <c r="J414" s="11"/>
      <c r="K414" s="11"/>
      <c r="L414" s="21" t="str">
        <f t="shared" si="13"/>
        <v/>
      </c>
      <c r="M414" s="21" t="str">
        <f t="shared" si="12"/>
        <v>Pendente de avaliação</v>
      </c>
      <c r="N414" s="11"/>
      <c r="O414" s="119"/>
      <c r="P414" s="11"/>
      <c r="Q414" s="11"/>
      <c r="R414" s="11"/>
      <c r="S414" s="11"/>
    </row>
    <row r="415" spans="1:19">
      <c r="A415" s="11"/>
      <c r="B415" s="11"/>
      <c r="C415" s="11"/>
      <c r="D415" s="11"/>
      <c r="E415" s="11"/>
      <c r="F415" s="11"/>
      <c r="G415" s="11"/>
      <c r="H415" s="11"/>
      <c r="I415" s="11"/>
      <c r="J415" s="11"/>
      <c r="K415" s="11"/>
      <c r="L415" s="18" t="str">
        <f t="shared" si="13"/>
        <v/>
      </c>
      <c r="M415" s="18" t="str">
        <f t="shared" si="12"/>
        <v>Pendente de avaliação</v>
      </c>
      <c r="N415" s="11"/>
      <c r="O415" s="119"/>
      <c r="P415" s="11"/>
      <c r="Q415" s="11"/>
      <c r="R415" s="11"/>
      <c r="S415" s="11"/>
    </row>
    <row r="416" spans="1:19">
      <c r="A416" s="11"/>
      <c r="B416" s="11"/>
      <c r="C416" s="11"/>
      <c r="D416" s="11"/>
      <c r="E416" s="11"/>
      <c r="F416" s="11"/>
      <c r="G416" s="11"/>
      <c r="H416" s="11"/>
      <c r="I416" s="11"/>
      <c r="J416" s="11"/>
      <c r="K416" s="11"/>
      <c r="L416" s="21" t="str">
        <f t="shared" si="13"/>
        <v/>
      </c>
      <c r="M416" s="21" t="str">
        <f t="shared" si="12"/>
        <v>Pendente de avaliação</v>
      </c>
      <c r="N416" s="11"/>
      <c r="O416" s="119"/>
      <c r="P416" s="11"/>
      <c r="Q416" s="11"/>
      <c r="R416" s="11"/>
      <c r="S416" s="11"/>
    </row>
    <row r="417" spans="1:19">
      <c r="A417" s="11"/>
      <c r="B417" s="11"/>
      <c r="C417" s="11"/>
      <c r="D417" s="11"/>
      <c r="E417" s="11"/>
      <c r="F417" s="11"/>
      <c r="G417" s="11"/>
      <c r="H417" s="11"/>
      <c r="I417" s="11"/>
      <c r="J417" s="11"/>
      <c r="K417" s="11"/>
      <c r="L417" s="18" t="str">
        <f t="shared" si="13"/>
        <v/>
      </c>
      <c r="M417" s="18" t="str">
        <f t="shared" si="12"/>
        <v>Pendente de avaliação</v>
      </c>
      <c r="N417" s="11"/>
      <c r="O417" s="119"/>
      <c r="P417" s="11"/>
      <c r="Q417" s="11"/>
      <c r="R417" s="11"/>
      <c r="S417" s="11"/>
    </row>
    <row r="418" spans="1:19">
      <c r="A418" s="11"/>
      <c r="B418" s="11"/>
      <c r="C418" s="11"/>
      <c r="D418" s="11"/>
      <c r="E418" s="11"/>
      <c r="F418" s="11"/>
      <c r="G418" s="11"/>
      <c r="H418" s="11"/>
      <c r="I418" s="11"/>
      <c r="J418" s="11"/>
      <c r="K418" s="11"/>
      <c r="L418" s="21" t="str">
        <f t="shared" si="13"/>
        <v/>
      </c>
      <c r="M418" s="21" t="str">
        <f t="shared" si="12"/>
        <v>Pendente de avaliação</v>
      </c>
      <c r="N418" s="11"/>
      <c r="O418" s="119"/>
      <c r="P418" s="11"/>
      <c r="Q418" s="11"/>
      <c r="R418" s="11"/>
      <c r="S418" s="11"/>
    </row>
    <row r="419" spans="1:19">
      <c r="A419" s="11"/>
      <c r="B419" s="11"/>
      <c r="C419" s="11"/>
      <c r="D419" s="11"/>
      <c r="E419" s="11"/>
      <c r="F419" s="11"/>
      <c r="G419" s="11"/>
      <c r="H419" s="11"/>
      <c r="I419" s="11"/>
      <c r="J419" s="11"/>
      <c r="K419" s="11"/>
      <c r="L419" s="18" t="str">
        <f t="shared" si="13"/>
        <v/>
      </c>
      <c r="M419" s="18" t="str">
        <f t="shared" si="12"/>
        <v>Pendente de avaliação</v>
      </c>
      <c r="N419" s="11"/>
      <c r="O419" s="119"/>
      <c r="P419" s="11"/>
      <c r="Q419" s="11"/>
      <c r="R419" s="11"/>
      <c r="S419" s="11"/>
    </row>
    <row r="420" spans="1:19">
      <c r="A420" s="11"/>
      <c r="B420" s="11"/>
      <c r="C420" s="11"/>
      <c r="D420" s="11"/>
      <c r="E420" s="11"/>
      <c r="F420" s="11"/>
      <c r="G420" s="11"/>
      <c r="H420" s="11"/>
      <c r="I420" s="11"/>
      <c r="J420" s="11"/>
      <c r="K420" s="11"/>
      <c r="L420" s="21" t="str">
        <f t="shared" si="13"/>
        <v/>
      </c>
      <c r="M420" s="21" t="str">
        <f t="shared" si="12"/>
        <v>Pendente de avaliação</v>
      </c>
      <c r="N420" s="11"/>
      <c r="O420" s="119"/>
      <c r="P420" s="11"/>
      <c r="Q420" s="11"/>
      <c r="R420" s="11"/>
      <c r="S420" s="11"/>
    </row>
    <row r="421" spans="1:19">
      <c r="A421" s="11"/>
      <c r="B421" s="11"/>
      <c r="C421" s="11"/>
      <c r="D421" s="11"/>
      <c r="E421" s="11"/>
      <c r="F421" s="11"/>
      <c r="G421" s="11"/>
      <c r="H421" s="11"/>
      <c r="I421" s="11"/>
      <c r="J421" s="11"/>
      <c r="K421" s="11"/>
      <c r="L421" s="18" t="str">
        <f t="shared" si="13"/>
        <v/>
      </c>
      <c r="M421" s="18" t="str">
        <f t="shared" si="12"/>
        <v>Pendente de avaliação</v>
      </c>
      <c r="N421" s="11"/>
      <c r="O421" s="119"/>
      <c r="P421" s="11"/>
      <c r="Q421" s="11"/>
      <c r="R421" s="11"/>
      <c r="S421" s="11"/>
    </row>
    <row r="422" spans="1:19">
      <c r="A422" s="11"/>
      <c r="B422" s="11"/>
      <c r="C422" s="11"/>
      <c r="D422" s="11"/>
      <c r="E422" s="11"/>
      <c r="F422" s="11"/>
      <c r="G422" s="11"/>
      <c r="H422" s="11"/>
      <c r="I422" s="11"/>
      <c r="J422" s="11"/>
      <c r="K422" s="11"/>
      <c r="L422" s="21" t="str">
        <f t="shared" si="13"/>
        <v/>
      </c>
      <c r="M422" s="21" t="str">
        <f t="shared" si="12"/>
        <v>Pendente de avaliação</v>
      </c>
      <c r="N422" s="11"/>
      <c r="O422" s="119"/>
      <c r="P422" s="11"/>
      <c r="Q422" s="11"/>
      <c r="R422" s="11"/>
      <c r="S422" s="11"/>
    </row>
    <row r="423" spans="1:19">
      <c r="A423" s="11"/>
      <c r="B423" s="11"/>
      <c r="C423" s="11"/>
      <c r="D423" s="11"/>
      <c r="E423" s="11"/>
      <c r="F423" s="11"/>
      <c r="G423" s="11"/>
      <c r="H423" s="11"/>
      <c r="I423" s="11"/>
      <c r="J423" s="11"/>
      <c r="K423" s="11"/>
      <c r="L423" s="18" t="str">
        <f t="shared" si="13"/>
        <v/>
      </c>
      <c r="M423" s="18" t="str">
        <f t="shared" si="12"/>
        <v>Pendente de avaliação</v>
      </c>
      <c r="N423" s="11"/>
      <c r="O423" s="119"/>
      <c r="P423" s="11"/>
      <c r="Q423" s="11"/>
      <c r="R423" s="11"/>
      <c r="S423" s="11"/>
    </row>
    <row r="424" spans="1:19">
      <c r="A424" s="11"/>
      <c r="B424" s="11"/>
      <c r="C424" s="11"/>
      <c r="D424" s="11"/>
      <c r="E424" s="11"/>
      <c r="F424" s="11"/>
      <c r="G424" s="11"/>
      <c r="H424" s="11"/>
      <c r="I424" s="11"/>
      <c r="J424" s="11"/>
      <c r="K424" s="11"/>
      <c r="L424" s="21" t="str">
        <f t="shared" si="13"/>
        <v/>
      </c>
      <c r="M424" s="21" t="str">
        <f t="shared" si="12"/>
        <v>Pendente de avaliação</v>
      </c>
      <c r="N424" s="11"/>
      <c r="O424" s="119"/>
      <c r="P424" s="11"/>
      <c r="Q424" s="11"/>
      <c r="R424" s="11"/>
      <c r="S424" s="11"/>
    </row>
    <row r="425" spans="1:19">
      <c r="A425" s="11"/>
      <c r="B425" s="11"/>
      <c r="C425" s="11"/>
      <c r="D425" s="11"/>
      <c r="E425" s="11"/>
      <c r="F425" s="11"/>
      <c r="G425" s="11"/>
      <c r="H425" s="11"/>
      <c r="I425" s="11"/>
      <c r="J425" s="11"/>
      <c r="K425" s="11"/>
      <c r="L425" s="18" t="str">
        <f t="shared" si="13"/>
        <v/>
      </c>
      <c r="M425" s="18" t="str">
        <f t="shared" si="12"/>
        <v>Pendente de avaliação</v>
      </c>
      <c r="N425" s="11"/>
      <c r="O425" s="119"/>
      <c r="P425" s="11"/>
      <c r="Q425" s="11"/>
      <c r="R425" s="11"/>
      <c r="S425" s="11"/>
    </row>
    <row r="426" spans="1:19">
      <c r="A426" s="11"/>
      <c r="B426" s="11"/>
      <c r="C426" s="11"/>
      <c r="D426" s="11"/>
      <c r="E426" s="11"/>
      <c r="F426" s="11"/>
      <c r="G426" s="11"/>
      <c r="H426" s="11"/>
      <c r="I426" s="11"/>
      <c r="J426" s="11"/>
      <c r="K426" s="11"/>
      <c r="L426" s="21" t="str">
        <f t="shared" si="13"/>
        <v/>
      </c>
      <c r="M426" s="21" t="str">
        <f t="shared" si="12"/>
        <v>Pendente de avaliação</v>
      </c>
      <c r="N426" s="11"/>
      <c r="O426" s="119"/>
      <c r="P426" s="11"/>
      <c r="Q426" s="11"/>
      <c r="R426" s="11"/>
      <c r="S426" s="11"/>
    </row>
    <row r="427" spans="1:19">
      <c r="A427" s="11"/>
      <c r="B427" s="11"/>
      <c r="C427" s="11"/>
      <c r="D427" s="11"/>
      <c r="E427" s="11"/>
      <c r="F427" s="11"/>
      <c r="G427" s="11"/>
      <c r="H427" s="11"/>
      <c r="I427" s="11"/>
      <c r="J427" s="11"/>
      <c r="K427" s="11"/>
      <c r="L427" s="18" t="str">
        <f t="shared" si="13"/>
        <v/>
      </c>
      <c r="M427" s="18" t="str">
        <f t="shared" si="12"/>
        <v>Pendente de avaliação</v>
      </c>
      <c r="N427" s="11"/>
      <c r="O427" s="119"/>
      <c r="P427" s="11"/>
      <c r="Q427" s="11"/>
      <c r="R427" s="11"/>
      <c r="S427" s="11"/>
    </row>
    <row r="428" spans="1:19">
      <c r="A428" s="11"/>
      <c r="B428" s="11"/>
      <c r="C428" s="11"/>
      <c r="D428" s="11"/>
      <c r="E428" s="11"/>
      <c r="F428" s="11"/>
      <c r="G428" s="11"/>
      <c r="H428" s="11"/>
      <c r="I428" s="11"/>
      <c r="J428" s="11"/>
      <c r="K428" s="11"/>
      <c r="L428" s="21" t="str">
        <f t="shared" si="13"/>
        <v/>
      </c>
      <c r="M428" s="21" t="str">
        <f t="shared" si="12"/>
        <v>Pendente de avaliação</v>
      </c>
      <c r="N428" s="11"/>
      <c r="O428" s="119"/>
      <c r="P428" s="11"/>
      <c r="Q428" s="11"/>
      <c r="R428" s="11"/>
      <c r="S428" s="11"/>
    </row>
    <row r="429" spans="1:19">
      <c r="A429" s="11"/>
      <c r="B429" s="11"/>
      <c r="C429" s="11"/>
      <c r="D429" s="11"/>
      <c r="E429" s="11"/>
      <c r="F429" s="11"/>
      <c r="G429" s="11"/>
      <c r="H429" s="11"/>
      <c r="I429" s="11"/>
      <c r="J429" s="11"/>
      <c r="K429" s="11"/>
      <c r="L429" s="18" t="str">
        <f t="shared" si="13"/>
        <v/>
      </c>
      <c r="M429" s="18" t="str">
        <f t="shared" si="12"/>
        <v>Pendente de avaliação</v>
      </c>
      <c r="N429" s="11"/>
      <c r="O429" s="119"/>
      <c r="P429" s="11"/>
      <c r="Q429" s="11"/>
      <c r="R429" s="11"/>
      <c r="S429" s="11"/>
    </row>
    <row r="430" spans="1:19">
      <c r="A430" s="11"/>
      <c r="B430" s="11"/>
      <c r="C430" s="11"/>
      <c r="D430" s="11"/>
      <c r="E430" s="11"/>
      <c r="F430" s="11"/>
      <c r="G430" s="11"/>
      <c r="H430" s="11"/>
      <c r="I430" s="11"/>
      <c r="J430" s="11"/>
      <c r="K430" s="11"/>
      <c r="L430" s="21" t="str">
        <f t="shared" si="13"/>
        <v/>
      </c>
      <c r="M430" s="21" t="str">
        <f t="shared" si="12"/>
        <v>Pendente de avaliação</v>
      </c>
      <c r="N430" s="11"/>
      <c r="O430" s="119"/>
      <c r="P430" s="11"/>
      <c r="Q430" s="11"/>
      <c r="R430" s="11"/>
      <c r="S430" s="11"/>
    </row>
    <row r="431" spans="1:19">
      <c r="A431" s="11"/>
      <c r="B431" s="11"/>
      <c r="C431" s="11"/>
      <c r="D431" s="11"/>
      <c r="E431" s="11"/>
      <c r="F431" s="11"/>
      <c r="G431" s="11"/>
      <c r="H431" s="11"/>
      <c r="I431" s="11"/>
      <c r="J431" s="11"/>
      <c r="K431" s="11"/>
      <c r="L431" s="18" t="str">
        <f t="shared" si="13"/>
        <v/>
      </c>
      <c r="M431" s="18" t="str">
        <f t="shared" si="12"/>
        <v>Pendente de avaliação</v>
      </c>
      <c r="N431" s="11"/>
      <c r="O431" s="119"/>
      <c r="P431" s="11"/>
      <c r="Q431" s="11"/>
      <c r="R431" s="11"/>
      <c r="S431" s="11"/>
    </row>
    <row r="432" spans="1:19">
      <c r="A432" s="11"/>
      <c r="B432" s="11"/>
      <c r="C432" s="11"/>
      <c r="D432" s="11"/>
      <c r="E432" s="11"/>
      <c r="F432" s="11"/>
      <c r="G432" s="11"/>
      <c r="H432" s="11"/>
      <c r="I432" s="11"/>
      <c r="J432" s="11"/>
      <c r="K432" s="11"/>
      <c r="L432" s="21" t="str">
        <f t="shared" si="13"/>
        <v/>
      </c>
      <c r="M432" s="21" t="str">
        <f t="shared" si="12"/>
        <v>Pendente de avaliação</v>
      </c>
      <c r="N432" s="11"/>
      <c r="O432" s="119"/>
      <c r="P432" s="11"/>
      <c r="Q432" s="11"/>
      <c r="R432" s="11"/>
      <c r="S432" s="11"/>
    </row>
    <row r="433" spans="1:19">
      <c r="A433" s="11"/>
      <c r="B433" s="11"/>
      <c r="C433" s="11"/>
      <c r="D433" s="11"/>
      <c r="E433" s="11"/>
      <c r="F433" s="11"/>
      <c r="G433" s="11"/>
      <c r="H433" s="11"/>
      <c r="I433" s="11"/>
      <c r="J433" s="11"/>
      <c r="K433" s="11"/>
      <c r="L433" s="18" t="str">
        <f t="shared" si="13"/>
        <v/>
      </c>
      <c r="M433" s="18" t="str">
        <f t="shared" si="12"/>
        <v>Pendente de avaliação</v>
      </c>
      <c r="N433" s="11"/>
      <c r="O433" s="119"/>
      <c r="P433" s="11"/>
      <c r="Q433" s="11"/>
      <c r="R433" s="11"/>
      <c r="S433" s="11"/>
    </row>
    <row r="434" spans="1:19">
      <c r="A434" s="11"/>
      <c r="B434" s="11"/>
      <c r="C434" s="11"/>
      <c r="D434" s="11"/>
      <c r="E434" s="11"/>
      <c r="F434" s="11"/>
      <c r="G434" s="11"/>
      <c r="H434" s="11"/>
      <c r="I434" s="11"/>
      <c r="J434" s="11"/>
      <c r="K434" s="11"/>
      <c r="L434" s="21" t="str">
        <f t="shared" si="13"/>
        <v/>
      </c>
      <c r="M434" s="21" t="str">
        <f t="shared" si="12"/>
        <v>Pendente de avaliação</v>
      </c>
      <c r="N434" s="11"/>
      <c r="O434" s="119"/>
      <c r="P434" s="11"/>
      <c r="Q434" s="11"/>
      <c r="R434" s="11"/>
      <c r="S434" s="11"/>
    </row>
    <row r="435" spans="1:19">
      <c r="A435" s="11"/>
      <c r="B435" s="11"/>
      <c r="C435" s="11"/>
      <c r="D435" s="11"/>
      <c r="E435" s="11"/>
      <c r="F435" s="11"/>
      <c r="G435" s="11"/>
      <c r="H435" s="11"/>
      <c r="I435" s="11"/>
      <c r="J435" s="11"/>
      <c r="K435" s="11"/>
      <c r="L435" s="18" t="str">
        <f t="shared" si="13"/>
        <v/>
      </c>
      <c r="M435" s="18" t="str">
        <f t="shared" si="12"/>
        <v>Pendente de avaliação</v>
      </c>
      <c r="N435" s="11"/>
      <c r="O435" s="119"/>
      <c r="P435" s="11"/>
      <c r="Q435" s="11"/>
      <c r="R435" s="11"/>
      <c r="S435" s="11"/>
    </row>
    <row r="436" spans="1:19">
      <c r="A436" s="11"/>
      <c r="B436" s="11"/>
      <c r="C436" s="11"/>
      <c r="D436" s="11"/>
      <c r="E436" s="11"/>
      <c r="F436" s="11"/>
      <c r="G436" s="11"/>
      <c r="H436" s="11"/>
      <c r="I436" s="11"/>
      <c r="J436" s="11"/>
      <c r="K436" s="11"/>
      <c r="L436" s="21" t="str">
        <f t="shared" si="13"/>
        <v/>
      </c>
      <c r="M436" s="21" t="str">
        <f t="shared" si="12"/>
        <v>Pendente de avaliação</v>
      </c>
      <c r="N436" s="11"/>
      <c r="O436" s="119"/>
      <c r="P436" s="11"/>
      <c r="Q436" s="11"/>
      <c r="R436" s="11"/>
      <c r="S436" s="11"/>
    </row>
    <row r="437" spans="1:19">
      <c r="A437" s="11"/>
      <c r="B437" s="11"/>
      <c r="C437" s="11"/>
      <c r="D437" s="11"/>
      <c r="E437" s="11"/>
      <c r="F437" s="11"/>
      <c r="G437" s="11"/>
      <c r="H437" s="11"/>
      <c r="I437" s="11"/>
      <c r="J437" s="11"/>
      <c r="K437" s="11"/>
      <c r="L437" s="18" t="str">
        <f t="shared" si="13"/>
        <v/>
      </c>
      <c r="M437" s="18" t="str">
        <f t="shared" si="12"/>
        <v>Pendente de avaliação</v>
      </c>
      <c r="N437" s="11"/>
      <c r="O437" s="119"/>
      <c r="P437" s="11"/>
      <c r="Q437" s="11"/>
      <c r="R437" s="11"/>
      <c r="S437" s="11"/>
    </row>
    <row r="438" spans="1:19">
      <c r="A438" s="11"/>
      <c r="B438" s="11"/>
      <c r="C438" s="11"/>
      <c r="D438" s="11"/>
      <c r="E438" s="11"/>
      <c r="F438" s="11"/>
      <c r="G438" s="11"/>
      <c r="H438" s="11"/>
      <c r="I438" s="11"/>
      <c r="J438" s="11"/>
      <c r="K438" s="11"/>
      <c r="L438" s="21" t="str">
        <f t="shared" si="13"/>
        <v/>
      </c>
      <c r="M438" s="21" t="str">
        <f t="shared" si="12"/>
        <v>Pendente de avaliação</v>
      </c>
      <c r="N438" s="11"/>
      <c r="O438" s="119"/>
      <c r="P438" s="11"/>
      <c r="Q438" s="11"/>
      <c r="R438" s="11"/>
      <c r="S438" s="11"/>
    </row>
    <row r="439" spans="1:19">
      <c r="A439" s="11"/>
      <c r="B439" s="11"/>
      <c r="C439" s="11"/>
      <c r="D439" s="11"/>
      <c r="E439" s="11"/>
      <c r="F439" s="11"/>
      <c r="G439" s="11"/>
      <c r="H439" s="11"/>
      <c r="I439" s="11"/>
      <c r="J439" s="11"/>
      <c r="K439" s="11"/>
      <c r="L439" s="18" t="str">
        <f t="shared" si="13"/>
        <v/>
      </c>
      <c r="M439" s="18" t="str">
        <f t="shared" si="12"/>
        <v>Pendente de avaliação</v>
      </c>
      <c r="N439" s="11"/>
      <c r="O439" s="119"/>
      <c r="P439" s="11"/>
      <c r="Q439" s="11"/>
      <c r="R439" s="11"/>
      <c r="S439" s="11"/>
    </row>
    <row r="440" spans="1:19">
      <c r="A440" s="11"/>
      <c r="B440" s="11"/>
      <c r="C440" s="11"/>
      <c r="D440" s="11"/>
      <c r="E440" s="11"/>
      <c r="F440" s="11"/>
      <c r="G440" s="11"/>
      <c r="H440" s="11"/>
      <c r="I440" s="11"/>
      <c r="J440" s="11"/>
      <c r="K440" s="11"/>
      <c r="L440" s="21" t="str">
        <f t="shared" si="13"/>
        <v/>
      </c>
      <c r="M440" s="21" t="str">
        <f t="shared" si="12"/>
        <v>Pendente de avaliação</v>
      </c>
      <c r="N440" s="11"/>
      <c r="O440" s="119"/>
      <c r="P440" s="11"/>
      <c r="Q440" s="11"/>
      <c r="R440" s="11"/>
      <c r="S440" s="11"/>
    </row>
    <row r="441" spans="1:19">
      <c r="A441" s="11"/>
      <c r="B441" s="11"/>
      <c r="C441" s="11"/>
      <c r="D441" s="11"/>
      <c r="E441" s="11"/>
      <c r="F441" s="11"/>
      <c r="G441" s="11"/>
      <c r="H441" s="11"/>
      <c r="I441" s="11"/>
      <c r="J441" s="11"/>
      <c r="K441" s="11"/>
      <c r="L441" s="18" t="str">
        <f t="shared" si="13"/>
        <v/>
      </c>
      <c r="M441" s="18" t="str">
        <f t="shared" si="12"/>
        <v>Pendente de avaliação</v>
      </c>
      <c r="N441" s="11"/>
      <c r="O441" s="119"/>
      <c r="P441" s="11"/>
      <c r="Q441" s="11"/>
      <c r="R441" s="11"/>
      <c r="S441" s="11"/>
    </row>
    <row r="442" spans="1:19">
      <c r="A442" s="11"/>
      <c r="B442" s="11"/>
      <c r="C442" s="11"/>
      <c r="D442" s="11"/>
      <c r="E442" s="11"/>
      <c r="F442" s="11"/>
      <c r="G442" s="11"/>
      <c r="H442" s="11"/>
      <c r="I442" s="11"/>
      <c r="J442" s="11"/>
      <c r="K442" s="11"/>
      <c r="L442" s="21" t="str">
        <f t="shared" si="13"/>
        <v/>
      </c>
      <c r="M442" s="21" t="str">
        <f t="shared" si="12"/>
        <v>Pendente de avaliação</v>
      </c>
      <c r="N442" s="11"/>
      <c r="O442" s="119"/>
      <c r="P442" s="11"/>
      <c r="Q442" s="11"/>
      <c r="R442" s="11"/>
      <c r="S442" s="11"/>
    </row>
    <row r="443" spans="1:19">
      <c r="A443" s="11"/>
      <c r="B443" s="11"/>
      <c r="C443" s="11"/>
      <c r="D443" s="11"/>
      <c r="E443" s="11"/>
      <c r="F443" s="11"/>
      <c r="G443" s="11"/>
      <c r="H443" s="11"/>
      <c r="I443" s="11"/>
      <c r="J443" s="11"/>
      <c r="K443" s="11"/>
      <c r="L443" s="18" t="str">
        <f t="shared" si="13"/>
        <v/>
      </c>
      <c r="M443" s="18" t="str">
        <f t="shared" si="12"/>
        <v>Pendente de avaliação</v>
      </c>
      <c r="N443" s="11"/>
      <c r="O443" s="119"/>
      <c r="P443" s="11"/>
      <c r="Q443" s="11"/>
      <c r="R443" s="11"/>
      <c r="S443" s="11"/>
    </row>
    <row r="444" spans="1:19">
      <c r="A444" s="11"/>
      <c r="B444" s="11"/>
      <c r="C444" s="11"/>
      <c r="D444" s="11"/>
      <c r="E444" s="11"/>
      <c r="F444" s="11"/>
      <c r="G444" s="11"/>
      <c r="H444" s="11"/>
      <c r="I444" s="11"/>
      <c r="J444" s="11"/>
      <c r="K444" s="11"/>
      <c r="L444" s="21" t="str">
        <f t="shared" si="13"/>
        <v/>
      </c>
      <c r="M444" s="21" t="str">
        <f t="shared" si="12"/>
        <v>Pendente de avaliação</v>
      </c>
      <c r="N444" s="11"/>
      <c r="O444" s="119"/>
      <c r="P444" s="11"/>
      <c r="Q444" s="11"/>
      <c r="R444" s="11"/>
      <c r="S444" s="11"/>
    </row>
    <row r="445" spans="1:19">
      <c r="A445" s="11"/>
      <c r="B445" s="11"/>
      <c r="C445" s="11"/>
      <c r="D445" s="11"/>
      <c r="E445" s="11"/>
      <c r="F445" s="11"/>
      <c r="G445" s="11"/>
      <c r="H445" s="11"/>
      <c r="I445" s="11"/>
      <c r="J445" s="11"/>
      <c r="K445" s="11"/>
      <c r="L445" s="18" t="str">
        <f t="shared" si="13"/>
        <v/>
      </c>
      <c r="M445" s="18" t="str">
        <f t="shared" si="12"/>
        <v>Pendente de avaliação</v>
      </c>
      <c r="N445" s="11"/>
      <c r="O445" s="119"/>
      <c r="P445" s="11"/>
      <c r="Q445" s="11"/>
      <c r="R445" s="11"/>
      <c r="S445" s="11"/>
    </row>
    <row r="446" spans="1:19">
      <c r="A446" s="11"/>
      <c r="B446" s="11"/>
      <c r="C446" s="11"/>
      <c r="D446" s="11"/>
      <c r="E446" s="11"/>
      <c r="F446" s="11"/>
      <c r="G446" s="11"/>
      <c r="H446" s="11"/>
      <c r="I446" s="11"/>
      <c r="J446" s="11"/>
      <c r="K446" s="11"/>
      <c r="L446" s="21" t="str">
        <f t="shared" si="13"/>
        <v/>
      </c>
      <c r="M446" s="21" t="str">
        <f t="shared" si="12"/>
        <v>Pendente de avaliação</v>
      </c>
      <c r="N446" s="11"/>
      <c r="O446" s="119"/>
      <c r="P446" s="11"/>
      <c r="Q446" s="11"/>
      <c r="R446" s="11"/>
      <c r="S446" s="11"/>
    </row>
    <row r="447" spans="1:19">
      <c r="A447" s="11"/>
      <c r="B447" s="11"/>
      <c r="C447" s="11"/>
      <c r="D447" s="11"/>
      <c r="E447" s="11"/>
      <c r="F447" s="11"/>
      <c r="G447" s="11"/>
      <c r="H447" s="11"/>
      <c r="I447" s="11"/>
      <c r="J447" s="11"/>
      <c r="K447" s="11"/>
      <c r="L447" s="18" t="str">
        <f t="shared" si="13"/>
        <v/>
      </c>
      <c r="M447" s="18" t="str">
        <f t="shared" si="12"/>
        <v>Pendente de avaliação</v>
      </c>
      <c r="N447" s="11"/>
      <c r="O447" s="119"/>
      <c r="P447" s="11"/>
      <c r="Q447" s="11"/>
      <c r="R447" s="11"/>
      <c r="S447" s="11"/>
    </row>
    <row r="448" spans="1:19">
      <c r="A448" s="11"/>
      <c r="B448" s="11"/>
      <c r="C448" s="11"/>
      <c r="D448" s="11"/>
      <c r="E448" s="11"/>
      <c r="F448" s="11"/>
      <c r="G448" s="11"/>
      <c r="H448" s="11"/>
      <c r="I448" s="11"/>
      <c r="J448" s="11"/>
      <c r="K448" s="11"/>
      <c r="L448" s="21" t="str">
        <f t="shared" si="13"/>
        <v/>
      </c>
      <c r="M448" s="21" t="str">
        <f t="shared" si="12"/>
        <v>Pendente de avaliação</v>
      </c>
      <c r="N448" s="11"/>
      <c r="O448" s="119"/>
      <c r="P448" s="11"/>
      <c r="Q448" s="11"/>
      <c r="R448" s="11"/>
      <c r="S448" s="11"/>
    </row>
    <row r="449" spans="1:19">
      <c r="A449" s="11"/>
      <c r="B449" s="11"/>
      <c r="C449" s="11"/>
      <c r="D449" s="11"/>
      <c r="E449" s="11"/>
      <c r="F449" s="11"/>
      <c r="G449" s="11"/>
      <c r="H449" s="11"/>
      <c r="I449" s="11"/>
      <c r="J449" s="11"/>
      <c r="K449" s="11"/>
      <c r="L449" s="18" t="str">
        <f t="shared" si="13"/>
        <v/>
      </c>
      <c r="M449" s="18" t="str">
        <f t="shared" ref="M449:M512" si="14">IF(OR(H449="Sim",Y449="Ameaça imediata"),"Imediata",IF(L449="","Pendente de avaliação",IF(J449=5,"Alta",IF(L449&gt;=65,"Alta",IF(L449&gt;=28,"Moderada","Baixa")))))</f>
        <v>Pendente de avaliação</v>
      </c>
      <c r="N449" s="11"/>
      <c r="O449" s="119"/>
      <c r="P449" s="11"/>
      <c r="Q449" s="11"/>
      <c r="R449" s="11"/>
      <c r="S449" s="11"/>
    </row>
    <row r="450" spans="1:19">
      <c r="A450" s="11"/>
      <c r="B450" s="11"/>
      <c r="C450" s="11"/>
      <c r="D450" s="11"/>
      <c r="E450" s="11"/>
      <c r="F450" s="11"/>
      <c r="G450" s="11"/>
      <c r="H450" s="11"/>
      <c r="I450" s="11"/>
      <c r="J450" s="11"/>
      <c r="K450" s="11"/>
      <c r="L450" s="21" t="str">
        <f t="shared" ref="L450:L498" si="15">IF(COUNT(I450:K450)=3,I450*J450*K450,"")</f>
        <v/>
      </c>
      <c r="M450" s="21" t="str">
        <f t="shared" si="14"/>
        <v>Pendente de avaliação</v>
      </c>
      <c r="N450" s="11"/>
      <c r="O450" s="119"/>
      <c r="P450" s="11"/>
      <c r="Q450" s="11"/>
      <c r="R450" s="11"/>
      <c r="S450" s="11"/>
    </row>
    <row r="451" spans="1:19">
      <c r="A451" s="11"/>
      <c r="B451" s="11"/>
      <c r="C451" s="11"/>
      <c r="D451" s="11"/>
      <c r="E451" s="11"/>
      <c r="F451" s="11"/>
      <c r="G451" s="11"/>
      <c r="H451" s="11"/>
      <c r="I451" s="11"/>
      <c r="J451" s="11"/>
      <c r="K451" s="11"/>
      <c r="L451" s="18" t="str">
        <f t="shared" si="15"/>
        <v/>
      </c>
      <c r="M451" s="18" t="str">
        <f t="shared" si="14"/>
        <v>Pendente de avaliação</v>
      </c>
      <c r="N451" s="11"/>
      <c r="O451" s="119"/>
      <c r="P451" s="11"/>
      <c r="Q451" s="11"/>
      <c r="R451" s="11"/>
      <c r="S451" s="11"/>
    </row>
    <row r="452" spans="1:19">
      <c r="A452" s="11"/>
      <c r="B452" s="11"/>
      <c r="C452" s="11"/>
      <c r="D452" s="11"/>
      <c r="E452" s="11"/>
      <c r="F452" s="11"/>
      <c r="G452" s="11"/>
      <c r="H452" s="11"/>
      <c r="I452" s="11"/>
      <c r="J452" s="11"/>
      <c r="K452" s="11"/>
      <c r="L452" s="21" t="str">
        <f t="shared" si="15"/>
        <v/>
      </c>
      <c r="M452" s="21" t="str">
        <f t="shared" si="14"/>
        <v>Pendente de avaliação</v>
      </c>
      <c r="N452" s="11"/>
      <c r="O452" s="119"/>
      <c r="P452" s="11"/>
      <c r="Q452" s="11"/>
      <c r="R452" s="11"/>
      <c r="S452" s="11"/>
    </row>
    <row r="453" spans="1:19">
      <c r="A453" s="11"/>
      <c r="B453" s="11"/>
      <c r="C453" s="11"/>
      <c r="D453" s="11"/>
      <c r="E453" s="11"/>
      <c r="F453" s="11"/>
      <c r="G453" s="11"/>
      <c r="H453" s="11"/>
      <c r="I453" s="11"/>
      <c r="J453" s="11"/>
      <c r="K453" s="11"/>
      <c r="L453" s="18" t="str">
        <f t="shared" si="15"/>
        <v/>
      </c>
      <c r="M453" s="18" t="str">
        <f t="shared" si="14"/>
        <v>Pendente de avaliação</v>
      </c>
      <c r="N453" s="11"/>
      <c r="O453" s="119"/>
      <c r="P453" s="11"/>
      <c r="Q453" s="11"/>
      <c r="R453" s="11"/>
      <c r="S453" s="11"/>
    </row>
    <row r="454" spans="1:19">
      <c r="A454" s="11"/>
      <c r="B454" s="11"/>
      <c r="C454" s="11"/>
      <c r="D454" s="11"/>
      <c r="E454" s="11"/>
      <c r="F454" s="11"/>
      <c r="G454" s="11"/>
      <c r="H454" s="11"/>
      <c r="I454" s="11"/>
      <c r="J454" s="11"/>
      <c r="K454" s="11"/>
      <c r="L454" s="21" t="str">
        <f t="shared" si="15"/>
        <v/>
      </c>
      <c r="M454" s="21" t="str">
        <f t="shared" si="14"/>
        <v>Pendente de avaliação</v>
      </c>
      <c r="N454" s="11"/>
      <c r="O454" s="119"/>
      <c r="P454" s="11"/>
      <c r="Q454" s="11"/>
      <c r="R454" s="11"/>
      <c r="S454" s="11"/>
    </row>
    <row r="455" spans="1:19">
      <c r="A455" s="11"/>
      <c r="B455" s="11"/>
      <c r="C455" s="11"/>
      <c r="D455" s="11"/>
      <c r="E455" s="11"/>
      <c r="F455" s="11"/>
      <c r="G455" s="11"/>
      <c r="H455" s="11"/>
      <c r="I455" s="11"/>
      <c r="J455" s="11"/>
      <c r="K455" s="11"/>
      <c r="L455" s="18" t="str">
        <f t="shared" si="15"/>
        <v/>
      </c>
      <c r="M455" s="18" t="str">
        <f t="shared" si="14"/>
        <v>Pendente de avaliação</v>
      </c>
      <c r="N455" s="11"/>
      <c r="O455" s="119"/>
      <c r="P455" s="11"/>
      <c r="Q455" s="11"/>
      <c r="R455" s="11"/>
      <c r="S455" s="11"/>
    </row>
    <row r="456" spans="1:19">
      <c r="A456" s="11"/>
      <c r="B456" s="11"/>
      <c r="C456" s="11"/>
      <c r="D456" s="11"/>
      <c r="E456" s="11"/>
      <c r="F456" s="11"/>
      <c r="G456" s="11"/>
      <c r="H456" s="11"/>
      <c r="I456" s="11"/>
      <c r="J456" s="11"/>
      <c r="K456" s="11"/>
      <c r="L456" s="21" t="str">
        <f t="shared" si="15"/>
        <v/>
      </c>
      <c r="M456" s="21" t="str">
        <f t="shared" si="14"/>
        <v>Pendente de avaliação</v>
      </c>
      <c r="N456" s="11"/>
      <c r="O456" s="119"/>
      <c r="P456" s="11"/>
      <c r="Q456" s="11"/>
      <c r="R456" s="11"/>
      <c r="S456" s="11"/>
    </row>
    <row r="457" spans="1:19">
      <c r="A457" s="11"/>
      <c r="B457" s="11"/>
      <c r="C457" s="11"/>
      <c r="D457" s="11"/>
      <c r="E457" s="11"/>
      <c r="F457" s="11"/>
      <c r="G457" s="11"/>
      <c r="H457" s="11"/>
      <c r="I457" s="11"/>
      <c r="J457" s="11"/>
      <c r="K457" s="11"/>
      <c r="L457" s="18" t="str">
        <f t="shared" si="15"/>
        <v/>
      </c>
      <c r="M457" s="18" t="str">
        <f t="shared" si="14"/>
        <v>Pendente de avaliação</v>
      </c>
      <c r="N457" s="11"/>
      <c r="O457" s="119"/>
      <c r="P457" s="11"/>
      <c r="Q457" s="11"/>
      <c r="R457" s="11"/>
      <c r="S457" s="11"/>
    </row>
    <row r="458" spans="1:19">
      <c r="A458" s="11"/>
      <c r="B458" s="11"/>
      <c r="C458" s="11"/>
      <c r="D458" s="11"/>
      <c r="E458" s="11"/>
      <c r="F458" s="11"/>
      <c r="G458" s="11"/>
      <c r="H458" s="11"/>
      <c r="I458" s="11"/>
      <c r="J458" s="11"/>
      <c r="K458" s="11"/>
      <c r="L458" s="21" t="str">
        <f t="shared" si="15"/>
        <v/>
      </c>
      <c r="M458" s="21" t="str">
        <f t="shared" si="14"/>
        <v>Pendente de avaliação</v>
      </c>
      <c r="N458" s="11"/>
      <c r="O458" s="119"/>
      <c r="P458" s="11"/>
      <c r="Q458" s="11"/>
      <c r="R458" s="11"/>
      <c r="S458" s="11"/>
    </row>
    <row r="459" spans="1:19">
      <c r="A459" s="11"/>
      <c r="B459" s="11"/>
      <c r="C459" s="11"/>
      <c r="D459" s="11"/>
      <c r="E459" s="11"/>
      <c r="F459" s="11"/>
      <c r="G459" s="11"/>
      <c r="H459" s="11"/>
      <c r="I459" s="11"/>
      <c r="J459" s="11"/>
      <c r="K459" s="11"/>
      <c r="L459" s="18" t="str">
        <f t="shared" si="15"/>
        <v/>
      </c>
      <c r="M459" s="18" t="str">
        <f t="shared" si="14"/>
        <v>Pendente de avaliação</v>
      </c>
      <c r="N459" s="11"/>
      <c r="O459" s="119"/>
      <c r="P459" s="11"/>
      <c r="Q459" s="11"/>
      <c r="R459" s="11"/>
      <c r="S459" s="11"/>
    </row>
    <row r="460" spans="1:19">
      <c r="A460" s="11"/>
      <c r="B460" s="11"/>
      <c r="C460" s="11"/>
      <c r="D460" s="11"/>
      <c r="E460" s="11"/>
      <c r="F460" s="11"/>
      <c r="G460" s="11"/>
      <c r="H460" s="11"/>
      <c r="I460" s="11"/>
      <c r="J460" s="11"/>
      <c r="K460" s="11"/>
      <c r="L460" s="21" t="str">
        <f t="shared" si="15"/>
        <v/>
      </c>
      <c r="M460" s="21" t="str">
        <f t="shared" si="14"/>
        <v>Pendente de avaliação</v>
      </c>
      <c r="N460" s="11"/>
      <c r="O460" s="119"/>
      <c r="P460" s="11"/>
      <c r="Q460" s="11"/>
      <c r="R460" s="11"/>
      <c r="S460" s="11"/>
    </row>
    <row r="461" spans="1:19">
      <c r="A461" s="11"/>
      <c r="B461" s="11"/>
      <c r="C461" s="11"/>
      <c r="D461" s="11"/>
      <c r="E461" s="11"/>
      <c r="F461" s="11"/>
      <c r="G461" s="11"/>
      <c r="H461" s="11"/>
      <c r="I461" s="11"/>
      <c r="J461" s="11"/>
      <c r="K461" s="11"/>
      <c r="L461" s="18" t="str">
        <f t="shared" si="15"/>
        <v/>
      </c>
      <c r="M461" s="18" t="str">
        <f t="shared" si="14"/>
        <v>Pendente de avaliação</v>
      </c>
      <c r="N461" s="11"/>
      <c r="O461" s="119"/>
      <c r="P461" s="11"/>
      <c r="Q461" s="11"/>
      <c r="R461" s="11"/>
      <c r="S461" s="11"/>
    </row>
    <row r="462" spans="1:19">
      <c r="A462" s="11"/>
      <c r="B462" s="11"/>
      <c r="C462" s="11"/>
      <c r="D462" s="11"/>
      <c r="E462" s="11"/>
      <c r="F462" s="11"/>
      <c r="G462" s="11"/>
      <c r="H462" s="11"/>
      <c r="I462" s="11"/>
      <c r="J462" s="11"/>
      <c r="K462" s="11"/>
      <c r="L462" s="21" t="str">
        <f t="shared" si="15"/>
        <v/>
      </c>
      <c r="M462" s="21" t="str">
        <f t="shared" si="14"/>
        <v>Pendente de avaliação</v>
      </c>
      <c r="N462" s="11"/>
      <c r="O462" s="119"/>
      <c r="P462" s="11"/>
      <c r="Q462" s="11"/>
      <c r="R462" s="11"/>
      <c r="S462" s="11"/>
    </row>
    <row r="463" spans="1:19">
      <c r="A463" s="11"/>
      <c r="B463" s="11"/>
      <c r="C463" s="11"/>
      <c r="D463" s="11"/>
      <c r="E463" s="11"/>
      <c r="F463" s="11"/>
      <c r="G463" s="11"/>
      <c r="H463" s="11"/>
      <c r="I463" s="11"/>
      <c r="J463" s="11"/>
      <c r="K463" s="11"/>
      <c r="L463" s="18" t="str">
        <f t="shared" si="15"/>
        <v/>
      </c>
      <c r="M463" s="18" t="str">
        <f t="shared" si="14"/>
        <v>Pendente de avaliação</v>
      </c>
      <c r="N463" s="11"/>
      <c r="O463" s="119"/>
      <c r="P463" s="11"/>
      <c r="Q463" s="11"/>
      <c r="R463" s="11"/>
      <c r="S463" s="11"/>
    </row>
    <row r="464" spans="1:19">
      <c r="A464" s="11"/>
      <c r="B464" s="11"/>
      <c r="C464" s="11"/>
      <c r="D464" s="11"/>
      <c r="E464" s="11"/>
      <c r="F464" s="11"/>
      <c r="G464" s="11"/>
      <c r="H464" s="11"/>
      <c r="I464" s="11"/>
      <c r="J464" s="11"/>
      <c r="K464" s="11"/>
      <c r="L464" s="21" t="str">
        <f t="shared" si="15"/>
        <v/>
      </c>
      <c r="M464" s="21" t="str">
        <f t="shared" si="14"/>
        <v>Pendente de avaliação</v>
      </c>
      <c r="N464" s="11"/>
      <c r="O464" s="119"/>
      <c r="P464" s="11"/>
      <c r="Q464" s="11"/>
      <c r="R464" s="11"/>
      <c r="S464" s="11"/>
    </row>
    <row r="465" spans="1:19">
      <c r="A465" s="11"/>
      <c r="B465" s="11"/>
      <c r="C465" s="11"/>
      <c r="D465" s="11"/>
      <c r="E465" s="11"/>
      <c r="F465" s="11"/>
      <c r="G465" s="11"/>
      <c r="H465" s="11"/>
      <c r="I465" s="11"/>
      <c r="J465" s="11"/>
      <c r="K465" s="11"/>
      <c r="L465" s="18" t="str">
        <f t="shared" si="15"/>
        <v/>
      </c>
      <c r="M465" s="18" t="str">
        <f t="shared" si="14"/>
        <v>Pendente de avaliação</v>
      </c>
      <c r="N465" s="11"/>
      <c r="O465" s="119"/>
      <c r="P465" s="11"/>
      <c r="Q465" s="11"/>
      <c r="R465" s="11"/>
      <c r="S465" s="11"/>
    </row>
    <row r="466" spans="1:19">
      <c r="A466" s="11"/>
      <c r="B466" s="11"/>
      <c r="C466" s="11"/>
      <c r="D466" s="11"/>
      <c r="E466" s="11"/>
      <c r="F466" s="11"/>
      <c r="G466" s="11"/>
      <c r="H466" s="11"/>
      <c r="I466" s="11"/>
      <c r="J466" s="11"/>
      <c r="K466" s="11"/>
      <c r="L466" s="21" t="str">
        <f t="shared" si="15"/>
        <v/>
      </c>
      <c r="M466" s="21" t="str">
        <f t="shared" si="14"/>
        <v>Pendente de avaliação</v>
      </c>
      <c r="N466" s="11"/>
      <c r="O466" s="119"/>
      <c r="P466" s="11"/>
      <c r="Q466" s="11"/>
      <c r="R466" s="11"/>
      <c r="S466" s="11"/>
    </row>
    <row r="467" spans="1:19">
      <c r="A467" s="11"/>
      <c r="B467" s="11"/>
      <c r="C467" s="11"/>
      <c r="D467" s="11"/>
      <c r="E467" s="11"/>
      <c r="F467" s="11"/>
      <c r="G467" s="11"/>
      <c r="H467" s="11"/>
      <c r="I467" s="11"/>
      <c r="J467" s="11"/>
      <c r="K467" s="11"/>
      <c r="L467" s="18" t="str">
        <f t="shared" si="15"/>
        <v/>
      </c>
      <c r="M467" s="18" t="str">
        <f t="shared" si="14"/>
        <v>Pendente de avaliação</v>
      </c>
      <c r="N467" s="11"/>
      <c r="O467" s="119"/>
      <c r="P467" s="11"/>
      <c r="Q467" s="11"/>
      <c r="R467" s="11"/>
      <c r="S467" s="11"/>
    </row>
    <row r="468" spans="1:19">
      <c r="A468" s="11"/>
      <c r="B468" s="11"/>
      <c r="C468" s="11"/>
      <c r="D468" s="11"/>
      <c r="E468" s="11"/>
      <c r="F468" s="11"/>
      <c r="G468" s="11"/>
      <c r="H468" s="11"/>
      <c r="I468" s="11"/>
      <c r="J468" s="11"/>
      <c r="K468" s="11"/>
      <c r="L468" s="21" t="str">
        <f t="shared" si="15"/>
        <v/>
      </c>
      <c r="M468" s="21" t="str">
        <f t="shared" si="14"/>
        <v>Pendente de avaliação</v>
      </c>
      <c r="N468" s="11"/>
      <c r="O468" s="119"/>
      <c r="P468" s="11"/>
      <c r="Q468" s="11"/>
      <c r="R468" s="11"/>
      <c r="S468" s="11"/>
    </row>
    <row r="469" spans="1:19">
      <c r="A469" s="11"/>
      <c r="B469" s="11"/>
      <c r="C469" s="11"/>
      <c r="D469" s="11"/>
      <c r="E469" s="11"/>
      <c r="F469" s="11"/>
      <c r="G469" s="11"/>
      <c r="H469" s="11"/>
      <c r="I469" s="11"/>
      <c r="J469" s="11"/>
      <c r="K469" s="11"/>
      <c r="L469" s="18" t="str">
        <f t="shared" si="15"/>
        <v/>
      </c>
      <c r="M469" s="18" t="str">
        <f t="shared" si="14"/>
        <v>Pendente de avaliação</v>
      </c>
      <c r="N469" s="11"/>
      <c r="O469" s="119"/>
      <c r="P469" s="11"/>
      <c r="Q469" s="11"/>
      <c r="R469" s="11"/>
      <c r="S469" s="11"/>
    </row>
    <row r="470" spans="1:19">
      <c r="A470" s="11"/>
      <c r="B470" s="11"/>
      <c r="C470" s="11"/>
      <c r="D470" s="11"/>
      <c r="E470" s="11"/>
      <c r="F470" s="11"/>
      <c r="G470" s="11"/>
      <c r="H470" s="11"/>
      <c r="I470" s="11"/>
      <c r="J470" s="11"/>
      <c r="K470" s="11"/>
      <c r="L470" s="21" t="str">
        <f t="shared" si="15"/>
        <v/>
      </c>
      <c r="M470" s="21" t="str">
        <f t="shared" si="14"/>
        <v>Pendente de avaliação</v>
      </c>
      <c r="N470" s="11"/>
      <c r="O470" s="119"/>
      <c r="P470" s="11"/>
      <c r="Q470" s="11"/>
      <c r="R470" s="11"/>
      <c r="S470" s="11"/>
    </row>
    <row r="471" spans="1:19">
      <c r="A471" s="11"/>
      <c r="B471" s="11"/>
      <c r="C471" s="11"/>
      <c r="D471" s="11"/>
      <c r="E471" s="11"/>
      <c r="F471" s="11"/>
      <c r="G471" s="11"/>
      <c r="H471" s="11"/>
      <c r="I471" s="11"/>
      <c r="J471" s="11"/>
      <c r="K471" s="11"/>
      <c r="L471" s="18" t="str">
        <f t="shared" si="15"/>
        <v/>
      </c>
      <c r="M471" s="18" t="str">
        <f t="shared" si="14"/>
        <v>Pendente de avaliação</v>
      </c>
      <c r="N471" s="11"/>
      <c r="O471" s="119"/>
      <c r="P471" s="11"/>
      <c r="Q471" s="11"/>
      <c r="R471" s="11"/>
      <c r="S471" s="11"/>
    </row>
    <row r="472" spans="1:19">
      <c r="A472" s="11"/>
      <c r="B472" s="11"/>
      <c r="C472" s="11"/>
      <c r="D472" s="11"/>
      <c r="E472" s="11"/>
      <c r="F472" s="11"/>
      <c r="G472" s="11"/>
      <c r="H472" s="11"/>
      <c r="I472" s="11"/>
      <c r="J472" s="11"/>
      <c r="K472" s="11"/>
      <c r="L472" s="21" t="str">
        <f t="shared" si="15"/>
        <v/>
      </c>
      <c r="M472" s="21" t="str">
        <f t="shared" si="14"/>
        <v>Pendente de avaliação</v>
      </c>
      <c r="N472" s="11"/>
      <c r="O472" s="119"/>
      <c r="P472" s="11"/>
      <c r="Q472" s="11"/>
      <c r="R472" s="11"/>
      <c r="S472" s="11"/>
    </row>
    <row r="473" spans="1:19">
      <c r="A473" s="11"/>
      <c r="B473" s="11"/>
      <c r="C473" s="11"/>
      <c r="D473" s="11"/>
      <c r="E473" s="11"/>
      <c r="F473" s="11"/>
      <c r="G473" s="11"/>
      <c r="H473" s="11"/>
      <c r="I473" s="11"/>
      <c r="J473" s="11"/>
      <c r="K473" s="11"/>
      <c r="L473" s="18" t="str">
        <f t="shared" si="15"/>
        <v/>
      </c>
      <c r="M473" s="18" t="str">
        <f t="shared" si="14"/>
        <v>Pendente de avaliação</v>
      </c>
      <c r="N473" s="11"/>
      <c r="O473" s="119"/>
      <c r="P473" s="11"/>
      <c r="Q473" s="11"/>
      <c r="R473" s="11"/>
      <c r="S473" s="11"/>
    </row>
    <row r="474" spans="1:19">
      <c r="A474" s="11"/>
      <c r="B474" s="11"/>
      <c r="C474" s="11"/>
      <c r="D474" s="11"/>
      <c r="E474" s="11"/>
      <c r="F474" s="11"/>
      <c r="G474" s="11"/>
      <c r="H474" s="11"/>
      <c r="I474" s="11"/>
      <c r="J474" s="11"/>
      <c r="K474" s="11"/>
      <c r="L474" s="21" t="str">
        <f t="shared" si="15"/>
        <v/>
      </c>
      <c r="M474" s="21" t="str">
        <f t="shared" si="14"/>
        <v>Pendente de avaliação</v>
      </c>
      <c r="N474" s="11"/>
      <c r="O474" s="119"/>
      <c r="P474" s="11"/>
      <c r="Q474" s="11"/>
      <c r="R474" s="11"/>
      <c r="S474" s="11"/>
    </row>
    <row r="475" spans="1:19">
      <c r="A475" s="11"/>
      <c r="B475" s="11"/>
      <c r="C475" s="11"/>
      <c r="D475" s="11"/>
      <c r="E475" s="11"/>
      <c r="F475" s="11"/>
      <c r="G475" s="11"/>
      <c r="H475" s="11"/>
      <c r="I475" s="11"/>
      <c r="J475" s="11"/>
      <c r="K475" s="11"/>
      <c r="L475" s="18" t="str">
        <f t="shared" si="15"/>
        <v/>
      </c>
      <c r="M475" s="18" t="str">
        <f t="shared" si="14"/>
        <v>Pendente de avaliação</v>
      </c>
      <c r="N475" s="11"/>
      <c r="O475" s="119"/>
      <c r="P475" s="11"/>
      <c r="Q475" s="11"/>
      <c r="R475" s="11"/>
      <c r="S475" s="11"/>
    </row>
    <row r="476" spans="1:19">
      <c r="A476" s="11"/>
      <c r="B476" s="11"/>
      <c r="C476" s="11"/>
      <c r="D476" s="11"/>
      <c r="E476" s="11"/>
      <c r="F476" s="11"/>
      <c r="G476" s="11"/>
      <c r="H476" s="11"/>
      <c r="I476" s="11"/>
      <c r="J476" s="11"/>
      <c r="K476" s="11"/>
      <c r="L476" s="21" t="str">
        <f t="shared" si="15"/>
        <v/>
      </c>
      <c r="M476" s="21" t="str">
        <f t="shared" si="14"/>
        <v>Pendente de avaliação</v>
      </c>
      <c r="N476" s="11"/>
      <c r="O476" s="119"/>
      <c r="P476" s="11"/>
      <c r="Q476" s="11"/>
      <c r="R476" s="11"/>
      <c r="S476" s="11"/>
    </row>
    <row r="477" spans="1:19">
      <c r="A477" s="11"/>
      <c r="B477" s="11"/>
      <c r="C477" s="11"/>
      <c r="D477" s="11"/>
      <c r="E477" s="11"/>
      <c r="F477" s="11"/>
      <c r="G477" s="11"/>
      <c r="H477" s="11"/>
      <c r="I477" s="11"/>
      <c r="J477" s="11"/>
      <c r="K477" s="11"/>
      <c r="L477" s="18" t="str">
        <f t="shared" si="15"/>
        <v/>
      </c>
      <c r="M477" s="18" t="str">
        <f t="shared" si="14"/>
        <v>Pendente de avaliação</v>
      </c>
      <c r="N477" s="11"/>
      <c r="O477" s="119"/>
      <c r="P477" s="11"/>
      <c r="Q477" s="11"/>
      <c r="R477" s="11"/>
      <c r="S477" s="11"/>
    </row>
    <row r="478" spans="1:19">
      <c r="A478" s="11"/>
      <c r="B478" s="11"/>
      <c r="C478" s="11"/>
      <c r="D478" s="11"/>
      <c r="E478" s="11"/>
      <c r="F478" s="11"/>
      <c r="G478" s="11"/>
      <c r="H478" s="11"/>
      <c r="I478" s="11"/>
      <c r="J478" s="11"/>
      <c r="K478" s="11"/>
      <c r="L478" s="21" t="str">
        <f t="shared" si="15"/>
        <v/>
      </c>
      <c r="M478" s="21" t="str">
        <f t="shared" si="14"/>
        <v>Pendente de avaliação</v>
      </c>
      <c r="N478" s="11"/>
      <c r="O478" s="119"/>
      <c r="P478" s="11"/>
      <c r="Q478" s="11"/>
      <c r="R478" s="11"/>
      <c r="S478" s="11"/>
    </row>
    <row r="479" spans="1:19">
      <c r="A479" s="11"/>
      <c r="B479" s="11"/>
      <c r="C479" s="11"/>
      <c r="D479" s="11"/>
      <c r="E479" s="11"/>
      <c r="F479" s="11"/>
      <c r="G479" s="11"/>
      <c r="H479" s="11"/>
      <c r="I479" s="11"/>
      <c r="J479" s="11"/>
      <c r="K479" s="11"/>
      <c r="L479" s="18" t="str">
        <f t="shared" si="15"/>
        <v/>
      </c>
      <c r="M479" s="18" t="str">
        <f t="shared" si="14"/>
        <v>Pendente de avaliação</v>
      </c>
      <c r="N479" s="11"/>
      <c r="O479" s="119"/>
      <c r="P479" s="11"/>
      <c r="Q479" s="11"/>
      <c r="R479" s="11"/>
      <c r="S479" s="11"/>
    </row>
    <row r="480" spans="1:19">
      <c r="A480" s="11"/>
      <c r="B480" s="11"/>
      <c r="C480" s="11"/>
      <c r="D480" s="11"/>
      <c r="E480" s="11"/>
      <c r="F480" s="11"/>
      <c r="G480" s="11"/>
      <c r="H480" s="11"/>
      <c r="I480" s="11"/>
      <c r="J480" s="11"/>
      <c r="K480" s="11"/>
      <c r="L480" s="21" t="str">
        <f t="shared" si="15"/>
        <v/>
      </c>
      <c r="M480" s="21" t="str">
        <f t="shared" si="14"/>
        <v>Pendente de avaliação</v>
      </c>
      <c r="N480" s="11"/>
      <c r="O480" s="119"/>
      <c r="P480" s="11"/>
      <c r="Q480" s="11"/>
      <c r="R480" s="11"/>
      <c r="S480" s="11"/>
    </row>
    <row r="481" spans="1:19">
      <c r="A481" s="11"/>
      <c r="B481" s="11"/>
      <c r="C481" s="11"/>
      <c r="D481" s="11"/>
      <c r="E481" s="11"/>
      <c r="F481" s="11"/>
      <c r="G481" s="11"/>
      <c r="H481" s="11"/>
      <c r="I481" s="11"/>
      <c r="J481" s="11"/>
      <c r="K481" s="11"/>
      <c r="L481" s="18" t="str">
        <f t="shared" si="15"/>
        <v/>
      </c>
      <c r="M481" s="18" t="str">
        <f t="shared" si="14"/>
        <v>Pendente de avaliação</v>
      </c>
      <c r="N481" s="11"/>
      <c r="O481" s="119"/>
      <c r="P481" s="11"/>
      <c r="Q481" s="11"/>
      <c r="R481" s="11"/>
      <c r="S481" s="11"/>
    </row>
    <row r="482" spans="1:19">
      <c r="A482" s="11"/>
      <c r="B482" s="11"/>
      <c r="C482" s="11"/>
      <c r="D482" s="11"/>
      <c r="E482" s="11"/>
      <c r="F482" s="11"/>
      <c r="G482" s="11"/>
      <c r="H482" s="11"/>
      <c r="I482" s="11"/>
      <c r="J482" s="11"/>
      <c r="K482" s="11"/>
      <c r="L482" s="21" t="str">
        <f t="shared" si="15"/>
        <v/>
      </c>
      <c r="M482" s="21" t="str">
        <f t="shared" si="14"/>
        <v>Pendente de avaliação</v>
      </c>
      <c r="N482" s="11"/>
      <c r="O482" s="119"/>
      <c r="P482" s="11"/>
      <c r="Q482" s="11"/>
      <c r="R482" s="11"/>
      <c r="S482" s="11"/>
    </row>
    <row r="483" spans="1:19">
      <c r="A483" s="11"/>
      <c r="B483" s="11"/>
      <c r="C483" s="11"/>
      <c r="D483" s="11"/>
      <c r="E483" s="11"/>
      <c r="F483" s="11"/>
      <c r="G483" s="11"/>
      <c r="H483" s="11"/>
      <c r="I483" s="11"/>
      <c r="J483" s="11"/>
      <c r="K483" s="11"/>
      <c r="L483" s="18" t="str">
        <f t="shared" si="15"/>
        <v/>
      </c>
      <c r="M483" s="18" t="str">
        <f t="shared" si="14"/>
        <v>Pendente de avaliação</v>
      </c>
      <c r="N483" s="11"/>
      <c r="O483" s="119"/>
      <c r="P483" s="11"/>
      <c r="Q483" s="11"/>
      <c r="R483" s="11"/>
      <c r="S483" s="11"/>
    </row>
    <row r="484" spans="1:19">
      <c r="A484" s="11"/>
      <c r="B484" s="11"/>
      <c r="C484" s="11"/>
      <c r="D484" s="11"/>
      <c r="E484" s="11"/>
      <c r="F484" s="11"/>
      <c r="G484" s="11"/>
      <c r="H484" s="11"/>
      <c r="I484" s="11"/>
      <c r="J484" s="11"/>
      <c r="K484" s="11"/>
      <c r="L484" s="21" t="str">
        <f t="shared" si="15"/>
        <v/>
      </c>
      <c r="M484" s="21" t="str">
        <f t="shared" si="14"/>
        <v>Pendente de avaliação</v>
      </c>
      <c r="N484" s="11"/>
      <c r="O484" s="119"/>
      <c r="P484" s="11"/>
      <c r="Q484" s="11"/>
      <c r="R484" s="11"/>
      <c r="S484" s="11"/>
    </row>
    <row r="485" spans="1:19">
      <c r="A485" s="11"/>
      <c r="B485" s="11"/>
      <c r="C485" s="11"/>
      <c r="D485" s="11"/>
      <c r="E485" s="11"/>
      <c r="F485" s="11"/>
      <c r="G485" s="11"/>
      <c r="H485" s="11"/>
      <c r="I485" s="11"/>
      <c r="J485" s="11"/>
      <c r="K485" s="11"/>
      <c r="L485" s="18" t="str">
        <f t="shared" si="15"/>
        <v/>
      </c>
      <c r="M485" s="18" t="str">
        <f t="shared" si="14"/>
        <v>Pendente de avaliação</v>
      </c>
      <c r="N485" s="11"/>
      <c r="O485" s="119"/>
      <c r="P485" s="11"/>
      <c r="Q485" s="11"/>
      <c r="R485" s="11"/>
      <c r="S485" s="11"/>
    </row>
    <row r="486" spans="1:19">
      <c r="A486" s="11"/>
      <c r="B486" s="11"/>
      <c r="C486" s="11"/>
      <c r="D486" s="11"/>
      <c r="E486" s="11"/>
      <c r="F486" s="11"/>
      <c r="G486" s="11"/>
      <c r="H486" s="11"/>
      <c r="I486" s="11"/>
      <c r="J486" s="11"/>
      <c r="K486" s="11"/>
      <c r="L486" s="21" t="str">
        <f t="shared" si="15"/>
        <v/>
      </c>
      <c r="M486" s="21" t="str">
        <f t="shared" si="14"/>
        <v>Pendente de avaliação</v>
      </c>
      <c r="N486" s="11"/>
      <c r="O486" s="119"/>
      <c r="P486" s="11"/>
      <c r="Q486" s="11"/>
      <c r="R486" s="11"/>
      <c r="S486" s="11"/>
    </row>
    <row r="487" spans="1:19">
      <c r="A487" s="11"/>
      <c r="B487" s="11"/>
      <c r="C487" s="11"/>
      <c r="D487" s="11"/>
      <c r="E487" s="11"/>
      <c r="F487" s="11"/>
      <c r="G487" s="11"/>
      <c r="H487" s="11"/>
      <c r="I487" s="11"/>
      <c r="J487" s="11"/>
      <c r="K487" s="11"/>
      <c r="L487" s="18" t="str">
        <f t="shared" si="15"/>
        <v/>
      </c>
      <c r="M487" s="18" t="str">
        <f t="shared" si="14"/>
        <v>Pendente de avaliação</v>
      </c>
      <c r="N487" s="11"/>
      <c r="O487" s="119"/>
      <c r="P487" s="11"/>
      <c r="Q487" s="11"/>
      <c r="R487" s="11"/>
      <c r="S487" s="11"/>
    </row>
    <row r="488" spans="1:19">
      <c r="A488" s="11"/>
      <c r="B488" s="11"/>
      <c r="C488" s="11"/>
      <c r="D488" s="11"/>
      <c r="E488" s="11"/>
      <c r="F488" s="11"/>
      <c r="G488" s="11"/>
      <c r="H488" s="11"/>
      <c r="I488" s="11"/>
      <c r="J488" s="11"/>
      <c r="K488" s="11"/>
      <c r="L488" s="21" t="str">
        <f t="shared" si="15"/>
        <v/>
      </c>
      <c r="M488" s="21" t="str">
        <f t="shared" si="14"/>
        <v>Pendente de avaliação</v>
      </c>
      <c r="N488" s="11"/>
      <c r="O488" s="119"/>
      <c r="P488" s="11"/>
      <c r="Q488" s="11"/>
      <c r="R488" s="11"/>
      <c r="S488" s="11"/>
    </row>
    <row r="489" spans="1:19">
      <c r="A489" s="11"/>
      <c r="B489" s="11"/>
      <c r="C489" s="11"/>
      <c r="D489" s="11"/>
      <c r="E489" s="11"/>
      <c r="F489" s="11"/>
      <c r="G489" s="11"/>
      <c r="H489" s="11"/>
      <c r="I489" s="11"/>
      <c r="J489" s="11"/>
      <c r="K489" s="11"/>
      <c r="L489" s="18" t="str">
        <f t="shared" si="15"/>
        <v/>
      </c>
      <c r="M489" s="18" t="str">
        <f t="shared" si="14"/>
        <v>Pendente de avaliação</v>
      </c>
      <c r="N489" s="11"/>
      <c r="O489" s="119"/>
      <c r="P489" s="11"/>
      <c r="Q489" s="11"/>
      <c r="R489" s="11"/>
      <c r="S489" s="11"/>
    </row>
    <row r="490" spans="1:19">
      <c r="A490" s="11"/>
      <c r="B490" s="11"/>
      <c r="C490" s="11"/>
      <c r="D490" s="11"/>
      <c r="E490" s="11"/>
      <c r="F490" s="11"/>
      <c r="G490" s="11"/>
      <c r="H490" s="11"/>
      <c r="I490" s="11"/>
      <c r="J490" s="11"/>
      <c r="K490" s="11"/>
      <c r="L490" s="21" t="str">
        <f t="shared" si="15"/>
        <v/>
      </c>
      <c r="M490" s="21" t="str">
        <f t="shared" si="14"/>
        <v>Pendente de avaliação</v>
      </c>
      <c r="N490" s="11"/>
      <c r="O490" s="119"/>
      <c r="P490" s="11"/>
      <c r="Q490" s="11"/>
      <c r="R490" s="11"/>
      <c r="S490" s="11"/>
    </row>
    <row r="491" spans="1:19">
      <c r="A491" s="11"/>
      <c r="B491" s="11"/>
      <c r="C491" s="11"/>
      <c r="D491" s="11"/>
      <c r="E491" s="11"/>
      <c r="F491" s="11"/>
      <c r="G491" s="11"/>
      <c r="H491" s="11"/>
      <c r="I491" s="11"/>
      <c r="J491" s="11"/>
      <c r="K491" s="11"/>
      <c r="L491" s="18" t="str">
        <f t="shared" si="15"/>
        <v/>
      </c>
      <c r="M491" s="18" t="str">
        <f t="shared" si="14"/>
        <v>Pendente de avaliação</v>
      </c>
      <c r="N491" s="11"/>
      <c r="O491" s="119"/>
      <c r="P491" s="11"/>
      <c r="Q491" s="11"/>
      <c r="R491" s="11"/>
      <c r="S491" s="11"/>
    </row>
    <row r="492" spans="1:19">
      <c r="A492" s="11"/>
      <c r="B492" s="11"/>
      <c r="C492" s="11"/>
      <c r="D492" s="11"/>
      <c r="E492" s="11"/>
      <c r="F492" s="11"/>
      <c r="G492" s="11"/>
      <c r="H492" s="11"/>
      <c r="I492" s="11"/>
      <c r="J492" s="11"/>
      <c r="K492" s="11"/>
      <c r="L492" s="21" t="str">
        <f t="shared" si="15"/>
        <v/>
      </c>
      <c r="M492" s="21" t="str">
        <f t="shared" si="14"/>
        <v>Pendente de avaliação</v>
      </c>
      <c r="N492" s="11"/>
      <c r="O492" s="119"/>
      <c r="P492" s="11"/>
      <c r="Q492" s="11"/>
      <c r="R492" s="11"/>
      <c r="S492" s="11"/>
    </row>
    <row r="493" spans="1:19">
      <c r="A493" s="11"/>
      <c r="B493" s="11"/>
      <c r="C493" s="11"/>
      <c r="D493" s="11"/>
      <c r="E493" s="11"/>
      <c r="F493" s="11"/>
      <c r="G493" s="11"/>
      <c r="H493" s="11"/>
      <c r="I493" s="11"/>
      <c r="J493" s="11"/>
      <c r="K493" s="11"/>
      <c r="L493" s="18" t="str">
        <f t="shared" si="15"/>
        <v/>
      </c>
      <c r="M493" s="18" t="str">
        <f t="shared" si="14"/>
        <v>Pendente de avaliação</v>
      </c>
      <c r="N493" s="11"/>
      <c r="O493" s="119"/>
      <c r="P493" s="11"/>
      <c r="Q493" s="11"/>
      <c r="R493" s="11"/>
      <c r="S493" s="11"/>
    </row>
    <row r="494" spans="1:19">
      <c r="A494" s="11"/>
      <c r="B494" s="11"/>
      <c r="C494" s="11"/>
      <c r="D494" s="11"/>
      <c r="E494" s="11"/>
      <c r="F494" s="11"/>
      <c r="G494" s="11"/>
      <c r="H494" s="11"/>
      <c r="I494" s="11"/>
      <c r="J494" s="11"/>
      <c r="K494" s="11"/>
      <c r="L494" s="21" t="str">
        <f t="shared" si="15"/>
        <v/>
      </c>
      <c r="M494" s="21" t="str">
        <f t="shared" si="14"/>
        <v>Pendente de avaliação</v>
      </c>
      <c r="N494" s="11"/>
      <c r="O494" s="119"/>
      <c r="P494" s="11"/>
      <c r="Q494" s="11"/>
      <c r="R494" s="11"/>
      <c r="S494" s="11"/>
    </row>
    <row r="495" spans="1:19">
      <c r="A495" s="11"/>
      <c r="B495" s="11"/>
      <c r="C495" s="11"/>
      <c r="D495" s="11"/>
      <c r="E495" s="11"/>
      <c r="F495" s="11"/>
      <c r="G495" s="11"/>
      <c r="H495" s="11"/>
      <c r="I495" s="11"/>
      <c r="J495" s="11"/>
      <c r="K495" s="11"/>
      <c r="L495" s="18" t="str">
        <f t="shared" si="15"/>
        <v/>
      </c>
      <c r="M495" s="18" t="str">
        <f t="shared" si="14"/>
        <v>Pendente de avaliação</v>
      </c>
      <c r="N495" s="11"/>
      <c r="O495" s="119"/>
      <c r="P495" s="11"/>
      <c r="Q495" s="11"/>
      <c r="R495" s="11"/>
      <c r="S495" s="11"/>
    </row>
    <row r="496" spans="1:19">
      <c r="A496" s="11"/>
      <c r="B496" s="11"/>
      <c r="C496" s="11"/>
      <c r="D496" s="11"/>
      <c r="E496" s="11"/>
      <c r="F496" s="11"/>
      <c r="G496" s="11"/>
      <c r="H496" s="11"/>
      <c r="I496" s="11"/>
      <c r="J496" s="11"/>
      <c r="K496" s="11"/>
      <c r="L496" s="21" t="str">
        <f t="shared" si="15"/>
        <v/>
      </c>
      <c r="M496" s="21" t="str">
        <f t="shared" si="14"/>
        <v>Pendente de avaliação</v>
      </c>
      <c r="N496" s="11"/>
      <c r="O496" s="119"/>
      <c r="P496" s="11"/>
      <c r="Q496" s="11"/>
      <c r="R496" s="11"/>
      <c r="S496" s="11"/>
    </row>
    <row r="497" spans="1:19">
      <c r="A497" s="11"/>
      <c r="B497" s="11"/>
      <c r="C497" s="11"/>
      <c r="D497" s="11"/>
      <c r="E497" s="11"/>
      <c r="F497" s="11"/>
      <c r="G497" s="11"/>
      <c r="H497" s="11"/>
      <c r="I497" s="11"/>
      <c r="J497" s="11"/>
      <c r="K497" s="11"/>
      <c r="L497" s="18" t="str">
        <f t="shared" si="15"/>
        <v/>
      </c>
      <c r="M497" s="18" t="str">
        <f t="shared" si="14"/>
        <v>Pendente de avaliação</v>
      </c>
      <c r="N497" s="11"/>
      <c r="O497" s="119"/>
      <c r="P497" s="11"/>
      <c r="Q497" s="11"/>
      <c r="R497" s="11"/>
      <c r="S497" s="11"/>
    </row>
    <row r="498" spans="1:19">
      <c r="A498" s="11"/>
      <c r="B498" s="11"/>
      <c r="C498" s="11"/>
      <c r="D498" s="11"/>
      <c r="E498" s="11"/>
      <c r="F498" s="11"/>
      <c r="G498" s="11"/>
      <c r="H498" s="11"/>
      <c r="I498" s="11"/>
      <c r="J498" s="11"/>
      <c r="K498" s="11"/>
      <c r="L498" s="21" t="str">
        <f t="shared" si="15"/>
        <v/>
      </c>
      <c r="M498" s="21" t="str">
        <f t="shared" si="14"/>
        <v>Pendente de avaliação</v>
      </c>
      <c r="N498" s="11"/>
      <c r="O498" s="119"/>
      <c r="P498" s="11"/>
      <c r="Q498" s="11"/>
      <c r="R498" s="11"/>
      <c r="S498" s="11"/>
    </row>
  </sheetData>
  <conditionalFormatting sqref="Q95:Q175">
    <cfRule type="containsText" dxfId="109" priority="7" operator="containsText" text="Concluído"/>
    <cfRule type="containsText" dxfId="108" priority="8" operator="containsText" text="Em andamento"/>
    <cfRule type="containsText" dxfId="107" priority="9" operator="containsText" text="Não iniciado"/>
  </conditionalFormatting>
  <conditionalFormatting sqref="L2:M498">
    <cfRule type="cellIs" dxfId="106" priority="1" operator="between">
      <formula>65</formula>
      <formula>125</formula>
    </cfRule>
    <cfRule type="cellIs" dxfId="105" priority="2" operator="between">
      <formula>28</formula>
      <formula>64</formula>
    </cfRule>
    <cfRule type="cellIs" dxfId="104" priority="3" operator="between">
      <formula>1</formula>
      <formula>27</formula>
    </cfRule>
  </conditionalFormatting>
  <dataValidations count="6">
    <dataValidation type="list" sqref="S205:S226 S228:S247 E2:E332 E414:E492" xr:uid="{491AAA5C-E3DA-4DF7-9B91-5D68A1AB1B52}">
      <formula1>"SESMT, CCIH, T.I, Qualidade, Manutenção, Hotelaria, Assistencial, Administrativo, Engenharia Clínica, "</formula1>
    </dataValidation>
    <dataValidation type="list" allowBlank="1" sqref="S95:S113 S193 S177:S190" xr:uid="{09DE6DF3-CDFD-41D8-910D-77A5C3135E8E}">
      <formula1>"Segurança das instalações,Segurança contra incêndio,Equipamentos médicos,Gases medicinais,Materiais e resíduos perigosos,Controle de infecção e saneamento,Emergências e desastres,Segurança patrimonial,Utilidades críticas,Obras e reformas"</formula1>
    </dataValidation>
    <dataValidation type="list" allowBlank="1" sqref="Q95:Q226" xr:uid="{F2B5CC23-E439-45DA-90ED-3C39940EDB9C}">
      <formula1>"Não iniciado,Em andamento,Aguardando terceiro,Concluído,Reaberto,Cancelado/Não aplicável,Pendente"</formula1>
    </dataValidation>
    <dataValidation type="list" allowBlank="1" sqref="S191:S192" xr:uid="{5A4C8426-A07B-4073-A3B6-9994D9C31455}">
      <formula1>"Segurança das instalações, Segurança contra incêndio,Equipamentos médicos,Gases medicinais,Materiais e resíduos perigosos,Controle de infecção e saneamento,Emergências e desastres,Segurança patrimonial,Utilidades críticas,Obras e reformas, Climatização"</formula1>
    </dataValidation>
    <dataValidation type="list" allowBlank="1" sqref="S194:S204" xr:uid="{B0261E19-5F29-4B2B-8BD1-3AD2AE2747A4}">
      <formula1>"Manutenção,Hotelaria,Tecnologia da Informação,SESMT,CCIH,Engenharia Clínica,Segurança Patrimonial,Liderança do setor,Área assistencial/administrativa,Qualidade,Fornecedor/Terceiro"</formula1>
    </dataValidation>
    <dataValidation type="list" allowBlank="1" showInputMessage="1" showErrorMessage="1" sqref="H2:H332 H414:H498" xr:uid="{8A5E7D2B-3F0F-4ABB-B090-C009CD85AF29}">
      <formula1>"Sim, Não"</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C0579F7A-B47B-4A47-A80D-1B26439788F5}">
          <x14:formula1>
            <xm:f>Listas!$A$2:$A$6</xm:f>
          </x14:formula1>
          <xm:sqref>Q2:Q94 Q228:Q498</xm:sqref>
        </x14:dataValidation>
        <x14:dataValidation type="list" xr:uid="{C1695C35-BCD7-41D0-86FF-719A3890F85E}">
          <x14:formula1>
            <xm:f>Listas!$C$2:$C$11</xm:f>
          </x14:formula1>
          <xm:sqref>E493:E498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ACD0E-2B73-497A-B784-362A1AF09077}">
  <dimension ref="A1:E709"/>
  <sheetViews>
    <sheetView showGridLines="0" workbookViewId="0">
      <selection activeCell="C23" sqref="C23"/>
    </sheetView>
  </sheetViews>
  <sheetFormatPr defaultRowHeight="14.1"/>
  <cols>
    <col min="1" max="1" width="25.375" customWidth="1"/>
    <col min="2" max="5" width="20.625" customWidth="1"/>
  </cols>
  <sheetData>
    <row r="1" spans="1:5" ht="14.45">
      <c r="A1" s="62" t="s">
        <v>816</v>
      </c>
      <c r="B1" s="35" t="s">
        <v>817</v>
      </c>
      <c r="C1" s="35" t="s">
        <v>818</v>
      </c>
      <c r="D1" s="35" t="s">
        <v>819</v>
      </c>
      <c r="E1" s="36" t="s">
        <v>820</v>
      </c>
    </row>
    <row r="2" spans="1:5" ht="15.95">
      <c r="A2" s="37" t="s">
        <v>821</v>
      </c>
      <c r="B2" s="38" t="s">
        <v>822</v>
      </c>
      <c r="C2" s="39" t="s">
        <v>823</v>
      </c>
      <c r="D2" s="40">
        <v>1</v>
      </c>
      <c r="E2" s="41">
        <v>6</v>
      </c>
    </row>
    <row r="3" spans="1:5" ht="15.95">
      <c r="A3" s="37" t="s">
        <v>821</v>
      </c>
      <c r="B3" s="42" t="s">
        <v>822</v>
      </c>
      <c r="C3" s="39" t="s">
        <v>824</v>
      </c>
      <c r="D3" s="43">
        <v>2</v>
      </c>
      <c r="E3" s="44">
        <v>6</v>
      </c>
    </row>
    <row r="4" spans="1:5" ht="15.95">
      <c r="A4" s="37" t="s">
        <v>821</v>
      </c>
      <c r="B4" s="38" t="s">
        <v>822</v>
      </c>
      <c r="C4" s="39" t="s">
        <v>825</v>
      </c>
      <c r="D4" s="40">
        <v>3</v>
      </c>
      <c r="E4" s="41">
        <v>20</v>
      </c>
    </row>
    <row r="5" spans="1:5" ht="15.95">
      <c r="A5" s="37" t="s">
        <v>821</v>
      </c>
      <c r="B5" s="42" t="s">
        <v>822</v>
      </c>
      <c r="C5" s="39" t="s">
        <v>826</v>
      </c>
      <c r="D5" s="43">
        <v>4</v>
      </c>
      <c r="E5" s="44">
        <v>11</v>
      </c>
    </row>
    <row r="6" spans="1:5" ht="15.95">
      <c r="A6" s="37" t="s">
        <v>821</v>
      </c>
      <c r="B6" s="38" t="s">
        <v>822</v>
      </c>
      <c r="C6" s="39" t="s">
        <v>827</v>
      </c>
      <c r="D6" s="40">
        <v>5</v>
      </c>
      <c r="E6" s="41">
        <v>8</v>
      </c>
    </row>
    <row r="7" spans="1:5" ht="15.95">
      <c r="A7" s="37" t="s">
        <v>821</v>
      </c>
      <c r="B7" s="42" t="s">
        <v>822</v>
      </c>
      <c r="C7" s="39" t="s">
        <v>828</v>
      </c>
      <c r="D7" s="43">
        <v>6</v>
      </c>
      <c r="E7" s="65">
        <v>1</v>
      </c>
    </row>
    <row r="8" spans="1:5" ht="15.95">
      <c r="A8" s="37" t="s">
        <v>821</v>
      </c>
      <c r="B8" s="38" t="s">
        <v>822</v>
      </c>
      <c r="C8" s="39" t="s">
        <v>829</v>
      </c>
      <c r="D8" s="40">
        <v>7</v>
      </c>
      <c r="E8" s="66">
        <v>0</v>
      </c>
    </row>
    <row r="9" spans="1:5" ht="15.95">
      <c r="A9" s="37" t="s">
        <v>821</v>
      </c>
      <c r="B9" s="42" t="s">
        <v>822</v>
      </c>
      <c r="C9" s="39" t="s">
        <v>830</v>
      </c>
      <c r="D9" s="43">
        <v>8</v>
      </c>
      <c r="E9" s="66">
        <v>0</v>
      </c>
    </row>
    <row r="10" spans="1:5" ht="15.95">
      <c r="A10" s="37" t="s">
        <v>821</v>
      </c>
      <c r="B10" s="38" t="s">
        <v>822</v>
      </c>
      <c r="C10" s="39" t="s">
        <v>831</v>
      </c>
      <c r="D10" s="40">
        <v>9</v>
      </c>
      <c r="E10" s="66">
        <v>0</v>
      </c>
    </row>
    <row r="11" spans="1:5" ht="15.95">
      <c r="A11" s="37" t="s">
        <v>821</v>
      </c>
      <c r="B11" s="42" t="s">
        <v>822</v>
      </c>
      <c r="C11" s="39" t="s">
        <v>832</v>
      </c>
      <c r="D11" s="43">
        <v>10</v>
      </c>
      <c r="E11" s="66">
        <v>0</v>
      </c>
    </row>
    <row r="12" spans="1:5" ht="15.95">
      <c r="A12" s="37" t="s">
        <v>821</v>
      </c>
      <c r="B12" s="38" t="s">
        <v>822</v>
      </c>
      <c r="C12" s="39" t="s">
        <v>833</v>
      </c>
      <c r="D12" s="40">
        <v>11</v>
      </c>
      <c r="E12" s="66">
        <v>2</v>
      </c>
    </row>
    <row r="13" spans="1:5" ht="15.95">
      <c r="A13" s="37" t="s">
        <v>821</v>
      </c>
      <c r="B13" s="42" t="s">
        <v>822</v>
      </c>
      <c r="C13" s="39" t="s">
        <v>834</v>
      </c>
      <c r="D13" s="43">
        <v>12</v>
      </c>
      <c r="E13" s="66">
        <v>2</v>
      </c>
    </row>
    <row r="14" spans="1:5" ht="31.5">
      <c r="A14" s="37" t="s">
        <v>821</v>
      </c>
      <c r="B14" s="45" t="s">
        <v>835</v>
      </c>
      <c r="C14" s="39" t="s">
        <v>823</v>
      </c>
      <c r="D14" s="40">
        <v>1</v>
      </c>
      <c r="E14" s="66">
        <v>9</v>
      </c>
    </row>
    <row r="15" spans="1:5" ht="31.5">
      <c r="A15" s="37" t="s">
        <v>821</v>
      </c>
      <c r="B15" s="46" t="s">
        <v>835</v>
      </c>
      <c r="C15" s="39" t="s">
        <v>824</v>
      </c>
      <c r="D15" s="43">
        <v>2</v>
      </c>
      <c r="E15" s="66">
        <v>3</v>
      </c>
    </row>
    <row r="16" spans="1:5" ht="31.5">
      <c r="A16" s="37" t="s">
        <v>821</v>
      </c>
      <c r="B16" s="45" t="s">
        <v>835</v>
      </c>
      <c r="C16" s="39" t="s">
        <v>825</v>
      </c>
      <c r="D16" s="40">
        <v>3</v>
      </c>
      <c r="E16" s="66">
        <v>0</v>
      </c>
    </row>
    <row r="17" spans="1:5" ht="31.5">
      <c r="A17" s="37" t="s">
        <v>821</v>
      </c>
      <c r="B17" s="46" t="s">
        <v>835</v>
      </c>
      <c r="C17" s="39" t="s">
        <v>826</v>
      </c>
      <c r="D17" s="43">
        <v>4</v>
      </c>
      <c r="E17" s="66">
        <v>11</v>
      </c>
    </row>
    <row r="18" spans="1:5" ht="31.5">
      <c r="A18" s="37" t="s">
        <v>821</v>
      </c>
      <c r="B18" s="45" t="s">
        <v>835</v>
      </c>
      <c r="C18" s="39" t="s">
        <v>827</v>
      </c>
      <c r="D18" s="40">
        <v>5</v>
      </c>
      <c r="E18" s="66">
        <v>2</v>
      </c>
    </row>
    <row r="19" spans="1:5" ht="31.5">
      <c r="A19" s="37" t="s">
        <v>821</v>
      </c>
      <c r="B19" s="46" t="s">
        <v>835</v>
      </c>
      <c r="C19" s="39" t="s">
        <v>828</v>
      </c>
      <c r="D19" s="43">
        <v>6</v>
      </c>
      <c r="E19" s="44">
        <v>27</v>
      </c>
    </row>
    <row r="20" spans="1:5" ht="31.5">
      <c r="A20" s="37" t="s">
        <v>821</v>
      </c>
      <c r="B20" s="45" t="s">
        <v>835</v>
      </c>
      <c r="C20" s="39" t="s">
        <v>829</v>
      </c>
      <c r="D20" s="40">
        <v>7</v>
      </c>
      <c r="E20" s="41">
        <v>0</v>
      </c>
    </row>
    <row r="21" spans="1:5" ht="31.5">
      <c r="A21" s="37" t="s">
        <v>821</v>
      </c>
      <c r="B21" s="46" t="s">
        <v>835</v>
      </c>
      <c r="C21" s="39" t="s">
        <v>830</v>
      </c>
      <c r="D21" s="43">
        <v>8</v>
      </c>
      <c r="E21" s="44">
        <v>0</v>
      </c>
    </row>
    <row r="22" spans="1:5" ht="31.5">
      <c r="A22" s="37" t="s">
        <v>821</v>
      </c>
      <c r="B22" s="45" t="s">
        <v>835</v>
      </c>
      <c r="C22" s="39" t="s">
        <v>831</v>
      </c>
      <c r="D22" s="40">
        <v>9</v>
      </c>
      <c r="E22" s="41">
        <v>0</v>
      </c>
    </row>
    <row r="23" spans="1:5" ht="31.5">
      <c r="A23" s="37" t="s">
        <v>821</v>
      </c>
      <c r="B23" s="46" t="s">
        <v>835</v>
      </c>
      <c r="C23" s="39" t="s">
        <v>832</v>
      </c>
      <c r="D23" s="43">
        <v>10</v>
      </c>
      <c r="E23" s="44">
        <v>0</v>
      </c>
    </row>
    <row r="24" spans="1:5" ht="31.5">
      <c r="A24" s="37" t="s">
        <v>821</v>
      </c>
      <c r="B24" s="45" t="s">
        <v>835</v>
      </c>
      <c r="C24" s="39" t="s">
        <v>833</v>
      </c>
      <c r="D24" s="40">
        <v>11</v>
      </c>
      <c r="E24" s="41">
        <v>0</v>
      </c>
    </row>
    <row r="25" spans="1:5" ht="31.5">
      <c r="A25" s="37" t="s">
        <v>821</v>
      </c>
      <c r="B25" s="46" t="s">
        <v>835</v>
      </c>
      <c r="C25" s="39" t="s">
        <v>834</v>
      </c>
      <c r="D25" s="43">
        <v>12</v>
      </c>
      <c r="E25" s="44">
        <v>0</v>
      </c>
    </row>
    <row r="26" spans="1:5" ht="15.95">
      <c r="A26" s="37" t="s">
        <v>821</v>
      </c>
      <c r="B26" s="38" t="s">
        <v>836</v>
      </c>
      <c r="C26" s="39" t="s">
        <v>823</v>
      </c>
      <c r="D26" s="40">
        <v>1</v>
      </c>
      <c r="E26" s="41">
        <v>0</v>
      </c>
    </row>
    <row r="27" spans="1:5" ht="15.95">
      <c r="A27" s="37" t="s">
        <v>821</v>
      </c>
      <c r="B27" s="42" t="s">
        <v>836</v>
      </c>
      <c r="C27" s="39" t="s">
        <v>824</v>
      </c>
      <c r="D27" s="43">
        <v>2</v>
      </c>
      <c r="E27" s="44">
        <v>0</v>
      </c>
    </row>
    <row r="28" spans="1:5" ht="15.95">
      <c r="A28" s="37" t="s">
        <v>821</v>
      </c>
      <c r="B28" s="38" t="s">
        <v>836</v>
      </c>
      <c r="C28" s="39" t="s">
        <v>825</v>
      </c>
      <c r="D28" s="40">
        <v>3</v>
      </c>
      <c r="E28" s="41">
        <v>3</v>
      </c>
    </row>
    <row r="29" spans="1:5" ht="15.95">
      <c r="A29" s="37" t="s">
        <v>821</v>
      </c>
      <c r="B29" s="42" t="s">
        <v>836</v>
      </c>
      <c r="C29" s="39" t="s">
        <v>826</v>
      </c>
      <c r="D29" s="43">
        <v>4</v>
      </c>
      <c r="E29" s="44">
        <v>0</v>
      </c>
    </row>
    <row r="30" spans="1:5" ht="15.95">
      <c r="A30" s="37" t="s">
        <v>821</v>
      </c>
      <c r="B30" s="38" t="s">
        <v>836</v>
      </c>
      <c r="C30" s="39" t="s">
        <v>827</v>
      </c>
      <c r="D30" s="40">
        <v>5</v>
      </c>
      <c r="E30" s="41">
        <v>1</v>
      </c>
    </row>
    <row r="31" spans="1:5" ht="15.95">
      <c r="A31" s="37" t="s">
        <v>821</v>
      </c>
      <c r="B31" s="42" t="s">
        <v>836</v>
      </c>
      <c r="C31" s="39" t="s">
        <v>828</v>
      </c>
      <c r="D31" s="43">
        <v>6</v>
      </c>
      <c r="E31" s="44">
        <v>0</v>
      </c>
    </row>
    <row r="32" spans="1:5" ht="15.95">
      <c r="A32" s="37" t="s">
        <v>821</v>
      </c>
      <c r="B32" s="38" t="s">
        <v>836</v>
      </c>
      <c r="C32" s="39" t="s">
        <v>829</v>
      </c>
      <c r="D32" s="40">
        <v>7</v>
      </c>
      <c r="E32" s="41">
        <v>0</v>
      </c>
    </row>
    <row r="33" spans="1:5" ht="15.95">
      <c r="A33" s="37" t="s">
        <v>821</v>
      </c>
      <c r="B33" s="42" t="s">
        <v>836</v>
      </c>
      <c r="C33" s="39" t="s">
        <v>830</v>
      </c>
      <c r="D33" s="43">
        <v>8</v>
      </c>
      <c r="E33" s="44">
        <v>0</v>
      </c>
    </row>
    <row r="34" spans="1:5" ht="15.95">
      <c r="A34" s="37" t="s">
        <v>821</v>
      </c>
      <c r="B34" s="38" t="s">
        <v>836</v>
      </c>
      <c r="C34" s="39" t="s">
        <v>831</v>
      </c>
      <c r="D34" s="40">
        <v>9</v>
      </c>
      <c r="E34" s="41">
        <v>0</v>
      </c>
    </row>
    <row r="35" spans="1:5" ht="15.95">
      <c r="A35" s="37" t="s">
        <v>821</v>
      </c>
      <c r="B35" s="42" t="s">
        <v>836</v>
      </c>
      <c r="C35" s="39" t="s">
        <v>832</v>
      </c>
      <c r="D35" s="43">
        <v>10</v>
      </c>
      <c r="E35" s="44">
        <v>0</v>
      </c>
    </row>
    <row r="36" spans="1:5" ht="15.95">
      <c r="A36" s="37" t="s">
        <v>821</v>
      </c>
      <c r="B36" s="38" t="s">
        <v>836</v>
      </c>
      <c r="C36" s="39" t="s">
        <v>833</v>
      </c>
      <c r="D36" s="40">
        <v>11</v>
      </c>
      <c r="E36" s="41">
        <v>0</v>
      </c>
    </row>
    <row r="37" spans="1:5" ht="15.95">
      <c r="A37" s="37" t="s">
        <v>821</v>
      </c>
      <c r="B37" s="42" t="s">
        <v>836</v>
      </c>
      <c r="C37" s="39" t="s">
        <v>834</v>
      </c>
      <c r="D37" s="43">
        <v>12</v>
      </c>
      <c r="E37" s="44">
        <v>0</v>
      </c>
    </row>
    <row r="38" spans="1:5" ht="15.95">
      <c r="A38" s="37" t="s">
        <v>821</v>
      </c>
      <c r="B38" s="38" t="s">
        <v>837</v>
      </c>
      <c r="C38" s="39" t="s">
        <v>823</v>
      </c>
      <c r="D38" s="40">
        <v>1</v>
      </c>
      <c r="E38" s="41">
        <v>0</v>
      </c>
    </row>
    <row r="39" spans="1:5" ht="15.95">
      <c r="A39" s="37" t="s">
        <v>821</v>
      </c>
      <c r="B39" s="42" t="s">
        <v>837</v>
      </c>
      <c r="C39" s="39" t="s">
        <v>824</v>
      </c>
      <c r="D39" s="43">
        <v>2</v>
      </c>
      <c r="E39" s="44">
        <v>0</v>
      </c>
    </row>
    <row r="40" spans="1:5" ht="15.95">
      <c r="A40" s="37" t="s">
        <v>821</v>
      </c>
      <c r="B40" s="38" t="s">
        <v>837</v>
      </c>
      <c r="C40" s="39" t="s">
        <v>825</v>
      </c>
      <c r="D40" s="40">
        <v>3</v>
      </c>
      <c r="E40" s="41">
        <v>3</v>
      </c>
    </row>
    <row r="41" spans="1:5" ht="15.95">
      <c r="A41" s="37" t="s">
        <v>821</v>
      </c>
      <c r="B41" s="42" t="s">
        <v>837</v>
      </c>
      <c r="C41" s="39" t="s">
        <v>826</v>
      </c>
      <c r="D41" s="43">
        <v>4</v>
      </c>
      <c r="E41" s="44">
        <v>1</v>
      </c>
    </row>
    <row r="42" spans="1:5" ht="15.95">
      <c r="A42" s="37" t="s">
        <v>821</v>
      </c>
      <c r="B42" s="38" t="s">
        <v>837</v>
      </c>
      <c r="C42" s="39" t="s">
        <v>827</v>
      </c>
      <c r="D42" s="40">
        <v>5</v>
      </c>
      <c r="E42" s="41">
        <v>0</v>
      </c>
    </row>
    <row r="43" spans="1:5" ht="15.95">
      <c r="A43" s="37" t="s">
        <v>821</v>
      </c>
      <c r="B43" s="42" t="s">
        <v>837</v>
      </c>
      <c r="C43" s="39" t="s">
        <v>828</v>
      </c>
      <c r="D43" s="43">
        <v>6</v>
      </c>
      <c r="E43" s="44">
        <v>0</v>
      </c>
    </row>
    <row r="44" spans="1:5" ht="15.95">
      <c r="A44" s="37" t="s">
        <v>821</v>
      </c>
      <c r="B44" s="38" t="s">
        <v>837</v>
      </c>
      <c r="C44" s="39" t="s">
        <v>829</v>
      </c>
      <c r="D44" s="40">
        <v>7</v>
      </c>
      <c r="E44" s="41">
        <v>0</v>
      </c>
    </row>
    <row r="45" spans="1:5" ht="15.95">
      <c r="A45" s="37" t="s">
        <v>821</v>
      </c>
      <c r="B45" s="42" t="s">
        <v>837</v>
      </c>
      <c r="C45" s="39" t="s">
        <v>830</v>
      </c>
      <c r="D45" s="43">
        <v>8</v>
      </c>
      <c r="E45" s="44">
        <v>0</v>
      </c>
    </row>
    <row r="46" spans="1:5" ht="15.95">
      <c r="A46" s="37" t="s">
        <v>821</v>
      </c>
      <c r="B46" s="38" t="s">
        <v>837</v>
      </c>
      <c r="C46" s="39" t="s">
        <v>831</v>
      </c>
      <c r="D46" s="40">
        <v>9</v>
      </c>
      <c r="E46" s="41">
        <v>0</v>
      </c>
    </row>
    <row r="47" spans="1:5" ht="15.95">
      <c r="A47" s="37" t="s">
        <v>821</v>
      </c>
      <c r="B47" s="42" t="s">
        <v>837</v>
      </c>
      <c r="C47" s="39" t="s">
        <v>832</v>
      </c>
      <c r="D47" s="43">
        <v>10</v>
      </c>
      <c r="E47" s="44">
        <v>0</v>
      </c>
    </row>
    <row r="48" spans="1:5" ht="15.95">
      <c r="A48" s="37" t="s">
        <v>821</v>
      </c>
      <c r="B48" s="38" t="s">
        <v>837</v>
      </c>
      <c r="C48" s="39" t="s">
        <v>833</v>
      </c>
      <c r="D48" s="40">
        <v>11</v>
      </c>
      <c r="E48" s="41">
        <v>0</v>
      </c>
    </row>
    <row r="49" spans="1:5" ht="15.95">
      <c r="A49" s="37" t="s">
        <v>821</v>
      </c>
      <c r="B49" s="42" t="s">
        <v>837</v>
      </c>
      <c r="C49" s="39" t="s">
        <v>834</v>
      </c>
      <c r="D49" s="43">
        <v>12</v>
      </c>
      <c r="E49" s="44">
        <v>0</v>
      </c>
    </row>
    <row r="50" spans="1:5" ht="15.95">
      <c r="A50" s="37" t="s">
        <v>821</v>
      </c>
      <c r="B50" s="38" t="s">
        <v>838</v>
      </c>
      <c r="C50" s="39" t="s">
        <v>823</v>
      </c>
      <c r="D50" s="40">
        <v>1</v>
      </c>
      <c r="E50" s="41">
        <v>0</v>
      </c>
    </row>
    <row r="51" spans="1:5" ht="15.95">
      <c r="A51" s="37" t="s">
        <v>821</v>
      </c>
      <c r="B51" s="42" t="s">
        <v>838</v>
      </c>
      <c r="C51" s="39" t="s">
        <v>824</v>
      </c>
      <c r="D51" s="43">
        <v>2</v>
      </c>
      <c r="E51" s="44">
        <v>0</v>
      </c>
    </row>
    <row r="52" spans="1:5" ht="15.95">
      <c r="A52" s="37" t="s">
        <v>821</v>
      </c>
      <c r="B52" s="38" t="s">
        <v>838</v>
      </c>
      <c r="C52" s="39" t="s">
        <v>825</v>
      </c>
      <c r="D52" s="40">
        <v>3</v>
      </c>
      <c r="E52" s="41">
        <v>1</v>
      </c>
    </row>
    <row r="53" spans="1:5" ht="15.95">
      <c r="A53" s="37" t="s">
        <v>821</v>
      </c>
      <c r="B53" s="42" t="s">
        <v>838</v>
      </c>
      <c r="C53" s="39" t="s">
        <v>826</v>
      </c>
      <c r="D53" s="43">
        <v>4</v>
      </c>
      <c r="E53" s="44">
        <v>0</v>
      </c>
    </row>
    <row r="54" spans="1:5" ht="15.95">
      <c r="A54" s="37" t="s">
        <v>821</v>
      </c>
      <c r="B54" s="38" t="s">
        <v>838</v>
      </c>
      <c r="C54" s="39" t="s">
        <v>827</v>
      </c>
      <c r="D54" s="40">
        <v>5</v>
      </c>
      <c r="E54" s="41">
        <v>1</v>
      </c>
    </row>
    <row r="55" spans="1:5" ht="15.95">
      <c r="A55" s="37" t="s">
        <v>821</v>
      </c>
      <c r="B55" s="42" t="s">
        <v>838</v>
      </c>
      <c r="C55" s="39" t="s">
        <v>828</v>
      </c>
      <c r="D55" s="43">
        <v>6</v>
      </c>
      <c r="E55" s="44">
        <v>2</v>
      </c>
    </row>
    <row r="56" spans="1:5" ht="15.95">
      <c r="A56" s="37" t="s">
        <v>821</v>
      </c>
      <c r="B56" s="38" t="s">
        <v>838</v>
      </c>
      <c r="C56" s="39" t="s">
        <v>829</v>
      </c>
      <c r="D56" s="40">
        <v>7</v>
      </c>
      <c r="E56" s="41">
        <v>0</v>
      </c>
    </row>
    <row r="57" spans="1:5" ht="15.95">
      <c r="A57" s="37" t="s">
        <v>821</v>
      </c>
      <c r="B57" s="42" t="s">
        <v>838</v>
      </c>
      <c r="C57" s="39" t="s">
        <v>830</v>
      </c>
      <c r="D57" s="43">
        <v>8</v>
      </c>
      <c r="E57" s="44">
        <v>0</v>
      </c>
    </row>
    <row r="58" spans="1:5" ht="15.95">
      <c r="A58" s="37" t="s">
        <v>821</v>
      </c>
      <c r="B58" s="38" t="s">
        <v>838</v>
      </c>
      <c r="C58" s="39" t="s">
        <v>831</v>
      </c>
      <c r="D58" s="40">
        <v>9</v>
      </c>
      <c r="E58" s="41">
        <v>0</v>
      </c>
    </row>
    <row r="59" spans="1:5" ht="15.95">
      <c r="A59" s="37" t="s">
        <v>821</v>
      </c>
      <c r="B59" s="42" t="s">
        <v>838</v>
      </c>
      <c r="C59" s="39" t="s">
        <v>832</v>
      </c>
      <c r="D59" s="43">
        <v>10</v>
      </c>
      <c r="E59" s="44">
        <v>0</v>
      </c>
    </row>
    <row r="60" spans="1:5" ht="15.95">
      <c r="A60" s="37" t="s">
        <v>821</v>
      </c>
      <c r="B60" s="38" t="s">
        <v>838</v>
      </c>
      <c r="C60" s="39" t="s">
        <v>833</v>
      </c>
      <c r="D60" s="40">
        <v>11</v>
      </c>
      <c r="E60" s="41">
        <v>0</v>
      </c>
    </row>
    <row r="61" spans="1:5" ht="15.95">
      <c r="A61" s="37" t="s">
        <v>821</v>
      </c>
      <c r="B61" s="42" t="s">
        <v>838</v>
      </c>
      <c r="C61" s="39" t="s">
        <v>834</v>
      </c>
      <c r="D61" s="43">
        <v>12</v>
      </c>
      <c r="E61" s="44">
        <v>0</v>
      </c>
    </row>
    <row r="62" spans="1:5" ht="15.95">
      <c r="A62" s="37" t="s">
        <v>821</v>
      </c>
      <c r="B62" s="47" t="s">
        <v>839</v>
      </c>
      <c r="C62" s="39" t="s">
        <v>823</v>
      </c>
      <c r="D62" s="40">
        <v>1</v>
      </c>
      <c r="E62" s="41">
        <v>2</v>
      </c>
    </row>
    <row r="63" spans="1:5" ht="15.95">
      <c r="A63" s="37" t="s">
        <v>821</v>
      </c>
      <c r="B63" s="48" t="s">
        <v>839</v>
      </c>
      <c r="C63" s="39" t="s">
        <v>824</v>
      </c>
      <c r="D63" s="43">
        <v>2</v>
      </c>
      <c r="E63" s="44">
        <v>2</v>
      </c>
    </row>
    <row r="64" spans="1:5" ht="15.95">
      <c r="A64" s="37" t="s">
        <v>821</v>
      </c>
      <c r="B64" s="47" t="s">
        <v>839</v>
      </c>
      <c r="C64" s="39" t="s">
        <v>825</v>
      </c>
      <c r="D64" s="40">
        <v>3</v>
      </c>
      <c r="E64" s="41">
        <v>3</v>
      </c>
    </row>
    <row r="65" spans="1:5" ht="15.95">
      <c r="A65" s="37" t="s">
        <v>821</v>
      </c>
      <c r="B65" s="48" t="s">
        <v>839</v>
      </c>
      <c r="C65" s="39" t="s">
        <v>826</v>
      </c>
      <c r="D65" s="43">
        <v>4</v>
      </c>
      <c r="E65" s="44">
        <v>1</v>
      </c>
    </row>
    <row r="66" spans="1:5" ht="15.95">
      <c r="A66" s="37" t="s">
        <v>821</v>
      </c>
      <c r="B66" s="47" t="s">
        <v>839</v>
      </c>
      <c r="C66" s="39" t="s">
        <v>827</v>
      </c>
      <c r="D66" s="40">
        <v>5</v>
      </c>
      <c r="E66" s="41">
        <v>1</v>
      </c>
    </row>
    <row r="67" spans="1:5" ht="15.95">
      <c r="A67" s="37" t="s">
        <v>821</v>
      </c>
      <c r="B67" s="48" t="s">
        <v>839</v>
      </c>
      <c r="C67" s="39" t="s">
        <v>828</v>
      </c>
      <c r="D67" s="43">
        <v>6</v>
      </c>
      <c r="E67" s="44">
        <v>2</v>
      </c>
    </row>
    <row r="68" spans="1:5" ht="15.95">
      <c r="A68" s="37" t="s">
        <v>821</v>
      </c>
      <c r="B68" s="47" t="s">
        <v>839</v>
      </c>
      <c r="C68" s="39" t="s">
        <v>829</v>
      </c>
      <c r="D68" s="40">
        <v>7</v>
      </c>
      <c r="E68" s="41">
        <v>0</v>
      </c>
    </row>
    <row r="69" spans="1:5" ht="15.95">
      <c r="A69" s="37" t="s">
        <v>821</v>
      </c>
      <c r="B69" s="48" t="s">
        <v>839</v>
      </c>
      <c r="C69" s="39" t="s">
        <v>830</v>
      </c>
      <c r="D69" s="43">
        <v>8</v>
      </c>
      <c r="E69" s="44">
        <v>0</v>
      </c>
    </row>
    <row r="70" spans="1:5" ht="15.95">
      <c r="A70" s="37" t="s">
        <v>821</v>
      </c>
      <c r="B70" s="47" t="s">
        <v>839</v>
      </c>
      <c r="C70" s="39" t="s">
        <v>831</v>
      </c>
      <c r="D70" s="40">
        <v>9</v>
      </c>
      <c r="E70" s="41">
        <v>0</v>
      </c>
    </row>
    <row r="71" spans="1:5" ht="15.95">
      <c r="A71" s="37" t="s">
        <v>821</v>
      </c>
      <c r="B71" s="48" t="s">
        <v>839</v>
      </c>
      <c r="C71" s="39" t="s">
        <v>832</v>
      </c>
      <c r="D71" s="43">
        <v>10</v>
      </c>
      <c r="E71" s="44">
        <v>0</v>
      </c>
    </row>
    <row r="72" spans="1:5" ht="15.95">
      <c r="A72" s="37" t="s">
        <v>821</v>
      </c>
      <c r="B72" s="47" t="s">
        <v>839</v>
      </c>
      <c r="C72" s="39" t="s">
        <v>833</v>
      </c>
      <c r="D72" s="40">
        <v>11</v>
      </c>
      <c r="E72" s="41">
        <v>0</v>
      </c>
    </row>
    <row r="73" spans="1:5" ht="15.95">
      <c r="A73" s="37" t="s">
        <v>821</v>
      </c>
      <c r="B73" s="48" t="s">
        <v>839</v>
      </c>
      <c r="C73" s="39" t="s">
        <v>834</v>
      </c>
      <c r="D73" s="43">
        <v>12</v>
      </c>
      <c r="E73" s="44">
        <v>0</v>
      </c>
    </row>
    <row r="74" spans="1:5" ht="15.95">
      <c r="A74" s="37" t="s">
        <v>821</v>
      </c>
      <c r="B74" s="38" t="s">
        <v>840</v>
      </c>
      <c r="C74" s="39" t="s">
        <v>823</v>
      </c>
      <c r="D74" s="40">
        <v>1</v>
      </c>
      <c r="E74" s="41">
        <v>0</v>
      </c>
    </row>
    <row r="75" spans="1:5" ht="15.95">
      <c r="A75" s="37" t="s">
        <v>821</v>
      </c>
      <c r="B75" s="42" t="s">
        <v>840</v>
      </c>
      <c r="C75" s="39" t="s">
        <v>824</v>
      </c>
      <c r="D75" s="43">
        <v>2</v>
      </c>
      <c r="E75" s="44">
        <v>3</v>
      </c>
    </row>
    <row r="76" spans="1:5" ht="15.95">
      <c r="A76" s="37" t="s">
        <v>821</v>
      </c>
      <c r="B76" s="38" t="s">
        <v>840</v>
      </c>
      <c r="C76" s="39" t="s">
        <v>825</v>
      </c>
      <c r="D76" s="40">
        <v>3</v>
      </c>
      <c r="E76" s="41">
        <v>2</v>
      </c>
    </row>
    <row r="77" spans="1:5" ht="15.95">
      <c r="A77" s="37" t="s">
        <v>821</v>
      </c>
      <c r="B77" s="42" t="s">
        <v>840</v>
      </c>
      <c r="C77" s="39" t="s">
        <v>826</v>
      </c>
      <c r="D77" s="43">
        <v>4</v>
      </c>
      <c r="E77" s="44">
        <v>6</v>
      </c>
    </row>
    <row r="78" spans="1:5" ht="15.95">
      <c r="A78" s="37" t="s">
        <v>821</v>
      </c>
      <c r="B78" s="38" t="s">
        <v>840</v>
      </c>
      <c r="C78" s="39" t="s">
        <v>827</v>
      </c>
      <c r="D78" s="40">
        <v>5</v>
      </c>
      <c r="E78" s="41">
        <v>4</v>
      </c>
    </row>
    <row r="79" spans="1:5" ht="15.95">
      <c r="A79" s="37" t="s">
        <v>821</v>
      </c>
      <c r="B79" s="42" t="s">
        <v>840</v>
      </c>
      <c r="C79" s="39" t="s">
        <v>828</v>
      </c>
      <c r="D79" s="43">
        <v>6</v>
      </c>
      <c r="E79" s="44">
        <v>2</v>
      </c>
    </row>
    <row r="80" spans="1:5" ht="15.95">
      <c r="A80" s="37" t="s">
        <v>821</v>
      </c>
      <c r="B80" s="38" t="s">
        <v>840</v>
      </c>
      <c r="C80" s="39" t="s">
        <v>829</v>
      </c>
      <c r="D80" s="40">
        <v>7</v>
      </c>
      <c r="E80" s="41">
        <v>0</v>
      </c>
    </row>
    <row r="81" spans="1:5" ht="15.95">
      <c r="A81" s="37" t="s">
        <v>821</v>
      </c>
      <c r="B81" s="42" t="s">
        <v>840</v>
      </c>
      <c r="C81" s="39" t="s">
        <v>830</v>
      </c>
      <c r="D81" s="43">
        <v>8</v>
      </c>
      <c r="E81" s="44">
        <v>0</v>
      </c>
    </row>
    <row r="82" spans="1:5" ht="15.95">
      <c r="A82" s="37" t="s">
        <v>821</v>
      </c>
      <c r="B82" s="38" t="s">
        <v>840</v>
      </c>
      <c r="C82" s="39" t="s">
        <v>831</v>
      </c>
      <c r="D82" s="40">
        <v>9</v>
      </c>
      <c r="E82" s="41">
        <v>0</v>
      </c>
    </row>
    <row r="83" spans="1:5" ht="15.95">
      <c r="A83" s="37" t="s">
        <v>821</v>
      </c>
      <c r="B83" s="42" t="s">
        <v>840</v>
      </c>
      <c r="C83" s="39" t="s">
        <v>832</v>
      </c>
      <c r="D83" s="43">
        <v>10</v>
      </c>
      <c r="E83" s="44">
        <v>0</v>
      </c>
    </row>
    <row r="84" spans="1:5" ht="15.95">
      <c r="A84" s="37" t="s">
        <v>821</v>
      </c>
      <c r="B84" s="38" t="s">
        <v>840</v>
      </c>
      <c r="C84" s="39" t="s">
        <v>833</v>
      </c>
      <c r="D84" s="40">
        <v>11</v>
      </c>
      <c r="E84" s="41">
        <v>0</v>
      </c>
    </row>
    <row r="85" spans="1:5" ht="15.95">
      <c r="A85" s="37" t="s">
        <v>821</v>
      </c>
      <c r="B85" s="42" t="s">
        <v>840</v>
      </c>
      <c r="C85" s="39" t="s">
        <v>834</v>
      </c>
      <c r="D85" s="43">
        <v>12</v>
      </c>
      <c r="E85" s="44">
        <v>0</v>
      </c>
    </row>
    <row r="86" spans="1:5" ht="31.5">
      <c r="A86" s="37" t="s">
        <v>821</v>
      </c>
      <c r="B86" s="45" t="s">
        <v>841</v>
      </c>
      <c r="C86" s="39" t="s">
        <v>823</v>
      </c>
      <c r="D86" s="40">
        <v>1</v>
      </c>
      <c r="E86" s="41">
        <v>9</v>
      </c>
    </row>
    <row r="87" spans="1:5" ht="31.5">
      <c r="A87" s="37" t="s">
        <v>821</v>
      </c>
      <c r="B87" s="46" t="s">
        <v>841</v>
      </c>
      <c r="C87" s="39" t="s">
        <v>824</v>
      </c>
      <c r="D87" s="43">
        <v>2</v>
      </c>
      <c r="E87" s="44">
        <v>3</v>
      </c>
    </row>
    <row r="88" spans="1:5" ht="31.5">
      <c r="A88" s="37" t="s">
        <v>821</v>
      </c>
      <c r="B88" s="45" t="s">
        <v>841</v>
      </c>
      <c r="C88" s="39" t="s">
        <v>825</v>
      </c>
      <c r="D88" s="40">
        <v>3</v>
      </c>
      <c r="E88" s="41">
        <v>7</v>
      </c>
    </row>
    <row r="89" spans="1:5" ht="31.5">
      <c r="A89" s="37" t="s">
        <v>821</v>
      </c>
      <c r="B89" s="46" t="s">
        <v>841</v>
      </c>
      <c r="C89" s="39" t="s">
        <v>826</v>
      </c>
      <c r="D89" s="43">
        <v>4</v>
      </c>
      <c r="E89" s="44">
        <v>6</v>
      </c>
    </row>
    <row r="90" spans="1:5" ht="31.5">
      <c r="A90" s="37" t="s">
        <v>821</v>
      </c>
      <c r="B90" s="45" t="s">
        <v>841</v>
      </c>
      <c r="C90" s="39" t="s">
        <v>827</v>
      </c>
      <c r="D90" s="40">
        <v>5</v>
      </c>
      <c r="E90" s="41">
        <v>7</v>
      </c>
    </row>
    <row r="91" spans="1:5" ht="31.5">
      <c r="A91" s="37" t="s">
        <v>821</v>
      </c>
      <c r="B91" s="46" t="s">
        <v>841</v>
      </c>
      <c r="C91" s="39" t="s">
        <v>828</v>
      </c>
      <c r="D91" s="43">
        <v>6</v>
      </c>
      <c r="E91" s="44">
        <v>9</v>
      </c>
    </row>
    <row r="92" spans="1:5" ht="31.5">
      <c r="A92" s="37" t="s">
        <v>821</v>
      </c>
      <c r="B92" s="45" t="s">
        <v>841</v>
      </c>
      <c r="C92" s="39" t="s">
        <v>829</v>
      </c>
      <c r="D92" s="40">
        <v>7</v>
      </c>
      <c r="E92" s="41">
        <v>0</v>
      </c>
    </row>
    <row r="93" spans="1:5" ht="31.5">
      <c r="A93" s="37" t="s">
        <v>821</v>
      </c>
      <c r="B93" s="46" t="s">
        <v>841</v>
      </c>
      <c r="C93" s="39" t="s">
        <v>830</v>
      </c>
      <c r="D93" s="43">
        <v>8</v>
      </c>
      <c r="E93" s="44">
        <v>0</v>
      </c>
    </row>
    <row r="94" spans="1:5" ht="31.5">
      <c r="A94" s="37" t="s">
        <v>821</v>
      </c>
      <c r="B94" s="45" t="s">
        <v>841</v>
      </c>
      <c r="C94" s="39" t="s">
        <v>831</v>
      </c>
      <c r="D94" s="40">
        <v>9</v>
      </c>
      <c r="E94" s="41">
        <v>0</v>
      </c>
    </row>
    <row r="95" spans="1:5" ht="31.5">
      <c r="A95" s="37" t="s">
        <v>821</v>
      </c>
      <c r="B95" s="46" t="s">
        <v>841</v>
      </c>
      <c r="C95" s="39" t="s">
        <v>832</v>
      </c>
      <c r="D95" s="43">
        <v>10</v>
      </c>
      <c r="E95" s="44">
        <v>0</v>
      </c>
    </row>
    <row r="96" spans="1:5" ht="31.5">
      <c r="A96" s="37" t="s">
        <v>821</v>
      </c>
      <c r="B96" s="45" t="s">
        <v>841</v>
      </c>
      <c r="C96" s="39" t="s">
        <v>833</v>
      </c>
      <c r="D96" s="40">
        <v>11</v>
      </c>
      <c r="E96" s="41">
        <v>0</v>
      </c>
    </row>
    <row r="97" spans="1:5" ht="31.5">
      <c r="A97" s="37" t="s">
        <v>821</v>
      </c>
      <c r="B97" s="46" t="s">
        <v>841</v>
      </c>
      <c r="C97" s="39" t="s">
        <v>834</v>
      </c>
      <c r="D97" s="43">
        <v>12</v>
      </c>
      <c r="E97" s="44">
        <v>0</v>
      </c>
    </row>
    <row r="98" spans="1:5" ht="31.5">
      <c r="A98" s="37" t="s">
        <v>821</v>
      </c>
      <c r="B98" s="45" t="s">
        <v>842</v>
      </c>
      <c r="C98" s="39" t="s">
        <v>823</v>
      </c>
      <c r="D98" s="40">
        <v>1</v>
      </c>
      <c r="E98" s="41">
        <v>1</v>
      </c>
    </row>
    <row r="99" spans="1:5" ht="31.5">
      <c r="A99" s="37" t="s">
        <v>821</v>
      </c>
      <c r="B99" s="46" t="s">
        <v>842</v>
      </c>
      <c r="C99" s="39" t="s">
        <v>824</v>
      </c>
      <c r="D99" s="43">
        <v>2</v>
      </c>
      <c r="E99" s="44">
        <v>2</v>
      </c>
    </row>
    <row r="100" spans="1:5" ht="31.5">
      <c r="A100" s="37" t="s">
        <v>821</v>
      </c>
      <c r="B100" s="45" t="s">
        <v>842</v>
      </c>
      <c r="C100" s="39" t="s">
        <v>825</v>
      </c>
      <c r="D100" s="40">
        <v>3</v>
      </c>
      <c r="E100" s="41">
        <v>2</v>
      </c>
    </row>
    <row r="101" spans="1:5" ht="31.5">
      <c r="A101" s="37" t="s">
        <v>821</v>
      </c>
      <c r="B101" s="46" t="s">
        <v>842</v>
      </c>
      <c r="C101" s="39" t="s">
        <v>826</v>
      </c>
      <c r="D101" s="43">
        <v>4</v>
      </c>
      <c r="E101" s="44">
        <v>3</v>
      </c>
    </row>
    <row r="102" spans="1:5" ht="31.5">
      <c r="A102" s="37" t="s">
        <v>821</v>
      </c>
      <c r="B102" s="45" t="s">
        <v>842</v>
      </c>
      <c r="C102" s="39" t="s">
        <v>827</v>
      </c>
      <c r="D102" s="40">
        <v>5</v>
      </c>
      <c r="E102" s="41">
        <v>0</v>
      </c>
    </row>
    <row r="103" spans="1:5" ht="31.5">
      <c r="A103" s="37" t="s">
        <v>821</v>
      </c>
      <c r="B103" s="46" t="s">
        <v>842</v>
      </c>
      <c r="C103" s="39" t="s">
        <v>828</v>
      </c>
      <c r="D103" s="43">
        <v>6</v>
      </c>
      <c r="E103" s="44">
        <v>3</v>
      </c>
    </row>
    <row r="104" spans="1:5" ht="31.5">
      <c r="A104" s="37" t="s">
        <v>821</v>
      </c>
      <c r="B104" s="45" t="s">
        <v>842</v>
      </c>
      <c r="C104" s="39" t="s">
        <v>829</v>
      </c>
      <c r="D104" s="40">
        <v>7</v>
      </c>
      <c r="E104" s="41">
        <v>0</v>
      </c>
    </row>
    <row r="105" spans="1:5" ht="31.5">
      <c r="A105" s="37" t="s">
        <v>821</v>
      </c>
      <c r="B105" s="46" t="s">
        <v>842</v>
      </c>
      <c r="C105" s="39" t="s">
        <v>830</v>
      </c>
      <c r="D105" s="43">
        <v>8</v>
      </c>
      <c r="E105" s="44">
        <v>0</v>
      </c>
    </row>
    <row r="106" spans="1:5" ht="31.5">
      <c r="A106" s="37" t="s">
        <v>821</v>
      </c>
      <c r="B106" s="45" t="s">
        <v>842</v>
      </c>
      <c r="C106" s="39" t="s">
        <v>831</v>
      </c>
      <c r="D106" s="40">
        <v>9</v>
      </c>
      <c r="E106" s="41">
        <v>0</v>
      </c>
    </row>
    <row r="107" spans="1:5" ht="31.5">
      <c r="A107" s="37" t="s">
        <v>821</v>
      </c>
      <c r="B107" s="46" t="s">
        <v>842</v>
      </c>
      <c r="C107" s="39" t="s">
        <v>832</v>
      </c>
      <c r="D107" s="43">
        <v>10</v>
      </c>
      <c r="E107" s="44">
        <v>0</v>
      </c>
    </row>
    <row r="108" spans="1:5" ht="31.5">
      <c r="A108" s="37" t="s">
        <v>821</v>
      </c>
      <c r="B108" s="45" t="s">
        <v>842</v>
      </c>
      <c r="C108" s="39" t="s">
        <v>833</v>
      </c>
      <c r="D108" s="40">
        <v>11</v>
      </c>
      <c r="E108" s="41">
        <v>0</v>
      </c>
    </row>
    <row r="109" spans="1:5" ht="31.5">
      <c r="A109" s="37" t="s">
        <v>821</v>
      </c>
      <c r="B109" s="46" t="s">
        <v>842</v>
      </c>
      <c r="C109" s="39" t="s">
        <v>834</v>
      </c>
      <c r="D109" s="43">
        <v>12</v>
      </c>
      <c r="E109" s="44">
        <v>0</v>
      </c>
    </row>
    <row r="110" spans="1:5" ht="31.5">
      <c r="A110" s="37" t="s">
        <v>821</v>
      </c>
      <c r="B110" s="45" t="s">
        <v>843</v>
      </c>
      <c r="C110" s="39" t="s">
        <v>823</v>
      </c>
      <c r="D110" s="40">
        <v>1</v>
      </c>
      <c r="E110" s="41">
        <v>5</v>
      </c>
    </row>
    <row r="111" spans="1:5" ht="31.5">
      <c r="A111" s="37" t="s">
        <v>821</v>
      </c>
      <c r="B111" s="46" t="s">
        <v>843</v>
      </c>
      <c r="C111" s="39" t="s">
        <v>824</v>
      </c>
      <c r="D111" s="43">
        <v>2</v>
      </c>
      <c r="E111" s="44">
        <v>0</v>
      </c>
    </row>
    <row r="112" spans="1:5" ht="31.5">
      <c r="A112" s="37" t="s">
        <v>821</v>
      </c>
      <c r="B112" s="45" t="s">
        <v>843</v>
      </c>
      <c r="C112" s="39" t="s">
        <v>825</v>
      </c>
      <c r="D112" s="40">
        <v>3</v>
      </c>
      <c r="E112" s="41">
        <v>2</v>
      </c>
    </row>
    <row r="113" spans="1:5" ht="31.5">
      <c r="A113" s="37" t="s">
        <v>821</v>
      </c>
      <c r="B113" s="46" t="s">
        <v>843</v>
      </c>
      <c r="C113" s="39" t="s">
        <v>826</v>
      </c>
      <c r="D113" s="43">
        <v>4</v>
      </c>
      <c r="E113" s="44">
        <v>1</v>
      </c>
    </row>
    <row r="114" spans="1:5" ht="31.5">
      <c r="A114" s="37" t="s">
        <v>821</v>
      </c>
      <c r="B114" s="45" t="s">
        <v>843</v>
      </c>
      <c r="C114" s="39" t="s">
        <v>827</v>
      </c>
      <c r="D114" s="40">
        <v>5</v>
      </c>
      <c r="E114" s="41">
        <v>2</v>
      </c>
    </row>
    <row r="115" spans="1:5" ht="31.5">
      <c r="A115" s="37" t="s">
        <v>821</v>
      </c>
      <c r="B115" s="46" t="s">
        <v>843</v>
      </c>
      <c r="C115" s="39" t="s">
        <v>828</v>
      </c>
      <c r="D115" s="43">
        <v>6</v>
      </c>
      <c r="E115" s="44">
        <v>11</v>
      </c>
    </row>
    <row r="116" spans="1:5" ht="31.5">
      <c r="A116" s="37" t="s">
        <v>821</v>
      </c>
      <c r="B116" s="45" t="s">
        <v>843</v>
      </c>
      <c r="C116" s="39" t="s">
        <v>829</v>
      </c>
      <c r="D116" s="40">
        <v>7</v>
      </c>
      <c r="E116" s="41">
        <v>0</v>
      </c>
    </row>
    <row r="117" spans="1:5" ht="31.5">
      <c r="A117" s="37" t="s">
        <v>821</v>
      </c>
      <c r="B117" s="46" t="s">
        <v>843</v>
      </c>
      <c r="C117" s="39" t="s">
        <v>830</v>
      </c>
      <c r="D117" s="43">
        <v>8</v>
      </c>
      <c r="E117" s="44">
        <v>0</v>
      </c>
    </row>
    <row r="118" spans="1:5" ht="31.5">
      <c r="A118" s="37" t="s">
        <v>821</v>
      </c>
      <c r="B118" s="45" t="s">
        <v>843</v>
      </c>
      <c r="C118" s="39" t="s">
        <v>831</v>
      </c>
      <c r="D118" s="40">
        <v>9</v>
      </c>
      <c r="E118" s="41">
        <v>0</v>
      </c>
    </row>
    <row r="119" spans="1:5" ht="31.5">
      <c r="A119" s="37" t="s">
        <v>821</v>
      </c>
      <c r="B119" s="46" t="s">
        <v>843</v>
      </c>
      <c r="C119" s="39" t="s">
        <v>832</v>
      </c>
      <c r="D119" s="43">
        <v>10</v>
      </c>
      <c r="E119" s="44">
        <v>0</v>
      </c>
    </row>
    <row r="120" spans="1:5" ht="31.5">
      <c r="A120" s="37" t="s">
        <v>821</v>
      </c>
      <c r="B120" s="45" t="s">
        <v>843</v>
      </c>
      <c r="C120" s="39" t="s">
        <v>833</v>
      </c>
      <c r="D120" s="40">
        <v>11</v>
      </c>
      <c r="E120" s="41">
        <v>0</v>
      </c>
    </row>
    <row r="121" spans="1:5" ht="31.5">
      <c r="A121" s="37" t="s">
        <v>821</v>
      </c>
      <c r="B121" s="46" t="s">
        <v>843</v>
      </c>
      <c r="C121" s="39" t="s">
        <v>834</v>
      </c>
      <c r="D121" s="43">
        <v>12</v>
      </c>
      <c r="E121" s="44">
        <v>0</v>
      </c>
    </row>
    <row r="122" spans="1:5" ht="15.95">
      <c r="A122" s="37" t="s">
        <v>821</v>
      </c>
      <c r="B122" s="45" t="s">
        <v>844</v>
      </c>
      <c r="C122" s="39" t="s">
        <v>823</v>
      </c>
      <c r="D122" s="40">
        <v>1</v>
      </c>
      <c r="E122" s="41">
        <v>5</v>
      </c>
    </row>
    <row r="123" spans="1:5" ht="15.95">
      <c r="A123" s="37" t="s">
        <v>821</v>
      </c>
      <c r="B123" s="46" t="s">
        <v>844</v>
      </c>
      <c r="C123" s="39" t="s">
        <v>824</v>
      </c>
      <c r="D123" s="43">
        <v>2</v>
      </c>
      <c r="E123" s="44">
        <v>6</v>
      </c>
    </row>
    <row r="124" spans="1:5" ht="15.95">
      <c r="A124" s="37" t="s">
        <v>821</v>
      </c>
      <c r="B124" s="45" t="s">
        <v>844</v>
      </c>
      <c r="C124" s="39" t="s">
        <v>825</v>
      </c>
      <c r="D124" s="40">
        <v>3</v>
      </c>
      <c r="E124" s="41">
        <v>21</v>
      </c>
    </row>
    <row r="125" spans="1:5" ht="15.95">
      <c r="A125" s="37" t="s">
        <v>821</v>
      </c>
      <c r="B125" s="46" t="s">
        <v>844</v>
      </c>
      <c r="C125" s="39" t="s">
        <v>826</v>
      </c>
      <c r="D125" s="43">
        <v>4</v>
      </c>
      <c r="E125" s="44">
        <v>20</v>
      </c>
    </row>
    <row r="126" spans="1:5" ht="15.95">
      <c r="A126" s="37" t="s">
        <v>821</v>
      </c>
      <c r="B126" s="45" t="s">
        <v>844</v>
      </c>
      <c r="C126" s="39" t="s">
        <v>827</v>
      </c>
      <c r="D126" s="40">
        <v>5</v>
      </c>
      <c r="E126" s="41">
        <v>9</v>
      </c>
    </row>
    <row r="127" spans="1:5" ht="15.95">
      <c r="A127" s="37" t="s">
        <v>821</v>
      </c>
      <c r="B127" s="46" t="s">
        <v>844</v>
      </c>
      <c r="C127" s="39" t="s">
        <v>828</v>
      </c>
      <c r="D127" s="43">
        <v>6</v>
      </c>
      <c r="E127" s="44">
        <v>6</v>
      </c>
    </row>
    <row r="128" spans="1:5" ht="15.95">
      <c r="A128" s="37" t="s">
        <v>821</v>
      </c>
      <c r="B128" s="45" t="s">
        <v>844</v>
      </c>
      <c r="C128" s="39" t="s">
        <v>829</v>
      </c>
      <c r="D128" s="40">
        <v>7</v>
      </c>
      <c r="E128" s="41">
        <v>0</v>
      </c>
    </row>
    <row r="129" spans="1:5" ht="15.95">
      <c r="A129" s="37" t="s">
        <v>821</v>
      </c>
      <c r="B129" s="46" t="s">
        <v>844</v>
      </c>
      <c r="C129" s="39" t="s">
        <v>830</v>
      </c>
      <c r="D129" s="43">
        <v>8</v>
      </c>
      <c r="E129" s="44">
        <v>0</v>
      </c>
    </row>
    <row r="130" spans="1:5" ht="15.95">
      <c r="A130" s="37" t="s">
        <v>821</v>
      </c>
      <c r="B130" s="45" t="s">
        <v>844</v>
      </c>
      <c r="C130" s="39" t="s">
        <v>831</v>
      </c>
      <c r="D130" s="40">
        <v>9</v>
      </c>
      <c r="E130" s="41">
        <v>0</v>
      </c>
    </row>
    <row r="131" spans="1:5" ht="15.95">
      <c r="A131" s="37" t="s">
        <v>821</v>
      </c>
      <c r="B131" s="46" t="s">
        <v>844</v>
      </c>
      <c r="C131" s="39" t="s">
        <v>832</v>
      </c>
      <c r="D131" s="43">
        <v>10</v>
      </c>
      <c r="E131" s="44">
        <v>0</v>
      </c>
    </row>
    <row r="132" spans="1:5" ht="15.95">
      <c r="A132" s="37" t="s">
        <v>821</v>
      </c>
      <c r="B132" s="45" t="s">
        <v>844</v>
      </c>
      <c r="C132" s="39" t="s">
        <v>833</v>
      </c>
      <c r="D132" s="40">
        <v>11</v>
      </c>
      <c r="E132" s="41">
        <v>0</v>
      </c>
    </row>
    <row r="133" spans="1:5" ht="15.95">
      <c r="A133" s="37" t="s">
        <v>821</v>
      </c>
      <c r="B133" s="46" t="s">
        <v>844</v>
      </c>
      <c r="C133" s="39" t="s">
        <v>834</v>
      </c>
      <c r="D133" s="43">
        <v>12</v>
      </c>
      <c r="E133" s="44">
        <v>0</v>
      </c>
    </row>
    <row r="134" spans="1:5" ht="15.95">
      <c r="A134" s="37" t="s">
        <v>821</v>
      </c>
      <c r="B134" s="40" t="s">
        <v>845</v>
      </c>
      <c r="C134" s="39" t="s">
        <v>823</v>
      </c>
      <c r="D134" s="40">
        <v>1</v>
      </c>
      <c r="E134" s="41">
        <v>3</v>
      </c>
    </row>
    <row r="135" spans="1:5" ht="15.95">
      <c r="A135" s="37" t="s">
        <v>821</v>
      </c>
      <c r="B135" s="43" t="s">
        <v>845</v>
      </c>
      <c r="C135" s="39" t="s">
        <v>824</v>
      </c>
      <c r="D135" s="43">
        <v>2</v>
      </c>
      <c r="E135" s="44">
        <v>1</v>
      </c>
    </row>
    <row r="136" spans="1:5" ht="15.95">
      <c r="A136" s="37" t="s">
        <v>821</v>
      </c>
      <c r="B136" s="40" t="s">
        <v>845</v>
      </c>
      <c r="C136" s="39" t="s">
        <v>825</v>
      </c>
      <c r="D136" s="40">
        <v>3</v>
      </c>
      <c r="E136" s="41">
        <v>7</v>
      </c>
    </row>
    <row r="137" spans="1:5" ht="15.95">
      <c r="A137" s="37" t="s">
        <v>821</v>
      </c>
      <c r="B137" s="43" t="s">
        <v>845</v>
      </c>
      <c r="C137" s="39" t="s">
        <v>826</v>
      </c>
      <c r="D137" s="43">
        <v>4</v>
      </c>
      <c r="E137" s="44">
        <v>1</v>
      </c>
    </row>
    <row r="138" spans="1:5" ht="15.95">
      <c r="A138" s="37" t="s">
        <v>821</v>
      </c>
      <c r="B138" s="40" t="s">
        <v>845</v>
      </c>
      <c r="C138" s="39" t="s">
        <v>827</v>
      </c>
      <c r="D138" s="40">
        <v>5</v>
      </c>
      <c r="E138" s="41">
        <v>5</v>
      </c>
    </row>
    <row r="139" spans="1:5" ht="15.95">
      <c r="A139" s="37" t="s">
        <v>821</v>
      </c>
      <c r="B139" s="43" t="s">
        <v>845</v>
      </c>
      <c r="C139" s="39" t="s">
        <v>828</v>
      </c>
      <c r="D139" s="43">
        <v>6</v>
      </c>
      <c r="E139" s="44">
        <v>2</v>
      </c>
    </row>
    <row r="140" spans="1:5" ht="15.95">
      <c r="A140" s="37" t="s">
        <v>821</v>
      </c>
      <c r="B140" s="40" t="s">
        <v>845</v>
      </c>
      <c r="C140" s="39" t="s">
        <v>829</v>
      </c>
      <c r="D140" s="40">
        <v>7</v>
      </c>
      <c r="E140" s="41">
        <v>0</v>
      </c>
    </row>
    <row r="141" spans="1:5" ht="15.95">
      <c r="A141" s="37" t="s">
        <v>821</v>
      </c>
      <c r="B141" s="43" t="s">
        <v>845</v>
      </c>
      <c r="C141" s="39" t="s">
        <v>830</v>
      </c>
      <c r="D141" s="43">
        <v>8</v>
      </c>
      <c r="E141" s="44">
        <v>0</v>
      </c>
    </row>
    <row r="142" spans="1:5" ht="15.95">
      <c r="A142" s="37" t="s">
        <v>821</v>
      </c>
      <c r="B142" s="40" t="s">
        <v>845</v>
      </c>
      <c r="C142" s="39" t="s">
        <v>831</v>
      </c>
      <c r="D142" s="40">
        <v>9</v>
      </c>
      <c r="E142" s="41">
        <v>0</v>
      </c>
    </row>
    <row r="143" spans="1:5" ht="15.95">
      <c r="A143" s="37" t="s">
        <v>821</v>
      </c>
      <c r="B143" s="43" t="s">
        <v>845</v>
      </c>
      <c r="C143" s="39" t="s">
        <v>832</v>
      </c>
      <c r="D143" s="43">
        <v>10</v>
      </c>
      <c r="E143" s="44">
        <v>0</v>
      </c>
    </row>
    <row r="144" spans="1:5" ht="15.95">
      <c r="A144" s="37" t="s">
        <v>821</v>
      </c>
      <c r="B144" s="40" t="s">
        <v>845</v>
      </c>
      <c r="C144" s="39" t="s">
        <v>833</v>
      </c>
      <c r="D144" s="40">
        <v>11</v>
      </c>
      <c r="E144" s="41">
        <v>0</v>
      </c>
    </row>
    <row r="145" spans="1:5" ht="15.95">
      <c r="A145" s="37" t="s">
        <v>821</v>
      </c>
      <c r="B145" s="43" t="s">
        <v>845</v>
      </c>
      <c r="C145" s="39" t="s">
        <v>834</v>
      </c>
      <c r="D145" s="43">
        <v>12</v>
      </c>
      <c r="E145" s="44">
        <v>0</v>
      </c>
    </row>
    <row r="146" spans="1:5" ht="14.45">
      <c r="A146" s="49" t="s">
        <v>88</v>
      </c>
      <c r="B146" s="40" t="s">
        <v>846</v>
      </c>
      <c r="C146" s="39" t="s">
        <v>823</v>
      </c>
      <c r="D146" s="40">
        <v>1</v>
      </c>
      <c r="E146" s="50">
        <v>21</v>
      </c>
    </row>
    <row r="147" spans="1:5" ht="14.45">
      <c r="A147" s="49" t="s">
        <v>88</v>
      </c>
      <c r="B147" s="43" t="s">
        <v>846</v>
      </c>
      <c r="C147" s="39" t="s">
        <v>824</v>
      </c>
      <c r="D147" s="43">
        <v>2</v>
      </c>
      <c r="E147" s="51">
        <v>11</v>
      </c>
    </row>
    <row r="148" spans="1:5" ht="14.45">
      <c r="A148" s="49" t="s">
        <v>88</v>
      </c>
      <c r="B148" s="40" t="s">
        <v>846</v>
      </c>
      <c r="C148" s="39" t="s">
        <v>825</v>
      </c>
      <c r="D148" s="40">
        <v>3</v>
      </c>
      <c r="E148" s="41">
        <v>29</v>
      </c>
    </row>
    <row r="149" spans="1:5" ht="14.45">
      <c r="A149" s="49" t="s">
        <v>88</v>
      </c>
      <c r="B149" s="43" t="s">
        <v>846</v>
      </c>
      <c r="C149" s="39" t="s">
        <v>826</v>
      </c>
      <c r="D149" s="43">
        <v>4</v>
      </c>
      <c r="E149" s="51">
        <v>13</v>
      </c>
    </row>
    <row r="150" spans="1:5" ht="14.45">
      <c r="A150" s="49" t="s">
        <v>88</v>
      </c>
      <c r="B150" s="40" t="s">
        <v>846</v>
      </c>
      <c r="C150" s="39" t="s">
        <v>827</v>
      </c>
      <c r="D150" s="40">
        <v>5</v>
      </c>
      <c r="E150" s="50">
        <v>22</v>
      </c>
    </row>
    <row r="151" spans="1:5" ht="14.45">
      <c r="A151" s="49" t="s">
        <v>88</v>
      </c>
      <c r="B151" s="43" t="s">
        <v>846</v>
      </c>
      <c r="C151" s="39" t="s">
        <v>828</v>
      </c>
      <c r="D151" s="43">
        <v>6</v>
      </c>
      <c r="E151" s="51">
        <v>12</v>
      </c>
    </row>
    <row r="152" spans="1:5" ht="14.45">
      <c r="A152" s="49" t="s">
        <v>88</v>
      </c>
      <c r="B152" s="40" t="s">
        <v>846</v>
      </c>
      <c r="C152" s="39" t="s">
        <v>829</v>
      </c>
      <c r="D152" s="40">
        <v>7</v>
      </c>
      <c r="E152" s="50">
        <v>0</v>
      </c>
    </row>
    <row r="153" spans="1:5" ht="14.45">
      <c r="A153" s="49" t="s">
        <v>88</v>
      </c>
      <c r="B153" s="43" t="s">
        <v>846</v>
      </c>
      <c r="C153" s="39" t="s">
        <v>830</v>
      </c>
      <c r="D153" s="43">
        <v>8</v>
      </c>
      <c r="E153" s="51">
        <v>0</v>
      </c>
    </row>
    <row r="154" spans="1:5" ht="14.45">
      <c r="A154" s="49" t="s">
        <v>88</v>
      </c>
      <c r="B154" s="40" t="s">
        <v>846</v>
      </c>
      <c r="C154" s="39" t="s">
        <v>831</v>
      </c>
      <c r="D154" s="40">
        <v>9</v>
      </c>
      <c r="E154" s="50">
        <v>0</v>
      </c>
    </row>
    <row r="155" spans="1:5" ht="14.45">
      <c r="A155" s="49" t="s">
        <v>88</v>
      </c>
      <c r="B155" s="43" t="s">
        <v>846</v>
      </c>
      <c r="C155" s="39" t="s">
        <v>832</v>
      </c>
      <c r="D155" s="43">
        <v>10</v>
      </c>
      <c r="E155" s="51">
        <v>0</v>
      </c>
    </row>
    <row r="156" spans="1:5" ht="14.45">
      <c r="A156" s="49" t="s">
        <v>88</v>
      </c>
      <c r="B156" s="40" t="s">
        <v>846</v>
      </c>
      <c r="C156" s="39" t="s">
        <v>833</v>
      </c>
      <c r="D156" s="40">
        <v>11</v>
      </c>
      <c r="E156" s="50">
        <v>0</v>
      </c>
    </row>
    <row r="157" spans="1:5" ht="14.45">
      <c r="A157" s="49" t="s">
        <v>88</v>
      </c>
      <c r="B157" s="43" t="s">
        <v>846</v>
      </c>
      <c r="C157" s="39" t="s">
        <v>834</v>
      </c>
      <c r="D157" s="43">
        <v>12</v>
      </c>
      <c r="E157" s="51">
        <v>0</v>
      </c>
    </row>
    <row r="158" spans="1:5" ht="14.45">
      <c r="A158" s="49" t="s">
        <v>88</v>
      </c>
      <c r="B158" s="40" t="s">
        <v>847</v>
      </c>
      <c r="C158" s="39" t="s">
        <v>823</v>
      </c>
      <c r="D158" s="40">
        <v>1</v>
      </c>
      <c r="E158" s="50">
        <v>3</v>
      </c>
    </row>
    <row r="159" spans="1:5" ht="14.45">
      <c r="A159" s="49" t="s">
        <v>88</v>
      </c>
      <c r="B159" s="43" t="s">
        <v>847</v>
      </c>
      <c r="C159" s="39" t="s">
        <v>824</v>
      </c>
      <c r="D159" s="43">
        <v>2</v>
      </c>
      <c r="E159" s="51">
        <v>1</v>
      </c>
    </row>
    <row r="160" spans="1:5" ht="14.45">
      <c r="A160" s="49" t="s">
        <v>88</v>
      </c>
      <c r="B160" s="40" t="s">
        <v>847</v>
      </c>
      <c r="C160" s="39" t="s">
        <v>825</v>
      </c>
      <c r="D160" s="40">
        <v>3</v>
      </c>
      <c r="E160" s="41">
        <v>3</v>
      </c>
    </row>
    <row r="161" spans="1:5" ht="14.45">
      <c r="A161" s="49" t="s">
        <v>88</v>
      </c>
      <c r="B161" s="43" t="s">
        <v>847</v>
      </c>
      <c r="C161" s="39" t="s">
        <v>826</v>
      </c>
      <c r="D161" s="43">
        <v>4</v>
      </c>
      <c r="E161" s="51">
        <v>2</v>
      </c>
    </row>
    <row r="162" spans="1:5" ht="14.45">
      <c r="A162" s="49" t="s">
        <v>88</v>
      </c>
      <c r="B162" s="40" t="s">
        <v>847</v>
      </c>
      <c r="C162" s="39" t="s">
        <v>827</v>
      </c>
      <c r="D162" s="40">
        <v>5</v>
      </c>
      <c r="E162" s="50">
        <v>2</v>
      </c>
    </row>
    <row r="163" spans="1:5" ht="14.45">
      <c r="A163" s="49" t="s">
        <v>88</v>
      </c>
      <c r="B163" s="43" t="s">
        <v>847</v>
      </c>
      <c r="C163" s="39" t="s">
        <v>828</v>
      </c>
      <c r="D163" s="43">
        <v>6</v>
      </c>
      <c r="E163" s="51">
        <v>1</v>
      </c>
    </row>
    <row r="164" spans="1:5" ht="14.45">
      <c r="A164" s="49" t="s">
        <v>88</v>
      </c>
      <c r="B164" s="40" t="s">
        <v>847</v>
      </c>
      <c r="C164" s="39" t="s">
        <v>829</v>
      </c>
      <c r="D164" s="40">
        <v>7</v>
      </c>
      <c r="E164" s="50">
        <v>0</v>
      </c>
    </row>
    <row r="165" spans="1:5" ht="14.45">
      <c r="A165" s="49" t="s">
        <v>88</v>
      </c>
      <c r="B165" s="43" t="s">
        <v>847</v>
      </c>
      <c r="C165" s="39" t="s">
        <v>830</v>
      </c>
      <c r="D165" s="43">
        <v>8</v>
      </c>
      <c r="E165" s="51">
        <v>0</v>
      </c>
    </row>
    <row r="166" spans="1:5" ht="14.45">
      <c r="A166" s="49" t="s">
        <v>88</v>
      </c>
      <c r="B166" s="40" t="s">
        <v>847</v>
      </c>
      <c r="C166" s="39" t="s">
        <v>831</v>
      </c>
      <c r="D166" s="40">
        <v>9</v>
      </c>
      <c r="E166" s="50">
        <v>0</v>
      </c>
    </row>
    <row r="167" spans="1:5" ht="14.45">
      <c r="A167" s="49" t="s">
        <v>88</v>
      </c>
      <c r="B167" s="43" t="s">
        <v>847</v>
      </c>
      <c r="C167" s="39" t="s">
        <v>832</v>
      </c>
      <c r="D167" s="43">
        <v>10</v>
      </c>
      <c r="E167" s="51">
        <v>0</v>
      </c>
    </row>
    <row r="168" spans="1:5" ht="14.45">
      <c r="A168" s="49" t="s">
        <v>88</v>
      </c>
      <c r="B168" s="40" t="s">
        <v>847</v>
      </c>
      <c r="C168" s="39" t="s">
        <v>833</v>
      </c>
      <c r="D168" s="40">
        <v>11</v>
      </c>
      <c r="E168" s="50">
        <v>0</v>
      </c>
    </row>
    <row r="169" spans="1:5" ht="14.45">
      <c r="A169" s="49" t="s">
        <v>88</v>
      </c>
      <c r="B169" s="43" t="s">
        <v>847</v>
      </c>
      <c r="C169" s="39" t="s">
        <v>834</v>
      </c>
      <c r="D169" s="43">
        <v>12</v>
      </c>
      <c r="E169" s="51">
        <v>0</v>
      </c>
    </row>
    <row r="170" spans="1:5" ht="14.45">
      <c r="A170" s="49" t="s">
        <v>88</v>
      </c>
      <c r="B170" s="40" t="s">
        <v>848</v>
      </c>
      <c r="C170" s="39" t="s">
        <v>823</v>
      </c>
      <c r="D170" s="40">
        <v>1</v>
      </c>
      <c r="E170" s="50">
        <v>3</v>
      </c>
    </row>
    <row r="171" spans="1:5" ht="14.45">
      <c r="A171" s="49" t="s">
        <v>88</v>
      </c>
      <c r="B171" s="43" t="s">
        <v>848</v>
      </c>
      <c r="C171" s="39" t="s">
        <v>824</v>
      </c>
      <c r="D171" s="43">
        <v>2</v>
      </c>
      <c r="E171" s="51">
        <v>2</v>
      </c>
    </row>
    <row r="172" spans="1:5" ht="14.45">
      <c r="A172" s="49" t="s">
        <v>88</v>
      </c>
      <c r="B172" s="40" t="s">
        <v>848</v>
      </c>
      <c r="C172" s="39" t="s">
        <v>825</v>
      </c>
      <c r="D172" s="40">
        <v>3</v>
      </c>
      <c r="E172" s="41">
        <v>6</v>
      </c>
    </row>
    <row r="173" spans="1:5" ht="14.45">
      <c r="A173" s="49" t="s">
        <v>88</v>
      </c>
      <c r="B173" s="43" t="s">
        <v>848</v>
      </c>
      <c r="C173" s="39" t="s">
        <v>826</v>
      </c>
      <c r="D173" s="43">
        <v>4</v>
      </c>
      <c r="E173" s="51">
        <v>14</v>
      </c>
    </row>
    <row r="174" spans="1:5" ht="14.45">
      <c r="A174" s="49" t="s">
        <v>88</v>
      </c>
      <c r="B174" s="40" t="s">
        <v>848</v>
      </c>
      <c r="C174" s="39" t="s">
        <v>827</v>
      </c>
      <c r="D174" s="40">
        <v>5</v>
      </c>
      <c r="E174" s="50">
        <v>1</v>
      </c>
    </row>
    <row r="175" spans="1:5" ht="14.45">
      <c r="A175" s="49" t="s">
        <v>88</v>
      </c>
      <c r="B175" s="43" t="s">
        <v>848</v>
      </c>
      <c r="C175" s="39" t="s">
        <v>828</v>
      </c>
      <c r="D175" s="43">
        <v>6</v>
      </c>
      <c r="E175" s="51">
        <v>0</v>
      </c>
    </row>
    <row r="176" spans="1:5" ht="14.45">
      <c r="A176" s="49" t="s">
        <v>88</v>
      </c>
      <c r="B176" s="40" t="s">
        <v>848</v>
      </c>
      <c r="C176" s="39" t="s">
        <v>829</v>
      </c>
      <c r="D176" s="40">
        <v>7</v>
      </c>
      <c r="E176" s="50">
        <v>0</v>
      </c>
    </row>
    <row r="177" spans="1:5" ht="14.45">
      <c r="A177" s="49" t="s">
        <v>88</v>
      </c>
      <c r="B177" s="43" t="s">
        <v>848</v>
      </c>
      <c r="C177" s="39" t="s">
        <v>830</v>
      </c>
      <c r="D177" s="43">
        <v>8</v>
      </c>
      <c r="E177" s="51">
        <v>0</v>
      </c>
    </row>
    <row r="178" spans="1:5" ht="14.45">
      <c r="A178" s="49" t="s">
        <v>88</v>
      </c>
      <c r="B178" s="40" t="s">
        <v>848</v>
      </c>
      <c r="C178" s="39" t="s">
        <v>831</v>
      </c>
      <c r="D178" s="40">
        <v>9</v>
      </c>
      <c r="E178" s="50">
        <v>0</v>
      </c>
    </row>
    <row r="179" spans="1:5" ht="14.45">
      <c r="A179" s="49" t="s">
        <v>88</v>
      </c>
      <c r="B179" s="43" t="s">
        <v>848</v>
      </c>
      <c r="C179" s="39" t="s">
        <v>832</v>
      </c>
      <c r="D179" s="43">
        <v>10</v>
      </c>
      <c r="E179" s="51">
        <v>0</v>
      </c>
    </row>
    <row r="180" spans="1:5" ht="14.45">
      <c r="A180" s="49" t="s">
        <v>88</v>
      </c>
      <c r="B180" s="40" t="s">
        <v>848</v>
      </c>
      <c r="C180" s="39" t="s">
        <v>833</v>
      </c>
      <c r="D180" s="40">
        <v>11</v>
      </c>
      <c r="E180" s="50">
        <v>0</v>
      </c>
    </row>
    <row r="181" spans="1:5" ht="14.45">
      <c r="A181" s="49" t="s">
        <v>88</v>
      </c>
      <c r="B181" s="43" t="s">
        <v>848</v>
      </c>
      <c r="C181" s="39" t="s">
        <v>834</v>
      </c>
      <c r="D181" s="43">
        <v>12</v>
      </c>
      <c r="E181" s="51">
        <v>0</v>
      </c>
    </row>
    <row r="182" spans="1:5" ht="14.45">
      <c r="A182" s="49" t="s">
        <v>88</v>
      </c>
      <c r="B182" s="40" t="s">
        <v>849</v>
      </c>
      <c r="C182" s="39" t="s">
        <v>823</v>
      </c>
      <c r="D182" s="40">
        <v>1</v>
      </c>
      <c r="E182" s="50">
        <v>7</v>
      </c>
    </row>
    <row r="183" spans="1:5" ht="14.45">
      <c r="A183" s="49" t="s">
        <v>88</v>
      </c>
      <c r="B183" s="43" t="s">
        <v>849</v>
      </c>
      <c r="C183" s="39" t="s">
        <v>824</v>
      </c>
      <c r="D183" s="43">
        <v>2</v>
      </c>
      <c r="E183" s="51">
        <v>8</v>
      </c>
    </row>
    <row r="184" spans="1:5" ht="14.45">
      <c r="A184" s="49" t="s">
        <v>88</v>
      </c>
      <c r="B184" s="40" t="s">
        <v>849</v>
      </c>
      <c r="C184" s="39" t="s">
        <v>825</v>
      </c>
      <c r="D184" s="40">
        <v>3</v>
      </c>
      <c r="E184" s="41">
        <v>8</v>
      </c>
    </row>
    <row r="185" spans="1:5" ht="14.45">
      <c r="A185" s="49" t="s">
        <v>88</v>
      </c>
      <c r="B185" s="43" t="s">
        <v>849</v>
      </c>
      <c r="C185" s="39" t="s">
        <v>826</v>
      </c>
      <c r="D185" s="43">
        <v>4</v>
      </c>
      <c r="E185" s="51">
        <v>10</v>
      </c>
    </row>
    <row r="186" spans="1:5" ht="14.45">
      <c r="A186" s="49" t="s">
        <v>88</v>
      </c>
      <c r="B186" s="40" t="s">
        <v>849</v>
      </c>
      <c r="C186" s="39" t="s">
        <v>827</v>
      </c>
      <c r="D186" s="40">
        <v>5</v>
      </c>
      <c r="E186" s="50">
        <v>6</v>
      </c>
    </row>
    <row r="187" spans="1:5" ht="14.45">
      <c r="A187" s="49" t="s">
        <v>88</v>
      </c>
      <c r="B187" s="43" t="s">
        <v>849</v>
      </c>
      <c r="C187" s="39" t="s">
        <v>828</v>
      </c>
      <c r="D187" s="43">
        <v>6</v>
      </c>
      <c r="E187" s="51">
        <v>9</v>
      </c>
    </row>
    <row r="188" spans="1:5" ht="14.45">
      <c r="A188" s="49" t="s">
        <v>88</v>
      </c>
      <c r="B188" s="40" t="s">
        <v>849</v>
      </c>
      <c r="C188" s="39" t="s">
        <v>829</v>
      </c>
      <c r="D188" s="40">
        <v>7</v>
      </c>
      <c r="E188" s="41">
        <v>0</v>
      </c>
    </row>
    <row r="189" spans="1:5" ht="14.45">
      <c r="A189" s="49" t="s">
        <v>88</v>
      </c>
      <c r="B189" s="43" t="s">
        <v>849</v>
      </c>
      <c r="C189" s="39" t="s">
        <v>830</v>
      </c>
      <c r="D189" s="43">
        <v>8</v>
      </c>
      <c r="E189" s="44">
        <v>0</v>
      </c>
    </row>
    <row r="190" spans="1:5" ht="14.45">
      <c r="A190" s="49" t="s">
        <v>88</v>
      </c>
      <c r="B190" s="40" t="s">
        <v>849</v>
      </c>
      <c r="C190" s="39" t="s">
        <v>831</v>
      </c>
      <c r="D190" s="40">
        <v>9</v>
      </c>
      <c r="E190" s="41">
        <v>0</v>
      </c>
    </row>
    <row r="191" spans="1:5" ht="14.45">
      <c r="A191" s="49" t="s">
        <v>88</v>
      </c>
      <c r="B191" s="43" t="s">
        <v>849</v>
      </c>
      <c r="C191" s="39" t="s">
        <v>832</v>
      </c>
      <c r="D191" s="43">
        <v>10</v>
      </c>
      <c r="E191" s="44">
        <v>0</v>
      </c>
    </row>
    <row r="192" spans="1:5" ht="14.45">
      <c r="A192" s="49" t="s">
        <v>88</v>
      </c>
      <c r="B192" s="40" t="s">
        <v>849</v>
      </c>
      <c r="C192" s="39" t="s">
        <v>833</v>
      </c>
      <c r="D192" s="40">
        <v>11</v>
      </c>
      <c r="E192" s="41">
        <v>0</v>
      </c>
    </row>
    <row r="193" spans="1:5" ht="14.45">
      <c r="A193" s="49" t="s">
        <v>88</v>
      </c>
      <c r="B193" s="43" t="s">
        <v>849</v>
      </c>
      <c r="C193" s="39" t="s">
        <v>834</v>
      </c>
      <c r="D193" s="43">
        <v>12</v>
      </c>
      <c r="E193" s="44">
        <v>0</v>
      </c>
    </row>
    <row r="194" spans="1:5" ht="14.45">
      <c r="A194" s="49" t="s">
        <v>88</v>
      </c>
      <c r="B194" s="40" t="s">
        <v>850</v>
      </c>
      <c r="C194" s="39" t="s">
        <v>823</v>
      </c>
      <c r="D194" s="40">
        <v>1</v>
      </c>
      <c r="E194" s="41">
        <v>0</v>
      </c>
    </row>
    <row r="195" spans="1:5" ht="14.45">
      <c r="A195" s="49" t="s">
        <v>88</v>
      </c>
      <c r="B195" s="43" t="s">
        <v>850</v>
      </c>
      <c r="C195" s="39" t="s">
        <v>824</v>
      </c>
      <c r="D195" s="43">
        <v>2</v>
      </c>
      <c r="E195" s="44">
        <v>0</v>
      </c>
    </row>
    <row r="196" spans="1:5" ht="14.45">
      <c r="A196" s="49" t="s">
        <v>88</v>
      </c>
      <c r="B196" s="40" t="s">
        <v>850</v>
      </c>
      <c r="C196" s="39" t="s">
        <v>825</v>
      </c>
      <c r="D196" s="40">
        <v>3</v>
      </c>
      <c r="E196" s="41">
        <v>0</v>
      </c>
    </row>
    <row r="197" spans="1:5" ht="14.45">
      <c r="A197" s="49" t="s">
        <v>88</v>
      </c>
      <c r="B197" s="43" t="s">
        <v>850</v>
      </c>
      <c r="C197" s="39" t="s">
        <v>826</v>
      </c>
      <c r="D197" s="43">
        <v>4</v>
      </c>
      <c r="E197" s="44">
        <v>0</v>
      </c>
    </row>
    <row r="198" spans="1:5" ht="14.45">
      <c r="A198" s="49" t="s">
        <v>88</v>
      </c>
      <c r="B198" s="40" t="s">
        <v>850</v>
      </c>
      <c r="C198" s="39" t="s">
        <v>827</v>
      </c>
      <c r="D198" s="40">
        <v>5</v>
      </c>
      <c r="E198" s="50">
        <v>0</v>
      </c>
    </row>
    <row r="199" spans="1:5" ht="14.45">
      <c r="A199" s="49" t="s">
        <v>88</v>
      </c>
      <c r="B199" s="52" t="s">
        <v>851</v>
      </c>
      <c r="C199" s="39" t="s">
        <v>828</v>
      </c>
      <c r="D199" s="43">
        <v>6</v>
      </c>
      <c r="E199" s="51">
        <v>1</v>
      </c>
    </row>
    <row r="200" spans="1:5" ht="14.45">
      <c r="A200" s="49" t="s">
        <v>88</v>
      </c>
      <c r="B200" s="53" t="s">
        <v>851</v>
      </c>
      <c r="C200" s="39" t="s">
        <v>829</v>
      </c>
      <c r="D200" s="40">
        <v>7</v>
      </c>
      <c r="E200" s="50">
        <v>0</v>
      </c>
    </row>
    <row r="201" spans="1:5" ht="14.45">
      <c r="A201" s="49" t="s">
        <v>88</v>
      </c>
      <c r="B201" s="52" t="s">
        <v>851</v>
      </c>
      <c r="C201" s="39" t="s">
        <v>830</v>
      </c>
      <c r="D201" s="43">
        <v>8</v>
      </c>
      <c r="E201" s="51">
        <v>0</v>
      </c>
    </row>
    <row r="202" spans="1:5" ht="14.45">
      <c r="A202" s="49" t="s">
        <v>88</v>
      </c>
      <c r="B202" s="53" t="s">
        <v>851</v>
      </c>
      <c r="C202" s="39" t="s">
        <v>831</v>
      </c>
      <c r="D202" s="40">
        <v>9</v>
      </c>
      <c r="E202" s="50">
        <v>0</v>
      </c>
    </row>
    <row r="203" spans="1:5" ht="14.45">
      <c r="A203" s="49" t="s">
        <v>88</v>
      </c>
      <c r="B203" s="52" t="s">
        <v>851</v>
      </c>
      <c r="C203" s="39" t="s">
        <v>832</v>
      </c>
      <c r="D203" s="43">
        <v>10</v>
      </c>
      <c r="E203" s="51">
        <v>0</v>
      </c>
    </row>
    <row r="204" spans="1:5" ht="14.45">
      <c r="A204" s="49" t="s">
        <v>88</v>
      </c>
      <c r="B204" s="53" t="s">
        <v>851</v>
      </c>
      <c r="C204" s="39" t="s">
        <v>833</v>
      </c>
      <c r="D204" s="40">
        <v>11</v>
      </c>
      <c r="E204" s="50">
        <v>0</v>
      </c>
    </row>
    <row r="205" spans="1:5" ht="14.45">
      <c r="A205" s="49" t="s">
        <v>88</v>
      </c>
      <c r="B205" s="52" t="s">
        <v>851</v>
      </c>
      <c r="C205" s="39" t="s">
        <v>834</v>
      </c>
      <c r="D205" s="43">
        <v>12</v>
      </c>
      <c r="E205" s="51">
        <v>0</v>
      </c>
    </row>
    <row r="206" spans="1:5" ht="14.45">
      <c r="A206" s="49" t="s">
        <v>88</v>
      </c>
      <c r="B206" s="40" t="s">
        <v>852</v>
      </c>
      <c r="C206" s="39" t="s">
        <v>823</v>
      </c>
      <c r="D206" s="40">
        <v>1</v>
      </c>
      <c r="E206" s="50">
        <v>0</v>
      </c>
    </row>
    <row r="207" spans="1:5" ht="14.45">
      <c r="A207" s="49" t="s">
        <v>88</v>
      </c>
      <c r="B207" s="43" t="s">
        <v>852</v>
      </c>
      <c r="C207" s="39" t="s">
        <v>824</v>
      </c>
      <c r="D207" s="43">
        <v>2</v>
      </c>
      <c r="E207" s="51">
        <v>0</v>
      </c>
    </row>
    <row r="208" spans="1:5" ht="14.45">
      <c r="A208" s="49" t="s">
        <v>88</v>
      </c>
      <c r="B208" s="40" t="s">
        <v>852</v>
      </c>
      <c r="C208" s="39" t="s">
        <v>825</v>
      </c>
      <c r="D208" s="40">
        <v>3</v>
      </c>
      <c r="E208" s="50">
        <v>0</v>
      </c>
    </row>
    <row r="209" spans="1:5" ht="14.45">
      <c r="A209" s="49" t="s">
        <v>88</v>
      </c>
      <c r="B209" s="43" t="s">
        <v>852</v>
      </c>
      <c r="C209" s="39" t="s">
        <v>826</v>
      </c>
      <c r="D209" s="43">
        <v>4</v>
      </c>
      <c r="E209" s="51">
        <v>0</v>
      </c>
    </row>
    <row r="210" spans="1:5" ht="14.45">
      <c r="A210" s="49" t="s">
        <v>88</v>
      </c>
      <c r="B210" s="40" t="s">
        <v>852</v>
      </c>
      <c r="C210" s="39" t="s">
        <v>827</v>
      </c>
      <c r="D210" s="40">
        <v>5</v>
      </c>
      <c r="E210" s="50">
        <v>0</v>
      </c>
    </row>
    <row r="211" spans="1:5" ht="14.45">
      <c r="A211" s="49" t="s">
        <v>88</v>
      </c>
      <c r="B211" s="43" t="s">
        <v>852</v>
      </c>
      <c r="C211" s="39" t="s">
        <v>828</v>
      </c>
      <c r="D211" s="43">
        <v>6</v>
      </c>
      <c r="E211" s="51">
        <v>0</v>
      </c>
    </row>
    <row r="212" spans="1:5" ht="14.45">
      <c r="A212" s="49" t="s">
        <v>88</v>
      </c>
      <c r="B212" s="40" t="s">
        <v>852</v>
      </c>
      <c r="C212" s="39" t="s">
        <v>829</v>
      </c>
      <c r="D212" s="40">
        <v>7</v>
      </c>
      <c r="E212" s="50">
        <v>0</v>
      </c>
    </row>
    <row r="213" spans="1:5" ht="14.45">
      <c r="A213" s="49" t="s">
        <v>88</v>
      </c>
      <c r="B213" s="43" t="s">
        <v>852</v>
      </c>
      <c r="C213" s="39" t="s">
        <v>830</v>
      </c>
      <c r="D213" s="43">
        <v>8</v>
      </c>
      <c r="E213" s="51">
        <v>0</v>
      </c>
    </row>
    <row r="214" spans="1:5" ht="14.45">
      <c r="A214" s="49" t="s">
        <v>88</v>
      </c>
      <c r="B214" s="40" t="s">
        <v>852</v>
      </c>
      <c r="C214" s="39" t="s">
        <v>831</v>
      </c>
      <c r="D214" s="40">
        <v>9</v>
      </c>
      <c r="E214" s="50">
        <v>0</v>
      </c>
    </row>
    <row r="215" spans="1:5" ht="14.45">
      <c r="A215" s="49" t="s">
        <v>88</v>
      </c>
      <c r="B215" s="43" t="s">
        <v>852</v>
      </c>
      <c r="C215" s="39" t="s">
        <v>832</v>
      </c>
      <c r="D215" s="43">
        <v>10</v>
      </c>
      <c r="E215" s="51">
        <v>0</v>
      </c>
    </row>
    <row r="216" spans="1:5" ht="14.45">
      <c r="A216" s="49" t="s">
        <v>88</v>
      </c>
      <c r="B216" s="40" t="s">
        <v>852</v>
      </c>
      <c r="C216" s="39" t="s">
        <v>833</v>
      </c>
      <c r="D216" s="40">
        <v>11</v>
      </c>
      <c r="E216" s="50">
        <v>0</v>
      </c>
    </row>
    <row r="217" spans="1:5" ht="14.45">
      <c r="A217" s="49" t="s">
        <v>88</v>
      </c>
      <c r="B217" s="43" t="s">
        <v>852</v>
      </c>
      <c r="C217" s="39" t="s">
        <v>834</v>
      </c>
      <c r="D217" s="43">
        <v>12</v>
      </c>
      <c r="E217" s="51">
        <v>0</v>
      </c>
    </row>
    <row r="218" spans="1:5" ht="14.45">
      <c r="A218" s="49" t="s">
        <v>88</v>
      </c>
      <c r="B218" s="40" t="s">
        <v>853</v>
      </c>
      <c r="C218" s="39" t="s">
        <v>823</v>
      </c>
      <c r="D218" s="40">
        <v>1</v>
      </c>
      <c r="E218" s="50">
        <v>0</v>
      </c>
    </row>
    <row r="219" spans="1:5" ht="14.45">
      <c r="A219" s="49" t="s">
        <v>88</v>
      </c>
      <c r="B219" s="43" t="s">
        <v>853</v>
      </c>
      <c r="C219" s="39" t="s">
        <v>824</v>
      </c>
      <c r="D219" s="43">
        <v>2</v>
      </c>
      <c r="E219" s="51">
        <v>0</v>
      </c>
    </row>
    <row r="220" spans="1:5" ht="14.45">
      <c r="A220" s="49" t="s">
        <v>88</v>
      </c>
      <c r="B220" s="40" t="s">
        <v>853</v>
      </c>
      <c r="C220" s="39" t="s">
        <v>825</v>
      </c>
      <c r="D220" s="40">
        <v>3</v>
      </c>
      <c r="E220" s="50">
        <v>0</v>
      </c>
    </row>
    <row r="221" spans="1:5" ht="14.45">
      <c r="A221" s="49" t="s">
        <v>88</v>
      </c>
      <c r="B221" s="43" t="s">
        <v>853</v>
      </c>
      <c r="C221" s="39" t="s">
        <v>826</v>
      </c>
      <c r="D221" s="43">
        <v>4</v>
      </c>
      <c r="E221" s="51">
        <v>2</v>
      </c>
    </row>
    <row r="222" spans="1:5" ht="14.45">
      <c r="A222" s="49" t="s">
        <v>88</v>
      </c>
      <c r="B222" s="40" t="s">
        <v>853</v>
      </c>
      <c r="C222" s="39" t="s">
        <v>827</v>
      </c>
      <c r="D222" s="40">
        <v>5</v>
      </c>
      <c r="E222" s="50">
        <v>0</v>
      </c>
    </row>
    <row r="223" spans="1:5" ht="14.45">
      <c r="A223" s="49" t="s">
        <v>88</v>
      </c>
      <c r="B223" s="43" t="s">
        <v>853</v>
      </c>
      <c r="C223" s="39" t="s">
        <v>828</v>
      </c>
      <c r="D223" s="43">
        <v>6</v>
      </c>
      <c r="E223" s="51">
        <v>3</v>
      </c>
    </row>
    <row r="224" spans="1:5" ht="14.45">
      <c r="A224" s="49" t="s">
        <v>88</v>
      </c>
      <c r="B224" s="40" t="s">
        <v>853</v>
      </c>
      <c r="C224" s="39" t="s">
        <v>829</v>
      </c>
      <c r="D224" s="40">
        <v>7</v>
      </c>
      <c r="E224" s="50">
        <v>0</v>
      </c>
    </row>
    <row r="225" spans="1:5" ht="14.45">
      <c r="A225" s="49" t="s">
        <v>88</v>
      </c>
      <c r="B225" s="43" t="s">
        <v>853</v>
      </c>
      <c r="C225" s="39" t="s">
        <v>830</v>
      </c>
      <c r="D225" s="43">
        <v>8</v>
      </c>
      <c r="E225" s="51">
        <v>0</v>
      </c>
    </row>
    <row r="226" spans="1:5" ht="14.45">
      <c r="A226" s="49" t="s">
        <v>88</v>
      </c>
      <c r="B226" s="40" t="s">
        <v>853</v>
      </c>
      <c r="C226" s="39" t="s">
        <v>831</v>
      </c>
      <c r="D226" s="40">
        <v>9</v>
      </c>
      <c r="E226" s="50">
        <v>0</v>
      </c>
    </row>
    <row r="227" spans="1:5" ht="14.45">
      <c r="A227" s="49" t="s">
        <v>88</v>
      </c>
      <c r="B227" s="43" t="s">
        <v>853</v>
      </c>
      <c r="C227" s="39" t="s">
        <v>832</v>
      </c>
      <c r="D227" s="43">
        <v>10</v>
      </c>
      <c r="E227" s="51">
        <v>0</v>
      </c>
    </row>
    <row r="228" spans="1:5" ht="14.45">
      <c r="A228" s="49" t="s">
        <v>88</v>
      </c>
      <c r="B228" s="40" t="s">
        <v>853</v>
      </c>
      <c r="C228" s="39" t="s">
        <v>833</v>
      </c>
      <c r="D228" s="40">
        <v>11</v>
      </c>
      <c r="E228" s="50">
        <v>0</v>
      </c>
    </row>
    <row r="229" spans="1:5" ht="14.45">
      <c r="A229" s="49" t="s">
        <v>88</v>
      </c>
      <c r="B229" s="43" t="s">
        <v>853</v>
      </c>
      <c r="C229" s="39" t="s">
        <v>834</v>
      </c>
      <c r="D229" s="43">
        <v>12</v>
      </c>
      <c r="E229" s="51">
        <v>0</v>
      </c>
    </row>
    <row r="230" spans="1:5" ht="14.45">
      <c r="A230" s="49" t="s">
        <v>88</v>
      </c>
      <c r="B230" s="40" t="s">
        <v>854</v>
      </c>
      <c r="C230" s="39" t="s">
        <v>823</v>
      </c>
      <c r="D230" s="40">
        <v>1</v>
      </c>
      <c r="E230" s="50">
        <v>7</v>
      </c>
    </row>
    <row r="231" spans="1:5" ht="14.45">
      <c r="A231" s="49" t="s">
        <v>88</v>
      </c>
      <c r="B231" s="43" t="s">
        <v>854</v>
      </c>
      <c r="C231" s="39" t="s">
        <v>824</v>
      </c>
      <c r="D231" s="43">
        <v>2</v>
      </c>
      <c r="E231" s="51">
        <v>2</v>
      </c>
    </row>
    <row r="232" spans="1:5" ht="14.45">
      <c r="A232" s="49" t="s">
        <v>88</v>
      </c>
      <c r="B232" s="40" t="s">
        <v>854</v>
      </c>
      <c r="C232" s="39" t="s">
        <v>825</v>
      </c>
      <c r="D232" s="40">
        <v>3</v>
      </c>
      <c r="E232" s="41">
        <v>7</v>
      </c>
    </row>
    <row r="233" spans="1:5" ht="14.45">
      <c r="A233" s="49" t="s">
        <v>88</v>
      </c>
      <c r="B233" s="43" t="s">
        <v>854</v>
      </c>
      <c r="C233" s="39" t="s">
        <v>826</v>
      </c>
      <c r="D233" s="43">
        <v>4</v>
      </c>
      <c r="E233" s="51">
        <v>20</v>
      </c>
    </row>
    <row r="234" spans="1:5" ht="14.45">
      <c r="A234" s="49" t="s">
        <v>88</v>
      </c>
      <c r="B234" s="40" t="s">
        <v>854</v>
      </c>
      <c r="C234" s="39" t="s">
        <v>827</v>
      </c>
      <c r="D234" s="40">
        <v>5</v>
      </c>
      <c r="E234" s="50">
        <v>32</v>
      </c>
    </row>
    <row r="235" spans="1:5" ht="14.45">
      <c r="A235" s="49" t="s">
        <v>88</v>
      </c>
      <c r="B235" s="43" t="s">
        <v>854</v>
      </c>
      <c r="C235" s="39" t="s">
        <v>828</v>
      </c>
      <c r="D235" s="43">
        <v>6</v>
      </c>
      <c r="E235" s="51">
        <v>24</v>
      </c>
    </row>
    <row r="236" spans="1:5" ht="14.45">
      <c r="A236" s="49" t="s">
        <v>88</v>
      </c>
      <c r="B236" s="40" t="s">
        <v>854</v>
      </c>
      <c r="C236" s="39" t="s">
        <v>829</v>
      </c>
      <c r="D236" s="40">
        <v>7</v>
      </c>
      <c r="E236" s="50">
        <v>0</v>
      </c>
    </row>
    <row r="237" spans="1:5" ht="14.45">
      <c r="A237" s="49" t="s">
        <v>88</v>
      </c>
      <c r="B237" s="43" t="s">
        <v>854</v>
      </c>
      <c r="C237" s="39" t="s">
        <v>830</v>
      </c>
      <c r="D237" s="43">
        <v>8</v>
      </c>
      <c r="E237" s="51">
        <v>0</v>
      </c>
    </row>
    <row r="238" spans="1:5" ht="14.45">
      <c r="A238" s="49" t="s">
        <v>88</v>
      </c>
      <c r="B238" s="40" t="s">
        <v>854</v>
      </c>
      <c r="C238" s="39" t="s">
        <v>831</v>
      </c>
      <c r="D238" s="40">
        <v>9</v>
      </c>
      <c r="E238" s="50">
        <v>0</v>
      </c>
    </row>
    <row r="239" spans="1:5" ht="14.45">
      <c r="A239" s="49" t="s">
        <v>88</v>
      </c>
      <c r="B239" s="43" t="s">
        <v>854</v>
      </c>
      <c r="C239" s="39" t="s">
        <v>832</v>
      </c>
      <c r="D239" s="43">
        <v>10</v>
      </c>
      <c r="E239" s="51">
        <v>0</v>
      </c>
    </row>
    <row r="240" spans="1:5" ht="14.45">
      <c r="A240" s="49" t="s">
        <v>88</v>
      </c>
      <c r="B240" s="40" t="s">
        <v>854</v>
      </c>
      <c r="C240" s="39" t="s">
        <v>833</v>
      </c>
      <c r="D240" s="40">
        <v>11</v>
      </c>
      <c r="E240" s="50">
        <v>0</v>
      </c>
    </row>
    <row r="241" spans="1:5" ht="14.45">
      <c r="A241" s="49" t="s">
        <v>88</v>
      </c>
      <c r="B241" s="43" t="s">
        <v>854</v>
      </c>
      <c r="C241" s="39" t="s">
        <v>834</v>
      </c>
      <c r="D241" s="43">
        <v>12</v>
      </c>
      <c r="E241" s="51">
        <v>0</v>
      </c>
    </row>
    <row r="242" spans="1:5" ht="43.5">
      <c r="A242" s="49" t="s">
        <v>88</v>
      </c>
      <c r="B242" s="54" t="s">
        <v>855</v>
      </c>
      <c r="C242" s="39" t="s">
        <v>823</v>
      </c>
      <c r="D242" s="40">
        <v>1</v>
      </c>
      <c r="E242" s="50">
        <v>3</v>
      </c>
    </row>
    <row r="243" spans="1:5" ht="43.5">
      <c r="A243" s="49" t="s">
        <v>88</v>
      </c>
      <c r="B243" s="55" t="s">
        <v>855</v>
      </c>
      <c r="C243" s="39" t="s">
        <v>824</v>
      </c>
      <c r="D243" s="43">
        <v>2</v>
      </c>
      <c r="E243" s="51">
        <v>1</v>
      </c>
    </row>
    <row r="244" spans="1:5" ht="43.5">
      <c r="A244" s="49" t="s">
        <v>88</v>
      </c>
      <c r="B244" s="54" t="s">
        <v>855</v>
      </c>
      <c r="C244" s="39" t="s">
        <v>825</v>
      </c>
      <c r="D244" s="40">
        <v>3</v>
      </c>
      <c r="E244" s="41">
        <v>6</v>
      </c>
    </row>
    <row r="245" spans="1:5" ht="43.5">
      <c r="A245" s="49" t="s">
        <v>88</v>
      </c>
      <c r="B245" s="55" t="s">
        <v>855</v>
      </c>
      <c r="C245" s="39" t="s">
        <v>826</v>
      </c>
      <c r="D245" s="43">
        <v>4</v>
      </c>
      <c r="E245" s="51">
        <v>6</v>
      </c>
    </row>
    <row r="246" spans="1:5" ht="43.5">
      <c r="A246" s="49" t="s">
        <v>88</v>
      </c>
      <c r="B246" s="54" t="s">
        <v>855</v>
      </c>
      <c r="C246" s="39" t="s">
        <v>827</v>
      </c>
      <c r="D246" s="40">
        <v>5</v>
      </c>
      <c r="E246" s="50">
        <v>12</v>
      </c>
    </row>
    <row r="247" spans="1:5" ht="43.5">
      <c r="A247" s="49" t="s">
        <v>88</v>
      </c>
      <c r="B247" s="55" t="s">
        <v>855</v>
      </c>
      <c r="C247" s="39" t="s">
        <v>828</v>
      </c>
      <c r="D247" s="43">
        <v>6</v>
      </c>
      <c r="E247" s="51">
        <v>7</v>
      </c>
    </row>
    <row r="248" spans="1:5" ht="43.5">
      <c r="A248" s="49" t="s">
        <v>88</v>
      </c>
      <c r="B248" s="54" t="s">
        <v>855</v>
      </c>
      <c r="C248" s="39" t="s">
        <v>829</v>
      </c>
      <c r="D248" s="40">
        <v>7</v>
      </c>
      <c r="E248" s="50">
        <v>0</v>
      </c>
    </row>
    <row r="249" spans="1:5" ht="43.5">
      <c r="A249" s="49" t="s">
        <v>88</v>
      </c>
      <c r="B249" s="55" t="s">
        <v>855</v>
      </c>
      <c r="C249" s="39" t="s">
        <v>830</v>
      </c>
      <c r="D249" s="43">
        <v>8</v>
      </c>
      <c r="E249" s="51">
        <v>0</v>
      </c>
    </row>
    <row r="250" spans="1:5" ht="43.5">
      <c r="A250" s="49" t="s">
        <v>88</v>
      </c>
      <c r="B250" s="54" t="s">
        <v>855</v>
      </c>
      <c r="C250" s="39" t="s">
        <v>831</v>
      </c>
      <c r="D250" s="40">
        <v>9</v>
      </c>
      <c r="E250" s="50">
        <v>0</v>
      </c>
    </row>
    <row r="251" spans="1:5" ht="43.5">
      <c r="A251" s="49" t="s">
        <v>88</v>
      </c>
      <c r="B251" s="55" t="s">
        <v>855</v>
      </c>
      <c r="C251" s="39" t="s">
        <v>832</v>
      </c>
      <c r="D251" s="43">
        <v>10</v>
      </c>
      <c r="E251" s="51">
        <v>0</v>
      </c>
    </row>
    <row r="252" spans="1:5" ht="43.5">
      <c r="A252" s="49" t="s">
        <v>88</v>
      </c>
      <c r="B252" s="54" t="s">
        <v>855</v>
      </c>
      <c r="C252" s="39" t="s">
        <v>833</v>
      </c>
      <c r="D252" s="40">
        <v>11</v>
      </c>
      <c r="E252" s="50">
        <v>0</v>
      </c>
    </row>
    <row r="253" spans="1:5" ht="43.5">
      <c r="A253" s="49" t="s">
        <v>88</v>
      </c>
      <c r="B253" s="55" t="s">
        <v>855</v>
      </c>
      <c r="C253" s="39" t="s">
        <v>834</v>
      </c>
      <c r="D253" s="43">
        <v>12</v>
      </c>
      <c r="E253" s="51">
        <v>0</v>
      </c>
    </row>
    <row r="254" spans="1:5" ht="29.1">
      <c r="A254" s="49" t="s">
        <v>88</v>
      </c>
      <c r="B254" s="54" t="s">
        <v>856</v>
      </c>
      <c r="C254" s="39" t="s">
        <v>823</v>
      </c>
      <c r="D254" s="40">
        <v>1</v>
      </c>
      <c r="E254" s="50">
        <v>16</v>
      </c>
    </row>
    <row r="255" spans="1:5" ht="29.1">
      <c r="A255" s="49" t="s">
        <v>88</v>
      </c>
      <c r="B255" s="55" t="s">
        <v>856</v>
      </c>
      <c r="C255" s="39" t="s">
        <v>824</v>
      </c>
      <c r="D255" s="43">
        <v>2</v>
      </c>
      <c r="E255" s="51">
        <v>22</v>
      </c>
    </row>
    <row r="256" spans="1:5" ht="29.1">
      <c r="A256" s="49" t="s">
        <v>88</v>
      </c>
      <c r="B256" s="54" t="s">
        <v>856</v>
      </c>
      <c r="C256" s="39" t="s">
        <v>825</v>
      </c>
      <c r="D256" s="40">
        <v>3</v>
      </c>
      <c r="E256" s="41">
        <v>21</v>
      </c>
    </row>
    <row r="257" spans="1:5" ht="29.1">
      <c r="A257" s="49" t="s">
        <v>88</v>
      </c>
      <c r="B257" s="55" t="s">
        <v>856</v>
      </c>
      <c r="C257" s="39" t="s">
        <v>826</v>
      </c>
      <c r="D257" s="43">
        <v>4</v>
      </c>
      <c r="E257" s="51">
        <v>14</v>
      </c>
    </row>
    <row r="258" spans="1:5" ht="29.1">
      <c r="A258" s="49" t="s">
        <v>88</v>
      </c>
      <c r="B258" s="54" t="s">
        <v>856</v>
      </c>
      <c r="C258" s="39" t="s">
        <v>827</v>
      </c>
      <c r="D258" s="40">
        <v>5</v>
      </c>
      <c r="E258" s="50">
        <v>19</v>
      </c>
    </row>
    <row r="259" spans="1:5" ht="29.1">
      <c r="A259" s="49" t="s">
        <v>88</v>
      </c>
      <c r="B259" s="55" t="s">
        <v>856</v>
      </c>
      <c r="C259" s="39" t="s">
        <v>828</v>
      </c>
      <c r="D259" s="43">
        <v>6</v>
      </c>
      <c r="E259" s="51">
        <v>14</v>
      </c>
    </row>
    <row r="260" spans="1:5" ht="29.1">
      <c r="A260" s="49" t="s">
        <v>88</v>
      </c>
      <c r="B260" s="54" t="s">
        <v>856</v>
      </c>
      <c r="C260" s="39" t="s">
        <v>829</v>
      </c>
      <c r="D260" s="40">
        <v>7</v>
      </c>
      <c r="E260" s="50">
        <v>0</v>
      </c>
    </row>
    <row r="261" spans="1:5" ht="29.1">
      <c r="A261" s="49" t="s">
        <v>88</v>
      </c>
      <c r="B261" s="55" t="s">
        <v>856</v>
      </c>
      <c r="C261" s="39" t="s">
        <v>830</v>
      </c>
      <c r="D261" s="43">
        <v>8</v>
      </c>
      <c r="E261" s="51">
        <v>0</v>
      </c>
    </row>
    <row r="262" spans="1:5" ht="29.1">
      <c r="A262" s="49" t="s">
        <v>88</v>
      </c>
      <c r="B262" s="54" t="s">
        <v>856</v>
      </c>
      <c r="C262" s="39" t="s">
        <v>831</v>
      </c>
      <c r="D262" s="40">
        <v>9</v>
      </c>
      <c r="E262" s="50">
        <v>0</v>
      </c>
    </row>
    <row r="263" spans="1:5" ht="29.1">
      <c r="A263" s="49" t="s">
        <v>88</v>
      </c>
      <c r="B263" s="55" t="s">
        <v>856</v>
      </c>
      <c r="C263" s="39" t="s">
        <v>832</v>
      </c>
      <c r="D263" s="43">
        <v>10</v>
      </c>
      <c r="E263" s="51">
        <v>0</v>
      </c>
    </row>
    <row r="264" spans="1:5" ht="29.1">
      <c r="A264" s="49" t="s">
        <v>88</v>
      </c>
      <c r="B264" s="54" t="s">
        <v>856</v>
      </c>
      <c r="C264" s="39" t="s">
        <v>833</v>
      </c>
      <c r="D264" s="40">
        <v>11</v>
      </c>
      <c r="E264" s="50">
        <v>0</v>
      </c>
    </row>
    <row r="265" spans="1:5" ht="29.1">
      <c r="A265" s="49" t="s">
        <v>88</v>
      </c>
      <c r="B265" s="55" t="s">
        <v>856</v>
      </c>
      <c r="C265" s="39" t="s">
        <v>834</v>
      </c>
      <c r="D265" s="43">
        <v>12</v>
      </c>
      <c r="E265" s="51">
        <v>0</v>
      </c>
    </row>
    <row r="266" spans="1:5" ht="14.45">
      <c r="A266" s="49" t="s">
        <v>88</v>
      </c>
      <c r="B266" s="54" t="s">
        <v>857</v>
      </c>
      <c r="C266" s="39" t="s">
        <v>823</v>
      </c>
      <c r="D266" s="40">
        <v>1</v>
      </c>
      <c r="E266" s="50">
        <v>0</v>
      </c>
    </row>
    <row r="267" spans="1:5" ht="14.45">
      <c r="A267" s="49" t="s">
        <v>88</v>
      </c>
      <c r="B267" s="55" t="s">
        <v>857</v>
      </c>
      <c r="C267" s="39" t="s">
        <v>824</v>
      </c>
      <c r="D267" s="43">
        <v>2</v>
      </c>
      <c r="E267" s="51">
        <v>0</v>
      </c>
    </row>
    <row r="268" spans="1:5" ht="14.45">
      <c r="A268" s="49" t="s">
        <v>88</v>
      </c>
      <c r="B268" s="54" t="s">
        <v>857</v>
      </c>
      <c r="C268" s="39" t="s">
        <v>825</v>
      </c>
      <c r="D268" s="40">
        <v>3</v>
      </c>
      <c r="E268" s="41">
        <v>1</v>
      </c>
    </row>
    <row r="269" spans="1:5" ht="14.45">
      <c r="A269" s="49" t="s">
        <v>88</v>
      </c>
      <c r="B269" s="55" t="s">
        <v>857</v>
      </c>
      <c r="C269" s="39" t="s">
        <v>826</v>
      </c>
      <c r="D269" s="43">
        <v>4</v>
      </c>
      <c r="E269" s="51">
        <v>0</v>
      </c>
    </row>
    <row r="270" spans="1:5" ht="14.45">
      <c r="A270" s="49" t="s">
        <v>88</v>
      </c>
      <c r="B270" s="54" t="s">
        <v>857</v>
      </c>
      <c r="C270" s="39" t="s">
        <v>827</v>
      </c>
      <c r="D270" s="40">
        <v>5</v>
      </c>
      <c r="E270" s="50">
        <v>4</v>
      </c>
    </row>
    <row r="271" spans="1:5" ht="14.45">
      <c r="A271" s="49" t="s">
        <v>88</v>
      </c>
      <c r="B271" s="55" t="s">
        <v>857</v>
      </c>
      <c r="C271" s="39" t="s">
        <v>828</v>
      </c>
      <c r="D271" s="43">
        <v>6</v>
      </c>
      <c r="E271" s="51">
        <v>0</v>
      </c>
    </row>
    <row r="272" spans="1:5" ht="14.45">
      <c r="A272" s="49" t="s">
        <v>88</v>
      </c>
      <c r="B272" s="54" t="s">
        <v>857</v>
      </c>
      <c r="C272" s="39" t="s">
        <v>829</v>
      </c>
      <c r="D272" s="40">
        <v>7</v>
      </c>
      <c r="E272" s="50">
        <v>0</v>
      </c>
    </row>
    <row r="273" spans="1:5" ht="14.45">
      <c r="A273" s="49" t="s">
        <v>88</v>
      </c>
      <c r="B273" s="55" t="s">
        <v>857</v>
      </c>
      <c r="C273" s="39" t="s">
        <v>830</v>
      </c>
      <c r="D273" s="43">
        <v>8</v>
      </c>
      <c r="E273" s="51">
        <v>0</v>
      </c>
    </row>
    <row r="274" spans="1:5" ht="14.45">
      <c r="A274" s="49" t="s">
        <v>88</v>
      </c>
      <c r="B274" s="54" t="s">
        <v>857</v>
      </c>
      <c r="C274" s="39" t="s">
        <v>831</v>
      </c>
      <c r="D274" s="40">
        <v>9</v>
      </c>
      <c r="E274" s="50">
        <v>0</v>
      </c>
    </row>
    <row r="275" spans="1:5" ht="14.45">
      <c r="A275" s="49" t="s">
        <v>88</v>
      </c>
      <c r="B275" s="55" t="s">
        <v>857</v>
      </c>
      <c r="C275" s="39" t="s">
        <v>832</v>
      </c>
      <c r="D275" s="43">
        <v>10</v>
      </c>
      <c r="E275" s="51">
        <v>0</v>
      </c>
    </row>
    <row r="276" spans="1:5" ht="14.45">
      <c r="A276" s="49" t="s">
        <v>88</v>
      </c>
      <c r="B276" s="54" t="s">
        <v>857</v>
      </c>
      <c r="C276" s="39" t="s">
        <v>833</v>
      </c>
      <c r="D276" s="40">
        <v>11</v>
      </c>
      <c r="E276" s="50">
        <v>0</v>
      </c>
    </row>
    <row r="277" spans="1:5" ht="14.45">
      <c r="A277" s="49" t="s">
        <v>88</v>
      </c>
      <c r="B277" s="55" t="s">
        <v>857</v>
      </c>
      <c r="C277" s="39" t="s">
        <v>834</v>
      </c>
      <c r="D277" s="43">
        <v>12</v>
      </c>
      <c r="E277" s="51">
        <v>0</v>
      </c>
    </row>
    <row r="278" spans="1:5" ht="14.45">
      <c r="A278" s="49" t="s">
        <v>88</v>
      </c>
      <c r="B278" s="54" t="s">
        <v>858</v>
      </c>
      <c r="C278" s="39" t="s">
        <v>823</v>
      </c>
      <c r="D278" s="40">
        <v>1</v>
      </c>
      <c r="E278" s="50">
        <v>1</v>
      </c>
    </row>
    <row r="279" spans="1:5" ht="14.45">
      <c r="A279" s="49" t="s">
        <v>88</v>
      </c>
      <c r="B279" s="55" t="s">
        <v>858</v>
      </c>
      <c r="C279" s="39" t="s">
        <v>824</v>
      </c>
      <c r="D279" s="43">
        <v>2</v>
      </c>
      <c r="E279" s="51">
        <v>0</v>
      </c>
    </row>
    <row r="280" spans="1:5" ht="14.45">
      <c r="A280" s="49" t="s">
        <v>88</v>
      </c>
      <c r="B280" s="54" t="s">
        <v>858</v>
      </c>
      <c r="C280" s="39" t="s">
        <v>825</v>
      </c>
      <c r="D280" s="40">
        <v>3</v>
      </c>
      <c r="E280" s="41">
        <v>0</v>
      </c>
    </row>
    <row r="281" spans="1:5" ht="14.45">
      <c r="A281" s="49" t="s">
        <v>88</v>
      </c>
      <c r="B281" s="55" t="s">
        <v>858</v>
      </c>
      <c r="C281" s="39" t="s">
        <v>826</v>
      </c>
      <c r="D281" s="43">
        <v>4</v>
      </c>
      <c r="E281" s="51">
        <v>0</v>
      </c>
    </row>
    <row r="282" spans="1:5" ht="14.45">
      <c r="A282" s="49" t="s">
        <v>88</v>
      </c>
      <c r="B282" s="54" t="s">
        <v>858</v>
      </c>
      <c r="C282" s="39" t="s">
        <v>827</v>
      </c>
      <c r="D282" s="40">
        <v>5</v>
      </c>
      <c r="E282" s="50">
        <v>0</v>
      </c>
    </row>
    <row r="283" spans="1:5" ht="14.45">
      <c r="A283" s="49" t="s">
        <v>88</v>
      </c>
      <c r="B283" s="55" t="s">
        <v>858</v>
      </c>
      <c r="C283" s="39" t="s">
        <v>828</v>
      </c>
      <c r="D283" s="43">
        <v>6</v>
      </c>
      <c r="E283" s="51">
        <v>3</v>
      </c>
    </row>
    <row r="284" spans="1:5" ht="14.45">
      <c r="A284" s="49" t="s">
        <v>88</v>
      </c>
      <c r="B284" s="54" t="s">
        <v>858</v>
      </c>
      <c r="C284" s="39" t="s">
        <v>829</v>
      </c>
      <c r="D284" s="40">
        <v>7</v>
      </c>
      <c r="E284" s="50">
        <v>0</v>
      </c>
    </row>
    <row r="285" spans="1:5" ht="14.45">
      <c r="A285" s="49" t="s">
        <v>88</v>
      </c>
      <c r="B285" s="55" t="s">
        <v>858</v>
      </c>
      <c r="C285" s="39" t="s">
        <v>830</v>
      </c>
      <c r="D285" s="43">
        <v>8</v>
      </c>
      <c r="E285" s="51">
        <v>0</v>
      </c>
    </row>
    <row r="286" spans="1:5" ht="14.45">
      <c r="A286" s="49" t="s">
        <v>88</v>
      </c>
      <c r="B286" s="54" t="s">
        <v>858</v>
      </c>
      <c r="C286" s="39" t="s">
        <v>831</v>
      </c>
      <c r="D286" s="40">
        <v>9</v>
      </c>
      <c r="E286" s="50">
        <v>0</v>
      </c>
    </row>
    <row r="287" spans="1:5" ht="14.45">
      <c r="A287" s="49" t="s">
        <v>88</v>
      </c>
      <c r="B287" s="55" t="s">
        <v>858</v>
      </c>
      <c r="C287" s="39" t="s">
        <v>832</v>
      </c>
      <c r="D287" s="43">
        <v>10</v>
      </c>
      <c r="E287" s="51">
        <v>0</v>
      </c>
    </row>
    <row r="288" spans="1:5" ht="14.45">
      <c r="A288" s="49" t="s">
        <v>88</v>
      </c>
      <c r="B288" s="54" t="s">
        <v>858</v>
      </c>
      <c r="C288" s="39" t="s">
        <v>833</v>
      </c>
      <c r="D288" s="40">
        <v>11</v>
      </c>
      <c r="E288" s="50">
        <v>0</v>
      </c>
    </row>
    <row r="289" spans="1:5" ht="14.45">
      <c r="A289" s="49" t="s">
        <v>88</v>
      </c>
      <c r="B289" s="55" t="s">
        <v>858</v>
      </c>
      <c r="C289" s="39" t="s">
        <v>834</v>
      </c>
      <c r="D289" s="43">
        <v>12</v>
      </c>
      <c r="E289" s="51">
        <v>0</v>
      </c>
    </row>
    <row r="290" spans="1:5" ht="30.95">
      <c r="A290" s="56" t="s">
        <v>859</v>
      </c>
      <c r="B290" s="45" t="s">
        <v>860</v>
      </c>
      <c r="C290" s="39" t="s">
        <v>823</v>
      </c>
      <c r="D290" s="40">
        <v>1</v>
      </c>
      <c r="E290" s="50">
        <v>5</v>
      </c>
    </row>
    <row r="291" spans="1:5" ht="30.95">
      <c r="A291" s="56" t="s">
        <v>859</v>
      </c>
      <c r="B291" s="46" t="s">
        <v>860</v>
      </c>
      <c r="C291" s="39" t="s">
        <v>824</v>
      </c>
      <c r="D291" s="43">
        <v>2</v>
      </c>
      <c r="E291" s="51">
        <v>4</v>
      </c>
    </row>
    <row r="292" spans="1:5" ht="30.95">
      <c r="A292" s="56" t="s">
        <v>859</v>
      </c>
      <c r="B292" s="45" t="s">
        <v>860</v>
      </c>
      <c r="C292" s="39" t="s">
        <v>825</v>
      </c>
      <c r="D292" s="40">
        <v>3</v>
      </c>
      <c r="E292" s="50">
        <v>0</v>
      </c>
    </row>
    <row r="293" spans="1:5" ht="30.95">
      <c r="A293" s="56" t="s">
        <v>859</v>
      </c>
      <c r="B293" s="46" t="s">
        <v>860</v>
      </c>
      <c r="C293" s="39" t="s">
        <v>826</v>
      </c>
      <c r="D293" s="43">
        <v>4</v>
      </c>
      <c r="E293" s="51">
        <v>0</v>
      </c>
    </row>
    <row r="294" spans="1:5" ht="30.95">
      <c r="A294" s="56" t="s">
        <v>859</v>
      </c>
      <c r="B294" s="45" t="s">
        <v>860</v>
      </c>
      <c r="C294" s="39" t="s">
        <v>827</v>
      </c>
      <c r="D294" s="40">
        <v>5</v>
      </c>
      <c r="E294" s="50">
        <v>0</v>
      </c>
    </row>
    <row r="295" spans="1:5" ht="30.95">
      <c r="A295" s="56" t="s">
        <v>859</v>
      </c>
      <c r="B295" s="46" t="s">
        <v>860</v>
      </c>
      <c r="C295" s="39" t="s">
        <v>828</v>
      </c>
      <c r="D295" s="43">
        <v>6</v>
      </c>
      <c r="E295" s="51">
        <v>2</v>
      </c>
    </row>
    <row r="296" spans="1:5" ht="30.95">
      <c r="A296" s="56" t="s">
        <v>859</v>
      </c>
      <c r="B296" s="45" t="s">
        <v>860</v>
      </c>
      <c r="C296" s="39" t="s">
        <v>829</v>
      </c>
      <c r="D296" s="40">
        <v>7</v>
      </c>
      <c r="E296" s="50">
        <v>0</v>
      </c>
    </row>
    <row r="297" spans="1:5" ht="30.95">
      <c r="A297" s="56" t="s">
        <v>859</v>
      </c>
      <c r="B297" s="46" t="s">
        <v>860</v>
      </c>
      <c r="C297" s="39" t="s">
        <v>830</v>
      </c>
      <c r="D297" s="43">
        <v>8</v>
      </c>
      <c r="E297" s="51">
        <v>0</v>
      </c>
    </row>
    <row r="298" spans="1:5" ht="30.95">
      <c r="A298" s="56" t="s">
        <v>859</v>
      </c>
      <c r="B298" s="45" t="s">
        <v>860</v>
      </c>
      <c r="C298" s="39" t="s">
        <v>831</v>
      </c>
      <c r="D298" s="40">
        <v>9</v>
      </c>
      <c r="E298" s="50">
        <v>0</v>
      </c>
    </row>
    <row r="299" spans="1:5" ht="30.95">
      <c r="A299" s="56" t="s">
        <v>859</v>
      </c>
      <c r="B299" s="46" t="s">
        <v>860</v>
      </c>
      <c r="C299" s="39" t="s">
        <v>832</v>
      </c>
      <c r="D299" s="43">
        <v>10</v>
      </c>
      <c r="E299" s="51">
        <v>0</v>
      </c>
    </row>
    <row r="300" spans="1:5" ht="30.95">
      <c r="A300" s="56" t="s">
        <v>859</v>
      </c>
      <c r="B300" s="45" t="s">
        <v>860</v>
      </c>
      <c r="C300" s="39" t="s">
        <v>833</v>
      </c>
      <c r="D300" s="40">
        <v>11</v>
      </c>
      <c r="E300" s="50">
        <v>0</v>
      </c>
    </row>
    <row r="301" spans="1:5" ht="30.95">
      <c r="A301" s="56" t="s">
        <v>859</v>
      </c>
      <c r="B301" s="46" t="s">
        <v>860</v>
      </c>
      <c r="C301" s="39" t="s">
        <v>834</v>
      </c>
      <c r="D301" s="43">
        <v>12</v>
      </c>
      <c r="E301" s="51">
        <v>0</v>
      </c>
    </row>
    <row r="302" spans="1:5" ht="15.6">
      <c r="A302" s="56" t="s">
        <v>859</v>
      </c>
      <c r="B302" s="45" t="s">
        <v>861</v>
      </c>
      <c r="C302" s="39" t="s">
        <v>823</v>
      </c>
      <c r="D302" s="40">
        <v>1</v>
      </c>
      <c r="E302" s="50">
        <v>0</v>
      </c>
    </row>
    <row r="303" spans="1:5" ht="15.6">
      <c r="A303" s="56" t="s">
        <v>859</v>
      </c>
      <c r="B303" s="46" t="s">
        <v>861</v>
      </c>
      <c r="C303" s="39" t="s">
        <v>824</v>
      </c>
      <c r="D303" s="43">
        <v>2</v>
      </c>
      <c r="E303" s="51">
        <v>0</v>
      </c>
    </row>
    <row r="304" spans="1:5" ht="15.6">
      <c r="A304" s="56" t="s">
        <v>859</v>
      </c>
      <c r="B304" s="45" t="s">
        <v>861</v>
      </c>
      <c r="C304" s="39" t="s">
        <v>825</v>
      </c>
      <c r="D304" s="40">
        <v>3</v>
      </c>
      <c r="E304" s="50">
        <v>0</v>
      </c>
    </row>
    <row r="305" spans="1:5" ht="15.6">
      <c r="A305" s="56" t="s">
        <v>859</v>
      </c>
      <c r="B305" s="46" t="s">
        <v>861</v>
      </c>
      <c r="C305" s="39" t="s">
        <v>826</v>
      </c>
      <c r="D305" s="43">
        <v>4</v>
      </c>
      <c r="E305" s="51">
        <v>0</v>
      </c>
    </row>
    <row r="306" spans="1:5" ht="15.6">
      <c r="A306" s="56" t="s">
        <v>859</v>
      </c>
      <c r="B306" s="45" t="s">
        <v>861</v>
      </c>
      <c r="C306" s="39" t="s">
        <v>827</v>
      </c>
      <c r="D306" s="40">
        <v>5</v>
      </c>
      <c r="E306" s="50">
        <v>0</v>
      </c>
    </row>
    <row r="307" spans="1:5" ht="15.6">
      <c r="A307" s="56" t="s">
        <v>859</v>
      </c>
      <c r="B307" s="46" t="s">
        <v>861</v>
      </c>
      <c r="C307" s="39" t="s">
        <v>828</v>
      </c>
      <c r="D307" s="43">
        <v>6</v>
      </c>
      <c r="E307" s="51">
        <v>0</v>
      </c>
    </row>
    <row r="308" spans="1:5" ht="15.6">
      <c r="A308" s="56" t="s">
        <v>859</v>
      </c>
      <c r="B308" s="45" t="s">
        <v>861</v>
      </c>
      <c r="C308" s="39" t="s">
        <v>829</v>
      </c>
      <c r="D308" s="40">
        <v>7</v>
      </c>
      <c r="E308" s="50">
        <v>0</v>
      </c>
    </row>
    <row r="309" spans="1:5" ht="15.6">
      <c r="A309" s="56" t="s">
        <v>859</v>
      </c>
      <c r="B309" s="46" t="s">
        <v>861</v>
      </c>
      <c r="C309" s="39" t="s">
        <v>830</v>
      </c>
      <c r="D309" s="43">
        <v>8</v>
      </c>
      <c r="E309" s="51">
        <v>0</v>
      </c>
    </row>
    <row r="310" spans="1:5" ht="15.6">
      <c r="A310" s="56" t="s">
        <v>859</v>
      </c>
      <c r="B310" s="45" t="s">
        <v>861</v>
      </c>
      <c r="C310" s="39" t="s">
        <v>831</v>
      </c>
      <c r="D310" s="40">
        <v>9</v>
      </c>
      <c r="E310" s="50">
        <v>0</v>
      </c>
    </row>
    <row r="311" spans="1:5" ht="15.6">
      <c r="A311" s="56" t="s">
        <v>859</v>
      </c>
      <c r="B311" s="46" t="s">
        <v>861</v>
      </c>
      <c r="C311" s="39" t="s">
        <v>832</v>
      </c>
      <c r="D311" s="43">
        <v>10</v>
      </c>
      <c r="E311" s="51">
        <v>0</v>
      </c>
    </row>
    <row r="312" spans="1:5" ht="15.6">
      <c r="A312" s="56" t="s">
        <v>859</v>
      </c>
      <c r="B312" s="45" t="s">
        <v>861</v>
      </c>
      <c r="C312" s="39" t="s">
        <v>833</v>
      </c>
      <c r="D312" s="40">
        <v>11</v>
      </c>
      <c r="E312" s="50">
        <v>0</v>
      </c>
    </row>
    <row r="313" spans="1:5" ht="15.6">
      <c r="A313" s="56" t="s">
        <v>859</v>
      </c>
      <c r="B313" s="46" t="s">
        <v>861</v>
      </c>
      <c r="C313" s="39" t="s">
        <v>834</v>
      </c>
      <c r="D313" s="43">
        <v>12</v>
      </c>
      <c r="E313" s="51">
        <v>0</v>
      </c>
    </row>
    <row r="314" spans="1:5" ht="15.6">
      <c r="A314" s="56" t="s">
        <v>859</v>
      </c>
      <c r="B314" s="38" t="s">
        <v>862</v>
      </c>
      <c r="C314" s="39" t="s">
        <v>823</v>
      </c>
      <c r="D314" s="40">
        <v>1</v>
      </c>
      <c r="E314" s="50">
        <v>1</v>
      </c>
    </row>
    <row r="315" spans="1:5" ht="15.6">
      <c r="A315" s="56" t="s">
        <v>859</v>
      </c>
      <c r="B315" s="42" t="s">
        <v>862</v>
      </c>
      <c r="C315" s="39" t="s">
        <v>824</v>
      </c>
      <c r="D315" s="43">
        <v>2</v>
      </c>
      <c r="E315" s="51">
        <v>0</v>
      </c>
    </row>
    <row r="316" spans="1:5" ht="15.6">
      <c r="A316" s="56" t="s">
        <v>859</v>
      </c>
      <c r="B316" s="38" t="s">
        <v>862</v>
      </c>
      <c r="C316" s="39" t="s">
        <v>825</v>
      </c>
      <c r="D316" s="40">
        <v>3</v>
      </c>
      <c r="E316" s="50">
        <v>0</v>
      </c>
    </row>
    <row r="317" spans="1:5" ht="15.6">
      <c r="A317" s="56" t="s">
        <v>859</v>
      </c>
      <c r="B317" s="42" t="s">
        <v>862</v>
      </c>
      <c r="C317" s="39" t="s">
        <v>826</v>
      </c>
      <c r="D317" s="43">
        <v>4</v>
      </c>
      <c r="E317" s="51">
        <v>0</v>
      </c>
    </row>
    <row r="318" spans="1:5" ht="15.6">
      <c r="A318" s="56" t="s">
        <v>859</v>
      </c>
      <c r="B318" s="38" t="s">
        <v>862</v>
      </c>
      <c r="C318" s="39" t="s">
        <v>827</v>
      </c>
      <c r="D318" s="40">
        <v>5</v>
      </c>
      <c r="E318" s="50">
        <v>0</v>
      </c>
    </row>
    <row r="319" spans="1:5" ht="15.6">
      <c r="A319" s="56" t="s">
        <v>859</v>
      </c>
      <c r="B319" s="42" t="s">
        <v>862</v>
      </c>
      <c r="C319" s="39" t="s">
        <v>828</v>
      </c>
      <c r="D319" s="43">
        <v>6</v>
      </c>
      <c r="E319" s="51">
        <v>0</v>
      </c>
    </row>
    <row r="320" spans="1:5" ht="15.6">
      <c r="A320" s="56" t="s">
        <v>859</v>
      </c>
      <c r="B320" s="38" t="s">
        <v>862</v>
      </c>
      <c r="C320" s="39" t="s">
        <v>829</v>
      </c>
      <c r="D320" s="40">
        <v>7</v>
      </c>
      <c r="E320" s="50">
        <v>0</v>
      </c>
    </row>
    <row r="321" spans="1:5" ht="15.6">
      <c r="A321" s="56" t="s">
        <v>859</v>
      </c>
      <c r="B321" s="42" t="s">
        <v>862</v>
      </c>
      <c r="C321" s="39" t="s">
        <v>830</v>
      </c>
      <c r="D321" s="43">
        <v>8</v>
      </c>
      <c r="E321" s="51">
        <v>0</v>
      </c>
    </row>
    <row r="322" spans="1:5" ht="15.6">
      <c r="A322" s="56" t="s">
        <v>859</v>
      </c>
      <c r="B322" s="38" t="s">
        <v>862</v>
      </c>
      <c r="C322" s="39" t="s">
        <v>831</v>
      </c>
      <c r="D322" s="40">
        <v>9</v>
      </c>
      <c r="E322" s="50">
        <v>0</v>
      </c>
    </row>
    <row r="323" spans="1:5" ht="15.6">
      <c r="A323" s="56" t="s">
        <v>859</v>
      </c>
      <c r="B323" s="42" t="s">
        <v>862</v>
      </c>
      <c r="C323" s="39" t="s">
        <v>832</v>
      </c>
      <c r="D323" s="43">
        <v>10</v>
      </c>
      <c r="E323" s="51">
        <v>0</v>
      </c>
    </row>
    <row r="324" spans="1:5" ht="15.6">
      <c r="A324" s="56" t="s">
        <v>859</v>
      </c>
      <c r="B324" s="38" t="s">
        <v>862</v>
      </c>
      <c r="C324" s="39" t="s">
        <v>833</v>
      </c>
      <c r="D324" s="40">
        <v>11</v>
      </c>
      <c r="E324" s="50">
        <v>0</v>
      </c>
    </row>
    <row r="325" spans="1:5" ht="15.6">
      <c r="A325" s="56" t="s">
        <v>859</v>
      </c>
      <c r="B325" s="42" t="s">
        <v>862</v>
      </c>
      <c r="C325" s="39" t="s">
        <v>834</v>
      </c>
      <c r="D325" s="43">
        <v>12</v>
      </c>
      <c r="E325" s="51">
        <v>0</v>
      </c>
    </row>
    <row r="326" spans="1:5" ht="30.95">
      <c r="A326" s="56" t="s">
        <v>859</v>
      </c>
      <c r="B326" s="45" t="s">
        <v>863</v>
      </c>
      <c r="C326" s="39" t="s">
        <v>823</v>
      </c>
      <c r="D326" s="40">
        <v>1</v>
      </c>
      <c r="E326" s="50">
        <v>3</v>
      </c>
    </row>
    <row r="327" spans="1:5" ht="30.95">
      <c r="A327" s="56" t="s">
        <v>859</v>
      </c>
      <c r="B327" s="46" t="s">
        <v>863</v>
      </c>
      <c r="C327" s="39" t="s">
        <v>824</v>
      </c>
      <c r="D327" s="43">
        <v>2</v>
      </c>
      <c r="E327" s="51">
        <v>1</v>
      </c>
    </row>
    <row r="328" spans="1:5" ht="30.95">
      <c r="A328" s="56" t="s">
        <v>859</v>
      </c>
      <c r="B328" s="45" t="s">
        <v>863</v>
      </c>
      <c r="C328" s="39" t="s">
        <v>825</v>
      </c>
      <c r="D328" s="40">
        <v>3</v>
      </c>
      <c r="E328" s="50">
        <v>4</v>
      </c>
    </row>
    <row r="329" spans="1:5" ht="30.95">
      <c r="A329" s="56" t="s">
        <v>859</v>
      </c>
      <c r="B329" s="46" t="s">
        <v>863</v>
      </c>
      <c r="C329" s="39" t="s">
        <v>826</v>
      </c>
      <c r="D329" s="43">
        <v>4</v>
      </c>
      <c r="E329" s="51">
        <v>4</v>
      </c>
    </row>
    <row r="330" spans="1:5" ht="30.95">
      <c r="A330" s="56" t="s">
        <v>859</v>
      </c>
      <c r="B330" s="45" t="s">
        <v>863</v>
      </c>
      <c r="C330" s="39" t="s">
        <v>827</v>
      </c>
      <c r="D330" s="40">
        <v>5</v>
      </c>
      <c r="E330" s="50">
        <v>0</v>
      </c>
    </row>
    <row r="331" spans="1:5" ht="30.95">
      <c r="A331" s="56" t="s">
        <v>859</v>
      </c>
      <c r="B331" s="46" t="s">
        <v>863</v>
      </c>
      <c r="C331" s="39" t="s">
        <v>828</v>
      </c>
      <c r="D331" s="43">
        <v>6</v>
      </c>
      <c r="E331" s="51">
        <v>2</v>
      </c>
    </row>
    <row r="332" spans="1:5" ht="30.95">
      <c r="A332" s="56" t="s">
        <v>859</v>
      </c>
      <c r="B332" s="45" t="s">
        <v>863</v>
      </c>
      <c r="C332" s="39" t="s">
        <v>829</v>
      </c>
      <c r="D332" s="40">
        <v>7</v>
      </c>
      <c r="E332" s="50">
        <v>0</v>
      </c>
    </row>
    <row r="333" spans="1:5" ht="30.95">
      <c r="A333" s="56" t="s">
        <v>859</v>
      </c>
      <c r="B333" s="46" t="s">
        <v>863</v>
      </c>
      <c r="C333" s="39" t="s">
        <v>830</v>
      </c>
      <c r="D333" s="43">
        <v>8</v>
      </c>
      <c r="E333" s="51">
        <v>0</v>
      </c>
    </row>
    <row r="334" spans="1:5" ht="30.95">
      <c r="A334" s="56" t="s">
        <v>859</v>
      </c>
      <c r="B334" s="45" t="s">
        <v>863</v>
      </c>
      <c r="C334" s="39" t="s">
        <v>831</v>
      </c>
      <c r="D334" s="40">
        <v>9</v>
      </c>
      <c r="E334" s="50">
        <v>0</v>
      </c>
    </row>
    <row r="335" spans="1:5" ht="30.95">
      <c r="A335" s="56" t="s">
        <v>859</v>
      </c>
      <c r="B335" s="46" t="s">
        <v>863</v>
      </c>
      <c r="C335" s="39" t="s">
        <v>832</v>
      </c>
      <c r="D335" s="43">
        <v>10</v>
      </c>
      <c r="E335" s="51">
        <v>0</v>
      </c>
    </row>
    <row r="336" spans="1:5" ht="30.95">
      <c r="A336" s="56" t="s">
        <v>859</v>
      </c>
      <c r="B336" s="45" t="s">
        <v>863</v>
      </c>
      <c r="C336" s="39" t="s">
        <v>833</v>
      </c>
      <c r="D336" s="40">
        <v>11</v>
      </c>
      <c r="E336" s="50">
        <v>0</v>
      </c>
    </row>
    <row r="337" spans="1:5" ht="30.95">
      <c r="A337" s="56" t="s">
        <v>859</v>
      </c>
      <c r="B337" s="46" t="s">
        <v>863</v>
      </c>
      <c r="C337" s="39" t="s">
        <v>834</v>
      </c>
      <c r="D337" s="43">
        <v>12</v>
      </c>
      <c r="E337" s="51">
        <v>0</v>
      </c>
    </row>
    <row r="338" spans="1:5" ht="46.5">
      <c r="A338" s="56" t="s">
        <v>859</v>
      </c>
      <c r="B338" s="45" t="s">
        <v>864</v>
      </c>
      <c r="C338" s="39" t="s">
        <v>823</v>
      </c>
      <c r="D338" s="40">
        <v>1</v>
      </c>
      <c r="E338" s="50">
        <v>0</v>
      </c>
    </row>
    <row r="339" spans="1:5" ht="46.5">
      <c r="A339" s="56" t="s">
        <v>859</v>
      </c>
      <c r="B339" s="46" t="s">
        <v>864</v>
      </c>
      <c r="C339" s="39" t="s">
        <v>824</v>
      </c>
      <c r="D339" s="43">
        <v>2</v>
      </c>
      <c r="E339" s="51">
        <v>0</v>
      </c>
    </row>
    <row r="340" spans="1:5" ht="46.5">
      <c r="A340" s="56" t="s">
        <v>859</v>
      </c>
      <c r="B340" s="45" t="s">
        <v>864</v>
      </c>
      <c r="C340" s="39" t="s">
        <v>825</v>
      </c>
      <c r="D340" s="40">
        <v>3</v>
      </c>
      <c r="E340" s="50">
        <v>0</v>
      </c>
    </row>
    <row r="341" spans="1:5" ht="46.5">
      <c r="A341" s="56" t="s">
        <v>859</v>
      </c>
      <c r="B341" s="46" t="s">
        <v>864</v>
      </c>
      <c r="C341" s="39" t="s">
        <v>826</v>
      </c>
      <c r="D341" s="43">
        <v>4</v>
      </c>
      <c r="E341" s="51">
        <v>0</v>
      </c>
    </row>
    <row r="342" spans="1:5" ht="46.5">
      <c r="A342" s="56" t="s">
        <v>859</v>
      </c>
      <c r="B342" s="45" t="s">
        <v>864</v>
      </c>
      <c r="C342" s="39" t="s">
        <v>827</v>
      </c>
      <c r="D342" s="40">
        <v>5</v>
      </c>
      <c r="E342" s="50">
        <v>0</v>
      </c>
    </row>
    <row r="343" spans="1:5" ht="46.5">
      <c r="A343" s="56" t="s">
        <v>859</v>
      </c>
      <c r="B343" s="46" t="s">
        <v>864</v>
      </c>
      <c r="C343" s="39" t="s">
        <v>828</v>
      </c>
      <c r="D343" s="43">
        <v>6</v>
      </c>
      <c r="E343" s="51">
        <v>0</v>
      </c>
    </row>
    <row r="344" spans="1:5" ht="46.5">
      <c r="A344" s="56" t="s">
        <v>859</v>
      </c>
      <c r="B344" s="45" t="s">
        <v>864</v>
      </c>
      <c r="C344" s="39" t="s">
        <v>829</v>
      </c>
      <c r="D344" s="40">
        <v>7</v>
      </c>
      <c r="E344" s="50">
        <v>0</v>
      </c>
    </row>
    <row r="345" spans="1:5" ht="46.5">
      <c r="A345" s="56" t="s">
        <v>859</v>
      </c>
      <c r="B345" s="46" t="s">
        <v>864</v>
      </c>
      <c r="C345" s="39" t="s">
        <v>830</v>
      </c>
      <c r="D345" s="43">
        <v>8</v>
      </c>
      <c r="E345" s="51">
        <v>0</v>
      </c>
    </row>
    <row r="346" spans="1:5" ht="46.5">
      <c r="A346" s="56" t="s">
        <v>859</v>
      </c>
      <c r="B346" s="45" t="s">
        <v>864</v>
      </c>
      <c r="C346" s="39" t="s">
        <v>831</v>
      </c>
      <c r="D346" s="40">
        <v>9</v>
      </c>
      <c r="E346" s="50">
        <v>0</v>
      </c>
    </row>
    <row r="347" spans="1:5" ht="46.5">
      <c r="A347" s="56" t="s">
        <v>859</v>
      </c>
      <c r="B347" s="46" t="s">
        <v>864</v>
      </c>
      <c r="C347" s="39" t="s">
        <v>832</v>
      </c>
      <c r="D347" s="43">
        <v>10</v>
      </c>
      <c r="E347" s="51">
        <v>0</v>
      </c>
    </row>
    <row r="348" spans="1:5" ht="46.5">
      <c r="A348" s="56" t="s">
        <v>859</v>
      </c>
      <c r="B348" s="45" t="s">
        <v>864</v>
      </c>
      <c r="C348" s="39" t="s">
        <v>833</v>
      </c>
      <c r="D348" s="40">
        <v>11</v>
      </c>
      <c r="E348" s="50">
        <v>0</v>
      </c>
    </row>
    <row r="349" spans="1:5" ht="46.5">
      <c r="A349" s="56" t="s">
        <v>859</v>
      </c>
      <c r="B349" s="46" t="s">
        <v>864</v>
      </c>
      <c r="C349" s="39" t="s">
        <v>834</v>
      </c>
      <c r="D349" s="43">
        <v>12</v>
      </c>
      <c r="E349" s="51">
        <v>0</v>
      </c>
    </row>
    <row r="350" spans="1:5" ht="30.95">
      <c r="A350" s="56" t="s">
        <v>859</v>
      </c>
      <c r="B350" s="45" t="s">
        <v>865</v>
      </c>
      <c r="C350" s="39" t="s">
        <v>823</v>
      </c>
      <c r="D350" s="40">
        <v>1</v>
      </c>
      <c r="E350" s="50">
        <v>0</v>
      </c>
    </row>
    <row r="351" spans="1:5" ht="30.95">
      <c r="A351" s="56" t="s">
        <v>859</v>
      </c>
      <c r="B351" s="46" t="s">
        <v>865</v>
      </c>
      <c r="C351" s="39" t="s">
        <v>824</v>
      </c>
      <c r="D351" s="43">
        <v>2</v>
      </c>
      <c r="E351" s="51">
        <v>0</v>
      </c>
    </row>
    <row r="352" spans="1:5" ht="30.95">
      <c r="A352" s="56" t="s">
        <v>859</v>
      </c>
      <c r="B352" s="45" t="s">
        <v>865</v>
      </c>
      <c r="C352" s="39" t="s">
        <v>825</v>
      </c>
      <c r="D352" s="40">
        <v>3</v>
      </c>
      <c r="E352" s="50">
        <v>0</v>
      </c>
    </row>
    <row r="353" spans="1:5" ht="30.95">
      <c r="A353" s="56" t="s">
        <v>859</v>
      </c>
      <c r="B353" s="46" t="s">
        <v>865</v>
      </c>
      <c r="C353" s="39" t="s">
        <v>826</v>
      </c>
      <c r="D353" s="43">
        <v>4</v>
      </c>
      <c r="E353" s="51">
        <v>0</v>
      </c>
    </row>
    <row r="354" spans="1:5" ht="30.95">
      <c r="A354" s="56" t="s">
        <v>859</v>
      </c>
      <c r="B354" s="45" t="s">
        <v>865</v>
      </c>
      <c r="C354" s="39" t="s">
        <v>827</v>
      </c>
      <c r="D354" s="40">
        <v>5</v>
      </c>
      <c r="E354" s="50">
        <v>0</v>
      </c>
    </row>
    <row r="355" spans="1:5" ht="30.95">
      <c r="A355" s="56" t="s">
        <v>859</v>
      </c>
      <c r="B355" s="46" t="s">
        <v>865</v>
      </c>
      <c r="C355" s="39" t="s">
        <v>828</v>
      </c>
      <c r="D355" s="43">
        <v>6</v>
      </c>
      <c r="E355" s="51">
        <v>0</v>
      </c>
    </row>
    <row r="356" spans="1:5" ht="30.95">
      <c r="A356" s="56" t="s">
        <v>859</v>
      </c>
      <c r="B356" s="45" t="s">
        <v>865</v>
      </c>
      <c r="C356" s="39" t="s">
        <v>829</v>
      </c>
      <c r="D356" s="40">
        <v>7</v>
      </c>
      <c r="E356" s="50">
        <v>0</v>
      </c>
    </row>
    <row r="357" spans="1:5" ht="30.95">
      <c r="A357" s="56" t="s">
        <v>859</v>
      </c>
      <c r="B357" s="46" t="s">
        <v>865</v>
      </c>
      <c r="C357" s="39" t="s">
        <v>830</v>
      </c>
      <c r="D357" s="43">
        <v>8</v>
      </c>
      <c r="E357" s="51">
        <v>0</v>
      </c>
    </row>
    <row r="358" spans="1:5" ht="30.95">
      <c r="A358" s="56" t="s">
        <v>859</v>
      </c>
      <c r="B358" s="45" t="s">
        <v>865</v>
      </c>
      <c r="C358" s="39" t="s">
        <v>831</v>
      </c>
      <c r="D358" s="40">
        <v>9</v>
      </c>
      <c r="E358" s="50">
        <v>0</v>
      </c>
    </row>
    <row r="359" spans="1:5" ht="30.95">
      <c r="A359" s="56" t="s">
        <v>859</v>
      </c>
      <c r="B359" s="46" t="s">
        <v>865</v>
      </c>
      <c r="C359" s="39" t="s">
        <v>832</v>
      </c>
      <c r="D359" s="43">
        <v>10</v>
      </c>
      <c r="E359" s="51">
        <v>0</v>
      </c>
    </row>
    <row r="360" spans="1:5" ht="30.95">
      <c r="A360" s="56" t="s">
        <v>859</v>
      </c>
      <c r="B360" s="45" t="s">
        <v>865</v>
      </c>
      <c r="C360" s="39" t="s">
        <v>833</v>
      </c>
      <c r="D360" s="40">
        <v>11</v>
      </c>
      <c r="E360" s="50">
        <v>0</v>
      </c>
    </row>
    <row r="361" spans="1:5" ht="30.95">
      <c r="A361" s="56" t="s">
        <v>859</v>
      </c>
      <c r="B361" s="46" t="s">
        <v>865</v>
      </c>
      <c r="C361" s="39" t="s">
        <v>834</v>
      </c>
      <c r="D361" s="43">
        <v>12</v>
      </c>
      <c r="E361" s="51">
        <v>0</v>
      </c>
    </row>
    <row r="362" spans="1:5" ht="62.1">
      <c r="A362" s="56" t="s">
        <v>859</v>
      </c>
      <c r="B362" s="45" t="s">
        <v>866</v>
      </c>
      <c r="C362" s="39" t="s">
        <v>823</v>
      </c>
      <c r="D362" s="40">
        <v>1</v>
      </c>
      <c r="E362" s="50">
        <v>0</v>
      </c>
    </row>
    <row r="363" spans="1:5" ht="62.1">
      <c r="A363" s="56" t="s">
        <v>859</v>
      </c>
      <c r="B363" s="46" t="s">
        <v>866</v>
      </c>
      <c r="C363" s="39" t="s">
        <v>824</v>
      </c>
      <c r="D363" s="43">
        <v>2</v>
      </c>
      <c r="E363" s="51">
        <v>0</v>
      </c>
    </row>
    <row r="364" spans="1:5" ht="62.1">
      <c r="A364" s="56" t="s">
        <v>859</v>
      </c>
      <c r="B364" s="45" t="s">
        <v>866</v>
      </c>
      <c r="C364" s="39" t="s">
        <v>825</v>
      </c>
      <c r="D364" s="40">
        <v>3</v>
      </c>
      <c r="E364" s="50">
        <v>1</v>
      </c>
    </row>
    <row r="365" spans="1:5" ht="62.1">
      <c r="A365" s="56" t="s">
        <v>859</v>
      </c>
      <c r="B365" s="46" t="s">
        <v>866</v>
      </c>
      <c r="C365" s="39" t="s">
        <v>826</v>
      </c>
      <c r="D365" s="43">
        <v>4</v>
      </c>
      <c r="E365" s="51">
        <v>2</v>
      </c>
    </row>
    <row r="366" spans="1:5" ht="62.1">
      <c r="A366" s="56" t="s">
        <v>859</v>
      </c>
      <c r="B366" s="45" t="s">
        <v>866</v>
      </c>
      <c r="C366" s="39" t="s">
        <v>827</v>
      </c>
      <c r="D366" s="40">
        <v>5</v>
      </c>
      <c r="E366" s="50">
        <v>2</v>
      </c>
    </row>
    <row r="367" spans="1:5" ht="62.1">
      <c r="A367" s="56" t="s">
        <v>859</v>
      </c>
      <c r="B367" s="46" t="s">
        <v>866</v>
      </c>
      <c r="C367" s="39" t="s">
        <v>828</v>
      </c>
      <c r="D367" s="43">
        <v>6</v>
      </c>
      <c r="E367" s="51">
        <v>2</v>
      </c>
    </row>
    <row r="368" spans="1:5" ht="62.1">
      <c r="A368" s="56" t="s">
        <v>859</v>
      </c>
      <c r="B368" s="45" t="s">
        <v>866</v>
      </c>
      <c r="C368" s="39" t="s">
        <v>829</v>
      </c>
      <c r="D368" s="40">
        <v>7</v>
      </c>
      <c r="E368" s="50">
        <v>0</v>
      </c>
    </row>
    <row r="369" spans="1:5" ht="62.1">
      <c r="A369" s="56" t="s">
        <v>859</v>
      </c>
      <c r="B369" s="46" t="s">
        <v>866</v>
      </c>
      <c r="C369" s="39" t="s">
        <v>830</v>
      </c>
      <c r="D369" s="43">
        <v>8</v>
      </c>
      <c r="E369" s="51">
        <v>0</v>
      </c>
    </row>
    <row r="370" spans="1:5" ht="62.1">
      <c r="A370" s="56" t="s">
        <v>859</v>
      </c>
      <c r="B370" s="45" t="s">
        <v>866</v>
      </c>
      <c r="C370" s="39" t="s">
        <v>831</v>
      </c>
      <c r="D370" s="40">
        <v>9</v>
      </c>
      <c r="E370" s="50">
        <v>0</v>
      </c>
    </row>
    <row r="371" spans="1:5" ht="62.1">
      <c r="A371" s="56" t="s">
        <v>859</v>
      </c>
      <c r="B371" s="46" t="s">
        <v>866</v>
      </c>
      <c r="C371" s="39" t="s">
        <v>832</v>
      </c>
      <c r="D371" s="43">
        <v>10</v>
      </c>
      <c r="E371" s="51">
        <v>0</v>
      </c>
    </row>
    <row r="372" spans="1:5" ht="62.1">
      <c r="A372" s="56" t="s">
        <v>859</v>
      </c>
      <c r="B372" s="45" t="s">
        <v>866</v>
      </c>
      <c r="C372" s="39" t="s">
        <v>833</v>
      </c>
      <c r="D372" s="40">
        <v>11</v>
      </c>
      <c r="E372" s="50">
        <v>0</v>
      </c>
    </row>
    <row r="373" spans="1:5" ht="62.1">
      <c r="A373" s="56" t="s">
        <v>859</v>
      </c>
      <c r="B373" s="46" t="s">
        <v>866</v>
      </c>
      <c r="C373" s="39" t="s">
        <v>834</v>
      </c>
      <c r="D373" s="43">
        <v>12</v>
      </c>
      <c r="E373" s="51">
        <v>0</v>
      </c>
    </row>
    <row r="374" spans="1:5" ht="77.45">
      <c r="A374" s="56" t="s">
        <v>859</v>
      </c>
      <c r="B374" s="45" t="s">
        <v>867</v>
      </c>
      <c r="C374" s="39" t="s">
        <v>823</v>
      </c>
      <c r="D374" s="40">
        <v>1</v>
      </c>
      <c r="E374" s="50">
        <v>6</v>
      </c>
    </row>
    <row r="375" spans="1:5" ht="77.45">
      <c r="A375" s="56" t="s">
        <v>859</v>
      </c>
      <c r="B375" s="46" t="s">
        <v>867</v>
      </c>
      <c r="C375" s="39" t="s">
        <v>824</v>
      </c>
      <c r="D375" s="43">
        <v>2</v>
      </c>
      <c r="E375" s="51">
        <v>6</v>
      </c>
    </row>
    <row r="376" spans="1:5" ht="77.45">
      <c r="A376" s="56" t="s">
        <v>859</v>
      </c>
      <c r="B376" s="45" t="s">
        <v>867</v>
      </c>
      <c r="C376" s="39" t="s">
        <v>825</v>
      </c>
      <c r="D376" s="40">
        <v>3</v>
      </c>
      <c r="E376" s="50">
        <v>9</v>
      </c>
    </row>
    <row r="377" spans="1:5" ht="77.45">
      <c r="A377" s="56" t="s">
        <v>859</v>
      </c>
      <c r="B377" s="46" t="s">
        <v>867</v>
      </c>
      <c r="C377" s="39" t="s">
        <v>826</v>
      </c>
      <c r="D377" s="43">
        <v>4</v>
      </c>
      <c r="E377" s="51">
        <v>0</v>
      </c>
    </row>
    <row r="378" spans="1:5" ht="77.45">
      <c r="A378" s="56" t="s">
        <v>859</v>
      </c>
      <c r="B378" s="45" t="s">
        <v>867</v>
      </c>
      <c r="C378" s="39" t="s">
        <v>827</v>
      </c>
      <c r="D378" s="40">
        <v>5</v>
      </c>
      <c r="E378" s="50">
        <v>1</v>
      </c>
    </row>
    <row r="379" spans="1:5" ht="77.45">
      <c r="A379" s="56" t="s">
        <v>859</v>
      </c>
      <c r="B379" s="46" t="s">
        <v>867</v>
      </c>
      <c r="C379" s="39" t="s">
        <v>828</v>
      </c>
      <c r="D379" s="43">
        <v>6</v>
      </c>
      <c r="E379" s="51">
        <v>1</v>
      </c>
    </row>
    <row r="380" spans="1:5" ht="77.45">
      <c r="A380" s="56" t="s">
        <v>859</v>
      </c>
      <c r="B380" s="45" t="s">
        <v>867</v>
      </c>
      <c r="C380" s="39" t="s">
        <v>829</v>
      </c>
      <c r="D380" s="40">
        <v>7</v>
      </c>
      <c r="E380" s="50">
        <v>0</v>
      </c>
    </row>
    <row r="381" spans="1:5" ht="77.45">
      <c r="A381" s="56" t="s">
        <v>859</v>
      </c>
      <c r="B381" s="46" t="s">
        <v>867</v>
      </c>
      <c r="C381" s="39" t="s">
        <v>830</v>
      </c>
      <c r="D381" s="43">
        <v>8</v>
      </c>
      <c r="E381" s="51">
        <v>0</v>
      </c>
    </row>
    <row r="382" spans="1:5" ht="77.45">
      <c r="A382" s="56" t="s">
        <v>859</v>
      </c>
      <c r="B382" s="45" t="s">
        <v>867</v>
      </c>
      <c r="C382" s="39" t="s">
        <v>831</v>
      </c>
      <c r="D382" s="40">
        <v>9</v>
      </c>
      <c r="E382" s="50">
        <v>0</v>
      </c>
    </row>
    <row r="383" spans="1:5" ht="77.45">
      <c r="A383" s="56" t="s">
        <v>859</v>
      </c>
      <c r="B383" s="46" t="s">
        <v>867</v>
      </c>
      <c r="C383" s="39" t="s">
        <v>832</v>
      </c>
      <c r="D383" s="43">
        <v>10</v>
      </c>
      <c r="E383" s="51">
        <v>0</v>
      </c>
    </row>
    <row r="384" spans="1:5" ht="77.45">
      <c r="A384" s="56" t="s">
        <v>859</v>
      </c>
      <c r="B384" s="45" t="s">
        <v>867</v>
      </c>
      <c r="C384" s="39" t="s">
        <v>833</v>
      </c>
      <c r="D384" s="40">
        <v>11</v>
      </c>
      <c r="E384" s="50">
        <v>0</v>
      </c>
    </row>
    <row r="385" spans="1:5" ht="77.45">
      <c r="A385" s="56" t="s">
        <v>859</v>
      </c>
      <c r="B385" s="46" t="s">
        <v>867</v>
      </c>
      <c r="C385" s="39" t="s">
        <v>834</v>
      </c>
      <c r="D385" s="43">
        <v>12</v>
      </c>
      <c r="E385" s="51">
        <v>0</v>
      </c>
    </row>
    <row r="386" spans="1:5" ht="30.95">
      <c r="A386" s="56" t="s">
        <v>859</v>
      </c>
      <c r="B386" s="45" t="s">
        <v>868</v>
      </c>
      <c r="C386" s="39" t="s">
        <v>823</v>
      </c>
      <c r="D386" s="40">
        <v>1</v>
      </c>
      <c r="E386" s="50">
        <v>2</v>
      </c>
    </row>
    <row r="387" spans="1:5" ht="30.95">
      <c r="A387" s="56" t="s">
        <v>859</v>
      </c>
      <c r="B387" s="46" t="s">
        <v>868</v>
      </c>
      <c r="C387" s="39" t="s">
        <v>824</v>
      </c>
      <c r="D387" s="43">
        <v>2</v>
      </c>
      <c r="E387" s="51">
        <v>0</v>
      </c>
    </row>
    <row r="388" spans="1:5" ht="30.95">
      <c r="A388" s="56" t="s">
        <v>859</v>
      </c>
      <c r="B388" s="45" t="s">
        <v>868</v>
      </c>
      <c r="C388" s="39" t="s">
        <v>825</v>
      </c>
      <c r="D388" s="40">
        <v>3</v>
      </c>
      <c r="E388" s="50">
        <v>5</v>
      </c>
    </row>
    <row r="389" spans="1:5" ht="30.95">
      <c r="A389" s="56" t="s">
        <v>859</v>
      </c>
      <c r="B389" s="46" t="s">
        <v>868</v>
      </c>
      <c r="C389" s="39" t="s">
        <v>826</v>
      </c>
      <c r="D389" s="43">
        <v>4</v>
      </c>
      <c r="E389" s="51">
        <v>5</v>
      </c>
    </row>
    <row r="390" spans="1:5" ht="30.95">
      <c r="A390" s="56" t="s">
        <v>859</v>
      </c>
      <c r="B390" s="45" t="s">
        <v>868</v>
      </c>
      <c r="C390" s="39" t="s">
        <v>827</v>
      </c>
      <c r="D390" s="40">
        <v>5</v>
      </c>
      <c r="E390" s="50">
        <v>9</v>
      </c>
    </row>
    <row r="391" spans="1:5" ht="30.95">
      <c r="A391" s="56" t="s">
        <v>859</v>
      </c>
      <c r="B391" s="46" t="s">
        <v>868</v>
      </c>
      <c r="C391" s="39" t="s">
        <v>828</v>
      </c>
      <c r="D391" s="43">
        <v>6</v>
      </c>
      <c r="E391" s="51">
        <v>13</v>
      </c>
    </row>
    <row r="392" spans="1:5" ht="30.95">
      <c r="A392" s="56" t="s">
        <v>859</v>
      </c>
      <c r="B392" s="45" t="s">
        <v>868</v>
      </c>
      <c r="C392" s="39" t="s">
        <v>829</v>
      </c>
      <c r="D392" s="40">
        <v>7</v>
      </c>
      <c r="E392" s="50">
        <v>0</v>
      </c>
    </row>
    <row r="393" spans="1:5" ht="30.95">
      <c r="A393" s="56" t="s">
        <v>859</v>
      </c>
      <c r="B393" s="46" t="s">
        <v>868</v>
      </c>
      <c r="C393" s="39" t="s">
        <v>830</v>
      </c>
      <c r="D393" s="43">
        <v>8</v>
      </c>
      <c r="E393" s="51">
        <v>0</v>
      </c>
    </row>
    <row r="394" spans="1:5" ht="30.95">
      <c r="A394" s="56" t="s">
        <v>859</v>
      </c>
      <c r="B394" s="45" t="s">
        <v>868</v>
      </c>
      <c r="C394" s="39" t="s">
        <v>831</v>
      </c>
      <c r="D394" s="40">
        <v>9</v>
      </c>
      <c r="E394" s="50">
        <v>0</v>
      </c>
    </row>
    <row r="395" spans="1:5" ht="30.95">
      <c r="A395" s="56" t="s">
        <v>859</v>
      </c>
      <c r="B395" s="46" t="s">
        <v>868</v>
      </c>
      <c r="C395" s="39" t="s">
        <v>832</v>
      </c>
      <c r="D395" s="43">
        <v>10</v>
      </c>
      <c r="E395" s="51">
        <v>0</v>
      </c>
    </row>
    <row r="396" spans="1:5" ht="30.95">
      <c r="A396" s="56" t="s">
        <v>859</v>
      </c>
      <c r="B396" s="45" t="s">
        <v>868</v>
      </c>
      <c r="C396" s="39" t="s">
        <v>833</v>
      </c>
      <c r="D396" s="40">
        <v>11</v>
      </c>
      <c r="E396" s="50">
        <v>0</v>
      </c>
    </row>
    <row r="397" spans="1:5" ht="30.95">
      <c r="A397" s="56" t="s">
        <v>859</v>
      </c>
      <c r="B397" s="46" t="s">
        <v>868</v>
      </c>
      <c r="C397" s="39" t="s">
        <v>834</v>
      </c>
      <c r="D397" s="43">
        <v>12</v>
      </c>
      <c r="E397" s="51">
        <v>0</v>
      </c>
    </row>
    <row r="398" spans="1:5" ht="30.95">
      <c r="A398" s="56" t="s">
        <v>859</v>
      </c>
      <c r="B398" s="45" t="s">
        <v>869</v>
      </c>
      <c r="C398" s="39" t="s">
        <v>823</v>
      </c>
      <c r="D398" s="40">
        <v>1</v>
      </c>
      <c r="E398" s="50">
        <v>2</v>
      </c>
    </row>
    <row r="399" spans="1:5" ht="30.95">
      <c r="A399" s="56" t="s">
        <v>859</v>
      </c>
      <c r="B399" s="46" t="s">
        <v>869</v>
      </c>
      <c r="C399" s="39" t="s">
        <v>824</v>
      </c>
      <c r="D399" s="43">
        <v>2</v>
      </c>
      <c r="E399" s="51">
        <v>4</v>
      </c>
    </row>
    <row r="400" spans="1:5" ht="30.95">
      <c r="A400" s="56" t="s">
        <v>859</v>
      </c>
      <c r="B400" s="45" t="s">
        <v>869</v>
      </c>
      <c r="C400" s="39" t="s">
        <v>825</v>
      </c>
      <c r="D400" s="40">
        <v>3</v>
      </c>
      <c r="E400" s="50">
        <v>0</v>
      </c>
    </row>
    <row r="401" spans="1:5" ht="30.95">
      <c r="A401" s="56" t="s">
        <v>859</v>
      </c>
      <c r="B401" s="46" t="s">
        <v>869</v>
      </c>
      <c r="C401" s="39" t="s">
        <v>826</v>
      </c>
      <c r="D401" s="43">
        <v>4</v>
      </c>
      <c r="E401" s="51">
        <v>2</v>
      </c>
    </row>
    <row r="402" spans="1:5" ht="30.95">
      <c r="A402" s="56" t="s">
        <v>859</v>
      </c>
      <c r="B402" s="45" t="s">
        <v>869</v>
      </c>
      <c r="C402" s="39" t="s">
        <v>827</v>
      </c>
      <c r="D402" s="40">
        <v>5</v>
      </c>
      <c r="E402" s="50">
        <v>0</v>
      </c>
    </row>
    <row r="403" spans="1:5" ht="30.95">
      <c r="A403" s="56" t="s">
        <v>859</v>
      </c>
      <c r="B403" s="46" t="s">
        <v>869</v>
      </c>
      <c r="C403" s="39" t="s">
        <v>828</v>
      </c>
      <c r="D403" s="43">
        <v>6</v>
      </c>
      <c r="E403" s="51">
        <v>0</v>
      </c>
    </row>
    <row r="404" spans="1:5" ht="30.95">
      <c r="A404" s="56" t="s">
        <v>859</v>
      </c>
      <c r="B404" s="45" t="s">
        <v>869</v>
      </c>
      <c r="C404" s="39" t="s">
        <v>829</v>
      </c>
      <c r="D404" s="40">
        <v>7</v>
      </c>
      <c r="E404" s="50">
        <v>0</v>
      </c>
    </row>
    <row r="405" spans="1:5" ht="30.95">
      <c r="A405" s="56" t="s">
        <v>859</v>
      </c>
      <c r="B405" s="46" t="s">
        <v>869</v>
      </c>
      <c r="C405" s="39" t="s">
        <v>830</v>
      </c>
      <c r="D405" s="43">
        <v>8</v>
      </c>
      <c r="E405" s="51">
        <v>0</v>
      </c>
    </row>
    <row r="406" spans="1:5" ht="30.95">
      <c r="A406" s="56" t="s">
        <v>859</v>
      </c>
      <c r="B406" s="45" t="s">
        <v>869</v>
      </c>
      <c r="C406" s="39" t="s">
        <v>831</v>
      </c>
      <c r="D406" s="40">
        <v>9</v>
      </c>
      <c r="E406" s="50">
        <v>0</v>
      </c>
    </row>
    <row r="407" spans="1:5" ht="30.95">
      <c r="A407" s="56" t="s">
        <v>859</v>
      </c>
      <c r="B407" s="46" t="s">
        <v>869</v>
      </c>
      <c r="C407" s="39" t="s">
        <v>832</v>
      </c>
      <c r="D407" s="43">
        <v>10</v>
      </c>
      <c r="E407" s="51">
        <v>0</v>
      </c>
    </row>
    <row r="408" spans="1:5" ht="30.95">
      <c r="A408" s="56" t="s">
        <v>859</v>
      </c>
      <c r="B408" s="45" t="s">
        <v>869</v>
      </c>
      <c r="C408" s="39" t="s">
        <v>833</v>
      </c>
      <c r="D408" s="40">
        <v>11</v>
      </c>
      <c r="E408" s="50">
        <v>0</v>
      </c>
    </row>
    <row r="409" spans="1:5" ht="30.95">
      <c r="A409" s="56" t="s">
        <v>859</v>
      </c>
      <c r="B409" s="46" t="s">
        <v>869</v>
      </c>
      <c r="C409" s="39" t="s">
        <v>834</v>
      </c>
      <c r="D409" s="43">
        <v>12</v>
      </c>
      <c r="E409" s="51">
        <v>0</v>
      </c>
    </row>
    <row r="410" spans="1:5" ht="30.95">
      <c r="A410" s="56" t="s">
        <v>859</v>
      </c>
      <c r="B410" s="45" t="s">
        <v>870</v>
      </c>
      <c r="C410" s="39" t="s">
        <v>823</v>
      </c>
      <c r="D410" s="40">
        <v>1</v>
      </c>
      <c r="E410" s="50">
        <v>6</v>
      </c>
    </row>
    <row r="411" spans="1:5" ht="30.95">
      <c r="A411" s="56" t="s">
        <v>859</v>
      </c>
      <c r="B411" s="46" t="s">
        <v>870</v>
      </c>
      <c r="C411" s="39" t="s">
        <v>824</v>
      </c>
      <c r="D411" s="43">
        <v>2</v>
      </c>
      <c r="E411" s="51">
        <v>2</v>
      </c>
    </row>
    <row r="412" spans="1:5" ht="30.95">
      <c r="A412" s="56" t="s">
        <v>859</v>
      </c>
      <c r="B412" s="45" t="s">
        <v>870</v>
      </c>
      <c r="C412" s="39" t="s">
        <v>825</v>
      </c>
      <c r="D412" s="40">
        <v>3</v>
      </c>
      <c r="E412" s="50">
        <v>2</v>
      </c>
    </row>
    <row r="413" spans="1:5" ht="30.95">
      <c r="A413" s="56" t="s">
        <v>859</v>
      </c>
      <c r="B413" s="46" t="s">
        <v>870</v>
      </c>
      <c r="C413" s="39" t="s">
        <v>826</v>
      </c>
      <c r="D413" s="43">
        <v>4</v>
      </c>
      <c r="E413" s="51">
        <v>2</v>
      </c>
    </row>
    <row r="414" spans="1:5" ht="30.95">
      <c r="A414" s="56" t="s">
        <v>859</v>
      </c>
      <c r="B414" s="45" t="s">
        <v>870</v>
      </c>
      <c r="C414" s="39" t="s">
        <v>827</v>
      </c>
      <c r="D414" s="40">
        <v>5</v>
      </c>
      <c r="E414" s="50">
        <v>3</v>
      </c>
    </row>
    <row r="415" spans="1:5" ht="30.95">
      <c r="A415" s="56" t="s">
        <v>859</v>
      </c>
      <c r="B415" s="46" t="s">
        <v>870</v>
      </c>
      <c r="C415" s="39" t="s">
        <v>828</v>
      </c>
      <c r="D415" s="43">
        <v>6</v>
      </c>
      <c r="E415" s="51">
        <v>3</v>
      </c>
    </row>
    <row r="416" spans="1:5" ht="30.95">
      <c r="A416" s="56" t="s">
        <v>859</v>
      </c>
      <c r="B416" s="45" t="s">
        <v>870</v>
      </c>
      <c r="C416" s="39" t="s">
        <v>829</v>
      </c>
      <c r="D416" s="40">
        <v>7</v>
      </c>
      <c r="E416" s="50">
        <v>0</v>
      </c>
    </row>
    <row r="417" spans="1:5" ht="30.95">
      <c r="A417" s="56" t="s">
        <v>859</v>
      </c>
      <c r="B417" s="46" t="s">
        <v>870</v>
      </c>
      <c r="C417" s="39" t="s">
        <v>830</v>
      </c>
      <c r="D417" s="43">
        <v>8</v>
      </c>
      <c r="E417" s="51">
        <v>0</v>
      </c>
    </row>
    <row r="418" spans="1:5" ht="30.95">
      <c r="A418" s="56" t="s">
        <v>859</v>
      </c>
      <c r="B418" s="45" t="s">
        <v>870</v>
      </c>
      <c r="C418" s="39" t="s">
        <v>831</v>
      </c>
      <c r="D418" s="40">
        <v>9</v>
      </c>
      <c r="E418" s="50">
        <v>0</v>
      </c>
    </row>
    <row r="419" spans="1:5" ht="30.95">
      <c r="A419" s="56" t="s">
        <v>859</v>
      </c>
      <c r="B419" s="46" t="s">
        <v>870</v>
      </c>
      <c r="C419" s="39" t="s">
        <v>832</v>
      </c>
      <c r="D419" s="43">
        <v>10</v>
      </c>
      <c r="E419" s="51">
        <v>0</v>
      </c>
    </row>
    <row r="420" spans="1:5" ht="30.95">
      <c r="A420" s="56" t="s">
        <v>859</v>
      </c>
      <c r="B420" s="45" t="s">
        <v>870</v>
      </c>
      <c r="C420" s="39" t="s">
        <v>833</v>
      </c>
      <c r="D420" s="40">
        <v>11</v>
      </c>
      <c r="E420" s="50">
        <v>0</v>
      </c>
    </row>
    <row r="421" spans="1:5" ht="30.95">
      <c r="A421" s="56" t="s">
        <v>859</v>
      </c>
      <c r="B421" s="46" t="s">
        <v>870</v>
      </c>
      <c r="C421" s="39" t="s">
        <v>834</v>
      </c>
      <c r="D421" s="43">
        <v>12</v>
      </c>
      <c r="E421" s="51">
        <v>0</v>
      </c>
    </row>
    <row r="422" spans="1:5" ht="15.6">
      <c r="A422" s="56" t="s">
        <v>859</v>
      </c>
      <c r="B422" s="45" t="s">
        <v>871</v>
      </c>
      <c r="C422" s="39" t="s">
        <v>823</v>
      </c>
      <c r="D422" s="40">
        <v>1</v>
      </c>
      <c r="E422" s="50">
        <v>0</v>
      </c>
    </row>
    <row r="423" spans="1:5" ht="15.6">
      <c r="A423" s="56" t="s">
        <v>859</v>
      </c>
      <c r="B423" s="46" t="s">
        <v>871</v>
      </c>
      <c r="C423" s="39" t="s">
        <v>824</v>
      </c>
      <c r="D423" s="43">
        <v>2</v>
      </c>
      <c r="E423" s="51">
        <v>0</v>
      </c>
    </row>
    <row r="424" spans="1:5" ht="15.6">
      <c r="A424" s="56" t="s">
        <v>859</v>
      </c>
      <c r="B424" s="45" t="s">
        <v>871</v>
      </c>
      <c r="C424" s="39" t="s">
        <v>825</v>
      </c>
      <c r="D424" s="40">
        <v>3</v>
      </c>
      <c r="E424" s="50">
        <v>2</v>
      </c>
    </row>
    <row r="425" spans="1:5" ht="15.6">
      <c r="A425" s="56" t="s">
        <v>859</v>
      </c>
      <c r="B425" s="46" t="s">
        <v>871</v>
      </c>
      <c r="C425" s="39" t="s">
        <v>826</v>
      </c>
      <c r="D425" s="43">
        <v>4</v>
      </c>
      <c r="E425" s="51">
        <v>0</v>
      </c>
    </row>
    <row r="426" spans="1:5" ht="15.6">
      <c r="A426" s="56" t="s">
        <v>859</v>
      </c>
      <c r="B426" s="45" t="s">
        <v>871</v>
      </c>
      <c r="C426" s="39" t="s">
        <v>827</v>
      </c>
      <c r="D426" s="40">
        <v>5</v>
      </c>
      <c r="E426" s="50">
        <v>0</v>
      </c>
    </row>
    <row r="427" spans="1:5" ht="15.6">
      <c r="A427" s="56" t="s">
        <v>859</v>
      </c>
      <c r="B427" s="46" t="s">
        <v>871</v>
      </c>
      <c r="C427" s="39" t="s">
        <v>828</v>
      </c>
      <c r="D427" s="43">
        <v>6</v>
      </c>
      <c r="E427" s="51">
        <v>0</v>
      </c>
    </row>
    <row r="428" spans="1:5" ht="15.6">
      <c r="A428" s="56" t="s">
        <v>859</v>
      </c>
      <c r="B428" s="45" t="s">
        <v>871</v>
      </c>
      <c r="C428" s="39" t="s">
        <v>829</v>
      </c>
      <c r="D428" s="40">
        <v>7</v>
      </c>
      <c r="E428" s="50">
        <v>0</v>
      </c>
    </row>
    <row r="429" spans="1:5" ht="15.6">
      <c r="A429" s="56" t="s">
        <v>859</v>
      </c>
      <c r="B429" s="46" t="s">
        <v>871</v>
      </c>
      <c r="C429" s="39" t="s">
        <v>830</v>
      </c>
      <c r="D429" s="43">
        <v>8</v>
      </c>
      <c r="E429" s="51">
        <v>0</v>
      </c>
    </row>
    <row r="430" spans="1:5" ht="15.6">
      <c r="A430" s="56" t="s">
        <v>859</v>
      </c>
      <c r="B430" s="45" t="s">
        <v>871</v>
      </c>
      <c r="C430" s="39" t="s">
        <v>831</v>
      </c>
      <c r="D430" s="40">
        <v>9</v>
      </c>
      <c r="E430" s="50">
        <v>0</v>
      </c>
    </row>
    <row r="431" spans="1:5" ht="15.6">
      <c r="A431" s="56" t="s">
        <v>859</v>
      </c>
      <c r="B431" s="46" t="s">
        <v>871</v>
      </c>
      <c r="C431" s="39" t="s">
        <v>832</v>
      </c>
      <c r="D431" s="43">
        <v>10</v>
      </c>
      <c r="E431" s="51">
        <v>0</v>
      </c>
    </row>
    <row r="432" spans="1:5" ht="15.6">
      <c r="A432" s="56" t="s">
        <v>859</v>
      </c>
      <c r="B432" s="45" t="s">
        <v>871</v>
      </c>
      <c r="C432" s="39" t="s">
        <v>833</v>
      </c>
      <c r="D432" s="40">
        <v>11</v>
      </c>
      <c r="E432" s="50">
        <v>0</v>
      </c>
    </row>
    <row r="433" spans="1:5" ht="15.6">
      <c r="A433" s="56" t="s">
        <v>859</v>
      </c>
      <c r="B433" s="46" t="s">
        <v>871</v>
      </c>
      <c r="C433" s="39" t="s">
        <v>834</v>
      </c>
      <c r="D433" s="43">
        <v>12</v>
      </c>
      <c r="E433" s="51">
        <v>0</v>
      </c>
    </row>
    <row r="434" spans="1:5" ht="15.6">
      <c r="A434" s="57" t="s">
        <v>872</v>
      </c>
      <c r="B434" s="54" t="s">
        <v>873</v>
      </c>
      <c r="C434" s="39" t="s">
        <v>823</v>
      </c>
      <c r="D434" s="40">
        <v>1</v>
      </c>
      <c r="E434" s="50">
        <v>0</v>
      </c>
    </row>
    <row r="435" spans="1:5" ht="15.6">
      <c r="A435" s="57" t="s">
        <v>872</v>
      </c>
      <c r="B435" s="55" t="s">
        <v>873</v>
      </c>
      <c r="C435" s="39" t="s">
        <v>824</v>
      </c>
      <c r="D435" s="43">
        <v>2</v>
      </c>
      <c r="E435" s="51">
        <v>0</v>
      </c>
    </row>
    <row r="436" spans="1:5" ht="15.6">
      <c r="A436" s="57" t="s">
        <v>872</v>
      </c>
      <c r="B436" s="54" t="s">
        <v>873</v>
      </c>
      <c r="C436" s="39" t="s">
        <v>825</v>
      </c>
      <c r="D436" s="40">
        <v>3</v>
      </c>
      <c r="E436" s="50">
        <v>0</v>
      </c>
    </row>
    <row r="437" spans="1:5" ht="15.6">
      <c r="A437" s="57" t="s">
        <v>872</v>
      </c>
      <c r="B437" s="55" t="s">
        <v>873</v>
      </c>
      <c r="C437" s="39" t="s">
        <v>826</v>
      </c>
      <c r="D437" s="43">
        <v>4</v>
      </c>
      <c r="E437" s="51">
        <v>0</v>
      </c>
    </row>
    <row r="438" spans="1:5" ht="15.6">
      <c r="A438" s="57" t="s">
        <v>872</v>
      </c>
      <c r="B438" s="54" t="s">
        <v>873</v>
      </c>
      <c r="C438" s="39" t="s">
        <v>827</v>
      </c>
      <c r="D438" s="40">
        <v>5</v>
      </c>
      <c r="E438" s="50">
        <v>0</v>
      </c>
    </row>
    <row r="439" spans="1:5" ht="15.6">
      <c r="A439" s="57" t="s">
        <v>872</v>
      </c>
      <c r="B439" s="55" t="s">
        <v>873</v>
      </c>
      <c r="C439" s="39" t="s">
        <v>828</v>
      </c>
      <c r="D439" s="43">
        <v>6</v>
      </c>
      <c r="E439" s="51">
        <v>0</v>
      </c>
    </row>
    <row r="440" spans="1:5" ht="15.6">
      <c r="A440" s="57" t="s">
        <v>872</v>
      </c>
      <c r="B440" s="54" t="s">
        <v>873</v>
      </c>
      <c r="C440" s="39" t="s">
        <v>829</v>
      </c>
      <c r="D440" s="40">
        <v>7</v>
      </c>
      <c r="E440" s="50">
        <v>0</v>
      </c>
    </row>
    <row r="441" spans="1:5" ht="15.6">
      <c r="A441" s="57" t="s">
        <v>872</v>
      </c>
      <c r="B441" s="55" t="s">
        <v>873</v>
      </c>
      <c r="C441" s="39" t="s">
        <v>830</v>
      </c>
      <c r="D441" s="43">
        <v>8</v>
      </c>
      <c r="E441" s="51">
        <v>0</v>
      </c>
    </row>
    <row r="442" spans="1:5" ht="15.6">
      <c r="A442" s="57" t="s">
        <v>872</v>
      </c>
      <c r="B442" s="54" t="s">
        <v>873</v>
      </c>
      <c r="C442" s="39" t="s">
        <v>831</v>
      </c>
      <c r="D442" s="40">
        <v>9</v>
      </c>
      <c r="E442" s="50">
        <v>0</v>
      </c>
    </row>
    <row r="443" spans="1:5" ht="15.6">
      <c r="A443" s="57" t="s">
        <v>872</v>
      </c>
      <c r="B443" s="55" t="s">
        <v>873</v>
      </c>
      <c r="C443" s="39" t="s">
        <v>832</v>
      </c>
      <c r="D443" s="43">
        <v>10</v>
      </c>
      <c r="E443" s="51">
        <v>0</v>
      </c>
    </row>
    <row r="444" spans="1:5" ht="15.6">
      <c r="A444" s="57" t="s">
        <v>872</v>
      </c>
      <c r="B444" s="54" t="s">
        <v>873</v>
      </c>
      <c r="C444" s="39" t="s">
        <v>833</v>
      </c>
      <c r="D444" s="40">
        <v>11</v>
      </c>
      <c r="E444" s="50">
        <v>0</v>
      </c>
    </row>
    <row r="445" spans="1:5" ht="15.6">
      <c r="A445" s="57" t="s">
        <v>872</v>
      </c>
      <c r="B445" s="55" t="s">
        <v>873</v>
      </c>
      <c r="C445" s="39" t="s">
        <v>834</v>
      </c>
      <c r="D445" s="43">
        <v>12</v>
      </c>
      <c r="E445" s="51">
        <v>0</v>
      </c>
    </row>
    <row r="446" spans="1:5" ht="29.1">
      <c r="A446" s="57" t="s">
        <v>872</v>
      </c>
      <c r="B446" s="54" t="s">
        <v>874</v>
      </c>
      <c r="C446" s="39" t="s">
        <v>823</v>
      </c>
      <c r="D446" s="40">
        <v>1</v>
      </c>
      <c r="E446" s="50">
        <v>6</v>
      </c>
    </row>
    <row r="447" spans="1:5" ht="29.1">
      <c r="A447" s="57" t="s">
        <v>872</v>
      </c>
      <c r="B447" s="55" t="s">
        <v>874</v>
      </c>
      <c r="C447" s="39" t="s">
        <v>824</v>
      </c>
      <c r="D447" s="43">
        <v>2</v>
      </c>
      <c r="E447" s="51">
        <v>0</v>
      </c>
    </row>
    <row r="448" spans="1:5" ht="29.1">
      <c r="A448" s="57" t="s">
        <v>872</v>
      </c>
      <c r="B448" s="54" t="s">
        <v>874</v>
      </c>
      <c r="C448" s="39" t="s">
        <v>825</v>
      </c>
      <c r="D448" s="40">
        <v>3</v>
      </c>
      <c r="E448" s="50">
        <v>0</v>
      </c>
    </row>
    <row r="449" spans="1:5" ht="29.1">
      <c r="A449" s="57" t="s">
        <v>872</v>
      </c>
      <c r="B449" s="55" t="s">
        <v>874</v>
      </c>
      <c r="C449" s="39" t="s">
        <v>826</v>
      </c>
      <c r="D449" s="43">
        <v>4</v>
      </c>
      <c r="E449" s="51">
        <v>0</v>
      </c>
    </row>
    <row r="450" spans="1:5" ht="29.1">
      <c r="A450" s="57" t="s">
        <v>872</v>
      </c>
      <c r="B450" s="54" t="s">
        <v>874</v>
      </c>
      <c r="C450" s="39" t="s">
        <v>827</v>
      </c>
      <c r="D450" s="40">
        <v>5</v>
      </c>
      <c r="E450" s="50">
        <v>0</v>
      </c>
    </row>
    <row r="451" spans="1:5" ht="29.1">
      <c r="A451" s="57" t="s">
        <v>872</v>
      </c>
      <c r="B451" s="55" t="s">
        <v>874</v>
      </c>
      <c r="C451" s="39" t="s">
        <v>828</v>
      </c>
      <c r="D451" s="43">
        <v>6</v>
      </c>
      <c r="E451" s="51">
        <v>0</v>
      </c>
    </row>
    <row r="452" spans="1:5" ht="29.1">
      <c r="A452" s="57" t="s">
        <v>872</v>
      </c>
      <c r="B452" s="54" t="s">
        <v>874</v>
      </c>
      <c r="C452" s="39" t="s">
        <v>829</v>
      </c>
      <c r="D452" s="40">
        <v>7</v>
      </c>
      <c r="E452" s="50">
        <v>0</v>
      </c>
    </row>
    <row r="453" spans="1:5" ht="29.1">
      <c r="A453" s="57" t="s">
        <v>872</v>
      </c>
      <c r="B453" s="55" t="s">
        <v>874</v>
      </c>
      <c r="C453" s="39" t="s">
        <v>830</v>
      </c>
      <c r="D453" s="43">
        <v>8</v>
      </c>
      <c r="E453" s="51">
        <v>0</v>
      </c>
    </row>
    <row r="454" spans="1:5" ht="29.1">
      <c r="A454" s="57" t="s">
        <v>872</v>
      </c>
      <c r="B454" s="54" t="s">
        <v>874</v>
      </c>
      <c r="C454" s="39" t="s">
        <v>831</v>
      </c>
      <c r="D454" s="40">
        <v>9</v>
      </c>
      <c r="E454" s="50">
        <v>0</v>
      </c>
    </row>
    <row r="455" spans="1:5" ht="29.1">
      <c r="A455" s="57" t="s">
        <v>872</v>
      </c>
      <c r="B455" s="55" t="s">
        <v>874</v>
      </c>
      <c r="C455" s="39" t="s">
        <v>832</v>
      </c>
      <c r="D455" s="43">
        <v>10</v>
      </c>
      <c r="E455" s="51">
        <v>0</v>
      </c>
    </row>
    <row r="456" spans="1:5" ht="29.1">
      <c r="A456" s="57" t="s">
        <v>872</v>
      </c>
      <c r="B456" s="54" t="s">
        <v>874</v>
      </c>
      <c r="C456" s="39" t="s">
        <v>833</v>
      </c>
      <c r="D456" s="40">
        <v>11</v>
      </c>
      <c r="E456" s="50">
        <v>0</v>
      </c>
    </row>
    <row r="457" spans="1:5" ht="29.1">
      <c r="A457" s="57" t="s">
        <v>872</v>
      </c>
      <c r="B457" s="55" t="s">
        <v>874</v>
      </c>
      <c r="C457" s="39" t="s">
        <v>834</v>
      </c>
      <c r="D457" s="43">
        <v>12</v>
      </c>
      <c r="E457" s="51">
        <v>0</v>
      </c>
    </row>
    <row r="458" spans="1:5" ht="29.1">
      <c r="A458" s="57" t="s">
        <v>872</v>
      </c>
      <c r="B458" s="54" t="s">
        <v>875</v>
      </c>
      <c r="C458" s="39" t="s">
        <v>823</v>
      </c>
      <c r="D458" s="40">
        <v>1</v>
      </c>
      <c r="E458" s="50">
        <v>1</v>
      </c>
    </row>
    <row r="459" spans="1:5" ht="29.1">
      <c r="A459" s="57" t="s">
        <v>872</v>
      </c>
      <c r="B459" s="55" t="s">
        <v>875</v>
      </c>
      <c r="C459" s="39" t="s">
        <v>824</v>
      </c>
      <c r="D459" s="43">
        <v>2</v>
      </c>
      <c r="E459" s="51">
        <v>0</v>
      </c>
    </row>
    <row r="460" spans="1:5" ht="29.1">
      <c r="A460" s="57" t="s">
        <v>872</v>
      </c>
      <c r="B460" s="54" t="s">
        <v>875</v>
      </c>
      <c r="C460" s="39" t="s">
        <v>825</v>
      </c>
      <c r="D460" s="40">
        <v>3</v>
      </c>
      <c r="E460" s="50">
        <v>0</v>
      </c>
    </row>
    <row r="461" spans="1:5" ht="29.1">
      <c r="A461" s="57" t="s">
        <v>872</v>
      </c>
      <c r="B461" s="55" t="s">
        <v>875</v>
      </c>
      <c r="C461" s="39" t="s">
        <v>826</v>
      </c>
      <c r="D461" s="43">
        <v>4</v>
      </c>
      <c r="E461" s="51">
        <v>0</v>
      </c>
    </row>
    <row r="462" spans="1:5" ht="29.1">
      <c r="A462" s="57" t="s">
        <v>872</v>
      </c>
      <c r="B462" s="54" t="s">
        <v>875</v>
      </c>
      <c r="C462" s="39" t="s">
        <v>827</v>
      </c>
      <c r="D462" s="40">
        <v>5</v>
      </c>
      <c r="E462" s="50">
        <v>0</v>
      </c>
    </row>
    <row r="463" spans="1:5" ht="29.1">
      <c r="A463" s="57" t="s">
        <v>872</v>
      </c>
      <c r="B463" s="55" t="s">
        <v>875</v>
      </c>
      <c r="C463" s="39" t="s">
        <v>828</v>
      </c>
      <c r="D463" s="43">
        <v>6</v>
      </c>
      <c r="E463" s="51">
        <v>0</v>
      </c>
    </row>
    <row r="464" spans="1:5" ht="29.1">
      <c r="A464" s="57" t="s">
        <v>872</v>
      </c>
      <c r="B464" s="54" t="s">
        <v>875</v>
      </c>
      <c r="C464" s="39" t="s">
        <v>829</v>
      </c>
      <c r="D464" s="40">
        <v>7</v>
      </c>
      <c r="E464" s="50">
        <v>0</v>
      </c>
    </row>
    <row r="465" spans="1:5" ht="29.1">
      <c r="A465" s="57" t="s">
        <v>872</v>
      </c>
      <c r="B465" s="55" t="s">
        <v>875</v>
      </c>
      <c r="C465" s="39" t="s">
        <v>830</v>
      </c>
      <c r="D465" s="43">
        <v>8</v>
      </c>
      <c r="E465" s="51">
        <v>0</v>
      </c>
    </row>
    <row r="466" spans="1:5" ht="29.1">
      <c r="A466" s="57" t="s">
        <v>872</v>
      </c>
      <c r="B466" s="54" t="s">
        <v>875</v>
      </c>
      <c r="C466" s="39" t="s">
        <v>831</v>
      </c>
      <c r="D466" s="40">
        <v>9</v>
      </c>
      <c r="E466" s="50">
        <v>0</v>
      </c>
    </row>
    <row r="467" spans="1:5" ht="29.1">
      <c r="A467" s="57" t="s">
        <v>872</v>
      </c>
      <c r="B467" s="55" t="s">
        <v>875</v>
      </c>
      <c r="C467" s="39" t="s">
        <v>832</v>
      </c>
      <c r="D467" s="43">
        <v>10</v>
      </c>
      <c r="E467" s="51">
        <v>0</v>
      </c>
    </row>
    <row r="468" spans="1:5" ht="29.1">
      <c r="A468" s="57" t="s">
        <v>872</v>
      </c>
      <c r="B468" s="54" t="s">
        <v>875</v>
      </c>
      <c r="C468" s="39" t="s">
        <v>833</v>
      </c>
      <c r="D468" s="40">
        <v>11</v>
      </c>
      <c r="E468" s="50">
        <v>0</v>
      </c>
    </row>
    <row r="469" spans="1:5" ht="29.1">
      <c r="A469" s="57" t="s">
        <v>872</v>
      </c>
      <c r="B469" s="55" t="s">
        <v>875</v>
      </c>
      <c r="C469" s="39" t="s">
        <v>834</v>
      </c>
      <c r="D469" s="43">
        <v>12</v>
      </c>
      <c r="E469" s="51">
        <v>0</v>
      </c>
    </row>
    <row r="470" spans="1:5" ht="15.6">
      <c r="A470" s="57" t="s">
        <v>872</v>
      </c>
      <c r="B470" s="54" t="s">
        <v>876</v>
      </c>
      <c r="C470" s="39" t="s">
        <v>823</v>
      </c>
      <c r="D470" s="40">
        <v>1</v>
      </c>
      <c r="E470" s="50">
        <v>0</v>
      </c>
    </row>
    <row r="471" spans="1:5" ht="15.6">
      <c r="A471" s="57" t="s">
        <v>872</v>
      </c>
      <c r="B471" s="55" t="s">
        <v>876</v>
      </c>
      <c r="C471" s="39" t="s">
        <v>824</v>
      </c>
      <c r="D471" s="43">
        <v>2</v>
      </c>
      <c r="E471" s="51">
        <v>0</v>
      </c>
    </row>
    <row r="472" spans="1:5" ht="15.6">
      <c r="A472" s="57" t="s">
        <v>872</v>
      </c>
      <c r="B472" s="54" t="s">
        <v>876</v>
      </c>
      <c r="C472" s="39" t="s">
        <v>825</v>
      </c>
      <c r="D472" s="40">
        <v>3</v>
      </c>
      <c r="E472" s="50">
        <v>2</v>
      </c>
    </row>
    <row r="473" spans="1:5" ht="15.6">
      <c r="A473" s="57" t="s">
        <v>872</v>
      </c>
      <c r="B473" s="55" t="s">
        <v>876</v>
      </c>
      <c r="C473" s="39" t="s">
        <v>826</v>
      </c>
      <c r="D473" s="43">
        <v>4</v>
      </c>
      <c r="E473" s="51">
        <v>0</v>
      </c>
    </row>
    <row r="474" spans="1:5" ht="15.6">
      <c r="A474" s="57" t="s">
        <v>872</v>
      </c>
      <c r="B474" s="54" t="s">
        <v>876</v>
      </c>
      <c r="C474" s="39" t="s">
        <v>827</v>
      </c>
      <c r="D474" s="40">
        <v>5</v>
      </c>
      <c r="E474" s="50">
        <v>0</v>
      </c>
    </row>
    <row r="475" spans="1:5" ht="15.6">
      <c r="A475" s="57" t="s">
        <v>872</v>
      </c>
      <c r="B475" s="55" t="s">
        <v>876</v>
      </c>
      <c r="C475" s="39" t="s">
        <v>828</v>
      </c>
      <c r="D475" s="43">
        <v>6</v>
      </c>
      <c r="E475" s="51">
        <v>0</v>
      </c>
    </row>
    <row r="476" spans="1:5" ht="15.6">
      <c r="A476" s="57" t="s">
        <v>872</v>
      </c>
      <c r="B476" s="54" t="s">
        <v>876</v>
      </c>
      <c r="C476" s="39" t="s">
        <v>829</v>
      </c>
      <c r="D476" s="40">
        <v>7</v>
      </c>
      <c r="E476" s="50">
        <v>0</v>
      </c>
    </row>
    <row r="477" spans="1:5" ht="15.6">
      <c r="A477" s="57" t="s">
        <v>872</v>
      </c>
      <c r="B477" s="55" t="s">
        <v>876</v>
      </c>
      <c r="C477" s="39" t="s">
        <v>830</v>
      </c>
      <c r="D477" s="43">
        <v>8</v>
      </c>
      <c r="E477" s="51">
        <v>0</v>
      </c>
    </row>
    <row r="478" spans="1:5" ht="15.6">
      <c r="A478" s="57" t="s">
        <v>872</v>
      </c>
      <c r="B478" s="54" t="s">
        <v>876</v>
      </c>
      <c r="C478" s="39" t="s">
        <v>831</v>
      </c>
      <c r="D478" s="40">
        <v>9</v>
      </c>
      <c r="E478" s="50">
        <v>0</v>
      </c>
    </row>
    <row r="479" spans="1:5" ht="15.6">
      <c r="A479" s="57" t="s">
        <v>872</v>
      </c>
      <c r="B479" s="55" t="s">
        <v>876</v>
      </c>
      <c r="C479" s="39" t="s">
        <v>832</v>
      </c>
      <c r="D479" s="43">
        <v>10</v>
      </c>
      <c r="E479" s="51">
        <v>0</v>
      </c>
    </row>
    <row r="480" spans="1:5" ht="15.6">
      <c r="A480" s="57" t="s">
        <v>872</v>
      </c>
      <c r="B480" s="54" t="s">
        <v>876</v>
      </c>
      <c r="C480" s="39" t="s">
        <v>833</v>
      </c>
      <c r="D480" s="40">
        <v>11</v>
      </c>
      <c r="E480" s="50">
        <v>0</v>
      </c>
    </row>
    <row r="481" spans="1:5" ht="15.6">
      <c r="A481" s="57" t="s">
        <v>872</v>
      </c>
      <c r="B481" s="55" t="s">
        <v>876</v>
      </c>
      <c r="C481" s="39" t="s">
        <v>834</v>
      </c>
      <c r="D481" s="43">
        <v>12</v>
      </c>
      <c r="E481" s="51">
        <v>0</v>
      </c>
    </row>
    <row r="482" spans="1:5" ht="29.1">
      <c r="A482" s="57" t="s">
        <v>872</v>
      </c>
      <c r="B482" s="54" t="s">
        <v>877</v>
      </c>
      <c r="C482" s="39" t="s">
        <v>823</v>
      </c>
      <c r="D482" s="40">
        <v>1</v>
      </c>
      <c r="E482" s="50">
        <v>0</v>
      </c>
    </row>
    <row r="483" spans="1:5" ht="29.1">
      <c r="A483" s="57" t="s">
        <v>872</v>
      </c>
      <c r="B483" s="55" t="s">
        <v>877</v>
      </c>
      <c r="C483" s="39" t="s">
        <v>824</v>
      </c>
      <c r="D483" s="43">
        <v>2</v>
      </c>
      <c r="E483" s="51">
        <v>0</v>
      </c>
    </row>
    <row r="484" spans="1:5" ht="29.1">
      <c r="A484" s="57" t="s">
        <v>872</v>
      </c>
      <c r="B484" s="54" t="s">
        <v>877</v>
      </c>
      <c r="C484" s="39" t="s">
        <v>825</v>
      </c>
      <c r="D484" s="40">
        <v>3</v>
      </c>
      <c r="E484" s="50">
        <v>0</v>
      </c>
    </row>
    <row r="485" spans="1:5" ht="29.1">
      <c r="A485" s="57" t="s">
        <v>872</v>
      </c>
      <c r="B485" s="55" t="s">
        <v>877</v>
      </c>
      <c r="C485" s="39" t="s">
        <v>826</v>
      </c>
      <c r="D485" s="43">
        <v>4</v>
      </c>
      <c r="E485" s="51">
        <v>0</v>
      </c>
    </row>
    <row r="486" spans="1:5" ht="29.1">
      <c r="A486" s="57" t="s">
        <v>872</v>
      </c>
      <c r="B486" s="54" t="s">
        <v>877</v>
      </c>
      <c r="C486" s="39" t="s">
        <v>827</v>
      </c>
      <c r="D486" s="40">
        <v>5</v>
      </c>
      <c r="E486" s="50">
        <v>0</v>
      </c>
    </row>
    <row r="487" spans="1:5" ht="29.1">
      <c r="A487" s="57" t="s">
        <v>872</v>
      </c>
      <c r="B487" s="55" t="s">
        <v>877</v>
      </c>
      <c r="C487" s="39" t="s">
        <v>828</v>
      </c>
      <c r="D487" s="43">
        <v>6</v>
      </c>
      <c r="E487" s="51">
        <v>0</v>
      </c>
    </row>
    <row r="488" spans="1:5" ht="29.1">
      <c r="A488" s="57" t="s">
        <v>872</v>
      </c>
      <c r="B488" s="54" t="s">
        <v>877</v>
      </c>
      <c r="C488" s="39" t="s">
        <v>829</v>
      </c>
      <c r="D488" s="40">
        <v>7</v>
      </c>
      <c r="E488" s="50">
        <v>0</v>
      </c>
    </row>
    <row r="489" spans="1:5" ht="29.1">
      <c r="A489" s="57" t="s">
        <v>872</v>
      </c>
      <c r="B489" s="55" t="s">
        <v>877</v>
      </c>
      <c r="C489" s="39" t="s">
        <v>830</v>
      </c>
      <c r="D489" s="43">
        <v>8</v>
      </c>
      <c r="E489" s="51">
        <v>0</v>
      </c>
    </row>
    <row r="490" spans="1:5" ht="29.1">
      <c r="A490" s="57" t="s">
        <v>872</v>
      </c>
      <c r="B490" s="54" t="s">
        <v>877</v>
      </c>
      <c r="C490" s="39" t="s">
        <v>831</v>
      </c>
      <c r="D490" s="40">
        <v>9</v>
      </c>
      <c r="E490" s="50">
        <v>0</v>
      </c>
    </row>
    <row r="491" spans="1:5" ht="29.1">
      <c r="A491" s="57" t="s">
        <v>872</v>
      </c>
      <c r="B491" s="55" t="s">
        <v>877</v>
      </c>
      <c r="C491" s="39" t="s">
        <v>832</v>
      </c>
      <c r="D491" s="43">
        <v>10</v>
      </c>
      <c r="E491" s="51">
        <v>0</v>
      </c>
    </row>
    <row r="492" spans="1:5" ht="29.1">
      <c r="A492" s="57" t="s">
        <v>872</v>
      </c>
      <c r="B492" s="54" t="s">
        <v>877</v>
      </c>
      <c r="C492" s="39" t="s">
        <v>833</v>
      </c>
      <c r="D492" s="40">
        <v>11</v>
      </c>
      <c r="E492" s="50">
        <v>0</v>
      </c>
    </row>
    <row r="493" spans="1:5" ht="29.1">
      <c r="A493" s="57" t="s">
        <v>872</v>
      </c>
      <c r="B493" s="55" t="s">
        <v>877</v>
      </c>
      <c r="C493" s="39" t="s">
        <v>834</v>
      </c>
      <c r="D493" s="43">
        <v>12</v>
      </c>
      <c r="E493" s="51">
        <v>0</v>
      </c>
    </row>
    <row r="494" spans="1:5" ht="15.6">
      <c r="A494" s="57" t="s">
        <v>872</v>
      </c>
      <c r="B494" s="54" t="s">
        <v>878</v>
      </c>
      <c r="C494" s="39" t="s">
        <v>823</v>
      </c>
      <c r="D494" s="40">
        <v>1</v>
      </c>
      <c r="E494" s="50">
        <v>2</v>
      </c>
    </row>
    <row r="495" spans="1:5" ht="15.6">
      <c r="A495" s="57" t="s">
        <v>872</v>
      </c>
      <c r="B495" s="55" t="s">
        <v>878</v>
      </c>
      <c r="C495" s="39" t="s">
        <v>824</v>
      </c>
      <c r="D495" s="43">
        <v>2</v>
      </c>
      <c r="E495" s="51">
        <v>2</v>
      </c>
    </row>
    <row r="496" spans="1:5" ht="15.6">
      <c r="A496" s="57" t="s">
        <v>872</v>
      </c>
      <c r="B496" s="54" t="s">
        <v>878</v>
      </c>
      <c r="C496" s="39" t="s">
        <v>825</v>
      </c>
      <c r="D496" s="40">
        <v>3</v>
      </c>
      <c r="E496" s="50">
        <v>0</v>
      </c>
    </row>
    <row r="497" spans="1:5" ht="15.6">
      <c r="A497" s="57" t="s">
        <v>872</v>
      </c>
      <c r="B497" s="55" t="s">
        <v>878</v>
      </c>
      <c r="C497" s="39" t="s">
        <v>826</v>
      </c>
      <c r="D497" s="43">
        <v>4</v>
      </c>
      <c r="E497" s="51">
        <v>1</v>
      </c>
    </row>
    <row r="498" spans="1:5" ht="15.6">
      <c r="A498" s="57" t="s">
        <v>872</v>
      </c>
      <c r="B498" s="54" t="s">
        <v>878</v>
      </c>
      <c r="C498" s="39" t="s">
        <v>827</v>
      </c>
      <c r="D498" s="40">
        <v>5</v>
      </c>
      <c r="E498" s="50">
        <v>0</v>
      </c>
    </row>
    <row r="499" spans="1:5" ht="15.6">
      <c r="A499" s="57" t="s">
        <v>872</v>
      </c>
      <c r="B499" s="55" t="s">
        <v>878</v>
      </c>
      <c r="C499" s="39" t="s">
        <v>828</v>
      </c>
      <c r="D499" s="43">
        <v>6</v>
      </c>
      <c r="E499" s="51">
        <v>0</v>
      </c>
    </row>
    <row r="500" spans="1:5" ht="15.6">
      <c r="A500" s="57" t="s">
        <v>872</v>
      </c>
      <c r="B500" s="54" t="s">
        <v>878</v>
      </c>
      <c r="C500" s="39" t="s">
        <v>829</v>
      </c>
      <c r="D500" s="40">
        <v>7</v>
      </c>
      <c r="E500" s="50">
        <v>0</v>
      </c>
    </row>
    <row r="501" spans="1:5" ht="15.6">
      <c r="A501" s="57" t="s">
        <v>872</v>
      </c>
      <c r="B501" s="55" t="s">
        <v>878</v>
      </c>
      <c r="C501" s="39" t="s">
        <v>830</v>
      </c>
      <c r="D501" s="43">
        <v>8</v>
      </c>
      <c r="E501" s="51">
        <v>0</v>
      </c>
    </row>
    <row r="502" spans="1:5" ht="15.6">
      <c r="A502" s="57" t="s">
        <v>872</v>
      </c>
      <c r="B502" s="54" t="s">
        <v>878</v>
      </c>
      <c r="C502" s="39" t="s">
        <v>831</v>
      </c>
      <c r="D502" s="40">
        <v>9</v>
      </c>
      <c r="E502" s="50">
        <v>0</v>
      </c>
    </row>
    <row r="503" spans="1:5" ht="15.6">
      <c r="A503" s="57" t="s">
        <v>872</v>
      </c>
      <c r="B503" s="55" t="s">
        <v>878</v>
      </c>
      <c r="C503" s="39" t="s">
        <v>832</v>
      </c>
      <c r="D503" s="43">
        <v>10</v>
      </c>
      <c r="E503" s="51">
        <v>0</v>
      </c>
    </row>
    <row r="504" spans="1:5" ht="15.6">
      <c r="A504" s="57" t="s">
        <v>872</v>
      </c>
      <c r="B504" s="54" t="s">
        <v>878</v>
      </c>
      <c r="C504" s="39" t="s">
        <v>833</v>
      </c>
      <c r="D504" s="40">
        <v>11</v>
      </c>
      <c r="E504" s="50">
        <v>0</v>
      </c>
    </row>
    <row r="505" spans="1:5" ht="15.6">
      <c r="A505" s="57" t="s">
        <v>872</v>
      </c>
      <c r="B505" s="55" t="s">
        <v>878</v>
      </c>
      <c r="C505" s="39" t="s">
        <v>834</v>
      </c>
      <c r="D505" s="43">
        <v>12</v>
      </c>
      <c r="E505" s="51">
        <v>0</v>
      </c>
    </row>
    <row r="506" spans="1:5" ht="15.6">
      <c r="A506" s="57" t="s">
        <v>872</v>
      </c>
      <c r="B506" s="54" t="s">
        <v>879</v>
      </c>
      <c r="C506" s="39" t="s">
        <v>823</v>
      </c>
      <c r="D506" s="40">
        <v>1</v>
      </c>
      <c r="E506" s="50">
        <v>0</v>
      </c>
    </row>
    <row r="507" spans="1:5" ht="15.6">
      <c r="A507" s="57" t="s">
        <v>872</v>
      </c>
      <c r="B507" s="55" t="s">
        <v>879</v>
      </c>
      <c r="C507" s="39" t="s">
        <v>824</v>
      </c>
      <c r="D507" s="43">
        <v>2</v>
      </c>
      <c r="E507" s="51">
        <v>0</v>
      </c>
    </row>
    <row r="508" spans="1:5" ht="15.6">
      <c r="A508" s="57" t="s">
        <v>872</v>
      </c>
      <c r="B508" s="54" t="s">
        <v>879</v>
      </c>
      <c r="C508" s="39" t="s">
        <v>825</v>
      </c>
      <c r="D508" s="40">
        <v>3</v>
      </c>
      <c r="E508" s="50">
        <v>0</v>
      </c>
    </row>
    <row r="509" spans="1:5" ht="15.6">
      <c r="A509" s="57" t="s">
        <v>872</v>
      </c>
      <c r="B509" s="55" t="s">
        <v>879</v>
      </c>
      <c r="C509" s="39" t="s">
        <v>826</v>
      </c>
      <c r="D509" s="43">
        <v>4</v>
      </c>
      <c r="E509" s="51">
        <v>0</v>
      </c>
    </row>
    <row r="510" spans="1:5" ht="15.6">
      <c r="A510" s="57" t="s">
        <v>872</v>
      </c>
      <c r="B510" s="54" t="s">
        <v>879</v>
      </c>
      <c r="C510" s="39" t="s">
        <v>827</v>
      </c>
      <c r="D510" s="40">
        <v>5</v>
      </c>
      <c r="E510" s="50">
        <v>0</v>
      </c>
    </row>
    <row r="511" spans="1:5" ht="15.6">
      <c r="A511" s="57" t="s">
        <v>872</v>
      </c>
      <c r="B511" s="55" t="s">
        <v>879</v>
      </c>
      <c r="C511" s="39" t="s">
        <v>828</v>
      </c>
      <c r="D511" s="43">
        <v>6</v>
      </c>
      <c r="E511" s="51">
        <v>0</v>
      </c>
    </row>
    <row r="512" spans="1:5" ht="15.6">
      <c r="A512" s="57" t="s">
        <v>872</v>
      </c>
      <c r="B512" s="54" t="s">
        <v>879</v>
      </c>
      <c r="C512" s="39" t="s">
        <v>829</v>
      </c>
      <c r="D512" s="40">
        <v>7</v>
      </c>
      <c r="E512" s="50">
        <v>0</v>
      </c>
    </row>
    <row r="513" spans="1:5" ht="15.6">
      <c r="A513" s="57" t="s">
        <v>872</v>
      </c>
      <c r="B513" s="55" t="s">
        <v>879</v>
      </c>
      <c r="C513" s="39" t="s">
        <v>830</v>
      </c>
      <c r="D513" s="43">
        <v>8</v>
      </c>
      <c r="E513" s="51">
        <v>0</v>
      </c>
    </row>
    <row r="514" spans="1:5" ht="15.6">
      <c r="A514" s="57" t="s">
        <v>872</v>
      </c>
      <c r="B514" s="54" t="s">
        <v>879</v>
      </c>
      <c r="C514" s="39" t="s">
        <v>831</v>
      </c>
      <c r="D514" s="40">
        <v>9</v>
      </c>
      <c r="E514" s="50">
        <v>0</v>
      </c>
    </row>
    <row r="515" spans="1:5" ht="15.6">
      <c r="A515" s="57" t="s">
        <v>872</v>
      </c>
      <c r="B515" s="55" t="s">
        <v>879</v>
      </c>
      <c r="C515" s="39" t="s">
        <v>832</v>
      </c>
      <c r="D515" s="43">
        <v>10</v>
      </c>
      <c r="E515" s="51">
        <v>0</v>
      </c>
    </row>
    <row r="516" spans="1:5" ht="15.6">
      <c r="A516" s="57" t="s">
        <v>872</v>
      </c>
      <c r="B516" s="54" t="s">
        <v>879</v>
      </c>
      <c r="C516" s="39" t="s">
        <v>833</v>
      </c>
      <c r="D516" s="40">
        <v>11</v>
      </c>
      <c r="E516" s="50">
        <v>0</v>
      </c>
    </row>
    <row r="517" spans="1:5" ht="15.6">
      <c r="A517" s="57" t="s">
        <v>872</v>
      </c>
      <c r="B517" s="55" t="s">
        <v>879</v>
      </c>
      <c r="C517" s="39" t="s">
        <v>834</v>
      </c>
      <c r="D517" s="43">
        <v>12</v>
      </c>
      <c r="E517" s="51">
        <v>0</v>
      </c>
    </row>
    <row r="518" spans="1:5" ht="30.95">
      <c r="A518" s="57" t="s">
        <v>872</v>
      </c>
      <c r="B518" s="45" t="s">
        <v>880</v>
      </c>
      <c r="C518" s="39" t="s">
        <v>823</v>
      </c>
      <c r="D518" s="40">
        <v>1</v>
      </c>
      <c r="E518" s="50">
        <v>0</v>
      </c>
    </row>
    <row r="519" spans="1:5" ht="30.95">
      <c r="A519" s="57" t="s">
        <v>872</v>
      </c>
      <c r="B519" s="46" t="s">
        <v>880</v>
      </c>
      <c r="C519" s="39" t="s">
        <v>824</v>
      </c>
      <c r="D519" s="43">
        <v>2</v>
      </c>
      <c r="E519" s="51">
        <v>0</v>
      </c>
    </row>
    <row r="520" spans="1:5" ht="30.95">
      <c r="A520" s="57" t="s">
        <v>872</v>
      </c>
      <c r="B520" s="45" t="s">
        <v>880</v>
      </c>
      <c r="C520" s="39" t="s">
        <v>825</v>
      </c>
      <c r="D520" s="40">
        <v>3</v>
      </c>
      <c r="E520" s="50">
        <v>0</v>
      </c>
    </row>
    <row r="521" spans="1:5" ht="30.95">
      <c r="A521" s="57" t="s">
        <v>872</v>
      </c>
      <c r="B521" s="46" t="s">
        <v>880</v>
      </c>
      <c r="C521" s="39" t="s">
        <v>826</v>
      </c>
      <c r="D521" s="43">
        <v>4</v>
      </c>
      <c r="E521" s="51">
        <v>0</v>
      </c>
    </row>
    <row r="522" spans="1:5" ht="30.95">
      <c r="A522" s="57" t="s">
        <v>872</v>
      </c>
      <c r="B522" s="45" t="s">
        <v>880</v>
      </c>
      <c r="C522" s="39" t="s">
        <v>827</v>
      </c>
      <c r="D522" s="40">
        <v>5</v>
      </c>
      <c r="E522" s="50">
        <v>0</v>
      </c>
    </row>
    <row r="523" spans="1:5" ht="30.95">
      <c r="A523" s="57" t="s">
        <v>872</v>
      </c>
      <c r="B523" s="46" t="s">
        <v>880</v>
      </c>
      <c r="C523" s="39" t="s">
        <v>828</v>
      </c>
      <c r="D523" s="43">
        <v>6</v>
      </c>
      <c r="E523" s="51">
        <v>0</v>
      </c>
    </row>
    <row r="524" spans="1:5" ht="30.95">
      <c r="A524" s="57" t="s">
        <v>872</v>
      </c>
      <c r="B524" s="45" t="s">
        <v>880</v>
      </c>
      <c r="C524" s="39" t="s">
        <v>829</v>
      </c>
      <c r="D524" s="40">
        <v>7</v>
      </c>
      <c r="E524" s="50">
        <v>0</v>
      </c>
    </row>
    <row r="525" spans="1:5" ht="30.95">
      <c r="A525" s="57" t="s">
        <v>872</v>
      </c>
      <c r="B525" s="46" t="s">
        <v>880</v>
      </c>
      <c r="C525" s="39" t="s">
        <v>830</v>
      </c>
      <c r="D525" s="43">
        <v>8</v>
      </c>
      <c r="E525" s="51">
        <v>0</v>
      </c>
    </row>
    <row r="526" spans="1:5" ht="30.95">
      <c r="A526" s="57" t="s">
        <v>872</v>
      </c>
      <c r="B526" s="45" t="s">
        <v>880</v>
      </c>
      <c r="C526" s="39" t="s">
        <v>831</v>
      </c>
      <c r="D526" s="40">
        <v>9</v>
      </c>
      <c r="E526" s="50">
        <v>0</v>
      </c>
    </row>
    <row r="527" spans="1:5" ht="30.95">
      <c r="A527" s="57" t="s">
        <v>872</v>
      </c>
      <c r="B527" s="46" t="s">
        <v>880</v>
      </c>
      <c r="C527" s="39" t="s">
        <v>832</v>
      </c>
      <c r="D527" s="43">
        <v>10</v>
      </c>
      <c r="E527" s="51">
        <v>0</v>
      </c>
    </row>
    <row r="528" spans="1:5" ht="30.95">
      <c r="A528" s="57" t="s">
        <v>872</v>
      </c>
      <c r="B528" s="45" t="s">
        <v>880</v>
      </c>
      <c r="C528" s="39" t="s">
        <v>833</v>
      </c>
      <c r="D528" s="40">
        <v>11</v>
      </c>
      <c r="E528" s="50">
        <v>0</v>
      </c>
    </row>
    <row r="529" spans="1:5" ht="30.95">
      <c r="A529" s="57" t="s">
        <v>872</v>
      </c>
      <c r="B529" s="46" t="s">
        <v>880</v>
      </c>
      <c r="C529" s="39" t="s">
        <v>834</v>
      </c>
      <c r="D529" s="43">
        <v>12</v>
      </c>
      <c r="E529" s="51">
        <v>0</v>
      </c>
    </row>
    <row r="530" spans="1:5" ht="15.6">
      <c r="A530" s="57" t="s">
        <v>872</v>
      </c>
      <c r="B530" s="54" t="s">
        <v>881</v>
      </c>
      <c r="C530" s="39" t="s">
        <v>823</v>
      </c>
      <c r="D530" s="40">
        <v>1</v>
      </c>
      <c r="E530" s="50">
        <v>4</v>
      </c>
    </row>
    <row r="531" spans="1:5" ht="15.6">
      <c r="A531" s="57" t="s">
        <v>872</v>
      </c>
      <c r="B531" s="55" t="s">
        <v>881</v>
      </c>
      <c r="C531" s="39" t="s">
        <v>824</v>
      </c>
      <c r="D531" s="43">
        <v>2</v>
      </c>
      <c r="E531" s="51">
        <v>0</v>
      </c>
    </row>
    <row r="532" spans="1:5" ht="15.6">
      <c r="A532" s="57" t="s">
        <v>872</v>
      </c>
      <c r="B532" s="54" t="s">
        <v>881</v>
      </c>
      <c r="C532" s="39" t="s">
        <v>825</v>
      </c>
      <c r="D532" s="40">
        <v>3</v>
      </c>
      <c r="E532" s="50">
        <v>3</v>
      </c>
    </row>
    <row r="533" spans="1:5" ht="15.6">
      <c r="A533" s="57" t="s">
        <v>872</v>
      </c>
      <c r="B533" s="55" t="s">
        <v>881</v>
      </c>
      <c r="C533" s="39" t="s">
        <v>826</v>
      </c>
      <c r="D533" s="43">
        <v>4</v>
      </c>
      <c r="E533" s="51">
        <v>0</v>
      </c>
    </row>
    <row r="534" spans="1:5" ht="15.6">
      <c r="A534" s="57" t="s">
        <v>872</v>
      </c>
      <c r="B534" s="54" t="s">
        <v>881</v>
      </c>
      <c r="C534" s="39" t="s">
        <v>827</v>
      </c>
      <c r="D534" s="40">
        <v>5</v>
      </c>
      <c r="E534" s="50">
        <v>0</v>
      </c>
    </row>
    <row r="535" spans="1:5" ht="15.6">
      <c r="A535" s="57" t="s">
        <v>872</v>
      </c>
      <c r="B535" s="55" t="s">
        <v>881</v>
      </c>
      <c r="C535" s="39" t="s">
        <v>828</v>
      </c>
      <c r="D535" s="43">
        <v>6</v>
      </c>
      <c r="E535" s="51">
        <v>0</v>
      </c>
    </row>
    <row r="536" spans="1:5" ht="15.6">
      <c r="A536" s="57" t="s">
        <v>872</v>
      </c>
      <c r="B536" s="54" t="s">
        <v>881</v>
      </c>
      <c r="C536" s="39" t="s">
        <v>829</v>
      </c>
      <c r="D536" s="40">
        <v>7</v>
      </c>
      <c r="E536" s="50">
        <v>0</v>
      </c>
    </row>
    <row r="537" spans="1:5" ht="15.6">
      <c r="A537" s="57" t="s">
        <v>872</v>
      </c>
      <c r="B537" s="55" t="s">
        <v>881</v>
      </c>
      <c r="C537" s="39" t="s">
        <v>830</v>
      </c>
      <c r="D537" s="43">
        <v>8</v>
      </c>
      <c r="E537" s="51">
        <v>0</v>
      </c>
    </row>
    <row r="538" spans="1:5" ht="15.6">
      <c r="A538" s="57" t="s">
        <v>872</v>
      </c>
      <c r="B538" s="54" t="s">
        <v>881</v>
      </c>
      <c r="C538" s="39" t="s">
        <v>831</v>
      </c>
      <c r="D538" s="40">
        <v>9</v>
      </c>
      <c r="E538" s="50">
        <v>0</v>
      </c>
    </row>
    <row r="539" spans="1:5" ht="15.6">
      <c r="A539" s="57" t="s">
        <v>872</v>
      </c>
      <c r="B539" s="55" t="s">
        <v>881</v>
      </c>
      <c r="C539" s="39" t="s">
        <v>832</v>
      </c>
      <c r="D539" s="43">
        <v>10</v>
      </c>
      <c r="E539" s="51">
        <v>0</v>
      </c>
    </row>
    <row r="540" spans="1:5" ht="15.6">
      <c r="A540" s="57" t="s">
        <v>872</v>
      </c>
      <c r="B540" s="54" t="s">
        <v>881</v>
      </c>
      <c r="C540" s="39" t="s">
        <v>833</v>
      </c>
      <c r="D540" s="40">
        <v>11</v>
      </c>
      <c r="E540" s="50">
        <v>0</v>
      </c>
    </row>
    <row r="541" spans="1:5" ht="15.6">
      <c r="A541" s="57" t="s">
        <v>872</v>
      </c>
      <c r="B541" s="55" t="s">
        <v>881</v>
      </c>
      <c r="C541" s="39" t="s">
        <v>834</v>
      </c>
      <c r="D541" s="43">
        <v>12</v>
      </c>
      <c r="E541" s="51">
        <v>0</v>
      </c>
    </row>
    <row r="542" spans="1:5" ht="29.1">
      <c r="A542" s="57" t="s">
        <v>872</v>
      </c>
      <c r="B542" s="54" t="s">
        <v>882</v>
      </c>
      <c r="C542" s="39" t="s">
        <v>823</v>
      </c>
      <c r="D542" s="40">
        <v>1</v>
      </c>
      <c r="E542" s="50">
        <v>5</v>
      </c>
    </row>
    <row r="543" spans="1:5" ht="29.1">
      <c r="A543" s="57" t="s">
        <v>872</v>
      </c>
      <c r="B543" s="55" t="s">
        <v>882</v>
      </c>
      <c r="C543" s="39" t="s">
        <v>824</v>
      </c>
      <c r="D543" s="43">
        <v>2</v>
      </c>
      <c r="E543" s="51">
        <v>2</v>
      </c>
    </row>
    <row r="544" spans="1:5" ht="29.1">
      <c r="A544" s="57" t="s">
        <v>872</v>
      </c>
      <c r="B544" s="54" t="s">
        <v>882</v>
      </c>
      <c r="C544" s="39" t="s">
        <v>825</v>
      </c>
      <c r="D544" s="40">
        <v>3</v>
      </c>
      <c r="E544" s="50">
        <v>5</v>
      </c>
    </row>
    <row r="545" spans="1:5" ht="29.1">
      <c r="A545" s="57" t="s">
        <v>872</v>
      </c>
      <c r="B545" s="55" t="s">
        <v>882</v>
      </c>
      <c r="C545" s="39" t="s">
        <v>826</v>
      </c>
      <c r="D545" s="43">
        <v>4</v>
      </c>
      <c r="E545" s="51">
        <v>2</v>
      </c>
    </row>
    <row r="546" spans="1:5" ht="29.1">
      <c r="A546" s="57" t="s">
        <v>872</v>
      </c>
      <c r="B546" s="54" t="s">
        <v>882</v>
      </c>
      <c r="C546" s="39" t="s">
        <v>827</v>
      </c>
      <c r="D546" s="40">
        <v>5</v>
      </c>
      <c r="E546" s="50">
        <v>0</v>
      </c>
    </row>
    <row r="547" spans="1:5" ht="29.1">
      <c r="A547" s="57" t="s">
        <v>872</v>
      </c>
      <c r="B547" s="55" t="s">
        <v>882</v>
      </c>
      <c r="C547" s="39" t="s">
        <v>828</v>
      </c>
      <c r="D547" s="43">
        <v>6</v>
      </c>
      <c r="E547" s="51">
        <v>2</v>
      </c>
    </row>
    <row r="548" spans="1:5" ht="29.1">
      <c r="A548" s="57" t="s">
        <v>872</v>
      </c>
      <c r="B548" s="54" t="s">
        <v>882</v>
      </c>
      <c r="C548" s="39" t="s">
        <v>829</v>
      </c>
      <c r="D548" s="40">
        <v>7</v>
      </c>
      <c r="E548" s="50">
        <v>0</v>
      </c>
    </row>
    <row r="549" spans="1:5" ht="29.1">
      <c r="A549" s="57" t="s">
        <v>872</v>
      </c>
      <c r="B549" s="55" t="s">
        <v>882</v>
      </c>
      <c r="C549" s="39" t="s">
        <v>830</v>
      </c>
      <c r="D549" s="43">
        <v>8</v>
      </c>
      <c r="E549" s="51">
        <v>0</v>
      </c>
    </row>
    <row r="550" spans="1:5" ht="29.1">
      <c r="A550" s="57" t="s">
        <v>872</v>
      </c>
      <c r="B550" s="54" t="s">
        <v>882</v>
      </c>
      <c r="C550" s="39" t="s">
        <v>831</v>
      </c>
      <c r="D550" s="40">
        <v>9</v>
      </c>
      <c r="E550" s="50">
        <v>0</v>
      </c>
    </row>
    <row r="551" spans="1:5" ht="29.1">
      <c r="A551" s="57" t="s">
        <v>872</v>
      </c>
      <c r="B551" s="55" t="s">
        <v>882</v>
      </c>
      <c r="C551" s="39" t="s">
        <v>832</v>
      </c>
      <c r="D551" s="43">
        <v>10</v>
      </c>
      <c r="E551" s="51">
        <v>0</v>
      </c>
    </row>
    <row r="552" spans="1:5" ht="29.1">
      <c r="A552" s="57" t="s">
        <v>872</v>
      </c>
      <c r="B552" s="54" t="s">
        <v>882</v>
      </c>
      <c r="C552" s="39" t="s">
        <v>833</v>
      </c>
      <c r="D552" s="40">
        <v>11</v>
      </c>
      <c r="E552" s="50">
        <v>0</v>
      </c>
    </row>
    <row r="553" spans="1:5" ht="29.1">
      <c r="A553" s="57" t="s">
        <v>872</v>
      </c>
      <c r="B553" s="55" t="s">
        <v>882</v>
      </c>
      <c r="C553" s="39" t="s">
        <v>834</v>
      </c>
      <c r="D553" s="43">
        <v>12</v>
      </c>
      <c r="E553" s="51">
        <v>0</v>
      </c>
    </row>
    <row r="554" spans="1:5" ht="15.6">
      <c r="A554" s="57" t="s">
        <v>872</v>
      </c>
      <c r="B554" s="54" t="s">
        <v>883</v>
      </c>
      <c r="C554" s="39" t="s">
        <v>823</v>
      </c>
      <c r="D554" s="40">
        <v>1</v>
      </c>
      <c r="E554" s="50">
        <v>0</v>
      </c>
    </row>
    <row r="555" spans="1:5" ht="15.6">
      <c r="A555" s="57" t="s">
        <v>872</v>
      </c>
      <c r="B555" s="55" t="s">
        <v>883</v>
      </c>
      <c r="C555" s="39" t="s">
        <v>824</v>
      </c>
      <c r="D555" s="43">
        <v>2</v>
      </c>
      <c r="E555" s="51">
        <v>4</v>
      </c>
    </row>
    <row r="556" spans="1:5" ht="15.6">
      <c r="A556" s="57" t="s">
        <v>872</v>
      </c>
      <c r="B556" s="54" t="s">
        <v>883</v>
      </c>
      <c r="C556" s="39" t="s">
        <v>825</v>
      </c>
      <c r="D556" s="40">
        <v>3</v>
      </c>
      <c r="E556" s="50">
        <v>0</v>
      </c>
    </row>
    <row r="557" spans="1:5" ht="15.6">
      <c r="A557" s="57" t="s">
        <v>872</v>
      </c>
      <c r="B557" s="55" t="s">
        <v>883</v>
      </c>
      <c r="C557" s="39" t="s">
        <v>826</v>
      </c>
      <c r="D557" s="43">
        <v>4</v>
      </c>
      <c r="E557" s="51">
        <v>3</v>
      </c>
    </row>
    <row r="558" spans="1:5" ht="15.6">
      <c r="A558" s="57" t="s">
        <v>872</v>
      </c>
      <c r="B558" s="54" t="s">
        <v>883</v>
      </c>
      <c r="C558" s="39" t="s">
        <v>827</v>
      </c>
      <c r="D558" s="40">
        <v>5</v>
      </c>
      <c r="E558" s="50">
        <v>6</v>
      </c>
    </row>
    <row r="559" spans="1:5" ht="15.6">
      <c r="A559" s="57" t="s">
        <v>872</v>
      </c>
      <c r="B559" s="55" t="s">
        <v>883</v>
      </c>
      <c r="C559" s="39" t="s">
        <v>828</v>
      </c>
      <c r="D559" s="43">
        <v>6</v>
      </c>
      <c r="E559" s="51">
        <v>7</v>
      </c>
    </row>
    <row r="560" spans="1:5" ht="15.6">
      <c r="A560" s="57" t="s">
        <v>872</v>
      </c>
      <c r="B560" s="54" t="s">
        <v>883</v>
      </c>
      <c r="C560" s="39" t="s">
        <v>829</v>
      </c>
      <c r="D560" s="40">
        <v>7</v>
      </c>
      <c r="E560" s="50">
        <v>0</v>
      </c>
    </row>
    <row r="561" spans="1:5" ht="15.6">
      <c r="A561" s="57" t="s">
        <v>872</v>
      </c>
      <c r="B561" s="55" t="s">
        <v>883</v>
      </c>
      <c r="C561" s="39" t="s">
        <v>830</v>
      </c>
      <c r="D561" s="43">
        <v>8</v>
      </c>
      <c r="E561" s="51">
        <v>0</v>
      </c>
    </row>
    <row r="562" spans="1:5" ht="15.6">
      <c r="A562" s="57" t="s">
        <v>872</v>
      </c>
      <c r="B562" s="54" t="s">
        <v>883</v>
      </c>
      <c r="C562" s="39" t="s">
        <v>831</v>
      </c>
      <c r="D562" s="40">
        <v>9</v>
      </c>
      <c r="E562" s="50">
        <v>0</v>
      </c>
    </row>
    <row r="563" spans="1:5" ht="15.6">
      <c r="A563" s="57" t="s">
        <v>872</v>
      </c>
      <c r="B563" s="55" t="s">
        <v>883</v>
      </c>
      <c r="C563" s="39" t="s">
        <v>832</v>
      </c>
      <c r="D563" s="43">
        <v>10</v>
      </c>
      <c r="E563" s="51">
        <v>0</v>
      </c>
    </row>
    <row r="564" spans="1:5" ht="15.6">
      <c r="A564" s="57" t="s">
        <v>872</v>
      </c>
      <c r="B564" s="54" t="s">
        <v>883</v>
      </c>
      <c r="C564" s="39" t="s">
        <v>833</v>
      </c>
      <c r="D564" s="40">
        <v>11</v>
      </c>
      <c r="E564" s="50">
        <v>0</v>
      </c>
    </row>
    <row r="565" spans="1:5" ht="15.6">
      <c r="A565" s="57" t="s">
        <v>872</v>
      </c>
      <c r="B565" s="55" t="s">
        <v>883</v>
      </c>
      <c r="C565" s="39" t="s">
        <v>834</v>
      </c>
      <c r="D565" s="43">
        <v>12</v>
      </c>
      <c r="E565" s="51">
        <v>0</v>
      </c>
    </row>
    <row r="566" spans="1:5" ht="14.45">
      <c r="A566" s="58" t="s">
        <v>884</v>
      </c>
      <c r="B566" s="54" t="s">
        <v>885</v>
      </c>
      <c r="C566" s="39" t="s">
        <v>823</v>
      </c>
      <c r="D566" s="40">
        <v>1</v>
      </c>
      <c r="E566" s="50">
        <v>0</v>
      </c>
    </row>
    <row r="567" spans="1:5" ht="14.45">
      <c r="A567" s="58" t="s">
        <v>884</v>
      </c>
      <c r="B567" s="55" t="s">
        <v>885</v>
      </c>
      <c r="C567" s="39" t="s">
        <v>824</v>
      </c>
      <c r="D567" s="43">
        <v>2</v>
      </c>
      <c r="E567" s="51">
        <v>0</v>
      </c>
    </row>
    <row r="568" spans="1:5" ht="14.45">
      <c r="A568" s="58" t="s">
        <v>884</v>
      </c>
      <c r="B568" s="54" t="s">
        <v>885</v>
      </c>
      <c r="C568" s="39" t="s">
        <v>825</v>
      </c>
      <c r="D568" s="40">
        <v>3</v>
      </c>
      <c r="E568" s="50">
        <v>0</v>
      </c>
    </row>
    <row r="569" spans="1:5" ht="14.45">
      <c r="A569" s="58" t="s">
        <v>884</v>
      </c>
      <c r="B569" s="55" t="s">
        <v>885</v>
      </c>
      <c r="C569" s="39" t="s">
        <v>826</v>
      </c>
      <c r="D569" s="43">
        <v>4</v>
      </c>
      <c r="E569" s="51">
        <v>0</v>
      </c>
    </row>
    <row r="570" spans="1:5" ht="14.45">
      <c r="A570" s="58" t="s">
        <v>884</v>
      </c>
      <c r="B570" s="54" t="s">
        <v>885</v>
      </c>
      <c r="C570" s="39" t="s">
        <v>827</v>
      </c>
      <c r="D570" s="40">
        <v>5</v>
      </c>
      <c r="E570" s="50">
        <v>0</v>
      </c>
    </row>
    <row r="571" spans="1:5" ht="14.45">
      <c r="A571" s="58" t="s">
        <v>884</v>
      </c>
      <c r="B571" s="55" t="s">
        <v>885</v>
      </c>
      <c r="C571" s="39" t="s">
        <v>828</v>
      </c>
      <c r="D571" s="43">
        <v>6</v>
      </c>
      <c r="E571" s="51">
        <v>1</v>
      </c>
    </row>
    <row r="572" spans="1:5" ht="14.45">
      <c r="A572" s="58" t="s">
        <v>884</v>
      </c>
      <c r="B572" s="54" t="s">
        <v>885</v>
      </c>
      <c r="C572" s="39" t="s">
        <v>829</v>
      </c>
      <c r="D572" s="40">
        <v>7</v>
      </c>
      <c r="E572" s="50">
        <v>0</v>
      </c>
    </row>
    <row r="573" spans="1:5" ht="14.45">
      <c r="A573" s="58" t="s">
        <v>884</v>
      </c>
      <c r="B573" s="55" t="s">
        <v>885</v>
      </c>
      <c r="C573" s="39" t="s">
        <v>830</v>
      </c>
      <c r="D573" s="43">
        <v>8</v>
      </c>
      <c r="E573" s="51">
        <v>0</v>
      </c>
    </row>
    <row r="574" spans="1:5" ht="14.45">
      <c r="A574" s="58" t="s">
        <v>884</v>
      </c>
      <c r="B574" s="54" t="s">
        <v>885</v>
      </c>
      <c r="C574" s="39" t="s">
        <v>831</v>
      </c>
      <c r="D574" s="40">
        <v>9</v>
      </c>
      <c r="E574" s="50">
        <v>0</v>
      </c>
    </row>
    <row r="575" spans="1:5" ht="14.45">
      <c r="A575" s="58" t="s">
        <v>884</v>
      </c>
      <c r="B575" s="55" t="s">
        <v>885</v>
      </c>
      <c r="C575" s="39" t="s">
        <v>832</v>
      </c>
      <c r="D575" s="43">
        <v>10</v>
      </c>
      <c r="E575" s="51">
        <v>0</v>
      </c>
    </row>
    <row r="576" spans="1:5" ht="14.45">
      <c r="A576" s="58" t="s">
        <v>884</v>
      </c>
      <c r="B576" s="54" t="s">
        <v>885</v>
      </c>
      <c r="C576" s="39" t="s">
        <v>833</v>
      </c>
      <c r="D576" s="40">
        <v>11</v>
      </c>
      <c r="E576" s="50">
        <v>0</v>
      </c>
    </row>
    <row r="577" spans="1:5" ht="14.45">
      <c r="A577" s="58" t="s">
        <v>884</v>
      </c>
      <c r="B577" s="55" t="s">
        <v>885</v>
      </c>
      <c r="C577" s="39" t="s">
        <v>834</v>
      </c>
      <c r="D577" s="43">
        <v>12</v>
      </c>
      <c r="E577" s="51">
        <v>0</v>
      </c>
    </row>
    <row r="578" spans="1:5" ht="14.45">
      <c r="A578" s="58" t="s">
        <v>884</v>
      </c>
      <c r="B578" s="54" t="s">
        <v>886</v>
      </c>
      <c r="C578" s="39" t="s">
        <v>823</v>
      </c>
      <c r="D578" s="40">
        <v>1</v>
      </c>
      <c r="E578" s="50">
        <v>3</v>
      </c>
    </row>
    <row r="579" spans="1:5" ht="14.45">
      <c r="A579" s="58" t="s">
        <v>884</v>
      </c>
      <c r="B579" s="55" t="s">
        <v>886</v>
      </c>
      <c r="C579" s="39" t="s">
        <v>824</v>
      </c>
      <c r="D579" s="43">
        <v>2</v>
      </c>
      <c r="E579" s="51">
        <v>0</v>
      </c>
    </row>
    <row r="580" spans="1:5" ht="14.45">
      <c r="A580" s="58" t="s">
        <v>884</v>
      </c>
      <c r="B580" s="54" t="s">
        <v>886</v>
      </c>
      <c r="C580" s="39" t="s">
        <v>825</v>
      </c>
      <c r="D580" s="40">
        <v>3</v>
      </c>
      <c r="E580" s="50">
        <v>0</v>
      </c>
    </row>
    <row r="581" spans="1:5" ht="14.45">
      <c r="A581" s="58" t="s">
        <v>884</v>
      </c>
      <c r="B581" s="55" t="s">
        <v>886</v>
      </c>
      <c r="C581" s="39" t="s">
        <v>826</v>
      </c>
      <c r="D581" s="43">
        <v>4</v>
      </c>
      <c r="E581" s="51">
        <v>0</v>
      </c>
    </row>
    <row r="582" spans="1:5" ht="14.45">
      <c r="A582" s="58" t="s">
        <v>884</v>
      </c>
      <c r="B582" s="54" t="s">
        <v>886</v>
      </c>
      <c r="C582" s="39" t="s">
        <v>827</v>
      </c>
      <c r="D582" s="40">
        <v>5</v>
      </c>
      <c r="E582" s="50">
        <v>0</v>
      </c>
    </row>
    <row r="583" spans="1:5" ht="14.45">
      <c r="A583" s="58" t="s">
        <v>884</v>
      </c>
      <c r="B583" s="55" t="s">
        <v>886</v>
      </c>
      <c r="C583" s="39" t="s">
        <v>828</v>
      </c>
      <c r="D583" s="43">
        <v>6</v>
      </c>
      <c r="E583" s="51">
        <v>0</v>
      </c>
    </row>
    <row r="584" spans="1:5" ht="14.45">
      <c r="A584" s="58" t="s">
        <v>884</v>
      </c>
      <c r="B584" s="54" t="s">
        <v>886</v>
      </c>
      <c r="C584" s="39" t="s">
        <v>829</v>
      </c>
      <c r="D584" s="40">
        <v>7</v>
      </c>
      <c r="E584" s="50">
        <v>0</v>
      </c>
    </row>
    <row r="585" spans="1:5" ht="14.45">
      <c r="A585" s="58" t="s">
        <v>884</v>
      </c>
      <c r="B585" s="55" t="s">
        <v>886</v>
      </c>
      <c r="C585" s="39" t="s">
        <v>830</v>
      </c>
      <c r="D585" s="43">
        <v>8</v>
      </c>
      <c r="E585" s="51">
        <v>0</v>
      </c>
    </row>
    <row r="586" spans="1:5" ht="14.45">
      <c r="A586" s="58" t="s">
        <v>884</v>
      </c>
      <c r="B586" s="54" t="s">
        <v>886</v>
      </c>
      <c r="C586" s="39" t="s">
        <v>831</v>
      </c>
      <c r="D586" s="40">
        <v>9</v>
      </c>
      <c r="E586" s="50">
        <v>0</v>
      </c>
    </row>
    <row r="587" spans="1:5" ht="14.45">
      <c r="A587" s="58" t="s">
        <v>884</v>
      </c>
      <c r="B587" s="55" t="s">
        <v>886</v>
      </c>
      <c r="C587" s="39" t="s">
        <v>832</v>
      </c>
      <c r="D587" s="43">
        <v>10</v>
      </c>
      <c r="E587" s="51">
        <v>0</v>
      </c>
    </row>
    <row r="588" spans="1:5" ht="14.45">
      <c r="A588" s="58" t="s">
        <v>884</v>
      </c>
      <c r="B588" s="54" t="s">
        <v>886</v>
      </c>
      <c r="C588" s="39" t="s">
        <v>833</v>
      </c>
      <c r="D588" s="40">
        <v>11</v>
      </c>
      <c r="E588" s="50">
        <v>0</v>
      </c>
    </row>
    <row r="589" spans="1:5" ht="14.45">
      <c r="A589" s="58" t="s">
        <v>884</v>
      </c>
      <c r="B589" s="55" t="s">
        <v>886</v>
      </c>
      <c r="C589" s="39" t="s">
        <v>834</v>
      </c>
      <c r="D589" s="43">
        <v>12</v>
      </c>
      <c r="E589" s="51">
        <v>0</v>
      </c>
    </row>
    <row r="590" spans="1:5" ht="29.1">
      <c r="A590" s="58" t="s">
        <v>884</v>
      </c>
      <c r="B590" s="54" t="s">
        <v>887</v>
      </c>
      <c r="C590" s="39" t="s">
        <v>823</v>
      </c>
      <c r="D590" s="40">
        <v>1</v>
      </c>
      <c r="E590" s="50">
        <v>0</v>
      </c>
    </row>
    <row r="591" spans="1:5" ht="29.1">
      <c r="A591" s="58" t="s">
        <v>884</v>
      </c>
      <c r="B591" s="55" t="s">
        <v>887</v>
      </c>
      <c r="C591" s="39" t="s">
        <v>824</v>
      </c>
      <c r="D591" s="43">
        <v>2</v>
      </c>
      <c r="E591" s="51">
        <v>0</v>
      </c>
    </row>
    <row r="592" spans="1:5" ht="29.1">
      <c r="A592" s="58" t="s">
        <v>884</v>
      </c>
      <c r="B592" s="54" t="s">
        <v>887</v>
      </c>
      <c r="C592" s="39" t="s">
        <v>825</v>
      </c>
      <c r="D592" s="40">
        <v>3</v>
      </c>
      <c r="E592" s="50">
        <v>0</v>
      </c>
    </row>
    <row r="593" spans="1:5" ht="29.1">
      <c r="A593" s="58" t="s">
        <v>884</v>
      </c>
      <c r="B593" s="55" t="s">
        <v>887</v>
      </c>
      <c r="C593" s="39" t="s">
        <v>826</v>
      </c>
      <c r="D593" s="43">
        <v>4</v>
      </c>
      <c r="E593" s="51">
        <v>0</v>
      </c>
    </row>
    <row r="594" spans="1:5" ht="29.1">
      <c r="A594" s="58" t="s">
        <v>884</v>
      </c>
      <c r="B594" s="54" t="s">
        <v>887</v>
      </c>
      <c r="C594" s="39" t="s">
        <v>827</v>
      </c>
      <c r="D594" s="40">
        <v>5</v>
      </c>
      <c r="E594" s="50">
        <v>0</v>
      </c>
    </row>
    <row r="595" spans="1:5" ht="29.1">
      <c r="A595" s="58" t="s">
        <v>884</v>
      </c>
      <c r="B595" s="55" t="s">
        <v>887</v>
      </c>
      <c r="C595" s="39" t="s">
        <v>828</v>
      </c>
      <c r="D595" s="43">
        <v>6</v>
      </c>
      <c r="E595" s="51">
        <v>0</v>
      </c>
    </row>
    <row r="596" spans="1:5" ht="29.1">
      <c r="A596" s="58" t="s">
        <v>884</v>
      </c>
      <c r="B596" s="54" t="s">
        <v>887</v>
      </c>
      <c r="C596" s="39" t="s">
        <v>829</v>
      </c>
      <c r="D596" s="40">
        <v>7</v>
      </c>
      <c r="E596" s="50">
        <v>0</v>
      </c>
    </row>
    <row r="597" spans="1:5" ht="29.1">
      <c r="A597" s="58" t="s">
        <v>884</v>
      </c>
      <c r="B597" s="55" t="s">
        <v>887</v>
      </c>
      <c r="C597" s="39" t="s">
        <v>830</v>
      </c>
      <c r="D597" s="43">
        <v>8</v>
      </c>
      <c r="E597" s="51">
        <v>0</v>
      </c>
    </row>
    <row r="598" spans="1:5" ht="29.1">
      <c r="A598" s="58" t="s">
        <v>884</v>
      </c>
      <c r="B598" s="54" t="s">
        <v>887</v>
      </c>
      <c r="C598" s="39" t="s">
        <v>831</v>
      </c>
      <c r="D598" s="40">
        <v>9</v>
      </c>
      <c r="E598" s="50">
        <v>0</v>
      </c>
    </row>
    <row r="599" spans="1:5" ht="29.1">
      <c r="A599" s="58" t="s">
        <v>884</v>
      </c>
      <c r="B599" s="55" t="s">
        <v>887</v>
      </c>
      <c r="C599" s="39" t="s">
        <v>832</v>
      </c>
      <c r="D599" s="43">
        <v>10</v>
      </c>
      <c r="E599" s="51">
        <v>0</v>
      </c>
    </row>
    <row r="600" spans="1:5" ht="29.1">
      <c r="A600" s="58" t="s">
        <v>884</v>
      </c>
      <c r="B600" s="54" t="s">
        <v>887</v>
      </c>
      <c r="C600" s="39" t="s">
        <v>833</v>
      </c>
      <c r="D600" s="40">
        <v>11</v>
      </c>
      <c r="E600" s="50">
        <v>0</v>
      </c>
    </row>
    <row r="601" spans="1:5" ht="29.1">
      <c r="A601" s="58" t="s">
        <v>884</v>
      </c>
      <c r="B601" s="55" t="s">
        <v>887</v>
      </c>
      <c r="C601" s="39" t="s">
        <v>834</v>
      </c>
      <c r="D601" s="43">
        <v>12</v>
      </c>
      <c r="E601" s="51">
        <v>0</v>
      </c>
    </row>
    <row r="602" spans="1:5" ht="29.1">
      <c r="A602" s="58" t="s">
        <v>884</v>
      </c>
      <c r="B602" s="54" t="s">
        <v>888</v>
      </c>
      <c r="C602" s="39" t="s">
        <v>823</v>
      </c>
      <c r="D602" s="40">
        <v>1</v>
      </c>
      <c r="E602" s="50">
        <v>2</v>
      </c>
    </row>
    <row r="603" spans="1:5" ht="29.1">
      <c r="A603" s="58" t="s">
        <v>884</v>
      </c>
      <c r="B603" s="55" t="s">
        <v>888</v>
      </c>
      <c r="C603" s="39" t="s">
        <v>824</v>
      </c>
      <c r="D603" s="43">
        <v>2</v>
      </c>
      <c r="E603" s="51">
        <v>1</v>
      </c>
    </row>
    <row r="604" spans="1:5" ht="29.1">
      <c r="A604" s="58" t="s">
        <v>884</v>
      </c>
      <c r="B604" s="54" t="s">
        <v>888</v>
      </c>
      <c r="C604" s="39" t="s">
        <v>825</v>
      </c>
      <c r="D604" s="40">
        <v>3</v>
      </c>
      <c r="E604" s="50">
        <v>12</v>
      </c>
    </row>
    <row r="605" spans="1:5" ht="29.1">
      <c r="A605" s="58" t="s">
        <v>884</v>
      </c>
      <c r="B605" s="55" t="s">
        <v>888</v>
      </c>
      <c r="C605" s="39" t="s">
        <v>826</v>
      </c>
      <c r="D605" s="43">
        <v>4</v>
      </c>
      <c r="E605" s="51">
        <v>1</v>
      </c>
    </row>
    <row r="606" spans="1:5" ht="29.1">
      <c r="A606" s="58" t="s">
        <v>884</v>
      </c>
      <c r="B606" s="54" t="s">
        <v>888</v>
      </c>
      <c r="C606" s="39" t="s">
        <v>827</v>
      </c>
      <c r="D606" s="40">
        <v>5</v>
      </c>
      <c r="E606" s="50">
        <v>3</v>
      </c>
    </row>
    <row r="607" spans="1:5" ht="29.1">
      <c r="A607" s="58" t="s">
        <v>884</v>
      </c>
      <c r="B607" s="55" t="s">
        <v>888</v>
      </c>
      <c r="C607" s="39" t="s">
        <v>828</v>
      </c>
      <c r="D607" s="43">
        <v>6</v>
      </c>
      <c r="E607" s="51">
        <v>3</v>
      </c>
    </row>
    <row r="608" spans="1:5" ht="29.1">
      <c r="A608" s="58" t="s">
        <v>884</v>
      </c>
      <c r="B608" s="54" t="s">
        <v>888</v>
      </c>
      <c r="C608" s="39" t="s">
        <v>829</v>
      </c>
      <c r="D608" s="40">
        <v>7</v>
      </c>
      <c r="E608" s="50">
        <v>0</v>
      </c>
    </row>
    <row r="609" spans="1:5" ht="29.1">
      <c r="A609" s="58" t="s">
        <v>884</v>
      </c>
      <c r="B609" s="55" t="s">
        <v>888</v>
      </c>
      <c r="C609" s="39" t="s">
        <v>830</v>
      </c>
      <c r="D609" s="43">
        <v>8</v>
      </c>
      <c r="E609" s="51">
        <v>0</v>
      </c>
    </row>
    <row r="610" spans="1:5" ht="29.1">
      <c r="A610" s="58" t="s">
        <v>884</v>
      </c>
      <c r="B610" s="54" t="s">
        <v>888</v>
      </c>
      <c r="C610" s="39" t="s">
        <v>831</v>
      </c>
      <c r="D610" s="40">
        <v>9</v>
      </c>
      <c r="E610" s="50">
        <v>0</v>
      </c>
    </row>
    <row r="611" spans="1:5" ht="29.1">
      <c r="A611" s="58" t="s">
        <v>884</v>
      </c>
      <c r="B611" s="55" t="s">
        <v>888</v>
      </c>
      <c r="C611" s="39" t="s">
        <v>832</v>
      </c>
      <c r="D611" s="43">
        <v>10</v>
      </c>
      <c r="E611" s="51">
        <v>0</v>
      </c>
    </row>
    <row r="612" spans="1:5" ht="29.1">
      <c r="A612" s="58" t="s">
        <v>884</v>
      </c>
      <c r="B612" s="54" t="s">
        <v>888</v>
      </c>
      <c r="C612" s="39" t="s">
        <v>833</v>
      </c>
      <c r="D612" s="40">
        <v>11</v>
      </c>
      <c r="E612" s="50">
        <v>0</v>
      </c>
    </row>
    <row r="613" spans="1:5" ht="29.1">
      <c r="A613" s="58" t="s">
        <v>884</v>
      </c>
      <c r="B613" s="55" t="s">
        <v>888</v>
      </c>
      <c r="C613" s="39" t="s">
        <v>834</v>
      </c>
      <c r="D613" s="43">
        <v>12</v>
      </c>
      <c r="E613" s="51">
        <v>0</v>
      </c>
    </row>
    <row r="614" spans="1:5" ht="14.45">
      <c r="A614" s="58" t="s">
        <v>884</v>
      </c>
      <c r="B614" s="54" t="s">
        <v>889</v>
      </c>
      <c r="C614" s="39" t="s">
        <v>823</v>
      </c>
      <c r="D614" s="40">
        <v>1</v>
      </c>
      <c r="E614" s="50">
        <v>1</v>
      </c>
    </row>
    <row r="615" spans="1:5" ht="14.45">
      <c r="A615" s="58" t="s">
        <v>884</v>
      </c>
      <c r="B615" s="55" t="s">
        <v>889</v>
      </c>
      <c r="C615" s="39" t="s">
        <v>824</v>
      </c>
      <c r="D615" s="43">
        <v>2</v>
      </c>
      <c r="E615" s="51">
        <v>0</v>
      </c>
    </row>
    <row r="616" spans="1:5" ht="14.45">
      <c r="A616" s="58" t="s">
        <v>884</v>
      </c>
      <c r="B616" s="54" t="s">
        <v>889</v>
      </c>
      <c r="C616" s="39" t="s">
        <v>825</v>
      </c>
      <c r="D616" s="40">
        <v>3</v>
      </c>
      <c r="E616" s="50">
        <v>0</v>
      </c>
    </row>
    <row r="617" spans="1:5" ht="14.45">
      <c r="A617" s="58" t="s">
        <v>884</v>
      </c>
      <c r="B617" s="55" t="s">
        <v>889</v>
      </c>
      <c r="C617" s="39" t="s">
        <v>826</v>
      </c>
      <c r="D617" s="43">
        <v>4</v>
      </c>
      <c r="E617" s="51">
        <v>0</v>
      </c>
    </row>
    <row r="618" spans="1:5" ht="14.45">
      <c r="A618" s="58" t="s">
        <v>884</v>
      </c>
      <c r="B618" s="54" t="s">
        <v>889</v>
      </c>
      <c r="C618" s="39" t="s">
        <v>827</v>
      </c>
      <c r="D618" s="40">
        <v>5</v>
      </c>
      <c r="E618" s="50">
        <v>0</v>
      </c>
    </row>
    <row r="619" spans="1:5" ht="14.45">
      <c r="A619" s="58" t="s">
        <v>884</v>
      </c>
      <c r="B619" s="55" t="s">
        <v>889</v>
      </c>
      <c r="C619" s="39" t="s">
        <v>828</v>
      </c>
      <c r="D619" s="43">
        <v>6</v>
      </c>
      <c r="E619" s="51">
        <v>0</v>
      </c>
    </row>
    <row r="620" spans="1:5" ht="14.45">
      <c r="A620" s="58" t="s">
        <v>884</v>
      </c>
      <c r="B620" s="54" t="s">
        <v>889</v>
      </c>
      <c r="C620" s="39" t="s">
        <v>829</v>
      </c>
      <c r="D620" s="40">
        <v>7</v>
      </c>
      <c r="E620" s="50">
        <v>0</v>
      </c>
    </row>
    <row r="621" spans="1:5" ht="14.45">
      <c r="A621" s="58" t="s">
        <v>884</v>
      </c>
      <c r="B621" s="55" t="s">
        <v>889</v>
      </c>
      <c r="C621" s="39" t="s">
        <v>830</v>
      </c>
      <c r="D621" s="43">
        <v>8</v>
      </c>
      <c r="E621" s="51">
        <v>0</v>
      </c>
    </row>
    <row r="622" spans="1:5" ht="14.45">
      <c r="A622" s="58" t="s">
        <v>884</v>
      </c>
      <c r="B622" s="54" t="s">
        <v>889</v>
      </c>
      <c r="C622" s="39" t="s">
        <v>831</v>
      </c>
      <c r="D622" s="40">
        <v>9</v>
      </c>
      <c r="E622" s="50">
        <v>0</v>
      </c>
    </row>
    <row r="623" spans="1:5" ht="14.45">
      <c r="A623" s="58" t="s">
        <v>884</v>
      </c>
      <c r="B623" s="55" t="s">
        <v>889</v>
      </c>
      <c r="C623" s="39" t="s">
        <v>832</v>
      </c>
      <c r="D623" s="43">
        <v>10</v>
      </c>
      <c r="E623" s="51">
        <v>0</v>
      </c>
    </row>
    <row r="624" spans="1:5" ht="14.45">
      <c r="A624" s="58" t="s">
        <v>884</v>
      </c>
      <c r="B624" s="54" t="s">
        <v>889</v>
      </c>
      <c r="C624" s="39" t="s">
        <v>833</v>
      </c>
      <c r="D624" s="40">
        <v>11</v>
      </c>
      <c r="E624" s="50">
        <v>0</v>
      </c>
    </row>
    <row r="625" spans="1:5" ht="14.45">
      <c r="A625" s="58" t="s">
        <v>884</v>
      </c>
      <c r="B625" s="55" t="s">
        <v>889</v>
      </c>
      <c r="C625" s="39" t="s">
        <v>834</v>
      </c>
      <c r="D625" s="43">
        <v>12</v>
      </c>
      <c r="E625" s="51">
        <v>0</v>
      </c>
    </row>
    <row r="626" spans="1:5" ht="29.1">
      <c r="A626" s="58" t="s">
        <v>884</v>
      </c>
      <c r="B626" s="54" t="s">
        <v>890</v>
      </c>
      <c r="C626" s="39" t="s">
        <v>823</v>
      </c>
      <c r="D626" s="40">
        <v>1</v>
      </c>
      <c r="E626" s="50">
        <v>1</v>
      </c>
    </row>
    <row r="627" spans="1:5" ht="29.1">
      <c r="A627" s="58" t="s">
        <v>884</v>
      </c>
      <c r="B627" s="55" t="s">
        <v>890</v>
      </c>
      <c r="C627" s="39" t="s">
        <v>824</v>
      </c>
      <c r="D627" s="43">
        <v>2</v>
      </c>
      <c r="E627" s="51">
        <v>0</v>
      </c>
    </row>
    <row r="628" spans="1:5" ht="29.1">
      <c r="A628" s="58" t="s">
        <v>884</v>
      </c>
      <c r="B628" s="54" t="s">
        <v>890</v>
      </c>
      <c r="C628" s="39" t="s">
        <v>825</v>
      </c>
      <c r="D628" s="40">
        <v>3</v>
      </c>
      <c r="E628" s="50">
        <v>0</v>
      </c>
    </row>
    <row r="629" spans="1:5" ht="29.1">
      <c r="A629" s="58" t="s">
        <v>884</v>
      </c>
      <c r="B629" s="55" t="s">
        <v>890</v>
      </c>
      <c r="C629" s="39" t="s">
        <v>826</v>
      </c>
      <c r="D629" s="43">
        <v>4</v>
      </c>
      <c r="E629" s="51">
        <v>0</v>
      </c>
    </row>
    <row r="630" spans="1:5" ht="29.1">
      <c r="A630" s="58" t="s">
        <v>884</v>
      </c>
      <c r="B630" s="54" t="s">
        <v>890</v>
      </c>
      <c r="C630" s="39" t="s">
        <v>827</v>
      </c>
      <c r="D630" s="40">
        <v>5</v>
      </c>
      <c r="E630" s="50">
        <v>0</v>
      </c>
    </row>
    <row r="631" spans="1:5" ht="29.1">
      <c r="A631" s="58" t="s">
        <v>884</v>
      </c>
      <c r="B631" s="55" t="s">
        <v>890</v>
      </c>
      <c r="C631" s="39" t="s">
        <v>828</v>
      </c>
      <c r="D631" s="43">
        <v>6</v>
      </c>
      <c r="E631" s="51">
        <v>1</v>
      </c>
    </row>
    <row r="632" spans="1:5" ht="29.1">
      <c r="A632" s="58" t="s">
        <v>884</v>
      </c>
      <c r="B632" s="54" t="s">
        <v>890</v>
      </c>
      <c r="C632" s="39" t="s">
        <v>829</v>
      </c>
      <c r="D632" s="40">
        <v>7</v>
      </c>
      <c r="E632" s="50">
        <v>0</v>
      </c>
    </row>
    <row r="633" spans="1:5" ht="29.1">
      <c r="A633" s="58" t="s">
        <v>884</v>
      </c>
      <c r="B633" s="55" t="s">
        <v>890</v>
      </c>
      <c r="C633" s="39" t="s">
        <v>830</v>
      </c>
      <c r="D633" s="43">
        <v>8</v>
      </c>
      <c r="E633" s="51">
        <v>0</v>
      </c>
    </row>
    <row r="634" spans="1:5" ht="29.1">
      <c r="A634" s="58" t="s">
        <v>884</v>
      </c>
      <c r="B634" s="54" t="s">
        <v>890</v>
      </c>
      <c r="C634" s="39" t="s">
        <v>831</v>
      </c>
      <c r="D634" s="40">
        <v>9</v>
      </c>
      <c r="E634" s="50">
        <v>0</v>
      </c>
    </row>
    <row r="635" spans="1:5" ht="29.1">
      <c r="A635" s="58" t="s">
        <v>884</v>
      </c>
      <c r="B635" s="55" t="s">
        <v>890</v>
      </c>
      <c r="C635" s="39" t="s">
        <v>832</v>
      </c>
      <c r="D635" s="43">
        <v>10</v>
      </c>
      <c r="E635" s="51">
        <v>0</v>
      </c>
    </row>
    <row r="636" spans="1:5" ht="29.1">
      <c r="A636" s="58" t="s">
        <v>884</v>
      </c>
      <c r="B636" s="54" t="s">
        <v>890</v>
      </c>
      <c r="C636" s="39" t="s">
        <v>833</v>
      </c>
      <c r="D636" s="40">
        <v>11</v>
      </c>
      <c r="E636" s="50">
        <v>0</v>
      </c>
    </row>
    <row r="637" spans="1:5" ht="29.1">
      <c r="A637" s="58" t="s">
        <v>884</v>
      </c>
      <c r="B637" s="55" t="s">
        <v>890</v>
      </c>
      <c r="C637" s="39" t="s">
        <v>834</v>
      </c>
      <c r="D637" s="43">
        <v>12</v>
      </c>
      <c r="E637" s="51">
        <v>0</v>
      </c>
    </row>
    <row r="638" spans="1:5" ht="14.45">
      <c r="A638" s="58" t="s">
        <v>884</v>
      </c>
      <c r="B638" s="54" t="s">
        <v>891</v>
      </c>
      <c r="C638" s="39" t="s">
        <v>823</v>
      </c>
      <c r="D638" s="40">
        <v>1</v>
      </c>
      <c r="E638" s="50">
        <v>0</v>
      </c>
    </row>
    <row r="639" spans="1:5" ht="14.45">
      <c r="A639" s="58" t="s">
        <v>884</v>
      </c>
      <c r="B639" s="55" t="s">
        <v>891</v>
      </c>
      <c r="C639" s="39" t="s">
        <v>824</v>
      </c>
      <c r="D639" s="43">
        <v>2</v>
      </c>
      <c r="E639" s="51">
        <v>1</v>
      </c>
    </row>
    <row r="640" spans="1:5" ht="14.45">
      <c r="A640" s="58" t="s">
        <v>884</v>
      </c>
      <c r="B640" s="54" t="s">
        <v>891</v>
      </c>
      <c r="C640" s="39" t="s">
        <v>825</v>
      </c>
      <c r="D640" s="40">
        <v>3</v>
      </c>
      <c r="E640" s="50">
        <v>0</v>
      </c>
    </row>
    <row r="641" spans="1:5" ht="14.45">
      <c r="A641" s="58" t="s">
        <v>884</v>
      </c>
      <c r="B641" s="55" t="s">
        <v>891</v>
      </c>
      <c r="C641" s="39" t="s">
        <v>826</v>
      </c>
      <c r="D641" s="43">
        <v>4</v>
      </c>
      <c r="E641" s="51">
        <v>1</v>
      </c>
    </row>
    <row r="642" spans="1:5" ht="14.45">
      <c r="A642" s="58" t="s">
        <v>884</v>
      </c>
      <c r="B642" s="54" t="s">
        <v>891</v>
      </c>
      <c r="C642" s="39" t="s">
        <v>827</v>
      </c>
      <c r="D642" s="40">
        <v>5</v>
      </c>
      <c r="E642" s="50">
        <v>1</v>
      </c>
    </row>
    <row r="643" spans="1:5" ht="14.45">
      <c r="A643" s="58" t="s">
        <v>884</v>
      </c>
      <c r="B643" s="55" t="s">
        <v>891</v>
      </c>
      <c r="C643" s="39" t="s">
        <v>828</v>
      </c>
      <c r="D643" s="43">
        <v>6</v>
      </c>
      <c r="E643" s="51">
        <v>0</v>
      </c>
    </row>
    <row r="644" spans="1:5" ht="14.45">
      <c r="A644" s="58" t="s">
        <v>884</v>
      </c>
      <c r="B644" s="54" t="s">
        <v>891</v>
      </c>
      <c r="C644" s="39" t="s">
        <v>829</v>
      </c>
      <c r="D644" s="40">
        <v>7</v>
      </c>
      <c r="E644" s="50">
        <v>0</v>
      </c>
    </row>
    <row r="645" spans="1:5" ht="14.45">
      <c r="A645" s="58" t="s">
        <v>884</v>
      </c>
      <c r="B645" s="55" t="s">
        <v>891</v>
      </c>
      <c r="C645" s="39" t="s">
        <v>830</v>
      </c>
      <c r="D645" s="43">
        <v>8</v>
      </c>
      <c r="E645" s="51">
        <v>0</v>
      </c>
    </row>
    <row r="646" spans="1:5" ht="14.45">
      <c r="A646" s="58" t="s">
        <v>884</v>
      </c>
      <c r="B646" s="54" t="s">
        <v>891</v>
      </c>
      <c r="C646" s="39" t="s">
        <v>831</v>
      </c>
      <c r="D646" s="40">
        <v>9</v>
      </c>
      <c r="E646" s="50">
        <v>0</v>
      </c>
    </row>
    <row r="647" spans="1:5" ht="14.45">
      <c r="A647" s="58" t="s">
        <v>884</v>
      </c>
      <c r="B647" s="55" t="s">
        <v>891</v>
      </c>
      <c r="C647" s="39" t="s">
        <v>832</v>
      </c>
      <c r="D647" s="43">
        <v>10</v>
      </c>
      <c r="E647" s="51">
        <v>0</v>
      </c>
    </row>
    <row r="648" spans="1:5" ht="14.45">
      <c r="A648" s="58" t="s">
        <v>884</v>
      </c>
      <c r="B648" s="54" t="s">
        <v>891</v>
      </c>
      <c r="C648" s="39" t="s">
        <v>833</v>
      </c>
      <c r="D648" s="40">
        <v>11</v>
      </c>
      <c r="E648" s="50">
        <v>0</v>
      </c>
    </row>
    <row r="649" spans="1:5" ht="14.45">
      <c r="A649" s="58" t="s">
        <v>884</v>
      </c>
      <c r="B649" s="55" t="s">
        <v>891</v>
      </c>
      <c r="C649" s="39" t="s">
        <v>834</v>
      </c>
      <c r="D649" s="43">
        <v>12</v>
      </c>
      <c r="E649" s="51">
        <v>0</v>
      </c>
    </row>
    <row r="650" spans="1:5" ht="62.1">
      <c r="A650" s="58" t="s">
        <v>884</v>
      </c>
      <c r="B650" s="45" t="s">
        <v>892</v>
      </c>
      <c r="C650" s="39" t="s">
        <v>823</v>
      </c>
      <c r="D650" s="40">
        <v>1</v>
      </c>
      <c r="E650" s="50">
        <v>0</v>
      </c>
    </row>
    <row r="651" spans="1:5" ht="62.1">
      <c r="A651" s="58" t="s">
        <v>884</v>
      </c>
      <c r="B651" s="46" t="s">
        <v>892</v>
      </c>
      <c r="C651" s="39" t="s">
        <v>824</v>
      </c>
      <c r="D651" s="43">
        <v>2</v>
      </c>
      <c r="E651" s="51">
        <v>0</v>
      </c>
    </row>
    <row r="652" spans="1:5" ht="62.1">
      <c r="A652" s="58" t="s">
        <v>884</v>
      </c>
      <c r="B652" s="45" t="s">
        <v>892</v>
      </c>
      <c r="C652" s="39" t="s">
        <v>825</v>
      </c>
      <c r="D652" s="40">
        <v>3</v>
      </c>
      <c r="E652" s="50">
        <v>0</v>
      </c>
    </row>
    <row r="653" spans="1:5" ht="62.1">
      <c r="A653" s="58" t="s">
        <v>884</v>
      </c>
      <c r="B653" s="46" t="s">
        <v>892</v>
      </c>
      <c r="C653" s="39" t="s">
        <v>826</v>
      </c>
      <c r="D653" s="43">
        <v>4</v>
      </c>
      <c r="E653" s="51">
        <v>0</v>
      </c>
    </row>
    <row r="654" spans="1:5" ht="62.1">
      <c r="A654" s="58" t="s">
        <v>884</v>
      </c>
      <c r="B654" s="45" t="s">
        <v>892</v>
      </c>
      <c r="C654" s="39" t="s">
        <v>827</v>
      </c>
      <c r="D654" s="40">
        <v>5</v>
      </c>
      <c r="E654" s="50">
        <v>0</v>
      </c>
    </row>
    <row r="655" spans="1:5" ht="62.1">
      <c r="A655" s="58" t="s">
        <v>884</v>
      </c>
      <c r="B655" s="46" t="s">
        <v>892</v>
      </c>
      <c r="C655" s="39" t="s">
        <v>828</v>
      </c>
      <c r="D655" s="43">
        <v>6</v>
      </c>
      <c r="E655" s="51">
        <v>0</v>
      </c>
    </row>
    <row r="656" spans="1:5" ht="62.1">
      <c r="A656" s="58" t="s">
        <v>884</v>
      </c>
      <c r="B656" s="45" t="s">
        <v>892</v>
      </c>
      <c r="C656" s="39" t="s">
        <v>829</v>
      </c>
      <c r="D656" s="40">
        <v>7</v>
      </c>
      <c r="E656" s="50">
        <v>0</v>
      </c>
    </row>
    <row r="657" spans="1:5" ht="62.1">
      <c r="A657" s="58" t="s">
        <v>884</v>
      </c>
      <c r="B657" s="46" t="s">
        <v>892</v>
      </c>
      <c r="C657" s="39" t="s">
        <v>830</v>
      </c>
      <c r="D657" s="43">
        <v>8</v>
      </c>
      <c r="E657" s="51">
        <v>0</v>
      </c>
    </row>
    <row r="658" spans="1:5" ht="62.1">
      <c r="A658" s="58" t="s">
        <v>884</v>
      </c>
      <c r="B658" s="45" t="s">
        <v>892</v>
      </c>
      <c r="C658" s="39" t="s">
        <v>831</v>
      </c>
      <c r="D658" s="40">
        <v>9</v>
      </c>
      <c r="E658" s="50">
        <v>0</v>
      </c>
    </row>
    <row r="659" spans="1:5" ht="62.1">
      <c r="A659" s="58" t="s">
        <v>884</v>
      </c>
      <c r="B659" s="46" t="s">
        <v>892</v>
      </c>
      <c r="C659" s="39" t="s">
        <v>832</v>
      </c>
      <c r="D659" s="43">
        <v>10</v>
      </c>
      <c r="E659" s="51">
        <v>0</v>
      </c>
    </row>
    <row r="660" spans="1:5" ht="62.1">
      <c r="A660" s="58" t="s">
        <v>884</v>
      </c>
      <c r="B660" s="45" t="s">
        <v>892</v>
      </c>
      <c r="C660" s="39" t="s">
        <v>833</v>
      </c>
      <c r="D660" s="40">
        <v>11</v>
      </c>
      <c r="E660" s="50">
        <v>0</v>
      </c>
    </row>
    <row r="661" spans="1:5" ht="62.1">
      <c r="A661" s="58" t="s">
        <v>884</v>
      </c>
      <c r="B661" s="46" t="s">
        <v>892</v>
      </c>
      <c r="C661" s="39" t="s">
        <v>834</v>
      </c>
      <c r="D661" s="43">
        <v>12</v>
      </c>
      <c r="E661" s="51">
        <v>0</v>
      </c>
    </row>
    <row r="662" spans="1:5" ht="15.6">
      <c r="A662" s="58" t="s">
        <v>884</v>
      </c>
      <c r="B662" s="45" t="s">
        <v>893</v>
      </c>
      <c r="C662" s="39" t="s">
        <v>823</v>
      </c>
      <c r="D662" s="40">
        <v>1</v>
      </c>
      <c r="E662" s="50">
        <v>4</v>
      </c>
    </row>
    <row r="663" spans="1:5" ht="15.6">
      <c r="A663" s="58" t="s">
        <v>884</v>
      </c>
      <c r="B663" s="46" t="s">
        <v>893</v>
      </c>
      <c r="C663" s="39" t="s">
        <v>824</v>
      </c>
      <c r="D663" s="43">
        <v>2</v>
      </c>
      <c r="E663" s="51">
        <v>0</v>
      </c>
    </row>
    <row r="664" spans="1:5" ht="15.6">
      <c r="A664" s="58" t="s">
        <v>884</v>
      </c>
      <c r="B664" s="45" t="s">
        <v>893</v>
      </c>
      <c r="C664" s="39" t="s">
        <v>825</v>
      </c>
      <c r="D664" s="40">
        <v>3</v>
      </c>
      <c r="E664" s="50">
        <v>0</v>
      </c>
    </row>
    <row r="665" spans="1:5" ht="15.6">
      <c r="A665" s="58" t="s">
        <v>884</v>
      </c>
      <c r="B665" s="46" t="s">
        <v>893</v>
      </c>
      <c r="C665" s="39" t="s">
        <v>826</v>
      </c>
      <c r="D665" s="43">
        <v>4</v>
      </c>
      <c r="E665" s="51">
        <v>0</v>
      </c>
    </row>
    <row r="666" spans="1:5" ht="15.6">
      <c r="A666" s="58" t="s">
        <v>884</v>
      </c>
      <c r="B666" s="45" t="s">
        <v>893</v>
      </c>
      <c r="C666" s="39" t="s">
        <v>827</v>
      </c>
      <c r="D666" s="40">
        <v>5</v>
      </c>
      <c r="E666" s="50">
        <v>0</v>
      </c>
    </row>
    <row r="667" spans="1:5" ht="15.6">
      <c r="A667" s="58" t="s">
        <v>884</v>
      </c>
      <c r="B667" s="46" t="s">
        <v>893</v>
      </c>
      <c r="C667" s="39" t="s">
        <v>828</v>
      </c>
      <c r="D667" s="43">
        <v>6</v>
      </c>
      <c r="E667" s="51">
        <v>1</v>
      </c>
    </row>
    <row r="668" spans="1:5" ht="15.6">
      <c r="A668" s="58" t="s">
        <v>884</v>
      </c>
      <c r="B668" s="45" t="s">
        <v>893</v>
      </c>
      <c r="C668" s="39" t="s">
        <v>829</v>
      </c>
      <c r="D668" s="40">
        <v>7</v>
      </c>
      <c r="E668" s="50">
        <v>0</v>
      </c>
    </row>
    <row r="669" spans="1:5" ht="15.6">
      <c r="A669" s="58" t="s">
        <v>884</v>
      </c>
      <c r="B669" s="46" t="s">
        <v>893</v>
      </c>
      <c r="C669" s="39" t="s">
        <v>830</v>
      </c>
      <c r="D669" s="43">
        <v>8</v>
      </c>
      <c r="E669" s="51">
        <v>0</v>
      </c>
    </row>
    <row r="670" spans="1:5" ht="15.6">
      <c r="A670" s="58" t="s">
        <v>884</v>
      </c>
      <c r="B670" s="45" t="s">
        <v>893</v>
      </c>
      <c r="C670" s="39" t="s">
        <v>831</v>
      </c>
      <c r="D670" s="40">
        <v>9</v>
      </c>
      <c r="E670" s="50">
        <v>0</v>
      </c>
    </row>
    <row r="671" spans="1:5" ht="15.6">
      <c r="A671" s="58" t="s">
        <v>884</v>
      </c>
      <c r="B671" s="46" t="s">
        <v>893</v>
      </c>
      <c r="C671" s="39" t="s">
        <v>832</v>
      </c>
      <c r="D671" s="43">
        <v>10</v>
      </c>
      <c r="E671" s="51">
        <v>0</v>
      </c>
    </row>
    <row r="672" spans="1:5" ht="15.6">
      <c r="A672" s="58" t="s">
        <v>884</v>
      </c>
      <c r="B672" s="45" t="s">
        <v>893</v>
      </c>
      <c r="C672" s="39" t="s">
        <v>833</v>
      </c>
      <c r="D672" s="40">
        <v>11</v>
      </c>
      <c r="E672" s="50">
        <v>0</v>
      </c>
    </row>
    <row r="673" spans="1:5" ht="15.6">
      <c r="A673" s="58" t="s">
        <v>884</v>
      </c>
      <c r="B673" s="46" t="s">
        <v>893</v>
      </c>
      <c r="C673" s="39" t="s">
        <v>834</v>
      </c>
      <c r="D673" s="43">
        <v>12</v>
      </c>
      <c r="E673" s="51">
        <v>0</v>
      </c>
    </row>
    <row r="674" spans="1:5" ht="15.6">
      <c r="A674" s="58" t="s">
        <v>884</v>
      </c>
      <c r="B674" s="45" t="s">
        <v>894</v>
      </c>
      <c r="C674" s="39" t="s">
        <v>823</v>
      </c>
      <c r="D674" s="40">
        <v>1</v>
      </c>
      <c r="E674" s="50">
        <v>2</v>
      </c>
    </row>
    <row r="675" spans="1:5" ht="15.6">
      <c r="A675" s="58" t="s">
        <v>884</v>
      </c>
      <c r="B675" s="46" t="s">
        <v>894</v>
      </c>
      <c r="C675" s="39" t="s">
        <v>824</v>
      </c>
      <c r="D675" s="43">
        <v>2</v>
      </c>
      <c r="E675" s="51">
        <v>4</v>
      </c>
    </row>
    <row r="676" spans="1:5" ht="15.6">
      <c r="A676" s="58" t="s">
        <v>884</v>
      </c>
      <c r="B676" s="45" t="s">
        <v>894</v>
      </c>
      <c r="C676" s="39" t="s">
        <v>825</v>
      </c>
      <c r="D676" s="40">
        <v>3</v>
      </c>
      <c r="E676" s="50">
        <v>0</v>
      </c>
    </row>
    <row r="677" spans="1:5" ht="15.6">
      <c r="A677" s="58" t="s">
        <v>884</v>
      </c>
      <c r="B677" s="46" t="s">
        <v>894</v>
      </c>
      <c r="C677" s="39" t="s">
        <v>826</v>
      </c>
      <c r="D677" s="43">
        <v>4</v>
      </c>
      <c r="E677" s="51">
        <v>0</v>
      </c>
    </row>
    <row r="678" spans="1:5" ht="15.6">
      <c r="A678" s="58" t="s">
        <v>884</v>
      </c>
      <c r="B678" s="45" t="s">
        <v>894</v>
      </c>
      <c r="C678" s="39" t="s">
        <v>827</v>
      </c>
      <c r="D678" s="40">
        <v>5</v>
      </c>
      <c r="E678" s="50">
        <v>1</v>
      </c>
    </row>
    <row r="679" spans="1:5" ht="15.6">
      <c r="A679" s="58" t="s">
        <v>884</v>
      </c>
      <c r="B679" s="46" t="s">
        <v>894</v>
      </c>
      <c r="C679" s="39" t="s">
        <v>828</v>
      </c>
      <c r="D679" s="43">
        <v>6</v>
      </c>
      <c r="E679" s="51">
        <v>3</v>
      </c>
    </row>
    <row r="680" spans="1:5" ht="15.6">
      <c r="A680" s="58" t="s">
        <v>884</v>
      </c>
      <c r="B680" s="45" t="s">
        <v>894</v>
      </c>
      <c r="C680" s="39" t="s">
        <v>829</v>
      </c>
      <c r="D680" s="40">
        <v>7</v>
      </c>
      <c r="E680" s="50">
        <v>0</v>
      </c>
    </row>
    <row r="681" spans="1:5" ht="15.6">
      <c r="A681" s="58" t="s">
        <v>884</v>
      </c>
      <c r="B681" s="46" t="s">
        <v>894</v>
      </c>
      <c r="C681" s="39" t="s">
        <v>830</v>
      </c>
      <c r="D681" s="43">
        <v>8</v>
      </c>
      <c r="E681" s="51">
        <v>0</v>
      </c>
    </row>
    <row r="682" spans="1:5" ht="15.6">
      <c r="A682" s="58" t="s">
        <v>884</v>
      </c>
      <c r="B682" s="45" t="s">
        <v>894</v>
      </c>
      <c r="C682" s="39" t="s">
        <v>831</v>
      </c>
      <c r="D682" s="40">
        <v>9</v>
      </c>
      <c r="E682" s="50">
        <v>0</v>
      </c>
    </row>
    <row r="683" spans="1:5" ht="15.6">
      <c r="A683" s="58" t="s">
        <v>884</v>
      </c>
      <c r="B683" s="46" t="s">
        <v>894</v>
      </c>
      <c r="C683" s="39" t="s">
        <v>832</v>
      </c>
      <c r="D683" s="43">
        <v>10</v>
      </c>
      <c r="E683" s="51">
        <v>0</v>
      </c>
    </row>
    <row r="684" spans="1:5" ht="15.6">
      <c r="A684" s="58" t="s">
        <v>884</v>
      </c>
      <c r="B684" s="45" t="s">
        <v>894</v>
      </c>
      <c r="C684" s="39" t="s">
        <v>833</v>
      </c>
      <c r="D684" s="40">
        <v>11</v>
      </c>
      <c r="E684" s="50">
        <v>0</v>
      </c>
    </row>
    <row r="685" spans="1:5" ht="15.6">
      <c r="A685" s="58" t="s">
        <v>884</v>
      </c>
      <c r="B685" s="46" t="s">
        <v>894</v>
      </c>
      <c r="C685" s="39" t="s">
        <v>834</v>
      </c>
      <c r="D685" s="43">
        <v>12</v>
      </c>
      <c r="E685" s="51">
        <v>0</v>
      </c>
    </row>
    <row r="686" spans="1:5" ht="15.6">
      <c r="A686" s="58" t="s">
        <v>884</v>
      </c>
      <c r="B686" s="45" t="s">
        <v>895</v>
      </c>
      <c r="C686" s="39" t="s">
        <v>823</v>
      </c>
      <c r="D686" s="40">
        <v>1</v>
      </c>
      <c r="E686" s="50">
        <v>0</v>
      </c>
    </row>
    <row r="687" spans="1:5" ht="15.6">
      <c r="A687" s="58" t="s">
        <v>884</v>
      </c>
      <c r="B687" s="46" t="s">
        <v>895</v>
      </c>
      <c r="C687" s="39" t="s">
        <v>824</v>
      </c>
      <c r="D687" s="43">
        <v>2</v>
      </c>
      <c r="E687" s="51">
        <v>0</v>
      </c>
    </row>
    <row r="688" spans="1:5" ht="15.6">
      <c r="A688" s="58" t="s">
        <v>884</v>
      </c>
      <c r="B688" s="45" t="s">
        <v>895</v>
      </c>
      <c r="C688" s="39" t="s">
        <v>825</v>
      </c>
      <c r="D688" s="40">
        <v>3</v>
      </c>
      <c r="E688" s="50">
        <v>0</v>
      </c>
    </row>
    <row r="689" spans="1:5" ht="15.6">
      <c r="A689" s="58" t="s">
        <v>884</v>
      </c>
      <c r="B689" s="46" t="s">
        <v>895</v>
      </c>
      <c r="C689" s="39" t="s">
        <v>826</v>
      </c>
      <c r="D689" s="43">
        <v>4</v>
      </c>
      <c r="E689" s="51">
        <v>1</v>
      </c>
    </row>
    <row r="690" spans="1:5" ht="15.6">
      <c r="A690" s="58" t="s">
        <v>884</v>
      </c>
      <c r="B690" s="45" t="s">
        <v>895</v>
      </c>
      <c r="C690" s="39" t="s">
        <v>827</v>
      </c>
      <c r="D690" s="40">
        <v>5</v>
      </c>
      <c r="E690" s="50">
        <v>3</v>
      </c>
    </row>
    <row r="691" spans="1:5" ht="15.6">
      <c r="A691" s="58" t="s">
        <v>884</v>
      </c>
      <c r="B691" s="46" t="s">
        <v>895</v>
      </c>
      <c r="C691" s="39" t="s">
        <v>828</v>
      </c>
      <c r="D691" s="43">
        <v>6</v>
      </c>
      <c r="E691" s="51">
        <v>3</v>
      </c>
    </row>
    <row r="692" spans="1:5" ht="15.6">
      <c r="A692" s="58" t="s">
        <v>884</v>
      </c>
      <c r="B692" s="45" t="s">
        <v>895</v>
      </c>
      <c r="C692" s="39" t="s">
        <v>829</v>
      </c>
      <c r="D692" s="40">
        <v>7</v>
      </c>
      <c r="E692" s="50">
        <v>0</v>
      </c>
    </row>
    <row r="693" spans="1:5" ht="15.6">
      <c r="A693" s="58" t="s">
        <v>884</v>
      </c>
      <c r="B693" s="46" t="s">
        <v>895</v>
      </c>
      <c r="C693" s="39" t="s">
        <v>830</v>
      </c>
      <c r="D693" s="43">
        <v>8</v>
      </c>
      <c r="E693" s="51">
        <v>0</v>
      </c>
    </row>
    <row r="694" spans="1:5" ht="15.6">
      <c r="A694" s="58" t="s">
        <v>884</v>
      </c>
      <c r="B694" s="45" t="s">
        <v>895</v>
      </c>
      <c r="C694" s="39" t="s">
        <v>831</v>
      </c>
      <c r="D694" s="40">
        <v>9</v>
      </c>
      <c r="E694" s="50">
        <v>0</v>
      </c>
    </row>
    <row r="695" spans="1:5" ht="15.6">
      <c r="A695" s="58" t="s">
        <v>884</v>
      </c>
      <c r="B695" s="46" t="s">
        <v>895</v>
      </c>
      <c r="C695" s="39" t="s">
        <v>832</v>
      </c>
      <c r="D695" s="43">
        <v>10</v>
      </c>
      <c r="E695" s="51">
        <v>0</v>
      </c>
    </row>
    <row r="696" spans="1:5" ht="15.6">
      <c r="A696" s="58" t="s">
        <v>884</v>
      </c>
      <c r="B696" s="45" t="s">
        <v>895</v>
      </c>
      <c r="C696" s="39" t="s">
        <v>833</v>
      </c>
      <c r="D696" s="40">
        <v>11</v>
      </c>
      <c r="E696" s="50">
        <v>0</v>
      </c>
    </row>
    <row r="697" spans="1:5" ht="15.6">
      <c r="A697" s="58" t="s">
        <v>884</v>
      </c>
      <c r="B697" s="46" t="s">
        <v>895</v>
      </c>
      <c r="C697" s="39" t="s">
        <v>834</v>
      </c>
      <c r="D697" s="43">
        <v>12</v>
      </c>
      <c r="E697" s="51">
        <v>0</v>
      </c>
    </row>
    <row r="698" spans="1:5" ht="14.45">
      <c r="A698" s="58" t="s">
        <v>884</v>
      </c>
      <c r="B698" s="40" t="s">
        <v>896</v>
      </c>
      <c r="C698" s="39" t="s">
        <v>823</v>
      </c>
      <c r="D698" s="40">
        <v>1</v>
      </c>
      <c r="E698" s="50">
        <v>0</v>
      </c>
    </row>
    <row r="699" spans="1:5" ht="14.45">
      <c r="A699" s="58" t="s">
        <v>884</v>
      </c>
      <c r="B699" s="43" t="s">
        <v>896</v>
      </c>
      <c r="C699" s="39" t="s">
        <v>824</v>
      </c>
      <c r="D699" s="43">
        <v>2</v>
      </c>
      <c r="E699" s="51">
        <v>0</v>
      </c>
    </row>
    <row r="700" spans="1:5" ht="14.45">
      <c r="A700" s="58" t="s">
        <v>884</v>
      </c>
      <c r="B700" s="40" t="s">
        <v>896</v>
      </c>
      <c r="C700" s="39" t="s">
        <v>825</v>
      </c>
      <c r="D700" s="40">
        <v>3</v>
      </c>
      <c r="E700" s="50">
        <v>1</v>
      </c>
    </row>
    <row r="701" spans="1:5" ht="14.45">
      <c r="A701" s="58" t="s">
        <v>884</v>
      </c>
      <c r="B701" s="43" t="s">
        <v>896</v>
      </c>
      <c r="C701" s="39" t="s">
        <v>826</v>
      </c>
      <c r="D701" s="43">
        <v>4</v>
      </c>
      <c r="E701" s="51">
        <v>0</v>
      </c>
    </row>
    <row r="702" spans="1:5" ht="14.45">
      <c r="A702" s="58" t="s">
        <v>884</v>
      </c>
      <c r="B702" s="40" t="s">
        <v>896</v>
      </c>
      <c r="C702" s="39" t="s">
        <v>827</v>
      </c>
      <c r="D702" s="40">
        <v>5</v>
      </c>
      <c r="E702" s="50">
        <v>0</v>
      </c>
    </row>
    <row r="703" spans="1:5" ht="14.45">
      <c r="A703" s="58" t="s">
        <v>884</v>
      </c>
      <c r="B703" s="43" t="s">
        <v>896</v>
      </c>
      <c r="C703" s="39" t="s">
        <v>828</v>
      </c>
      <c r="D703" s="43">
        <v>6</v>
      </c>
      <c r="E703" s="51">
        <v>0</v>
      </c>
    </row>
    <row r="704" spans="1:5" ht="14.45">
      <c r="A704" s="58" t="s">
        <v>884</v>
      </c>
      <c r="B704" s="40" t="s">
        <v>896</v>
      </c>
      <c r="C704" s="39" t="s">
        <v>829</v>
      </c>
      <c r="D704" s="40">
        <v>7</v>
      </c>
      <c r="E704" s="50">
        <v>0</v>
      </c>
    </row>
    <row r="705" spans="1:5" ht="14.45">
      <c r="A705" s="58" t="s">
        <v>884</v>
      </c>
      <c r="B705" s="43" t="s">
        <v>896</v>
      </c>
      <c r="C705" s="39" t="s">
        <v>830</v>
      </c>
      <c r="D705" s="43">
        <v>8</v>
      </c>
      <c r="E705" s="51">
        <v>0</v>
      </c>
    </row>
    <row r="706" spans="1:5" ht="14.45">
      <c r="A706" s="58" t="s">
        <v>884</v>
      </c>
      <c r="B706" s="40" t="s">
        <v>896</v>
      </c>
      <c r="C706" s="39" t="s">
        <v>831</v>
      </c>
      <c r="D706" s="40">
        <v>9</v>
      </c>
      <c r="E706" s="50">
        <v>0</v>
      </c>
    </row>
    <row r="707" spans="1:5" ht="14.45">
      <c r="A707" s="58" t="s">
        <v>884</v>
      </c>
      <c r="B707" s="43" t="s">
        <v>896</v>
      </c>
      <c r="C707" s="39" t="s">
        <v>832</v>
      </c>
      <c r="D707" s="43">
        <v>10</v>
      </c>
      <c r="E707" s="51">
        <v>0</v>
      </c>
    </row>
    <row r="708" spans="1:5" ht="14.45">
      <c r="A708" s="58" t="s">
        <v>884</v>
      </c>
      <c r="B708" s="40" t="s">
        <v>896</v>
      </c>
      <c r="C708" s="39" t="s">
        <v>833</v>
      </c>
      <c r="D708" s="40">
        <v>11</v>
      </c>
      <c r="E708" s="50">
        <v>0</v>
      </c>
    </row>
    <row r="709" spans="1:5" ht="14.45">
      <c r="A709" s="59" t="s">
        <v>884</v>
      </c>
      <c r="B709" s="60" t="s">
        <v>896</v>
      </c>
      <c r="C709" s="61" t="s">
        <v>834</v>
      </c>
      <c r="D709" s="60">
        <v>12</v>
      </c>
      <c r="E709" s="17">
        <v>0</v>
      </c>
    </row>
  </sheetData>
  <autoFilter ref="A1:E709" xr:uid="{21DACD0E-2B73-497A-B784-362A1AF09077}"/>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3D37-E9CC-4410-BEA4-A913363B9F8F}">
  <dimension ref="A1:N637"/>
  <sheetViews>
    <sheetView zoomScale="85" zoomScaleNormal="85" workbookViewId="0">
      <selection activeCell="G2" sqref="G2"/>
    </sheetView>
  </sheetViews>
  <sheetFormatPr defaultRowHeight="14.25" customHeight="1"/>
  <cols>
    <col min="1" max="1" width="35.25" customWidth="1"/>
    <col min="2" max="2" width="37" customWidth="1"/>
    <col min="3" max="3" width="37" style="177" customWidth="1"/>
    <col min="4" max="7" width="24.75" customWidth="1"/>
    <col min="8" max="8" width="24.75" style="34" customWidth="1"/>
  </cols>
  <sheetData>
    <row r="1" spans="1:8" ht="14.1">
      <c r="A1" s="90" t="s">
        <v>897</v>
      </c>
      <c r="B1" s="91" t="s">
        <v>898</v>
      </c>
      <c r="C1" s="176" t="s">
        <v>899</v>
      </c>
      <c r="D1" s="91" t="s">
        <v>900</v>
      </c>
      <c r="E1" s="91" t="s">
        <v>901</v>
      </c>
      <c r="F1" s="91" t="s">
        <v>902</v>
      </c>
      <c r="G1" s="91" t="s">
        <v>903</v>
      </c>
      <c r="H1" s="255" t="s">
        <v>904</v>
      </c>
    </row>
    <row r="2" spans="1:8" ht="15">
      <c r="A2" s="252" t="s">
        <v>905</v>
      </c>
      <c r="B2" s="252" t="s">
        <v>906</v>
      </c>
      <c r="C2" s="252">
        <v>2026</v>
      </c>
      <c r="D2" s="252" t="s">
        <v>823</v>
      </c>
      <c r="E2" s="252">
        <v>12</v>
      </c>
      <c r="F2" s="252">
        <v>12</v>
      </c>
      <c r="G2" s="252">
        <f>Rounds!$F2-Rounds!$E2</f>
        <v>0</v>
      </c>
      <c r="H2" s="256">
        <f>Rounds!$E2/Rounds!$F2</f>
        <v>1</v>
      </c>
    </row>
    <row r="3" spans="1:8" ht="15">
      <c r="A3" s="252" t="s">
        <v>905</v>
      </c>
      <c r="B3" s="252" t="s">
        <v>906</v>
      </c>
      <c r="C3" s="252">
        <v>2026</v>
      </c>
      <c r="D3" s="252" t="s">
        <v>824</v>
      </c>
      <c r="E3" s="252">
        <v>12</v>
      </c>
      <c r="F3" s="252">
        <v>12</v>
      </c>
      <c r="G3" s="252">
        <f>Rounds!$F3-Rounds!$E3</f>
        <v>0</v>
      </c>
      <c r="H3" s="256">
        <f>Rounds!$E3/Rounds!$F3</f>
        <v>1</v>
      </c>
    </row>
    <row r="4" spans="1:8" ht="15">
      <c r="A4" s="252" t="s">
        <v>905</v>
      </c>
      <c r="B4" s="252" t="s">
        <v>906</v>
      </c>
      <c r="C4" s="252">
        <v>2026</v>
      </c>
      <c r="D4" s="252" t="s">
        <v>825</v>
      </c>
      <c r="E4" s="252">
        <v>12</v>
      </c>
      <c r="F4" s="252">
        <v>12</v>
      </c>
      <c r="G4" s="252">
        <f>Rounds!$F4-Rounds!$E4</f>
        <v>0</v>
      </c>
      <c r="H4" s="256">
        <f>Rounds!$E4/Rounds!$F4</f>
        <v>1</v>
      </c>
    </row>
    <row r="5" spans="1:8" ht="15">
      <c r="A5" s="252" t="s">
        <v>905</v>
      </c>
      <c r="B5" s="252" t="s">
        <v>906</v>
      </c>
      <c r="C5" s="252">
        <v>2026</v>
      </c>
      <c r="D5" s="252" t="s">
        <v>826</v>
      </c>
      <c r="E5" s="252">
        <v>15</v>
      </c>
      <c r="F5" s="252">
        <v>15</v>
      </c>
      <c r="G5" s="252">
        <f>Rounds!$F5-Rounds!$E5</f>
        <v>0</v>
      </c>
      <c r="H5" s="256">
        <f>Rounds!$E5/Rounds!$F5</f>
        <v>1</v>
      </c>
    </row>
    <row r="6" spans="1:8" ht="15">
      <c r="A6" s="252" t="s">
        <v>905</v>
      </c>
      <c r="B6" s="252" t="s">
        <v>906</v>
      </c>
      <c r="C6" s="252">
        <v>2026</v>
      </c>
      <c r="D6" s="252" t="s">
        <v>827</v>
      </c>
      <c r="E6" s="252">
        <v>12</v>
      </c>
      <c r="F6" s="252">
        <v>12</v>
      </c>
      <c r="G6" s="252">
        <f>Rounds!$F6-Rounds!$E6</f>
        <v>0</v>
      </c>
      <c r="H6" s="256">
        <f>Rounds!$E6/Rounds!$F6</f>
        <v>1</v>
      </c>
    </row>
    <row r="7" spans="1:8" ht="15">
      <c r="A7" s="252" t="s">
        <v>905</v>
      </c>
      <c r="B7" s="252" t="s">
        <v>906</v>
      </c>
      <c r="C7" s="252">
        <v>2026</v>
      </c>
      <c r="D7" s="252" t="s">
        <v>828</v>
      </c>
      <c r="E7" s="252">
        <v>12</v>
      </c>
      <c r="F7" s="252">
        <v>12</v>
      </c>
      <c r="G7" s="252">
        <f>Rounds!$F7-Rounds!$E7</f>
        <v>0</v>
      </c>
      <c r="H7" s="256">
        <f>Rounds!$E7/Rounds!$F7</f>
        <v>1</v>
      </c>
    </row>
    <row r="8" spans="1:8" ht="15">
      <c r="A8" s="252" t="s">
        <v>905</v>
      </c>
      <c r="B8" s="252" t="s">
        <v>906</v>
      </c>
      <c r="C8" s="252">
        <v>2026</v>
      </c>
      <c r="D8" s="252" t="s">
        <v>829</v>
      </c>
      <c r="E8" s="252">
        <v>15</v>
      </c>
      <c r="F8" s="252">
        <v>15</v>
      </c>
      <c r="G8" s="252">
        <f>Rounds!$F8-Rounds!$E8</f>
        <v>0</v>
      </c>
      <c r="H8" s="256">
        <f>Table6[[#This Row],[Realizados]]/Table6[[#This Row],[Previstos]]</f>
        <v>1</v>
      </c>
    </row>
    <row r="9" spans="1:8" ht="15">
      <c r="A9" s="252" t="s">
        <v>905</v>
      </c>
      <c r="B9" s="252" t="s">
        <v>906</v>
      </c>
      <c r="C9" s="252">
        <v>2026</v>
      </c>
      <c r="D9" s="252" t="s">
        <v>830</v>
      </c>
      <c r="E9" s="252">
        <v>12</v>
      </c>
      <c r="F9" s="252">
        <v>12</v>
      </c>
      <c r="G9" s="252">
        <f>Rounds!$F9-Rounds!$E9</f>
        <v>0</v>
      </c>
      <c r="H9" s="256">
        <v>0</v>
      </c>
    </row>
    <row r="10" spans="1:8" ht="15">
      <c r="A10" s="252" t="s">
        <v>905</v>
      </c>
      <c r="B10" s="252" t="s">
        <v>906</v>
      </c>
      <c r="C10" s="252">
        <v>2026</v>
      </c>
      <c r="D10" s="252" t="s">
        <v>831</v>
      </c>
      <c r="E10" s="252">
        <v>15</v>
      </c>
      <c r="F10" s="252">
        <v>15</v>
      </c>
      <c r="G10" s="252">
        <f>Rounds!$F10-Rounds!$E10</f>
        <v>0</v>
      </c>
      <c r="H10" s="256">
        <f>Table6[[#This Row],[Realizados]]/Table6[[#This Row],[Previstos]]</f>
        <v>1</v>
      </c>
    </row>
    <row r="11" spans="1:8" ht="15">
      <c r="A11" s="252" t="s">
        <v>905</v>
      </c>
      <c r="B11" s="252" t="s">
        <v>906</v>
      </c>
      <c r="C11" s="252">
        <v>2026</v>
      </c>
      <c r="D11" s="252" t="s">
        <v>832</v>
      </c>
      <c r="E11" s="252">
        <v>0</v>
      </c>
      <c r="F11" s="252">
        <v>0</v>
      </c>
      <c r="G11" s="252">
        <f>Rounds!$F11-Rounds!$E11</f>
        <v>0</v>
      </c>
      <c r="H11" s="256">
        <v>0</v>
      </c>
    </row>
    <row r="12" spans="1:8" ht="15">
      <c r="A12" s="252" t="s">
        <v>905</v>
      </c>
      <c r="B12" s="252" t="s">
        <v>906</v>
      </c>
      <c r="C12" s="252">
        <v>2026</v>
      </c>
      <c r="D12" s="252" t="s">
        <v>833</v>
      </c>
      <c r="E12" s="252">
        <v>0</v>
      </c>
      <c r="F12" s="252">
        <v>0</v>
      </c>
      <c r="G12" s="252">
        <f>Rounds!$F12-Rounds!$E12</f>
        <v>0</v>
      </c>
      <c r="H12" s="256">
        <v>0</v>
      </c>
    </row>
    <row r="13" spans="1:8" ht="15">
      <c r="A13" s="252" t="s">
        <v>905</v>
      </c>
      <c r="B13" s="252" t="s">
        <v>906</v>
      </c>
      <c r="C13" s="252">
        <v>2026</v>
      </c>
      <c r="D13" s="252" t="s">
        <v>834</v>
      </c>
      <c r="E13" s="252">
        <v>0</v>
      </c>
      <c r="F13" s="252">
        <v>0</v>
      </c>
      <c r="G13" s="252">
        <f>Rounds!$F13-Rounds!$E13</f>
        <v>0</v>
      </c>
      <c r="H13" s="256">
        <v>0</v>
      </c>
    </row>
    <row r="14" spans="1:8" ht="15">
      <c r="A14" s="252" t="s">
        <v>907</v>
      </c>
      <c r="B14" s="252" t="s">
        <v>483</v>
      </c>
      <c r="C14" s="252">
        <v>2026</v>
      </c>
      <c r="D14" s="252" t="s">
        <v>823</v>
      </c>
      <c r="E14" s="252">
        <v>12</v>
      </c>
      <c r="F14" s="252">
        <v>12</v>
      </c>
      <c r="G14" s="252">
        <f>Rounds!$F14-Rounds!$E14</f>
        <v>0</v>
      </c>
      <c r="H14" s="256">
        <f>Rounds!$E14/Rounds!$F14</f>
        <v>1</v>
      </c>
    </row>
    <row r="15" spans="1:8" ht="15">
      <c r="A15" s="252" t="s">
        <v>907</v>
      </c>
      <c r="B15" s="252" t="s">
        <v>483</v>
      </c>
      <c r="C15" s="252">
        <v>2026</v>
      </c>
      <c r="D15" s="252" t="s">
        <v>824</v>
      </c>
      <c r="E15" s="252">
        <v>12</v>
      </c>
      <c r="F15" s="252">
        <v>12</v>
      </c>
      <c r="G15" s="252">
        <f>Rounds!$F15-Rounds!$E15</f>
        <v>0</v>
      </c>
      <c r="H15" s="256">
        <f>Rounds!$E15/Rounds!$F15</f>
        <v>1</v>
      </c>
    </row>
    <row r="16" spans="1:8" ht="15">
      <c r="A16" s="252" t="s">
        <v>907</v>
      </c>
      <c r="B16" s="252" t="s">
        <v>483</v>
      </c>
      <c r="C16" s="252">
        <v>2026</v>
      </c>
      <c r="D16" s="252" t="s">
        <v>825</v>
      </c>
      <c r="E16" s="252">
        <v>12</v>
      </c>
      <c r="F16" s="252">
        <v>12</v>
      </c>
      <c r="G16" s="252">
        <f>Rounds!$F16-Rounds!$E16</f>
        <v>0</v>
      </c>
      <c r="H16" s="256">
        <f>Rounds!$E16/Rounds!$F16</f>
        <v>1</v>
      </c>
    </row>
    <row r="17" spans="1:14" ht="15">
      <c r="A17" s="252" t="s">
        <v>907</v>
      </c>
      <c r="B17" s="252" t="s">
        <v>483</v>
      </c>
      <c r="C17" s="252">
        <v>2026</v>
      </c>
      <c r="D17" s="252" t="s">
        <v>826</v>
      </c>
      <c r="E17" s="252">
        <v>12</v>
      </c>
      <c r="F17" s="252">
        <v>15</v>
      </c>
      <c r="G17" s="252">
        <f>Rounds!$F17-Rounds!$E17</f>
        <v>3</v>
      </c>
      <c r="H17" s="256">
        <f>Rounds!$E17/Rounds!$F17</f>
        <v>0.8</v>
      </c>
    </row>
    <row r="18" spans="1:14" ht="15">
      <c r="A18" s="252" t="s">
        <v>907</v>
      </c>
      <c r="B18" s="252" t="s">
        <v>483</v>
      </c>
      <c r="C18" s="252">
        <v>2026</v>
      </c>
      <c r="D18" s="252" t="s">
        <v>827</v>
      </c>
      <c r="E18" s="252">
        <v>12</v>
      </c>
      <c r="F18" s="252">
        <v>12</v>
      </c>
      <c r="G18" s="252">
        <f>Rounds!$F18-Rounds!$E18</f>
        <v>0</v>
      </c>
      <c r="H18" s="256">
        <f>Rounds!$E18/Rounds!$F18</f>
        <v>1</v>
      </c>
    </row>
    <row r="19" spans="1:14" ht="15">
      <c r="A19" s="252" t="s">
        <v>907</v>
      </c>
      <c r="B19" s="252" t="s">
        <v>483</v>
      </c>
      <c r="C19" s="252">
        <v>2026</v>
      </c>
      <c r="D19" s="252" t="s">
        <v>828</v>
      </c>
      <c r="E19" s="252">
        <v>2</v>
      </c>
      <c r="F19" s="252">
        <v>12</v>
      </c>
      <c r="G19" s="252">
        <f>Rounds!$F19-Rounds!$E19</f>
        <v>10</v>
      </c>
      <c r="H19" s="256">
        <f>Rounds!$E19/Rounds!$F19</f>
        <v>0.16666666666666666</v>
      </c>
    </row>
    <row r="20" spans="1:14" ht="15">
      <c r="A20" s="252" t="s">
        <v>907</v>
      </c>
      <c r="B20" s="252" t="s">
        <v>483</v>
      </c>
      <c r="C20" s="252">
        <v>2026</v>
      </c>
      <c r="D20" s="252" t="s">
        <v>829</v>
      </c>
      <c r="E20" s="252">
        <v>11</v>
      </c>
      <c r="F20" s="252">
        <v>14</v>
      </c>
      <c r="G20" s="252">
        <f>Rounds!$F20-Rounds!$E20</f>
        <v>3</v>
      </c>
      <c r="H20" s="256">
        <f>Table6[[#This Row],[Realizados]]/Table6[[#This Row],[Previstos]]</f>
        <v>0.7857142857142857</v>
      </c>
    </row>
    <row r="21" spans="1:14" ht="15">
      <c r="A21" s="252" t="s">
        <v>907</v>
      </c>
      <c r="B21" s="252" t="s">
        <v>483</v>
      </c>
      <c r="C21" s="252">
        <v>2026</v>
      </c>
      <c r="D21" s="252" t="s">
        <v>830</v>
      </c>
      <c r="E21" s="252">
        <v>12</v>
      </c>
      <c r="F21" s="252">
        <v>12</v>
      </c>
      <c r="G21" s="252">
        <f>Rounds!$F21-Rounds!$E21</f>
        <v>0</v>
      </c>
      <c r="H21" s="256">
        <v>0</v>
      </c>
    </row>
    <row r="22" spans="1:14" ht="15">
      <c r="A22" s="252" t="s">
        <v>907</v>
      </c>
      <c r="B22" s="252" t="s">
        <v>483</v>
      </c>
      <c r="C22" s="252">
        <v>2026</v>
      </c>
      <c r="D22" s="252" t="s">
        <v>831</v>
      </c>
      <c r="E22" s="252">
        <v>13</v>
      </c>
      <c r="F22" s="252">
        <v>15</v>
      </c>
      <c r="G22" s="252">
        <f>Rounds!$F22-Rounds!$E22</f>
        <v>2</v>
      </c>
      <c r="H22" s="256">
        <f>Table6[[#This Row],[Realizados]]/Table6[[#This Row],[Previstos]]</f>
        <v>0.8666666666666667</v>
      </c>
    </row>
    <row r="23" spans="1:14" ht="15">
      <c r="A23" s="252" t="s">
        <v>907</v>
      </c>
      <c r="B23" s="252" t="s">
        <v>483</v>
      </c>
      <c r="C23" s="252">
        <v>2026</v>
      </c>
      <c r="D23" s="252" t="s">
        <v>832</v>
      </c>
      <c r="E23" s="252">
        <v>0</v>
      </c>
      <c r="F23" s="252">
        <v>0</v>
      </c>
      <c r="G23" s="252">
        <f>Rounds!$F23-Rounds!$E23</f>
        <v>0</v>
      </c>
      <c r="H23" s="256">
        <v>0</v>
      </c>
    </row>
    <row r="24" spans="1:14" ht="15">
      <c r="A24" s="252" t="s">
        <v>907</v>
      </c>
      <c r="B24" s="252" t="s">
        <v>483</v>
      </c>
      <c r="C24" s="252">
        <v>2026</v>
      </c>
      <c r="D24" s="252" t="s">
        <v>833</v>
      </c>
      <c r="E24" s="252">
        <v>0</v>
      </c>
      <c r="F24" s="252">
        <v>0</v>
      </c>
      <c r="G24" s="252">
        <f>Rounds!$F24-Rounds!$E24</f>
        <v>0</v>
      </c>
      <c r="H24" s="256">
        <v>0</v>
      </c>
    </row>
    <row r="25" spans="1:14" ht="15">
      <c r="A25" s="252" t="s">
        <v>907</v>
      </c>
      <c r="B25" s="252" t="s">
        <v>483</v>
      </c>
      <c r="C25" s="252">
        <v>2026</v>
      </c>
      <c r="D25" s="252" t="s">
        <v>834</v>
      </c>
      <c r="E25" s="252">
        <v>0</v>
      </c>
      <c r="F25" s="252">
        <v>0</v>
      </c>
      <c r="G25" s="252">
        <f>Rounds!$F25-Rounds!$E25</f>
        <v>0</v>
      </c>
      <c r="H25" s="256">
        <v>0</v>
      </c>
    </row>
    <row r="26" spans="1:14" ht="15">
      <c r="A26" s="252" t="s">
        <v>908</v>
      </c>
      <c r="B26" s="252" t="s">
        <v>909</v>
      </c>
      <c r="C26" s="252">
        <v>2026</v>
      </c>
      <c r="D26" s="252" t="s">
        <v>823</v>
      </c>
      <c r="E26" s="252">
        <v>4</v>
      </c>
      <c r="F26" s="252">
        <v>12</v>
      </c>
      <c r="G26" s="252">
        <f>Rounds!$F26-Rounds!$E26</f>
        <v>8</v>
      </c>
      <c r="H26" s="256">
        <f>Rounds!$E26/Rounds!$F26</f>
        <v>0.33333333333333331</v>
      </c>
      <c r="N26" s="3"/>
    </row>
    <row r="27" spans="1:14" ht="15">
      <c r="A27" s="252" t="s">
        <v>908</v>
      </c>
      <c r="B27" s="252" t="s">
        <v>909</v>
      </c>
      <c r="C27" s="252">
        <v>2026</v>
      </c>
      <c r="D27" s="252" t="s">
        <v>824</v>
      </c>
      <c r="E27" s="252">
        <v>11</v>
      </c>
      <c r="F27" s="252">
        <v>12</v>
      </c>
      <c r="G27" s="252">
        <f>Rounds!$F27-Rounds!$E27</f>
        <v>1</v>
      </c>
      <c r="H27" s="256">
        <f>Rounds!$E27/Rounds!$F27</f>
        <v>0.91666666666666663</v>
      </c>
    </row>
    <row r="28" spans="1:14" ht="15">
      <c r="A28" s="252" t="s">
        <v>908</v>
      </c>
      <c r="B28" s="252" t="s">
        <v>909</v>
      </c>
      <c r="C28" s="252">
        <v>2026</v>
      </c>
      <c r="D28" s="252" t="s">
        <v>825</v>
      </c>
      <c r="E28" s="252">
        <v>8</v>
      </c>
      <c r="F28" s="252">
        <v>12</v>
      </c>
      <c r="G28" s="252">
        <f>Rounds!$F28-Rounds!$E28</f>
        <v>4</v>
      </c>
      <c r="H28" s="256">
        <f>Rounds!$E28/Rounds!$F28</f>
        <v>0.66666666666666663</v>
      </c>
    </row>
    <row r="29" spans="1:14" ht="15">
      <c r="A29" s="252" t="s">
        <v>908</v>
      </c>
      <c r="B29" s="252" t="s">
        <v>909</v>
      </c>
      <c r="C29" s="252">
        <v>2026</v>
      </c>
      <c r="D29" s="252" t="s">
        <v>826</v>
      </c>
      <c r="E29" s="252">
        <v>14</v>
      </c>
      <c r="F29" s="252">
        <v>15</v>
      </c>
      <c r="G29" s="252">
        <f>Rounds!$F29-Rounds!$E29</f>
        <v>1</v>
      </c>
      <c r="H29" s="256">
        <f>Rounds!$E29/Rounds!$F29</f>
        <v>0.93333333333333335</v>
      </c>
    </row>
    <row r="30" spans="1:14" ht="15">
      <c r="A30" s="252" t="s">
        <v>908</v>
      </c>
      <c r="B30" s="252" t="s">
        <v>909</v>
      </c>
      <c r="C30" s="252">
        <v>2026</v>
      </c>
      <c r="D30" s="252" t="s">
        <v>827</v>
      </c>
      <c r="E30" s="252">
        <v>9</v>
      </c>
      <c r="F30" s="252">
        <v>12</v>
      </c>
      <c r="G30" s="252">
        <f>Rounds!$F30-Rounds!$E30</f>
        <v>3</v>
      </c>
      <c r="H30" s="256">
        <f>Rounds!$E30/Rounds!$F30</f>
        <v>0.75</v>
      </c>
    </row>
    <row r="31" spans="1:14" ht="15">
      <c r="A31" s="252" t="s">
        <v>908</v>
      </c>
      <c r="B31" s="252" t="s">
        <v>909</v>
      </c>
      <c r="C31" s="252">
        <v>2026</v>
      </c>
      <c r="D31" s="252" t="s">
        <v>828</v>
      </c>
      <c r="E31" s="252">
        <v>8</v>
      </c>
      <c r="F31" s="252">
        <v>12</v>
      </c>
      <c r="G31" s="252">
        <f>Rounds!$F31-Rounds!$E31</f>
        <v>4</v>
      </c>
      <c r="H31" s="256">
        <f>Rounds!$E31/Rounds!$F31</f>
        <v>0.66666666666666663</v>
      </c>
    </row>
    <row r="32" spans="1:14" ht="15">
      <c r="A32" s="252" t="s">
        <v>908</v>
      </c>
      <c r="B32" s="252" t="s">
        <v>909</v>
      </c>
      <c r="C32" s="252">
        <v>2026</v>
      </c>
      <c r="D32" s="252" t="s">
        <v>829</v>
      </c>
      <c r="E32" s="252">
        <v>10</v>
      </c>
      <c r="F32" s="252">
        <v>15</v>
      </c>
      <c r="G32" s="252">
        <f>Rounds!$F32-Rounds!$E32</f>
        <v>5</v>
      </c>
      <c r="H32" s="256">
        <f>Table6[[#This Row],[Realizados]]/Table6[[#This Row],[Previstos]]</f>
        <v>0.66666666666666663</v>
      </c>
    </row>
    <row r="33" spans="1:8" ht="15">
      <c r="A33" s="252" t="s">
        <v>908</v>
      </c>
      <c r="B33" s="252" t="s">
        <v>909</v>
      </c>
      <c r="C33" s="252">
        <v>2026</v>
      </c>
      <c r="D33" s="252" t="s">
        <v>830</v>
      </c>
      <c r="E33" s="252">
        <v>10</v>
      </c>
      <c r="F33" s="252">
        <v>12</v>
      </c>
      <c r="G33" s="252">
        <f>Rounds!$F33-Rounds!$E33</f>
        <v>2</v>
      </c>
      <c r="H33" s="256">
        <v>0</v>
      </c>
    </row>
    <row r="34" spans="1:8" ht="15">
      <c r="A34" s="252" t="s">
        <v>908</v>
      </c>
      <c r="B34" s="252" t="s">
        <v>909</v>
      </c>
      <c r="C34" s="252">
        <v>2026</v>
      </c>
      <c r="D34" s="252" t="s">
        <v>831</v>
      </c>
      <c r="E34" s="252">
        <v>9</v>
      </c>
      <c r="F34" s="252">
        <v>15</v>
      </c>
      <c r="G34" s="252">
        <f>Rounds!$F34-Rounds!$E34</f>
        <v>6</v>
      </c>
      <c r="H34" s="256">
        <f>Table6[[#This Row],[Realizados]]/Table6[[#This Row],[Previstos]]</f>
        <v>0.6</v>
      </c>
    </row>
    <row r="35" spans="1:8" ht="15">
      <c r="A35" s="252" t="s">
        <v>908</v>
      </c>
      <c r="B35" s="252" t="s">
        <v>909</v>
      </c>
      <c r="C35" s="252">
        <v>2026</v>
      </c>
      <c r="D35" s="252" t="s">
        <v>832</v>
      </c>
      <c r="E35" s="252">
        <v>0</v>
      </c>
      <c r="F35" s="252">
        <v>0</v>
      </c>
      <c r="G35" s="252">
        <f>Rounds!$F35-Rounds!$E35</f>
        <v>0</v>
      </c>
      <c r="H35" s="256">
        <v>0</v>
      </c>
    </row>
    <row r="36" spans="1:8" ht="15">
      <c r="A36" s="252" t="s">
        <v>908</v>
      </c>
      <c r="B36" s="252" t="s">
        <v>909</v>
      </c>
      <c r="C36" s="252">
        <v>2026</v>
      </c>
      <c r="D36" s="252" t="s">
        <v>833</v>
      </c>
      <c r="E36" s="252">
        <v>0</v>
      </c>
      <c r="F36" s="252">
        <v>0</v>
      </c>
      <c r="G36" s="252">
        <f>Rounds!$F36-Rounds!$E36</f>
        <v>0</v>
      </c>
      <c r="H36" s="256">
        <v>0</v>
      </c>
    </row>
    <row r="37" spans="1:8" ht="15">
      <c r="A37" s="252" t="s">
        <v>908</v>
      </c>
      <c r="B37" s="252" t="s">
        <v>909</v>
      </c>
      <c r="C37" s="252">
        <v>2026</v>
      </c>
      <c r="D37" s="252" t="s">
        <v>834</v>
      </c>
      <c r="E37" s="252">
        <v>0</v>
      </c>
      <c r="F37" s="252">
        <v>0</v>
      </c>
      <c r="G37" s="252">
        <f>Rounds!$F37-Rounds!$E37</f>
        <v>0</v>
      </c>
      <c r="H37" s="256">
        <v>0</v>
      </c>
    </row>
    <row r="38" spans="1:8" ht="15">
      <c r="A38" s="252" t="s">
        <v>910</v>
      </c>
      <c r="B38" s="252" t="s">
        <v>911</v>
      </c>
      <c r="C38" s="252">
        <v>2026</v>
      </c>
      <c r="D38" s="252" t="s">
        <v>823</v>
      </c>
      <c r="E38" s="252">
        <v>12</v>
      </c>
      <c r="F38" s="252">
        <v>12</v>
      </c>
      <c r="G38" s="252">
        <f>Rounds!$F38-Rounds!$E38</f>
        <v>0</v>
      </c>
      <c r="H38" s="256">
        <f>Rounds!$E38/Rounds!$F38</f>
        <v>1</v>
      </c>
    </row>
    <row r="39" spans="1:8" ht="15">
      <c r="A39" s="252" t="s">
        <v>910</v>
      </c>
      <c r="B39" s="252" t="s">
        <v>911</v>
      </c>
      <c r="C39" s="252">
        <v>2026</v>
      </c>
      <c r="D39" s="252" t="s">
        <v>824</v>
      </c>
      <c r="E39" s="252">
        <v>12</v>
      </c>
      <c r="F39" s="252">
        <v>12</v>
      </c>
      <c r="G39" s="252">
        <f>Rounds!$F39-Rounds!$E39</f>
        <v>0</v>
      </c>
      <c r="H39" s="256">
        <f>Rounds!$E39/Rounds!$F39</f>
        <v>1</v>
      </c>
    </row>
    <row r="40" spans="1:8" ht="15">
      <c r="A40" s="252" t="s">
        <v>910</v>
      </c>
      <c r="B40" s="252" t="s">
        <v>911</v>
      </c>
      <c r="C40" s="252">
        <v>2026</v>
      </c>
      <c r="D40" s="252" t="s">
        <v>825</v>
      </c>
      <c r="E40" s="252">
        <v>12</v>
      </c>
      <c r="F40" s="252">
        <v>12</v>
      </c>
      <c r="G40" s="252">
        <f>Rounds!$F40-Rounds!$E40</f>
        <v>0</v>
      </c>
      <c r="H40" s="256">
        <f>Rounds!$E40/Rounds!$F40</f>
        <v>1</v>
      </c>
    </row>
    <row r="41" spans="1:8" ht="15">
      <c r="A41" s="252" t="s">
        <v>910</v>
      </c>
      <c r="B41" s="252" t="s">
        <v>911</v>
      </c>
      <c r="C41" s="252">
        <v>2026</v>
      </c>
      <c r="D41" s="252" t="s">
        <v>826</v>
      </c>
      <c r="E41" s="252">
        <v>15</v>
      </c>
      <c r="F41" s="252">
        <v>15</v>
      </c>
      <c r="G41" s="252">
        <f>Rounds!$F41-Rounds!$E41</f>
        <v>0</v>
      </c>
      <c r="H41" s="256">
        <f>Rounds!$E41/Rounds!$F41</f>
        <v>1</v>
      </c>
    </row>
    <row r="42" spans="1:8" ht="15">
      <c r="A42" s="252" t="s">
        <v>910</v>
      </c>
      <c r="B42" s="252" t="s">
        <v>911</v>
      </c>
      <c r="C42" s="252">
        <v>2026</v>
      </c>
      <c r="D42" s="252" t="s">
        <v>827</v>
      </c>
      <c r="E42" s="252">
        <v>11</v>
      </c>
      <c r="F42" s="252">
        <v>12</v>
      </c>
      <c r="G42" s="252">
        <f>Rounds!$F42-Rounds!$E42</f>
        <v>1</v>
      </c>
      <c r="H42" s="256">
        <f>Rounds!$E42/Rounds!$F42</f>
        <v>0.91666666666666663</v>
      </c>
    </row>
    <row r="43" spans="1:8" ht="15">
      <c r="A43" s="252" t="s">
        <v>910</v>
      </c>
      <c r="B43" s="252" t="s">
        <v>911</v>
      </c>
      <c r="C43" s="252">
        <v>2026</v>
      </c>
      <c r="D43" s="252" t="s">
        <v>828</v>
      </c>
      <c r="E43" s="252">
        <v>12</v>
      </c>
      <c r="F43" s="252">
        <v>12</v>
      </c>
      <c r="G43" s="252">
        <f>Rounds!$F43-Rounds!$E43</f>
        <v>0</v>
      </c>
      <c r="H43" s="256">
        <f>Rounds!$E43/Rounds!$F43</f>
        <v>1</v>
      </c>
    </row>
    <row r="44" spans="1:8" ht="15">
      <c r="A44" s="252" t="s">
        <v>910</v>
      </c>
      <c r="B44" s="252" t="s">
        <v>911</v>
      </c>
      <c r="C44" s="252">
        <v>2026</v>
      </c>
      <c r="D44" s="252" t="s">
        <v>829</v>
      </c>
      <c r="E44" s="252">
        <v>15</v>
      </c>
      <c r="F44" s="252">
        <v>15</v>
      </c>
      <c r="G44" s="252">
        <f>Rounds!$F44-Rounds!$E44</f>
        <v>0</v>
      </c>
      <c r="H44" s="256">
        <f>Table6[[#This Row],[Realizados]]/Table6[[#This Row],[Previstos]]</f>
        <v>1</v>
      </c>
    </row>
    <row r="45" spans="1:8" ht="15">
      <c r="A45" s="252" t="s">
        <v>910</v>
      </c>
      <c r="B45" s="252" t="s">
        <v>911</v>
      </c>
      <c r="C45" s="252">
        <v>2026</v>
      </c>
      <c r="D45" s="252" t="s">
        <v>830</v>
      </c>
      <c r="E45" s="252">
        <v>12</v>
      </c>
      <c r="F45" s="252">
        <v>12</v>
      </c>
      <c r="G45" s="252">
        <f>Rounds!$F45-Rounds!$E45</f>
        <v>0</v>
      </c>
      <c r="H45" s="256">
        <v>0</v>
      </c>
    </row>
    <row r="46" spans="1:8" ht="15">
      <c r="A46" s="252" t="s">
        <v>910</v>
      </c>
      <c r="B46" s="252" t="s">
        <v>911</v>
      </c>
      <c r="C46" s="252">
        <v>2026</v>
      </c>
      <c r="D46" s="252" t="s">
        <v>831</v>
      </c>
      <c r="E46" s="252">
        <v>14</v>
      </c>
      <c r="F46" s="252">
        <v>15</v>
      </c>
      <c r="G46" s="252">
        <f>Rounds!$F46-Rounds!$E46</f>
        <v>1</v>
      </c>
      <c r="H46" s="256">
        <f>Table6[[#This Row],[Realizados]]/Table6[[#This Row],[Previstos]]</f>
        <v>0.93333333333333335</v>
      </c>
    </row>
    <row r="47" spans="1:8" ht="15">
      <c r="A47" s="252" t="s">
        <v>910</v>
      </c>
      <c r="B47" s="252" t="s">
        <v>911</v>
      </c>
      <c r="C47" s="252">
        <v>2026</v>
      </c>
      <c r="D47" s="252" t="s">
        <v>832</v>
      </c>
      <c r="E47" s="252">
        <v>0</v>
      </c>
      <c r="F47" s="252">
        <v>0</v>
      </c>
      <c r="G47" s="252">
        <f>Rounds!$F47-Rounds!$E47</f>
        <v>0</v>
      </c>
      <c r="H47" s="256">
        <v>0</v>
      </c>
    </row>
    <row r="48" spans="1:8" ht="15">
      <c r="A48" s="252" t="s">
        <v>910</v>
      </c>
      <c r="B48" s="252" t="s">
        <v>911</v>
      </c>
      <c r="C48" s="252">
        <v>2026</v>
      </c>
      <c r="D48" s="252" t="s">
        <v>833</v>
      </c>
      <c r="E48" s="252">
        <v>0</v>
      </c>
      <c r="F48" s="252">
        <v>0</v>
      </c>
      <c r="G48" s="252">
        <f>Rounds!$F48-Rounds!$E48</f>
        <v>0</v>
      </c>
      <c r="H48" s="256">
        <v>0</v>
      </c>
    </row>
    <row r="49" spans="1:8" ht="15">
      <c r="A49" s="252" t="s">
        <v>910</v>
      </c>
      <c r="B49" s="252" t="s">
        <v>911</v>
      </c>
      <c r="C49" s="252">
        <v>2026</v>
      </c>
      <c r="D49" s="252" t="s">
        <v>834</v>
      </c>
      <c r="E49" s="252">
        <v>0</v>
      </c>
      <c r="F49" s="252">
        <v>0</v>
      </c>
      <c r="G49" s="252">
        <f>Rounds!$F49-Rounds!$E49</f>
        <v>0</v>
      </c>
      <c r="H49" s="256">
        <v>0</v>
      </c>
    </row>
    <row r="50" spans="1:8" ht="15">
      <c r="A50" s="252" t="s">
        <v>912</v>
      </c>
      <c r="B50" s="252" t="s">
        <v>913</v>
      </c>
      <c r="C50" s="252">
        <v>2026</v>
      </c>
      <c r="D50" s="252" t="s">
        <v>823</v>
      </c>
      <c r="E50" s="252">
        <v>12</v>
      </c>
      <c r="F50" s="252">
        <v>12</v>
      </c>
      <c r="G50" s="252">
        <f>Rounds!$F50-Rounds!$E50</f>
        <v>0</v>
      </c>
      <c r="H50" s="256">
        <f>Rounds!$E50/Rounds!$F50</f>
        <v>1</v>
      </c>
    </row>
    <row r="51" spans="1:8" ht="15">
      <c r="A51" s="252" t="s">
        <v>912</v>
      </c>
      <c r="B51" s="252" t="s">
        <v>913</v>
      </c>
      <c r="C51" s="252">
        <v>2026</v>
      </c>
      <c r="D51" s="252" t="s">
        <v>824</v>
      </c>
      <c r="E51" s="252">
        <v>12</v>
      </c>
      <c r="F51" s="252">
        <v>12</v>
      </c>
      <c r="G51" s="252">
        <f>Rounds!$F51-Rounds!$E51</f>
        <v>0</v>
      </c>
      <c r="H51" s="256">
        <f>Rounds!$E51/Rounds!$F51</f>
        <v>1</v>
      </c>
    </row>
    <row r="52" spans="1:8" ht="15">
      <c r="A52" s="252" t="s">
        <v>912</v>
      </c>
      <c r="B52" s="252" t="s">
        <v>913</v>
      </c>
      <c r="C52" s="252">
        <v>2026</v>
      </c>
      <c r="D52" s="252" t="s">
        <v>825</v>
      </c>
      <c r="E52" s="252">
        <v>12</v>
      </c>
      <c r="F52" s="252">
        <v>12</v>
      </c>
      <c r="G52" s="252">
        <f>Rounds!$F52-Rounds!$E52</f>
        <v>0</v>
      </c>
      <c r="H52" s="256">
        <f>Rounds!$E52/Rounds!$F52</f>
        <v>1</v>
      </c>
    </row>
    <row r="53" spans="1:8" ht="15">
      <c r="A53" s="252" t="s">
        <v>912</v>
      </c>
      <c r="B53" s="252" t="s">
        <v>913</v>
      </c>
      <c r="C53" s="252">
        <v>2026</v>
      </c>
      <c r="D53" s="252" t="s">
        <v>826</v>
      </c>
      <c r="E53" s="252">
        <v>15</v>
      </c>
      <c r="F53" s="252">
        <v>15</v>
      </c>
      <c r="G53" s="252">
        <f>Rounds!$F53-Rounds!$E53</f>
        <v>0</v>
      </c>
      <c r="H53" s="256">
        <f>Rounds!$E53/Rounds!$F53</f>
        <v>1</v>
      </c>
    </row>
    <row r="54" spans="1:8" ht="15">
      <c r="A54" s="252" t="s">
        <v>912</v>
      </c>
      <c r="B54" s="252" t="s">
        <v>913</v>
      </c>
      <c r="C54" s="252">
        <v>2026</v>
      </c>
      <c r="D54" s="252" t="s">
        <v>827</v>
      </c>
      <c r="E54" s="252">
        <v>12</v>
      </c>
      <c r="F54" s="252">
        <v>12</v>
      </c>
      <c r="G54" s="252">
        <f>Rounds!$F54-Rounds!$E54</f>
        <v>0</v>
      </c>
      <c r="H54" s="256">
        <f>Rounds!$E54/Rounds!$F54</f>
        <v>1</v>
      </c>
    </row>
    <row r="55" spans="1:8" ht="15">
      <c r="A55" s="252" t="s">
        <v>912</v>
      </c>
      <c r="B55" s="252" t="s">
        <v>913</v>
      </c>
      <c r="C55" s="252">
        <v>2026</v>
      </c>
      <c r="D55" s="252" t="s">
        <v>828</v>
      </c>
      <c r="E55" s="252">
        <v>12</v>
      </c>
      <c r="F55" s="252">
        <v>12</v>
      </c>
      <c r="G55" s="252">
        <f>Rounds!$F55-Rounds!$E55</f>
        <v>0</v>
      </c>
      <c r="H55" s="256">
        <f>Rounds!$E55/Rounds!$F55</f>
        <v>1</v>
      </c>
    </row>
    <row r="56" spans="1:8" ht="15">
      <c r="A56" s="252" t="s">
        <v>912</v>
      </c>
      <c r="B56" s="252" t="s">
        <v>913</v>
      </c>
      <c r="C56" s="252">
        <v>2026</v>
      </c>
      <c r="D56" s="252" t="s">
        <v>829</v>
      </c>
      <c r="E56" s="252">
        <v>15</v>
      </c>
      <c r="F56" s="252">
        <v>15</v>
      </c>
      <c r="G56" s="252">
        <f>Rounds!$F56-Rounds!$E56</f>
        <v>0</v>
      </c>
      <c r="H56" s="256">
        <f>Table6[[#This Row],[Realizados]]/Table6[[#This Row],[Previstos]]</f>
        <v>1</v>
      </c>
    </row>
    <row r="57" spans="1:8" ht="15">
      <c r="A57" s="252" t="s">
        <v>912</v>
      </c>
      <c r="B57" s="252" t="s">
        <v>913</v>
      </c>
      <c r="C57" s="252">
        <v>2026</v>
      </c>
      <c r="D57" s="252" t="s">
        <v>830</v>
      </c>
      <c r="E57" s="252">
        <v>12</v>
      </c>
      <c r="F57" s="252">
        <v>12</v>
      </c>
      <c r="G57" s="252">
        <f>Rounds!$F57-Rounds!$E57</f>
        <v>0</v>
      </c>
      <c r="H57" s="256">
        <v>0</v>
      </c>
    </row>
    <row r="58" spans="1:8" ht="15">
      <c r="A58" s="252" t="s">
        <v>912</v>
      </c>
      <c r="B58" s="252" t="s">
        <v>913</v>
      </c>
      <c r="C58" s="252">
        <v>2026</v>
      </c>
      <c r="D58" s="252" t="s">
        <v>831</v>
      </c>
      <c r="E58" s="252">
        <v>15</v>
      </c>
      <c r="F58" s="252">
        <v>15</v>
      </c>
      <c r="G58" s="252">
        <f>Rounds!$F58-Rounds!$E58</f>
        <v>0</v>
      </c>
      <c r="H58" s="256">
        <f>Table6[[#This Row],[Realizados]]/Table6[[#This Row],[Previstos]]</f>
        <v>1</v>
      </c>
    </row>
    <row r="59" spans="1:8" ht="15">
      <c r="A59" s="252" t="s">
        <v>912</v>
      </c>
      <c r="B59" s="252" t="s">
        <v>913</v>
      </c>
      <c r="C59" s="252">
        <v>2026</v>
      </c>
      <c r="D59" s="252" t="s">
        <v>832</v>
      </c>
      <c r="E59" s="252">
        <v>0</v>
      </c>
      <c r="F59" s="252">
        <v>0</v>
      </c>
      <c r="G59" s="252">
        <f>Rounds!$F59-Rounds!$E59</f>
        <v>0</v>
      </c>
      <c r="H59" s="256">
        <v>0</v>
      </c>
    </row>
    <row r="60" spans="1:8" ht="15">
      <c r="A60" s="252" t="s">
        <v>912</v>
      </c>
      <c r="B60" s="252" t="s">
        <v>913</v>
      </c>
      <c r="C60" s="252">
        <v>2026</v>
      </c>
      <c r="D60" s="252" t="s">
        <v>833</v>
      </c>
      <c r="E60" s="252">
        <v>0</v>
      </c>
      <c r="F60" s="252">
        <v>0</v>
      </c>
      <c r="G60" s="252">
        <f>Rounds!$F60-Rounds!$E60</f>
        <v>0</v>
      </c>
      <c r="H60" s="256">
        <v>0</v>
      </c>
    </row>
    <row r="61" spans="1:8" ht="15">
      <c r="A61" s="252" t="s">
        <v>912</v>
      </c>
      <c r="B61" s="252" t="s">
        <v>913</v>
      </c>
      <c r="C61" s="252">
        <v>2026</v>
      </c>
      <c r="D61" s="252" t="s">
        <v>834</v>
      </c>
      <c r="E61" s="252">
        <v>0</v>
      </c>
      <c r="F61" s="252">
        <v>0</v>
      </c>
      <c r="G61" s="252">
        <f>Rounds!$F61-Rounds!$E61</f>
        <v>0</v>
      </c>
      <c r="H61" s="256">
        <v>0</v>
      </c>
    </row>
    <row r="62" spans="1:8" ht="15">
      <c r="A62" s="252" t="s">
        <v>452</v>
      </c>
      <c r="B62" s="252" t="s">
        <v>663</v>
      </c>
      <c r="C62" s="252">
        <v>2026</v>
      </c>
      <c r="D62" s="252" t="s">
        <v>823</v>
      </c>
      <c r="E62" s="252">
        <v>8</v>
      </c>
      <c r="F62" s="252">
        <v>12</v>
      </c>
      <c r="G62" s="252">
        <f>Rounds!$F62-Rounds!$E62</f>
        <v>4</v>
      </c>
      <c r="H62" s="256">
        <f>Rounds!$E62/Rounds!$F62</f>
        <v>0.66666666666666663</v>
      </c>
    </row>
    <row r="63" spans="1:8" ht="15">
      <c r="A63" s="252" t="s">
        <v>452</v>
      </c>
      <c r="B63" s="252" t="s">
        <v>663</v>
      </c>
      <c r="C63" s="252">
        <v>2026</v>
      </c>
      <c r="D63" s="252" t="s">
        <v>824</v>
      </c>
      <c r="E63" s="252">
        <v>10</v>
      </c>
      <c r="F63" s="252">
        <v>12</v>
      </c>
      <c r="G63" s="252">
        <f>Rounds!$F63-Rounds!$E63</f>
        <v>2</v>
      </c>
      <c r="H63" s="256">
        <f>Rounds!$E63/Rounds!$F63</f>
        <v>0.83333333333333337</v>
      </c>
    </row>
    <row r="64" spans="1:8" ht="15">
      <c r="A64" s="252" t="s">
        <v>452</v>
      </c>
      <c r="B64" s="252" t="s">
        <v>663</v>
      </c>
      <c r="C64" s="252">
        <v>2026</v>
      </c>
      <c r="D64" s="252" t="s">
        <v>825</v>
      </c>
      <c r="E64" s="252">
        <v>11</v>
      </c>
      <c r="F64" s="252">
        <v>12</v>
      </c>
      <c r="G64" s="252">
        <f>Rounds!$F64-Rounds!$E64</f>
        <v>1</v>
      </c>
      <c r="H64" s="256">
        <f>Rounds!$E64/Rounds!$F64</f>
        <v>0.91666666666666663</v>
      </c>
    </row>
    <row r="65" spans="1:8" ht="15">
      <c r="A65" s="252" t="s">
        <v>452</v>
      </c>
      <c r="B65" s="252" t="s">
        <v>663</v>
      </c>
      <c r="C65" s="252">
        <v>2026</v>
      </c>
      <c r="D65" s="252" t="s">
        <v>826</v>
      </c>
      <c r="E65" s="252">
        <v>15</v>
      </c>
      <c r="F65" s="252">
        <v>15</v>
      </c>
      <c r="G65" s="252">
        <f>Rounds!$F65-Rounds!$E65</f>
        <v>0</v>
      </c>
      <c r="H65" s="256">
        <f>Rounds!$E65/Rounds!$F65</f>
        <v>1</v>
      </c>
    </row>
    <row r="66" spans="1:8" ht="15">
      <c r="A66" s="252" t="s">
        <v>452</v>
      </c>
      <c r="B66" s="252" t="s">
        <v>663</v>
      </c>
      <c r="C66" s="252">
        <v>2026</v>
      </c>
      <c r="D66" s="252" t="s">
        <v>827</v>
      </c>
      <c r="E66" s="252">
        <v>12</v>
      </c>
      <c r="F66" s="252">
        <v>12</v>
      </c>
      <c r="G66" s="252">
        <f>Rounds!$F66-Rounds!$E66</f>
        <v>0</v>
      </c>
      <c r="H66" s="256">
        <f>Rounds!$E66/Rounds!$F66</f>
        <v>1</v>
      </c>
    </row>
    <row r="67" spans="1:8" ht="15">
      <c r="A67" s="252" t="s">
        <v>452</v>
      </c>
      <c r="B67" s="252" t="s">
        <v>663</v>
      </c>
      <c r="C67" s="252">
        <v>2026</v>
      </c>
      <c r="D67" s="252" t="s">
        <v>828</v>
      </c>
      <c r="E67" s="252">
        <v>8</v>
      </c>
      <c r="F67" s="252">
        <v>12</v>
      </c>
      <c r="G67" s="252">
        <f>Rounds!$F67-Rounds!$E67</f>
        <v>4</v>
      </c>
      <c r="H67" s="256">
        <f>Rounds!$E67/Rounds!$F67</f>
        <v>0.66666666666666663</v>
      </c>
    </row>
    <row r="68" spans="1:8" ht="15">
      <c r="A68" s="252" t="s">
        <v>452</v>
      </c>
      <c r="B68" s="252" t="s">
        <v>663</v>
      </c>
      <c r="C68" s="252">
        <v>2026</v>
      </c>
      <c r="D68" s="252" t="s">
        <v>829</v>
      </c>
      <c r="E68" s="252">
        <v>11</v>
      </c>
      <c r="F68" s="252">
        <v>15</v>
      </c>
      <c r="G68" s="252">
        <f>Rounds!$F68-Rounds!$E68</f>
        <v>4</v>
      </c>
      <c r="H68" s="256">
        <f>Table6[[#This Row],[Realizados]]/Table6[[#This Row],[Previstos]]</f>
        <v>0.73333333333333328</v>
      </c>
    </row>
    <row r="69" spans="1:8" ht="15">
      <c r="A69" s="252" t="s">
        <v>452</v>
      </c>
      <c r="B69" s="252" t="s">
        <v>663</v>
      </c>
      <c r="C69" s="252">
        <v>2026</v>
      </c>
      <c r="D69" s="252" t="s">
        <v>830</v>
      </c>
      <c r="E69" s="252">
        <v>12</v>
      </c>
      <c r="F69" s="252">
        <v>12</v>
      </c>
      <c r="G69" s="252">
        <f>Rounds!$F69-Rounds!$E69</f>
        <v>0</v>
      </c>
      <c r="H69" s="256">
        <v>0</v>
      </c>
    </row>
    <row r="70" spans="1:8" ht="15">
      <c r="A70" s="252" t="s">
        <v>452</v>
      </c>
      <c r="B70" s="252" t="s">
        <v>663</v>
      </c>
      <c r="C70" s="252">
        <v>2026</v>
      </c>
      <c r="D70" s="252" t="s">
        <v>831</v>
      </c>
      <c r="E70" s="252">
        <v>13</v>
      </c>
      <c r="F70" s="252">
        <v>15</v>
      </c>
      <c r="G70" s="252">
        <f>Rounds!$F70-Rounds!$E70</f>
        <v>2</v>
      </c>
      <c r="H70" s="256">
        <f>Table6[[#This Row],[Realizados]]/Table6[[#This Row],[Previstos]]</f>
        <v>0.8666666666666667</v>
      </c>
    </row>
    <row r="71" spans="1:8" ht="15">
      <c r="A71" s="252" t="s">
        <v>452</v>
      </c>
      <c r="B71" s="252" t="s">
        <v>663</v>
      </c>
      <c r="C71" s="252">
        <v>2026</v>
      </c>
      <c r="D71" s="252" t="s">
        <v>832</v>
      </c>
      <c r="E71" s="252">
        <v>0</v>
      </c>
      <c r="F71" s="252">
        <v>0</v>
      </c>
      <c r="G71" s="252">
        <f>Rounds!$F71-Rounds!$E71</f>
        <v>0</v>
      </c>
      <c r="H71" s="256">
        <v>0</v>
      </c>
    </row>
    <row r="72" spans="1:8" ht="15">
      <c r="A72" s="252" t="s">
        <v>452</v>
      </c>
      <c r="B72" s="252" t="s">
        <v>663</v>
      </c>
      <c r="C72" s="252">
        <v>2026</v>
      </c>
      <c r="D72" s="252" t="s">
        <v>833</v>
      </c>
      <c r="E72" s="252">
        <v>0</v>
      </c>
      <c r="F72" s="252">
        <v>0</v>
      </c>
      <c r="G72" s="252">
        <f>Rounds!$F72-Rounds!$E72</f>
        <v>0</v>
      </c>
      <c r="H72" s="256">
        <v>0</v>
      </c>
    </row>
    <row r="73" spans="1:8" ht="15">
      <c r="A73" s="252" t="s">
        <v>452</v>
      </c>
      <c r="B73" s="252" t="s">
        <v>663</v>
      </c>
      <c r="C73" s="252">
        <v>2026</v>
      </c>
      <c r="D73" s="252" t="s">
        <v>834</v>
      </c>
      <c r="E73" s="252">
        <v>0</v>
      </c>
      <c r="F73" s="252">
        <v>0</v>
      </c>
      <c r="G73" s="252">
        <f>Rounds!$F73-Rounds!$E73</f>
        <v>0</v>
      </c>
      <c r="H73" s="256">
        <v>0</v>
      </c>
    </row>
    <row r="74" spans="1:8" ht="15">
      <c r="A74" s="252" t="s">
        <v>914</v>
      </c>
      <c r="B74" s="252" t="s">
        <v>915</v>
      </c>
      <c r="C74" s="252">
        <v>2026</v>
      </c>
      <c r="D74" s="252" t="s">
        <v>823</v>
      </c>
      <c r="E74" s="252">
        <v>6</v>
      </c>
      <c r="F74" s="252">
        <v>12</v>
      </c>
      <c r="G74" s="252">
        <f>Rounds!$F74-Rounds!$E74</f>
        <v>6</v>
      </c>
      <c r="H74" s="256">
        <f>Rounds!$E74/Rounds!$F74</f>
        <v>0.5</v>
      </c>
    </row>
    <row r="75" spans="1:8" ht="15">
      <c r="A75" s="252" t="s">
        <v>914</v>
      </c>
      <c r="B75" s="252" t="s">
        <v>915</v>
      </c>
      <c r="C75" s="252">
        <v>2026</v>
      </c>
      <c r="D75" s="252" t="s">
        <v>824</v>
      </c>
      <c r="E75" s="252">
        <v>5</v>
      </c>
      <c r="F75" s="252">
        <v>12</v>
      </c>
      <c r="G75" s="252">
        <f>Rounds!$F75-Rounds!$E75</f>
        <v>7</v>
      </c>
      <c r="H75" s="256">
        <f>Rounds!$E75/Rounds!$F75</f>
        <v>0.41666666666666669</v>
      </c>
    </row>
    <row r="76" spans="1:8" ht="15">
      <c r="A76" s="252" t="s">
        <v>914</v>
      </c>
      <c r="B76" s="252" t="s">
        <v>915</v>
      </c>
      <c r="C76" s="252">
        <v>2026</v>
      </c>
      <c r="D76" s="252" t="s">
        <v>825</v>
      </c>
      <c r="E76" s="252">
        <v>8</v>
      </c>
      <c r="F76" s="252">
        <v>12</v>
      </c>
      <c r="G76" s="252">
        <f>Rounds!$F76-Rounds!$E76</f>
        <v>4</v>
      </c>
      <c r="H76" s="256">
        <f>Rounds!$E76/Rounds!$F76</f>
        <v>0.66666666666666663</v>
      </c>
    </row>
    <row r="77" spans="1:8" ht="15">
      <c r="A77" s="252" t="s">
        <v>914</v>
      </c>
      <c r="B77" s="252" t="s">
        <v>915</v>
      </c>
      <c r="C77" s="252">
        <v>2026</v>
      </c>
      <c r="D77" s="252" t="s">
        <v>826</v>
      </c>
      <c r="E77" s="252">
        <v>14</v>
      </c>
      <c r="F77" s="252">
        <v>15</v>
      </c>
      <c r="G77" s="252">
        <f>Rounds!$F77-Rounds!$E77</f>
        <v>1</v>
      </c>
      <c r="H77" s="256">
        <f>Rounds!$E77/Rounds!$F77</f>
        <v>0.93333333333333335</v>
      </c>
    </row>
    <row r="78" spans="1:8" ht="15">
      <c r="A78" s="252" t="s">
        <v>914</v>
      </c>
      <c r="B78" s="252" t="s">
        <v>915</v>
      </c>
      <c r="C78" s="252">
        <v>2026</v>
      </c>
      <c r="D78" s="252" t="s">
        <v>827</v>
      </c>
      <c r="E78" s="252">
        <v>10</v>
      </c>
      <c r="F78" s="252">
        <v>12</v>
      </c>
      <c r="G78" s="252">
        <f>Rounds!$F78-Rounds!$E78</f>
        <v>2</v>
      </c>
      <c r="H78" s="256">
        <f>Rounds!$E78/Rounds!$F78</f>
        <v>0.83333333333333337</v>
      </c>
    </row>
    <row r="79" spans="1:8" ht="15">
      <c r="A79" s="252" t="s">
        <v>914</v>
      </c>
      <c r="B79" s="252" t="s">
        <v>915</v>
      </c>
      <c r="C79" s="252">
        <v>2026</v>
      </c>
      <c r="D79" s="252" t="s">
        <v>828</v>
      </c>
      <c r="E79" s="252">
        <v>9</v>
      </c>
      <c r="F79" s="252">
        <v>12</v>
      </c>
      <c r="G79" s="252">
        <f>Rounds!$F79-Rounds!$E79</f>
        <v>3</v>
      </c>
      <c r="H79" s="256">
        <f>Rounds!$E79/Rounds!$F79</f>
        <v>0.75</v>
      </c>
    </row>
    <row r="80" spans="1:8" ht="15">
      <c r="A80" s="252" t="s">
        <v>914</v>
      </c>
      <c r="B80" s="252" t="s">
        <v>915</v>
      </c>
      <c r="C80" s="252">
        <v>2026</v>
      </c>
      <c r="D80" s="252" t="s">
        <v>829</v>
      </c>
      <c r="E80" s="252">
        <v>15</v>
      </c>
      <c r="F80" s="252">
        <v>15</v>
      </c>
      <c r="G80" s="252">
        <f>Rounds!$F80-Rounds!$E80</f>
        <v>0</v>
      </c>
      <c r="H80" s="256">
        <f>Table6[[#This Row],[Realizados]]/Table6[[#This Row],[Previstos]]</f>
        <v>1</v>
      </c>
    </row>
    <row r="81" spans="1:8" ht="15">
      <c r="A81" s="252" t="s">
        <v>914</v>
      </c>
      <c r="B81" s="252" t="s">
        <v>915</v>
      </c>
      <c r="C81" s="252">
        <v>2026</v>
      </c>
      <c r="D81" s="252" t="s">
        <v>830</v>
      </c>
      <c r="E81" s="252">
        <v>12</v>
      </c>
      <c r="F81" s="252">
        <v>12</v>
      </c>
      <c r="G81" s="252">
        <f>Rounds!$F81-Rounds!$E81</f>
        <v>0</v>
      </c>
      <c r="H81" s="256">
        <v>0</v>
      </c>
    </row>
    <row r="82" spans="1:8" ht="15">
      <c r="A82" s="252" t="s">
        <v>914</v>
      </c>
      <c r="B82" s="252" t="s">
        <v>915</v>
      </c>
      <c r="C82" s="252">
        <v>2026</v>
      </c>
      <c r="D82" s="252" t="s">
        <v>831</v>
      </c>
      <c r="E82" s="252">
        <v>13</v>
      </c>
      <c r="F82" s="252">
        <v>15</v>
      </c>
      <c r="G82" s="252">
        <f>Rounds!$F82-Rounds!$E82</f>
        <v>2</v>
      </c>
      <c r="H82" s="256">
        <f>Table6[[#This Row],[Realizados]]/Table6[[#This Row],[Previstos]]</f>
        <v>0.8666666666666667</v>
      </c>
    </row>
    <row r="83" spans="1:8" ht="15">
      <c r="A83" s="252" t="s">
        <v>914</v>
      </c>
      <c r="B83" s="252" t="s">
        <v>915</v>
      </c>
      <c r="C83" s="252">
        <v>2026</v>
      </c>
      <c r="D83" s="252" t="s">
        <v>832</v>
      </c>
      <c r="E83" s="252">
        <v>0</v>
      </c>
      <c r="F83" s="252">
        <v>0</v>
      </c>
      <c r="G83" s="252">
        <f>Rounds!$F83-Rounds!$E83</f>
        <v>0</v>
      </c>
      <c r="H83" s="256">
        <v>0</v>
      </c>
    </row>
    <row r="84" spans="1:8" ht="15">
      <c r="A84" s="252" t="s">
        <v>914</v>
      </c>
      <c r="B84" s="252" t="s">
        <v>915</v>
      </c>
      <c r="C84" s="252">
        <v>2026</v>
      </c>
      <c r="D84" s="252" t="s">
        <v>833</v>
      </c>
      <c r="E84" s="252">
        <v>0</v>
      </c>
      <c r="F84" s="252">
        <v>0</v>
      </c>
      <c r="G84" s="252">
        <f>Rounds!$F84-Rounds!$E84</f>
        <v>0</v>
      </c>
      <c r="H84" s="256">
        <v>0</v>
      </c>
    </row>
    <row r="85" spans="1:8" ht="15">
      <c r="A85" s="252" t="s">
        <v>914</v>
      </c>
      <c r="B85" s="252" t="s">
        <v>915</v>
      </c>
      <c r="C85" s="252">
        <v>2026</v>
      </c>
      <c r="D85" s="252" t="s">
        <v>834</v>
      </c>
      <c r="E85" s="252">
        <v>0</v>
      </c>
      <c r="F85" s="252">
        <v>0</v>
      </c>
      <c r="G85" s="252">
        <f>Rounds!$F85-Rounds!$E85</f>
        <v>0</v>
      </c>
      <c r="H85" s="256">
        <v>0</v>
      </c>
    </row>
    <row r="86" spans="1:8" ht="15">
      <c r="A86" s="252" t="s">
        <v>916</v>
      </c>
      <c r="B86" s="252" t="s">
        <v>917</v>
      </c>
      <c r="C86" s="252">
        <v>2026</v>
      </c>
      <c r="D86" s="252" t="s">
        <v>823</v>
      </c>
      <c r="E86" s="252">
        <v>11</v>
      </c>
      <c r="F86" s="252">
        <v>12</v>
      </c>
      <c r="G86" s="252">
        <f>Rounds!$F86-Rounds!$E86</f>
        <v>1</v>
      </c>
      <c r="H86" s="256">
        <f>Rounds!$E86/Rounds!$F86</f>
        <v>0.91666666666666663</v>
      </c>
    </row>
    <row r="87" spans="1:8" ht="15">
      <c r="A87" s="252" t="s">
        <v>916</v>
      </c>
      <c r="B87" s="252" t="s">
        <v>917</v>
      </c>
      <c r="C87" s="252">
        <v>2026</v>
      </c>
      <c r="D87" s="252" t="s">
        <v>824</v>
      </c>
      <c r="E87" s="252">
        <v>12</v>
      </c>
      <c r="F87" s="252">
        <v>12</v>
      </c>
      <c r="G87" s="252">
        <f>Rounds!$F87-Rounds!$E87</f>
        <v>0</v>
      </c>
      <c r="H87" s="256">
        <f>Rounds!$E87/Rounds!$F87</f>
        <v>1</v>
      </c>
    </row>
    <row r="88" spans="1:8" ht="15">
      <c r="A88" s="252" t="s">
        <v>916</v>
      </c>
      <c r="B88" s="252" t="s">
        <v>917</v>
      </c>
      <c r="C88" s="252">
        <v>2026</v>
      </c>
      <c r="D88" s="252" t="s">
        <v>825</v>
      </c>
      <c r="E88" s="252">
        <v>12</v>
      </c>
      <c r="F88" s="252">
        <v>12</v>
      </c>
      <c r="G88" s="252">
        <f>Rounds!$F88-Rounds!$E88</f>
        <v>0</v>
      </c>
      <c r="H88" s="256">
        <f>Rounds!$E88/Rounds!$F88</f>
        <v>1</v>
      </c>
    </row>
    <row r="89" spans="1:8" ht="15">
      <c r="A89" s="252" t="s">
        <v>916</v>
      </c>
      <c r="B89" s="252" t="s">
        <v>917</v>
      </c>
      <c r="C89" s="252">
        <v>2026</v>
      </c>
      <c r="D89" s="252" t="s">
        <v>826</v>
      </c>
      <c r="E89" s="252">
        <v>15</v>
      </c>
      <c r="F89" s="252">
        <v>15</v>
      </c>
      <c r="G89" s="252">
        <f>Rounds!$F89-Rounds!$E89</f>
        <v>0</v>
      </c>
      <c r="H89" s="256">
        <f>Rounds!$E89/Rounds!$F89</f>
        <v>1</v>
      </c>
    </row>
    <row r="90" spans="1:8" ht="15">
      <c r="A90" s="252" t="s">
        <v>916</v>
      </c>
      <c r="B90" s="252" t="s">
        <v>917</v>
      </c>
      <c r="C90" s="252">
        <v>2026</v>
      </c>
      <c r="D90" s="252" t="s">
        <v>827</v>
      </c>
      <c r="E90" s="252">
        <v>11</v>
      </c>
      <c r="F90" s="252">
        <v>12</v>
      </c>
      <c r="G90" s="252">
        <f>Rounds!$F90-Rounds!$E90</f>
        <v>1</v>
      </c>
      <c r="H90" s="256">
        <f>Rounds!$E90/Rounds!$F90</f>
        <v>0.91666666666666663</v>
      </c>
    </row>
    <row r="91" spans="1:8" ht="15">
      <c r="A91" s="252" t="s">
        <v>916</v>
      </c>
      <c r="B91" s="252" t="s">
        <v>917</v>
      </c>
      <c r="C91" s="252">
        <v>2026</v>
      </c>
      <c r="D91" s="252" t="s">
        <v>828</v>
      </c>
      <c r="E91" s="252">
        <v>12</v>
      </c>
      <c r="F91" s="252">
        <v>12</v>
      </c>
      <c r="G91" s="252">
        <f>Rounds!$F91-Rounds!$E91</f>
        <v>0</v>
      </c>
      <c r="H91" s="256">
        <f>Rounds!$E91/Rounds!$F91</f>
        <v>1</v>
      </c>
    </row>
    <row r="92" spans="1:8" ht="15">
      <c r="A92" s="252" t="s">
        <v>916</v>
      </c>
      <c r="B92" s="252" t="s">
        <v>917</v>
      </c>
      <c r="C92" s="252">
        <v>2026</v>
      </c>
      <c r="D92" s="252" t="s">
        <v>829</v>
      </c>
      <c r="E92" s="252">
        <v>15</v>
      </c>
      <c r="F92" s="252">
        <v>15</v>
      </c>
      <c r="G92" s="252">
        <f>Rounds!$F92-Rounds!$E92</f>
        <v>0</v>
      </c>
      <c r="H92" s="256">
        <f>Table6[[#This Row],[Realizados]]/Table6[[#This Row],[Previstos]]</f>
        <v>1</v>
      </c>
    </row>
    <row r="93" spans="1:8" ht="15">
      <c r="A93" s="252" t="s">
        <v>916</v>
      </c>
      <c r="B93" s="252" t="s">
        <v>917</v>
      </c>
      <c r="C93" s="252">
        <v>2026</v>
      </c>
      <c r="D93" s="252" t="s">
        <v>830</v>
      </c>
      <c r="E93" s="252">
        <v>12</v>
      </c>
      <c r="F93" s="252">
        <v>12</v>
      </c>
      <c r="G93" s="252">
        <f>Rounds!$F93-Rounds!$E93</f>
        <v>0</v>
      </c>
      <c r="H93" s="256">
        <v>0</v>
      </c>
    </row>
    <row r="94" spans="1:8" ht="15">
      <c r="A94" s="252" t="s">
        <v>916</v>
      </c>
      <c r="B94" s="252" t="s">
        <v>917</v>
      </c>
      <c r="C94" s="252">
        <v>2026</v>
      </c>
      <c r="D94" s="252" t="s">
        <v>831</v>
      </c>
      <c r="E94" s="252">
        <v>15</v>
      </c>
      <c r="F94" s="252">
        <v>15</v>
      </c>
      <c r="G94" s="252">
        <f>Rounds!$F94-Rounds!$E94</f>
        <v>0</v>
      </c>
      <c r="H94" s="256">
        <f>Table6[[#This Row],[Realizados]]/Table6[[#This Row],[Previstos]]</f>
        <v>1</v>
      </c>
    </row>
    <row r="95" spans="1:8" ht="15">
      <c r="A95" s="252" t="s">
        <v>916</v>
      </c>
      <c r="B95" s="252" t="s">
        <v>917</v>
      </c>
      <c r="C95" s="252">
        <v>2026</v>
      </c>
      <c r="D95" s="252" t="s">
        <v>832</v>
      </c>
      <c r="E95" s="252">
        <v>0</v>
      </c>
      <c r="F95" s="252">
        <v>0</v>
      </c>
      <c r="G95" s="252">
        <f>Rounds!$F95-Rounds!$E95</f>
        <v>0</v>
      </c>
      <c r="H95" s="256">
        <v>0</v>
      </c>
    </row>
    <row r="96" spans="1:8" ht="15">
      <c r="A96" s="252" t="s">
        <v>916</v>
      </c>
      <c r="B96" s="252" t="s">
        <v>917</v>
      </c>
      <c r="C96" s="252">
        <v>2026</v>
      </c>
      <c r="D96" s="252" t="s">
        <v>833</v>
      </c>
      <c r="E96" s="252">
        <v>0</v>
      </c>
      <c r="F96" s="252">
        <v>0</v>
      </c>
      <c r="G96" s="252">
        <f>Rounds!$F96-Rounds!$E96</f>
        <v>0</v>
      </c>
      <c r="H96" s="256">
        <v>0</v>
      </c>
    </row>
    <row r="97" spans="1:8" ht="15">
      <c r="A97" s="252" t="s">
        <v>916</v>
      </c>
      <c r="B97" s="252" t="s">
        <v>917</v>
      </c>
      <c r="C97" s="252">
        <v>2026</v>
      </c>
      <c r="D97" s="252" t="s">
        <v>834</v>
      </c>
      <c r="E97" s="252">
        <v>0</v>
      </c>
      <c r="F97" s="252">
        <v>0</v>
      </c>
      <c r="G97" s="252">
        <f>Rounds!$F97-Rounds!$E97</f>
        <v>0</v>
      </c>
      <c r="H97" s="256">
        <v>0</v>
      </c>
    </row>
    <row r="98" spans="1:8" ht="15">
      <c r="A98" s="252" t="s">
        <v>59</v>
      </c>
      <c r="B98" s="252" t="s">
        <v>918</v>
      </c>
      <c r="C98" s="252">
        <v>2026</v>
      </c>
      <c r="D98" s="252" t="s">
        <v>823</v>
      </c>
      <c r="E98" s="252">
        <v>11</v>
      </c>
      <c r="F98" s="252">
        <v>12</v>
      </c>
      <c r="G98" s="252">
        <f>Rounds!$F98-Rounds!$E98</f>
        <v>1</v>
      </c>
      <c r="H98" s="256">
        <f>Rounds!$E98/Rounds!$F98</f>
        <v>0.91666666666666663</v>
      </c>
    </row>
    <row r="99" spans="1:8" ht="15">
      <c r="A99" s="252" t="s">
        <v>59</v>
      </c>
      <c r="B99" s="252" t="s">
        <v>918</v>
      </c>
      <c r="C99" s="252">
        <v>2026</v>
      </c>
      <c r="D99" s="252" t="s">
        <v>824</v>
      </c>
      <c r="E99" s="252">
        <v>10</v>
      </c>
      <c r="F99" s="252">
        <v>12</v>
      </c>
      <c r="G99" s="252">
        <f>Rounds!$F99-Rounds!$E99</f>
        <v>2</v>
      </c>
      <c r="H99" s="256">
        <f>Rounds!$E99/Rounds!$F99</f>
        <v>0.83333333333333337</v>
      </c>
    </row>
    <row r="100" spans="1:8" ht="15">
      <c r="A100" s="252" t="s">
        <v>59</v>
      </c>
      <c r="B100" s="252" t="s">
        <v>918</v>
      </c>
      <c r="C100" s="252">
        <v>2026</v>
      </c>
      <c r="D100" s="252" t="s">
        <v>825</v>
      </c>
      <c r="E100" s="252">
        <v>7</v>
      </c>
      <c r="F100" s="252">
        <v>12</v>
      </c>
      <c r="G100" s="252">
        <f>Rounds!$F100-Rounds!$E100</f>
        <v>5</v>
      </c>
      <c r="H100" s="256">
        <f>Rounds!$E100/Rounds!$F100</f>
        <v>0.58333333333333337</v>
      </c>
    </row>
    <row r="101" spans="1:8" ht="15">
      <c r="A101" s="252" t="s">
        <v>59</v>
      </c>
      <c r="B101" s="252" t="s">
        <v>918</v>
      </c>
      <c r="C101" s="252">
        <v>2026</v>
      </c>
      <c r="D101" s="252" t="s">
        <v>826</v>
      </c>
      <c r="E101" s="252">
        <v>9</v>
      </c>
      <c r="F101" s="252">
        <v>15</v>
      </c>
      <c r="G101" s="252">
        <f>Rounds!$F101-Rounds!$E101</f>
        <v>6</v>
      </c>
      <c r="H101" s="256">
        <f>Rounds!$E101/Rounds!$F101</f>
        <v>0.6</v>
      </c>
    </row>
    <row r="102" spans="1:8" ht="15">
      <c r="A102" s="252" t="s">
        <v>59</v>
      </c>
      <c r="B102" s="252" t="s">
        <v>918</v>
      </c>
      <c r="C102" s="252">
        <v>2026</v>
      </c>
      <c r="D102" s="252" t="s">
        <v>827</v>
      </c>
      <c r="E102" s="252">
        <v>10</v>
      </c>
      <c r="F102" s="252">
        <v>12</v>
      </c>
      <c r="G102" s="252">
        <f>Rounds!$F102-Rounds!$E102</f>
        <v>2</v>
      </c>
      <c r="H102" s="256">
        <f>Rounds!$E102/Rounds!$F102</f>
        <v>0.83333333333333337</v>
      </c>
    </row>
    <row r="103" spans="1:8" ht="15">
      <c r="A103" s="252" t="s">
        <v>59</v>
      </c>
      <c r="B103" s="252" t="s">
        <v>918</v>
      </c>
      <c r="C103" s="252">
        <v>2026</v>
      </c>
      <c r="D103" s="252" t="s">
        <v>828</v>
      </c>
      <c r="E103" s="252">
        <v>8</v>
      </c>
      <c r="F103" s="252">
        <v>12</v>
      </c>
      <c r="G103" s="252">
        <f>Rounds!$F103-Rounds!$E103</f>
        <v>4</v>
      </c>
      <c r="H103" s="256">
        <f>Rounds!$E103/Rounds!$F103</f>
        <v>0.66666666666666663</v>
      </c>
    </row>
    <row r="104" spans="1:8" ht="15">
      <c r="A104" s="252" t="s">
        <v>59</v>
      </c>
      <c r="B104" s="252" t="s">
        <v>918</v>
      </c>
      <c r="C104" s="252">
        <v>2026</v>
      </c>
      <c r="D104" s="252" t="s">
        <v>829</v>
      </c>
      <c r="E104" s="252">
        <v>12</v>
      </c>
      <c r="F104" s="252">
        <v>15</v>
      </c>
      <c r="G104" s="252">
        <f>Rounds!$F104-Rounds!$E104</f>
        <v>3</v>
      </c>
      <c r="H104" s="256">
        <f>Table6[[#This Row],[Realizados]]/Table6[[#This Row],[Previstos]]</f>
        <v>0.8</v>
      </c>
    </row>
    <row r="105" spans="1:8" ht="15">
      <c r="A105" s="252" t="s">
        <v>59</v>
      </c>
      <c r="B105" s="252" t="s">
        <v>918</v>
      </c>
      <c r="C105" s="252">
        <v>2026</v>
      </c>
      <c r="D105" s="252" t="s">
        <v>830</v>
      </c>
      <c r="E105" s="252">
        <v>10</v>
      </c>
      <c r="F105" s="252">
        <v>12</v>
      </c>
      <c r="G105" s="252">
        <f>Rounds!$F105-Rounds!$E105</f>
        <v>2</v>
      </c>
      <c r="H105" s="256">
        <v>0</v>
      </c>
    </row>
    <row r="106" spans="1:8" ht="15">
      <c r="A106" s="252" t="s">
        <v>59</v>
      </c>
      <c r="B106" s="252" t="s">
        <v>918</v>
      </c>
      <c r="C106" s="252">
        <v>2026</v>
      </c>
      <c r="D106" s="252" t="s">
        <v>831</v>
      </c>
      <c r="E106" s="252">
        <v>9</v>
      </c>
      <c r="F106" s="252">
        <v>15</v>
      </c>
      <c r="G106" s="252">
        <f>Rounds!$F106-Rounds!$E106</f>
        <v>6</v>
      </c>
      <c r="H106" s="256">
        <f>Table6[[#This Row],[Realizados]]/Table6[[#This Row],[Previstos]]</f>
        <v>0.6</v>
      </c>
    </row>
    <row r="107" spans="1:8" ht="15">
      <c r="A107" s="252" t="s">
        <v>59</v>
      </c>
      <c r="B107" s="252" t="s">
        <v>918</v>
      </c>
      <c r="C107" s="252">
        <v>2026</v>
      </c>
      <c r="D107" s="252" t="s">
        <v>832</v>
      </c>
      <c r="E107" s="252">
        <v>0</v>
      </c>
      <c r="F107" s="252">
        <v>0</v>
      </c>
      <c r="G107" s="252">
        <f>Rounds!$F107-Rounds!$E107</f>
        <v>0</v>
      </c>
      <c r="H107" s="256">
        <v>0</v>
      </c>
    </row>
    <row r="108" spans="1:8" ht="15">
      <c r="A108" s="252" t="s">
        <v>59</v>
      </c>
      <c r="B108" s="252" t="s">
        <v>918</v>
      </c>
      <c r="C108" s="252">
        <v>2026</v>
      </c>
      <c r="D108" s="252" t="s">
        <v>833</v>
      </c>
      <c r="E108" s="252">
        <v>0</v>
      </c>
      <c r="F108" s="252">
        <v>0</v>
      </c>
      <c r="G108" s="252">
        <f>Rounds!$F108-Rounds!$E108</f>
        <v>0</v>
      </c>
      <c r="H108" s="256">
        <v>0</v>
      </c>
    </row>
    <row r="109" spans="1:8" ht="15">
      <c r="A109" s="252" t="s">
        <v>59</v>
      </c>
      <c r="B109" s="252" t="s">
        <v>918</v>
      </c>
      <c r="C109" s="252">
        <v>2026</v>
      </c>
      <c r="D109" s="252" t="s">
        <v>834</v>
      </c>
      <c r="E109" s="252">
        <v>0</v>
      </c>
      <c r="F109" s="252">
        <v>0</v>
      </c>
      <c r="G109" s="252">
        <f>Rounds!$F109-Rounds!$E109</f>
        <v>0</v>
      </c>
      <c r="H109" s="256">
        <v>0</v>
      </c>
    </row>
    <row r="110" spans="1:8" ht="15">
      <c r="A110" s="252" t="s">
        <v>185</v>
      </c>
      <c r="B110" s="252" t="s">
        <v>783</v>
      </c>
      <c r="C110" s="252">
        <v>2026</v>
      </c>
      <c r="D110" s="252" t="s">
        <v>823</v>
      </c>
      <c r="E110" s="252">
        <v>7</v>
      </c>
      <c r="F110" s="252">
        <v>12</v>
      </c>
      <c r="G110" s="252">
        <f>Rounds!$F110-Rounds!$E110</f>
        <v>5</v>
      </c>
      <c r="H110" s="256">
        <f>Rounds!$E110/Rounds!$F110</f>
        <v>0.58333333333333337</v>
      </c>
    </row>
    <row r="111" spans="1:8" ht="15">
      <c r="A111" s="252" t="s">
        <v>185</v>
      </c>
      <c r="B111" s="252" t="s">
        <v>783</v>
      </c>
      <c r="C111" s="252">
        <v>2026</v>
      </c>
      <c r="D111" s="252" t="s">
        <v>824</v>
      </c>
      <c r="E111" s="252">
        <v>5</v>
      </c>
      <c r="F111" s="252">
        <v>12</v>
      </c>
      <c r="G111" s="252">
        <f>Rounds!$F111-Rounds!$E111</f>
        <v>7</v>
      </c>
      <c r="H111" s="256">
        <f>Rounds!$E111/Rounds!$F111</f>
        <v>0.41666666666666669</v>
      </c>
    </row>
    <row r="112" spans="1:8" ht="15">
      <c r="A112" s="252" t="s">
        <v>185</v>
      </c>
      <c r="B112" s="252" t="s">
        <v>783</v>
      </c>
      <c r="C112" s="252">
        <v>2026</v>
      </c>
      <c r="D112" s="252" t="s">
        <v>825</v>
      </c>
      <c r="E112" s="252">
        <v>7</v>
      </c>
      <c r="F112" s="252">
        <v>12</v>
      </c>
      <c r="G112" s="252">
        <f>Rounds!$F112-Rounds!$E112</f>
        <v>5</v>
      </c>
      <c r="H112" s="256">
        <f>Rounds!$E112/Rounds!$F112</f>
        <v>0.58333333333333337</v>
      </c>
    </row>
    <row r="113" spans="1:8" ht="15">
      <c r="A113" s="252" t="s">
        <v>185</v>
      </c>
      <c r="B113" s="252" t="s">
        <v>783</v>
      </c>
      <c r="C113" s="252">
        <v>2026</v>
      </c>
      <c r="D113" s="252" t="s">
        <v>826</v>
      </c>
      <c r="E113" s="252">
        <v>10</v>
      </c>
      <c r="F113" s="252">
        <v>15</v>
      </c>
      <c r="G113" s="252">
        <f>Rounds!$F113-Rounds!$E113</f>
        <v>5</v>
      </c>
      <c r="H113" s="256">
        <f>Rounds!$E113/Rounds!$F113</f>
        <v>0.66666666666666663</v>
      </c>
    </row>
    <row r="114" spans="1:8" ht="15">
      <c r="A114" s="252" t="s">
        <v>185</v>
      </c>
      <c r="B114" s="252" t="s">
        <v>783</v>
      </c>
      <c r="C114" s="252">
        <v>2026</v>
      </c>
      <c r="D114" s="252" t="s">
        <v>827</v>
      </c>
      <c r="E114" s="252">
        <v>4</v>
      </c>
      <c r="F114" s="252">
        <v>12</v>
      </c>
      <c r="G114" s="252">
        <f>Rounds!$F114-Rounds!$E114</f>
        <v>8</v>
      </c>
      <c r="H114" s="256">
        <f>Rounds!$E114/Rounds!$F114</f>
        <v>0.33333333333333331</v>
      </c>
    </row>
    <row r="115" spans="1:8" ht="15">
      <c r="A115" s="252" t="s">
        <v>185</v>
      </c>
      <c r="B115" s="252" t="s">
        <v>783</v>
      </c>
      <c r="C115" s="252">
        <v>2026</v>
      </c>
      <c r="D115" s="252" t="s">
        <v>828</v>
      </c>
      <c r="E115" s="252">
        <v>8</v>
      </c>
      <c r="F115" s="252">
        <v>12</v>
      </c>
      <c r="G115" s="252">
        <f>Rounds!$F115-Rounds!$E115</f>
        <v>4</v>
      </c>
      <c r="H115" s="256">
        <f>Rounds!$E115/Rounds!$F115</f>
        <v>0.66666666666666663</v>
      </c>
    </row>
    <row r="116" spans="1:8" ht="15">
      <c r="A116" s="252" t="s">
        <v>185</v>
      </c>
      <c r="B116" s="252" t="s">
        <v>783</v>
      </c>
      <c r="C116" s="252">
        <v>2026</v>
      </c>
      <c r="D116" s="252" t="s">
        <v>829</v>
      </c>
      <c r="E116" s="252">
        <v>12</v>
      </c>
      <c r="F116" s="252">
        <v>15</v>
      </c>
      <c r="G116" s="252">
        <f>Rounds!$F116-Rounds!$E116</f>
        <v>3</v>
      </c>
      <c r="H116" s="256">
        <f>Table6[[#This Row],[Realizados]]/Table6[[#This Row],[Previstos]]</f>
        <v>0.8</v>
      </c>
    </row>
    <row r="117" spans="1:8" ht="15">
      <c r="A117" s="252" t="s">
        <v>185</v>
      </c>
      <c r="B117" s="252" t="s">
        <v>783</v>
      </c>
      <c r="C117" s="252">
        <v>2026</v>
      </c>
      <c r="D117" s="252" t="s">
        <v>830</v>
      </c>
      <c r="E117" s="252">
        <v>11</v>
      </c>
      <c r="F117" s="252">
        <v>12</v>
      </c>
      <c r="G117" s="252">
        <f>Rounds!$F117-Rounds!$E117</f>
        <v>1</v>
      </c>
      <c r="H117" s="256">
        <v>0</v>
      </c>
    </row>
    <row r="118" spans="1:8" ht="15">
      <c r="A118" s="252" t="s">
        <v>185</v>
      </c>
      <c r="B118" s="252" t="s">
        <v>783</v>
      </c>
      <c r="C118" s="252">
        <v>2026</v>
      </c>
      <c r="D118" s="252" t="s">
        <v>831</v>
      </c>
      <c r="E118" s="252">
        <v>15</v>
      </c>
      <c r="F118" s="252">
        <v>15</v>
      </c>
      <c r="G118" s="252">
        <f>Rounds!$F118-Rounds!$E118</f>
        <v>0</v>
      </c>
      <c r="H118" s="256">
        <f>Table6[[#This Row],[Realizados]]/Table6[[#This Row],[Previstos]]</f>
        <v>1</v>
      </c>
    </row>
    <row r="119" spans="1:8" ht="15">
      <c r="A119" s="252" t="s">
        <v>185</v>
      </c>
      <c r="B119" s="252" t="s">
        <v>783</v>
      </c>
      <c r="C119" s="252">
        <v>2026</v>
      </c>
      <c r="D119" s="252" t="s">
        <v>832</v>
      </c>
      <c r="E119" s="252">
        <v>0</v>
      </c>
      <c r="F119" s="252">
        <v>0</v>
      </c>
      <c r="G119" s="252">
        <f>Rounds!$F119-Rounds!$E119</f>
        <v>0</v>
      </c>
      <c r="H119" s="256">
        <v>0</v>
      </c>
    </row>
    <row r="120" spans="1:8" ht="15">
      <c r="A120" s="252" t="s">
        <v>185</v>
      </c>
      <c r="B120" s="252" t="s">
        <v>783</v>
      </c>
      <c r="C120" s="252">
        <v>2026</v>
      </c>
      <c r="D120" s="252" t="s">
        <v>833</v>
      </c>
      <c r="E120" s="252">
        <v>0</v>
      </c>
      <c r="F120" s="252">
        <v>0</v>
      </c>
      <c r="G120" s="252">
        <f>Rounds!$F120-Rounds!$E120</f>
        <v>0</v>
      </c>
      <c r="H120" s="256">
        <v>0</v>
      </c>
    </row>
    <row r="121" spans="1:8" ht="15">
      <c r="A121" s="252" t="s">
        <v>185</v>
      </c>
      <c r="B121" s="252" t="s">
        <v>783</v>
      </c>
      <c r="C121" s="252">
        <v>2026</v>
      </c>
      <c r="D121" s="252" t="s">
        <v>834</v>
      </c>
      <c r="E121" s="252">
        <v>0</v>
      </c>
      <c r="F121" s="252">
        <v>0</v>
      </c>
      <c r="G121" s="252">
        <f>Rounds!$F121-Rounds!$E121</f>
        <v>0</v>
      </c>
      <c r="H121" s="256">
        <v>0</v>
      </c>
    </row>
    <row r="122" spans="1:8" ht="15">
      <c r="A122" s="252" t="s">
        <v>919</v>
      </c>
      <c r="B122" s="252" t="s">
        <v>920</v>
      </c>
      <c r="C122" s="252">
        <v>2026</v>
      </c>
      <c r="D122" s="252" t="s">
        <v>823</v>
      </c>
      <c r="E122" s="252">
        <v>12</v>
      </c>
      <c r="F122" s="252">
        <v>12</v>
      </c>
      <c r="G122" s="252">
        <f>Rounds!$F122-Rounds!$E122</f>
        <v>0</v>
      </c>
      <c r="H122" s="256">
        <f>Rounds!$E122/Rounds!$F122</f>
        <v>1</v>
      </c>
    </row>
    <row r="123" spans="1:8" ht="15">
      <c r="A123" s="252" t="s">
        <v>919</v>
      </c>
      <c r="B123" s="252" t="s">
        <v>920</v>
      </c>
      <c r="C123" s="252">
        <v>2026</v>
      </c>
      <c r="D123" s="252" t="s">
        <v>824</v>
      </c>
      <c r="E123" s="252">
        <v>11</v>
      </c>
      <c r="F123" s="252">
        <v>12</v>
      </c>
      <c r="G123" s="252">
        <f>Rounds!$F123-Rounds!$E123</f>
        <v>1</v>
      </c>
      <c r="H123" s="256">
        <f>Rounds!$E123/Rounds!$F123</f>
        <v>0.91666666666666663</v>
      </c>
    </row>
    <row r="124" spans="1:8" ht="15">
      <c r="A124" s="252" t="s">
        <v>919</v>
      </c>
      <c r="B124" s="252" t="s">
        <v>920</v>
      </c>
      <c r="C124" s="252">
        <v>2026</v>
      </c>
      <c r="D124" s="252" t="s">
        <v>825</v>
      </c>
      <c r="E124" s="252">
        <v>12</v>
      </c>
      <c r="F124" s="252">
        <v>12</v>
      </c>
      <c r="G124" s="252">
        <f>Rounds!$F124-Rounds!$E124</f>
        <v>0</v>
      </c>
      <c r="H124" s="256">
        <f>Rounds!$E124/Rounds!$F124</f>
        <v>1</v>
      </c>
    </row>
    <row r="125" spans="1:8" ht="15">
      <c r="A125" s="252" t="s">
        <v>919</v>
      </c>
      <c r="B125" s="252" t="s">
        <v>920</v>
      </c>
      <c r="C125" s="252">
        <v>2026</v>
      </c>
      <c r="D125" s="252" t="s">
        <v>826</v>
      </c>
      <c r="E125" s="252">
        <v>15</v>
      </c>
      <c r="F125" s="252">
        <v>15</v>
      </c>
      <c r="G125" s="252">
        <f>Rounds!$F125-Rounds!$E125</f>
        <v>0</v>
      </c>
      <c r="H125" s="256">
        <f>Rounds!$E125/Rounds!$F125</f>
        <v>1</v>
      </c>
    </row>
    <row r="126" spans="1:8" ht="15">
      <c r="A126" s="252" t="s">
        <v>919</v>
      </c>
      <c r="B126" s="252" t="s">
        <v>920</v>
      </c>
      <c r="C126" s="252">
        <v>2026</v>
      </c>
      <c r="D126" s="252" t="s">
        <v>827</v>
      </c>
      <c r="E126" s="252">
        <v>12</v>
      </c>
      <c r="F126" s="252">
        <v>12</v>
      </c>
      <c r="G126" s="252">
        <f>Rounds!$F126-Rounds!$E126</f>
        <v>0</v>
      </c>
      <c r="H126" s="256">
        <f>Rounds!$E126/Rounds!$F126</f>
        <v>1</v>
      </c>
    </row>
    <row r="127" spans="1:8" ht="15">
      <c r="A127" s="252" t="s">
        <v>919</v>
      </c>
      <c r="B127" s="252" t="s">
        <v>920</v>
      </c>
      <c r="C127" s="252">
        <v>2026</v>
      </c>
      <c r="D127" s="252" t="s">
        <v>828</v>
      </c>
      <c r="E127" s="252">
        <v>12</v>
      </c>
      <c r="F127" s="252">
        <v>12</v>
      </c>
      <c r="G127" s="252">
        <f>Rounds!$F127-Rounds!$E127</f>
        <v>0</v>
      </c>
      <c r="H127" s="256">
        <f>Rounds!$E127/Rounds!$F127</f>
        <v>1</v>
      </c>
    </row>
    <row r="128" spans="1:8" ht="15">
      <c r="A128" s="252" t="s">
        <v>919</v>
      </c>
      <c r="B128" s="252" t="s">
        <v>920</v>
      </c>
      <c r="C128" s="252">
        <v>2026</v>
      </c>
      <c r="D128" s="252" t="s">
        <v>829</v>
      </c>
      <c r="E128" s="252">
        <v>15</v>
      </c>
      <c r="F128" s="252">
        <v>15</v>
      </c>
      <c r="G128" s="252">
        <f>Rounds!$F128-Rounds!$E128</f>
        <v>0</v>
      </c>
      <c r="H128" s="256">
        <f>Table6[[#This Row],[Realizados]]/Table6[[#This Row],[Previstos]]</f>
        <v>1</v>
      </c>
    </row>
    <row r="129" spans="1:8" ht="15">
      <c r="A129" s="252" t="s">
        <v>919</v>
      </c>
      <c r="B129" s="252" t="s">
        <v>920</v>
      </c>
      <c r="C129" s="252">
        <v>2026</v>
      </c>
      <c r="D129" s="252" t="s">
        <v>830</v>
      </c>
      <c r="E129" s="252">
        <v>12</v>
      </c>
      <c r="F129" s="252">
        <v>12</v>
      </c>
      <c r="G129" s="252">
        <f>Rounds!$F129-Rounds!$E129</f>
        <v>0</v>
      </c>
      <c r="H129" s="256">
        <v>0</v>
      </c>
    </row>
    <row r="130" spans="1:8" ht="15">
      <c r="A130" s="252" t="s">
        <v>919</v>
      </c>
      <c r="B130" s="252" t="s">
        <v>920</v>
      </c>
      <c r="C130" s="252">
        <v>2026</v>
      </c>
      <c r="D130" s="252" t="s">
        <v>831</v>
      </c>
      <c r="E130" s="252">
        <v>15</v>
      </c>
      <c r="F130" s="252">
        <v>15</v>
      </c>
      <c r="G130" s="252">
        <f>Rounds!$F130-Rounds!$E130</f>
        <v>0</v>
      </c>
      <c r="H130" s="256">
        <f>Table6[[#This Row],[Realizados]]/Table6[[#This Row],[Previstos]]</f>
        <v>1</v>
      </c>
    </row>
    <row r="131" spans="1:8" ht="15">
      <c r="A131" s="252" t="s">
        <v>919</v>
      </c>
      <c r="B131" s="252" t="s">
        <v>920</v>
      </c>
      <c r="C131" s="252">
        <v>2026</v>
      </c>
      <c r="D131" s="252" t="s">
        <v>832</v>
      </c>
      <c r="E131" s="252">
        <v>0</v>
      </c>
      <c r="F131" s="252">
        <v>0</v>
      </c>
      <c r="G131" s="252">
        <f>Rounds!$F131-Rounds!$E131</f>
        <v>0</v>
      </c>
      <c r="H131" s="256">
        <v>0</v>
      </c>
    </row>
    <row r="132" spans="1:8" ht="15">
      <c r="A132" s="252" t="s">
        <v>919</v>
      </c>
      <c r="B132" s="252" t="s">
        <v>920</v>
      </c>
      <c r="C132" s="252">
        <v>2026</v>
      </c>
      <c r="D132" s="252" t="s">
        <v>833</v>
      </c>
      <c r="E132" s="252">
        <v>0</v>
      </c>
      <c r="F132" s="252">
        <v>0</v>
      </c>
      <c r="G132" s="252">
        <f>Rounds!$F132-Rounds!$E132</f>
        <v>0</v>
      </c>
      <c r="H132" s="256">
        <v>0</v>
      </c>
    </row>
    <row r="133" spans="1:8" ht="15">
      <c r="A133" s="252" t="s">
        <v>919</v>
      </c>
      <c r="B133" s="252" t="s">
        <v>920</v>
      </c>
      <c r="C133" s="252">
        <v>2026</v>
      </c>
      <c r="D133" s="252" t="s">
        <v>834</v>
      </c>
      <c r="E133" s="252">
        <v>0</v>
      </c>
      <c r="F133" s="252">
        <v>0</v>
      </c>
      <c r="G133" s="252">
        <f>Rounds!$F133-Rounds!$E133</f>
        <v>0</v>
      </c>
      <c r="H133" s="256">
        <v>0</v>
      </c>
    </row>
    <row r="134" spans="1:8" ht="15">
      <c r="A134" s="252" t="s">
        <v>921</v>
      </c>
      <c r="B134" s="252" t="s">
        <v>922</v>
      </c>
      <c r="C134" s="252">
        <v>2026</v>
      </c>
      <c r="D134" s="252" t="s">
        <v>823</v>
      </c>
      <c r="E134" s="252">
        <v>9</v>
      </c>
      <c r="F134" s="252">
        <v>12</v>
      </c>
      <c r="G134" s="252">
        <f>Rounds!$F134-Rounds!$E134</f>
        <v>3</v>
      </c>
      <c r="H134" s="256">
        <f>Rounds!$E134/Rounds!$F134</f>
        <v>0.75</v>
      </c>
    </row>
    <row r="135" spans="1:8" ht="15">
      <c r="A135" s="252" t="s">
        <v>921</v>
      </c>
      <c r="B135" s="252" t="s">
        <v>922</v>
      </c>
      <c r="C135" s="252">
        <v>2026</v>
      </c>
      <c r="D135" s="252" t="s">
        <v>824</v>
      </c>
      <c r="E135" s="252">
        <v>4</v>
      </c>
      <c r="F135" s="252">
        <v>12</v>
      </c>
      <c r="G135" s="252">
        <f>Rounds!$F135-Rounds!$E135</f>
        <v>8</v>
      </c>
      <c r="H135" s="256">
        <f>Rounds!$E135/Rounds!$F135</f>
        <v>0.33333333333333331</v>
      </c>
    </row>
    <row r="136" spans="1:8" ht="15">
      <c r="A136" s="252" t="s">
        <v>921</v>
      </c>
      <c r="B136" s="252" t="s">
        <v>922</v>
      </c>
      <c r="C136" s="252">
        <v>2026</v>
      </c>
      <c r="D136" s="252" t="s">
        <v>825</v>
      </c>
      <c r="E136" s="252">
        <v>6</v>
      </c>
      <c r="F136" s="252">
        <v>12</v>
      </c>
      <c r="G136" s="252">
        <f>Rounds!$F136-Rounds!$E136</f>
        <v>6</v>
      </c>
      <c r="H136" s="256">
        <f>Rounds!$E136/Rounds!$F136</f>
        <v>0.5</v>
      </c>
    </row>
    <row r="137" spans="1:8" ht="15">
      <c r="A137" s="252" t="s">
        <v>921</v>
      </c>
      <c r="B137" s="252" t="s">
        <v>922</v>
      </c>
      <c r="C137" s="252">
        <v>2026</v>
      </c>
      <c r="D137" s="252" t="s">
        <v>826</v>
      </c>
      <c r="E137" s="252">
        <v>4</v>
      </c>
      <c r="F137" s="252">
        <v>15</v>
      </c>
      <c r="G137" s="252">
        <f>Rounds!$F137-Rounds!$E137</f>
        <v>11</v>
      </c>
      <c r="H137" s="256">
        <f>Rounds!$E137/Rounds!$F137</f>
        <v>0.26666666666666666</v>
      </c>
    </row>
    <row r="138" spans="1:8" ht="15">
      <c r="A138" s="252" t="s">
        <v>921</v>
      </c>
      <c r="B138" s="252" t="s">
        <v>922</v>
      </c>
      <c r="C138" s="252">
        <v>2026</v>
      </c>
      <c r="D138" s="252" t="s">
        <v>827</v>
      </c>
      <c r="E138" s="252">
        <v>8</v>
      </c>
      <c r="F138" s="252">
        <v>12</v>
      </c>
      <c r="G138" s="252">
        <f>Rounds!$F138-Rounds!$E138</f>
        <v>4</v>
      </c>
      <c r="H138" s="256">
        <f>Rounds!$E138/Rounds!$F138</f>
        <v>0.66666666666666663</v>
      </c>
    </row>
    <row r="139" spans="1:8" ht="15">
      <c r="A139" s="252" t="s">
        <v>921</v>
      </c>
      <c r="B139" s="252" t="s">
        <v>922</v>
      </c>
      <c r="C139" s="252">
        <v>2026</v>
      </c>
      <c r="D139" s="252" t="s">
        <v>828</v>
      </c>
      <c r="E139" s="252">
        <v>12</v>
      </c>
      <c r="F139" s="252">
        <v>12</v>
      </c>
      <c r="G139" s="252">
        <f>Rounds!$F139-Rounds!$E139</f>
        <v>0</v>
      </c>
      <c r="H139" s="256">
        <f>Rounds!$E139/Rounds!$F139</f>
        <v>1</v>
      </c>
    </row>
    <row r="140" spans="1:8" ht="15">
      <c r="A140" s="252" t="s">
        <v>921</v>
      </c>
      <c r="B140" s="252" t="s">
        <v>922</v>
      </c>
      <c r="C140" s="252">
        <v>2026</v>
      </c>
      <c r="D140" s="252" t="s">
        <v>829</v>
      </c>
      <c r="E140" s="252">
        <v>2</v>
      </c>
      <c r="F140" s="252">
        <v>15</v>
      </c>
      <c r="G140" s="252">
        <f>Rounds!$F140-Rounds!$E140</f>
        <v>13</v>
      </c>
      <c r="H140" s="256">
        <f>Table6[[#This Row],[Realizados]]/Table6[[#This Row],[Previstos]]</f>
        <v>0.13333333333333333</v>
      </c>
    </row>
    <row r="141" spans="1:8" ht="15">
      <c r="A141" s="252" t="s">
        <v>921</v>
      </c>
      <c r="B141" s="252" t="s">
        <v>922</v>
      </c>
      <c r="C141" s="252">
        <v>2026</v>
      </c>
      <c r="D141" s="252" t="s">
        <v>830</v>
      </c>
      <c r="E141" s="252">
        <v>7</v>
      </c>
      <c r="F141" s="252">
        <v>12</v>
      </c>
      <c r="G141" s="252">
        <f>Rounds!$F141-Rounds!$E141</f>
        <v>5</v>
      </c>
      <c r="H141" s="256">
        <v>0</v>
      </c>
    </row>
    <row r="142" spans="1:8" ht="15">
      <c r="A142" s="252" t="s">
        <v>921</v>
      </c>
      <c r="B142" s="252" t="s">
        <v>922</v>
      </c>
      <c r="C142" s="252">
        <v>2026</v>
      </c>
      <c r="D142" s="252" t="s">
        <v>831</v>
      </c>
      <c r="E142" s="252">
        <v>12</v>
      </c>
      <c r="F142" s="252">
        <v>15</v>
      </c>
      <c r="G142" s="252">
        <f>Rounds!$F142-Rounds!$E142</f>
        <v>3</v>
      </c>
      <c r="H142" s="256">
        <f>Table6[[#This Row],[Realizados]]/Table6[[#This Row],[Previstos]]</f>
        <v>0.8</v>
      </c>
    </row>
    <row r="143" spans="1:8" ht="15">
      <c r="A143" s="252" t="s">
        <v>921</v>
      </c>
      <c r="B143" s="252" t="s">
        <v>922</v>
      </c>
      <c r="C143" s="252">
        <v>2026</v>
      </c>
      <c r="D143" s="252" t="s">
        <v>832</v>
      </c>
      <c r="E143" s="252">
        <v>0</v>
      </c>
      <c r="F143" s="252">
        <v>0</v>
      </c>
      <c r="G143" s="252">
        <f>Rounds!$F143-Rounds!$E143</f>
        <v>0</v>
      </c>
      <c r="H143" s="256">
        <v>0</v>
      </c>
    </row>
    <row r="144" spans="1:8" ht="15">
      <c r="A144" s="252" t="s">
        <v>921</v>
      </c>
      <c r="B144" s="252" t="s">
        <v>922</v>
      </c>
      <c r="C144" s="252">
        <v>2026</v>
      </c>
      <c r="D144" s="252" t="s">
        <v>833</v>
      </c>
      <c r="E144" s="252">
        <v>0</v>
      </c>
      <c r="F144" s="252">
        <v>0</v>
      </c>
      <c r="G144" s="252">
        <f>Rounds!$F144-Rounds!$E144</f>
        <v>0</v>
      </c>
      <c r="H144" s="256">
        <v>0</v>
      </c>
    </row>
    <row r="145" spans="1:8" ht="15">
      <c r="A145" s="252" t="s">
        <v>921</v>
      </c>
      <c r="B145" s="252" t="s">
        <v>922</v>
      </c>
      <c r="C145" s="252">
        <v>2026</v>
      </c>
      <c r="D145" s="252" t="s">
        <v>834</v>
      </c>
      <c r="E145" s="252">
        <v>0</v>
      </c>
      <c r="F145" s="252">
        <v>0</v>
      </c>
      <c r="G145" s="252">
        <f>Rounds!$F145-Rounds!$E145</f>
        <v>0</v>
      </c>
      <c r="H145" s="256">
        <v>0</v>
      </c>
    </row>
    <row r="146" spans="1:8" ht="15">
      <c r="A146" s="252" t="s">
        <v>923</v>
      </c>
      <c r="B146" s="252" t="s">
        <v>924</v>
      </c>
      <c r="C146" s="252">
        <v>2026</v>
      </c>
      <c r="D146" s="252" t="s">
        <v>823</v>
      </c>
      <c r="E146" s="252">
        <v>12</v>
      </c>
      <c r="F146" s="252">
        <v>12</v>
      </c>
      <c r="G146" s="252">
        <f>Rounds!$F146-Rounds!$E146</f>
        <v>0</v>
      </c>
      <c r="H146" s="256">
        <f>Rounds!$E146/Rounds!$F146</f>
        <v>1</v>
      </c>
    </row>
    <row r="147" spans="1:8" ht="15">
      <c r="A147" s="252" t="s">
        <v>923</v>
      </c>
      <c r="B147" s="252" t="s">
        <v>924</v>
      </c>
      <c r="C147" s="252">
        <v>2026</v>
      </c>
      <c r="D147" s="252" t="s">
        <v>824</v>
      </c>
      <c r="E147" s="252">
        <v>10</v>
      </c>
      <c r="F147" s="252">
        <v>12</v>
      </c>
      <c r="G147" s="252">
        <f>Rounds!$F147-Rounds!$E147</f>
        <v>2</v>
      </c>
      <c r="H147" s="256">
        <f>Rounds!$E147/Rounds!$F147</f>
        <v>0.83333333333333337</v>
      </c>
    </row>
    <row r="148" spans="1:8" ht="15">
      <c r="A148" s="252" t="s">
        <v>923</v>
      </c>
      <c r="B148" s="252" t="s">
        <v>924</v>
      </c>
      <c r="C148" s="252">
        <v>2026</v>
      </c>
      <c r="D148" s="252" t="s">
        <v>825</v>
      </c>
      <c r="E148" s="252">
        <v>12</v>
      </c>
      <c r="F148" s="252">
        <v>12</v>
      </c>
      <c r="G148" s="252">
        <f>Rounds!$F148-Rounds!$E148</f>
        <v>0</v>
      </c>
      <c r="H148" s="256">
        <f>Rounds!$E148/Rounds!$F148</f>
        <v>1</v>
      </c>
    </row>
    <row r="149" spans="1:8" ht="15">
      <c r="A149" s="252" t="s">
        <v>923</v>
      </c>
      <c r="B149" s="252" t="s">
        <v>924</v>
      </c>
      <c r="C149" s="252">
        <v>2026</v>
      </c>
      <c r="D149" s="252" t="s">
        <v>826</v>
      </c>
      <c r="E149" s="252">
        <v>12</v>
      </c>
      <c r="F149" s="252">
        <v>15</v>
      </c>
      <c r="G149" s="252">
        <f>Rounds!$F149-Rounds!$E149</f>
        <v>3</v>
      </c>
      <c r="H149" s="256">
        <f>Rounds!$E149/Rounds!$F149</f>
        <v>0.8</v>
      </c>
    </row>
    <row r="150" spans="1:8" ht="15">
      <c r="A150" s="252" t="s">
        <v>923</v>
      </c>
      <c r="B150" s="252" t="s">
        <v>924</v>
      </c>
      <c r="C150" s="252">
        <v>2026</v>
      </c>
      <c r="D150" s="252" t="s">
        <v>827</v>
      </c>
      <c r="E150" s="252">
        <v>11</v>
      </c>
      <c r="F150" s="252">
        <v>12</v>
      </c>
      <c r="G150" s="252">
        <f>Rounds!$F150-Rounds!$E150</f>
        <v>1</v>
      </c>
      <c r="H150" s="256">
        <f>Rounds!$E150/Rounds!$F150</f>
        <v>0.91666666666666663</v>
      </c>
    </row>
    <row r="151" spans="1:8" ht="15">
      <c r="A151" s="252" t="s">
        <v>923</v>
      </c>
      <c r="B151" s="252" t="s">
        <v>924</v>
      </c>
      <c r="C151" s="252">
        <v>2026</v>
      </c>
      <c r="D151" s="252" t="s">
        <v>828</v>
      </c>
      <c r="E151" s="252">
        <v>8</v>
      </c>
      <c r="F151" s="252">
        <v>12</v>
      </c>
      <c r="G151" s="252">
        <f>Rounds!$F151-Rounds!$E151</f>
        <v>4</v>
      </c>
      <c r="H151" s="256">
        <f>Rounds!$E151/Rounds!$F151</f>
        <v>0.66666666666666663</v>
      </c>
    </row>
    <row r="152" spans="1:8" ht="15">
      <c r="A152" s="252" t="s">
        <v>923</v>
      </c>
      <c r="B152" s="252" t="s">
        <v>924</v>
      </c>
      <c r="C152" s="252">
        <v>2026</v>
      </c>
      <c r="D152" s="252" t="s">
        <v>829</v>
      </c>
      <c r="E152" s="252">
        <v>12</v>
      </c>
      <c r="F152" s="252">
        <v>15</v>
      </c>
      <c r="G152" s="252">
        <f>Rounds!$F152-Rounds!$E152</f>
        <v>3</v>
      </c>
      <c r="H152" s="256">
        <f>Table6[[#This Row],[Realizados]]/Table6[[#This Row],[Previstos]]</f>
        <v>0.8</v>
      </c>
    </row>
    <row r="153" spans="1:8" ht="15">
      <c r="A153" s="252" t="s">
        <v>923</v>
      </c>
      <c r="B153" s="252" t="s">
        <v>924</v>
      </c>
      <c r="C153" s="252">
        <v>2026</v>
      </c>
      <c r="D153" s="252" t="s">
        <v>830</v>
      </c>
      <c r="E153" s="252">
        <v>12</v>
      </c>
      <c r="F153" s="252">
        <v>12</v>
      </c>
      <c r="G153" s="252">
        <f>Rounds!$F153-Rounds!$E153</f>
        <v>0</v>
      </c>
      <c r="H153" s="256">
        <v>0</v>
      </c>
    </row>
    <row r="154" spans="1:8" ht="15">
      <c r="A154" s="252" t="s">
        <v>923</v>
      </c>
      <c r="B154" s="252" t="s">
        <v>924</v>
      </c>
      <c r="C154" s="252">
        <v>2026</v>
      </c>
      <c r="D154" s="252" t="s">
        <v>831</v>
      </c>
      <c r="E154" s="252">
        <v>12</v>
      </c>
      <c r="F154" s="252">
        <v>15</v>
      </c>
      <c r="G154" s="252">
        <f>Rounds!$F154-Rounds!$E154</f>
        <v>3</v>
      </c>
      <c r="H154" s="256">
        <f>Table6[[#This Row],[Realizados]]/Table6[[#This Row],[Previstos]]</f>
        <v>0.8</v>
      </c>
    </row>
    <row r="155" spans="1:8" ht="15">
      <c r="A155" s="252" t="s">
        <v>923</v>
      </c>
      <c r="B155" s="252" t="s">
        <v>924</v>
      </c>
      <c r="C155" s="252">
        <v>2026</v>
      </c>
      <c r="D155" s="252" t="s">
        <v>832</v>
      </c>
      <c r="E155" s="252">
        <v>0</v>
      </c>
      <c r="F155" s="252">
        <v>0</v>
      </c>
      <c r="G155" s="252">
        <f>Rounds!$F155-Rounds!$E155</f>
        <v>0</v>
      </c>
      <c r="H155" s="256">
        <v>0</v>
      </c>
    </row>
    <row r="156" spans="1:8" ht="15">
      <c r="A156" s="252" t="s">
        <v>923</v>
      </c>
      <c r="B156" s="252" t="s">
        <v>924</v>
      </c>
      <c r="C156" s="252">
        <v>2026</v>
      </c>
      <c r="D156" s="252" t="s">
        <v>833</v>
      </c>
      <c r="E156" s="252">
        <v>0</v>
      </c>
      <c r="F156" s="252">
        <v>0</v>
      </c>
      <c r="G156" s="252">
        <f>Rounds!$F156-Rounds!$E156</f>
        <v>0</v>
      </c>
      <c r="H156" s="256">
        <v>0</v>
      </c>
    </row>
    <row r="157" spans="1:8" ht="15">
      <c r="A157" s="252" t="s">
        <v>923</v>
      </c>
      <c r="B157" s="252" t="s">
        <v>924</v>
      </c>
      <c r="C157" s="252">
        <v>2026</v>
      </c>
      <c r="D157" s="252" t="s">
        <v>834</v>
      </c>
      <c r="E157" s="252">
        <v>0</v>
      </c>
      <c r="F157" s="252">
        <v>0</v>
      </c>
      <c r="G157" s="252">
        <f>Rounds!$F157-Rounds!$E157</f>
        <v>0</v>
      </c>
      <c r="H157" s="256">
        <v>0</v>
      </c>
    </row>
    <row r="158" spans="1:8" ht="15">
      <c r="A158" s="252" t="s">
        <v>925</v>
      </c>
      <c r="B158" s="252" t="s">
        <v>926</v>
      </c>
      <c r="C158" s="252">
        <v>2026</v>
      </c>
      <c r="D158" s="252" t="s">
        <v>823</v>
      </c>
      <c r="E158" s="252">
        <v>0</v>
      </c>
      <c r="F158" s="252">
        <v>0</v>
      </c>
      <c r="G158" s="252">
        <f>Rounds!$F158-Rounds!$E158</f>
        <v>0</v>
      </c>
      <c r="H158" s="256">
        <v>0</v>
      </c>
    </row>
    <row r="159" spans="1:8" ht="15">
      <c r="A159" s="252" t="s">
        <v>925</v>
      </c>
      <c r="B159" s="252" t="s">
        <v>926</v>
      </c>
      <c r="C159" s="252">
        <v>2026</v>
      </c>
      <c r="D159" s="252" t="s">
        <v>824</v>
      </c>
      <c r="E159" s="252">
        <v>0</v>
      </c>
      <c r="F159" s="252">
        <v>0</v>
      </c>
      <c r="G159" s="252">
        <f>Rounds!$F159-Rounds!$E159</f>
        <v>0</v>
      </c>
      <c r="H159" s="256">
        <v>0</v>
      </c>
    </row>
    <row r="160" spans="1:8" ht="15">
      <c r="A160" s="252" t="s">
        <v>925</v>
      </c>
      <c r="B160" s="252" t="s">
        <v>926</v>
      </c>
      <c r="C160" s="252">
        <v>2026</v>
      </c>
      <c r="D160" s="252" t="s">
        <v>825</v>
      </c>
      <c r="E160" s="252">
        <v>20</v>
      </c>
      <c r="F160" s="252">
        <v>20</v>
      </c>
      <c r="G160" s="252">
        <f>Rounds!$F160-Rounds!$E160</f>
        <v>0</v>
      </c>
      <c r="H160" s="256">
        <f>Rounds!$E160/Rounds!$F160</f>
        <v>1</v>
      </c>
    </row>
    <row r="161" spans="1:8" ht="15">
      <c r="A161" s="252" t="s">
        <v>925</v>
      </c>
      <c r="B161" s="252" t="s">
        <v>926</v>
      </c>
      <c r="C161" s="252">
        <v>2026</v>
      </c>
      <c r="D161" s="252" t="s">
        <v>826</v>
      </c>
      <c r="E161" s="252">
        <v>24</v>
      </c>
      <c r="F161" s="252">
        <v>24</v>
      </c>
      <c r="G161" s="252">
        <f>Rounds!$F161-Rounds!$E161</f>
        <v>0</v>
      </c>
      <c r="H161" s="256">
        <f>Rounds!$E161/Rounds!$F161</f>
        <v>1</v>
      </c>
    </row>
    <row r="162" spans="1:8" ht="15">
      <c r="A162" s="252" t="s">
        <v>925</v>
      </c>
      <c r="B162" s="252" t="s">
        <v>926</v>
      </c>
      <c r="C162" s="252">
        <v>2026</v>
      </c>
      <c r="D162" s="252" t="s">
        <v>827</v>
      </c>
      <c r="E162" s="252">
        <v>10</v>
      </c>
      <c r="F162" s="252">
        <v>20</v>
      </c>
      <c r="G162" s="252">
        <f>Rounds!$F162-Rounds!$E162</f>
        <v>10</v>
      </c>
      <c r="H162" s="256">
        <f>Rounds!$E162/Rounds!$F162</f>
        <v>0.5</v>
      </c>
    </row>
    <row r="163" spans="1:8" ht="15">
      <c r="A163" s="252" t="s">
        <v>925</v>
      </c>
      <c r="B163" s="252" t="s">
        <v>926</v>
      </c>
      <c r="C163" s="252">
        <v>2026</v>
      </c>
      <c r="D163" s="252" t="s">
        <v>828</v>
      </c>
      <c r="E163" s="252">
        <v>20</v>
      </c>
      <c r="F163" s="252">
        <v>20</v>
      </c>
      <c r="G163" s="252">
        <f>Rounds!$F163-Rounds!$E163</f>
        <v>0</v>
      </c>
      <c r="H163" s="256">
        <f>Rounds!$E163/Rounds!$F163</f>
        <v>1</v>
      </c>
    </row>
    <row r="164" spans="1:8" ht="15">
      <c r="A164" s="252" t="s">
        <v>925</v>
      </c>
      <c r="B164" s="252" t="s">
        <v>926</v>
      </c>
      <c r="C164" s="252">
        <v>2026</v>
      </c>
      <c r="D164" s="252" t="s">
        <v>829</v>
      </c>
      <c r="E164" s="252">
        <v>24</v>
      </c>
      <c r="F164" s="252">
        <v>24</v>
      </c>
      <c r="G164" s="252">
        <f>Rounds!$F164-Rounds!$E164</f>
        <v>0</v>
      </c>
      <c r="H164" s="256">
        <f>Table6[[#This Row],[Realizados]]/Table6[[#This Row],[Previstos]]</f>
        <v>1</v>
      </c>
    </row>
    <row r="165" spans="1:8" ht="15">
      <c r="A165" s="252" t="s">
        <v>925</v>
      </c>
      <c r="B165" s="252" t="s">
        <v>926</v>
      </c>
      <c r="C165" s="252">
        <v>2026</v>
      </c>
      <c r="D165" s="252" t="s">
        <v>830</v>
      </c>
      <c r="E165" s="252">
        <v>20</v>
      </c>
      <c r="F165" s="252">
        <v>20</v>
      </c>
      <c r="G165" s="252">
        <f>Rounds!$F165-Rounds!$E165</f>
        <v>0</v>
      </c>
      <c r="H165" s="256">
        <v>0</v>
      </c>
    </row>
    <row r="166" spans="1:8" ht="15">
      <c r="A166" s="252" t="s">
        <v>925</v>
      </c>
      <c r="B166" s="252" t="s">
        <v>926</v>
      </c>
      <c r="C166" s="252">
        <v>2026</v>
      </c>
      <c r="D166" s="252" t="s">
        <v>831</v>
      </c>
      <c r="E166" s="252">
        <v>24</v>
      </c>
      <c r="F166" s="252">
        <v>24</v>
      </c>
      <c r="G166" s="252">
        <f>Rounds!$F166-Rounds!$E166</f>
        <v>0</v>
      </c>
      <c r="H166" s="256">
        <f>Table6[[#This Row],[Realizados]]/Table6[[#This Row],[Previstos]]</f>
        <v>1</v>
      </c>
    </row>
    <row r="167" spans="1:8" ht="15">
      <c r="A167" s="252" t="s">
        <v>925</v>
      </c>
      <c r="B167" s="252" t="s">
        <v>926</v>
      </c>
      <c r="C167" s="252">
        <v>2026</v>
      </c>
      <c r="D167" s="252" t="s">
        <v>832</v>
      </c>
      <c r="E167" s="252"/>
      <c r="F167" s="252"/>
      <c r="G167" s="252">
        <f>Rounds!$F167-Rounds!$E167</f>
        <v>0</v>
      </c>
      <c r="H167" s="256">
        <v>0</v>
      </c>
    </row>
    <row r="168" spans="1:8" ht="15">
      <c r="A168" s="252" t="s">
        <v>925</v>
      </c>
      <c r="B168" s="252" t="s">
        <v>926</v>
      </c>
      <c r="C168" s="252">
        <v>2026</v>
      </c>
      <c r="D168" s="252" t="s">
        <v>833</v>
      </c>
      <c r="E168" s="252"/>
      <c r="F168" s="252"/>
      <c r="G168" s="252">
        <f>Rounds!$F168-Rounds!$E168</f>
        <v>0</v>
      </c>
      <c r="H168" s="256">
        <v>0</v>
      </c>
    </row>
    <row r="169" spans="1:8" ht="15">
      <c r="A169" s="252" t="s">
        <v>925</v>
      </c>
      <c r="B169" s="252" t="s">
        <v>926</v>
      </c>
      <c r="C169" s="252">
        <v>2026</v>
      </c>
      <c r="D169" s="252" t="s">
        <v>834</v>
      </c>
      <c r="E169" s="252"/>
      <c r="F169" s="252"/>
      <c r="G169" s="252">
        <f>Rounds!$F169-Rounds!$E169</f>
        <v>0</v>
      </c>
      <c r="H169" s="256">
        <v>0</v>
      </c>
    </row>
    <row r="170" spans="1:8" ht="14.25" customHeight="1">
      <c r="A170" s="252"/>
      <c r="B170" s="252" t="s">
        <v>906</v>
      </c>
      <c r="C170" s="252">
        <v>2025</v>
      </c>
      <c r="D170" s="252" t="s">
        <v>823</v>
      </c>
      <c r="E170" s="252">
        <v>15</v>
      </c>
      <c r="F170" s="252">
        <v>15</v>
      </c>
      <c r="G170" s="252">
        <f>Rounds!$F170-Rounds!$E170</f>
        <v>0</v>
      </c>
      <c r="H170" s="256">
        <f>Rounds!$E170/Rounds!$F170</f>
        <v>1</v>
      </c>
    </row>
    <row r="171" spans="1:8" ht="14.25" customHeight="1">
      <c r="A171" s="252"/>
      <c r="B171" s="252" t="s">
        <v>906</v>
      </c>
      <c r="C171" s="252">
        <v>2025</v>
      </c>
      <c r="D171" s="252" t="s">
        <v>824</v>
      </c>
      <c r="E171" s="252">
        <v>12</v>
      </c>
      <c r="F171" s="252">
        <v>12</v>
      </c>
      <c r="G171" s="252">
        <f>Rounds!$F171-Rounds!$E171</f>
        <v>0</v>
      </c>
      <c r="H171" s="256">
        <f>Rounds!$E171/Rounds!$F171</f>
        <v>1</v>
      </c>
    </row>
    <row r="172" spans="1:8" ht="14.25" customHeight="1">
      <c r="A172" s="252"/>
      <c r="B172" s="252" t="s">
        <v>906</v>
      </c>
      <c r="C172" s="252">
        <v>2025</v>
      </c>
      <c r="D172" s="252" t="s">
        <v>825</v>
      </c>
      <c r="E172" s="252">
        <v>12</v>
      </c>
      <c r="F172" s="252">
        <v>12</v>
      </c>
      <c r="G172" s="252">
        <f>Rounds!$F172-Rounds!$E172</f>
        <v>0</v>
      </c>
      <c r="H172" s="256">
        <f>Rounds!$E172/Rounds!$F172</f>
        <v>1</v>
      </c>
    </row>
    <row r="173" spans="1:8" ht="14.25" customHeight="1">
      <c r="A173" s="252"/>
      <c r="B173" s="252" t="s">
        <v>906</v>
      </c>
      <c r="C173" s="252">
        <v>2025</v>
      </c>
      <c r="D173" s="252" t="s">
        <v>826</v>
      </c>
      <c r="E173" s="252">
        <v>15</v>
      </c>
      <c r="F173" s="252">
        <v>15</v>
      </c>
      <c r="G173" s="252">
        <f>Rounds!$F173-Rounds!$E173</f>
        <v>0</v>
      </c>
      <c r="H173" s="256">
        <f>Rounds!$E173/Rounds!$F173</f>
        <v>1</v>
      </c>
    </row>
    <row r="174" spans="1:8" ht="14.25" customHeight="1">
      <c r="A174" s="252"/>
      <c r="B174" s="252" t="s">
        <v>906</v>
      </c>
      <c r="C174" s="252">
        <v>2025</v>
      </c>
      <c r="D174" s="252" t="s">
        <v>827</v>
      </c>
      <c r="E174" s="252">
        <v>12</v>
      </c>
      <c r="F174" s="252">
        <v>12</v>
      </c>
      <c r="G174" s="252">
        <f>Rounds!$F174-Rounds!$E174</f>
        <v>0</v>
      </c>
      <c r="H174" s="256">
        <f>Rounds!$E174/Rounds!$F174</f>
        <v>1</v>
      </c>
    </row>
    <row r="175" spans="1:8" ht="14.25" customHeight="1">
      <c r="A175" s="252"/>
      <c r="B175" s="252" t="s">
        <v>906</v>
      </c>
      <c r="C175" s="252">
        <v>2025</v>
      </c>
      <c r="D175" s="252" t="s">
        <v>828</v>
      </c>
      <c r="E175" s="252">
        <v>12</v>
      </c>
      <c r="F175" s="252">
        <v>12</v>
      </c>
      <c r="G175" s="252">
        <f>Rounds!$F175-Rounds!$E175</f>
        <v>0</v>
      </c>
      <c r="H175" s="256">
        <f>Rounds!$E175/Rounds!$F175</f>
        <v>1</v>
      </c>
    </row>
    <row r="176" spans="1:8" ht="14.25" customHeight="1">
      <c r="A176" s="252"/>
      <c r="B176" s="252" t="s">
        <v>906</v>
      </c>
      <c r="C176" s="252">
        <v>2025</v>
      </c>
      <c r="D176" s="252" t="s">
        <v>829</v>
      </c>
      <c r="E176" s="252">
        <v>15</v>
      </c>
      <c r="F176" s="252">
        <v>15</v>
      </c>
      <c r="G176" s="252">
        <f>Rounds!$F176-Rounds!$E176</f>
        <v>0</v>
      </c>
      <c r="H176" s="256">
        <f>Rounds!$E176/Rounds!$F176</f>
        <v>1</v>
      </c>
    </row>
    <row r="177" spans="1:8" ht="14.25" customHeight="1">
      <c r="A177" s="252"/>
      <c r="B177" s="252" t="s">
        <v>906</v>
      </c>
      <c r="C177" s="252">
        <v>2025</v>
      </c>
      <c r="D177" s="252" t="s">
        <v>830</v>
      </c>
      <c r="E177" s="252">
        <v>12</v>
      </c>
      <c r="F177" s="252">
        <v>12</v>
      </c>
      <c r="G177" s="252">
        <f>Rounds!$F177-Rounds!$E177</f>
        <v>0</v>
      </c>
      <c r="H177" s="256">
        <f>Rounds!$E177/Rounds!$F177</f>
        <v>1</v>
      </c>
    </row>
    <row r="178" spans="1:8" ht="14.25" customHeight="1">
      <c r="A178" s="252"/>
      <c r="B178" s="252" t="s">
        <v>906</v>
      </c>
      <c r="C178" s="252">
        <v>2025</v>
      </c>
      <c r="D178" s="252" t="s">
        <v>831</v>
      </c>
      <c r="E178" s="252">
        <v>12</v>
      </c>
      <c r="F178" s="252">
        <v>12</v>
      </c>
      <c r="G178" s="252">
        <f>Rounds!$F178-Rounds!$E178</f>
        <v>0</v>
      </c>
      <c r="H178" s="256">
        <f>Rounds!$E178/Rounds!$F178</f>
        <v>1</v>
      </c>
    </row>
    <row r="179" spans="1:8" ht="14.25" customHeight="1">
      <c r="A179" s="252"/>
      <c r="B179" s="252" t="s">
        <v>906</v>
      </c>
      <c r="C179" s="252">
        <v>2025</v>
      </c>
      <c r="D179" s="252" t="s">
        <v>832</v>
      </c>
      <c r="E179" s="252">
        <v>15</v>
      </c>
      <c r="F179" s="252">
        <v>15</v>
      </c>
      <c r="G179" s="252">
        <f>Rounds!$F179-Rounds!$E179</f>
        <v>0</v>
      </c>
      <c r="H179" s="256">
        <f>Rounds!$E179/Rounds!$F179</f>
        <v>1</v>
      </c>
    </row>
    <row r="180" spans="1:8" ht="14.25" customHeight="1">
      <c r="A180" s="252"/>
      <c r="B180" s="252" t="s">
        <v>906</v>
      </c>
      <c r="C180" s="252">
        <v>2025</v>
      </c>
      <c r="D180" s="252" t="s">
        <v>833</v>
      </c>
      <c r="E180" s="252">
        <v>12</v>
      </c>
      <c r="F180" s="252">
        <v>12</v>
      </c>
      <c r="G180" s="252">
        <f>Rounds!$F180-Rounds!$E180</f>
        <v>0</v>
      </c>
      <c r="H180" s="256">
        <f>Rounds!$E180/Rounds!$F180</f>
        <v>1</v>
      </c>
    </row>
    <row r="181" spans="1:8" ht="14.25" customHeight="1">
      <c r="A181" s="252"/>
      <c r="B181" s="252" t="s">
        <v>906</v>
      </c>
      <c r="C181" s="252">
        <v>2025</v>
      </c>
      <c r="D181" s="252" t="s">
        <v>834</v>
      </c>
      <c r="E181" s="252">
        <v>15</v>
      </c>
      <c r="F181" s="252">
        <v>15</v>
      </c>
      <c r="G181" s="252">
        <f>Rounds!$F181-Rounds!$E181</f>
        <v>0</v>
      </c>
      <c r="H181" s="256">
        <f>Rounds!$E181/Rounds!$F181</f>
        <v>1</v>
      </c>
    </row>
    <row r="182" spans="1:8" ht="14.25" customHeight="1">
      <c r="A182" s="252"/>
      <c r="B182" s="252" t="s">
        <v>483</v>
      </c>
      <c r="C182" s="252">
        <v>2025</v>
      </c>
      <c r="D182" s="252" t="s">
        <v>823</v>
      </c>
      <c r="E182" s="252">
        <v>9</v>
      </c>
      <c r="F182" s="252">
        <v>15</v>
      </c>
      <c r="G182" s="252">
        <f>Rounds!$F182-Rounds!$E182</f>
        <v>6</v>
      </c>
      <c r="H182" s="256">
        <f>Rounds!$E182/Rounds!$F182</f>
        <v>0.6</v>
      </c>
    </row>
    <row r="183" spans="1:8" ht="14.25" customHeight="1">
      <c r="A183" s="252"/>
      <c r="B183" s="252" t="s">
        <v>483</v>
      </c>
      <c r="C183" s="252">
        <v>2025</v>
      </c>
      <c r="D183" s="252" t="s">
        <v>824</v>
      </c>
      <c r="E183" s="252">
        <v>12</v>
      </c>
      <c r="F183" s="252">
        <v>12</v>
      </c>
      <c r="G183" s="252">
        <f>Rounds!$F183-Rounds!$E183</f>
        <v>0</v>
      </c>
      <c r="H183" s="256">
        <f>Rounds!$E183/Rounds!$F183</f>
        <v>1</v>
      </c>
    </row>
    <row r="184" spans="1:8" ht="14.25" customHeight="1">
      <c r="A184" s="252"/>
      <c r="B184" s="252" t="s">
        <v>483</v>
      </c>
      <c r="C184" s="252">
        <v>2025</v>
      </c>
      <c r="D184" s="252" t="s">
        <v>825</v>
      </c>
      <c r="E184" s="252">
        <v>11</v>
      </c>
      <c r="F184" s="252">
        <v>12</v>
      </c>
      <c r="G184" s="252">
        <f>Rounds!$F184-Rounds!$E184</f>
        <v>1</v>
      </c>
      <c r="H184" s="256">
        <f>Rounds!$E184/Rounds!$F184</f>
        <v>0.91666666666666663</v>
      </c>
    </row>
    <row r="185" spans="1:8" ht="14.25" customHeight="1">
      <c r="A185" s="252"/>
      <c r="B185" s="252" t="s">
        <v>483</v>
      </c>
      <c r="C185" s="252">
        <v>2025</v>
      </c>
      <c r="D185" s="252" t="s">
        <v>826</v>
      </c>
      <c r="E185" s="252">
        <v>14</v>
      </c>
      <c r="F185" s="252">
        <v>15</v>
      </c>
      <c r="G185" s="252">
        <f>Rounds!$F185-Rounds!$E185</f>
        <v>1</v>
      </c>
      <c r="H185" s="256">
        <f>Rounds!$E185/Rounds!$F185</f>
        <v>0.93333333333333335</v>
      </c>
    </row>
    <row r="186" spans="1:8" ht="14.25" customHeight="1">
      <c r="A186" s="252"/>
      <c r="B186" s="252" t="s">
        <v>483</v>
      </c>
      <c r="C186" s="252">
        <v>2025</v>
      </c>
      <c r="D186" s="252" t="s">
        <v>827</v>
      </c>
      <c r="E186" s="252">
        <v>4</v>
      </c>
      <c r="F186" s="252">
        <v>12</v>
      </c>
      <c r="G186" s="252">
        <f>Rounds!$F186-Rounds!$E186</f>
        <v>8</v>
      </c>
      <c r="H186" s="256">
        <f>Rounds!$E186/Rounds!$F186</f>
        <v>0.33333333333333331</v>
      </c>
    </row>
    <row r="187" spans="1:8" ht="14.25" customHeight="1">
      <c r="A187" s="252"/>
      <c r="B187" s="252" t="s">
        <v>483</v>
      </c>
      <c r="C187" s="252">
        <v>2025</v>
      </c>
      <c r="D187" s="252" t="s">
        <v>828</v>
      </c>
      <c r="E187" s="252">
        <v>7</v>
      </c>
      <c r="F187" s="252">
        <v>12</v>
      </c>
      <c r="G187" s="252">
        <f>Rounds!$F187-Rounds!$E187</f>
        <v>5</v>
      </c>
      <c r="H187" s="256">
        <f>Rounds!$E187/Rounds!$F187</f>
        <v>0.58333333333333337</v>
      </c>
    </row>
    <row r="188" spans="1:8" ht="14.25" customHeight="1">
      <c r="A188" s="252"/>
      <c r="B188" s="252" t="s">
        <v>483</v>
      </c>
      <c r="C188" s="252">
        <v>2025</v>
      </c>
      <c r="D188" s="252" t="s">
        <v>829</v>
      </c>
      <c r="E188" s="252">
        <v>15</v>
      </c>
      <c r="F188" s="252">
        <v>15</v>
      </c>
      <c r="G188" s="252">
        <f>Rounds!$F188-Rounds!$E188</f>
        <v>0</v>
      </c>
      <c r="H188" s="256">
        <f>Rounds!$E188/Rounds!$F188</f>
        <v>1</v>
      </c>
    </row>
    <row r="189" spans="1:8" ht="14.25" customHeight="1">
      <c r="A189" s="252"/>
      <c r="B189" s="252" t="s">
        <v>483</v>
      </c>
      <c r="C189" s="252">
        <v>2025</v>
      </c>
      <c r="D189" s="252" t="s">
        <v>830</v>
      </c>
      <c r="E189" s="252">
        <v>4</v>
      </c>
      <c r="F189" s="252">
        <v>12</v>
      </c>
      <c r="G189" s="252">
        <f>Rounds!$F189-Rounds!$E189</f>
        <v>8</v>
      </c>
      <c r="H189" s="256">
        <f>Rounds!$E189/Rounds!$F189</f>
        <v>0.33333333333333331</v>
      </c>
    </row>
    <row r="190" spans="1:8" ht="14.25" customHeight="1">
      <c r="A190" s="252"/>
      <c r="B190" s="252" t="s">
        <v>483</v>
      </c>
      <c r="C190" s="252">
        <v>2025</v>
      </c>
      <c r="D190" s="252" t="s">
        <v>831</v>
      </c>
      <c r="E190" s="252">
        <v>8</v>
      </c>
      <c r="F190" s="252">
        <v>12</v>
      </c>
      <c r="G190" s="252">
        <f>Rounds!$F190-Rounds!$E190</f>
        <v>4</v>
      </c>
      <c r="H190" s="256">
        <f>Rounds!$E190/Rounds!$F190</f>
        <v>0.66666666666666663</v>
      </c>
    </row>
    <row r="191" spans="1:8" ht="14.25" customHeight="1">
      <c r="A191" s="252"/>
      <c r="B191" s="252" t="s">
        <v>483</v>
      </c>
      <c r="C191" s="252">
        <v>2025</v>
      </c>
      <c r="D191" s="252" t="s">
        <v>832</v>
      </c>
      <c r="E191" s="252">
        <v>13</v>
      </c>
      <c r="F191" s="252">
        <v>15</v>
      </c>
      <c r="G191" s="252">
        <f>Rounds!$F191-Rounds!$E191</f>
        <v>2</v>
      </c>
      <c r="H191" s="256">
        <f>Rounds!$E191/Rounds!$F191</f>
        <v>0.8666666666666667</v>
      </c>
    </row>
    <row r="192" spans="1:8" ht="14.25" customHeight="1">
      <c r="A192" s="252"/>
      <c r="B192" s="252" t="s">
        <v>483</v>
      </c>
      <c r="C192" s="252">
        <v>2025</v>
      </c>
      <c r="D192" s="252" t="s">
        <v>833</v>
      </c>
      <c r="E192" s="252">
        <v>11</v>
      </c>
      <c r="F192" s="252">
        <v>12</v>
      </c>
      <c r="G192" s="252">
        <f>Rounds!$F192-Rounds!$E192</f>
        <v>1</v>
      </c>
      <c r="H192" s="256">
        <f>Rounds!$E192/Rounds!$F192</f>
        <v>0.91666666666666663</v>
      </c>
    </row>
    <row r="193" spans="1:8" ht="14.25" customHeight="1">
      <c r="A193" s="252"/>
      <c r="B193" s="252" t="s">
        <v>483</v>
      </c>
      <c r="C193" s="252">
        <v>2025</v>
      </c>
      <c r="D193" s="252" t="s">
        <v>834</v>
      </c>
      <c r="E193" s="252">
        <v>8</v>
      </c>
      <c r="F193" s="252">
        <v>15</v>
      </c>
      <c r="G193" s="252">
        <f>Rounds!$F193-Rounds!$E193</f>
        <v>7</v>
      </c>
      <c r="H193" s="256">
        <f>Rounds!$E193/Rounds!$F193</f>
        <v>0.53333333333333333</v>
      </c>
    </row>
    <row r="194" spans="1:8" ht="14.25" customHeight="1">
      <c r="A194" s="252"/>
      <c r="B194" s="252" t="s">
        <v>909</v>
      </c>
      <c r="C194" s="252">
        <v>2025</v>
      </c>
      <c r="D194" s="252" t="s">
        <v>823</v>
      </c>
      <c r="E194" s="252">
        <v>4</v>
      </c>
      <c r="F194" s="252">
        <v>15</v>
      </c>
      <c r="G194" s="252">
        <f>Rounds!$F194-Rounds!$E194</f>
        <v>11</v>
      </c>
      <c r="H194" s="256">
        <f>Rounds!$E194/Rounds!$F194</f>
        <v>0.26666666666666666</v>
      </c>
    </row>
    <row r="195" spans="1:8" ht="14.25" customHeight="1">
      <c r="A195" s="252"/>
      <c r="B195" s="252" t="s">
        <v>909</v>
      </c>
      <c r="C195" s="252">
        <v>2025</v>
      </c>
      <c r="D195" s="252" t="s">
        <v>824</v>
      </c>
      <c r="E195" s="252">
        <v>8</v>
      </c>
      <c r="F195" s="252">
        <v>12</v>
      </c>
      <c r="G195" s="252">
        <f>Rounds!$F195-Rounds!$E195</f>
        <v>4</v>
      </c>
      <c r="H195" s="256">
        <f>Rounds!$E195/Rounds!$F195</f>
        <v>0.66666666666666663</v>
      </c>
    </row>
    <row r="196" spans="1:8" ht="14.25" customHeight="1">
      <c r="A196" s="252"/>
      <c r="B196" s="252" t="s">
        <v>909</v>
      </c>
      <c r="C196" s="252">
        <v>2025</v>
      </c>
      <c r="D196" s="252" t="s">
        <v>825</v>
      </c>
      <c r="E196" s="252">
        <v>9</v>
      </c>
      <c r="F196" s="252">
        <v>12</v>
      </c>
      <c r="G196" s="252">
        <f>Rounds!$F196-Rounds!$E196</f>
        <v>3</v>
      </c>
      <c r="H196" s="256">
        <f>Rounds!$E196/Rounds!$F196</f>
        <v>0.75</v>
      </c>
    </row>
    <row r="197" spans="1:8" ht="14.25" customHeight="1">
      <c r="A197" s="252"/>
      <c r="B197" s="252" t="s">
        <v>909</v>
      </c>
      <c r="C197" s="252">
        <v>2025</v>
      </c>
      <c r="D197" s="252" t="s">
        <v>826</v>
      </c>
      <c r="E197" s="252">
        <v>8</v>
      </c>
      <c r="F197" s="252">
        <v>15</v>
      </c>
      <c r="G197" s="252">
        <f>Rounds!$F197-Rounds!$E197</f>
        <v>7</v>
      </c>
      <c r="H197" s="256">
        <f>Rounds!$E197/Rounds!$F197</f>
        <v>0.53333333333333333</v>
      </c>
    </row>
    <row r="198" spans="1:8" ht="14.25" customHeight="1">
      <c r="A198" s="252"/>
      <c r="B198" s="252" t="s">
        <v>909</v>
      </c>
      <c r="C198" s="252">
        <v>2025</v>
      </c>
      <c r="D198" s="252" t="s">
        <v>827</v>
      </c>
      <c r="E198" s="252">
        <v>6</v>
      </c>
      <c r="F198" s="252">
        <v>12</v>
      </c>
      <c r="G198" s="252">
        <f>Rounds!$F198-Rounds!$E198</f>
        <v>6</v>
      </c>
      <c r="H198" s="256">
        <f>Rounds!$E198/Rounds!$F198</f>
        <v>0.5</v>
      </c>
    </row>
    <row r="199" spans="1:8" ht="14.25" customHeight="1">
      <c r="A199" s="252"/>
      <c r="B199" s="252" t="s">
        <v>909</v>
      </c>
      <c r="C199" s="252">
        <v>2025</v>
      </c>
      <c r="D199" s="252" t="s">
        <v>828</v>
      </c>
      <c r="E199" s="252">
        <v>9</v>
      </c>
      <c r="F199" s="252">
        <v>12</v>
      </c>
      <c r="G199" s="252">
        <f>Rounds!$F199-Rounds!$E199</f>
        <v>3</v>
      </c>
      <c r="H199" s="256">
        <f>Rounds!$E199/Rounds!$F199</f>
        <v>0.75</v>
      </c>
    </row>
    <row r="200" spans="1:8" ht="14.25" customHeight="1">
      <c r="A200" s="252"/>
      <c r="B200" s="252" t="s">
        <v>909</v>
      </c>
      <c r="C200" s="252">
        <v>2025</v>
      </c>
      <c r="D200" s="252" t="s">
        <v>829</v>
      </c>
      <c r="E200" s="252">
        <v>12</v>
      </c>
      <c r="F200" s="252">
        <v>15</v>
      </c>
      <c r="G200" s="252">
        <f>Rounds!$F200-Rounds!$E200</f>
        <v>3</v>
      </c>
      <c r="H200" s="256">
        <f>Rounds!$E200/Rounds!$F200</f>
        <v>0.8</v>
      </c>
    </row>
    <row r="201" spans="1:8" ht="14.25" customHeight="1">
      <c r="A201" s="252"/>
      <c r="B201" s="252" t="s">
        <v>909</v>
      </c>
      <c r="C201" s="252">
        <v>2025</v>
      </c>
      <c r="D201" s="252" t="s">
        <v>830</v>
      </c>
      <c r="E201" s="252">
        <v>7</v>
      </c>
      <c r="F201" s="252">
        <v>12</v>
      </c>
      <c r="G201" s="252">
        <f>Rounds!$F201-Rounds!$E201</f>
        <v>5</v>
      </c>
      <c r="H201" s="256">
        <f>Rounds!$E201/Rounds!$F201</f>
        <v>0.58333333333333337</v>
      </c>
    </row>
    <row r="202" spans="1:8" ht="14.25" customHeight="1">
      <c r="A202" s="252"/>
      <c r="B202" s="252" t="s">
        <v>909</v>
      </c>
      <c r="C202" s="252">
        <v>2025</v>
      </c>
      <c r="D202" s="252" t="s">
        <v>831</v>
      </c>
      <c r="E202" s="252">
        <v>9</v>
      </c>
      <c r="F202" s="252">
        <v>12</v>
      </c>
      <c r="G202" s="252">
        <f>Rounds!$F202-Rounds!$E202</f>
        <v>3</v>
      </c>
      <c r="H202" s="256">
        <f>Rounds!$E202/Rounds!$F202</f>
        <v>0.75</v>
      </c>
    </row>
    <row r="203" spans="1:8" ht="14.25" customHeight="1">
      <c r="A203" s="252"/>
      <c r="B203" s="252" t="s">
        <v>909</v>
      </c>
      <c r="C203" s="252">
        <v>2025</v>
      </c>
      <c r="D203" s="252" t="s">
        <v>832</v>
      </c>
      <c r="E203" s="252">
        <v>15</v>
      </c>
      <c r="F203" s="252">
        <v>15</v>
      </c>
      <c r="G203" s="252">
        <f>Rounds!$F203-Rounds!$E203</f>
        <v>0</v>
      </c>
      <c r="H203" s="256">
        <f>Rounds!$E203/Rounds!$F203</f>
        <v>1</v>
      </c>
    </row>
    <row r="204" spans="1:8" ht="14.25" customHeight="1">
      <c r="A204" s="252"/>
      <c r="B204" s="252" t="s">
        <v>909</v>
      </c>
      <c r="C204" s="252">
        <v>2025</v>
      </c>
      <c r="D204" s="252" t="s">
        <v>833</v>
      </c>
      <c r="E204" s="252">
        <v>11</v>
      </c>
      <c r="F204" s="252">
        <v>12</v>
      </c>
      <c r="G204" s="252">
        <f>Rounds!$F204-Rounds!$E204</f>
        <v>1</v>
      </c>
      <c r="H204" s="256">
        <f>Rounds!$E204/Rounds!$F204</f>
        <v>0.91666666666666663</v>
      </c>
    </row>
    <row r="205" spans="1:8" ht="14.25" customHeight="1">
      <c r="A205" s="252"/>
      <c r="B205" s="252" t="s">
        <v>909</v>
      </c>
      <c r="C205" s="252">
        <v>2025</v>
      </c>
      <c r="D205" s="252" t="s">
        <v>834</v>
      </c>
      <c r="E205" s="252">
        <v>11</v>
      </c>
      <c r="F205" s="252">
        <v>15</v>
      </c>
      <c r="G205" s="252">
        <f>Rounds!$F205-Rounds!$E205</f>
        <v>4</v>
      </c>
      <c r="H205" s="256">
        <f>Rounds!$E205/Rounds!$F205</f>
        <v>0.73333333333333328</v>
      </c>
    </row>
    <row r="206" spans="1:8" ht="14.25" customHeight="1">
      <c r="A206" s="252"/>
      <c r="B206" s="252" t="s">
        <v>911</v>
      </c>
      <c r="C206" s="252">
        <v>2025</v>
      </c>
      <c r="D206" s="252" t="s">
        <v>823</v>
      </c>
      <c r="E206" s="252">
        <v>6</v>
      </c>
      <c r="F206" s="252">
        <v>15</v>
      </c>
      <c r="G206" s="252">
        <f>Rounds!$F206-Rounds!$E206</f>
        <v>9</v>
      </c>
      <c r="H206" s="256">
        <f>Rounds!$E206/Rounds!$F206</f>
        <v>0.4</v>
      </c>
    </row>
    <row r="207" spans="1:8" ht="14.25" customHeight="1">
      <c r="A207" s="252"/>
      <c r="B207" s="252" t="s">
        <v>911</v>
      </c>
      <c r="C207" s="252">
        <v>2025</v>
      </c>
      <c r="D207" s="252" t="s">
        <v>824</v>
      </c>
      <c r="E207" s="252">
        <v>9</v>
      </c>
      <c r="F207" s="252">
        <v>12</v>
      </c>
      <c r="G207" s="252">
        <f>Rounds!$F207-Rounds!$E207</f>
        <v>3</v>
      </c>
      <c r="H207" s="256">
        <f>Rounds!$E207/Rounds!$F207</f>
        <v>0.75</v>
      </c>
    </row>
    <row r="208" spans="1:8" ht="14.25" customHeight="1">
      <c r="A208" s="252"/>
      <c r="B208" s="252" t="s">
        <v>911</v>
      </c>
      <c r="C208" s="252">
        <v>2025</v>
      </c>
      <c r="D208" s="252" t="s">
        <v>825</v>
      </c>
      <c r="E208" s="252">
        <v>8</v>
      </c>
      <c r="F208" s="252">
        <v>12</v>
      </c>
      <c r="G208" s="252">
        <f>Rounds!$F208-Rounds!$E208</f>
        <v>4</v>
      </c>
      <c r="H208" s="256">
        <f>Rounds!$E208/Rounds!$F208</f>
        <v>0.66666666666666663</v>
      </c>
    </row>
    <row r="209" spans="1:8" ht="14.25" customHeight="1">
      <c r="A209" s="252"/>
      <c r="B209" s="252" t="s">
        <v>911</v>
      </c>
      <c r="C209" s="252">
        <v>2025</v>
      </c>
      <c r="D209" s="252" t="s">
        <v>826</v>
      </c>
      <c r="E209" s="252">
        <v>6</v>
      </c>
      <c r="F209" s="252">
        <v>15</v>
      </c>
      <c r="G209" s="252">
        <f>Rounds!$F209-Rounds!$E209</f>
        <v>9</v>
      </c>
      <c r="H209" s="256">
        <f>Rounds!$E209/Rounds!$F209</f>
        <v>0.4</v>
      </c>
    </row>
    <row r="210" spans="1:8" ht="14.25" customHeight="1">
      <c r="A210" s="252"/>
      <c r="B210" s="252" t="s">
        <v>911</v>
      </c>
      <c r="C210" s="252">
        <v>2025</v>
      </c>
      <c r="D210" s="252" t="s">
        <v>827</v>
      </c>
      <c r="E210" s="252">
        <v>8</v>
      </c>
      <c r="F210" s="252">
        <v>12</v>
      </c>
      <c r="G210" s="252">
        <f>Rounds!$F210-Rounds!$E210</f>
        <v>4</v>
      </c>
      <c r="H210" s="256">
        <f>Rounds!$E210/Rounds!$F210</f>
        <v>0.66666666666666663</v>
      </c>
    </row>
    <row r="211" spans="1:8" ht="14.25" customHeight="1">
      <c r="A211" s="252"/>
      <c r="B211" s="252" t="s">
        <v>911</v>
      </c>
      <c r="C211" s="252">
        <v>2025</v>
      </c>
      <c r="D211" s="252" t="s">
        <v>828</v>
      </c>
      <c r="E211" s="252">
        <v>8</v>
      </c>
      <c r="F211" s="252">
        <v>12</v>
      </c>
      <c r="G211" s="252">
        <f>Rounds!$F211-Rounds!$E211</f>
        <v>4</v>
      </c>
      <c r="H211" s="256">
        <f>Rounds!$E211/Rounds!$F211</f>
        <v>0.66666666666666663</v>
      </c>
    </row>
    <row r="212" spans="1:8" ht="14.25" customHeight="1">
      <c r="A212" s="252"/>
      <c r="B212" s="252" t="s">
        <v>911</v>
      </c>
      <c r="C212" s="252">
        <v>2025</v>
      </c>
      <c r="D212" s="252" t="s">
        <v>829</v>
      </c>
      <c r="E212" s="252">
        <v>12</v>
      </c>
      <c r="F212" s="252">
        <v>15</v>
      </c>
      <c r="G212" s="252">
        <f>Rounds!$F212-Rounds!$E212</f>
        <v>3</v>
      </c>
      <c r="H212" s="256">
        <f>Rounds!$E212/Rounds!$F212</f>
        <v>0.8</v>
      </c>
    </row>
    <row r="213" spans="1:8" ht="14.25" customHeight="1">
      <c r="A213" s="252"/>
      <c r="B213" s="252" t="s">
        <v>911</v>
      </c>
      <c r="C213" s="252">
        <v>2025</v>
      </c>
      <c r="D213" s="252" t="s">
        <v>830</v>
      </c>
      <c r="E213" s="252">
        <v>9</v>
      </c>
      <c r="F213" s="252">
        <v>12</v>
      </c>
      <c r="G213" s="252">
        <f>Rounds!$F213-Rounds!$E213</f>
        <v>3</v>
      </c>
      <c r="H213" s="256">
        <f>Rounds!$E213/Rounds!$F213</f>
        <v>0.75</v>
      </c>
    </row>
    <row r="214" spans="1:8" ht="14.25" customHeight="1">
      <c r="A214" s="252"/>
      <c r="B214" s="252" t="s">
        <v>911</v>
      </c>
      <c r="C214" s="252">
        <v>2025</v>
      </c>
      <c r="D214" s="252" t="s">
        <v>831</v>
      </c>
      <c r="E214" s="252">
        <v>12</v>
      </c>
      <c r="F214" s="252">
        <v>12</v>
      </c>
      <c r="G214" s="252">
        <f>Rounds!$F214-Rounds!$E214</f>
        <v>0</v>
      </c>
      <c r="H214" s="256">
        <f>Rounds!$E214/Rounds!$F214</f>
        <v>1</v>
      </c>
    </row>
    <row r="215" spans="1:8" ht="14.25" customHeight="1">
      <c r="A215" s="252"/>
      <c r="B215" s="252" t="s">
        <v>911</v>
      </c>
      <c r="C215" s="252">
        <v>2025</v>
      </c>
      <c r="D215" s="252" t="s">
        <v>832</v>
      </c>
      <c r="E215" s="252">
        <v>14</v>
      </c>
      <c r="F215" s="252">
        <v>15</v>
      </c>
      <c r="G215" s="252">
        <f>Rounds!$F215-Rounds!$E215</f>
        <v>1</v>
      </c>
      <c r="H215" s="256">
        <f>Rounds!$E215/Rounds!$F215</f>
        <v>0.93333333333333335</v>
      </c>
    </row>
    <row r="216" spans="1:8" ht="14.25" customHeight="1">
      <c r="A216" s="252"/>
      <c r="B216" s="252" t="s">
        <v>911</v>
      </c>
      <c r="C216" s="252">
        <v>2025</v>
      </c>
      <c r="D216" s="252" t="s">
        <v>833</v>
      </c>
      <c r="E216" s="252">
        <v>12</v>
      </c>
      <c r="F216" s="252">
        <v>12</v>
      </c>
      <c r="G216" s="252">
        <f>Rounds!$F216-Rounds!$E216</f>
        <v>0</v>
      </c>
      <c r="H216" s="256">
        <f>Rounds!$E216/Rounds!$F216</f>
        <v>1</v>
      </c>
    </row>
    <row r="217" spans="1:8" ht="14.25" customHeight="1">
      <c r="A217" s="252"/>
      <c r="B217" s="252" t="s">
        <v>911</v>
      </c>
      <c r="C217" s="252">
        <v>2025</v>
      </c>
      <c r="D217" s="252" t="s">
        <v>834</v>
      </c>
      <c r="E217" s="252">
        <v>15</v>
      </c>
      <c r="F217" s="252">
        <v>15</v>
      </c>
      <c r="G217" s="252">
        <f>Rounds!$F217-Rounds!$E217</f>
        <v>0</v>
      </c>
      <c r="H217" s="256">
        <f>Rounds!$E217/Rounds!$F217</f>
        <v>1</v>
      </c>
    </row>
    <row r="218" spans="1:8" ht="14.25" customHeight="1">
      <c r="A218" s="252"/>
      <c r="B218" s="252" t="s">
        <v>913</v>
      </c>
      <c r="C218" s="252">
        <v>2025</v>
      </c>
      <c r="D218" s="252" t="s">
        <v>823</v>
      </c>
      <c r="E218" s="252">
        <v>15</v>
      </c>
      <c r="F218" s="252">
        <v>15</v>
      </c>
      <c r="G218" s="252">
        <f>Rounds!$F218-Rounds!$E218</f>
        <v>0</v>
      </c>
      <c r="H218" s="256">
        <f>Rounds!$E218/Rounds!$F218</f>
        <v>1</v>
      </c>
    </row>
    <row r="219" spans="1:8" ht="14.25" customHeight="1">
      <c r="A219" s="252"/>
      <c r="B219" s="252" t="s">
        <v>913</v>
      </c>
      <c r="C219" s="252">
        <v>2025</v>
      </c>
      <c r="D219" s="252" t="s">
        <v>824</v>
      </c>
      <c r="E219" s="252">
        <v>12</v>
      </c>
      <c r="F219" s="252">
        <v>12</v>
      </c>
      <c r="G219" s="252">
        <f>Rounds!$F219-Rounds!$E219</f>
        <v>0</v>
      </c>
      <c r="H219" s="256">
        <f>Rounds!$E219/Rounds!$F219</f>
        <v>1</v>
      </c>
    </row>
    <row r="220" spans="1:8" ht="14.25" customHeight="1">
      <c r="A220" s="252"/>
      <c r="B220" s="252" t="s">
        <v>913</v>
      </c>
      <c r="C220" s="252">
        <v>2025</v>
      </c>
      <c r="D220" s="252" t="s">
        <v>825</v>
      </c>
      <c r="E220" s="252">
        <v>12</v>
      </c>
      <c r="F220" s="252">
        <v>12</v>
      </c>
      <c r="G220" s="252">
        <f>Rounds!$F220-Rounds!$E220</f>
        <v>0</v>
      </c>
      <c r="H220" s="256">
        <f>Rounds!$E220/Rounds!$F220</f>
        <v>1</v>
      </c>
    </row>
    <row r="221" spans="1:8" ht="14.25" customHeight="1">
      <c r="A221" s="252"/>
      <c r="B221" s="252" t="s">
        <v>913</v>
      </c>
      <c r="C221" s="252">
        <v>2025</v>
      </c>
      <c r="D221" s="252" t="s">
        <v>826</v>
      </c>
      <c r="E221" s="252">
        <v>15</v>
      </c>
      <c r="F221" s="252">
        <v>15</v>
      </c>
      <c r="G221" s="252">
        <f>Rounds!$F221-Rounds!$E221</f>
        <v>0</v>
      </c>
      <c r="H221" s="256">
        <f>Rounds!$E221/Rounds!$F221</f>
        <v>1</v>
      </c>
    </row>
    <row r="222" spans="1:8" ht="14.25" customHeight="1">
      <c r="A222" s="252"/>
      <c r="B222" s="252" t="s">
        <v>913</v>
      </c>
      <c r="C222" s="252">
        <v>2025</v>
      </c>
      <c r="D222" s="252" t="s">
        <v>827</v>
      </c>
      <c r="E222" s="252">
        <v>12</v>
      </c>
      <c r="F222" s="252">
        <v>12</v>
      </c>
      <c r="G222" s="252">
        <f>Rounds!$F222-Rounds!$E222</f>
        <v>0</v>
      </c>
      <c r="H222" s="256">
        <f>Rounds!$E222/Rounds!$F222</f>
        <v>1</v>
      </c>
    </row>
    <row r="223" spans="1:8" ht="14.25" customHeight="1">
      <c r="A223" s="252"/>
      <c r="B223" s="252" t="s">
        <v>913</v>
      </c>
      <c r="C223" s="252">
        <v>2025</v>
      </c>
      <c r="D223" s="252" t="s">
        <v>828</v>
      </c>
      <c r="E223" s="252">
        <v>12</v>
      </c>
      <c r="F223" s="252">
        <v>12</v>
      </c>
      <c r="G223" s="252">
        <f>Rounds!$F223-Rounds!$E223</f>
        <v>0</v>
      </c>
      <c r="H223" s="256">
        <f>Rounds!$E223/Rounds!$F223</f>
        <v>1</v>
      </c>
    </row>
    <row r="224" spans="1:8" ht="14.25" customHeight="1">
      <c r="A224" s="252"/>
      <c r="B224" s="252" t="s">
        <v>913</v>
      </c>
      <c r="C224" s="252">
        <v>2025</v>
      </c>
      <c r="D224" s="252" t="s">
        <v>829</v>
      </c>
      <c r="E224" s="252">
        <v>15</v>
      </c>
      <c r="F224" s="252">
        <v>15</v>
      </c>
      <c r="G224" s="252">
        <f>Rounds!$F224-Rounds!$E224</f>
        <v>0</v>
      </c>
      <c r="H224" s="256">
        <f>Rounds!$E224/Rounds!$F224</f>
        <v>1</v>
      </c>
    </row>
    <row r="225" spans="1:8" ht="14.25" customHeight="1">
      <c r="A225" s="252"/>
      <c r="B225" s="252" t="s">
        <v>913</v>
      </c>
      <c r="C225" s="252">
        <v>2025</v>
      </c>
      <c r="D225" s="252" t="s">
        <v>830</v>
      </c>
      <c r="E225" s="252">
        <v>12</v>
      </c>
      <c r="F225" s="252">
        <v>12</v>
      </c>
      <c r="G225" s="252">
        <f>Rounds!$F225-Rounds!$E225</f>
        <v>0</v>
      </c>
      <c r="H225" s="256">
        <f>Rounds!$E225/Rounds!$F225</f>
        <v>1</v>
      </c>
    </row>
    <row r="226" spans="1:8" ht="14.25" customHeight="1">
      <c r="A226" s="252"/>
      <c r="B226" s="252" t="s">
        <v>913</v>
      </c>
      <c r="C226" s="252">
        <v>2025</v>
      </c>
      <c r="D226" s="252" t="s">
        <v>831</v>
      </c>
      <c r="E226" s="252">
        <v>12</v>
      </c>
      <c r="F226" s="252">
        <v>12</v>
      </c>
      <c r="G226" s="252">
        <f>Rounds!$F226-Rounds!$E226</f>
        <v>0</v>
      </c>
      <c r="H226" s="256">
        <f>Rounds!$E226/Rounds!$F226</f>
        <v>1</v>
      </c>
    </row>
    <row r="227" spans="1:8" ht="14.25" customHeight="1">
      <c r="A227" s="252"/>
      <c r="B227" s="252" t="s">
        <v>913</v>
      </c>
      <c r="C227" s="252">
        <v>2025</v>
      </c>
      <c r="D227" s="252" t="s">
        <v>832</v>
      </c>
      <c r="E227" s="252">
        <v>15</v>
      </c>
      <c r="F227" s="252">
        <v>15</v>
      </c>
      <c r="G227" s="252">
        <f>Rounds!$F227-Rounds!$E227</f>
        <v>0</v>
      </c>
      <c r="H227" s="256">
        <f>Rounds!$E227/Rounds!$F227</f>
        <v>1</v>
      </c>
    </row>
    <row r="228" spans="1:8" ht="14.25" customHeight="1">
      <c r="A228" s="252"/>
      <c r="B228" s="252" t="s">
        <v>913</v>
      </c>
      <c r="C228" s="252">
        <v>2025</v>
      </c>
      <c r="D228" s="252" t="s">
        <v>833</v>
      </c>
      <c r="E228" s="252">
        <v>12</v>
      </c>
      <c r="F228" s="252">
        <v>12</v>
      </c>
      <c r="G228" s="252">
        <f>Rounds!$F228-Rounds!$E228</f>
        <v>0</v>
      </c>
      <c r="H228" s="256">
        <f>Rounds!$E228/Rounds!$F228</f>
        <v>1</v>
      </c>
    </row>
    <row r="229" spans="1:8" ht="14.25" customHeight="1">
      <c r="A229" s="252"/>
      <c r="B229" s="252" t="s">
        <v>913</v>
      </c>
      <c r="C229" s="252">
        <v>2025</v>
      </c>
      <c r="D229" s="252" t="s">
        <v>834</v>
      </c>
      <c r="E229" s="252">
        <v>15</v>
      </c>
      <c r="F229" s="252">
        <v>15</v>
      </c>
      <c r="G229" s="252">
        <f>Rounds!$F229-Rounds!$E229</f>
        <v>0</v>
      </c>
      <c r="H229" s="256">
        <f>Rounds!$E229/Rounds!$F229</f>
        <v>1</v>
      </c>
    </row>
    <row r="230" spans="1:8" ht="14.25" customHeight="1">
      <c r="A230" s="252"/>
      <c r="B230" s="252" t="s">
        <v>663</v>
      </c>
      <c r="C230" s="252">
        <v>2025</v>
      </c>
      <c r="D230" s="252" t="s">
        <v>823</v>
      </c>
      <c r="E230" s="252">
        <v>11</v>
      </c>
      <c r="F230" s="252">
        <v>15</v>
      </c>
      <c r="G230" s="252">
        <f>Rounds!$F230-Rounds!$E230</f>
        <v>4</v>
      </c>
      <c r="H230" s="256">
        <f>Rounds!$E230/Rounds!$F230</f>
        <v>0.73333333333333328</v>
      </c>
    </row>
    <row r="231" spans="1:8" ht="14.25" customHeight="1">
      <c r="A231" s="252"/>
      <c r="B231" s="252" t="s">
        <v>663</v>
      </c>
      <c r="C231" s="252">
        <v>2025</v>
      </c>
      <c r="D231" s="252" t="s">
        <v>824</v>
      </c>
      <c r="E231" s="252">
        <v>6</v>
      </c>
      <c r="F231" s="252">
        <v>12</v>
      </c>
      <c r="G231" s="252">
        <f>Rounds!$F231-Rounds!$E231</f>
        <v>6</v>
      </c>
      <c r="H231" s="256">
        <f>Rounds!$E231/Rounds!$F231</f>
        <v>0.5</v>
      </c>
    </row>
    <row r="232" spans="1:8" ht="14.25" customHeight="1">
      <c r="A232" s="252"/>
      <c r="B232" s="252" t="s">
        <v>663</v>
      </c>
      <c r="C232" s="252">
        <v>2025</v>
      </c>
      <c r="D232" s="252" t="s">
        <v>825</v>
      </c>
      <c r="E232" s="252">
        <v>7</v>
      </c>
      <c r="F232" s="252">
        <v>12</v>
      </c>
      <c r="G232" s="252">
        <f>Rounds!$F232-Rounds!$E232</f>
        <v>5</v>
      </c>
      <c r="H232" s="256">
        <f>Rounds!$E232/Rounds!$F232</f>
        <v>0.58333333333333337</v>
      </c>
    </row>
    <row r="233" spans="1:8" ht="14.25" customHeight="1">
      <c r="A233" s="252"/>
      <c r="B233" s="252" t="s">
        <v>663</v>
      </c>
      <c r="C233" s="252">
        <v>2025</v>
      </c>
      <c r="D233" s="252" t="s">
        <v>826</v>
      </c>
      <c r="E233" s="252">
        <v>5</v>
      </c>
      <c r="F233" s="252">
        <v>15</v>
      </c>
      <c r="G233" s="252">
        <f>Rounds!$F233-Rounds!$E233</f>
        <v>10</v>
      </c>
      <c r="H233" s="256">
        <f>Rounds!$E233/Rounds!$F233</f>
        <v>0.33333333333333331</v>
      </c>
    </row>
    <row r="234" spans="1:8" ht="14.25" customHeight="1">
      <c r="A234" s="252"/>
      <c r="B234" s="252" t="s">
        <v>663</v>
      </c>
      <c r="C234" s="252">
        <v>2025</v>
      </c>
      <c r="D234" s="252" t="s">
        <v>827</v>
      </c>
      <c r="E234" s="252">
        <v>6</v>
      </c>
      <c r="F234" s="252">
        <v>12</v>
      </c>
      <c r="G234" s="252">
        <f>Rounds!$F234-Rounds!$E234</f>
        <v>6</v>
      </c>
      <c r="H234" s="256">
        <f>Rounds!$E234/Rounds!$F234</f>
        <v>0.5</v>
      </c>
    </row>
    <row r="235" spans="1:8" ht="14.25" customHeight="1">
      <c r="A235" s="252"/>
      <c r="B235" s="252" t="s">
        <v>663</v>
      </c>
      <c r="C235" s="252">
        <v>2025</v>
      </c>
      <c r="D235" s="252" t="s">
        <v>828</v>
      </c>
      <c r="E235" s="252">
        <v>7</v>
      </c>
      <c r="F235" s="252">
        <v>12</v>
      </c>
      <c r="G235" s="252">
        <f>Rounds!$F235-Rounds!$E235</f>
        <v>5</v>
      </c>
      <c r="H235" s="256">
        <f>Rounds!$E235/Rounds!$F235</f>
        <v>0.58333333333333337</v>
      </c>
    </row>
    <row r="236" spans="1:8" ht="14.25" customHeight="1">
      <c r="A236" s="252"/>
      <c r="B236" s="252" t="s">
        <v>663</v>
      </c>
      <c r="C236" s="252">
        <v>2025</v>
      </c>
      <c r="D236" s="252" t="s">
        <v>829</v>
      </c>
      <c r="E236" s="252">
        <v>11</v>
      </c>
      <c r="F236" s="252">
        <v>15</v>
      </c>
      <c r="G236" s="252">
        <f>Rounds!$F236-Rounds!$E236</f>
        <v>4</v>
      </c>
      <c r="H236" s="256">
        <f>Rounds!$E236/Rounds!$F236</f>
        <v>0.73333333333333328</v>
      </c>
    </row>
    <row r="237" spans="1:8" ht="14.25" customHeight="1">
      <c r="A237" s="252"/>
      <c r="B237" s="252" t="s">
        <v>663</v>
      </c>
      <c r="C237" s="252">
        <v>2025</v>
      </c>
      <c r="D237" s="252" t="s">
        <v>830</v>
      </c>
      <c r="E237" s="252">
        <v>7</v>
      </c>
      <c r="F237" s="252">
        <v>12</v>
      </c>
      <c r="G237" s="252">
        <f>Rounds!$F237-Rounds!$E237</f>
        <v>5</v>
      </c>
      <c r="H237" s="256">
        <f>Rounds!$E237/Rounds!$F237</f>
        <v>0.58333333333333337</v>
      </c>
    </row>
    <row r="238" spans="1:8" ht="14.25" customHeight="1">
      <c r="A238" s="252"/>
      <c r="B238" s="252" t="s">
        <v>663</v>
      </c>
      <c r="C238" s="252">
        <v>2025</v>
      </c>
      <c r="D238" s="252" t="s">
        <v>831</v>
      </c>
      <c r="E238" s="252">
        <v>10</v>
      </c>
      <c r="F238" s="252">
        <v>12</v>
      </c>
      <c r="G238" s="252">
        <f>Rounds!$F238-Rounds!$E238</f>
        <v>2</v>
      </c>
      <c r="H238" s="256">
        <f>Rounds!$E238/Rounds!$F238</f>
        <v>0.83333333333333337</v>
      </c>
    </row>
    <row r="239" spans="1:8" ht="14.25" customHeight="1">
      <c r="A239" s="252"/>
      <c r="B239" s="252" t="s">
        <v>663</v>
      </c>
      <c r="C239" s="252">
        <v>2025</v>
      </c>
      <c r="D239" s="252" t="s">
        <v>832</v>
      </c>
      <c r="E239" s="252">
        <v>12</v>
      </c>
      <c r="F239" s="252">
        <v>15</v>
      </c>
      <c r="G239" s="252">
        <f>Rounds!$F239-Rounds!$E239</f>
        <v>3</v>
      </c>
      <c r="H239" s="256">
        <f>Rounds!$E239/Rounds!$F239</f>
        <v>0.8</v>
      </c>
    </row>
    <row r="240" spans="1:8" ht="14.25" customHeight="1">
      <c r="A240" s="252"/>
      <c r="B240" s="252" t="s">
        <v>663</v>
      </c>
      <c r="C240" s="252">
        <v>2025</v>
      </c>
      <c r="D240" s="252" t="s">
        <v>833</v>
      </c>
      <c r="E240" s="252">
        <v>11</v>
      </c>
      <c r="F240" s="252">
        <v>12</v>
      </c>
      <c r="G240" s="252">
        <f>Rounds!$F240-Rounds!$E240</f>
        <v>1</v>
      </c>
      <c r="H240" s="256">
        <f>Rounds!$E240/Rounds!$F240</f>
        <v>0.91666666666666663</v>
      </c>
    </row>
    <row r="241" spans="1:8" ht="14.25" customHeight="1">
      <c r="A241" s="252"/>
      <c r="B241" s="252" t="s">
        <v>663</v>
      </c>
      <c r="C241" s="252">
        <v>2025</v>
      </c>
      <c r="D241" s="252" t="s">
        <v>834</v>
      </c>
      <c r="E241" s="252">
        <v>14</v>
      </c>
      <c r="F241" s="252">
        <v>15</v>
      </c>
      <c r="G241" s="252">
        <f>Rounds!$F241-Rounds!$E241</f>
        <v>1</v>
      </c>
      <c r="H241" s="256">
        <f>Rounds!$E241/Rounds!$F241</f>
        <v>0.93333333333333335</v>
      </c>
    </row>
    <row r="242" spans="1:8" ht="14.25" customHeight="1">
      <c r="A242" s="252"/>
      <c r="B242" s="252" t="s">
        <v>915</v>
      </c>
      <c r="C242" s="252">
        <v>2025</v>
      </c>
      <c r="D242" s="252" t="s">
        <v>823</v>
      </c>
      <c r="E242" s="252">
        <v>4</v>
      </c>
      <c r="F242" s="252">
        <v>15</v>
      </c>
      <c r="G242" s="252">
        <f>Rounds!$F242-Rounds!$E242</f>
        <v>11</v>
      </c>
      <c r="H242" s="256">
        <f>Rounds!$E242/Rounds!$F242</f>
        <v>0.26666666666666666</v>
      </c>
    </row>
    <row r="243" spans="1:8" ht="14.25" customHeight="1">
      <c r="A243" s="252"/>
      <c r="B243" s="252" t="s">
        <v>915</v>
      </c>
      <c r="C243" s="252">
        <v>2025</v>
      </c>
      <c r="D243" s="252" t="s">
        <v>824</v>
      </c>
      <c r="E243" s="252">
        <v>7</v>
      </c>
      <c r="F243" s="252">
        <v>12</v>
      </c>
      <c r="G243" s="252">
        <f>Rounds!$F243-Rounds!$E243</f>
        <v>5</v>
      </c>
      <c r="H243" s="256">
        <f>Rounds!$E243/Rounds!$F243</f>
        <v>0.58333333333333337</v>
      </c>
    </row>
    <row r="244" spans="1:8" ht="14.25" customHeight="1">
      <c r="A244" s="252"/>
      <c r="B244" s="252" t="s">
        <v>915</v>
      </c>
      <c r="C244" s="252">
        <v>2025</v>
      </c>
      <c r="D244" s="252" t="s">
        <v>825</v>
      </c>
      <c r="E244" s="252">
        <v>2</v>
      </c>
      <c r="F244" s="252">
        <v>12</v>
      </c>
      <c r="G244" s="252">
        <f>Rounds!$F244-Rounds!$E244</f>
        <v>10</v>
      </c>
      <c r="H244" s="256">
        <f>Rounds!$E244/Rounds!$F244</f>
        <v>0.16666666666666666</v>
      </c>
    </row>
    <row r="245" spans="1:8" ht="14.25" customHeight="1">
      <c r="A245" s="252"/>
      <c r="B245" s="252" t="s">
        <v>915</v>
      </c>
      <c r="C245" s="252">
        <v>2025</v>
      </c>
      <c r="D245" s="252" t="s">
        <v>826</v>
      </c>
      <c r="E245" s="252">
        <v>6</v>
      </c>
      <c r="F245" s="252">
        <v>15</v>
      </c>
      <c r="G245" s="252">
        <f>Rounds!$F245-Rounds!$E245</f>
        <v>9</v>
      </c>
      <c r="H245" s="256">
        <f>Rounds!$E245/Rounds!$F245</f>
        <v>0.4</v>
      </c>
    </row>
    <row r="246" spans="1:8" ht="14.25" customHeight="1">
      <c r="A246" s="252"/>
      <c r="B246" s="252" t="s">
        <v>915</v>
      </c>
      <c r="C246" s="252">
        <v>2025</v>
      </c>
      <c r="D246" s="252" t="s">
        <v>827</v>
      </c>
      <c r="E246" s="252">
        <v>5</v>
      </c>
      <c r="F246" s="252">
        <v>12</v>
      </c>
      <c r="G246" s="252">
        <f>Rounds!$F246-Rounds!$E246</f>
        <v>7</v>
      </c>
      <c r="H246" s="256">
        <f>Rounds!$E246/Rounds!$F246</f>
        <v>0.41666666666666669</v>
      </c>
    </row>
    <row r="247" spans="1:8" ht="14.25" customHeight="1">
      <c r="A247" s="252"/>
      <c r="B247" s="252" t="s">
        <v>915</v>
      </c>
      <c r="C247" s="252">
        <v>2025</v>
      </c>
      <c r="D247" s="252" t="s">
        <v>828</v>
      </c>
      <c r="E247" s="252">
        <v>7</v>
      </c>
      <c r="F247" s="252">
        <v>12</v>
      </c>
      <c r="G247" s="252">
        <f>Rounds!$F247-Rounds!$E247</f>
        <v>5</v>
      </c>
      <c r="H247" s="256">
        <f>Rounds!$E247/Rounds!$F247</f>
        <v>0.58333333333333337</v>
      </c>
    </row>
    <row r="248" spans="1:8" ht="14.25" customHeight="1">
      <c r="A248" s="252"/>
      <c r="B248" s="252" t="s">
        <v>915</v>
      </c>
      <c r="C248" s="252">
        <v>2025</v>
      </c>
      <c r="D248" s="252" t="s">
        <v>829</v>
      </c>
      <c r="E248" s="252">
        <v>12</v>
      </c>
      <c r="F248" s="252">
        <v>15</v>
      </c>
      <c r="G248" s="252">
        <f>Rounds!$F248-Rounds!$E248</f>
        <v>3</v>
      </c>
      <c r="H248" s="256">
        <f>Rounds!$E248/Rounds!$F248</f>
        <v>0.8</v>
      </c>
    </row>
    <row r="249" spans="1:8" ht="14.25" customHeight="1">
      <c r="A249" s="252"/>
      <c r="B249" s="252" t="s">
        <v>915</v>
      </c>
      <c r="C249" s="252">
        <v>2025</v>
      </c>
      <c r="D249" s="252" t="s">
        <v>830</v>
      </c>
      <c r="E249" s="252">
        <v>8</v>
      </c>
      <c r="F249" s="252">
        <v>12</v>
      </c>
      <c r="G249" s="252">
        <f>Rounds!$F249-Rounds!$E249</f>
        <v>4</v>
      </c>
      <c r="H249" s="256">
        <f>Rounds!$E249/Rounds!$F249</f>
        <v>0.66666666666666663</v>
      </c>
    </row>
    <row r="250" spans="1:8" ht="14.25" customHeight="1">
      <c r="A250" s="252"/>
      <c r="B250" s="252" t="s">
        <v>915</v>
      </c>
      <c r="C250" s="252">
        <v>2025</v>
      </c>
      <c r="D250" s="252" t="s">
        <v>831</v>
      </c>
      <c r="E250" s="252">
        <v>7</v>
      </c>
      <c r="F250" s="252">
        <v>12</v>
      </c>
      <c r="G250" s="252">
        <f>Rounds!$F250-Rounds!$E250</f>
        <v>5</v>
      </c>
      <c r="H250" s="256">
        <f>Rounds!$E250/Rounds!$F250</f>
        <v>0.58333333333333337</v>
      </c>
    </row>
    <row r="251" spans="1:8" ht="14.25" customHeight="1">
      <c r="A251" s="252"/>
      <c r="B251" s="252" t="s">
        <v>915</v>
      </c>
      <c r="C251" s="252">
        <v>2025</v>
      </c>
      <c r="D251" s="252" t="s">
        <v>832</v>
      </c>
      <c r="E251" s="252">
        <v>13</v>
      </c>
      <c r="F251" s="252">
        <v>15</v>
      </c>
      <c r="G251" s="252">
        <f>Rounds!$F251-Rounds!$E251</f>
        <v>2</v>
      </c>
      <c r="H251" s="256">
        <f>Rounds!$E251/Rounds!$F251</f>
        <v>0.8666666666666667</v>
      </c>
    </row>
    <row r="252" spans="1:8" ht="14.25" customHeight="1">
      <c r="A252" s="252"/>
      <c r="B252" s="252" t="s">
        <v>915</v>
      </c>
      <c r="C252" s="252">
        <v>2025</v>
      </c>
      <c r="D252" s="252" t="s">
        <v>833</v>
      </c>
      <c r="E252" s="252">
        <v>11</v>
      </c>
      <c r="F252" s="252">
        <v>12</v>
      </c>
      <c r="G252" s="252">
        <f>Rounds!$F252-Rounds!$E252</f>
        <v>1</v>
      </c>
      <c r="H252" s="256">
        <f>Rounds!$E252/Rounds!$F252</f>
        <v>0.91666666666666663</v>
      </c>
    </row>
    <row r="253" spans="1:8" ht="14.25" customHeight="1">
      <c r="A253" s="252"/>
      <c r="B253" s="252" t="s">
        <v>915</v>
      </c>
      <c r="C253" s="252">
        <v>2025</v>
      </c>
      <c r="D253" s="252" t="s">
        <v>834</v>
      </c>
      <c r="E253" s="252">
        <v>13</v>
      </c>
      <c r="F253" s="252">
        <v>15</v>
      </c>
      <c r="G253" s="252">
        <f>Rounds!$F253-Rounds!$E253</f>
        <v>2</v>
      </c>
      <c r="H253" s="256">
        <f>Rounds!$E253/Rounds!$F253</f>
        <v>0.8666666666666667</v>
      </c>
    </row>
    <row r="254" spans="1:8" ht="14.25" customHeight="1">
      <c r="A254" s="252"/>
      <c r="B254" s="252" t="s">
        <v>917</v>
      </c>
      <c r="C254" s="252">
        <v>2025</v>
      </c>
      <c r="D254" s="252" t="s">
        <v>823</v>
      </c>
      <c r="E254" s="252">
        <v>10</v>
      </c>
      <c r="F254" s="252">
        <v>15</v>
      </c>
      <c r="G254" s="252">
        <f>Rounds!$F254-Rounds!$E254</f>
        <v>5</v>
      </c>
      <c r="H254" s="256">
        <f>Rounds!$E254/Rounds!$F254</f>
        <v>0.66666666666666663</v>
      </c>
    </row>
    <row r="255" spans="1:8" ht="14.25" customHeight="1">
      <c r="A255" s="252"/>
      <c r="B255" s="252" t="s">
        <v>917</v>
      </c>
      <c r="C255" s="252">
        <v>2025</v>
      </c>
      <c r="D255" s="252" t="s">
        <v>824</v>
      </c>
      <c r="E255" s="252">
        <v>8</v>
      </c>
      <c r="F255" s="252">
        <v>12</v>
      </c>
      <c r="G255" s="252">
        <f>Rounds!$F255-Rounds!$E255</f>
        <v>4</v>
      </c>
      <c r="H255" s="256">
        <f>Rounds!$E255/Rounds!$F255</f>
        <v>0.66666666666666663</v>
      </c>
    </row>
    <row r="256" spans="1:8" ht="14.25" customHeight="1">
      <c r="A256" s="252"/>
      <c r="B256" s="252" t="s">
        <v>917</v>
      </c>
      <c r="C256" s="252">
        <v>2025</v>
      </c>
      <c r="D256" s="252" t="s">
        <v>825</v>
      </c>
      <c r="E256" s="252">
        <v>9</v>
      </c>
      <c r="F256" s="252">
        <v>12</v>
      </c>
      <c r="G256" s="252">
        <f>Rounds!$F256-Rounds!$E256</f>
        <v>3</v>
      </c>
      <c r="H256" s="256">
        <f>Rounds!$E256/Rounds!$F256</f>
        <v>0.75</v>
      </c>
    </row>
    <row r="257" spans="1:8" ht="14.25" customHeight="1">
      <c r="A257" s="252"/>
      <c r="B257" s="252" t="s">
        <v>917</v>
      </c>
      <c r="C257" s="252">
        <v>2025</v>
      </c>
      <c r="D257" s="252" t="s">
        <v>826</v>
      </c>
      <c r="E257" s="252">
        <v>12</v>
      </c>
      <c r="F257" s="252">
        <v>15</v>
      </c>
      <c r="G257" s="252">
        <f>Rounds!$F257-Rounds!$E257</f>
        <v>3</v>
      </c>
      <c r="H257" s="256">
        <f>Rounds!$E257/Rounds!$F257</f>
        <v>0.8</v>
      </c>
    </row>
    <row r="258" spans="1:8" ht="14.25" customHeight="1">
      <c r="A258" s="252"/>
      <c r="B258" s="252" t="s">
        <v>917</v>
      </c>
      <c r="C258" s="252">
        <v>2025</v>
      </c>
      <c r="D258" s="252" t="s">
        <v>827</v>
      </c>
      <c r="E258" s="252">
        <v>12</v>
      </c>
      <c r="F258" s="252">
        <v>12</v>
      </c>
      <c r="G258" s="252">
        <f>Rounds!$F258-Rounds!$E258</f>
        <v>0</v>
      </c>
      <c r="H258" s="256">
        <f>Rounds!$E258/Rounds!$F258</f>
        <v>1</v>
      </c>
    </row>
    <row r="259" spans="1:8" ht="14.25" customHeight="1">
      <c r="A259" s="252"/>
      <c r="B259" s="252" t="s">
        <v>917</v>
      </c>
      <c r="C259" s="252">
        <v>2025</v>
      </c>
      <c r="D259" s="252" t="s">
        <v>828</v>
      </c>
      <c r="E259" s="252">
        <v>12</v>
      </c>
      <c r="F259" s="252">
        <v>12</v>
      </c>
      <c r="G259" s="252">
        <f>Rounds!$F259-Rounds!$E259</f>
        <v>0</v>
      </c>
      <c r="H259" s="256">
        <f>Rounds!$E259/Rounds!$F259</f>
        <v>1</v>
      </c>
    </row>
    <row r="260" spans="1:8" ht="14.25" customHeight="1">
      <c r="A260" s="252"/>
      <c r="B260" s="252" t="s">
        <v>917</v>
      </c>
      <c r="C260" s="252">
        <v>2025</v>
      </c>
      <c r="D260" s="252" t="s">
        <v>829</v>
      </c>
      <c r="E260" s="252">
        <v>15</v>
      </c>
      <c r="F260" s="252">
        <v>15</v>
      </c>
      <c r="G260" s="252">
        <f>Rounds!$F260-Rounds!$E260</f>
        <v>0</v>
      </c>
      <c r="H260" s="256">
        <f>Rounds!$E260/Rounds!$F260</f>
        <v>1</v>
      </c>
    </row>
    <row r="261" spans="1:8" ht="14.25" customHeight="1">
      <c r="A261" s="252"/>
      <c r="B261" s="252" t="s">
        <v>917</v>
      </c>
      <c r="C261" s="252">
        <v>2025</v>
      </c>
      <c r="D261" s="252" t="s">
        <v>830</v>
      </c>
      <c r="E261" s="252">
        <v>12</v>
      </c>
      <c r="F261" s="252">
        <v>12</v>
      </c>
      <c r="G261" s="252">
        <f>Rounds!$F261-Rounds!$E261</f>
        <v>0</v>
      </c>
      <c r="H261" s="256">
        <f>Rounds!$E261/Rounds!$F261</f>
        <v>1</v>
      </c>
    </row>
    <row r="262" spans="1:8" ht="14.25" customHeight="1">
      <c r="A262" s="252"/>
      <c r="B262" s="252" t="s">
        <v>917</v>
      </c>
      <c r="C262" s="252">
        <v>2025</v>
      </c>
      <c r="D262" s="252" t="s">
        <v>831</v>
      </c>
      <c r="E262" s="252">
        <v>12</v>
      </c>
      <c r="F262" s="252">
        <v>12</v>
      </c>
      <c r="G262" s="252">
        <f>Rounds!$F262-Rounds!$E262</f>
        <v>0</v>
      </c>
      <c r="H262" s="256">
        <f>Rounds!$E262/Rounds!$F262</f>
        <v>1</v>
      </c>
    </row>
    <row r="263" spans="1:8" ht="14.25" customHeight="1">
      <c r="A263" s="252"/>
      <c r="B263" s="252" t="s">
        <v>917</v>
      </c>
      <c r="C263" s="252">
        <v>2025</v>
      </c>
      <c r="D263" s="252" t="s">
        <v>832</v>
      </c>
      <c r="E263" s="252">
        <v>15</v>
      </c>
      <c r="F263" s="252">
        <v>15</v>
      </c>
      <c r="G263" s="252">
        <f>Rounds!$F263-Rounds!$E263</f>
        <v>0</v>
      </c>
      <c r="H263" s="256">
        <f>Rounds!$E263/Rounds!$F263</f>
        <v>1</v>
      </c>
    </row>
    <row r="264" spans="1:8" ht="14.25" customHeight="1">
      <c r="A264" s="252"/>
      <c r="B264" s="252" t="s">
        <v>917</v>
      </c>
      <c r="C264" s="252">
        <v>2025</v>
      </c>
      <c r="D264" s="252" t="s">
        <v>833</v>
      </c>
      <c r="E264" s="252">
        <v>12</v>
      </c>
      <c r="F264" s="252">
        <v>12</v>
      </c>
      <c r="G264" s="252">
        <f>Rounds!$F264-Rounds!$E264</f>
        <v>0</v>
      </c>
      <c r="H264" s="256">
        <f>Rounds!$E264/Rounds!$F264</f>
        <v>1</v>
      </c>
    </row>
    <row r="265" spans="1:8" ht="14.25" customHeight="1">
      <c r="A265" s="252"/>
      <c r="B265" s="252" t="s">
        <v>917</v>
      </c>
      <c r="C265" s="252">
        <v>2025</v>
      </c>
      <c r="D265" s="252" t="s">
        <v>834</v>
      </c>
      <c r="E265" s="252">
        <v>15</v>
      </c>
      <c r="F265" s="252">
        <v>15</v>
      </c>
      <c r="G265" s="252">
        <f>Rounds!$F265-Rounds!$E265</f>
        <v>0</v>
      </c>
      <c r="H265" s="256">
        <f>Rounds!$E265/Rounds!$F265</f>
        <v>1</v>
      </c>
    </row>
    <row r="266" spans="1:8" ht="14.25" customHeight="1">
      <c r="A266" s="252"/>
      <c r="B266" s="252" t="s">
        <v>918</v>
      </c>
      <c r="C266" s="252">
        <v>2025</v>
      </c>
      <c r="D266" s="252" t="s">
        <v>823</v>
      </c>
      <c r="E266" s="252">
        <v>6</v>
      </c>
      <c r="F266" s="252">
        <v>15</v>
      </c>
      <c r="G266" s="252">
        <f>Rounds!$F266-Rounds!$E266</f>
        <v>9</v>
      </c>
      <c r="H266" s="256">
        <f>Rounds!$E266/Rounds!$F266</f>
        <v>0.4</v>
      </c>
    </row>
    <row r="267" spans="1:8" ht="14.25" customHeight="1">
      <c r="A267" s="252"/>
      <c r="B267" s="252" t="s">
        <v>918</v>
      </c>
      <c r="C267" s="252">
        <v>2025</v>
      </c>
      <c r="D267" s="252" t="s">
        <v>824</v>
      </c>
      <c r="E267" s="252">
        <v>4</v>
      </c>
      <c r="F267" s="252">
        <v>12</v>
      </c>
      <c r="G267" s="252">
        <f>Rounds!$F267-Rounds!$E267</f>
        <v>8</v>
      </c>
      <c r="H267" s="256">
        <f>Rounds!$E267/Rounds!$F267</f>
        <v>0.33333333333333331</v>
      </c>
    </row>
    <row r="268" spans="1:8" ht="14.25" customHeight="1">
      <c r="A268" s="252"/>
      <c r="B268" s="252" t="s">
        <v>918</v>
      </c>
      <c r="C268" s="252">
        <v>2025</v>
      </c>
      <c r="D268" s="252" t="s">
        <v>825</v>
      </c>
      <c r="E268" s="252">
        <v>3</v>
      </c>
      <c r="F268" s="252">
        <v>12</v>
      </c>
      <c r="G268" s="252">
        <f>Rounds!$F268-Rounds!$E268</f>
        <v>9</v>
      </c>
      <c r="H268" s="256">
        <f>Rounds!$E268/Rounds!$F268</f>
        <v>0.25</v>
      </c>
    </row>
    <row r="269" spans="1:8" ht="14.25" customHeight="1">
      <c r="A269" s="252"/>
      <c r="B269" s="252" t="s">
        <v>918</v>
      </c>
      <c r="C269" s="252">
        <v>2025</v>
      </c>
      <c r="D269" s="252" t="s">
        <v>826</v>
      </c>
      <c r="E269" s="252">
        <v>5</v>
      </c>
      <c r="F269" s="252">
        <v>15</v>
      </c>
      <c r="G269" s="252">
        <f>Rounds!$F269-Rounds!$E269</f>
        <v>10</v>
      </c>
      <c r="H269" s="256">
        <f>Rounds!$E269/Rounds!$F269</f>
        <v>0.33333333333333331</v>
      </c>
    </row>
    <row r="270" spans="1:8" ht="14.25" customHeight="1">
      <c r="A270" s="252"/>
      <c r="B270" s="252" t="s">
        <v>918</v>
      </c>
      <c r="C270" s="252">
        <v>2025</v>
      </c>
      <c r="D270" s="252" t="s">
        <v>827</v>
      </c>
      <c r="E270" s="252">
        <v>0</v>
      </c>
      <c r="F270" s="252">
        <v>12</v>
      </c>
      <c r="G270" s="252">
        <f>Rounds!$F270-Rounds!$E270</f>
        <v>12</v>
      </c>
      <c r="H270" s="256">
        <f>Rounds!$E270/Rounds!$F270</f>
        <v>0</v>
      </c>
    </row>
    <row r="271" spans="1:8" ht="14.25" customHeight="1">
      <c r="A271" s="252"/>
      <c r="B271" s="252" t="s">
        <v>918</v>
      </c>
      <c r="C271" s="252">
        <v>2025</v>
      </c>
      <c r="D271" s="252" t="s">
        <v>828</v>
      </c>
      <c r="E271" s="252">
        <v>4</v>
      </c>
      <c r="F271" s="252">
        <v>12</v>
      </c>
      <c r="G271" s="252">
        <f>Rounds!$F271-Rounds!$E271</f>
        <v>8</v>
      </c>
      <c r="H271" s="256">
        <f>Rounds!$E271/Rounds!$F271</f>
        <v>0.33333333333333331</v>
      </c>
    </row>
    <row r="272" spans="1:8" ht="14.25" customHeight="1">
      <c r="A272" s="252"/>
      <c r="B272" s="252" t="s">
        <v>918</v>
      </c>
      <c r="C272" s="252">
        <v>2025</v>
      </c>
      <c r="D272" s="252" t="s">
        <v>829</v>
      </c>
      <c r="E272" s="252">
        <v>9</v>
      </c>
      <c r="F272" s="252">
        <v>15</v>
      </c>
      <c r="G272" s="252">
        <f>Rounds!$F272-Rounds!$E272</f>
        <v>6</v>
      </c>
      <c r="H272" s="256">
        <f>Rounds!$E272/Rounds!$F272</f>
        <v>0.6</v>
      </c>
    </row>
    <row r="273" spans="1:8" ht="14.25" customHeight="1">
      <c r="A273" s="252"/>
      <c r="B273" s="252" t="s">
        <v>918</v>
      </c>
      <c r="C273" s="252">
        <v>2025</v>
      </c>
      <c r="D273" s="252" t="s">
        <v>830</v>
      </c>
      <c r="E273" s="252">
        <v>8</v>
      </c>
      <c r="F273" s="252">
        <v>12</v>
      </c>
      <c r="G273" s="252">
        <f>Rounds!$F273-Rounds!$E273</f>
        <v>4</v>
      </c>
      <c r="H273" s="256">
        <f>Rounds!$E273/Rounds!$F273</f>
        <v>0.66666666666666663</v>
      </c>
    </row>
    <row r="274" spans="1:8" ht="14.25" customHeight="1">
      <c r="A274" s="252"/>
      <c r="B274" s="252" t="s">
        <v>918</v>
      </c>
      <c r="C274" s="252">
        <v>2025</v>
      </c>
      <c r="D274" s="252" t="s">
        <v>831</v>
      </c>
      <c r="E274" s="252">
        <v>10</v>
      </c>
      <c r="F274" s="252">
        <v>12</v>
      </c>
      <c r="G274" s="252">
        <f>Rounds!$F274-Rounds!$E274</f>
        <v>2</v>
      </c>
      <c r="H274" s="256">
        <f>Rounds!$E274/Rounds!$F274</f>
        <v>0.83333333333333337</v>
      </c>
    </row>
    <row r="275" spans="1:8" ht="14.25" customHeight="1">
      <c r="A275" s="252"/>
      <c r="B275" s="252" t="s">
        <v>918</v>
      </c>
      <c r="C275" s="252">
        <v>2025</v>
      </c>
      <c r="D275" s="252" t="s">
        <v>832</v>
      </c>
      <c r="E275" s="252">
        <v>12</v>
      </c>
      <c r="F275" s="252">
        <v>15</v>
      </c>
      <c r="G275" s="252">
        <f>Rounds!$F275-Rounds!$E275</f>
        <v>3</v>
      </c>
      <c r="H275" s="256">
        <f>Rounds!$E275/Rounds!$F275</f>
        <v>0.8</v>
      </c>
    </row>
    <row r="276" spans="1:8" ht="14.25" customHeight="1">
      <c r="A276" s="252"/>
      <c r="B276" s="252" t="s">
        <v>918</v>
      </c>
      <c r="C276" s="252">
        <v>2025</v>
      </c>
      <c r="D276" s="252" t="s">
        <v>833</v>
      </c>
      <c r="E276" s="252">
        <v>11</v>
      </c>
      <c r="F276" s="252">
        <v>12</v>
      </c>
      <c r="G276" s="252">
        <f>Rounds!$F276-Rounds!$E276</f>
        <v>1</v>
      </c>
      <c r="H276" s="256">
        <f>Rounds!$E276/Rounds!$F276</f>
        <v>0.91666666666666663</v>
      </c>
    </row>
    <row r="277" spans="1:8" ht="14.25" customHeight="1">
      <c r="A277" s="252"/>
      <c r="B277" s="252" t="s">
        <v>918</v>
      </c>
      <c r="C277" s="252">
        <v>2025</v>
      </c>
      <c r="D277" s="252" t="s">
        <v>834</v>
      </c>
      <c r="E277" s="252">
        <v>14</v>
      </c>
      <c r="F277" s="252">
        <v>15</v>
      </c>
      <c r="G277" s="252">
        <f>Rounds!$F277-Rounds!$E277</f>
        <v>1</v>
      </c>
      <c r="H277" s="256">
        <f>Rounds!$E277/Rounds!$F277</f>
        <v>0.93333333333333335</v>
      </c>
    </row>
    <row r="278" spans="1:8" ht="14.25" customHeight="1">
      <c r="A278" s="252"/>
      <c r="B278" s="252" t="s">
        <v>783</v>
      </c>
      <c r="C278" s="252">
        <v>2025</v>
      </c>
      <c r="D278" s="252" t="s">
        <v>823</v>
      </c>
      <c r="E278" s="252">
        <v>4</v>
      </c>
      <c r="F278" s="252">
        <v>15</v>
      </c>
      <c r="G278" s="252">
        <f>Rounds!$F278-Rounds!$E278</f>
        <v>11</v>
      </c>
      <c r="H278" s="256">
        <f>Rounds!$E278/Rounds!$F278</f>
        <v>0.26666666666666666</v>
      </c>
    </row>
    <row r="279" spans="1:8" ht="14.25" customHeight="1">
      <c r="A279" s="252"/>
      <c r="B279" s="252" t="s">
        <v>783</v>
      </c>
      <c r="C279" s="252">
        <v>2025</v>
      </c>
      <c r="D279" s="252" t="s">
        <v>824</v>
      </c>
      <c r="E279" s="252">
        <v>6</v>
      </c>
      <c r="F279" s="252">
        <v>12</v>
      </c>
      <c r="G279" s="252">
        <f>Rounds!$F279-Rounds!$E279</f>
        <v>6</v>
      </c>
      <c r="H279" s="256">
        <f>Rounds!$E279/Rounds!$F279</f>
        <v>0.5</v>
      </c>
    </row>
    <row r="280" spans="1:8" ht="14.25" customHeight="1">
      <c r="A280" s="252"/>
      <c r="B280" s="252" t="s">
        <v>783</v>
      </c>
      <c r="C280" s="252">
        <v>2025</v>
      </c>
      <c r="D280" s="252" t="s">
        <v>825</v>
      </c>
      <c r="E280" s="252">
        <v>1</v>
      </c>
      <c r="F280" s="252">
        <v>12</v>
      </c>
      <c r="G280" s="252">
        <f>Rounds!$F280-Rounds!$E280</f>
        <v>11</v>
      </c>
      <c r="H280" s="256">
        <f>Rounds!$E280/Rounds!$F280</f>
        <v>8.3333333333333329E-2</v>
      </c>
    </row>
    <row r="281" spans="1:8" ht="14.25" customHeight="1">
      <c r="A281" s="252"/>
      <c r="B281" s="252" t="s">
        <v>783</v>
      </c>
      <c r="C281" s="252">
        <v>2025</v>
      </c>
      <c r="D281" s="252" t="s">
        <v>826</v>
      </c>
      <c r="E281" s="252">
        <v>4</v>
      </c>
      <c r="F281" s="252">
        <v>15</v>
      </c>
      <c r="G281" s="252">
        <f>Rounds!$F281-Rounds!$E281</f>
        <v>11</v>
      </c>
      <c r="H281" s="256">
        <f>Rounds!$E281/Rounds!$F281</f>
        <v>0.26666666666666666</v>
      </c>
    </row>
    <row r="282" spans="1:8" ht="14.25" customHeight="1">
      <c r="A282" s="252"/>
      <c r="B282" s="252" t="s">
        <v>783</v>
      </c>
      <c r="C282" s="252">
        <v>2025</v>
      </c>
      <c r="D282" s="252" t="s">
        <v>827</v>
      </c>
      <c r="E282" s="252">
        <v>0</v>
      </c>
      <c r="F282" s="252">
        <v>12</v>
      </c>
      <c r="G282" s="252">
        <f>Rounds!$F282-Rounds!$E282</f>
        <v>12</v>
      </c>
      <c r="H282" s="256">
        <f>Rounds!$E282/Rounds!$F282</f>
        <v>0</v>
      </c>
    </row>
    <row r="283" spans="1:8" ht="14.25" customHeight="1">
      <c r="A283" s="252"/>
      <c r="B283" s="252" t="s">
        <v>783</v>
      </c>
      <c r="C283" s="252">
        <v>2025</v>
      </c>
      <c r="D283" s="252" t="s">
        <v>828</v>
      </c>
      <c r="E283" s="252">
        <v>3</v>
      </c>
      <c r="F283" s="252">
        <v>12</v>
      </c>
      <c r="G283" s="252">
        <f>Rounds!$F283-Rounds!$E283</f>
        <v>9</v>
      </c>
      <c r="H283" s="256">
        <f>Rounds!$E283/Rounds!$F283</f>
        <v>0.25</v>
      </c>
    </row>
    <row r="284" spans="1:8" ht="14.25" customHeight="1">
      <c r="A284" s="252"/>
      <c r="B284" s="252" t="s">
        <v>783</v>
      </c>
      <c r="C284" s="252">
        <v>2025</v>
      </c>
      <c r="D284" s="252" t="s">
        <v>829</v>
      </c>
      <c r="E284" s="252">
        <v>9</v>
      </c>
      <c r="F284" s="252">
        <v>15</v>
      </c>
      <c r="G284" s="252">
        <f>Rounds!$F284-Rounds!$E284</f>
        <v>6</v>
      </c>
      <c r="H284" s="256">
        <f>Rounds!$E284/Rounds!$F284</f>
        <v>0.6</v>
      </c>
    </row>
    <row r="285" spans="1:8" ht="14.25" customHeight="1">
      <c r="A285" s="252"/>
      <c r="B285" s="252" t="s">
        <v>783</v>
      </c>
      <c r="C285" s="252">
        <v>2025</v>
      </c>
      <c r="D285" s="252" t="s">
        <v>830</v>
      </c>
      <c r="E285" s="252">
        <v>6</v>
      </c>
      <c r="F285" s="252">
        <v>12</v>
      </c>
      <c r="G285" s="252">
        <f>Rounds!$F285-Rounds!$E285</f>
        <v>6</v>
      </c>
      <c r="H285" s="256">
        <f>Rounds!$E285/Rounds!$F285</f>
        <v>0.5</v>
      </c>
    </row>
    <row r="286" spans="1:8" ht="14.25" customHeight="1">
      <c r="A286" s="252"/>
      <c r="B286" s="252" t="s">
        <v>783</v>
      </c>
      <c r="C286" s="252">
        <v>2025</v>
      </c>
      <c r="D286" s="252" t="s">
        <v>831</v>
      </c>
      <c r="E286" s="252">
        <v>6</v>
      </c>
      <c r="F286" s="252">
        <v>12</v>
      </c>
      <c r="G286" s="252">
        <f>Rounds!$F286-Rounds!$E286</f>
        <v>6</v>
      </c>
      <c r="H286" s="256">
        <f>Rounds!$E286/Rounds!$F286</f>
        <v>0.5</v>
      </c>
    </row>
    <row r="287" spans="1:8" ht="14.25" customHeight="1">
      <c r="A287" s="252"/>
      <c r="B287" s="252" t="s">
        <v>783</v>
      </c>
      <c r="C287" s="252">
        <v>2025</v>
      </c>
      <c r="D287" s="252" t="s">
        <v>832</v>
      </c>
      <c r="E287" s="252">
        <v>13</v>
      </c>
      <c r="F287" s="252">
        <v>15</v>
      </c>
      <c r="G287" s="252">
        <f>Rounds!$F287-Rounds!$E287</f>
        <v>2</v>
      </c>
      <c r="H287" s="256">
        <f>Rounds!$E287/Rounds!$F287</f>
        <v>0.8666666666666667</v>
      </c>
    </row>
    <row r="288" spans="1:8" ht="14.25" customHeight="1">
      <c r="A288" s="252"/>
      <c r="B288" s="252" t="s">
        <v>783</v>
      </c>
      <c r="C288" s="252">
        <v>2025</v>
      </c>
      <c r="D288" s="252" t="s">
        <v>833</v>
      </c>
      <c r="E288" s="252">
        <v>9</v>
      </c>
      <c r="F288" s="252">
        <v>12</v>
      </c>
      <c r="G288" s="252">
        <f>Rounds!$F288-Rounds!$E288</f>
        <v>3</v>
      </c>
      <c r="H288" s="256">
        <f>Rounds!$E288/Rounds!$F288</f>
        <v>0.75</v>
      </c>
    </row>
    <row r="289" spans="1:8" ht="14.25" customHeight="1">
      <c r="A289" s="252"/>
      <c r="B289" s="252" t="s">
        <v>783</v>
      </c>
      <c r="C289" s="252">
        <v>2025</v>
      </c>
      <c r="D289" s="252" t="s">
        <v>834</v>
      </c>
      <c r="E289" s="252">
        <v>12</v>
      </c>
      <c r="F289" s="252">
        <v>15</v>
      </c>
      <c r="G289" s="252">
        <f>Rounds!$F289-Rounds!$E289</f>
        <v>3</v>
      </c>
      <c r="H289" s="256">
        <f>Rounds!$E289/Rounds!$F289</f>
        <v>0.8</v>
      </c>
    </row>
    <row r="290" spans="1:8" ht="14.25" customHeight="1">
      <c r="A290" s="252"/>
      <c r="B290" s="252" t="s">
        <v>920</v>
      </c>
      <c r="C290" s="252">
        <v>2025</v>
      </c>
      <c r="D290" s="252" t="s">
        <v>823</v>
      </c>
      <c r="E290" s="252">
        <v>15</v>
      </c>
      <c r="F290" s="252">
        <v>15</v>
      </c>
      <c r="G290" s="252">
        <f>Rounds!$F290-Rounds!$E290</f>
        <v>0</v>
      </c>
      <c r="H290" s="256">
        <f>Rounds!$E290/Rounds!$F290</f>
        <v>1</v>
      </c>
    </row>
    <row r="291" spans="1:8" ht="14.25" customHeight="1">
      <c r="A291" s="252"/>
      <c r="B291" s="252" t="s">
        <v>920</v>
      </c>
      <c r="C291" s="252">
        <v>2025</v>
      </c>
      <c r="D291" s="252" t="s">
        <v>824</v>
      </c>
      <c r="E291" s="252">
        <v>12</v>
      </c>
      <c r="F291" s="252">
        <v>12</v>
      </c>
      <c r="G291" s="252">
        <f>Rounds!$F291-Rounds!$E291</f>
        <v>0</v>
      </c>
      <c r="H291" s="256">
        <f>Rounds!$E291/Rounds!$F291</f>
        <v>1</v>
      </c>
    </row>
    <row r="292" spans="1:8" ht="14.25" customHeight="1">
      <c r="A292" s="252"/>
      <c r="B292" s="252" t="s">
        <v>920</v>
      </c>
      <c r="C292" s="252">
        <v>2025</v>
      </c>
      <c r="D292" s="252" t="s">
        <v>825</v>
      </c>
      <c r="E292" s="252">
        <v>11</v>
      </c>
      <c r="F292" s="252">
        <v>12</v>
      </c>
      <c r="G292" s="252">
        <f>Rounds!$F292-Rounds!$E292</f>
        <v>1</v>
      </c>
      <c r="H292" s="256">
        <f>Rounds!$E292/Rounds!$F292</f>
        <v>0.91666666666666663</v>
      </c>
    </row>
    <row r="293" spans="1:8" ht="14.25" customHeight="1">
      <c r="A293" s="252"/>
      <c r="B293" s="252" t="s">
        <v>920</v>
      </c>
      <c r="C293" s="252">
        <v>2025</v>
      </c>
      <c r="D293" s="252" t="s">
        <v>826</v>
      </c>
      <c r="E293" s="252">
        <v>13</v>
      </c>
      <c r="F293" s="252">
        <v>15</v>
      </c>
      <c r="G293" s="252">
        <f>Rounds!$F293-Rounds!$E293</f>
        <v>2</v>
      </c>
      <c r="H293" s="256">
        <f>Rounds!$E293/Rounds!$F293</f>
        <v>0.8666666666666667</v>
      </c>
    </row>
    <row r="294" spans="1:8" ht="14.25" customHeight="1">
      <c r="A294" s="252"/>
      <c r="B294" s="252" t="s">
        <v>920</v>
      </c>
      <c r="C294" s="252">
        <v>2025</v>
      </c>
      <c r="D294" s="252" t="s">
        <v>827</v>
      </c>
      <c r="E294" s="252">
        <v>9</v>
      </c>
      <c r="F294" s="252">
        <v>12</v>
      </c>
      <c r="G294" s="252">
        <f>Rounds!$F294-Rounds!$E294</f>
        <v>3</v>
      </c>
      <c r="H294" s="256">
        <f>Rounds!$E294/Rounds!$F294</f>
        <v>0.75</v>
      </c>
    </row>
    <row r="295" spans="1:8" ht="14.25" customHeight="1">
      <c r="A295" s="252"/>
      <c r="B295" s="252" t="s">
        <v>920</v>
      </c>
      <c r="C295" s="252">
        <v>2025</v>
      </c>
      <c r="D295" s="252" t="s">
        <v>828</v>
      </c>
      <c r="E295" s="252">
        <v>10</v>
      </c>
      <c r="F295" s="252">
        <v>12</v>
      </c>
      <c r="G295" s="252">
        <f>Rounds!$F295-Rounds!$E295</f>
        <v>2</v>
      </c>
      <c r="H295" s="256">
        <f>Rounds!$E295/Rounds!$F295</f>
        <v>0.83333333333333337</v>
      </c>
    </row>
    <row r="296" spans="1:8" ht="14.25" customHeight="1">
      <c r="A296" s="252"/>
      <c r="B296" s="252" t="s">
        <v>920</v>
      </c>
      <c r="C296" s="252">
        <v>2025</v>
      </c>
      <c r="D296" s="252" t="s">
        <v>829</v>
      </c>
      <c r="E296" s="252">
        <v>15</v>
      </c>
      <c r="F296" s="252">
        <v>15</v>
      </c>
      <c r="G296" s="252">
        <f>Rounds!$F296-Rounds!$E296</f>
        <v>0</v>
      </c>
      <c r="H296" s="256">
        <f>Rounds!$E296/Rounds!$F296</f>
        <v>1</v>
      </c>
    </row>
    <row r="297" spans="1:8" ht="14.25" customHeight="1">
      <c r="A297" s="252"/>
      <c r="B297" s="252" t="s">
        <v>920</v>
      </c>
      <c r="C297" s="252">
        <v>2025</v>
      </c>
      <c r="D297" s="252" t="s">
        <v>830</v>
      </c>
      <c r="E297" s="252">
        <v>11</v>
      </c>
      <c r="F297" s="252">
        <v>12</v>
      </c>
      <c r="G297" s="252">
        <f>Rounds!$F297-Rounds!$E297</f>
        <v>1</v>
      </c>
      <c r="H297" s="256">
        <f>Rounds!$E297/Rounds!$F297</f>
        <v>0.91666666666666663</v>
      </c>
    </row>
    <row r="298" spans="1:8" ht="14.25" customHeight="1">
      <c r="A298" s="252"/>
      <c r="B298" s="252" t="s">
        <v>920</v>
      </c>
      <c r="C298" s="252">
        <v>2025</v>
      </c>
      <c r="D298" s="252" t="s">
        <v>831</v>
      </c>
      <c r="E298" s="252">
        <v>12</v>
      </c>
      <c r="F298" s="252">
        <v>12</v>
      </c>
      <c r="G298" s="252">
        <f>Rounds!$F298-Rounds!$E298</f>
        <v>0</v>
      </c>
      <c r="H298" s="256">
        <f>Rounds!$E298/Rounds!$F298</f>
        <v>1</v>
      </c>
    </row>
    <row r="299" spans="1:8" ht="14.25" customHeight="1">
      <c r="A299" s="252"/>
      <c r="B299" s="252" t="s">
        <v>920</v>
      </c>
      <c r="C299" s="252">
        <v>2025</v>
      </c>
      <c r="D299" s="252" t="s">
        <v>832</v>
      </c>
      <c r="E299" s="252">
        <v>15</v>
      </c>
      <c r="F299" s="252">
        <v>15</v>
      </c>
      <c r="G299" s="252">
        <f>Rounds!$F299-Rounds!$E299</f>
        <v>0</v>
      </c>
      <c r="H299" s="256">
        <f>Rounds!$E299/Rounds!$F299</f>
        <v>1</v>
      </c>
    </row>
    <row r="300" spans="1:8" ht="14.25" customHeight="1">
      <c r="A300" s="252"/>
      <c r="B300" s="252" t="s">
        <v>920</v>
      </c>
      <c r="C300" s="252">
        <v>2025</v>
      </c>
      <c r="D300" s="252" t="s">
        <v>833</v>
      </c>
      <c r="E300" s="252">
        <v>12</v>
      </c>
      <c r="F300" s="252">
        <v>12</v>
      </c>
      <c r="G300" s="252">
        <f>Rounds!$F300-Rounds!$E300</f>
        <v>0</v>
      </c>
      <c r="H300" s="256">
        <f>Rounds!$E300/Rounds!$F300</f>
        <v>1</v>
      </c>
    </row>
    <row r="301" spans="1:8" ht="14.25" customHeight="1">
      <c r="A301" s="252"/>
      <c r="B301" s="252" t="s">
        <v>920</v>
      </c>
      <c r="C301" s="252">
        <v>2025</v>
      </c>
      <c r="D301" s="252" t="s">
        <v>834</v>
      </c>
      <c r="E301" s="252">
        <v>15</v>
      </c>
      <c r="F301" s="252">
        <v>15</v>
      </c>
      <c r="G301" s="252">
        <f>Rounds!$F301-Rounds!$E301</f>
        <v>0</v>
      </c>
      <c r="H301" s="256">
        <f>Rounds!$E301/Rounds!$F301</f>
        <v>1</v>
      </c>
    </row>
    <row r="302" spans="1:8" ht="14.25" customHeight="1">
      <c r="A302" s="252"/>
      <c r="B302" s="252" t="s">
        <v>922</v>
      </c>
      <c r="C302" s="252">
        <v>2025</v>
      </c>
      <c r="D302" s="252" t="s">
        <v>823</v>
      </c>
      <c r="E302" s="252">
        <v>10</v>
      </c>
      <c r="F302" s="252">
        <v>15</v>
      </c>
      <c r="G302" s="252">
        <f>Rounds!$F302-Rounds!$E302</f>
        <v>5</v>
      </c>
      <c r="H302" s="256">
        <f>Rounds!$E302/Rounds!$F302</f>
        <v>0.66666666666666663</v>
      </c>
    </row>
    <row r="303" spans="1:8" ht="14.25" customHeight="1">
      <c r="A303" s="252"/>
      <c r="B303" s="252" t="s">
        <v>922</v>
      </c>
      <c r="C303" s="252">
        <v>2025</v>
      </c>
      <c r="D303" s="252" t="s">
        <v>824</v>
      </c>
      <c r="E303" s="252">
        <v>9</v>
      </c>
      <c r="F303" s="252">
        <v>12</v>
      </c>
      <c r="G303" s="252">
        <f>Rounds!$F303-Rounds!$E303</f>
        <v>3</v>
      </c>
      <c r="H303" s="256">
        <f>Rounds!$E303/Rounds!$F303</f>
        <v>0.75</v>
      </c>
    </row>
    <row r="304" spans="1:8" ht="14.25" customHeight="1">
      <c r="A304" s="252"/>
      <c r="B304" s="252" t="s">
        <v>922</v>
      </c>
      <c r="C304" s="252">
        <v>2025</v>
      </c>
      <c r="D304" s="252" t="s">
        <v>825</v>
      </c>
      <c r="E304" s="252">
        <v>8</v>
      </c>
      <c r="F304" s="252">
        <v>12</v>
      </c>
      <c r="G304" s="252">
        <f>Rounds!$F304-Rounds!$E304</f>
        <v>4</v>
      </c>
      <c r="H304" s="256">
        <f>Rounds!$E304/Rounds!$F304</f>
        <v>0.66666666666666663</v>
      </c>
    </row>
    <row r="305" spans="1:8" ht="14.25" customHeight="1">
      <c r="A305" s="252"/>
      <c r="B305" s="252" t="s">
        <v>922</v>
      </c>
      <c r="C305" s="252">
        <v>2025</v>
      </c>
      <c r="D305" s="252" t="s">
        <v>826</v>
      </c>
      <c r="E305" s="252">
        <v>9</v>
      </c>
      <c r="F305" s="252">
        <v>15</v>
      </c>
      <c r="G305" s="252">
        <f>Rounds!$F305-Rounds!$E305</f>
        <v>6</v>
      </c>
      <c r="H305" s="256">
        <f>Rounds!$E305/Rounds!$F305</f>
        <v>0.6</v>
      </c>
    </row>
    <row r="306" spans="1:8" ht="14.25" customHeight="1">
      <c r="A306" s="252"/>
      <c r="B306" s="252" t="s">
        <v>922</v>
      </c>
      <c r="C306" s="252">
        <v>2025</v>
      </c>
      <c r="D306" s="252" t="s">
        <v>827</v>
      </c>
      <c r="E306" s="252">
        <v>8</v>
      </c>
      <c r="F306" s="252">
        <v>12</v>
      </c>
      <c r="G306" s="252">
        <f>Rounds!$F306-Rounds!$E306</f>
        <v>4</v>
      </c>
      <c r="H306" s="256">
        <f>Rounds!$E306/Rounds!$F306</f>
        <v>0.66666666666666663</v>
      </c>
    </row>
    <row r="307" spans="1:8" ht="14.25" customHeight="1">
      <c r="A307" s="252"/>
      <c r="B307" s="252" t="s">
        <v>922</v>
      </c>
      <c r="C307" s="252">
        <v>2025</v>
      </c>
      <c r="D307" s="252" t="s">
        <v>828</v>
      </c>
      <c r="E307" s="252">
        <v>8</v>
      </c>
      <c r="F307" s="252">
        <v>12</v>
      </c>
      <c r="G307" s="252">
        <f>Rounds!$F307-Rounds!$E307</f>
        <v>4</v>
      </c>
      <c r="H307" s="256">
        <f>Rounds!$E307/Rounds!$F307</f>
        <v>0.66666666666666663</v>
      </c>
    </row>
    <row r="308" spans="1:8" ht="14.25" customHeight="1">
      <c r="A308" s="252"/>
      <c r="B308" s="252" t="s">
        <v>922</v>
      </c>
      <c r="C308" s="252">
        <v>2025</v>
      </c>
      <c r="D308" s="252" t="s">
        <v>829</v>
      </c>
      <c r="E308" s="252">
        <v>10</v>
      </c>
      <c r="F308" s="252">
        <v>15</v>
      </c>
      <c r="G308" s="252">
        <f>Rounds!$F308-Rounds!$E308</f>
        <v>5</v>
      </c>
      <c r="H308" s="256">
        <f>Rounds!$E308/Rounds!$F308</f>
        <v>0.66666666666666663</v>
      </c>
    </row>
    <row r="309" spans="1:8" ht="14.25" customHeight="1">
      <c r="A309" s="252"/>
      <c r="B309" s="252" t="s">
        <v>922</v>
      </c>
      <c r="C309" s="252">
        <v>2025</v>
      </c>
      <c r="D309" s="252" t="s">
        <v>830</v>
      </c>
      <c r="E309" s="252">
        <v>3</v>
      </c>
      <c r="F309" s="252">
        <v>12</v>
      </c>
      <c r="G309" s="252">
        <f>Rounds!$F309-Rounds!$E309</f>
        <v>9</v>
      </c>
      <c r="H309" s="256">
        <f>Rounds!$E309/Rounds!$F309</f>
        <v>0.25</v>
      </c>
    </row>
    <row r="310" spans="1:8" ht="14.25" customHeight="1">
      <c r="A310" s="252"/>
      <c r="B310" s="252" t="s">
        <v>922</v>
      </c>
      <c r="C310" s="252">
        <v>2025</v>
      </c>
      <c r="D310" s="252" t="s">
        <v>831</v>
      </c>
      <c r="E310" s="252">
        <v>6</v>
      </c>
      <c r="F310" s="252">
        <v>12</v>
      </c>
      <c r="G310" s="252">
        <f>Rounds!$F310-Rounds!$E310</f>
        <v>6</v>
      </c>
      <c r="H310" s="256">
        <f>Rounds!$E310/Rounds!$F310</f>
        <v>0.5</v>
      </c>
    </row>
    <row r="311" spans="1:8" ht="14.25" customHeight="1">
      <c r="A311" s="252"/>
      <c r="B311" s="252" t="s">
        <v>922</v>
      </c>
      <c r="C311" s="252">
        <v>2025</v>
      </c>
      <c r="D311" s="252" t="s">
        <v>832</v>
      </c>
      <c r="E311" s="252">
        <v>14</v>
      </c>
      <c r="F311" s="252">
        <v>15</v>
      </c>
      <c r="G311" s="252">
        <f>Rounds!$F311-Rounds!$E311</f>
        <v>1</v>
      </c>
      <c r="H311" s="256">
        <f>Rounds!$E311/Rounds!$F311</f>
        <v>0.93333333333333335</v>
      </c>
    </row>
    <row r="312" spans="1:8" ht="14.25" customHeight="1">
      <c r="A312" s="252"/>
      <c r="B312" s="252" t="s">
        <v>922</v>
      </c>
      <c r="C312" s="252">
        <v>2025</v>
      </c>
      <c r="D312" s="252" t="s">
        <v>833</v>
      </c>
      <c r="E312" s="252">
        <v>8</v>
      </c>
      <c r="F312" s="252">
        <v>12</v>
      </c>
      <c r="G312" s="252">
        <f>Rounds!$F312-Rounds!$E312</f>
        <v>4</v>
      </c>
      <c r="H312" s="256">
        <f>Rounds!$E312/Rounds!$F312</f>
        <v>0.66666666666666663</v>
      </c>
    </row>
    <row r="313" spans="1:8" ht="14.25" customHeight="1">
      <c r="A313" s="252"/>
      <c r="B313" s="252" t="s">
        <v>922</v>
      </c>
      <c r="C313" s="252">
        <v>2025</v>
      </c>
      <c r="D313" s="252" t="s">
        <v>834</v>
      </c>
      <c r="E313" s="252">
        <v>8</v>
      </c>
      <c r="F313" s="252">
        <v>15</v>
      </c>
      <c r="G313" s="252">
        <f>Rounds!$F313-Rounds!$E313</f>
        <v>7</v>
      </c>
      <c r="H313" s="256">
        <f>Rounds!$E313/Rounds!$F313</f>
        <v>0.53333333333333333</v>
      </c>
    </row>
    <row r="314" spans="1:8" ht="14.25" customHeight="1">
      <c r="A314" s="252"/>
      <c r="B314" s="252" t="s">
        <v>924</v>
      </c>
      <c r="C314" s="252">
        <v>2025</v>
      </c>
      <c r="D314" s="252" t="s">
        <v>823</v>
      </c>
      <c r="E314" s="252">
        <v>8</v>
      </c>
      <c r="F314" s="252">
        <v>15</v>
      </c>
      <c r="G314" s="252">
        <f>Rounds!$F314-Rounds!$E314</f>
        <v>7</v>
      </c>
      <c r="H314" s="256">
        <f>Rounds!$E314/Rounds!$F314</f>
        <v>0.53333333333333333</v>
      </c>
    </row>
    <row r="315" spans="1:8" ht="14.25" customHeight="1">
      <c r="A315" s="252"/>
      <c r="B315" s="252" t="s">
        <v>924</v>
      </c>
      <c r="C315" s="252">
        <v>2025</v>
      </c>
      <c r="D315" s="252" t="s">
        <v>824</v>
      </c>
      <c r="E315" s="252">
        <v>8</v>
      </c>
      <c r="F315" s="252">
        <v>12</v>
      </c>
      <c r="G315" s="252">
        <f>Rounds!$F315-Rounds!$E315</f>
        <v>4</v>
      </c>
      <c r="H315" s="256">
        <f>Rounds!$E315/Rounds!$F315</f>
        <v>0.66666666666666663</v>
      </c>
    </row>
    <row r="316" spans="1:8" ht="14.25" customHeight="1">
      <c r="A316" s="252"/>
      <c r="B316" s="252" t="s">
        <v>924</v>
      </c>
      <c r="C316" s="252">
        <v>2025</v>
      </c>
      <c r="D316" s="252" t="s">
        <v>825</v>
      </c>
      <c r="E316" s="252">
        <v>7</v>
      </c>
      <c r="F316" s="252">
        <v>12</v>
      </c>
      <c r="G316" s="252">
        <f>Rounds!$F316-Rounds!$E316</f>
        <v>5</v>
      </c>
      <c r="H316" s="256">
        <f>Rounds!$E316/Rounds!$F316</f>
        <v>0.58333333333333337</v>
      </c>
    </row>
    <row r="317" spans="1:8" ht="14.25" customHeight="1">
      <c r="A317" s="252"/>
      <c r="B317" s="252" t="s">
        <v>924</v>
      </c>
      <c r="C317" s="252">
        <v>2025</v>
      </c>
      <c r="D317" s="252" t="s">
        <v>826</v>
      </c>
      <c r="E317" s="252">
        <v>7</v>
      </c>
      <c r="F317" s="252">
        <v>15</v>
      </c>
      <c r="G317" s="252">
        <f>Rounds!$F317-Rounds!$E317</f>
        <v>8</v>
      </c>
      <c r="H317" s="256">
        <f>Rounds!$E317/Rounds!$F317</f>
        <v>0.46666666666666667</v>
      </c>
    </row>
    <row r="318" spans="1:8" ht="14.25" customHeight="1">
      <c r="A318" s="252"/>
      <c r="B318" s="252" t="s">
        <v>924</v>
      </c>
      <c r="C318" s="252">
        <v>2025</v>
      </c>
      <c r="D318" s="252" t="s">
        <v>827</v>
      </c>
      <c r="E318" s="252">
        <v>5</v>
      </c>
      <c r="F318" s="252">
        <v>12</v>
      </c>
      <c r="G318" s="252">
        <f>Rounds!$F318-Rounds!$E318</f>
        <v>7</v>
      </c>
      <c r="H318" s="256">
        <f>Rounds!$E318/Rounds!$F318</f>
        <v>0.41666666666666669</v>
      </c>
    </row>
    <row r="319" spans="1:8" ht="14.25" customHeight="1">
      <c r="A319" s="252"/>
      <c r="B319" s="252" t="s">
        <v>924</v>
      </c>
      <c r="C319" s="252">
        <v>2025</v>
      </c>
      <c r="D319" s="252" t="s">
        <v>828</v>
      </c>
      <c r="E319" s="252">
        <v>9</v>
      </c>
      <c r="F319" s="252">
        <v>12</v>
      </c>
      <c r="G319" s="252">
        <f>Rounds!$F319-Rounds!$E319</f>
        <v>3</v>
      </c>
      <c r="H319" s="256">
        <f>Rounds!$E319/Rounds!$F319</f>
        <v>0.75</v>
      </c>
    </row>
    <row r="320" spans="1:8" ht="14.25" customHeight="1">
      <c r="A320" s="252"/>
      <c r="B320" s="252" t="s">
        <v>924</v>
      </c>
      <c r="C320" s="252">
        <v>2025</v>
      </c>
      <c r="D320" s="252" t="s">
        <v>829</v>
      </c>
      <c r="E320" s="252">
        <v>13</v>
      </c>
      <c r="F320" s="252">
        <v>15</v>
      </c>
      <c r="G320" s="252">
        <f>Rounds!$F320-Rounds!$E320</f>
        <v>2</v>
      </c>
      <c r="H320" s="256">
        <f>Rounds!$E320/Rounds!$F320</f>
        <v>0.8666666666666667</v>
      </c>
    </row>
    <row r="321" spans="1:8" ht="14.25" customHeight="1">
      <c r="A321" s="252"/>
      <c r="B321" s="252" t="s">
        <v>924</v>
      </c>
      <c r="C321" s="252">
        <v>2025</v>
      </c>
      <c r="D321" s="252" t="s">
        <v>830</v>
      </c>
      <c r="E321" s="252">
        <v>11</v>
      </c>
      <c r="F321" s="252">
        <v>12</v>
      </c>
      <c r="G321" s="252">
        <f>Rounds!$F321-Rounds!$E321</f>
        <v>1</v>
      </c>
      <c r="H321" s="256">
        <f>Rounds!$E321/Rounds!$F321</f>
        <v>0.91666666666666663</v>
      </c>
    </row>
    <row r="322" spans="1:8" ht="14.25" customHeight="1">
      <c r="A322" s="252"/>
      <c r="B322" s="252" t="s">
        <v>924</v>
      </c>
      <c r="C322" s="252">
        <v>2025</v>
      </c>
      <c r="D322" s="252" t="s">
        <v>831</v>
      </c>
      <c r="E322" s="252">
        <v>11</v>
      </c>
      <c r="F322" s="252">
        <v>12</v>
      </c>
      <c r="G322" s="252">
        <f>Rounds!$F322-Rounds!$E322</f>
        <v>1</v>
      </c>
      <c r="H322" s="256">
        <f>Rounds!$E322/Rounds!$F322</f>
        <v>0.91666666666666663</v>
      </c>
    </row>
    <row r="323" spans="1:8" ht="14.25" customHeight="1">
      <c r="A323" s="252"/>
      <c r="B323" s="252" t="s">
        <v>924</v>
      </c>
      <c r="C323" s="252">
        <v>2025</v>
      </c>
      <c r="D323" s="252" t="s">
        <v>832</v>
      </c>
      <c r="E323" s="252">
        <v>12</v>
      </c>
      <c r="F323" s="252">
        <v>15</v>
      </c>
      <c r="G323" s="252">
        <f>Rounds!$F323-Rounds!$E323</f>
        <v>3</v>
      </c>
      <c r="H323" s="256">
        <f>Rounds!$E323/Rounds!$F323</f>
        <v>0.8</v>
      </c>
    </row>
    <row r="324" spans="1:8" ht="14.25" customHeight="1">
      <c r="A324" s="252"/>
      <c r="B324" s="252" t="s">
        <v>924</v>
      </c>
      <c r="C324" s="252">
        <v>2025</v>
      </c>
      <c r="D324" s="252" t="s">
        <v>833</v>
      </c>
      <c r="E324" s="252">
        <v>11</v>
      </c>
      <c r="F324" s="252">
        <v>12</v>
      </c>
      <c r="G324" s="252">
        <f>Rounds!$F324-Rounds!$E324</f>
        <v>1</v>
      </c>
      <c r="H324" s="256">
        <f>Rounds!$E324/Rounds!$F324</f>
        <v>0.91666666666666663</v>
      </c>
    </row>
    <row r="325" spans="1:8" ht="14.25" customHeight="1">
      <c r="A325" s="252"/>
      <c r="B325" s="252" t="s">
        <v>924</v>
      </c>
      <c r="C325" s="252">
        <v>2025</v>
      </c>
      <c r="D325" s="252" t="s">
        <v>834</v>
      </c>
      <c r="E325" s="252">
        <v>15</v>
      </c>
      <c r="F325" s="252">
        <v>15</v>
      </c>
      <c r="G325" s="252">
        <f>Rounds!$F325-Rounds!$E325</f>
        <v>0</v>
      </c>
      <c r="H325" s="256">
        <f>Rounds!$E325/Rounds!$F325</f>
        <v>1</v>
      </c>
    </row>
    <row r="326" spans="1:8" ht="14.25" customHeight="1">
      <c r="A326" s="252"/>
      <c r="B326" s="252" t="s">
        <v>906</v>
      </c>
      <c r="C326" s="252">
        <v>2024</v>
      </c>
      <c r="D326" s="252" t="s">
        <v>823</v>
      </c>
      <c r="E326" s="252">
        <v>15</v>
      </c>
      <c r="F326" s="252">
        <v>15</v>
      </c>
      <c r="G326" s="252">
        <v>0</v>
      </c>
      <c r="H326" s="256">
        <v>1</v>
      </c>
    </row>
    <row r="327" spans="1:8" ht="14.25" customHeight="1">
      <c r="A327" s="252"/>
      <c r="B327" s="252" t="s">
        <v>906</v>
      </c>
      <c r="C327" s="252">
        <v>2024</v>
      </c>
      <c r="D327" s="252" t="s">
        <v>824</v>
      </c>
      <c r="E327" s="252">
        <v>12</v>
      </c>
      <c r="F327" s="252">
        <v>12</v>
      </c>
      <c r="G327" s="252">
        <v>0</v>
      </c>
      <c r="H327" s="256">
        <v>1</v>
      </c>
    </row>
    <row r="328" spans="1:8" ht="14.25" customHeight="1">
      <c r="A328" s="252"/>
      <c r="B328" s="252" t="s">
        <v>906</v>
      </c>
      <c r="C328" s="252">
        <v>2024</v>
      </c>
      <c r="D328" s="252" t="s">
        <v>825</v>
      </c>
      <c r="E328" s="252">
        <v>12</v>
      </c>
      <c r="F328" s="252">
        <v>12</v>
      </c>
      <c r="G328" s="252">
        <v>0</v>
      </c>
      <c r="H328" s="256">
        <v>1</v>
      </c>
    </row>
    <row r="329" spans="1:8" ht="14.25" customHeight="1">
      <c r="A329" s="252"/>
      <c r="B329" s="252" t="s">
        <v>906</v>
      </c>
      <c r="C329" s="252">
        <v>2024</v>
      </c>
      <c r="D329" s="252" t="s">
        <v>826</v>
      </c>
      <c r="E329" s="252">
        <v>12</v>
      </c>
      <c r="F329" s="252">
        <v>12</v>
      </c>
      <c r="G329" s="252">
        <v>0</v>
      </c>
      <c r="H329" s="256">
        <v>1</v>
      </c>
    </row>
    <row r="330" spans="1:8" ht="14.25" customHeight="1">
      <c r="A330" s="252"/>
      <c r="B330" s="252" t="s">
        <v>906</v>
      </c>
      <c r="C330" s="252">
        <v>2024</v>
      </c>
      <c r="D330" s="252" t="s">
        <v>827</v>
      </c>
      <c r="E330" s="252">
        <v>15</v>
      </c>
      <c r="F330" s="252">
        <v>15</v>
      </c>
      <c r="G330" s="252">
        <v>0</v>
      </c>
      <c r="H330" s="256">
        <v>1</v>
      </c>
    </row>
    <row r="331" spans="1:8" ht="14.25" customHeight="1">
      <c r="A331" s="252"/>
      <c r="B331" s="252" t="s">
        <v>906</v>
      </c>
      <c r="C331" s="252">
        <v>2024</v>
      </c>
      <c r="D331" s="252" t="s">
        <v>828</v>
      </c>
      <c r="E331" s="252">
        <v>10</v>
      </c>
      <c r="F331" s="252">
        <v>12</v>
      </c>
      <c r="G331" s="252">
        <v>2</v>
      </c>
      <c r="H331" s="256">
        <v>0.83299999999999996</v>
      </c>
    </row>
    <row r="332" spans="1:8" ht="14.25" customHeight="1">
      <c r="A332" s="252"/>
      <c r="B332" s="252" t="s">
        <v>906</v>
      </c>
      <c r="C332" s="252">
        <v>2024</v>
      </c>
      <c r="D332" s="252" t="s">
        <v>829</v>
      </c>
      <c r="E332" s="252">
        <v>14</v>
      </c>
      <c r="F332" s="252">
        <v>15</v>
      </c>
      <c r="G332" s="252">
        <v>1</v>
      </c>
      <c r="H332" s="256">
        <v>0.93300000000000005</v>
      </c>
    </row>
    <row r="333" spans="1:8" ht="14.25" customHeight="1">
      <c r="A333" s="252"/>
      <c r="B333" s="252" t="s">
        <v>906</v>
      </c>
      <c r="C333" s="252">
        <v>2024</v>
      </c>
      <c r="D333" s="252" t="s">
        <v>830</v>
      </c>
      <c r="E333" s="252">
        <v>12</v>
      </c>
      <c r="F333" s="252">
        <v>12</v>
      </c>
      <c r="G333" s="252">
        <v>0</v>
      </c>
      <c r="H333" s="256">
        <v>1</v>
      </c>
    </row>
    <row r="334" spans="1:8" ht="14.25" customHeight="1">
      <c r="A334" s="252"/>
      <c r="B334" s="252" t="s">
        <v>906</v>
      </c>
      <c r="C334" s="252">
        <v>2024</v>
      </c>
      <c r="D334" s="252" t="s">
        <v>831</v>
      </c>
      <c r="E334" s="252">
        <v>12</v>
      </c>
      <c r="F334" s="252">
        <v>12</v>
      </c>
      <c r="G334" s="252">
        <v>0</v>
      </c>
      <c r="H334" s="256">
        <v>1</v>
      </c>
    </row>
    <row r="335" spans="1:8" ht="14.25" customHeight="1">
      <c r="A335" s="252"/>
      <c r="B335" s="252" t="s">
        <v>906</v>
      </c>
      <c r="C335" s="252">
        <v>2024</v>
      </c>
      <c r="D335" s="252" t="s">
        <v>832</v>
      </c>
      <c r="E335" s="252">
        <v>15</v>
      </c>
      <c r="F335" s="252">
        <v>15</v>
      </c>
      <c r="G335" s="252">
        <v>0</v>
      </c>
      <c r="H335" s="256">
        <v>1</v>
      </c>
    </row>
    <row r="336" spans="1:8" ht="14.25" customHeight="1">
      <c r="A336" s="252"/>
      <c r="B336" s="252" t="s">
        <v>906</v>
      </c>
      <c r="C336" s="252">
        <v>2024</v>
      </c>
      <c r="D336" s="252" t="s">
        <v>833</v>
      </c>
      <c r="E336" s="252">
        <v>12</v>
      </c>
      <c r="F336" s="252">
        <v>12</v>
      </c>
      <c r="G336" s="252">
        <v>0</v>
      </c>
      <c r="H336" s="256">
        <v>1</v>
      </c>
    </row>
    <row r="337" spans="1:8" ht="14.25" customHeight="1">
      <c r="A337" s="252"/>
      <c r="B337" s="252" t="s">
        <v>906</v>
      </c>
      <c r="C337" s="252">
        <v>2024</v>
      </c>
      <c r="D337" s="252" t="s">
        <v>834</v>
      </c>
      <c r="E337" s="252">
        <v>10</v>
      </c>
      <c r="F337" s="252">
        <v>12</v>
      </c>
      <c r="G337" s="252">
        <v>2</v>
      </c>
      <c r="H337" s="256">
        <v>0.83299999999999996</v>
      </c>
    </row>
    <row r="338" spans="1:8" ht="14.25" customHeight="1">
      <c r="A338" s="252"/>
      <c r="B338" s="252" t="s">
        <v>483</v>
      </c>
      <c r="C338" s="252">
        <v>2024</v>
      </c>
      <c r="D338" s="252" t="s">
        <v>823</v>
      </c>
      <c r="E338" s="252">
        <v>0</v>
      </c>
      <c r="F338" s="252">
        <v>0</v>
      </c>
      <c r="G338" s="252">
        <v>0</v>
      </c>
      <c r="H338" s="256">
        <v>0</v>
      </c>
    </row>
    <row r="339" spans="1:8" ht="14.25" customHeight="1">
      <c r="A339" s="252"/>
      <c r="B339" s="252" t="s">
        <v>483</v>
      </c>
      <c r="C339" s="252">
        <v>2024</v>
      </c>
      <c r="D339" s="252" t="s">
        <v>824</v>
      </c>
      <c r="E339" s="252">
        <v>0</v>
      </c>
      <c r="F339" s="252">
        <v>0</v>
      </c>
      <c r="G339" s="252">
        <v>0</v>
      </c>
      <c r="H339" s="256">
        <v>0</v>
      </c>
    </row>
    <row r="340" spans="1:8" ht="14.25" customHeight="1">
      <c r="A340" s="252"/>
      <c r="B340" s="252" t="s">
        <v>483</v>
      </c>
      <c r="C340" s="252">
        <v>2024</v>
      </c>
      <c r="D340" s="252" t="s">
        <v>825</v>
      </c>
      <c r="E340" s="252">
        <v>7</v>
      </c>
      <c r="F340" s="252">
        <v>12</v>
      </c>
      <c r="G340" s="252">
        <v>5</v>
      </c>
      <c r="H340" s="256">
        <v>0.58299999999999996</v>
      </c>
    </row>
    <row r="341" spans="1:8" ht="14.25" customHeight="1">
      <c r="A341" s="252"/>
      <c r="B341" s="252" t="s">
        <v>483</v>
      </c>
      <c r="C341" s="252">
        <v>2024</v>
      </c>
      <c r="D341" s="252" t="s">
        <v>826</v>
      </c>
      <c r="E341" s="252">
        <v>8</v>
      </c>
      <c r="F341" s="252">
        <v>12</v>
      </c>
      <c r="G341" s="252">
        <v>4</v>
      </c>
      <c r="H341" s="256">
        <v>0.66700000000000004</v>
      </c>
    </row>
    <row r="342" spans="1:8" ht="14.25" customHeight="1">
      <c r="A342" s="252"/>
      <c r="B342" s="252" t="s">
        <v>483</v>
      </c>
      <c r="C342" s="252">
        <v>2024</v>
      </c>
      <c r="D342" s="252" t="s">
        <v>827</v>
      </c>
      <c r="E342" s="252">
        <v>13</v>
      </c>
      <c r="F342" s="252">
        <v>15</v>
      </c>
      <c r="G342" s="252">
        <v>2</v>
      </c>
      <c r="H342" s="256">
        <v>0.86699999999999999</v>
      </c>
    </row>
    <row r="343" spans="1:8" ht="14.25" customHeight="1">
      <c r="A343" s="252"/>
      <c r="B343" s="252" t="s">
        <v>483</v>
      </c>
      <c r="C343" s="252">
        <v>2024</v>
      </c>
      <c r="D343" s="252" t="s">
        <v>828</v>
      </c>
      <c r="E343" s="252">
        <v>4</v>
      </c>
      <c r="F343" s="252">
        <v>12</v>
      </c>
      <c r="G343" s="252">
        <v>8</v>
      </c>
      <c r="H343" s="256">
        <v>0.33300000000000002</v>
      </c>
    </row>
    <row r="344" spans="1:8" ht="14.25" customHeight="1">
      <c r="A344" s="252"/>
      <c r="B344" s="252" t="s">
        <v>483</v>
      </c>
      <c r="C344" s="252">
        <v>2024</v>
      </c>
      <c r="D344" s="252" t="s">
        <v>829</v>
      </c>
      <c r="E344" s="252">
        <v>12</v>
      </c>
      <c r="F344" s="252">
        <v>15</v>
      </c>
      <c r="G344" s="252">
        <v>3</v>
      </c>
      <c r="H344" s="256">
        <v>0.8</v>
      </c>
    </row>
    <row r="345" spans="1:8" ht="14.25" customHeight="1">
      <c r="A345" s="252"/>
      <c r="B345" s="252" t="s">
        <v>483</v>
      </c>
      <c r="C345" s="252">
        <v>2024</v>
      </c>
      <c r="D345" s="252" t="s">
        <v>830</v>
      </c>
      <c r="E345" s="252">
        <v>12</v>
      </c>
      <c r="F345" s="252">
        <v>12</v>
      </c>
      <c r="G345" s="252">
        <v>0</v>
      </c>
      <c r="H345" s="256">
        <v>1</v>
      </c>
    </row>
    <row r="346" spans="1:8" ht="14.25" customHeight="1">
      <c r="A346" s="252"/>
      <c r="B346" s="252" t="s">
        <v>483</v>
      </c>
      <c r="C346" s="252">
        <v>2024</v>
      </c>
      <c r="D346" s="252" t="s">
        <v>831</v>
      </c>
      <c r="E346" s="252">
        <v>12</v>
      </c>
      <c r="F346" s="252">
        <v>12</v>
      </c>
      <c r="G346" s="252">
        <v>0</v>
      </c>
      <c r="H346" s="256">
        <v>1</v>
      </c>
    </row>
    <row r="347" spans="1:8" ht="14.25" customHeight="1">
      <c r="A347" s="252"/>
      <c r="B347" s="252" t="s">
        <v>483</v>
      </c>
      <c r="C347" s="252">
        <v>2024</v>
      </c>
      <c r="D347" s="252" t="s">
        <v>832</v>
      </c>
      <c r="E347" s="252">
        <v>13</v>
      </c>
      <c r="F347" s="252">
        <v>15</v>
      </c>
      <c r="G347" s="252">
        <v>2</v>
      </c>
      <c r="H347" s="256">
        <v>0.86699999999999999</v>
      </c>
    </row>
    <row r="348" spans="1:8" ht="14.25" customHeight="1">
      <c r="A348" s="252"/>
      <c r="B348" s="252" t="s">
        <v>483</v>
      </c>
      <c r="C348" s="252">
        <v>2024</v>
      </c>
      <c r="D348" s="252" t="s">
        <v>833</v>
      </c>
      <c r="E348" s="252">
        <v>12</v>
      </c>
      <c r="F348" s="252">
        <v>12</v>
      </c>
      <c r="G348" s="252">
        <v>0</v>
      </c>
      <c r="H348" s="256">
        <v>1</v>
      </c>
    </row>
    <row r="349" spans="1:8" ht="14.25" customHeight="1">
      <c r="A349" s="252"/>
      <c r="B349" s="252" t="s">
        <v>483</v>
      </c>
      <c r="C349" s="252">
        <v>2024</v>
      </c>
      <c r="D349" s="252" t="s">
        <v>834</v>
      </c>
      <c r="E349" s="252">
        <v>6</v>
      </c>
      <c r="F349" s="252">
        <v>12</v>
      </c>
      <c r="G349" s="252">
        <v>6</v>
      </c>
      <c r="H349" s="256">
        <v>0.5</v>
      </c>
    </row>
    <row r="350" spans="1:8" ht="14.25" customHeight="1">
      <c r="A350" s="252"/>
      <c r="B350" s="252" t="s">
        <v>909</v>
      </c>
      <c r="C350" s="252">
        <v>2024</v>
      </c>
      <c r="D350" s="252" t="s">
        <v>823</v>
      </c>
      <c r="E350" s="252">
        <v>15</v>
      </c>
      <c r="F350" s="252">
        <v>15</v>
      </c>
      <c r="G350" s="252">
        <v>0</v>
      </c>
      <c r="H350" s="256">
        <v>1</v>
      </c>
    </row>
    <row r="351" spans="1:8" ht="14.25" customHeight="1">
      <c r="A351" s="252"/>
      <c r="B351" s="252" t="s">
        <v>909</v>
      </c>
      <c r="C351" s="252">
        <v>2024</v>
      </c>
      <c r="D351" s="252" t="s">
        <v>824</v>
      </c>
      <c r="E351" s="252">
        <v>10</v>
      </c>
      <c r="F351" s="252">
        <v>12</v>
      </c>
      <c r="G351" s="252">
        <v>2</v>
      </c>
      <c r="H351" s="256">
        <v>0.83299999999999996</v>
      </c>
    </row>
    <row r="352" spans="1:8" ht="14.25" customHeight="1">
      <c r="A352" s="252"/>
      <c r="B352" s="252" t="s">
        <v>909</v>
      </c>
      <c r="C352" s="252">
        <v>2024</v>
      </c>
      <c r="D352" s="252" t="s">
        <v>825</v>
      </c>
      <c r="E352" s="252">
        <v>7</v>
      </c>
      <c r="F352" s="252">
        <v>12</v>
      </c>
      <c r="G352" s="252">
        <v>5</v>
      </c>
      <c r="H352" s="256">
        <v>0.58299999999999996</v>
      </c>
    </row>
    <row r="353" spans="1:8" ht="14.25" customHeight="1">
      <c r="A353" s="252"/>
      <c r="B353" s="252" t="s">
        <v>909</v>
      </c>
      <c r="C353" s="252">
        <v>2024</v>
      </c>
      <c r="D353" s="252" t="s">
        <v>826</v>
      </c>
      <c r="E353" s="252">
        <v>5</v>
      </c>
      <c r="F353" s="252">
        <v>12</v>
      </c>
      <c r="G353" s="252">
        <v>7</v>
      </c>
      <c r="H353" s="256">
        <v>0.41699999999999998</v>
      </c>
    </row>
    <row r="354" spans="1:8" ht="14.25" customHeight="1">
      <c r="A354" s="252"/>
      <c r="B354" s="252" t="s">
        <v>909</v>
      </c>
      <c r="C354" s="252">
        <v>2024</v>
      </c>
      <c r="D354" s="252" t="s">
        <v>827</v>
      </c>
      <c r="E354" s="252">
        <v>14</v>
      </c>
      <c r="F354" s="252">
        <v>15</v>
      </c>
      <c r="G354" s="252">
        <v>1</v>
      </c>
      <c r="H354" s="256">
        <v>0.93300000000000005</v>
      </c>
    </row>
    <row r="355" spans="1:8" ht="14.25" customHeight="1">
      <c r="A355" s="252"/>
      <c r="B355" s="252" t="s">
        <v>909</v>
      </c>
      <c r="C355" s="252">
        <v>2024</v>
      </c>
      <c r="D355" s="252" t="s">
        <v>828</v>
      </c>
      <c r="E355" s="252">
        <v>5</v>
      </c>
      <c r="F355" s="252">
        <v>12</v>
      </c>
      <c r="G355" s="252">
        <v>7</v>
      </c>
      <c r="H355" s="256">
        <v>0.41699999999999998</v>
      </c>
    </row>
    <row r="356" spans="1:8" ht="14.25" customHeight="1">
      <c r="A356" s="252"/>
      <c r="B356" s="252" t="s">
        <v>909</v>
      </c>
      <c r="C356" s="252">
        <v>2024</v>
      </c>
      <c r="D356" s="252" t="s">
        <v>829</v>
      </c>
      <c r="E356" s="252">
        <v>7</v>
      </c>
      <c r="F356" s="252">
        <v>15</v>
      </c>
      <c r="G356" s="252">
        <v>8</v>
      </c>
      <c r="H356" s="256">
        <v>0.46700000000000003</v>
      </c>
    </row>
    <row r="357" spans="1:8" ht="14.25" customHeight="1">
      <c r="A357" s="252"/>
      <c r="B357" s="252" t="s">
        <v>909</v>
      </c>
      <c r="C357" s="252">
        <v>2024</v>
      </c>
      <c r="D357" s="252" t="s">
        <v>830</v>
      </c>
      <c r="E357" s="252">
        <v>12</v>
      </c>
      <c r="F357" s="252">
        <v>12</v>
      </c>
      <c r="G357" s="252">
        <v>0</v>
      </c>
      <c r="H357" s="256">
        <v>1</v>
      </c>
    </row>
    <row r="358" spans="1:8" ht="14.25" customHeight="1">
      <c r="A358" s="252"/>
      <c r="B358" s="252" t="s">
        <v>909</v>
      </c>
      <c r="C358" s="252">
        <v>2024</v>
      </c>
      <c r="D358" s="252" t="s">
        <v>831</v>
      </c>
      <c r="E358" s="252">
        <v>11</v>
      </c>
      <c r="F358" s="252">
        <v>12</v>
      </c>
      <c r="G358" s="252">
        <v>1</v>
      </c>
      <c r="H358" s="256">
        <v>0.91700000000000004</v>
      </c>
    </row>
    <row r="359" spans="1:8" ht="14.25" customHeight="1">
      <c r="A359" s="252"/>
      <c r="B359" s="252" t="s">
        <v>909</v>
      </c>
      <c r="C359" s="252">
        <v>2024</v>
      </c>
      <c r="D359" s="252" t="s">
        <v>832</v>
      </c>
      <c r="E359" s="252">
        <v>9</v>
      </c>
      <c r="F359" s="252">
        <v>15</v>
      </c>
      <c r="G359" s="252">
        <v>6</v>
      </c>
      <c r="H359" s="256">
        <v>0.6</v>
      </c>
    </row>
    <row r="360" spans="1:8" ht="14.25" customHeight="1">
      <c r="A360" s="252"/>
      <c r="B360" s="252" t="s">
        <v>909</v>
      </c>
      <c r="C360" s="252">
        <v>2024</v>
      </c>
      <c r="D360" s="252" t="s">
        <v>833</v>
      </c>
      <c r="E360" s="252">
        <v>12</v>
      </c>
      <c r="F360" s="252">
        <v>12</v>
      </c>
      <c r="G360" s="252">
        <v>0</v>
      </c>
      <c r="H360" s="256">
        <v>1</v>
      </c>
    </row>
    <row r="361" spans="1:8" ht="14.25" customHeight="1">
      <c r="A361" s="252"/>
      <c r="B361" s="252" t="s">
        <v>909</v>
      </c>
      <c r="C361" s="252">
        <v>2024</v>
      </c>
      <c r="D361" s="252" t="s">
        <v>834</v>
      </c>
      <c r="E361" s="252">
        <v>6</v>
      </c>
      <c r="F361" s="252">
        <v>12</v>
      </c>
      <c r="G361" s="252">
        <v>6</v>
      </c>
      <c r="H361" s="256">
        <v>0.5</v>
      </c>
    </row>
    <row r="362" spans="1:8" ht="14.25" customHeight="1">
      <c r="A362" s="252"/>
      <c r="B362" s="252" t="s">
        <v>911</v>
      </c>
      <c r="C362" s="252">
        <v>2024</v>
      </c>
      <c r="D362" s="252" t="s">
        <v>823</v>
      </c>
      <c r="E362" s="252">
        <v>15</v>
      </c>
      <c r="F362" s="252">
        <v>15</v>
      </c>
      <c r="G362" s="252">
        <v>0</v>
      </c>
      <c r="H362" s="256">
        <v>1</v>
      </c>
    </row>
    <row r="363" spans="1:8" ht="14.25" customHeight="1">
      <c r="A363" s="252"/>
      <c r="B363" s="252" t="s">
        <v>911</v>
      </c>
      <c r="C363" s="252">
        <v>2024</v>
      </c>
      <c r="D363" s="252" t="s">
        <v>824</v>
      </c>
      <c r="E363" s="252">
        <v>10</v>
      </c>
      <c r="F363" s="252">
        <v>12</v>
      </c>
      <c r="G363" s="252">
        <v>2</v>
      </c>
      <c r="H363" s="256">
        <v>0.83299999999999996</v>
      </c>
    </row>
    <row r="364" spans="1:8" ht="14.25" customHeight="1">
      <c r="A364" s="252"/>
      <c r="B364" s="252" t="s">
        <v>911</v>
      </c>
      <c r="C364" s="252">
        <v>2024</v>
      </c>
      <c r="D364" s="252" t="s">
        <v>825</v>
      </c>
      <c r="E364" s="252">
        <v>3</v>
      </c>
      <c r="F364" s="252">
        <v>12</v>
      </c>
      <c r="G364" s="252">
        <v>9</v>
      </c>
      <c r="H364" s="256">
        <v>0.25</v>
      </c>
    </row>
    <row r="365" spans="1:8" ht="14.25" customHeight="1">
      <c r="A365" s="252"/>
      <c r="B365" s="252" t="s">
        <v>911</v>
      </c>
      <c r="C365" s="252">
        <v>2024</v>
      </c>
      <c r="D365" s="252" t="s">
        <v>826</v>
      </c>
      <c r="E365" s="252">
        <v>3</v>
      </c>
      <c r="F365" s="252">
        <v>12</v>
      </c>
      <c r="G365" s="252">
        <v>9</v>
      </c>
      <c r="H365" s="256">
        <v>0.25</v>
      </c>
    </row>
    <row r="366" spans="1:8" ht="14.25" customHeight="1">
      <c r="A366" s="252"/>
      <c r="B366" s="252" t="s">
        <v>911</v>
      </c>
      <c r="C366" s="252">
        <v>2024</v>
      </c>
      <c r="D366" s="252" t="s">
        <v>827</v>
      </c>
      <c r="E366" s="252">
        <v>14</v>
      </c>
      <c r="F366" s="252">
        <v>15</v>
      </c>
      <c r="G366" s="252">
        <v>1</v>
      </c>
      <c r="H366" s="256">
        <v>0.93300000000000005</v>
      </c>
    </row>
    <row r="367" spans="1:8" ht="14.25" customHeight="1">
      <c r="A367" s="252"/>
      <c r="B367" s="252" t="s">
        <v>911</v>
      </c>
      <c r="C367" s="252">
        <v>2024</v>
      </c>
      <c r="D367" s="252" t="s">
        <v>828</v>
      </c>
      <c r="E367" s="252">
        <v>3</v>
      </c>
      <c r="F367" s="252">
        <v>12</v>
      </c>
      <c r="G367" s="252">
        <v>9</v>
      </c>
      <c r="H367" s="256">
        <v>0.25</v>
      </c>
    </row>
    <row r="368" spans="1:8" ht="14.25" customHeight="1">
      <c r="A368" s="252"/>
      <c r="B368" s="252" t="s">
        <v>911</v>
      </c>
      <c r="C368" s="252">
        <v>2024</v>
      </c>
      <c r="D368" s="252" t="s">
        <v>829</v>
      </c>
      <c r="E368" s="252">
        <v>4</v>
      </c>
      <c r="F368" s="252">
        <v>15</v>
      </c>
      <c r="G368" s="252">
        <v>11</v>
      </c>
      <c r="H368" s="256">
        <v>0.26700000000000002</v>
      </c>
    </row>
    <row r="369" spans="1:8" ht="14.25" customHeight="1">
      <c r="A369" s="252"/>
      <c r="B369" s="252" t="s">
        <v>911</v>
      </c>
      <c r="C369" s="252">
        <v>2024</v>
      </c>
      <c r="D369" s="252" t="s">
        <v>830</v>
      </c>
      <c r="E369" s="252">
        <v>3</v>
      </c>
      <c r="F369" s="252">
        <v>12</v>
      </c>
      <c r="G369" s="252">
        <v>9</v>
      </c>
      <c r="H369" s="256">
        <v>0.25</v>
      </c>
    </row>
    <row r="370" spans="1:8" ht="14.25" customHeight="1">
      <c r="A370" s="252"/>
      <c r="B370" s="252" t="s">
        <v>911</v>
      </c>
      <c r="C370" s="252">
        <v>2024</v>
      </c>
      <c r="D370" s="252" t="s">
        <v>831</v>
      </c>
      <c r="E370" s="252">
        <v>12</v>
      </c>
      <c r="F370" s="252">
        <v>12</v>
      </c>
      <c r="G370" s="252">
        <v>0</v>
      </c>
      <c r="H370" s="256">
        <v>1</v>
      </c>
    </row>
    <row r="371" spans="1:8" ht="14.25" customHeight="1">
      <c r="A371" s="252"/>
      <c r="B371" s="252" t="s">
        <v>911</v>
      </c>
      <c r="C371" s="252">
        <v>2024</v>
      </c>
      <c r="D371" s="252" t="s">
        <v>832</v>
      </c>
      <c r="E371" s="252">
        <v>12</v>
      </c>
      <c r="F371" s="252">
        <v>15</v>
      </c>
      <c r="G371" s="252">
        <v>3</v>
      </c>
      <c r="H371" s="256">
        <v>0.8</v>
      </c>
    </row>
    <row r="372" spans="1:8" ht="14.25" customHeight="1">
      <c r="A372" s="252"/>
      <c r="B372" s="252" t="s">
        <v>911</v>
      </c>
      <c r="C372" s="252">
        <v>2024</v>
      </c>
      <c r="D372" s="252" t="s">
        <v>833</v>
      </c>
      <c r="E372" s="252">
        <v>8</v>
      </c>
      <c r="F372" s="252">
        <v>12</v>
      </c>
      <c r="G372" s="252">
        <v>4</v>
      </c>
      <c r="H372" s="256">
        <v>0.66700000000000004</v>
      </c>
    </row>
    <row r="373" spans="1:8" ht="14.25" customHeight="1">
      <c r="A373" s="252"/>
      <c r="B373" s="252" t="s">
        <v>911</v>
      </c>
      <c r="C373" s="252">
        <v>2024</v>
      </c>
      <c r="D373" s="252" t="s">
        <v>834</v>
      </c>
      <c r="E373" s="252">
        <v>5</v>
      </c>
      <c r="F373" s="252">
        <v>12</v>
      </c>
      <c r="G373" s="252">
        <v>7</v>
      </c>
      <c r="H373" s="256">
        <v>0.41699999999999998</v>
      </c>
    </row>
    <row r="374" spans="1:8" ht="14.25" customHeight="1">
      <c r="A374" s="252"/>
      <c r="B374" s="252" t="s">
        <v>913</v>
      </c>
      <c r="C374" s="252">
        <v>2024</v>
      </c>
      <c r="D374" s="252" t="s">
        <v>823</v>
      </c>
      <c r="E374" s="252">
        <v>15</v>
      </c>
      <c r="F374" s="252">
        <v>15</v>
      </c>
      <c r="G374" s="252">
        <v>0</v>
      </c>
      <c r="H374" s="256">
        <v>1</v>
      </c>
    </row>
    <row r="375" spans="1:8" ht="14.25" customHeight="1">
      <c r="A375" s="252"/>
      <c r="B375" s="252" t="s">
        <v>913</v>
      </c>
      <c r="C375" s="252">
        <v>2024</v>
      </c>
      <c r="D375" s="252" t="s">
        <v>824</v>
      </c>
      <c r="E375" s="252">
        <v>12</v>
      </c>
      <c r="F375" s="252">
        <v>12</v>
      </c>
      <c r="G375" s="252">
        <v>0</v>
      </c>
      <c r="H375" s="256">
        <v>1</v>
      </c>
    </row>
    <row r="376" spans="1:8" ht="14.25" customHeight="1">
      <c r="A376" s="252"/>
      <c r="B376" s="252" t="s">
        <v>913</v>
      </c>
      <c r="C376" s="252">
        <v>2024</v>
      </c>
      <c r="D376" s="252" t="s">
        <v>825</v>
      </c>
      <c r="E376" s="252">
        <v>12</v>
      </c>
      <c r="F376" s="252">
        <v>12</v>
      </c>
      <c r="G376" s="252">
        <v>0</v>
      </c>
      <c r="H376" s="256">
        <v>1</v>
      </c>
    </row>
    <row r="377" spans="1:8" ht="14.25" customHeight="1">
      <c r="A377" s="252"/>
      <c r="B377" s="252" t="s">
        <v>913</v>
      </c>
      <c r="C377" s="252">
        <v>2024</v>
      </c>
      <c r="D377" s="252" t="s">
        <v>826</v>
      </c>
      <c r="E377" s="252">
        <v>12</v>
      </c>
      <c r="F377" s="252">
        <v>12</v>
      </c>
      <c r="G377" s="252">
        <v>0</v>
      </c>
      <c r="H377" s="256">
        <v>1</v>
      </c>
    </row>
    <row r="378" spans="1:8" ht="14.25" customHeight="1">
      <c r="A378" s="252"/>
      <c r="B378" s="252" t="s">
        <v>913</v>
      </c>
      <c r="C378" s="252">
        <v>2024</v>
      </c>
      <c r="D378" s="252" t="s">
        <v>827</v>
      </c>
      <c r="E378" s="252">
        <v>15</v>
      </c>
      <c r="F378" s="252">
        <v>15</v>
      </c>
      <c r="G378" s="252">
        <v>0</v>
      </c>
      <c r="H378" s="256">
        <v>1</v>
      </c>
    </row>
    <row r="379" spans="1:8" ht="14.25" customHeight="1">
      <c r="A379" s="252"/>
      <c r="B379" s="252" t="s">
        <v>913</v>
      </c>
      <c r="C379" s="252">
        <v>2024</v>
      </c>
      <c r="D379" s="252" t="s">
        <v>828</v>
      </c>
      <c r="E379" s="252">
        <v>12</v>
      </c>
      <c r="F379" s="252">
        <v>12</v>
      </c>
      <c r="G379" s="252">
        <v>0</v>
      </c>
      <c r="H379" s="256">
        <v>1</v>
      </c>
    </row>
    <row r="380" spans="1:8" ht="14.25" customHeight="1">
      <c r="A380" s="252"/>
      <c r="B380" s="252" t="s">
        <v>913</v>
      </c>
      <c r="C380" s="252">
        <v>2024</v>
      </c>
      <c r="D380" s="252" t="s">
        <v>829</v>
      </c>
      <c r="E380" s="252">
        <v>15</v>
      </c>
      <c r="F380" s="252">
        <v>15</v>
      </c>
      <c r="G380" s="252">
        <v>0</v>
      </c>
      <c r="H380" s="256">
        <v>1</v>
      </c>
    </row>
    <row r="381" spans="1:8" ht="14.25" customHeight="1">
      <c r="A381" s="252"/>
      <c r="B381" s="252" t="s">
        <v>913</v>
      </c>
      <c r="C381" s="252">
        <v>2024</v>
      </c>
      <c r="D381" s="252" t="s">
        <v>830</v>
      </c>
      <c r="E381" s="252">
        <v>12</v>
      </c>
      <c r="F381" s="252">
        <v>12</v>
      </c>
      <c r="G381" s="252">
        <v>0</v>
      </c>
      <c r="H381" s="256">
        <v>1</v>
      </c>
    </row>
    <row r="382" spans="1:8" ht="14.25" customHeight="1">
      <c r="A382" s="252"/>
      <c r="B382" s="252" t="s">
        <v>913</v>
      </c>
      <c r="C382" s="252">
        <v>2024</v>
      </c>
      <c r="D382" s="252" t="s">
        <v>831</v>
      </c>
      <c r="E382" s="252">
        <v>12</v>
      </c>
      <c r="F382" s="252">
        <v>12</v>
      </c>
      <c r="G382" s="252">
        <v>0</v>
      </c>
      <c r="H382" s="256">
        <v>1</v>
      </c>
    </row>
    <row r="383" spans="1:8" ht="14.25" customHeight="1">
      <c r="A383" s="252"/>
      <c r="B383" s="252" t="s">
        <v>913</v>
      </c>
      <c r="C383" s="252">
        <v>2024</v>
      </c>
      <c r="D383" s="252" t="s">
        <v>832</v>
      </c>
      <c r="E383" s="252">
        <v>15</v>
      </c>
      <c r="F383" s="252">
        <v>15</v>
      </c>
      <c r="G383" s="252">
        <v>0</v>
      </c>
      <c r="H383" s="256">
        <v>1</v>
      </c>
    </row>
    <row r="384" spans="1:8" ht="14.25" customHeight="1">
      <c r="A384" s="252"/>
      <c r="B384" s="252" t="s">
        <v>913</v>
      </c>
      <c r="C384" s="252">
        <v>2024</v>
      </c>
      <c r="D384" s="252" t="s">
        <v>833</v>
      </c>
      <c r="E384" s="252">
        <v>12</v>
      </c>
      <c r="F384" s="252">
        <v>12</v>
      </c>
      <c r="G384" s="252">
        <v>0</v>
      </c>
      <c r="H384" s="256">
        <v>1</v>
      </c>
    </row>
    <row r="385" spans="1:8" ht="14.25" customHeight="1">
      <c r="A385" s="252"/>
      <c r="B385" s="252" t="s">
        <v>913</v>
      </c>
      <c r="C385" s="252">
        <v>2024</v>
      </c>
      <c r="D385" s="252" t="s">
        <v>834</v>
      </c>
      <c r="E385" s="252">
        <v>6</v>
      </c>
      <c r="F385" s="252">
        <v>12</v>
      </c>
      <c r="G385" s="252">
        <v>6</v>
      </c>
      <c r="H385" s="256">
        <v>0.5</v>
      </c>
    </row>
    <row r="386" spans="1:8" ht="14.25" customHeight="1">
      <c r="A386" s="252"/>
      <c r="B386" s="252" t="s">
        <v>663</v>
      </c>
      <c r="C386" s="252">
        <v>2024</v>
      </c>
      <c r="D386" s="252" t="s">
        <v>823</v>
      </c>
      <c r="E386" s="252">
        <v>15</v>
      </c>
      <c r="F386" s="252">
        <v>15</v>
      </c>
      <c r="G386" s="252">
        <v>0</v>
      </c>
      <c r="H386" s="256">
        <v>1</v>
      </c>
    </row>
    <row r="387" spans="1:8" ht="14.25" customHeight="1">
      <c r="A387" s="252"/>
      <c r="B387" s="252" t="s">
        <v>663</v>
      </c>
      <c r="C387" s="252">
        <v>2024</v>
      </c>
      <c r="D387" s="252" t="s">
        <v>824</v>
      </c>
      <c r="E387" s="252">
        <v>5</v>
      </c>
      <c r="F387" s="252">
        <v>12</v>
      </c>
      <c r="G387" s="252">
        <v>7</v>
      </c>
      <c r="H387" s="256">
        <v>0.41699999999999998</v>
      </c>
    </row>
    <row r="388" spans="1:8" ht="14.25" customHeight="1">
      <c r="A388" s="252"/>
      <c r="B388" s="252" t="s">
        <v>663</v>
      </c>
      <c r="C388" s="252">
        <v>2024</v>
      </c>
      <c r="D388" s="252" t="s">
        <v>825</v>
      </c>
      <c r="E388" s="252">
        <v>4</v>
      </c>
      <c r="F388" s="252">
        <v>12</v>
      </c>
      <c r="G388" s="252">
        <v>8</v>
      </c>
      <c r="H388" s="256">
        <v>0.33300000000000002</v>
      </c>
    </row>
    <row r="389" spans="1:8" ht="14.25" customHeight="1">
      <c r="A389" s="252"/>
      <c r="B389" s="252" t="s">
        <v>663</v>
      </c>
      <c r="C389" s="252">
        <v>2024</v>
      </c>
      <c r="D389" s="252" t="s">
        <v>826</v>
      </c>
      <c r="E389" s="252">
        <v>5</v>
      </c>
      <c r="F389" s="252">
        <v>12</v>
      </c>
      <c r="G389" s="252">
        <v>7</v>
      </c>
      <c r="H389" s="256">
        <v>0.41699999999999998</v>
      </c>
    </row>
    <row r="390" spans="1:8" ht="14.25" customHeight="1">
      <c r="A390" s="252"/>
      <c r="B390" s="252" t="s">
        <v>663</v>
      </c>
      <c r="C390" s="252">
        <v>2024</v>
      </c>
      <c r="D390" s="252" t="s">
        <v>827</v>
      </c>
      <c r="E390" s="252">
        <v>1</v>
      </c>
      <c r="F390" s="252">
        <v>15</v>
      </c>
      <c r="G390" s="252">
        <v>14</v>
      </c>
      <c r="H390" s="256">
        <v>6.7000000000000004E-2</v>
      </c>
    </row>
    <row r="391" spans="1:8" ht="14.25" customHeight="1">
      <c r="A391" s="252"/>
      <c r="B391" s="252" t="s">
        <v>663</v>
      </c>
      <c r="C391" s="252">
        <v>2024</v>
      </c>
      <c r="D391" s="252" t="s">
        <v>828</v>
      </c>
      <c r="E391" s="252">
        <v>0</v>
      </c>
      <c r="F391" s="252">
        <v>12</v>
      </c>
      <c r="G391" s="252">
        <v>12</v>
      </c>
      <c r="H391" s="256">
        <v>0</v>
      </c>
    </row>
    <row r="392" spans="1:8" ht="14.25" customHeight="1">
      <c r="A392" s="252"/>
      <c r="B392" s="252" t="s">
        <v>663</v>
      </c>
      <c r="C392" s="252">
        <v>2024</v>
      </c>
      <c r="D392" s="252" t="s">
        <v>829</v>
      </c>
      <c r="E392" s="252">
        <v>1</v>
      </c>
      <c r="F392" s="252">
        <v>15</v>
      </c>
      <c r="G392" s="252">
        <v>14</v>
      </c>
      <c r="H392" s="256">
        <v>6.7000000000000004E-2</v>
      </c>
    </row>
    <row r="393" spans="1:8" ht="14.25" customHeight="1">
      <c r="A393" s="252"/>
      <c r="B393" s="252" t="s">
        <v>663</v>
      </c>
      <c r="C393" s="252">
        <v>2024</v>
      </c>
      <c r="D393" s="252" t="s">
        <v>830</v>
      </c>
      <c r="E393" s="252">
        <v>0</v>
      </c>
      <c r="F393" s="252">
        <v>12</v>
      </c>
      <c r="G393" s="252">
        <v>12</v>
      </c>
      <c r="H393" s="256">
        <v>0</v>
      </c>
    </row>
    <row r="394" spans="1:8" ht="14.25" customHeight="1">
      <c r="A394" s="252"/>
      <c r="B394" s="252" t="s">
        <v>663</v>
      </c>
      <c r="C394" s="252">
        <v>2024</v>
      </c>
      <c r="D394" s="252" t="s">
        <v>831</v>
      </c>
      <c r="E394" s="252">
        <v>2</v>
      </c>
      <c r="F394" s="252">
        <v>12</v>
      </c>
      <c r="G394" s="252">
        <v>10</v>
      </c>
      <c r="H394" s="256">
        <v>0.16700000000000001</v>
      </c>
    </row>
    <row r="395" spans="1:8" ht="14.25" customHeight="1">
      <c r="A395" s="252"/>
      <c r="B395" s="252" t="s">
        <v>663</v>
      </c>
      <c r="C395" s="252">
        <v>2024</v>
      </c>
      <c r="D395" s="252" t="s">
        <v>832</v>
      </c>
      <c r="E395" s="252">
        <v>0</v>
      </c>
      <c r="F395" s="252">
        <v>15</v>
      </c>
      <c r="G395" s="252">
        <v>15</v>
      </c>
      <c r="H395" s="256">
        <v>0</v>
      </c>
    </row>
    <row r="396" spans="1:8" ht="14.25" customHeight="1">
      <c r="A396" s="252"/>
      <c r="B396" s="252" t="s">
        <v>663</v>
      </c>
      <c r="C396" s="252">
        <v>2024</v>
      </c>
      <c r="D396" s="252" t="s">
        <v>833</v>
      </c>
      <c r="E396" s="252">
        <v>7</v>
      </c>
      <c r="F396" s="252">
        <v>12</v>
      </c>
      <c r="G396" s="252">
        <v>5</v>
      </c>
      <c r="H396" s="256">
        <v>0.58299999999999996</v>
      </c>
    </row>
    <row r="397" spans="1:8" ht="14.25" customHeight="1">
      <c r="A397" s="252"/>
      <c r="B397" s="252" t="s">
        <v>663</v>
      </c>
      <c r="C397" s="252">
        <v>2024</v>
      </c>
      <c r="D397" s="252" t="s">
        <v>834</v>
      </c>
      <c r="E397" s="252">
        <v>6</v>
      </c>
      <c r="F397" s="252">
        <v>12</v>
      </c>
      <c r="G397" s="252">
        <v>6</v>
      </c>
      <c r="H397" s="256">
        <v>0.5</v>
      </c>
    </row>
    <row r="398" spans="1:8" ht="14.25" customHeight="1">
      <c r="A398" s="252"/>
      <c r="B398" s="252" t="s">
        <v>915</v>
      </c>
      <c r="C398" s="252">
        <v>2024</v>
      </c>
      <c r="D398" s="252" t="s">
        <v>823</v>
      </c>
      <c r="E398" s="252">
        <v>15</v>
      </c>
      <c r="F398" s="252">
        <v>15</v>
      </c>
      <c r="G398" s="252">
        <v>0</v>
      </c>
      <c r="H398" s="256">
        <v>1</v>
      </c>
    </row>
    <row r="399" spans="1:8" ht="14.25" customHeight="1">
      <c r="A399" s="252"/>
      <c r="B399" s="252" t="s">
        <v>915</v>
      </c>
      <c r="C399" s="252">
        <v>2024</v>
      </c>
      <c r="D399" s="252" t="s">
        <v>824</v>
      </c>
      <c r="E399" s="252">
        <v>9</v>
      </c>
      <c r="F399" s="252">
        <v>12</v>
      </c>
      <c r="G399" s="252">
        <v>3</v>
      </c>
      <c r="H399" s="256">
        <v>0.75</v>
      </c>
    </row>
    <row r="400" spans="1:8" ht="14.25" customHeight="1">
      <c r="A400" s="252"/>
      <c r="B400" s="252" t="s">
        <v>915</v>
      </c>
      <c r="C400" s="252">
        <v>2024</v>
      </c>
      <c r="D400" s="252" t="s">
        <v>825</v>
      </c>
      <c r="E400" s="252">
        <v>9</v>
      </c>
      <c r="F400" s="252">
        <v>12</v>
      </c>
      <c r="G400" s="252">
        <v>3</v>
      </c>
      <c r="H400" s="256">
        <v>0.75</v>
      </c>
    </row>
    <row r="401" spans="1:8" ht="14.25" customHeight="1">
      <c r="A401" s="252"/>
      <c r="B401" s="252" t="s">
        <v>915</v>
      </c>
      <c r="C401" s="252">
        <v>2024</v>
      </c>
      <c r="D401" s="252" t="s">
        <v>826</v>
      </c>
      <c r="E401" s="252">
        <v>1</v>
      </c>
      <c r="F401" s="252">
        <v>12</v>
      </c>
      <c r="G401" s="252">
        <v>11</v>
      </c>
      <c r="H401" s="256">
        <v>8.3000000000000004E-2</v>
      </c>
    </row>
    <row r="402" spans="1:8" ht="14.25" customHeight="1">
      <c r="A402" s="252"/>
      <c r="B402" s="252" t="s">
        <v>915</v>
      </c>
      <c r="C402" s="252">
        <v>2024</v>
      </c>
      <c r="D402" s="252" t="s">
        <v>827</v>
      </c>
      <c r="E402" s="252">
        <v>13</v>
      </c>
      <c r="F402" s="252">
        <v>15</v>
      </c>
      <c r="G402" s="252">
        <v>2</v>
      </c>
      <c r="H402" s="256">
        <v>0.86699999999999999</v>
      </c>
    </row>
    <row r="403" spans="1:8" ht="14.25" customHeight="1">
      <c r="A403" s="252"/>
      <c r="B403" s="252" t="s">
        <v>915</v>
      </c>
      <c r="C403" s="252">
        <v>2024</v>
      </c>
      <c r="D403" s="252" t="s">
        <v>828</v>
      </c>
      <c r="E403" s="252">
        <v>3</v>
      </c>
      <c r="F403" s="252">
        <v>12</v>
      </c>
      <c r="G403" s="252">
        <v>9</v>
      </c>
      <c r="H403" s="256">
        <v>0.25</v>
      </c>
    </row>
    <row r="404" spans="1:8" ht="14.25" customHeight="1">
      <c r="A404" s="252"/>
      <c r="B404" s="252" t="s">
        <v>915</v>
      </c>
      <c r="C404" s="252">
        <v>2024</v>
      </c>
      <c r="D404" s="252" t="s">
        <v>829</v>
      </c>
      <c r="E404" s="252">
        <v>6</v>
      </c>
      <c r="F404" s="252">
        <v>15</v>
      </c>
      <c r="G404" s="252">
        <v>9</v>
      </c>
      <c r="H404" s="256">
        <v>0.4</v>
      </c>
    </row>
    <row r="405" spans="1:8" ht="14.25" customHeight="1">
      <c r="A405" s="252"/>
      <c r="B405" s="252" t="s">
        <v>915</v>
      </c>
      <c r="C405" s="252">
        <v>2024</v>
      </c>
      <c r="D405" s="252" t="s">
        <v>830</v>
      </c>
      <c r="E405" s="252">
        <v>4</v>
      </c>
      <c r="F405" s="252">
        <v>12</v>
      </c>
      <c r="G405" s="252">
        <v>8</v>
      </c>
      <c r="H405" s="256">
        <v>0.33300000000000002</v>
      </c>
    </row>
    <row r="406" spans="1:8" ht="14.25" customHeight="1">
      <c r="A406" s="252"/>
      <c r="B406" s="252" t="s">
        <v>915</v>
      </c>
      <c r="C406" s="252">
        <v>2024</v>
      </c>
      <c r="D406" s="252" t="s">
        <v>831</v>
      </c>
      <c r="E406" s="252">
        <v>5</v>
      </c>
      <c r="F406" s="252">
        <v>12</v>
      </c>
      <c r="G406" s="252">
        <v>7</v>
      </c>
      <c r="H406" s="256">
        <v>0.41699999999999998</v>
      </c>
    </row>
    <row r="407" spans="1:8" ht="14.25" customHeight="1">
      <c r="A407" s="252"/>
      <c r="B407" s="252" t="s">
        <v>915</v>
      </c>
      <c r="C407" s="252">
        <v>2024</v>
      </c>
      <c r="D407" s="252" t="s">
        <v>832</v>
      </c>
      <c r="E407" s="252">
        <v>2</v>
      </c>
      <c r="F407" s="252">
        <v>15</v>
      </c>
      <c r="G407" s="252">
        <v>13</v>
      </c>
      <c r="H407" s="256">
        <v>0.13300000000000001</v>
      </c>
    </row>
    <row r="408" spans="1:8" ht="14.25" customHeight="1">
      <c r="A408" s="252"/>
      <c r="B408" s="252" t="s">
        <v>915</v>
      </c>
      <c r="C408" s="252">
        <v>2024</v>
      </c>
      <c r="D408" s="252" t="s">
        <v>833</v>
      </c>
      <c r="E408" s="252">
        <v>10</v>
      </c>
      <c r="F408" s="252">
        <v>12</v>
      </c>
      <c r="G408" s="252">
        <v>2</v>
      </c>
      <c r="H408" s="256">
        <v>0.83299999999999996</v>
      </c>
    </row>
    <row r="409" spans="1:8" ht="14.25" customHeight="1">
      <c r="A409" s="252"/>
      <c r="B409" s="252" t="s">
        <v>915</v>
      </c>
      <c r="C409" s="252">
        <v>2024</v>
      </c>
      <c r="D409" s="252" t="s">
        <v>834</v>
      </c>
      <c r="E409" s="252">
        <v>3</v>
      </c>
      <c r="F409" s="252">
        <v>12</v>
      </c>
      <c r="G409" s="252">
        <v>9</v>
      </c>
      <c r="H409" s="256">
        <v>0.25</v>
      </c>
    </row>
    <row r="410" spans="1:8" ht="14.25" customHeight="1">
      <c r="A410" s="252"/>
      <c r="B410" s="252" t="s">
        <v>917</v>
      </c>
      <c r="C410" s="252">
        <v>2024</v>
      </c>
      <c r="D410" s="252" t="s">
        <v>823</v>
      </c>
      <c r="E410" s="252">
        <v>9</v>
      </c>
      <c r="F410" s="252">
        <v>15</v>
      </c>
      <c r="G410" s="252">
        <v>6</v>
      </c>
      <c r="H410" s="256">
        <v>0.6</v>
      </c>
    </row>
    <row r="411" spans="1:8" ht="14.25" customHeight="1">
      <c r="A411" s="252"/>
      <c r="B411" s="252" t="s">
        <v>917</v>
      </c>
      <c r="C411" s="252">
        <v>2024</v>
      </c>
      <c r="D411" s="252" t="s">
        <v>824</v>
      </c>
      <c r="E411" s="252">
        <v>4</v>
      </c>
      <c r="F411" s="252">
        <v>12</v>
      </c>
      <c r="G411" s="252">
        <v>8</v>
      </c>
      <c r="H411" s="256">
        <v>0.33300000000000002</v>
      </c>
    </row>
    <row r="412" spans="1:8" ht="14.25" customHeight="1">
      <c r="A412" s="252"/>
      <c r="B412" s="252" t="s">
        <v>917</v>
      </c>
      <c r="C412" s="252">
        <v>2024</v>
      </c>
      <c r="D412" s="252" t="s">
        <v>825</v>
      </c>
      <c r="E412" s="252">
        <v>9</v>
      </c>
      <c r="F412" s="252">
        <v>12</v>
      </c>
      <c r="G412" s="252">
        <v>3</v>
      </c>
      <c r="H412" s="256">
        <v>0.75</v>
      </c>
    </row>
    <row r="413" spans="1:8" ht="14.25" customHeight="1">
      <c r="A413" s="252"/>
      <c r="B413" s="252" t="s">
        <v>917</v>
      </c>
      <c r="C413" s="252">
        <v>2024</v>
      </c>
      <c r="D413" s="252" t="s">
        <v>826</v>
      </c>
      <c r="E413" s="252">
        <v>7</v>
      </c>
      <c r="F413" s="252">
        <v>12</v>
      </c>
      <c r="G413" s="252">
        <v>5</v>
      </c>
      <c r="H413" s="256">
        <v>0.58299999999999996</v>
      </c>
    </row>
    <row r="414" spans="1:8" ht="14.25" customHeight="1">
      <c r="A414" s="252"/>
      <c r="B414" s="252" t="s">
        <v>917</v>
      </c>
      <c r="C414" s="252">
        <v>2024</v>
      </c>
      <c r="D414" s="252" t="s">
        <v>827</v>
      </c>
      <c r="E414" s="252">
        <v>4</v>
      </c>
      <c r="F414" s="252">
        <v>15</v>
      </c>
      <c r="G414" s="252">
        <v>11</v>
      </c>
      <c r="H414" s="256">
        <v>0.26700000000000002</v>
      </c>
    </row>
    <row r="415" spans="1:8" ht="14.25" customHeight="1">
      <c r="A415" s="252"/>
      <c r="B415" s="252" t="s">
        <v>917</v>
      </c>
      <c r="C415" s="252">
        <v>2024</v>
      </c>
      <c r="D415" s="252" t="s">
        <v>828</v>
      </c>
      <c r="E415" s="252">
        <v>2</v>
      </c>
      <c r="F415" s="252">
        <v>12</v>
      </c>
      <c r="G415" s="252">
        <v>10</v>
      </c>
      <c r="H415" s="256">
        <v>0.16700000000000001</v>
      </c>
    </row>
    <row r="416" spans="1:8" ht="14.25" customHeight="1">
      <c r="A416" s="252"/>
      <c r="B416" s="252" t="s">
        <v>917</v>
      </c>
      <c r="C416" s="252">
        <v>2024</v>
      </c>
      <c r="D416" s="252" t="s">
        <v>829</v>
      </c>
      <c r="E416" s="252">
        <v>3</v>
      </c>
      <c r="F416" s="252">
        <v>15</v>
      </c>
      <c r="G416" s="252">
        <v>12</v>
      </c>
      <c r="H416" s="256">
        <v>0.2</v>
      </c>
    </row>
    <row r="417" spans="1:8" ht="14.25" customHeight="1">
      <c r="A417" s="252"/>
      <c r="B417" s="252" t="s">
        <v>917</v>
      </c>
      <c r="C417" s="252">
        <v>2024</v>
      </c>
      <c r="D417" s="252" t="s">
        <v>830</v>
      </c>
      <c r="E417" s="252">
        <v>4</v>
      </c>
      <c r="F417" s="252">
        <v>12</v>
      </c>
      <c r="G417" s="252">
        <v>8</v>
      </c>
      <c r="H417" s="256">
        <v>0.33300000000000002</v>
      </c>
    </row>
    <row r="418" spans="1:8" ht="14.25" customHeight="1">
      <c r="A418" s="252"/>
      <c r="B418" s="252" t="s">
        <v>917</v>
      </c>
      <c r="C418" s="252">
        <v>2024</v>
      </c>
      <c r="D418" s="252" t="s">
        <v>831</v>
      </c>
      <c r="E418" s="252">
        <v>3</v>
      </c>
      <c r="F418" s="252">
        <v>12</v>
      </c>
      <c r="G418" s="252">
        <v>9</v>
      </c>
      <c r="H418" s="256">
        <v>0.25</v>
      </c>
    </row>
    <row r="419" spans="1:8" ht="14.25" customHeight="1">
      <c r="A419" s="252"/>
      <c r="B419" s="252" t="s">
        <v>917</v>
      </c>
      <c r="C419" s="252">
        <v>2024</v>
      </c>
      <c r="D419" s="252" t="s">
        <v>832</v>
      </c>
      <c r="E419" s="252">
        <v>3</v>
      </c>
      <c r="F419" s="252">
        <v>15</v>
      </c>
      <c r="G419" s="252">
        <v>12</v>
      </c>
      <c r="H419" s="256">
        <v>0.2</v>
      </c>
    </row>
    <row r="420" spans="1:8" ht="14.25" customHeight="1">
      <c r="A420" s="252"/>
      <c r="B420" s="252" t="s">
        <v>917</v>
      </c>
      <c r="C420" s="252">
        <v>2024</v>
      </c>
      <c r="D420" s="252" t="s">
        <v>833</v>
      </c>
      <c r="E420" s="252">
        <v>12</v>
      </c>
      <c r="F420" s="252">
        <v>12</v>
      </c>
      <c r="G420" s="252">
        <v>0</v>
      </c>
      <c r="H420" s="256">
        <v>1</v>
      </c>
    </row>
    <row r="421" spans="1:8" ht="14.25" customHeight="1">
      <c r="A421" s="252"/>
      <c r="B421" s="252" t="s">
        <v>917</v>
      </c>
      <c r="C421" s="252">
        <v>2024</v>
      </c>
      <c r="D421" s="252" t="s">
        <v>834</v>
      </c>
      <c r="E421" s="252">
        <v>5</v>
      </c>
      <c r="F421" s="252">
        <v>12</v>
      </c>
      <c r="G421" s="252">
        <v>7</v>
      </c>
      <c r="H421" s="256">
        <v>0.41699999999999998</v>
      </c>
    </row>
    <row r="422" spans="1:8" ht="14.25" customHeight="1">
      <c r="A422" s="252"/>
      <c r="B422" s="252" t="s">
        <v>918</v>
      </c>
      <c r="C422" s="252">
        <v>2024</v>
      </c>
      <c r="D422" s="252" t="s">
        <v>823</v>
      </c>
      <c r="E422" s="252">
        <v>15</v>
      </c>
      <c r="F422" s="252">
        <v>15</v>
      </c>
      <c r="G422" s="252">
        <v>0</v>
      </c>
      <c r="H422" s="256">
        <v>1</v>
      </c>
    </row>
    <row r="423" spans="1:8" ht="14.25" customHeight="1">
      <c r="A423" s="252"/>
      <c r="B423" s="252" t="s">
        <v>918</v>
      </c>
      <c r="C423" s="252">
        <v>2024</v>
      </c>
      <c r="D423" s="252" t="s">
        <v>824</v>
      </c>
      <c r="E423" s="252">
        <v>7</v>
      </c>
      <c r="F423" s="252">
        <v>12</v>
      </c>
      <c r="G423" s="252">
        <v>5</v>
      </c>
      <c r="H423" s="256">
        <v>0.58299999999999996</v>
      </c>
    </row>
    <row r="424" spans="1:8" ht="14.25" customHeight="1">
      <c r="A424" s="252"/>
      <c r="B424" s="252" t="s">
        <v>918</v>
      </c>
      <c r="C424" s="252">
        <v>2024</v>
      </c>
      <c r="D424" s="252" t="s">
        <v>825</v>
      </c>
      <c r="E424" s="252">
        <v>5</v>
      </c>
      <c r="F424" s="252">
        <v>12</v>
      </c>
      <c r="G424" s="252">
        <v>7</v>
      </c>
      <c r="H424" s="256">
        <v>0.41699999999999998</v>
      </c>
    </row>
    <row r="425" spans="1:8" ht="14.25" customHeight="1">
      <c r="A425" s="252"/>
      <c r="B425" s="252" t="s">
        <v>918</v>
      </c>
      <c r="C425" s="252">
        <v>2024</v>
      </c>
      <c r="D425" s="252" t="s">
        <v>826</v>
      </c>
      <c r="E425" s="252">
        <v>3</v>
      </c>
      <c r="F425" s="252">
        <v>12</v>
      </c>
      <c r="G425" s="252">
        <v>9</v>
      </c>
      <c r="H425" s="256">
        <v>0.25</v>
      </c>
    </row>
    <row r="426" spans="1:8" ht="14.25" customHeight="1">
      <c r="A426" s="252"/>
      <c r="B426" s="252" t="s">
        <v>918</v>
      </c>
      <c r="C426" s="252">
        <v>2024</v>
      </c>
      <c r="D426" s="252" t="s">
        <v>827</v>
      </c>
      <c r="E426" s="252">
        <v>7</v>
      </c>
      <c r="F426" s="252">
        <v>15</v>
      </c>
      <c r="G426" s="252">
        <v>8</v>
      </c>
      <c r="H426" s="256">
        <v>0.46700000000000003</v>
      </c>
    </row>
    <row r="427" spans="1:8" ht="14.25" customHeight="1">
      <c r="A427" s="252"/>
      <c r="B427" s="252" t="s">
        <v>918</v>
      </c>
      <c r="C427" s="252">
        <v>2024</v>
      </c>
      <c r="D427" s="252" t="s">
        <v>828</v>
      </c>
      <c r="E427" s="252">
        <v>0</v>
      </c>
      <c r="F427" s="252">
        <v>12</v>
      </c>
      <c r="G427" s="252">
        <v>12</v>
      </c>
      <c r="H427" s="256">
        <v>0</v>
      </c>
    </row>
    <row r="428" spans="1:8" ht="14.25" customHeight="1">
      <c r="A428" s="252"/>
      <c r="B428" s="252" t="s">
        <v>918</v>
      </c>
      <c r="C428" s="252">
        <v>2024</v>
      </c>
      <c r="D428" s="252" t="s">
        <v>829</v>
      </c>
      <c r="E428" s="252">
        <v>1</v>
      </c>
      <c r="F428" s="252">
        <v>15</v>
      </c>
      <c r="G428" s="252">
        <v>14</v>
      </c>
      <c r="H428" s="256">
        <v>6.7000000000000004E-2</v>
      </c>
    </row>
    <row r="429" spans="1:8" ht="14.25" customHeight="1">
      <c r="A429" s="252"/>
      <c r="B429" s="252" t="s">
        <v>918</v>
      </c>
      <c r="C429" s="252">
        <v>2024</v>
      </c>
      <c r="D429" s="252" t="s">
        <v>830</v>
      </c>
      <c r="E429" s="252">
        <v>2</v>
      </c>
      <c r="F429" s="252">
        <v>12</v>
      </c>
      <c r="G429" s="252">
        <v>10</v>
      </c>
      <c r="H429" s="256">
        <v>0.16700000000000001</v>
      </c>
    </row>
    <row r="430" spans="1:8" ht="14.25" customHeight="1">
      <c r="A430" s="252"/>
      <c r="B430" s="252" t="s">
        <v>918</v>
      </c>
      <c r="C430" s="252">
        <v>2024</v>
      </c>
      <c r="D430" s="252" t="s">
        <v>831</v>
      </c>
      <c r="E430" s="252">
        <v>4</v>
      </c>
      <c r="F430" s="252">
        <v>12</v>
      </c>
      <c r="G430" s="252">
        <v>8</v>
      </c>
      <c r="H430" s="256">
        <v>0.33300000000000002</v>
      </c>
    </row>
    <row r="431" spans="1:8" ht="14.25" customHeight="1">
      <c r="A431" s="252"/>
      <c r="B431" s="252" t="s">
        <v>918</v>
      </c>
      <c r="C431" s="252">
        <v>2024</v>
      </c>
      <c r="D431" s="252" t="s">
        <v>832</v>
      </c>
      <c r="E431" s="252">
        <v>3</v>
      </c>
      <c r="F431" s="252">
        <v>15</v>
      </c>
      <c r="G431" s="252">
        <v>12</v>
      </c>
      <c r="H431" s="256">
        <v>0.2</v>
      </c>
    </row>
    <row r="432" spans="1:8" ht="14.25" customHeight="1">
      <c r="A432" s="252"/>
      <c r="B432" s="252" t="s">
        <v>918</v>
      </c>
      <c r="C432" s="252">
        <v>2024</v>
      </c>
      <c r="D432" s="252" t="s">
        <v>833</v>
      </c>
      <c r="E432" s="252">
        <v>11</v>
      </c>
      <c r="F432" s="252">
        <v>12</v>
      </c>
      <c r="G432" s="252">
        <v>1</v>
      </c>
      <c r="H432" s="256">
        <v>0.91700000000000004</v>
      </c>
    </row>
    <row r="433" spans="1:8" ht="14.25" customHeight="1">
      <c r="A433" s="252"/>
      <c r="B433" s="252" t="s">
        <v>918</v>
      </c>
      <c r="C433" s="252">
        <v>2024</v>
      </c>
      <c r="D433" s="252" t="s">
        <v>834</v>
      </c>
      <c r="E433" s="252">
        <v>4</v>
      </c>
      <c r="F433" s="252">
        <v>12</v>
      </c>
      <c r="G433" s="252">
        <v>8</v>
      </c>
      <c r="H433" s="256">
        <v>0.33300000000000002</v>
      </c>
    </row>
    <row r="434" spans="1:8" ht="14.25" customHeight="1">
      <c r="A434" s="252"/>
      <c r="B434" s="252" t="s">
        <v>783</v>
      </c>
      <c r="C434" s="252">
        <v>2024</v>
      </c>
      <c r="D434" s="252" t="s">
        <v>823</v>
      </c>
      <c r="E434" s="252">
        <v>4</v>
      </c>
      <c r="F434" s="252">
        <v>15</v>
      </c>
      <c r="G434" s="252">
        <v>11</v>
      </c>
      <c r="H434" s="256">
        <v>0.26700000000000002</v>
      </c>
    </row>
    <row r="435" spans="1:8" ht="14.25" customHeight="1">
      <c r="A435" s="252"/>
      <c r="B435" s="252" t="s">
        <v>783</v>
      </c>
      <c r="C435" s="252">
        <v>2024</v>
      </c>
      <c r="D435" s="252" t="s">
        <v>824</v>
      </c>
      <c r="E435" s="252">
        <v>2</v>
      </c>
      <c r="F435" s="252">
        <v>12</v>
      </c>
      <c r="G435" s="252">
        <v>10</v>
      </c>
      <c r="H435" s="256">
        <v>0.16700000000000001</v>
      </c>
    </row>
    <row r="436" spans="1:8" ht="14.25" customHeight="1">
      <c r="A436" s="252"/>
      <c r="B436" s="252" t="s">
        <v>783</v>
      </c>
      <c r="C436" s="252">
        <v>2024</v>
      </c>
      <c r="D436" s="252" t="s">
        <v>825</v>
      </c>
      <c r="E436" s="252">
        <v>2</v>
      </c>
      <c r="F436" s="252">
        <v>12</v>
      </c>
      <c r="G436" s="252">
        <v>10</v>
      </c>
      <c r="H436" s="256">
        <v>0.16700000000000001</v>
      </c>
    </row>
    <row r="437" spans="1:8" ht="14.25" customHeight="1">
      <c r="A437" s="252"/>
      <c r="B437" s="252" t="s">
        <v>783</v>
      </c>
      <c r="C437" s="252">
        <v>2024</v>
      </c>
      <c r="D437" s="252" t="s">
        <v>826</v>
      </c>
      <c r="E437" s="252">
        <v>0</v>
      </c>
      <c r="F437" s="252">
        <v>12</v>
      </c>
      <c r="G437" s="252">
        <v>12</v>
      </c>
      <c r="H437" s="256">
        <v>0</v>
      </c>
    </row>
    <row r="438" spans="1:8" ht="14.25" customHeight="1">
      <c r="A438" s="252"/>
      <c r="B438" s="252" t="s">
        <v>783</v>
      </c>
      <c r="C438" s="252">
        <v>2024</v>
      </c>
      <c r="D438" s="252" t="s">
        <v>827</v>
      </c>
      <c r="E438" s="252">
        <v>12</v>
      </c>
      <c r="F438" s="252">
        <v>15</v>
      </c>
      <c r="G438" s="252">
        <v>3</v>
      </c>
      <c r="H438" s="256">
        <v>0.8</v>
      </c>
    </row>
    <row r="439" spans="1:8" ht="14.25" customHeight="1">
      <c r="A439" s="252"/>
      <c r="B439" s="252" t="s">
        <v>783</v>
      </c>
      <c r="C439" s="252">
        <v>2024</v>
      </c>
      <c r="D439" s="252" t="s">
        <v>828</v>
      </c>
      <c r="E439" s="252">
        <v>3</v>
      </c>
      <c r="F439" s="252">
        <v>12</v>
      </c>
      <c r="G439" s="252">
        <v>9</v>
      </c>
      <c r="H439" s="256">
        <v>0.25</v>
      </c>
    </row>
    <row r="440" spans="1:8" ht="14.25" customHeight="1">
      <c r="A440" s="252"/>
      <c r="B440" s="252" t="s">
        <v>783</v>
      </c>
      <c r="C440" s="252">
        <v>2024</v>
      </c>
      <c r="D440" s="252" t="s">
        <v>829</v>
      </c>
      <c r="E440" s="252">
        <v>4</v>
      </c>
      <c r="F440" s="252">
        <v>15</v>
      </c>
      <c r="G440" s="252">
        <v>11</v>
      </c>
      <c r="H440" s="256">
        <v>0.26700000000000002</v>
      </c>
    </row>
    <row r="441" spans="1:8" ht="14.25" customHeight="1">
      <c r="A441" s="252"/>
      <c r="B441" s="252" t="s">
        <v>783</v>
      </c>
      <c r="C441" s="252">
        <v>2024</v>
      </c>
      <c r="D441" s="252" t="s">
        <v>830</v>
      </c>
      <c r="E441" s="252">
        <v>1</v>
      </c>
      <c r="F441" s="252">
        <v>12</v>
      </c>
      <c r="G441" s="252">
        <v>11</v>
      </c>
      <c r="H441" s="256">
        <v>8.3000000000000004E-2</v>
      </c>
    </row>
    <row r="442" spans="1:8" ht="14.25" customHeight="1">
      <c r="A442" s="252"/>
      <c r="B442" s="252" t="s">
        <v>783</v>
      </c>
      <c r="C442" s="252">
        <v>2024</v>
      </c>
      <c r="D442" s="252" t="s">
        <v>831</v>
      </c>
      <c r="E442" s="252">
        <v>0</v>
      </c>
      <c r="F442" s="252">
        <v>12</v>
      </c>
      <c r="G442" s="252">
        <v>12</v>
      </c>
      <c r="H442" s="256">
        <v>0</v>
      </c>
    </row>
    <row r="443" spans="1:8" ht="14.25" customHeight="1">
      <c r="A443" s="252"/>
      <c r="B443" s="252" t="s">
        <v>783</v>
      </c>
      <c r="C443" s="252">
        <v>2024</v>
      </c>
      <c r="D443" s="252" t="s">
        <v>832</v>
      </c>
      <c r="E443" s="252">
        <v>1</v>
      </c>
      <c r="F443" s="252">
        <v>15</v>
      </c>
      <c r="G443" s="252">
        <v>14</v>
      </c>
      <c r="H443" s="256">
        <v>6.7000000000000004E-2</v>
      </c>
    </row>
    <row r="444" spans="1:8" ht="14.25" customHeight="1">
      <c r="A444" s="252"/>
      <c r="B444" s="252" t="s">
        <v>783</v>
      </c>
      <c r="C444" s="252">
        <v>2024</v>
      </c>
      <c r="D444" s="252" t="s">
        <v>833</v>
      </c>
      <c r="E444" s="252">
        <v>7</v>
      </c>
      <c r="F444" s="252">
        <v>12</v>
      </c>
      <c r="G444" s="252">
        <v>5</v>
      </c>
      <c r="H444" s="256">
        <v>0.58299999999999996</v>
      </c>
    </row>
    <row r="445" spans="1:8" ht="14.25" customHeight="1">
      <c r="A445" s="252"/>
      <c r="B445" s="252" t="s">
        <v>783</v>
      </c>
      <c r="C445" s="252">
        <v>2024</v>
      </c>
      <c r="D445" s="252" t="s">
        <v>834</v>
      </c>
      <c r="E445" s="252">
        <v>2</v>
      </c>
      <c r="F445" s="252">
        <v>12</v>
      </c>
      <c r="G445" s="252">
        <v>10</v>
      </c>
      <c r="H445" s="256">
        <v>0.16700000000000001</v>
      </c>
    </row>
    <row r="446" spans="1:8" ht="14.25" customHeight="1">
      <c r="A446" s="252"/>
      <c r="B446" s="252" t="s">
        <v>920</v>
      </c>
      <c r="C446" s="252">
        <v>2024</v>
      </c>
      <c r="D446" s="252" t="s">
        <v>823</v>
      </c>
      <c r="E446" s="252">
        <v>15</v>
      </c>
      <c r="F446" s="252">
        <v>15</v>
      </c>
      <c r="G446" s="252">
        <v>0</v>
      </c>
      <c r="H446" s="256">
        <v>1</v>
      </c>
    </row>
    <row r="447" spans="1:8" ht="14.25" customHeight="1">
      <c r="A447" s="252"/>
      <c r="B447" s="252" t="s">
        <v>920</v>
      </c>
      <c r="C447" s="252">
        <v>2024</v>
      </c>
      <c r="D447" s="252" t="s">
        <v>824</v>
      </c>
      <c r="E447" s="252">
        <v>12</v>
      </c>
      <c r="F447" s="252">
        <v>12</v>
      </c>
      <c r="G447" s="252">
        <v>0</v>
      </c>
      <c r="H447" s="256">
        <v>1</v>
      </c>
    </row>
    <row r="448" spans="1:8" ht="14.25" customHeight="1">
      <c r="A448" s="252"/>
      <c r="B448" s="252" t="s">
        <v>920</v>
      </c>
      <c r="C448" s="252">
        <v>2024</v>
      </c>
      <c r="D448" s="252" t="s">
        <v>825</v>
      </c>
      <c r="E448" s="252">
        <v>10</v>
      </c>
      <c r="F448" s="252">
        <v>12</v>
      </c>
      <c r="G448" s="252">
        <v>2</v>
      </c>
      <c r="H448" s="256">
        <v>0.83299999999999996</v>
      </c>
    </row>
    <row r="449" spans="1:8" ht="14.25" customHeight="1">
      <c r="A449" s="252"/>
      <c r="B449" s="252" t="s">
        <v>920</v>
      </c>
      <c r="C449" s="252">
        <v>2024</v>
      </c>
      <c r="D449" s="252" t="s">
        <v>826</v>
      </c>
      <c r="E449" s="252">
        <v>12</v>
      </c>
      <c r="F449" s="252">
        <v>12</v>
      </c>
      <c r="G449" s="252">
        <v>0</v>
      </c>
      <c r="H449" s="256">
        <v>1</v>
      </c>
    </row>
    <row r="450" spans="1:8" ht="14.25" customHeight="1">
      <c r="A450" s="252"/>
      <c r="B450" s="252" t="s">
        <v>920</v>
      </c>
      <c r="C450" s="252">
        <v>2024</v>
      </c>
      <c r="D450" s="252" t="s">
        <v>827</v>
      </c>
      <c r="E450" s="252">
        <v>10</v>
      </c>
      <c r="F450" s="252">
        <v>15</v>
      </c>
      <c r="G450" s="252">
        <v>5</v>
      </c>
      <c r="H450" s="256">
        <v>0.66700000000000004</v>
      </c>
    </row>
    <row r="451" spans="1:8" ht="14.25" customHeight="1">
      <c r="A451" s="252"/>
      <c r="B451" s="252" t="s">
        <v>920</v>
      </c>
      <c r="C451" s="252">
        <v>2024</v>
      </c>
      <c r="D451" s="252" t="s">
        <v>828</v>
      </c>
      <c r="E451" s="252">
        <v>10</v>
      </c>
      <c r="F451" s="252">
        <v>12</v>
      </c>
      <c r="G451" s="252">
        <v>2</v>
      </c>
      <c r="H451" s="256">
        <v>0.83299999999999996</v>
      </c>
    </row>
    <row r="452" spans="1:8" ht="14.25" customHeight="1">
      <c r="A452" s="252"/>
      <c r="B452" s="252" t="s">
        <v>920</v>
      </c>
      <c r="C452" s="252">
        <v>2024</v>
      </c>
      <c r="D452" s="252" t="s">
        <v>829</v>
      </c>
      <c r="E452" s="252">
        <v>14</v>
      </c>
      <c r="F452" s="252">
        <v>15</v>
      </c>
      <c r="G452" s="252">
        <v>1</v>
      </c>
      <c r="H452" s="256">
        <v>0.93300000000000005</v>
      </c>
    </row>
    <row r="453" spans="1:8" ht="14.25" customHeight="1">
      <c r="A453" s="252"/>
      <c r="B453" s="252" t="s">
        <v>920</v>
      </c>
      <c r="C453" s="252">
        <v>2024</v>
      </c>
      <c r="D453" s="252" t="s">
        <v>830</v>
      </c>
      <c r="E453" s="252">
        <v>12</v>
      </c>
      <c r="F453" s="252">
        <v>12</v>
      </c>
      <c r="G453" s="252">
        <v>0</v>
      </c>
      <c r="H453" s="256">
        <v>1</v>
      </c>
    </row>
    <row r="454" spans="1:8" ht="14.25" customHeight="1">
      <c r="A454" s="252"/>
      <c r="B454" s="252" t="s">
        <v>920</v>
      </c>
      <c r="C454" s="252">
        <v>2024</v>
      </c>
      <c r="D454" s="252" t="s">
        <v>831</v>
      </c>
      <c r="E454" s="252">
        <v>12</v>
      </c>
      <c r="F454" s="252">
        <v>12</v>
      </c>
      <c r="G454" s="252">
        <v>0</v>
      </c>
      <c r="H454" s="256">
        <v>1</v>
      </c>
    </row>
    <row r="455" spans="1:8" ht="14.25" customHeight="1">
      <c r="A455" s="252"/>
      <c r="B455" s="252" t="s">
        <v>920</v>
      </c>
      <c r="C455" s="252">
        <v>2024</v>
      </c>
      <c r="D455" s="252" t="s">
        <v>832</v>
      </c>
      <c r="E455" s="252">
        <v>13</v>
      </c>
      <c r="F455" s="252">
        <v>15</v>
      </c>
      <c r="G455" s="252">
        <v>2</v>
      </c>
      <c r="H455" s="256">
        <v>0.86699999999999999</v>
      </c>
    </row>
    <row r="456" spans="1:8" ht="14.25" customHeight="1">
      <c r="A456" s="252"/>
      <c r="B456" s="252" t="s">
        <v>920</v>
      </c>
      <c r="C456" s="252">
        <v>2024</v>
      </c>
      <c r="D456" s="252" t="s">
        <v>833</v>
      </c>
      <c r="E456" s="252">
        <v>11</v>
      </c>
      <c r="F456" s="252">
        <v>12</v>
      </c>
      <c r="G456" s="252">
        <v>1</v>
      </c>
      <c r="H456" s="256">
        <v>0.91700000000000004</v>
      </c>
    </row>
    <row r="457" spans="1:8" ht="14.25" customHeight="1">
      <c r="A457" s="252"/>
      <c r="B457" s="252" t="s">
        <v>920</v>
      </c>
      <c r="C457" s="252">
        <v>2024</v>
      </c>
      <c r="D457" s="252" t="s">
        <v>834</v>
      </c>
      <c r="E457" s="252">
        <v>4</v>
      </c>
      <c r="F457" s="252">
        <v>12</v>
      </c>
      <c r="G457" s="252">
        <v>8</v>
      </c>
      <c r="H457" s="256">
        <v>0.33300000000000002</v>
      </c>
    </row>
    <row r="458" spans="1:8" ht="14.25" customHeight="1">
      <c r="A458" s="252"/>
      <c r="B458" s="252" t="s">
        <v>922</v>
      </c>
      <c r="C458" s="252">
        <v>2024</v>
      </c>
      <c r="D458" s="252" t="s">
        <v>823</v>
      </c>
      <c r="E458" s="252">
        <v>15</v>
      </c>
      <c r="F458" s="252">
        <v>15</v>
      </c>
      <c r="G458" s="252">
        <v>0</v>
      </c>
      <c r="H458" s="256">
        <v>1</v>
      </c>
    </row>
    <row r="459" spans="1:8" ht="14.25" customHeight="1">
      <c r="A459" s="252"/>
      <c r="B459" s="252" t="s">
        <v>922</v>
      </c>
      <c r="C459" s="252">
        <v>2024</v>
      </c>
      <c r="D459" s="252" t="s">
        <v>824</v>
      </c>
      <c r="E459" s="252">
        <v>9</v>
      </c>
      <c r="F459" s="252">
        <v>12</v>
      </c>
      <c r="G459" s="252">
        <v>3</v>
      </c>
      <c r="H459" s="256">
        <v>0.75</v>
      </c>
    </row>
    <row r="460" spans="1:8" ht="14.25" customHeight="1">
      <c r="A460" s="252"/>
      <c r="B460" s="252" t="s">
        <v>922</v>
      </c>
      <c r="C460" s="252">
        <v>2024</v>
      </c>
      <c r="D460" s="252" t="s">
        <v>825</v>
      </c>
      <c r="E460" s="252">
        <v>12</v>
      </c>
      <c r="F460" s="252">
        <v>12</v>
      </c>
      <c r="G460" s="252">
        <v>0</v>
      </c>
      <c r="H460" s="256">
        <v>1</v>
      </c>
    </row>
    <row r="461" spans="1:8" ht="14.25" customHeight="1">
      <c r="A461" s="252"/>
      <c r="B461" s="252" t="s">
        <v>922</v>
      </c>
      <c r="C461" s="252">
        <v>2024</v>
      </c>
      <c r="D461" s="252" t="s">
        <v>826</v>
      </c>
      <c r="E461" s="252">
        <v>3</v>
      </c>
      <c r="F461" s="252">
        <v>12</v>
      </c>
      <c r="G461" s="252">
        <v>9</v>
      </c>
      <c r="H461" s="256">
        <v>0.25</v>
      </c>
    </row>
    <row r="462" spans="1:8" ht="14.25" customHeight="1">
      <c r="A462" s="252"/>
      <c r="B462" s="252" t="s">
        <v>922</v>
      </c>
      <c r="C462" s="252">
        <v>2024</v>
      </c>
      <c r="D462" s="252" t="s">
        <v>827</v>
      </c>
      <c r="E462" s="252">
        <v>10</v>
      </c>
      <c r="F462" s="252">
        <v>15</v>
      </c>
      <c r="G462" s="252">
        <v>5</v>
      </c>
      <c r="H462" s="256">
        <v>0.66700000000000004</v>
      </c>
    </row>
    <row r="463" spans="1:8" ht="14.25" customHeight="1">
      <c r="A463" s="252"/>
      <c r="B463" s="252" t="s">
        <v>922</v>
      </c>
      <c r="C463" s="252">
        <v>2024</v>
      </c>
      <c r="D463" s="252" t="s">
        <v>828</v>
      </c>
      <c r="E463" s="252">
        <v>1</v>
      </c>
      <c r="F463" s="252">
        <v>12</v>
      </c>
      <c r="G463" s="252">
        <v>11</v>
      </c>
      <c r="H463" s="256">
        <v>8.3000000000000004E-2</v>
      </c>
    </row>
    <row r="464" spans="1:8" ht="14.25" customHeight="1">
      <c r="A464" s="252"/>
      <c r="B464" s="252" t="s">
        <v>922</v>
      </c>
      <c r="C464" s="252">
        <v>2024</v>
      </c>
      <c r="D464" s="252" t="s">
        <v>829</v>
      </c>
      <c r="E464" s="252">
        <v>2</v>
      </c>
      <c r="F464" s="252">
        <v>15</v>
      </c>
      <c r="G464" s="252">
        <v>13</v>
      </c>
      <c r="H464" s="256">
        <v>0.13300000000000001</v>
      </c>
    </row>
    <row r="465" spans="1:8" ht="14.25" customHeight="1">
      <c r="A465" s="252"/>
      <c r="B465" s="252" t="s">
        <v>922</v>
      </c>
      <c r="C465" s="252">
        <v>2024</v>
      </c>
      <c r="D465" s="252" t="s">
        <v>830</v>
      </c>
      <c r="E465" s="252">
        <v>8</v>
      </c>
      <c r="F465" s="252">
        <v>12</v>
      </c>
      <c r="G465" s="252">
        <v>4</v>
      </c>
      <c r="H465" s="256">
        <v>0.66700000000000004</v>
      </c>
    </row>
    <row r="466" spans="1:8" ht="14.25" customHeight="1">
      <c r="A466" s="252"/>
      <c r="B466" s="252" t="s">
        <v>922</v>
      </c>
      <c r="C466" s="252">
        <v>2024</v>
      </c>
      <c r="D466" s="252" t="s">
        <v>831</v>
      </c>
      <c r="E466" s="252">
        <v>0</v>
      </c>
      <c r="F466" s="252">
        <v>12</v>
      </c>
      <c r="G466" s="252">
        <v>12</v>
      </c>
      <c r="H466" s="256">
        <v>0</v>
      </c>
    </row>
    <row r="467" spans="1:8" ht="14.25" customHeight="1">
      <c r="A467" s="252"/>
      <c r="B467" s="252" t="s">
        <v>922</v>
      </c>
      <c r="C467" s="252">
        <v>2024</v>
      </c>
      <c r="D467" s="252" t="s">
        <v>832</v>
      </c>
      <c r="E467" s="252">
        <v>2</v>
      </c>
      <c r="F467" s="252">
        <v>15</v>
      </c>
      <c r="G467" s="252">
        <v>13</v>
      </c>
      <c r="H467" s="256">
        <v>0.13300000000000001</v>
      </c>
    </row>
    <row r="468" spans="1:8" ht="14.25" customHeight="1">
      <c r="A468" s="252"/>
      <c r="B468" s="252" t="s">
        <v>922</v>
      </c>
      <c r="C468" s="252">
        <v>2024</v>
      </c>
      <c r="D468" s="252" t="s">
        <v>833</v>
      </c>
      <c r="E468" s="252">
        <v>11</v>
      </c>
      <c r="F468" s="252">
        <v>12</v>
      </c>
      <c r="G468" s="252">
        <v>1</v>
      </c>
      <c r="H468" s="256">
        <v>0.91700000000000004</v>
      </c>
    </row>
    <row r="469" spans="1:8" ht="14.25" customHeight="1">
      <c r="A469" s="252"/>
      <c r="B469" s="252" t="s">
        <v>922</v>
      </c>
      <c r="C469" s="252">
        <v>2024</v>
      </c>
      <c r="D469" s="252" t="s">
        <v>834</v>
      </c>
      <c r="E469" s="252">
        <v>4</v>
      </c>
      <c r="F469" s="252">
        <v>12</v>
      </c>
      <c r="G469" s="252">
        <v>8</v>
      </c>
      <c r="H469" s="256">
        <v>0.33300000000000002</v>
      </c>
    </row>
    <row r="470" spans="1:8" ht="14.25" customHeight="1">
      <c r="A470" s="252"/>
      <c r="B470" s="252" t="s">
        <v>924</v>
      </c>
      <c r="C470" s="252">
        <v>2024</v>
      </c>
      <c r="D470" s="252" t="s">
        <v>823</v>
      </c>
      <c r="E470" s="252">
        <v>15</v>
      </c>
      <c r="F470" s="252">
        <v>15</v>
      </c>
      <c r="G470" s="252">
        <v>0</v>
      </c>
      <c r="H470" s="256">
        <v>1</v>
      </c>
    </row>
    <row r="471" spans="1:8" ht="14.25" customHeight="1">
      <c r="A471" s="252"/>
      <c r="B471" s="252" t="s">
        <v>924</v>
      </c>
      <c r="C471" s="252">
        <v>2024</v>
      </c>
      <c r="D471" s="252" t="s">
        <v>824</v>
      </c>
      <c r="E471" s="252">
        <v>12</v>
      </c>
      <c r="F471" s="252">
        <v>12</v>
      </c>
      <c r="G471" s="252">
        <v>0</v>
      </c>
      <c r="H471" s="256">
        <v>1</v>
      </c>
    </row>
    <row r="472" spans="1:8" ht="14.25" customHeight="1">
      <c r="A472" s="252"/>
      <c r="B472" s="252" t="s">
        <v>924</v>
      </c>
      <c r="C472" s="252">
        <v>2024</v>
      </c>
      <c r="D472" s="252" t="s">
        <v>825</v>
      </c>
      <c r="E472" s="252">
        <v>9</v>
      </c>
      <c r="F472" s="252">
        <v>12</v>
      </c>
      <c r="G472" s="252">
        <v>3</v>
      </c>
      <c r="H472" s="256">
        <v>0.75</v>
      </c>
    </row>
    <row r="473" spans="1:8" ht="14.25" customHeight="1">
      <c r="A473" s="252"/>
      <c r="B473" s="252" t="s">
        <v>924</v>
      </c>
      <c r="C473" s="252">
        <v>2024</v>
      </c>
      <c r="D473" s="252" t="s">
        <v>826</v>
      </c>
      <c r="E473" s="252">
        <v>12</v>
      </c>
      <c r="F473" s="252">
        <v>12</v>
      </c>
      <c r="G473" s="252">
        <v>0</v>
      </c>
      <c r="H473" s="256">
        <v>1</v>
      </c>
    </row>
    <row r="474" spans="1:8" ht="14.25" customHeight="1">
      <c r="A474" s="252"/>
      <c r="B474" s="252" t="s">
        <v>924</v>
      </c>
      <c r="C474" s="252">
        <v>2024</v>
      </c>
      <c r="D474" s="252" t="s">
        <v>827</v>
      </c>
      <c r="E474" s="252">
        <v>14</v>
      </c>
      <c r="F474" s="252">
        <v>15</v>
      </c>
      <c r="G474" s="252">
        <v>1</v>
      </c>
      <c r="H474" s="256">
        <v>0.93300000000000005</v>
      </c>
    </row>
    <row r="475" spans="1:8" ht="14.25" customHeight="1">
      <c r="A475" s="252"/>
      <c r="B475" s="252" t="s">
        <v>924</v>
      </c>
      <c r="C475" s="252">
        <v>2024</v>
      </c>
      <c r="D475" s="252" t="s">
        <v>828</v>
      </c>
      <c r="E475" s="252">
        <v>4</v>
      </c>
      <c r="F475" s="252">
        <v>12</v>
      </c>
      <c r="G475" s="252">
        <v>8</v>
      </c>
      <c r="H475" s="256">
        <v>0.33300000000000002</v>
      </c>
    </row>
    <row r="476" spans="1:8" ht="14.25" customHeight="1">
      <c r="A476" s="252"/>
      <c r="B476" s="252" t="s">
        <v>924</v>
      </c>
      <c r="C476" s="252">
        <v>2024</v>
      </c>
      <c r="D476" s="252" t="s">
        <v>829</v>
      </c>
      <c r="E476" s="252">
        <v>10</v>
      </c>
      <c r="F476" s="252">
        <v>15</v>
      </c>
      <c r="G476" s="252">
        <v>5</v>
      </c>
      <c r="H476" s="256">
        <v>0.66700000000000004</v>
      </c>
    </row>
    <row r="477" spans="1:8" ht="14.25" customHeight="1">
      <c r="A477" s="252"/>
      <c r="B477" s="252" t="s">
        <v>924</v>
      </c>
      <c r="C477" s="252">
        <v>2024</v>
      </c>
      <c r="D477" s="252" t="s">
        <v>830</v>
      </c>
      <c r="E477" s="252">
        <v>9</v>
      </c>
      <c r="F477" s="252">
        <v>12</v>
      </c>
      <c r="G477" s="252">
        <v>3</v>
      </c>
      <c r="H477" s="256">
        <v>0.75</v>
      </c>
    </row>
    <row r="478" spans="1:8" ht="14.25" customHeight="1">
      <c r="A478" s="252"/>
      <c r="B478" s="252" t="s">
        <v>924</v>
      </c>
      <c r="C478" s="252">
        <v>2024</v>
      </c>
      <c r="D478" s="252" t="s">
        <v>831</v>
      </c>
      <c r="E478" s="252">
        <v>2</v>
      </c>
      <c r="F478" s="252">
        <v>12</v>
      </c>
      <c r="G478" s="252">
        <v>10</v>
      </c>
      <c r="H478" s="256">
        <v>0.16700000000000001</v>
      </c>
    </row>
    <row r="479" spans="1:8" ht="14.25" customHeight="1">
      <c r="A479" s="252"/>
      <c r="B479" s="252" t="s">
        <v>924</v>
      </c>
      <c r="C479" s="252">
        <v>2024</v>
      </c>
      <c r="D479" s="252" t="s">
        <v>832</v>
      </c>
      <c r="E479" s="252">
        <v>3</v>
      </c>
      <c r="F479" s="252">
        <v>15</v>
      </c>
      <c r="G479" s="252">
        <v>12</v>
      </c>
      <c r="H479" s="256">
        <v>0.2</v>
      </c>
    </row>
    <row r="480" spans="1:8" ht="14.25" customHeight="1">
      <c r="A480" s="252"/>
      <c r="B480" s="252" t="s">
        <v>924</v>
      </c>
      <c r="C480" s="252">
        <v>2024</v>
      </c>
      <c r="D480" s="252" t="s">
        <v>833</v>
      </c>
      <c r="E480" s="252">
        <v>8</v>
      </c>
      <c r="F480" s="252">
        <v>12</v>
      </c>
      <c r="G480" s="252">
        <v>4</v>
      </c>
      <c r="H480" s="256">
        <v>0.66700000000000004</v>
      </c>
    </row>
    <row r="481" spans="1:8" ht="14.25" customHeight="1">
      <c r="A481" s="252"/>
      <c r="B481" s="252" t="s">
        <v>924</v>
      </c>
      <c r="C481" s="252">
        <v>2024</v>
      </c>
      <c r="D481" s="252" t="s">
        <v>834</v>
      </c>
      <c r="E481" s="252">
        <v>4</v>
      </c>
      <c r="F481" s="252">
        <v>12</v>
      </c>
      <c r="G481" s="252">
        <v>8</v>
      </c>
      <c r="H481" s="256">
        <v>0.33300000000000002</v>
      </c>
    </row>
    <row r="482" spans="1:8" ht="14.25" customHeight="1">
      <c r="A482" s="252"/>
      <c r="B482" s="252" t="s">
        <v>906</v>
      </c>
      <c r="C482" s="252">
        <v>2023</v>
      </c>
      <c r="D482" s="252" t="s">
        <v>823</v>
      </c>
      <c r="E482" s="252">
        <v>5</v>
      </c>
      <c r="F482" s="252">
        <v>5</v>
      </c>
      <c r="G482" s="252">
        <f t="shared" ref="G482:G545" si="0">IF(F482="","",F482-E482)</f>
        <v>0</v>
      </c>
      <c r="H482" s="256">
        <f t="shared" ref="H482:H545" si="1">IF(F482="","",IF(F482=0,0,E482/F482))</f>
        <v>1</v>
      </c>
    </row>
    <row r="483" spans="1:8" ht="14.25" customHeight="1">
      <c r="A483" s="252"/>
      <c r="B483" s="252" t="s">
        <v>906</v>
      </c>
      <c r="C483" s="252">
        <v>2023</v>
      </c>
      <c r="D483" s="252" t="s">
        <v>824</v>
      </c>
      <c r="E483" s="252">
        <v>12</v>
      </c>
      <c r="F483" s="252">
        <v>12</v>
      </c>
      <c r="G483" s="252">
        <f t="shared" si="0"/>
        <v>0</v>
      </c>
      <c r="H483" s="256">
        <f t="shared" si="1"/>
        <v>1</v>
      </c>
    </row>
    <row r="484" spans="1:8" ht="14.25" customHeight="1">
      <c r="A484" s="252"/>
      <c r="B484" s="252" t="s">
        <v>906</v>
      </c>
      <c r="C484" s="252">
        <v>2023</v>
      </c>
      <c r="D484" s="252" t="s">
        <v>825</v>
      </c>
      <c r="E484" s="252">
        <v>15</v>
      </c>
      <c r="F484" s="252">
        <v>15</v>
      </c>
      <c r="G484" s="252">
        <f t="shared" si="0"/>
        <v>0</v>
      </c>
      <c r="H484" s="256">
        <f t="shared" si="1"/>
        <v>1</v>
      </c>
    </row>
    <row r="485" spans="1:8" ht="14.25" customHeight="1">
      <c r="A485" s="252"/>
      <c r="B485" s="252" t="s">
        <v>906</v>
      </c>
      <c r="C485" s="252">
        <v>2023</v>
      </c>
      <c r="D485" s="252" t="s">
        <v>826</v>
      </c>
      <c r="E485" s="252">
        <v>12</v>
      </c>
      <c r="F485" s="252">
        <v>12</v>
      </c>
      <c r="G485" s="252">
        <f t="shared" si="0"/>
        <v>0</v>
      </c>
      <c r="H485" s="256">
        <f t="shared" si="1"/>
        <v>1</v>
      </c>
    </row>
    <row r="486" spans="1:8" ht="14.25" customHeight="1">
      <c r="A486" s="252"/>
      <c r="B486" s="252" t="s">
        <v>906</v>
      </c>
      <c r="C486" s="252">
        <v>2023</v>
      </c>
      <c r="D486" s="252" t="s">
        <v>827</v>
      </c>
      <c r="E486" s="252">
        <v>15</v>
      </c>
      <c r="F486" s="252">
        <v>15</v>
      </c>
      <c r="G486" s="252">
        <f t="shared" si="0"/>
        <v>0</v>
      </c>
      <c r="H486" s="256">
        <f t="shared" si="1"/>
        <v>1</v>
      </c>
    </row>
    <row r="487" spans="1:8" ht="14.25" customHeight="1">
      <c r="A487" s="252"/>
      <c r="B487" s="252" t="s">
        <v>906</v>
      </c>
      <c r="C487" s="252">
        <v>2023</v>
      </c>
      <c r="D487" s="252" t="s">
        <v>828</v>
      </c>
      <c r="E487" s="252">
        <v>12</v>
      </c>
      <c r="F487" s="252">
        <v>12</v>
      </c>
      <c r="G487" s="252">
        <f t="shared" si="0"/>
        <v>0</v>
      </c>
      <c r="H487" s="256">
        <f t="shared" si="1"/>
        <v>1</v>
      </c>
    </row>
    <row r="488" spans="1:8" ht="14.25" customHeight="1">
      <c r="A488" s="252"/>
      <c r="B488" s="252" t="s">
        <v>906</v>
      </c>
      <c r="C488" s="252">
        <v>2023</v>
      </c>
      <c r="D488" s="252" t="s">
        <v>829</v>
      </c>
      <c r="E488" s="252">
        <v>11</v>
      </c>
      <c r="F488" s="252">
        <v>12</v>
      </c>
      <c r="G488" s="252">
        <f t="shared" si="0"/>
        <v>1</v>
      </c>
      <c r="H488" s="256">
        <f t="shared" si="1"/>
        <v>0.91666666666666663</v>
      </c>
    </row>
    <row r="489" spans="1:8" ht="14.25" customHeight="1">
      <c r="A489" s="252"/>
      <c r="B489" s="252" t="s">
        <v>906</v>
      </c>
      <c r="C489" s="252">
        <v>2023</v>
      </c>
      <c r="D489" s="252" t="s">
        <v>830</v>
      </c>
      <c r="E489" s="252">
        <v>4</v>
      </c>
      <c r="F489" s="252">
        <v>15</v>
      </c>
      <c r="G489" s="252">
        <f t="shared" si="0"/>
        <v>11</v>
      </c>
      <c r="H489" s="256">
        <f t="shared" si="1"/>
        <v>0.26666666666666666</v>
      </c>
    </row>
    <row r="490" spans="1:8" ht="14.25" customHeight="1">
      <c r="A490" s="252"/>
      <c r="B490" s="252" t="s">
        <v>906</v>
      </c>
      <c r="C490" s="252">
        <v>2023</v>
      </c>
      <c r="D490" s="252" t="s">
        <v>831</v>
      </c>
      <c r="E490" s="252">
        <v>5</v>
      </c>
      <c r="F490" s="252">
        <v>12</v>
      </c>
      <c r="G490" s="252">
        <f t="shared" si="0"/>
        <v>7</v>
      </c>
      <c r="H490" s="256">
        <f t="shared" si="1"/>
        <v>0.41666666666666669</v>
      </c>
    </row>
    <row r="491" spans="1:8" ht="14.25" customHeight="1">
      <c r="A491" s="252"/>
      <c r="B491" s="252" t="s">
        <v>906</v>
      </c>
      <c r="C491" s="252">
        <v>2023</v>
      </c>
      <c r="D491" s="252" t="s">
        <v>832</v>
      </c>
      <c r="E491" s="252">
        <v>8</v>
      </c>
      <c r="F491" s="252">
        <v>15</v>
      </c>
      <c r="G491" s="252">
        <f t="shared" si="0"/>
        <v>7</v>
      </c>
      <c r="H491" s="256">
        <f t="shared" si="1"/>
        <v>0.53333333333333333</v>
      </c>
    </row>
    <row r="492" spans="1:8" ht="14.25" customHeight="1">
      <c r="A492" s="252"/>
      <c r="B492" s="252" t="s">
        <v>906</v>
      </c>
      <c r="C492" s="252">
        <v>2023</v>
      </c>
      <c r="D492" s="252" t="s">
        <v>833</v>
      </c>
      <c r="E492" s="252">
        <v>12</v>
      </c>
      <c r="F492" s="252">
        <v>12</v>
      </c>
      <c r="G492" s="252">
        <f t="shared" si="0"/>
        <v>0</v>
      </c>
      <c r="H492" s="256">
        <f t="shared" si="1"/>
        <v>1</v>
      </c>
    </row>
    <row r="493" spans="1:8" ht="14.25" customHeight="1">
      <c r="A493" s="252"/>
      <c r="B493" s="252" t="s">
        <v>906</v>
      </c>
      <c r="C493" s="252">
        <v>2023</v>
      </c>
      <c r="D493" s="252" t="s">
        <v>834</v>
      </c>
      <c r="E493" s="252">
        <v>12</v>
      </c>
      <c r="F493" s="252">
        <v>12</v>
      </c>
      <c r="G493" s="252">
        <f t="shared" si="0"/>
        <v>0</v>
      </c>
      <c r="H493" s="256">
        <f t="shared" si="1"/>
        <v>1</v>
      </c>
    </row>
    <row r="494" spans="1:8" ht="14.25" customHeight="1">
      <c r="A494" s="252"/>
      <c r="B494" s="252" t="s">
        <v>483</v>
      </c>
      <c r="C494" s="252">
        <v>2023</v>
      </c>
      <c r="D494" s="252" t="s">
        <v>823</v>
      </c>
      <c r="E494" s="252">
        <v>5</v>
      </c>
      <c r="F494" s="252">
        <v>5</v>
      </c>
      <c r="G494" s="252">
        <f t="shared" si="0"/>
        <v>0</v>
      </c>
      <c r="H494" s="256">
        <f t="shared" si="1"/>
        <v>1</v>
      </c>
    </row>
    <row r="495" spans="1:8" ht="14.25" customHeight="1">
      <c r="A495" s="252"/>
      <c r="B495" s="252" t="s">
        <v>483</v>
      </c>
      <c r="C495" s="252">
        <v>2023</v>
      </c>
      <c r="D495" s="252" t="s">
        <v>824</v>
      </c>
      <c r="E495" s="252">
        <v>12</v>
      </c>
      <c r="F495" s="252">
        <v>12</v>
      </c>
      <c r="G495" s="252">
        <f t="shared" si="0"/>
        <v>0</v>
      </c>
      <c r="H495" s="256">
        <f t="shared" si="1"/>
        <v>1</v>
      </c>
    </row>
    <row r="496" spans="1:8" ht="14.25" customHeight="1">
      <c r="A496" s="252"/>
      <c r="B496" s="252" t="s">
        <v>483</v>
      </c>
      <c r="C496" s="252">
        <v>2023</v>
      </c>
      <c r="D496" s="252" t="s">
        <v>825</v>
      </c>
      <c r="E496" s="252">
        <v>12</v>
      </c>
      <c r="F496" s="252">
        <v>15</v>
      </c>
      <c r="G496" s="252">
        <f t="shared" si="0"/>
        <v>3</v>
      </c>
      <c r="H496" s="256">
        <f t="shared" si="1"/>
        <v>0.8</v>
      </c>
    </row>
    <row r="497" spans="1:8" ht="14.25" customHeight="1">
      <c r="A497" s="252"/>
      <c r="B497" s="252" t="s">
        <v>483</v>
      </c>
      <c r="C497" s="252">
        <v>2023</v>
      </c>
      <c r="D497" s="252" t="s">
        <v>826</v>
      </c>
      <c r="E497" s="252">
        <v>2</v>
      </c>
      <c r="F497" s="252">
        <v>12</v>
      </c>
      <c r="G497" s="252">
        <f t="shared" si="0"/>
        <v>10</v>
      </c>
      <c r="H497" s="256">
        <f t="shared" si="1"/>
        <v>0.16666666666666666</v>
      </c>
    </row>
    <row r="498" spans="1:8" ht="14.25" customHeight="1">
      <c r="A498" s="252"/>
      <c r="B498" s="252" t="s">
        <v>483</v>
      </c>
      <c r="C498" s="252">
        <v>2023</v>
      </c>
      <c r="D498" s="252" t="s">
        <v>827</v>
      </c>
      <c r="E498" s="252">
        <v>1</v>
      </c>
      <c r="F498" s="252">
        <v>15</v>
      </c>
      <c r="G498" s="252">
        <f t="shared" si="0"/>
        <v>14</v>
      </c>
      <c r="H498" s="256">
        <f t="shared" si="1"/>
        <v>6.6666666666666666E-2</v>
      </c>
    </row>
    <row r="499" spans="1:8" ht="14.25" customHeight="1">
      <c r="A499" s="252"/>
      <c r="B499" s="252" t="s">
        <v>483</v>
      </c>
      <c r="C499" s="252">
        <v>2023</v>
      </c>
      <c r="D499" s="252" t="s">
        <v>828</v>
      </c>
      <c r="E499" s="252">
        <v>5</v>
      </c>
      <c r="F499" s="252">
        <v>12</v>
      </c>
      <c r="G499" s="252">
        <f t="shared" si="0"/>
        <v>7</v>
      </c>
      <c r="H499" s="256">
        <f t="shared" si="1"/>
        <v>0.41666666666666669</v>
      </c>
    </row>
    <row r="500" spans="1:8" ht="14.25" customHeight="1">
      <c r="A500" s="252"/>
      <c r="B500" s="252" t="s">
        <v>483</v>
      </c>
      <c r="C500" s="252">
        <v>2023</v>
      </c>
      <c r="D500" s="252" t="s">
        <v>829</v>
      </c>
      <c r="E500" s="252">
        <v>2</v>
      </c>
      <c r="F500" s="252">
        <v>12</v>
      </c>
      <c r="G500" s="252">
        <f t="shared" si="0"/>
        <v>10</v>
      </c>
      <c r="H500" s="256">
        <f t="shared" si="1"/>
        <v>0.16666666666666666</v>
      </c>
    </row>
    <row r="501" spans="1:8" ht="14.25" customHeight="1">
      <c r="A501" s="252"/>
      <c r="B501" s="252" t="s">
        <v>483</v>
      </c>
      <c r="C501" s="252">
        <v>2023</v>
      </c>
      <c r="D501" s="252" t="s">
        <v>830</v>
      </c>
      <c r="E501" s="252">
        <v>8</v>
      </c>
      <c r="F501" s="252">
        <v>15</v>
      </c>
      <c r="G501" s="252">
        <f t="shared" si="0"/>
        <v>7</v>
      </c>
      <c r="H501" s="256">
        <f t="shared" si="1"/>
        <v>0.53333333333333333</v>
      </c>
    </row>
    <row r="502" spans="1:8" ht="14.25" customHeight="1">
      <c r="A502" s="252"/>
      <c r="B502" s="252" t="s">
        <v>483</v>
      </c>
      <c r="C502" s="252">
        <v>2023</v>
      </c>
      <c r="D502" s="252" t="s">
        <v>831</v>
      </c>
      <c r="E502" s="252">
        <v>1</v>
      </c>
      <c r="F502" s="252">
        <v>12</v>
      </c>
      <c r="G502" s="252">
        <f t="shared" si="0"/>
        <v>11</v>
      </c>
      <c r="H502" s="256">
        <f t="shared" si="1"/>
        <v>8.3333333333333329E-2</v>
      </c>
    </row>
    <row r="503" spans="1:8" ht="14.25" customHeight="1">
      <c r="A503" s="252"/>
      <c r="B503" s="252" t="s">
        <v>483</v>
      </c>
      <c r="C503" s="252">
        <v>2023</v>
      </c>
      <c r="D503" s="252" t="s">
        <v>832</v>
      </c>
      <c r="E503" s="252">
        <v>13</v>
      </c>
      <c r="F503" s="252">
        <v>15</v>
      </c>
      <c r="G503" s="252">
        <f t="shared" si="0"/>
        <v>2</v>
      </c>
      <c r="H503" s="256">
        <f t="shared" si="1"/>
        <v>0.8666666666666667</v>
      </c>
    </row>
    <row r="504" spans="1:8" ht="14.25" customHeight="1">
      <c r="A504" s="252"/>
      <c r="B504" s="252" t="s">
        <v>483</v>
      </c>
      <c r="C504" s="252">
        <v>2023</v>
      </c>
      <c r="D504" s="252" t="s">
        <v>833</v>
      </c>
      <c r="E504" s="252">
        <v>12</v>
      </c>
      <c r="F504" s="252">
        <v>12</v>
      </c>
      <c r="G504" s="252">
        <f t="shared" si="0"/>
        <v>0</v>
      </c>
      <c r="H504" s="256">
        <f t="shared" si="1"/>
        <v>1</v>
      </c>
    </row>
    <row r="505" spans="1:8" ht="14.25" customHeight="1">
      <c r="A505" s="252"/>
      <c r="B505" s="252" t="s">
        <v>483</v>
      </c>
      <c r="C505" s="252">
        <v>2023</v>
      </c>
      <c r="D505" s="252" t="s">
        <v>834</v>
      </c>
      <c r="E505" s="252">
        <v>0</v>
      </c>
      <c r="F505" s="252">
        <v>0</v>
      </c>
      <c r="G505" s="252">
        <f t="shared" si="0"/>
        <v>0</v>
      </c>
      <c r="H505" s="256">
        <f t="shared" si="1"/>
        <v>0</v>
      </c>
    </row>
    <row r="506" spans="1:8" ht="14.25" customHeight="1">
      <c r="A506" s="252"/>
      <c r="B506" s="252" t="s">
        <v>909</v>
      </c>
      <c r="C506" s="252">
        <v>2023</v>
      </c>
      <c r="D506" s="252" t="s">
        <v>823</v>
      </c>
      <c r="E506" s="252">
        <v>5</v>
      </c>
      <c r="F506" s="252">
        <v>5</v>
      </c>
      <c r="G506" s="252">
        <f t="shared" si="0"/>
        <v>0</v>
      </c>
      <c r="H506" s="256">
        <f t="shared" si="1"/>
        <v>1</v>
      </c>
    </row>
    <row r="507" spans="1:8" ht="14.25" customHeight="1">
      <c r="A507" s="252"/>
      <c r="B507" s="252" t="s">
        <v>909</v>
      </c>
      <c r="C507" s="252">
        <v>2023</v>
      </c>
      <c r="D507" s="252" t="s">
        <v>824</v>
      </c>
      <c r="E507" s="252">
        <v>12</v>
      </c>
      <c r="F507" s="252">
        <v>12</v>
      </c>
      <c r="G507" s="252">
        <f t="shared" si="0"/>
        <v>0</v>
      </c>
      <c r="H507" s="256">
        <f t="shared" si="1"/>
        <v>1</v>
      </c>
    </row>
    <row r="508" spans="1:8" ht="14.25" customHeight="1">
      <c r="A508" s="252"/>
      <c r="B508" s="252" t="s">
        <v>909</v>
      </c>
      <c r="C508" s="252">
        <v>2023</v>
      </c>
      <c r="D508" s="252" t="s">
        <v>825</v>
      </c>
      <c r="E508" s="252">
        <v>15</v>
      </c>
      <c r="F508" s="252">
        <v>15</v>
      </c>
      <c r="G508" s="252">
        <f t="shared" si="0"/>
        <v>0</v>
      </c>
      <c r="H508" s="256">
        <f t="shared" si="1"/>
        <v>1</v>
      </c>
    </row>
    <row r="509" spans="1:8" ht="14.25" customHeight="1">
      <c r="A509" s="252"/>
      <c r="B509" s="252" t="s">
        <v>909</v>
      </c>
      <c r="C509" s="252">
        <v>2023</v>
      </c>
      <c r="D509" s="252" t="s">
        <v>826</v>
      </c>
      <c r="E509" s="252">
        <v>12</v>
      </c>
      <c r="F509" s="252">
        <v>12</v>
      </c>
      <c r="G509" s="252">
        <f t="shared" si="0"/>
        <v>0</v>
      </c>
      <c r="H509" s="256">
        <f t="shared" si="1"/>
        <v>1</v>
      </c>
    </row>
    <row r="510" spans="1:8" ht="14.25" customHeight="1">
      <c r="A510" s="252"/>
      <c r="B510" s="252" t="s">
        <v>909</v>
      </c>
      <c r="C510" s="252">
        <v>2023</v>
      </c>
      <c r="D510" s="252" t="s">
        <v>827</v>
      </c>
      <c r="E510" s="252">
        <v>12</v>
      </c>
      <c r="F510" s="252">
        <v>15</v>
      </c>
      <c r="G510" s="252">
        <f t="shared" si="0"/>
        <v>3</v>
      </c>
      <c r="H510" s="256">
        <f t="shared" si="1"/>
        <v>0.8</v>
      </c>
    </row>
    <row r="511" spans="1:8" ht="14.25" customHeight="1">
      <c r="A511" s="252"/>
      <c r="B511" s="252" t="s">
        <v>909</v>
      </c>
      <c r="C511" s="252">
        <v>2023</v>
      </c>
      <c r="D511" s="252" t="s">
        <v>828</v>
      </c>
      <c r="E511" s="252">
        <v>12</v>
      </c>
      <c r="F511" s="252">
        <v>12</v>
      </c>
      <c r="G511" s="252">
        <f t="shared" si="0"/>
        <v>0</v>
      </c>
      <c r="H511" s="256">
        <f t="shared" si="1"/>
        <v>1</v>
      </c>
    </row>
    <row r="512" spans="1:8" ht="14.25" customHeight="1">
      <c r="A512" s="252"/>
      <c r="B512" s="252" t="s">
        <v>909</v>
      </c>
      <c r="C512" s="252">
        <v>2023</v>
      </c>
      <c r="D512" s="252" t="s">
        <v>829</v>
      </c>
      <c r="E512" s="252">
        <v>8</v>
      </c>
      <c r="F512" s="252">
        <v>12</v>
      </c>
      <c r="G512" s="252">
        <f t="shared" si="0"/>
        <v>4</v>
      </c>
      <c r="H512" s="256">
        <f t="shared" si="1"/>
        <v>0.66666666666666663</v>
      </c>
    </row>
    <row r="513" spans="1:8" ht="14.25" customHeight="1">
      <c r="A513" s="252"/>
      <c r="B513" s="252" t="s">
        <v>909</v>
      </c>
      <c r="C513" s="252">
        <v>2023</v>
      </c>
      <c r="D513" s="252" t="s">
        <v>830</v>
      </c>
      <c r="E513" s="252">
        <v>13</v>
      </c>
      <c r="F513" s="252">
        <v>15</v>
      </c>
      <c r="G513" s="252">
        <f t="shared" si="0"/>
        <v>2</v>
      </c>
      <c r="H513" s="256">
        <f t="shared" si="1"/>
        <v>0.8666666666666667</v>
      </c>
    </row>
    <row r="514" spans="1:8" ht="14.25" customHeight="1">
      <c r="A514" s="252"/>
      <c r="B514" s="252" t="s">
        <v>909</v>
      </c>
      <c r="C514" s="252">
        <v>2023</v>
      </c>
      <c r="D514" s="252" t="s">
        <v>831</v>
      </c>
      <c r="E514" s="252">
        <v>4</v>
      </c>
      <c r="F514" s="252">
        <v>12</v>
      </c>
      <c r="G514" s="252">
        <f t="shared" si="0"/>
        <v>8</v>
      </c>
      <c r="H514" s="256">
        <f t="shared" si="1"/>
        <v>0.33333333333333331</v>
      </c>
    </row>
    <row r="515" spans="1:8" ht="14.25" customHeight="1">
      <c r="A515" s="252"/>
      <c r="B515" s="252" t="s">
        <v>909</v>
      </c>
      <c r="C515" s="252">
        <v>2023</v>
      </c>
      <c r="D515" s="252" t="s">
        <v>832</v>
      </c>
      <c r="E515" s="252">
        <v>9</v>
      </c>
      <c r="F515" s="252">
        <v>15</v>
      </c>
      <c r="G515" s="252">
        <f t="shared" si="0"/>
        <v>6</v>
      </c>
      <c r="H515" s="256">
        <f t="shared" si="1"/>
        <v>0.6</v>
      </c>
    </row>
    <row r="516" spans="1:8" ht="14.25" customHeight="1">
      <c r="A516" s="252"/>
      <c r="B516" s="252" t="s">
        <v>909</v>
      </c>
      <c r="C516" s="252">
        <v>2023</v>
      </c>
      <c r="D516" s="252" t="s">
        <v>833</v>
      </c>
      <c r="E516" s="252">
        <v>9</v>
      </c>
      <c r="F516" s="252">
        <v>12</v>
      </c>
      <c r="G516" s="252">
        <f t="shared" si="0"/>
        <v>3</v>
      </c>
      <c r="H516" s="256">
        <f t="shared" si="1"/>
        <v>0.75</v>
      </c>
    </row>
    <row r="517" spans="1:8" ht="14.25" customHeight="1">
      <c r="A517" s="252"/>
      <c r="B517" s="252" t="s">
        <v>909</v>
      </c>
      <c r="C517" s="252">
        <v>2023</v>
      </c>
      <c r="D517" s="252" t="s">
        <v>834</v>
      </c>
      <c r="E517" s="252">
        <v>12</v>
      </c>
      <c r="F517" s="252">
        <v>12</v>
      </c>
      <c r="G517" s="252">
        <f t="shared" si="0"/>
        <v>0</v>
      </c>
      <c r="H517" s="256">
        <f t="shared" si="1"/>
        <v>1</v>
      </c>
    </row>
    <row r="518" spans="1:8" ht="14.25" customHeight="1">
      <c r="A518" s="252"/>
      <c r="B518" s="252" t="s">
        <v>911</v>
      </c>
      <c r="C518" s="252">
        <v>2023</v>
      </c>
      <c r="D518" s="252" t="s">
        <v>823</v>
      </c>
      <c r="E518" s="252">
        <v>0</v>
      </c>
      <c r="F518" s="252">
        <v>5</v>
      </c>
      <c r="G518" s="252">
        <f t="shared" si="0"/>
        <v>5</v>
      </c>
      <c r="H518" s="256">
        <f t="shared" si="1"/>
        <v>0</v>
      </c>
    </row>
    <row r="519" spans="1:8" ht="14.25" customHeight="1">
      <c r="A519" s="252"/>
      <c r="B519" s="252" t="s">
        <v>911</v>
      </c>
      <c r="C519" s="252">
        <v>2023</v>
      </c>
      <c r="D519" s="252" t="s">
        <v>824</v>
      </c>
      <c r="E519" s="252">
        <v>12</v>
      </c>
      <c r="F519" s="252">
        <v>12</v>
      </c>
      <c r="G519" s="252">
        <f t="shared" si="0"/>
        <v>0</v>
      </c>
      <c r="H519" s="256">
        <f t="shared" si="1"/>
        <v>1</v>
      </c>
    </row>
    <row r="520" spans="1:8" ht="14.25" customHeight="1">
      <c r="A520" s="252"/>
      <c r="B520" s="252" t="s">
        <v>911</v>
      </c>
      <c r="C520" s="252">
        <v>2023</v>
      </c>
      <c r="D520" s="252" t="s">
        <v>825</v>
      </c>
      <c r="E520" s="252">
        <v>6</v>
      </c>
      <c r="F520" s="252">
        <v>15</v>
      </c>
      <c r="G520" s="252">
        <f t="shared" si="0"/>
        <v>9</v>
      </c>
      <c r="H520" s="256">
        <f t="shared" si="1"/>
        <v>0.4</v>
      </c>
    </row>
    <row r="521" spans="1:8" ht="14.25" customHeight="1">
      <c r="A521" s="252"/>
      <c r="B521" s="252" t="s">
        <v>911</v>
      </c>
      <c r="C521" s="252">
        <v>2023</v>
      </c>
      <c r="D521" s="252" t="s">
        <v>826</v>
      </c>
      <c r="E521" s="252">
        <v>5</v>
      </c>
      <c r="F521" s="252">
        <v>12</v>
      </c>
      <c r="G521" s="252">
        <f t="shared" si="0"/>
        <v>7</v>
      </c>
      <c r="H521" s="256">
        <f t="shared" si="1"/>
        <v>0.41666666666666669</v>
      </c>
    </row>
    <row r="522" spans="1:8" ht="14.25" customHeight="1">
      <c r="A522" s="252"/>
      <c r="B522" s="252" t="s">
        <v>911</v>
      </c>
      <c r="C522" s="252">
        <v>2023</v>
      </c>
      <c r="D522" s="252" t="s">
        <v>827</v>
      </c>
      <c r="E522" s="252">
        <v>8</v>
      </c>
      <c r="F522" s="252">
        <v>15</v>
      </c>
      <c r="G522" s="252">
        <f t="shared" si="0"/>
        <v>7</v>
      </c>
      <c r="H522" s="256">
        <f t="shared" si="1"/>
        <v>0.53333333333333333</v>
      </c>
    </row>
    <row r="523" spans="1:8" ht="14.25" customHeight="1">
      <c r="A523" s="252"/>
      <c r="B523" s="252" t="s">
        <v>911</v>
      </c>
      <c r="C523" s="252">
        <v>2023</v>
      </c>
      <c r="D523" s="252" t="s">
        <v>828</v>
      </c>
      <c r="E523" s="252">
        <v>12</v>
      </c>
      <c r="F523" s="252">
        <v>12</v>
      </c>
      <c r="G523" s="252">
        <f t="shared" si="0"/>
        <v>0</v>
      </c>
      <c r="H523" s="256">
        <f t="shared" si="1"/>
        <v>1</v>
      </c>
    </row>
    <row r="524" spans="1:8" ht="14.25" customHeight="1">
      <c r="A524" s="252"/>
      <c r="B524" s="252" t="s">
        <v>911</v>
      </c>
      <c r="C524" s="252">
        <v>2023</v>
      </c>
      <c r="D524" s="252" t="s">
        <v>829</v>
      </c>
      <c r="E524" s="252">
        <v>7</v>
      </c>
      <c r="F524" s="252">
        <v>12</v>
      </c>
      <c r="G524" s="252">
        <f t="shared" si="0"/>
        <v>5</v>
      </c>
      <c r="H524" s="256">
        <f t="shared" si="1"/>
        <v>0.58333333333333337</v>
      </c>
    </row>
    <row r="525" spans="1:8" ht="14.25" customHeight="1">
      <c r="A525" s="252"/>
      <c r="B525" s="252" t="s">
        <v>911</v>
      </c>
      <c r="C525" s="252">
        <v>2023</v>
      </c>
      <c r="D525" s="252" t="s">
        <v>830</v>
      </c>
      <c r="E525" s="252">
        <v>4</v>
      </c>
      <c r="F525" s="252">
        <v>15</v>
      </c>
      <c r="G525" s="252">
        <f t="shared" si="0"/>
        <v>11</v>
      </c>
      <c r="H525" s="256">
        <f t="shared" si="1"/>
        <v>0.26666666666666666</v>
      </c>
    </row>
    <row r="526" spans="1:8" ht="14.25" customHeight="1">
      <c r="A526" s="252"/>
      <c r="B526" s="252" t="s">
        <v>911</v>
      </c>
      <c r="C526" s="252">
        <v>2023</v>
      </c>
      <c r="D526" s="252" t="s">
        <v>831</v>
      </c>
      <c r="E526" s="252">
        <v>6</v>
      </c>
      <c r="F526" s="252">
        <v>12</v>
      </c>
      <c r="G526" s="252">
        <f t="shared" si="0"/>
        <v>6</v>
      </c>
      <c r="H526" s="256">
        <f t="shared" si="1"/>
        <v>0.5</v>
      </c>
    </row>
    <row r="527" spans="1:8" ht="14.25" customHeight="1">
      <c r="A527" s="252"/>
      <c r="B527" s="252" t="s">
        <v>911</v>
      </c>
      <c r="C527" s="252">
        <v>2023</v>
      </c>
      <c r="D527" s="252" t="s">
        <v>832</v>
      </c>
      <c r="E527" s="252">
        <v>14</v>
      </c>
      <c r="F527" s="252">
        <v>15</v>
      </c>
      <c r="G527" s="252">
        <f t="shared" si="0"/>
        <v>1</v>
      </c>
      <c r="H527" s="256">
        <f t="shared" si="1"/>
        <v>0.93333333333333335</v>
      </c>
    </row>
    <row r="528" spans="1:8" ht="14.25" customHeight="1">
      <c r="A528" s="252"/>
      <c r="B528" s="252" t="s">
        <v>911</v>
      </c>
      <c r="C528" s="252">
        <v>2023</v>
      </c>
      <c r="D528" s="252" t="s">
        <v>833</v>
      </c>
      <c r="E528" s="252">
        <v>12</v>
      </c>
      <c r="F528" s="252">
        <v>12</v>
      </c>
      <c r="G528" s="252">
        <f t="shared" si="0"/>
        <v>0</v>
      </c>
      <c r="H528" s="256">
        <f t="shared" si="1"/>
        <v>1</v>
      </c>
    </row>
    <row r="529" spans="1:8" ht="14.25" customHeight="1">
      <c r="A529" s="252"/>
      <c r="B529" s="252" t="s">
        <v>911</v>
      </c>
      <c r="C529" s="252">
        <v>2023</v>
      </c>
      <c r="D529" s="252" t="s">
        <v>834</v>
      </c>
      <c r="E529" s="252">
        <v>12</v>
      </c>
      <c r="F529" s="252">
        <v>12</v>
      </c>
      <c r="G529" s="252">
        <f t="shared" si="0"/>
        <v>0</v>
      </c>
      <c r="H529" s="256">
        <f t="shared" si="1"/>
        <v>1</v>
      </c>
    </row>
    <row r="530" spans="1:8" ht="14.25" customHeight="1">
      <c r="A530" s="252"/>
      <c r="B530" s="252" t="s">
        <v>913</v>
      </c>
      <c r="C530" s="252">
        <v>2023</v>
      </c>
      <c r="D530" s="252" t="s">
        <v>823</v>
      </c>
      <c r="E530" s="252">
        <v>5</v>
      </c>
      <c r="F530" s="252">
        <v>5</v>
      </c>
      <c r="G530" s="252">
        <f t="shared" si="0"/>
        <v>0</v>
      </c>
      <c r="H530" s="256">
        <f t="shared" si="1"/>
        <v>1</v>
      </c>
    </row>
    <row r="531" spans="1:8" ht="14.25" customHeight="1">
      <c r="A531" s="252"/>
      <c r="B531" s="252" t="s">
        <v>913</v>
      </c>
      <c r="C531" s="252">
        <v>2023</v>
      </c>
      <c r="D531" s="252" t="s">
        <v>824</v>
      </c>
      <c r="E531" s="252">
        <v>12</v>
      </c>
      <c r="F531" s="252">
        <v>12</v>
      </c>
      <c r="G531" s="252">
        <f t="shared" si="0"/>
        <v>0</v>
      </c>
      <c r="H531" s="256">
        <f t="shared" si="1"/>
        <v>1</v>
      </c>
    </row>
    <row r="532" spans="1:8" ht="14.25" customHeight="1">
      <c r="A532" s="252"/>
      <c r="B532" s="252" t="s">
        <v>913</v>
      </c>
      <c r="C532" s="252">
        <v>2023</v>
      </c>
      <c r="D532" s="252" t="s">
        <v>825</v>
      </c>
      <c r="E532" s="252">
        <v>15</v>
      </c>
      <c r="F532" s="252">
        <v>15</v>
      </c>
      <c r="G532" s="252">
        <f t="shared" si="0"/>
        <v>0</v>
      </c>
      <c r="H532" s="256">
        <f t="shared" si="1"/>
        <v>1</v>
      </c>
    </row>
    <row r="533" spans="1:8" ht="14.25" customHeight="1">
      <c r="A533" s="252"/>
      <c r="B533" s="252" t="s">
        <v>913</v>
      </c>
      <c r="C533" s="252">
        <v>2023</v>
      </c>
      <c r="D533" s="252" t="s">
        <v>826</v>
      </c>
      <c r="E533" s="252">
        <v>12</v>
      </c>
      <c r="F533" s="252">
        <v>12</v>
      </c>
      <c r="G533" s="252">
        <f t="shared" si="0"/>
        <v>0</v>
      </c>
      <c r="H533" s="256">
        <f t="shared" si="1"/>
        <v>1</v>
      </c>
    </row>
    <row r="534" spans="1:8" ht="14.25" customHeight="1">
      <c r="A534" s="252"/>
      <c r="B534" s="252" t="s">
        <v>913</v>
      </c>
      <c r="C534" s="252">
        <v>2023</v>
      </c>
      <c r="D534" s="252" t="s">
        <v>827</v>
      </c>
      <c r="E534" s="252">
        <v>15</v>
      </c>
      <c r="F534" s="252">
        <v>15</v>
      </c>
      <c r="G534" s="252">
        <f t="shared" si="0"/>
        <v>0</v>
      </c>
      <c r="H534" s="256">
        <f t="shared" si="1"/>
        <v>1</v>
      </c>
    </row>
    <row r="535" spans="1:8" ht="14.25" customHeight="1">
      <c r="A535" s="252"/>
      <c r="B535" s="252" t="s">
        <v>913</v>
      </c>
      <c r="C535" s="252">
        <v>2023</v>
      </c>
      <c r="D535" s="252" t="s">
        <v>828</v>
      </c>
      <c r="E535" s="252">
        <v>12</v>
      </c>
      <c r="F535" s="252">
        <v>12</v>
      </c>
      <c r="G535" s="252">
        <f t="shared" si="0"/>
        <v>0</v>
      </c>
      <c r="H535" s="256">
        <f t="shared" si="1"/>
        <v>1</v>
      </c>
    </row>
    <row r="536" spans="1:8" ht="14.25" customHeight="1">
      <c r="A536" s="252"/>
      <c r="B536" s="252" t="s">
        <v>913</v>
      </c>
      <c r="C536" s="252">
        <v>2023</v>
      </c>
      <c r="D536" s="252" t="s">
        <v>829</v>
      </c>
      <c r="E536" s="252">
        <v>12</v>
      </c>
      <c r="F536" s="252">
        <v>12</v>
      </c>
      <c r="G536" s="252">
        <f t="shared" si="0"/>
        <v>0</v>
      </c>
      <c r="H536" s="256">
        <f t="shared" si="1"/>
        <v>1</v>
      </c>
    </row>
    <row r="537" spans="1:8" ht="14.25" customHeight="1">
      <c r="A537" s="252"/>
      <c r="B537" s="252" t="s">
        <v>913</v>
      </c>
      <c r="C537" s="252">
        <v>2023</v>
      </c>
      <c r="D537" s="252" t="s">
        <v>830</v>
      </c>
      <c r="E537" s="252">
        <v>15</v>
      </c>
      <c r="F537" s="252">
        <v>15</v>
      </c>
      <c r="G537" s="252">
        <f t="shared" si="0"/>
        <v>0</v>
      </c>
      <c r="H537" s="256">
        <f t="shared" si="1"/>
        <v>1</v>
      </c>
    </row>
    <row r="538" spans="1:8" ht="14.25" customHeight="1">
      <c r="A538" s="252"/>
      <c r="B538" s="252" t="s">
        <v>913</v>
      </c>
      <c r="C538" s="252">
        <v>2023</v>
      </c>
      <c r="D538" s="252" t="s">
        <v>831</v>
      </c>
      <c r="E538" s="252">
        <v>8</v>
      </c>
      <c r="F538" s="252">
        <v>12</v>
      </c>
      <c r="G538" s="252">
        <f t="shared" si="0"/>
        <v>4</v>
      </c>
      <c r="H538" s="256">
        <f t="shared" si="1"/>
        <v>0.66666666666666663</v>
      </c>
    </row>
    <row r="539" spans="1:8" ht="14.25" customHeight="1">
      <c r="A539" s="252"/>
      <c r="B539" s="252" t="s">
        <v>913</v>
      </c>
      <c r="C539" s="252">
        <v>2023</v>
      </c>
      <c r="D539" s="252" t="s">
        <v>832</v>
      </c>
      <c r="E539" s="252">
        <v>11</v>
      </c>
      <c r="F539" s="252">
        <v>15</v>
      </c>
      <c r="G539" s="252">
        <f t="shared" si="0"/>
        <v>4</v>
      </c>
      <c r="H539" s="256">
        <f t="shared" si="1"/>
        <v>0.73333333333333328</v>
      </c>
    </row>
    <row r="540" spans="1:8" ht="14.25" customHeight="1">
      <c r="A540" s="252"/>
      <c r="B540" s="252" t="s">
        <v>913</v>
      </c>
      <c r="C540" s="252">
        <v>2023</v>
      </c>
      <c r="D540" s="252" t="s">
        <v>833</v>
      </c>
      <c r="E540" s="252">
        <v>9</v>
      </c>
      <c r="F540" s="252">
        <v>12</v>
      </c>
      <c r="G540" s="252">
        <f t="shared" si="0"/>
        <v>3</v>
      </c>
      <c r="H540" s="256">
        <f t="shared" si="1"/>
        <v>0.75</v>
      </c>
    </row>
    <row r="541" spans="1:8" ht="14.25" customHeight="1">
      <c r="A541" s="252"/>
      <c r="B541" s="252" t="s">
        <v>913</v>
      </c>
      <c r="C541" s="252">
        <v>2023</v>
      </c>
      <c r="D541" s="252" t="s">
        <v>834</v>
      </c>
      <c r="E541" s="252">
        <v>12</v>
      </c>
      <c r="F541" s="252">
        <v>12</v>
      </c>
      <c r="G541" s="252">
        <f t="shared" si="0"/>
        <v>0</v>
      </c>
      <c r="H541" s="256">
        <f t="shared" si="1"/>
        <v>1</v>
      </c>
    </row>
    <row r="542" spans="1:8" ht="14.25" customHeight="1">
      <c r="A542" s="252"/>
      <c r="B542" s="252" t="s">
        <v>663</v>
      </c>
      <c r="C542" s="252">
        <v>2023</v>
      </c>
      <c r="D542" s="252" t="s">
        <v>823</v>
      </c>
      <c r="E542" s="252">
        <v>2</v>
      </c>
      <c r="F542" s="252">
        <v>5</v>
      </c>
      <c r="G542" s="252">
        <f t="shared" si="0"/>
        <v>3</v>
      </c>
      <c r="H542" s="256">
        <f t="shared" si="1"/>
        <v>0.4</v>
      </c>
    </row>
    <row r="543" spans="1:8" ht="14.25" customHeight="1">
      <c r="A543" s="252"/>
      <c r="B543" s="252" t="s">
        <v>663</v>
      </c>
      <c r="C543" s="252">
        <v>2023</v>
      </c>
      <c r="D543" s="252" t="s">
        <v>824</v>
      </c>
      <c r="E543" s="252">
        <v>3</v>
      </c>
      <c r="F543" s="252">
        <v>12</v>
      </c>
      <c r="G543" s="252">
        <f t="shared" si="0"/>
        <v>9</v>
      </c>
      <c r="H543" s="256">
        <f t="shared" si="1"/>
        <v>0.25</v>
      </c>
    </row>
    <row r="544" spans="1:8" ht="14.25" customHeight="1">
      <c r="A544" s="252"/>
      <c r="B544" s="252" t="s">
        <v>663</v>
      </c>
      <c r="C544" s="252">
        <v>2023</v>
      </c>
      <c r="D544" s="252" t="s">
        <v>825</v>
      </c>
      <c r="E544" s="252">
        <v>10</v>
      </c>
      <c r="F544" s="252">
        <v>15</v>
      </c>
      <c r="G544" s="252">
        <f t="shared" si="0"/>
        <v>5</v>
      </c>
      <c r="H544" s="256">
        <f t="shared" si="1"/>
        <v>0.66666666666666663</v>
      </c>
    </row>
    <row r="545" spans="1:8" ht="14.25" customHeight="1">
      <c r="A545" s="252"/>
      <c r="B545" s="252" t="s">
        <v>663</v>
      </c>
      <c r="C545" s="252">
        <v>2023</v>
      </c>
      <c r="D545" s="252" t="s">
        <v>826</v>
      </c>
      <c r="E545" s="252">
        <v>2</v>
      </c>
      <c r="F545" s="252">
        <v>12</v>
      </c>
      <c r="G545" s="252">
        <f t="shared" si="0"/>
        <v>10</v>
      </c>
      <c r="H545" s="256">
        <f t="shared" si="1"/>
        <v>0.16666666666666666</v>
      </c>
    </row>
    <row r="546" spans="1:8" ht="14.25" customHeight="1">
      <c r="A546" s="252"/>
      <c r="B546" s="252" t="s">
        <v>663</v>
      </c>
      <c r="C546" s="252">
        <v>2023</v>
      </c>
      <c r="D546" s="252" t="s">
        <v>827</v>
      </c>
      <c r="E546" s="252">
        <v>5</v>
      </c>
      <c r="F546" s="252">
        <v>15</v>
      </c>
      <c r="G546" s="252">
        <f t="shared" ref="G546:G589" si="2">IF(F546="","",F546-E546)</f>
        <v>10</v>
      </c>
      <c r="H546" s="256">
        <f t="shared" ref="H546:H589" si="3">IF(F546="","",IF(F546=0,0,E546/F546))</f>
        <v>0.33333333333333331</v>
      </c>
    </row>
    <row r="547" spans="1:8" ht="14.25" customHeight="1">
      <c r="A547" s="252"/>
      <c r="B547" s="252" t="s">
        <v>663</v>
      </c>
      <c r="C547" s="252">
        <v>2023</v>
      </c>
      <c r="D547" s="252" t="s">
        <v>828</v>
      </c>
      <c r="E547" s="252">
        <v>8</v>
      </c>
      <c r="F547" s="252">
        <v>12</v>
      </c>
      <c r="G547" s="252">
        <f t="shared" si="2"/>
        <v>4</v>
      </c>
      <c r="H547" s="256">
        <f t="shared" si="3"/>
        <v>0.66666666666666663</v>
      </c>
    </row>
    <row r="548" spans="1:8" ht="14.25" customHeight="1">
      <c r="A548" s="252"/>
      <c r="B548" s="252" t="s">
        <v>663</v>
      </c>
      <c r="C548" s="252">
        <v>2023</v>
      </c>
      <c r="D548" s="252" t="s">
        <v>829</v>
      </c>
      <c r="E548" s="252">
        <v>8</v>
      </c>
      <c r="F548" s="252">
        <v>12</v>
      </c>
      <c r="G548" s="252">
        <f t="shared" si="2"/>
        <v>4</v>
      </c>
      <c r="H548" s="256">
        <f t="shared" si="3"/>
        <v>0.66666666666666663</v>
      </c>
    </row>
    <row r="549" spans="1:8" ht="14.25" customHeight="1">
      <c r="A549" s="252"/>
      <c r="B549" s="252" t="s">
        <v>663</v>
      </c>
      <c r="C549" s="252">
        <v>2023</v>
      </c>
      <c r="D549" s="252" t="s">
        <v>830</v>
      </c>
      <c r="E549" s="252">
        <v>3</v>
      </c>
      <c r="F549" s="252">
        <v>15</v>
      </c>
      <c r="G549" s="252">
        <f t="shared" si="2"/>
        <v>12</v>
      </c>
      <c r="H549" s="256">
        <f t="shared" si="3"/>
        <v>0.2</v>
      </c>
    </row>
    <row r="550" spans="1:8" ht="14.25" customHeight="1">
      <c r="A550" s="252"/>
      <c r="B550" s="252" t="s">
        <v>663</v>
      </c>
      <c r="C550" s="252">
        <v>2023</v>
      </c>
      <c r="D550" s="252" t="s">
        <v>831</v>
      </c>
      <c r="E550" s="252">
        <v>6</v>
      </c>
      <c r="F550" s="252">
        <v>12</v>
      </c>
      <c r="G550" s="252">
        <f t="shared" si="2"/>
        <v>6</v>
      </c>
      <c r="H550" s="256">
        <f t="shared" si="3"/>
        <v>0.5</v>
      </c>
    </row>
    <row r="551" spans="1:8" ht="14.25" customHeight="1">
      <c r="A551" s="252"/>
      <c r="B551" s="252" t="s">
        <v>663</v>
      </c>
      <c r="C551" s="252">
        <v>2023</v>
      </c>
      <c r="D551" s="252" t="s">
        <v>832</v>
      </c>
      <c r="E551" s="252">
        <v>15</v>
      </c>
      <c r="F551" s="252">
        <v>15</v>
      </c>
      <c r="G551" s="252">
        <f t="shared" si="2"/>
        <v>0</v>
      </c>
      <c r="H551" s="256">
        <f t="shared" si="3"/>
        <v>1</v>
      </c>
    </row>
    <row r="552" spans="1:8" ht="14.25" customHeight="1">
      <c r="A552" s="252"/>
      <c r="B552" s="252" t="s">
        <v>663</v>
      </c>
      <c r="C552" s="252">
        <v>2023</v>
      </c>
      <c r="D552" s="252" t="s">
        <v>833</v>
      </c>
      <c r="E552" s="252">
        <v>12</v>
      </c>
      <c r="F552" s="252">
        <v>12</v>
      </c>
      <c r="G552" s="252">
        <f t="shared" si="2"/>
        <v>0</v>
      </c>
      <c r="H552" s="256">
        <f t="shared" si="3"/>
        <v>1</v>
      </c>
    </row>
    <row r="553" spans="1:8" ht="14.25" customHeight="1">
      <c r="A553" s="252"/>
      <c r="B553" s="252" t="s">
        <v>663</v>
      </c>
      <c r="C553" s="252">
        <v>2023</v>
      </c>
      <c r="D553" s="252" t="s">
        <v>834</v>
      </c>
      <c r="E553" s="252">
        <v>11</v>
      </c>
      <c r="F553" s="252">
        <v>12</v>
      </c>
      <c r="G553" s="252">
        <f t="shared" si="2"/>
        <v>1</v>
      </c>
      <c r="H553" s="256">
        <f t="shared" si="3"/>
        <v>0.91666666666666663</v>
      </c>
    </row>
    <row r="554" spans="1:8" ht="14.25" customHeight="1">
      <c r="A554" s="252"/>
      <c r="B554" s="252" t="s">
        <v>915</v>
      </c>
      <c r="C554" s="252">
        <v>2023</v>
      </c>
      <c r="D554" s="252" t="s">
        <v>823</v>
      </c>
      <c r="E554" s="252">
        <v>1</v>
      </c>
      <c r="F554" s="252">
        <v>5</v>
      </c>
      <c r="G554" s="252">
        <f t="shared" si="2"/>
        <v>4</v>
      </c>
      <c r="H554" s="256">
        <f t="shared" si="3"/>
        <v>0.2</v>
      </c>
    </row>
    <row r="555" spans="1:8" ht="14.25" customHeight="1">
      <c r="A555" s="252"/>
      <c r="B555" s="252" t="s">
        <v>915</v>
      </c>
      <c r="C555" s="252">
        <v>2023</v>
      </c>
      <c r="D555" s="252" t="s">
        <v>824</v>
      </c>
      <c r="E555" s="252">
        <v>7</v>
      </c>
      <c r="F555" s="252">
        <v>12</v>
      </c>
      <c r="G555" s="252">
        <f t="shared" si="2"/>
        <v>5</v>
      </c>
      <c r="H555" s="256">
        <f t="shared" si="3"/>
        <v>0.58333333333333337</v>
      </c>
    </row>
    <row r="556" spans="1:8" ht="14.25" customHeight="1">
      <c r="A556" s="252"/>
      <c r="B556" s="252" t="s">
        <v>915</v>
      </c>
      <c r="C556" s="252">
        <v>2023</v>
      </c>
      <c r="D556" s="252" t="s">
        <v>825</v>
      </c>
      <c r="E556" s="252">
        <v>7</v>
      </c>
      <c r="F556" s="252">
        <v>15</v>
      </c>
      <c r="G556" s="252">
        <f t="shared" si="2"/>
        <v>8</v>
      </c>
      <c r="H556" s="256">
        <f t="shared" si="3"/>
        <v>0.46666666666666667</v>
      </c>
    </row>
    <row r="557" spans="1:8" ht="14.25" customHeight="1">
      <c r="A557" s="252"/>
      <c r="B557" s="252" t="s">
        <v>915</v>
      </c>
      <c r="C557" s="252">
        <v>2023</v>
      </c>
      <c r="D557" s="252" t="s">
        <v>826</v>
      </c>
      <c r="E557" s="252">
        <v>1</v>
      </c>
      <c r="F557" s="252">
        <v>12</v>
      </c>
      <c r="G557" s="252">
        <f t="shared" si="2"/>
        <v>11</v>
      </c>
      <c r="H557" s="256">
        <f t="shared" si="3"/>
        <v>8.3333333333333329E-2</v>
      </c>
    </row>
    <row r="558" spans="1:8" ht="14.25" customHeight="1">
      <c r="A558" s="252"/>
      <c r="B558" s="252" t="s">
        <v>915</v>
      </c>
      <c r="C558" s="252">
        <v>2023</v>
      </c>
      <c r="D558" s="252" t="s">
        <v>827</v>
      </c>
      <c r="E558" s="252">
        <v>13</v>
      </c>
      <c r="F558" s="252">
        <v>15</v>
      </c>
      <c r="G558" s="252">
        <f t="shared" si="2"/>
        <v>2</v>
      </c>
      <c r="H558" s="256">
        <f t="shared" si="3"/>
        <v>0.8666666666666667</v>
      </c>
    </row>
    <row r="559" spans="1:8" ht="14.25" customHeight="1">
      <c r="A559" s="252"/>
      <c r="B559" s="252" t="s">
        <v>915</v>
      </c>
      <c r="C559" s="252">
        <v>2023</v>
      </c>
      <c r="D559" s="252" t="s">
        <v>828</v>
      </c>
      <c r="E559" s="252">
        <v>12</v>
      </c>
      <c r="F559" s="252">
        <v>12</v>
      </c>
      <c r="G559" s="252">
        <f t="shared" si="2"/>
        <v>0</v>
      </c>
      <c r="H559" s="256">
        <f t="shared" si="3"/>
        <v>1</v>
      </c>
    </row>
    <row r="560" spans="1:8" ht="14.25" customHeight="1">
      <c r="A560" s="252"/>
      <c r="B560" s="252" t="s">
        <v>915</v>
      </c>
      <c r="C560" s="252">
        <v>2023</v>
      </c>
      <c r="D560" s="252" t="s">
        <v>829</v>
      </c>
      <c r="E560" s="252">
        <v>12</v>
      </c>
      <c r="F560" s="252">
        <v>12</v>
      </c>
      <c r="G560" s="252">
        <f t="shared" si="2"/>
        <v>0</v>
      </c>
      <c r="H560" s="256">
        <f t="shared" si="3"/>
        <v>1</v>
      </c>
    </row>
    <row r="561" spans="1:8" ht="14.25" customHeight="1">
      <c r="A561" s="252"/>
      <c r="B561" s="252" t="s">
        <v>915</v>
      </c>
      <c r="C561" s="252">
        <v>2023</v>
      </c>
      <c r="D561" s="252" t="s">
        <v>830</v>
      </c>
      <c r="E561" s="252">
        <v>11</v>
      </c>
      <c r="F561" s="252">
        <v>15</v>
      </c>
      <c r="G561" s="252">
        <f t="shared" si="2"/>
        <v>4</v>
      </c>
      <c r="H561" s="256">
        <f t="shared" si="3"/>
        <v>0.73333333333333328</v>
      </c>
    </row>
    <row r="562" spans="1:8" ht="14.25" customHeight="1">
      <c r="A562" s="252"/>
      <c r="B562" s="252" t="s">
        <v>915</v>
      </c>
      <c r="C562" s="252">
        <v>2023</v>
      </c>
      <c r="D562" s="252" t="s">
        <v>831</v>
      </c>
      <c r="E562" s="252">
        <v>9</v>
      </c>
      <c r="F562" s="252">
        <v>12</v>
      </c>
      <c r="G562" s="252">
        <f t="shared" si="2"/>
        <v>3</v>
      </c>
      <c r="H562" s="256">
        <f t="shared" si="3"/>
        <v>0.75</v>
      </c>
    </row>
    <row r="563" spans="1:8" ht="14.25" customHeight="1">
      <c r="A563" s="252"/>
      <c r="B563" s="252" t="s">
        <v>915</v>
      </c>
      <c r="C563" s="252">
        <v>2023</v>
      </c>
      <c r="D563" s="252" t="s">
        <v>832</v>
      </c>
      <c r="E563" s="252">
        <v>8</v>
      </c>
      <c r="F563" s="252">
        <v>15</v>
      </c>
      <c r="G563" s="252">
        <f t="shared" si="2"/>
        <v>7</v>
      </c>
      <c r="H563" s="256">
        <f t="shared" si="3"/>
        <v>0.53333333333333333</v>
      </c>
    </row>
    <row r="564" spans="1:8" ht="14.25" customHeight="1">
      <c r="A564" s="252"/>
      <c r="B564" s="252" t="s">
        <v>915</v>
      </c>
      <c r="C564" s="252">
        <v>2023</v>
      </c>
      <c r="D564" s="252" t="s">
        <v>833</v>
      </c>
      <c r="E564" s="252">
        <v>8</v>
      </c>
      <c r="F564" s="252">
        <v>12</v>
      </c>
      <c r="G564" s="252">
        <f t="shared" si="2"/>
        <v>4</v>
      </c>
      <c r="H564" s="256">
        <f t="shared" si="3"/>
        <v>0.66666666666666663</v>
      </c>
    </row>
    <row r="565" spans="1:8" ht="14.25" customHeight="1">
      <c r="A565" s="252"/>
      <c r="B565" s="252" t="s">
        <v>915</v>
      </c>
      <c r="C565" s="252">
        <v>2023</v>
      </c>
      <c r="D565" s="252" t="s">
        <v>834</v>
      </c>
      <c r="E565" s="252">
        <v>10</v>
      </c>
      <c r="F565" s="252">
        <v>10</v>
      </c>
      <c r="G565" s="252">
        <f t="shared" si="2"/>
        <v>0</v>
      </c>
      <c r="H565" s="256">
        <f t="shared" si="3"/>
        <v>1</v>
      </c>
    </row>
    <row r="566" spans="1:8" ht="14.25" customHeight="1">
      <c r="A566" s="252"/>
      <c r="B566" s="252" t="s">
        <v>917</v>
      </c>
      <c r="C566" s="252">
        <v>2023</v>
      </c>
      <c r="D566" s="252" t="s">
        <v>823</v>
      </c>
      <c r="E566" s="252">
        <v>5</v>
      </c>
      <c r="F566" s="252">
        <v>5</v>
      </c>
      <c r="G566" s="252">
        <f t="shared" si="2"/>
        <v>0</v>
      </c>
      <c r="H566" s="256">
        <f t="shared" si="3"/>
        <v>1</v>
      </c>
    </row>
    <row r="567" spans="1:8" ht="14.25" customHeight="1">
      <c r="A567" s="252"/>
      <c r="B567" s="252" t="s">
        <v>917</v>
      </c>
      <c r="C567" s="252">
        <v>2023</v>
      </c>
      <c r="D567" s="252" t="s">
        <v>824</v>
      </c>
      <c r="E567" s="252">
        <v>3</v>
      </c>
      <c r="F567" s="252">
        <v>12</v>
      </c>
      <c r="G567" s="252">
        <f t="shared" si="2"/>
        <v>9</v>
      </c>
      <c r="H567" s="256">
        <f t="shared" si="3"/>
        <v>0.25</v>
      </c>
    </row>
    <row r="568" spans="1:8" ht="14.25" customHeight="1">
      <c r="A568" s="252"/>
      <c r="B568" s="252" t="s">
        <v>917</v>
      </c>
      <c r="C568" s="252">
        <v>2023</v>
      </c>
      <c r="D568" s="252" t="s">
        <v>825</v>
      </c>
      <c r="E568" s="252">
        <v>6</v>
      </c>
      <c r="F568" s="252">
        <v>15</v>
      </c>
      <c r="G568" s="252">
        <f t="shared" si="2"/>
        <v>9</v>
      </c>
      <c r="H568" s="256">
        <f t="shared" si="3"/>
        <v>0.4</v>
      </c>
    </row>
    <row r="569" spans="1:8" ht="14.25" customHeight="1">
      <c r="A569" s="252"/>
      <c r="B569" s="252" t="s">
        <v>917</v>
      </c>
      <c r="C569" s="252">
        <v>2023</v>
      </c>
      <c r="D569" s="252" t="s">
        <v>826</v>
      </c>
      <c r="E569" s="252">
        <v>5</v>
      </c>
      <c r="F569" s="252">
        <v>12</v>
      </c>
      <c r="G569" s="252">
        <f t="shared" si="2"/>
        <v>7</v>
      </c>
      <c r="H569" s="256">
        <f t="shared" si="3"/>
        <v>0.41666666666666669</v>
      </c>
    </row>
    <row r="570" spans="1:8" ht="14.25" customHeight="1">
      <c r="A570" s="252"/>
      <c r="B570" s="252" t="s">
        <v>917</v>
      </c>
      <c r="C570" s="252">
        <v>2023</v>
      </c>
      <c r="D570" s="252" t="s">
        <v>827</v>
      </c>
      <c r="E570" s="252">
        <v>4</v>
      </c>
      <c r="F570" s="252">
        <v>15</v>
      </c>
      <c r="G570" s="252">
        <f t="shared" si="2"/>
        <v>11</v>
      </c>
      <c r="H570" s="256">
        <f t="shared" si="3"/>
        <v>0.26666666666666666</v>
      </c>
    </row>
    <row r="571" spans="1:8" ht="14.25" customHeight="1">
      <c r="A571" s="252"/>
      <c r="B571" s="252" t="s">
        <v>917</v>
      </c>
      <c r="C571" s="252">
        <v>2023</v>
      </c>
      <c r="D571" s="252" t="s">
        <v>828</v>
      </c>
      <c r="E571" s="252">
        <v>12</v>
      </c>
      <c r="F571" s="252">
        <v>12</v>
      </c>
      <c r="G571" s="252">
        <f t="shared" si="2"/>
        <v>0</v>
      </c>
      <c r="H571" s="256">
        <f t="shared" si="3"/>
        <v>1</v>
      </c>
    </row>
    <row r="572" spans="1:8" ht="14.25" customHeight="1">
      <c r="A572" s="252"/>
      <c r="B572" s="252" t="s">
        <v>917</v>
      </c>
      <c r="C572" s="252">
        <v>2023</v>
      </c>
      <c r="D572" s="252" t="s">
        <v>829</v>
      </c>
      <c r="E572" s="252">
        <v>12</v>
      </c>
      <c r="F572" s="252">
        <v>12</v>
      </c>
      <c r="G572" s="252">
        <f t="shared" si="2"/>
        <v>0</v>
      </c>
      <c r="H572" s="256">
        <f t="shared" si="3"/>
        <v>1</v>
      </c>
    </row>
    <row r="573" spans="1:8" ht="14.25" customHeight="1">
      <c r="A573" s="252"/>
      <c r="B573" s="252" t="s">
        <v>917</v>
      </c>
      <c r="C573" s="252">
        <v>2023</v>
      </c>
      <c r="D573" s="252" t="s">
        <v>830</v>
      </c>
      <c r="E573" s="252">
        <v>15</v>
      </c>
      <c r="F573" s="252">
        <v>15</v>
      </c>
      <c r="G573" s="252">
        <f t="shared" si="2"/>
        <v>0</v>
      </c>
      <c r="H573" s="256">
        <f t="shared" si="3"/>
        <v>1</v>
      </c>
    </row>
    <row r="574" spans="1:8" ht="14.25" customHeight="1">
      <c r="A574" s="252"/>
      <c r="B574" s="252" t="s">
        <v>917</v>
      </c>
      <c r="C574" s="252">
        <v>2023</v>
      </c>
      <c r="D574" s="252" t="s">
        <v>831</v>
      </c>
      <c r="E574" s="252">
        <v>5</v>
      </c>
      <c r="F574" s="252">
        <v>12</v>
      </c>
      <c r="G574" s="252">
        <f t="shared" si="2"/>
        <v>7</v>
      </c>
      <c r="H574" s="256">
        <f t="shared" si="3"/>
        <v>0.41666666666666669</v>
      </c>
    </row>
    <row r="575" spans="1:8" ht="14.25" customHeight="1">
      <c r="A575" s="252"/>
      <c r="B575" s="252" t="s">
        <v>917</v>
      </c>
      <c r="C575" s="252">
        <v>2023</v>
      </c>
      <c r="D575" s="252" t="s">
        <v>832</v>
      </c>
      <c r="E575" s="252">
        <v>3</v>
      </c>
      <c r="F575" s="252">
        <v>15</v>
      </c>
      <c r="G575" s="252">
        <f t="shared" si="2"/>
        <v>12</v>
      </c>
      <c r="H575" s="256">
        <f t="shared" si="3"/>
        <v>0.2</v>
      </c>
    </row>
    <row r="576" spans="1:8" ht="14.25" customHeight="1">
      <c r="A576" s="252"/>
      <c r="B576" s="252" t="s">
        <v>917</v>
      </c>
      <c r="C576" s="252">
        <v>2023</v>
      </c>
      <c r="D576" s="252" t="s">
        <v>833</v>
      </c>
      <c r="E576" s="252">
        <v>9</v>
      </c>
      <c r="F576" s="252">
        <v>12</v>
      </c>
      <c r="G576" s="252">
        <f t="shared" si="2"/>
        <v>3</v>
      </c>
      <c r="H576" s="256">
        <f t="shared" si="3"/>
        <v>0.75</v>
      </c>
    </row>
    <row r="577" spans="1:8" ht="14.25" customHeight="1">
      <c r="A577" s="252"/>
      <c r="B577" s="252" t="s">
        <v>917</v>
      </c>
      <c r="C577" s="252">
        <v>2023</v>
      </c>
      <c r="D577" s="252" t="s">
        <v>834</v>
      </c>
      <c r="E577" s="252">
        <v>8</v>
      </c>
      <c r="F577" s="252">
        <v>12</v>
      </c>
      <c r="G577" s="252">
        <f t="shared" si="2"/>
        <v>4</v>
      </c>
      <c r="H577" s="256">
        <f t="shared" si="3"/>
        <v>0.66666666666666663</v>
      </c>
    </row>
    <row r="578" spans="1:8" ht="14.25" customHeight="1">
      <c r="A578" s="252"/>
      <c r="B578" s="252" t="s">
        <v>918</v>
      </c>
      <c r="C578" s="252">
        <v>2023</v>
      </c>
      <c r="D578" s="252" t="s">
        <v>823</v>
      </c>
      <c r="E578" s="252">
        <v>1</v>
      </c>
      <c r="F578" s="252">
        <v>5</v>
      </c>
      <c r="G578" s="252">
        <f t="shared" si="2"/>
        <v>4</v>
      </c>
      <c r="H578" s="256">
        <f t="shared" si="3"/>
        <v>0.2</v>
      </c>
    </row>
    <row r="579" spans="1:8" ht="14.25" customHeight="1">
      <c r="A579" s="252"/>
      <c r="B579" s="252" t="s">
        <v>918</v>
      </c>
      <c r="C579" s="252">
        <v>2023</v>
      </c>
      <c r="D579" s="252" t="s">
        <v>824</v>
      </c>
      <c r="E579" s="252">
        <v>10</v>
      </c>
      <c r="F579" s="252">
        <v>12</v>
      </c>
      <c r="G579" s="252">
        <f t="shared" si="2"/>
        <v>2</v>
      </c>
      <c r="H579" s="256">
        <f t="shared" si="3"/>
        <v>0.83333333333333337</v>
      </c>
    </row>
    <row r="580" spans="1:8" ht="14.25" customHeight="1">
      <c r="A580" s="252"/>
      <c r="B580" s="252" t="s">
        <v>918</v>
      </c>
      <c r="C580" s="252">
        <v>2023</v>
      </c>
      <c r="D580" s="252" t="s">
        <v>825</v>
      </c>
      <c r="E580" s="252">
        <v>12</v>
      </c>
      <c r="F580" s="252">
        <v>15</v>
      </c>
      <c r="G580" s="252">
        <f t="shared" si="2"/>
        <v>3</v>
      </c>
      <c r="H580" s="256">
        <f t="shared" si="3"/>
        <v>0.8</v>
      </c>
    </row>
    <row r="581" spans="1:8" ht="14.25" customHeight="1">
      <c r="A581" s="252"/>
      <c r="B581" s="252" t="s">
        <v>918</v>
      </c>
      <c r="C581" s="252">
        <v>2023</v>
      </c>
      <c r="D581" s="252" t="s">
        <v>826</v>
      </c>
      <c r="E581" s="252">
        <v>2</v>
      </c>
      <c r="F581" s="252">
        <v>12</v>
      </c>
      <c r="G581" s="252">
        <f t="shared" si="2"/>
        <v>10</v>
      </c>
      <c r="H581" s="256">
        <f t="shared" si="3"/>
        <v>0.16666666666666666</v>
      </c>
    </row>
    <row r="582" spans="1:8" ht="14.25" customHeight="1">
      <c r="A582" s="252"/>
      <c r="B582" s="252" t="s">
        <v>918</v>
      </c>
      <c r="C582" s="252">
        <v>2023</v>
      </c>
      <c r="D582" s="252" t="s">
        <v>827</v>
      </c>
      <c r="E582" s="252">
        <v>4</v>
      </c>
      <c r="F582" s="252">
        <v>15</v>
      </c>
      <c r="G582" s="252">
        <f t="shared" si="2"/>
        <v>11</v>
      </c>
      <c r="H582" s="256">
        <f t="shared" si="3"/>
        <v>0.26666666666666666</v>
      </c>
    </row>
    <row r="583" spans="1:8" ht="14.25" customHeight="1">
      <c r="A583" s="252"/>
      <c r="B583" s="252" t="s">
        <v>918</v>
      </c>
      <c r="C583" s="252">
        <v>2023</v>
      </c>
      <c r="D583" s="252" t="s">
        <v>828</v>
      </c>
      <c r="E583" s="252">
        <v>12</v>
      </c>
      <c r="F583" s="252">
        <v>12</v>
      </c>
      <c r="G583" s="252">
        <f t="shared" si="2"/>
        <v>0</v>
      </c>
      <c r="H583" s="256">
        <f t="shared" si="3"/>
        <v>1</v>
      </c>
    </row>
    <row r="584" spans="1:8" ht="14.25" customHeight="1">
      <c r="A584" s="252"/>
      <c r="B584" s="252" t="s">
        <v>918</v>
      </c>
      <c r="C584" s="252">
        <v>2023</v>
      </c>
      <c r="D584" s="252" t="s">
        <v>829</v>
      </c>
      <c r="E584" s="252">
        <v>10</v>
      </c>
      <c r="F584" s="252">
        <v>12</v>
      </c>
      <c r="G584" s="252">
        <f t="shared" si="2"/>
        <v>2</v>
      </c>
      <c r="H584" s="256">
        <f t="shared" si="3"/>
        <v>0.83333333333333337</v>
      </c>
    </row>
    <row r="585" spans="1:8" ht="14.25" customHeight="1">
      <c r="A585" s="252"/>
      <c r="B585" s="252" t="s">
        <v>918</v>
      </c>
      <c r="C585" s="252">
        <v>2023</v>
      </c>
      <c r="D585" s="252" t="s">
        <v>830</v>
      </c>
      <c r="E585" s="252">
        <v>5</v>
      </c>
      <c r="F585" s="252">
        <v>15</v>
      </c>
      <c r="G585" s="252">
        <f t="shared" si="2"/>
        <v>10</v>
      </c>
      <c r="H585" s="256">
        <f t="shared" si="3"/>
        <v>0.33333333333333331</v>
      </c>
    </row>
    <row r="586" spans="1:8" ht="14.25" customHeight="1">
      <c r="A586" s="252"/>
      <c r="B586" s="252" t="s">
        <v>918</v>
      </c>
      <c r="C586" s="252">
        <v>2023</v>
      </c>
      <c r="D586" s="252" t="s">
        <v>831</v>
      </c>
      <c r="E586" s="252">
        <v>9</v>
      </c>
      <c r="F586" s="252">
        <v>12</v>
      </c>
      <c r="G586" s="252">
        <f t="shared" si="2"/>
        <v>3</v>
      </c>
      <c r="H586" s="256">
        <f t="shared" si="3"/>
        <v>0.75</v>
      </c>
    </row>
    <row r="587" spans="1:8" ht="14.25" customHeight="1">
      <c r="A587" s="252"/>
      <c r="B587" s="252" t="s">
        <v>918</v>
      </c>
      <c r="C587" s="252">
        <v>2023</v>
      </c>
      <c r="D587" s="252" t="s">
        <v>832</v>
      </c>
      <c r="E587" s="252">
        <v>15</v>
      </c>
      <c r="F587" s="252">
        <v>15</v>
      </c>
      <c r="G587" s="252">
        <f t="shared" si="2"/>
        <v>0</v>
      </c>
      <c r="H587" s="256">
        <f t="shared" si="3"/>
        <v>1</v>
      </c>
    </row>
    <row r="588" spans="1:8" ht="14.25" customHeight="1">
      <c r="A588" s="252"/>
      <c r="B588" s="252" t="s">
        <v>918</v>
      </c>
      <c r="C588" s="252">
        <v>2023</v>
      </c>
      <c r="D588" s="252" t="s">
        <v>833</v>
      </c>
      <c r="E588" s="252">
        <v>12</v>
      </c>
      <c r="F588" s="252">
        <v>12</v>
      </c>
      <c r="G588" s="252">
        <f t="shared" si="2"/>
        <v>0</v>
      </c>
      <c r="H588" s="256">
        <f t="shared" si="3"/>
        <v>1</v>
      </c>
    </row>
    <row r="589" spans="1:8" ht="14.25" customHeight="1">
      <c r="A589" s="252"/>
      <c r="B589" s="252" t="s">
        <v>918</v>
      </c>
      <c r="C589" s="252">
        <v>2023</v>
      </c>
      <c r="D589" s="252" t="s">
        <v>834</v>
      </c>
      <c r="E589" s="252">
        <v>12</v>
      </c>
      <c r="F589" s="252">
        <v>12</v>
      </c>
      <c r="G589" s="252">
        <f t="shared" si="2"/>
        <v>0</v>
      </c>
      <c r="H589" s="256">
        <f t="shared" si="3"/>
        <v>1</v>
      </c>
    </row>
    <row r="590" spans="1:8" ht="14.25" customHeight="1">
      <c r="A590" s="257"/>
      <c r="B590" s="252" t="s">
        <v>783</v>
      </c>
      <c r="C590" s="252">
        <v>2023</v>
      </c>
      <c r="D590" s="252" t="s">
        <v>823</v>
      </c>
      <c r="E590" s="252">
        <v>3</v>
      </c>
      <c r="F590" s="252">
        <v>5</v>
      </c>
      <c r="G590" s="252">
        <v>2</v>
      </c>
      <c r="H590" s="256">
        <v>0.6</v>
      </c>
    </row>
    <row r="591" spans="1:8" ht="14.25" customHeight="1">
      <c r="A591" s="257"/>
      <c r="B591" s="252" t="s">
        <v>783</v>
      </c>
      <c r="C591" s="252">
        <v>2023</v>
      </c>
      <c r="D591" s="252" t="s">
        <v>824</v>
      </c>
      <c r="E591" s="252">
        <v>0</v>
      </c>
      <c r="F591" s="252">
        <v>12</v>
      </c>
      <c r="G591" s="252">
        <v>12</v>
      </c>
      <c r="H591" s="256">
        <v>0</v>
      </c>
    </row>
    <row r="592" spans="1:8" ht="14.25" customHeight="1">
      <c r="A592" s="257"/>
      <c r="B592" s="252" t="s">
        <v>783</v>
      </c>
      <c r="C592" s="252">
        <v>2023</v>
      </c>
      <c r="D592" s="252" t="s">
        <v>825</v>
      </c>
      <c r="E592" s="252">
        <v>3</v>
      </c>
      <c r="F592" s="252">
        <v>15</v>
      </c>
      <c r="G592" s="252">
        <v>12</v>
      </c>
      <c r="H592" s="256">
        <v>0.2</v>
      </c>
    </row>
    <row r="593" spans="1:8" ht="14.25" customHeight="1">
      <c r="A593" s="257"/>
      <c r="B593" s="252" t="s">
        <v>783</v>
      </c>
      <c r="C593" s="252">
        <v>2023</v>
      </c>
      <c r="D593" s="252" t="s">
        <v>826</v>
      </c>
      <c r="E593" s="252">
        <v>2</v>
      </c>
      <c r="F593" s="252">
        <v>12</v>
      </c>
      <c r="G593" s="252">
        <v>10</v>
      </c>
      <c r="H593" s="256">
        <v>0.16700000000000001</v>
      </c>
    </row>
    <row r="594" spans="1:8" ht="14.25" customHeight="1">
      <c r="A594" s="257"/>
      <c r="B594" s="252" t="s">
        <v>783</v>
      </c>
      <c r="C594" s="252">
        <v>2023</v>
      </c>
      <c r="D594" s="252" t="s">
        <v>827</v>
      </c>
      <c r="E594" s="252">
        <v>8</v>
      </c>
      <c r="F594" s="252">
        <v>15</v>
      </c>
      <c r="G594" s="252">
        <v>7</v>
      </c>
      <c r="H594" s="256">
        <v>0.53300000000000003</v>
      </c>
    </row>
    <row r="595" spans="1:8" ht="14.25" customHeight="1">
      <c r="A595" s="257"/>
      <c r="B595" s="252" t="s">
        <v>783</v>
      </c>
      <c r="C595" s="252">
        <v>2023</v>
      </c>
      <c r="D595" s="252" t="s">
        <v>828</v>
      </c>
      <c r="E595" s="252">
        <v>12</v>
      </c>
      <c r="F595" s="252">
        <v>12</v>
      </c>
      <c r="G595" s="252">
        <v>0</v>
      </c>
      <c r="H595" s="256">
        <v>1</v>
      </c>
    </row>
    <row r="596" spans="1:8" ht="14.25" customHeight="1">
      <c r="A596" s="257"/>
      <c r="B596" s="252" t="s">
        <v>783</v>
      </c>
      <c r="C596" s="252">
        <v>2023</v>
      </c>
      <c r="D596" s="252" t="s">
        <v>829</v>
      </c>
      <c r="E596" s="252">
        <v>9</v>
      </c>
      <c r="F596" s="252">
        <v>12</v>
      </c>
      <c r="G596" s="252">
        <v>3</v>
      </c>
      <c r="H596" s="256">
        <v>0.75</v>
      </c>
    </row>
    <row r="597" spans="1:8" ht="14.25" customHeight="1">
      <c r="A597" s="257"/>
      <c r="B597" s="252" t="s">
        <v>783</v>
      </c>
      <c r="C597" s="252">
        <v>2023</v>
      </c>
      <c r="D597" s="252" t="s">
        <v>830</v>
      </c>
      <c r="E597" s="252">
        <v>9</v>
      </c>
      <c r="F597" s="252">
        <v>15</v>
      </c>
      <c r="G597" s="252">
        <v>6</v>
      </c>
      <c r="H597" s="256">
        <v>0.6</v>
      </c>
    </row>
    <row r="598" spans="1:8" ht="14.25" customHeight="1">
      <c r="A598" s="257"/>
      <c r="B598" s="252" t="s">
        <v>783</v>
      </c>
      <c r="C598" s="252">
        <v>2023</v>
      </c>
      <c r="D598" s="252" t="s">
        <v>831</v>
      </c>
      <c r="E598" s="252">
        <v>3</v>
      </c>
      <c r="F598" s="252">
        <v>12</v>
      </c>
      <c r="G598" s="252">
        <v>9</v>
      </c>
      <c r="H598" s="256">
        <v>0.25</v>
      </c>
    </row>
    <row r="599" spans="1:8" ht="14.25" customHeight="1">
      <c r="A599" s="257"/>
      <c r="B599" s="252" t="s">
        <v>783</v>
      </c>
      <c r="C599" s="252">
        <v>2023</v>
      </c>
      <c r="D599" s="252" t="s">
        <v>832</v>
      </c>
      <c r="E599" s="252">
        <v>6</v>
      </c>
      <c r="F599" s="252">
        <v>15</v>
      </c>
      <c r="G599" s="252">
        <v>9</v>
      </c>
      <c r="H599" s="256">
        <v>0.4</v>
      </c>
    </row>
    <row r="600" spans="1:8" ht="14.25" customHeight="1">
      <c r="A600" s="257"/>
      <c r="B600" s="252" t="s">
        <v>783</v>
      </c>
      <c r="C600" s="252">
        <v>2023</v>
      </c>
      <c r="D600" s="252" t="s">
        <v>833</v>
      </c>
      <c r="E600" s="252">
        <v>10</v>
      </c>
      <c r="F600" s="252">
        <v>12</v>
      </c>
      <c r="G600" s="252">
        <v>2</v>
      </c>
      <c r="H600" s="256">
        <v>0.83299999999999996</v>
      </c>
    </row>
    <row r="601" spans="1:8" ht="14.25" customHeight="1">
      <c r="A601" s="257"/>
      <c r="B601" s="252" t="s">
        <v>783</v>
      </c>
      <c r="C601" s="252">
        <v>2023</v>
      </c>
      <c r="D601" s="252" t="s">
        <v>834</v>
      </c>
      <c r="E601" s="252">
        <v>7</v>
      </c>
      <c r="F601" s="252">
        <v>7</v>
      </c>
      <c r="G601" s="252">
        <v>0</v>
      </c>
      <c r="H601" s="256">
        <v>1</v>
      </c>
    </row>
    <row r="602" spans="1:8" ht="14.25" customHeight="1">
      <c r="A602" s="257"/>
      <c r="B602" s="252" t="s">
        <v>920</v>
      </c>
      <c r="C602" s="252">
        <v>2023</v>
      </c>
      <c r="D602" s="252" t="s">
        <v>823</v>
      </c>
      <c r="E602" s="252">
        <v>5</v>
      </c>
      <c r="F602" s="252">
        <v>5</v>
      </c>
      <c r="G602" s="252">
        <v>0</v>
      </c>
      <c r="H602" s="256">
        <v>1</v>
      </c>
    </row>
    <row r="603" spans="1:8" ht="14.25" customHeight="1">
      <c r="A603" s="257"/>
      <c r="B603" s="252" t="s">
        <v>920</v>
      </c>
      <c r="C603" s="252">
        <v>2023</v>
      </c>
      <c r="D603" s="252" t="s">
        <v>824</v>
      </c>
      <c r="E603" s="252">
        <v>11</v>
      </c>
      <c r="F603" s="252">
        <v>12</v>
      </c>
      <c r="G603" s="252">
        <v>1</v>
      </c>
      <c r="H603" s="256">
        <v>0.91700000000000004</v>
      </c>
    </row>
    <row r="604" spans="1:8" ht="14.25" customHeight="1">
      <c r="A604" s="257"/>
      <c r="B604" s="252" t="s">
        <v>920</v>
      </c>
      <c r="C604" s="252">
        <v>2023</v>
      </c>
      <c r="D604" s="252" t="s">
        <v>825</v>
      </c>
      <c r="E604" s="252">
        <v>13</v>
      </c>
      <c r="F604" s="252">
        <v>15</v>
      </c>
      <c r="G604" s="252">
        <v>2</v>
      </c>
      <c r="H604" s="256">
        <v>0.86699999999999999</v>
      </c>
    </row>
    <row r="605" spans="1:8" ht="14.25" customHeight="1">
      <c r="A605" s="257"/>
      <c r="B605" s="252" t="s">
        <v>920</v>
      </c>
      <c r="C605" s="252">
        <v>2023</v>
      </c>
      <c r="D605" s="252" t="s">
        <v>826</v>
      </c>
      <c r="E605" s="252">
        <v>2</v>
      </c>
      <c r="F605" s="252">
        <v>12</v>
      </c>
      <c r="G605" s="252">
        <v>10</v>
      </c>
      <c r="H605" s="256">
        <v>0.16700000000000001</v>
      </c>
    </row>
    <row r="606" spans="1:8" ht="14.25" customHeight="1">
      <c r="A606" s="257"/>
      <c r="B606" s="252" t="s">
        <v>920</v>
      </c>
      <c r="C606" s="252">
        <v>2023</v>
      </c>
      <c r="D606" s="252" t="s">
        <v>827</v>
      </c>
      <c r="E606" s="252">
        <v>0</v>
      </c>
      <c r="F606" s="252">
        <v>15</v>
      </c>
      <c r="G606" s="252">
        <v>15</v>
      </c>
      <c r="H606" s="256">
        <v>0</v>
      </c>
    </row>
    <row r="607" spans="1:8" ht="14.25" customHeight="1">
      <c r="A607" s="257"/>
      <c r="B607" s="252" t="s">
        <v>920</v>
      </c>
      <c r="C607" s="252">
        <v>2023</v>
      </c>
      <c r="D607" s="252" t="s">
        <v>828</v>
      </c>
      <c r="E607" s="252">
        <v>0</v>
      </c>
      <c r="F607" s="252">
        <v>12</v>
      </c>
      <c r="G607" s="252">
        <v>12</v>
      </c>
      <c r="H607" s="256">
        <v>0</v>
      </c>
    </row>
    <row r="608" spans="1:8" ht="14.25" customHeight="1">
      <c r="A608" s="257"/>
      <c r="B608" s="252" t="s">
        <v>920</v>
      </c>
      <c r="C608" s="252">
        <v>2023</v>
      </c>
      <c r="D608" s="252" t="s">
        <v>829</v>
      </c>
      <c r="E608" s="252">
        <v>2</v>
      </c>
      <c r="F608" s="252">
        <v>12</v>
      </c>
      <c r="G608" s="252">
        <v>10</v>
      </c>
      <c r="H608" s="256">
        <v>0.16700000000000001</v>
      </c>
    </row>
    <row r="609" spans="1:8" ht="14.25" customHeight="1">
      <c r="A609" s="257"/>
      <c r="B609" s="252" t="s">
        <v>920</v>
      </c>
      <c r="C609" s="252">
        <v>2023</v>
      </c>
      <c r="D609" s="252" t="s">
        <v>830</v>
      </c>
      <c r="E609" s="252">
        <v>6</v>
      </c>
      <c r="F609" s="252">
        <v>15</v>
      </c>
      <c r="G609" s="252">
        <v>9</v>
      </c>
      <c r="H609" s="256">
        <v>0.4</v>
      </c>
    </row>
    <row r="610" spans="1:8" ht="14.25" customHeight="1">
      <c r="A610" s="257"/>
      <c r="B610" s="252" t="s">
        <v>920</v>
      </c>
      <c r="C610" s="252">
        <v>2023</v>
      </c>
      <c r="D610" s="252" t="s">
        <v>831</v>
      </c>
      <c r="E610" s="252">
        <v>4</v>
      </c>
      <c r="F610" s="252">
        <v>12</v>
      </c>
      <c r="G610" s="252">
        <v>8</v>
      </c>
      <c r="H610" s="256">
        <v>0.33300000000000002</v>
      </c>
    </row>
    <row r="611" spans="1:8" ht="14.25" customHeight="1">
      <c r="A611" s="257"/>
      <c r="B611" s="252" t="s">
        <v>920</v>
      </c>
      <c r="C611" s="252">
        <v>2023</v>
      </c>
      <c r="D611" s="252" t="s">
        <v>832</v>
      </c>
      <c r="E611" s="252">
        <v>15</v>
      </c>
      <c r="F611" s="252">
        <v>15</v>
      </c>
      <c r="G611" s="252">
        <v>0</v>
      </c>
      <c r="H611" s="256">
        <v>1</v>
      </c>
    </row>
    <row r="612" spans="1:8" ht="14.25" customHeight="1">
      <c r="A612" s="257"/>
      <c r="B612" s="252" t="s">
        <v>920</v>
      </c>
      <c r="C612" s="252">
        <v>2023</v>
      </c>
      <c r="D612" s="252" t="s">
        <v>833</v>
      </c>
      <c r="E612" s="252">
        <v>12</v>
      </c>
      <c r="F612" s="252">
        <v>12</v>
      </c>
      <c r="G612" s="252">
        <v>0</v>
      </c>
      <c r="H612" s="256">
        <v>1</v>
      </c>
    </row>
    <row r="613" spans="1:8" ht="14.25" customHeight="1">
      <c r="A613" s="257"/>
      <c r="B613" s="252" t="s">
        <v>920</v>
      </c>
      <c r="C613" s="252">
        <v>2023</v>
      </c>
      <c r="D613" s="252" t="s">
        <v>834</v>
      </c>
      <c r="E613" s="252">
        <v>10</v>
      </c>
      <c r="F613" s="252">
        <v>12</v>
      </c>
      <c r="G613" s="252">
        <v>2</v>
      </c>
      <c r="H613" s="256">
        <v>0.83299999999999996</v>
      </c>
    </row>
    <row r="614" spans="1:8" ht="14.25" customHeight="1">
      <c r="A614" s="257"/>
      <c r="B614" s="252" t="s">
        <v>922</v>
      </c>
      <c r="C614" s="252">
        <v>2023</v>
      </c>
      <c r="D614" s="252" t="s">
        <v>823</v>
      </c>
      <c r="E614" s="252">
        <v>5</v>
      </c>
      <c r="F614" s="252">
        <v>5</v>
      </c>
      <c r="G614" s="252">
        <v>0</v>
      </c>
      <c r="H614" s="256">
        <v>1</v>
      </c>
    </row>
    <row r="615" spans="1:8" ht="14.25" customHeight="1">
      <c r="A615" s="257"/>
      <c r="B615" s="252" t="s">
        <v>922</v>
      </c>
      <c r="C615" s="252">
        <v>2023</v>
      </c>
      <c r="D615" s="252" t="s">
        <v>824</v>
      </c>
      <c r="E615" s="252">
        <v>12</v>
      </c>
      <c r="F615" s="252">
        <v>12</v>
      </c>
      <c r="G615" s="252">
        <v>0</v>
      </c>
      <c r="H615" s="256">
        <v>1</v>
      </c>
    </row>
    <row r="616" spans="1:8" ht="14.25" customHeight="1">
      <c r="A616" s="257"/>
      <c r="B616" s="252" t="s">
        <v>922</v>
      </c>
      <c r="C616" s="252">
        <v>2023</v>
      </c>
      <c r="D616" s="252" t="s">
        <v>825</v>
      </c>
      <c r="E616" s="252">
        <v>15</v>
      </c>
      <c r="F616" s="252">
        <v>15</v>
      </c>
      <c r="G616" s="252">
        <v>0</v>
      </c>
      <c r="H616" s="256">
        <v>1</v>
      </c>
    </row>
    <row r="617" spans="1:8" ht="14.25" customHeight="1">
      <c r="A617" s="257"/>
      <c r="B617" s="252" t="s">
        <v>922</v>
      </c>
      <c r="C617" s="252">
        <v>2023</v>
      </c>
      <c r="D617" s="252" t="s">
        <v>826</v>
      </c>
      <c r="E617" s="252">
        <v>2</v>
      </c>
      <c r="F617" s="252">
        <v>12</v>
      </c>
      <c r="G617" s="252">
        <v>10</v>
      </c>
      <c r="H617" s="256">
        <v>0.16700000000000001</v>
      </c>
    </row>
    <row r="618" spans="1:8" ht="14.25" customHeight="1">
      <c r="A618" s="257"/>
      <c r="B618" s="252" t="s">
        <v>922</v>
      </c>
      <c r="C618" s="252">
        <v>2023</v>
      </c>
      <c r="D618" s="252" t="s">
        <v>827</v>
      </c>
      <c r="E618" s="252">
        <v>1</v>
      </c>
      <c r="F618" s="252">
        <v>15</v>
      </c>
      <c r="G618" s="252">
        <v>14</v>
      </c>
      <c r="H618" s="256">
        <v>6.7000000000000004E-2</v>
      </c>
    </row>
    <row r="619" spans="1:8" ht="14.25" customHeight="1">
      <c r="A619" s="257"/>
      <c r="B619" s="252" t="s">
        <v>922</v>
      </c>
      <c r="C619" s="252">
        <v>2023</v>
      </c>
      <c r="D619" s="252" t="s">
        <v>828</v>
      </c>
      <c r="E619" s="252">
        <v>12</v>
      </c>
      <c r="F619" s="252">
        <v>12</v>
      </c>
      <c r="G619" s="252">
        <v>0</v>
      </c>
      <c r="H619" s="256">
        <v>1</v>
      </c>
    </row>
    <row r="620" spans="1:8" ht="14.25" customHeight="1">
      <c r="A620" s="257"/>
      <c r="B620" s="252" t="s">
        <v>922</v>
      </c>
      <c r="C620" s="252">
        <v>2023</v>
      </c>
      <c r="D620" s="252" t="s">
        <v>829</v>
      </c>
      <c r="E620" s="252">
        <v>3</v>
      </c>
      <c r="F620" s="252">
        <v>12</v>
      </c>
      <c r="G620" s="252">
        <v>9</v>
      </c>
      <c r="H620" s="256">
        <v>0.25</v>
      </c>
    </row>
    <row r="621" spans="1:8" ht="14.25" customHeight="1">
      <c r="A621" s="257"/>
      <c r="B621" s="252" t="s">
        <v>922</v>
      </c>
      <c r="C621" s="252">
        <v>2023</v>
      </c>
      <c r="D621" s="252" t="s">
        <v>830</v>
      </c>
      <c r="E621" s="252">
        <v>15</v>
      </c>
      <c r="F621" s="252">
        <v>15</v>
      </c>
      <c r="G621" s="252">
        <v>0</v>
      </c>
      <c r="H621" s="256">
        <v>1</v>
      </c>
    </row>
    <row r="622" spans="1:8" ht="14.25" customHeight="1">
      <c r="A622" s="257"/>
      <c r="B622" s="252" t="s">
        <v>922</v>
      </c>
      <c r="C622" s="252">
        <v>2023</v>
      </c>
      <c r="D622" s="252" t="s">
        <v>831</v>
      </c>
      <c r="E622" s="252">
        <v>6</v>
      </c>
      <c r="F622" s="252">
        <v>12</v>
      </c>
      <c r="G622" s="252">
        <v>6</v>
      </c>
      <c r="H622" s="256">
        <v>0.5</v>
      </c>
    </row>
    <row r="623" spans="1:8" ht="14.25" customHeight="1">
      <c r="A623" s="257"/>
      <c r="B623" s="252" t="s">
        <v>922</v>
      </c>
      <c r="C623" s="252">
        <v>2023</v>
      </c>
      <c r="D623" s="252" t="s">
        <v>832</v>
      </c>
      <c r="E623" s="252">
        <v>15</v>
      </c>
      <c r="F623" s="252">
        <v>15</v>
      </c>
      <c r="G623" s="252">
        <v>0</v>
      </c>
      <c r="H623" s="256">
        <v>1</v>
      </c>
    </row>
    <row r="624" spans="1:8" ht="14.25" customHeight="1">
      <c r="A624" s="257"/>
      <c r="B624" s="252" t="s">
        <v>922</v>
      </c>
      <c r="C624" s="252">
        <v>2023</v>
      </c>
      <c r="D624" s="252" t="s">
        <v>833</v>
      </c>
      <c r="E624" s="252">
        <v>12</v>
      </c>
      <c r="F624" s="252">
        <v>12</v>
      </c>
      <c r="G624" s="252">
        <v>0</v>
      </c>
      <c r="H624" s="256">
        <v>1</v>
      </c>
    </row>
    <row r="625" spans="1:8" ht="14.25" customHeight="1">
      <c r="A625" s="257"/>
      <c r="B625" s="252" t="s">
        <v>922</v>
      </c>
      <c r="C625" s="252">
        <v>2023</v>
      </c>
      <c r="D625" s="252" t="s">
        <v>834</v>
      </c>
      <c r="E625" s="252">
        <v>12</v>
      </c>
      <c r="F625" s="252">
        <v>12</v>
      </c>
      <c r="G625" s="252">
        <v>0</v>
      </c>
      <c r="H625" s="256">
        <v>1</v>
      </c>
    </row>
    <row r="626" spans="1:8" ht="14.25" customHeight="1">
      <c r="A626" s="257"/>
      <c r="B626" s="252" t="s">
        <v>924</v>
      </c>
      <c r="C626" s="252">
        <v>2023</v>
      </c>
      <c r="D626" s="252" t="s">
        <v>823</v>
      </c>
      <c r="E626" s="252">
        <v>5</v>
      </c>
      <c r="F626" s="252">
        <v>5</v>
      </c>
      <c r="G626" s="252">
        <v>0</v>
      </c>
      <c r="H626" s="256">
        <v>1</v>
      </c>
    </row>
    <row r="627" spans="1:8" ht="14.25" customHeight="1">
      <c r="A627" s="257"/>
      <c r="B627" s="252" t="s">
        <v>924</v>
      </c>
      <c r="C627" s="252">
        <v>2023</v>
      </c>
      <c r="D627" s="252" t="s">
        <v>824</v>
      </c>
      <c r="E627" s="252">
        <v>12</v>
      </c>
      <c r="F627" s="252">
        <v>12</v>
      </c>
      <c r="G627" s="252">
        <v>0</v>
      </c>
      <c r="H627" s="256">
        <v>1</v>
      </c>
    </row>
    <row r="628" spans="1:8" ht="14.25" customHeight="1">
      <c r="A628" s="257"/>
      <c r="B628" s="252" t="s">
        <v>924</v>
      </c>
      <c r="C628" s="252">
        <v>2023</v>
      </c>
      <c r="D628" s="252" t="s">
        <v>825</v>
      </c>
      <c r="E628" s="252">
        <v>15</v>
      </c>
      <c r="F628" s="252">
        <v>15</v>
      </c>
      <c r="G628" s="252">
        <v>0</v>
      </c>
      <c r="H628" s="256">
        <v>1</v>
      </c>
    </row>
    <row r="629" spans="1:8" ht="14.25" customHeight="1">
      <c r="A629" s="257"/>
      <c r="B629" s="252" t="s">
        <v>924</v>
      </c>
      <c r="C629" s="252">
        <v>2023</v>
      </c>
      <c r="D629" s="252" t="s">
        <v>826</v>
      </c>
      <c r="E629" s="252">
        <v>12</v>
      </c>
      <c r="F629" s="252">
        <v>12</v>
      </c>
      <c r="G629" s="252">
        <v>0</v>
      </c>
      <c r="H629" s="256">
        <v>1</v>
      </c>
    </row>
    <row r="630" spans="1:8" ht="14.25" customHeight="1">
      <c r="A630" s="257"/>
      <c r="B630" s="252" t="s">
        <v>924</v>
      </c>
      <c r="C630" s="252">
        <v>2023</v>
      </c>
      <c r="D630" s="252" t="s">
        <v>827</v>
      </c>
      <c r="E630" s="252">
        <v>15</v>
      </c>
      <c r="F630" s="252">
        <v>15</v>
      </c>
      <c r="G630" s="252">
        <v>0</v>
      </c>
      <c r="H630" s="256">
        <v>1</v>
      </c>
    </row>
    <row r="631" spans="1:8" ht="14.25" customHeight="1">
      <c r="A631" s="257"/>
      <c r="B631" s="252" t="s">
        <v>924</v>
      </c>
      <c r="C631" s="252">
        <v>2023</v>
      </c>
      <c r="D631" s="252" t="s">
        <v>828</v>
      </c>
      <c r="E631" s="252">
        <v>12</v>
      </c>
      <c r="F631" s="252">
        <v>12</v>
      </c>
      <c r="G631" s="252">
        <v>0</v>
      </c>
      <c r="H631" s="256">
        <v>1</v>
      </c>
    </row>
    <row r="632" spans="1:8" ht="14.25" customHeight="1">
      <c r="A632" s="257"/>
      <c r="B632" s="252" t="s">
        <v>924</v>
      </c>
      <c r="C632" s="252">
        <v>2023</v>
      </c>
      <c r="D632" s="252" t="s">
        <v>829</v>
      </c>
      <c r="E632" s="252">
        <v>12</v>
      </c>
      <c r="F632" s="252">
        <v>12</v>
      </c>
      <c r="G632" s="252">
        <v>0</v>
      </c>
      <c r="H632" s="256">
        <v>1</v>
      </c>
    </row>
    <row r="633" spans="1:8" ht="14.25" customHeight="1">
      <c r="A633" s="257"/>
      <c r="B633" s="252" t="s">
        <v>924</v>
      </c>
      <c r="C633" s="252">
        <v>2023</v>
      </c>
      <c r="D633" s="252" t="s">
        <v>830</v>
      </c>
      <c r="E633" s="252">
        <v>15</v>
      </c>
      <c r="F633" s="252">
        <v>15</v>
      </c>
      <c r="G633" s="252">
        <v>0</v>
      </c>
      <c r="H633" s="256">
        <v>1</v>
      </c>
    </row>
    <row r="634" spans="1:8" ht="14.25" customHeight="1">
      <c r="A634" s="257"/>
      <c r="B634" s="252" t="s">
        <v>924</v>
      </c>
      <c r="C634" s="252">
        <v>2023</v>
      </c>
      <c r="D634" s="252" t="s">
        <v>831</v>
      </c>
      <c r="E634" s="252">
        <v>12</v>
      </c>
      <c r="F634" s="252">
        <v>12</v>
      </c>
      <c r="G634" s="252">
        <v>0</v>
      </c>
      <c r="H634" s="256">
        <v>1</v>
      </c>
    </row>
    <row r="635" spans="1:8" ht="14.25" customHeight="1">
      <c r="A635" s="257"/>
      <c r="B635" s="252" t="s">
        <v>924</v>
      </c>
      <c r="C635" s="252">
        <v>2023</v>
      </c>
      <c r="D635" s="252" t="s">
        <v>832</v>
      </c>
      <c r="E635" s="252">
        <v>15</v>
      </c>
      <c r="F635" s="252">
        <v>15</v>
      </c>
      <c r="G635" s="252">
        <v>0</v>
      </c>
      <c r="H635" s="256">
        <v>1</v>
      </c>
    </row>
    <row r="636" spans="1:8" ht="14.25" customHeight="1">
      <c r="A636" s="257"/>
      <c r="B636" s="252" t="s">
        <v>924</v>
      </c>
      <c r="C636" s="252">
        <v>2023</v>
      </c>
      <c r="D636" s="252" t="s">
        <v>833</v>
      </c>
      <c r="E636" s="252">
        <v>12</v>
      </c>
      <c r="F636" s="252">
        <v>12</v>
      </c>
      <c r="G636" s="252">
        <v>0</v>
      </c>
      <c r="H636" s="256">
        <v>1</v>
      </c>
    </row>
    <row r="637" spans="1:8" ht="14.25" customHeight="1">
      <c r="A637" s="258"/>
      <c r="B637" s="252" t="s">
        <v>924</v>
      </c>
      <c r="C637" s="252">
        <v>2023</v>
      </c>
      <c r="D637" s="252" t="s">
        <v>834</v>
      </c>
      <c r="E637" s="252">
        <v>12</v>
      </c>
      <c r="F637" s="252">
        <v>12</v>
      </c>
      <c r="G637" s="252">
        <v>0</v>
      </c>
      <c r="H637" s="256">
        <v>1</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29FE-CD6B-479A-B51E-84F8E528856C}">
  <dimension ref="A1:F5218"/>
  <sheetViews>
    <sheetView showGridLines="0" workbookViewId="0">
      <pane ySplit="1" topLeftCell="A5121" activePane="bottomLeft" state="frozen"/>
      <selection pane="bottomLeft" activeCell="C5241" sqref="C5241"/>
    </sheetView>
  </sheetViews>
  <sheetFormatPr defaultRowHeight="14.25" customHeight="1"/>
  <cols>
    <col min="1" max="1" width="10.5" bestFit="1" customWidth="1"/>
    <col min="2" max="2" width="6.25" bestFit="1" customWidth="1"/>
    <col min="3" max="3" width="23.625" customWidth="1"/>
    <col min="4" max="4" width="28.125" customWidth="1"/>
    <col min="5" max="5" width="28.125" style="203" customWidth="1"/>
    <col min="6" max="6" width="28.125" customWidth="1"/>
    <col min="9" max="9" width="11.625" customWidth="1"/>
  </cols>
  <sheetData>
    <row r="1" spans="1:6" ht="20.100000000000001">
      <c r="A1" s="281" t="s">
        <v>818</v>
      </c>
      <c r="B1" s="281" t="s">
        <v>899</v>
      </c>
      <c r="C1" s="281" t="s">
        <v>927</v>
      </c>
      <c r="D1" s="281" t="s">
        <v>928</v>
      </c>
      <c r="E1" s="282" t="s">
        <v>929</v>
      </c>
      <c r="F1" s="283" t="s">
        <v>2</v>
      </c>
    </row>
    <row r="2" spans="1:6" ht="14.1">
      <c r="A2" s="113" t="s">
        <v>823</v>
      </c>
      <c r="B2" s="113">
        <v>2026</v>
      </c>
      <c r="C2" s="113" t="s">
        <v>821</v>
      </c>
      <c r="D2" s="113" t="s">
        <v>132</v>
      </c>
      <c r="E2" s="113" t="s">
        <v>930</v>
      </c>
      <c r="F2" s="113" t="s">
        <v>906</v>
      </c>
    </row>
    <row r="3" spans="1:6" ht="14.1">
      <c r="A3" s="113" t="s">
        <v>823</v>
      </c>
      <c r="B3" s="113">
        <v>2026</v>
      </c>
      <c r="C3" s="113" t="s">
        <v>821</v>
      </c>
      <c r="D3" s="113" t="s">
        <v>931</v>
      </c>
      <c r="E3" s="113" t="s">
        <v>932</v>
      </c>
      <c r="F3" s="113" t="s">
        <v>915</v>
      </c>
    </row>
    <row r="4" spans="1:6" ht="14.1">
      <c r="A4" s="113" t="s">
        <v>823</v>
      </c>
      <c r="B4" s="113">
        <v>2026</v>
      </c>
      <c r="C4" s="113" t="s">
        <v>821</v>
      </c>
      <c r="D4" s="113" t="s">
        <v>931</v>
      </c>
      <c r="E4" s="113" t="s">
        <v>933</v>
      </c>
      <c r="F4" s="113" t="s">
        <v>918</v>
      </c>
    </row>
    <row r="5" spans="1:6" ht="14.1">
      <c r="A5" s="113" t="s">
        <v>823</v>
      </c>
      <c r="B5" s="113">
        <v>2026</v>
      </c>
      <c r="C5" s="113" t="s">
        <v>821</v>
      </c>
      <c r="D5" s="113" t="s">
        <v>934</v>
      </c>
      <c r="E5" s="113" t="s">
        <v>2</v>
      </c>
      <c r="F5" s="113" t="s">
        <v>906</v>
      </c>
    </row>
    <row r="6" spans="1:6" ht="14.1">
      <c r="A6" s="113" t="s">
        <v>823</v>
      </c>
      <c r="B6" s="113">
        <v>2026</v>
      </c>
      <c r="C6" s="113" t="s">
        <v>821</v>
      </c>
      <c r="D6" s="113" t="s">
        <v>934</v>
      </c>
      <c r="E6" s="113" t="s">
        <v>2</v>
      </c>
      <c r="F6" s="113" t="s">
        <v>935</v>
      </c>
    </row>
    <row r="7" spans="1:6" ht="14.1">
      <c r="A7" s="113" t="s">
        <v>823</v>
      </c>
      <c r="B7" s="113">
        <v>2026</v>
      </c>
      <c r="C7" s="113" t="s">
        <v>821</v>
      </c>
      <c r="D7" s="113" t="s">
        <v>132</v>
      </c>
      <c r="E7" s="113" t="s">
        <v>936</v>
      </c>
      <c r="F7" s="113" t="s">
        <v>783</v>
      </c>
    </row>
    <row r="8" spans="1:6" ht="14.1">
      <c r="A8" s="113" t="s">
        <v>823</v>
      </c>
      <c r="B8" s="113">
        <v>2026</v>
      </c>
      <c r="C8" s="113" t="s">
        <v>821</v>
      </c>
      <c r="D8" s="113" t="s">
        <v>931</v>
      </c>
      <c r="E8" s="113" t="s">
        <v>937</v>
      </c>
      <c r="F8" s="113" t="s">
        <v>783</v>
      </c>
    </row>
    <row r="9" spans="1:6" ht="14.1">
      <c r="A9" s="113" t="s">
        <v>823</v>
      </c>
      <c r="B9" s="113">
        <v>2026</v>
      </c>
      <c r="C9" s="113" t="s">
        <v>821</v>
      </c>
      <c r="D9" s="113" t="s">
        <v>934</v>
      </c>
      <c r="E9" s="113" t="s">
        <v>938</v>
      </c>
      <c r="F9" s="113" t="s">
        <v>663</v>
      </c>
    </row>
    <row r="10" spans="1:6" ht="14.1">
      <c r="A10" s="113" t="s">
        <v>823</v>
      </c>
      <c r="B10" s="113">
        <v>2026</v>
      </c>
      <c r="C10" s="113" t="s">
        <v>821</v>
      </c>
      <c r="D10" s="113" t="s">
        <v>934</v>
      </c>
      <c r="E10" s="113" t="s">
        <v>2</v>
      </c>
      <c r="F10" s="113" t="s">
        <v>906</v>
      </c>
    </row>
    <row r="11" spans="1:6" ht="14.1">
      <c r="A11" s="113" t="s">
        <v>823</v>
      </c>
      <c r="B11" s="113">
        <v>2026</v>
      </c>
      <c r="C11" s="113" t="s">
        <v>821</v>
      </c>
      <c r="D11" s="113" t="s">
        <v>216</v>
      </c>
      <c r="E11" s="113" t="s">
        <v>933</v>
      </c>
      <c r="F11" s="113" t="s">
        <v>918</v>
      </c>
    </row>
    <row r="12" spans="1:6" ht="14.1">
      <c r="A12" s="113" t="s">
        <v>823</v>
      </c>
      <c r="B12" s="113">
        <v>2026</v>
      </c>
      <c r="C12" s="113" t="s">
        <v>821</v>
      </c>
      <c r="D12" s="113" t="s">
        <v>132</v>
      </c>
      <c r="E12" s="113" t="s">
        <v>939</v>
      </c>
      <c r="F12" s="113" t="s">
        <v>909</v>
      </c>
    </row>
    <row r="13" spans="1:6" ht="14.1">
      <c r="A13" s="113" t="s">
        <v>823</v>
      </c>
      <c r="B13" s="113">
        <v>2026</v>
      </c>
      <c r="C13" s="113" t="s">
        <v>821</v>
      </c>
      <c r="D13" s="113" t="s">
        <v>934</v>
      </c>
      <c r="E13" s="113" t="s">
        <v>940</v>
      </c>
      <c r="F13" s="113" t="s">
        <v>922</v>
      </c>
    </row>
    <row r="14" spans="1:6" ht="14.1">
      <c r="A14" s="113" t="s">
        <v>823</v>
      </c>
      <c r="B14" s="113">
        <v>2026</v>
      </c>
      <c r="C14" s="113" t="s">
        <v>821</v>
      </c>
      <c r="D14" s="113" t="s">
        <v>216</v>
      </c>
      <c r="E14" s="113" t="s">
        <v>941</v>
      </c>
      <c r="F14" s="113" t="s">
        <v>663</v>
      </c>
    </row>
    <row r="15" spans="1:6" ht="14.1">
      <c r="A15" s="113" t="s">
        <v>823</v>
      </c>
      <c r="B15" s="113">
        <v>2026</v>
      </c>
      <c r="C15" s="113" t="s">
        <v>821</v>
      </c>
      <c r="D15" s="113" t="s">
        <v>934</v>
      </c>
      <c r="E15" s="113" t="s">
        <v>942</v>
      </c>
      <c r="F15" s="113" t="s">
        <v>918</v>
      </c>
    </row>
    <row r="16" spans="1:6" ht="14.1">
      <c r="A16" s="113" t="s">
        <v>823</v>
      </c>
      <c r="B16" s="113">
        <v>2026</v>
      </c>
      <c r="C16" s="113" t="s">
        <v>821</v>
      </c>
      <c r="D16" s="113" t="s">
        <v>934</v>
      </c>
      <c r="E16" s="113" t="s">
        <v>943</v>
      </c>
      <c r="F16" s="113" t="s">
        <v>917</v>
      </c>
    </row>
    <row r="17" spans="1:6" ht="14.1">
      <c r="A17" s="113" t="s">
        <v>823</v>
      </c>
      <c r="B17" s="113">
        <v>2026</v>
      </c>
      <c r="C17" s="113" t="s">
        <v>821</v>
      </c>
      <c r="D17" s="113" t="s">
        <v>132</v>
      </c>
      <c r="E17" s="113" t="s">
        <v>944</v>
      </c>
      <c r="F17" s="113" t="s">
        <v>917</v>
      </c>
    </row>
    <row r="18" spans="1:6" ht="14.1">
      <c r="A18" s="113" t="s">
        <v>823</v>
      </c>
      <c r="B18" s="113">
        <v>2026</v>
      </c>
      <c r="C18" s="113" t="s">
        <v>821</v>
      </c>
      <c r="D18" s="113" t="s">
        <v>934</v>
      </c>
      <c r="E18" s="113" t="s">
        <v>943</v>
      </c>
      <c r="F18" s="113" t="s">
        <v>917</v>
      </c>
    </row>
    <row r="19" spans="1:6" ht="14.1">
      <c r="A19" s="113" t="s">
        <v>823</v>
      </c>
      <c r="B19" s="113">
        <v>2026</v>
      </c>
      <c r="C19" s="113" t="s">
        <v>821</v>
      </c>
      <c r="D19" s="113" t="s">
        <v>934</v>
      </c>
      <c r="E19" s="113" t="s">
        <v>945</v>
      </c>
      <c r="F19" s="113" t="s">
        <v>917</v>
      </c>
    </row>
    <row r="20" spans="1:6" ht="14.1">
      <c r="A20" s="113" t="s">
        <v>823</v>
      </c>
      <c r="B20" s="113">
        <v>2026</v>
      </c>
      <c r="C20" s="113" t="s">
        <v>821</v>
      </c>
      <c r="D20" s="113" t="s">
        <v>216</v>
      </c>
      <c r="E20" s="113" t="s">
        <v>2</v>
      </c>
      <c r="F20" s="113" t="s">
        <v>917</v>
      </c>
    </row>
    <row r="21" spans="1:6" ht="14.1">
      <c r="A21" s="113" t="s">
        <v>823</v>
      </c>
      <c r="B21" s="113">
        <v>2026</v>
      </c>
      <c r="C21" s="113" t="s">
        <v>821</v>
      </c>
      <c r="D21" s="113" t="s">
        <v>934</v>
      </c>
      <c r="E21" s="113" t="s">
        <v>944</v>
      </c>
      <c r="F21" s="113" t="s">
        <v>483</v>
      </c>
    </row>
    <row r="22" spans="1:6" ht="14.1">
      <c r="A22" s="113" t="s">
        <v>823</v>
      </c>
      <c r="B22" s="113">
        <v>2026</v>
      </c>
      <c r="C22" s="113" t="s">
        <v>821</v>
      </c>
      <c r="D22" s="113" t="s">
        <v>934</v>
      </c>
      <c r="E22" s="113" t="s">
        <v>946</v>
      </c>
      <c r="F22" s="113" t="s">
        <v>924</v>
      </c>
    </row>
    <row r="23" spans="1:6" ht="14.1">
      <c r="A23" s="113" t="s">
        <v>823</v>
      </c>
      <c r="B23" s="113">
        <v>2026</v>
      </c>
      <c r="C23" s="113" t="s">
        <v>821</v>
      </c>
      <c r="D23" s="113" t="s">
        <v>934</v>
      </c>
      <c r="E23" s="113" t="s">
        <v>947</v>
      </c>
      <c r="F23" s="113" t="s">
        <v>911</v>
      </c>
    </row>
    <row r="24" spans="1:6" ht="14.1">
      <c r="A24" s="113" t="s">
        <v>823</v>
      </c>
      <c r="B24" s="113">
        <v>2026</v>
      </c>
      <c r="C24" s="113" t="s">
        <v>821</v>
      </c>
      <c r="D24" s="113" t="s">
        <v>934</v>
      </c>
      <c r="E24" s="113" t="s">
        <v>2</v>
      </c>
      <c r="F24" s="113" t="s">
        <v>483</v>
      </c>
    </row>
    <row r="25" spans="1:6" ht="14.1">
      <c r="A25" s="113" t="s">
        <v>823</v>
      </c>
      <c r="B25" s="113">
        <v>2026</v>
      </c>
      <c r="C25" s="113" t="s">
        <v>821</v>
      </c>
      <c r="D25" s="113" t="s">
        <v>931</v>
      </c>
      <c r="E25" s="113" t="s">
        <v>948</v>
      </c>
      <c r="F25" s="113" t="s">
        <v>922</v>
      </c>
    </row>
    <row r="26" spans="1:6" ht="14.1">
      <c r="A26" s="113" t="s">
        <v>823</v>
      </c>
      <c r="B26" s="113">
        <v>2026</v>
      </c>
      <c r="C26" s="113" t="s">
        <v>821</v>
      </c>
      <c r="D26" s="113" t="s">
        <v>931</v>
      </c>
      <c r="E26" s="113" t="s">
        <v>949</v>
      </c>
      <c r="F26" s="113" t="s">
        <v>924</v>
      </c>
    </row>
    <row r="27" spans="1:6" ht="14.1">
      <c r="A27" s="113" t="s">
        <v>823</v>
      </c>
      <c r="B27" s="113">
        <v>2026</v>
      </c>
      <c r="C27" s="113" t="s">
        <v>821</v>
      </c>
      <c r="D27" s="113" t="s">
        <v>934</v>
      </c>
      <c r="E27" s="113" t="s">
        <v>2</v>
      </c>
      <c r="F27" s="113" t="s">
        <v>906</v>
      </c>
    </row>
    <row r="28" spans="1:6" ht="14.1">
      <c r="A28" s="113" t="s">
        <v>823</v>
      </c>
      <c r="B28" s="113">
        <v>2026</v>
      </c>
      <c r="C28" s="113" t="s">
        <v>821</v>
      </c>
      <c r="D28" s="113" t="s">
        <v>132</v>
      </c>
      <c r="E28" s="113" t="s">
        <v>2</v>
      </c>
      <c r="F28" s="113" t="s">
        <v>909</v>
      </c>
    </row>
    <row r="29" spans="1:6" ht="14.1">
      <c r="A29" s="113" t="s">
        <v>823</v>
      </c>
      <c r="B29" s="113">
        <v>2026</v>
      </c>
      <c r="C29" s="113" t="s">
        <v>821</v>
      </c>
      <c r="D29" s="113" t="s">
        <v>931</v>
      </c>
      <c r="E29" s="113" t="s">
        <v>950</v>
      </c>
      <c r="F29" s="113" t="s">
        <v>783</v>
      </c>
    </row>
    <row r="30" spans="1:6" ht="14.1">
      <c r="A30" s="113" t="s">
        <v>823</v>
      </c>
      <c r="B30" s="113">
        <v>2026</v>
      </c>
      <c r="C30" s="113" t="s">
        <v>821</v>
      </c>
      <c r="D30" s="113" t="s">
        <v>931</v>
      </c>
      <c r="E30" s="113" t="s">
        <v>945</v>
      </c>
      <c r="F30" s="113" t="s">
        <v>917</v>
      </c>
    </row>
    <row r="31" spans="1:6" ht="14.1">
      <c r="A31" s="113" t="s">
        <v>823</v>
      </c>
      <c r="B31" s="113">
        <v>2026</v>
      </c>
      <c r="C31" s="113" t="s">
        <v>821</v>
      </c>
      <c r="D31" s="113" t="s">
        <v>934</v>
      </c>
      <c r="E31" s="113" t="s">
        <v>951</v>
      </c>
      <c r="F31" s="113" t="s">
        <v>917</v>
      </c>
    </row>
    <row r="32" spans="1:6" ht="14.1">
      <c r="A32" s="113" t="s">
        <v>823</v>
      </c>
      <c r="B32" s="113">
        <v>2026</v>
      </c>
      <c r="C32" s="113" t="s">
        <v>821</v>
      </c>
      <c r="D32" s="113" t="s">
        <v>934</v>
      </c>
      <c r="E32" s="113" t="s">
        <v>930</v>
      </c>
      <c r="F32" s="113" t="s">
        <v>906</v>
      </c>
    </row>
    <row r="33" spans="1:6" ht="14.1">
      <c r="A33" s="113" t="s">
        <v>823</v>
      </c>
      <c r="B33" s="113">
        <v>2026</v>
      </c>
      <c r="C33" s="113" t="s">
        <v>821</v>
      </c>
      <c r="D33" s="113" t="s">
        <v>931</v>
      </c>
      <c r="E33" s="113" t="s">
        <v>930</v>
      </c>
      <c r="F33" s="113" t="s">
        <v>906</v>
      </c>
    </row>
    <row r="34" spans="1:6" ht="14.1">
      <c r="A34" s="113" t="s">
        <v>823</v>
      </c>
      <c r="B34" s="113">
        <v>2026</v>
      </c>
      <c r="C34" s="113" t="s">
        <v>821</v>
      </c>
      <c r="D34" s="113" t="s">
        <v>934</v>
      </c>
      <c r="E34" s="113" t="s">
        <v>952</v>
      </c>
      <c r="F34" s="113" t="s">
        <v>906</v>
      </c>
    </row>
    <row r="35" spans="1:6" ht="14.1">
      <c r="A35" s="113" t="s">
        <v>823</v>
      </c>
      <c r="B35" s="113">
        <v>2026</v>
      </c>
      <c r="C35" s="113" t="s">
        <v>821</v>
      </c>
      <c r="D35" s="113" t="s">
        <v>931</v>
      </c>
      <c r="E35" s="113" t="s">
        <v>953</v>
      </c>
      <c r="F35" s="113" t="s">
        <v>906</v>
      </c>
    </row>
    <row r="36" spans="1:6" ht="14.1">
      <c r="A36" s="113" t="s">
        <v>823</v>
      </c>
      <c r="B36" s="113">
        <v>2026</v>
      </c>
      <c r="C36" s="113" t="s">
        <v>821</v>
      </c>
      <c r="D36" s="113" t="s">
        <v>934</v>
      </c>
      <c r="E36" s="113" t="s">
        <v>930</v>
      </c>
      <c r="F36" s="113" t="s">
        <v>906</v>
      </c>
    </row>
    <row r="37" spans="1:6" ht="14.1">
      <c r="A37" s="113" t="s">
        <v>823</v>
      </c>
      <c r="B37" s="113">
        <v>2026</v>
      </c>
      <c r="C37" s="113" t="s">
        <v>821</v>
      </c>
      <c r="D37" s="113" t="s">
        <v>931</v>
      </c>
      <c r="E37" s="113" t="s">
        <v>954</v>
      </c>
      <c r="F37" s="113" t="s">
        <v>906</v>
      </c>
    </row>
    <row r="38" spans="1:6" ht="14.1">
      <c r="A38" s="113" t="s">
        <v>823</v>
      </c>
      <c r="B38" s="113">
        <v>2026</v>
      </c>
      <c r="C38" s="113" t="s">
        <v>821</v>
      </c>
      <c r="D38" s="113" t="s">
        <v>132</v>
      </c>
      <c r="E38" s="113" t="s">
        <v>955</v>
      </c>
      <c r="F38" s="113" t="s">
        <v>922</v>
      </c>
    </row>
    <row r="39" spans="1:6" ht="14.1">
      <c r="A39" s="113" t="s">
        <v>823</v>
      </c>
      <c r="B39" s="113">
        <v>2026</v>
      </c>
      <c r="C39" s="113" t="s">
        <v>821</v>
      </c>
      <c r="D39" s="113" t="s">
        <v>934</v>
      </c>
      <c r="E39" s="113" t="s">
        <v>2</v>
      </c>
      <c r="F39" s="113" t="s">
        <v>906</v>
      </c>
    </row>
    <row r="40" spans="1:6" ht="27.95">
      <c r="A40" s="113" t="s">
        <v>823</v>
      </c>
      <c r="B40" s="113">
        <v>2026</v>
      </c>
      <c r="C40" s="113" t="s">
        <v>88</v>
      </c>
      <c r="D40" s="113" t="s">
        <v>956</v>
      </c>
      <c r="E40" s="113" t="s">
        <v>957</v>
      </c>
      <c r="F40" s="113" t="s">
        <v>924</v>
      </c>
    </row>
    <row r="41" spans="1:6" ht="14.1">
      <c r="A41" s="113" t="s">
        <v>823</v>
      </c>
      <c r="B41" s="113">
        <v>2026</v>
      </c>
      <c r="C41" s="113" t="s">
        <v>88</v>
      </c>
      <c r="D41" s="113" t="s">
        <v>958</v>
      </c>
      <c r="E41" s="113" t="s">
        <v>2</v>
      </c>
      <c r="F41" s="113" t="s">
        <v>935</v>
      </c>
    </row>
    <row r="42" spans="1:6" ht="14.1">
      <c r="A42" s="113" t="s">
        <v>823</v>
      </c>
      <c r="B42" s="113">
        <v>2026</v>
      </c>
      <c r="C42" s="113" t="s">
        <v>88</v>
      </c>
      <c r="D42" s="113" t="s">
        <v>959</v>
      </c>
      <c r="E42" s="113" t="s">
        <v>960</v>
      </c>
      <c r="F42" s="113" t="s">
        <v>663</v>
      </c>
    </row>
    <row r="43" spans="1:6" ht="14.1">
      <c r="A43" s="113" t="s">
        <v>823</v>
      </c>
      <c r="B43" s="113">
        <v>2026</v>
      </c>
      <c r="C43" s="113" t="s">
        <v>88</v>
      </c>
      <c r="D43" s="113" t="s">
        <v>959</v>
      </c>
      <c r="E43" s="113" t="s">
        <v>961</v>
      </c>
      <c r="F43" s="113" t="s">
        <v>663</v>
      </c>
    </row>
    <row r="44" spans="1:6" ht="14.1">
      <c r="A44" s="113" t="s">
        <v>823</v>
      </c>
      <c r="B44" s="113">
        <v>2026</v>
      </c>
      <c r="C44" s="113" t="s">
        <v>88</v>
      </c>
      <c r="D44" s="113" t="s">
        <v>959</v>
      </c>
      <c r="E44" s="113" t="s">
        <v>962</v>
      </c>
      <c r="F44" s="113" t="s">
        <v>913</v>
      </c>
    </row>
    <row r="45" spans="1:6" ht="14.1">
      <c r="A45" s="113" t="s">
        <v>823</v>
      </c>
      <c r="B45" s="113">
        <v>2026</v>
      </c>
      <c r="C45" s="113" t="s">
        <v>88</v>
      </c>
      <c r="D45" s="113" t="s">
        <v>959</v>
      </c>
      <c r="E45" s="113" t="s">
        <v>963</v>
      </c>
      <c r="F45" s="113" t="s">
        <v>913</v>
      </c>
    </row>
    <row r="46" spans="1:6" ht="14.1">
      <c r="A46" s="113" t="s">
        <v>823</v>
      </c>
      <c r="B46" s="113">
        <v>2026</v>
      </c>
      <c r="C46" s="113" t="s">
        <v>88</v>
      </c>
      <c r="D46" s="113" t="s">
        <v>959</v>
      </c>
      <c r="E46" s="113" t="s">
        <v>964</v>
      </c>
      <c r="F46" s="113" t="s">
        <v>913</v>
      </c>
    </row>
    <row r="47" spans="1:6" ht="14.1">
      <c r="A47" s="113" t="s">
        <v>823</v>
      </c>
      <c r="B47" s="113">
        <v>2026</v>
      </c>
      <c r="C47" s="113" t="s">
        <v>88</v>
      </c>
      <c r="D47" s="113" t="s">
        <v>959</v>
      </c>
      <c r="E47" s="113" t="s">
        <v>965</v>
      </c>
      <c r="F47" s="113" t="s">
        <v>911</v>
      </c>
    </row>
    <row r="48" spans="1:6" ht="14.1">
      <c r="A48" s="113" t="s">
        <v>823</v>
      </c>
      <c r="B48" s="113">
        <v>2026</v>
      </c>
      <c r="C48" s="113" t="s">
        <v>88</v>
      </c>
      <c r="D48" s="113" t="s">
        <v>958</v>
      </c>
      <c r="E48" s="113" t="s">
        <v>2</v>
      </c>
      <c r="F48" s="113" t="s">
        <v>917</v>
      </c>
    </row>
    <row r="49" spans="1:6" ht="14.1">
      <c r="A49" s="113" t="s">
        <v>823</v>
      </c>
      <c r="B49" s="113">
        <v>2026</v>
      </c>
      <c r="C49" s="113" t="s">
        <v>88</v>
      </c>
      <c r="D49" s="113" t="s">
        <v>966</v>
      </c>
      <c r="E49" s="113" t="s">
        <v>967</v>
      </c>
      <c r="F49" s="113" t="s">
        <v>915</v>
      </c>
    </row>
    <row r="50" spans="1:6" ht="14.1">
      <c r="A50" s="113" t="s">
        <v>823</v>
      </c>
      <c r="B50" s="113">
        <v>2026</v>
      </c>
      <c r="C50" s="113" t="s">
        <v>88</v>
      </c>
      <c r="D50" s="113" t="s">
        <v>966</v>
      </c>
      <c r="E50" s="113" t="s">
        <v>968</v>
      </c>
      <c r="F50" s="113" t="s">
        <v>915</v>
      </c>
    </row>
    <row r="51" spans="1:6" ht="14.1">
      <c r="A51" s="113" t="s">
        <v>823</v>
      </c>
      <c r="B51" s="113">
        <v>2026</v>
      </c>
      <c r="C51" s="113" t="s">
        <v>88</v>
      </c>
      <c r="D51" s="113" t="s">
        <v>969</v>
      </c>
      <c r="E51" s="113" t="s">
        <v>970</v>
      </c>
      <c r="F51" s="113" t="s">
        <v>915</v>
      </c>
    </row>
    <row r="52" spans="1:6" ht="14.1">
      <c r="A52" s="113" t="s">
        <v>823</v>
      </c>
      <c r="B52" s="113">
        <v>2026</v>
      </c>
      <c r="C52" s="113" t="s">
        <v>88</v>
      </c>
      <c r="D52" s="113" t="s">
        <v>969</v>
      </c>
      <c r="E52" s="113" t="s">
        <v>971</v>
      </c>
      <c r="F52" s="113" t="s">
        <v>909</v>
      </c>
    </row>
    <row r="53" spans="1:6" ht="27.95">
      <c r="A53" s="113" t="s">
        <v>823</v>
      </c>
      <c r="B53" s="113">
        <v>2026</v>
      </c>
      <c r="C53" s="113" t="s">
        <v>88</v>
      </c>
      <c r="D53" s="113" t="s">
        <v>956</v>
      </c>
      <c r="E53" s="113" t="s">
        <v>972</v>
      </c>
      <c r="F53" s="113" t="s">
        <v>911</v>
      </c>
    </row>
    <row r="54" spans="1:6" ht="14.1">
      <c r="A54" s="113" t="s">
        <v>823</v>
      </c>
      <c r="B54" s="113">
        <v>2026</v>
      </c>
      <c r="C54" s="113" t="s">
        <v>88</v>
      </c>
      <c r="D54" s="113" t="s">
        <v>959</v>
      </c>
      <c r="E54" s="113" t="s">
        <v>973</v>
      </c>
      <c r="F54" s="113" t="s">
        <v>917</v>
      </c>
    </row>
    <row r="55" spans="1:6" ht="14.1">
      <c r="A55" s="113" t="s">
        <v>823</v>
      </c>
      <c r="B55" s="113">
        <v>2026</v>
      </c>
      <c r="C55" s="113" t="s">
        <v>88</v>
      </c>
      <c r="D55" s="113" t="s">
        <v>959</v>
      </c>
      <c r="E55" s="113" t="s">
        <v>974</v>
      </c>
      <c r="F55" s="113" t="s">
        <v>917</v>
      </c>
    </row>
    <row r="56" spans="1:6" ht="14.1">
      <c r="A56" s="113" t="s">
        <v>823</v>
      </c>
      <c r="B56" s="113">
        <v>2026</v>
      </c>
      <c r="C56" s="113" t="s">
        <v>88</v>
      </c>
      <c r="D56" s="113" t="s">
        <v>959</v>
      </c>
      <c r="E56" s="113" t="s">
        <v>975</v>
      </c>
      <c r="F56" s="113" t="s">
        <v>483</v>
      </c>
    </row>
    <row r="57" spans="1:6" ht="14.1">
      <c r="A57" s="113" t="s">
        <v>823</v>
      </c>
      <c r="B57" s="113">
        <v>2026</v>
      </c>
      <c r="C57" s="113" t="s">
        <v>821</v>
      </c>
      <c r="D57" s="113" t="s">
        <v>976</v>
      </c>
      <c r="E57" s="113" t="s">
        <v>977</v>
      </c>
      <c r="F57" s="113" t="s">
        <v>483</v>
      </c>
    </row>
    <row r="58" spans="1:6" ht="14.1">
      <c r="A58" s="113" t="s">
        <v>823</v>
      </c>
      <c r="B58" s="113">
        <v>2026</v>
      </c>
      <c r="C58" s="113" t="s">
        <v>88</v>
      </c>
      <c r="D58" s="113" t="s">
        <v>959</v>
      </c>
      <c r="E58" s="113" t="s">
        <v>978</v>
      </c>
      <c r="F58" s="113" t="s">
        <v>483</v>
      </c>
    </row>
    <row r="59" spans="1:6" ht="14.1">
      <c r="A59" s="113" t="s">
        <v>823</v>
      </c>
      <c r="B59" s="113">
        <v>2026</v>
      </c>
      <c r="C59" s="113" t="s">
        <v>88</v>
      </c>
      <c r="D59" s="113" t="s">
        <v>969</v>
      </c>
      <c r="E59" s="113" t="s">
        <v>979</v>
      </c>
      <c r="F59" s="113" t="s">
        <v>918</v>
      </c>
    </row>
    <row r="60" spans="1:6" ht="14.1">
      <c r="A60" s="113" t="s">
        <v>823</v>
      </c>
      <c r="B60" s="113">
        <v>2026</v>
      </c>
      <c r="C60" s="113" t="s">
        <v>88</v>
      </c>
      <c r="D60" s="113" t="s">
        <v>966</v>
      </c>
      <c r="E60" s="113" t="s">
        <v>933</v>
      </c>
      <c r="F60" s="113" t="s">
        <v>918</v>
      </c>
    </row>
    <row r="61" spans="1:6" ht="27.95">
      <c r="A61" s="113" t="s">
        <v>823</v>
      </c>
      <c r="B61" s="113">
        <v>2026</v>
      </c>
      <c r="C61" s="113" t="s">
        <v>88</v>
      </c>
      <c r="D61" s="113" t="s">
        <v>956</v>
      </c>
      <c r="E61" s="113" t="s">
        <v>980</v>
      </c>
      <c r="F61" s="113" t="s">
        <v>918</v>
      </c>
    </row>
    <row r="62" spans="1:6" ht="14.1">
      <c r="A62" s="113" t="s">
        <v>823</v>
      </c>
      <c r="B62" s="113">
        <v>2026</v>
      </c>
      <c r="C62" s="113" t="s">
        <v>88</v>
      </c>
      <c r="D62" s="113" t="s">
        <v>959</v>
      </c>
      <c r="E62" s="113" t="s">
        <v>981</v>
      </c>
      <c r="F62" s="113" t="s">
        <v>906</v>
      </c>
    </row>
    <row r="63" spans="1:6" ht="14.1">
      <c r="A63" s="113" t="s">
        <v>823</v>
      </c>
      <c r="B63" s="113">
        <v>2026</v>
      </c>
      <c r="C63" s="113" t="s">
        <v>88</v>
      </c>
      <c r="D63" s="113" t="s">
        <v>966</v>
      </c>
      <c r="E63" s="113" t="s">
        <v>982</v>
      </c>
      <c r="F63" s="113" t="s">
        <v>663</v>
      </c>
    </row>
    <row r="64" spans="1:6" ht="14.1">
      <c r="A64" s="113" t="s">
        <v>823</v>
      </c>
      <c r="B64" s="113">
        <v>2026</v>
      </c>
      <c r="C64" s="113" t="s">
        <v>88</v>
      </c>
      <c r="D64" s="113" t="s">
        <v>959</v>
      </c>
      <c r="E64" s="113" t="s">
        <v>2</v>
      </c>
      <c r="F64" s="113" t="s">
        <v>935</v>
      </c>
    </row>
    <row r="65" spans="1:6" ht="14.1">
      <c r="A65" s="113" t="s">
        <v>823</v>
      </c>
      <c r="B65" s="113">
        <v>2026</v>
      </c>
      <c r="C65" s="113" t="s">
        <v>88</v>
      </c>
      <c r="D65" s="113" t="s">
        <v>966</v>
      </c>
      <c r="E65" s="113" t="s">
        <v>983</v>
      </c>
      <c r="F65" s="113" t="s">
        <v>483</v>
      </c>
    </row>
    <row r="66" spans="1:6" ht="27.95">
      <c r="A66" s="113" t="s">
        <v>823</v>
      </c>
      <c r="B66" s="113">
        <v>2026</v>
      </c>
      <c r="C66" s="113" t="s">
        <v>88</v>
      </c>
      <c r="D66" s="113" t="s">
        <v>956</v>
      </c>
      <c r="E66" s="113" t="s">
        <v>950</v>
      </c>
      <c r="F66" s="113" t="s">
        <v>783</v>
      </c>
    </row>
    <row r="67" spans="1:6" ht="14.1">
      <c r="A67" s="113" t="s">
        <v>823</v>
      </c>
      <c r="B67" s="113">
        <v>2026</v>
      </c>
      <c r="C67" s="113" t="s">
        <v>88</v>
      </c>
      <c r="D67" s="113" t="s">
        <v>959</v>
      </c>
      <c r="E67" s="113" t="s">
        <v>964</v>
      </c>
      <c r="F67" s="113" t="s">
        <v>913</v>
      </c>
    </row>
    <row r="68" spans="1:6" ht="27.95">
      <c r="A68" s="113" t="s">
        <v>823</v>
      </c>
      <c r="B68" s="113">
        <v>2026</v>
      </c>
      <c r="C68" s="113" t="s">
        <v>88</v>
      </c>
      <c r="D68" s="113" t="s">
        <v>956</v>
      </c>
      <c r="E68" s="113" t="s">
        <v>982</v>
      </c>
      <c r="F68" s="113" t="s">
        <v>663</v>
      </c>
    </row>
    <row r="69" spans="1:6" ht="14.1">
      <c r="A69" s="113" t="s">
        <v>823</v>
      </c>
      <c r="B69" s="113">
        <v>2026</v>
      </c>
      <c r="C69" s="113" t="s">
        <v>821</v>
      </c>
      <c r="D69" s="113" t="s">
        <v>976</v>
      </c>
      <c r="E69" s="113" t="s">
        <v>2</v>
      </c>
      <c r="F69" s="113" t="s">
        <v>783</v>
      </c>
    </row>
    <row r="70" spans="1:6" ht="27.95">
      <c r="A70" s="113" t="s">
        <v>823</v>
      </c>
      <c r="B70" s="113">
        <v>2026</v>
      </c>
      <c r="C70" s="113" t="s">
        <v>88</v>
      </c>
      <c r="D70" s="113" t="s">
        <v>956</v>
      </c>
      <c r="E70" s="113" t="s">
        <v>951</v>
      </c>
      <c r="F70" s="113" t="s">
        <v>917</v>
      </c>
    </row>
    <row r="71" spans="1:6" ht="14.1">
      <c r="A71" s="113" t="s">
        <v>823</v>
      </c>
      <c r="B71" s="113">
        <v>2026</v>
      </c>
      <c r="C71" s="113" t="s">
        <v>88</v>
      </c>
      <c r="D71" s="113" t="s">
        <v>969</v>
      </c>
      <c r="E71" s="113" t="s">
        <v>2</v>
      </c>
      <c r="F71" s="113" t="s">
        <v>935</v>
      </c>
    </row>
    <row r="72" spans="1:6" ht="14.1">
      <c r="A72" s="113" t="s">
        <v>823</v>
      </c>
      <c r="B72" s="113">
        <v>2026</v>
      </c>
      <c r="C72" s="113" t="s">
        <v>88</v>
      </c>
      <c r="D72" s="113" t="s">
        <v>966</v>
      </c>
      <c r="E72" s="113" t="s">
        <v>984</v>
      </c>
      <c r="F72" s="113" t="s">
        <v>935</v>
      </c>
    </row>
    <row r="73" spans="1:6" ht="14.1">
      <c r="A73" s="113" t="s">
        <v>823</v>
      </c>
      <c r="B73" s="113">
        <v>2026</v>
      </c>
      <c r="C73" s="113" t="s">
        <v>88</v>
      </c>
      <c r="D73" s="113" t="s">
        <v>966</v>
      </c>
      <c r="E73" s="113" t="s">
        <v>985</v>
      </c>
      <c r="F73" s="113" t="s">
        <v>918</v>
      </c>
    </row>
    <row r="74" spans="1:6" ht="14.1">
      <c r="A74" s="113" t="s">
        <v>823</v>
      </c>
      <c r="B74" s="113">
        <v>2026</v>
      </c>
      <c r="C74" s="113" t="s">
        <v>88</v>
      </c>
      <c r="D74" s="113" t="s">
        <v>966</v>
      </c>
      <c r="E74" s="113" t="s">
        <v>974</v>
      </c>
      <c r="F74" s="113" t="s">
        <v>917</v>
      </c>
    </row>
    <row r="75" spans="1:6" ht="14.1">
      <c r="A75" s="113" t="s">
        <v>823</v>
      </c>
      <c r="B75" s="113">
        <v>2026</v>
      </c>
      <c r="C75" s="113" t="s">
        <v>88</v>
      </c>
      <c r="D75" s="113" t="s">
        <v>969</v>
      </c>
      <c r="E75" s="113" t="s">
        <v>2</v>
      </c>
      <c r="F75" s="113" t="s">
        <v>935</v>
      </c>
    </row>
    <row r="76" spans="1:6" ht="14.1">
      <c r="A76" s="113" t="s">
        <v>823</v>
      </c>
      <c r="B76" s="113">
        <v>2026</v>
      </c>
      <c r="C76" s="113" t="s">
        <v>88</v>
      </c>
      <c r="D76" s="113" t="s">
        <v>969</v>
      </c>
      <c r="E76" s="113" t="s">
        <v>986</v>
      </c>
      <c r="F76" s="113" t="s">
        <v>906</v>
      </c>
    </row>
    <row r="77" spans="1:6" ht="14.1">
      <c r="A77" s="113" t="s">
        <v>823</v>
      </c>
      <c r="B77" s="113">
        <v>2026</v>
      </c>
      <c r="C77" s="113" t="s">
        <v>88</v>
      </c>
      <c r="D77" s="113" t="s">
        <v>966</v>
      </c>
      <c r="E77" s="113" t="s">
        <v>954</v>
      </c>
      <c r="F77" s="113" t="s">
        <v>906</v>
      </c>
    </row>
    <row r="78" spans="1:6" ht="14.1">
      <c r="A78" s="113" t="s">
        <v>823</v>
      </c>
      <c r="B78" s="113">
        <v>2026</v>
      </c>
      <c r="C78" s="113" t="s">
        <v>88</v>
      </c>
      <c r="D78" s="113" t="s">
        <v>966</v>
      </c>
      <c r="E78" s="113" t="s">
        <v>986</v>
      </c>
      <c r="F78" s="113" t="s">
        <v>906</v>
      </c>
    </row>
    <row r="79" spans="1:6" ht="14.1">
      <c r="A79" s="113" t="s">
        <v>823</v>
      </c>
      <c r="B79" s="113">
        <v>2026</v>
      </c>
      <c r="C79" s="113" t="s">
        <v>821</v>
      </c>
      <c r="D79" s="113" t="s">
        <v>976</v>
      </c>
      <c r="E79" s="113" t="s">
        <v>987</v>
      </c>
      <c r="F79" s="113" t="s">
        <v>935</v>
      </c>
    </row>
    <row r="80" spans="1:6" ht="14.1">
      <c r="A80" s="113" t="s">
        <v>823</v>
      </c>
      <c r="B80" s="113">
        <v>2026</v>
      </c>
      <c r="C80" s="113" t="s">
        <v>88</v>
      </c>
      <c r="D80" s="113" t="s">
        <v>988</v>
      </c>
      <c r="E80" s="113" t="s">
        <v>989</v>
      </c>
      <c r="F80" s="113" t="s">
        <v>935</v>
      </c>
    </row>
    <row r="81" spans="1:6" ht="14.1">
      <c r="A81" s="113" t="s">
        <v>823</v>
      </c>
      <c r="B81" s="113">
        <v>2026</v>
      </c>
      <c r="C81" s="113" t="s">
        <v>88</v>
      </c>
      <c r="D81" s="113" t="s">
        <v>988</v>
      </c>
      <c r="E81" s="113" t="s">
        <v>990</v>
      </c>
      <c r="F81" s="113" t="s">
        <v>935</v>
      </c>
    </row>
    <row r="82" spans="1:6" ht="14.1">
      <c r="A82" s="113" t="s">
        <v>823</v>
      </c>
      <c r="B82" s="113">
        <v>2026</v>
      </c>
      <c r="C82" s="113" t="s">
        <v>88</v>
      </c>
      <c r="D82" s="113" t="s">
        <v>966</v>
      </c>
      <c r="E82" s="113" t="s">
        <v>942</v>
      </c>
      <c r="F82" s="113" t="s">
        <v>918</v>
      </c>
    </row>
    <row r="83" spans="1:6" ht="14.1">
      <c r="A83" s="113" t="s">
        <v>823</v>
      </c>
      <c r="B83" s="113">
        <v>2026</v>
      </c>
      <c r="C83" s="113" t="s">
        <v>821</v>
      </c>
      <c r="D83" s="113" t="s">
        <v>976</v>
      </c>
      <c r="E83" s="113" t="s">
        <v>2</v>
      </c>
      <c r="F83" s="113" t="s">
        <v>911</v>
      </c>
    </row>
    <row r="84" spans="1:6" ht="14.1">
      <c r="A84" s="113" t="s">
        <v>823</v>
      </c>
      <c r="B84" s="113">
        <v>2026</v>
      </c>
      <c r="C84" s="113" t="s">
        <v>88</v>
      </c>
      <c r="D84" s="113" t="s">
        <v>959</v>
      </c>
      <c r="E84" s="113" t="s">
        <v>954</v>
      </c>
      <c r="F84" s="113" t="s">
        <v>906</v>
      </c>
    </row>
    <row r="85" spans="1:6" ht="14.1">
      <c r="A85" s="113" t="s">
        <v>823</v>
      </c>
      <c r="B85" s="113">
        <v>2026</v>
      </c>
      <c r="C85" s="113" t="s">
        <v>88</v>
      </c>
      <c r="D85" s="113" t="s">
        <v>959</v>
      </c>
      <c r="E85" s="113" t="s">
        <v>986</v>
      </c>
      <c r="F85" s="113" t="s">
        <v>906</v>
      </c>
    </row>
    <row r="86" spans="1:6" ht="14.1">
      <c r="A86" s="113" t="s">
        <v>823</v>
      </c>
      <c r="B86" s="113">
        <v>2026</v>
      </c>
      <c r="C86" s="113" t="s">
        <v>88</v>
      </c>
      <c r="D86" s="113" t="s">
        <v>959</v>
      </c>
      <c r="E86" s="113" t="s">
        <v>991</v>
      </c>
      <c r="F86" s="113" t="s">
        <v>906</v>
      </c>
    </row>
    <row r="87" spans="1:6" ht="14.1">
      <c r="A87" s="113" t="s">
        <v>823</v>
      </c>
      <c r="B87" s="113">
        <v>2026</v>
      </c>
      <c r="C87" s="113" t="s">
        <v>88</v>
      </c>
      <c r="D87" s="113" t="s">
        <v>966</v>
      </c>
      <c r="E87" s="113" t="s">
        <v>992</v>
      </c>
      <c r="F87" s="113" t="s">
        <v>922</v>
      </c>
    </row>
    <row r="88" spans="1:6" ht="14.1">
      <c r="A88" s="113" t="s">
        <v>823</v>
      </c>
      <c r="B88" s="113">
        <v>2026</v>
      </c>
      <c r="C88" s="113" t="s">
        <v>88</v>
      </c>
      <c r="D88" s="113" t="s">
        <v>988</v>
      </c>
      <c r="E88" s="113" t="s">
        <v>946</v>
      </c>
      <c r="F88" s="113" t="s">
        <v>924</v>
      </c>
    </row>
    <row r="89" spans="1:6" ht="14.1">
      <c r="A89" s="113" t="s">
        <v>823</v>
      </c>
      <c r="B89" s="113">
        <v>2026</v>
      </c>
      <c r="C89" s="113" t="s">
        <v>88</v>
      </c>
      <c r="D89" s="113" t="s">
        <v>966</v>
      </c>
      <c r="E89" s="113" t="s">
        <v>993</v>
      </c>
      <c r="F89" s="113" t="s">
        <v>918</v>
      </c>
    </row>
    <row r="90" spans="1:6" ht="14.1">
      <c r="A90" s="113" t="s">
        <v>823</v>
      </c>
      <c r="B90" s="113">
        <v>2026</v>
      </c>
      <c r="C90" s="113" t="s">
        <v>88</v>
      </c>
      <c r="D90" s="113" t="s">
        <v>969</v>
      </c>
      <c r="E90" s="113" t="s">
        <v>950</v>
      </c>
      <c r="F90" s="113" t="s">
        <v>783</v>
      </c>
    </row>
    <row r="91" spans="1:6" ht="14.1">
      <c r="A91" s="113" t="s">
        <v>823</v>
      </c>
      <c r="B91" s="113">
        <v>2026</v>
      </c>
      <c r="C91" s="113" t="s">
        <v>88</v>
      </c>
      <c r="D91" s="113" t="s">
        <v>969</v>
      </c>
      <c r="E91" s="113" t="s">
        <v>951</v>
      </c>
      <c r="F91" s="113" t="s">
        <v>917</v>
      </c>
    </row>
    <row r="92" spans="1:6" ht="14.1">
      <c r="A92" s="113" t="s">
        <v>823</v>
      </c>
      <c r="B92" s="113">
        <v>2026</v>
      </c>
      <c r="C92" s="113" t="s">
        <v>88</v>
      </c>
      <c r="D92" s="113" t="s">
        <v>966</v>
      </c>
      <c r="E92" s="113" t="s">
        <v>2</v>
      </c>
      <c r="F92" s="113" t="s">
        <v>918</v>
      </c>
    </row>
    <row r="93" spans="1:6" ht="14.1">
      <c r="A93" s="113" t="s">
        <v>823</v>
      </c>
      <c r="B93" s="113">
        <v>2026</v>
      </c>
      <c r="C93" s="113" t="s">
        <v>88</v>
      </c>
      <c r="D93" s="113" t="s">
        <v>958</v>
      </c>
      <c r="E93" s="113" t="s">
        <v>994</v>
      </c>
      <c r="F93" s="113" t="s">
        <v>663</v>
      </c>
    </row>
    <row r="94" spans="1:6" ht="14.1">
      <c r="A94" s="113" t="s">
        <v>823</v>
      </c>
      <c r="B94" s="113">
        <v>2026</v>
      </c>
      <c r="C94" s="113" t="s">
        <v>88</v>
      </c>
      <c r="D94" s="113" t="s">
        <v>959</v>
      </c>
      <c r="E94" s="113" t="s">
        <v>994</v>
      </c>
      <c r="F94" s="113" t="s">
        <v>663</v>
      </c>
    </row>
    <row r="95" spans="1:6" ht="14.1">
      <c r="A95" s="113" t="s">
        <v>823</v>
      </c>
      <c r="B95" s="113">
        <v>2026</v>
      </c>
      <c r="C95" s="113" t="s">
        <v>88</v>
      </c>
      <c r="D95" s="113" t="s">
        <v>966</v>
      </c>
      <c r="E95" s="113" t="s">
        <v>2</v>
      </c>
      <c r="F95" s="113" t="s">
        <v>935</v>
      </c>
    </row>
    <row r="96" spans="1:6" ht="27.95">
      <c r="A96" s="113" t="s">
        <v>823</v>
      </c>
      <c r="B96" s="113">
        <v>2026</v>
      </c>
      <c r="C96" s="113" t="s">
        <v>88</v>
      </c>
      <c r="D96" s="113" t="s">
        <v>956</v>
      </c>
      <c r="E96" s="113" t="s">
        <v>981</v>
      </c>
      <c r="F96" s="113" t="s">
        <v>906</v>
      </c>
    </row>
    <row r="97" spans="1:6" ht="14.1">
      <c r="A97" s="113" t="s">
        <v>823</v>
      </c>
      <c r="B97" s="113">
        <v>2026</v>
      </c>
      <c r="C97" s="113" t="s">
        <v>821</v>
      </c>
      <c r="D97" s="113" t="s">
        <v>976</v>
      </c>
      <c r="E97" s="113" t="s">
        <v>952</v>
      </c>
      <c r="F97" s="113" t="s">
        <v>906</v>
      </c>
    </row>
    <row r="98" spans="1:6" ht="14.1">
      <c r="A98" s="113" t="s">
        <v>823</v>
      </c>
      <c r="B98" s="113">
        <v>2026</v>
      </c>
      <c r="C98" s="113" t="s">
        <v>88</v>
      </c>
      <c r="D98" s="113" t="s">
        <v>966</v>
      </c>
      <c r="E98" s="113" t="s">
        <v>947</v>
      </c>
      <c r="F98" s="113" t="s">
        <v>913</v>
      </c>
    </row>
    <row r="99" spans="1:6" ht="14.1">
      <c r="A99" s="113" t="s">
        <v>823</v>
      </c>
      <c r="B99" s="113">
        <v>2026</v>
      </c>
      <c r="C99" s="113" t="s">
        <v>88</v>
      </c>
      <c r="D99" s="113" t="s">
        <v>959</v>
      </c>
      <c r="E99" s="113" t="s">
        <v>995</v>
      </c>
      <c r="F99" s="113" t="s">
        <v>924</v>
      </c>
    </row>
    <row r="100" spans="1:6" ht="14.1">
      <c r="A100" s="113" t="s">
        <v>823</v>
      </c>
      <c r="B100" s="113">
        <v>2026</v>
      </c>
      <c r="C100" s="113" t="s">
        <v>88</v>
      </c>
      <c r="D100" s="113" t="s">
        <v>959</v>
      </c>
      <c r="E100" s="113" t="s">
        <v>996</v>
      </c>
      <c r="F100" s="113" t="s">
        <v>924</v>
      </c>
    </row>
    <row r="101" spans="1:6" ht="27.95">
      <c r="A101" s="113" t="s">
        <v>823</v>
      </c>
      <c r="B101" s="113">
        <v>2026</v>
      </c>
      <c r="C101" s="113" t="s">
        <v>88</v>
      </c>
      <c r="D101" s="113" t="s">
        <v>956</v>
      </c>
      <c r="E101" s="113" t="s">
        <v>952</v>
      </c>
      <c r="F101" s="113" t="s">
        <v>906</v>
      </c>
    </row>
    <row r="102" spans="1:6" ht="14.1">
      <c r="A102" s="113" t="s">
        <v>823</v>
      </c>
      <c r="B102" s="113">
        <v>2026</v>
      </c>
      <c r="C102" s="113" t="s">
        <v>88</v>
      </c>
      <c r="D102" s="113" t="s">
        <v>969</v>
      </c>
      <c r="E102" s="113" t="s">
        <v>997</v>
      </c>
      <c r="F102" s="113" t="s">
        <v>935</v>
      </c>
    </row>
    <row r="103" spans="1:6" ht="14.1">
      <c r="A103" s="113" t="s">
        <v>823</v>
      </c>
      <c r="B103" s="113">
        <v>2026</v>
      </c>
      <c r="C103" s="113" t="s">
        <v>88</v>
      </c>
      <c r="D103" s="113" t="s">
        <v>969</v>
      </c>
      <c r="E103" s="113" t="s">
        <v>936</v>
      </c>
      <c r="F103" s="113" t="s">
        <v>783</v>
      </c>
    </row>
    <row r="104" spans="1:6" ht="14.1">
      <c r="A104" s="113" t="s">
        <v>823</v>
      </c>
      <c r="B104" s="113">
        <v>2026</v>
      </c>
      <c r="C104" s="113" t="s">
        <v>88</v>
      </c>
      <c r="D104" s="113" t="s">
        <v>959</v>
      </c>
      <c r="E104" s="113" t="s">
        <v>2</v>
      </c>
      <c r="F104" s="113" t="s">
        <v>917</v>
      </c>
    </row>
    <row r="105" spans="1:6" ht="14.1">
      <c r="A105" s="113" t="s">
        <v>823</v>
      </c>
      <c r="B105" s="113">
        <v>2026</v>
      </c>
      <c r="C105" s="113" t="s">
        <v>88</v>
      </c>
      <c r="D105" s="113" t="s">
        <v>959</v>
      </c>
      <c r="E105" s="113" t="s">
        <v>2</v>
      </c>
      <c r="F105" s="113" t="s">
        <v>917</v>
      </c>
    </row>
    <row r="106" spans="1:6" ht="14.1">
      <c r="A106" s="113" t="s">
        <v>823</v>
      </c>
      <c r="B106" s="113">
        <v>2026</v>
      </c>
      <c r="C106" s="113" t="s">
        <v>859</v>
      </c>
      <c r="D106" s="113" t="s">
        <v>998</v>
      </c>
      <c r="E106" s="113" t="s">
        <v>972</v>
      </c>
      <c r="F106" s="113" t="s">
        <v>911</v>
      </c>
    </row>
    <row r="107" spans="1:6" ht="14.1">
      <c r="A107" s="113" t="s">
        <v>823</v>
      </c>
      <c r="B107" s="113">
        <v>2026</v>
      </c>
      <c r="C107" s="113" t="s">
        <v>859</v>
      </c>
      <c r="D107" s="113" t="s">
        <v>999</v>
      </c>
      <c r="E107" s="113" t="s">
        <v>950</v>
      </c>
      <c r="F107" s="113" t="s">
        <v>783</v>
      </c>
    </row>
    <row r="108" spans="1:6" ht="14.1">
      <c r="A108" s="113" t="s">
        <v>823</v>
      </c>
      <c r="B108" s="113">
        <v>2026</v>
      </c>
      <c r="C108" s="113" t="s">
        <v>859</v>
      </c>
      <c r="D108" s="113" t="s">
        <v>1000</v>
      </c>
      <c r="E108" s="113" t="s">
        <v>965</v>
      </c>
      <c r="F108" s="113" t="s">
        <v>911</v>
      </c>
    </row>
    <row r="109" spans="1:6" ht="14.1">
      <c r="A109" s="113" t="s">
        <v>823</v>
      </c>
      <c r="B109" s="113">
        <v>2026</v>
      </c>
      <c r="C109" s="113" t="s">
        <v>859</v>
      </c>
      <c r="D109" s="113" t="s">
        <v>999</v>
      </c>
      <c r="E109" s="113" t="s">
        <v>1001</v>
      </c>
      <c r="F109" s="113" t="s">
        <v>783</v>
      </c>
    </row>
    <row r="110" spans="1:6" ht="14.1">
      <c r="A110" s="113" t="s">
        <v>823</v>
      </c>
      <c r="B110" s="113">
        <v>2026</v>
      </c>
      <c r="C110" s="113" t="s">
        <v>859</v>
      </c>
      <c r="D110" s="113" t="s">
        <v>999</v>
      </c>
      <c r="E110" s="113" t="s">
        <v>1002</v>
      </c>
      <c r="F110" s="113" t="s">
        <v>483</v>
      </c>
    </row>
    <row r="111" spans="1:6" ht="14.1">
      <c r="A111" s="113" t="s">
        <v>823</v>
      </c>
      <c r="B111" s="113">
        <v>2026</v>
      </c>
      <c r="C111" s="113" t="s">
        <v>859</v>
      </c>
      <c r="D111" s="113" t="s">
        <v>1000</v>
      </c>
      <c r="E111" s="113" t="s">
        <v>1003</v>
      </c>
      <c r="F111" s="113" t="s">
        <v>483</v>
      </c>
    </row>
    <row r="112" spans="1:6" ht="14.1">
      <c r="A112" s="113" t="s">
        <v>823</v>
      </c>
      <c r="B112" s="113">
        <v>2026</v>
      </c>
      <c r="C112" s="113" t="s">
        <v>859</v>
      </c>
      <c r="D112" s="113" t="s">
        <v>1000</v>
      </c>
      <c r="E112" s="113" t="s">
        <v>946</v>
      </c>
      <c r="F112" s="113" t="s">
        <v>924</v>
      </c>
    </row>
    <row r="113" spans="1:6" ht="14.1">
      <c r="A113" s="113" t="s">
        <v>823</v>
      </c>
      <c r="B113" s="113">
        <v>2026</v>
      </c>
      <c r="C113" s="113" t="s">
        <v>859</v>
      </c>
      <c r="D113" s="113" t="s">
        <v>998</v>
      </c>
      <c r="E113" s="113" t="s">
        <v>986</v>
      </c>
      <c r="F113" s="113" t="s">
        <v>906</v>
      </c>
    </row>
    <row r="114" spans="1:6" ht="14.1">
      <c r="A114" s="113" t="s">
        <v>823</v>
      </c>
      <c r="B114" s="113">
        <v>2026</v>
      </c>
      <c r="C114" s="113" t="s">
        <v>859</v>
      </c>
      <c r="D114" s="113" t="s">
        <v>999</v>
      </c>
      <c r="E114" s="113" t="s">
        <v>989</v>
      </c>
      <c r="F114" s="113" t="s">
        <v>935</v>
      </c>
    </row>
    <row r="115" spans="1:6" ht="14.1">
      <c r="A115" s="113" t="s">
        <v>823</v>
      </c>
      <c r="B115" s="113">
        <v>2026</v>
      </c>
      <c r="C115" s="113" t="s">
        <v>859</v>
      </c>
      <c r="D115" s="113" t="s">
        <v>999</v>
      </c>
      <c r="E115" s="113" t="s">
        <v>1004</v>
      </c>
      <c r="F115" s="113" t="s">
        <v>935</v>
      </c>
    </row>
    <row r="116" spans="1:6" ht="14.1">
      <c r="A116" s="113" t="s">
        <v>823</v>
      </c>
      <c r="B116" s="113">
        <v>2026</v>
      </c>
      <c r="C116" s="113" t="s">
        <v>859</v>
      </c>
      <c r="D116" s="113" t="s">
        <v>1000</v>
      </c>
      <c r="E116" s="113" t="s">
        <v>972</v>
      </c>
      <c r="F116" s="113" t="s">
        <v>911</v>
      </c>
    </row>
    <row r="117" spans="1:6" ht="14.1">
      <c r="A117" s="113" t="s">
        <v>823</v>
      </c>
      <c r="B117" s="113">
        <v>2026</v>
      </c>
      <c r="C117" s="113" t="s">
        <v>859</v>
      </c>
      <c r="D117" s="113" t="s">
        <v>1000</v>
      </c>
      <c r="E117" s="113" t="s">
        <v>2</v>
      </c>
      <c r="F117" s="113" t="s">
        <v>913</v>
      </c>
    </row>
    <row r="118" spans="1:6" ht="14.1">
      <c r="A118" s="113" t="s">
        <v>823</v>
      </c>
      <c r="B118" s="113">
        <v>2026</v>
      </c>
      <c r="C118" s="113" t="s">
        <v>859</v>
      </c>
      <c r="D118" s="113" t="s">
        <v>1000</v>
      </c>
      <c r="E118" s="113" t="s">
        <v>2</v>
      </c>
      <c r="F118" s="113" t="s">
        <v>913</v>
      </c>
    </row>
    <row r="119" spans="1:6" ht="14.1">
      <c r="A119" s="113" t="s">
        <v>823</v>
      </c>
      <c r="B119" s="113">
        <v>2026</v>
      </c>
      <c r="C119" s="113" t="s">
        <v>859</v>
      </c>
      <c r="D119" s="113" t="s">
        <v>1005</v>
      </c>
      <c r="E119" s="113" t="s">
        <v>2</v>
      </c>
      <c r="F119" s="113" t="s">
        <v>906</v>
      </c>
    </row>
    <row r="120" spans="1:6" ht="14.1">
      <c r="A120" s="113" t="s">
        <v>823</v>
      </c>
      <c r="B120" s="113">
        <v>2026</v>
      </c>
      <c r="C120" s="113" t="s">
        <v>859</v>
      </c>
      <c r="D120" s="113" t="s">
        <v>1005</v>
      </c>
      <c r="E120" s="113" t="s">
        <v>2</v>
      </c>
      <c r="F120" s="113" t="s">
        <v>906</v>
      </c>
    </row>
    <row r="121" spans="1:6" ht="14.1">
      <c r="A121" s="113" t="s">
        <v>823</v>
      </c>
      <c r="B121" s="113">
        <v>2026</v>
      </c>
      <c r="C121" s="113" t="s">
        <v>859</v>
      </c>
      <c r="D121" s="113" t="s">
        <v>1005</v>
      </c>
      <c r="E121" s="113" t="s">
        <v>950</v>
      </c>
      <c r="F121" s="113" t="s">
        <v>783</v>
      </c>
    </row>
    <row r="122" spans="1:6" ht="14.1">
      <c r="A122" s="113" t="s">
        <v>823</v>
      </c>
      <c r="B122" s="113">
        <v>2026</v>
      </c>
      <c r="C122" s="113" t="s">
        <v>859</v>
      </c>
      <c r="D122" s="113" t="s">
        <v>1000</v>
      </c>
      <c r="E122" s="113" t="s">
        <v>1006</v>
      </c>
      <c r="F122" s="113" t="s">
        <v>917</v>
      </c>
    </row>
    <row r="123" spans="1:6" ht="14.1">
      <c r="A123" s="113" t="s">
        <v>823</v>
      </c>
      <c r="B123" s="113">
        <v>2026</v>
      </c>
      <c r="C123" s="113" t="s">
        <v>859</v>
      </c>
      <c r="D123" s="113" t="s">
        <v>1000</v>
      </c>
      <c r="E123" s="113" t="s">
        <v>1007</v>
      </c>
      <c r="F123" s="113" t="s">
        <v>913</v>
      </c>
    </row>
    <row r="124" spans="1:6" ht="14.1">
      <c r="A124" s="113" t="s">
        <v>823</v>
      </c>
      <c r="B124" s="113">
        <v>2026</v>
      </c>
      <c r="C124" s="113" t="s">
        <v>859</v>
      </c>
      <c r="D124" s="113" t="s">
        <v>1000</v>
      </c>
      <c r="E124" s="113" t="s">
        <v>1008</v>
      </c>
      <c r="F124" s="113" t="s">
        <v>913</v>
      </c>
    </row>
    <row r="125" spans="1:6" ht="14.1">
      <c r="A125" s="113" t="s">
        <v>823</v>
      </c>
      <c r="B125" s="113">
        <v>2026</v>
      </c>
      <c r="C125" s="113" t="s">
        <v>859</v>
      </c>
      <c r="D125" s="113" t="s">
        <v>998</v>
      </c>
      <c r="E125" s="113" t="s">
        <v>943</v>
      </c>
      <c r="F125" s="113" t="s">
        <v>917</v>
      </c>
    </row>
    <row r="126" spans="1:6" ht="14.1">
      <c r="A126" s="113" t="s">
        <v>823</v>
      </c>
      <c r="B126" s="113">
        <v>2026</v>
      </c>
      <c r="C126" s="113" t="s">
        <v>859</v>
      </c>
      <c r="D126" s="113" t="s">
        <v>998</v>
      </c>
      <c r="E126" s="113" t="s">
        <v>1009</v>
      </c>
      <c r="F126" s="113" t="s">
        <v>917</v>
      </c>
    </row>
    <row r="127" spans="1:6" ht="14.1">
      <c r="A127" s="113" t="s">
        <v>823</v>
      </c>
      <c r="B127" s="113">
        <v>2026</v>
      </c>
      <c r="C127" s="113" t="s">
        <v>859</v>
      </c>
      <c r="D127" s="113" t="s">
        <v>1000</v>
      </c>
      <c r="E127" s="113" t="s">
        <v>1010</v>
      </c>
      <c r="F127" s="113" t="s">
        <v>924</v>
      </c>
    </row>
    <row r="128" spans="1:6" ht="14.1">
      <c r="A128" s="113" t="s">
        <v>823</v>
      </c>
      <c r="B128" s="113">
        <v>2026</v>
      </c>
      <c r="C128" s="113" t="s">
        <v>859</v>
      </c>
      <c r="D128" s="113" t="s">
        <v>998</v>
      </c>
      <c r="E128" s="113" t="s">
        <v>1011</v>
      </c>
      <c r="F128" s="113" t="s">
        <v>911</v>
      </c>
    </row>
    <row r="129" spans="1:6" ht="14.1">
      <c r="A129" s="113" t="s">
        <v>823</v>
      </c>
      <c r="B129" s="113">
        <v>2026</v>
      </c>
      <c r="C129" s="113" t="s">
        <v>859</v>
      </c>
      <c r="D129" s="113" t="s">
        <v>998</v>
      </c>
      <c r="E129" s="113" t="s">
        <v>1011</v>
      </c>
      <c r="F129" s="113" t="s">
        <v>911</v>
      </c>
    </row>
    <row r="130" spans="1:6" ht="14.1">
      <c r="A130" s="113" t="s">
        <v>823</v>
      </c>
      <c r="B130" s="113">
        <v>2026</v>
      </c>
      <c r="C130" s="113" t="s">
        <v>859</v>
      </c>
      <c r="D130" s="113" t="s">
        <v>1000</v>
      </c>
      <c r="E130" s="113" t="s">
        <v>955</v>
      </c>
      <c r="F130" s="113" t="s">
        <v>922</v>
      </c>
    </row>
    <row r="131" spans="1:6" ht="14.1">
      <c r="A131" s="113" t="s">
        <v>823</v>
      </c>
      <c r="B131" s="113">
        <v>2026</v>
      </c>
      <c r="C131" s="113" t="s">
        <v>872</v>
      </c>
      <c r="D131" s="113" t="s">
        <v>1012</v>
      </c>
      <c r="E131" s="113" t="s">
        <v>953</v>
      </c>
      <c r="F131" s="113" t="s">
        <v>906</v>
      </c>
    </row>
    <row r="132" spans="1:6" ht="14.1">
      <c r="A132" s="113" t="s">
        <v>823</v>
      </c>
      <c r="B132" s="113">
        <v>2026</v>
      </c>
      <c r="C132" s="113" t="s">
        <v>872</v>
      </c>
      <c r="D132" s="113" t="s">
        <v>1013</v>
      </c>
      <c r="E132" s="113" t="s">
        <v>1014</v>
      </c>
      <c r="F132" s="113" t="s">
        <v>906</v>
      </c>
    </row>
    <row r="133" spans="1:6" ht="14.1">
      <c r="A133" s="113" t="s">
        <v>823</v>
      </c>
      <c r="B133" s="113">
        <v>2026</v>
      </c>
      <c r="C133" s="113" t="s">
        <v>872</v>
      </c>
      <c r="D133" s="113" t="s">
        <v>1015</v>
      </c>
      <c r="E133" s="113" t="s">
        <v>1016</v>
      </c>
      <c r="F133" s="113" t="s">
        <v>783</v>
      </c>
    </row>
    <row r="134" spans="1:6" ht="14.1">
      <c r="A134" s="113" t="s">
        <v>823</v>
      </c>
      <c r="B134" s="113">
        <v>2026</v>
      </c>
      <c r="C134" s="113" t="s">
        <v>872</v>
      </c>
      <c r="D134" s="113" t="s">
        <v>1012</v>
      </c>
      <c r="E134" s="113" t="s">
        <v>953</v>
      </c>
      <c r="F134" s="113" t="s">
        <v>906</v>
      </c>
    </row>
    <row r="135" spans="1:6" ht="14.1">
      <c r="A135" s="113" t="s">
        <v>823</v>
      </c>
      <c r="B135" s="113">
        <v>2026</v>
      </c>
      <c r="C135" s="113" t="s">
        <v>872</v>
      </c>
      <c r="D135" s="113" t="s">
        <v>1012</v>
      </c>
      <c r="E135" s="113" t="s">
        <v>1017</v>
      </c>
      <c r="F135" s="113" t="s">
        <v>909</v>
      </c>
    </row>
    <row r="136" spans="1:6" ht="14.1">
      <c r="A136" s="113" t="s">
        <v>823</v>
      </c>
      <c r="B136" s="113">
        <v>2026</v>
      </c>
      <c r="C136" s="113" t="s">
        <v>872</v>
      </c>
      <c r="D136" s="113" t="s">
        <v>1018</v>
      </c>
      <c r="E136" s="113" t="s">
        <v>992</v>
      </c>
      <c r="F136" s="113" t="s">
        <v>922</v>
      </c>
    </row>
    <row r="137" spans="1:6" ht="14.1">
      <c r="A137" s="113" t="s">
        <v>823</v>
      </c>
      <c r="B137" s="113">
        <v>2026</v>
      </c>
      <c r="C137" s="113" t="s">
        <v>872</v>
      </c>
      <c r="D137" s="113" t="s">
        <v>1013</v>
      </c>
      <c r="E137" s="113" t="s">
        <v>1019</v>
      </c>
      <c r="F137" s="113" t="s">
        <v>922</v>
      </c>
    </row>
    <row r="138" spans="1:6" ht="14.1">
      <c r="A138" s="113" t="s">
        <v>823</v>
      </c>
      <c r="B138" s="113">
        <v>2026</v>
      </c>
      <c r="C138" s="113" t="s">
        <v>872</v>
      </c>
      <c r="D138" s="113" t="s">
        <v>1018</v>
      </c>
      <c r="E138" s="113" t="s">
        <v>1020</v>
      </c>
      <c r="F138" s="113" t="s">
        <v>909</v>
      </c>
    </row>
    <row r="139" spans="1:6" ht="14.1">
      <c r="A139" s="113" t="s">
        <v>823</v>
      </c>
      <c r="B139" s="113">
        <v>2026</v>
      </c>
      <c r="C139" s="113" t="s">
        <v>872</v>
      </c>
      <c r="D139" s="113" t="s">
        <v>1018</v>
      </c>
      <c r="E139" s="113" t="s">
        <v>1021</v>
      </c>
      <c r="F139" s="113" t="s">
        <v>663</v>
      </c>
    </row>
    <row r="140" spans="1:6" ht="14.1">
      <c r="A140" s="113" t="s">
        <v>823</v>
      </c>
      <c r="B140" s="113">
        <v>2026</v>
      </c>
      <c r="C140" s="113" t="s">
        <v>872</v>
      </c>
      <c r="D140" s="113" t="s">
        <v>1013</v>
      </c>
      <c r="E140" s="113" t="s">
        <v>1022</v>
      </c>
      <c r="F140" s="113" t="s">
        <v>783</v>
      </c>
    </row>
    <row r="141" spans="1:6" ht="14.1">
      <c r="A141" s="113" t="s">
        <v>823</v>
      </c>
      <c r="B141" s="113">
        <v>2026</v>
      </c>
      <c r="C141" s="113" t="s">
        <v>872</v>
      </c>
      <c r="D141" s="113" t="s">
        <v>1013</v>
      </c>
      <c r="E141" s="113" t="s">
        <v>1023</v>
      </c>
      <c r="F141" s="113" t="s">
        <v>935</v>
      </c>
    </row>
    <row r="142" spans="1:6" ht="14.1">
      <c r="A142" s="113" t="s">
        <v>823</v>
      </c>
      <c r="B142" s="113">
        <v>2026</v>
      </c>
      <c r="C142" s="113" t="s">
        <v>872</v>
      </c>
      <c r="D142" s="113" t="s">
        <v>1012</v>
      </c>
      <c r="E142" s="113" t="s">
        <v>949</v>
      </c>
      <c r="F142" s="113" t="s">
        <v>924</v>
      </c>
    </row>
    <row r="143" spans="1:6" ht="14.1">
      <c r="A143" s="113" t="s">
        <v>823</v>
      </c>
      <c r="B143" s="113">
        <v>2026</v>
      </c>
      <c r="C143" s="113" t="s">
        <v>872</v>
      </c>
      <c r="D143" s="113" t="s">
        <v>1018</v>
      </c>
      <c r="E143" s="113" t="s">
        <v>946</v>
      </c>
      <c r="F143" s="113" t="s">
        <v>924</v>
      </c>
    </row>
    <row r="144" spans="1:6" ht="14.1">
      <c r="A144" s="113" t="s">
        <v>823</v>
      </c>
      <c r="B144" s="113">
        <v>2026</v>
      </c>
      <c r="C144" s="113" t="s">
        <v>872</v>
      </c>
      <c r="D144" s="113" t="s">
        <v>1012</v>
      </c>
      <c r="E144" s="113" t="s">
        <v>949</v>
      </c>
      <c r="F144" s="113" t="s">
        <v>924</v>
      </c>
    </row>
    <row r="145" spans="1:6" ht="14.1">
      <c r="A145" s="113" t="s">
        <v>823</v>
      </c>
      <c r="B145" s="113">
        <v>2026</v>
      </c>
      <c r="C145" s="113" t="s">
        <v>872</v>
      </c>
      <c r="D145" s="113" t="s">
        <v>1018</v>
      </c>
      <c r="E145" s="113" t="s">
        <v>954</v>
      </c>
      <c r="F145" s="113" t="s">
        <v>906</v>
      </c>
    </row>
    <row r="146" spans="1:6" ht="14.1">
      <c r="A146" s="113" t="s">
        <v>823</v>
      </c>
      <c r="B146" s="113">
        <v>2026</v>
      </c>
      <c r="C146" s="113" t="s">
        <v>872</v>
      </c>
      <c r="D146" s="113" t="s">
        <v>1013</v>
      </c>
      <c r="E146" s="113" t="s">
        <v>954</v>
      </c>
      <c r="F146" s="113" t="s">
        <v>906</v>
      </c>
    </row>
    <row r="147" spans="1:6" ht="14.1">
      <c r="A147" s="113" t="s">
        <v>823</v>
      </c>
      <c r="B147" s="113">
        <v>2026</v>
      </c>
      <c r="C147" s="113" t="s">
        <v>872</v>
      </c>
      <c r="D147" s="113" t="s">
        <v>1013</v>
      </c>
      <c r="E147" s="113" t="s">
        <v>952</v>
      </c>
      <c r="F147" s="113" t="s">
        <v>906</v>
      </c>
    </row>
    <row r="148" spans="1:6" ht="14.1">
      <c r="A148" s="113" t="s">
        <v>823</v>
      </c>
      <c r="B148" s="113">
        <v>2026</v>
      </c>
      <c r="C148" s="113" t="s">
        <v>872</v>
      </c>
      <c r="D148" s="113" t="s">
        <v>1018</v>
      </c>
      <c r="E148" s="113" t="s">
        <v>1001</v>
      </c>
      <c r="F148" s="113" t="s">
        <v>783</v>
      </c>
    </row>
    <row r="149" spans="1:6" ht="14.1">
      <c r="A149" s="113" t="s">
        <v>823</v>
      </c>
      <c r="B149" s="113">
        <v>2026</v>
      </c>
      <c r="C149" s="113" t="s">
        <v>1024</v>
      </c>
      <c r="D149" s="113" t="s">
        <v>1025</v>
      </c>
      <c r="E149" s="113" t="s">
        <v>1009</v>
      </c>
      <c r="F149" s="113" t="s">
        <v>917</v>
      </c>
    </row>
    <row r="150" spans="1:6" ht="14.1">
      <c r="A150" s="113" t="s">
        <v>823</v>
      </c>
      <c r="B150" s="113">
        <v>2026</v>
      </c>
      <c r="C150" s="113" t="s">
        <v>1024</v>
      </c>
      <c r="D150" s="113" t="s">
        <v>1025</v>
      </c>
      <c r="E150" s="113" t="s">
        <v>973</v>
      </c>
      <c r="F150" s="113" t="s">
        <v>917</v>
      </c>
    </row>
    <row r="151" spans="1:6" ht="14.1">
      <c r="A151" s="113" t="s">
        <v>823</v>
      </c>
      <c r="B151" s="113">
        <v>2026</v>
      </c>
      <c r="C151" s="113" t="s">
        <v>1024</v>
      </c>
      <c r="D151" s="113" t="s">
        <v>1025</v>
      </c>
      <c r="E151" s="113" t="s">
        <v>981</v>
      </c>
      <c r="F151" s="113" t="s">
        <v>906</v>
      </c>
    </row>
    <row r="152" spans="1:6" ht="14.1">
      <c r="A152" s="113" t="s">
        <v>823</v>
      </c>
      <c r="B152" s="113">
        <v>2026</v>
      </c>
      <c r="C152" s="113" t="s">
        <v>1024</v>
      </c>
      <c r="D152" s="113" t="s">
        <v>1025</v>
      </c>
      <c r="E152" s="113" t="s">
        <v>949</v>
      </c>
      <c r="F152" s="113" t="s">
        <v>924</v>
      </c>
    </row>
    <row r="153" spans="1:6" ht="14.1">
      <c r="A153" s="113" t="s">
        <v>823</v>
      </c>
      <c r="B153" s="113">
        <v>2026</v>
      </c>
      <c r="C153" s="113" t="s">
        <v>1024</v>
      </c>
      <c r="D153" s="113" t="s">
        <v>1025</v>
      </c>
      <c r="E153" s="113" t="s">
        <v>944</v>
      </c>
      <c r="F153" s="113" t="s">
        <v>906</v>
      </c>
    </row>
    <row r="154" spans="1:6" ht="14.1">
      <c r="A154" s="113" t="s">
        <v>823</v>
      </c>
      <c r="B154" s="113">
        <v>2026</v>
      </c>
      <c r="C154" s="113" t="s">
        <v>1024</v>
      </c>
      <c r="D154" s="113" t="s">
        <v>1026</v>
      </c>
      <c r="E154" s="113" t="s">
        <v>1021</v>
      </c>
      <c r="F154" s="113" t="s">
        <v>663</v>
      </c>
    </row>
    <row r="155" spans="1:6" ht="14.1">
      <c r="A155" s="113" t="s">
        <v>823</v>
      </c>
      <c r="B155" s="113">
        <v>2026</v>
      </c>
      <c r="C155" s="113" t="s">
        <v>1024</v>
      </c>
      <c r="D155" s="113" t="s">
        <v>1027</v>
      </c>
      <c r="E155" s="113" t="s">
        <v>991</v>
      </c>
      <c r="F155" s="113" t="s">
        <v>906</v>
      </c>
    </row>
    <row r="156" spans="1:6" ht="14.1">
      <c r="A156" s="113" t="s">
        <v>823</v>
      </c>
      <c r="B156" s="113">
        <v>2026</v>
      </c>
      <c r="C156" s="113" t="s">
        <v>1024</v>
      </c>
      <c r="D156" s="113" t="s">
        <v>1026</v>
      </c>
      <c r="E156" s="113" t="s">
        <v>954</v>
      </c>
      <c r="F156" s="113" t="s">
        <v>906</v>
      </c>
    </row>
    <row r="157" spans="1:6" ht="14.1">
      <c r="A157" s="113" t="s">
        <v>823</v>
      </c>
      <c r="B157" s="113">
        <v>2026</v>
      </c>
      <c r="C157" s="113" t="s">
        <v>1024</v>
      </c>
      <c r="D157" s="113" t="s">
        <v>1026</v>
      </c>
      <c r="E157" s="113" t="s">
        <v>1028</v>
      </c>
      <c r="F157" s="113" t="s">
        <v>906</v>
      </c>
    </row>
    <row r="158" spans="1:6" ht="14.1">
      <c r="A158" s="113" t="s">
        <v>823</v>
      </c>
      <c r="B158" s="113">
        <v>2026</v>
      </c>
      <c r="C158" s="113" t="s">
        <v>1024</v>
      </c>
      <c r="D158" s="113" t="s">
        <v>1029</v>
      </c>
      <c r="E158" s="113" t="s">
        <v>2</v>
      </c>
      <c r="F158" s="113" t="s">
        <v>922</v>
      </c>
    </row>
    <row r="159" spans="1:6" ht="14.1">
      <c r="A159" s="113" t="s">
        <v>823</v>
      </c>
      <c r="B159" s="113">
        <v>2026</v>
      </c>
      <c r="C159" s="113" t="s">
        <v>1024</v>
      </c>
      <c r="D159" s="113" t="s">
        <v>1026</v>
      </c>
      <c r="E159" s="113" t="s">
        <v>1030</v>
      </c>
      <c r="F159" s="113" t="s">
        <v>935</v>
      </c>
    </row>
    <row r="160" spans="1:6" ht="14.1">
      <c r="A160" s="113" t="s">
        <v>823</v>
      </c>
      <c r="B160" s="113">
        <v>2026</v>
      </c>
      <c r="C160" s="113" t="s">
        <v>1024</v>
      </c>
      <c r="D160" s="113" t="s">
        <v>1027</v>
      </c>
      <c r="E160" s="113" t="s">
        <v>936</v>
      </c>
      <c r="F160" s="113" t="s">
        <v>783</v>
      </c>
    </row>
    <row r="161" spans="1:6" ht="14.1">
      <c r="A161" s="113" t="s">
        <v>823</v>
      </c>
      <c r="B161" s="113">
        <v>2026</v>
      </c>
      <c r="C161" s="113" t="s">
        <v>1024</v>
      </c>
      <c r="D161" s="113" t="s">
        <v>1027</v>
      </c>
      <c r="E161" s="113" t="s">
        <v>995</v>
      </c>
      <c r="F161" s="113" t="s">
        <v>924</v>
      </c>
    </row>
    <row r="162" spans="1:6" ht="14.1">
      <c r="A162" s="113" t="s">
        <v>824</v>
      </c>
      <c r="B162" s="113">
        <v>2026</v>
      </c>
      <c r="C162" s="113" t="s">
        <v>821</v>
      </c>
      <c r="D162" s="113" t="s">
        <v>931</v>
      </c>
      <c r="E162" s="113" t="s">
        <v>987</v>
      </c>
      <c r="F162" s="113" t="s">
        <v>935</v>
      </c>
    </row>
    <row r="163" spans="1:6" ht="14.1">
      <c r="A163" s="113" t="s">
        <v>824</v>
      </c>
      <c r="B163" s="113">
        <v>2026</v>
      </c>
      <c r="C163" s="113" t="s">
        <v>821</v>
      </c>
      <c r="D163" s="113" t="s">
        <v>934</v>
      </c>
      <c r="E163" s="113" t="s">
        <v>949</v>
      </c>
      <c r="F163" s="113" t="s">
        <v>924</v>
      </c>
    </row>
    <row r="164" spans="1:6" ht="14.1">
      <c r="A164" s="113" t="s">
        <v>824</v>
      </c>
      <c r="B164" s="113">
        <v>2026</v>
      </c>
      <c r="C164" s="113" t="s">
        <v>821</v>
      </c>
      <c r="D164" s="113" t="s">
        <v>132</v>
      </c>
      <c r="E164" s="113" t="s">
        <v>957</v>
      </c>
      <c r="F164" s="113" t="s">
        <v>924</v>
      </c>
    </row>
    <row r="165" spans="1:6" ht="14.1">
      <c r="A165" s="113" t="s">
        <v>824</v>
      </c>
      <c r="B165" s="113">
        <v>2026</v>
      </c>
      <c r="C165" s="113" t="s">
        <v>821</v>
      </c>
      <c r="D165" s="113" t="s">
        <v>216</v>
      </c>
      <c r="E165" s="113" t="s">
        <v>2</v>
      </c>
      <c r="F165" s="113" t="s">
        <v>935</v>
      </c>
    </row>
    <row r="166" spans="1:6" ht="14.1">
      <c r="A166" s="113" t="s">
        <v>824</v>
      </c>
      <c r="B166" s="113">
        <v>2026</v>
      </c>
      <c r="C166" s="113" t="s">
        <v>821</v>
      </c>
      <c r="D166" s="113" t="s">
        <v>931</v>
      </c>
      <c r="E166" s="113" t="s">
        <v>954</v>
      </c>
      <c r="F166" s="113" t="s">
        <v>906</v>
      </c>
    </row>
    <row r="167" spans="1:6" ht="14.1">
      <c r="A167" s="113" t="s">
        <v>824</v>
      </c>
      <c r="B167" s="113">
        <v>2026</v>
      </c>
      <c r="C167" s="113" t="s">
        <v>821</v>
      </c>
      <c r="D167" s="113" t="s">
        <v>132</v>
      </c>
      <c r="E167" s="113" t="s">
        <v>954</v>
      </c>
      <c r="F167" s="113" t="s">
        <v>906</v>
      </c>
    </row>
    <row r="168" spans="1:6" ht="14.1">
      <c r="A168" s="113" t="s">
        <v>824</v>
      </c>
      <c r="B168" s="113">
        <v>2026</v>
      </c>
      <c r="C168" s="113" t="s">
        <v>821</v>
      </c>
      <c r="D168" s="113" t="s">
        <v>934</v>
      </c>
      <c r="E168" s="113" t="s">
        <v>1014</v>
      </c>
      <c r="F168" s="113" t="s">
        <v>906</v>
      </c>
    </row>
    <row r="169" spans="1:6" ht="14.1">
      <c r="A169" s="113" t="s">
        <v>824</v>
      </c>
      <c r="B169" s="113">
        <v>2026</v>
      </c>
      <c r="C169" s="113" t="s">
        <v>821</v>
      </c>
      <c r="D169" s="113" t="s">
        <v>931</v>
      </c>
      <c r="E169" s="113" t="s">
        <v>2</v>
      </c>
      <c r="F169" s="113" t="s">
        <v>483</v>
      </c>
    </row>
    <row r="170" spans="1:6" ht="14.1">
      <c r="A170" s="113" t="s">
        <v>824</v>
      </c>
      <c r="B170" s="113">
        <v>2026</v>
      </c>
      <c r="C170" s="113" t="s">
        <v>821</v>
      </c>
      <c r="D170" s="113" t="s">
        <v>934</v>
      </c>
      <c r="E170" s="113" t="s">
        <v>2</v>
      </c>
      <c r="F170" s="113" t="s">
        <v>483</v>
      </c>
    </row>
    <row r="171" spans="1:6" ht="14.1">
      <c r="A171" s="113" t="s">
        <v>824</v>
      </c>
      <c r="B171" s="113">
        <v>2026</v>
      </c>
      <c r="C171" s="113" t="s">
        <v>821</v>
      </c>
      <c r="D171" s="113" t="s">
        <v>934</v>
      </c>
      <c r="E171" s="113" t="s">
        <v>954</v>
      </c>
      <c r="F171" s="113" t="s">
        <v>906</v>
      </c>
    </row>
    <row r="172" spans="1:6" ht="14.1">
      <c r="A172" s="113" t="s">
        <v>824</v>
      </c>
      <c r="B172" s="113">
        <v>2026</v>
      </c>
      <c r="C172" s="113" t="s">
        <v>821</v>
      </c>
      <c r="D172" s="113" t="s">
        <v>934</v>
      </c>
      <c r="E172" s="113" t="s">
        <v>1031</v>
      </c>
      <c r="F172" s="113" t="s">
        <v>913</v>
      </c>
    </row>
    <row r="173" spans="1:6" ht="14.1">
      <c r="A173" s="113" t="s">
        <v>824</v>
      </c>
      <c r="B173" s="113">
        <v>2026</v>
      </c>
      <c r="C173" s="113" t="s">
        <v>821</v>
      </c>
      <c r="D173" s="113" t="s">
        <v>132</v>
      </c>
      <c r="E173" s="113" t="s">
        <v>974</v>
      </c>
      <c r="F173" s="113" t="s">
        <v>917</v>
      </c>
    </row>
    <row r="174" spans="1:6" ht="14.1">
      <c r="A174" s="113" t="s">
        <v>824</v>
      </c>
      <c r="B174" s="113">
        <v>2026</v>
      </c>
      <c r="C174" s="113" t="s">
        <v>821</v>
      </c>
      <c r="D174" s="113" t="s">
        <v>934</v>
      </c>
      <c r="E174" s="113" t="s">
        <v>1032</v>
      </c>
      <c r="F174" s="113" t="s">
        <v>918</v>
      </c>
    </row>
    <row r="175" spans="1:6" ht="14.1">
      <c r="A175" s="113" t="s">
        <v>824</v>
      </c>
      <c r="B175" s="113">
        <v>2026</v>
      </c>
      <c r="C175" s="113" t="s">
        <v>821</v>
      </c>
      <c r="D175" s="113" t="s">
        <v>1033</v>
      </c>
      <c r="E175" s="113" t="s">
        <v>2</v>
      </c>
      <c r="F175" s="113" t="s">
        <v>935</v>
      </c>
    </row>
    <row r="176" spans="1:6" ht="14.1">
      <c r="A176" s="113" t="s">
        <v>824</v>
      </c>
      <c r="B176" s="113">
        <v>2026</v>
      </c>
      <c r="C176" s="113" t="s">
        <v>821</v>
      </c>
      <c r="D176" s="113" t="s">
        <v>934</v>
      </c>
      <c r="E176" s="113" t="s">
        <v>2</v>
      </c>
      <c r="F176" s="113" t="s">
        <v>935</v>
      </c>
    </row>
    <row r="177" spans="1:6" ht="14.1">
      <c r="A177" s="113" t="s">
        <v>824</v>
      </c>
      <c r="B177" s="113">
        <v>2026</v>
      </c>
      <c r="C177" s="113" t="s">
        <v>821</v>
      </c>
      <c r="D177" s="113" t="s">
        <v>1033</v>
      </c>
      <c r="E177" s="113" t="s">
        <v>1034</v>
      </c>
      <c r="F177" s="113" t="s">
        <v>922</v>
      </c>
    </row>
    <row r="178" spans="1:6" ht="14.1">
      <c r="A178" s="113" t="s">
        <v>824</v>
      </c>
      <c r="B178" s="113">
        <v>2026</v>
      </c>
      <c r="C178" s="113" t="s">
        <v>821</v>
      </c>
      <c r="D178" s="113" t="s">
        <v>1033</v>
      </c>
      <c r="E178" s="113" t="s">
        <v>1035</v>
      </c>
      <c r="F178" s="113" t="s">
        <v>935</v>
      </c>
    </row>
    <row r="179" spans="1:6" ht="14.1">
      <c r="A179" s="113" t="s">
        <v>824</v>
      </c>
      <c r="B179" s="113">
        <v>2026</v>
      </c>
      <c r="C179" s="113" t="s">
        <v>821</v>
      </c>
      <c r="D179" s="113" t="s">
        <v>132</v>
      </c>
      <c r="E179" s="113" t="s">
        <v>1036</v>
      </c>
      <c r="F179" s="113" t="s">
        <v>906</v>
      </c>
    </row>
    <row r="180" spans="1:6" ht="14.1">
      <c r="A180" s="113" t="s">
        <v>824</v>
      </c>
      <c r="B180" s="113">
        <v>2026</v>
      </c>
      <c r="C180" s="113" t="s">
        <v>821</v>
      </c>
      <c r="D180" s="113" t="s">
        <v>934</v>
      </c>
      <c r="E180" s="113" t="s">
        <v>930</v>
      </c>
      <c r="F180" s="113" t="s">
        <v>906</v>
      </c>
    </row>
    <row r="181" spans="1:6" ht="14.1">
      <c r="A181" s="113" t="s">
        <v>824</v>
      </c>
      <c r="B181" s="113">
        <v>2026</v>
      </c>
      <c r="C181" s="113" t="s">
        <v>821</v>
      </c>
      <c r="D181" s="113" t="s">
        <v>931</v>
      </c>
      <c r="E181" s="113" t="s">
        <v>952</v>
      </c>
      <c r="F181" s="113" t="s">
        <v>906</v>
      </c>
    </row>
    <row r="182" spans="1:6" ht="14.1">
      <c r="A182" s="113" t="s">
        <v>824</v>
      </c>
      <c r="B182" s="113">
        <v>2026</v>
      </c>
      <c r="C182" s="113" t="s">
        <v>821</v>
      </c>
      <c r="D182" s="113" t="s">
        <v>934</v>
      </c>
      <c r="E182" s="113" t="s">
        <v>1037</v>
      </c>
      <c r="F182" s="113" t="s">
        <v>917</v>
      </c>
    </row>
    <row r="183" spans="1:6" ht="14.1">
      <c r="A183" s="113" t="s">
        <v>824</v>
      </c>
      <c r="B183" s="113">
        <v>2026</v>
      </c>
      <c r="C183" s="113" t="s">
        <v>821</v>
      </c>
      <c r="D183" s="113" t="s">
        <v>132</v>
      </c>
      <c r="E183" s="113" t="s">
        <v>1020</v>
      </c>
      <c r="F183" s="113" t="s">
        <v>909</v>
      </c>
    </row>
    <row r="184" spans="1:6" ht="14.1">
      <c r="A184" s="113" t="s">
        <v>824</v>
      </c>
      <c r="B184" s="113">
        <v>2026</v>
      </c>
      <c r="C184" s="113" t="s">
        <v>821</v>
      </c>
      <c r="D184" s="113" t="s">
        <v>132</v>
      </c>
      <c r="E184" s="113" t="s">
        <v>1038</v>
      </c>
      <c r="F184" s="113" t="s">
        <v>918</v>
      </c>
    </row>
    <row r="185" spans="1:6" ht="14.1">
      <c r="A185" s="113" t="s">
        <v>824</v>
      </c>
      <c r="B185" s="113">
        <v>2026</v>
      </c>
      <c r="C185" s="113" t="s">
        <v>821</v>
      </c>
      <c r="D185" s="113" t="s">
        <v>931</v>
      </c>
      <c r="E185" s="113" t="s">
        <v>1001</v>
      </c>
      <c r="F185" s="113" t="s">
        <v>783</v>
      </c>
    </row>
    <row r="186" spans="1:6" ht="14.1">
      <c r="A186" s="113" t="s">
        <v>824</v>
      </c>
      <c r="B186" s="113">
        <v>2026</v>
      </c>
      <c r="C186" s="113" t="s">
        <v>821</v>
      </c>
      <c r="D186" s="113" t="s">
        <v>934</v>
      </c>
      <c r="E186" s="113" t="s">
        <v>2</v>
      </c>
      <c r="F186" s="113" t="s">
        <v>911</v>
      </c>
    </row>
    <row r="187" spans="1:6" ht="14.1">
      <c r="A187" s="113" t="s">
        <v>824</v>
      </c>
      <c r="B187" s="113">
        <v>2026</v>
      </c>
      <c r="C187" s="113" t="s">
        <v>821</v>
      </c>
      <c r="D187" s="113" t="s">
        <v>934</v>
      </c>
      <c r="E187" s="113" t="s">
        <v>1039</v>
      </c>
      <c r="F187" s="113" t="s">
        <v>483</v>
      </c>
    </row>
    <row r="188" spans="1:6" ht="14.1">
      <c r="A188" s="113" t="s">
        <v>824</v>
      </c>
      <c r="B188" s="113">
        <v>2026</v>
      </c>
      <c r="C188" s="113" t="s">
        <v>821</v>
      </c>
      <c r="D188" s="113" t="s">
        <v>934</v>
      </c>
      <c r="E188" s="113" t="s">
        <v>1006</v>
      </c>
      <c r="F188" s="113" t="s">
        <v>917</v>
      </c>
    </row>
    <row r="189" spans="1:6" ht="14.1">
      <c r="A189" s="113" t="s">
        <v>824</v>
      </c>
      <c r="B189" s="113">
        <v>2026</v>
      </c>
      <c r="C189" s="113" t="s">
        <v>821</v>
      </c>
      <c r="D189" s="113" t="s">
        <v>934</v>
      </c>
      <c r="E189" s="113" t="s">
        <v>937</v>
      </c>
      <c r="F189" s="113" t="s">
        <v>917</v>
      </c>
    </row>
    <row r="190" spans="1:6" ht="14.1">
      <c r="A190" s="113" t="s">
        <v>824</v>
      </c>
      <c r="B190" s="113">
        <v>2026</v>
      </c>
      <c r="C190" s="113" t="s">
        <v>821</v>
      </c>
      <c r="D190" s="113" t="s">
        <v>934</v>
      </c>
      <c r="E190" s="113" t="s">
        <v>1040</v>
      </c>
      <c r="F190" s="113" t="s">
        <v>906</v>
      </c>
    </row>
    <row r="191" spans="1:6" ht="14.1">
      <c r="A191" s="113" t="s">
        <v>824</v>
      </c>
      <c r="B191" s="113">
        <v>2026</v>
      </c>
      <c r="C191" s="113" t="s">
        <v>88</v>
      </c>
      <c r="D191" s="113" t="s">
        <v>966</v>
      </c>
      <c r="E191" s="113" t="s">
        <v>983</v>
      </c>
      <c r="F191" s="113" t="s">
        <v>483</v>
      </c>
    </row>
    <row r="192" spans="1:6" ht="14.1">
      <c r="A192" s="113" t="s">
        <v>824</v>
      </c>
      <c r="B192" s="113">
        <v>2026</v>
      </c>
      <c r="C192" s="113" t="s">
        <v>821</v>
      </c>
      <c r="D192" s="113" t="s">
        <v>976</v>
      </c>
      <c r="E192" s="113" t="s">
        <v>2</v>
      </c>
      <c r="F192" s="113" t="s">
        <v>917</v>
      </c>
    </row>
    <row r="193" spans="1:6" ht="14.1">
      <c r="A193" s="113" t="s">
        <v>824</v>
      </c>
      <c r="B193" s="113">
        <v>2026</v>
      </c>
      <c r="C193" s="113" t="s">
        <v>88</v>
      </c>
      <c r="D193" s="113" t="s">
        <v>966</v>
      </c>
      <c r="E193" s="113" t="s">
        <v>974</v>
      </c>
      <c r="F193" s="113" t="s">
        <v>917</v>
      </c>
    </row>
    <row r="194" spans="1:6" ht="14.1">
      <c r="A194" s="113" t="s">
        <v>824</v>
      </c>
      <c r="B194" s="113">
        <v>2026</v>
      </c>
      <c r="C194" s="113" t="s">
        <v>821</v>
      </c>
      <c r="D194" s="113" t="s">
        <v>976</v>
      </c>
      <c r="E194" s="113" t="s">
        <v>1014</v>
      </c>
      <c r="F194" s="113" t="s">
        <v>906</v>
      </c>
    </row>
    <row r="195" spans="1:6" ht="14.1">
      <c r="A195" s="113" t="s">
        <v>824</v>
      </c>
      <c r="B195" s="113">
        <v>2026</v>
      </c>
      <c r="C195" s="113" t="s">
        <v>88</v>
      </c>
      <c r="D195" s="113" t="s">
        <v>988</v>
      </c>
      <c r="E195" s="113" t="s">
        <v>1041</v>
      </c>
      <c r="F195" s="113" t="s">
        <v>906</v>
      </c>
    </row>
    <row r="196" spans="1:6" ht="14.1">
      <c r="A196" s="113" t="s">
        <v>824</v>
      </c>
      <c r="B196" s="113">
        <v>2026</v>
      </c>
      <c r="C196" s="113" t="s">
        <v>821</v>
      </c>
      <c r="D196" s="113" t="s">
        <v>976</v>
      </c>
      <c r="E196" s="113" t="s">
        <v>1036</v>
      </c>
      <c r="F196" s="113" t="s">
        <v>906</v>
      </c>
    </row>
    <row r="197" spans="1:6" ht="14.1">
      <c r="A197" s="113" t="s">
        <v>824</v>
      </c>
      <c r="B197" s="113">
        <v>2026</v>
      </c>
      <c r="C197" s="113" t="s">
        <v>821</v>
      </c>
      <c r="D197" s="113" t="s">
        <v>976</v>
      </c>
      <c r="E197" s="113" t="s">
        <v>938</v>
      </c>
      <c r="F197" s="113" t="s">
        <v>663</v>
      </c>
    </row>
    <row r="198" spans="1:6" ht="14.1">
      <c r="A198" s="113" t="s">
        <v>824</v>
      </c>
      <c r="B198" s="113">
        <v>2026</v>
      </c>
      <c r="C198" s="113" t="s">
        <v>88</v>
      </c>
      <c r="D198" s="113" t="s">
        <v>959</v>
      </c>
      <c r="E198" s="113" t="s">
        <v>1042</v>
      </c>
      <c r="F198" s="113" t="s">
        <v>913</v>
      </c>
    </row>
    <row r="199" spans="1:6" ht="14.1">
      <c r="A199" s="113" t="s">
        <v>824</v>
      </c>
      <c r="B199" s="113">
        <v>2026</v>
      </c>
      <c r="C199" s="113" t="s">
        <v>88</v>
      </c>
      <c r="D199" s="113" t="s">
        <v>959</v>
      </c>
      <c r="E199" s="113" t="s">
        <v>1043</v>
      </c>
      <c r="F199" s="113" t="s">
        <v>913</v>
      </c>
    </row>
    <row r="200" spans="1:6" ht="14.1">
      <c r="A200" s="113" t="s">
        <v>824</v>
      </c>
      <c r="B200" s="113">
        <v>2026</v>
      </c>
      <c r="C200" s="113" t="s">
        <v>88</v>
      </c>
      <c r="D200" s="113" t="s">
        <v>959</v>
      </c>
      <c r="E200" s="113" t="s">
        <v>993</v>
      </c>
      <c r="F200" s="113" t="s">
        <v>918</v>
      </c>
    </row>
    <row r="201" spans="1:6" ht="14.1">
      <c r="A201" s="113" t="s">
        <v>824</v>
      </c>
      <c r="B201" s="113">
        <v>2026</v>
      </c>
      <c r="C201" s="113" t="s">
        <v>88</v>
      </c>
      <c r="D201" s="113" t="s">
        <v>966</v>
      </c>
      <c r="E201" s="113" t="s">
        <v>989</v>
      </c>
      <c r="F201" s="113" t="s">
        <v>935</v>
      </c>
    </row>
    <row r="202" spans="1:6" ht="14.1">
      <c r="A202" s="113" t="s">
        <v>824</v>
      </c>
      <c r="B202" s="113">
        <v>2026</v>
      </c>
      <c r="C202" s="113" t="s">
        <v>88</v>
      </c>
      <c r="D202" s="113" t="s">
        <v>969</v>
      </c>
      <c r="E202" s="113" t="s">
        <v>989</v>
      </c>
      <c r="F202" s="113" t="s">
        <v>935</v>
      </c>
    </row>
    <row r="203" spans="1:6" ht="14.1">
      <c r="A203" s="113" t="s">
        <v>824</v>
      </c>
      <c r="B203" s="113">
        <v>2026</v>
      </c>
      <c r="C203" s="113" t="s">
        <v>88</v>
      </c>
      <c r="D203" s="113" t="s">
        <v>966</v>
      </c>
      <c r="E203" s="113" t="s">
        <v>1023</v>
      </c>
      <c r="F203" s="113" t="s">
        <v>935</v>
      </c>
    </row>
    <row r="204" spans="1:6" ht="14.1">
      <c r="A204" s="113" t="s">
        <v>824</v>
      </c>
      <c r="B204" s="113">
        <v>2026</v>
      </c>
      <c r="C204" s="113" t="s">
        <v>88</v>
      </c>
      <c r="D204" s="113" t="s">
        <v>969</v>
      </c>
      <c r="E204" s="113" t="s">
        <v>1044</v>
      </c>
      <c r="F204" s="113" t="s">
        <v>922</v>
      </c>
    </row>
    <row r="205" spans="1:6" ht="14.1">
      <c r="A205" s="113" t="s">
        <v>824</v>
      </c>
      <c r="B205" s="113">
        <v>2026</v>
      </c>
      <c r="C205" s="113" t="s">
        <v>88</v>
      </c>
      <c r="D205" s="113" t="s">
        <v>969</v>
      </c>
      <c r="E205" s="113" t="s">
        <v>1045</v>
      </c>
      <c r="F205" s="113" t="s">
        <v>922</v>
      </c>
    </row>
    <row r="206" spans="1:6" ht="14.1">
      <c r="A206" s="113" t="s">
        <v>824</v>
      </c>
      <c r="B206" s="113">
        <v>2026</v>
      </c>
      <c r="C206" s="113" t="s">
        <v>88</v>
      </c>
      <c r="D206" s="113" t="s">
        <v>966</v>
      </c>
      <c r="E206" s="113" t="s">
        <v>948</v>
      </c>
      <c r="F206" s="113" t="s">
        <v>922</v>
      </c>
    </row>
    <row r="207" spans="1:6" ht="14.1">
      <c r="A207" s="113" t="s">
        <v>824</v>
      </c>
      <c r="B207" s="113">
        <v>2026</v>
      </c>
      <c r="C207" s="113" t="s">
        <v>88</v>
      </c>
      <c r="D207" s="113" t="s">
        <v>966</v>
      </c>
      <c r="E207" s="113" t="s">
        <v>952</v>
      </c>
      <c r="F207" s="113" t="s">
        <v>906</v>
      </c>
    </row>
    <row r="208" spans="1:6" ht="14.1">
      <c r="A208" s="113" t="s">
        <v>824</v>
      </c>
      <c r="B208" s="113">
        <v>2026</v>
      </c>
      <c r="C208" s="113" t="s">
        <v>88</v>
      </c>
      <c r="D208" s="113" t="s">
        <v>969</v>
      </c>
      <c r="E208" s="113" t="s">
        <v>1041</v>
      </c>
      <c r="F208" s="113" t="s">
        <v>906</v>
      </c>
    </row>
    <row r="209" spans="1:6" ht="14.1">
      <c r="A209" s="113" t="s">
        <v>824</v>
      </c>
      <c r="B209" s="113">
        <v>2026</v>
      </c>
      <c r="C209" s="113" t="s">
        <v>88</v>
      </c>
      <c r="D209" s="113" t="s">
        <v>959</v>
      </c>
      <c r="E209" s="113" t="s">
        <v>962</v>
      </c>
      <c r="F209" s="113" t="s">
        <v>913</v>
      </c>
    </row>
    <row r="210" spans="1:6" ht="14.1">
      <c r="A210" s="113" t="s">
        <v>824</v>
      </c>
      <c r="B210" s="113">
        <v>2026</v>
      </c>
      <c r="C210" s="113" t="s">
        <v>88</v>
      </c>
      <c r="D210" s="113" t="s">
        <v>969</v>
      </c>
      <c r="E210" s="113" t="s">
        <v>981</v>
      </c>
      <c r="F210" s="113" t="s">
        <v>906</v>
      </c>
    </row>
    <row r="211" spans="1:6" ht="14.1">
      <c r="A211" s="113" t="s">
        <v>824</v>
      </c>
      <c r="B211" s="113">
        <v>2026</v>
      </c>
      <c r="C211" s="113" t="s">
        <v>88</v>
      </c>
      <c r="D211" s="113" t="s">
        <v>969</v>
      </c>
      <c r="E211" s="113" t="s">
        <v>986</v>
      </c>
      <c r="F211" s="113" t="s">
        <v>906</v>
      </c>
    </row>
    <row r="212" spans="1:6" ht="14.1">
      <c r="A212" s="113" t="s">
        <v>824</v>
      </c>
      <c r="B212" s="113">
        <v>2026</v>
      </c>
      <c r="C212" s="113" t="s">
        <v>88</v>
      </c>
      <c r="D212" s="113" t="s">
        <v>966</v>
      </c>
      <c r="E212" s="113" t="s">
        <v>970</v>
      </c>
      <c r="F212" s="113" t="s">
        <v>915</v>
      </c>
    </row>
    <row r="213" spans="1:6" ht="14.1">
      <c r="A213" s="113" t="s">
        <v>824</v>
      </c>
      <c r="B213" s="113">
        <v>2026</v>
      </c>
      <c r="C213" s="113" t="s">
        <v>821</v>
      </c>
      <c r="D213" s="113" t="s">
        <v>976</v>
      </c>
      <c r="E213" s="113" t="s">
        <v>932</v>
      </c>
      <c r="F213" s="113" t="s">
        <v>663</v>
      </c>
    </row>
    <row r="214" spans="1:6" ht="27.95">
      <c r="A214" s="113" t="s">
        <v>824</v>
      </c>
      <c r="B214" s="113">
        <v>2026</v>
      </c>
      <c r="C214" s="113" t="s">
        <v>88</v>
      </c>
      <c r="D214" s="113" t="s">
        <v>956</v>
      </c>
      <c r="E214" s="113" t="s">
        <v>1014</v>
      </c>
      <c r="F214" s="113" t="s">
        <v>906</v>
      </c>
    </row>
    <row r="215" spans="1:6" ht="14.1">
      <c r="A215" s="113" t="s">
        <v>824</v>
      </c>
      <c r="B215" s="113">
        <v>2026</v>
      </c>
      <c r="C215" s="113" t="s">
        <v>88</v>
      </c>
      <c r="D215" s="113" t="s">
        <v>959</v>
      </c>
      <c r="E215" s="113" t="s">
        <v>951</v>
      </c>
      <c r="F215" s="113" t="s">
        <v>917</v>
      </c>
    </row>
    <row r="216" spans="1:6" ht="14.1">
      <c r="A216" s="113" t="s">
        <v>824</v>
      </c>
      <c r="B216" s="113">
        <v>2026</v>
      </c>
      <c r="C216" s="113" t="s">
        <v>88</v>
      </c>
      <c r="D216" s="113" t="s">
        <v>959</v>
      </c>
      <c r="E216" s="113" t="s">
        <v>947</v>
      </c>
      <c r="F216" s="113" t="s">
        <v>913</v>
      </c>
    </row>
    <row r="217" spans="1:6" ht="14.1">
      <c r="A217" s="113" t="s">
        <v>824</v>
      </c>
      <c r="B217" s="113">
        <v>2026</v>
      </c>
      <c r="C217" s="113" t="s">
        <v>88</v>
      </c>
      <c r="D217" s="113" t="s">
        <v>959</v>
      </c>
      <c r="E217" s="113" t="s">
        <v>962</v>
      </c>
      <c r="F217" s="113" t="s">
        <v>913</v>
      </c>
    </row>
    <row r="218" spans="1:6" ht="14.1">
      <c r="A218" s="113" t="s">
        <v>824</v>
      </c>
      <c r="B218" s="113">
        <v>2026</v>
      </c>
      <c r="C218" s="113" t="s">
        <v>88</v>
      </c>
      <c r="D218" s="113" t="s">
        <v>959</v>
      </c>
      <c r="E218" s="113" t="s">
        <v>947</v>
      </c>
      <c r="F218" s="113" t="s">
        <v>913</v>
      </c>
    </row>
    <row r="219" spans="1:6" ht="14.1">
      <c r="A219" s="113" t="s">
        <v>824</v>
      </c>
      <c r="B219" s="113">
        <v>2026</v>
      </c>
      <c r="C219" s="113" t="s">
        <v>88</v>
      </c>
      <c r="D219" s="113" t="s">
        <v>959</v>
      </c>
      <c r="E219" s="113" t="s">
        <v>1031</v>
      </c>
      <c r="F219" s="113" t="s">
        <v>913</v>
      </c>
    </row>
    <row r="220" spans="1:6" ht="14.1">
      <c r="A220" s="113" t="s">
        <v>824</v>
      </c>
      <c r="B220" s="113">
        <v>2026</v>
      </c>
      <c r="C220" s="113" t="s">
        <v>88</v>
      </c>
      <c r="D220" s="113" t="s">
        <v>966</v>
      </c>
      <c r="E220" s="113" t="s">
        <v>949</v>
      </c>
      <c r="F220" s="113" t="s">
        <v>924</v>
      </c>
    </row>
    <row r="221" spans="1:6" ht="14.1">
      <c r="A221" s="113" t="s">
        <v>824</v>
      </c>
      <c r="B221" s="113">
        <v>2026</v>
      </c>
      <c r="C221" s="113" t="s">
        <v>88</v>
      </c>
      <c r="D221" s="113" t="s">
        <v>959</v>
      </c>
      <c r="E221" s="113" t="s">
        <v>986</v>
      </c>
      <c r="F221" s="113" t="s">
        <v>906</v>
      </c>
    </row>
    <row r="222" spans="1:6" ht="14.1">
      <c r="A222" s="113" t="s">
        <v>824</v>
      </c>
      <c r="B222" s="113">
        <v>2026</v>
      </c>
      <c r="C222" s="113" t="s">
        <v>88</v>
      </c>
      <c r="D222" s="113" t="s">
        <v>966</v>
      </c>
      <c r="E222" s="113" t="s">
        <v>1037</v>
      </c>
      <c r="F222" s="113" t="s">
        <v>917</v>
      </c>
    </row>
    <row r="223" spans="1:6" ht="14.1">
      <c r="A223" s="113" t="s">
        <v>824</v>
      </c>
      <c r="B223" s="113">
        <v>2026</v>
      </c>
      <c r="C223" s="113" t="s">
        <v>88</v>
      </c>
      <c r="D223" s="113" t="s">
        <v>959</v>
      </c>
      <c r="E223" s="113" t="s">
        <v>1042</v>
      </c>
      <c r="F223" s="113" t="s">
        <v>913</v>
      </c>
    </row>
    <row r="224" spans="1:6" ht="14.1">
      <c r="A224" s="113" t="s">
        <v>824</v>
      </c>
      <c r="B224" s="113">
        <v>2026</v>
      </c>
      <c r="C224" s="113" t="s">
        <v>88</v>
      </c>
      <c r="D224" s="113" t="s">
        <v>959</v>
      </c>
      <c r="E224" s="113" t="s">
        <v>1009</v>
      </c>
      <c r="F224" s="113" t="s">
        <v>913</v>
      </c>
    </row>
    <row r="225" spans="1:6" ht="14.1">
      <c r="A225" s="113" t="s">
        <v>824</v>
      </c>
      <c r="B225" s="113">
        <v>2026</v>
      </c>
      <c r="C225" s="113" t="s">
        <v>88</v>
      </c>
      <c r="D225" s="113" t="s">
        <v>966</v>
      </c>
      <c r="E225" s="113" t="s">
        <v>2</v>
      </c>
      <c r="F225" s="113" t="s">
        <v>917</v>
      </c>
    </row>
    <row r="226" spans="1:6" ht="14.1">
      <c r="A226" s="113" t="s">
        <v>824</v>
      </c>
      <c r="B226" s="113">
        <v>2026</v>
      </c>
      <c r="C226" s="113" t="s">
        <v>88</v>
      </c>
      <c r="D226" s="113" t="s">
        <v>966</v>
      </c>
      <c r="E226" s="113" t="s">
        <v>1046</v>
      </c>
      <c r="F226" s="113" t="s">
        <v>918</v>
      </c>
    </row>
    <row r="227" spans="1:6" ht="14.1">
      <c r="A227" s="113" t="s">
        <v>824</v>
      </c>
      <c r="B227" s="113">
        <v>2026</v>
      </c>
      <c r="C227" s="113" t="s">
        <v>88</v>
      </c>
      <c r="D227" s="113" t="s">
        <v>966</v>
      </c>
      <c r="E227" s="113" t="s">
        <v>982</v>
      </c>
      <c r="F227" s="113" t="s">
        <v>663</v>
      </c>
    </row>
    <row r="228" spans="1:6" ht="14.1">
      <c r="A228" s="113" t="s">
        <v>824</v>
      </c>
      <c r="B228" s="113">
        <v>2026</v>
      </c>
      <c r="C228" s="113" t="s">
        <v>88</v>
      </c>
      <c r="D228" s="113" t="s">
        <v>966</v>
      </c>
      <c r="E228" s="113" t="s">
        <v>1047</v>
      </c>
      <c r="F228" s="113" t="s">
        <v>924</v>
      </c>
    </row>
    <row r="229" spans="1:6" ht="14.1">
      <c r="A229" s="113" t="s">
        <v>824</v>
      </c>
      <c r="B229" s="113">
        <v>2026</v>
      </c>
      <c r="C229" s="113" t="s">
        <v>88</v>
      </c>
      <c r="D229" s="113" t="s">
        <v>966</v>
      </c>
      <c r="E229" s="113" t="s">
        <v>1010</v>
      </c>
      <c r="F229" s="113" t="s">
        <v>924</v>
      </c>
    </row>
    <row r="230" spans="1:6" ht="14.1">
      <c r="A230" s="113" t="s">
        <v>824</v>
      </c>
      <c r="B230" s="113">
        <v>2026</v>
      </c>
      <c r="C230" s="113" t="s">
        <v>88</v>
      </c>
      <c r="D230" s="113" t="s">
        <v>966</v>
      </c>
      <c r="E230" s="113" t="s">
        <v>997</v>
      </c>
      <c r="F230" s="113" t="s">
        <v>935</v>
      </c>
    </row>
    <row r="231" spans="1:6" ht="14.1">
      <c r="A231" s="113" t="s">
        <v>824</v>
      </c>
      <c r="B231" s="113">
        <v>2026</v>
      </c>
      <c r="C231" s="113" t="s">
        <v>88</v>
      </c>
      <c r="D231" s="113" t="s">
        <v>969</v>
      </c>
      <c r="E231" s="113" t="s">
        <v>974</v>
      </c>
      <c r="F231" s="113" t="s">
        <v>917</v>
      </c>
    </row>
    <row r="232" spans="1:6" ht="14.1">
      <c r="A232" s="113" t="s">
        <v>824</v>
      </c>
      <c r="B232" s="113">
        <v>2026</v>
      </c>
      <c r="C232" s="113" t="s">
        <v>88</v>
      </c>
      <c r="D232" s="113" t="s">
        <v>959</v>
      </c>
      <c r="E232" s="113" t="s">
        <v>1048</v>
      </c>
      <c r="F232" s="113" t="s">
        <v>917</v>
      </c>
    </row>
    <row r="233" spans="1:6" ht="14.1">
      <c r="A233" s="113" t="s">
        <v>824</v>
      </c>
      <c r="B233" s="113">
        <v>2026</v>
      </c>
      <c r="C233" s="113" t="s">
        <v>88</v>
      </c>
      <c r="D233" s="113" t="s">
        <v>966</v>
      </c>
      <c r="E233" s="113" t="s">
        <v>2</v>
      </c>
      <c r="F233" s="113" t="s">
        <v>918</v>
      </c>
    </row>
    <row r="234" spans="1:6" ht="14.1">
      <c r="A234" s="113" t="s">
        <v>824</v>
      </c>
      <c r="B234" s="113">
        <v>2026</v>
      </c>
      <c r="C234" s="113" t="s">
        <v>88</v>
      </c>
      <c r="D234" s="113" t="s">
        <v>966</v>
      </c>
      <c r="E234" s="113" t="s">
        <v>995</v>
      </c>
      <c r="F234" s="113" t="s">
        <v>924</v>
      </c>
    </row>
    <row r="235" spans="1:6" ht="14.1">
      <c r="A235" s="113" t="s">
        <v>824</v>
      </c>
      <c r="B235" s="113">
        <v>2026</v>
      </c>
      <c r="C235" s="113" t="s">
        <v>821</v>
      </c>
      <c r="D235" s="113" t="s">
        <v>976</v>
      </c>
      <c r="E235" s="113" t="s">
        <v>932</v>
      </c>
      <c r="F235" s="113" t="s">
        <v>663</v>
      </c>
    </row>
    <row r="236" spans="1:6" ht="14.1">
      <c r="A236" s="113" t="s">
        <v>824</v>
      </c>
      <c r="B236" s="113">
        <v>2026</v>
      </c>
      <c r="C236" s="113" t="s">
        <v>88</v>
      </c>
      <c r="D236" s="113" t="s">
        <v>969</v>
      </c>
      <c r="E236" s="113" t="s">
        <v>1028</v>
      </c>
      <c r="F236" s="113" t="s">
        <v>906</v>
      </c>
    </row>
    <row r="237" spans="1:6" ht="14.1">
      <c r="A237" s="113" t="s">
        <v>824</v>
      </c>
      <c r="B237" s="113">
        <v>2026</v>
      </c>
      <c r="C237" s="113" t="s">
        <v>88</v>
      </c>
      <c r="D237" s="113" t="s">
        <v>958</v>
      </c>
      <c r="E237" s="113" t="s">
        <v>2</v>
      </c>
      <c r="F237" s="113" t="s">
        <v>483</v>
      </c>
    </row>
    <row r="238" spans="1:6" ht="14.1">
      <c r="A238" s="113" t="s">
        <v>824</v>
      </c>
      <c r="B238" s="113">
        <v>2026</v>
      </c>
      <c r="C238" s="113" t="s">
        <v>88</v>
      </c>
      <c r="D238" s="113" t="s">
        <v>966</v>
      </c>
      <c r="E238" s="113" t="s">
        <v>1049</v>
      </c>
      <c r="F238" s="113" t="s">
        <v>483</v>
      </c>
    </row>
    <row r="239" spans="1:6" ht="14.1">
      <c r="A239" s="113" t="s">
        <v>824</v>
      </c>
      <c r="B239" s="113">
        <v>2026</v>
      </c>
      <c r="C239" s="113" t="s">
        <v>88</v>
      </c>
      <c r="D239" s="113" t="s">
        <v>959</v>
      </c>
      <c r="E239" s="113" t="s">
        <v>1050</v>
      </c>
      <c r="F239" s="113" t="s">
        <v>483</v>
      </c>
    </row>
    <row r="240" spans="1:6" ht="14.1">
      <c r="A240" s="113" t="s">
        <v>824</v>
      </c>
      <c r="B240" s="113">
        <v>2026</v>
      </c>
      <c r="C240" s="113" t="s">
        <v>88</v>
      </c>
      <c r="D240" s="113" t="s">
        <v>966</v>
      </c>
      <c r="E240" s="113" t="s">
        <v>990</v>
      </c>
      <c r="F240" s="113" t="s">
        <v>935</v>
      </c>
    </row>
    <row r="241" spans="1:6" ht="14.1">
      <c r="A241" s="113" t="s">
        <v>824</v>
      </c>
      <c r="B241" s="113">
        <v>2026</v>
      </c>
      <c r="C241" s="113" t="s">
        <v>88</v>
      </c>
      <c r="D241" s="113" t="s">
        <v>959</v>
      </c>
      <c r="E241" s="113" t="s">
        <v>1006</v>
      </c>
      <c r="F241" s="113" t="s">
        <v>917</v>
      </c>
    </row>
    <row r="242" spans="1:6" ht="14.1">
      <c r="A242" s="113" t="s">
        <v>824</v>
      </c>
      <c r="B242" s="113">
        <v>2026</v>
      </c>
      <c r="C242" s="113" t="s">
        <v>88</v>
      </c>
      <c r="D242" s="113" t="s">
        <v>966</v>
      </c>
      <c r="E242" s="113" t="s">
        <v>2</v>
      </c>
      <c r="F242" s="113" t="s">
        <v>918</v>
      </c>
    </row>
    <row r="243" spans="1:6" ht="14.1">
      <c r="A243" s="113" t="s">
        <v>824</v>
      </c>
      <c r="B243" s="113">
        <v>2026</v>
      </c>
      <c r="C243" s="113" t="s">
        <v>88</v>
      </c>
      <c r="D243" s="113" t="s">
        <v>969</v>
      </c>
      <c r="E243" s="113" t="s">
        <v>2</v>
      </c>
      <c r="F243" s="113" t="s">
        <v>924</v>
      </c>
    </row>
    <row r="244" spans="1:6" ht="14.1">
      <c r="A244" s="113" t="s">
        <v>824</v>
      </c>
      <c r="B244" s="113">
        <v>2026</v>
      </c>
      <c r="C244" s="113" t="s">
        <v>88</v>
      </c>
      <c r="D244" s="113" t="s">
        <v>966</v>
      </c>
      <c r="E244" s="113" t="s">
        <v>2</v>
      </c>
      <c r="F244" s="113" t="s">
        <v>924</v>
      </c>
    </row>
    <row r="245" spans="1:6" ht="27.95">
      <c r="A245" s="113" t="s">
        <v>824</v>
      </c>
      <c r="B245" s="113">
        <v>2026</v>
      </c>
      <c r="C245" s="113" t="s">
        <v>88</v>
      </c>
      <c r="D245" s="113" t="s">
        <v>956</v>
      </c>
      <c r="E245" s="113" t="s">
        <v>938</v>
      </c>
      <c r="F245" s="113" t="s">
        <v>663</v>
      </c>
    </row>
    <row r="246" spans="1:6" ht="14.1">
      <c r="A246" s="113" t="s">
        <v>824</v>
      </c>
      <c r="B246" s="113">
        <v>2026</v>
      </c>
      <c r="C246" s="113" t="s">
        <v>88</v>
      </c>
      <c r="D246" s="113" t="s">
        <v>959</v>
      </c>
      <c r="E246" s="113" t="s">
        <v>1006</v>
      </c>
      <c r="F246" s="113" t="s">
        <v>917</v>
      </c>
    </row>
    <row r="247" spans="1:6" ht="14.1">
      <c r="A247" s="113" t="s">
        <v>824</v>
      </c>
      <c r="B247" s="113">
        <v>2026</v>
      </c>
      <c r="C247" s="113" t="s">
        <v>821</v>
      </c>
      <c r="D247" s="113" t="s">
        <v>976</v>
      </c>
      <c r="E247" s="113" t="s">
        <v>1028</v>
      </c>
      <c r="F247" s="113" t="s">
        <v>906</v>
      </c>
    </row>
    <row r="248" spans="1:6" ht="14.1">
      <c r="A248" s="113" t="s">
        <v>824</v>
      </c>
      <c r="B248" s="113">
        <v>2026</v>
      </c>
      <c r="C248" s="113" t="s">
        <v>88</v>
      </c>
      <c r="D248" s="113" t="s">
        <v>969</v>
      </c>
      <c r="E248" s="113" t="s">
        <v>2</v>
      </c>
      <c r="F248" s="113" t="s">
        <v>935</v>
      </c>
    </row>
    <row r="249" spans="1:6" ht="14.1">
      <c r="A249" s="113" t="s">
        <v>824</v>
      </c>
      <c r="B249" s="113">
        <v>2026</v>
      </c>
      <c r="C249" s="113" t="s">
        <v>88</v>
      </c>
      <c r="D249" s="113" t="s">
        <v>966</v>
      </c>
      <c r="E249" s="113" t="s">
        <v>2</v>
      </c>
      <c r="F249" s="113" t="s">
        <v>924</v>
      </c>
    </row>
    <row r="250" spans="1:6" ht="14.1">
      <c r="A250" s="113" t="s">
        <v>824</v>
      </c>
      <c r="B250" s="113">
        <v>2026</v>
      </c>
      <c r="C250" s="113" t="s">
        <v>859</v>
      </c>
      <c r="D250" s="113" t="s">
        <v>998</v>
      </c>
      <c r="E250" s="113" t="s">
        <v>1041</v>
      </c>
      <c r="F250" s="113" t="s">
        <v>906</v>
      </c>
    </row>
    <row r="251" spans="1:6" ht="14.1">
      <c r="A251" s="113" t="s">
        <v>824</v>
      </c>
      <c r="B251" s="113">
        <v>2026</v>
      </c>
      <c r="C251" s="113" t="s">
        <v>859</v>
      </c>
      <c r="D251" s="113" t="s">
        <v>998</v>
      </c>
      <c r="E251" s="113" t="s">
        <v>1040</v>
      </c>
      <c r="F251" s="113" t="s">
        <v>906</v>
      </c>
    </row>
    <row r="252" spans="1:6" ht="14.1">
      <c r="A252" s="113" t="s">
        <v>824</v>
      </c>
      <c r="B252" s="113">
        <v>2026</v>
      </c>
      <c r="C252" s="113" t="s">
        <v>859</v>
      </c>
      <c r="D252" s="113" t="s">
        <v>998</v>
      </c>
      <c r="E252" s="113" t="s">
        <v>952</v>
      </c>
      <c r="F252" s="113" t="s">
        <v>906</v>
      </c>
    </row>
    <row r="253" spans="1:6" ht="14.1">
      <c r="A253" s="113" t="s">
        <v>824</v>
      </c>
      <c r="B253" s="113">
        <v>2026</v>
      </c>
      <c r="C253" s="113" t="s">
        <v>859</v>
      </c>
      <c r="D253" s="113" t="s">
        <v>1000</v>
      </c>
      <c r="E253" s="113" t="s">
        <v>965</v>
      </c>
      <c r="F253" s="113" t="s">
        <v>911</v>
      </c>
    </row>
    <row r="254" spans="1:6" ht="14.1">
      <c r="A254" s="113" t="s">
        <v>824</v>
      </c>
      <c r="B254" s="113">
        <v>2026</v>
      </c>
      <c r="C254" s="113" t="s">
        <v>859</v>
      </c>
      <c r="D254" s="113" t="s">
        <v>999</v>
      </c>
      <c r="E254" s="113" t="s">
        <v>953</v>
      </c>
      <c r="F254" s="113" t="s">
        <v>906</v>
      </c>
    </row>
    <row r="255" spans="1:6" ht="14.1">
      <c r="A255" s="113" t="s">
        <v>824</v>
      </c>
      <c r="B255" s="113">
        <v>2026</v>
      </c>
      <c r="C255" s="113" t="s">
        <v>859</v>
      </c>
      <c r="D255" s="113" t="s">
        <v>999</v>
      </c>
      <c r="E255" s="113" t="s">
        <v>953</v>
      </c>
      <c r="F255" s="113" t="s">
        <v>906</v>
      </c>
    </row>
    <row r="256" spans="1:6" ht="14.1">
      <c r="A256" s="113" t="s">
        <v>824</v>
      </c>
      <c r="B256" s="113">
        <v>2026</v>
      </c>
      <c r="C256" s="113" t="s">
        <v>859</v>
      </c>
      <c r="D256" s="113" t="s">
        <v>1000</v>
      </c>
      <c r="E256" s="113" t="s">
        <v>1020</v>
      </c>
      <c r="F256" s="113" t="s">
        <v>909</v>
      </c>
    </row>
    <row r="257" spans="1:6" ht="14.1">
      <c r="A257" s="113" t="s">
        <v>824</v>
      </c>
      <c r="B257" s="113">
        <v>2026</v>
      </c>
      <c r="C257" s="113" t="s">
        <v>859</v>
      </c>
      <c r="D257" s="113" t="s">
        <v>1000</v>
      </c>
      <c r="E257" s="113" t="s">
        <v>1051</v>
      </c>
      <c r="F257" s="113" t="s">
        <v>924</v>
      </c>
    </row>
    <row r="258" spans="1:6" ht="14.1">
      <c r="A258" s="113" t="s">
        <v>824</v>
      </c>
      <c r="B258" s="113">
        <v>2026</v>
      </c>
      <c r="C258" s="113" t="s">
        <v>859</v>
      </c>
      <c r="D258" s="113" t="s">
        <v>1000</v>
      </c>
      <c r="E258" s="113" t="s">
        <v>1017</v>
      </c>
      <c r="F258" s="113" t="s">
        <v>909</v>
      </c>
    </row>
    <row r="259" spans="1:6" ht="14.1">
      <c r="A259" s="113" t="s">
        <v>824</v>
      </c>
      <c r="B259" s="113">
        <v>2026</v>
      </c>
      <c r="C259" s="113" t="s">
        <v>859</v>
      </c>
      <c r="D259" s="113" t="s">
        <v>1000</v>
      </c>
      <c r="E259" s="113" t="s">
        <v>1052</v>
      </c>
      <c r="F259" s="113" t="s">
        <v>909</v>
      </c>
    </row>
    <row r="260" spans="1:6" ht="14.1">
      <c r="A260" s="113" t="s">
        <v>824</v>
      </c>
      <c r="B260" s="113">
        <v>2026</v>
      </c>
      <c r="C260" s="113" t="s">
        <v>859</v>
      </c>
      <c r="D260" s="113" t="s">
        <v>1005</v>
      </c>
      <c r="E260" s="113" t="s">
        <v>991</v>
      </c>
      <c r="F260" s="113" t="s">
        <v>906</v>
      </c>
    </row>
    <row r="261" spans="1:6" ht="14.1">
      <c r="A261" s="113" t="s">
        <v>824</v>
      </c>
      <c r="B261" s="113">
        <v>2026</v>
      </c>
      <c r="C261" s="113" t="s">
        <v>859</v>
      </c>
      <c r="D261" s="113" t="s">
        <v>998</v>
      </c>
      <c r="E261" s="113" t="s">
        <v>989</v>
      </c>
      <c r="F261" s="113" t="s">
        <v>935</v>
      </c>
    </row>
    <row r="262" spans="1:6" ht="14.1">
      <c r="A262" s="113" t="s">
        <v>824</v>
      </c>
      <c r="B262" s="113">
        <v>2026</v>
      </c>
      <c r="C262" s="113" t="s">
        <v>859</v>
      </c>
      <c r="D262" s="113" t="s">
        <v>998</v>
      </c>
      <c r="E262" s="113" t="s">
        <v>987</v>
      </c>
      <c r="F262" s="113" t="s">
        <v>935</v>
      </c>
    </row>
    <row r="263" spans="1:6" ht="14.1">
      <c r="A263" s="113" t="s">
        <v>824</v>
      </c>
      <c r="B263" s="113">
        <v>2026</v>
      </c>
      <c r="C263" s="113" t="s">
        <v>859</v>
      </c>
      <c r="D263" s="113" t="s">
        <v>998</v>
      </c>
      <c r="E263" s="113" t="s">
        <v>1004</v>
      </c>
      <c r="F263" s="113" t="s">
        <v>935</v>
      </c>
    </row>
    <row r="264" spans="1:6" ht="14.1">
      <c r="A264" s="113" t="s">
        <v>824</v>
      </c>
      <c r="B264" s="113">
        <v>2026</v>
      </c>
      <c r="C264" s="113" t="s">
        <v>859</v>
      </c>
      <c r="D264" s="113" t="s">
        <v>999</v>
      </c>
      <c r="E264" s="113" t="s">
        <v>1023</v>
      </c>
      <c r="F264" s="113" t="s">
        <v>935</v>
      </c>
    </row>
    <row r="265" spans="1:6" ht="14.1">
      <c r="A265" s="113" t="s">
        <v>824</v>
      </c>
      <c r="B265" s="113">
        <v>2026</v>
      </c>
      <c r="C265" s="113" t="s">
        <v>859</v>
      </c>
      <c r="D265" s="113" t="s">
        <v>999</v>
      </c>
      <c r="E265" s="113" t="s">
        <v>984</v>
      </c>
      <c r="F265" s="113" t="s">
        <v>935</v>
      </c>
    </row>
    <row r="266" spans="1:6" ht="14.1">
      <c r="A266" s="113" t="s">
        <v>824</v>
      </c>
      <c r="B266" s="113">
        <v>2026</v>
      </c>
      <c r="C266" s="113" t="s">
        <v>859</v>
      </c>
      <c r="D266" s="113" t="s">
        <v>1000</v>
      </c>
      <c r="E266" s="113" t="s">
        <v>2</v>
      </c>
      <c r="F266" s="113" t="s">
        <v>911</v>
      </c>
    </row>
    <row r="267" spans="1:6" ht="14.1">
      <c r="A267" s="113" t="s">
        <v>824</v>
      </c>
      <c r="B267" s="113">
        <v>2026</v>
      </c>
      <c r="C267" s="113" t="s">
        <v>872</v>
      </c>
      <c r="D267" s="113" t="s">
        <v>1018</v>
      </c>
      <c r="E267" s="113" t="s">
        <v>1053</v>
      </c>
      <c r="F267" s="113" t="s">
        <v>909</v>
      </c>
    </row>
    <row r="268" spans="1:6" ht="14.1">
      <c r="A268" s="113" t="s">
        <v>824</v>
      </c>
      <c r="B268" s="113">
        <v>2026</v>
      </c>
      <c r="C268" s="113" t="s">
        <v>872</v>
      </c>
      <c r="D268" s="113" t="s">
        <v>1013</v>
      </c>
      <c r="E268" s="113" t="s">
        <v>1036</v>
      </c>
      <c r="F268" s="113" t="s">
        <v>906</v>
      </c>
    </row>
    <row r="269" spans="1:6" ht="14.1">
      <c r="A269" s="113" t="s">
        <v>824</v>
      </c>
      <c r="B269" s="113">
        <v>2026</v>
      </c>
      <c r="C269" s="113" t="s">
        <v>872</v>
      </c>
      <c r="D269" s="113" t="s">
        <v>1013</v>
      </c>
      <c r="E269" s="113" t="s">
        <v>1040</v>
      </c>
      <c r="F269" s="113" t="s">
        <v>906</v>
      </c>
    </row>
    <row r="270" spans="1:6" ht="14.1">
      <c r="A270" s="113" t="s">
        <v>824</v>
      </c>
      <c r="B270" s="113">
        <v>2026</v>
      </c>
      <c r="C270" s="113" t="s">
        <v>872</v>
      </c>
      <c r="D270" s="113" t="s">
        <v>1013</v>
      </c>
      <c r="E270" s="113" t="s">
        <v>1040</v>
      </c>
      <c r="F270" s="113" t="s">
        <v>906</v>
      </c>
    </row>
    <row r="271" spans="1:6" ht="14.1">
      <c r="A271" s="113" t="s">
        <v>824</v>
      </c>
      <c r="B271" s="113">
        <v>2026</v>
      </c>
      <c r="C271" s="113" t="s">
        <v>872</v>
      </c>
      <c r="D271" s="113" t="s">
        <v>1012</v>
      </c>
      <c r="E271" s="113" t="s">
        <v>2</v>
      </c>
      <c r="F271" s="113" t="s">
        <v>935</v>
      </c>
    </row>
    <row r="272" spans="1:6" ht="14.1">
      <c r="A272" s="113" t="s">
        <v>824</v>
      </c>
      <c r="B272" s="113">
        <v>2026</v>
      </c>
      <c r="C272" s="113" t="s">
        <v>872</v>
      </c>
      <c r="D272" s="113" t="s">
        <v>1012</v>
      </c>
      <c r="E272" s="113" t="s">
        <v>1036</v>
      </c>
      <c r="F272" s="113" t="s">
        <v>906</v>
      </c>
    </row>
    <row r="273" spans="1:6" ht="14.1">
      <c r="A273" s="113" t="s">
        <v>824</v>
      </c>
      <c r="B273" s="113">
        <v>2026</v>
      </c>
      <c r="C273" s="113" t="s">
        <v>872</v>
      </c>
      <c r="D273" s="113" t="s">
        <v>1018</v>
      </c>
      <c r="E273" s="113" t="s">
        <v>1054</v>
      </c>
      <c r="F273" s="113" t="s">
        <v>483</v>
      </c>
    </row>
    <row r="274" spans="1:6" ht="14.1">
      <c r="A274" s="113" t="s">
        <v>824</v>
      </c>
      <c r="B274" s="113">
        <v>2026</v>
      </c>
      <c r="C274" s="113" t="s">
        <v>872</v>
      </c>
      <c r="D274" s="113" t="s">
        <v>1013</v>
      </c>
      <c r="E274" s="113" t="s">
        <v>960</v>
      </c>
      <c r="F274" s="113" t="s">
        <v>663</v>
      </c>
    </row>
    <row r="275" spans="1:6" ht="14.1">
      <c r="A275" s="113" t="s">
        <v>824</v>
      </c>
      <c r="B275" s="113">
        <v>2026</v>
      </c>
      <c r="C275" s="113" t="s">
        <v>1024</v>
      </c>
      <c r="D275" s="113" t="s">
        <v>1025</v>
      </c>
      <c r="E275" s="113" t="s">
        <v>2</v>
      </c>
      <c r="F275" s="113" t="s">
        <v>924</v>
      </c>
    </row>
    <row r="276" spans="1:6" ht="14.1">
      <c r="A276" s="113" t="s">
        <v>824</v>
      </c>
      <c r="B276" s="113">
        <v>2026</v>
      </c>
      <c r="C276" s="113" t="s">
        <v>1024</v>
      </c>
      <c r="D276" s="113" t="s">
        <v>1025</v>
      </c>
      <c r="E276" s="113" t="s">
        <v>2</v>
      </c>
      <c r="F276" s="113" t="s">
        <v>663</v>
      </c>
    </row>
    <row r="277" spans="1:6" ht="14.1">
      <c r="A277" s="113" t="s">
        <v>824</v>
      </c>
      <c r="B277" s="113">
        <v>2026</v>
      </c>
      <c r="C277" s="113" t="s">
        <v>1024</v>
      </c>
      <c r="D277" s="113" t="s">
        <v>1055</v>
      </c>
      <c r="E277" s="113" t="s">
        <v>1006</v>
      </c>
      <c r="F277" s="113" t="s">
        <v>917</v>
      </c>
    </row>
    <row r="278" spans="1:6" ht="14.1">
      <c r="A278" s="113" t="s">
        <v>824</v>
      </c>
      <c r="B278" s="113">
        <v>2026</v>
      </c>
      <c r="C278" s="113" t="s">
        <v>1024</v>
      </c>
      <c r="D278" s="113" t="s">
        <v>1025</v>
      </c>
      <c r="E278" s="113" t="s">
        <v>957</v>
      </c>
      <c r="F278" s="113" t="s">
        <v>924</v>
      </c>
    </row>
    <row r="279" spans="1:6" ht="14.1">
      <c r="A279" s="113" t="s">
        <v>824</v>
      </c>
      <c r="B279" s="113">
        <v>2026</v>
      </c>
      <c r="C279" s="113" t="s">
        <v>1024</v>
      </c>
      <c r="D279" s="113" t="s">
        <v>1025</v>
      </c>
      <c r="E279" s="113" t="s">
        <v>957</v>
      </c>
      <c r="F279" s="113" t="s">
        <v>924</v>
      </c>
    </row>
    <row r="280" spans="1:6" ht="14.1">
      <c r="A280" s="113" t="s">
        <v>824</v>
      </c>
      <c r="B280" s="113">
        <v>2026</v>
      </c>
      <c r="C280" s="113" t="s">
        <v>1024</v>
      </c>
      <c r="D280" s="113" t="s">
        <v>1027</v>
      </c>
      <c r="E280" s="113" t="s">
        <v>991</v>
      </c>
      <c r="F280" s="113" t="s">
        <v>906</v>
      </c>
    </row>
    <row r="281" spans="1:6" ht="14.1">
      <c r="A281" s="113" t="s">
        <v>825</v>
      </c>
      <c r="B281" s="113">
        <v>2026</v>
      </c>
      <c r="C281" s="113" t="s">
        <v>821</v>
      </c>
      <c r="D281" s="113" t="s">
        <v>934</v>
      </c>
      <c r="E281" s="113" t="s">
        <v>1056</v>
      </c>
      <c r="F281" s="113" t="s">
        <v>911</v>
      </c>
    </row>
    <row r="282" spans="1:6" ht="14.1">
      <c r="A282" s="113" t="s">
        <v>825</v>
      </c>
      <c r="B282" s="113">
        <v>2026</v>
      </c>
      <c r="C282" s="113" t="s">
        <v>821</v>
      </c>
      <c r="D282" s="113" t="s">
        <v>931</v>
      </c>
      <c r="E282" s="113" t="s">
        <v>973</v>
      </c>
      <c r="F282" s="113" t="s">
        <v>917</v>
      </c>
    </row>
    <row r="283" spans="1:6" ht="14.1">
      <c r="A283" s="113" t="s">
        <v>825</v>
      </c>
      <c r="B283" s="113">
        <v>2026</v>
      </c>
      <c r="C283" s="113" t="s">
        <v>821</v>
      </c>
      <c r="D283" s="113" t="s">
        <v>1033</v>
      </c>
      <c r="E283" s="113" t="s">
        <v>986</v>
      </c>
      <c r="F283" s="113" t="s">
        <v>906</v>
      </c>
    </row>
    <row r="284" spans="1:6" ht="14.1">
      <c r="A284" s="113" t="s">
        <v>825</v>
      </c>
      <c r="B284" s="113">
        <v>2026</v>
      </c>
      <c r="C284" s="113" t="s">
        <v>821</v>
      </c>
      <c r="D284" s="113" t="s">
        <v>931</v>
      </c>
      <c r="E284" s="113" t="s">
        <v>937</v>
      </c>
      <c r="F284" s="113" t="s">
        <v>917</v>
      </c>
    </row>
    <row r="285" spans="1:6" ht="14.1">
      <c r="A285" s="113" t="s">
        <v>825</v>
      </c>
      <c r="B285" s="113">
        <v>2026</v>
      </c>
      <c r="C285" s="113" t="s">
        <v>821</v>
      </c>
      <c r="D285" s="113" t="s">
        <v>934</v>
      </c>
      <c r="E285" s="113" t="s">
        <v>962</v>
      </c>
      <c r="F285" s="113" t="s">
        <v>913</v>
      </c>
    </row>
    <row r="286" spans="1:6" ht="14.1">
      <c r="A286" s="113" t="s">
        <v>825</v>
      </c>
      <c r="B286" s="113">
        <v>2026</v>
      </c>
      <c r="C286" s="113" t="s">
        <v>821</v>
      </c>
      <c r="D286" s="113" t="s">
        <v>132</v>
      </c>
      <c r="E286" s="113" t="s">
        <v>954</v>
      </c>
      <c r="F286" s="113" t="s">
        <v>906</v>
      </c>
    </row>
    <row r="287" spans="1:6" ht="14.1">
      <c r="A287" s="113" t="s">
        <v>825</v>
      </c>
      <c r="B287" s="113">
        <v>2026</v>
      </c>
      <c r="C287" s="113" t="s">
        <v>821</v>
      </c>
      <c r="D287" s="113" t="s">
        <v>934</v>
      </c>
      <c r="E287" s="113" t="s">
        <v>1057</v>
      </c>
      <c r="F287" s="113" t="s">
        <v>663</v>
      </c>
    </row>
    <row r="288" spans="1:6" ht="14.1">
      <c r="A288" s="113" t="s">
        <v>825</v>
      </c>
      <c r="B288" s="113">
        <v>2026</v>
      </c>
      <c r="C288" s="113" t="s">
        <v>821</v>
      </c>
      <c r="D288" s="113" t="s">
        <v>934</v>
      </c>
      <c r="E288" s="113" t="s">
        <v>2</v>
      </c>
      <c r="F288" s="113" t="s">
        <v>911</v>
      </c>
    </row>
    <row r="289" spans="1:6" ht="14.1">
      <c r="A289" s="113" t="s">
        <v>825</v>
      </c>
      <c r="B289" s="113">
        <v>2026</v>
      </c>
      <c r="C289" s="113" t="s">
        <v>821</v>
      </c>
      <c r="D289" s="113" t="s">
        <v>132</v>
      </c>
      <c r="E289" s="113" t="s">
        <v>1058</v>
      </c>
      <c r="F289" s="113" t="s">
        <v>783</v>
      </c>
    </row>
    <row r="290" spans="1:6" ht="14.1">
      <c r="A290" s="113" t="s">
        <v>825</v>
      </c>
      <c r="B290" s="113">
        <v>2026</v>
      </c>
      <c r="C290" s="113" t="s">
        <v>821</v>
      </c>
      <c r="D290" s="113" t="s">
        <v>931</v>
      </c>
      <c r="E290" s="113" t="s">
        <v>974</v>
      </c>
      <c r="F290" s="113" t="s">
        <v>917</v>
      </c>
    </row>
    <row r="291" spans="1:6" ht="14.1">
      <c r="A291" s="113" t="s">
        <v>825</v>
      </c>
      <c r="B291" s="113">
        <v>2026</v>
      </c>
      <c r="C291" s="113" t="s">
        <v>821</v>
      </c>
      <c r="D291" s="113" t="s">
        <v>934</v>
      </c>
      <c r="E291" s="113" t="s">
        <v>1036</v>
      </c>
      <c r="F291" s="113" t="s">
        <v>906</v>
      </c>
    </row>
    <row r="292" spans="1:6" ht="14.1">
      <c r="A292" s="113" t="s">
        <v>825</v>
      </c>
      <c r="B292" s="113">
        <v>2026</v>
      </c>
      <c r="C292" s="113" t="s">
        <v>821</v>
      </c>
      <c r="D292" s="113" t="s">
        <v>934</v>
      </c>
      <c r="E292" s="113" t="s">
        <v>1041</v>
      </c>
      <c r="F292" s="113" t="s">
        <v>906</v>
      </c>
    </row>
    <row r="293" spans="1:6" ht="14.1">
      <c r="A293" s="113" t="s">
        <v>825</v>
      </c>
      <c r="B293" s="113">
        <v>2026</v>
      </c>
      <c r="C293" s="113" t="s">
        <v>821</v>
      </c>
      <c r="D293" s="113" t="s">
        <v>216</v>
      </c>
      <c r="E293" s="113" t="s">
        <v>1048</v>
      </c>
      <c r="F293" s="113" t="s">
        <v>917</v>
      </c>
    </row>
    <row r="294" spans="1:6" ht="14.1">
      <c r="A294" s="113" t="s">
        <v>825</v>
      </c>
      <c r="B294" s="113">
        <v>2026</v>
      </c>
      <c r="C294" s="113" t="s">
        <v>821</v>
      </c>
      <c r="D294" s="113" t="s">
        <v>216</v>
      </c>
      <c r="E294" s="113" t="s">
        <v>2</v>
      </c>
      <c r="F294" s="113" t="s">
        <v>917</v>
      </c>
    </row>
    <row r="295" spans="1:6" ht="14.1">
      <c r="A295" s="113" t="s">
        <v>825</v>
      </c>
      <c r="B295" s="113">
        <v>2026</v>
      </c>
      <c r="C295" s="113" t="s">
        <v>821</v>
      </c>
      <c r="D295" s="113" t="s">
        <v>132</v>
      </c>
      <c r="E295" s="113" t="s">
        <v>986</v>
      </c>
      <c r="F295" s="113" t="s">
        <v>906</v>
      </c>
    </row>
    <row r="296" spans="1:6" ht="14.1">
      <c r="A296" s="113" t="s">
        <v>825</v>
      </c>
      <c r="B296" s="113">
        <v>2026</v>
      </c>
      <c r="C296" s="113" t="s">
        <v>821</v>
      </c>
      <c r="D296" s="113" t="s">
        <v>931</v>
      </c>
      <c r="E296" s="113" t="s">
        <v>982</v>
      </c>
      <c r="F296" s="113" t="s">
        <v>663</v>
      </c>
    </row>
    <row r="297" spans="1:6" ht="14.1">
      <c r="A297" s="113" t="s">
        <v>825</v>
      </c>
      <c r="B297" s="113">
        <v>2026</v>
      </c>
      <c r="C297" s="113" t="s">
        <v>821</v>
      </c>
      <c r="D297" s="113" t="s">
        <v>934</v>
      </c>
      <c r="E297" s="113" t="s">
        <v>1040</v>
      </c>
      <c r="F297" s="113" t="s">
        <v>906</v>
      </c>
    </row>
    <row r="298" spans="1:6" ht="14.1">
      <c r="A298" s="113" t="s">
        <v>825</v>
      </c>
      <c r="B298" s="113">
        <v>2026</v>
      </c>
      <c r="C298" s="113" t="s">
        <v>821</v>
      </c>
      <c r="D298" s="113" t="s">
        <v>132</v>
      </c>
      <c r="E298" s="113" t="s">
        <v>1036</v>
      </c>
      <c r="F298" s="113" t="s">
        <v>906</v>
      </c>
    </row>
    <row r="299" spans="1:6" ht="14.1">
      <c r="A299" s="113" t="s">
        <v>825</v>
      </c>
      <c r="B299" s="113">
        <v>2026</v>
      </c>
      <c r="C299" s="113" t="s">
        <v>821</v>
      </c>
      <c r="D299" s="113" t="s">
        <v>132</v>
      </c>
      <c r="E299" s="113" t="s">
        <v>1058</v>
      </c>
      <c r="F299" s="113" t="s">
        <v>922</v>
      </c>
    </row>
    <row r="300" spans="1:6" ht="14.1">
      <c r="A300" s="113" t="s">
        <v>825</v>
      </c>
      <c r="B300" s="113">
        <v>2026</v>
      </c>
      <c r="C300" s="113" t="s">
        <v>821</v>
      </c>
      <c r="D300" s="113" t="s">
        <v>934</v>
      </c>
      <c r="E300" s="113" t="s">
        <v>1058</v>
      </c>
      <c r="F300" s="113" t="s">
        <v>918</v>
      </c>
    </row>
    <row r="301" spans="1:6" ht="14.1">
      <c r="A301" s="113" t="s">
        <v>825</v>
      </c>
      <c r="B301" s="113">
        <v>2026</v>
      </c>
      <c r="C301" s="113" t="s">
        <v>821</v>
      </c>
      <c r="D301" s="113" t="s">
        <v>931</v>
      </c>
      <c r="E301" s="113" t="s">
        <v>1040</v>
      </c>
      <c r="F301" s="113" t="s">
        <v>906</v>
      </c>
    </row>
    <row r="302" spans="1:6" ht="14.1">
      <c r="A302" s="113" t="s">
        <v>825</v>
      </c>
      <c r="B302" s="113">
        <v>2026</v>
      </c>
      <c r="C302" s="113" t="s">
        <v>821</v>
      </c>
      <c r="D302" s="113" t="s">
        <v>931</v>
      </c>
      <c r="E302" s="113" t="s">
        <v>1040</v>
      </c>
      <c r="F302" s="113" t="s">
        <v>906</v>
      </c>
    </row>
    <row r="303" spans="1:6" ht="14.1">
      <c r="A303" s="113" t="s">
        <v>825</v>
      </c>
      <c r="B303" s="113">
        <v>2026</v>
      </c>
      <c r="C303" s="113" t="s">
        <v>821</v>
      </c>
      <c r="D303" s="113" t="s">
        <v>216</v>
      </c>
      <c r="E303" s="113" t="s">
        <v>2</v>
      </c>
      <c r="F303" s="113" t="s">
        <v>935</v>
      </c>
    </row>
    <row r="304" spans="1:6" ht="14.1">
      <c r="A304" s="113" t="s">
        <v>825</v>
      </c>
      <c r="B304" s="113">
        <v>2026</v>
      </c>
      <c r="C304" s="113" t="s">
        <v>821</v>
      </c>
      <c r="D304" s="113" t="s">
        <v>132</v>
      </c>
      <c r="E304" s="113" t="s">
        <v>974</v>
      </c>
      <c r="F304" s="113" t="s">
        <v>917</v>
      </c>
    </row>
    <row r="305" spans="1:6" ht="14.1">
      <c r="A305" s="113" t="s">
        <v>825</v>
      </c>
      <c r="B305" s="113">
        <v>2026</v>
      </c>
      <c r="C305" s="113" t="s">
        <v>821</v>
      </c>
      <c r="D305" s="113" t="s">
        <v>934</v>
      </c>
      <c r="E305" s="113" t="s">
        <v>2</v>
      </c>
      <c r="F305" s="113" t="s">
        <v>906</v>
      </c>
    </row>
    <row r="306" spans="1:6" ht="14.1">
      <c r="A306" s="113" t="s">
        <v>825</v>
      </c>
      <c r="B306" s="113">
        <v>2026</v>
      </c>
      <c r="C306" s="113" t="s">
        <v>821</v>
      </c>
      <c r="D306" s="113" t="s">
        <v>934</v>
      </c>
      <c r="E306" s="113" t="s">
        <v>930</v>
      </c>
      <c r="F306" s="113" t="s">
        <v>906</v>
      </c>
    </row>
    <row r="307" spans="1:6" ht="14.1">
      <c r="A307" s="113" t="s">
        <v>825</v>
      </c>
      <c r="B307" s="113">
        <v>2026</v>
      </c>
      <c r="C307" s="113" t="s">
        <v>821</v>
      </c>
      <c r="D307" s="113" t="s">
        <v>132</v>
      </c>
      <c r="E307" s="113" t="s">
        <v>1059</v>
      </c>
      <c r="F307" s="113" t="s">
        <v>922</v>
      </c>
    </row>
    <row r="308" spans="1:6" ht="14.1">
      <c r="A308" s="113" t="s">
        <v>825</v>
      </c>
      <c r="B308" s="113">
        <v>2026</v>
      </c>
      <c r="C308" s="113" t="s">
        <v>821</v>
      </c>
      <c r="D308" s="113" t="s">
        <v>132</v>
      </c>
      <c r="E308" s="113" t="s">
        <v>1045</v>
      </c>
      <c r="F308" s="113" t="s">
        <v>922</v>
      </c>
    </row>
    <row r="309" spans="1:6" ht="14.1">
      <c r="A309" s="113" t="s">
        <v>825</v>
      </c>
      <c r="B309" s="113">
        <v>2026</v>
      </c>
      <c r="C309" s="113" t="s">
        <v>821</v>
      </c>
      <c r="D309" s="113" t="s">
        <v>132</v>
      </c>
      <c r="E309" s="113" t="s">
        <v>1019</v>
      </c>
      <c r="F309" s="113" t="s">
        <v>922</v>
      </c>
    </row>
    <row r="310" spans="1:6" ht="14.1">
      <c r="A310" s="113" t="s">
        <v>825</v>
      </c>
      <c r="B310" s="113">
        <v>2026</v>
      </c>
      <c r="C310" s="113" t="s">
        <v>821</v>
      </c>
      <c r="D310" s="113" t="s">
        <v>132</v>
      </c>
      <c r="E310" s="113" t="s">
        <v>1060</v>
      </c>
      <c r="F310" s="113" t="s">
        <v>922</v>
      </c>
    </row>
    <row r="311" spans="1:6" ht="14.1">
      <c r="A311" s="113" t="s">
        <v>825</v>
      </c>
      <c r="B311" s="113">
        <v>2026</v>
      </c>
      <c r="C311" s="113" t="s">
        <v>821</v>
      </c>
      <c r="D311" s="113" t="s">
        <v>132</v>
      </c>
      <c r="E311" s="113" t="s">
        <v>1058</v>
      </c>
      <c r="F311" s="113" t="s">
        <v>906</v>
      </c>
    </row>
    <row r="312" spans="1:6" ht="14.1">
      <c r="A312" s="113" t="s">
        <v>825</v>
      </c>
      <c r="B312" s="113">
        <v>2026</v>
      </c>
      <c r="C312" s="113" t="s">
        <v>821</v>
      </c>
      <c r="D312" s="113" t="s">
        <v>216</v>
      </c>
      <c r="E312" s="113" t="s">
        <v>2</v>
      </c>
      <c r="F312" s="113" t="s">
        <v>924</v>
      </c>
    </row>
    <row r="313" spans="1:6" ht="14.1">
      <c r="A313" s="113" t="s">
        <v>825</v>
      </c>
      <c r="B313" s="113">
        <v>2026</v>
      </c>
      <c r="C313" s="113" t="s">
        <v>821</v>
      </c>
      <c r="D313" s="113" t="s">
        <v>216</v>
      </c>
      <c r="E313" s="113" t="s">
        <v>993</v>
      </c>
      <c r="F313" s="113" t="s">
        <v>918</v>
      </c>
    </row>
    <row r="314" spans="1:6" ht="14.1">
      <c r="A314" s="113" t="s">
        <v>825</v>
      </c>
      <c r="B314" s="113">
        <v>2026</v>
      </c>
      <c r="C314" s="113" t="s">
        <v>821</v>
      </c>
      <c r="D314" s="113" t="s">
        <v>931</v>
      </c>
      <c r="E314" s="113" t="s">
        <v>1061</v>
      </c>
      <c r="F314" s="113" t="s">
        <v>783</v>
      </c>
    </row>
    <row r="315" spans="1:6" ht="14.1">
      <c r="A315" s="113" t="s">
        <v>825</v>
      </c>
      <c r="B315" s="113">
        <v>2026</v>
      </c>
      <c r="C315" s="113" t="s">
        <v>821</v>
      </c>
      <c r="D315" s="113" t="s">
        <v>132</v>
      </c>
      <c r="E315" s="113" t="s">
        <v>955</v>
      </c>
      <c r="F315" s="113" t="s">
        <v>922</v>
      </c>
    </row>
    <row r="316" spans="1:6" ht="14.1">
      <c r="A316" s="113" t="s">
        <v>825</v>
      </c>
      <c r="B316" s="113">
        <v>2026</v>
      </c>
      <c r="C316" s="113" t="s">
        <v>821</v>
      </c>
      <c r="D316" s="113" t="s">
        <v>132</v>
      </c>
      <c r="E316" s="113" t="s">
        <v>1062</v>
      </c>
      <c r="F316" s="113" t="s">
        <v>922</v>
      </c>
    </row>
    <row r="317" spans="1:6" ht="14.1">
      <c r="A317" s="113" t="s">
        <v>825</v>
      </c>
      <c r="B317" s="113">
        <v>2026</v>
      </c>
      <c r="C317" s="113" t="s">
        <v>821</v>
      </c>
      <c r="D317" s="113" t="s">
        <v>132</v>
      </c>
      <c r="E317" s="113" t="s">
        <v>1063</v>
      </c>
      <c r="F317" s="113" t="s">
        <v>922</v>
      </c>
    </row>
    <row r="318" spans="1:6" ht="14.1">
      <c r="A318" s="113" t="s">
        <v>825</v>
      </c>
      <c r="B318" s="113">
        <v>2026</v>
      </c>
      <c r="C318" s="113" t="s">
        <v>821</v>
      </c>
      <c r="D318" s="113" t="s">
        <v>132</v>
      </c>
      <c r="E318" s="113" t="s">
        <v>992</v>
      </c>
      <c r="F318" s="113" t="s">
        <v>922</v>
      </c>
    </row>
    <row r="319" spans="1:6" ht="14.1">
      <c r="A319" s="113" t="s">
        <v>825</v>
      </c>
      <c r="B319" s="113">
        <v>2026</v>
      </c>
      <c r="C319" s="113" t="s">
        <v>821</v>
      </c>
      <c r="D319" s="113" t="s">
        <v>132</v>
      </c>
      <c r="E319" s="113" t="s">
        <v>1059</v>
      </c>
      <c r="F319" s="113" t="s">
        <v>922</v>
      </c>
    </row>
    <row r="320" spans="1:6" ht="14.1">
      <c r="A320" s="113" t="s">
        <v>825</v>
      </c>
      <c r="B320" s="113">
        <v>2026</v>
      </c>
      <c r="C320" s="113" t="s">
        <v>821</v>
      </c>
      <c r="D320" s="113" t="s">
        <v>132</v>
      </c>
      <c r="E320" s="113" t="s">
        <v>1045</v>
      </c>
      <c r="F320" s="113" t="s">
        <v>922</v>
      </c>
    </row>
    <row r="321" spans="1:6" ht="14.1">
      <c r="A321" s="113" t="s">
        <v>825</v>
      </c>
      <c r="B321" s="113">
        <v>2026</v>
      </c>
      <c r="C321" s="113" t="s">
        <v>821</v>
      </c>
      <c r="D321" s="113" t="s">
        <v>934</v>
      </c>
      <c r="E321" s="113" t="s">
        <v>1064</v>
      </c>
      <c r="F321" s="113" t="s">
        <v>922</v>
      </c>
    </row>
    <row r="322" spans="1:6" ht="14.1">
      <c r="A322" s="113" t="s">
        <v>825</v>
      </c>
      <c r="B322" s="113">
        <v>2026</v>
      </c>
      <c r="C322" s="113" t="s">
        <v>821</v>
      </c>
      <c r="D322" s="113" t="s">
        <v>931</v>
      </c>
      <c r="E322" s="113" t="s">
        <v>1058</v>
      </c>
      <c r="F322" s="113" t="s">
        <v>922</v>
      </c>
    </row>
    <row r="323" spans="1:6" ht="14.1">
      <c r="A323" s="113" t="s">
        <v>825</v>
      </c>
      <c r="B323" s="113">
        <v>2026</v>
      </c>
      <c r="C323" s="113" t="s">
        <v>821</v>
      </c>
      <c r="D323" s="113" t="s">
        <v>934</v>
      </c>
      <c r="E323" s="113" t="s">
        <v>954</v>
      </c>
      <c r="F323" s="113" t="s">
        <v>906</v>
      </c>
    </row>
    <row r="324" spans="1:6" ht="14.1">
      <c r="A324" s="113" t="s">
        <v>825</v>
      </c>
      <c r="B324" s="113">
        <v>2026</v>
      </c>
      <c r="C324" s="113" t="s">
        <v>821</v>
      </c>
      <c r="D324" s="113" t="s">
        <v>931</v>
      </c>
      <c r="E324" s="113" t="s">
        <v>952</v>
      </c>
      <c r="F324" s="113" t="s">
        <v>906</v>
      </c>
    </row>
    <row r="325" spans="1:6" ht="14.1">
      <c r="A325" s="113" t="s">
        <v>825</v>
      </c>
      <c r="B325" s="113">
        <v>2026</v>
      </c>
      <c r="C325" s="113" t="s">
        <v>821</v>
      </c>
      <c r="D325" s="113" t="s">
        <v>934</v>
      </c>
      <c r="E325" s="113" t="s">
        <v>994</v>
      </c>
      <c r="F325" s="113" t="s">
        <v>663</v>
      </c>
    </row>
    <row r="326" spans="1:6" ht="14.1">
      <c r="A326" s="113" t="s">
        <v>825</v>
      </c>
      <c r="B326" s="113">
        <v>2026</v>
      </c>
      <c r="C326" s="113" t="s">
        <v>821</v>
      </c>
      <c r="D326" s="113" t="s">
        <v>132</v>
      </c>
      <c r="E326" s="113" t="s">
        <v>953</v>
      </c>
      <c r="F326" s="113" t="s">
        <v>906</v>
      </c>
    </row>
    <row r="327" spans="1:6" ht="14.1">
      <c r="A327" s="113" t="s">
        <v>825</v>
      </c>
      <c r="B327" s="113">
        <v>2026</v>
      </c>
      <c r="C327" s="113" t="s">
        <v>821</v>
      </c>
      <c r="D327" s="113" t="s">
        <v>132</v>
      </c>
      <c r="E327" s="113" t="s">
        <v>1058</v>
      </c>
      <c r="F327" s="113" t="s">
        <v>906</v>
      </c>
    </row>
    <row r="328" spans="1:6" ht="14.1">
      <c r="A328" s="113" t="s">
        <v>825</v>
      </c>
      <c r="B328" s="113">
        <v>2026</v>
      </c>
      <c r="C328" s="113" t="s">
        <v>821</v>
      </c>
      <c r="D328" s="113" t="s">
        <v>1033</v>
      </c>
      <c r="E328" s="113" t="s">
        <v>943</v>
      </c>
      <c r="F328" s="113" t="s">
        <v>917</v>
      </c>
    </row>
    <row r="329" spans="1:6" ht="14.1">
      <c r="A329" s="113" t="s">
        <v>825</v>
      </c>
      <c r="B329" s="113">
        <v>2026</v>
      </c>
      <c r="C329" s="113" t="s">
        <v>821</v>
      </c>
      <c r="D329" s="113" t="s">
        <v>934</v>
      </c>
      <c r="E329" s="113" t="s">
        <v>932</v>
      </c>
      <c r="F329" s="113" t="s">
        <v>663</v>
      </c>
    </row>
    <row r="330" spans="1:6" ht="14.1">
      <c r="A330" s="113" t="s">
        <v>825</v>
      </c>
      <c r="B330" s="113">
        <v>2026</v>
      </c>
      <c r="C330" s="113" t="s">
        <v>821</v>
      </c>
      <c r="D330" s="113" t="s">
        <v>934</v>
      </c>
      <c r="E330" s="113" t="s">
        <v>938</v>
      </c>
      <c r="F330" s="113" t="s">
        <v>663</v>
      </c>
    </row>
    <row r="331" spans="1:6" ht="14.1">
      <c r="A331" s="113" t="s">
        <v>825</v>
      </c>
      <c r="B331" s="113">
        <v>2026</v>
      </c>
      <c r="C331" s="113" t="s">
        <v>821</v>
      </c>
      <c r="D331" s="113" t="s">
        <v>132</v>
      </c>
      <c r="E331" s="113" t="s">
        <v>1021</v>
      </c>
      <c r="F331" s="113" t="s">
        <v>663</v>
      </c>
    </row>
    <row r="332" spans="1:6" ht="14.1">
      <c r="A332" s="113" t="s">
        <v>825</v>
      </c>
      <c r="B332" s="113">
        <v>2026</v>
      </c>
      <c r="C332" s="113" t="s">
        <v>821</v>
      </c>
      <c r="D332" s="113" t="s">
        <v>216</v>
      </c>
      <c r="E332" s="113" t="s">
        <v>941</v>
      </c>
      <c r="F332" s="113" t="s">
        <v>663</v>
      </c>
    </row>
    <row r="333" spans="1:6" ht="14.1">
      <c r="A333" s="113" t="s">
        <v>825</v>
      </c>
      <c r="B333" s="113">
        <v>2026</v>
      </c>
      <c r="C333" s="113" t="s">
        <v>821</v>
      </c>
      <c r="D333" s="113" t="s">
        <v>934</v>
      </c>
      <c r="E333" s="113" t="s">
        <v>1028</v>
      </c>
      <c r="F333" s="113" t="s">
        <v>906</v>
      </c>
    </row>
    <row r="334" spans="1:6" ht="14.1">
      <c r="A334" s="113" t="s">
        <v>825</v>
      </c>
      <c r="B334" s="113">
        <v>2026</v>
      </c>
      <c r="C334" s="113" t="s">
        <v>821</v>
      </c>
      <c r="D334" s="113" t="s">
        <v>934</v>
      </c>
      <c r="E334" s="113" t="s">
        <v>981</v>
      </c>
      <c r="F334" s="113" t="s">
        <v>906</v>
      </c>
    </row>
    <row r="335" spans="1:6" ht="14.1">
      <c r="A335" s="113" t="s">
        <v>825</v>
      </c>
      <c r="B335" s="113">
        <v>2026</v>
      </c>
      <c r="C335" s="113" t="s">
        <v>821</v>
      </c>
      <c r="D335" s="113" t="s">
        <v>931</v>
      </c>
      <c r="E335" s="113" t="s">
        <v>953</v>
      </c>
      <c r="F335" s="113" t="s">
        <v>906</v>
      </c>
    </row>
    <row r="336" spans="1:6" ht="14.1">
      <c r="A336" s="113" t="s">
        <v>825</v>
      </c>
      <c r="B336" s="113">
        <v>2026</v>
      </c>
      <c r="C336" s="113" t="s">
        <v>821</v>
      </c>
      <c r="D336" s="113" t="s">
        <v>976</v>
      </c>
      <c r="E336" s="113" t="s">
        <v>953</v>
      </c>
      <c r="F336" s="113" t="s">
        <v>906</v>
      </c>
    </row>
    <row r="337" spans="1:6" ht="14.1">
      <c r="A337" s="113" t="s">
        <v>825</v>
      </c>
      <c r="B337" s="113">
        <v>2026</v>
      </c>
      <c r="C337" s="113" t="s">
        <v>821</v>
      </c>
      <c r="D337" s="113" t="s">
        <v>216</v>
      </c>
      <c r="E337" s="113" t="s">
        <v>953</v>
      </c>
      <c r="F337" s="113" t="s">
        <v>906</v>
      </c>
    </row>
    <row r="338" spans="1:6" ht="14.1">
      <c r="A338" s="113" t="s">
        <v>825</v>
      </c>
      <c r="B338" s="113">
        <v>2026</v>
      </c>
      <c r="C338" s="113" t="s">
        <v>88</v>
      </c>
      <c r="D338" s="113" t="s">
        <v>966</v>
      </c>
      <c r="E338" s="113" t="s">
        <v>930</v>
      </c>
      <c r="F338" s="113" t="s">
        <v>906</v>
      </c>
    </row>
    <row r="339" spans="1:6" ht="14.1">
      <c r="A339" s="113" t="s">
        <v>825</v>
      </c>
      <c r="B339" s="113">
        <v>2026</v>
      </c>
      <c r="C339" s="113" t="s">
        <v>88</v>
      </c>
      <c r="D339" s="113" t="s">
        <v>959</v>
      </c>
      <c r="E339" s="113" t="s">
        <v>954</v>
      </c>
      <c r="F339" s="113" t="s">
        <v>906</v>
      </c>
    </row>
    <row r="340" spans="1:6" ht="27.95">
      <c r="A340" s="113" t="s">
        <v>825</v>
      </c>
      <c r="B340" s="113">
        <v>2026</v>
      </c>
      <c r="C340" s="113" t="s">
        <v>88</v>
      </c>
      <c r="D340" s="113" t="s">
        <v>956</v>
      </c>
      <c r="E340" s="113" t="s">
        <v>1041</v>
      </c>
      <c r="F340" s="113" t="s">
        <v>906</v>
      </c>
    </row>
    <row r="341" spans="1:6" ht="14.1">
      <c r="A341" s="113" t="s">
        <v>825</v>
      </c>
      <c r="B341" s="113">
        <v>2026</v>
      </c>
      <c r="C341" s="113" t="s">
        <v>88</v>
      </c>
      <c r="D341" s="113" t="s">
        <v>966</v>
      </c>
      <c r="E341" s="113" t="s">
        <v>1065</v>
      </c>
      <c r="F341" s="113" t="s">
        <v>924</v>
      </c>
    </row>
    <row r="342" spans="1:6" ht="14.1">
      <c r="A342" s="113" t="s">
        <v>825</v>
      </c>
      <c r="B342" s="113">
        <v>2026</v>
      </c>
      <c r="C342" s="113" t="s">
        <v>88</v>
      </c>
      <c r="D342" s="113" t="s">
        <v>988</v>
      </c>
      <c r="E342" s="113" t="s">
        <v>1065</v>
      </c>
      <c r="F342" s="113" t="s">
        <v>924</v>
      </c>
    </row>
    <row r="343" spans="1:6" ht="14.1">
      <c r="A343" s="113" t="s">
        <v>825</v>
      </c>
      <c r="B343" s="113">
        <v>2026</v>
      </c>
      <c r="C343" s="113" t="s">
        <v>88</v>
      </c>
      <c r="D343" s="113" t="s">
        <v>959</v>
      </c>
      <c r="E343" s="113" t="s">
        <v>2</v>
      </c>
      <c r="F343" s="113" t="s">
        <v>922</v>
      </c>
    </row>
    <row r="344" spans="1:6" ht="14.1">
      <c r="A344" s="113" t="s">
        <v>825</v>
      </c>
      <c r="B344" s="113">
        <v>2026</v>
      </c>
      <c r="C344" s="113" t="s">
        <v>821</v>
      </c>
      <c r="D344" s="113" t="s">
        <v>976</v>
      </c>
      <c r="E344" s="113" t="s">
        <v>1066</v>
      </c>
      <c r="F344" s="113" t="s">
        <v>935</v>
      </c>
    </row>
    <row r="345" spans="1:6" ht="14.1">
      <c r="A345" s="113" t="s">
        <v>825</v>
      </c>
      <c r="B345" s="113">
        <v>2026</v>
      </c>
      <c r="C345" s="113" t="s">
        <v>821</v>
      </c>
      <c r="D345" s="113" t="s">
        <v>976</v>
      </c>
      <c r="E345" s="113" t="s">
        <v>997</v>
      </c>
      <c r="F345" s="113" t="s">
        <v>935</v>
      </c>
    </row>
    <row r="346" spans="1:6" ht="14.1">
      <c r="A346" s="113" t="s">
        <v>825</v>
      </c>
      <c r="B346" s="113">
        <v>2026</v>
      </c>
      <c r="C346" s="113" t="s">
        <v>88</v>
      </c>
      <c r="D346" s="113" t="s">
        <v>966</v>
      </c>
      <c r="E346" s="113" t="s">
        <v>997</v>
      </c>
      <c r="F346" s="113" t="s">
        <v>935</v>
      </c>
    </row>
    <row r="347" spans="1:6" ht="14.1">
      <c r="A347" s="113" t="s">
        <v>825</v>
      </c>
      <c r="B347" s="113">
        <v>2026</v>
      </c>
      <c r="C347" s="113" t="s">
        <v>88</v>
      </c>
      <c r="D347" s="113" t="s">
        <v>959</v>
      </c>
      <c r="E347" s="113" t="s">
        <v>1014</v>
      </c>
      <c r="F347" s="113" t="s">
        <v>906</v>
      </c>
    </row>
    <row r="348" spans="1:6" ht="14.1">
      <c r="A348" s="113" t="s">
        <v>825</v>
      </c>
      <c r="B348" s="113">
        <v>2026</v>
      </c>
      <c r="C348" s="113" t="s">
        <v>88</v>
      </c>
      <c r="D348" s="113" t="s">
        <v>959</v>
      </c>
      <c r="E348" s="113" t="s">
        <v>1041</v>
      </c>
      <c r="F348" s="113" t="s">
        <v>906</v>
      </c>
    </row>
    <row r="349" spans="1:6" ht="14.1">
      <c r="A349" s="113" t="s">
        <v>825</v>
      </c>
      <c r="B349" s="113">
        <v>2026</v>
      </c>
      <c r="C349" s="113" t="s">
        <v>88</v>
      </c>
      <c r="D349" s="113" t="s">
        <v>959</v>
      </c>
      <c r="E349" s="113" t="s">
        <v>2</v>
      </c>
      <c r="F349" s="113" t="s">
        <v>935</v>
      </c>
    </row>
    <row r="350" spans="1:6" ht="14.1">
      <c r="A350" s="113" t="s">
        <v>825</v>
      </c>
      <c r="B350" s="113">
        <v>2026</v>
      </c>
      <c r="C350" s="113" t="s">
        <v>821</v>
      </c>
      <c r="D350" s="113" t="s">
        <v>976</v>
      </c>
      <c r="E350" s="113" t="s">
        <v>952</v>
      </c>
      <c r="F350" s="113" t="s">
        <v>906</v>
      </c>
    </row>
    <row r="351" spans="1:6" ht="27.95">
      <c r="A351" s="113" t="s">
        <v>825</v>
      </c>
      <c r="B351" s="113">
        <v>2026</v>
      </c>
      <c r="C351" s="113" t="s">
        <v>88</v>
      </c>
      <c r="D351" s="113" t="s">
        <v>956</v>
      </c>
      <c r="E351" s="113" t="s">
        <v>952</v>
      </c>
      <c r="F351" s="113" t="s">
        <v>906</v>
      </c>
    </row>
    <row r="352" spans="1:6" ht="14.1">
      <c r="A352" s="113" t="s">
        <v>825</v>
      </c>
      <c r="B352" s="113">
        <v>2026</v>
      </c>
      <c r="C352" s="113" t="s">
        <v>821</v>
      </c>
      <c r="D352" s="113" t="s">
        <v>976</v>
      </c>
      <c r="E352" s="113" t="s">
        <v>1058</v>
      </c>
      <c r="F352" s="113" t="s">
        <v>783</v>
      </c>
    </row>
    <row r="353" spans="1:6" ht="27.95">
      <c r="A353" s="113" t="s">
        <v>825</v>
      </c>
      <c r="B353" s="113">
        <v>2026</v>
      </c>
      <c r="C353" s="113" t="s">
        <v>88</v>
      </c>
      <c r="D353" s="113" t="s">
        <v>956</v>
      </c>
      <c r="E353" s="113" t="s">
        <v>943</v>
      </c>
      <c r="F353" s="113" t="s">
        <v>917</v>
      </c>
    </row>
    <row r="354" spans="1:6" ht="14.1">
      <c r="A354" s="113" t="s">
        <v>825</v>
      </c>
      <c r="B354" s="113">
        <v>2026</v>
      </c>
      <c r="C354" s="113" t="s">
        <v>821</v>
      </c>
      <c r="D354" s="113" t="s">
        <v>976</v>
      </c>
      <c r="E354" s="113" t="s">
        <v>974</v>
      </c>
      <c r="F354" s="113" t="s">
        <v>917</v>
      </c>
    </row>
    <row r="355" spans="1:6" ht="14.1">
      <c r="A355" s="113" t="s">
        <v>825</v>
      </c>
      <c r="B355" s="113">
        <v>2026</v>
      </c>
      <c r="C355" s="113" t="s">
        <v>88</v>
      </c>
      <c r="D355" s="113" t="s">
        <v>959</v>
      </c>
      <c r="E355" s="113" t="s">
        <v>1041</v>
      </c>
      <c r="F355" s="113" t="s">
        <v>906</v>
      </c>
    </row>
    <row r="356" spans="1:6" ht="14.1">
      <c r="A356" s="113" t="s">
        <v>825</v>
      </c>
      <c r="B356" s="113">
        <v>2026</v>
      </c>
      <c r="C356" s="113" t="s">
        <v>821</v>
      </c>
      <c r="D356" s="113" t="s">
        <v>976</v>
      </c>
      <c r="E356" s="113" t="s">
        <v>1021</v>
      </c>
      <c r="F356" s="113" t="s">
        <v>663</v>
      </c>
    </row>
    <row r="357" spans="1:6" ht="14.1">
      <c r="A357" s="113" t="s">
        <v>825</v>
      </c>
      <c r="B357" s="113">
        <v>2026</v>
      </c>
      <c r="C357" s="113" t="s">
        <v>88</v>
      </c>
      <c r="D357" s="113" t="s">
        <v>959</v>
      </c>
      <c r="E357" s="113" t="s">
        <v>938</v>
      </c>
      <c r="F357" s="113" t="s">
        <v>663</v>
      </c>
    </row>
    <row r="358" spans="1:6" ht="14.1">
      <c r="A358" s="113" t="s">
        <v>825</v>
      </c>
      <c r="B358" s="113">
        <v>2026</v>
      </c>
      <c r="C358" s="113" t="s">
        <v>88</v>
      </c>
      <c r="D358" s="113" t="s">
        <v>959</v>
      </c>
      <c r="E358" s="113" t="s">
        <v>1014</v>
      </c>
      <c r="F358" s="113" t="s">
        <v>906</v>
      </c>
    </row>
    <row r="359" spans="1:6" ht="14.1">
      <c r="A359" s="113" t="s">
        <v>825</v>
      </c>
      <c r="B359" s="113">
        <v>2026</v>
      </c>
      <c r="C359" s="113" t="s">
        <v>88</v>
      </c>
      <c r="D359" s="113" t="s">
        <v>966</v>
      </c>
      <c r="E359" s="113" t="s">
        <v>953</v>
      </c>
      <c r="F359" s="113" t="s">
        <v>906</v>
      </c>
    </row>
    <row r="360" spans="1:6" ht="14.1">
      <c r="A360" s="113" t="s">
        <v>825</v>
      </c>
      <c r="B360" s="113">
        <v>2026</v>
      </c>
      <c r="C360" s="113" t="s">
        <v>88</v>
      </c>
      <c r="D360" s="113" t="s">
        <v>959</v>
      </c>
      <c r="E360" s="113" t="s">
        <v>952</v>
      </c>
      <c r="F360" s="113" t="s">
        <v>906</v>
      </c>
    </row>
    <row r="361" spans="1:6" ht="14.1">
      <c r="A361" s="113" t="s">
        <v>825</v>
      </c>
      <c r="B361" s="113">
        <v>2026</v>
      </c>
      <c r="C361" s="113" t="s">
        <v>821</v>
      </c>
      <c r="D361" s="113" t="s">
        <v>976</v>
      </c>
      <c r="E361" s="113" t="s">
        <v>952</v>
      </c>
      <c r="F361" s="113" t="s">
        <v>906</v>
      </c>
    </row>
    <row r="362" spans="1:6" ht="14.1">
      <c r="A362" s="113" t="s">
        <v>825</v>
      </c>
      <c r="B362" s="113">
        <v>2026</v>
      </c>
      <c r="C362" s="113" t="s">
        <v>88</v>
      </c>
      <c r="D362" s="113" t="s">
        <v>966</v>
      </c>
      <c r="E362" s="113" t="s">
        <v>953</v>
      </c>
      <c r="F362" s="113" t="s">
        <v>906</v>
      </c>
    </row>
    <row r="363" spans="1:6" ht="14.1">
      <c r="A363" s="113" t="s">
        <v>825</v>
      </c>
      <c r="B363" s="113">
        <v>2026</v>
      </c>
      <c r="C363" s="113" t="s">
        <v>88</v>
      </c>
      <c r="D363" s="113" t="s">
        <v>969</v>
      </c>
      <c r="E363" s="113" t="s">
        <v>1067</v>
      </c>
      <c r="F363" s="113" t="s">
        <v>911</v>
      </c>
    </row>
    <row r="364" spans="1:6" ht="14.1">
      <c r="A364" s="113" t="s">
        <v>825</v>
      </c>
      <c r="B364" s="113">
        <v>2026</v>
      </c>
      <c r="C364" s="113" t="s">
        <v>88</v>
      </c>
      <c r="D364" s="113" t="s">
        <v>988</v>
      </c>
      <c r="E364" s="113" t="s">
        <v>1068</v>
      </c>
      <c r="F364" s="113" t="s">
        <v>922</v>
      </c>
    </row>
    <row r="365" spans="1:6" ht="14.1">
      <c r="A365" s="113" t="s">
        <v>825</v>
      </c>
      <c r="B365" s="113">
        <v>2026</v>
      </c>
      <c r="C365" s="113" t="s">
        <v>88</v>
      </c>
      <c r="D365" s="113" t="s">
        <v>959</v>
      </c>
      <c r="E365" s="113" t="s">
        <v>948</v>
      </c>
      <c r="F365" s="113" t="s">
        <v>922</v>
      </c>
    </row>
    <row r="366" spans="1:6" ht="14.1">
      <c r="A366" s="113" t="s">
        <v>825</v>
      </c>
      <c r="B366" s="113">
        <v>2026</v>
      </c>
      <c r="C366" s="113" t="s">
        <v>88</v>
      </c>
      <c r="D366" s="113" t="s">
        <v>966</v>
      </c>
      <c r="E366" s="113" t="s">
        <v>1069</v>
      </c>
      <c r="F366" s="113" t="s">
        <v>915</v>
      </c>
    </row>
    <row r="367" spans="1:6" ht="14.1">
      <c r="A367" s="113" t="s">
        <v>825</v>
      </c>
      <c r="B367" s="113">
        <v>2026</v>
      </c>
      <c r="C367" s="113" t="s">
        <v>88</v>
      </c>
      <c r="D367" s="113" t="s">
        <v>988</v>
      </c>
      <c r="E367" s="113" t="s">
        <v>938</v>
      </c>
      <c r="F367" s="113" t="s">
        <v>663</v>
      </c>
    </row>
    <row r="368" spans="1:6" ht="14.1">
      <c r="A368" s="113" t="s">
        <v>825</v>
      </c>
      <c r="B368" s="113">
        <v>2026</v>
      </c>
      <c r="C368" s="113" t="s">
        <v>88</v>
      </c>
      <c r="D368" s="113" t="s">
        <v>966</v>
      </c>
      <c r="E368" s="113" t="s">
        <v>1058</v>
      </c>
      <c r="F368" s="113" t="s">
        <v>783</v>
      </c>
    </row>
    <row r="369" spans="1:6" ht="14.1">
      <c r="A369" s="113" t="s">
        <v>825</v>
      </c>
      <c r="B369" s="113">
        <v>2026</v>
      </c>
      <c r="C369" s="113" t="s">
        <v>88</v>
      </c>
      <c r="D369" s="113" t="s">
        <v>966</v>
      </c>
      <c r="E369" s="113" t="s">
        <v>2</v>
      </c>
      <c r="F369" s="113" t="s">
        <v>924</v>
      </c>
    </row>
    <row r="370" spans="1:6" ht="14.1">
      <c r="A370" s="113" t="s">
        <v>825</v>
      </c>
      <c r="B370" s="113">
        <v>2026</v>
      </c>
      <c r="C370" s="113" t="s">
        <v>88</v>
      </c>
      <c r="D370" s="113" t="s">
        <v>969</v>
      </c>
      <c r="E370" s="113" t="s">
        <v>2</v>
      </c>
      <c r="F370" s="113" t="s">
        <v>924</v>
      </c>
    </row>
    <row r="371" spans="1:6" ht="14.1">
      <c r="A371" s="113" t="s">
        <v>825</v>
      </c>
      <c r="B371" s="113">
        <v>2026</v>
      </c>
      <c r="C371" s="113" t="s">
        <v>88</v>
      </c>
      <c r="D371" s="113" t="s">
        <v>959</v>
      </c>
      <c r="E371" s="113" t="s">
        <v>1041</v>
      </c>
      <c r="F371" s="113" t="s">
        <v>906</v>
      </c>
    </row>
    <row r="372" spans="1:6" ht="14.1">
      <c r="A372" s="113" t="s">
        <v>825</v>
      </c>
      <c r="B372" s="113">
        <v>2026</v>
      </c>
      <c r="C372" s="113" t="s">
        <v>88</v>
      </c>
      <c r="D372" s="113" t="s">
        <v>959</v>
      </c>
      <c r="E372" s="113" t="s">
        <v>981</v>
      </c>
      <c r="F372" s="113" t="s">
        <v>906</v>
      </c>
    </row>
    <row r="373" spans="1:6" ht="14.1">
      <c r="A373" s="113" t="s">
        <v>825</v>
      </c>
      <c r="B373" s="113">
        <v>2026</v>
      </c>
      <c r="C373" s="113" t="s">
        <v>88</v>
      </c>
      <c r="D373" s="113" t="s">
        <v>958</v>
      </c>
      <c r="E373" s="113" t="s">
        <v>2</v>
      </c>
      <c r="F373" s="113" t="s">
        <v>911</v>
      </c>
    </row>
    <row r="374" spans="1:6" ht="14.1">
      <c r="A374" s="113" t="s">
        <v>825</v>
      </c>
      <c r="B374" s="113">
        <v>2026</v>
      </c>
      <c r="C374" s="113" t="s">
        <v>88</v>
      </c>
      <c r="D374" s="113" t="s">
        <v>969</v>
      </c>
      <c r="E374" s="113" t="s">
        <v>1036</v>
      </c>
      <c r="F374" s="113" t="s">
        <v>906</v>
      </c>
    </row>
    <row r="375" spans="1:6" ht="27.95">
      <c r="A375" s="113" t="s">
        <v>825</v>
      </c>
      <c r="B375" s="113">
        <v>2026</v>
      </c>
      <c r="C375" s="113" t="s">
        <v>88</v>
      </c>
      <c r="D375" s="113" t="s">
        <v>956</v>
      </c>
      <c r="E375" s="113" t="s">
        <v>1023</v>
      </c>
      <c r="F375" s="113" t="s">
        <v>935</v>
      </c>
    </row>
    <row r="376" spans="1:6" ht="14.1">
      <c r="A376" s="113" t="s">
        <v>825</v>
      </c>
      <c r="B376" s="113">
        <v>2026</v>
      </c>
      <c r="C376" s="113" t="s">
        <v>88</v>
      </c>
      <c r="D376" s="113" t="s">
        <v>959</v>
      </c>
      <c r="E376" s="113" t="s">
        <v>1065</v>
      </c>
      <c r="F376" s="113" t="s">
        <v>924</v>
      </c>
    </row>
    <row r="377" spans="1:6" ht="14.1">
      <c r="A377" s="113" t="s">
        <v>825</v>
      </c>
      <c r="B377" s="113">
        <v>2026</v>
      </c>
      <c r="C377" s="113" t="s">
        <v>88</v>
      </c>
      <c r="D377" s="113" t="s">
        <v>959</v>
      </c>
      <c r="E377" s="113" t="s">
        <v>982</v>
      </c>
      <c r="F377" s="113" t="s">
        <v>663</v>
      </c>
    </row>
    <row r="378" spans="1:6" ht="27.95">
      <c r="A378" s="113" t="s">
        <v>825</v>
      </c>
      <c r="B378" s="113">
        <v>2026</v>
      </c>
      <c r="C378" s="113" t="s">
        <v>88</v>
      </c>
      <c r="D378" s="113" t="s">
        <v>956</v>
      </c>
      <c r="E378" s="113" t="s">
        <v>1011</v>
      </c>
      <c r="F378" s="113" t="s">
        <v>911</v>
      </c>
    </row>
    <row r="379" spans="1:6" ht="14.1">
      <c r="A379" s="113" t="s">
        <v>825</v>
      </c>
      <c r="B379" s="113">
        <v>2026</v>
      </c>
      <c r="C379" s="113" t="s">
        <v>88</v>
      </c>
      <c r="D379" s="113" t="s">
        <v>966</v>
      </c>
      <c r="E379" s="113" t="s">
        <v>943</v>
      </c>
      <c r="F379" s="113" t="s">
        <v>917</v>
      </c>
    </row>
    <row r="380" spans="1:6" ht="27.95">
      <c r="A380" s="113" t="s">
        <v>825</v>
      </c>
      <c r="B380" s="113">
        <v>2026</v>
      </c>
      <c r="C380" s="113" t="s">
        <v>88</v>
      </c>
      <c r="D380" s="113" t="s">
        <v>956</v>
      </c>
      <c r="E380" s="113" t="s">
        <v>937</v>
      </c>
      <c r="F380" s="113" t="s">
        <v>917</v>
      </c>
    </row>
    <row r="381" spans="1:6" ht="14.1">
      <c r="A381" s="113" t="s">
        <v>825</v>
      </c>
      <c r="B381" s="113">
        <v>2026</v>
      </c>
      <c r="C381" s="113" t="s">
        <v>88</v>
      </c>
      <c r="D381" s="113" t="s">
        <v>966</v>
      </c>
      <c r="E381" s="113" t="s">
        <v>2</v>
      </c>
      <c r="F381" s="113" t="s">
        <v>918</v>
      </c>
    </row>
    <row r="382" spans="1:6" ht="14.1">
      <c r="A382" s="113" t="s">
        <v>825</v>
      </c>
      <c r="B382" s="113">
        <v>2026</v>
      </c>
      <c r="C382" s="113" t="s">
        <v>88</v>
      </c>
      <c r="D382" s="113" t="s">
        <v>969</v>
      </c>
      <c r="E382" s="113" t="s">
        <v>1070</v>
      </c>
      <c r="F382" s="113" t="s">
        <v>483</v>
      </c>
    </row>
    <row r="383" spans="1:6" ht="14.1">
      <c r="A383" s="113" t="s">
        <v>825</v>
      </c>
      <c r="B383" s="113">
        <v>2026</v>
      </c>
      <c r="C383" s="113" t="s">
        <v>88</v>
      </c>
      <c r="D383" s="113" t="s">
        <v>969</v>
      </c>
      <c r="E383" s="113" t="s">
        <v>1036</v>
      </c>
      <c r="F383" s="113" t="s">
        <v>906</v>
      </c>
    </row>
    <row r="384" spans="1:6" ht="14.1">
      <c r="A384" s="113" t="s">
        <v>825</v>
      </c>
      <c r="B384" s="113">
        <v>2026</v>
      </c>
      <c r="C384" s="113" t="s">
        <v>88</v>
      </c>
      <c r="D384" s="113" t="s">
        <v>966</v>
      </c>
      <c r="E384" s="113" t="s">
        <v>981</v>
      </c>
      <c r="F384" s="113" t="s">
        <v>906</v>
      </c>
    </row>
    <row r="385" spans="1:6" ht="27.95">
      <c r="A385" s="113" t="s">
        <v>825</v>
      </c>
      <c r="B385" s="113">
        <v>2026</v>
      </c>
      <c r="C385" s="113" t="s">
        <v>88</v>
      </c>
      <c r="D385" s="113" t="s">
        <v>956</v>
      </c>
      <c r="E385" s="113" t="s">
        <v>1069</v>
      </c>
      <c r="F385" s="113" t="s">
        <v>915</v>
      </c>
    </row>
    <row r="386" spans="1:6" ht="14.1">
      <c r="A386" s="113" t="s">
        <v>825</v>
      </c>
      <c r="B386" s="113">
        <v>2026</v>
      </c>
      <c r="C386" s="113" t="s">
        <v>88</v>
      </c>
      <c r="D386" s="113" t="s">
        <v>966</v>
      </c>
      <c r="E386" s="113" t="s">
        <v>1069</v>
      </c>
      <c r="F386" s="113" t="s">
        <v>915</v>
      </c>
    </row>
    <row r="387" spans="1:6" ht="14.1">
      <c r="A387" s="113" t="s">
        <v>825</v>
      </c>
      <c r="B387" s="113">
        <v>2026</v>
      </c>
      <c r="C387" s="113" t="s">
        <v>88</v>
      </c>
      <c r="D387" s="113" t="s">
        <v>966</v>
      </c>
      <c r="E387" s="113" t="s">
        <v>1037</v>
      </c>
      <c r="F387" s="113" t="s">
        <v>783</v>
      </c>
    </row>
    <row r="388" spans="1:6" ht="14.1">
      <c r="A388" s="113" t="s">
        <v>825</v>
      </c>
      <c r="B388" s="113">
        <v>2026</v>
      </c>
      <c r="C388" s="113" t="s">
        <v>88</v>
      </c>
      <c r="D388" s="113" t="s">
        <v>966</v>
      </c>
      <c r="E388" s="113" t="s">
        <v>943</v>
      </c>
      <c r="F388" s="113" t="s">
        <v>783</v>
      </c>
    </row>
    <row r="389" spans="1:6" ht="14.1">
      <c r="A389" s="113" t="s">
        <v>825</v>
      </c>
      <c r="B389" s="113">
        <v>2026</v>
      </c>
      <c r="C389" s="113" t="s">
        <v>88</v>
      </c>
      <c r="D389" s="113" t="s">
        <v>988</v>
      </c>
      <c r="E389" s="113" t="s">
        <v>982</v>
      </c>
      <c r="F389" s="113" t="s">
        <v>663</v>
      </c>
    </row>
    <row r="390" spans="1:6" ht="14.1">
      <c r="A390" s="113" t="s">
        <v>825</v>
      </c>
      <c r="B390" s="113">
        <v>2026</v>
      </c>
      <c r="C390" s="113" t="s">
        <v>88</v>
      </c>
      <c r="D390" s="113" t="s">
        <v>969</v>
      </c>
      <c r="E390" s="113" t="s">
        <v>1059</v>
      </c>
      <c r="F390" s="113" t="s">
        <v>922</v>
      </c>
    </row>
    <row r="391" spans="1:6" ht="14.1">
      <c r="A391" s="113" t="s">
        <v>825</v>
      </c>
      <c r="B391" s="113">
        <v>2026</v>
      </c>
      <c r="C391" s="113" t="s">
        <v>88</v>
      </c>
      <c r="D391" s="113" t="s">
        <v>969</v>
      </c>
      <c r="E391" s="113" t="s">
        <v>992</v>
      </c>
      <c r="F391" s="113" t="s">
        <v>922</v>
      </c>
    </row>
    <row r="392" spans="1:6" ht="14.1">
      <c r="A392" s="113" t="s">
        <v>825</v>
      </c>
      <c r="B392" s="113">
        <v>2026</v>
      </c>
      <c r="C392" s="113" t="s">
        <v>88</v>
      </c>
      <c r="D392" s="113" t="s">
        <v>959</v>
      </c>
      <c r="E392" s="113" t="s">
        <v>1030</v>
      </c>
      <c r="F392" s="113" t="s">
        <v>935</v>
      </c>
    </row>
    <row r="393" spans="1:6" ht="14.1">
      <c r="A393" s="113" t="s">
        <v>825</v>
      </c>
      <c r="B393" s="113">
        <v>2026</v>
      </c>
      <c r="C393" s="113" t="s">
        <v>88</v>
      </c>
      <c r="D393" s="113" t="s">
        <v>959</v>
      </c>
      <c r="E393" s="113" t="s">
        <v>1030</v>
      </c>
      <c r="F393" s="113" t="s">
        <v>935</v>
      </c>
    </row>
    <row r="394" spans="1:6" ht="14.1">
      <c r="A394" s="113" t="s">
        <v>825</v>
      </c>
      <c r="B394" s="113">
        <v>2026</v>
      </c>
      <c r="C394" s="113" t="s">
        <v>821</v>
      </c>
      <c r="D394" s="113" t="s">
        <v>976</v>
      </c>
      <c r="E394" s="113" t="s">
        <v>1040</v>
      </c>
      <c r="F394" s="113" t="s">
        <v>906</v>
      </c>
    </row>
    <row r="395" spans="1:6" ht="14.1">
      <c r="A395" s="113" t="s">
        <v>825</v>
      </c>
      <c r="B395" s="113">
        <v>2026</v>
      </c>
      <c r="C395" s="113" t="s">
        <v>88</v>
      </c>
      <c r="D395" s="113" t="s">
        <v>959</v>
      </c>
      <c r="E395" s="113" t="s">
        <v>943</v>
      </c>
      <c r="F395" s="113" t="s">
        <v>917</v>
      </c>
    </row>
    <row r="396" spans="1:6" ht="14.1">
      <c r="A396" s="113" t="s">
        <v>825</v>
      </c>
      <c r="B396" s="113">
        <v>2026</v>
      </c>
      <c r="C396" s="113" t="s">
        <v>88</v>
      </c>
      <c r="D396" s="113" t="s">
        <v>959</v>
      </c>
      <c r="E396" s="113" t="s">
        <v>949</v>
      </c>
      <c r="F396" s="113" t="s">
        <v>924</v>
      </c>
    </row>
    <row r="397" spans="1:6" ht="14.1">
      <c r="A397" s="113" t="s">
        <v>825</v>
      </c>
      <c r="B397" s="113">
        <v>2026</v>
      </c>
      <c r="C397" s="113" t="s">
        <v>88</v>
      </c>
      <c r="D397" s="113" t="s">
        <v>988</v>
      </c>
      <c r="E397" s="113" t="s">
        <v>953</v>
      </c>
      <c r="F397" s="113" t="s">
        <v>906</v>
      </c>
    </row>
    <row r="398" spans="1:6" ht="14.1">
      <c r="A398" s="113" t="s">
        <v>825</v>
      </c>
      <c r="B398" s="113">
        <v>2026</v>
      </c>
      <c r="C398" s="113" t="s">
        <v>88</v>
      </c>
      <c r="D398" s="113" t="s">
        <v>969</v>
      </c>
      <c r="E398" s="113" t="s">
        <v>1040</v>
      </c>
      <c r="F398" s="113" t="s">
        <v>906</v>
      </c>
    </row>
    <row r="399" spans="1:6" ht="14.1">
      <c r="A399" s="113" t="s">
        <v>825</v>
      </c>
      <c r="B399" s="113">
        <v>2026</v>
      </c>
      <c r="C399" s="113" t="s">
        <v>88</v>
      </c>
      <c r="D399" s="113" t="s">
        <v>959</v>
      </c>
      <c r="E399" s="113" t="s">
        <v>1071</v>
      </c>
      <c r="F399" s="113" t="s">
        <v>918</v>
      </c>
    </row>
    <row r="400" spans="1:6" ht="14.1">
      <c r="A400" s="113" t="s">
        <v>825</v>
      </c>
      <c r="B400" s="113">
        <v>2026</v>
      </c>
      <c r="C400" s="113" t="s">
        <v>821</v>
      </c>
      <c r="D400" s="113" t="s">
        <v>976</v>
      </c>
      <c r="E400" s="113" t="s">
        <v>2</v>
      </c>
      <c r="F400" s="113" t="s">
        <v>783</v>
      </c>
    </row>
    <row r="401" spans="1:6" ht="14.1">
      <c r="A401" s="113" t="s">
        <v>825</v>
      </c>
      <c r="B401" s="113">
        <v>2026</v>
      </c>
      <c r="C401" s="113" t="s">
        <v>88</v>
      </c>
      <c r="D401" s="113" t="s">
        <v>969</v>
      </c>
      <c r="E401" s="113" t="s">
        <v>1061</v>
      </c>
      <c r="F401" s="113" t="s">
        <v>783</v>
      </c>
    </row>
    <row r="402" spans="1:6" ht="14.1">
      <c r="A402" s="113" t="s">
        <v>825</v>
      </c>
      <c r="B402" s="113">
        <v>2026</v>
      </c>
      <c r="C402" s="113" t="s">
        <v>821</v>
      </c>
      <c r="D402" s="113" t="s">
        <v>976</v>
      </c>
      <c r="E402" s="113" t="s">
        <v>992</v>
      </c>
      <c r="F402" s="113" t="s">
        <v>922</v>
      </c>
    </row>
    <row r="403" spans="1:6" ht="14.1">
      <c r="A403" s="113" t="s">
        <v>825</v>
      </c>
      <c r="B403" s="113">
        <v>2026</v>
      </c>
      <c r="C403" s="113" t="s">
        <v>821</v>
      </c>
      <c r="D403" s="113" t="s">
        <v>976</v>
      </c>
      <c r="E403" s="113" t="s">
        <v>948</v>
      </c>
      <c r="F403" s="113" t="s">
        <v>922</v>
      </c>
    </row>
    <row r="404" spans="1:6" ht="14.1">
      <c r="A404" s="113" t="s">
        <v>825</v>
      </c>
      <c r="B404" s="113">
        <v>2026</v>
      </c>
      <c r="C404" s="113" t="s">
        <v>88</v>
      </c>
      <c r="D404" s="113" t="s">
        <v>966</v>
      </c>
      <c r="E404" s="113" t="s">
        <v>1063</v>
      </c>
      <c r="F404" s="113" t="s">
        <v>922</v>
      </c>
    </row>
    <row r="405" spans="1:6" ht="14.1">
      <c r="A405" s="113" t="s">
        <v>825</v>
      </c>
      <c r="B405" s="113">
        <v>2026</v>
      </c>
      <c r="C405" s="113" t="s">
        <v>88</v>
      </c>
      <c r="D405" s="113" t="s">
        <v>966</v>
      </c>
      <c r="E405" s="113" t="s">
        <v>953</v>
      </c>
      <c r="F405" s="113" t="s">
        <v>906</v>
      </c>
    </row>
    <row r="406" spans="1:6" ht="14.1">
      <c r="A406" s="113" t="s">
        <v>825</v>
      </c>
      <c r="B406" s="113">
        <v>2026</v>
      </c>
      <c r="C406" s="113" t="s">
        <v>821</v>
      </c>
      <c r="D406" s="113" t="s">
        <v>976</v>
      </c>
      <c r="E406" s="113" t="s">
        <v>2</v>
      </c>
      <c r="F406" s="113" t="s">
        <v>906</v>
      </c>
    </row>
    <row r="407" spans="1:6" ht="14.1">
      <c r="A407" s="113" t="s">
        <v>825</v>
      </c>
      <c r="B407" s="113">
        <v>2026</v>
      </c>
      <c r="C407" s="113" t="s">
        <v>88</v>
      </c>
      <c r="D407" s="113" t="s">
        <v>958</v>
      </c>
      <c r="E407" s="113" t="s">
        <v>2</v>
      </c>
      <c r="F407" s="113" t="s">
        <v>917</v>
      </c>
    </row>
    <row r="408" spans="1:6" ht="14.1">
      <c r="A408" s="113" t="s">
        <v>825</v>
      </c>
      <c r="B408" s="113">
        <v>2026</v>
      </c>
      <c r="C408" s="113" t="s">
        <v>88</v>
      </c>
      <c r="D408" s="113" t="s">
        <v>966</v>
      </c>
      <c r="E408" s="113" t="s">
        <v>937</v>
      </c>
      <c r="F408" s="113" t="s">
        <v>917</v>
      </c>
    </row>
    <row r="409" spans="1:6" ht="14.1">
      <c r="A409" s="113" t="s">
        <v>825</v>
      </c>
      <c r="B409" s="113">
        <v>2026</v>
      </c>
      <c r="C409" s="113" t="s">
        <v>88</v>
      </c>
      <c r="D409" s="113" t="s">
        <v>969</v>
      </c>
      <c r="E409" s="113" t="s">
        <v>941</v>
      </c>
      <c r="F409" s="113" t="s">
        <v>663</v>
      </c>
    </row>
    <row r="410" spans="1:6" ht="14.1">
      <c r="A410" s="113" t="s">
        <v>825</v>
      </c>
      <c r="B410" s="113">
        <v>2026</v>
      </c>
      <c r="C410" s="113" t="s">
        <v>821</v>
      </c>
      <c r="D410" s="113" t="s">
        <v>976</v>
      </c>
      <c r="E410" s="113" t="s">
        <v>982</v>
      </c>
      <c r="F410" s="113" t="s">
        <v>663</v>
      </c>
    </row>
    <row r="411" spans="1:6" ht="14.1">
      <c r="A411" s="113" t="s">
        <v>825</v>
      </c>
      <c r="B411" s="113">
        <v>2026</v>
      </c>
      <c r="C411" s="113" t="s">
        <v>88</v>
      </c>
      <c r="D411" s="113" t="s">
        <v>958</v>
      </c>
      <c r="E411" s="113" t="s">
        <v>2</v>
      </c>
      <c r="F411" s="113" t="s">
        <v>915</v>
      </c>
    </row>
    <row r="412" spans="1:6" ht="14.1">
      <c r="A412" s="113" t="s">
        <v>825</v>
      </c>
      <c r="B412" s="113">
        <v>2026</v>
      </c>
      <c r="C412" s="113" t="s">
        <v>88</v>
      </c>
      <c r="D412" s="113" t="s">
        <v>966</v>
      </c>
      <c r="E412" s="113" t="s">
        <v>1068</v>
      </c>
      <c r="F412" s="113" t="s">
        <v>922</v>
      </c>
    </row>
    <row r="413" spans="1:6" ht="14.1">
      <c r="A413" s="113" t="s">
        <v>825</v>
      </c>
      <c r="B413" s="113">
        <v>2026</v>
      </c>
      <c r="C413" s="113" t="s">
        <v>88</v>
      </c>
      <c r="D413" s="113" t="s">
        <v>959</v>
      </c>
      <c r="E413" s="113" t="s">
        <v>1063</v>
      </c>
      <c r="F413" s="113" t="s">
        <v>922</v>
      </c>
    </row>
    <row r="414" spans="1:6" ht="14.1">
      <c r="A414" s="113" t="s">
        <v>825</v>
      </c>
      <c r="B414" s="113">
        <v>2026</v>
      </c>
      <c r="C414" s="113" t="s">
        <v>88</v>
      </c>
      <c r="D414" s="113" t="s">
        <v>966</v>
      </c>
      <c r="E414" s="113" t="s">
        <v>1066</v>
      </c>
      <c r="F414" s="113" t="s">
        <v>935</v>
      </c>
    </row>
    <row r="415" spans="1:6" ht="14.1">
      <c r="A415" s="113" t="s">
        <v>825</v>
      </c>
      <c r="B415" s="113">
        <v>2026</v>
      </c>
      <c r="C415" s="113" t="s">
        <v>88</v>
      </c>
      <c r="D415" s="113" t="s">
        <v>988</v>
      </c>
      <c r="E415" s="113" t="s">
        <v>953</v>
      </c>
      <c r="F415" s="113" t="s">
        <v>906</v>
      </c>
    </row>
    <row r="416" spans="1:6" ht="14.1">
      <c r="A416" s="113" t="s">
        <v>825</v>
      </c>
      <c r="B416" s="113">
        <v>2026</v>
      </c>
      <c r="C416" s="113" t="s">
        <v>88</v>
      </c>
      <c r="D416" s="113" t="s">
        <v>966</v>
      </c>
      <c r="E416" s="113" t="s">
        <v>1010</v>
      </c>
      <c r="F416" s="113" t="s">
        <v>924</v>
      </c>
    </row>
    <row r="417" spans="1:6" ht="14.1">
      <c r="A417" s="113" t="s">
        <v>825</v>
      </c>
      <c r="B417" s="113">
        <v>2026</v>
      </c>
      <c r="C417" s="113" t="s">
        <v>88</v>
      </c>
      <c r="D417" s="113" t="s">
        <v>966</v>
      </c>
      <c r="E417" s="113" t="s">
        <v>1006</v>
      </c>
      <c r="F417" s="113" t="s">
        <v>917</v>
      </c>
    </row>
    <row r="418" spans="1:6" ht="14.1">
      <c r="A418" s="113" t="s">
        <v>825</v>
      </c>
      <c r="B418" s="113">
        <v>2026</v>
      </c>
      <c r="C418" s="113" t="s">
        <v>821</v>
      </c>
      <c r="D418" s="113" t="s">
        <v>976</v>
      </c>
      <c r="E418" s="113" t="s">
        <v>937</v>
      </c>
      <c r="F418" s="113" t="s">
        <v>917</v>
      </c>
    </row>
    <row r="419" spans="1:6" ht="14.1">
      <c r="A419" s="113" t="s">
        <v>825</v>
      </c>
      <c r="B419" s="113">
        <v>2026</v>
      </c>
      <c r="C419" s="113" t="s">
        <v>88</v>
      </c>
      <c r="D419" s="113" t="s">
        <v>959</v>
      </c>
      <c r="E419" s="113" t="s">
        <v>1072</v>
      </c>
      <c r="F419" s="113" t="s">
        <v>915</v>
      </c>
    </row>
    <row r="420" spans="1:6" ht="14.1">
      <c r="A420" s="113" t="s">
        <v>825</v>
      </c>
      <c r="B420" s="113">
        <v>2026</v>
      </c>
      <c r="C420" s="113" t="s">
        <v>88</v>
      </c>
      <c r="D420" s="113" t="s">
        <v>959</v>
      </c>
      <c r="E420" s="113" t="s">
        <v>1073</v>
      </c>
      <c r="F420" s="113" t="s">
        <v>915</v>
      </c>
    </row>
    <row r="421" spans="1:6" ht="14.1">
      <c r="A421" s="113" t="s">
        <v>825</v>
      </c>
      <c r="B421" s="113">
        <v>2026</v>
      </c>
      <c r="C421" s="113" t="s">
        <v>88</v>
      </c>
      <c r="D421" s="113" t="s">
        <v>959</v>
      </c>
      <c r="E421" s="113" t="s">
        <v>968</v>
      </c>
      <c r="F421" s="113" t="s">
        <v>915</v>
      </c>
    </row>
    <row r="422" spans="1:6" ht="14.1">
      <c r="A422" s="113" t="s">
        <v>825</v>
      </c>
      <c r="B422" s="113">
        <v>2026</v>
      </c>
      <c r="C422" s="113" t="s">
        <v>88</v>
      </c>
      <c r="D422" s="113" t="s">
        <v>969</v>
      </c>
      <c r="E422" s="113" t="s">
        <v>1074</v>
      </c>
      <c r="F422" s="113" t="s">
        <v>935</v>
      </c>
    </row>
    <row r="423" spans="1:6" ht="14.1">
      <c r="A423" s="113" t="s">
        <v>825</v>
      </c>
      <c r="B423" s="113">
        <v>2026</v>
      </c>
      <c r="C423" s="113" t="s">
        <v>88</v>
      </c>
      <c r="D423" s="113" t="s">
        <v>959</v>
      </c>
      <c r="E423" s="113" t="s">
        <v>1075</v>
      </c>
      <c r="F423" s="113" t="s">
        <v>483</v>
      </c>
    </row>
    <row r="424" spans="1:6" ht="14.1">
      <c r="A424" s="113" t="s">
        <v>825</v>
      </c>
      <c r="B424" s="113">
        <v>2026</v>
      </c>
      <c r="C424" s="113" t="s">
        <v>88</v>
      </c>
      <c r="D424" s="113" t="s">
        <v>959</v>
      </c>
      <c r="E424" s="113" t="s">
        <v>1076</v>
      </c>
      <c r="F424" s="113" t="s">
        <v>483</v>
      </c>
    </row>
    <row r="425" spans="1:6" ht="14.1">
      <c r="A425" s="113" t="s">
        <v>825</v>
      </c>
      <c r="B425" s="113">
        <v>2026</v>
      </c>
      <c r="C425" s="113" t="s">
        <v>88</v>
      </c>
      <c r="D425" s="113" t="s">
        <v>959</v>
      </c>
      <c r="E425" s="113" t="s">
        <v>1002</v>
      </c>
      <c r="F425" s="113" t="s">
        <v>483</v>
      </c>
    </row>
    <row r="426" spans="1:6" ht="14.1">
      <c r="A426" s="113" t="s">
        <v>825</v>
      </c>
      <c r="B426" s="113">
        <v>2026</v>
      </c>
      <c r="C426" s="113" t="s">
        <v>88</v>
      </c>
      <c r="D426" s="113" t="s">
        <v>959</v>
      </c>
      <c r="E426" s="113" t="s">
        <v>1077</v>
      </c>
      <c r="F426" s="113" t="s">
        <v>483</v>
      </c>
    </row>
    <row r="427" spans="1:6" ht="14.1">
      <c r="A427" s="113" t="s">
        <v>825</v>
      </c>
      <c r="B427" s="113">
        <v>2026</v>
      </c>
      <c r="C427" s="113" t="s">
        <v>88</v>
      </c>
      <c r="D427" s="113" t="s">
        <v>969</v>
      </c>
      <c r="E427" s="113" t="s">
        <v>941</v>
      </c>
      <c r="F427" s="113" t="s">
        <v>663</v>
      </c>
    </row>
    <row r="428" spans="1:6" ht="14.1">
      <c r="A428" s="113" t="s">
        <v>825</v>
      </c>
      <c r="B428" s="113">
        <v>2026</v>
      </c>
      <c r="C428" s="113" t="s">
        <v>88</v>
      </c>
      <c r="D428" s="113" t="s">
        <v>969</v>
      </c>
      <c r="E428" s="113" t="s">
        <v>985</v>
      </c>
      <c r="F428" s="113" t="s">
        <v>918</v>
      </c>
    </row>
    <row r="429" spans="1:6" ht="14.1">
      <c r="A429" s="113" t="s">
        <v>825</v>
      </c>
      <c r="B429" s="113">
        <v>2026</v>
      </c>
      <c r="C429" s="113" t="s">
        <v>88</v>
      </c>
      <c r="D429" s="113" t="s">
        <v>969</v>
      </c>
      <c r="E429" s="113" t="s">
        <v>1021</v>
      </c>
      <c r="F429" s="113" t="s">
        <v>663</v>
      </c>
    </row>
    <row r="430" spans="1:6" ht="14.1">
      <c r="A430" s="113" t="s">
        <v>825</v>
      </c>
      <c r="B430" s="113">
        <v>2026</v>
      </c>
      <c r="C430" s="113" t="s">
        <v>821</v>
      </c>
      <c r="D430" s="113" t="s">
        <v>976</v>
      </c>
      <c r="E430" s="113" t="s">
        <v>930</v>
      </c>
      <c r="F430" s="113" t="s">
        <v>906</v>
      </c>
    </row>
    <row r="431" spans="1:6" ht="14.1">
      <c r="A431" s="113" t="s">
        <v>825</v>
      </c>
      <c r="B431" s="113">
        <v>2026</v>
      </c>
      <c r="C431" s="113" t="s">
        <v>821</v>
      </c>
      <c r="D431" s="113" t="s">
        <v>976</v>
      </c>
      <c r="E431" s="113" t="s">
        <v>974</v>
      </c>
      <c r="F431" s="113" t="s">
        <v>917</v>
      </c>
    </row>
    <row r="432" spans="1:6" ht="14.1">
      <c r="A432" s="113" t="s">
        <v>825</v>
      </c>
      <c r="B432" s="113">
        <v>2026</v>
      </c>
      <c r="C432" s="113" t="s">
        <v>821</v>
      </c>
      <c r="D432" s="113" t="s">
        <v>976</v>
      </c>
      <c r="E432" s="113" t="s">
        <v>1058</v>
      </c>
      <c r="F432" s="113" t="s">
        <v>783</v>
      </c>
    </row>
    <row r="433" spans="1:6" ht="14.1">
      <c r="A433" s="113" t="s">
        <v>825</v>
      </c>
      <c r="B433" s="113">
        <v>2026</v>
      </c>
      <c r="C433" s="113" t="s">
        <v>821</v>
      </c>
      <c r="D433" s="113" t="s">
        <v>976</v>
      </c>
      <c r="E433" s="113" t="s">
        <v>1078</v>
      </c>
      <c r="F433" s="113" t="s">
        <v>915</v>
      </c>
    </row>
    <row r="434" spans="1:6" ht="14.1">
      <c r="A434" s="113" t="s">
        <v>825</v>
      </c>
      <c r="B434" s="113">
        <v>2026</v>
      </c>
      <c r="C434" s="113" t="s">
        <v>88</v>
      </c>
      <c r="D434" s="113" t="s">
        <v>988</v>
      </c>
      <c r="E434" s="113" t="s">
        <v>1079</v>
      </c>
      <c r="F434" s="113" t="s">
        <v>915</v>
      </c>
    </row>
    <row r="435" spans="1:6" ht="14.1">
      <c r="A435" s="113" t="s">
        <v>825</v>
      </c>
      <c r="B435" s="113">
        <v>2026</v>
      </c>
      <c r="C435" s="113" t="s">
        <v>88</v>
      </c>
      <c r="D435" s="113" t="s">
        <v>959</v>
      </c>
      <c r="E435" s="113" t="s">
        <v>1080</v>
      </c>
      <c r="F435" s="113" t="s">
        <v>913</v>
      </c>
    </row>
    <row r="436" spans="1:6" ht="14.1">
      <c r="A436" s="113" t="s">
        <v>825</v>
      </c>
      <c r="B436" s="113">
        <v>2026</v>
      </c>
      <c r="C436" s="113" t="s">
        <v>88</v>
      </c>
      <c r="D436" s="113" t="s">
        <v>959</v>
      </c>
      <c r="E436" s="113" t="s">
        <v>1014</v>
      </c>
      <c r="F436" s="113" t="s">
        <v>906</v>
      </c>
    </row>
    <row r="437" spans="1:6" ht="14.1">
      <c r="A437" s="113" t="s">
        <v>825</v>
      </c>
      <c r="B437" s="113">
        <v>2026</v>
      </c>
      <c r="C437" s="113" t="s">
        <v>859</v>
      </c>
      <c r="D437" s="113" t="s">
        <v>998</v>
      </c>
      <c r="E437" s="113" t="s">
        <v>1036</v>
      </c>
      <c r="F437" s="113" t="s">
        <v>906</v>
      </c>
    </row>
    <row r="438" spans="1:6" ht="14.1">
      <c r="A438" s="113" t="s">
        <v>825</v>
      </c>
      <c r="B438" s="113">
        <v>2026</v>
      </c>
      <c r="C438" s="113" t="s">
        <v>859</v>
      </c>
      <c r="D438" s="113" t="s">
        <v>1000</v>
      </c>
      <c r="E438" s="113" t="s">
        <v>1081</v>
      </c>
      <c r="F438" s="113" t="s">
        <v>911</v>
      </c>
    </row>
    <row r="439" spans="1:6" ht="14.1">
      <c r="A439" s="113" t="s">
        <v>825</v>
      </c>
      <c r="B439" s="113">
        <v>2026</v>
      </c>
      <c r="C439" s="113" t="s">
        <v>859</v>
      </c>
      <c r="D439" s="113" t="s">
        <v>1000</v>
      </c>
      <c r="E439" s="113" t="s">
        <v>1036</v>
      </c>
      <c r="F439" s="113" t="s">
        <v>906</v>
      </c>
    </row>
    <row r="440" spans="1:6" ht="14.1">
      <c r="A440" s="113" t="s">
        <v>825</v>
      </c>
      <c r="B440" s="113">
        <v>2026</v>
      </c>
      <c r="C440" s="113" t="s">
        <v>859</v>
      </c>
      <c r="D440" s="113" t="s">
        <v>998</v>
      </c>
      <c r="E440" s="113" t="s">
        <v>991</v>
      </c>
      <c r="F440" s="113" t="s">
        <v>906</v>
      </c>
    </row>
    <row r="441" spans="1:6" ht="14.1">
      <c r="A441" s="113" t="s">
        <v>825</v>
      </c>
      <c r="B441" s="113">
        <v>2026</v>
      </c>
      <c r="C441" s="113" t="s">
        <v>859</v>
      </c>
      <c r="D441" s="113" t="s">
        <v>998</v>
      </c>
      <c r="E441" s="113" t="s">
        <v>930</v>
      </c>
      <c r="F441" s="113" t="s">
        <v>906</v>
      </c>
    </row>
    <row r="442" spans="1:6" ht="14.1">
      <c r="A442" s="113" t="s">
        <v>825</v>
      </c>
      <c r="B442" s="113">
        <v>2026</v>
      </c>
      <c r="C442" s="113" t="s">
        <v>859</v>
      </c>
      <c r="D442" s="113" t="s">
        <v>1000</v>
      </c>
      <c r="E442" s="113" t="s">
        <v>1047</v>
      </c>
      <c r="F442" s="113" t="s">
        <v>924</v>
      </c>
    </row>
    <row r="443" spans="1:6" ht="14.1">
      <c r="A443" s="113" t="s">
        <v>825</v>
      </c>
      <c r="B443" s="113">
        <v>2026</v>
      </c>
      <c r="C443" s="113" t="s">
        <v>859</v>
      </c>
      <c r="D443" s="113" t="s">
        <v>1000</v>
      </c>
      <c r="E443" s="113" t="s">
        <v>1051</v>
      </c>
      <c r="F443" s="113" t="s">
        <v>924</v>
      </c>
    </row>
    <row r="444" spans="1:6" ht="14.1">
      <c r="A444" s="113" t="s">
        <v>825</v>
      </c>
      <c r="B444" s="113">
        <v>2026</v>
      </c>
      <c r="C444" s="113" t="s">
        <v>859</v>
      </c>
      <c r="D444" s="113" t="s">
        <v>1000</v>
      </c>
      <c r="E444" s="113" t="s">
        <v>957</v>
      </c>
      <c r="F444" s="113" t="s">
        <v>924</v>
      </c>
    </row>
    <row r="445" spans="1:6" ht="14.1">
      <c r="A445" s="113" t="s">
        <v>825</v>
      </c>
      <c r="B445" s="113">
        <v>2026</v>
      </c>
      <c r="C445" s="113" t="s">
        <v>859</v>
      </c>
      <c r="D445" s="113" t="s">
        <v>1082</v>
      </c>
      <c r="E445" s="113" t="s">
        <v>1083</v>
      </c>
      <c r="F445" s="113" t="s">
        <v>783</v>
      </c>
    </row>
    <row r="446" spans="1:6" ht="14.1">
      <c r="A446" s="113" t="s">
        <v>825</v>
      </c>
      <c r="B446" s="113">
        <v>2026</v>
      </c>
      <c r="C446" s="113" t="s">
        <v>859</v>
      </c>
      <c r="D446" s="113" t="s">
        <v>998</v>
      </c>
      <c r="E446" s="113" t="s">
        <v>972</v>
      </c>
      <c r="F446" s="113" t="s">
        <v>911</v>
      </c>
    </row>
    <row r="447" spans="1:6" ht="14.1">
      <c r="A447" s="113" t="s">
        <v>825</v>
      </c>
      <c r="B447" s="113">
        <v>2026</v>
      </c>
      <c r="C447" s="113" t="s">
        <v>859</v>
      </c>
      <c r="D447" s="113" t="s">
        <v>998</v>
      </c>
      <c r="E447" s="113" t="s">
        <v>1041</v>
      </c>
      <c r="F447" s="113" t="s">
        <v>906</v>
      </c>
    </row>
    <row r="448" spans="1:6" ht="14.1">
      <c r="A448" s="113" t="s">
        <v>825</v>
      </c>
      <c r="B448" s="113">
        <v>2026</v>
      </c>
      <c r="C448" s="113" t="s">
        <v>859</v>
      </c>
      <c r="D448" s="113" t="s">
        <v>998</v>
      </c>
      <c r="E448" s="113" t="s">
        <v>1036</v>
      </c>
      <c r="F448" s="113" t="s">
        <v>906</v>
      </c>
    </row>
    <row r="449" spans="1:6" ht="14.1">
      <c r="A449" s="113" t="s">
        <v>825</v>
      </c>
      <c r="B449" s="113">
        <v>2026</v>
      </c>
      <c r="C449" s="113" t="s">
        <v>859</v>
      </c>
      <c r="D449" s="113" t="s">
        <v>998</v>
      </c>
      <c r="E449" s="113" t="s">
        <v>1084</v>
      </c>
      <c r="F449" s="113" t="s">
        <v>906</v>
      </c>
    </row>
    <row r="450" spans="1:6" ht="14.1">
      <c r="A450" s="113" t="s">
        <v>825</v>
      </c>
      <c r="B450" s="113">
        <v>2026</v>
      </c>
      <c r="C450" s="113" t="s">
        <v>859</v>
      </c>
      <c r="D450" s="113" t="s">
        <v>1005</v>
      </c>
      <c r="E450" s="113" t="s">
        <v>991</v>
      </c>
      <c r="F450" s="113" t="s">
        <v>906</v>
      </c>
    </row>
    <row r="451" spans="1:6" ht="14.1">
      <c r="A451" s="113" t="s">
        <v>825</v>
      </c>
      <c r="B451" s="113">
        <v>2026</v>
      </c>
      <c r="C451" s="113" t="s">
        <v>859</v>
      </c>
      <c r="D451" s="113" t="s">
        <v>1000</v>
      </c>
      <c r="E451" s="113" t="s">
        <v>1085</v>
      </c>
      <c r="F451" s="113" t="s">
        <v>917</v>
      </c>
    </row>
    <row r="452" spans="1:6" ht="14.1">
      <c r="A452" s="113" t="s">
        <v>825</v>
      </c>
      <c r="B452" s="113">
        <v>2026</v>
      </c>
      <c r="C452" s="113" t="s">
        <v>859</v>
      </c>
      <c r="D452" s="113" t="s">
        <v>1000</v>
      </c>
      <c r="E452" s="113" t="s">
        <v>947</v>
      </c>
      <c r="F452" s="113" t="s">
        <v>913</v>
      </c>
    </row>
    <row r="453" spans="1:6" ht="14.1">
      <c r="A453" s="113" t="s">
        <v>825</v>
      </c>
      <c r="B453" s="113">
        <v>2026</v>
      </c>
      <c r="C453" s="113" t="s">
        <v>859</v>
      </c>
      <c r="D453" s="113" t="s">
        <v>1000</v>
      </c>
      <c r="E453" s="113" t="s">
        <v>1061</v>
      </c>
      <c r="F453" s="113" t="s">
        <v>783</v>
      </c>
    </row>
    <row r="454" spans="1:6" ht="14.1">
      <c r="A454" s="113" t="s">
        <v>825</v>
      </c>
      <c r="B454" s="113">
        <v>2026</v>
      </c>
      <c r="C454" s="113" t="s">
        <v>859</v>
      </c>
      <c r="D454" s="113" t="s">
        <v>1005</v>
      </c>
      <c r="E454" s="113" t="s">
        <v>1016</v>
      </c>
      <c r="F454" s="113" t="s">
        <v>783</v>
      </c>
    </row>
    <row r="455" spans="1:6" ht="14.1">
      <c r="A455" s="113" t="s">
        <v>825</v>
      </c>
      <c r="B455" s="113">
        <v>2026</v>
      </c>
      <c r="C455" s="113" t="s">
        <v>859</v>
      </c>
      <c r="D455" s="113" t="s">
        <v>1005</v>
      </c>
      <c r="E455" s="113" t="s">
        <v>1072</v>
      </c>
      <c r="F455" s="113" t="s">
        <v>915</v>
      </c>
    </row>
    <row r="456" spans="1:6" ht="14.1">
      <c r="A456" s="113" t="s">
        <v>825</v>
      </c>
      <c r="B456" s="113">
        <v>2026</v>
      </c>
      <c r="C456" s="113" t="s">
        <v>859</v>
      </c>
      <c r="D456" s="113" t="s">
        <v>1005</v>
      </c>
      <c r="E456" s="113" t="s">
        <v>953</v>
      </c>
      <c r="F456" s="113" t="s">
        <v>906</v>
      </c>
    </row>
    <row r="457" spans="1:6" ht="14.1">
      <c r="A457" s="113" t="s">
        <v>825</v>
      </c>
      <c r="B457" s="113">
        <v>2026</v>
      </c>
      <c r="C457" s="113" t="s">
        <v>859</v>
      </c>
      <c r="D457" s="113" t="s">
        <v>998</v>
      </c>
      <c r="E457" s="113" t="s">
        <v>1086</v>
      </c>
      <c r="F457" s="113" t="s">
        <v>911</v>
      </c>
    </row>
    <row r="458" spans="1:6" ht="14.1">
      <c r="A458" s="113" t="s">
        <v>825</v>
      </c>
      <c r="B458" s="113">
        <v>2026</v>
      </c>
      <c r="C458" s="113" t="s">
        <v>859</v>
      </c>
      <c r="D458" s="113" t="s">
        <v>998</v>
      </c>
      <c r="E458" s="113" t="s">
        <v>1030</v>
      </c>
      <c r="F458" s="113" t="s">
        <v>935</v>
      </c>
    </row>
    <row r="459" spans="1:6" ht="14.1">
      <c r="A459" s="113" t="s">
        <v>825</v>
      </c>
      <c r="B459" s="113">
        <v>2026</v>
      </c>
      <c r="C459" s="113" t="s">
        <v>859</v>
      </c>
      <c r="D459" s="113" t="s">
        <v>1000</v>
      </c>
      <c r="E459" s="113" t="s">
        <v>953</v>
      </c>
      <c r="F459" s="113" t="s">
        <v>906</v>
      </c>
    </row>
    <row r="460" spans="1:6" ht="14.1">
      <c r="A460" s="113" t="s">
        <v>825</v>
      </c>
      <c r="B460" s="113">
        <v>2026</v>
      </c>
      <c r="C460" s="113" t="s">
        <v>872</v>
      </c>
      <c r="D460" s="113" t="s">
        <v>1012</v>
      </c>
      <c r="E460" s="113" t="s">
        <v>943</v>
      </c>
      <c r="F460" s="113" t="s">
        <v>917</v>
      </c>
    </row>
    <row r="461" spans="1:6" ht="14.1">
      <c r="A461" s="113" t="s">
        <v>825</v>
      </c>
      <c r="B461" s="113">
        <v>2026</v>
      </c>
      <c r="C461" s="113" t="s">
        <v>872</v>
      </c>
      <c r="D461" s="113" t="s">
        <v>1012</v>
      </c>
      <c r="E461" s="113" t="s">
        <v>939</v>
      </c>
      <c r="F461" s="113" t="s">
        <v>909</v>
      </c>
    </row>
    <row r="462" spans="1:6" ht="14.1">
      <c r="A462" s="113" t="s">
        <v>825</v>
      </c>
      <c r="B462" s="113">
        <v>2026</v>
      </c>
      <c r="C462" s="113" t="s">
        <v>872</v>
      </c>
      <c r="D462" s="113" t="s">
        <v>1012</v>
      </c>
      <c r="E462" s="113" t="s">
        <v>1040</v>
      </c>
      <c r="F462" s="113" t="s">
        <v>906</v>
      </c>
    </row>
    <row r="463" spans="1:6" ht="14.1">
      <c r="A463" s="113" t="s">
        <v>825</v>
      </c>
      <c r="B463" s="113">
        <v>2026</v>
      </c>
      <c r="C463" s="113" t="s">
        <v>872</v>
      </c>
      <c r="D463" s="113" t="s">
        <v>1013</v>
      </c>
      <c r="E463" s="113" t="s">
        <v>1028</v>
      </c>
      <c r="F463" s="113" t="s">
        <v>906</v>
      </c>
    </row>
    <row r="464" spans="1:6" ht="14.1">
      <c r="A464" s="113" t="s">
        <v>825</v>
      </c>
      <c r="B464" s="113">
        <v>2026</v>
      </c>
      <c r="C464" s="113" t="s">
        <v>872</v>
      </c>
      <c r="D464" s="113" t="s">
        <v>1012</v>
      </c>
      <c r="E464" s="113" t="s">
        <v>961</v>
      </c>
      <c r="F464" s="113" t="s">
        <v>663</v>
      </c>
    </row>
    <row r="465" spans="1:6" ht="14.1">
      <c r="A465" s="113" t="s">
        <v>825</v>
      </c>
      <c r="B465" s="113">
        <v>2026</v>
      </c>
      <c r="C465" s="113" t="s">
        <v>872</v>
      </c>
      <c r="D465" s="113" t="s">
        <v>1018</v>
      </c>
      <c r="E465" s="113" t="s">
        <v>961</v>
      </c>
      <c r="F465" s="113" t="s">
        <v>663</v>
      </c>
    </row>
    <row r="466" spans="1:6" ht="14.1">
      <c r="A466" s="113" t="s">
        <v>825</v>
      </c>
      <c r="B466" s="113">
        <v>2026</v>
      </c>
      <c r="C466" s="113" t="s">
        <v>872</v>
      </c>
      <c r="D466" s="113" t="s">
        <v>1013</v>
      </c>
      <c r="E466" s="113" t="s">
        <v>1035</v>
      </c>
      <c r="F466" s="113" t="s">
        <v>935</v>
      </c>
    </row>
    <row r="467" spans="1:6" ht="14.1">
      <c r="A467" s="113" t="s">
        <v>825</v>
      </c>
      <c r="B467" s="113">
        <v>2026</v>
      </c>
      <c r="C467" s="113" t="s">
        <v>872</v>
      </c>
      <c r="D467" s="113" t="s">
        <v>1018</v>
      </c>
      <c r="E467" s="113" t="s">
        <v>1035</v>
      </c>
      <c r="F467" s="113" t="s">
        <v>935</v>
      </c>
    </row>
    <row r="468" spans="1:6" ht="14.1">
      <c r="A468" s="113" t="s">
        <v>825</v>
      </c>
      <c r="B468" s="113">
        <v>2026</v>
      </c>
      <c r="C468" s="113" t="s">
        <v>872</v>
      </c>
      <c r="D468" s="113" t="s">
        <v>1018</v>
      </c>
      <c r="E468" s="113" t="s">
        <v>1087</v>
      </c>
      <c r="F468" s="113" t="s">
        <v>663</v>
      </c>
    </row>
    <row r="469" spans="1:6" ht="14.1">
      <c r="A469" s="113" t="s">
        <v>825</v>
      </c>
      <c r="B469" s="113">
        <v>2026</v>
      </c>
      <c r="C469" s="113" t="s">
        <v>872</v>
      </c>
      <c r="D469" s="113" t="s">
        <v>1012</v>
      </c>
      <c r="E469" s="113" t="s">
        <v>1088</v>
      </c>
      <c r="F469" s="113" t="s">
        <v>915</v>
      </c>
    </row>
    <row r="470" spans="1:6" ht="14.1">
      <c r="A470" s="113" t="s">
        <v>825</v>
      </c>
      <c r="B470" s="113">
        <v>2026</v>
      </c>
      <c r="C470" s="113" t="s">
        <v>1024</v>
      </c>
      <c r="D470" s="113" t="s">
        <v>1027</v>
      </c>
      <c r="E470" s="113" t="s">
        <v>1089</v>
      </c>
      <c r="F470" s="113" t="s">
        <v>906</v>
      </c>
    </row>
    <row r="471" spans="1:6" ht="14.1">
      <c r="A471" s="113" t="s">
        <v>825</v>
      </c>
      <c r="B471" s="113">
        <v>2026</v>
      </c>
      <c r="C471" s="113" t="s">
        <v>1024</v>
      </c>
      <c r="D471" s="113" t="s">
        <v>1027</v>
      </c>
      <c r="E471" s="113" t="s">
        <v>1036</v>
      </c>
      <c r="F471" s="113" t="s">
        <v>906</v>
      </c>
    </row>
    <row r="472" spans="1:6" ht="14.1">
      <c r="A472" s="113" t="s">
        <v>825</v>
      </c>
      <c r="B472" s="113">
        <v>2026</v>
      </c>
      <c r="C472" s="113" t="s">
        <v>1024</v>
      </c>
      <c r="D472" s="113" t="s">
        <v>1027</v>
      </c>
      <c r="E472" s="113" t="s">
        <v>952</v>
      </c>
      <c r="F472" s="113" t="s">
        <v>906</v>
      </c>
    </row>
    <row r="473" spans="1:6" ht="14.1">
      <c r="A473" s="113" t="s">
        <v>825</v>
      </c>
      <c r="B473" s="113">
        <v>2026</v>
      </c>
      <c r="C473" s="113" t="s">
        <v>1024</v>
      </c>
      <c r="D473" s="113" t="s">
        <v>1027</v>
      </c>
      <c r="E473" s="113" t="s">
        <v>991</v>
      </c>
      <c r="F473" s="113" t="s">
        <v>906</v>
      </c>
    </row>
    <row r="474" spans="1:6" ht="14.1">
      <c r="A474" s="113" t="s">
        <v>825</v>
      </c>
      <c r="B474" s="113">
        <v>2026</v>
      </c>
      <c r="C474" s="113" t="s">
        <v>1024</v>
      </c>
      <c r="D474" s="113" t="s">
        <v>1027</v>
      </c>
      <c r="E474" s="113" t="s">
        <v>1040</v>
      </c>
      <c r="F474" s="113" t="s">
        <v>906</v>
      </c>
    </row>
    <row r="475" spans="1:6" ht="14.1">
      <c r="A475" s="113" t="s">
        <v>825</v>
      </c>
      <c r="B475" s="113">
        <v>2026</v>
      </c>
      <c r="C475" s="113" t="s">
        <v>1024</v>
      </c>
      <c r="D475" s="113" t="s">
        <v>1027</v>
      </c>
      <c r="E475" s="113" t="s">
        <v>1036</v>
      </c>
      <c r="F475" s="113" t="s">
        <v>906</v>
      </c>
    </row>
    <row r="476" spans="1:6" ht="14.1">
      <c r="A476" s="113" t="s">
        <v>825</v>
      </c>
      <c r="B476" s="113">
        <v>2026</v>
      </c>
      <c r="C476" s="113" t="s">
        <v>1024</v>
      </c>
      <c r="D476" s="113" t="s">
        <v>1027</v>
      </c>
      <c r="E476" s="113" t="s">
        <v>991</v>
      </c>
      <c r="F476" s="113" t="s">
        <v>906</v>
      </c>
    </row>
    <row r="477" spans="1:6" ht="14.1">
      <c r="A477" s="113" t="s">
        <v>825</v>
      </c>
      <c r="B477" s="113">
        <v>2026</v>
      </c>
      <c r="C477" s="113" t="s">
        <v>1024</v>
      </c>
      <c r="D477" s="113" t="s">
        <v>1027</v>
      </c>
      <c r="E477" s="113" t="s">
        <v>1036</v>
      </c>
      <c r="F477" s="113" t="s">
        <v>906</v>
      </c>
    </row>
    <row r="478" spans="1:6" ht="14.1">
      <c r="A478" s="113" t="s">
        <v>825</v>
      </c>
      <c r="B478" s="113">
        <v>2026</v>
      </c>
      <c r="C478" s="113" t="s">
        <v>1024</v>
      </c>
      <c r="D478" s="113" t="s">
        <v>1027</v>
      </c>
      <c r="E478" s="113" t="s">
        <v>985</v>
      </c>
      <c r="F478" s="113" t="s">
        <v>918</v>
      </c>
    </row>
    <row r="479" spans="1:6" ht="14.1">
      <c r="A479" s="113" t="s">
        <v>825</v>
      </c>
      <c r="B479" s="113">
        <v>2026</v>
      </c>
      <c r="C479" s="113" t="s">
        <v>1024</v>
      </c>
      <c r="D479" s="113" t="s">
        <v>1027</v>
      </c>
      <c r="E479" s="113" t="s">
        <v>991</v>
      </c>
      <c r="F479" s="113" t="s">
        <v>906</v>
      </c>
    </row>
    <row r="480" spans="1:6" ht="14.1">
      <c r="A480" s="113" t="s">
        <v>825</v>
      </c>
      <c r="B480" s="113">
        <v>2026</v>
      </c>
      <c r="C480" s="113" t="s">
        <v>1024</v>
      </c>
      <c r="D480" s="113" t="s">
        <v>1027</v>
      </c>
      <c r="E480" s="113" t="s">
        <v>930</v>
      </c>
      <c r="F480" s="113" t="s">
        <v>906</v>
      </c>
    </row>
    <row r="481" spans="1:6" ht="14.1">
      <c r="A481" s="113" t="s">
        <v>825</v>
      </c>
      <c r="B481" s="113">
        <v>2026</v>
      </c>
      <c r="C481" s="113" t="s">
        <v>1024</v>
      </c>
      <c r="D481" s="113" t="s">
        <v>1026</v>
      </c>
      <c r="E481" s="113" t="s">
        <v>1090</v>
      </c>
      <c r="F481" s="113" t="s">
        <v>935</v>
      </c>
    </row>
    <row r="482" spans="1:6" ht="14.1">
      <c r="A482" s="113" t="s">
        <v>825</v>
      </c>
      <c r="B482" s="113">
        <v>2026</v>
      </c>
      <c r="C482" s="113" t="s">
        <v>1024</v>
      </c>
      <c r="D482" s="113" t="s">
        <v>1027</v>
      </c>
      <c r="E482" s="113" t="s">
        <v>1041</v>
      </c>
      <c r="F482" s="113" t="s">
        <v>906</v>
      </c>
    </row>
    <row r="483" spans="1:6" ht="14.1">
      <c r="A483" s="113" t="s">
        <v>826</v>
      </c>
      <c r="B483" s="113">
        <v>2026</v>
      </c>
      <c r="C483" s="113" t="s">
        <v>821</v>
      </c>
      <c r="D483" s="113" t="s">
        <v>976</v>
      </c>
      <c r="E483" s="113" t="s">
        <v>986</v>
      </c>
      <c r="F483" s="113" t="s">
        <v>906</v>
      </c>
    </row>
    <row r="484" spans="1:6" ht="14.1">
      <c r="A484" s="113" t="s">
        <v>826</v>
      </c>
      <c r="B484" s="113">
        <v>2026</v>
      </c>
      <c r="C484" s="113" t="s">
        <v>821</v>
      </c>
      <c r="D484" s="113" t="s">
        <v>132</v>
      </c>
      <c r="E484" s="113" t="s">
        <v>1058</v>
      </c>
      <c r="F484" s="113" t="s">
        <v>906</v>
      </c>
    </row>
    <row r="485" spans="1:6" ht="14.1">
      <c r="A485" s="113" t="s">
        <v>826</v>
      </c>
      <c r="B485" s="113">
        <v>2026</v>
      </c>
      <c r="C485" s="113" t="s">
        <v>821</v>
      </c>
      <c r="D485" s="113" t="s">
        <v>1033</v>
      </c>
      <c r="E485" s="113" t="s">
        <v>941</v>
      </c>
      <c r="F485" s="113" t="s">
        <v>663</v>
      </c>
    </row>
    <row r="486" spans="1:6" ht="14.1">
      <c r="A486" s="113" t="s">
        <v>826</v>
      </c>
      <c r="B486" s="113">
        <v>2026</v>
      </c>
      <c r="C486" s="113" t="s">
        <v>821</v>
      </c>
      <c r="D486" s="113" t="s">
        <v>976</v>
      </c>
      <c r="E486" s="113" t="s">
        <v>986</v>
      </c>
      <c r="F486" s="113" t="s">
        <v>906</v>
      </c>
    </row>
    <row r="487" spans="1:6" ht="14.1">
      <c r="A487" s="113" t="s">
        <v>826</v>
      </c>
      <c r="B487" s="113">
        <v>2026</v>
      </c>
      <c r="C487" s="113" t="s">
        <v>821</v>
      </c>
      <c r="D487" s="113" t="s">
        <v>132</v>
      </c>
      <c r="E487" s="113" t="s">
        <v>1058</v>
      </c>
      <c r="F487" s="113" t="s">
        <v>483</v>
      </c>
    </row>
    <row r="488" spans="1:6" ht="14.1">
      <c r="A488" s="113" t="s">
        <v>826</v>
      </c>
      <c r="B488" s="113">
        <v>2026</v>
      </c>
      <c r="C488" s="113" t="s">
        <v>821</v>
      </c>
      <c r="D488" s="113" t="s">
        <v>976</v>
      </c>
      <c r="E488" s="113" t="s">
        <v>1040</v>
      </c>
      <c r="F488" s="113" t="s">
        <v>906</v>
      </c>
    </row>
    <row r="489" spans="1:6" ht="14.1">
      <c r="A489" s="113" t="s">
        <v>826</v>
      </c>
      <c r="B489" s="113">
        <v>2026</v>
      </c>
      <c r="C489" s="113" t="s">
        <v>821</v>
      </c>
      <c r="D489" s="113" t="s">
        <v>976</v>
      </c>
      <c r="E489" s="113" t="s">
        <v>1036</v>
      </c>
      <c r="F489" s="113" t="s">
        <v>906</v>
      </c>
    </row>
    <row r="490" spans="1:6" ht="14.1">
      <c r="A490" s="113" t="s">
        <v>826</v>
      </c>
      <c r="B490" s="113">
        <v>2026</v>
      </c>
      <c r="C490" s="113" t="s">
        <v>821</v>
      </c>
      <c r="D490" s="113" t="s">
        <v>934</v>
      </c>
      <c r="E490" s="113" t="s">
        <v>979</v>
      </c>
      <c r="F490" s="113" t="s">
        <v>918</v>
      </c>
    </row>
    <row r="491" spans="1:6" ht="14.1">
      <c r="A491" s="113" t="s">
        <v>826</v>
      </c>
      <c r="B491" s="113">
        <v>2026</v>
      </c>
      <c r="C491" s="113" t="s">
        <v>821</v>
      </c>
      <c r="D491" s="113" t="s">
        <v>976</v>
      </c>
      <c r="E491" s="113" t="s">
        <v>1085</v>
      </c>
      <c r="F491" s="113" t="s">
        <v>917</v>
      </c>
    </row>
    <row r="492" spans="1:6" ht="14.1">
      <c r="A492" s="113" t="s">
        <v>826</v>
      </c>
      <c r="B492" s="113">
        <v>2026</v>
      </c>
      <c r="C492" s="113" t="s">
        <v>821</v>
      </c>
      <c r="D492" s="113" t="s">
        <v>132</v>
      </c>
      <c r="E492" s="113" t="s">
        <v>1041</v>
      </c>
      <c r="F492" s="113" t="s">
        <v>906</v>
      </c>
    </row>
    <row r="493" spans="1:6" ht="14.1">
      <c r="A493" s="113" t="s">
        <v>826</v>
      </c>
      <c r="B493" s="113">
        <v>2026</v>
      </c>
      <c r="C493" s="113" t="s">
        <v>821</v>
      </c>
      <c r="D493" s="113" t="s">
        <v>976</v>
      </c>
      <c r="E493" s="113" t="s">
        <v>1061</v>
      </c>
      <c r="F493" s="113" t="s">
        <v>783</v>
      </c>
    </row>
    <row r="494" spans="1:6" ht="14.1">
      <c r="A494" s="113" t="s">
        <v>826</v>
      </c>
      <c r="B494" s="113">
        <v>2026</v>
      </c>
      <c r="C494" s="113" t="s">
        <v>821</v>
      </c>
      <c r="D494" s="113" t="s">
        <v>976</v>
      </c>
      <c r="E494" s="113" t="s">
        <v>1022</v>
      </c>
      <c r="F494" s="113" t="s">
        <v>783</v>
      </c>
    </row>
    <row r="495" spans="1:6" ht="14.1">
      <c r="A495" s="113" t="s">
        <v>826</v>
      </c>
      <c r="B495" s="113">
        <v>2026</v>
      </c>
      <c r="C495" s="113" t="s">
        <v>821</v>
      </c>
      <c r="D495" s="113" t="s">
        <v>976</v>
      </c>
      <c r="E495" s="113" t="s">
        <v>1091</v>
      </c>
      <c r="F495" s="113" t="s">
        <v>783</v>
      </c>
    </row>
    <row r="496" spans="1:6" ht="14.1">
      <c r="A496" s="113" t="s">
        <v>826</v>
      </c>
      <c r="B496" s="113">
        <v>2026</v>
      </c>
      <c r="C496" s="113" t="s">
        <v>821</v>
      </c>
      <c r="D496" s="113" t="s">
        <v>132</v>
      </c>
      <c r="E496" s="113" t="s">
        <v>1058</v>
      </c>
      <c r="F496" s="113" t="s">
        <v>922</v>
      </c>
    </row>
    <row r="497" spans="1:6" ht="14.1">
      <c r="A497" s="113" t="s">
        <v>826</v>
      </c>
      <c r="B497" s="113">
        <v>2026</v>
      </c>
      <c r="C497" s="113" t="s">
        <v>821</v>
      </c>
      <c r="D497" s="113" t="s">
        <v>976</v>
      </c>
      <c r="E497" s="113" t="s">
        <v>953</v>
      </c>
      <c r="F497" s="113" t="s">
        <v>906</v>
      </c>
    </row>
    <row r="498" spans="1:6" ht="14.1">
      <c r="A498" s="113" t="s">
        <v>826</v>
      </c>
      <c r="B498" s="113">
        <v>2026</v>
      </c>
      <c r="C498" s="113" t="s">
        <v>821</v>
      </c>
      <c r="D498" s="113" t="s">
        <v>976</v>
      </c>
      <c r="E498" s="113" t="s">
        <v>1014</v>
      </c>
      <c r="F498" s="113" t="s">
        <v>906</v>
      </c>
    </row>
    <row r="499" spans="1:6" ht="14.1">
      <c r="A499" s="113" t="s">
        <v>826</v>
      </c>
      <c r="B499" s="113">
        <v>2026</v>
      </c>
      <c r="C499" s="113" t="s">
        <v>821</v>
      </c>
      <c r="D499" s="113" t="s">
        <v>976</v>
      </c>
      <c r="E499" s="113" t="s">
        <v>1041</v>
      </c>
      <c r="F499" s="113" t="s">
        <v>906</v>
      </c>
    </row>
    <row r="500" spans="1:6" ht="14.1">
      <c r="A500" s="113" t="s">
        <v>826</v>
      </c>
      <c r="B500" s="113">
        <v>2026</v>
      </c>
      <c r="C500" s="113" t="s">
        <v>821</v>
      </c>
      <c r="D500" s="113" t="s">
        <v>976</v>
      </c>
      <c r="E500" s="113" t="s">
        <v>930</v>
      </c>
      <c r="F500" s="113" t="s">
        <v>906</v>
      </c>
    </row>
    <row r="501" spans="1:6" ht="14.1">
      <c r="A501" s="113" t="s">
        <v>826</v>
      </c>
      <c r="B501" s="113">
        <v>2026</v>
      </c>
      <c r="C501" s="113" t="s">
        <v>821</v>
      </c>
      <c r="D501" s="113" t="s">
        <v>934</v>
      </c>
      <c r="E501" s="113" t="s">
        <v>1058</v>
      </c>
      <c r="F501" s="113" t="s">
        <v>917</v>
      </c>
    </row>
    <row r="502" spans="1:6" ht="14.1">
      <c r="A502" s="113" t="s">
        <v>826</v>
      </c>
      <c r="B502" s="113">
        <v>2026</v>
      </c>
      <c r="C502" s="113" t="s">
        <v>821</v>
      </c>
      <c r="D502" s="113" t="s">
        <v>976</v>
      </c>
      <c r="E502" s="113" t="s">
        <v>1006</v>
      </c>
      <c r="F502" s="113" t="s">
        <v>917</v>
      </c>
    </row>
    <row r="503" spans="1:6" ht="14.1">
      <c r="A503" s="113" t="s">
        <v>826</v>
      </c>
      <c r="B503" s="113">
        <v>2026</v>
      </c>
      <c r="C503" s="113" t="s">
        <v>821</v>
      </c>
      <c r="D503" s="113" t="s">
        <v>976</v>
      </c>
      <c r="E503" s="113" t="s">
        <v>1041</v>
      </c>
      <c r="F503" s="113" t="s">
        <v>906</v>
      </c>
    </row>
    <row r="504" spans="1:6" ht="14.1">
      <c r="A504" s="113" t="s">
        <v>826</v>
      </c>
      <c r="B504" s="113">
        <v>2026</v>
      </c>
      <c r="C504" s="113" t="s">
        <v>821</v>
      </c>
      <c r="D504" s="113" t="s">
        <v>934</v>
      </c>
      <c r="E504" s="113" t="s">
        <v>961</v>
      </c>
      <c r="F504" s="113" t="s">
        <v>663</v>
      </c>
    </row>
    <row r="505" spans="1:6" ht="14.1">
      <c r="A505" s="113" t="s">
        <v>826</v>
      </c>
      <c r="B505" s="113">
        <v>2026</v>
      </c>
      <c r="C505" s="113" t="s">
        <v>821</v>
      </c>
      <c r="D505" s="113" t="s">
        <v>931</v>
      </c>
      <c r="E505" s="113" t="s">
        <v>1091</v>
      </c>
      <c r="F505" s="113" t="s">
        <v>783</v>
      </c>
    </row>
    <row r="506" spans="1:6" ht="14.1">
      <c r="A506" s="113" t="s">
        <v>826</v>
      </c>
      <c r="B506" s="113">
        <v>2026</v>
      </c>
      <c r="C506" s="113" t="s">
        <v>821</v>
      </c>
      <c r="D506" s="113" t="s">
        <v>976</v>
      </c>
      <c r="E506" s="113" t="s">
        <v>984</v>
      </c>
      <c r="F506" s="113" t="s">
        <v>935</v>
      </c>
    </row>
    <row r="507" spans="1:6" ht="14.1">
      <c r="A507" s="113" t="s">
        <v>826</v>
      </c>
      <c r="B507" s="113">
        <v>2026</v>
      </c>
      <c r="C507" s="113" t="s">
        <v>821</v>
      </c>
      <c r="D507" s="113" t="s">
        <v>931</v>
      </c>
      <c r="E507" s="113" t="s">
        <v>1058</v>
      </c>
      <c r="F507" s="113" t="s">
        <v>922</v>
      </c>
    </row>
    <row r="508" spans="1:6" ht="14.1">
      <c r="A508" s="113" t="s">
        <v>826</v>
      </c>
      <c r="B508" s="113">
        <v>2026</v>
      </c>
      <c r="C508" s="113" t="s">
        <v>821</v>
      </c>
      <c r="D508" s="113" t="s">
        <v>132</v>
      </c>
      <c r="E508" s="113" t="s">
        <v>1058</v>
      </c>
      <c r="F508" s="113" t="s">
        <v>935</v>
      </c>
    </row>
    <row r="509" spans="1:6" ht="14.1">
      <c r="A509" s="113" t="s">
        <v>826</v>
      </c>
      <c r="B509" s="113">
        <v>2026</v>
      </c>
      <c r="C509" s="113" t="s">
        <v>821</v>
      </c>
      <c r="D509" s="113" t="s">
        <v>934</v>
      </c>
      <c r="E509" s="113" t="s">
        <v>1009</v>
      </c>
      <c r="F509" s="113" t="s">
        <v>917</v>
      </c>
    </row>
    <row r="510" spans="1:6" ht="14.1">
      <c r="A510" s="113" t="s">
        <v>826</v>
      </c>
      <c r="B510" s="113">
        <v>2026</v>
      </c>
      <c r="C510" s="113" t="s">
        <v>821</v>
      </c>
      <c r="D510" s="113" t="s">
        <v>931</v>
      </c>
      <c r="E510" s="113" t="s">
        <v>2</v>
      </c>
      <c r="F510" s="113" t="s">
        <v>917</v>
      </c>
    </row>
    <row r="511" spans="1:6" ht="14.1">
      <c r="A511" s="113" t="s">
        <v>826</v>
      </c>
      <c r="B511" s="113">
        <v>2026</v>
      </c>
      <c r="C511" s="113" t="s">
        <v>821</v>
      </c>
      <c r="D511" s="113" t="s">
        <v>216</v>
      </c>
      <c r="E511" s="113" t="s">
        <v>1071</v>
      </c>
      <c r="F511" s="113" t="s">
        <v>918</v>
      </c>
    </row>
    <row r="512" spans="1:6" ht="14.1">
      <c r="A512" s="113" t="s">
        <v>826</v>
      </c>
      <c r="B512" s="113">
        <v>2026</v>
      </c>
      <c r="C512" s="113" t="s">
        <v>821</v>
      </c>
      <c r="D512" s="113" t="s">
        <v>1033</v>
      </c>
      <c r="E512" s="113" t="s">
        <v>1059</v>
      </c>
      <c r="F512" s="113" t="s">
        <v>783</v>
      </c>
    </row>
    <row r="513" spans="1:6" ht="14.1">
      <c r="A513" s="113" t="s">
        <v>826</v>
      </c>
      <c r="B513" s="113">
        <v>2026</v>
      </c>
      <c r="C513" s="113" t="s">
        <v>821</v>
      </c>
      <c r="D513" s="113" t="s">
        <v>1033</v>
      </c>
      <c r="E513" s="113" t="s">
        <v>1045</v>
      </c>
      <c r="F513" s="113" t="s">
        <v>783</v>
      </c>
    </row>
    <row r="514" spans="1:6" ht="14.1">
      <c r="A514" s="113" t="s">
        <v>826</v>
      </c>
      <c r="B514" s="113">
        <v>2026</v>
      </c>
      <c r="C514" s="113" t="s">
        <v>821</v>
      </c>
      <c r="D514" s="113" t="s">
        <v>1033</v>
      </c>
      <c r="E514" s="113" t="s">
        <v>1019</v>
      </c>
      <c r="F514" s="113" t="s">
        <v>783</v>
      </c>
    </row>
    <row r="515" spans="1:6" ht="14.1">
      <c r="A515" s="113" t="s">
        <v>826</v>
      </c>
      <c r="B515" s="113">
        <v>2026</v>
      </c>
      <c r="C515" s="113" t="s">
        <v>821</v>
      </c>
      <c r="D515" s="113" t="s">
        <v>1033</v>
      </c>
      <c r="E515" s="113" t="s">
        <v>1060</v>
      </c>
      <c r="F515" s="113" t="s">
        <v>783</v>
      </c>
    </row>
    <row r="516" spans="1:6" ht="14.1">
      <c r="A516" s="113" t="s">
        <v>826</v>
      </c>
      <c r="B516" s="113">
        <v>2026</v>
      </c>
      <c r="C516" s="113" t="s">
        <v>821</v>
      </c>
      <c r="D516" s="113" t="s">
        <v>934</v>
      </c>
      <c r="E516" s="113" t="s">
        <v>1092</v>
      </c>
      <c r="F516" s="113" t="s">
        <v>911</v>
      </c>
    </row>
    <row r="517" spans="1:6" ht="14.1">
      <c r="A517" s="113" t="s">
        <v>826</v>
      </c>
      <c r="B517" s="113">
        <v>2026</v>
      </c>
      <c r="C517" s="113" t="s">
        <v>821</v>
      </c>
      <c r="D517" s="113" t="s">
        <v>132</v>
      </c>
      <c r="E517" s="113" t="s">
        <v>1058</v>
      </c>
      <c r="F517" s="113" t="s">
        <v>663</v>
      </c>
    </row>
    <row r="518" spans="1:6" ht="14.1">
      <c r="A518" s="113" t="s">
        <v>826</v>
      </c>
      <c r="B518" s="113">
        <v>2026</v>
      </c>
      <c r="C518" s="113" t="s">
        <v>821</v>
      </c>
      <c r="D518" s="113" t="s">
        <v>132</v>
      </c>
      <c r="E518" s="113" t="s">
        <v>954</v>
      </c>
      <c r="F518" s="113" t="s">
        <v>906</v>
      </c>
    </row>
    <row r="519" spans="1:6" ht="14.1">
      <c r="A519" s="113" t="s">
        <v>826</v>
      </c>
      <c r="B519" s="113">
        <v>2026</v>
      </c>
      <c r="C519" s="113" t="s">
        <v>821</v>
      </c>
      <c r="D519" s="113" t="s">
        <v>976</v>
      </c>
      <c r="E519" s="113" t="s">
        <v>1058</v>
      </c>
      <c r="F519" s="113" t="s">
        <v>906</v>
      </c>
    </row>
    <row r="520" spans="1:6" ht="14.1">
      <c r="A520" s="113" t="s">
        <v>826</v>
      </c>
      <c r="B520" s="113">
        <v>2026</v>
      </c>
      <c r="C520" s="113" t="s">
        <v>821</v>
      </c>
      <c r="D520" s="113" t="s">
        <v>934</v>
      </c>
      <c r="E520" s="113" t="s">
        <v>1036</v>
      </c>
      <c r="F520" s="113" t="s">
        <v>906</v>
      </c>
    </row>
    <row r="521" spans="1:6" ht="14.1">
      <c r="A521" s="113" t="s">
        <v>826</v>
      </c>
      <c r="B521" s="113">
        <v>2026</v>
      </c>
      <c r="C521" s="113" t="s">
        <v>821</v>
      </c>
      <c r="D521" s="113" t="s">
        <v>934</v>
      </c>
      <c r="E521" s="113" t="s">
        <v>1041</v>
      </c>
      <c r="F521" s="113" t="s">
        <v>906</v>
      </c>
    </row>
    <row r="522" spans="1:6" ht="14.1">
      <c r="A522" s="113" t="s">
        <v>826</v>
      </c>
      <c r="B522" s="113">
        <v>2026</v>
      </c>
      <c r="C522" s="113" t="s">
        <v>821</v>
      </c>
      <c r="D522" s="113" t="s">
        <v>931</v>
      </c>
      <c r="E522" s="113" t="s">
        <v>973</v>
      </c>
      <c r="F522" s="113" t="s">
        <v>917</v>
      </c>
    </row>
    <row r="523" spans="1:6" ht="14.1">
      <c r="A523" s="113" t="s">
        <v>826</v>
      </c>
      <c r="B523" s="113">
        <v>2026</v>
      </c>
      <c r="C523" s="113" t="s">
        <v>821</v>
      </c>
      <c r="D523" s="113" t="s">
        <v>931</v>
      </c>
      <c r="E523" s="113" t="s">
        <v>2</v>
      </c>
      <c r="F523" s="113" t="s">
        <v>917</v>
      </c>
    </row>
    <row r="524" spans="1:6" ht="14.1">
      <c r="A524" s="113" t="s">
        <v>826</v>
      </c>
      <c r="B524" s="113">
        <v>2026</v>
      </c>
      <c r="C524" s="113" t="s">
        <v>821</v>
      </c>
      <c r="D524" s="113" t="s">
        <v>934</v>
      </c>
      <c r="E524" s="113" t="s">
        <v>1047</v>
      </c>
      <c r="F524" s="113" t="s">
        <v>924</v>
      </c>
    </row>
    <row r="525" spans="1:6" ht="14.1">
      <c r="A525" s="113" t="s">
        <v>826</v>
      </c>
      <c r="B525" s="113">
        <v>2026</v>
      </c>
      <c r="C525" s="113" t="s">
        <v>821</v>
      </c>
      <c r="D525" s="113" t="s">
        <v>934</v>
      </c>
      <c r="E525" s="113" t="s">
        <v>957</v>
      </c>
      <c r="F525" s="113" t="s">
        <v>924</v>
      </c>
    </row>
    <row r="526" spans="1:6" ht="14.1">
      <c r="A526" s="113" t="s">
        <v>826</v>
      </c>
      <c r="B526" s="113">
        <v>2026</v>
      </c>
      <c r="C526" s="113" t="s">
        <v>821</v>
      </c>
      <c r="D526" s="113" t="s">
        <v>976</v>
      </c>
      <c r="E526" s="113" t="s">
        <v>2</v>
      </c>
      <c r="F526" s="113" t="s">
        <v>924</v>
      </c>
    </row>
    <row r="527" spans="1:6" ht="14.1">
      <c r="A527" s="113" t="s">
        <v>826</v>
      </c>
      <c r="B527" s="113">
        <v>2026</v>
      </c>
      <c r="C527" s="113" t="s">
        <v>821</v>
      </c>
      <c r="D527" s="113" t="s">
        <v>934</v>
      </c>
      <c r="E527" s="113" t="s">
        <v>2</v>
      </c>
      <c r="F527" s="113" t="s">
        <v>915</v>
      </c>
    </row>
    <row r="528" spans="1:6" ht="14.1">
      <c r="A528" s="113" t="s">
        <v>826</v>
      </c>
      <c r="B528" s="113">
        <v>2026</v>
      </c>
      <c r="C528" s="113" t="s">
        <v>821</v>
      </c>
      <c r="D528" s="113" t="s">
        <v>931</v>
      </c>
      <c r="E528" s="113" t="s">
        <v>2</v>
      </c>
      <c r="F528" s="113" t="s">
        <v>915</v>
      </c>
    </row>
    <row r="529" spans="1:6" ht="14.1">
      <c r="A529" s="113" t="s">
        <v>826</v>
      </c>
      <c r="B529" s="113">
        <v>2026</v>
      </c>
      <c r="C529" s="113" t="s">
        <v>821</v>
      </c>
      <c r="D529" s="113" t="s">
        <v>934</v>
      </c>
      <c r="E529" s="113" t="s">
        <v>1072</v>
      </c>
      <c r="F529" s="113" t="s">
        <v>915</v>
      </c>
    </row>
    <row r="530" spans="1:6" ht="14.1">
      <c r="A530" s="113" t="s">
        <v>826</v>
      </c>
      <c r="B530" s="113">
        <v>2026</v>
      </c>
      <c r="C530" s="113" t="s">
        <v>821</v>
      </c>
      <c r="D530" s="113" t="s">
        <v>934</v>
      </c>
      <c r="E530" s="113" t="s">
        <v>1087</v>
      </c>
      <c r="F530" s="113" t="s">
        <v>663</v>
      </c>
    </row>
    <row r="531" spans="1:6" ht="14.1">
      <c r="A531" s="113" t="s">
        <v>826</v>
      </c>
      <c r="B531" s="113">
        <v>2026</v>
      </c>
      <c r="C531" s="113" t="s">
        <v>821</v>
      </c>
      <c r="D531" s="113" t="s">
        <v>1033</v>
      </c>
      <c r="E531" s="113" t="s">
        <v>1066</v>
      </c>
      <c r="F531" s="113" t="s">
        <v>935</v>
      </c>
    </row>
    <row r="532" spans="1:6" ht="14.1">
      <c r="A532" s="113" t="s">
        <v>826</v>
      </c>
      <c r="B532" s="113">
        <v>2026</v>
      </c>
      <c r="C532" s="113" t="s">
        <v>821</v>
      </c>
      <c r="D532" s="113" t="s">
        <v>132</v>
      </c>
      <c r="E532" s="113" t="s">
        <v>1058</v>
      </c>
      <c r="F532" s="113" t="s">
        <v>922</v>
      </c>
    </row>
    <row r="533" spans="1:6" ht="14.1">
      <c r="A533" s="113" t="s">
        <v>826</v>
      </c>
      <c r="B533" s="113">
        <v>2026</v>
      </c>
      <c r="C533" s="113" t="s">
        <v>821</v>
      </c>
      <c r="D533" s="113" t="s">
        <v>931</v>
      </c>
      <c r="E533" s="113" t="s">
        <v>994</v>
      </c>
      <c r="F533" s="113" t="s">
        <v>663</v>
      </c>
    </row>
    <row r="534" spans="1:6" ht="14.1">
      <c r="A534" s="113" t="s">
        <v>826</v>
      </c>
      <c r="B534" s="113">
        <v>2026</v>
      </c>
      <c r="C534" s="113" t="s">
        <v>821</v>
      </c>
      <c r="D534" s="113" t="s">
        <v>976</v>
      </c>
      <c r="E534" s="113" t="s">
        <v>2</v>
      </c>
      <c r="F534" s="113" t="s">
        <v>924</v>
      </c>
    </row>
    <row r="535" spans="1:6" ht="14.1">
      <c r="A535" s="113" t="s">
        <v>826</v>
      </c>
      <c r="B535" s="113">
        <v>2026</v>
      </c>
      <c r="C535" s="113" t="s">
        <v>821</v>
      </c>
      <c r="D535" s="113" t="s">
        <v>934</v>
      </c>
      <c r="E535" s="113" t="s">
        <v>1037</v>
      </c>
      <c r="F535" s="113" t="s">
        <v>917</v>
      </c>
    </row>
    <row r="536" spans="1:6" ht="14.1">
      <c r="A536" s="113" t="s">
        <v>826</v>
      </c>
      <c r="B536" s="113">
        <v>2026</v>
      </c>
      <c r="C536" s="113" t="s">
        <v>821</v>
      </c>
      <c r="D536" s="113" t="s">
        <v>931</v>
      </c>
      <c r="E536" s="113" t="s">
        <v>1093</v>
      </c>
      <c r="F536" s="113" t="s">
        <v>935</v>
      </c>
    </row>
    <row r="537" spans="1:6" ht="14.1">
      <c r="A537" s="113" t="s">
        <v>826</v>
      </c>
      <c r="B537" s="113">
        <v>2026</v>
      </c>
      <c r="C537" s="113" t="s">
        <v>821</v>
      </c>
      <c r="D537" s="113" t="s">
        <v>931</v>
      </c>
      <c r="E537" s="113" t="s">
        <v>1036</v>
      </c>
      <c r="F537" s="113" t="s">
        <v>906</v>
      </c>
    </row>
    <row r="538" spans="1:6" ht="14.1">
      <c r="A538" s="113" t="s">
        <v>826</v>
      </c>
      <c r="B538" s="113">
        <v>2026</v>
      </c>
      <c r="C538" s="113" t="s">
        <v>821</v>
      </c>
      <c r="D538" s="113" t="s">
        <v>976</v>
      </c>
      <c r="E538" s="113" t="s">
        <v>1021</v>
      </c>
      <c r="F538" s="113" t="s">
        <v>663</v>
      </c>
    </row>
    <row r="539" spans="1:6" ht="14.1">
      <c r="A539" s="113" t="s">
        <v>826</v>
      </c>
      <c r="B539" s="113">
        <v>2026</v>
      </c>
      <c r="C539" s="113" t="s">
        <v>821</v>
      </c>
      <c r="D539" s="113" t="s">
        <v>132</v>
      </c>
      <c r="E539" s="113" t="s">
        <v>954</v>
      </c>
      <c r="F539" s="113" t="s">
        <v>906</v>
      </c>
    </row>
    <row r="540" spans="1:6" ht="14.1">
      <c r="A540" s="113" t="s">
        <v>826</v>
      </c>
      <c r="B540" s="113">
        <v>2026</v>
      </c>
      <c r="C540" s="113" t="s">
        <v>821</v>
      </c>
      <c r="D540" s="113" t="s">
        <v>132</v>
      </c>
      <c r="E540" s="113" t="s">
        <v>1016</v>
      </c>
      <c r="F540" s="113" t="s">
        <v>922</v>
      </c>
    </row>
    <row r="541" spans="1:6" ht="14.1">
      <c r="A541" s="113" t="s">
        <v>826</v>
      </c>
      <c r="B541" s="113">
        <v>2026</v>
      </c>
      <c r="C541" s="113" t="s">
        <v>821</v>
      </c>
      <c r="D541" s="113" t="s">
        <v>934</v>
      </c>
      <c r="E541" s="113" t="s">
        <v>981</v>
      </c>
      <c r="F541" s="113" t="s">
        <v>906</v>
      </c>
    </row>
    <row r="542" spans="1:6" ht="14.1">
      <c r="A542" s="113" t="s">
        <v>826</v>
      </c>
      <c r="B542" s="113">
        <v>2026</v>
      </c>
      <c r="C542" s="113" t="s">
        <v>821</v>
      </c>
      <c r="D542" s="113" t="s">
        <v>132</v>
      </c>
      <c r="E542" s="113" t="s">
        <v>1058</v>
      </c>
      <c r="F542" s="113" t="s">
        <v>909</v>
      </c>
    </row>
    <row r="543" spans="1:6" ht="14.1">
      <c r="A543" s="113" t="s">
        <v>826</v>
      </c>
      <c r="B543" s="113">
        <v>2026</v>
      </c>
      <c r="C543" s="113" t="s">
        <v>88</v>
      </c>
      <c r="D543" s="113" t="s">
        <v>959</v>
      </c>
      <c r="E543" s="113" t="s">
        <v>986</v>
      </c>
      <c r="F543" s="113" t="s">
        <v>906</v>
      </c>
    </row>
    <row r="544" spans="1:6" ht="14.1">
      <c r="A544" s="113" t="s">
        <v>826</v>
      </c>
      <c r="B544" s="113">
        <v>2026</v>
      </c>
      <c r="C544" s="113" t="s">
        <v>88</v>
      </c>
      <c r="D544" s="113" t="s">
        <v>966</v>
      </c>
      <c r="E544" s="113" t="s">
        <v>1086</v>
      </c>
      <c r="F544" s="113" t="s">
        <v>911</v>
      </c>
    </row>
    <row r="545" spans="1:6" ht="14.1">
      <c r="A545" s="113" t="s">
        <v>826</v>
      </c>
      <c r="B545" s="113">
        <v>2026</v>
      </c>
      <c r="C545" s="113" t="s">
        <v>88</v>
      </c>
      <c r="D545" s="113" t="s">
        <v>966</v>
      </c>
      <c r="E545" s="113" t="s">
        <v>1092</v>
      </c>
      <c r="F545" s="113" t="s">
        <v>911</v>
      </c>
    </row>
    <row r="546" spans="1:6" ht="14.1">
      <c r="A546" s="113" t="s">
        <v>826</v>
      </c>
      <c r="B546" s="113">
        <v>2026</v>
      </c>
      <c r="C546" s="113" t="s">
        <v>88</v>
      </c>
      <c r="D546" s="113" t="s">
        <v>966</v>
      </c>
      <c r="E546" s="113" t="s">
        <v>1051</v>
      </c>
      <c r="F546" s="113" t="s">
        <v>924</v>
      </c>
    </row>
    <row r="547" spans="1:6" ht="14.1">
      <c r="A547" s="113" t="s">
        <v>826</v>
      </c>
      <c r="B547" s="113">
        <v>2026</v>
      </c>
      <c r="C547" s="113" t="s">
        <v>88</v>
      </c>
      <c r="D547" s="113" t="s">
        <v>988</v>
      </c>
      <c r="E547" s="113" t="s">
        <v>1044</v>
      </c>
      <c r="F547" s="113" t="s">
        <v>922</v>
      </c>
    </row>
    <row r="548" spans="1:6" ht="14.1">
      <c r="A548" s="113" t="s">
        <v>826</v>
      </c>
      <c r="B548" s="113">
        <v>2026</v>
      </c>
      <c r="C548" s="113" t="s">
        <v>88</v>
      </c>
      <c r="D548" s="113" t="s">
        <v>959</v>
      </c>
      <c r="E548" s="113" t="s">
        <v>962</v>
      </c>
      <c r="F548" s="113" t="s">
        <v>913</v>
      </c>
    </row>
    <row r="549" spans="1:6" ht="14.1">
      <c r="A549" s="113" t="s">
        <v>826</v>
      </c>
      <c r="B549" s="113">
        <v>2026</v>
      </c>
      <c r="C549" s="113" t="s">
        <v>88</v>
      </c>
      <c r="D549" s="113" t="s">
        <v>959</v>
      </c>
      <c r="E549" s="113" t="s">
        <v>964</v>
      </c>
      <c r="F549" s="113" t="s">
        <v>913</v>
      </c>
    </row>
    <row r="550" spans="1:6" ht="14.1">
      <c r="A550" s="113" t="s">
        <v>826</v>
      </c>
      <c r="B550" s="113">
        <v>2026</v>
      </c>
      <c r="C550" s="113" t="s">
        <v>88</v>
      </c>
      <c r="D550" s="113" t="s">
        <v>969</v>
      </c>
      <c r="E550" s="113" t="s">
        <v>1028</v>
      </c>
      <c r="F550" s="113" t="s">
        <v>906</v>
      </c>
    </row>
    <row r="551" spans="1:6" ht="14.1">
      <c r="A551" s="113" t="s">
        <v>826</v>
      </c>
      <c r="B551" s="113">
        <v>2026</v>
      </c>
      <c r="C551" s="113" t="s">
        <v>88</v>
      </c>
      <c r="D551" s="113" t="s">
        <v>959</v>
      </c>
      <c r="E551" s="113" t="s">
        <v>952</v>
      </c>
      <c r="F551" s="113" t="s">
        <v>906</v>
      </c>
    </row>
    <row r="552" spans="1:6" ht="14.1">
      <c r="A552" s="113" t="s">
        <v>826</v>
      </c>
      <c r="B552" s="113">
        <v>2026</v>
      </c>
      <c r="C552" s="113" t="s">
        <v>88</v>
      </c>
      <c r="D552" s="113" t="s">
        <v>959</v>
      </c>
      <c r="E552" s="113" t="s">
        <v>981</v>
      </c>
      <c r="F552" s="113" t="s">
        <v>906</v>
      </c>
    </row>
    <row r="553" spans="1:6" ht="14.1">
      <c r="A553" s="113" t="s">
        <v>826</v>
      </c>
      <c r="B553" s="113">
        <v>2026</v>
      </c>
      <c r="C553" s="113" t="s">
        <v>88</v>
      </c>
      <c r="D553" s="113" t="s">
        <v>969</v>
      </c>
      <c r="E553" s="113" t="s">
        <v>942</v>
      </c>
      <c r="F553" s="113" t="s">
        <v>918</v>
      </c>
    </row>
    <row r="554" spans="1:6" ht="14.1">
      <c r="A554" s="113" t="s">
        <v>826</v>
      </c>
      <c r="B554" s="113">
        <v>2026</v>
      </c>
      <c r="C554" s="113" t="s">
        <v>88</v>
      </c>
      <c r="D554" s="113" t="s">
        <v>969</v>
      </c>
      <c r="E554" s="113" t="s">
        <v>989</v>
      </c>
      <c r="F554" s="113" t="s">
        <v>935</v>
      </c>
    </row>
    <row r="555" spans="1:6" ht="14.1">
      <c r="A555" s="113" t="s">
        <v>826</v>
      </c>
      <c r="B555" s="113">
        <v>2026</v>
      </c>
      <c r="C555" s="113" t="s">
        <v>88</v>
      </c>
      <c r="D555" s="113" t="s">
        <v>969</v>
      </c>
      <c r="E555" s="113" t="s">
        <v>984</v>
      </c>
      <c r="F555" s="113" t="s">
        <v>935</v>
      </c>
    </row>
    <row r="556" spans="1:6" ht="14.1">
      <c r="A556" s="113" t="s">
        <v>826</v>
      </c>
      <c r="B556" s="113">
        <v>2026</v>
      </c>
      <c r="C556" s="113" t="s">
        <v>88</v>
      </c>
      <c r="D556" s="113" t="s">
        <v>988</v>
      </c>
      <c r="E556" s="113" t="s">
        <v>984</v>
      </c>
      <c r="F556" s="113" t="s">
        <v>935</v>
      </c>
    </row>
    <row r="557" spans="1:6" ht="14.1">
      <c r="A557" s="113" t="s">
        <v>826</v>
      </c>
      <c r="B557" s="113">
        <v>2026</v>
      </c>
      <c r="C557" s="113" t="s">
        <v>88</v>
      </c>
      <c r="D557" s="113" t="s">
        <v>969</v>
      </c>
      <c r="E557" s="113" t="s">
        <v>938</v>
      </c>
      <c r="F557" s="113" t="s">
        <v>663</v>
      </c>
    </row>
    <row r="558" spans="1:6" ht="14.1">
      <c r="A558" s="113" t="s">
        <v>826</v>
      </c>
      <c r="B558" s="113">
        <v>2026</v>
      </c>
      <c r="C558" s="113" t="s">
        <v>88</v>
      </c>
      <c r="D558" s="113" t="s">
        <v>969</v>
      </c>
      <c r="E558" s="113" t="s">
        <v>953</v>
      </c>
      <c r="F558" s="113" t="s">
        <v>906</v>
      </c>
    </row>
    <row r="559" spans="1:6" ht="14.1">
      <c r="A559" s="113" t="s">
        <v>826</v>
      </c>
      <c r="B559" s="113">
        <v>2026</v>
      </c>
      <c r="C559" s="113" t="s">
        <v>88</v>
      </c>
      <c r="D559" s="113" t="s">
        <v>969</v>
      </c>
      <c r="E559" s="113" t="s">
        <v>991</v>
      </c>
      <c r="F559" s="113" t="s">
        <v>906</v>
      </c>
    </row>
    <row r="560" spans="1:6" ht="14.1">
      <c r="A560" s="113" t="s">
        <v>826</v>
      </c>
      <c r="B560" s="113">
        <v>2026</v>
      </c>
      <c r="C560" s="113" t="s">
        <v>88</v>
      </c>
      <c r="D560" s="113" t="s">
        <v>969</v>
      </c>
      <c r="E560" s="113" t="s">
        <v>2</v>
      </c>
      <c r="F560" s="113" t="s">
        <v>909</v>
      </c>
    </row>
    <row r="561" spans="1:6" ht="14.1">
      <c r="A561" s="113" t="s">
        <v>826</v>
      </c>
      <c r="B561" s="113">
        <v>2026</v>
      </c>
      <c r="C561" s="113" t="s">
        <v>88</v>
      </c>
      <c r="D561" s="113" t="s">
        <v>966</v>
      </c>
      <c r="E561" s="113" t="s">
        <v>1006</v>
      </c>
      <c r="F561" s="113" t="s">
        <v>917</v>
      </c>
    </row>
    <row r="562" spans="1:6" ht="27.95">
      <c r="A562" s="113" t="s">
        <v>826</v>
      </c>
      <c r="B562" s="113">
        <v>2026</v>
      </c>
      <c r="C562" s="113" t="s">
        <v>88</v>
      </c>
      <c r="D562" s="113" t="s">
        <v>956</v>
      </c>
      <c r="E562" s="113" t="s">
        <v>1006</v>
      </c>
      <c r="F562" s="113" t="s">
        <v>917</v>
      </c>
    </row>
    <row r="563" spans="1:6" ht="14.1">
      <c r="A563" s="113" t="s">
        <v>826</v>
      </c>
      <c r="B563" s="113">
        <v>2026</v>
      </c>
      <c r="C563" s="113" t="s">
        <v>88</v>
      </c>
      <c r="D563" s="113" t="s">
        <v>966</v>
      </c>
      <c r="E563" s="113" t="s">
        <v>1006</v>
      </c>
      <c r="F563" s="113" t="s">
        <v>917</v>
      </c>
    </row>
    <row r="564" spans="1:6" ht="14.1">
      <c r="A564" s="113" t="s">
        <v>826</v>
      </c>
      <c r="B564" s="113">
        <v>2026</v>
      </c>
      <c r="C564" s="113" t="s">
        <v>88</v>
      </c>
      <c r="D564" s="113" t="s">
        <v>988</v>
      </c>
      <c r="E564" s="113" t="s">
        <v>1087</v>
      </c>
      <c r="F564" s="113" t="s">
        <v>663</v>
      </c>
    </row>
    <row r="565" spans="1:6" ht="14.1">
      <c r="A565" s="113" t="s">
        <v>826</v>
      </c>
      <c r="B565" s="113">
        <v>2026</v>
      </c>
      <c r="C565" s="113" t="s">
        <v>88</v>
      </c>
      <c r="D565" s="113" t="s">
        <v>969</v>
      </c>
      <c r="E565" s="113" t="s">
        <v>1087</v>
      </c>
      <c r="F565" s="113" t="s">
        <v>663</v>
      </c>
    </row>
    <row r="566" spans="1:6" ht="14.1">
      <c r="A566" s="113" t="s">
        <v>826</v>
      </c>
      <c r="B566" s="113">
        <v>2026</v>
      </c>
      <c r="C566" s="113" t="s">
        <v>88</v>
      </c>
      <c r="D566" s="113" t="s">
        <v>958</v>
      </c>
      <c r="E566" s="113" t="s">
        <v>1094</v>
      </c>
      <c r="F566" s="113" t="s">
        <v>918</v>
      </c>
    </row>
    <row r="567" spans="1:6" ht="14.1">
      <c r="A567" s="113" t="s">
        <v>826</v>
      </c>
      <c r="B567" s="113">
        <v>2026</v>
      </c>
      <c r="C567" s="113" t="s">
        <v>88</v>
      </c>
      <c r="D567" s="113" t="s">
        <v>966</v>
      </c>
      <c r="E567" s="113" t="s">
        <v>1095</v>
      </c>
      <c r="F567" s="113" t="s">
        <v>924</v>
      </c>
    </row>
    <row r="568" spans="1:6" ht="14.1">
      <c r="A568" s="113" t="s">
        <v>826</v>
      </c>
      <c r="B568" s="113">
        <v>2026</v>
      </c>
      <c r="C568" s="113" t="s">
        <v>88</v>
      </c>
      <c r="D568" s="113" t="s">
        <v>969</v>
      </c>
      <c r="E568" s="113" t="s">
        <v>1096</v>
      </c>
      <c r="F568" s="113" t="s">
        <v>909</v>
      </c>
    </row>
    <row r="569" spans="1:6" ht="14.1">
      <c r="A569" s="113" t="s">
        <v>826</v>
      </c>
      <c r="B569" s="113">
        <v>2026</v>
      </c>
      <c r="C569" s="113" t="s">
        <v>88</v>
      </c>
      <c r="D569" s="113" t="s">
        <v>966</v>
      </c>
      <c r="E569" s="113" t="s">
        <v>1037</v>
      </c>
      <c r="F569" s="113" t="s">
        <v>917</v>
      </c>
    </row>
    <row r="570" spans="1:6" ht="14.1">
      <c r="A570" s="113" t="s">
        <v>826</v>
      </c>
      <c r="B570" s="113">
        <v>2026</v>
      </c>
      <c r="C570" s="113" t="s">
        <v>88</v>
      </c>
      <c r="D570" s="113" t="s">
        <v>959</v>
      </c>
      <c r="E570" s="113" t="s">
        <v>1040</v>
      </c>
      <c r="F570" s="113" t="s">
        <v>906</v>
      </c>
    </row>
    <row r="571" spans="1:6" ht="14.1">
      <c r="A571" s="113" t="s">
        <v>826</v>
      </c>
      <c r="B571" s="113">
        <v>2026</v>
      </c>
      <c r="C571" s="113" t="s">
        <v>88</v>
      </c>
      <c r="D571" s="113" t="s">
        <v>969</v>
      </c>
      <c r="E571" s="113" t="s">
        <v>932</v>
      </c>
      <c r="F571" s="113" t="s">
        <v>663</v>
      </c>
    </row>
    <row r="572" spans="1:6" ht="14.1">
      <c r="A572" s="113" t="s">
        <v>826</v>
      </c>
      <c r="B572" s="113">
        <v>2026</v>
      </c>
      <c r="C572" s="113" t="s">
        <v>88</v>
      </c>
      <c r="D572" s="113" t="s">
        <v>969</v>
      </c>
      <c r="E572" s="113" t="s">
        <v>1097</v>
      </c>
      <c r="F572" s="113" t="s">
        <v>911</v>
      </c>
    </row>
    <row r="573" spans="1:6" ht="14.1">
      <c r="A573" s="113" t="s">
        <v>826</v>
      </c>
      <c r="B573" s="113">
        <v>2026</v>
      </c>
      <c r="C573" s="113" t="s">
        <v>88</v>
      </c>
      <c r="D573" s="113" t="s">
        <v>966</v>
      </c>
      <c r="E573" s="113" t="s">
        <v>970</v>
      </c>
      <c r="F573" s="113" t="s">
        <v>915</v>
      </c>
    </row>
    <row r="574" spans="1:6" ht="14.1">
      <c r="A574" s="113" t="s">
        <v>826</v>
      </c>
      <c r="B574" s="113">
        <v>2026</v>
      </c>
      <c r="C574" s="113" t="s">
        <v>88</v>
      </c>
      <c r="D574" s="113" t="s">
        <v>966</v>
      </c>
      <c r="E574" s="113" t="s">
        <v>1069</v>
      </c>
      <c r="F574" s="113" t="s">
        <v>915</v>
      </c>
    </row>
    <row r="575" spans="1:6" ht="27.95">
      <c r="A575" s="113" t="s">
        <v>826</v>
      </c>
      <c r="B575" s="113">
        <v>2026</v>
      </c>
      <c r="C575" s="113" t="s">
        <v>88</v>
      </c>
      <c r="D575" s="113" t="s">
        <v>956</v>
      </c>
      <c r="E575" s="113" t="s">
        <v>1009</v>
      </c>
      <c r="F575" s="113" t="s">
        <v>917</v>
      </c>
    </row>
    <row r="576" spans="1:6" ht="14.1">
      <c r="A576" s="113" t="s">
        <v>826</v>
      </c>
      <c r="B576" s="113">
        <v>2026</v>
      </c>
      <c r="C576" s="113" t="s">
        <v>88</v>
      </c>
      <c r="D576" s="113" t="s">
        <v>969</v>
      </c>
      <c r="E576" s="113" t="s">
        <v>1009</v>
      </c>
      <c r="F576" s="113" t="s">
        <v>917</v>
      </c>
    </row>
    <row r="577" spans="1:6" ht="14.1">
      <c r="A577" s="113" t="s">
        <v>826</v>
      </c>
      <c r="B577" s="113">
        <v>2026</v>
      </c>
      <c r="C577" s="113" t="s">
        <v>88</v>
      </c>
      <c r="D577" s="113" t="s">
        <v>959</v>
      </c>
      <c r="E577" s="113" t="s">
        <v>1009</v>
      </c>
      <c r="F577" s="113" t="s">
        <v>917</v>
      </c>
    </row>
    <row r="578" spans="1:6" ht="27.95">
      <c r="A578" s="113" t="s">
        <v>826</v>
      </c>
      <c r="B578" s="113">
        <v>2026</v>
      </c>
      <c r="C578" s="113" t="s">
        <v>88</v>
      </c>
      <c r="D578" s="113" t="s">
        <v>956</v>
      </c>
      <c r="E578" s="113" t="s">
        <v>1036</v>
      </c>
      <c r="F578" s="113" t="s">
        <v>906</v>
      </c>
    </row>
    <row r="579" spans="1:6" ht="27.95">
      <c r="A579" s="113" t="s">
        <v>826</v>
      </c>
      <c r="B579" s="113">
        <v>2026</v>
      </c>
      <c r="C579" s="113" t="s">
        <v>88</v>
      </c>
      <c r="D579" s="113" t="s">
        <v>956</v>
      </c>
      <c r="E579" s="113" t="s">
        <v>1014</v>
      </c>
      <c r="F579" s="113" t="s">
        <v>906</v>
      </c>
    </row>
    <row r="580" spans="1:6" ht="27.95">
      <c r="A580" s="113" t="s">
        <v>826</v>
      </c>
      <c r="B580" s="113">
        <v>2026</v>
      </c>
      <c r="C580" s="113" t="s">
        <v>88</v>
      </c>
      <c r="D580" s="113" t="s">
        <v>956</v>
      </c>
      <c r="E580" s="113" t="s">
        <v>953</v>
      </c>
      <c r="F580" s="113" t="s">
        <v>906</v>
      </c>
    </row>
    <row r="581" spans="1:6" ht="14.1">
      <c r="A581" s="113" t="s">
        <v>826</v>
      </c>
      <c r="B581" s="113">
        <v>2026</v>
      </c>
      <c r="C581" s="113" t="s">
        <v>88</v>
      </c>
      <c r="D581" s="113" t="s">
        <v>959</v>
      </c>
      <c r="E581" s="113" t="s">
        <v>986</v>
      </c>
      <c r="F581" s="113" t="s">
        <v>906</v>
      </c>
    </row>
    <row r="582" spans="1:6" ht="27.95">
      <c r="A582" s="113" t="s">
        <v>826</v>
      </c>
      <c r="B582" s="113">
        <v>2026</v>
      </c>
      <c r="C582" s="113" t="s">
        <v>88</v>
      </c>
      <c r="D582" s="113" t="s">
        <v>956</v>
      </c>
      <c r="E582" s="113" t="s">
        <v>1004</v>
      </c>
      <c r="F582" s="113" t="s">
        <v>935</v>
      </c>
    </row>
    <row r="583" spans="1:6" ht="14.1">
      <c r="A583" s="113" t="s">
        <v>826</v>
      </c>
      <c r="B583" s="113">
        <v>2026</v>
      </c>
      <c r="C583" s="113" t="s">
        <v>88</v>
      </c>
      <c r="D583" s="113" t="s">
        <v>988</v>
      </c>
      <c r="E583" s="113" t="s">
        <v>1058</v>
      </c>
      <c r="F583" s="113" t="s">
        <v>783</v>
      </c>
    </row>
    <row r="584" spans="1:6" ht="14.1">
      <c r="A584" s="113" t="s">
        <v>826</v>
      </c>
      <c r="B584" s="113">
        <v>2026</v>
      </c>
      <c r="C584" s="113" t="s">
        <v>88</v>
      </c>
      <c r="D584" s="113" t="s">
        <v>969</v>
      </c>
      <c r="E584" s="113" t="s">
        <v>952</v>
      </c>
      <c r="F584" s="113" t="s">
        <v>906</v>
      </c>
    </row>
    <row r="585" spans="1:6" ht="14.1">
      <c r="A585" s="113" t="s">
        <v>826</v>
      </c>
      <c r="B585" s="113">
        <v>2026</v>
      </c>
      <c r="C585" s="113" t="s">
        <v>88</v>
      </c>
      <c r="D585" s="113" t="s">
        <v>988</v>
      </c>
      <c r="E585" s="113" t="s">
        <v>1021</v>
      </c>
      <c r="F585" s="113" t="s">
        <v>663</v>
      </c>
    </row>
    <row r="586" spans="1:6" ht="14.1">
      <c r="A586" s="113" t="s">
        <v>826</v>
      </c>
      <c r="B586" s="113">
        <v>2026</v>
      </c>
      <c r="C586" s="113" t="s">
        <v>88</v>
      </c>
      <c r="D586" s="113" t="s">
        <v>988</v>
      </c>
      <c r="E586" s="113" t="s">
        <v>961</v>
      </c>
      <c r="F586" s="113" t="s">
        <v>663</v>
      </c>
    </row>
    <row r="587" spans="1:6" ht="14.1">
      <c r="A587" s="113" t="s">
        <v>826</v>
      </c>
      <c r="B587" s="113">
        <v>2026</v>
      </c>
      <c r="C587" s="113" t="s">
        <v>88</v>
      </c>
      <c r="D587" s="113" t="s">
        <v>959</v>
      </c>
      <c r="E587" s="113" t="s">
        <v>2</v>
      </c>
      <c r="F587" s="113" t="s">
        <v>935</v>
      </c>
    </row>
    <row r="588" spans="1:6" ht="27.95">
      <c r="A588" s="113" t="s">
        <v>826</v>
      </c>
      <c r="B588" s="113">
        <v>2026</v>
      </c>
      <c r="C588" s="113" t="s">
        <v>88</v>
      </c>
      <c r="D588" s="113" t="s">
        <v>956</v>
      </c>
      <c r="E588" s="113" t="s">
        <v>930</v>
      </c>
      <c r="F588" s="113" t="s">
        <v>906</v>
      </c>
    </row>
    <row r="589" spans="1:6" ht="27.95">
      <c r="A589" s="113" t="s">
        <v>826</v>
      </c>
      <c r="B589" s="113">
        <v>2026</v>
      </c>
      <c r="C589" s="113" t="s">
        <v>88</v>
      </c>
      <c r="D589" s="113" t="s">
        <v>956</v>
      </c>
      <c r="E589" s="113" t="s">
        <v>1028</v>
      </c>
      <c r="F589" s="113" t="s">
        <v>906</v>
      </c>
    </row>
    <row r="590" spans="1:6" ht="27.95">
      <c r="A590" s="113" t="s">
        <v>826</v>
      </c>
      <c r="B590" s="113">
        <v>2026</v>
      </c>
      <c r="C590" s="113" t="s">
        <v>88</v>
      </c>
      <c r="D590" s="113" t="s">
        <v>956</v>
      </c>
      <c r="E590" s="113" t="s">
        <v>1028</v>
      </c>
      <c r="F590" s="113" t="s">
        <v>906</v>
      </c>
    </row>
    <row r="591" spans="1:6" ht="14.1">
      <c r="A591" s="113" t="s">
        <v>826</v>
      </c>
      <c r="B591" s="113">
        <v>2026</v>
      </c>
      <c r="C591" s="113" t="s">
        <v>88</v>
      </c>
      <c r="D591" s="113" t="s">
        <v>969</v>
      </c>
      <c r="E591" s="113" t="s">
        <v>1071</v>
      </c>
      <c r="F591" s="113" t="s">
        <v>918</v>
      </c>
    </row>
    <row r="592" spans="1:6" ht="27.95">
      <c r="A592" s="113" t="s">
        <v>826</v>
      </c>
      <c r="B592" s="113">
        <v>2026</v>
      </c>
      <c r="C592" s="113" t="s">
        <v>88</v>
      </c>
      <c r="D592" s="113" t="s">
        <v>956</v>
      </c>
      <c r="E592" s="113" t="s">
        <v>1021</v>
      </c>
      <c r="F592" s="113" t="s">
        <v>663</v>
      </c>
    </row>
    <row r="593" spans="1:6" ht="14.1">
      <c r="A593" s="113" t="s">
        <v>826</v>
      </c>
      <c r="B593" s="113">
        <v>2026</v>
      </c>
      <c r="C593" s="113" t="s">
        <v>88</v>
      </c>
      <c r="D593" s="113" t="s">
        <v>969</v>
      </c>
      <c r="E593" s="113" t="s">
        <v>981</v>
      </c>
      <c r="F593" s="113" t="s">
        <v>906</v>
      </c>
    </row>
    <row r="594" spans="1:6" ht="14.1">
      <c r="A594" s="113" t="s">
        <v>826</v>
      </c>
      <c r="B594" s="113">
        <v>2026</v>
      </c>
      <c r="C594" s="113" t="s">
        <v>88</v>
      </c>
      <c r="D594" s="113" t="s">
        <v>969</v>
      </c>
      <c r="E594" s="113" t="s">
        <v>1028</v>
      </c>
      <c r="F594" s="113" t="s">
        <v>906</v>
      </c>
    </row>
    <row r="595" spans="1:6" ht="14.1">
      <c r="A595" s="113" t="s">
        <v>826</v>
      </c>
      <c r="B595" s="113">
        <v>2026</v>
      </c>
      <c r="C595" s="113" t="s">
        <v>88</v>
      </c>
      <c r="D595" s="113" t="s">
        <v>966</v>
      </c>
      <c r="E595" s="113" t="s">
        <v>1006</v>
      </c>
      <c r="F595" s="113" t="s">
        <v>917</v>
      </c>
    </row>
    <row r="596" spans="1:6" ht="14.1">
      <c r="A596" s="113" t="s">
        <v>826</v>
      </c>
      <c r="B596" s="113">
        <v>2026</v>
      </c>
      <c r="C596" s="113" t="s">
        <v>88</v>
      </c>
      <c r="D596" s="113" t="s">
        <v>966</v>
      </c>
      <c r="E596" s="113" t="s">
        <v>1098</v>
      </c>
      <c r="F596" s="113" t="s">
        <v>911</v>
      </c>
    </row>
    <row r="597" spans="1:6" ht="14.1">
      <c r="A597" s="113" t="s">
        <v>826</v>
      </c>
      <c r="B597" s="113">
        <v>2026</v>
      </c>
      <c r="C597" s="113" t="s">
        <v>88</v>
      </c>
      <c r="D597" s="113" t="s">
        <v>959</v>
      </c>
      <c r="E597" s="113" t="s">
        <v>1023</v>
      </c>
      <c r="F597" s="113" t="s">
        <v>935</v>
      </c>
    </row>
    <row r="598" spans="1:6" ht="14.1">
      <c r="A598" s="113" t="s">
        <v>826</v>
      </c>
      <c r="B598" s="113">
        <v>2026</v>
      </c>
      <c r="C598" s="113" t="s">
        <v>88</v>
      </c>
      <c r="D598" s="113" t="s">
        <v>969</v>
      </c>
      <c r="E598" s="113" t="s">
        <v>1078</v>
      </c>
      <c r="F598" s="113" t="s">
        <v>915</v>
      </c>
    </row>
    <row r="599" spans="1:6" ht="14.1">
      <c r="A599" s="113" t="s">
        <v>826</v>
      </c>
      <c r="B599" s="113">
        <v>2026</v>
      </c>
      <c r="C599" s="113" t="s">
        <v>88</v>
      </c>
      <c r="D599" s="113" t="s">
        <v>959</v>
      </c>
      <c r="E599" s="113" t="s">
        <v>1079</v>
      </c>
      <c r="F599" s="113" t="s">
        <v>915</v>
      </c>
    </row>
    <row r="600" spans="1:6" ht="27.95">
      <c r="A600" s="113" t="s">
        <v>826</v>
      </c>
      <c r="B600" s="113">
        <v>2026</v>
      </c>
      <c r="C600" s="113" t="s">
        <v>88</v>
      </c>
      <c r="D600" s="113" t="s">
        <v>956</v>
      </c>
      <c r="E600" s="113" t="s">
        <v>953</v>
      </c>
      <c r="F600" s="113" t="s">
        <v>906</v>
      </c>
    </row>
    <row r="601" spans="1:6" ht="14.1">
      <c r="A601" s="113" t="s">
        <v>826</v>
      </c>
      <c r="B601" s="113">
        <v>2026</v>
      </c>
      <c r="C601" s="113" t="s">
        <v>88</v>
      </c>
      <c r="D601" s="113" t="s">
        <v>966</v>
      </c>
      <c r="E601" s="113" t="s">
        <v>1092</v>
      </c>
      <c r="F601" s="113" t="s">
        <v>911</v>
      </c>
    </row>
    <row r="602" spans="1:6" ht="27.95">
      <c r="A602" s="113" t="s">
        <v>826</v>
      </c>
      <c r="B602" s="113">
        <v>2026</v>
      </c>
      <c r="C602" s="113" t="s">
        <v>88</v>
      </c>
      <c r="D602" s="113" t="s">
        <v>956</v>
      </c>
      <c r="E602" s="113" t="s">
        <v>1014</v>
      </c>
      <c r="F602" s="113" t="s">
        <v>906</v>
      </c>
    </row>
    <row r="603" spans="1:6" ht="14.1">
      <c r="A603" s="113" t="s">
        <v>826</v>
      </c>
      <c r="B603" s="113">
        <v>2026</v>
      </c>
      <c r="C603" s="113" t="s">
        <v>88</v>
      </c>
      <c r="D603" s="113" t="s">
        <v>969</v>
      </c>
      <c r="E603" s="113" t="s">
        <v>1078</v>
      </c>
      <c r="F603" s="113" t="s">
        <v>915</v>
      </c>
    </row>
    <row r="604" spans="1:6" ht="14.1">
      <c r="A604" s="113" t="s">
        <v>826</v>
      </c>
      <c r="B604" s="113">
        <v>2026</v>
      </c>
      <c r="C604" s="113" t="s">
        <v>88</v>
      </c>
      <c r="D604" s="113" t="s">
        <v>959</v>
      </c>
      <c r="E604" s="113" t="s">
        <v>1078</v>
      </c>
      <c r="F604" s="113" t="s">
        <v>915</v>
      </c>
    </row>
    <row r="605" spans="1:6" ht="14.1">
      <c r="A605" s="113" t="s">
        <v>826</v>
      </c>
      <c r="B605" s="113">
        <v>2026</v>
      </c>
      <c r="C605" s="113" t="s">
        <v>88</v>
      </c>
      <c r="D605" s="113" t="s">
        <v>966</v>
      </c>
      <c r="E605" s="113" t="s">
        <v>1041</v>
      </c>
      <c r="F605" s="113" t="s">
        <v>906</v>
      </c>
    </row>
    <row r="606" spans="1:6" ht="27.95">
      <c r="A606" s="113" t="s">
        <v>826</v>
      </c>
      <c r="B606" s="113">
        <v>2026</v>
      </c>
      <c r="C606" s="113" t="s">
        <v>88</v>
      </c>
      <c r="D606" s="113" t="s">
        <v>956</v>
      </c>
      <c r="E606" s="113" t="s">
        <v>1028</v>
      </c>
      <c r="F606" s="113" t="s">
        <v>906</v>
      </c>
    </row>
    <row r="607" spans="1:6" ht="27.95">
      <c r="A607" s="113" t="s">
        <v>826</v>
      </c>
      <c r="B607" s="113">
        <v>2026</v>
      </c>
      <c r="C607" s="113" t="s">
        <v>88</v>
      </c>
      <c r="D607" s="113" t="s">
        <v>956</v>
      </c>
      <c r="E607" s="113" t="s">
        <v>973</v>
      </c>
      <c r="F607" s="113" t="s">
        <v>917</v>
      </c>
    </row>
    <row r="608" spans="1:6" ht="14.1">
      <c r="A608" s="113" t="s">
        <v>826</v>
      </c>
      <c r="B608" s="113">
        <v>2026</v>
      </c>
      <c r="C608" s="113" t="s">
        <v>88</v>
      </c>
      <c r="D608" s="113" t="s">
        <v>966</v>
      </c>
      <c r="E608" s="113" t="s">
        <v>1037</v>
      </c>
      <c r="F608" s="113" t="s">
        <v>917</v>
      </c>
    </row>
    <row r="609" spans="1:6" ht="14.1">
      <c r="A609" s="113" t="s">
        <v>826</v>
      </c>
      <c r="B609" s="113">
        <v>2026</v>
      </c>
      <c r="C609" s="113" t="s">
        <v>88</v>
      </c>
      <c r="D609" s="113" t="s">
        <v>958</v>
      </c>
      <c r="E609" s="113" t="s">
        <v>1037</v>
      </c>
      <c r="F609" s="113" t="s">
        <v>917</v>
      </c>
    </row>
    <row r="610" spans="1:6" ht="14.1">
      <c r="A610" s="113" t="s">
        <v>826</v>
      </c>
      <c r="B610" s="113">
        <v>2026</v>
      </c>
      <c r="C610" s="113" t="s">
        <v>88</v>
      </c>
      <c r="D610" s="113" t="s">
        <v>966</v>
      </c>
      <c r="E610" s="113" t="s">
        <v>986</v>
      </c>
      <c r="F610" s="113" t="s">
        <v>906</v>
      </c>
    </row>
    <row r="611" spans="1:6" ht="27.95">
      <c r="A611" s="113" t="s">
        <v>826</v>
      </c>
      <c r="B611" s="113">
        <v>2026</v>
      </c>
      <c r="C611" s="113" t="s">
        <v>88</v>
      </c>
      <c r="D611" s="113" t="s">
        <v>956</v>
      </c>
      <c r="E611" s="113" t="s">
        <v>1014</v>
      </c>
      <c r="F611" s="113" t="s">
        <v>906</v>
      </c>
    </row>
    <row r="612" spans="1:6" ht="27.95">
      <c r="A612" s="113" t="s">
        <v>826</v>
      </c>
      <c r="B612" s="113">
        <v>2026</v>
      </c>
      <c r="C612" s="113" t="s">
        <v>88</v>
      </c>
      <c r="D612" s="113" t="s">
        <v>956</v>
      </c>
      <c r="E612" s="113" t="s">
        <v>981</v>
      </c>
      <c r="F612" s="113" t="s">
        <v>906</v>
      </c>
    </row>
    <row r="613" spans="1:6" ht="14.1">
      <c r="A613" s="113" t="s">
        <v>826</v>
      </c>
      <c r="B613" s="113">
        <v>2026</v>
      </c>
      <c r="C613" s="113" t="s">
        <v>88</v>
      </c>
      <c r="D613" s="113" t="s">
        <v>969</v>
      </c>
      <c r="E613" s="113" t="s">
        <v>1017</v>
      </c>
      <c r="F613" s="113" t="s">
        <v>909</v>
      </c>
    </row>
    <row r="614" spans="1:6" ht="14.1">
      <c r="A614" s="113" t="s">
        <v>826</v>
      </c>
      <c r="B614" s="113">
        <v>2026</v>
      </c>
      <c r="C614" s="113" t="s">
        <v>88</v>
      </c>
      <c r="D614" s="113" t="s">
        <v>969</v>
      </c>
      <c r="E614" s="113" t="s">
        <v>974</v>
      </c>
      <c r="F614" s="113" t="s">
        <v>917</v>
      </c>
    </row>
    <row r="615" spans="1:6" ht="14.1">
      <c r="A615" s="113" t="s">
        <v>826</v>
      </c>
      <c r="B615" s="113">
        <v>2026</v>
      </c>
      <c r="C615" s="113" t="s">
        <v>88</v>
      </c>
      <c r="D615" s="113" t="s">
        <v>969</v>
      </c>
      <c r="E615" s="113" t="s">
        <v>989</v>
      </c>
      <c r="F615" s="113" t="s">
        <v>935</v>
      </c>
    </row>
    <row r="616" spans="1:6" ht="14.1">
      <c r="A616" s="113" t="s">
        <v>826</v>
      </c>
      <c r="B616" s="113">
        <v>2026</v>
      </c>
      <c r="C616" s="113" t="s">
        <v>88</v>
      </c>
      <c r="D616" s="113" t="s">
        <v>969</v>
      </c>
      <c r="E616" s="113" t="s">
        <v>997</v>
      </c>
      <c r="F616" s="113" t="s">
        <v>935</v>
      </c>
    </row>
    <row r="617" spans="1:6" ht="14.1">
      <c r="A617" s="113" t="s">
        <v>826</v>
      </c>
      <c r="B617" s="113">
        <v>2026</v>
      </c>
      <c r="C617" s="113" t="s">
        <v>88</v>
      </c>
      <c r="D617" s="113" t="s">
        <v>969</v>
      </c>
      <c r="E617" s="113" t="s">
        <v>986</v>
      </c>
      <c r="F617" s="113" t="s">
        <v>906</v>
      </c>
    </row>
    <row r="618" spans="1:6" ht="27.95">
      <c r="A618" s="113" t="s">
        <v>826</v>
      </c>
      <c r="B618" s="113">
        <v>2026</v>
      </c>
      <c r="C618" s="113" t="s">
        <v>88</v>
      </c>
      <c r="D618" s="113" t="s">
        <v>956</v>
      </c>
      <c r="E618" s="113" t="s">
        <v>961</v>
      </c>
      <c r="F618" s="113" t="s">
        <v>663</v>
      </c>
    </row>
    <row r="619" spans="1:6" ht="14.1">
      <c r="A619" s="113" t="s">
        <v>826</v>
      </c>
      <c r="B619" s="113">
        <v>2026</v>
      </c>
      <c r="C619" s="113" t="s">
        <v>88</v>
      </c>
      <c r="D619" s="113" t="s">
        <v>966</v>
      </c>
      <c r="E619" s="113" t="s">
        <v>937</v>
      </c>
      <c r="F619" s="113" t="s">
        <v>917</v>
      </c>
    </row>
    <row r="620" spans="1:6" ht="14.1">
      <c r="A620" s="113" t="s">
        <v>826</v>
      </c>
      <c r="B620" s="113">
        <v>2026</v>
      </c>
      <c r="C620" s="113" t="s">
        <v>88</v>
      </c>
      <c r="D620" s="113" t="s">
        <v>959</v>
      </c>
      <c r="E620" s="113" t="s">
        <v>1072</v>
      </c>
      <c r="F620" s="113" t="s">
        <v>915</v>
      </c>
    </row>
    <row r="621" spans="1:6" ht="27.95">
      <c r="A621" s="113" t="s">
        <v>826</v>
      </c>
      <c r="B621" s="113">
        <v>2026</v>
      </c>
      <c r="C621" s="113" t="s">
        <v>88</v>
      </c>
      <c r="D621" s="113" t="s">
        <v>956</v>
      </c>
      <c r="E621" s="113" t="s">
        <v>1099</v>
      </c>
      <c r="F621" s="113" t="s">
        <v>915</v>
      </c>
    </row>
    <row r="622" spans="1:6" ht="27.95">
      <c r="A622" s="113" t="s">
        <v>826</v>
      </c>
      <c r="B622" s="113">
        <v>2026</v>
      </c>
      <c r="C622" s="113" t="s">
        <v>88</v>
      </c>
      <c r="D622" s="113" t="s">
        <v>956</v>
      </c>
      <c r="E622" s="113" t="s">
        <v>961</v>
      </c>
      <c r="F622" s="113" t="s">
        <v>663</v>
      </c>
    </row>
    <row r="623" spans="1:6" ht="27.95">
      <c r="A623" s="113" t="s">
        <v>826</v>
      </c>
      <c r="B623" s="113">
        <v>2026</v>
      </c>
      <c r="C623" s="113" t="s">
        <v>88</v>
      </c>
      <c r="D623" s="113" t="s">
        <v>956</v>
      </c>
      <c r="E623" s="113" t="s">
        <v>2</v>
      </c>
      <c r="F623" s="113" t="s">
        <v>909</v>
      </c>
    </row>
    <row r="624" spans="1:6" ht="14.1">
      <c r="A624" s="113" t="s">
        <v>826</v>
      </c>
      <c r="B624" s="113">
        <v>2026</v>
      </c>
      <c r="C624" s="113" t="s">
        <v>859</v>
      </c>
      <c r="D624" s="113" t="s">
        <v>1082</v>
      </c>
      <c r="E624" s="113" t="s">
        <v>951</v>
      </c>
      <c r="F624" s="113" t="s">
        <v>917</v>
      </c>
    </row>
    <row r="625" spans="1:6" ht="14.1">
      <c r="A625" s="113" t="s">
        <v>826</v>
      </c>
      <c r="B625" s="113">
        <v>2026</v>
      </c>
      <c r="C625" s="113" t="s">
        <v>859</v>
      </c>
      <c r="D625" s="113" t="s">
        <v>1082</v>
      </c>
      <c r="E625" s="113" t="s">
        <v>937</v>
      </c>
      <c r="F625" s="113" t="s">
        <v>917</v>
      </c>
    </row>
    <row r="626" spans="1:6" ht="14.1">
      <c r="A626" s="113" t="s">
        <v>826</v>
      </c>
      <c r="B626" s="113">
        <v>2026</v>
      </c>
      <c r="C626" s="113" t="s">
        <v>859</v>
      </c>
      <c r="D626" s="113" t="s">
        <v>1000</v>
      </c>
      <c r="E626" s="113" t="s">
        <v>1097</v>
      </c>
      <c r="F626" s="113" t="s">
        <v>911</v>
      </c>
    </row>
    <row r="627" spans="1:6" ht="14.1">
      <c r="A627" s="113" t="s">
        <v>826</v>
      </c>
      <c r="B627" s="113">
        <v>2026</v>
      </c>
      <c r="C627" s="113" t="s">
        <v>859</v>
      </c>
      <c r="D627" s="113" t="s">
        <v>1000</v>
      </c>
      <c r="E627" s="113" t="s">
        <v>1092</v>
      </c>
      <c r="F627" s="113" t="s">
        <v>911</v>
      </c>
    </row>
    <row r="628" spans="1:6" ht="14.1">
      <c r="A628" s="113" t="s">
        <v>826</v>
      </c>
      <c r="B628" s="113">
        <v>2026</v>
      </c>
      <c r="C628" s="113" t="s">
        <v>859</v>
      </c>
      <c r="D628" s="113" t="s">
        <v>1000</v>
      </c>
      <c r="E628" s="113" t="s">
        <v>1081</v>
      </c>
      <c r="F628" s="113" t="s">
        <v>911</v>
      </c>
    </row>
    <row r="629" spans="1:6" ht="14.1">
      <c r="A629" s="113" t="s">
        <v>826</v>
      </c>
      <c r="B629" s="113">
        <v>2026</v>
      </c>
      <c r="C629" s="113" t="s">
        <v>859</v>
      </c>
      <c r="D629" s="113" t="s">
        <v>1005</v>
      </c>
      <c r="E629" s="113" t="s">
        <v>1053</v>
      </c>
      <c r="F629" s="113" t="s">
        <v>909</v>
      </c>
    </row>
    <row r="630" spans="1:6" ht="14.1">
      <c r="A630" s="113" t="s">
        <v>826</v>
      </c>
      <c r="B630" s="113">
        <v>2026</v>
      </c>
      <c r="C630" s="113" t="s">
        <v>859</v>
      </c>
      <c r="D630" s="113" t="s">
        <v>1000</v>
      </c>
      <c r="E630" s="113" t="s">
        <v>953</v>
      </c>
      <c r="F630" s="113" t="s">
        <v>906</v>
      </c>
    </row>
    <row r="631" spans="1:6" ht="14.1">
      <c r="A631" s="113" t="s">
        <v>826</v>
      </c>
      <c r="B631" s="113">
        <v>2026</v>
      </c>
      <c r="C631" s="113" t="s">
        <v>859</v>
      </c>
      <c r="D631" s="113" t="s">
        <v>1005</v>
      </c>
      <c r="E631" s="113" t="s">
        <v>970</v>
      </c>
      <c r="F631" s="113" t="s">
        <v>915</v>
      </c>
    </row>
    <row r="632" spans="1:6" ht="14.1">
      <c r="A632" s="113" t="s">
        <v>826</v>
      </c>
      <c r="B632" s="113">
        <v>2026</v>
      </c>
      <c r="C632" s="113" t="s">
        <v>859</v>
      </c>
      <c r="D632" s="113" t="s">
        <v>1000</v>
      </c>
      <c r="E632" s="113" t="s">
        <v>1095</v>
      </c>
      <c r="F632" s="113" t="s">
        <v>924</v>
      </c>
    </row>
    <row r="633" spans="1:6" ht="14.1">
      <c r="A633" s="113" t="s">
        <v>826</v>
      </c>
      <c r="B633" s="113">
        <v>2026</v>
      </c>
      <c r="C633" s="113" t="s">
        <v>859</v>
      </c>
      <c r="D633" s="113" t="s">
        <v>1005</v>
      </c>
      <c r="E633" s="113" t="s">
        <v>1004</v>
      </c>
      <c r="F633" s="113" t="s">
        <v>935</v>
      </c>
    </row>
    <row r="634" spans="1:6" ht="14.1">
      <c r="A634" s="113" t="s">
        <v>826</v>
      </c>
      <c r="B634" s="113">
        <v>2026</v>
      </c>
      <c r="C634" s="113" t="s">
        <v>859</v>
      </c>
      <c r="D634" s="113" t="s">
        <v>1005</v>
      </c>
      <c r="E634" s="113" t="s">
        <v>952</v>
      </c>
      <c r="F634" s="113" t="s">
        <v>906</v>
      </c>
    </row>
    <row r="635" spans="1:6" ht="14.1">
      <c r="A635" s="113" t="s">
        <v>826</v>
      </c>
      <c r="B635" s="113">
        <v>2026</v>
      </c>
      <c r="C635" s="113" t="s">
        <v>859</v>
      </c>
      <c r="D635" s="113" t="s">
        <v>1000</v>
      </c>
      <c r="E635" s="113" t="s">
        <v>991</v>
      </c>
      <c r="F635" s="113" t="s">
        <v>906</v>
      </c>
    </row>
    <row r="636" spans="1:6" ht="14.1">
      <c r="A636" s="113" t="s">
        <v>826</v>
      </c>
      <c r="B636" s="113">
        <v>2026</v>
      </c>
      <c r="C636" s="113" t="s">
        <v>859</v>
      </c>
      <c r="D636" s="113" t="s">
        <v>1000</v>
      </c>
      <c r="E636" s="113" t="s">
        <v>1014</v>
      </c>
      <c r="F636" s="113" t="s">
        <v>906</v>
      </c>
    </row>
    <row r="637" spans="1:6" ht="14.1">
      <c r="A637" s="113" t="s">
        <v>826</v>
      </c>
      <c r="B637" s="113">
        <v>2026</v>
      </c>
      <c r="C637" s="113" t="s">
        <v>859</v>
      </c>
      <c r="D637" s="113" t="s">
        <v>1000</v>
      </c>
      <c r="E637" s="113" t="s">
        <v>1066</v>
      </c>
      <c r="F637" s="113" t="s">
        <v>935</v>
      </c>
    </row>
    <row r="638" spans="1:6" ht="14.1">
      <c r="A638" s="113" t="s">
        <v>826</v>
      </c>
      <c r="B638" s="113">
        <v>2026</v>
      </c>
      <c r="C638" s="113" t="s">
        <v>859</v>
      </c>
      <c r="D638" s="113" t="s">
        <v>1000</v>
      </c>
      <c r="E638" s="113" t="s">
        <v>995</v>
      </c>
      <c r="F638" s="113" t="s">
        <v>924</v>
      </c>
    </row>
    <row r="639" spans="1:6" ht="14.1">
      <c r="A639" s="113" t="s">
        <v>826</v>
      </c>
      <c r="B639" s="113">
        <v>2026</v>
      </c>
      <c r="C639" s="113" t="s">
        <v>872</v>
      </c>
      <c r="D639" s="113" t="s">
        <v>1018</v>
      </c>
      <c r="E639" s="113" t="s">
        <v>971</v>
      </c>
      <c r="F639" s="113" t="s">
        <v>909</v>
      </c>
    </row>
    <row r="640" spans="1:6" ht="14.1">
      <c r="A640" s="113" t="s">
        <v>826</v>
      </c>
      <c r="B640" s="113">
        <v>2026</v>
      </c>
      <c r="C640" s="113" t="s">
        <v>872</v>
      </c>
      <c r="D640" s="113" t="s">
        <v>1012</v>
      </c>
      <c r="E640" s="113" t="s">
        <v>970</v>
      </c>
      <c r="F640" s="113" t="s">
        <v>915</v>
      </c>
    </row>
    <row r="641" spans="1:6" ht="14.1">
      <c r="A641" s="113" t="s">
        <v>826</v>
      </c>
      <c r="B641" s="113">
        <v>2026</v>
      </c>
      <c r="C641" s="113" t="s">
        <v>872</v>
      </c>
      <c r="D641" s="113" t="s">
        <v>1012</v>
      </c>
      <c r="E641" s="113" t="s">
        <v>1041</v>
      </c>
      <c r="F641" s="113" t="s">
        <v>906</v>
      </c>
    </row>
    <row r="642" spans="1:6" ht="14.1">
      <c r="A642" s="113" t="s">
        <v>826</v>
      </c>
      <c r="B642" s="113">
        <v>2026</v>
      </c>
      <c r="C642" s="113" t="s">
        <v>872</v>
      </c>
      <c r="D642" s="113" t="s">
        <v>1013</v>
      </c>
      <c r="E642" s="113" t="s">
        <v>994</v>
      </c>
      <c r="F642" s="113" t="s">
        <v>663</v>
      </c>
    </row>
    <row r="643" spans="1:6" ht="14.1">
      <c r="A643" s="113" t="s">
        <v>826</v>
      </c>
      <c r="B643" s="113">
        <v>2026</v>
      </c>
      <c r="C643" s="113" t="s">
        <v>872</v>
      </c>
      <c r="D643" s="113" t="s">
        <v>1013</v>
      </c>
      <c r="E643" s="113" t="s">
        <v>1090</v>
      </c>
      <c r="F643" s="113" t="s">
        <v>935</v>
      </c>
    </row>
    <row r="644" spans="1:6" ht="14.1">
      <c r="A644" s="113" t="s">
        <v>826</v>
      </c>
      <c r="B644" s="113">
        <v>2026</v>
      </c>
      <c r="C644" s="113" t="s">
        <v>872</v>
      </c>
      <c r="D644" s="113" t="s">
        <v>1013</v>
      </c>
      <c r="E644" s="113" t="s">
        <v>1078</v>
      </c>
      <c r="F644" s="113" t="s">
        <v>915</v>
      </c>
    </row>
    <row r="645" spans="1:6" ht="14.1">
      <c r="A645" s="113" t="s">
        <v>826</v>
      </c>
      <c r="B645" s="113">
        <v>2026</v>
      </c>
      <c r="C645" s="113" t="s">
        <v>1024</v>
      </c>
      <c r="D645" s="113" t="s">
        <v>1027</v>
      </c>
      <c r="E645" s="113" t="s">
        <v>1100</v>
      </c>
      <c r="F645" s="113" t="s">
        <v>935</v>
      </c>
    </row>
    <row r="646" spans="1:6" ht="14.1">
      <c r="A646" s="113" t="s">
        <v>826</v>
      </c>
      <c r="B646" s="113">
        <v>2026</v>
      </c>
      <c r="C646" s="113" t="s">
        <v>1024</v>
      </c>
      <c r="D646" s="113" t="s">
        <v>1026</v>
      </c>
      <c r="E646" s="113" t="s">
        <v>1021</v>
      </c>
      <c r="F646" s="113" t="s">
        <v>663</v>
      </c>
    </row>
    <row r="647" spans="1:6" ht="14.1">
      <c r="A647" s="113" t="s">
        <v>826</v>
      </c>
      <c r="B647" s="113">
        <v>2026</v>
      </c>
      <c r="C647" s="113" t="s">
        <v>1024</v>
      </c>
      <c r="D647" s="113" t="s">
        <v>1055</v>
      </c>
      <c r="E647" s="113" t="s">
        <v>1085</v>
      </c>
      <c r="F647" s="113" t="s">
        <v>917</v>
      </c>
    </row>
    <row r="648" spans="1:6" ht="14.1">
      <c r="A648" s="113" t="s">
        <v>827</v>
      </c>
      <c r="B648" s="113">
        <v>2026</v>
      </c>
      <c r="C648" s="113" t="s">
        <v>821</v>
      </c>
      <c r="D648" s="113" t="s">
        <v>132</v>
      </c>
      <c r="E648" s="113" t="s">
        <v>936</v>
      </c>
      <c r="F648" s="113" t="s">
        <v>922</v>
      </c>
    </row>
    <row r="649" spans="1:6" ht="14.1">
      <c r="A649" s="113" t="s">
        <v>827</v>
      </c>
      <c r="B649" s="113">
        <v>2026</v>
      </c>
      <c r="C649" s="113" t="s">
        <v>821</v>
      </c>
      <c r="D649" s="113" t="s">
        <v>132</v>
      </c>
      <c r="E649" s="113" t="s">
        <v>1022</v>
      </c>
      <c r="F649" s="113" t="s">
        <v>922</v>
      </c>
    </row>
    <row r="650" spans="1:6" ht="14.1">
      <c r="A650" s="113" t="s">
        <v>827</v>
      </c>
      <c r="B650" s="113">
        <v>2026</v>
      </c>
      <c r="C650" s="113" t="s">
        <v>821</v>
      </c>
      <c r="D650" s="113" t="s">
        <v>976</v>
      </c>
      <c r="E650" s="113" t="s">
        <v>1095</v>
      </c>
      <c r="F650" s="113" t="s">
        <v>924</v>
      </c>
    </row>
    <row r="651" spans="1:6" ht="14.1">
      <c r="A651" s="113" t="s">
        <v>827</v>
      </c>
      <c r="B651" s="113">
        <v>2026</v>
      </c>
      <c r="C651" s="113" t="s">
        <v>821</v>
      </c>
      <c r="D651" s="113" t="s">
        <v>934</v>
      </c>
      <c r="E651" s="113" t="s">
        <v>953</v>
      </c>
      <c r="F651" s="113" t="s">
        <v>906</v>
      </c>
    </row>
    <row r="652" spans="1:6" ht="14.1">
      <c r="A652" s="113" t="s">
        <v>827</v>
      </c>
      <c r="B652" s="113">
        <v>2026</v>
      </c>
      <c r="C652" s="113" t="s">
        <v>821</v>
      </c>
      <c r="D652" s="113" t="s">
        <v>934</v>
      </c>
      <c r="E652" s="113" t="s">
        <v>953</v>
      </c>
      <c r="F652" s="113" t="s">
        <v>906</v>
      </c>
    </row>
    <row r="653" spans="1:6" ht="14.1">
      <c r="A653" s="113" t="s">
        <v>827</v>
      </c>
      <c r="B653" s="113">
        <v>2026</v>
      </c>
      <c r="C653" s="113" t="s">
        <v>821</v>
      </c>
      <c r="D653" s="113" t="s">
        <v>934</v>
      </c>
      <c r="E653" s="113" t="s">
        <v>953</v>
      </c>
      <c r="F653" s="113" t="s">
        <v>906</v>
      </c>
    </row>
    <row r="654" spans="1:6" ht="14.1">
      <c r="A654" s="113" t="s">
        <v>827</v>
      </c>
      <c r="B654" s="113">
        <v>2026</v>
      </c>
      <c r="C654" s="113" t="s">
        <v>821</v>
      </c>
      <c r="D654" s="113" t="s">
        <v>931</v>
      </c>
      <c r="E654" s="113" t="s">
        <v>1041</v>
      </c>
      <c r="F654" s="113" t="s">
        <v>906</v>
      </c>
    </row>
    <row r="655" spans="1:6" ht="14.1">
      <c r="A655" s="113" t="s">
        <v>827</v>
      </c>
      <c r="B655" s="113">
        <v>2026</v>
      </c>
      <c r="C655" s="113" t="s">
        <v>821</v>
      </c>
      <c r="D655" s="113" t="s">
        <v>132</v>
      </c>
      <c r="E655" s="113" t="s">
        <v>1041</v>
      </c>
      <c r="F655" s="113" t="s">
        <v>906</v>
      </c>
    </row>
    <row r="656" spans="1:6" ht="14.1">
      <c r="A656" s="113" t="s">
        <v>827</v>
      </c>
      <c r="B656" s="113">
        <v>2026</v>
      </c>
      <c r="C656" s="113" t="s">
        <v>821</v>
      </c>
      <c r="D656" s="113" t="s">
        <v>216</v>
      </c>
      <c r="E656" s="113" t="s">
        <v>1041</v>
      </c>
      <c r="F656" s="113" t="s">
        <v>906</v>
      </c>
    </row>
    <row r="657" spans="1:6" ht="14.1">
      <c r="A657" s="113" t="s">
        <v>827</v>
      </c>
      <c r="B657" s="113">
        <v>2026</v>
      </c>
      <c r="C657" s="113" t="s">
        <v>821</v>
      </c>
      <c r="D657" s="113" t="s">
        <v>132</v>
      </c>
      <c r="E657" s="113" t="s">
        <v>1101</v>
      </c>
      <c r="F657" s="113" t="s">
        <v>924</v>
      </c>
    </row>
    <row r="658" spans="1:6" ht="14.1">
      <c r="A658" s="113" t="s">
        <v>827</v>
      </c>
      <c r="B658" s="113">
        <v>2026</v>
      </c>
      <c r="C658" s="113" t="s">
        <v>821</v>
      </c>
      <c r="D658" s="113" t="s">
        <v>132</v>
      </c>
      <c r="E658" s="113" t="s">
        <v>1102</v>
      </c>
      <c r="F658" s="113" t="s">
        <v>909</v>
      </c>
    </row>
    <row r="659" spans="1:6" ht="14.1">
      <c r="A659" s="113" t="s">
        <v>827</v>
      </c>
      <c r="B659" s="113">
        <v>2026</v>
      </c>
      <c r="C659" s="113" t="s">
        <v>821</v>
      </c>
      <c r="D659" s="113" t="s">
        <v>976</v>
      </c>
      <c r="E659" s="113" t="s">
        <v>1102</v>
      </c>
      <c r="F659" s="113" t="s">
        <v>909</v>
      </c>
    </row>
    <row r="660" spans="1:6" ht="14.1">
      <c r="A660" s="113" t="s">
        <v>827</v>
      </c>
      <c r="B660" s="113">
        <v>2026</v>
      </c>
      <c r="C660" s="113" t="s">
        <v>821</v>
      </c>
      <c r="D660" s="113" t="s">
        <v>976</v>
      </c>
      <c r="E660" s="113" t="s">
        <v>932</v>
      </c>
      <c r="F660" s="113" t="s">
        <v>663</v>
      </c>
    </row>
    <row r="661" spans="1:6" ht="14.1">
      <c r="A661" s="113" t="s">
        <v>827</v>
      </c>
      <c r="B661" s="113">
        <v>2026</v>
      </c>
      <c r="C661" s="113" t="s">
        <v>821</v>
      </c>
      <c r="D661" s="113" t="s">
        <v>1033</v>
      </c>
      <c r="E661" s="113" t="s">
        <v>2</v>
      </c>
      <c r="F661" s="113" t="s">
        <v>913</v>
      </c>
    </row>
    <row r="662" spans="1:6" ht="14.1">
      <c r="A662" s="113" t="s">
        <v>827</v>
      </c>
      <c r="B662" s="113">
        <v>2026</v>
      </c>
      <c r="C662" s="113" t="s">
        <v>821</v>
      </c>
      <c r="D662" s="113" t="s">
        <v>976</v>
      </c>
      <c r="E662" s="113" t="s">
        <v>1014</v>
      </c>
      <c r="F662" s="113" t="s">
        <v>906</v>
      </c>
    </row>
    <row r="663" spans="1:6" ht="14.1">
      <c r="A663" s="113" t="s">
        <v>827</v>
      </c>
      <c r="B663" s="113">
        <v>2026</v>
      </c>
      <c r="C663" s="113" t="s">
        <v>821</v>
      </c>
      <c r="D663" s="113" t="s">
        <v>216</v>
      </c>
      <c r="E663" s="113" t="s">
        <v>986</v>
      </c>
      <c r="F663" s="113" t="s">
        <v>906</v>
      </c>
    </row>
    <row r="664" spans="1:6" ht="14.1">
      <c r="A664" s="113" t="s">
        <v>827</v>
      </c>
      <c r="B664" s="113">
        <v>2026</v>
      </c>
      <c r="C664" s="113" t="s">
        <v>821</v>
      </c>
      <c r="D664" s="113" t="s">
        <v>1033</v>
      </c>
      <c r="E664" s="113" t="s">
        <v>2</v>
      </c>
      <c r="F664" s="113" t="s">
        <v>935</v>
      </c>
    </row>
    <row r="665" spans="1:6" ht="14.1">
      <c r="A665" s="113" t="s">
        <v>827</v>
      </c>
      <c r="B665" s="113">
        <v>2026</v>
      </c>
      <c r="C665" s="113" t="s">
        <v>821</v>
      </c>
      <c r="D665" s="113" t="s">
        <v>132</v>
      </c>
      <c r="E665" s="113" t="s">
        <v>944</v>
      </c>
      <c r="F665" s="113" t="s">
        <v>922</v>
      </c>
    </row>
    <row r="666" spans="1:6" ht="14.1">
      <c r="A666" s="113" t="s">
        <v>827</v>
      </c>
      <c r="B666" s="113">
        <v>2026</v>
      </c>
      <c r="C666" s="113" t="s">
        <v>821</v>
      </c>
      <c r="D666" s="113" t="s">
        <v>934</v>
      </c>
      <c r="E666" s="113" t="s">
        <v>944</v>
      </c>
      <c r="F666" s="113" t="s">
        <v>922</v>
      </c>
    </row>
    <row r="667" spans="1:6" ht="14.1">
      <c r="A667" s="113" t="s">
        <v>827</v>
      </c>
      <c r="B667" s="113">
        <v>2026</v>
      </c>
      <c r="C667" s="113" t="s">
        <v>821</v>
      </c>
      <c r="D667" s="113" t="s">
        <v>216</v>
      </c>
      <c r="E667" s="113" t="s">
        <v>944</v>
      </c>
      <c r="F667" s="113" t="s">
        <v>922</v>
      </c>
    </row>
    <row r="668" spans="1:6" ht="14.1">
      <c r="A668" s="113" t="s">
        <v>827</v>
      </c>
      <c r="B668" s="113">
        <v>2026</v>
      </c>
      <c r="C668" s="113" t="s">
        <v>821</v>
      </c>
      <c r="D668" s="113" t="s">
        <v>976</v>
      </c>
      <c r="E668" s="113" t="s">
        <v>1103</v>
      </c>
      <c r="F668" s="113" t="s">
        <v>663</v>
      </c>
    </row>
    <row r="669" spans="1:6" ht="14.1">
      <c r="A669" s="113" t="s">
        <v>827</v>
      </c>
      <c r="B669" s="113">
        <v>2026</v>
      </c>
      <c r="C669" s="113" t="s">
        <v>821</v>
      </c>
      <c r="D669" s="113" t="s">
        <v>976</v>
      </c>
      <c r="E669" s="113" t="s">
        <v>953</v>
      </c>
      <c r="F669" s="113" t="s">
        <v>906</v>
      </c>
    </row>
    <row r="670" spans="1:6" ht="14.1">
      <c r="A670" s="113" t="s">
        <v>827</v>
      </c>
      <c r="B670" s="113">
        <v>2026</v>
      </c>
      <c r="C670" s="113" t="s">
        <v>821</v>
      </c>
      <c r="D670" s="113" t="s">
        <v>931</v>
      </c>
      <c r="E670" s="113" t="s">
        <v>2</v>
      </c>
      <c r="F670" s="113" t="s">
        <v>935</v>
      </c>
    </row>
    <row r="671" spans="1:6" ht="14.1">
      <c r="A671" s="113" t="s">
        <v>827</v>
      </c>
      <c r="B671" s="113">
        <v>2026</v>
      </c>
      <c r="C671" s="113" t="s">
        <v>821</v>
      </c>
      <c r="D671" s="113" t="s">
        <v>931</v>
      </c>
      <c r="E671" s="113" t="s">
        <v>955</v>
      </c>
      <c r="F671" s="113" t="s">
        <v>783</v>
      </c>
    </row>
    <row r="672" spans="1:6" ht="14.1">
      <c r="A672" s="113" t="s">
        <v>827</v>
      </c>
      <c r="B672" s="113">
        <v>2026</v>
      </c>
      <c r="C672" s="113" t="s">
        <v>821</v>
      </c>
      <c r="D672" s="113" t="s">
        <v>976</v>
      </c>
      <c r="E672" s="113" t="s">
        <v>2</v>
      </c>
      <c r="F672" s="113" t="s">
        <v>783</v>
      </c>
    </row>
    <row r="673" spans="1:6" ht="14.1">
      <c r="A673" s="113" t="s">
        <v>827</v>
      </c>
      <c r="B673" s="113">
        <v>2026</v>
      </c>
      <c r="C673" s="113" t="s">
        <v>821</v>
      </c>
      <c r="D673" s="113" t="s">
        <v>934</v>
      </c>
      <c r="E673" s="113" t="s">
        <v>1041</v>
      </c>
      <c r="F673" s="113" t="s">
        <v>906</v>
      </c>
    </row>
    <row r="674" spans="1:6" ht="14.1">
      <c r="A674" s="113" t="s">
        <v>827</v>
      </c>
      <c r="B674" s="113">
        <v>2026</v>
      </c>
      <c r="C674" s="113" t="s">
        <v>821</v>
      </c>
      <c r="D674" s="113" t="s">
        <v>931</v>
      </c>
      <c r="E674" s="113" t="s">
        <v>1071</v>
      </c>
      <c r="F674" s="113" t="s">
        <v>918</v>
      </c>
    </row>
    <row r="675" spans="1:6" ht="14.1">
      <c r="A675" s="113" t="s">
        <v>827</v>
      </c>
      <c r="B675" s="113">
        <v>2026</v>
      </c>
      <c r="C675" s="113" t="s">
        <v>821</v>
      </c>
      <c r="D675" s="113" t="s">
        <v>931</v>
      </c>
      <c r="E675" s="113" t="s">
        <v>1046</v>
      </c>
      <c r="F675" s="113" t="s">
        <v>918</v>
      </c>
    </row>
    <row r="676" spans="1:6" ht="14.1">
      <c r="A676" s="113" t="s">
        <v>827</v>
      </c>
      <c r="B676" s="113">
        <v>2026</v>
      </c>
      <c r="C676" s="113" t="s">
        <v>821</v>
      </c>
      <c r="D676" s="113" t="s">
        <v>1033</v>
      </c>
      <c r="E676" s="113" t="s">
        <v>1104</v>
      </c>
      <c r="F676" s="113" t="s">
        <v>783</v>
      </c>
    </row>
    <row r="677" spans="1:6" ht="14.1">
      <c r="A677" s="113" t="s">
        <v>827</v>
      </c>
      <c r="B677" s="113">
        <v>2026</v>
      </c>
      <c r="C677" s="113" t="s">
        <v>821</v>
      </c>
      <c r="D677" s="113" t="s">
        <v>976</v>
      </c>
      <c r="E677" s="113" t="s">
        <v>1063</v>
      </c>
      <c r="F677" s="113" t="s">
        <v>783</v>
      </c>
    </row>
    <row r="678" spans="1:6" ht="14.1">
      <c r="A678" s="113" t="s">
        <v>827</v>
      </c>
      <c r="B678" s="113">
        <v>2026</v>
      </c>
      <c r="C678" s="113" t="s">
        <v>821</v>
      </c>
      <c r="D678" s="113" t="s">
        <v>1033</v>
      </c>
      <c r="E678" s="113" t="s">
        <v>1105</v>
      </c>
      <c r="F678" s="113" t="s">
        <v>783</v>
      </c>
    </row>
    <row r="679" spans="1:6" ht="14.1">
      <c r="A679" s="113" t="s">
        <v>827</v>
      </c>
      <c r="B679" s="113">
        <v>2026</v>
      </c>
      <c r="C679" s="113" t="s">
        <v>821</v>
      </c>
      <c r="D679" s="113" t="s">
        <v>934</v>
      </c>
      <c r="E679" s="113" t="s">
        <v>944</v>
      </c>
      <c r="F679" s="113" t="s">
        <v>915</v>
      </c>
    </row>
    <row r="680" spans="1:6" ht="14.1">
      <c r="A680" s="113" t="s">
        <v>827</v>
      </c>
      <c r="B680" s="113">
        <v>2026</v>
      </c>
      <c r="C680" s="113" t="s">
        <v>821</v>
      </c>
      <c r="D680" s="113" t="s">
        <v>934</v>
      </c>
      <c r="E680" s="113" t="s">
        <v>1106</v>
      </c>
      <c r="F680" s="113" t="s">
        <v>915</v>
      </c>
    </row>
    <row r="681" spans="1:6" ht="14.1">
      <c r="A681" s="113" t="s">
        <v>827</v>
      </c>
      <c r="B681" s="113">
        <v>2026</v>
      </c>
      <c r="C681" s="113" t="s">
        <v>821</v>
      </c>
      <c r="D681" s="113" t="s">
        <v>934</v>
      </c>
      <c r="E681" s="113" t="s">
        <v>1069</v>
      </c>
      <c r="F681" s="113" t="s">
        <v>915</v>
      </c>
    </row>
    <row r="682" spans="1:6" ht="14.1">
      <c r="A682" s="113" t="s">
        <v>827</v>
      </c>
      <c r="B682" s="113">
        <v>2026</v>
      </c>
      <c r="C682" s="113" t="s">
        <v>821</v>
      </c>
      <c r="D682" s="113" t="s">
        <v>216</v>
      </c>
      <c r="E682" s="113" t="s">
        <v>2</v>
      </c>
      <c r="F682" s="113" t="s">
        <v>483</v>
      </c>
    </row>
    <row r="683" spans="1:6" ht="14.1">
      <c r="A683" s="113" t="s">
        <v>827</v>
      </c>
      <c r="B683" s="113">
        <v>2026</v>
      </c>
      <c r="C683" s="113" t="s">
        <v>821</v>
      </c>
      <c r="D683" s="113" t="s">
        <v>931</v>
      </c>
      <c r="E683" s="113" t="s">
        <v>1040</v>
      </c>
      <c r="F683" s="113" t="s">
        <v>906</v>
      </c>
    </row>
    <row r="684" spans="1:6" ht="14.1">
      <c r="A684" s="113" t="s">
        <v>827</v>
      </c>
      <c r="B684" s="113">
        <v>2026</v>
      </c>
      <c r="C684" s="113" t="s">
        <v>821</v>
      </c>
      <c r="D684" s="113" t="s">
        <v>934</v>
      </c>
      <c r="E684" s="113" t="s">
        <v>1107</v>
      </c>
      <c r="F684" s="113" t="s">
        <v>918</v>
      </c>
    </row>
    <row r="685" spans="1:6" ht="14.1">
      <c r="A685" s="113" t="s">
        <v>827</v>
      </c>
      <c r="B685" s="113">
        <v>2026</v>
      </c>
      <c r="C685" s="113" t="s">
        <v>821</v>
      </c>
      <c r="D685" s="113" t="s">
        <v>216</v>
      </c>
      <c r="E685" s="113" t="s">
        <v>2</v>
      </c>
      <c r="F685" s="113" t="s">
        <v>935</v>
      </c>
    </row>
    <row r="686" spans="1:6" ht="14.1">
      <c r="A686" s="113" t="s">
        <v>827</v>
      </c>
      <c r="B686" s="113">
        <v>2026</v>
      </c>
      <c r="C686" s="113" t="s">
        <v>821</v>
      </c>
      <c r="D686" s="113" t="s">
        <v>934</v>
      </c>
      <c r="E686" s="113" t="s">
        <v>943</v>
      </c>
      <c r="F686" s="113" t="s">
        <v>917</v>
      </c>
    </row>
    <row r="687" spans="1:6" ht="14.1">
      <c r="A687" s="113" t="s">
        <v>827</v>
      </c>
      <c r="B687" s="113">
        <v>2026</v>
      </c>
      <c r="C687" s="113" t="s">
        <v>821</v>
      </c>
      <c r="D687" s="113" t="s">
        <v>976</v>
      </c>
      <c r="E687" s="113" t="s">
        <v>953</v>
      </c>
      <c r="F687" s="113" t="s">
        <v>906</v>
      </c>
    </row>
    <row r="688" spans="1:6" ht="14.1">
      <c r="A688" s="113" t="s">
        <v>827</v>
      </c>
      <c r="B688" s="113">
        <v>2026</v>
      </c>
      <c r="C688" s="113" t="s">
        <v>821</v>
      </c>
      <c r="D688" s="113" t="s">
        <v>934</v>
      </c>
      <c r="E688" s="113" t="s">
        <v>945</v>
      </c>
      <c r="F688" s="113" t="s">
        <v>917</v>
      </c>
    </row>
    <row r="689" spans="1:6" ht="14.1">
      <c r="A689" s="113" t="s">
        <v>827</v>
      </c>
      <c r="B689" s="113">
        <v>2026</v>
      </c>
      <c r="C689" s="113" t="s">
        <v>821</v>
      </c>
      <c r="D689" s="113" t="s">
        <v>934</v>
      </c>
      <c r="E689" s="113" t="s">
        <v>951</v>
      </c>
      <c r="F689" s="113" t="s">
        <v>917</v>
      </c>
    </row>
    <row r="690" spans="1:6" ht="14.1">
      <c r="A690" s="113" t="s">
        <v>827</v>
      </c>
      <c r="B690" s="113">
        <v>2026</v>
      </c>
      <c r="C690" s="113" t="s">
        <v>821</v>
      </c>
      <c r="D690" s="113" t="s">
        <v>132</v>
      </c>
      <c r="E690" s="113" t="s">
        <v>944</v>
      </c>
      <c r="F690" s="113" t="s">
        <v>783</v>
      </c>
    </row>
    <row r="691" spans="1:6" ht="14.1">
      <c r="A691" s="113" t="s">
        <v>827</v>
      </c>
      <c r="B691" s="113">
        <v>2026</v>
      </c>
      <c r="C691" s="113" t="s">
        <v>821</v>
      </c>
      <c r="D691" s="113" t="s">
        <v>934</v>
      </c>
      <c r="E691" s="113" t="s">
        <v>944</v>
      </c>
      <c r="F691" s="113" t="s">
        <v>915</v>
      </c>
    </row>
    <row r="692" spans="1:6" ht="14.1">
      <c r="A692" s="113" t="s">
        <v>827</v>
      </c>
      <c r="B692" s="113">
        <v>2026</v>
      </c>
      <c r="C692" s="113" t="s">
        <v>821</v>
      </c>
      <c r="D692" s="113" t="s">
        <v>132</v>
      </c>
      <c r="E692" s="113" t="s">
        <v>957</v>
      </c>
      <c r="F692" s="113" t="s">
        <v>924</v>
      </c>
    </row>
    <row r="693" spans="1:6" ht="14.1">
      <c r="A693" s="113" t="s">
        <v>827</v>
      </c>
      <c r="B693" s="113">
        <v>2026</v>
      </c>
      <c r="C693" s="113" t="s">
        <v>821</v>
      </c>
      <c r="D693" s="113" t="s">
        <v>931</v>
      </c>
      <c r="E693" s="113" t="s">
        <v>951</v>
      </c>
      <c r="F693" s="113" t="s">
        <v>917</v>
      </c>
    </row>
    <row r="694" spans="1:6" ht="14.1">
      <c r="A694" s="113" t="s">
        <v>827</v>
      </c>
      <c r="B694" s="113">
        <v>2026</v>
      </c>
      <c r="C694" s="113" t="s">
        <v>821</v>
      </c>
      <c r="D694" s="113" t="s">
        <v>931</v>
      </c>
      <c r="E694" s="113" t="s">
        <v>951</v>
      </c>
      <c r="F694" s="113" t="s">
        <v>917</v>
      </c>
    </row>
    <row r="695" spans="1:6" ht="14.1">
      <c r="A695" s="113" t="s">
        <v>827</v>
      </c>
      <c r="B695" s="113">
        <v>2026</v>
      </c>
      <c r="C695" s="113" t="s">
        <v>821</v>
      </c>
      <c r="D695" s="113" t="s">
        <v>934</v>
      </c>
      <c r="E695" s="113" t="s">
        <v>986</v>
      </c>
      <c r="F695" s="113" t="s">
        <v>906</v>
      </c>
    </row>
    <row r="696" spans="1:6" ht="14.1">
      <c r="A696" s="113" t="s">
        <v>827</v>
      </c>
      <c r="B696" s="113">
        <v>2026</v>
      </c>
      <c r="C696" s="113" t="s">
        <v>88</v>
      </c>
      <c r="D696" s="113" t="s">
        <v>959</v>
      </c>
      <c r="E696" s="113" t="s">
        <v>954</v>
      </c>
      <c r="F696" s="113" t="s">
        <v>906</v>
      </c>
    </row>
    <row r="697" spans="1:6" ht="14.1">
      <c r="A697" s="113" t="s">
        <v>827</v>
      </c>
      <c r="B697" s="113">
        <v>2026</v>
      </c>
      <c r="C697" s="113" t="s">
        <v>88</v>
      </c>
      <c r="D697" s="113" t="s">
        <v>966</v>
      </c>
      <c r="E697" s="113" t="s">
        <v>1040</v>
      </c>
      <c r="F697" s="113" t="s">
        <v>906</v>
      </c>
    </row>
    <row r="698" spans="1:6" ht="27.95">
      <c r="A698" s="113" t="s">
        <v>827</v>
      </c>
      <c r="B698" s="113">
        <v>2026</v>
      </c>
      <c r="C698" s="113" t="s">
        <v>88</v>
      </c>
      <c r="D698" s="113" t="s">
        <v>956</v>
      </c>
      <c r="E698" s="113" t="s">
        <v>991</v>
      </c>
      <c r="F698" s="113" t="s">
        <v>906</v>
      </c>
    </row>
    <row r="699" spans="1:6" ht="14.1">
      <c r="A699" s="113" t="s">
        <v>827</v>
      </c>
      <c r="B699" s="113">
        <v>2026</v>
      </c>
      <c r="C699" s="113" t="s">
        <v>88</v>
      </c>
      <c r="D699" s="113" t="s">
        <v>959</v>
      </c>
      <c r="E699" s="113" t="s">
        <v>1041</v>
      </c>
      <c r="F699" s="113" t="s">
        <v>906</v>
      </c>
    </row>
    <row r="700" spans="1:6" ht="14.1">
      <c r="A700" s="113" t="s">
        <v>827</v>
      </c>
      <c r="B700" s="113">
        <v>2026</v>
      </c>
      <c r="C700" s="113" t="s">
        <v>88</v>
      </c>
      <c r="D700" s="113" t="s">
        <v>959</v>
      </c>
      <c r="E700" s="113" t="s">
        <v>1108</v>
      </c>
      <c r="F700" s="113" t="s">
        <v>915</v>
      </c>
    </row>
    <row r="701" spans="1:6" ht="14.1">
      <c r="A701" s="113" t="s">
        <v>827</v>
      </c>
      <c r="B701" s="113">
        <v>2026</v>
      </c>
      <c r="C701" s="113" t="s">
        <v>88</v>
      </c>
      <c r="D701" s="113" t="s">
        <v>959</v>
      </c>
      <c r="E701" s="113" t="s">
        <v>1078</v>
      </c>
      <c r="F701" s="113" t="s">
        <v>915</v>
      </c>
    </row>
    <row r="702" spans="1:6" ht="14.1">
      <c r="A702" s="113" t="s">
        <v>827</v>
      </c>
      <c r="B702" s="113">
        <v>2026</v>
      </c>
      <c r="C702" s="113" t="s">
        <v>88</v>
      </c>
      <c r="D702" s="113" t="s">
        <v>966</v>
      </c>
      <c r="E702" s="113" t="s">
        <v>1079</v>
      </c>
      <c r="F702" s="113" t="s">
        <v>915</v>
      </c>
    </row>
    <row r="703" spans="1:6" ht="14.1">
      <c r="A703" s="113" t="s">
        <v>827</v>
      </c>
      <c r="B703" s="113">
        <v>2026</v>
      </c>
      <c r="C703" s="113" t="s">
        <v>88</v>
      </c>
      <c r="D703" s="113" t="s">
        <v>959</v>
      </c>
      <c r="E703" s="113" t="s">
        <v>1057</v>
      </c>
      <c r="F703" s="113" t="s">
        <v>663</v>
      </c>
    </row>
    <row r="704" spans="1:6" ht="27.95">
      <c r="A704" s="113" t="s">
        <v>827</v>
      </c>
      <c r="B704" s="113">
        <v>2026</v>
      </c>
      <c r="C704" s="113" t="s">
        <v>88</v>
      </c>
      <c r="D704" s="113" t="s">
        <v>956</v>
      </c>
      <c r="E704" s="113" t="s">
        <v>991</v>
      </c>
      <c r="F704" s="113" t="s">
        <v>906</v>
      </c>
    </row>
    <row r="705" spans="1:6" ht="14.1">
      <c r="A705" s="113" t="s">
        <v>827</v>
      </c>
      <c r="B705" s="113">
        <v>2026</v>
      </c>
      <c r="C705" s="113" t="s">
        <v>88</v>
      </c>
      <c r="D705" s="113" t="s">
        <v>959</v>
      </c>
      <c r="E705" s="113" t="s">
        <v>952</v>
      </c>
      <c r="F705" s="113" t="s">
        <v>906</v>
      </c>
    </row>
    <row r="706" spans="1:6" ht="14.1">
      <c r="A706" s="113" t="s">
        <v>827</v>
      </c>
      <c r="B706" s="113">
        <v>2026</v>
      </c>
      <c r="C706" s="113" t="s">
        <v>88</v>
      </c>
      <c r="D706" s="113" t="s">
        <v>966</v>
      </c>
      <c r="E706" s="113" t="s">
        <v>1100</v>
      </c>
      <c r="F706" s="113" t="s">
        <v>935</v>
      </c>
    </row>
    <row r="707" spans="1:6" ht="14.1">
      <c r="A707" s="113" t="s">
        <v>827</v>
      </c>
      <c r="B707" s="113">
        <v>2026</v>
      </c>
      <c r="C707" s="113" t="s">
        <v>88</v>
      </c>
      <c r="D707" s="113" t="s">
        <v>959</v>
      </c>
      <c r="E707" s="113" t="s">
        <v>1035</v>
      </c>
      <c r="F707" s="113" t="s">
        <v>935</v>
      </c>
    </row>
    <row r="708" spans="1:6" ht="14.1">
      <c r="A708" s="113" t="s">
        <v>827</v>
      </c>
      <c r="B708" s="113">
        <v>2026</v>
      </c>
      <c r="C708" s="113" t="s">
        <v>88</v>
      </c>
      <c r="D708" s="113" t="s">
        <v>959</v>
      </c>
      <c r="E708" s="113" t="s">
        <v>997</v>
      </c>
      <c r="F708" s="113" t="s">
        <v>935</v>
      </c>
    </row>
    <row r="709" spans="1:6" ht="27.95">
      <c r="A709" s="113" t="s">
        <v>827</v>
      </c>
      <c r="B709" s="113">
        <v>2026</v>
      </c>
      <c r="C709" s="113" t="s">
        <v>88</v>
      </c>
      <c r="D709" s="113" t="s">
        <v>956</v>
      </c>
      <c r="E709" s="113" t="s">
        <v>1022</v>
      </c>
      <c r="F709" s="113" t="s">
        <v>922</v>
      </c>
    </row>
    <row r="710" spans="1:6" ht="14.1">
      <c r="A710" s="113" t="s">
        <v>827</v>
      </c>
      <c r="B710" s="113">
        <v>2026</v>
      </c>
      <c r="C710" s="113" t="s">
        <v>88</v>
      </c>
      <c r="D710" s="113" t="s">
        <v>966</v>
      </c>
      <c r="E710" s="113" t="s">
        <v>1016</v>
      </c>
      <c r="F710" s="113" t="s">
        <v>922</v>
      </c>
    </row>
    <row r="711" spans="1:6" ht="14.1">
      <c r="A711" s="113" t="s">
        <v>827</v>
      </c>
      <c r="B711" s="113">
        <v>2026</v>
      </c>
      <c r="C711" s="113" t="s">
        <v>88</v>
      </c>
      <c r="D711" s="113" t="s">
        <v>966</v>
      </c>
      <c r="E711" s="113" t="s">
        <v>949</v>
      </c>
      <c r="F711" s="113" t="s">
        <v>924</v>
      </c>
    </row>
    <row r="712" spans="1:6" ht="14.1">
      <c r="A712" s="113" t="s">
        <v>827</v>
      </c>
      <c r="B712" s="113">
        <v>2026</v>
      </c>
      <c r="C712" s="113" t="s">
        <v>88</v>
      </c>
      <c r="D712" s="113" t="s">
        <v>959</v>
      </c>
      <c r="E712" s="113" t="s">
        <v>952</v>
      </c>
      <c r="F712" s="113" t="s">
        <v>906</v>
      </c>
    </row>
    <row r="713" spans="1:6" ht="14.1">
      <c r="A713" s="113" t="s">
        <v>827</v>
      </c>
      <c r="B713" s="113">
        <v>2026</v>
      </c>
      <c r="C713" s="113" t="s">
        <v>88</v>
      </c>
      <c r="D713" s="113" t="s">
        <v>969</v>
      </c>
      <c r="E713" s="113" t="s">
        <v>1041</v>
      </c>
      <c r="F713" s="113" t="s">
        <v>906</v>
      </c>
    </row>
    <row r="714" spans="1:6" ht="14.1">
      <c r="A714" s="113" t="s">
        <v>827</v>
      </c>
      <c r="B714" s="113">
        <v>2026</v>
      </c>
      <c r="C714" s="113" t="s">
        <v>88</v>
      </c>
      <c r="D714" s="113" t="s">
        <v>988</v>
      </c>
      <c r="E714" s="113" t="s">
        <v>991</v>
      </c>
      <c r="F714" s="113" t="s">
        <v>906</v>
      </c>
    </row>
    <row r="715" spans="1:6" ht="27.95">
      <c r="A715" s="113" t="s">
        <v>827</v>
      </c>
      <c r="B715" s="113">
        <v>2026</v>
      </c>
      <c r="C715" s="113" t="s">
        <v>88</v>
      </c>
      <c r="D715" s="113" t="s">
        <v>956</v>
      </c>
      <c r="E715" s="113" t="s">
        <v>991</v>
      </c>
      <c r="F715" s="113" t="s">
        <v>906</v>
      </c>
    </row>
    <row r="716" spans="1:6" ht="14.1">
      <c r="A716" s="113" t="s">
        <v>827</v>
      </c>
      <c r="B716" s="113">
        <v>2026</v>
      </c>
      <c r="C716" s="113" t="s">
        <v>88</v>
      </c>
      <c r="D716" s="113" t="s">
        <v>969</v>
      </c>
      <c r="E716" s="113" t="s">
        <v>936</v>
      </c>
      <c r="F716" s="113" t="s">
        <v>922</v>
      </c>
    </row>
    <row r="717" spans="1:6" ht="27.95">
      <c r="A717" s="113" t="s">
        <v>827</v>
      </c>
      <c r="B717" s="113">
        <v>2026</v>
      </c>
      <c r="C717" s="113" t="s">
        <v>88</v>
      </c>
      <c r="D717" s="113" t="s">
        <v>956</v>
      </c>
      <c r="E717" s="113" t="s">
        <v>970</v>
      </c>
      <c r="F717" s="113" t="s">
        <v>915</v>
      </c>
    </row>
    <row r="718" spans="1:6" ht="27.95">
      <c r="A718" s="113" t="s">
        <v>827</v>
      </c>
      <c r="B718" s="113">
        <v>2026</v>
      </c>
      <c r="C718" s="113" t="s">
        <v>88</v>
      </c>
      <c r="D718" s="113" t="s">
        <v>956</v>
      </c>
      <c r="E718" s="113" t="s">
        <v>1069</v>
      </c>
      <c r="F718" s="113" t="s">
        <v>915</v>
      </c>
    </row>
    <row r="719" spans="1:6" ht="14.1">
      <c r="A719" s="113" t="s">
        <v>827</v>
      </c>
      <c r="B719" s="113">
        <v>2026</v>
      </c>
      <c r="C719" s="113" t="s">
        <v>88</v>
      </c>
      <c r="D719" s="113" t="s">
        <v>988</v>
      </c>
      <c r="E719" s="113" t="s">
        <v>991</v>
      </c>
      <c r="F719" s="113" t="s">
        <v>906</v>
      </c>
    </row>
    <row r="720" spans="1:6" ht="27.95">
      <c r="A720" s="113" t="s">
        <v>827</v>
      </c>
      <c r="B720" s="113">
        <v>2026</v>
      </c>
      <c r="C720" s="113" t="s">
        <v>88</v>
      </c>
      <c r="D720" s="113" t="s">
        <v>956</v>
      </c>
      <c r="E720" s="113" t="s">
        <v>991</v>
      </c>
      <c r="F720" s="113" t="s">
        <v>906</v>
      </c>
    </row>
    <row r="721" spans="1:6" ht="14.1">
      <c r="A721" s="113" t="s">
        <v>827</v>
      </c>
      <c r="B721" s="113">
        <v>2026</v>
      </c>
      <c r="C721" s="113" t="s">
        <v>88</v>
      </c>
      <c r="D721" s="113" t="s">
        <v>958</v>
      </c>
      <c r="E721" s="113" t="s">
        <v>2</v>
      </c>
      <c r="F721" s="113" t="s">
        <v>924</v>
      </c>
    </row>
    <row r="722" spans="1:6" ht="14.1">
      <c r="A722" s="113" t="s">
        <v>827</v>
      </c>
      <c r="B722" s="113">
        <v>2026</v>
      </c>
      <c r="C722" s="113" t="s">
        <v>88</v>
      </c>
      <c r="D722" s="113" t="s">
        <v>966</v>
      </c>
      <c r="E722" s="113" t="s">
        <v>937</v>
      </c>
      <c r="F722" s="113" t="s">
        <v>917</v>
      </c>
    </row>
    <row r="723" spans="1:6" ht="14.1">
      <c r="A723" s="113" t="s">
        <v>827</v>
      </c>
      <c r="B723" s="113">
        <v>2026</v>
      </c>
      <c r="C723" s="113" t="s">
        <v>88</v>
      </c>
      <c r="D723" s="113" t="s">
        <v>966</v>
      </c>
      <c r="E723" s="113" t="s">
        <v>1046</v>
      </c>
      <c r="F723" s="113" t="s">
        <v>918</v>
      </c>
    </row>
    <row r="724" spans="1:6" ht="14.1">
      <c r="A724" s="113" t="s">
        <v>827</v>
      </c>
      <c r="B724" s="113">
        <v>2026</v>
      </c>
      <c r="C724" s="113" t="s">
        <v>88</v>
      </c>
      <c r="D724" s="113" t="s">
        <v>958</v>
      </c>
      <c r="E724" s="113" t="s">
        <v>2</v>
      </c>
      <c r="F724" s="113" t="s">
        <v>924</v>
      </c>
    </row>
    <row r="725" spans="1:6" ht="14.1">
      <c r="A725" s="113" t="s">
        <v>827</v>
      </c>
      <c r="B725" s="113">
        <v>2026</v>
      </c>
      <c r="C725" s="113" t="s">
        <v>88</v>
      </c>
      <c r="D725" s="113" t="s">
        <v>988</v>
      </c>
      <c r="E725" s="113" t="s">
        <v>986</v>
      </c>
      <c r="F725" s="113" t="s">
        <v>906</v>
      </c>
    </row>
    <row r="726" spans="1:6" ht="27.95">
      <c r="A726" s="113" t="s">
        <v>827</v>
      </c>
      <c r="B726" s="113">
        <v>2026</v>
      </c>
      <c r="C726" s="113" t="s">
        <v>88</v>
      </c>
      <c r="D726" s="113" t="s">
        <v>956</v>
      </c>
      <c r="E726" s="113" t="s">
        <v>1028</v>
      </c>
      <c r="F726" s="113" t="s">
        <v>906</v>
      </c>
    </row>
    <row r="727" spans="1:6" ht="14.1">
      <c r="A727" s="113" t="s">
        <v>827</v>
      </c>
      <c r="B727" s="113">
        <v>2026</v>
      </c>
      <c r="C727" s="113" t="s">
        <v>88</v>
      </c>
      <c r="D727" s="113" t="s">
        <v>959</v>
      </c>
      <c r="E727" s="113" t="s">
        <v>1041</v>
      </c>
      <c r="F727" s="113" t="s">
        <v>906</v>
      </c>
    </row>
    <row r="728" spans="1:6" ht="14.1">
      <c r="A728" s="113" t="s">
        <v>827</v>
      </c>
      <c r="B728" s="113">
        <v>2026</v>
      </c>
      <c r="C728" s="113" t="s">
        <v>88</v>
      </c>
      <c r="D728" s="113" t="s">
        <v>959</v>
      </c>
      <c r="E728" s="113" t="s">
        <v>1072</v>
      </c>
      <c r="F728" s="113" t="s">
        <v>915</v>
      </c>
    </row>
    <row r="729" spans="1:6" ht="27.95">
      <c r="A729" s="113" t="s">
        <v>827</v>
      </c>
      <c r="B729" s="113">
        <v>2026</v>
      </c>
      <c r="C729" s="113" t="s">
        <v>88</v>
      </c>
      <c r="D729" s="113" t="s">
        <v>956</v>
      </c>
      <c r="E729" s="113" t="s">
        <v>1044</v>
      </c>
      <c r="F729" s="113" t="s">
        <v>783</v>
      </c>
    </row>
    <row r="730" spans="1:6" ht="14.1">
      <c r="A730" s="113" t="s">
        <v>827</v>
      </c>
      <c r="B730" s="113">
        <v>2026</v>
      </c>
      <c r="C730" s="113" t="s">
        <v>88</v>
      </c>
      <c r="D730" s="113" t="s">
        <v>966</v>
      </c>
      <c r="E730" s="113" t="s">
        <v>1063</v>
      </c>
      <c r="F730" s="113" t="s">
        <v>783</v>
      </c>
    </row>
    <row r="731" spans="1:6" ht="14.1">
      <c r="A731" s="113" t="s">
        <v>827</v>
      </c>
      <c r="B731" s="113">
        <v>2026</v>
      </c>
      <c r="C731" s="113" t="s">
        <v>88</v>
      </c>
      <c r="D731" s="113" t="s">
        <v>988</v>
      </c>
      <c r="E731" s="113" t="s">
        <v>938</v>
      </c>
      <c r="F731" s="113" t="s">
        <v>663</v>
      </c>
    </row>
    <row r="732" spans="1:6" ht="27.95">
      <c r="A732" s="113" t="s">
        <v>827</v>
      </c>
      <c r="B732" s="113">
        <v>2026</v>
      </c>
      <c r="C732" s="113" t="s">
        <v>88</v>
      </c>
      <c r="D732" s="113" t="s">
        <v>956</v>
      </c>
      <c r="E732" s="113" t="s">
        <v>932</v>
      </c>
      <c r="F732" s="113" t="s">
        <v>663</v>
      </c>
    </row>
    <row r="733" spans="1:6" ht="27.95">
      <c r="A733" s="113" t="s">
        <v>827</v>
      </c>
      <c r="B733" s="113">
        <v>2026</v>
      </c>
      <c r="C733" s="113" t="s">
        <v>88</v>
      </c>
      <c r="D733" s="113" t="s">
        <v>956</v>
      </c>
      <c r="E733" s="113" t="s">
        <v>954</v>
      </c>
      <c r="F733" s="113" t="s">
        <v>906</v>
      </c>
    </row>
    <row r="734" spans="1:6" ht="27.95">
      <c r="A734" s="113" t="s">
        <v>827</v>
      </c>
      <c r="B734" s="113">
        <v>2026</v>
      </c>
      <c r="C734" s="113" t="s">
        <v>88</v>
      </c>
      <c r="D734" s="113" t="s">
        <v>956</v>
      </c>
      <c r="E734" s="113" t="s">
        <v>957</v>
      </c>
      <c r="F734" s="113" t="s">
        <v>924</v>
      </c>
    </row>
    <row r="735" spans="1:6" ht="14.1">
      <c r="A735" s="113" t="s">
        <v>827</v>
      </c>
      <c r="B735" s="113">
        <v>2026</v>
      </c>
      <c r="C735" s="113" t="s">
        <v>88</v>
      </c>
      <c r="D735" s="113" t="s">
        <v>966</v>
      </c>
      <c r="E735" s="113" t="s">
        <v>1109</v>
      </c>
      <c r="F735" s="113" t="s">
        <v>911</v>
      </c>
    </row>
    <row r="736" spans="1:6" ht="27.95">
      <c r="A736" s="113" t="s">
        <v>827</v>
      </c>
      <c r="B736" s="113">
        <v>2026</v>
      </c>
      <c r="C736" s="113" t="s">
        <v>88</v>
      </c>
      <c r="D736" s="113" t="s">
        <v>956</v>
      </c>
      <c r="E736" s="113" t="s">
        <v>1040</v>
      </c>
      <c r="F736" s="113" t="s">
        <v>906</v>
      </c>
    </row>
    <row r="737" spans="1:6" ht="14.1">
      <c r="A737" s="113" t="s">
        <v>827</v>
      </c>
      <c r="B737" s="113">
        <v>2026</v>
      </c>
      <c r="C737" s="113" t="s">
        <v>88</v>
      </c>
      <c r="D737" s="113" t="s">
        <v>988</v>
      </c>
      <c r="E737" s="113" t="s">
        <v>1040</v>
      </c>
      <c r="F737" s="113" t="s">
        <v>906</v>
      </c>
    </row>
    <row r="738" spans="1:6" ht="27.95">
      <c r="A738" s="113" t="s">
        <v>827</v>
      </c>
      <c r="B738" s="113">
        <v>2026</v>
      </c>
      <c r="C738" s="113" t="s">
        <v>88</v>
      </c>
      <c r="D738" s="113" t="s">
        <v>956</v>
      </c>
      <c r="E738" s="113" t="s">
        <v>968</v>
      </c>
      <c r="F738" s="113" t="s">
        <v>915</v>
      </c>
    </row>
    <row r="739" spans="1:6" ht="14.1">
      <c r="A739" s="113" t="s">
        <v>827</v>
      </c>
      <c r="B739" s="113">
        <v>2026</v>
      </c>
      <c r="C739" s="113" t="s">
        <v>88</v>
      </c>
      <c r="D739" s="113" t="s">
        <v>966</v>
      </c>
      <c r="E739" s="113" t="s">
        <v>1063</v>
      </c>
      <c r="F739" s="113" t="s">
        <v>783</v>
      </c>
    </row>
    <row r="740" spans="1:6" ht="14.1">
      <c r="A740" s="113" t="s">
        <v>827</v>
      </c>
      <c r="B740" s="113">
        <v>2026</v>
      </c>
      <c r="C740" s="113" t="s">
        <v>88</v>
      </c>
      <c r="D740" s="113" t="s">
        <v>969</v>
      </c>
      <c r="E740" s="113" t="s">
        <v>1014</v>
      </c>
      <c r="F740" s="113" t="s">
        <v>906</v>
      </c>
    </row>
    <row r="741" spans="1:6" ht="27.95">
      <c r="A741" s="113" t="s">
        <v>827</v>
      </c>
      <c r="B741" s="113">
        <v>2026</v>
      </c>
      <c r="C741" s="113" t="s">
        <v>88</v>
      </c>
      <c r="D741" s="113" t="s">
        <v>956</v>
      </c>
      <c r="E741" s="113" t="s">
        <v>1036</v>
      </c>
      <c r="F741" s="113" t="s">
        <v>906</v>
      </c>
    </row>
    <row r="742" spans="1:6" ht="27.95">
      <c r="A742" s="113" t="s">
        <v>827</v>
      </c>
      <c r="B742" s="113">
        <v>2026</v>
      </c>
      <c r="C742" s="113" t="s">
        <v>88</v>
      </c>
      <c r="D742" s="113" t="s">
        <v>956</v>
      </c>
      <c r="E742" s="113" t="s">
        <v>932</v>
      </c>
      <c r="F742" s="113" t="s">
        <v>663</v>
      </c>
    </row>
    <row r="743" spans="1:6" ht="14.1">
      <c r="A743" s="113" t="s">
        <v>827</v>
      </c>
      <c r="B743" s="113">
        <v>2026</v>
      </c>
      <c r="C743" s="113" t="s">
        <v>88</v>
      </c>
      <c r="D743" s="113" t="s">
        <v>988</v>
      </c>
      <c r="E743" s="113" t="s">
        <v>1066</v>
      </c>
      <c r="F743" s="113" t="s">
        <v>935</v>
      </c>
    </row>
    <row r="744" spans="1:6" ht="14.1">
      <c r="A744" s="113" t="s">
        <v>827</v>
      </c>
      <c r="B744" s="113">
        <v>2026</v>
      </c>
      <c r="C744" s="113" t="s">
        <v>88</v>
      </c>
      <c r="D744" s="113" t="s">
        <v>959</v>
      </c>
      <c r="E744" s="113" t="s">
        <v>987</v>
      </c>
      <c r="F744" s="113" t="s">
        <v>935</v>
      </c>
    </row>
    <row r="745" spans="1:6" ht="14.1">
      <c r="A745" s="113" t="s">
        <v>827</v>
      </c>
      <c r="B745" s="113">
        <v>2026</v>
      </c>
      <c r="C745" s="113" t="s">
        <v>88</v>
      </c>
      <c r="D745" s="113" t="s">
        <v>969</v>
      </c>
      <c r="E745" s="113" t="s">
        <v>1053</v>
      </c>
      <c r="F745" s="113" t="s">
        <v>909</v>
      </c>
    </row>
    <row r="746" spans="1:6" ht="14.1">
      <c r="A746" s="113" t="s">
        <v>827</v>
      </c>
      <c r="B746" s="113">
        <v>2026</v>
      </c>
      <c r="C746" s="113" t="s">
        <v>88</v>
      </c>
      <c r="D746" s="113" t="s">
        <v>988</v>
      </c>
      <c r="E746" s="113" t="s">
        <v>1040</v>
      </c>
      <c r="F746" s="113" t="s">
        <v>906</v>
      </c>
    </row>
    <row r="747" spans="1:6" ht="27.95">
      <c r="A747" s="113" t="s">
        <v>827</v>
      </c>
      <c r="B747" s="113">
        <v>2026</v>
      </c>
      <c r="C747" s="113" t="s">
        <v>88</v>
      </c>
      <c r="D747" s="113" t="s">
        <v>956</v>
      </c>
      <c r="E747" s="113" t="s">
        <v>933</v>
      </c>
      <c r="F747" s="113" t="s">
        <v>918</v>
      </c>
    </row>
    <row r="748" spans="1:6" ht="14.1">
      <c r="A748" s="113" t="s">
        <v>827</v>
      </c>
      <c r="B748" s="113">
        <v>2026</v>
      </c>
      <c r="C748" s="113" t="s">
        <v>88</v>
      </c>
      <c r="D748" s="113" t="s">
        <v>959</v>
      </c>
      <c r="E748" s="113" t="s">
        <v>1044</v>
      </c>
      <c r="F748" s="113" t="s">
        <v>783</v>
      </c>
    </row>
    <row r="749" spans="1:6" ht="14.1">
      <c r="A749" s="113" t="s">
        <v>827</v>
      </c>
      <c r="B749" s="113">
        <v>2026</v>
      </c>
      <c r="C749" s="113" t="s">
        <v>88</v>
      </c>
      <c r="D749" s="113" t="s">
        <v>966</v>
      </c>
      <c r="E749" s="113" t="s">
        <v>961</v>
      </c>
      <c r="F749" s="113" t="s">
        <v>663</v>
      </c>
    </row>
    <row r="750" spans="1:6" ht="14.1">
      <c r="A750" s="113" t="s">
        <v>827</v>
      </c>
      <c r="B750" s="113">
        <v>2026</v>
      </c>
      <c r="C750" s="113" t="s">
        <v>88</v>
      </c>
      <c r="D750" s="113" t="s">
        <v>988</v>
      </c>
      <c r="E750" s="113" t="s">
        <v>1017</v>
      </c>
      <c r="F750" s="113" t="s">
        <v>909</v>
      </c>
    </row>
    <row r="751" spans="1:6" ht="14.1">
      <c r="A751" s="113" t="s">
        <v>827</v>
      </c>
      <c r="B751" s="113">
        <v>2026</v>
      </c>
      <c r="C751" s="113" t="s">
        <v>88</v>
      </c>
      <c r="D751" s="113" t="s">
        <v>988</v>
      </c>
      <c r="E751" s="113" t="s">
        <v>1040</v>
      </c>
      <c r="F751" s="113" t="s">
        <v>906</v>
      </c>
    </row>
    <row r="752" spans="1:6" ht="14.1">
      <c r="A752" s="113" t="s">
        <v>827</v>
      </c>
      <c r="B752" s="113">
        <v>2026</v>
      </c>
      <c r="C752" s="113" t="s">
        <v>88</v>
      </c>
      <c r="D752" s="113" t="s">
        <v>966</v>
      </c>
      <c r="E752" s="113" t="s">
        <v>1095</v>
      </c>
      <c r="F752" s="113" t="s">
        <v>924</v>
      </c>
    </row>
    <row r="753" spans="1:6" ht="14.1">
      <c r="A753" s="113" t="s">
        <v>827</v>
      </c>
      <c r="B753" s="113">
        <v>2026</v>
      </c>
      <c r="C753" s="113" t="s">
        <v>88</v>
      </c>
      <c r="D753" s="113" t="s">
        <v>966</v>
      </c>
      <c r="E753" s="113" t="s">
        <v>2</v>
      </c>
      <c r="F753" s="113" t="s">
        <v>483</v>
      </c>
    </row>
    <row r="754" spans="1:6" ht="14.1">
      <c r="A754" s="113" t="s">
        <v>827</v>
      </c>
      <c r="B754" s="113">
        <v>2026</v>
      </c>
      <c r="C754" s="113" t="s">
        <v>88</v>
      </c>
      <c r="D754" s="113" t="s">
        <v>966</v>
      </c>
      <c r="E754" s="113" t="s">
        <v>996</v>
      </c>
      <c r="F754" s="113" t="s">
        <v>924</v>
      </c>
    </row>
    <row r="755" spans="1:6" ht="27.95">
      <c r="A755" s="113" t="s">
        <v>827</v>
      </c>
      <c r="B755" s="113">
        <v>2026</v>
      </c>
      <c r="C755" s="113" t="s">
        <v>88</v>
      </c>
      <c r="D755" s="113" t="s">
        <v>956</v>
      </c>
      <c r="E755" s="113" t="s">
        <v>930</v>
      </c>
      <c r="F755" s="113" t="s">
        <v>906</v>
      </c>
    </row>
    <row r="756" spans="1:6" ht="27.95">
      <c r="A756" s="113" t="s">
        <v>827</v>
      </c>
      <c r="B756" s="113">
        <v>2026</v>
      </c>
      <c r="C756" s="113" t="s">
        <v>88</v>
      </c>
      <c r="D756" s="113" t="s">
        <v>956</v>
      </c>
      <c r="E756" s="113" t="s">
        <v>953</v>
      </c>
      <c r="F756" s="113" t="s">
        <v>906</v>
      </c>
    </row>
    <row r="757" spans="1:6" ht="14.1">
      <c r="A757" s="113" t="s">
        <v>827</v>
      </c>
      <c r="B757" s="113">
        <v>2026</v>
      </c>
      <c r="C757" s="113" t="s">
        <v>88</v>
      </c>
      <c r="D757" s="113" t="s">
        <v>966</v>
      </c>
      <c r="E757" s="113" t="s">
        <v>989</v>
      </c>
      <c r="F757" s="113" t="s">
        <v>935</v>
      </c>
    </row>
    <row r="758" spans="1:6" ht="14.1">
      <c r="A758" s="113" t="s">
        <v>827</v>
      </c>
      <c r="B758" s="113">
        <v>2026</v>
      </c>
      <c r="C758" s="113" t="s">
        <v>88</v>
      </c>
      <c r="D758" s="113" t="s">
        <v>966</v>
      </c>
      <c r="E758" s="113" t="s">
        <v>1110</v>
      </c>
      <c r="F758" s="113" t="s">
        <v>935</v>
      </c>
    </row>
    <row r="759" spans="1:6" ht="14.1">
      <c r="A759" s="113" t="s">
        <v>827</v>
      </c>
      <c r="B759" s="113">
        <v>2026</v>
      </c>
      <c r="C759" s="113" t="s">
        <v>88</v>
      </c>
      <c r="D759" s="113" t="s">
        <v>988</v>
      </c>
      <c r="E759" s="113" t="s">
        <v>1090</v>
      </c>
      <c r="F759" s="113" t="s">
        <v>935</v>
      </c>
    </row>
    <row r="760" spans="1:6" ht="14.1">
      <c r="A760" s="113" t="s">
        <v>827</v>
      </c>
      <c r="B760" s="113">
        <v>2026</v>
      </c>
      <c r="C760" s="113" t="s">
        <v>88</v>
      </c>
      <c r="D760" s="113" t="s">
        <v>959</v>
      </c>
      <c r="E760" s="113" t="s">
        <v>1030</v>
      </c>
      <c r="F760" s="113" t="s">
        <v>935</v>
      </c>
    </row>
    <row r="761" spans="1:6" ht="14.1">
      <c r="A761" s="113" t="s">
        <v>827</v>
      </c>
      <c r="B761" s="113">
        <v>2026</v>
      </c>
      <c r="C761" s="113" t="s">
        <v>88</v>
      </c>
      <c r="D761" s="113" t="s">
        <v>959</v>
      </c>
      <c r="E761" s="113" t="s">
        <v>1023</v>
      </c>
      <c r="F761" s="113" t="s">
        <v>935</v>
      </c>
    </row>
    <row r="762" spans="1:6" ht="27.95">
      <c r="A762" s="113" t="s">
        <v>827</v>
      </c>
      <c r="B762" s="113">
        <v>2026</v>
      </c>
      <c r="C762" s="113" t="s">
        <v>88</v>
      </c>
      <c r="D762" s="113" t="s">
        <v>956</v>
      </c>
      <c r="E762" s="113" t="s">
        <v>1037</v>
      </c>
      <c r="F762" s="113" t="s">
        <v>917</v>
      </c>
    </row>
    <row r="763" spans="1:6" ht="14.1">
      <c r="A763" s="113" t="s">
        <v>827</v>
      </c>
      <c r="B763" s="113">
        <v>2026</v>
      </c>
      <c r="C763" s="113" t="s">
        <v>88</v>
      </c>
      <c r="D763" s="113" t="s">
        <v>959</v>
      </c>
      <c r="E763" s="113" t="s">
        <v>1111</v>
      </c>
      <c r="F763" s="113" t="s">
        <v>918</v>
      </c>
    </row>
    <row r="764" spans="1:6" ht="27.95">
      <c r="A764" s="113" t="s">
        <v>827</v>
      </c>
      <c r="B764" s="113">
        <v>2026</v>
      </c>
      <c r="C764" s="113" t="s">
        <v>88</v>
      </c>
      <c r="D764" s="113" t="s">
        <v>956</v>
      </c>
      <c r="E764" s="113" t="s">
        <v>1112</v>
      </c>
      <c r="F764" s="113" t="s">
        <v>918</v>
      </c>
    </row>
    <row r="765" spans="1:6" ht="14.1">
      <c r="A765" s="113" t="s">
        <v>827</v>
      </c>
      <c r="B765" s="113">
        <v>2026</v>
      </c>
      <c r="C765" s="113" t="s">
        <v>88</v>
      </c>
      <c r="D765" s="113" t="s">
        <v>988</v>
      </c>
      <c r="E765" s="113" t="s">
        <v>1014</v>
      </c>
      <c r="F765" s="113" t="s">
        <v>906</v>
      </c>
    </row>
    <row r="766" spans="1:6" ht="27.95">
      <c r="A766" s="113" t="s">
        <v>827</v>
      </c>
      <c r="B766" s="113">
        <v>2026</v>
      </c>
      <c r="C766" s="113" t="s">
        <v>88</v>
      </c>
      <c r="D766" s="113" t="s">
        <v>956</v>
      </c>
      <c r="E766" s="113" t="s">
        <v>1014</v>
      </c>
      <c r="F766" s="113" t="s">
        <v>906</v>
      </c>
    </row>
    <row r="767" spans="1:6" ht="14.1">
      <c r="A767" s="113" t="s">
        <v>827</v>
      </c>
      <c r="B767" s="113">
        <v>2026</v>
      </c>
      <c r="C767" s="113" t="s">
        <v>88</v>
      </c>
      <c r="D767" s="113" t="s">
        <v>966</v>
      </c>
      <c r="E767" s="113" t="s">
        <v>2</v>
      </c>
      <c r="F767" s="113" t="s">
        <v>935</v>
      </c>
    </row>
    <row r="768" spans="1:6" ht="14.1">
      <c r="A768" s="113" t="s">
        <v>827</v>
      </c>
      <c r="B768" s="113">
        <v>2026</v>
      </c>
      <c r="C768" s="113" t="s">
        <v>88</v>
      </c>
      <c r="D768" s="113" t="s">
        <v>966</v>
      </c>
      <c r="E768" s="113" t="s">
        <v>2</v>
      </c>
      <c r="F768" s="113" t="s">
        <v>935</v>
      </c>
    </row>
    <row r="769" spans="1:6" ht="14.1">
      <c r="A769" s="113" t="s">
        <v>827</v>
      </c>
      <c r="B769" s="113">
        <v>2026</v>
      </c>
      <c r="C769" s="113" t="s">
        <v>88</v>
      </c>
      <c r="D769" s="113" t="s">
        <v>966</v>
      </c>
      <c r="E769" s="113" t="s">
        <v>1072</v>
      </c>
      <c r="F769" s="113" t="s">
        <v>915</v>
      </c>
    </row>
    <row r="770" spans="1:6" ht="27.95">
      <c r="A770" s="113" t="s">
        <v>827</v>
      </c>
      <c r="B770" s="113">
        <v>2026</v>
      </c>
      <c r="C770" s="113" t="s">
        <v>88</v>
      </c>
      <c r="D770" s="113" t="s">
        <v>956</v>
      </c>
      <c r="E770" s="113" t="s">
        <v>970</v>
      </c>
      <c r="F770" s="113" t="s">
        <v>915</v>
      </c>
    </row>
    <row r="771" spans="1:6" ht="14.1">
      <c r="A771" s="113" t="s">
        <v>827</v>
      </c>
      <c r="B771" s="113">
        <v>2026</v>
      </c>
      <c r="C771" s="113" t="s">
        <v>88</v>
      </c>
      <c r="D771" s="113" t="s">
        <v>959</v>
      </c>
      <c r="E771" s="113" t="s">
        <v>1057</v>
      </c>
      <c r="F771" s="113" t="s">
        <v>915</v>
      </c>
    </row>
    <row r="772" spans="1:6" ht="27.95">
      <c r="A772" s="113" t="s">
        <v>827</v>
      </c>
      <c r="B772" s="113">
        <v>2026</v>
      </c>
      <c r="C772" s="113" t="s">
        <v>88</v>
      </c>
      <c r="D772" s="113" t="s">
        <v>956</v>
      </c>
      <c r="E772" s="113" t="s">
        <v>2</v>
      </c>
      <c r="F772" s="113" t="s">
        <v>918</v>
      </c>
    </row>
    <row r="773" spans="1:6" ht="14.1">
      <c r="A773" s="113" t="s">
        <v>827</v>
      </c>
      <c r="B773" s="113">
        <v>2026</v>
      </c>
      <c r="C773" s="113" t="s">
        <v>88</v>
      </c>
      <c r="D773" s="113" t="s">
        <v>969</v>
      </c>
      <c r="E773" s="113" t="s">
        <v>953</v>
      </c>
      <c r="F773" s="113" t="s">
        <v>906</v>
      </c>
    </row>
    <row r="774" spans="1:6" ht="14.1">
      <c r="A774" s="113" t="s">
        <v>827</v>
      </c>
      <c r="B774" s="113">
        <v>2026</v>
      </c>
      <c r="C774" s="113" t="s">
        <v>88</v>
      </c>
      <c r="D774" s="113" t="s">
        <v>969</v>
      </c>
      <c r="E774" s="113" t="s">
        <v>981</v>
      </c>
      <c r="F774" s="113" t="s">
        <v>906</v>
      </c>
    </row>
    <row r="775" spans="1:6" ht="27.95">
      <c r="A775" s="113" t="s">
        <v>827</v>
      </c>
      <c r="B775" s="113">
        <v>2026</v>
      </c>
      <c r="C775" s="113" t="s">
        <v>88</v>
      </c>
      <c r="D775" s="113" t="s">
        <v>956</v>
      </c>
      <c r="E775" s="113" t="s">
        <v>930</v>
      </c>
      <c r="F775" s="113" t="s">
        <v>906</v>
      </c>
    </row>
    <row r="776" spans="1:6" ht="27.95">
      <c r="A776" s="113" t="s">
        <v>827</v>
      </c>
      <c r="B776" s="113">
        <v>2026</v>
      </c>
      <c r="C776" s="113" t="s">
        <v>88</v>
      </c>
      <c r="D776" s="113" t="s">
        <v>956</v>
      </c>
      <c r="E776" s="113" t="s">
        <v>1014</v>
      </c>
      <c r="F776" s="113" t="s">
        <v>906</v>
      </c>
    </row>
    <row r="777" spans="1:6" ht="27.95">
      <c r="A777" s="113" t="s">
        <v>827</v>
      </c>
      <c r="B777" s="113">
        <v>2026</v>
      </c>
      <c r="C777" s="113" t="s">
        <v>88</v>
      </c>
      <c r="D777" s="113" t="s">
        <v>956</v>
      </c>
      <c r="E777" s="113" t="s">
        <v>930</v>
      </c>
      <c r="F777" s="113" t="s">
        <v>906</v>
      </c>
    </row>
    <row r="778" spans="1:6" ht="27.95">
      <c r="A778" s="113" t="s">
        <v>827</v>
      </c>
      <c r="B778" s="113">
        <v>2026</v>
      </c>
      <c r="C778" s="113" t="s">
        <v>88</v>
      </c>
      <c r="D778" s="113" t="s">
        <v>956</v>
      </c>
      <c r="E778" s="113" t="s">
        <v>1041</v>
      </c>
      <c r="F778" s="113" t="s">
        <v>906</v>
      </c>
    </row>
    <row r="779" spans="1:6" ht="27.95">
      <c r="A779" s="113" t="s">
        <v>827</v>
      </c>
      <c r="B779" s="113">
        <v>2026</v>
      </c>
      <c r="C779" s="113" t="s">
        <v>88</v>
      </c>
      <c r="D779" s="113" t="s">
        <v>956</v>
      </c>
      <c r="E779" s="113" t="s">
        <v>970</v>
      </c>
      <c r="F779" s="113" t="s">
        <v>915</v>
      </c>
    </row>
    <row r="780" spans="1:6" ht="14.1">
      <c r="A780" s="113" t="s">
        <v>827</v>
      </c>
      <c r="B780" s="113">
        <v>2026</v>
      </c>
      <c r="C780" s="113" t="s">
        <v>88</v>
      </c>
      <c r="D780" s="113" t="s">
        <v>988</v>
      </c>
      <c r="E780" s="113" t="s">
        <v>1040</v>
      </c>
      <c r="F780" s="113" t="s">
        <v>906</v>
      </c>
    </row>
    <row r="781" spans="1:6" ht="14.1">
      <c r="A781" s="113" t="s">
        <v>827</v>
      </c>
      <c r="B781" s="113">
        <v>2026</v>
      </c>
      <c r="C781" s="113" t="s">
        <v>88</v>
      </c>
      <c r="D781" s="113" t="s">
        <v>988</v>
      </c>
      <c r="E781" s="113" t="s">
        <v>1036</v>
      </c>
      <c r="F781" s="113" t="s">
        <v>906</v>
      </c>
    </row>
    <row r="782" spans="1:6" ht="14.1">
      <c r="A782" s="113" t="s">
        <v>827</v>
      </c>
      <c r="B782" s="113">
        <v>2026</v>
      </c>
      <c r="C782" s="113" t="s">
        <v>88</v>
      </c>
      <c r="D782" s="113" t="s">
        <v>988</v>
      </c>
      <c r="E782" s="113" t="s">
        <v>1113</v>
      </c>
      <c r="F782" s="113" t="s">
        <v>783</v>
      </c>
    </row>
    <row r="783" spans="1:6" ht="14.1">
      <c r="A783" s="113" t="s">
        <v>827</v>
      </c>
      <c r="B783" s="113">
        <v>2026</v>
      </c>
      <c r="C783" s="113" t="s">
        <v>88</v>
      </c>
      <c r="D783" s="113" t="s">
        <v>959</v>
      </c>
      <c r="E783" s="113" t="s">
        <v>936</v>
      </c>
      <c r="F783" s="113" t="s">
        <v>922</v>
      </c>
    </row>
    <row r="784" spans="1:6" ht="14.1">
      <c r="A784" s="113" t="s">
        <v>827</v>
      </c>
      <c r="B784" s="113">
        <v>2026</v>
      </c>
      <c r="C784" s="113" t="s">
        <v>88</v>
      </c>
      <c r="D784" s="113" t="s">
        <v>959</v>
      </c>
      <c r="E784" s="113" t="s">
        <v>1001</v>
      </c>
      <c r="F784" s="113" t="s">
        <v>922</v>
      </c>
    </row>
    <row r="785" spans="1:6" ht="14.1">
      <c r="A785" s="113" t="s">
        <v>827</v>
      </c>
      <c r="B785" s="113">
        <v>2026</v>
      </c>
      <c r="C785" s="113" t="s">
        <v>88</v>
      </c>
      <c r="D785" s="113" t="s">
        <v>959</v>
      </c>
      <c r="E785" s="113" t="s">
        <v>1114</v>
      </c>
      <c r="F785" s="113" t="s">
        <v>922</v>
      </c>
    </row>
    <row r="786" spans="1:6" ht="14.1">
      <c r="A786" s="113" t="s">
        <v>827</v>
      </c>
      <c r="B786" s="113">
        <v>2026</v>
      </c>
      <c r="C786" s="113" t="s">
        <v>88</v>
      </c>
      <c r="D786" s="113" t="s">
        <v>959</v>
      </c>
      <c r="E786" s="113" t="s">
        <v>952</v>
      </c>
      <c r="F786" s="113" t="s">
        <v>906</v>
      </c>
    </row>
    <row r="787" spans="1:6" ht="27.95">
      <c r="A787" s="113" t="s">
        <v>827</v>
      </c>
      <c r="B787" s="113">
        <v>2026</v>
      </c>
      <c r="C787" s="113" t="s">
        <v>88</v>
      </c>
      <c r="D787" s="113" t="s">
        <v>956</v>
      </c>
      <c r="E787" s="113" t="s">
        <v>930</v>
      </c>
      <c r="F787" s="113" t="s">
        <v>906</v>
      </c>
    </row>
    <row r="788" spans="1:6" ht="14.1">
      <c r="A788" s="113" t="s">
        <v>827</v>
      </c>
      <c r="B788" s="113">
        <v>2026</v>
      </c>
      <c r="C788" s="113" t="s">
        <v>88</v>
      </c>
      <c r="D788" s="113" t="s">
        <v>988</v>
      </c>
      <c r="E788" s="113" t="s">
        <v>1021</v>
      </c>
      <c r="F788" s="113" t="s">
        <v>663</v>
      </c>
    </row>
    <row r="789" spans="1:6" ht="14.1">
      <c r="A789" s="113" t="s">
        <v>827</v>
      </c>
      <c r="B789" s="113">
        <v>2026</v>
      </c>
      <c r="C789" s="113" t="s">
        <v>88</v>
      </c>
      <c r="D789" s="113" t="s">
        <v>988</v>
      </c>
      <c r="E789" s="113" t="s">
        <v>1006</v>
      </c>
      <c r="F789" s="113" t="s">
        <v>917</v>
      </c>
    </row>
    <row r="790" spans="1:6" ht="14.1">
      <c r="A790" s="113" t="s">
        <v>827</v>
      </c>
      <c r="B790" s="113">
        <v>2026</v>
      </c>
      <c r="C790" s="113" t="s">
        <v>88</v>
      </c>
      <c r="D790" s="113" t="s">
        <v>969</v>
      </c>
      <c r="E790" s="113" t="s">
        <v>974</v>
      </c>
      <c r="F790" s="113" t="s">
        <v>917</v>
      </c>
    </row>
    <row r="791" spans="1:6" ht="27.95">
      <c r="A791" s="113" t="s">
        <v>827</v>
      </c>
      <c r="B791" s="113">
        <v>2026</v>
      </c>
      <c r="C791" s="113" t="s">
        <v>88</v>
      </c>
      <c r="D791" s="113" t="s">
        <v>956</v>
      </c>
      <c r="E791" s="113" t="s">
        <v>1009</v>
      </c>
      <c r="F791" s="113" t="s">
        <v>917</v>
      </c>
    </row>
    <row r="792" spans="1:6" ht="14.1">
      <c r="A792" s="113" t="s">
        <v>827</v>
      </c>
      <c r="B792" s="113">
        <v>2026</v>
      </c>
      <c r="C792" s="113" t="s">
        <v>88</v>
      </c>
      <c r="D792" s="113" t="s">
        <v>959</v>
      </c>
      <c r="E792" s="113" t="s">
        <v>1040</v>
      </c>
      <c r="F792" s="113" t="s">
        <v>906</v>
      </c>
    </row>
    <row r="793" spans="1:6" ht="27.95">
      <c r="A793" s="113" t="s">
        <v>827</v>
      </c>
      <c r="B793" s="113">
        <v>2026</v>
      </c>
      <c r="C793" s="113" t="s">
        <v>88</v>
      </c>
      <c r="D793" s="113" t="s">
        <v>956</v>
      </c>
      <c r="E793" s="113" t="s">
        <v>930</v>
      </c>
      <c r="F793" s="113" t="s">
        <v>906</v>
      </c>
    </row>
    <row r="794" spans="1:6" ht="14.1">
      <c r="A794" s="113" t="s">
        <v>827</v>
      </c>
      <c r="B794" s="113">
        <v>2026</v>
      </c>
      <c r="C794" s="113" t="s">
        <v>859</v>
      </c>
      <c r="D794" s="113" t="s">
        <v>1000</v>
      </c>
      <c r="E794" s="113" t="s">
        <v>1097</v>
      </c>
      <c r="F794" s="113" t="s">
        <v>911</v>
      </c>
    </row>
    <row r="795" spans="1:6" ht="14.1">
      <c r="A795" s="113" t="s">
        <v>827</v>
      </c>
      <c r="B795" s="113">
        <v>2026</v>
      </c>
      <c r="C795" s="113" t="s">
        <v>859</v>
      </c>
      <c r="D795" s="113" t="s">
        <v>1000</v>
      </c>
      <c r="E795" s="113" t="s">
        <v>991</v>
      </c>
      <c r="F795" s="113" t="s">
        <v>906</v>
      </c>
    </row>
    <row r="796" spans="1:6" ht="14.1">
      <c r="A796" s="113" t="s">
        <v>827</v>
      </c>
      <c r="B796" s="113">
        <v>2026</v>
      </c>
      <c r="C796" s="113" t="s">
        <v>859</v>
      </c>
      <c r="D796" s="113" t="s">
        <v>1082</v>
      </c>
      <c r="E796" s="113" t="s">
        <v>937</v>
      </c>
      <c r="F796" s="113" t="s">
        <v>917</v>
      </c>
    </row>
    <row r="797" spans="1:6" ht="14.1">
      <c r="A797" s="113" t="s">
        <v>827</v>
      </c>
      <c r="B797" s="113">
        <v>2026</v>
      </c>
      <c r="C797" s="113" t="s">
        <v>859</v>
      </c>
      <c r="D797" s="113" t="s">
        <v>1000</v>
      </c>
      <c r="E797" s="113" t="s">
        <v>986</v>
      </c>
      <c r="F797" s="113" t="s">
        <v>906</v>
      </c>
    </row>
    <row r="798" spans="1:6" ht="14.1">
      <c r="A798" s="113" t="s">
        <v>827</v>
      </c>
      <c r="B798" s="113">
        <v>2026</v>
      </c>
      <c r="C798" s="113" t="s">
        <v>859</v>
      </c>
      <c r="D798" s="113" t="s">
        <v>1082</v>
      </c>
      <c r="E798" s="113" t="s">
        <v>949</v>
      </c>
      <c r="F798" s="113" t="s">
        <v>924</v>
      </c>
    </row>
    <row r="799" spans="1:6" ht="14.1">
      <c r="A799" s="113" t="s">
        <v>827</v>
      </c>
      <c r="B799" s="113">
        <v>2026</v>
      </c>
      <c r="C799" s="113" t="s">
        <v>859</v>
      </c>
      <c r="D799" s="113" t="s">
        <v>1000</v>
      </c>
      <c r="E799" s="113" t="s">
        <v>1041</v>
      </c>
      <c r="F799" s="113" t="s">
        <v>906</v>
      </c>
    </row>
    <row r="800" spans="1:6" ht="14.1">
      <c r="A800" s="113" t="s">
        <v>827</v>
      </c>
      <c r="B800" s="113">
        <v>2026</v>
      </c>
      <c r="C800" s="113" t="s">
        <v>859</v>
      </c>
      <c r="D800" s="113" t="s">
        <v>1000</v>
      </c>
      <c r="E800" s="113" t="s">
        <v>952</v>
      </c>
      <c r="F800" s="113" t="s">
        <v>906</v>
      </c>
    </row>
    <row r="801" spans="1:6" ht="14.1">
      <c r="A801" s="113" t="s">
        <v>827</v>
      </c>
      <c r="B801" s="113">
        <v>2026</v>
      </c>
      <c r="C801" s="113" t="s">
        <v>859</v>
      </c>
      <c r="D801" s="113" t="s">
        <v>1000</v>
      </c>
      <c r="E801" s="113" t="s">
        <v>1097</v>
      </c>
      <c r="F801" s="113" t="s">
        <v>911</v>
      </c>
    </row>
    <row r="802" spans="1:6" ht="14.1">
      <c r="A802" s="113" t="s">
        <v>827</v>
      </c>
      <c r="B802" s="113">
        <v>2026</v>
      </c>
      <c r="C802" s="113" t="s">
        <v>859</v>
      </c>
      <c r="D802" s="113" t="s">
        <v>1000</v>
      </c>
      <c r="E802" s="113" t="s">
        <v>1115</v>
      </c>
      <c r="F802" s="113" t="s">
        <v>911</v>
      </c>
    </row>
    <row r="803" spans="1:6" ht="14.1">
      <c r="A803" s="113" t="s">
        <v>827</v>
      </c>
      <c r="B803" s="113">
        <v>2026</v>
      </c>
      <c r="C803" s="113" t="s">
        <v>859</v>
      </c>
      <c r="D803" s="113" t="s">
        <v>1000</v>
      </c>
      <c r="E803" s="113" t="s">
        <v>991</v>
      </c>
      <c r="F803" s="113" t="s">
        <v>906</v>
      </c>
    </row>
    <row r="804" spans="1:6" ht="14.1">
      <c r="A804" s="113" t="s">
        <v>827</v>
      </c>
      <c r="B804" s="113">
        <v>2026</v>
      </c>
      <c r="C804" s="113" t="s">
        <v>859</v>
      </c>
      <c r="D804" s="113" t="s">
        <v>1000</v>
      </c>
      <c r="E804" s="113" t="s">
        <v>970</v>
      </c>
      <c r="F804" s="113" t="s">
        <v>915</v>
      </c>
    </row>
    <row r="805" spans="1:6" ht="14.1">
      <c r="A805" s="113" t="s">
        <v>827</v>
      </c>
      <c r="B805" s="113">
        <v>2026</v>
      </c>
      <c r="C805" s="113" t="s">
        <v>859</v>
      </c>
      <c r="D805" s="113" t="s">
        <v>1000</v>
      </c>
      <c r="E805" s="113" t="s">
        <v>991</v>
      </c>
      <c r="F805" s="113" t="s">
        <v>906</v>
      </c>
    </row>
    <row r="806" spans="1:6" ht="14.1">
      <c r="A806" s="113" t="s">
        <v>827</v>
      </c>
      <c r="B806" s="113">
        <v>2026</v>
      </c>
      <c r="C806" s="113" t="s">
        <v>859</v>
      </c>
      <c r="D806" s="113" t="s">
        <v>1000</v>
      </c>
      <c r="E806" s="113" t="s">
        <v>1098</v>
      </c>
      <c r="F806" s="113" t="s">
        <v>911</v>
      </c>
    </row>
    <row r="807" spans="1:6" ht="14.1">
      <c r="A807" s="113" t="s">
        <v>827</v>
      </c>
      <c r="B807" s="113">
        <v>2026</v>
      </c>
      <c r="C807" s="113" t="s">
        <v>859</v>
      </c>
      <c r="D807" s="113" t="s">
        <v>1000</v>
      </c>
      <c r="E807" s="113" t="s">
        <v>991</v>
      </c>
      <c r="F807" s="113" t="s">
        <v>906</v>
      </c>
    </row>
    <row r="808" spans="1:6" ht="14.1">
      <c r="A808" s="113" t="s">
        <v>827</v>
      </c>
      <c r="B808" s="113">
        <v>2026</v>
      </c>
      <c r="C808" s="113" t="s">
        <v>859</v>
      </c>
      <c r="D808" s="113" t="s">
        <v>998</v>
      </c>
      <c r="E808" s="113" t="s">
        <v>953</v>
      </c>
      <c r="F808" s="113" t="s">
        <v>906</v>
      </c>
    </row>
    <row r="809" spans="1:6" ht="14.1">
      <c r="A809" s="113" t="s">
        <v>827</v>
      </c>
      <c r="B809" s="113">
        <v>2026</v>
      </c>
      <c r="C809" s="113" t="s">
        <v>872</v>
      </c>
      <c r="D809" s="113" t="s">
        <v>1013</v>
      </c>
      <c r="E809" s="113" t="s">
        <v>1113</v>
      </c>
      <c r="F809" s="113" t="s">
        <v>783</v>
      </c>
    </row>
    <row r="810" spans="1:6" ht="14.1">
      <c r="A810" s="113" t="s">
        <v>827</v>
      </c>
      <c r="B810" s="113">
        <v>2026</v>
      </c>
      <c r="C810" s="113" t="s">
        <v>872</v>
      </c>
      <c r="D810" s="113" t="s">
        <v>1013</v>
      </c>
      <c r="E810" s="113" t="s">
        <v>1040</v>
      </c>
      <c r="F810" s="113" t="s">
        <v>906</v>
      </c>
    </row>
    <row r="811" spans="1:6" ht="14.1">
      <c r="A811" s="113" t="s">
        <v>827</v>
      </c>
      <c r="B811" s="113">
        <v>2026</v>
      </c>
      <c r="C811" s="113" t="s">
        <v>872</v>
      </c>
      <c r="D811" s="113" t="s">
        <v>1013</v>
      </c>
      <c r="E811" s="113" t="s">
        <v>991</v>
      </c>
      <c r="F811" s="113" t="s">
        <v>906</v>
      </c>
    </row>
    <row r="812" spans="1:6" ht="14.1">
      <c r="A812" s="113" t="s">
        <v>827</v>
      </c>
      <c r="B812" s="113">
        <v>2026</v>
      </c>
      <c r="C812" s="113" t="s">
        <v>872</v>
      </c>
      <c r="D812" s="113" t="s">
        <v>1013</v>
      </c>
      <c r="E812" s="113" t="s">
        <v>1116</v>
      </c>
      <c r="F812" s="113" t="s">
        <v>909</v>
      </c>
    </row>
    <row r="813" spans="1:6" ht="14.1">
      <c r="A813" s="113" t="s">
        <v>827</v>
      </c>
      <c r="B813" s="113">
        <v>2026</v>
      </c>
      <c r="C813" s="113" t="s">
        <v>872</v>
      </c>
      <c r="D813" s="113" t="s">
        <v>1013</v>
      </c>
      <c r="E813" s="113" t="s">
        <v>952</v>
      </c>
      <c r="F813" s="113" t="s">
        <v>906</v>
      </c>
    </row>
    <row r="814" spans="1:6" ht="14.1">
      <c r="A814" s="113" t="s">
        <v>827</v>
      </c>
      <c r="B814" s="113">
        <v>2026</v>
      </c>
      <c r="C814" s="113" t="s">
        <v>872</v>
      </c>
      <c r="D814" s="113" t="s">
        <v>1013</v>
      </c>
      <c r="E814" s="113" t="s">
        <v>2</v>
      </c>
      <c r="F814" s="113" t="s">
        <v>935</v>
      </c>
    </row>
    <row r="815" spans="1:6" ht="14.1">
      <c r="A815" s="113" t="s">
        <v>827</v>
      </c>
      <c r="B815" s="113">
        <v>2026</v>
      </c>
      <c r="C815" s="113" t="s">
        <v>1024</v>
      </c>
      <c r="D815" s="113" t="s">
        <v>1026</v>
      </c>
      <c r="E815" s="113" t="s">
        <v>1116</v>
      </c>
      <c r="F815" s="113" t="s">
        <v>909</v>
      </c>
    </row>
    <row r="816" spans="1:6" ht="14.1">
      <c r="A816" s="113" t="s">
        <v>827</v>
      </c>
      <c r="B816" s="113">
        <v>2026</v>
      </c>
      <c r="C816" s="113" t="s">
        <v>1024</v>
      </c>
      <c r="D816" s="113" t="s">
        <v>1026</v>
      </c>
      <c r="E816" s="113" t="s">
        <v>932</v>
      </c>
      <c r="F816" s="113" t="s">
        <v>663</v>
      </c>
    </row>
    <row r="817" spans="1:6" ht="14.1">
      <c r="A817" s="113" t="s">
        <v>827</v>
      </c>
      <c r="B817" s="113">
        <v>2026</v>
      </c>
      <c r="C817" s="113" t="s">
        <v>1024</v>
      </c>
      <c r="D817" s="113" t="s">
        <v>1027</v>
      </c>
      <c r="E817" s="113" t="s">
        <v>1041</v>
      </c>
      <c r="F817" s="113" t="s">
        <v>906</v>
      </c>
    </row>
    <row r="818" spans="1:6" ht="14.1">
      <c r="A818" s="113" t="s">
        <v>827</v>
      </c>
      <c r="B818" s="113">
        <v>2026</v>
      </c>
      <c r="C818" s="113" t="s">
        <v>1024</v>
      </c>
      <c r="D818" s="113" t="s">
        <v>1026</v>
      </c>
      <c r="E818" s="113" t="s">
        <v>1010</v>
      </c>
      <c r="F818" s="113" t="s">
        <v>924</v>
      </c>
    </row>
    <row r="819" spans="1:6" ht="14.1">
      <c r="A819" s="113" t="s">
        <v>827</v>
      </c>
      <c r="B819" s="113">
        <v>2026</v>
      </c>
      <c r="C819" s="113" t="s">
        <v>1024</v>
      </c>
      <c r="D819" s="113" t="s">
        <v>1026</v>
      </c>
      <c r="E819" s="113" t="s">
        <v>996</v>
      </c>
      <c r="F819" s="113" t="s">
        <v>924</v>
      </c>
    </row>
    <row r="820" spans="1:6" ht="14.1">
      <c r="A820" s="113" t="s">
        <v>827</v>
      </c>
      <c r="B820" s="113">
        <v>2026</v>
      </c>
      <c r="C820" s="113" t="s">
        <v>1024</v>
      </c>
      <c r="D820" s="113" t="s">
        <v>1027</v>
      </c>
      <c r="E820" s="113" t="s">
        <v>954</v>
      </c>
      <c r="F820" s="113" t="s">
        <v>906</v>
      </c>
    </row>
    <row r="821" spans="1:6" ht="14.1">
      <c r="A821" s="113" t="s">
        <v>827</v>
      </c>
      <c r="B821" s="113">
        <v>2026</v>
      </c>
      <c r="C821" s="113" t="s">
        <v>1024</v>
      </c>
      <c r="D821" s="113" t="s">
        <v>1027</v>
      </c>
      <c r="E821" s="113" t="s">
        <v>954</v>
      </c>
      <c r="F821" s="113" t="s">
        <v>906</v>
      </c>
    </row>
    <row r="822" spans="1:6" ht="14.1">
      <c r="A822" s="113" t="s">
        <v>827</v>
      </c>
      <c r="B822" s="113">
        <v>2026</v>
      </c>
      <c r="C822" s="113" t="s">
        <v>1024</v>
      </c>
      <c r="D822" s="113" t="s">
        <v>1055</v>
      </c>
      <c r="E822" s="113" t="s">
        <v>1088</v>
      </c>
      <c r="F822" s="113" t="s">
        <v>915</v>
      </c>
    </row>
    <row r="823" spans="1:6" ht="14.1">
      <c r="A823" s="113" t="s">
        <v>828</v>
      </c>
      <c r="B823" s="113">
        <v>2026</v>
      </c>
      <c r="C823" s="113" t="s">
        <v>821</v>
      </c>
      <c r="D823" s="113" t="s">
        <v>132</v>
      </c>
      <c r="E823" s="113" t="s">
        <v>1036</v>
      </c>
      <c r="F823" s="113" t="s">
        <v>906</v>
      </c>
    </row>
    <row r="824" spans="1:6" ht="14.1">
      <c r="A824" s="113" t="s">
        <v>828</v>
      </c>
      <c r="B824" s="113">
        <v>2026</v>
      </c>
      <c r="C824" s="113" t="s">
        <v>821</v>
      </c>
      <c r="D824" s="113" t="s">
        <v>976</v>
      </c>
      <c r="E824" s="113" t="s">
        <v>981</v>
      </c>
      <c r="F824" s="113" t="s">
        <v>906</v>
      </c>
    </row>
    <row r="825" spans="1:6" ht="14.1">
      <c r="A825" s="113" t="s">
        <v>828</v>
      </c>
      <c r="B825" s="113">
        <v>2026</v>
      </c>
      <c r="C825" s="113" t="s">
        <v>821</v>
      </c>
      <c r="D825" s="113" t="s">
        <v>934</v>
      </c>
      <c r="E825" s="113" t="s">
        <v>1058</v>
      </c>
      <c r="F825" s="113" t="s">
        <v>915</v>
      </c>
    </row>
    <row r="826" spans="1:6" ht="14.1">
      <c r="A826" s="113" t="s">
        <v>828</v>
      </c>
      <c r="B826" s="113">
        <v>2026</v>
      </c>
      <c r="C826" s="113" t="s">
        <v>821</v>
      </c>
      <c r="D826" s="113" t="s">
        <v>934</v>
      </c>
      <c r="E826" s="113" t="s">
        <v>937</v>
      </c>
      <c r="F826" s="113" t="s">
        <v>917</v>
      </c>
    </row>
    <row r="827" spans="1:6" ht="14.1">
      <c r="A827" s="113" t="s">
        <v>828</v>
      </c>
      <c r="B827" s="113">
        <v>2026</v>
      </c>
      <c r="C827" s="113" t="s">
        <v>821</v>
      </c>
      <c r="D827" s="113" t="s">
        <v>934</v>
      </c>
      <c r="E827" s="113" t="s">
        <v>930</v>
      </c>
      <c r="F827" s="113" t="s">
        <v>906</v>
      </c>
    </row>
    <row r="828" spans="1:6" ht="14.1">
      <c r="A828" s="113" t="s">
        <v>828</v>
      </c>
      <c r="B828" s="113">
        <v>2026</v>
      </c>
      <c r="C828" s="113" t="s">
        <v>821</v>
      </c>
      <c r="D828" s="113" t="s">
        <v>934</v>
      </c>
      <c r="E828" s="113" t="s">
        <v>1034</v>
      </c>
      <c r="F828" s="113" t="s">
        <v>783</v>
      </c>
    </row>
    <row r="829" spans="1:6" ht="14.1">
      <c r="A829" s="113" t="s">
        <v>828</v>
      </c>
      <c r="B829" s="113">
        <v>2026</v>
      </c>
      <c r="C829" s="113" t="s">
        <v>821</v>
      </c>
      <c r="D829" s="113" t="s">
        <v>934</v>
      </c>
      <c r="E829" s="113" t="s">
        <v>1093</v>
      </c>
      <c r="F829" s="113" t="s">
        <v>911</v>
      </c>
    </row>
    <row r="830" spans="1:6" ht="14.1">
      <c r="A830" s="113" t="s">
        <v>828</v>
      </c>
      <c r="B830" s="113">
        <v>2026</v>
      </c>
      <c r="C830" s="113" t="s">
        <v>821</v>
      </c>
      <c r="D830" s="113" t="s">
        <v>934</v>
      </c>
      <c r="E830" s="113" t="s">
        <v>938</v>
      </c>
      <c r="F830" s="113" t="s">
        <v>663</v>
      </c>
    </row>
    <row r="831" spans="1:6" ht="14.1">
      <c r="A831" s="113" t="s">
        <v>828</v>
      </c>
      <c r="B831" s="113">
        <v>2026</v>
      </c>
      <c r="C831" s="113" t="s">
        <v>821</v>
      </c>
      <c r="D831" s="113" t="s">
        <v>931</v>
      </c>
      <c r="E831" s="113" t="s">
        <v>1036</v>
      </c>
      <c r="F831" s="113" t="s">
        <v>906</v>
      </c>
    </row>
    <row r="832" spans="1:6" ht="14.1">
      <c r="A832" s="113" t="s">
        <v>828</v>
      </c>
      <c r="B832" s="113">
        <v>2026</v>
      </c>
      <c r="C832" s="113" t="s">
        <v>821</v>
      </c>
      <c r="D832" s="113" t="s">
        <v>934</v>
      </c>
      <c r="E832" s="113" t="s">
        <v>937</v>
      </c>
      <c r="F832" s="113" t="s">
        <v>917</v>
      </c>
    </row>
    <row r="833" spans="1:6" ht="14.1">
      <c r="A833" s="113" t="s">
        <v>828</v>
      </c>
      <c r="B833" s="113">
        <v>2026</v>
      </c>
      <c r="C833" s="113" t="s">
        <v>821</v>
      </c>
      <c r="D833" s="113" t="s">
        <v>934</v>
      </c>
      <c r="E833" s="113" t="s">
        <v>941</v>
      </c>
      <c r="F833" s="113" t="s">
        <v>663</v>
      </c>
    </row>
    <row r="834" spans="1:6" ht="14.1">
      <c r="A834" s="113" t="s">
        <v>828</v>
      </c>
      <c r="B834" s="113">
        <v>2026</v>
      </c>
      <c r="C834" s="113" t="s">
        <v>821</v>
      </c>
      <c r="D834" s="113" t="s">
        <v>976</v>
      </c>
      <c r="E834" s="113" t="s">
        <v>954</v>
      </c>
      <c r="F834" s="113" t="s">
        <v>906</v>
      </c>
    </row>
    <row r="835" spans="1:6" ht="14.1">
      <c r="A835" s="113" t="s">
        <v>828</v>
      </c>
      <c r="B835" s="113">
        <v>2026</v>
      </c>
      <c r="C835" s="113" t="s">
        <v>821</v>
      </c>
      <c r="D835" s="113" t="s">
        <v>976</v>
      </c>
      <c r="E835" s="113" t="s">
        <v>981</v>
      </c>
      <c r="F835" s="113" t="s">
        <v>906</v>
      </c>
    </row>
    <row r="836" spans="1:6" ht="14.1">
      <c r="A836" s="113" t="s">
        <v>828</v>
      </c>
      <c r="B836" s="113">
        <v>2026</v>
      </c>
      <c r="C836" s="113" t="s">
        <v>821</v>
      </c>
      <c r="D836" s="113" t="s">
        <v>1033</v>
      </c>
      <c r="E836" s="113" t="s">
        <v>946</v>
      </c>
      <c r="F836" s="113" t="s">
        <v>924</v>
      </c>
    </row>
    <row r="837" spans="1:6" ht="14.1">
      <c r="A837" s="113" t="s">
        <v>828</v>
      </c>
      <c r="B837" s="113">
        <v>2026</v>
      </c>
      <c r="C837" s="113" t="s">
        <v>821</v>
      </c>
      <c r="D837" s="113" t="s">
        <v>934</v>
      </c>
      <c r="E837" s="113" t="s">
        <v>946</v>
      </c>
      <c r="F837" s="113" t="s">
        <v>924</v>
      </c>
    </row>
    <row r="838" spans="1:6" ht="14.1">
      <c r="A838" s="113" t="s">
        <v>828</v>
      </c>
      <c r="B838" s="113">
        <v>2026</v>
      </c>
      <c r="C838" s="113" t="s">
        <v>821</v>
      </c>
      <c r="D838" s="113" t="s">
        <v>976</v>
      </c>
      <c r="E838" s="113" t="s">
        <v>961</v>
      </c>
      <c r="F838" s="113" t="s">
        <v>663</v>
      </c>
    </row>
    <row r="839" spans="1:6" ht="14.1">
      <c r="A839" s="113" t="s">
        <v>828</v>
      </c>
      <c r="B839" s="113">
        <v>2026</v>
      </c>
      <c r="C839" s="113" t="s">
        <v>821</v>
      </c>
      <c r="D839" s="113" t="s">
        <v>934</v>
      </c>
      <c r="E839" s="113" t="s">
        <v>1058</v>
      </c>
      <c r="F839" s="113" t="s">
        <v>915</v>
      </c>
    </row>
    <row r="840" spans="1:6" ht="14.1">
      <c r="A840" s="113" t="s">
        <v>828</v>
      </c>
      <c r="B840" s="113">
        <v>2026</v>
      </c>
      <c r="C840" s="113" t="s">
        <v>821</v>
      </c>
      <c r="D840" s="113" t="s">
        <v>931</v>
      </c>
      <c r="E840" s="113" t="s">
        <v>954</v>
      </c>
      <c r="F840" s="113" t="s">
        <v>906</v>
      </c>
    </row>
    <row r="841" spans="1:6" ht="14.1">
      <c r="A841" s="113" t="s">
        <v>828</v>
      </c>
      <c r="B841" s="113">
        <v>2026</v>
      </c>
      <c r="C841" s="113" t="s">
        <v>821</v>
      </c>
      <c r="D841" s="113" t="s">
        <v>934</v>
      </c>
      <c r="E841" s="113" t="s">
        <v>991</v>
      </c>
      <c r="F841" s="113" t="s">
        <v>906</v>
      </c>
    </row>
    <row r="842" spans="1:6" ht="14.1">
      <c r="A842" s="113" t="s">
        <v>828</v>
      </c>
      <c r="B842" s="113">
        <v>2026</v>
      </c>
      <c r="C842" s="113" t="s">
        <v>821</v>
      </c>
      <c r="D842" s="113" t="s">
        <v>1033</v>
      </c>
      <c r="E842" s="113" t="s">
        <v>986</v>
      </c>
      <c r="F842" s="113" t="s">
        <v>906</v>
      </c>
    </row>
    <row r="843" spans="1:6" ht="14.1">
      <c r="A843" s="113" t="s">
        <v>828</v>
      </c>
      <c r="B843" s="113">
        <v>2026</v>
      </c>
      <c r="C843" s="113" t="s">
        <v>821</v>
      </c>
      <c r="D843" s="113" t="s">
        <v>934</v>
      </c>
      <c r="E843" s="113" t="s">
        <v>1058</v>
      </c>
      <c r="F843" s="113" t="s">
        <v>1117</v>
      </c>
    </row>
    <row r="844" spans="1:6" ht="14.1">
      <c r="A844" s="113" t="s">
        <v>828</v>
      </c>
      <c r="B844" s="113">
        <v>2026</v>
      </c>
      <c r="C844" s="113" t="s">
        <v>821</v>
      </c>
      <c r="D844" s="113" t="s">
        <v>931</v>
      </c>
      <c r="E844" s="113" t="s">
        <v>954</v>
      </c>
      <c r="F844" s="113" t="s">
        <v>906</v>
      </c>
    </row>
    <row r="845" spans="1:6" ht="14.1">
      <c r="A845" s="113" t="s">
        <v>828</v>
      </c>
      <c r="B845" s="113">
        <v>2026</v>
      </c>
      <c r="C845" s="113" t="s">
        <v>821</v>
      </c>
      <c r="D845" s="113" t="s">
        <v>931</v>
      </c>
      <c r="E845" s="113" t="s">
        <v>1028</v>
      </c>
      <c r="F845" s="113" t="s">
        <v>906</v>
      </c>
    </row>
    <row r="846" spans="1:6" ht="14.1">
      <c r="A846" s="113" t="s">
        <v>828</v>
      </c>
      <c r="B846" s="113">
        <v>2026</v>
      </c>
      <c r="C846" s="113" t="s">
        <v>821</v>
      </c>
      <c r="D846" s="113" t="s">
        <v>934</v>
      </c>
      <c r="E846" s="113" t="s">
        <v>945</v>
      </c>
      <c r="F846" s="113" t="s">
        <v>917</v>
      </c>
    </row>
    <row r="847" spans="1:6" ht="14.1">
      <c r="A847" s="113" t="s">
        <v>828</v>
      </c>
      <c r="B847" s="113">
        <v>2026</v>
      </c>
      <c r="C847" s="113" t="s">
        <v>821</v>
      </c>
      <c r="D847" s="113" t="s">
        <v>931</v>
      </c>
      <c r="E847" s="113" t="s">
        <v>937</v>
      </c>
      <c r="F847" s="113" t="s">
        <v>917</v>
      </c>
    </row>
    <row r="848" spans="1:6" ht="14.1">
      <c r="A848" s="113" t="s">
        <v>828</v>
      </c>
      <c r="B848" s="113">
        <v>2026</v>
      </c>
      <c r="C848" s="113" t="s">
        <v>821</v>
      </c>
      <c r="D848" s="113" t="s">
        <v>976</v>
      </c>
      <c r="E848" s="113" t="s">
        <v>974</v>
      </c>
      <c r="F848" s="113" t="s">
        <v>917</v>
      </c>
    </row>
    <row r="849" spans="1:6" ht="14.1">
      <c r="A849" s="113" t="s">
        <v>828</v>
      </c>
      <c r="B849" s="113">
        <v>2026</v>
      </c>
      <c r="C849" s="113" t="s">
        <v>821</v>
      </c>
      <c r="D849" s="113" t="s">
        <v>934</v>
      </c>
      <c r="E849" s="113" t="s">
        <v>2</v>
      </c>
      <c r="F849" s="113" t="s">
        <v>924</v>
      </c>
    </row>
    <row r="850" spans="1:6" ht="14.1">
      <c r="A850" s="113" t="s">
        <v>828</v>
      </c>
      <c r="B850" s="113">
        <v>2026</v>
      </c>
      <c r="C850" s="113" t="s">
        <v>821</v>
      </c>
      <c r="D850" s="113" t="s">
        <v>931</v>
      </c>
      <c r="E850" s="113" t="s">
        <v>953</v>
      </c>
      <c r="F850" s="113" t="s">
        <v>906</v>
      </c>
    </row>
    <row r="851" spans="1:6" ht="14.1">
      <c r="A851" s="113" t="s">
        <v>828</v>
      </c>
      <c r="B851" s="113">
        <v>2026</v>
      </c>
      <c r="C851" s="113" t="s">
        <v>821</v>
      </c>
      <c r="D851" s="113" t="s">
        <v>931</v>
      </c>
      <c r="E851" s="113" t="s">
        <v>954</v>
      </c>
      <c r="F851" s="113" t="s">
        <v>906</v>
      </c>
    </row>
    <row r="852" spans="1:6" ht="14.1">
      <c r="A852" s="113" t="s">
        <v>828</v>
      </c>
      <c r="B852" s="113">
        <v>2026</v>
      </c>
      <c r="C852" s="113" t="s">
        <v>821</v>
      </c>
      <c r="D852" s="113" t="s">
        <v>216</v>
      </c>
      <c r="E852" s="113" t="s">
        <v>2</v>
      </c>
      <c r="F852" s="113" t="s">
        <v>935</v>
      </c>
    </row>
    <row r="853" spans="1:6" ht="14.1">
      <c r="A853" s="113" t="s">
        <v>828</v>
      </c>
      <c r="B853" s="113">
        <v>2026</v>
      </c>
      <c r="C853" s="113" t="s">
        <v>821</v>
      </c>
      <c r="D853" s="113" t="s">
        <v>216</v>
      </c>
      <c r="E853" s="113" t="s">
        <v>2</v>
      </c>
      <c r="F853" s="113" t="s">
        <v>913</v>
      </c>
    </row>
    <row r="854" spans="1:6" ht="14.1">
      <c r="A854" s="113" t="s">
        <v>828</v>
      </c>
      <c r="B854" s="113">
        <v>2026</v>
      </c>
      <c r="C854" s="113" t="s">
        <v>821</v>
      </c>
      <c r="D854" s="113" t="s">
        <v>931</v>
      </c>
      <c r="E854" s="113" t="s">
        <v>1014</v>
      </c>
      <c r="F854" s="113" t="s">
        <v>906</v>
      </c>
    </row>
    <row r="855" spans="1:6" ht="14.1">
      <c r="A855" s="113" t="s">
        <v>828</v>
      </c>
      <c r="B855" s="113">
        <v>2026</v>
      </c>
      <c r="C855" s="113" t="s">
        <v>821</v>
      </c>
      <c r="D855" s="113" t="s">
        <v>934</v>
      </c>
      <c r="E855" s="113" t="s">
        <v>991</v>
      </c>
      <c r="F855" s="113" t="s">
        <v>906</v>
      </c>
    </row>
    <row r="856" spans="1:6" ht="14.1">
      <c r="A856" s="113" t="s">
        <v>828</v>
      </c>
      <c r="B856" s="113">
        <v>2026</v>
      </c>
      <c r="C856" s="113" t="s">
        <v>821</v>
      </c>
      <c r="D856" s="113" t="s">
        <v>934</v>
      </c>
      <c r="E856" s="113" t="s">
        <v>930</v>
      </c>
      <c r="F856" s="113" t="s">
        <v>906</v>
      </c>
    </row>
    <row r="857" spans="1:6" ht="14.1">
      <c r="A857" s="113" t="s">
        <v>828</v>
      </c>
      <c r="B857" s="113">
        <v>2026</v>
      </c>
      <c r="C857" s="113" t="s">
        <v>821</v>
      </c>
      <c r="D857" s="113" t="s">
        <v>934</v>
      </c>
      <c r="E857" s="113" t="s">
        <v>944</v>
      </c>
      <c r="F857" s="113" t="s">
        <v>915</v>
      </c>
    </row>
    <row r="858" spans="1:6" ht="14.1">
      <c r="A858" s="113" t="s">
        <v>828</v>
      </c>
      <c r="B858" s="113">
        <v>2026</v>
      </c>
      <c r="C858" s="113" t="s">
        <v>821</v>
      </c>
      <c r="D858" s="113" t="s">
        <v>934</v>
      </c>
      <c r="E858" s="113" t="s">
        <v>944</v>
      </c>
      <c r="F858" s="113" t="s">
        <v>783</v>
      </c>
    </row>
    <row r="859" spans="1:6" ht="14.1">
      <c r="A859" s="113" t="s">
        <v>828</v>
      </c>
      <c r="B859" s="113">
        <v>2026</v>
      </c>
      <c r="C859" s="113" t="s">
        <v>821</v>
      </c>
      <c r="D859" s="113" t="s">
        <v>934</v>
      </c>
      <c r="E859" s="113" t="s">
        <v>1036</v>
      </c>
      <c r="F859" s="113" t="s">
        <v>906</v>
      </c>
    </row>
    <row r="860" spans="1:6" ht="14.1">
      <c r="A860" s="113" t="s">
        <v>828</v>
      </c>
      <c r="B860" s="113">
        <v>2026</v>
      </c>
      <c r="C860" s="113" t="s">
        <v>821</v>
      </c>
      <c r="D860" s="113" t="s">
        <v>934</v>
      </c>
      <c r="E860" s="113" t="s">
        <v>991</v>
      </c>
      <c r="F860" s="113" t="s">
        <v>906</v>
      </c>
    </row>
    <row r="861" spans="1:6" ht="14.1">
      <c r="A861" s="113" t="s">
        <v>828</v>
      </c>
      <c r="B861" s="113">
        <v>2026</v>
      </c>
      <c r="C861" s="113" t="s">
        <v>821</v>
      </c>
      <c r="D861" s="113" t="s">
        <v>976</v>
      </c>
      <c r="E861" s="113" t="s">
        <v>1041</v>
      </c>
      <c r="F861" s="113" t="s">
        <v>906</v>
      </c>
    </row>
    <row r="862" spans="1:6" ht="14.1">
      <c r="A862" s="113" t="s">
        <v>828</v>
      </c>
      <c r="B862" s="113">
        <v>2026</v>
      </c>
      <c r="C862" s="113" t="s">
        <v>821</v>
      </c>
      <c r="D862" s="113" t="s">
        <v>934</v>
      </c>
      <c r="E862" s="113" t="s">
        <v>2</v>
      </c>
      <c r="F862" s="113" t="s">
        <v>911</v>
      </c>
    </row>
    <row r="863" spans="1:6" ht="14.1">
      <c r="A863" s="113" t="s">
        <v>828</v>
      </c>
      <c r="B863" s="113">
        <v>2026</v>
      </c>
      <c r="C863" s="113" t="s">
        <v>821</v>
      </c>
      <c r="D863" s="113" t="s">
        <v>934</v>
      </c>
      <c r="E863" s="113" t="s">
        <v>1058</v>
      </c>
      <c r="F863" s="113" t="s">
        <v>917</v>
      </c>
    </row>
    <row r="864" spans="1:6" ht="14.1">
      <c r="A864" s="113" t="s">
        <v>828</v>
      </c>
      <c r="B864" s="113">
        <v>2026</v>
      </c>
      <c r="C864" s="113" t="s">
        <v>821</v>
      </c>
      <c r="D864" s="113" t="s">
        <v>934</v>
      </c>
      <c r="E864" s="113" t="s">
        <v>953</v>
      </c>
      <c r="F864" s="113" t="s">
        <v>906</v>
      </c>
    </row>
    <row r="865" spans="1:6" ht="14.1">
      <c r="A865" s="113" t="s">
        <v>828</v>
      </c>
      <c r="B865" s="113">
        <v>2026</v>
      </c>
      <c r="C865" s="113" t="s">
        <v>821</v>
      </c>
      <c r="D865" s="113" t="s">
        <v>976</v>
      </c>
      <c r="E865" s="113" t="s">
        <v>1036</v>
      </c>
      <c r="F865" s="113" t="s">
        <v>906</v>
      </c>
    </row>
    <row r="866" spans="1:6" ht="14.1">
      <c r="A866" s="113" t="s">
        <v>828</v>
      </c>
      <c r="B866" s="113">
        <v>2026</v>
      </c>
      <c r="C866" s="113" t="s">
        <v>821</v>
      </c>
      <c r="D866" s="113" t="s">
        <v>931</v>
      </c>
      <c r="E866" s="113" t="s">
        <v>954</v>
      </c>
      <c r="F866" s="113" t="s">
        <v>906</v>
      </c>
    </row>
    <row r="867" spans="1:6" ht="14.1">
      <c r="A867" s="113" t="s">
        <v>828</v>
      </c>
      <c r="B867" s="113">
        <v>2026</v>
      </c>
      <c r="C867" s="113" t="s">
        <v>821</v>
      </c>
      <c r="D867" s="113" t="s">
        <v>931</v>
      </c>
      <c r="E867" s="113" t="s">
        <v>952</v>
      </c>
      <c r="F867" s="113" t="s">
        <v>906</v>
      </c>
    </row>
    <row r="868" spans="1:6" ht="14.1">
      <c r="A868" s="113" t="s">
        <v>828</v>
      </c>
      <c r="B868" s="113">
        <v>2026</v>
      </c>
      <c r="C868" s="113" t="s">
        <v>821</v>
      </c>
      <c r="D868" s="113" t="s">
        <v>934</v>
      </c>
      <c r="E868" s="113" t="s">
        <v>944</v>
      </c>
      <c r="F868" s="113" t="s">
        <v>915</v>
      </c>
    </row>
    <row r="869" spans="1:6" ht="14.1">
      <c r="A869" s="113" t="s">
        <v>828</v>
      </c>
      <c r="B869" s="113">
        <v>2026</v>
      </c>
      <c r="C869" s="113" t="s">
        <v>821</v>
      </c>
      <c r="D869" s="113" t="s">
        <v>976</v>
      </c>
      <c r="E869" s="113" t="s">
        <v>954</v>
      </c>
      <c r="F869" s="113" t="s">
        <v>906</v>
      </c>
    </row>
    <row r="870" spans="1:6" ht="14.1">
      <c r="A870" s="113" t="s">
        <v>828</v>
      </c>
      <c r="B870" s="113">
        <v>2026</v>
      </c>
      <c r="C870" s="113" t="s">
        <v>821</v>
      </c>
      <c r="D870" s="113" t="s">
        <v>976</v>
      </c>
      <c r="E870" s="113" t="s">
        <v>1040</v>
      </c>
      <c r="F870" s="113" t="s">
        <v>906</v>
      </c>
    </row>
    <row r="871" spans="1:6" ht="14.1">
      <c r="A871" s="113" t="s">
        <v>828</v>
      </c>
      <c r="B871" s="113">
        <v>2026</v>
      </c>
      <c r="C871" s="113" t="s">
        <v>821</v>
      </c>
      <c r="D871" s="113" t="s">
        <v>976</v>
      </c>
      <c r="E871" s="113" t="s">
        <v>1028</v>
      </c>
      <c r="F871" s="113" t="s">
        <v>906</v>
      </c>
    </row>
    <row r="872" spans="1:6" ht="14.1">
      <c r="A872" s="113" t="s">
        <v>828</v>
      </c>
      <c r="B872" s="113">
        <v>2026</v>
      </c>
      <c r="C872" s="113" t="s">
        <v>821</v>
      </c>
      <c r="D872" s="113" t="s">
        <v>934</v>
      </c>
      <c r="E872" s="113" t="s">
        <v>2</v>
      </c>
      <c r="F872" s="113" t="s">
        <v>915</v>
      </c>
    </row>
    <row r="873" spans="1:6" ht="14.1">
      <c r="A873" s="113" t="s">
        <v>828</v>
      </c>
      <c r="B873" s="113">
        <v>2026</v>
      </c>
      <c r="C873" s="113" t="s">
        <v>821</v>
      </c>
      <c r="D873" s="113" t="s">
        <v>934</v>
      </c>
      <c r="E873" s="113" t="s">
        <v>1093</v>
      </c>
      <c r="F873" s="113" t="s">
        <v>911</v>
      </c>
    </row>
    <row r="874" spans="1:6" ht="14.1">
      <c r="A874" s="113" t="s">
        <v>828</v>
      </c>
      <c r="B874" s="113">
        <v>2026</v>
      </c>
      <c r="C874" s="113" t="s">
        <v>821</v>
      </c>
      <c r="D874" s="113" t="s">
        <v>931</v>
      </c>
      <c r="E874" s="113" t="s">
        <v>986</v>
      </c>
      <c r="F874" s="113" t="s">
        <v>906</v>
      </c>
    </row>
    <row r="875" spans="1:6" ht="14.1">
      <c r="A875" s="113" t="s">
        <v>828</v>
      </c>
      <c r="B875" s="113">
        <v>2026</v>
      </c>
      <c r="C875" s="113" t="s">
        <v>821</v>
      </c>
      <c r="D875" s="113" t="s">
        <v>934</v>
      </c>
      <c r="E875" s="113" t="s">
        <v>1058</v>
      </c>
      <c r="F875" s="113" t="s">
        <v>915</v>
      </c>
    </row>
    <row r="876" spans="1:6" ht="14.1">
      <c r="A876" s="113" t="s">
        <v>828</v>
      </c>
      <c r="B876" s="113">
        <v>2026</v>
      </c>
      <c r="C876" s="113" t="s">
        <v>821</v>
      </c>
      <c r="D876" s="113" t="s">
        <v>934</v>
      </c>
      <c r="E876" s="113" t="s">
        <v>1058</v>
      </c>
      <c r="F876" s="113" t="s">
        <v>783</v>
      </c>
    </row>
    <row r="877" spans="1:6" ht="14.1">
      <c r="A877" s="113" t="s">
        <v>828</v>
      </c>
      <c r="B877" s="113">
        <v>2026</v>
      </c>
      <c r="C877" s="113" t="s">
        <v>821</v>
      </c>
      <c r="D877" s="113" t="s">
        <v>931</v>
      </c>
      <c r="E877" s="113" t="s">
        <v>952</v>
      </c>
      <c r="F877" s="113" t="s">
        <v>906</v>
      </c>
    </row>
    <row r="878" spans="1:6" ht="14.1">
      <c r="A878" s="113" t="s">
        <v>828</v>
      </c>
      <c r="B878" s="113">
        <v>2026</v>
      </c>
      <c r="C878" s="113" t="s">
        <v>821</v>
      </c>
      <c r="D878" s="113" t="s">
        <v>934</v>
      </c>
      <c r="E878" s="113" t="s">
        <v>930</v>
      </c>
      <c r="F878" s="113" t="s">
        <v>906</v>
      </c>
    </row>
    <row r="879" spans="1:6" ht="14.1">
      <c r="A879" s="113" t="s">
        <v>828</v>
      </c>
      <c r="B879" s="113">
        <v>2026</v>
      </c>
      <c r="C879" s="113" t="s">
        <v>821</v>
      </c>
      <c r="D879" s="113" t="s">
        <v>976</v>
      </c>
      <c r="E879" s="113" t="s">
        <v>1041</v>
      </c>
      <c r="F879" s="113" t="s">
        <v>906</v>
      </c>
    </row>
    <row r="880" spans="1:6" ht="14.1">
      <c r="A880" s="113" t="s">
        <v>828</v>
      </c>
      <c r="B880" s="113">
        <v>2026</v>
      </c>
      <c r="C880" s="113" t="s">
        <v>88</v>
      </c>
      <c r="D880" s="113" t="s">
        <v>966</v>
      </c>
      <c r="E880" s="113" t="s">
        <v>1040</v>
      </c>
      <c r="F880" s="113" t="s">
        <v>906</v>
      </c>
    </row>
    <row r="881" spans="1:6" ht="27.95">
      <c r="A881" s="113" t="s">
        <v>828</v>
      </c>
      <c r="B881" s="113">
        <v>2026</v>
      </c>
      <c r="C881" s="113" t="s">
        <v>88</v>
      </c>
      <c r="D881" s="113" t="s">
        <v>956</v>
      </c>
      <c r="E881" s="113" t="s">
        <v>986</v>
      </c>
      <c r="F881" s="113" t="s">
        <v>906</v>
      </c>
    </row>
    <row r="882" spans="1:6" ht="14.1">
      <c r="A882" s="113" t="s">
        <v>828</v>
      </c>
      <c r="B882" s="113">
        <v>2026</v>
      </c>
      <c r="C882" s="113" t="s">
        <v>88</v>
      </c>
      <c r="D882" s="113" t="s">
        <v>959</v>
      </c>
      <c r="E882" s="113" t="s">
        <v>951</v>
      </c>
      <c r="F882" s="113" t="s">
        <v>917</v>
      </c>
    </row>
    <row r="883" spans="1:6" ht="14.1">
      <c r="A883" s="113" t="s">
        <v>828</v>
      </c>
      <c r="B883" s="113">
        <v>2026</v>
      </c>
      <c r="C883" s="113" t="s">
        <v>88</v>
      </c>
      <c r="D883" s="113" t="s">
        <v>959</v>
      </c>
      <c r="E883" s="113" t="s">
        <v>1036</v>
      </c>
      <c r="F883" s="113" t="s">
        <v>906</v>
      </c>
    </row>
    <row r="884" spans="1:6" ht="27.95">
      <c r="A884" s="113" t="s">
        <v>828</v>
      </c>
      <c r="B884" s="113">
        <v>2026</v>
      </c>
      <c r="C884" s="113" t="s">
        <v>88</v>
      </c>
      <c r="D884" s="113" t="s">
        <v>956</v>
      </c>
      <c r="E884" s="113" t="s">
        <v>1014</v>
      </c>
      <c r="F884" s="113" t="s">
        <v>906</v>
      </c>
    </row>
    <row r="885" spans="1:6" ht="27.95">
      <c r="A885" s="113" t="s">
        <v>828</v>
      </c>
      <c r="B885" s="113">
        <v>2026</v>
      </c>
      <c r="C885" s="113" t="s">
        <v>88</v>
      </c>
      <c r="D885" s="113" t="s">
        <v>956</v>
      </c>
      <c r="E885" s="113" t="s">
        <v>981</v>
      </c>
      <c r="F885" s="113" t="s">
        <v>906</v>
      </c>
    </row>
    <row r="886" spans="1:6" ht="14.1">
      <c r="A886" s="113" t="s">
        <v>828</v>
      </c>
      <c r="B886" s="113">
        <v>2026</v>
      </c>
      <c r="C886" s="113" t="s">
        <v>88</v>
      </c>
      <c r="D886" s="113" t="s">
        <v>988</v>
      </c>
      <c r="E886" s="113" t="s">
        <v>981</v>
      </c>
      <c r="F886" s="113" t="s">
        <v>906</v>
      </c>
    </row>
    <row r="887" spans="1:6" ht="14.1">
      <c r="A887" s="113" t="s">
        <v>828</v>
      </c>
      <c r="B887" s="113">
        <v>2026</v>
      </c>
      <c r="C887" s="113" t="s">
        <v>88</v>
      </c>
      <c r="D887" s="113" t="s">
        <v>988</v>
      </c>
      <c r="E887" s="113" t="s">
        <v>1118</v>
      </c>
      <c r="F887" s="113" t="s">
        <v>909</v>
      </c>
    </row>
    <row r="888" spans="1:6" ht="14.1">
      <c r="A888" s="113" t="s">
        <v>828</v>
      </c>
      <c r="B888" s="113">
        <v>2026</v>
      </c>
      <c r="C888" s="113" t="s">
        <v>88</v>
      </c>
      <c r="D888" s="113" t="s">
        <v>969</v>
      </c>
      <c r="E888" s="113" t="s">
        <v>1118</v>
      </c>
      <c r="F888" s="113" t="s">
        <v>909</v>
      </c>
    </row>
    <row r="889" spans="1:6" ht="14.1">
      <c r="A889" s="113" t="s">
        <v>828</v>
      </c>
      <c r="B889" s="113">
        <v>2026</v>
      </c>
      <c r="C889" s="113" t="s">
        <v>88</v>
      </c>
      <c r="D889" s="113" t="s">
        <v>959</v>
      </c>
      <c r="E889" s="113" t="s">
        <v>989</v>
      </c>
      <c r="F889" s="113" t="s">
        <v>935</v>
      </c>
    </row>
    <row r="890" spans="1:6" ht="14.1">
      <c r="A890" s="113" t="s">
        <v>828</v>
      </c>
      <c r="B890" s="113">
        <v>2026</v>
      </c>
      <c r="C890" s="113" t="s">
        <v>88</v>
      </c>
      <c r="D890" s="113" t="s">
        <v>959</v>
      </c>
      <c r="E890" s="113" t="s">
        <v>1023</v>
      </c>
      <c r="F890" s="113" t="s">
        <v>935</v>
      </c>
    </row>
    <row r="891" spans="1:6" ht="14.1">
      <c r="A891" s="113" t="s">
        <v>828</v>
      </c>
      <c r="B891" s="113">
        <v>2026</v>
      </c>
      <c r="C891" s="113" t="s">
        <v>88</v>
      </c>
      <c r="D891" s="113" t="s">
        <v>988</v>
      </c>
      <c r="E891" s="113" t="s">
        <v>1090</v>
      </c>
      <c r="F891" s="113" t="s">
        <v>935</v>
      </c>
    </row>
    <row r="892" spans="1:6" ht="14.1">
      <c r="A892" s="113" t="s">
        <v>828</v>
      </c>
      <c r="B892" s="113">
        <v>2026</v>
      </c>
      <c r="C892" s="113" t="s">
        <v>88</v>
      </c>
      <c r="D892" s="113" t="s">
        <v>966</v>
      </c>
      <c r="E892" s="113" t="s">
        <v>949</v>
      </c>
      <c r="F892" s="113" t="s">
        <v>924</v>
      </c>
    </row>
    <row r="893" spans="1:6" ht="14.1">
      <c r="A893" s="113" t="s">
        <v>828</v>
      </c>
      <c r="B893" s="113">
        <v>2026</v>
      </c>
      <c r="C893" s="113" t="s">
        <v>88</v>
      </c>
      <c r="D893" s="113" t="s">
        <v>959</v>
      </c>
      <c r="E893" s="113" t="s">
        <v>1040</v>
      </c>
      <c r="F893" s="113" t="s">
        <v>906</v>
      </c>
    </row>
    <row r="894" spans="1:6" ht="14.1">
      <c r="A894" s="113" t="s">
        <v>828</v>
      </c>
      <c r="B894" s="113">
        <v>2026</v>
      </c>
      <c r="C894" s="113" t="s">
        <v>88</v>
      </c>
      <c r="D894" s="113" t="s">
        <v>966</v>
      </c>
      <c r="E894" s="113" t="s">
        <v>1014</v>
      </c>
      <c r="F894" s="113" t="s">
        <v>906</v>
      </c>
    </row>
    <row r="895" spans="1:6" ht="27.95">
      <c r="A895" s="113" t="s">
        <v>828</v>
      </c>
      <c r="B895" s="113">
        <v>2026</v>
      </c>
      <c r="C895" s="113" t="s">
        <v>88</v>
      </c>
      <c r="D895" s="113" t="s">
        <v>956</v>
      </c>
      <c r="E895" s="113" t="s">
        <v>991</v>
      </c>
      <c r="F895" s="113" t="s">
        <v>906</v>
      </c>
    </row>
    <row r="896" spans="1:6" ht="27.95">
      <c r="A896" s="113" t="s">
        <v>828</v>
      </c>
      <c r="B896" s="113">
        <v>2026</v>
      </c>
      <c r="C896" s="113" t="s">
        <v>88</v>
      </c>
      <c r="D896" s="113" t="s">
        <v>956</v>
      </c>
      <c r="E896" s="113" t="s">
        <v>937</v>
      </c>
      <c r="F896" s="113" t="s">
        <v>917</v>
      </c>
    </row>
    <row r="897" spans="1:6" ht="14.1">
      <c r="A897" s="113" t="s">
        <v>828</v>
      </c>
      <c r="B897" s="113">
        <v>2026</v>
      </c>
      <c r="C897" s="113" t="s">
        <v>88</v>
      </c>
      <c r="D897" s="113" t="s">
        <v>966</v>
      </c>
      <c r="E897" s="113" t="s">
        <v>1037</v>
      </c>
      <c r="F897" s="113" t="s">
        <v>917</v>
      </c>
    </row>
    <row r="898" spans="1:6" ht="14.1">
      <c r="A898" s="113" t="s">
        <v>828</v>
      </c>
      <c r="B898" s="113">
        <v>2026</v>
      </c>
      <c r="C898" s="113" t="s">
        <v>88</v>
      </c>
      <c r="D898" s="113" t="s">
        <v>969</v>
      </c>
      <c r="E898" s="113" t="s">
        <v>1119</v>
      </c>
      <c r="F898" s="113" t="s">
        <v>918</v>
      </c>
    </row>
    <row r="899" spans="1:6" ht="14.1">
      <c r="A899" s="113" t="s">
        <v>828</v>
      </c>
      <c r="B899" s="113">
        <v>2026</v>
      </c>
      <c r="C899" s="113" t="s">
        <v>88</v>
      </c>
      <c r="D899" s="113" t="s">
        <v>959</v>
      </c>
      <c r="E899" s="113" t="s">
        <v>981</v>
      </c>
      <c r="F899" s="113" t="s">
        <v>906</v>
      </c>
    </row>
    <row r="900" spans="1:6" ht="14.1">
      <c r="A900" s="113" t="s">
        <v>828</v>
      </c>
      <c r="B900" s="113">
        <v>2026</v>
      </c>
      <c r="C900" s="113" t="s">
        <v>88</v>
      </c>
      <c r="D900" s="113" t="s">
        <v>959</v>
      </c>
      <c r="E900" s="113" t="s">
        <v>2</v>
      </c>
      <c r="F900" s="113" t="s">
        <v>924</v>
      </c>
    </row>
    <row r="901" spans="1:6" ht="14.1">
      <c r="A901" s="113" t="s">
        <v>828</v>
      </c>
      <c r="B901" s="113">
        <v>2026</v>
      </c>
      <c r="C901" s="113" t="s">
        <v>88</v>
      </c>
      <c r="D901" s="113" t="s">
        <v>969</v>
      </c>
      <c r="E901" s="113" t="s">
        <v>2</v>
      </c>
      <c r="F901" s="113" t="s">
        <v>924</v>
      </c>
    </row>
    <row r="902" spans="1:6" ht="14.1">
      <c r="A902" s="113" t="s">
        <v>828</v>
      </c>
      <c r="B902" s="113">
        <v>2026</v>
      </c>
      <c r="C902" s="113" t="s">
        <v>88</v>
      </c>
      <c r="D902" s="113" t="s">
        <v>969</v>
      </c>
      <c r="E902" s="113" t="s">
        <v>961</v>
      </c>
      <c r="F902" s="113" t="s">
        <v>663</v>
      </c>
    </row>
    <row r="903" spans="1:6" ht="14.1">
      <c r="A903" s="113" t="s">
        <v>828</v>
      </c>
      <c r="B903" s="113">
        <v>2026</v>
      </c>
      <c r="C903" s="113" t="s">
        <v>88</v>
      </c>
      <c r="D903" s="113" t="s">
        <v>966</v>
      </c>
      <c r="E903" s="113" t="s">
        <v>974</v>
      </c>
      <c r="F903" s="113" t="s">
        <v>917</v>
      </c>
    </row>
    <row r="904" spans="1:6" ht="14.1">
      <c r="A904" s="113" t="s">
        <v>828</v>
      </c>
      <c r="B904" s="113">
        <v>2026</v>
      </c>
      <c r="C904" s="113" t="s">
        <v>88</v>
      </c>
      <c r="D904" s="113" t="s">
        <v>969</v>
      </c>
      <c r="E904" s="113" t="s">
        <v>981</v>
      </c>
      <c r="F904" s="113" t="s">
        <v>906</v>
      </c>
    </row>
    <row r="905" spans="1:6" ht="14.1">
      <c r="A905" s="113" t="s">
        <v>828</v>
      </c>
      <c r="B905" s="113">
        <v>2026</v>
      </c>
      <c r="C905" s="113" t="s">
        <v>88</v>
      </c>
      <c r="D905" s="113" t="s">
        <v>988</v>
      </c>
      <c r="E905" s="113" t="s">
        <v>1028</v>
      </c>
      <c r="F905" s="113" t="s">
        <v>906</v>
      </c>
    </row>
    <row r="906" spans="1:6" ht="14.1">
      <c r="A906" s="113" t="s">
        <v>828</v>
      </c>
      <c r="B906" s="113">
        <v>2026</v>
      </c>
      <c r="C906" s="113" t="s">
        <v>88</v>
      </c>
      <c r="D906" s="113" t="s">
        <v>988</v>
      </c>
      <c r="E906" s="113" t="s">
        <v>1014</v>
      </c>
      <c r="F906" s="113" t="s">
        <v>906</v>
      </c>
    </row>
    <row r="907" spans="1:6" ht="27.95">
      <c r="A907" s="113" t="s">
        <v>828</v>
      </c>
      <c r="B907" s="113">
        <v>2026</v>
      </c>
      <c r="C907" s="113" t="s">
        <v>88</v>
      </c>
      <c r="D907" s="113" t="s">
        <v>956</v>
      </c>
      <c r="E907" s="113" t="s">
        <v>981</v>
      </c>
      <c r="F907" s="113" t="s">
        <v>906</v>
      </c>
    </row>
    <row r="908" spans="1:6" ht="27.95">
      <c r="A908" s="113" t="s">
        <v>828</v>
      </c>
      <c r="B908" s="113">
        <v>2026</v>
      </c>
      <c r="C908" s="113" t="s">
        <v>88</v>
      </c>
      <c r="D908" s="113" t="s">
        <v>956</v>
      </c>
      <c r="E908" s="113" t="s">
        <v>941</v>
      </c>
      <c r="F908" s="113" t="s">
        <v>663</v>
      </c>
    </row>
    <row r="909" spans="1:6" ht="27.95">
      <c r="A909" s="113" t="s">
        <v>828</v>
      </c>
      <c r="B909" s="113">
        <v>2026</v>
      </c>
      <c r="C909" s="113" t="s">
        <v>88</v>
      </c>
      <c r="D909" s="113" t="s">
        <v>956</v>
      </c>
      <c r="E909" s="113" t="s">
        <v>1028</v>
      </c>
      <c r="F909" s="113" t="s">
        <v>906</v>
      </c>
    </row>
    <row r="910" spans="1:6" ht="27.95">
      <c r="A910" s="113" t="s">
        <v>828</v>
      </c>
      <c r="B910" s="113">
        <v>2026</v>
      </c>
      <c r="C910" s="113" t="s">
        <v>88</v>
      </c>
      <c r="D910" s="113" t="s">
        <v>956</v>
      </c>
      <c r="E910" s="113" t="s">
        <v>1085</v>
      </c>
      <c r="F910" s="113" t="s">
        <v>917</v>
      </c>
    </row>
    <row r="911" spans="1:6" ht="27.95">
      <c r="A911" s="113" t="s">
        <v>828</v>
      </c>
      <c r="B911" s="113">
        <v>2026</v>
      </c>
      <c r="C911" s="113" t="s">
        <v>88</v>
      </c>
      <c r="D911" s="113" t="s">
        <v>956</v>
      </c>
      <c r="E911" s="113" t="s">
        <v>1001</v>
      </c>
      <c r="F911" s="113" t="s">
        <v>922</v>
      </c>
    </row>
    <row r="912" spans="1:6" ht="14.1">
      <c r="A912" s="113" t="s">
        <v>828</v>
      </c>
      <c r="B912" s="113">
        <v>2026</v>
      </c>
      <c r="C912" s="113" t="s">
        <v>88</v>
      </c>
      <c r="D912" s="113" t="s">
        <v>959</v>
      </c>
      <c r="E912" s="113" t="s">
        <v>1091</v>
      </c>
      <c r="F912" s="113" t="s">
        <v>922</v>
      </c>
    </row>
    <row r="913" spans="1:6" ht="27.95">
      <c r="A913" s="113" t="s">
        <v>828</v>
      </c>
      <c r="B913" s="113">
        <v>2026</v>
      </c>
      <c r="C913" s="113" t="s">
        <v>88</v>
      </c>
      <c r="D913" s="113" t="s">
        <v>956</v>
      </c>
      <c r="E913" s="113" t="s">
        <v>941</v>
      </c>
      <c r="F913" s="113" t="s">
        <v>663</v>
      </c>
    </row>
    <row r="914" spans="1:6" ht="27.95">
      <c r="A914" s="113" t="s">
        <v>828</v>
      </c>
      <c r="B914" s="113">
        <v>2026</v>
      </c>
      <c r="C914" s="113" t="s">
        <v>88</v>
      </c>
      <c r="D914" s="113" t="s">
        <v>956</v>
      </c>
      <c r="E914" s="113" t="s">
        <v>1090</v>
      </c>
      <c r="F914" s="113" t="s">
        <v>935</v>
      </c>
    </row>
    <row r="915" spans="1:6" ht="27.95">
      <c r="A915" s="113" t="s">
        <v>828</v>
      </c>
      <c r="B915" s="113">
        <v>2026</v>
      </c>
      <c r="C915" s="113" t="s">
        <v>88</v>
      </c>
      <c r="D915" s="113" t="s">
        <v>956</v>
      </c>
      <c r="E915" s="113" t="s">
        <v>946</v>
      </c>
      <c r="F915" s="113" t="s">
        <v>924</v>
      </c>
    </row>
    <row r="916" spans="1:6" ht="14.1">
      <c r="A916" s="113" t="s">
        <v>828</v>
      </c>
      <c r="B916" s="113">
        <v>2026</v>
      </c>
      <c r="C916" s="113" t="s">
        <v>88</v>
      </c>
      <c r="D916" s="113" t="s">
        <v>966</v>
      </c>
      <c r="E916" s="113" t="s">
        <v>946</v>
      </c>
      <c r="F916" s="113" t="s">
        <v>924</v>
      </c>
    </row>
    <row r="917" spans="1:6" ht="14.1">
      <c r="A917" s="113" t="s">
        <v>828</v>
      </c>
      <c r="B917" s="113">
        <v>2026</v>
      </c>
      <c r="C917" s="113" t="s">
        <v>88</v>
      </c>
      <c r="D917" s="113" t="s">
        <v>966</v>
      </c>
      <c r="E917" s="113" t="s">
        <v>1047</v>
      </c>
      <c r="F917" s="113" t="s">
        <v>924</v>
      </c>
    </row>
    <row r="918" spans="1:6" ht="14.1">
      <c r="A918" s="113" t="s">
        <v>828</v>
      </c>
      <c r="B918" s="113">
        <v>2026</v>
      </c>
      <c r="C918" s="113" t="s">
        <v>88</v>
      </c>
      <c r="D918" s="113" t="s">
        <v>988</v>
      </c>
      <c r="E918" s="113" t="s">
        <v>1094</v>
      </c>
      <c r="F918" s="113" t="s">
        <v>918</v>
      </c>
    </row>
    <row r="919" spans="1:6" ht="27.95">
      <c r="A919" s="113" t="s">
        <v>828</v>
      </c>
      <c r="B919" s="113">
        <v>2026</v>
      </c>
      <c r="C919" s="113" t="s">
        <v>88</v>
      </c>
      <c r="D919" s="113" t="s">
        <v>956</v>
      </c>
      <c r="E919" s="113" t="s">
        <v>939</v>
      </c>
      <c r="F919" s="113" t="s">
        <v>909</v>
      </c>
    </row>
    <row r="920" spans="1:6" ht="27.95">
      <c r="A920" s="113" t="s">
        <v>828</v>
      </c>
      <c r="B920" s="113">
        <v>2026</v>
      </c>
      <c r="C920" s="113" t="s">
        <v>88</v>
      </c>
      <c r="D920" s="113" t="s">
        <v>956</v>
      </c>
      <c r="E920" s="113" t="s">
        <v>1017</v>
      </c>
      <c r="F920" s="113" t="s">
        <v>909</v>
      </c>
    </row>
    <row r="921" spans="1:6" ht="27.95">
      <c r="A921" s="113" t="s">
        <v>828</v>
      </c>
      <c r="B921" s="113">
        <v>2026</v>
      </c>
      <c r="C921" s="113" t="s">
        <v>88</v>
      </c>
      <c r="D921" s="113" t="s">
        <v>956</v>
      </c>
      <c r="E921" s="113" t="s">
        <v>1096</v>
      </c>
      <c r="F921" s="113" t="s">
        <v>909</v>
      </c>
    </row>
    <row r="922" spans="1:6" ht="14.1">
      <c r="A922" s="113" t="s">
        <v>828</v>
      </c>
      <c r="B922" s="113">
        <v>2026</v>
      </c>
      <c r="C922" s="113" t="s">
        <v>88</v>
      </c>
      <c r="D922" s="113" t="s">
        <v>966</v>
      </c>
      <c r="E922" s="113" t="s">
        <v>1120</v>
      </c>
      <c r="F922" s="113" t="s">
        <v>483</v>
      </c>
    </row>
    <row r="923" spans="1:6" ht="27.95">
      <c r="A923" s="113" t="s">
        <v>828</v>
      </c>
      <c r="B923" s="113">
        <v>2026</v>
      </c>
      <c r="C923" s="113" t="s">
        <v>88</v>
      </c>
      <c r="D923" s="113" t="s">
        <v>956</v>
      </c>
      <c r="E923" s="113" t="s">
        <v>1068</v>
      </c>
      <c r="F923" s="113" t="s">
        <v>783</v>
      </c>
    </row>
    <row r="924" spans="1:6" ht="14.1">
      <c r="A924" s="113" t="s">
        <v>828</v>
      </c>
      <c r="B924" s="113">
        <v>2026</v>
      </c>
      <c r="C924" s="113" t="s">
        <v>88</v>
      </c>
      <c r="D924" s="113" t="s">
        <v>988</v>
      </c>
      <c r="E924" s="113" t="s">
        <v>1068</v>
      </c>
      <c r="F924" s="113" t="s">
        <v>783</v>
      </c>
    </row>
    <row r="925" spans="1:6" ht="14.1">
      <c r="A925" s="113" t="s">
        <v>828</v>
      </c>
      <c r="B925" s="113">
        <v>2026</v>
      </c>
      <c r="C925" s="113" t="s">
        <v>88</v>
      </c>
      <c r="D925" s="113" t="s">
        <v>959</v>
      </c>
      <c r="E925" s="113" t="s">
        <v>955</v>
      </c>
      <c r="F925" s="113" t="s">
        <v>783</v>
      </c>
    </row>
    <row r="926" spans="1:6" ht="27.95">
      <c r="A926" s="113" t="s">
        <v>828</v>
      </c>
      <c r="B926" s="113">
        <v>2026</v>
      </c>
      <c r="C926" s="113" t="s">
        <v>88</v>
      </c>
      <c r="D926" s="113" t="s">
        <v>956</v>
      </c>
      <c r="E926" s="113" t="s">
        <v>1063</v>
      </c>
      <c r="F926" s="113" t="s">
        <v>783</v>
      </c>
    </row>
    <row r="927" spans="1:6" ht="27.95">
      <c r="A927" s="113" t="s">
        <v>828</v>
      </c>
      <c r="B927" s="113">
        <v>2026</v>
      </c>
      <c r="C927" s="113" t="s">
        <v>88</v>
      </c>
      <c r="D927" s="113" t="s">
        <v>956</v>
      </c>
      <c r="E927" s="113" t="s">
        <v>1063</v>
      </c>
      <c r="F927" s="113" t="s">
        <v>783</v>
      </c>
    </row>
    <row r="928" spans="1:6" ht="14.1">
      <c r="A928" s="113" t="s">
        <v>828</v>
      </c>
      <c r="B928" s="113">
        <v>2026</v>
      </c>
      <c r="C928" s="113" t="s">
        <v>88</v>
      </c>
      <c r="D928" s="113" t="s">
        <v>959</v>
      </c>
      <c r="E928" s="113" t="s">
        <v>952</v>
      </c>
      <c r="F928" s="113" t="s">
        <v>906</v>
      </c>
    </row>
    <row r="929" spans="1:6" ht="27.95">
      <c r="A929" s="113" t="s">
        <v>828</v>
      </c>
      <c r="B929" s="113">
        <v>2026</v>
      </c>
      <c r="C929" s="113" t="s">
        <v>88</v>
      </c>
      <c r="D929" s="113" t="s">
        <v>956</v>
      </c>
      <c r="E929" s="113" t="s">
        <v>991</v>
      </c>
      <c r="F929" s="113" t="s">
        <v>906</v>
      </c>
    </row>
    <row r="930" spans="1:6" ht="14.1">
      <c r="A930" s="113" t="s">
        <v>828</v>
      </c>
      <c r="B930" s="113">
        <v>2026</v>
      </c>
      <c r="C930" s="113" t="s">
        <v>88</v>
      </c>
      <c r="D930" s="113" t="s">
        <v>966</v>
      </c>
      <c r="E930" s="113" t="s">
        <v>1028</v>
      </c>
      <c r="F930" s="113" t="s">
        <v>906</v>
      </c>
    </row>
    <row r="931" spans="1:6" ht="14.1">
      <c r="A931" s="113" t="s">
        <v>828</v>
      </c>
      <c r="B931" s="113">
        <v>2026</v>
      </c>
      <c r="C931" s="113" t="s">
        <v>88</v>
      </c>
      <c r="D931" s="113" t="s">
        <v>969</v>
      </c>
      <c r="E931" s="113" t="s">
        <v>930</v>
      </c>
      <c r="F931" s="113" t="s">
        <v>906</v>
      </c>
    </row>
    <row r="932" spans="1:6" ht="14.1">
      <c r="A932" s="113" t="s">
        <v>828</v>
      </c>
      <c r="B932" s="113">
        <v>2026</v>
      </c>
      <c r="C932" s="113" t="s">
        <v>88</v>
      </c>
      <c r="D932" s="113" t="s">
        <v>969</v>
      </c>
      <c r="E932" s="113" t="s">
        <v>1040</v>
      </c>
      <c r="F932" s="113" t="s">
        <v>906</v>
      </c>
    </row>
    <row r="933" spans="1:6" ht="14.1">
      <c r="A933" s="113" t="s">
        <v>828</v>
      </c>
      <c r="B933" s="113">
        <v>2026</v>
      </c>
      <c r="C933" s="113" t="s">
        <v>88</v>
      </c>
      <c r="D933" s="113" t="s">
        <v>966</v>
      </c>
      <c r="E933" s="113" t="s">
        <v>2</v>
      </c>
      <c r="F933" s="113" t="s">
        <v>935</v>
      </c>
    </row>
    <row r="934" spans="1:6" ht="14.1">
      <c r="A934" s="113" t="s">
        <v>828</v>
      </c>
      <c r="B934" s="113">
        <v>2026</v>
      </c>
      <c r="C934" s="113" t="s">
        <v>88</v>
      </c>
      <c r="D934" s="113" t="s">
        <v>959</v>
      </c>
      <c r="E934" s="113" t="s">
        <v>1068</v>
      </c>
      <c r="F934" s="113" t="s">
        <v>783</v>
      </c>
    </row>
    <row r="935" spans="1:6" ht="14.1">
      <c r="A935" s="113" t="s">
        <v>828</v>
      </c>
      <c r="B935" s="113">
        <v>2026</v>
      </c>
      <c r="C935" s="113" t="s">
        <v>88</v>
      </c>
      <c r="D935" s="113" t="s">
        <v>966</v>
      </c>
      <c r="E935" s="113" t="s">
        <v>1006</v>
      </c>
      <c r="F935" s="113" t="s">
        <v>917</v>
      </c>
    </row>
    <row r="936" spans="1:6" ht="27.95">
      <c r="A936" s="113" t="s">
        <v>828</v>
      </c>
      <c r="B936" s="113">
        <v>2026</v>
      </c>
      <c r="C936" s="113" t="s">
        <v>88</v>
      </c>
      <c r="D936" s="113" t="s">
        <v>956</v>
      </c>
      <c r="E936" s="113" t="s">
        <v>954</v>
      </c>
      <c r="F936" s="113" t="s">
        <v>906</v>
      </c>
    </row>
    <row r="937" spans="1:6" ht="14.1">
      <c r="A937" s="113" t="s">
        <v>828</v>
      </c>
      <c r="B937" s="113">
        <v>2026</v>
      </c>
      <c r="C937" s="113" t="s">
        <v>88</v>
      </c>
      <c r="D937" s="113" t="s">
        <v>958</v>
      </c>
      <c r="E937" s="113" t="s">
        <v>1001</v>
      </c>
      <c r="F937" s="113" t="s">
        <v>922</v>
      </c>
    </row>
    <row r="938" spans="1:6" ht="14.1">
      <c r="A938" s="113" t="s">
        <v>828</v>
      </c>
      <c r="B938" s="113">
        <v>2026</v>
      </c>
      <c r="C938" s="113" t="s">
        <v>88</v>
      </c>
      <c r="D938" s="113" t="s">
        <v>966</v>
      </c>
      <c r="E938" s="113" t="s">
        <v>970</v>
      </c>
      <c r="F938" s="113" t="s">
        <v>915</v>
      </c>
    </row>
    <row r="939" spans="1:6" ht="14.1">
      <c r="A939" s="113" t="s">
        <v>828</v>
      </c>
      <c r="B939" s="113">
        <v>2026</v>
      </c>
      <c r="C939" s="113" t="s">
        <v>88</v>
      </c>
      <c r="D939" s="113" t="s">
        <v>966</v>
      </c>
      <c r="E939" s="113" t="s">
        <v>1001</v>
      </c>
      <c r="F939" s="113" t="s">
        <v>922</v>
      </c>
    </row>
    <row r="940" spans="1:6" ht="14.1">
      <c r="A940" s="113" t="s">
        <v>828</v>
      </c>
      <c r="B940" s="113">
        <v>2026</v>
      </c>
      <c r="C940" s="113" t="s">
        <v>88</v>
      </c>
      <c r="D940" s="113" t="s">
        <v>969</v>
      </c>
      <c r="E940" s="113" t="s">
        <v>1058</v>
      </c>
      <c r="F940" s="113" t="s">
        <v>909</v>
      </c>
    </row>
    <row r="941" spans="1:6" ht="27.95">
      <c r="A941" s="113" t="s">
        <v>828</v>
      </c>
      <c r="B941" s="113">
        <v>2026</v>
      </c>
      <c r="C941" s="113" t="s">
        <v>88</v>
      </c>
      <c r="D941" s="113" t="s">
        <v>956</v>
      </c>
      <c r="E941" s="113" t="s">
        <v>974</v>
      </c>
      <c r="F941" s="113" t="s">
        <v>917</v>
      </c>
    </row>
    <row r="942" spans="1:6" ht="14.1">
      <c r="A942" s="113" t="s">
        <v>828</v>
      </c>
      <c r="B942" s="113">
        <v>2026</v>
      </c>
      <c r="C942" s="113" t="s">
        <v>88</v>
      </c>
      <c r="D942" s="113" t="s">
        <v>966</v>
      </c>
      <c r="E942" s="113" t="s">
        <v>986</v>
      </c>
      <c r="F942" s="113" t="s">
        <v>906</v>
      </c>
    </row>
    <row r="943" spans="1:6" ht="14.1">
      <c r="A943" s="113" t="s">
        <v>828</v>
      </c>
      <c r="B943" s="113">
        <v>2026</v>
      </c>
      <c r="C943" s="113" t="s">
        <v>88</v>
      </c>
      <c r="D943" s="113" t="s">
        <v>966</v>
      </c>
      <c r="E943" s="113" t="s">
        <v>981</v>
      </c>
      <c r="F943" s="113" t="s">
        <v>906</v>
      </c>
    </row>
    <row r="944" spans="1:6" ht="27.95">
      <c r="A944" s="113" t="s">
        <v>828</v>
      </c>
      <c r="B944" s="113">
        <v>2026</v>
      </c>
      <c r="C944" s="113" t="s">
        <v>88</v>
      </c>
      <c r="D944" s="113" t="s">
        <v>956</v>
      </c>
      <c r="E944" s="113" t="s">
        <v>1041</v>
      </c>
      <c r="F944" s="113" t="s">
        <v>906</v>
      </c>
    </row>
    <row r="945" spans="1:6" ht="27.95">
      <c r="A945" s="113" t="s">
        <v>828</v>
      </c>
      <c r="B945" s="113">
        <v>2026</v>
      </c>
      <c r="C945" s="113" t="s">
        <v>88</v>
      </c>
      <c r="D945" s="113" t="s">
        <v>956</v>
      </c>
      <c r="E945" s="113" t="s">
        <v>1079</v>
      </c>
      <c r="F945" s="113" t="s">
        <v>915</v>
      </c>
    </row>
    <row r="946" spans="1:6" ht="14.1">
      <c r="A946" s="113" t="s">
        <v>828</v>
      </c>
      <c r="B946" s="113">
        <v>2026</v>
      </c>
      <c r="C946" s="113" t="s">
        <v>1024</v>
      </c>
      <c r="D946" s="113" t="s">
        <v>1027</v>
      </c>
      <c r="E946" s="113" t="s">
        <v>1068</v>
      </c>
      <c r="F946" s="113" t="s">
        <v>783</v>
      </c>
    </row>
    <row r="947" spans="1:6" ht="27.95">
      <c r="A947" s="113" t="s">
        <v>828</v>
      </c>
      <c r="B947" s="113">
        <v>2026</v>
      </c>
      <c r="C947" s="113" t="s">
        <v>88</v>
      </c>
      <c r="D947" s="113" t="s">
        <v>956</v>
      </c>
      <c r="E947" s="113" t="s">
        <v>948</v>
      </c>
      <c r="F947" s="113" t="s">
        <v>783</v>
      </c>
    </row>
    <row r="948" spans="1:6" ht="14.1">
      <c r="A948" s="113" t="s">
        <v>828</v>
      </c>
      <c r="B948" s="113">
        <v>2026</v>
      </c>
      <c r="C948" s="113" t="s">
        <v>88</v>
      </c>
      <c r="D948" s="113" t="s">
        <v>966</v>
      </c>
      <c r="E948" s="113" t="s">
        <v>1104</v>
      </c>
      <c r="F948" s="113" t="s">
        <v>783</v>
      </c>
    </row>
    <row r="949" spans="1:6" ht="27.95">
      <c r="A949" s="113" t="s">
        <v>828</v>
      </c>
      <c r="B949" s="113">
        <v>2026</v>
      </c>
      <c r="C949" s="113" t="s">
        <v>88</v>
      </c>
      <c r="D949" s="113" t="s">
        <v>956</v>
      </c>
      <c r="E949" s="113" t="s">
        <v>1040</v>
      </c>
      <c r="F949" s="113" t="s">
        <v>906</v>
      </c>
    </row>
    <row r="950" spans="1:6" ht="14.1">
      <c r="A950" s="113" t="s">
        <v>828</v>
      </c>
      <c r="B950" s="113">
        <v>2026</v>
      </c>
      <c r="C950" s="113" t="s">
        <v>88</v>
      </c>
      <c r="D950" s="113" t="s">
        <v>959</v>
      </c>
      <c r="E950" s="113" t="s">
        <v>1028</v>
      </c>
      <c r="F950" s="113" t="s">
        <v>906</v>
      </c>
    </row>
    <row r="951" spans="1:6" ht="14.1">
      <c r="A951" s="113" t="s">
        <v>828</v>
      </c>
      <c r="B951" s="113">
        <v>2026</v>
      </c>
      <c r="C951" s="113" t="s">
        <v>88</v>
      </c>
      <c r="D951" s="113" t="s">
        <v>969</v>
      </c>
      <c r="E951" s="113" t="s">
        <v>971</v>
      </c>
      <c r="F951" s="113" t="s">
        <v>909</v>
      </c>
    </row>
    <row r="952" spans="1:6" ht="14.1">
      <c r="A952" s="113" t="s">
        <v>828</v>
      </c>
      <c r="B952" s="113">
        <v>2026</v>
      </c>
      <c r="C952" s="113" t="s">
        <v>88</v>
      </c>
      <c r="D952" s="113" t="s">
        <v>966</v>
      </c>
      <c r="E952" s="113" t="s">
        <v>943</v>
      </c>
      <c r="F952" s="113" t="s">
        <v>917</v>
      </c>
    </row>
    <row r="953" spans="1:6" ht="27.95">
      <c r="A953" s="113" t="s">
        <v>828</v>
      </c>
      <c r="B953" s="113">
        <v>2026</v>
      </c>
      <c r="C953" s="113" t="s">
        <v>88</v>
      </c>
      <c r="D953" s="113" t="s">
        <v>956</v>
      </c>
      <c r="E953" s="113" t="s">
        <v>1040</v>
      </c>
      <c r="F953" s="113" t="s">
        <v>906</v>
      </c>
    </row>
    <row r="954" spans="1:6" ht="14.1">
      <c r="A954" s="113" t="s">
        <v>828</v>
      </c>
      <c r="B954" s="113">
        <v>2026</v>
      </c>
      <c r="C954" s="113" t="s">
        <v>859</v>
      </c>
      <c r="D954" s="113" t="s">
        <v>1000</v>
      </c>
      <c r="E954" s="113" t="s">
        <v>954</v>
      </c>
      <c r="F954" s="113" t="s">
        <v>906</v>
      </c>
    </row>
    <row r="955" spans="1:6" ht="14.1">
      <c r="A955" s="113" t="s">
        <v>828</v>
      </c>
      <c r="B955" s="113">
        <v>2026</v>
      </c>
      <c r="C955" s="113" t="s">
        <v>859</v>
      </c>
      <c r="D955" s="113" t="s">
        <v>1000</v>
      </c>
      <c r="E955" s="113" t="s">
        <v>1034</v>
      </c>
      <c r="F955" s="113" t="s">
        <v>783</v>
      </c>
    </row>
    <row r="956" spans="1:6" ht="14.1">
      <c r="A956" s="113" t="s">
        <v>828</v>
      </c>
      <c r="B956" s="113">
        <v>2026</v>
      </c>
      <c r="C956" s="113" t="s">
        <v>859</v>
      </c>
      <c r="D956" s="113" t="s">
        <v>1000</v>
      </c>
      <c r="E956" s="113" t="s">
        <v>952</v>
      </c>
      <c r="F956" s="113" t="s">
        <v>906</v>
      </c>
    </row>
    <row r="957" spans="1:6" ht="14.1">
      <c r="A957" s="113" t="s">
        <v>828</v>
      </c>
      <c r="B957" s="113">
        <v>2026</v>
      </c>
      <c r="C957" s="113" t="s">
        <v>859</v>
      </c>
      <c r="D957" s="113" t="s">
        <v>1000</v>
      </c>
      <c r="E957" s="113" t="s">
        <v>1068</v>
      </c>
      <c r="F957" s="113" t="s">
        <v>783</v>
      </c>
    </row>
    <row r="958" spans="1:6" ht="14.1">
      <c r="A958" s="113" t="s">
        <v>828</v>
      </c>
      <c r="B958" s="113">
        <v>2026</v>
      </c>
      <c r="C958" s="113" t="s">
        <v>859</v>
      </c>
      <c r="D958" s="113" t="s">
        <v>1000</v>
      </c>
      <c r="E958" s="113" t="s">
        <v>995</v>
      </c>
      <c r="F958" s="113" t="s">
        <v>924</v>
      </c>
    </row>
    <row r="959" spans="1:6" ht="14.1">
      <c r="A959" s="113" t="s">
        <v>828</v>
      </c>
      <c r="B959" s="113">
        <v>2026</v>
      </c>
      <c r="C959" s="113" t="s">
        <v>859</v>
      </c>
      <c r="D959" s="113" t="s">
        <v>1005</v>
      </c>
      <c r="E959" s="113" t="s">
        <v>950</v>
      </c>
      <c r="F959" s="113" t="s">
        <v>922</v>
      </c>
    </row>
    <row r="960" spans="1:6" ht="14.1">
      <c r="A960" s="113" t="s">
        <v>828</v>
      </c>
      <c r="B960" s="113">
        <v>2026</v>
      </c>
      <c r="C960" s="113" t="s">
        <v>859</v>
      </c>
      <c r="D960" s="113" t="s">
        <v>1000</v>
      </c>
      <c r="E960" s="113" t="s">
        <v>1066</v>
      </c>
      <c r="F960" s="113" t="s">
        <v>935</v>
      </c>
    </row>
    <row r="961" spans="1:6" ht="14.1">
      <c r="A961" s="113" t="s">
        <v>828</v>
      </c>
      <c r="B961" s="113">
        <v>2026</v>
      </c>
      <c r="C961" s="113" t="s">
        <v>859</v>
      </c>
      <c r="D961" s="113" t="s">
        <v>1005</v>
      </c>
      <c r="E961" s="113" t="s">
        <v>936</v>
      </c>
      <c r="F961" s="113" t="s">
        <v>922</v>
      </c>
    </row>
    <row r="962" spans="1:6" ht="14.1">
      <c r="A962" s="113" t="s">
        <v>828</v>
      </c>
      <c r="B962" s="113">
        <v>2026</v>
      </c>
      <c r="C962" s="113" t="s">
        <v>859</v>
      </c>
      <c r="D962" s="113" t="s">
        <v>1000</v>
      </c>
      <c r="E962" s="113" t="s">
        <v>954</v>
      </c>
      <c r="F962" s="113" t="s">
        <v>906</v>
      </c>
    </row>
    <row r="963" spans="1:6" ht="14.1">
      <c r="A963" s="113" t="s">
        <v>828</v>
      </c>
      <c r="B963" s="113">
        <v>2026</v>
      </c>
      <c r="C963" s="113" t="s">
        <v>859</v>
      </c>
      <c r="D963" s="113" t="s">
        <v>1000</v>
      </c>
      <c r="E963" s="113" t="s">
        <v>1121</v>
      </c>
      <c r="F963" s="113" t="s">
        <v>783</v>
      </c>
    </row>
    <row r="964" spans="1:6" ht="14.1">
      <c r="A964" s="113" t="s">
        <v>828</v>
      </c>
      <c r="B964" s="113">
        <v>2026</v>
      </c>
      <c r="C964" s="113" t="s">
        <v>859</v>
      </c>
      <c r="D964" s="113" t="s">
        <v>1000</v>
      </c>
      <c r="E964" s="113" t="s">
        <v>1036</v>
      </c>
      <c r="F964" s="113" t="s">
        <v>906</v>
      </c>
    </row>
    <row r="965" spans="1:6" ht="14.1">
      <c r="A965" s="113" t="s">
        <v>828</v>
      </c>
      <c r="B965" s="113">
        <v>2026</v>
      </c>
      <c r="C965" s="113" t="s">
        <v>859</v>
      </c>
      <c r="D965" s="113" t="s">
        <v>1000</v>
      </c>
      <c r="E965" s="113" t="s">
        <v>1086</v>
      </c>
      <c r="F965" s="113" t="s">
        <v>911</v>
      </c>
    </row>
    <row r="966" spans="1:6" ht="14.1">
      <c r="A966" s="113" t="s">
        <v>828</v>
      </c>
      <c r="B966" s="113">
        <v>2026</v>
      </c>
      <c r="C966" s="113" t="s">
        <v>859</v>
      </c>
      <c r="D966" s="113" t="s">
        <v>1000</v>
      </c>
      <c r="E966" s="113" t="s">
        <v>1098</v>
      </c>
      <c r="F966" s="113" t="s">
        <v>911</v>
      </c>
    </row>
    <row r="967" spans="1:6" ht="14.1">
      <c r="A967" s="113" t="s">
        <v>828</v>
      </c>
      <c r="B967" s="113">
        <v>2026</v>
      </c>
      <c r="C967" s="113" t="s">
        <v>859</v>
      </c>
      <c r="D967" s="113" t="s">
        <v>1000</v>
      </c>
      <c r="E967" s="113" t="s">
        <v>945</v>
      </c>
      <c r="F967" s="113" t="s">
        <v>917</v>
      </c>
    </row>
    <row r="968" spans="1:6" ht="14.1">
      <c r="A968" s="113" t="s">
        <v>828</v>
      </c>
      <c r="B968" s="113">
        <v>2026</v>
      </c>
      <c r="C968" s="113" t="s">
        <v>859</v>
      </c>
      <c r="D968" s="113" t="s">
        <v>998</v>
      </c>
      <c r="E968" s="113" t="s">
        <v>1040</v>
      </c>
      <c r="F968" s="113" t="s">
        <v>906</v>
      </c>
    </row>
    <row r="969" spans="1:6" ht="14.1">
      <c r="A969" s="113" t="s">
        <v>828</v>
      </c>
      <c r="B969" s="113">
        <v>2026</v>
      </c>
      <c r="C969" s="113" t="s">
        <v>859</v>
      </c>
      <c r="D969" s="113" t="s">
        <v>1082</v>
      </c>
      <c r="E969" s="113" t="s">
        <v>946</v>
      </c>
      <c r="F969" s="113" t="s">
        <v>924</v>
      </c>
    </row>
    <row r="970" spans="1:6" ht="14.1">
      <c r="A970" s="113" t="s">
        <v>828</v>
      </c>
      <c r="B970" s="113">
        <v>2026</v>
      </c>
      <c r="C970" s="113" t="s">
        <v>859</v>
      </c>
      <c r="D970" s="113" t="s">
        <v>999</v>
      </c>
      <c r="E970" s="113" t="s">
        <v>1063</v>
      </c>
      <c r="F970" s="113" t="s">
        <v>783</v>
      </c>
    </row>
    <row r="971" spans="1:6" ht="14.1">
      <c r="A971" s="113" t="s">
        <v>828</v>
      </c>
      <c r="B971" s="113">
        <v>2026</v>
      </c>
      <c r="C971" s="113" t="s">
        <v>859</v>
      </c>
      <c r="D971" s="113" t="s">
        <v>1000</v>
      </c>
      <c r="E971" s="113" t="s">
        <v>1060</v>
      </c>
      <c r="F971" s="113" t="s">
        <v>783</v>
      </c>
    </row>
    <row r="972" spans="1:6" ht="14.1">
      <c r="A972" s="113" t="s">
        <v>828</v>
      </c>
      <c r="B972" s="113">
        <v>2026</v>
      </c>
      <c r="C972" s="113" t="s">
        <v>859</v>
      </c>
      <c r="D972" s="113" t="s">
        <v>1000</v>
      </c>
      <c r="E972" s="113" t="s">
        <v>981</v>
      </c>
      <c r="F972" s="113" t="s">
        <v>906</v>
      </c>
    </row>
    <row r="973" spans="1:6" ht="14.1">
      <c r="A973" s="113" t="s">
        <v>828</v>
      </c>
      <c r="B973" s="113">
        <v>2026</v>
      </c>
      <c r="C973" s="113" t="s">
        <v>859</v>
      </c>
      <c r="D973" s="113" t="s">
        <v>999</v>
      </c>
      <c r="E973" s="113" t="s">
        <v>1040</v>
      </c>
      <c r="F973" s="113" t="s">
        <v>906</v>
      </c>
    </row>
    <row r="974" spans="1:6" ht="14.1">
      <c r="A974" s="113" t="s">
        <v>828</v>
      </c>
      <c r="B974" s="113">
        <v>2026</v>
      </c>
      <c r="C974" s="113" t="s">
        <v>859</v>
      </c>
      <c r="D974" s="113" t="s">
        <v>1000</v>
      </c>
      <c r="E974" s="113" t="s">
        <v>1085</v>
      </c>
      <c r="F974" s="113" t="s">
        <v>917</v>
      </c>
    </row>
    <row r="975" spans="1:6" ht="14.1">
      <c r="A975" s="113" t="s">
        <v>828</v>
      </c>
      <c r="B975" s="113">
        <v>2026</v>
      </c>
      <c r="C975" s="113" t="s">
        <v>859</v>
      </c>
      <c r="D975" s="113" t="s">
        <v>1000</v>
      </c>
      <c r="E975" s="113" t="s">
        <v>991</v>
      </c>
      <c r="F975" s="113" t="s">
        <v>906</v>
      </c>
    </row>
    <row r="976" spans="1:6" ht="14.1">
      <c r="A976" s="113" t="s">
        <v>828</v>
      </c>
      <c r="B976" s="113">
        <v>2026</v>
      </c>
      <c r="C976" s="113" t="s">
        <v>859</v>
      </c>
      <c r="D976" s="113" t="s">
        <v>1082</v>
      </c>
      <c r="E976" s="113" t="s">
        <v>1095</v>
      </c>
      <c r="F976" s="113" t="s">
        <v>924</v>
      </c>
    </row>
    <row r="977" spans="1:6" ht="14.1">
      <c r="A977" s="113" t="s">
        <v>828</v>
      </c>
      <c r="B977" s="113">
        <v>2026</v>
      </c>
      <c r="C977" s="113" t="s">
        <v>872</v>
      </c>
      <c r="D977" s="113" t="s">
        <v>1013</v>
      </c>
      <c r="E977" s="113" t="s">
        <v>1094</v>
      </c>
      <c r="F977" s="113" t="s">
        <v>918</v>
      </c>
    </row>
    <row r="978" spans="1:6" ht="14.1">
      <c r="A978" s="113" t="s">
        <v>828</v>
      </c>
      <c r="B978" s="113">
        <v>2026</v>
      </c>
      <c r="C978" s="113" t="s">
        <v>872</v>
      </c>
      <c r="D978" s="113" t="s">
        <v>1013</v>
      </c>
      <c r="E978" s="113" t="s">
        <v>979</v>
      </c>
      <c r="F978" s="113" t="s">
        <v>918</v>
      </c>
    </row>
    <row r="979" spans="1:6" ht="14.1">
      <c r="A979" s="113" t="s">
        <v>828</v>
      </c>
      <c r="B979" s="113">
        <v>2026</v>
      </c>
      <c r="C979" s="113" t="s">
        <v>872</v>
      </c>
      <c r="D979" s="113" t="s">
        <v>1013</v>
      </c>
      <c r="E979" s="113" t="s">
        <v>932</v>
      </c>
      <c r="F979" s="113" t="s">
        <v>663</v>
      </c>
    </row>
    <row r="980" spans="1:6" ht="14.1">
      <c r="A980" s="113" t="s">
        <v>828</v>
      </c>
      <c r="B980" s="113">
        <v>2026</v>
      </c>
      <c r="C980" s="113" t="s">
        <v>872</v>
      </c>
      <c r="D980" s="113" t="s">
        <v>1013</v>
      </c>
      <c r="E980" s="113" t="s">
        <v>1087</v>
      </c>
      <c r="F980" s="113" t="s">
        <v>663</v>
      </c>
    </row>
    <row r="981" spans="1:6" ht="14.1">
      <c r="A981" s="113" t="s">
        <v>828</v>
      </c>
      <c r="B981" s="113">
        <v>2026</v>
      </c>
      <c r="C981" s="113" t="s">
        <v>872</v>
      </c>
      <c r="D981" s="113" t="s">
        <v>1013</v>
      </c>
      <c r="E981" s="113" t="s">
        <v>1028</v>
      </c>
      <c r="F981" s="113" t="s">
        <v>906</v>
      </c>
    </row>
    <row r="982" spans="1:6" ht="14.1">
      <c r="A982" s="113" t="s">
        <v>828</v>
      </c>
      <c r="B982" s="113">
        <v>2026</v>
      </c>
      <c r="C982" s="113" t="s">
        <v>872</v>
      </c>
      <c r="D982" s="113" t="s">
        <v>1013</v>
      </c>
      <c r="E982" s="113" t="s">
        <v>1053</v>
      </c>
      <c r="F982" s="113" t="s">
        <v>909</v>
      </c>
    </row>
    <row r="983" spans="1:6" ht="14.1">
      <c r="A983" s="113" t="s">
        <v>828</v>
      </c>
      <c r="B983" s="113">
        <v>2026</v>
      </c>
      <c r="C983" s="113" t="s">
        <v>872</v>
      </c>
      <c r="D983" s="113" t="s">
        <v>1013</v>
      </c>
      <c r="E983" s="113" t="s">
        <v>1057</v>
      </c>
      <c r="F983" s="113" t="s">
        <v>915</v>
      </c>
    </row>
    <row r="984" spans="1:6" ht="14.1">
      <c r="A984" s="113" t="s">
        <v>828</v>
      </c>
      <c r="B984" s="113">
        <v>2026</v>
      </c>
      <c r="C984" s="113" t="s">
        <v>872</v>
      </c>
      <c r="D984" s="113" t="s">
        <v>1012</v>
      </c>
      <c r="E984" s="113" t="s">
        <v>1057</v>
      </c>
      <c r="F984" s="113" t="s">
        <v>915</v>
      </c>
    </row>
    <row r="985" spans="1:6" ht="14.1">
      <c r="A985" s="113" t="s">
        <v>828</v>
      </c>
      <c r="B985" s="113">
        <v>2026</v>
      </c>
      <c r="C985" s="113" t="s">
        <v>872</v>
      </c>
      <c r="D985" s="113" t="s">
        <v>1012</v>
      </c>
      <c r="E985" s="113" t="s">
        <v>1057</v>
      </c>
      <c r="F985" s="113" t="s">
        <v>915</v>
      </c>
    </row>
    <row r="986" spans="1:6" ht="14.1">
      <c r="A986" s="113" t="s">
        <v>828</v>
      </c>
      <c r="B986" s="113">
        <v>2026</v>
      </c>
      <c r="C986" s="113" t="s">
        <v>1024</v>
      </c>
      <c r="D986" s="113" t="s">
        <v>1026</v>
      </c>
      <c r="E986" s="113" t="s">
        <v>1020</v>
      </c>
      <c r="F986" s="113" t="s">
        <v>909</v>
      </c>
    </row>
    <row r="987" spans="1:6" ht="14.1">
      <c r="A987" s="113" t="s">
        <v>828</v>
      </c>
      <c r="B987" s="113">
        <v>2026</v>
      </c>
      <c r="C987" s="113" t="s">
        <v>1024</v>
      </c>
      <c r="D987" s="113" t="s">
        <v>1025</v>
      </c>
      <c r="E987" s="113" t="s">
        <v>944</v>
      </c>
      <c r="F987" s="113" t="s">
        <v>913</v>
      </c>
    </row>
    <row r="988" spans="1:6" ht="14.1">
      <c r="A988" s="113" t="s">
        <v>828</v>
      </c>
      <c r="B988" s="113">
        <v>2026</v>
      </c>
      <c r="C988" s="113" t="s">
        <v>1024</v>
      </c>
      <c r="D988" s="113" t="s">
        <v>1027</v>
      </c>
      <c r="E988" s="113" t="s">
        <v>1016</v>
      </c>
      <c r="F988" s="113" t="s">
        <v>922</v>
      </c>
    </row>
    <row r="989" spans="1:6" ht="14.1">
      <c r="A989" s="113" t="s">
        <v>828</v>
      </c>
      <c r="B989" s="113">
        <v>2026</v>
      </c>
      <c r="C989" s="113" t="s">
        <v>1024</v>
      </c>
      <c r="D989" s="113" t="s">
        <v>1025</v>
      </c>
      <c r="E989" s="113" t="s">
        <v>1108</v>
      </c>
      <c r="F989" s="113" t="s">
        <v>915</v>
      </c>
    </row>
    <row r="990" spans="1:6" ht="14.1">
      <c r="A990" s="113" t="s">
        <v>828</v>
      </c>
      <c r="B990" s="113">
        <v>2026</v>
      </c>
      <c r="C990" s="113" t="s">
        <v>1024</v>
      </c>
      <c r="D990" s="113" t="s">
        <v>1026</v>
      </c>
      <c r="E990" s="113" t="s">
        <v>1083</v>
      </c>
      <c r="F990" s="113" t="s">
        <v>922</v>
      </c>
    </row>
    <row r="991" spans="1:6" ht="14.1">
      <c r="A991" s="113" t="s">
        <v>828</v>
      </c>
      <c r="B991" s="113">
        <v>2026</v>
      </c>
      <c r="C991" s="113" t="s">
        <v>1024</v>
      </c>
      <c r="D991" s="113" t="s">
        <v>1025</v>
      </c>
      <c r="E991" s="113" t="s">
        <v>944</v>
      </c>
      <c r="F991" s="113" t="s">
        <v>922</v>
      </c>
    </row>
    <row r="992" spans="1:6" ht="14.1">
      <c r="A992" s="113" t="s">
        <v>828</v>
      </c>
      <c r="B992" s="113">
        <v>2026</v>
      </c>
      <c r="C992" s="113" t="s">
        <v>1024</v>
      </c>
      <c r="D992" s="113" t="s">
        <v>1027</v>
      </c>
      <c r="E992" s="113" t="s">
        <v>954</v>
      </c>
      <c r="F992" s="113" t="s">
        <v>906</v>
      </c>
    </row>
    <row r="993" spans="1:6" ht="14.1">
      <c r="A993" s="113" t="s">
        <v>828</v>
      </c>
      <c r="B993" s="113">
        <v>2026</v>
      </c>
      <c r="C993" s="113" t="s">
        <v>1024</v>
      </c>
      <c r="D993" s="113" t="s">
        <v>1026</v>
      </c>
      <c r="E993" s="113" t="s">
        <v>936</v>
      </c>
      <c r="F993" s="113" t="s">
        <v>922</v>
      </c>
    </row>
    <row r="994" spans="1:6" ht="14.1">
      <c r="A994" s="113" t="s">
        <v>828</v>
      </c>
      <c r="B994" s="113">
        <v>2026</v>
      </c>
      <c r="C994" s="113" t="s">
        <v>1024</v>
      </c>
      <c r="D994" s="113" t="s">
        <v>1027</v>
      </c>
      <c r="E994" s="113" t="s">
        <v>991</v>
      </c>
      <c r="F994" s="113" t="s">
        <v>906</v>
      </c>
    </row>
    <row r="995" spans="1:6" ht="14.1">
      <c r="A995" s="113" t="s">
        <v>828</v>
      </c>
      <c r="B995" s="113">
        <v>2026</v>
      </c>
      <c r="C995" s="113" t="s">
        <v>1024</v>
      </c>
      <c r="D995" s="113" t="s">
        <v>1027</v>
      </c>
      <c r="E995" s="113" t="s">
        <v>1036</v>
      </c>
      <c r="F995" s="113" t="s">
        <v>906</v>
      </c>
    </row>
    <row r="996" spans="1:6" ht="14.1">
      <c r="A996" s="113" t="s">
        <v>828</v>
      </c>
      <c r="B996" s="113">
        <v>2026</v>
      </c>
      <c r="C996" s="113" t="s">
        <v>1024</v>
      </c>
      <c r="D996" s="113" t="s">
        <v>1025</v>
      </c>
      <c r="E996" s="113" t="s">
        <v>944</v>
      </c>
      <c r="F996" s="113" t="s">
        <v>906</v>
      </c>
    </row>
    <row r="997" spans="1:6" ht="14.1">
      <c r="A997" s="113" t="s">
        <v>828</v>
      </c>
      <c r="B997" s="113">
        <v>2026</v>
      </c>
      <c r="C997" s="113" t="s">
        <v>1024</v>
      </c>
      <c r="D997" s="113" t="s">
        <v>1026</v>
      </c>
      <c r="E997" s="113" t="s">
        <v>971</v>
      </c>
      <c r="F997" s="113" t="s">
        <v>909</v>
      </c>
    </row>
    <row r="998" spans="1:6" ht="14.1">
      <c r="A998" s="113" t="s">
        <v>829</v>
      </c>
      <c r="B998" s="113">
        <v>2026</v>
      </c>
      <c r="C998" s="113" t="s">
        <v>821</v>
      </c>
      <c r="D998" s="113" t="s">
        <v>934</v>
      </c>
      <c r="E998" s="113" t="s">
        <v>967</v>
      </c>
      <c r="F998" s="113" t="s">
        <v>915</v>
      </c>
    </row>
    <row r="999" spans="1:6" ht="14.1">
      <c r="A999" s="153" t="s">
        <v>829</v>
      </c>
      <c r="B999" s="113">
        <v>2026</v>
      </c>
      <c r="C999" s="153" t="s">
        <v>821</v>
      </c>
      <c r="D999" s="153" t="s">
        <v>934</v>
      </c>
      <c r="E999" s="153" t="s">
        <v>973</v>
      </c>
      <c r="F999" s="153" t="s">
        <v>917</v>
      </c>
    </row>
    <row r="1000" spans="1:6" ht="14.1">
      <c r="A1000" s="113" t="s">
        <v>829</v>
      </c>
      <c r="B1000" s="113">
        <v>2026</v>
      </c>
      <c r="C1000" s="113" t="s">
        <v>821</v>
      </c>
      <c r="D1000" s="113" t="s">
        <v>132</v>
      </c>
      <c r="E1000" s="113" t="s">
        <v>989</v>
      </c>
      <c r="F1000" s="113" t="s">
        <v>935</v>
      </c>
    </row>
    <row r="1001" spans="1:6" ht="14.1">
      <c r="A1001" s="153" t="s">
        <v>829</v>
      </c>
      <c r="B1001" s="113">
        <v>2026</v>
      </c>
      <c r="C1001" s="153" t="s">
        <v>821</v>
      </c>
      <c r="D1001" s="153" t="s">
        <v>132</v>
      </c>
      <c r="E1001" s="153" t="s">
        <v>1066</v>
      </c>
      <c r="F1001" s="113" t="s">
        <v>935</v>
      </c>
    </row>
    <row r="1002" spans="1:6" ht="14.1">
      <c r="A1002" s="113" t="s">
        <v>829</v>
      </c>
      <c r="B1002" s="113">
        <v>2026</v>
      </c>
      <c r="C1002" s="113" t="s">
        <v>821</v>
      </c>
      <c r="D1002" s="113" t="s">
        <v>976</v>
      </c>
      <c r="E1002" s="113" t="s">
        <v>960</v>
      </c>
      <c r="F1002" s="113" t="s">
        <v>663</v>
      </c>
    </row>
    <row r="1003" spans="1:6" ht="14.1">
      <c r="A1003" s="153" t="s">
        <v>829</v>
      </c>
      <c r="B1003" s="113">
        <v>2026</v>
      </c>
      <c r="C1003" s="153" t="s">
        <v>821</v>
      </c>
      <c r="D1003" s="153" t="s">
        <v>934</v>
      </c>
      <c r="E1003" s="153" t="s">
        <v>930</v>
      </c>
      <c r="F1003" s="113" t="s">
        <v>906</v>
      </c>
    </row>
    <row r="1004" spans="1:6" ht="14.1">
      <c r="A1004" s="113" t="s">
        <v>829</v>
      </c>
      <c r="B1004" s="113">
        <v>2026</v>
      </c>
      <c r="C1004" s="113" t="s">
        <v>821</v>
      </c>
      <c r="D1004" s="113" t="s">
        <v>132</v>
      </c>
      <c r="E1004" s="113" t="s">
        <v>952</v>
      </c>
      <c r="F1004" s="113" t="s">
        <v>906</v>
      </c>
    </row>
    <row r="1005" spans="1:6" ht="14.1">
      <c r="A1005" s="153" t="s">
        <v>829</v>
      </c>
      <c r="B1005" s="113">
        <v>2026</v>
      </c>
      <c r="C1005" s="153" t="s">
        <v>821</v>
      </c>
      <c r="D1005" s="153" t="s">
        <v>931</v>
      </c>
      <c r="E1005" s="153" t="s">
        <v>930</v>
      </c>
      <c r="F1005" s="113" t="s">
        <v>906</v>
      </c>
    </row>
    <row r="1006" spans="1:6" ht="14.1">
      <c r="A1006" s="113" t="s">
        <v>829</v>
      </c>
      <c r="B1006" s="113">
        <v>2026</v>
      </c>
      <c r="C1006" s="113" t="s">
        <v>821</v>
      </c>
      <c r="D1006" s="113" t="s">
        <v>934</v>
      </c>
      <c r="E1006" s="113" t="s">
        <v>943</v>
      </c>
      <c r="F1006" s="113" t="s">
        <v>917</v>
      </c>
    </row>
    <row r="1007" spans="1:6" ht="14.1">
      <c r="A1007" s="153" t="s">
        <v>829</v>
      </c>
      <c r="B1007" s="113">
        <v>2026</v>
      </c>
      <c r="C1007" s="153" t="s">
        <v>821</v>
      </c>
      <c r="D1007" s="153" t="s">
        <v>931</v>
      </c>
      <c r="E1007" s="153" t="s">
        <v>1006</v>
      </c>
      <c r="F1007" s="113" t="s">
        <v>917</v>
      </c>
    </row>
    <row r="1008" spans="1:6" ht="14.1">
      <c r="A1008" s="113" t="s">
        <v>829</v>
      </c>
      <c r="B1008" s="113">
        <v>2026</v>
      </c>
      <c r="C1008" s="113" t="s">
        <v>821</v>
      </c>
      <c r="D1008" s="113" t="s">
        <v>931</v>
      </c>
      <c r="E1008" s="113" t="s">
        <v>937</v>
      </c>
      <c r="F1008" s="113" t="s">
        <v>917</v>
      </c>
    </row>
    <row r="1009" spans="1:6" ht="14.1">
      <c r="A1009" s="153" t="s">
        <v>829</v>
      </c>
      <c r="B1009" s="113">
        <v>2026</v>
      </c>
      <c r="C1009" s="153" t="s">
        <v>821</v>
      </c>
      <c r="D1009" s="153" t="s">
        <v>216</v>
      </c>
      <c r="E1009" s="153" t="s">
        <v>1058</v>
      </c>
      <c r="F1009" s="153" t="s">
        <v>783</v>
      </c>
    </row>
    <row r="1010" spans="1:6" ht="14.1">
      <c r="A1010" s="113" t="s">
        <v>829</v>
      </c>
      <c r="B1010" s="113">
        <v>2026</v>
      </c>
      <c r="C1010" s="113" t="s">
        <v>821</v>
      </c>
      <c r="D1010" s="113" t="s">
        <v>934</v>
      </c>
      <c r="E1010" s="113" t="s">
        <v>991</v>
      </c>
      <c r="F1010" s="113" t="s">
        <v>906</v>
      </c>
    </row>
    <row r="1011" spans="1:6" ht="14.1">
      <c r="A1011" s="153" t="s">
        <v>829</v>
      </c>
      <c r="B1011" s="113">
        <v>2026</v>
      </c>
      <c r="C1011" s="153" t="s">
        <v>821</v>
      </c>
      <c r="D1011" s="153" t="s">
        <v>132</v>
      </c>
      <c r="E1011" s="153" t="s">
        <v>1028</v>
      </c>
      <c r="F1011" s="113" t="s">
        <v>906</v>
      </c>
    </row>
    <row r="1012" spans="1:6" ht="14.1">
      <c r="A1012" s="113" t="s">
        <v>829</v>
      </c>
      <c r="B1012" s="113">
        <v>2026</v>
      </c>
      <c r="C1012" s="113" t="s">
        <v>821</v>
      </c>
      <c r="D1012" s="113" t="s">
        <v>934</v>
      </c>
      <c r="E1012" s="113" t="s">
        <v>989</v>
      </c>
      <c r="F1012" s="113" t="s">
        <v>935</v>
      </c>
    </row>
    <row r="1013" spans="1:6" ht="14.1">
      <c r="A1013" s="153" t="s">
        <v>829</v>
      </c>
      <c r="B1013" s="113">
        <v>2026</v>
      </c>
      <c r="C1013" s="153" t="s">
        <v>821</v>
      </c>
      <c r="D1013" s="153" t="s">
        <v>976</v>
      </c>
      <c r="E1013" s="153" t="s">
        <v>1036</v>
      </c>
      <c r="F1013" s="113" t="s">
        <v>906</v>
      </c>
    </row>
    <row r="1014" spans="1:6" ht="14.1">
      <c r="A1014" s="113" t="s">
        <v>829</v>
      </c>
      <c r="B1014" s="113">
        <v>2026</v>
      </c>
      <c r="C1014" s="113" t="s">
        <v>821</v>
      </c>
      <c r="D1014" s="113" t="s">
        <v>976</v>
      </c>
      <c r="E1014" s="113" t="s">
        <v>981</v>
      </c>
      <c r="F1014" s="113" t="s">
        <v>906</v>
      </c>
    </row>
    <row r="1015" spans="1:6" ht="14.1">
      <c r="A1015" s="153" t="s">
        <v>829</v>
      </c>
      <c r="B1015" s="113">
        <v>2026</v>
      </c>
      <c r="C1015" s="153" t="s">
        <v>821</v>
      </c>
      <c r="D1015" s="153" t="s">
        <v>934</v>
      </c>
      <c r="E1015" s="153" t="s">
        <v>1122</v>
      </c>
      <c r="F1015" s="113" t="s">
        <v>935</v>
      </c>
    </row>
    <row r="1016" spans="1:6" ht="14.1">
      <c r="A1016" s="113" t="s">
        <v>829</v>
      </c>
      <c r="B1016" s="113">
        <v>2026</v>
      </c>
      <c r="C1016" s="113" t="s">
        <v>821</v>
      </c>
      <c r="D1016" s="113" t="s">
        <v>216</v>
      </c>
      <c r="E1016" s="113" t="s">
        <v>1123</v>
      </c>
      <c r="F1016" s="113" t="s">
        <v>783</v>
      </c>
    </row>
    <row r="1017" spans="1:6" ht="14.1">
      <c r="A1017" s="153" t="s">
        <v>829</v>
      </c>
      <c r="B1017" s="113">
        <v>2026</v>
      </c>
      <c r="C1017" s="153" t="s">
        <v>821</v>
      </c>
      <c r="D1017" s="153" t="s">
        <v>931</v>
      </c>
      <c r="E1017" s="153" t="s">
        <v>1040</v>
      </c>
      <c r="F1017" s="113" t="s">
        <v>906</v>
      </c>
    </row>
    <row r="1018" spans="1:6" ht="14.1">
      <c r="A1018" s="113" t="s">
        <v>829</v>
      </c>
      <c r="B1018" s="113">
        <v>2026</v>
      </c>
      <c r="C1018" s="113" t="s">
        <v>821</v>
      </c>
      <c r="D1018" s="113" t="s">
        <v>934</v>
      </c>
      <c r="E1018" s="113" t="s">
        <v>1059</v>
      </c>
      <c r="F1018" s="113" t="s">
        <v>922</v>
      </c>
    </row>
    <row r="1019" spans="1:6" ht="14.1">
      <c r="A1019" s="153" t="s">
        <v>829</v>
      </c>
      <c r="B1019" s="113">
        <v>2026</v>
      </c>
      <c r="C1019" s="153" t="s">
        <v>821</v>
      </c>
      <c r="D1019" s="153" t="s">
        <v>934</v>
      </c>
      <c r="E1019" s="153" t="s">
        <v>1058</v>
      </c>
      <c r="F1019" s="113" t="s">
        <v>922</v>
      </c>
    </row>
    <row r="1020" spans="1:6" ht="14.1">
      <c r="A1020" s="113" t="s">
        <v>829</v>
      </c>
      <c r="B1020" s="113">
        <v>2026</v>
      </c>
      <c r="C1020" s="113" t="s">
        <v>821</v>
      </c>
      <c r="D1020" s="113" t="s">
        <v>934</v>
      </c>
      <c r="E1020" s="113" t="s">
        <v>1124</v>
      </c>
      <c r="F1020" s="113" t="s">
        <v>483</v>
      </c>
    </row>
    <row r="1021" spans="1:6" ht="14.1">
      <c r="A1021" s="153" t="s">
        <v>829</v>
      </c>
      <c r="B1021" s="113">
        <v>2026</v>
      </c>
      <c r="C1021" s="153" t="s">
        <v>821</v>
      </c>
      <c r="D1021" s="153" t="s">
        <v>934</v>
      </c>
      <c r="E1021" s="153" t="s">
        <v>1037</v>
      </c>
      <c r="F1021" s="113" t="s">
        <v>917</v>
      </c>
    </row>
    <row r="1022" spans="1:6" ht="14.1">
      <c r="A1022" s="113" t="s">
        <v>829</v>
      </c>
      <c r="B1022" s="113">
        <v>2026</v>
      </c>
      <c r="C1022" s="113" t="s">
        <v>821</v>
      </c>
      <c r="D1022" s="113" t="s">
        <v>934</v>
      </c>
      <c r="E1022" s="113" t="s">
        <v>1058</v>
      </c>
      <c r="F1022" s="113" t="s">
        <v>915</v>
      </c>
    </row>
    <row r="1023" spans="1:6" ht="14.1">
      <c r="A1023" s="153" t="s">
        <v>829</v>
      </c>
      <c r="B1023" s="113">
        <v>2026</v>
      </c>
      <c r="C1023" s="153" t="s">
        <v>821</v>
      </c>
      <c r="D1023" s="153" t="s">
        <v>931</v>
      </c>
      <c r="E1023" s="153" t="s">
        <v>1125</v>
      </c>
      <c r="F1023" s="113" t="s">
        <v>483</v>
      </c>
    </row>
    <row r="1024" spans="1:6" ht="14.1">
      <c r="A1024" s="113" t="s">
        <v>829</v>
      </c>
      <c r="B1024" s="113">
        <v>2026</v>
      </c>
      <c r="C1024" s="113" t="s">
        <v>821</v>
      </c>
      <c r="D1024" s="113" t="s">
        <v>934</v>
      </c>
      <c r="E1024" s="113" t="s">
        <v>1041</v>
      </c>
      <c r="F1024" s="113" t="s">
        <v>906</v>
      </c>
    </row>
    <row r="1025" spans="1:6" ht="14.1">
      <c r="A1025" s="153" t="s">
        <v>829</v>
      </c>
      <c r="B1025" s="113">
        <v>2026</v>
      </c>
      <c r="C1025" s="153" t="s">
        <v>821</v>
      </c>
      <c r="D1025" s="153" t="s">
        <v>132</v>
      </c>
      <c r="E1025" s="153" t="s">
        <v>1058</v>
      </c>
      <c r="F1025" s="113" t="s">
        <v>917</v>
      </c>
    </row>
    <row r="1026" spans="1:6" ht="14.1">
      <c r="A1026" s="113" t="s">
        <v>829</v>
      </c>
      <c r="B1026" s="113">
        <v>2026</v>
      </c>
      <c r="C1026" s="113" t="s">
        <v>821</v>
      </c>
      <c r="D1026" s="113" t="s">
        <v>216</v>
      </c>
      <c r="E1026" s="113" t="s">
        <v>1058</v>
      </c>
      <c r="F1026" s="113" t="s">
        <v>915</v>
      </c>
    </row>
    <row r="1027" spans="1:6" ht="14.1">
      <c r="A1027" s="153" t="s">
        <v>829</v>
      </c>
      <c r="B1027" s="113">
        <v>2026</v>
      </c>
      <c r="C1027" s="153" t="s">
        <v>821</v>
      </c>
      <c r="D1027" s="153" t="s">
        <v>216</v>
      </c>
      <c r="E1027" s="153" t="s">
        <v>1058</v>
      </c>
      <c r="F1027" s="153" t="s">
        <v>783</v>
      </c>
    </row>
    <row r="1028" spans="1:6" ht="14.1">
      <c r="A1028" s="113" t="s">
        <v>829</v>
      </c>
      <c r="B1028" s="113">
        <v>2026</v>
      </c>
      <c r="C1028" s="113" t="s">
        <v>821</v>
      </c>
      <c r="D1028" s="113" t="s">
        <v>934</v>
      </c>
      <c r="E1028" s="113" t="s">
        <v>950</v>
      </c>
      <c r="F1028" s="113" t="s">
        <v>783</v>
      </c>
    </row>
    <row r="1029" spans="1:6" ht="14.1">
      <c r="A1029" s="153" t="s">
        <v>829</v>
      </c>
      <c r="B1029" s="113">
        <v>2026</v>
      </c>
      <c r="C1029" s="153" t="s">
        <v>821</v>
      </c>
      <c r="D1029" s="153" t="s">
        <v>132</v>
      </c>
      <c r="E1029" s="153" t="s">
        <v>1065</v>
      </c>
      <c r="F1029" s="153" t="s">
        <v>924</v>
      </c>
    </row>
    <row r="1030" spans="1:6" ht="14.1">
      <c r="A1030" s="113" t="s">
        <v>829</v>
      </c>
      <c r="B1030" s="113">
        <v>2026</v>
      </c>
      <c r="C1030" s="113" t="s">
        <v>821</v>
      </c>
      <c r="D1030" s="113" t="s">
        <v>216</v>
      </c>
      <c r="E1030" s="113" t="s">
        <v>1058</v>
      </c>
      <c r="F1030" s="113" t="s">
        <v>783</v>
      </c>
    </row>
    <row r="1031" spans="1:6" ht="14.1">
      <c r="A1031" s="153" t="s">
        <v>829</v>
      </c>
      <c r="B1031" s="113">
        <v>2026</v>
      </c>
      <c r="C1031" s="153" t="s">
        <v>821</v>
      </c>
      <c r="D1031" s="153" t="s">
        <v>934</v>
      </c>
      <c r="E1031" s="153" t="s">
        <v>1058</v>
      </c>
      <c r="F1031" s="153" t="s">
        <v>915</v>
      </c>
    </row>
    <row r="1032" spans="1:6" ht="14.1">
      <c r="A1032" s="113" t="s">
        <v>829</v>
      </c>
      <c r="B1032" s="113">
        <v>2026</v>
      </c>
      <c r="C1032" s="113" t="s">
        <v>821</v>
      </c>
      <c r="D1032" s="113" t="s">
        <v>934</v>
      </c>
      <c r="E1032" s="113" t="s">
        <v>974</v>
      </c>
      <c r="F1032" s="113" t="s">
        <v>917</v>
      </c>
    </row>
    <row r="1033" spans="1:6" ht="14.1">
      <c r="A1033" s="153" t="s">
        <v>829</v>
      </c>
      <c r="B1033" s="113">
        <v>2026</v>
      </c>
      <c r="C1033" s="153" t="s">
        <v>821</v>
      </c>
      <c r="D1033" s="153" t="s">
        <v>934</v>
      </c>
      <c r="E1033" s="153" t="s">
        <v>1093</v>
      </c>
      <c r="F1033" s="113" t="s">
        <v>911</v>
      </c>
    </row>
    <row r="1034" spans="1:6" ht="14.1">
      <c r="A1034" s="113" t="s">
        <v>829</v>
      </c>
      <c r="B1034" s="113">
        <v>2026</v>
      </c>
      <c r="C1034" s="113" t="s">
        <v>821</v>
      </c>
      <c r="D1034" s="113" t="s">
        <v>934</v>
      </c>
      <c r="E1034" s="113" t="s">
        <v>1086</v>
      </c>
      <c r="F1034" s="113" t="s">
        <v>911</v>
      </c>
    </row>
    <row r="1035" spans="1:6" ht="14.1">
      <c r="A1035" s="153" t="s">
        <v>829</v>
      </c>
      <c r="B1035" s="113">
        <v>2026</v>
      </c>
      <c r="C1035" s="153" t="s">
        <v>821</v>
      </c>
      <c r="D1035" s="153" t="s">
        <v>931</v>
      </c>
      <c r="E1035" s="153" t="s">
        <v>2</v>
      </c>
      <c r="F1035" s="113" t="s">
        <v>911</v>
      </c>
    </row>
    <row r="1036" spans="1:6" ht="14.1">
      <c r="A1036" s="113" t="s">
        <v>829</v>
      </c>
      <c r="B1036" s="113">
        <v>2026</v>
      </c>
      <c r="C1036" s="113" t="s">
        <v>821</v>
      </c>
      <c r="D1036" s="113" t="s">
        <v>216</v>
      </c>
      <c r="E1036" s="113" t="s">
        <v>1058</v>
      </c>
      <c r="F1036" s="113" t="s">
        <v>906</v>
      </c>
    </row>
    <row r="1037" spans="1:6" ht="14.1">
      <c r="A1037" s="153" t="s">
        <v>829</v>
      </c>
      <c r="B1037" s="113">
        <v>2026</v>
      </c>
      <c r="C1037" s="153" t="s">
        <v>821</v>
      </c>
      <c r="D1037" s="153" t="s">
        <v>216</v>
      </c>
      <c r="E1037" s="153" t="s">
        <v>1058</v>
      </c>
      <c r="F1037" s="153" t="s">
        <v>783</v>
      </c>
    </row>
    <row r="1038" spans="1:6" ht="14.1">
      <c r="A1038" s="113" t="s">
        <v>829</v>
      </c>
      <c r="B1038" s="113">
        <v>2026</v>
      </c>
      <c r="C1038" s="113" t="s">
        <v>821</v>
      </c>
      <c r="D1038" s="113" t="s">
        <v>132</v>
      </c>
      <c r="E1038" s="113" t="s">
        <v>1058</v>
      </c>
      <c r="F1038" s="113" t="s">
        <v>783</v>
      </c>
    </row>
    <row r="1039" spans="1:6" ht="14.1">
      <c r="A1039" s="153" t="s">
        <v>829</v>
      </c>
      <c r="B1039" s="113">
        <v>2026</v>
      </c>
      <c r="C1039" s="153" t="s">
        <v>821</v>
      </c>
      <c r="D1039" s="153" t="s">
        <v>934</v>
      </c>
      <c r="E1039" s="153" t="s">
        <v>1056</v>
      </c>
      <c r="F1039" s="153" t="s">
        <v>783</v>
      </c>
    </row>
    <row r="1040" spans="1:6" ht="14.1">
      <c r="A1040" s="113" t="s">
        <v>829</v>
      </c>
      <c r="B1040" s="113">
        <v>2026</v>
      </c>
      <c r="C1040" s="113" t="s">
        <v>821</v>
      </c>
      <c r="D1040" s="113" t="s">
        <v>934</v>
      </c>
      <c r="E1040" s="113" t="s">
        <v>1126</v>
      </c>
      <c r="F1040" s="113" t="s">
        <v>483</v>
      </c>
    </row>
    <row r="1041" spans="1:6" ht="14.1">
      <c r="A1041" s="153" t="s">
        <v>829</v>
      </c>
      <c r="B1041" s="113">
        <v>2026</v>
      </c>
      <c r="C1041" s="153" t="s">
        <v>821</v>
      </c>
      <c r="D1041" s="153" t="s">
        <v>931</v>
      </c>
      <c r="E1041" s="153" t="s">
        <v>951</v>
      </c>
      <c r="F1041" s="113" t="s">
        <v>917</v>
      </c>
    </row>
    <row r="1042" spans="1:6" ht="14.1">
      <c r="A1042" s="113" t="s">
        <v>829</v>
      </c>
      <c r="B1042" s="113">
        <v>2026</v>
      </c>
      <c r="C1042" s="113" t="s">
        <v>821</v>
      </c>
      <c r="D1042" s="113" t="s">
        <v>934</v>
      </c>
      <c r="E1042" s="113" t="s">
        <v>1036</v>
      </c>
      <c r="F1042" s="113" t="s">
        <v>906</v>
      </c>
    </row>
    <row r="1043" spans="1:6" ht="14.1">
      <c r="A1043" s="153" t="s">
        <v>829</v>
      </c>
      <c r="B1043" s="113">
        <v>2026</v>
      </c>
      <c r="C1043" s="153" t="s">
        <v>821</v>
      </c>
      <c r="D1043" s="153" t="s">
        <v>934</v>
      </c>
      <c r="E1043" s="153" t="s">
        <v>944</v>
      </c>
      <c r="F1043" s="113" t="s">
        <v>906</v>
      </c>
    </row>
    <row r="1044" spans="1:6" ht="14.45">
      <c r="A1044" s="113" t="s">
        <v>829</v>
      </c>
      <c r="B1044" s="113">
        <v>2026</v>
      </c>
      <c r="C1044" s="113" t="s">
        <v>821</v>
      </c>
      <c r="D1044" s="113" t="s">
        <v>216</v>
      </c>
      <c r="E1044" s="284" t="s">
        <v>944</v>
      </c>
      <c r="F1044" s="113" t="s">
        <v>906</v>
      </c>
    </row>
    <row r="1045" spans="1:6" ht="14.1">
      <c r="A1045" s="153" t="s">
        <v>829</v>
      </c>
      <c r="B1045" s="113">
        <v>2026</v>
      </c>
      <c r="C1045" s="153" t="s">
        <v>821</v>
      </c>
      <c r="D1045" s="153" t="s">
        <v>934</v>
      </c>
      <c r="E1045" s="153" t="s">
        <v>1058</v>
      </c>
      <c r="F1045" s="113" t="s">
        <v>906</v>
      </c>
    </row>
    <row r="1046" spans="1:6" ht="14.1">
      <c r="A1046" s="113" t="s">
        <v>829</v>
      </c>
      <c r="B1046" s="113">
        <v>2026</v>
      </c>
      <c r="C1046" s="113" t="s">
        <v>821</v>
      </c>
      <c r="D1046" s="113" t="s">
        <v>934</v>
      </c>
      <c r="E1046" s="113" t="s">
        <v>942</v>
      </c>
      <c r="F1046" s="113" t="s">
        <v>918</v>
      </c>
    </row>
    <row r="1047" spans="1:6" ht="14.1">
      <c r="A1047" s="153" t="s">
        <v>829</v>
      </c>
      <c r="B1047" s="113">
        <v>2026</v>
      </c>
      <c r="C1047" s="153" t="s">
        <v>821</v>
      </c>
      <c r="D1047" s="153" t="s">
        <v>931</v>
      </c>
      <c r="E1047" s="153" t="s">
        <v>1112</v>
      </c>
      <c r="F1047" s="113" t="s">
        <v>918</v>
      </c>
    </row>
    <row r="1048" spans="1:6" ht="14.1">
      <c r="A1048" s="113" t="s">
        <v>829</v>
      </c>
      <c r="B1048" s="113">
        <v>2026</v>
      </c>
      <c r="C1048" s="113" t="s">
        <v>821</v>
      </c>
      <c r="D1048" s="113" t="s">
        <v>934</v>
      </c>
      <c r="E1048" s="113" t="s">
        <v>1058</v>
      </c>
      <c r="F1048" s="113" t="s">
        <v>917</v>
      </c>
    </row>
    <row r="1049" spans="1:6" ht="14.1">
      <c r="A1049" s="153" t="s">
        <v>829</v>
      </c>
      <c r="B1049" s="113">
        <v>2026</v>
      </c>
      <c r="C1049" s="153" t="s">
        <v>821</v>
      </c>
      <c r="D1049" s="153" t="s">
        <v>132</v>
      </c>
      <c r="E1049" s="153" t="s">
        <v>1040</v>
      </c>
      <c r="F1049" s="113" t="s">
        <v>906</v>
      </c>
    </row>
    <row r="1050" spans="1:6" ht="14.1">
      <c r="A1050" s="113" t="s">
        <v>829</v>
      </c>
      <c r="B1050" s="113">
        <v>2026</v>
      </c>
      <c r="C1050" s="113" t="s">
        <v>821</v>
      </c>
      <c r="D1050" s="113" t="s">
        <v>216</v>
      </c>
      <c r="E1050" s="113" t="s">
        <v>1014</v>
      </c>
      <c r="F1050" s="113" t="s">
        <v>906</v>
      </c>
    </row>
    <row r="1051" spans="1:6" ht="14.1">
      <c r="A1051" s="153" t="s">
        <v>829</v>
      </c>
      <c r="B1051" s="113">
        <v>2026</v>
      </c>
      <c r="C1051" s="153" t="s">
        <v>821</v>
      </c>
      <c r="D1051" s="153" t="s">
        <v>132</v>
      </c>
      <c r="E1051" s="153" t="s">
        <v>1058</v>
      </c>
      <c r="F1051" s="153" t="s">
        <v>783</v>
      </c>
    </row>
    <row r="1052" spans="1:6" ht="14.1">
      <c r="A1052" s="113" t="s">
        <v>829</v>
      </c>
      <c r="B1052" s="113">
        <v>2026</v>
      </c>
      <c r="C1052" s="113" t="s">
        <v>821</v>
      </c>
      <c r="D1052" s="113" t="s">
        <v>934</v>
      </c>
      <c r="E1052" s="113" t="s">
        <v>1058</v>
      </c>
      <c r="F1052" s="113" t="s">
        <v>783</v>
      </c>
    </row>
    <row r="1053" spans="1:6" ht="14.1">
      <c r="A1053" s="153" t="s">
        <v>829</v>
      </c>
      <c r="B1053" s="113">
        <v>2026</v>
      </c>
      <c r="C1053" s="153" t="s">
        <v>821</v>
      </c>
      <c r="D1053" s="153" t="s">
        <v>934</v>
      </c>
      <c r="E1053" s="153" t="s">
        <v>936</v>
      </c>
      <c r="F1053" s="153" t="s">
        <v>783</v>
      </c>
    </row>
    <row r="1054" spans="1:6" ht="14.1">
      <c r="A1054" s="113" t="s">
        <v>829</v>
      </c>
      <c r="B1054" s="113">
        <v>2026</v>
      </c>
      <c r="C1054" s="113" t="s">
        <v>821</v>
      </c>
      <c r="D1054" s="113" t="s">
        <v>934</v>
      </c>
      <c r="E1054" s="113" t="s">
        <v>1016</v>
      </c>
      <c r="F1054" s="113" t="s">
        <v>783</v>
      </c>
    </row>
    <row r="1055" spans="1:6" ht="14.1">
      <c r="A1055" s="153" t="s">
        <v>829</v>
      </c>
      <c r="B1055" s="113">
        <v>2026</v>
      </c>
      <c r="C1055" s="153" t="s">
        <v>821</v>
      </c>
      <c r="D1055" s="153" t="s">
        <v>216</v>
      </c>
      <c r="E1055" s="153" t="s">
        <v>1058</v>
      </c>
      <c r="F1055" s="153" t="s">
        <v>783</v>
      </c>
    </row>
    <row r="1056" spans="1:6" ht="14.1">
      <c r="A1056" s="113" t="s">
        <v>829</v>
      </c>
      <c r="B1056" s="113">
        <v>2026</v>
      </c>
      <c r="C1056" s="113" t="s">
        <v>821</v>
      </c>
      <c r="D1056" s="113" t="s">
        <v>934</v>
      </c>
      <c r="E1056" s="113" t="s">
        <v>1058</v>
      </c>
      <c r="F1056" s="113" t="s">
        <v>915</v>
      </c>
    </row>
    <row r="1057" spans="1:6" ht="14.1">
      <c r="A1057" s="153" t="s">
        <v>829</v>
      </c>
      <c r="B1057" s="113">
        <v>2026</v>
      </c>
      <c r="C1057" s="153" t="s">
        <v>821</v>
      </c>
      <c r="D1057" s="153" t="s">
        <v>216</v>
      </c>
      <c r="E1057" s="153" t="s">
        <v>2</v>
      </c>
      <c r="F1057" s="113" t="s">
        <v>935</v>
      </c>
    </row>
    <row r="1058" spans="1:6" ht="14.1">
      <c r="A1058" s="113" t="s">
        <v>829</v>
      </c>
      <c r="B1058" s="113">
        <v>2026</v>
      </c>
      <c r="C1058" s="113" t="s">
        <v>821</v>
      </c>
      <c r="D1058" s="113" t="s">
        <v>934</v>
      </c>
      <c r="E1058" s="113" t="s">
        <v>1058</v>
      </c>
      <c r="F1058" s="113" t="s">
        <v>915</v>
      </c>
    </row>
    <row r="1059" spans="1:6" ht="14.1">
      <c r="A1059" s="153" t="s">
        <v>829</v>
      </c>
      <c r="B1059" s="113">
        <v>2026</v>
      </c>
      <c r="C1059" s="153" t="s">
        <v>821</v>
      </c>
      <c r="D1059" s="153" t="s">
        <v>934</v>
      </c>
      <c r="E1059" s="153" t="s">
        <v>1079</v>
      </c>
      <c r="F1059" s="153" t="s">
        <v>915</v>
      </c>
    </row>
    <row r="1060" spans="1:6" ht="14.1">
      <c r="A1060" s="113" t="s">
        <v>829</v>
      </c>
      <c r="B1060" s="113">
        <v>2026</v>
      </c>
      <c r="C1060" s="113" t="s">
        <v>821</v>
      </c>
      <c r="D1060" s="113" t="s">
        <v>934</v>
      </c>
      <c r="E1060" s="113" t="s">
        <v>1109</v>
      </c>
      <c r="F1060" s="113" t="s">
        <v>911</v>
      </c>
    </row>
    <row r="1061" spans="1:6" ht="14.1">
      <c r="A1061" s="153" t="s">
        <v>829</v>
      </c>
      <c r="B1061" s="113">
        <v>2026</v>
      </c>
      <c r="C1061" s="153" t="s">
        <v>821</v>
      </c>
      <c r="D1061" s="153" t="s">
        <v>934</v>
      </c>
      <c r="E1061" s="153" t="s">
        <v>1048</v>
      </c>
      <c r="F1061" s="113" t="s">
        <v>917</v>
      </c>
    </row>
    <row r="1062" spans="1:6" ht="14.1">
      <c r="A1062" s="113" t="s">
        <v>829</v>
      </c>
      <c r="B1062" s="113">
        <v>2026</v>
      </c>
      <c r="C1062" s="113" t="s">
        <v>821</v>
      </c>
      <c r="D1062" s="113" t="s">
        <v>132</v>
      </c>
      <c r="E1062" s="113" t="s">
        <v>1048</v>
      </c>
      <c r="F1062" s="113" t="s">
        <v>917</v>
      </c>
    </row>
    <row r="1063" spans="1:6" ht="14.1">
      <c r="A1063" s="153" t="s">
        <v>829</v>
      </c>
      <c r="B1063" s="113">
        <v>2026</v>
      </c>
      <c r="C1063" s="153" t="s">
        <v>821</v>
      </c>
      <c r="D1063" s="153" t="s">
        <v>934</v>
      </c>
      <c r="E1063" s="153" t="s">
        <v>1036</v>
      </c>
      <c r="F1063" s="113" t="s">
        <v>906</v>
      </c>
    </row>
    <row r="1064" spans="1:6" ht="14.1">
      <c r="A1064" s="113" t="s">
        <v>829</v>
      </c>
      <c r="B1064" s="113">
        <v>2026</v>
      </c>
      <c r="C1064" s="113" t="s">
        <v>821</v>
      </c>
      <c r="D1064" s="113" t="s">
        <v>132</v>
      </c>
      <c r="E1064" s="113" t="s">
        <v>1111</v>
      </c>
      <c r="F1064" s="113" t="s">
        <v>918</v>
      </c>
    </row>
    <row r="1065" spans="1:6" ht="14.1">
      <c r="A1065" s="153" t="s">
        <v>829</v>
      </c>
      <c r="B1065" s="113">
        <v>2026</v>
      </c>
      <c r="C1065" s="153" t="s">
        <v>821</v>
      </c>
      <c r="D1065" s="153" t="s">
        <v>934</v>
      </c>
      <c r="E1065" s="153" t="s">
        <v>985</v>
      </c>
      <c r="F1065" s="113" t="s">
        <v>918</v>
      </c>
    </row>
    <row r="1066" spans="1:6" ht="14.1">
      <c r="A1066" s="113" t="s">
        <v>829</v>
      </c>
      <c r="B1066" s="113">
        <v>2026</v>
      </c>
      <c r="C1066" s="113" t="s">
        <v>821</v>
      </c>
      <c r="D1066" s="113" t="s">
        <v>934</v>
      </c>
      <c r="E1066" s="113" t="s">
        <v>1090</v>
      </c>
      <c r="F1066" s="113" t="s">
        <v>935</v>
      </c>
    </row>
    <row r="1067" spans="1:6" ht="14.1">
      <c r="A1067" s="153" t="s">
        <v>829</v>
      </c>
      <c r="B1067" s="113">
        <v>2026</v>
      </c>
      <c r="C1067" s="153" t="s">
        <v>821</v>
      </c>
      <c r="D1067" s="153" t="s">
        <v>934</v>
      </c>
      <c r="E1067" s="153" t="s">
        <v>1058</v>
      </c>
      <c r="F1067" s="113" t="s">
        <v>906</v>
      </c>
    </row>
    <row r="1068" spans="1:6" ht="14.1">
      <c r="A1068" s="113" t="s">
        <v>829</v>
      </c>
      <c r="B1068" s="113">
        <v>2026</v>
      </c>
      <c r="C1068" s="113" t="s">
        <v>821</v>
      </c>
      <c r="D1068" s="113" t="s">
        <v>1033</v>
      </c>
      <c r="E1068" s="113" t="s">
        <v>1050</v>
      </c>
      <c r="F1068" s="113" t="s">
        <v>483</v>
      </c>
    </row>
    <row r="1069" spans="1:6" ht="14.1">
      <c r="A1069" s="153" t="s">
        <v>829</v>
      </c>
      <c r="B1069" s="113">
        <v>2026</v>
      </c>
      <c r="C1069" s="153" t="s">
        <v>821</v>
      </c>
      <c r="D1069" s="153" t="s">
        <v>934</v>
      </c>
      <c r="E1069" s="153" t="s">
        <v>2</v>
      </c>
      <c r="F1069" s="113" t="s">
        <v>918</v>
      </c>
    </row>
    <row r="1070" spans="1:6" ht="14.1">
      <c r="A1070" s="113" t="s">
        <v>829</v>
      </c>
      <c r="B1070" s="113">
        <v>2026</v>
      </c>
      <c r="C1070" s="113" t="s">
        <v>821</v>
      </c>
      <c r="D1070" s="113" t="s">
        <v>132</v>
      </c>
      <c r="E1070" s="113" t="s">
        <v>1111</v>
      </c>
      <c r="F1070" s="113" t="s">
        <v>918</v>
      </c>
    </row>
    <row r="1071" spans="1:6" ht="14.1">
      <c r="A1071" s="153" t="s">
        <v>829</v>
      </c>
      <c r="B1071" s="113">
        <v>2026</v>
      </c>
      <c r="C1071" s="153" t="s">
        <v>88</v>
      </c>
      <c r="D1071" s="153" t="s">
        <v>959</v>
      </c>
      <c r="E1071" s="153" t="s">
        <v>2</v>
      </c>
      <c r="F1071" s="113" t="s">
        <v>935</v>
      </c>
    </row>
    <row r="1072" spans="1:6" ht="14.1">
      <c r="A1072" s="113" t="s">
        <v>829</v>
      </c>
      <c r="B1072" s="113">
        <v>2026</v>
      </c>
      <c r="C1072" s="113" t="s">
        <v>88</v>
      </c>
      <c r="D1072" s="113" t="s">
        <v>959</v>
      </c>
      <c r="E1072" s="113" t="s">
        <v>947</v>
      </c>
      <c r="F1072" s="113" t="s">
        <v>913</v>
      </c>
    </row>
    <row r="1073" spans="1:6" ht="14.1">
      <c r="A1073" s="153" t="s">
        <v>829</v>
      </c>
      <c r="B1073" s="113">
        <v>2026</v>
      </c>
      <c r="C1073" s="153" t="s">
        <v>88</v>
      </c>
      <c r="D1073" s="153" t="s">
        <v>988</v>
      </c>
      <c r="E1073" s="153" t="s">
        <v>2</v>
      </c>
      <c r="F1073" s="113" t="s">
        <v>917</v>
      </c>
    </row>
    <row r="1074" spans="1:6" ht="14.1">
      <c r="A1074" s="113" t="s">
        <v>829</v>
      </c>
      <c r="B1074" s="113">
        <v>2026</v>
      </c>
      <c r="C1074" s="113" t="s">
        <v>88</v>
      </c>
      <c r="D1074" s="113" t="s">
        <v>969</v>
      </c>
      <c r="E1074" s="113" t="s">
        <v>1040</v>
      </c>
      <c r="F1074" s="113" t="s">
        <v>906</v>
      </c>
    </row>
    <row r="1075" spans="1:6" ht="14.1">
      <c r="A1075" s="153" t="s">
        <v>829</v>
      </c>
      <c r="B1075" s="113">
        <v>2026</v>
      </c>
      <c r="C1075" s="153" t="s">
        <v>88</v>
      </c>
      <c r="D1075" s="153" t="s">
        <v>966</v>
      </c>
      <c r="E1075" s="153" t="s">
        <v>986</v>
      </c>
      <c r="F1075" s="113" t="s">
        <v>906</v>
      </c>
    </row>
    <row r="1076" spans="1:6" ht="14.1">
      <c r="A1076" s="113" t="s">
        <v>829</v>
      </c>
      <c r="B1076" s="113">
        <v>2026</v>
      </c>
      <c r="C1076" s="113" t="s">
        <v>88</v>
      </c>
      <c r="D1076" s="113" t="s">
        <v>966</v>
      </c>
      <c r="E1076" s="113" t="s">
        <v>981</v>
      </c>
      <c r="F1076" s="113" t="s">
        <v>906</v>
      </c>
    </row>
    <row r="1077" spans="1:6" ht="27.95">
      <c r="A1077" s="153" t="s">
        <v>829</v>
      </c>
      <c r="B1077" s="113">
        <v>2026</v>
      </c>
      <c r="C1077" s="153" t="s">
        <v>88</v>
      </c>
      <c r="D1077" s="153" t="s">
        <v>956</v>
      </c>
      <c r="E1077" s="153" t="s">
        <v>981</v>
      </c>
      <c r="F1077" s="113" t="s">
        <v>906</v>
      </c>
    </row>
    <row r="1078" spans="1:6" ht="14.1">
      <c r="A1078" s="113" t="s">
        <v>829</v>
      </c>
      <c r="B1078" s="113">
        <v>2026</v>
      </c>
      <c r="C1078" s="113" t="s">
        <v>88</v>
      </c>
      <c r="D1078" s="113" t="s">
        <v>966</v>
      </c>
      <c r="E1078" s="113" t="s">
        <v>952</v>
      </c>
      <c r="F1078" s="113" t="s">
        <v>906</v>
      </c>
    </row>
    <row r="1079" spans="1:6" ht="27.95">
      <c r="A1079" s="153" t="s">
        <v>829</v>
      </c>
      <c r="B1079" s="113">
        <v>2026</v>
      </c>
      <c r="C1079" s="153" t="s">
        <v>88</v>
      </c>
      <c r="D1079" s="153" t="s">
        <v>956</v>
      </c>
      <c r="E1079" s="153" t="s">
        <v>930</v>
      </c>
      <c r="F1079" s="113" t="s">
        <v>906</v>
      </c>
    </row>
    <row r="1080" spans="1:6" ht="14.1">
      <c r="A1080" s="113" t="s">
        <v>829</v>
      </c>
      <c r="B1080" s="113">
        <v>2026</v>
      </c>
      <c r="C1080" s="113" t="s">
        <v>88</v>
      </c>
      <c r="D1080" s="113" t="s">
        <v>959</v>
      </c>
      <c r="E1080" s="113" t="s">
        <v>939</v>
      </c>
      <c r="F1080" s="113" t="s">
        <v>909</v>
      </c>
    </row>
    <row r="1081" spans="1:6" ht="14.1">
      <c r="A1081" s="153" t="s">
        <v>829</v>
      </c>
      <c r="B1081" s="113">
        <v>2026</v>
      </c>
      <c r="C1081" s="153" t="s">
        <v>88</v>
      </c>
      <c r="D1081" s="153" t="s">
        <v>969</v>
      </c>
      <c r="E1081" s="153" t="s">
        <v>932</v>
      </c>
      <c r="F1081" s="113" t="s">
        <v>663</v>
      </c>
    </row>
    <row r="1082" spans="1:6" ht="14.1">
      <c r="A1082" s="113" t="s">
        <v>829</v>
      </c>
      <c r="B1082" s="113">
        <v>2026</v>
      </c>
      <c r="C1082" s="113" t="s">
        <v>88</v>
      </c>
      <c r="D1082" s="113" t="s">
        <v>988</v>
      </c>
      <c r="E1082" s="113" t="s">
        <v>960</v>
      </c>
      <c r="F1082" s="113" t="s">
        <v>663</v>
      </c>
    </row>
    <row r="1083" spans="1:6" ht="14.1">
      <c r="A1083" s="153" t="s">
        <v>829</v>
      </c>
      <c r="B1083" s="113">
        <v>2026</v>
      </c>
      <c r="C1083" s="153" t="s">
        <v>88</v>
      </c>
      <c r="D1083" s="153" t="s">
        <v>959</v>
      </c>
      <c r="E1083" s="153" t="s">
        <v>1119</v>
      </c>
      <c r="F1083" s="113" t="s">
        <v>918</v>
      </c>
    </row>
    <row r="1084" spans="1:6" ht="14.1">
      <c r="A1084" s="113" t="s">
        <v>829</v>
      </c>
      <c r="B1084" s="113">
        <v>2026</v>
      </c>
      <c r="C1084" s="113" t="s">
        <v>88</v>
      </c>
      <c r="D1084" s="113" t="s">
        <v>969</v>
      </c>
      <c r="E1084" s="113" t="s">
        <v>1036</v>
      </c>
      <c r="F1084" s="113" t="s">
        <v>906</v>
      </c>
    </row>
    <row r="1085" spans="1:6" ht="14.1">
      <c r="A1085" s="153" t="s">
        <v>829</v>
      </c>
      <c r="B1085" s="113">
        <v>2026</v>
      </c>
      <c r="C1085" s="153" t="s">
        <v>88</v>
      </c>
      <c r="D1085" s="153" t="s">
        <v>988</v>
      </c>
      <c r="E1085" s="153" t="s">
        <v>1004</v>
      </c>
      <c r="F1085" s="113" t="s">
        <v>935</v>
      </c>
    </row>
    <row r="1086" spans="1:6" ht="14.1">
      <c r="A1086" s="113" t="s">
        <v>829</v>
      </c>
      <c r="B1086" s="113">
        <v>2026</v>
      </c>
      <c r="C1086" s="113" t="s">
        <v>88</v>
      </c>
      <c r="D1086" s="113" t="s">
        <v>988</v>
      </c>
      <c r="E1086" s="113" t="s">
        <v>941</v>
      </c>
      <c r="F1086" s="113" t="s">
        <v>663</v>
      </c>
    </row>
    <row r="1087" spans="1:6" ht="14.1">
      <c r="A1087" s="153" t="s">
        <v>829</v>
      </c>
      <c r="B1087" s="113">
        <v>2026</v>
      </c>
      <c r="C1087" s="153" t="s">
        <v>88</v>
      </c>
      <c r="D1087" s="153" t="s">
        <v>966</v>
      </c>
      <c r="E1087" s="153" t="s">
        <v>937</v>
      </c>
      <c r="F1087" s="113" t="s">
        <v>917</v>
      </c>
    </row>
    <row r="1088" spans="1:6" ht="14.1">
      <c r="A1088" s="113" t="s">
        <v>829</v>
      </c>
      <c r="B1088" s="113">
        <v>2026</v>
      </c>
      <c r="C1088" s="113" t="s">
        <v>88</v>
      </c>
      <c r="D1088" s="113" t="s">
        <v>969</v>
      </c>
      <c r="E1088" s="113" t="s">
        <v>2</v>
      </c>
      <c r="F1088" s="113" t="s">
        <v>935</v>
      </c>
    </row>
    <row r="1089" spans="1:6" ht="14.1">
      <c r="A1089" s="153" t="s">
        <v>829</v>
      </c>
      <c r="B1089" s="113">
        <v>2026</v>
      </c>
      <c r="C1089" s="153" t="s">
        <v>88</v>
      </c>
      <c r="D1089" s="153" t="s">
        <v>966</v>
      </c>
      <c r="E1089" s="153" t="s">
        <v>1036</v>
      </c>
      <c r="F1089" s="113" t="s">
        <v>906</v>
      </c>
    </row>
    <row r="1090" spans="1:6" ht="14.1">
      <c r="A1090" s="113" t="s">
        <v>829</v>
      </c>
      <c r="B1090" s="113">
        <v>2026</v>
      </c>
      <c r="C1090" s="113" t="s">
        <v>88</v>
      </c>
      <c r="D1090" s="113" t="s">
        <v>969</v>
      </c>
      <c r="E1090" s="113" t="s">
        <v>1028</v>
      </c>
      <c r="F1090" s="113" t="s">
        <v>906</v>
      </c>
    </row>
    <row r="1091" spans="1:6" ht="27.95">
      <c r="A1091" s="153" t="s">
        <v>829</v>
      </c>
      <c r="B1091" s="113">
        <v>2026</v>
      </c>
      <c r="C1091" s="153" t="s">
        <v>88</v>
      </c>
      <c r="D1091" s="153" t="s">
        <v>956</v>
      </c>
      <c r="E1091" s="153" t="s">
        <v>1106</v>
      </c>
      <c r="F1091" s="153" t="s">
        <v>915</v>
      </c>
    </row>
    <row r="1092" spans="1:6" ht="27.95">
      <c r="A1092" s="113" t="s">
        <v>829</v>
      </c>
      <c r="B1092" s="113">
        <v>2026</v>
      </c>
      <c r="C1092" s="113" t="s">
        <v>88</v>
      </c>
      <c r="D1092" s="113" t="s">
        <v>956</v>
      </c>
      <c r="E1092" s="113" t="s">
        <v>1127</v>
      </c>
      <c r="F1092" s="113" t="s">
        <v>483</v>
      </c>
    </row>
    <row r="1093" spans="1:6" ht="27.95">
      <c r="A1093" s="153" t="s">
        <v>829</v>
      </c>
      <c r="B1093" s="113">
        <v>2026</v>
      </c>
      <c r="C1093" s="153" t="s">
        <v>88</v>
      </c>
      <c r="D1093" s="153" t="s">
        <v>956</v>
      </c>
      <c r="E1093" s="153" t="s">
        <v>945</v>
      </c>
      <c r="F1093" s="113" t="s">
        <v>917</v>
      </c>
    </row>
    <row r="1094" spans="1:6" ht="14.1">
      <c r="A1094" s="113" t="s">
        <v>829</v>
      </c>
      <c r="B1094" s="113">
        <v>2026</v>
      </c>
      <c r="C1094" s="113" t="s">
        <v>88</v>
      </c>
      <c r="D1094" s="113" t="s">
        <v>966</v>
      </c>
      <c r="E1094" s="113" t="s">
        <v>989</v>
      </c>
      <c r="F1094" s="113" t="s">
        <v>935</v>
      </c>
    </row>
    <row r="1095" spans="1:6" ht="14.1">
      <c r="A1095" s="153" t="s">
        <v>829</v>
      </c>
      <c r="B1095" s="113">
        <v>2026</v>
      </c>
      <c r="C1095" s="153" t="s">
        <v>88</v>
      </c>
      <c r="D1095" s="153" t="s">
        <v>959</v>
      </c>
      <c r="E1095" s="153" t="s">
        <v>1004</v>
      </c>
      <c r="F1095" s="113" t="s">
        <v>935</v>
      </c>
    </row>
    <row r="1096" spans="1:6" ht="14.1">
      <c r="A1096" s="113" t="s">
        <v>829</v>
      </c>
      <c r="B1096" s="113">
        <v>2026</v>
      </c>
      <c r="C1096" s="113" t="s">
        <v>88</v>
      </c>
      <c r="D1096" s="113" t="s">
        <v>959</v>
      </c>
      <c r="E1096" s="113" t="s">
        <v>991</v>
      </c>
      <c r="F1096" s="113" t="s">
        <v>906</v>
      </c>
    </row>
    <row r="1097" spans="1:6" ht="14.1">
      <c r="A1097" s="153" t="s">
        <v>829</v>
      </c>
      <c r="B1097" s="113">
        <v>2026</v>
      </c>
      <c r="C1097" s="153" t="s">
        <v>88</v>
      </c>
      <c r="D1097" s="153" t="s">
        <v>966</v>
      </c>
      <c r="E1097" s="153" t="s">
        <v>1128</v>
      </c>
      <c r="F1097" s="113" t="s">
        <v>483</v>
      </c>
    </row>
    <row r="1098" spans="1:6" ht="27.95">
      <c r="A1098" s="113" t="s">
        <v>829</v>
      </c>
      <c r="B1098" s="113">
        <v>2026</v>
      </c>
      <c r="C1098" s="113" t="s">
        <v>88</v>
      </c>
      <c r="D1098" s="113" t="s">
        <v>956</v>
      </c>
      <c r="E1098" s="113" t="s">
        <v>1041</v>
      </c>
      <c r="F1098" s="113" t="s">
        <v>906</v>
      </c>
    </row>
    <row r="1099" spans="1:6" ht="27.95">
      <c r="A1099" s="153" t="s">
        <v>829</v>
      </c>
      <c r="B1099" s="113">
        <v>2026</v>
      </c>
      <c r="C1099" s="153" t="s">
        <v>88</v>
      </c>
      <c r="D1099" s="153" t="s">
        <v>956</v>
      </c>
      <c r="E1099" s="153" t="s">
        <v>1048</v>
      </c>
      <c r="F1099" s="113" t="s">
        <v>917</v>
      </c>
    </row>
    <row r="1100" spans="1:6" ht="14.1">
      <c r="A1100" s="113" t="s">
        <v>829</v>
      </c>
      <c r="B1100" s="113">
        <v>2026</v>
      </c>
      <c r="C1100" s="113" t="s">
        <v>88</v>
      </c>
      <c r="D1100" s="113" t="s">
        <v>966</v>
      </c>
      <c r="E1100" s="113" t="s">
        <v>943</v>
      </c>
      <c r="F1100" s="113" t="s">
        <v>917</v>
      </c>
    </row>
    <row r="1101" spans="1:6" ht="14.1">
      <c r="A1101" s="153" t="s">
        <v>829</v>
      </c>
      <c r="B1101" s="113">
        <v>2026</v>
      </c>
      <c r="C1101" s="153" t="s">
        <v>88</v>
      </c>
      <c r="D1101" s="153" t="s">
        <v>969</v>
      </c>
      <c r="E1101" s="153" t="s">
        <v>1087</v>
      </c>
      <c r="F1101" s="113" t="s">
        <v>663</v>
      </c>
    </row>
    <row r="1102" spans="1:6" ht="14.1">
      <c r="A1102" s="113" t="s">
        <v>829</v>
      </c>
      <c r="B1102" s="113">
        <v>2026</v>
      </c>
      <c r="C1102" s="113" t="s">
        <v>88</v>
      </c>
      <c r="D1102" s="113" t="s">
        <v>966</v>
      </c>
      <c r="E1102" s="113" t="s">
        <v>938</v>
      </c>
      <c r="F1102" s="113" t="s">
        <v>663</v>
      </c>
    </row>
    <row r="1103" spans="1:6" ht="14.1">
      <c r="A1103" s="153" t="s">
        <v>829</v>
      </c>
      <c r="B1103" s="113">
        <v>2026</v>
      </c>
      <c r="C1103" s="153" t="s">
        <v>88</v>
      </c>
      <c r="D1103" s="153" t="s">
        <v>969</v>
      </c>
      <c r="E1103" s="153" t="s">
        <v>938</v>
      </c>
      <c r="F1103" s="113" t="s">
        <v>663</v>
      </c>
    </row>
    <row r="1104" spans="1:6" ht="27.95">
      <c r="A1104" s="113" t="s">
        <v>829</v>
      </c>
      <c r="B1104" s="113">
        <v>2026</v>
      </c>
      <c r="C1104" s="113" t="s">
        <v>88</v>
      </c>
      <c r="D1104" s="113" t="s">
        <v>956</v>
      </c>
      <c r="E1104" s="113" t="s">
        <v>954</v>
      </c>
      <c r="F1104" s="113" t="s">
        <v>906</v>
      </c>
    </row>
    <row r="1105" spans="1:6" ht="14.1">
      <c r="A1105" s="153" t="s">
        <v>829</v>
      </c>
      <c r="B1105" s="113">
        <v>2026</v>
      </c>
      <c r="C1105" s="153" t="s">
        <v>88</v>
      </c>
      <c r="D1105" s="153" t="s">
        <v>969</v>
      </c>
      <c r="E1105" s="153" t="s">
        <v>986</v>
      </c>
      <c r="F1105" s="113" t="s">
        <v>906</v>
      </c>
    </row>
    <row r="1106" spans="1:6" ht="14.1">
      <c r="A1106" s="113" t="s">
        <v>829</v>
      </c>
      <c r="B1106" s="113">
        <v>2026</v>
      </c>
      <c r="C1106" s="113" t="s">
        <v>88</v>
      </c>
      <c r="D1106" s="113" t="s">
        <v>966</v>
      </c>
      <c r="E1106" s="113" t="s">
        <v>952</v>
      </c>
      <c r="F1106" s="113" t="s">
        <v>906</v>
      </c>
    </row>
    <row r="1107" spans="1:6" ht="14.1">
      <c r="A1107" s="153" t="s">
        <v>829</v>
      </c>
      <c r="B1107" s="113">
        <v>2026</v>
      </c>
      <c r="C1107" s="153" t="s">
        <v>88</v>
      </c>
      <c r="D1107" s="153" t="s">
        <v>966</v>
      </c>
      <c r="E1107" s="153" t="s">
        <v>1075</v>
      </c>
      <c r="F1107" s="113" t="s">
        <v>483</v>
      </c>
    </row>
    <row r="1108" spans="1:6" ht="14.1">
      <c r="A1108" s="113" t="s">
        <v>829</v>
      </c>
      <c r="B1108" s="113">
        <v>2026</v>
      </c>
      <c r="C1108" s="113" t="s">
        <v>88</v>
      </c>
      <c r="D1108" s="113" t="s">
        <v>966</v>
      </c>
      <c r="E1108" s="113" t="s">
        <v>1115</v>
      </c>
      <c r="F1108" s="113" t="s">
        <v>911</v>
      </c>
    </row>
    <row r="1109" spans="1:6" ht="14.1">
      <c r="A1109" s="153" t="s">
        <v>829</v>
      </c>
      <c r="B1109" s="113">
        <v>2026</v>
      </c>
      <c r="C1109" s="153" t="s">
        <v>88</v>
      </c>
      <c r="D1109" s="153" t="s">
        <v>966</v>
      </c>
      <c r="E1109" s="153" t="s">
        <v>978</v>
      </c>
      <c r="F1109" s="113" t="s">
        <v>483</v>
      </c>
    </row>
    <row r="1110" spans="1:6" ht="14.1">
      <c r="A1110" s="113" t="s">
        <v>829</v>
      </c>
      <c r="B1110" s="113">
        <v>2026</v>
      </c>
      <c r="C1110" s="113" t="s">
        <v>88</v>
      </c>
      <c r="D1110" s="113" t="s">
        <v>966</v>
      </c>
      <c r="E1110" s="113" t="s">
        <v>986</v>
      </c>
      <c r="F1110" s="113" t="s">
        <v>906</v>
      </c>
    </row>
    <row r="1111" spans="1:6" ht="27.95">
      <c r="A1111" s="153" t="s">
        <v>829</v>
      </c>
      <c r="B1111" s="113">
        <v>2026</v>
      </c>
      <c r="C1111" s="153" t="s">
        <v>88</v>
      </c>
      <c r="D1111" s="153" t="s">
        <v>956</v>
      </c>
      <c r="E1111" s="153" t="s">
        <v>1036</v>
      </c>
      <c r="F1111" s="113" t="s">
        <v>906</v>
      </c>
    </row>
    <row r="1112" spans="1:6" ht="14.1">
      <c r="A1112" s="113" t="s">
        <v>829</v>
      </c>
      <c r="B1112" s="113">
        <v>2026</v>
      </c>
      <c r="C1112" s="113" t="s">
        <v>88</v>
      </c>
      <c r="D1112" s="113" t="s">
        <v>959</v>
      </c>
      <c r="E1112" s="113" t="s">
        <v>991</v>
      </c>
      <c r="F1112" s="113" t="s">
        <v>906</v>
      </c>
    </row>
    <row r="1113" spans="1:6" ht="14.1">
      <c r="A1113" s="153" t="s">
        <v>829</v>
      </c>
      <c r="B1113" s="113">
        <v>2026</v>
      </c>
      <c r="C1113" s="153" t="s">
        <v>88</v>
      </c>
      <c r="D1113" s="153" t="s">
        <v>966</v>
      </c>
      <c r="E1113" s="153" t="s">
        <v>1065</v>
      </c>
      <c r="F1113" s="153" t="s">
        <v>924</v>
      </c>
    </row>
    <row r="1114" spans="1:6" ht="14.1">
      <c r="A1114" s="113" t="s">
        <v>829</v>
      </c>
      <c r="B1114" s="113">
        <v>2026</v>
      </c>
      <c r="C1114" s="113" t="s">
        <v>88</v>
      </c>
      <c r="D1114" s="113" t="s">
        <v>969</v>
      </c>
      <c r="E1114" s="113" t="s">
        <v>938</v>
      </c>
      <c r="F1114" s="113" t="s">
        <v>663</v>
      </c>
    </row>
    <row r="1115" spans="1:6" ht="14.1">
      <c r="A1115" s="153" t="s">
        <v>829</v>
      </c>
      <c r="B1115" s="113">
        <v>2026</v>
      </c>
      <c r="C1115" s="153" t="s">
        <v>88</v>
      </c>
      <c r="D1115" s="153" t="s">
        <v>959</v>
      </c>
      <c r="E1115" s="153" t="s">
        <v>1112</v>
      </c>
      <c r="F1115" s="113" t="s">
        <v>918</v>
      </c>
    </row>
    <row r="1116" spans="1:6" ht="14.1">
      <c r="A1116" s="113" t="s">
        <v>829</v>
      </c>
      <c r="B1116" s="113">
        <v>2026</v>
      </c>
      <c r="C1116" s="113" t="s">
        <v>88</v>
      </c>
      <c r="D1116" s="113" t="s">
        <v>959</v>
      </c>
      <c r="E1116" s="113" t="s">
        <v>1001</v>
      </c>
      <c r="F1116" s="113" t="s">
        <v>783</v>
      </c>
    </row>
    <row r="1117" spans="1:6" ht="14.1">
      <c r="A1117" s="153" t="s">
        <v>829</v>
      </c>
      <c r="B1117" s="113">
        <v>2026</v>
      </c>
      <c r="C1117" s="153" t="s">
        <v>88</v>
      </c>
      <c r="D1117" s="153" t="s">
        <v>969</v>
      </c>
      <c r="E1117" s="153" t="s">
        <v>1016</v>
      </c>
      <c r="F1117" s="153" t="s">
        <v>783</v>
      </c>
    </row>
    <row r="1118" spans="1:6" ht="14.1">
      <c r="A1118" s="113" t="s">
        <v>829</v>
      </c>
      <c r="B1118" s="113">
        <v>2026</v>
      </c>
      <c r="C1118" s="113" t="s">
        <v>88</v>
      </c>
      <c r="D1118" s="113" t="s">
        <v>966</v>
      </c>
      <c r="E1118" s="113" t="s">
        <v>1091</v>
      </c>
      <c r="F1118" s="113" t="s">
        <v>783</v>
      </c>
    </row>
    <row r="1119" spans="1:6" ht="14.1">
      <c r="A1119" s="153" t="s">
        <v>829</v>
      </c>
      <c r="B1119" s="113">
        <v>2026</v>
      </c>
      <c r="C1119" s="153" t="s">
        <v>88</v>
      </c>
      <c r="D1119" s="153" t="s">
        <v>966</v>
      </c>
      <c r="E1119" s="153" t="s">
        <v>986</v>
      </c>
      <c r="F1119" s="113" t="s">
        <v>906</v>
      </c>
    </row>
    <row r="1120" spans="1:6" ht="27.95">
      <c r="A1120" s="113" t="s">
        <v>829</v>
      </c>
      <c r="B1120" s="113">
        <v>2026</v>
      </c>
      <c r="C1120" s="113" t="s">
        <v>88</v>
      </c>
      <c r="D1120" s="113" t="s">
        <v>956</v>
      </c>
      <c r="E1120" s="113" t="s">
        <v>1041</v>
      </c>
      <c r="F1120" s="113" t="s">
        <v>906</v>
      </c>
    </row>
    <row r="1121" spans="1:6" ht="14.1">
      <c r="A1121" s="153" t="s">
        <v>829</v>
      </c>
      <c r="B1121" s="113">
        <v>2026</v>
      </c>
      <c r="C1121" s="153" t="s">
        <v>88</v>
      </c>
      <c r="D1121" s="153" t="s">
        <v>959</v>
      </c>
      <c r="E1121" s="153" t="s">
        <v>1001</v>
      </c>
      <c r="F1121" s="153" t="s">
        <v>783</v>
      </c>
    </row>
    <row r="1122" spans="1:6" ht="14.1">
      <c r="A1122" s="113" t="s">
        <v>829</v>
      </c>
      <c r="B1122" s="113">
        <v>2026</v>
      </c>
      <c r="C1122" s="113" t="s">
        <v>88</v>
      </c>
      <c r="D1122" s="113" t="s">
        <v>959</v>
      </c>
      <c r="E1122" s="113" t="s">
        <v>1022</v>
      </c>
      <c r="F1122" s="113" t="s">
        <v>783</v>
      </c>
    </row>
    <row r="1123" spans="1:6" ht="14.1">
      <c r="A1123" s="153" t="s">
        <v>829</v>
      </c>
      <c r="B1123" s="113">
        <v>2026</v>
      </c>
      <c r="C1123" s="153" t="s">
        <v>88</v>
      </c>
      <c r="D1123" s="153" t="s">
        <v>959</v>
      </c>
      <c r="E1123" s="153" t="s">
        <v>1091</v>
      </c>
      <c r="F1123" s="153" t="s">
        <v>783</v>
      </c>
    </row>
    <row r="1124" spans="1:6" ht="27.95">
      <c r="A1124" s="113" t="s">
        <v>829</v>
      </c>
      <c r="B1124" s="113">
        <v>2026</v>
      </c>
      <c r="C1124" s="113" t="s">
        <v>88</v>
      </c>
      <c r="D1124" s="113" t="s">
        <v>956</v>
      </c>
      <c r="E1124" s="113" t="s">
        <v>936</v>
      </c>
      <c r="F1124" s="113" t="s">
        <v>783</v>
      </c>
    </row>
    <row r="1125" spans="1:6" ht="27.95">
      <c r="A1125" s="153" t="s">
        <v>829</v>
      </c>
      <c r="B1125" s="113">
        <v>2026</v>
      </c>
      <c r="C1125" s="153" t="s">
        <v>88</v>
      </c>
      <c r="D1125" s="153" t="s">
        <v>956</v>
      </c>
      <c r="E1125" s="153" t="s">
        <v>1014</v>
      </c>
      <c r="F1125" s="113" t="s">
        <v>906</v>
      </c>
    </row>
    <row r="1126" spans="1:6" ht="27.95">
      <c r="A1126" s="113" t="s">
        <v>829</v>
      </c>
      <c r="B1126" s="113">
        <v>2026</v>
      </c>
      <c r="C1126" s="113" t="s">
        <v>88</v>
      </c>
      <c r="D1126" s="113" t="s">
        <v>956</v>
      </c>
      <c r="E1126" s="113" t="s">
        <v>1040</v>
      </c>
      <c r="F1126" s="113" t="s">
        <v>906</v>
      </c>
    </row>
    <row r="1127" spans="1:6" ht="27.95">
      <c r="A1127" s="153" t="s">
        <v>829</v>
      </c>
      <c r="B1127" s="113">
        <v>2026</v>
      </c>
      <c r="C1127" s="153" t="s">
        <v>88</v>
      </c>
      <c r="D1127" s="153" t="s">
        <v>956</v>
      </c>
      <c r="E1127" s="153" t="s">
        <v>953</v>
      </c>
      <c r="F1127" s="113" t="s">
        <v>906</v>
      </c>
    </row>
    <row r="1128" spans="1:6" ht="14.1">
      <c r="A1128" s="113" t="s">
        <v>829</v>
      </c>
      <c r="B1128" s="113">
        <v>2026</v>
      </c>
      <c r="C1128" s="113" t="s">
        <v>88</v>
      </c>
      <c r="D1128" s="113" t="s">
        <v>988</v>
      </c>
      <c r="E1128" s="113" t="s">
        <v>1041</v>
      </c>
      <c r="F1128" s="113" t="s">
        <v>906</v>
      </c>
    </row>
    <row r="1129" spans="1:6" ht="27.95">
      <c r="A1129" s="153" t="s">
        <v>829</v>
      </c>
      <c r="B1129" s="113">
        <v>2026</v>
      </c>
      <c r="C1129" s="153" t="s">
        <v>88</v>
      </c>
      <c r="D1129" s="153" t="s">
        <v>956</v>
      </c>
      <c r="E1129" s="153" t="s">
        <v>954</v>
      </c>
      <c r="F1129" s="113" t="s">
        <v>906</v>
      </c>
    </row>
    <row r="1130" spans="1:6" ht="27.95">
      <c r="A1130" s="113" t="s">
        <v>829</v>
      </c>
      <c r="B1130" s="113">
        <v>2026</v>
      </c>
      <c r="C1130" s="113" t="s">
        <v>88</v>
      </c>
      <c r="D1130" s="113" t="s">
        <v>956</v>
      </c>
      <c r="E1130" s="113" t="s">
        <v>1069</v>
      </c>
      <c r="F1130" s="113" t="s">
        <v>915</v>
      </c>
    </row>
    <row r="1131" spans="1:6" ht="14.1">
      <c r="A1131" s="153" t="s">
        <v>829</v>
      </c>
      <c r="B1131" s="113">
        <v>2026</v>
      </c>
      <c r="C1131" s="153" t="s">
        <v>88</v>
      </c>
      <c r="D1131" s="153" t="s">
        <v>966</v>
      </c>
      <c r="E1131" s="153" t="s">
        <v>996</v>
      </c>
      <c r="F1131" s="153" t="s">
        <v>924</v>
      </c>
    </row>
    <row r="1132" spans="1:6" ht="14.1">
      <c r="A1132" s="113" t="s">
        <v>829</v>
      </c>
      <c r="B1132" s="113">
        <v>2026</v>
      </c>
      <c r="C1132" s="113" t="s">
        <v>88</v>
      </c>
      <c r="D1132" s="113" t="s">
        <v>966</v>
      </c>
      <c r="E1132" s="113" t="s">
        <v>951</v>
      </c>
      <c r="F1132" s="113" t="s">
        <v>917</v>
      </c>
    </row>
    <row r="1133" spans="1:6" ht="14.1">
      <c r="A1133" s="153" t="s">
        <v>829</v>
      </c>
      <c r="B1133" s="113">
        <v>2026</v>
      </c>
      <c r="C1133" s="153" t="s">
        <v>88</v>
      </c>
      <c r="D1133" s="153" t="s">
        <v>966</v>
      </c>
      <c r="E1133" s="153" t="s">
        <v>1036</v>
      </c>
      <c r="F1133" s="113" t="s">
        <v>906</v>
      </c>
    </row>
    <row r="1134" spans="1:6" ht="27.95">
      <c r="A1134" s="113" t="s">
        <v>829</v>
      </c>
      <c r="B1134" s="113">
        <v>2026</v>
      </c>
      <c r="C1134" s="113" t="s">
        <v>88</v>
      </c>
      <c r="D1134" s="113" t="s">
        <v>956</v>
      </c>
      <c r="E1134" s="113" t="s">
        <v>1014</v>
      </c>
      <c r="F1134" s="113" t="s">
        <v>906</v>
      </c>
    </row>
    <row r="1135" spans="1:6" ht="14.1">
      <c r="A1135" s="153" t="s">
        <v>829</v>
      </c>
      <c r="B1135" s="113">
        <v>2026</v>
      </c>
      <c r="C1135" s="153" t="s">
        <v>88</v>
      </c>
      <c r="D1135" s="153" t="s">
        <v>966</v>
      </c>
      <c r="E1135" s="153" t="s">
        <v>1028</v>
      </c>
      <c r="F1135" s="113" t="s">
        <v>906</v>
      </c>
    </row>
    <row r="1136" spans="1:6" ht="14.1">
      <c r="A1136" s="113" t="s">
        <v>829</v>
      </c>
      <c r="B1136" s="113">
        <v>2026</v>
      </c>
      <c r="C1136" s="113" t="s">
        <v>88</v>
      </c>
      <c r="D1136" s="113" t="s">
        <v>959</v>
      </c>
      <c r="E1136" s="113" t="s">
        <v>1066</v>
      </c>
      <c r="F1136" s="113" t="s">
        <v>935</v>
      </c>
    </row>
    <row r="1137" spans="1:6" ht="14.1">
      <c r="A1137" s="153" t="s">
        <v>829</v>
      </c>
      <c r="B1137" s="113">
        <v>2026</v>
      </c>
      <c r="C1137" s="153" t="s">
        <v>88</v>
      </c>
      <c r="D1137" s="153" t="s">
        <v>959</v>
      </c>
      <c r="E1137" s="153" t="s">
        <v>1114</v>
      </c>
      <c r="F1137" s="153" t="s">
        <v>783</v>
      </c>
    </row>
    <row r="1138" spans="1:6" ht="14.1">
      <c r="A1138" s="113" t="s">
        <v>829</v>
      </c>
      <c r="B1138" s="113">
        <v>2026</v>
      </c>
      <c r="C1138" s="113" t="s">
        <v>88</v>
      </c>
      <c r="D1138" s="113" t="s">
        <v>959</v>
      </c>
      <c r="E1138" s="113" t="s">
        <v>1091</v>
      </c>
      <c r="F1138" s="113" t="s">
        <v>783</v>
      </c>
    </row>
    <row r="1139" spans="1:6" ht="14.1">
      <c r="A1139" s="153" t="s">
        <v>829</v>
      </c>
      <c r="B1139" s="113">
        <v>2026</v>
      </c>
      <c r="C1139" s="153" t="s">
        <v>88</v>
      </c>
      <c r="D1139" s="153" t="s">
        <v>959</v>
      </c>
      <c r="E1139" s="153" t="s">
        <v>1129</v>
      </c>
      <c r="F1139" s="113" t="s">
        <v>663</v>
      </c>
    </row>
    <row r="1140" spans="1:6" ht="27.95">
      <c r="A1140" s="113" t="s">
        <v>829</v>
      </c>
      <c r="B1140" s="113">
        <v>2026</v>
      </c>
      <c r="C1140" s="113" t="s">
        <v>88</v>
      </c>
      <c r="D1140" s="113" t="s">
        <v>956</v>
      </c>
      <c r="E1140" s="113" t="s">
        <v>991</v>
      </c>
      <c r="F1140" s="113" t="s">
        <v>906</v>
      </c>
    </row>
    <row r="1141" spans="1:6" ht="14.1">
      <c r="A1141" s="153" t="s">
        <v>829</v>
      </c>
      <c r="B1141" s="113">
        <v>2026</v>
      </c>
      <c r="C1141" s="153" t="s">
        <v>88</v>
      </c>
      <c r="D1141" s="153" t="s">
        <v>966</v>
      </c>
      <c r="E1141" s="153" t="s">
        <v>1078</v>
      </c>
      <c r="F1141" s="153" t="s">
        <v>915</v>
      </c>
    </row>
    <row r="1142" spans="1:6" ht="14.1">
      <c r="A1142" s="113" t="s">
        <v>829</v>
      </c>
      <c r="B1142" s="113">
        <v>2026</v>
      </c>
      <c r="C1142" s="113" t="s">
        <v>88</v>
      </c>
      <c r="D1142" s="113" t="s">
        <v>966</v>
      </c>
      <c r="E1142" s="113" t="s">
        <v>996</v>
      </c>
      <c r="F1142" s="113" t="s">
        <v>924</v>
      </c>
    </row>
    <row r="1143" spans="1:6" ht="14.1">
      <c r="A1143" s="153" t="s">
        <v>829</v>
      </c>
      <c r="B1143" s="113">
        <v>2026</v>
      </c>
      <c r="C1143" s="153" t="s">
        <v>88</v>
      </c>
      <c r="D1143" s="153" t="s">
        <v>959</v>
      </c>
      <c r="E1143" s="153" t="s">
        <v>1125</v>
      </c>
      <c r="F1143" s="113" t="s">
        <v>483</v>
      </c>
    </row>
    <row r="1144" spans="1:6" ht="14.1">
      <c r="A1144" s="113" t="s">
        <v>829</v>
      </c>
      <c r="B1144" s="113">
        <v>2026</v>
      </c>
      <c r="C1144" s="113" t="s">
        <v>88</v>
      </c>
      <c r="D1144" s="113" t="s">
        <v>959</v>
      </c>
      <c r="E1144" s="113" t="s">
        <v>1130</v>
      </c>
      <c r="F1144" s="113" t="s">
        <v>483</v>
      </c>
    </row>
    <row r="1145" spans="1:6" ht="14.1">
      <c r="A1145" s="153" t="s">
        <v>829</v>
      </c>
      <c r="B1145" s="113">
        <v>2026</v>
      </c>
      <c r="C1145" s="153" t="s">
        <v>88</v>
      </c>
      <c r="D1145" s="153" t="s">
        <v>959</v>
      </c>
      <c r="E1145" s="153" t="s">
        <v>978</v>
      </c>
      <c r="F1145" s="113" t="s">
        <v>483</v>
      </c>
    </row>
    <row r="1146" spans="1:6" ht="14.1">
      <c r="A1146" s="113" t="s">
        <v>829</v>
      </c>
      <c r="B1146" s="113">
        <v>2026</v>
      </c>
      <c r="C1146" s="113" t="s">
        <v>88</v>
      </c>
      <c r="D1146" s="113" t="s">
        <v>988</v>
      </c>
      <c r="E1146" s="113" t="s">
        <v>954</v>
      </c>
      <c r="F1146" s="113" t="s">
        <v>906</v>
      </c>
    </row>
    <row r="1147" spans="1:6" ht="14.1">
      <c r="A1147" s="153" t="s">
        <v>829</v>
      </c>
      <c r="B1147" s="113">
        <v>2026</v>
      </c>
      <c r="C1147" s="153" t="s">
        <v>88</v>
      </c>
      <c r="D1147" s="153" t="s">
        <v>969</v>
      </c>
      <c r="E1147" s="153" t="s">
        <v>1041</v>
      </c>
      <c r="F1147" s="113" t="s">
        <v>906</v>
      </c>
    </row>
    <row r="1148" spans="1:6" ht="14.1">
      <c r="A1148" s="113" t="s">
        <v>829</v>
      </c>
      <c r="B1148" s="113">
        <v>2026</v>
      </c>
      <c r="C1148" s="113" t="s">
        <v>88</v>
      </c>
      <c r="D1148" s="113" t="s">
        <v>959</v>
      </c>
      <c r="E1148" s="113" t="s">
        <v>1036</v>
      </c>
      <c r="F1148" s="113" t="s">
        <v>906</v>
      </c>
    </row>
    <row r="1149" spans="1:6" ht="14.1">
      <c r="A1149" s="153" t="s">
        <v>829</v>
      </c>
      <c r="B1149" s="113">
        <v>2026</v>
      </c>
      <c r="C1149" s="153" t="s">
        <v>88</v>
      </c>
      <c r="D1149" s="153" t="s">
        <v>959</v>
      </c>
      <c r="E1149" s="153" t="s">
        <v>1037</v>
      </c>
      <c r="F1149" s="113" t="s">
        <v>917</v>
      </c>
    </row>
    <row r="1150" spans="1:6" ht="14.1">
      <c r="A1150" s="113" t="s">
        <v>829</v>
      </c>
      <c r="B1150" s="113">
        <v>2026</v>
      </c>
      <c r="C1150" s="113" t="s">
        <v>88</v>
      </c>
      <c r="D1150" s="113" t="s">
        <v>966</v>
      </c>
      <c r="E1150" s="113" t="s">
        <v>945</v>
      </c>
      <c r="F1150" s="113" t="s">
        <v>917</v>
      </c>
    </row>
    <row r="1151" spans="1:6" ht="14.1">
      <c r="A1151" s="153" t="s">
        <v>829</v>
      </c>
      <c r="B1151" s="113">
        <v>2026</v>
      </c>
      <c r="C1151" s="153" t="s">
        <v>88</v>
      </c>
      <c r="D1151" s="153" t="s">
        <v>969</v>
      </c>
      <c r="E1151" s="153" t="s">
        <v>937</v>
      </c>
      <c r="F1151" s="113" t="s">
        <v>917</v>
      </c>
    </row>
    <row r="1152" spans="1:6" ht="14.1">
      <c r="A1152" s="113" t="s">
        <v>829</v>
      </c>
      <c r="B1152" s="113">
        <v>2026</v>
      </c>
      <c r="C1152" s="113" t="s">
        <v>88</v>
      </c>
      <c r="D1152" s="113" t="s">
        <v>959</v>
      </c>
      <c r="E1152" s="113" t="s">
        <v>973</v>
      </c>
      <c r="F1152" s="113" t="s">
        <v>917</v>
      </c>
    </row>
    <row r="1153" spans="1:6" ht="14.1">
      <c r="A1153" s="153" t="s">
        <v>829</v>
      </c>
      <c r="B1153" s="113">
        <v>2026</v>
      </c>
      <c r="C1153" s="153" t="s">
        <v>88</v>
      </c>
      <c r="D1153" s="153" t="s">
        <v>959</v>
      </c>
      <c r="E1153" s="153" t="s">
        <v>1041</v>
      </c>
      <c r="F1153" s="113" t="s">
        <v>906</v>
      </c>
    </row>
    <row r="1154" spans="1:6" ht="14.1">
      <c r="A1154" s="113" t="s">
        <v>829</v>
      </c>
      <c r="B1154" s="113">
        <v>2026</v>
      </c>
      <c r="C1154" s="113" t="s">
        <v>88</v>
      </c>
      <c r="D1154" s="113" t="s">
        <v>969</v>
      </c>
      <c r="E1154" s="113" t="s">
        <v>995</v>
      </c>
      <c r="F1154" s="113" t="s">
        <v>924</v>
      </c>
    </row>
    <row r="1155" spans="1:6" ht="14.1">
      <c r="A1155" s="153" t="s">
        <v>829</v>
      </c>
      <c r="B1155" s="113">
        <v>2026</v>
      </c>
      <c r="C1155" s="153" t="s">
        <v>88</v>
      </c>
      <c r="D1155" s="153" t="s">
        <v>966</v>
      </c>
      <c r="E1155" s="153" t="s">
        <v>1065</v>
      </c>
      <c r="F1155" s="153" t="s">
        <v>924</v>
      </c>
    </row>
    <row r="1156" spans="1:6" ht="14.1">
      <c r="A1156" s="113" t="s">
        <v>829</v>
      </c>
      <c r="B1156" s="113">
        <v>2026</v>
      </c>
      <c r="C1156" s="113" t="s">
        <v>88</v>
      </c>
      <c r="D1156" s="113" t="s">
        <v>969</v>
      </c>
      <c r="E1156" s="113" t="s">
        <v>1090</v>
      </c>
      <c r="F1156" s="113" t="s">
        <v>935</v>
      </c>
    </row>
    <row r="1157" spans="1:6" ht="14.1">
      <c r="A1157" s="153" t="s">
        <v>829</v>
      </c>
      <c r="B1157" s="113">
        <v>2026</v>
      </c>
      <c r="C1157" s="153" t="s">
        <v>88</v>
      </c>
      <c r="D1157" s="153" t="s">
        <v>959</v>
      </c>
      <c r="E1157" s="153" t="s">
        <v>951</v>
      </c>
      <c r="F1157" s="113" t="s">
        <v>917</v>
      </c>
    </row>
    <row r="1158" spans="1:6" ht="14.1">
      <c r="A1158" s="113" t="s">
        <v>829</v>
      </c>
      <c r="B1158" s="113">
        <v>2026</v>
      </c>
      <c r="C1158" s="113" t="s">
        <v>88</v>
      </c>
      <c r="D1158" s="113" t="s">
        <v>959</v>
      </c>
      <c r="E1158" s="113" t="s">
        <v>1131</v>
      </c>
      <c r="F1158" s="113" t="s">
        <v>483</v>
      </c>
    </row>
    <row r="1159" spans="1:6" ht="14.1">
      <c r="A1159" s="153" t="s">
        <v>829</v>
      </c>
      <c r="B1159" s="113">
        <v>2026</v>
      </c>
      <c r="C1159" s="153" t="s">
        <v>88</v>
      </c>
      <c r="D1159" s="153" t="s">
        <v>959</v>
      </c>
      <c r="E1159" s="153" t="s">
        <v>1054</v>
      </c>
      <c r="F1159" s="113" t="s">
        <v>483</v>
      </c>
    </row>
    <row r="1160" spans="1:6" ht="14.1">
      <c r="A1160" s="113" t="s">
        <v>829</v>
      </c>
      <c r="B1160" s="113">
        <v>2026</v>
      </c>
      <c r="C1160" s="113" t="s">
        <v>859</v>
      </c>
      <c r="D1160" s="113" t="s">
        <v>998</v>
      </c>
      <c r="E1160" s="113" t="s">
        <v>1126</v>
      </c>
      <c r="F1160" s="113" t="s">
        <v>483</v>
      </c>
    </row>
    <row r="1161" spans="1:6" ht="14.1">
      <c r="A1161" s="153" t="s">
        <v>829</v>
      </c>
      <c r="B1161" s="113">
        <v>2026</v>
      </c>
      <c r="C1161" s="153" t="s">
        <v>859</v>
      </c>
      <c r="D1161" s="153" t="s">
        <v>999</v>
      </c>
      <c r="E1161" s="153" t="s">
        <v>1040</v>
      </c>
      <c r="F1161" s="113" t="s">
        <v>906</v>
      </c>
    </row>
    <row r="1162" spans="1:6" ht="14.1">
      <c r="A1162" s="113" t="s">
        <v>829</v>
      </c>
      <c r="B1162" s="113">
        <v>2026</v>
      </c>
      <c r="C1162" s="113" t="s">
        <v>859</v>
      </c>
      <c r="D1162" s="113" t="s">
        <v>998</v>
      </c>
      <c r="E1162" s="113" t="s">
        <v>986</v>
      </c>
      <c r="F1162" s="113" t="s">
        <v>906</v>
      </c>
    </row>
    <row r="1163" spans="1:6" ht="14.1">
      <c r="A1163" s="153" t="s">
        <v>829</v>
      </c>
      <c r="B1163" s="113">
        <v>2026</v>
      </c>
      <c r="C1163" s="153" t="s">
        <v>859</v>
      </c>
      <c r="D1163" s="153" t="s">
        <v>1000</v>
      </c>
      <c r="E1163" s="153" t="s">
        <v>1014</v>
      </c>
      <c r="F1163" s="113" t="s">
        <v>906</v>
      </c>
    </row>
    <row r="1164" spans="1:6" ht="14.1">
      <c r="A1164" s="113" t="s">
        <v>829</v>
      </c>
      <c r="B1164" s="113">
        <v>2026</v>
      </c>
      <c r="C1164" s="113" t="s">
        <v>859</v>
      </c>
      <c r="D1164" s="113" t="s">
        <v>999</v>
      </c>
      <c r="E1164" s="113" t="s">
        <v>1072</v>
      </c>
      <c r="F1164" s="113" t="s">
        <v>915</v>
      </c>
    </row>
    <row r="1165" spans="1:6" ht="14.1">
      <c r="A1165" s="153" t="s">
        <v>829</v>
      </c>
      <c r="B1165" s="113">
        <v>2026</v>
      </c>
      <c r="C1165" s="153" t="s">
        <v>859</v>
      </c>
      <c r="D1165" s="153" t="s">
        <v>1000</v>
      </c>
      <c r="E1165" s="153" t="s">
        <v>948</v>
      </c>
      <c r="F1165" s="113" t="s">
        <v>922</v>
      </c>
    </row>
    <row r="1166" spans="1:6" ht="14.1">
      <c r="A1166" s="113" t="s">
        <v>829</v>
      </c>
      <c r="B1166" s="113">
        <v>2026</v>
      </c>
      <c r="C1166" s="113" t="s">
        <v>859</v>
      </c>
      <c r="D1166" s="113" t="s">
        <v>998</v>
      </c>
      <c r="E1166" s="113" t="s">
        <v>982</v>
      </c>
      <c r="F1166" s="113" t="s">
        <v>663</v>
      </c>
    </row>
    <row r="1167" spans="1:6" ht="14.1">
      <c r="A1167" s="153" t="s">
        <v>829</v>
      </c>
      <c r="B1167" s="113">
        <v>2026</v>
      </c>
      <c r="C1167" s="153" t="s">
        <v>859</v>
      </c>
      <c r="D1167" s="153" t="s">
        <v>1000</v>
      </c>
      <c r="E1167" s="153" t="s">
        <v>981</v>
      </c>
      <c r="F1167" s="113" t="s">
        <v>906</v>
      </c>
    </row>
    <row r="1168" spans="1:6" ht="14.1">
      <c r="A1168" s="113" t="s">
        <v>829</v>
      </c>
      <c r="B1168" s="113">
        <v>2026</v>
      </c>
      <c r="C1168" s="113" t="s">
        <v>859</v>
      </c>
      <c r="D1168" s="113" t="s">
        <v>998</v>
      </c>
      <c r="E1168" s="113" t="s">
        <v>982</v>
      </c>
      <c r="F1168" s="113" t="s">
        <v>663</v>
      </c>
    </row>
    <row r="1169" spans="1:6" ht="14.1">
      <c r="A1169" s="153" t="s">
        <v>829</v>
      </c>
      <c r="B1169" s="113">
        <v>2026</v>
      </c>
      <c r="C1169" s="153" t="s">
        <v>859</v>
      </c>
      <c r="D1169" s="153" t="s">
        <v>1000</v>
      </c>
      <c r="E1169" s="153" t="s">
        <v>960</v>
      </c>
      <c r="F1169" s="113" t="s">
        <v>663</v>
      </c>
    </row>
    <row r="1170" spans="1:6" ht="14.1">
      <c r="A1170" s="113" t="s">
        <v>829</v>
      </c>
      <c r="B1170" s="113">
        <v>2026</v>
      </c>
      <c r="C1170" s="113" t="s">
        <v>859</v>
      </c>
      <c r="D1170" s="113" t="s">
        <v>1000</v>
      </c>
      <c r="E1170" s="113" t="s">
        <v>1091</v>
      </c>
      <c r="F1170" s="113" t="s">
        <v>783</v>
      </c>
    </row>
    <row r="1171" spans="1:6" ht="14.1">
      <c r="A1171" s="153" t="s">
        <v>829</v>
      </c>
      <c r="B1171" s="113">
        <v>2026</v>
      </c>
      <c r="C1171" s="153" t="s">
        <v>859</v>
      </c>
      <c r="D1171" s="153" t="s">
        <v>1000</v>
      </c>
      <c r="E1171" s="153" t="s">
        <v>1132</v>
      </c>
      <c r="F1171" s="113" t="s">
        <v>913</v>
      </c>
    </row>
    <row r="1172" spans="1:6" ht="14.1">
      <c r="A1172" s="113" t="s">
        <v>829</v>
      </c>
      <c r="B1172" s="113">
        <v>2026</v>
      </c>
      <c r="C1172" s="113" t="s">
        <v>859</v>
      </c>
      <c r="D1172" s="113" t="s">
        <v>1000</v>
      </c>
      <c r="E1172" s="113" t="s">
        <v>1132</v>
      </c>
      <c r="F1172" s="113" t="s">
        <v>913</v>
      </c>
    </row>
    <row r="1173" spans="1:6" ht="14.1">
      <c r="A1173" s="153" t="s">
        <v>829</v>
      </c>
      <c r="B1173" s="113">
        <v>2026</v>
      </c>
      <c r="C1173" s="153" t="s">
        <v>859</v>
      </c>
      <c r="D1173" s="153" t="s">
        <v>1000</v>
      </c>
      <c r="E1173" s="153" t="s">
        <v>1132</v>
      </c>
      <c r="F1173" s="113" t="s">
        <v>913</v>
      </c>
    </row>
    <row r="1174" spans="1:6" ht="14.1">
      <c r="A1174" s="113" t="s">
        <v>829</v>
      </c>
      <c r="B1174" s="113">
        <v>2026</v>
      </c>
      <c r="C1174" s="113" t="s">
        <v>859</v>
      </c>
      <c r="D1174" s="113" t="s">
        <v>999</v>
      </c>
      <c r="E1174" s="113" t="s">
        <v>967</v>
      </c>
      <c r="F1174" s="113" t="s">
        <v>915</v>
      </c>
    </row>
    <row r="1175" spans="1:6" ht="14.1">
      <c r="A1175" s="153" t="s">
        <v>829</v>
      </c>
      <c r="B1175" s="113">
        <v>2026</v>
      </c>
      <c r="C1175" s="153" t="s">
        <v>859</v>
      </c>
      <c r="D1175" s="153" t="s">
        <v>999</v>
      </c>
      <c r="E1175" s="153" t="s">
        <v>1072</v>
      </c>
      <c r="F1175" s="113" t="s">
        <v>915</v>
      </c>
    </row>
    <row r="1176" spans="1:6" ht="14.1">
      <c r="A1176" s="113" t="s">
        <v>829</v>
      </c>
      <c r="B1176" s="113">
        <v>2026</v>
      </c>
      <c r="C1176" s="113" t="s">
        <v>859</v>
      </c>
      <c r="D1176" s="113" t="s">
        <v>999</v>
      </c>
      <c r="E1176" s="113" t="s">
        <v>1069</v>
      </c>
      <c r="F1176" s="113" t="s">
        <v>915</v>
      </c>
    </row>
    <row r="1177" spans="1:6" ht="14.1">
      <c r="A1177" s="153" t="s">
        <v>829</v>
      </c>
      <c r="B1177" s="113">
        <v>2026</v>
      </c>
      <c r="C1177" s="153" t="s">
        <v>859</v>
      </c>
      <c r="D1177" s="153" t="s">
        <v>998</v>
      </c>
      <c r="E1177" s="153" t="s">
        <v>1106</v>
      </c>
      <c r="F1177" s="113" t="s">
        <v>915</v>
      </c>
    </row>
    <row r="1178" spans="1:6" ht="14.1">
      <c r="A1178" s="113" t="s">
        <v>829</v>
      </c>
      <c r="B1178" s="113">
        <v>2026</v>
      </c>
      <c r="C1178" s="113" t="s">
        <v>859</v>
      </c>
      <c r="D1178" s="113" t="s">
        <v>998</v>
      </c>
      <c r="E1178" s="113" t="s">
        <v>1061</v>
      </c>
      <c r="F1178" s="113" t="s">
        <v>783</v>
      </c>
    </row>
    <row r="1179" spans="1:6" ht="14.1">
      <c r="A1179" s="153" t="s">
        <v>829</v>
      </c>
      <c r="B1179" s="113">
        <v>2026</v>
      </c>
      <c r="C1179" s="153" t="s">
        <v>859</v>
      </c>
      <c r="D1179" s="153" t="s">
        <v>1000</v>
      </c>
      <c r="E1179" s="153" t="s">
        <v>1128</v>
      </c>
      <c r="F1179" s="113" t="s">
        <v>483</v>
      </c>
    </row>
    <row r="1180" spans="1:6" ht="14.1">
      <c r="A1180" s="113" t="s">
        <v>829</v>
      </c>
      <c r="B1180" s="113">
        <v>2026</v>
      </c>
      <c r="C1180" s="113" t="s">
        <v>859</v>
      </c>
      <c r="D1180" s="113" t="s">
        <v>998</v>
      </c>
      <c r="E1180" s="113" t="s">
        <v>945</v>
      </c>
      <c r="F1180" s="113" t="s">
        <v>917</v>
      </c>
    </row>
    <row r="1181" spans="1:6" ht="14.1">
      <c r="A1181" s="153" t="s">
        <v>829</v>
      </c>
      <c r="B1181" s="113">
        <v>2026</v>
      </c>
      <c r="C1181" s="153" t="s">
        <v>859</v>
      </c>
      <c r="D1181" s="153" t="s">
        <v>998</v>
      </c>
      <c r="E1181" s="153" t="s">
        <v>1132</v>
      </c>
      <c r="F1181" s="113" t="s">
        <v>913</v>
      </c>
    </row>
    <row r="1182" spans="1:6" ht="14.1">
      <c r="A1182" s="113" t="s">
        <v>829</v>
      </c>
      <c r="B1182" s="113">
        <v>2026</v>
      </c>
      <c r="C1182" s="113" t="s">
        <v>859</v>
      </c>
      <c r="D1182" s="113" t="s">
        <v>1005</v>
      </c>
      <c r="E1182" s="113" t="s">
        <v>1070</v>
      </c>
      <c r="F1182" s="113" t="s">
        <v>483</v>
      </c>
    </row>
    <row r="1183" spans="1:6" ht="14.1">
      <c r="A1183" s="153" t="s">
        <v>829</v>
      </c>
      <c r="B1183" s="113">
        <v>2026</v>
      </c>
      <c r="C1183" s="153" t="s">
        <v>859</v>
      </c>
      <c r="D1183" s="153" t="s">
        <v>1000</v>
      </c>
      <c r="E1183" s="153" t="s">
        <v>1009</v>
      </c>
      <c r="F1183" s="113" t="s">
        <v>917</v>
      </c>
    </row>
    <row r="1184" spans="1:6" ht="14.1">
      <c r="A1184" s="113" t="s">
        <v>829</v>
      </c>
      <c r="B1184" s="113">
        <v>2026</v>
      </c>
      <c r="C1184" s="113" t="s">
        <v>859</v>
      </c>
      <c r="D1184" s="113" t="s">
        <v>999</v>
      </c>
      <c r="E1184" s="113" t="s">
        <v>954</v>
      </c>
      <c r="F1184" s="113" t="s">
        <v>906</v>
      </c>
    </row>
    <row r="1185" spans="1:6" ht="14.1">
      <c r="A1185" s="153" t="s">
        <v>829</v>
      </c>
      <c r="B1185" s="113">
        <v>2026</v>
      </c>
      <c r="C1185" s="153" t="s">
        <v>859</v>
      </c>
      <c r="D1185" s="153" t="s">
        <v>999</v>
      </c>
      <c r="E1185" s="153" t="s">
        <v>1028</v>
      </c>
      <c r="F1185" s="113" t="s">
        <v>906</v>
      </c>
    </row>
    <row r="1186" spans="1:6" ht="14.1">
      <c r="A1186" s="113" t="s">
        <v>829</v>
      </c>
      <c r="B1186" s="113">
        <v>2026</v>
      </c>
      <c r="C1186" s="113" t="s">
        <v>859</v>
      </c>
      <c r="D1186" s="113" t="s">
        <v>1000</v>
      </c>
      <c r="E1186" s="113" t="s">
        <v>1042</v>
      </c>
      <c r="F1186" s="113" t="s">
        <v>913</v>
      </c>
    </row>
    <row r="1187" spans="1:6" ht="14.1">
      <c r="A1187" s="153" t="s">
        <v>829</v>
      </c>
      <c r="B1187" s="113">
        <v>2026</v>
      </c>
      <c r="C1187" s="153" t="s">
        <v>859</v>
      </c>
      <c r="D1187" s="153" t="s">
        <v>999</v>
      </c>
      <c r="E1187" s="153" t="s">
        <v>954</v>
      </c>
      <c r="F1187" s="113" t="s">
        <v>906</v>
      </c>
    </row>
    <row r="1188" spans="1:6" ht="14.1">
      <c r="A1188" s="113" t="s">
        <v>829</v>
      </c>
      <c r="B1188" s="113">
        <v>2026</v>
      </c>
      <c r="C1188" s="113" t="s">
        <v>859</v>
      </c>
      <c r="D1188" s="113" t="s">
        <v>999</v>
      </c>
      <c r="E1188" s="113" t="s">
        <v>1028</v>
      </c>
      <c r="F1188" s="113" t="s">
        <v>906</v>
      </c>
    </row>
    <row r="1189" spans="1:6" ht="14.1">
      <c r="A1189" s="153" t="s">
        <v>829</v>
      </c>
      <c r="B1189" s="113">
        <v>2026</v>
      </c>
      <c r="C1189" s="153" t="s">
        <v>859</v>
      </c>
      <c r="D1189" s="153" t="s">
        <v>999</v>
      </c>
      <c r="E1189" s="153" t="s">
        <v>954</v>
      </c>
      <c r="F1189" s="113" t="s">
        <v>906</v>
      </c>
    </row>
    <row r="1190" spans="1:6" ht="14.1">
      <c r="A1190" s="113" t="s">
        <v>829</v>
      </c>
      <c r="B1190" s="113">
        <v>2026</v>
      </c>
      <c r="C1190" s="113" t="s">
        <v>859</v>
      </c>
      <c r="D1190" s="113" t="s">
        <v>999</v>
      </c>
      <c r="E1190" s="113" t="s">
        <v>954</v>
      </c>
      <c r="F1190" s="113" t="s">
        <v>906</v>
      </c>
    </row>
    <row r="1191" spans="1:6" ht="14.1">
      <c r="A1191" s="153" t="s">
        <v>829</v>
      </c>
      <c r="B1191" s="113">
        <v>2026</v>
      </c>
      <c r="C1191" s="153" t="s">
        <v>859</v>
      </c>
      <c r="D1191" s="153" t="s">
        <v>1000</v>
      </c>
      <c r="E1191" s="153" t="s">
        <v>946</v>
      </c>
      <c r="F1191" s="153" t="s">
        <v>924</v>
      </c>
    </row>
    <row r="1192" spans="1:6" ht="14.1">
      <c r="A1192" s="113" t="s">
        <v>829</v>
      </c>
      <c r="B1192" s="113">
        <v>2026</v>
      </c>
      <c r="C1192" s="113" t="s">
        <v>859</v>
      </c>
      <c r="D1192" s="113" t="s">
        <v>1000</v>
      </c>
      <c r="E1192" s="113" t="s">
        <v>1133</v>
      </c>
      <c r="F1192" s="113" t="s">
        <v>663</v>
      </c>
    </row>
    <row r="1193" spans="1:6" ht="14.1">
      <c r="A1193" s="153" t="s">
        <v>829</v>
      </c>
      <c r="B1193" s="113">
        <v>2026</v>
      </c>
      <c r="C1193" s="153" t="s">
        <v>859</v>
      </c>
      <c r="D1193" s="153" t="s">
        <v>1000</v>
      </c>
      <c r="E1193" s="153" t="s">
        <v>1134</v>
      </c>
      <c r="F1193" s="113" t="s">
        <v>911</v>
      </c>
    </row>
    <row r="1194" spans="1:6" ht="14.1">
      <c r="A1194" s="113" t="s">
        <v>829</v>
      </c>
      <c r="B1194" s="113">
        <v>2026</v>
      </c>
      <c r="C1194" s="113" t="s">
        <v>859</v>
      </c>
      <c r="D1194" s="113" t="s">
        <v>998</v>
      </c>
      <c r="E1194" s="113" t="s">
        <v>1040</v>
      </c>
      <c r="F1194" s="113" t="s">
        <v>906</v>
      </c>
    </row>
    <row r="1195" spans="1:6" ht="14.1">
      <c r="A1195" s="153" t="s">
        <v>829</v>
      </c>
      <c r="B1195" s="113">
        <v>2026</v>
      </c>
      <c r="C1195" s="153" t="s">
        <v>859</v>
      </c>
      <c r="D1195" s="153" t="s">
        <v>1082</v>
      </c>
      <c r="E1195" s="153" t="s">
        <v>1031</v>
      </c>
      <c r="F1195" s="113" t="s">
        <v>913</v>
      </c>
    </row>
    <row r="1196" spans="1:6" ht="14.1">
      <c r="A1196" s="113" t="s">
        <v>829</v>
      </c>
      <c r="B1196" s="113">
        <v>2026</v>
      </c>
      <c r="C1196" s="113" t="s">
        <v>859</v>
      </c>
      <c r="D1196" s="113" t="s">
        <v>1082</v>
      </c>
      <c r="E1196" s="113" t="s">
        <v>946</v>
      </c>
      <c r="F1196" s="113" t="s">
        <v>924</v>
      </c>
    </row>
    <row r="1197" spans="1:6" ht="14.1">
      <c r="A1197" s="153" t="s">
        <v>829</v>
      </c>
      <c r="B1197" s="113">
        <v>2026</v>
      </c>
      <c r="C1197" s="153" t="s">
        <v>872</v>
      </c>
      <c r="D1197" s="153" t="s">
        <v>1018</v>
      </c>
      <c r="E1197" s="153" t="s">
        <v>939</v>
      </c>
      <c r="F1197" s="113" t="s">
        <v>909</v>
      </c>
    </row>
    <row r="1198" spans="1:6" ht="14.1">
      <c r="A1198" s="113" t="s">
        <v>829</v>
      </c>
      <c r="B1198" s="113">
        <v>2026</v>
      </c>
      <c r="C1198" s="113" t="s">
        <v>872</v>
      </c>
      <c r="D1198" s="113" t="s">
        <v>1018</v>
      </c>
      <c r="E1198" s="113" t="s">
        <v>1004</v>
      </c>
      <c r="F1198" s="113" t="s">
        <v>935</v>
      </c>
    </row>
    <row r="1199" spans="1:6" ht="14.1">
      <c r="A1199" s="153" t="s">
        <v>829</v>
      </c>
      <c r="B1199" s="113">
        <v>2026</v>
      </c>
      <c r="C1199" s="153" t="s">
        <v>872</v>
      </c>
      <c r="D1199" s="153" t="s">
        <v>1018</v>
      </c>
      <c r="E1199" s="153" t="s">
        <v>941</v>
      </c>
      <c r="F1199" s="113" t="s">
        <v>663</v>
      </c>
    </row>
    <row r="1200" spans="1:6" ht="14.1">
      <c r="A1200" s="113" t="s">
        <v>829</v>
      </c>
      <c r="B1200" s="113">
        <v>2026</v>
      </c>
      <c r="C1200" s="113" t="s">
        <v>872</v>
      </c>
      <c r="D1200" s="113" t="s">
        <v>1013</v>
      </c>
      <c r="E1200" s="113" t="s">
        <v>991</v>
      </c>
      <c r="F1200" s="113" t="s">
        <v>906</v>
      </c>
    </row>
    <row r="1201" spans="1:6" ht="14.1">
      <c r="A1201" s="153" t="s">
        <v>829</v>
      </c>
      <c r="B1201" s="113">
        <v>2026</v>
      </c>
      <c r="C1201" s="153" t="s">
        <v>872</v>
      </c>
      <c r="D1201" s="153" t="s">
        <v>1012</v>
      </c>
      <c r="E1201" s="153" t="s">
        <v>1066</v>
      </c>
      <c r="F1201" s="113" t="s">
        <v>935</v>
      </c>
    </row>
    <row r="1202" spans="1:6" ht="14.1">
      <c r="A1202" s="113" t="s">
        <v>829</v>
      </c>
      <c r="B1202" s="113">
        <v>2026</v>
      </c>
      <c r="C1202" s="113" t="s">
        <v>872</v>
      </c>
      <c r="D1202" s="113" t="s">
        <v>1012</v>
      </c>
      <c r="E1202" s="113" t="s">
        <v>1030</v>
      </c>
      <c r="F1202" s="113" t="s">
        <v>935</v>
      </c>
    </row>
    <row r="1203" spans="1:6" ht="14.1">
      <c r="A1203" s="153" t="s">
        <v>829</v>
      </c>
      <c r="B1203" s="113">
        <v>2026</v>
      </c>
      <c r="C1203" s="153" t="s">
        <v>872</v>
      </c>
      <c r="D1203" s="153" t="s">
        <v>1013</v>
      </c>
      <c r="E1203" s="153" t="s">
        <v>954</v>
      </c>
      <c r="F1203" s="113" t="s">
        <v>906</v>
      </c>
    </row>
    <row r="1204" spans="1:6" ht="14.1">
      <c r="A1204" s="113" t="s">
        <v>829</v>
      </c>
      <c r="B1204" s="113">
        <v>2026</v>
      </c>
      <c r="C1204" s="113" t="s">
        <v>872</v>
      </c>
      <c r="D1204" s="113" t="s">
        <v>1013</v>
      </c>
      <c r="E1204" s="113" t="s">
        <v>1069</v>
      </c>
      <c r="F1204" s="113" t="s">
        <v>915</v>
      </c>
    </row>
    <row r="1205" spans="1:6" ht="14.1">
      <c r="A1205" s="153" t="s">
        <v>829</v>
      </c>
      <c r="B1205" s="113">
        <v>2026</v>
      </c>
      <c r="C1205" s="153" t="s">
        <v>872</v>
      </c>
      <c r="D1205" s="153" t="s">
        <v>1013</v>
      </c>
      <c r="E1205" s="153" t="s">
        <v>1112</v>
      </c>
      <c r="F1205" s="113" t="s">
        <v>918</v>
      </c>
    </row>
    <row r="1206" spans="1:6" ht="14.1">
      <c r="A1206" s="113" t="s">
        <v>829</v>
      </c>
      <c r="B1206" s="113">
        <v>2026</v>
      </c>
      <c r="C1206" s="113" t="s">
        <v>1024</v>
      </c>
      <c r="D1206" s="113" t="s">
        <v>1025</v>
      </c>
      <c r="E1206" s="113" t="s">
        <v>986</v>
      </c>
      <c r="F1206" s="113" t="s">
        <v>906</v>
      </c>
    </row>
    <row r="1207" spans="1:6" ht="14.1">
      <c r="A1207" s="153" t="s">
        <v>829</v>
      </c>
      <c r="B1207" s="113">
        <v>2026</v>
      </c>
      <c r="C1207" s="153" t="s">
        <v>1024</v>
      </c>
      <c r="D1207" s="153" t="s">
        <v>1027</v>
      </c>
      <c r="E1207" s="153" t="s">
        <v>1028</v>
      </c>
      <c r="F1207" s="113" t="s">
        <v>906</v>
      </c>
    </row>
    <row r="1208" spans="1:6" ht="14.1">
      <c r="A1208" s="113" t="s">
        <v>829</v>
      </c>
      <c r="B1208" s="113">
        <v>2026</v>
      </c>
      <c r="C1208" s="113" t="s">
        <v>1024</v>
      </c>
      <c r="D1208" s="113" t="s">
        <v>1026</v>
      </c>
      <c r="E1208" s="113" t="s">
        <v>930</v>
      </c>
      <c r="F1208" s="113" t="s">
        <v>906</v>
      </c>
    </row>
    <row r="1209" spans="1:6" ht="14.1">
      <c r="A1209" s="153" t="s">
        <v>829</v>
      </c>
      <c r="B1209" s="113">
        <v>2026</v>
      </c>
      <c r="C1209" s="153" t="s">
        <v>1024</v>
      </c>
      <c r="D1209" s="153" t="s">
        <v>1026</v>
      </c>
      <c r="E1209" s="153" t="s">
        <v>986</v>
      </c>
      <c r="F1209" s="113" t="s">
        <v>906</v>
      </c>
    </row>
    <row r="1210" spans="1:6" ht="14.1">
      <c r="A1210" s="113" t="s">
        <v>829</v>
      </c>
      <c r="B1210" s="113">
        <v>2026</v>
      </c>
      <c r="C1210" s="113" t="s">
        <v>1024</v>
      </c>
      <c r="D1210" s="113" t="s">
        <v>1026</v>
      </c>
      <c r="E1210" s="113" t="s">
        <v>1037</v>
      </c>
      <c r="F1210" s="113" t="s">
        <v>917</v>
      </c>
    </row>
    <row r="1211" spans="1:6" ht="14.1">
      <c r="A1211" s="153" t="s">
        <v>829</v>
      </c>
      <c r="B1211" s="113">
        <v>2026</v>
      </c>
      <c r="C1211" s="153" t="s">
        <v>1024</v>
      </c>
      <c r="D1211" s="153" t="s">
        <v>1055</v>
      </c>
      <c r="E1211" s="153" t="s">
        <v>1002</v>
      </c>
      <c r="F1211" s="113" t="s">
        <v>483</v>
      </c>
    </row>
    <row r="1212" spans="1:6" ht="14.1">
      <c r="A1212" s="113" t="s">
        <v>829</v>
      </c>
      <c r="B1212" s="113">
        <v>2026</v>
      </c>
      <c r="C1212" s="113" t="s">
        <v>1024</v>
      </c>
      <c r="D1212" s="113" t="s">
        <v>1025</v>
      </c>
      <c r="E1212" s="113" t="s">
        <v>1088</v>
      </c>
      <c r="F1212" s="113" t="s">
        <v>915</v>
      </c>
    </row>
    <row r="1213" spans="1:6" ht="14.25" customHeight="1">
      <c r="A1213" s="285" t="s">
        <v>823</v>
      </c>
      <c r="B1213" s="285">
        <v>2025</v>
      </c>
      <c r="C1213" s="285" t="s">
        <v>821</v>
      </c>
      <c r="D1213" s="285" t="s">
        <v>132</v>
      </c>
      <c r="E1213" s="285" t="s">
        <v>952</v>
      </c>
      <c r="F1213" s="113" t="s">
        <v>906</v>
      </c>
    </row>
    <row r="1214" spans="1:6" ht="14.25" customHeight="1">
      <c r="A1214" s="284" t="s">
        <v>823</v>
      </c>
      <c r="B1214" s="284">
        <v>2025</v>
      </c>
      <c r="C1214" s="284" t="s">
        <v>821</v>
      </c>
      <c r="D1214" s="284" t="s">
        <v>132</v>
      </c>
      <c r="E1214" s="284" t="s">
        <v>1135</v>
      </c>
      <c r="F1214" s="113" t="s">
        <v>663</v>
      </c>
    </row>
    <row r="1215" spans="1:6" ht="14.25" customHeight="1">
      <c r="A1215" s="285" t="s">
        <v>823</v>
      </c>
      <c r="B1215" s="285">
        <v>2025</v>
      </c>
      <c r="C1215" s="285" t="s">
        <v>821</v>
      </c>
      <c r="D1215" s="285" t="s">
        <v>132</v>
      </c>
      <c r="E1215" s="285" t="s">
        <v>1136</v>
      </c>
      <c r="F1215" s="113" t="s">
        <v>663</v>
      </c>
    </row>
    <row r="1216" spans="1:6" ht="14.25" customHeight="1">
      <c r="A1216" s="284" t="s">
        <v>823</v>
      </c>
      <c r="B1216" s="284">
        <v>2025</v>
      </c>
      <c r="C1216" s="284" t="s">
        <v>821</v>
      </c>
      <c r="D1216" s="284" t="s">
        <v>132</v>
      </c>
      <c r="E1216" s="284" t="s">
        <v>948</v>
      </c>
      <c r="F1216" s="113" t="s">
        <v>922</v>
      </c>
    </row>
    <row r="1217" spans="1:6" ht="14.25" customHeight="1">
      <c r="A1217" s="285" t="s">
        <v>823</v>
      </c>
      <c r="B1217" s="285">
        <v>2025</v>
      </c>
      <c r="C1217" s="285" t="s">
        <v>821</v>
      </c>
      <c r="D1217" s="285" t="s">
        <v>132</v>
      </c>
      <c r="E1217" s="285" t="s">
        <v>940</v>
      </c>
      <c r="F1217" s="113" t="s">
        <v>922</v>
      </c>
    </row>
    <row r="1218" spans="1:6" ht="14.25" customHeight="1">
      <c r="A1218" s="284" t="s">
        <v>823</v>
      </c>
      <c r="B1218" s="284">
        <v>2025</v>
      </c>
      <c r="C1218" s="284" t="s">
        <v>821</v>
      </c>
      <c r="D1218" s="284" t="s">
        <v>132</v>
      </c>
      <c r="E1218" s="284" t="s">
        <v>1104</v>
      </c>
      <c r="F1218" s="113" t="s">
        <v>922</v>
      </c>
    </row>
    <row r="1219" spans="1:6" ht="14.25" customHeight="1">
      <c r="A1219" s="285" t="s">
        <v>823</v>
      </c>
      <c r="B1219" s="285">
        <v>2025</v>
      </c>
      <c r="C1219" s="285" t="s">
        <v>821</v>
      </c>
      <c r="D1219" s="285" t="s">
        <v>132</v>
      </c>
      <c r="E1219" s="285" t="s">
        <v>948</v>
      </c>
      <c r="F1219" s="113" t="s">
        <v>922</v>
      </c>
    </row>
    <row r="1220" spans="1:6" ht="14.25" customHeight="1">
      <c r="A1220" s="284" t="s">
        <v>823</v>
      </c>
      <c r="B1220" s="284">
        <v>2025</v>
      </c>
      <c r="C1220" s="284" t="s">
        <v>821</v>
      </c>
      <c r="D1220" s="284" t="s">
        <v>132</v>
      </c>
      <c r="E1220" s="284" t="s">
        <v>1113</v>
      </c>
      <c r="F1220" s="113" t="s">
        <v>922</v>
      </c>
    </row>
    <row r="1221" spans="1:6" ht="14.25" customHeight="1">
      <c r="A1221" s="285" t="s">
        <v>823</v>
      </c>
      <c r="B1221" s="285">
        <v>2025</v>
      </c>
      <c r="C1221" s="285" t="s">
        <v>821</v>
      </c>
      <c r="D1221" s="285" t="s">
        <v>132</v>
      </c>
      <c r="E1221" s="285" t="s">
        <v>1136</v>
      </c>
      <c r="F1221" s="113" t="s">
        <v>922</v>
      </c>
    </row>
    <row r="1222" spans="1:6" ht="14.25" customHeight="1">
      <c r="A1222" s="284" t="s">
        <v>823</v>
      </c>
      <c r="B1222" s="284">
        <v>2025</v>
      </c>
      <c r="C1222" s="284" t="s">
        <v>821</v>
      </c>
      <c r="D1222" s="284" t="s">
        <v>132</v>
      </c>
      <c r="E1222" s="284" t="s">
        <v>1064</v>
      </c>
      <c r="F1222" s="113" t="s">
        <v>922</v>
      </c>
    </row>
    <row r="1223" spans="1:6" ht="14.25" customHeight="1">
      <c r="A1223" s="285" t="s">
        <v>823</v>
      </c>
      <c r="B1223" s="285">
        <v>2025</v>
      </c>
      <c r="C1223" s="285" t="s">
        <v>821</v>
      </c>
      <c r="D1223" s="285" t="s">
        <v>132</v>
      </c>
      <c r="E1223" s="285" t="s">
        <v>1137</v>
      </c>
      <c r="F1223" s="113" t="s">
        <v>922</v>
      </c>
    </row>
    <row r="1224" spans="1:6" ht="14.25" customHeight="1">
      <c r="A1224" s="284" t="s">
        <v>823</v>
      </c>
      <c r="B1224" s="284">
        <v>2025</v>
      </c>
      <c r="C1224" s="284" t="s">
        <v>821</v>
      </c>
      <c r="D1224" s="284" t="s">
        <v>216</v>
      </c>
      <c r="E1224" s="284" t="s">
        <v>1138</v>
      </c>
      <c r="F1224" s="113" t="s">
        <v>663</v>
      </c>
    </row>
    <row r="1225" spans="1:6" ht="14.25" customHeight="1">
      <c r="A1225" s="285" t="s">
        <v>823</v>
      </c>
      <c r="B1225" s="285">
        <v>2025</v>
      </c>
      <c r="C1225" s="285" t="s">
        <v>821</v>
      </c>
      <c r="D1225" s="285" t="s">
        <v>976</v>
      </c>
      <c r="E1225" s="285" t="s">
        <v>978</v>
      </c>
      <c r="F1225" s="113" t="s">
        <v>483</v>
      </c>
    </row>
    <row r="1226" spans="1:6" ht="14.25" customHeight="1">
      <c r="A1226" s="284" t="s">
        <v>823</v>
      </c>
      <c r="B1226" s="284">
        <v>2025</v>
      </c>
      <c r="C1226" s="284" t="s">
        <v>821</v>
      </c>
      <c r="D1226" s="284" t="s">
        <v>976</v>
      </c>
      <c r="E1226" s="284" t="s">
        <v>979</v>
      </c>
      <c r="F1226" s="113" t="s">
        <v>918</v>
      </c>
    </row>
    <row r="1227" spans="1:6" ht="14.25" customHeight="1">
      <c r="A1227" s="285" t="s">
        <v>823</v>
      </c>
      <c r="B1227" s="285">
        <v>2025</v>
      </c>
      <c r="C1227" s="285" t="s">
        <v>821</v>
      </c>
      <c r="D1227" s="285" t="s">
        <v>976</v>
      </c>
      <c r="E1227" s="285" t="s">
        <v>1113</v>
      </c>
      <c r="F1227" s="113" t="s">
        <v>922</v>
      </c>
    </row>
    <row r="1228" spans="1:6" ht="14.25" customHeight="1">
      <c r="A1228" s="284" t="s">
        <v>823</v>
      </c>
      <c r="B1228" s="284">
        <v>2025</v>
      </c>
      <c r="C1228" s="284" t="s">
        <v>821</v>
      </c>
      <c r="D1228" s="284" t="s">
        <v>976</v>
      </c>
      <c r="E1228" s="284" t="s">
        <v>987</v>
      </c>
      <c r="F1228" s="113" t="s">
        <v>935</v>
      </c>
    </row>
    <row r="1229" spans="1:6" ht="14.25" customHeight="1">
      <c r="A1229" s="285" t="s">
        <v>823</v>
      </c>
      <c r="B1229" s="285">
        <v>2025</v>
      </c>
      <c r="C1229" s="285" t="s">
        <v>821</v>
      </c>
      <c r="D1229" s="285" t="s">
        <v>976</v>
      </c>
      <c r="E1229" s="285" t="s">
        <v>1066</v>
      </c>
      <c r="F1229" s="113" t="s">
        <v>935</v>
      </c>
    </row>
    <row r="1230" spans="1:6" ht="14.25" customHeight="1">
      <c r="A1230" s="284" t="s">
        <v>823</v>
      </c>
      <c r="B1230" s="284">
        <v>2025</v>
      </c>
      <c r="C1230" s="284" t="s">
        <v>821</v>
      </c>
      <c r="D1230" s="284" t="s">
        <v>934</v>
      </c>
      <c r="E1230" s="284" t="s">
        <v>944</v>
      </c>
      <c r="F1230" s="113" t="s">
        <v>906</v>
      </c>
    </row>
    <row r="1231" spans="1:6" ht="14.25" customHeight="1">
      <c r="A1231" s="285" t="s">
        <v>823</v>
      </c>
      <c r="B1231" s="285">
        <v>2025</v>
      </c>
      <c r="C1231" s="285" t="s">
        <v>821</v>
      </c>
      <c r="D1231" s="285" t="s">
        <v>934</v>
      </c>
      <c r="E1231" s="285" t="s">
        <v>991</v>
      </c>
      <c r="F1231" s="113" t="s">
        <v>906</v>
      </c>
    </row>
    <row r="1232" spans="1:6" ht="14.25" customHeight="1">
      <c r="A1232" s="284" t="s">
        <v>823</v>
      </c>
      <c r="B1232" s="284">
        <v>2025</v>
      </c>
      <c r="C1232" s="284" t="s">
        <v>821</v>
      </c>
      <c r="D1232" s="284" t="s">
        <v>934</v>
      </c>
      <c r="E1232" s="284" t="s">
        <v>952</v>
      </c>
      <c r="F1232" s="113" t="s">
        <v>906</v>
      </c>
    </row>
    <row r="1233" spans="1:6" ht="14.25" customHeight="1">
      <c r="A1233" s="285" t="s">
        <v>823</v>
      </c>
      <c r="B1233" s="285">
        <v>2025</v>
      </c>
      <c r="C1233" s="285" t="s">
        <v>821</v>
      </c>
      <c r="D1233" s="285" t="s">
        <v>934</v>
      </c>
      <c r="E1233" s="285" t="s">
        <v>952</v>
      </c>
      <c r="F1233" s="113" t="s">
        <v>906</v>
      </c>
    </row>
    <row r="1234" spans="1:6" ht="14.25" customHeight="1">
      <c r="A1234" s="284" t="s">
        <v>823</v>
      </c>
      <c r="B1234" s="284">
        <v>2025</v>
      </c>
      <c r="C1234" s="284" t="s">
        <v>821</v>
      </c>
      <c r="D1234" s="284" t="s">
        <v>934</v>
      </c>
      <c r="E1234" s="284" t="s">
        <v>932</v>
      </c>
      <c r="F1234" s="113" t="s">
        <v>663</v>
      </c>
    </row>
    <row r="1235" spans="1:6" ht="14.25" customHeight="1">
      <c r="A1235" s="285" t="s">
        <v>823</v>
      </c>
      <c r="B1235" s="285">
        <v>2025</v>
      </c>
      <c r="C1235" s="285" t="s">
        <v>821</v>
      </c>
      <c r="D1235" s="285" t="s">
        <v>934</v>
      </c>
      <c r="E1235" s="285" t="s">
        <v>985</v>
      </c>
      <c r="F1235" s="113" t="s">
        <v>918</v>
      </c>
    </row>
    <row r="1236" spans="1:6" ht="14.25" customHeight="1">
      <c r="A1236" s="284" t="s">
        <v>823</v>
      </c>
      <c r="B1236" s="284">
        <v>2025</v>
      </c>
      <c r="C1236" s="284" t="s">
        <v>821</v>
      </c>
      <c r="D1236" s="284" t="s">
        <v>934</v>
      </c>
      <c r="E1236" s="284" t="s">
        <v>940</v>
      </c>
      <c r="F1236" s="113" t="s">
        <v>922</v>
      </c>
    </row>
    <row r="1237" spans="1:6" ht="14.25" customHeight="1">
      <c r="A1237" s="285" t="s">
        <v>823</v>
      </c>
      <c r="B1237" s="285">
        <v>2025</v>
      </c>
      <c r="C1237" s="285" t="s">
        <v>88</v>
      </c>
      <c r="D1237" s="285" t="s">
        <v>959</v>
      </c>
      <c r="E1237" s="285" t="s">
        <v>991</v>
      </c>
      <c r="F1237" s="113" t="s">
        <v>906</v>
      </c>
    </row>
    <row r="1238" spans="1:6" ht="14.25" customHeight="1">
      <c r="A1238" s="284" t="s">
        <v>823</v>
      </c>
      <c r="B1238" s="284">
        <v>2025</v>
      </c>
      <c r="C1238" s="284" t="s">
        <v>88</v>
      </c>
      <c r="D1238" s="284" t="s">
        <v>959</v>
      </c>
      <c r="E1238" s="284" t="s">
        <v>981</v>
      </c>
      <c r="F1238" s="113" t="s">
        <v>906</v>
      </c>
    </row>
    <row r="1239" spans="1:6" ht="14.25" customHeight="1">
      <c r="A1239" s="285" t="s">
        <v>823</v>
      </c>
      <c r="B1239" s="285">
        <v>2025</v>
      </c>
      <c r="C1239" s="285" t="s">
        <v>88</v>
      </c>
      <c r="D1239" s="285" t="s">
        <v>959</v>
      </c>
      <c r="E1239" s="285" t="s">
        <v>1040</v>
      </c>
      <c r="F1239" s="113" t="s">
        <v>906</v>
      </c>
    </row>
    <row r="1240" spans="1:6" ht="14.25" customHeight="1">
      <c r="A1240" s="284" t="s">
        <v>823</v>
      </c>
      <c r="B1240" s="284">
        <v>2025</v>
      </c>
      <c r="C1240" s="284" t="s">
        <v>88</v>
      </c>
      <c r="D1240" s="284" t="s">
        <v>959</v>
      </c>
      <c r="E1240" s="284" t="s">
        <v>1041</v>
      </c>
      <c r="F1240" s="113" t="s">
        <v>906</v>
      </c>
    </row>
    <row r="1241" spans="1:6" ht="14.25" customHeight="1">
      <c r="A1241" s="285" t="s">
        <v>823</v>
      </c>
      <c r="B1241" s="285">
        <v>2025</v>
      </c>
      <c r="C1241" s="285" t="s">
        <v>88</v>
      </c>
      <c r="D1241" s="285" t="s">
        <v>959</v>
      </c>
      <c r="E1241" s="285" t="s">
        <v>953</v>
      </c>
      <c r="F1241" s="113" t="s">
        <v>906</v>
      </c>
    </row>
    <row r="1242" spans="1:6" ht="14.25" customHeight="1">
      <c r="A1242" s="284" t="s">
        <v>823</v>
      </c>
      <c r="B1242" s="284">
        <v>2025</v>
      </c>
      <c r="C1242" s="284" t="s">
        <v>88</v>
      </c>
      <c r="D1242" s="284" t="s">
        <v>959</v>
      </c>
      <c r="E1242" s="284" t="s">
        <v>1014</v>
      </c>
      <c r="F1242" s="113" t="s">
        <v>906</v>
      </c>
    </row>
    <row r="1243" spans="1:6" ht="14.25" customHeight="1">
      <c r="A1243" s="285" t="s">
        <v>823</v>
      </c>
      <c r="B1243" s="285">
        <v>2025</v>
      </c>
      <c r="C1243" s="285" t="s">
        <v>88</v>
      </c>
      <c r="D1243" s="285" t="s">
        <v>959</v>
      </c>
      <c r="E1243" s="285" t="s">
        <v>1028</v>
      </c>
      <c r="F1243" s="113" t="s">
        <v>906</v>
      </c>
    </row>
    <row r="1244" spans="1:6" ht="14.25" customHeight="1">
      <c r="A1244" s="284" t="s">
        <v>823</v>
      </c>
      <c r="B1244" s="284">
        <v>2025</v>
      </c>
      <c r="C1244" s="284" t="s">
        <v>88</v>
      </c>
      <c r="D1244" s="284" t="s">
        <v>959</v>
      </c>
      <c r="E1244" s="284" t="s">
        <v>1041</v>
      </c>
      <c r="F1244" s="113" t="s">
        <v>906</v>
      </c>
    </row>
    <row r="1245" spans="1:6" ht="14.25" customHeight="1">
      <c r="A1245" s="285" t="s">
        <v>823</v>
      </c>
      <c r="B1245" s="285">
        <v>2025</v>
      </c>
      <c r="C1245" s="285" t="s">
        <v>88</v>
      </c>
      <c r="D1245" s="285" t="s">
        <v>959</v>
      </c>
      <c r="E1245" s="285" t="s">
        <v>1139</v>
      </c>
      <c r="F1245" s="113" t="s">
        <v>483</v>
      </c>
    </row>
    <row r="1246" spans="1:6" ht="14.25" customHeight="1">
      <c r="A1246" s="284" t="s">
        <v>823</v>
      </c>
      <c r="B1246" s="284">
        <v>2025</v>
      </c>
      <c r="C1246" s="284" t="s">
        <v>88</v>
      </c>
      <c r="D1246" s="284" t="s">
        <v>959</v>
      </c>
      <c r="E1246" s="284" t="s">
        <v>1031</v>
      </c>
      <c r="F1246" s="113" t="s">
        <v>913</v>
      </c>
    </row>
    <row r="1247" spans="1:6" ht="14.25" customHeight="1">
      <c r="A1247" s="285" t="s">
        <v>823</v>
      </c>
      <c r="B1247" s="285">
        <v>2025</v>
      </c>
      <c r="C1247" s="285" t="s">
        <v>88</v>
      </c>
      <c r="D1247" s="285" t="s">
        <v>959</v>
      </c>
      <c r="E1247" s="285" t="s">
        <v>1042</v>
      </c>
      <c r="F1247" s="113" t="s">
        <v>913</v>
      </c>
    </row>
    <row r="1248" spans="1:6" ht="14.25" customHeight="1">
      <c r="A1248" s="284" t="s">
        <v>823</v>
      </c>
      <c r="B1248" s="284">
        <v>2025</v>
      </c>
      <c r="C1248" s="284" t="s">
        <v>88</v>
      </c>
      <c r="D1248" s="284" t="s">
        <v>959</v>
      </c>
      <c r="E1248" s="284" t="s">
        <v>1008</v>
      </c>
      <c r="F1248" s="113" t="s">
        <v>913</v>
      </c>
    </row>
    <row r="1249" spans="1:6" ht="14.25" customHeight="1">
      <c r="A1249" s="285" t="s">
        <v>823</v>
      </c>
      <c r="B1249" s="285">
        <v>2025</v>
      </c>
      <c r="C1249" s="285" t="s">
        <v>88</v>
      </c>
      <c r="D1249" s="285" t="s">
        <v>959</v>
      </c>
      <c r="E1249" s="285" t="s">
        <v>1042</v>
      </c>
      <c r="F1249" s="113" t="s">
        <v>913</v>
      </c>
    </row>
    <row r="1250" spans="1:6" ht="14.25" customHeight="1">
      <c r="A1250" s="284" t="s">
        <v>823</v>
      </c>
      <c r="B1250" s="284">
        <v>2025</v>
      </c>
      <c r="C1250" s="284" t="s">
        <v>88</v>
      </c>
      <c r="D1250" s="284" t="s">
        <v>959</v>
      </c>
      <c r="E1250" s="284" t="s">
        <v>947</v>
      </c>
      <c r="F1250" s="113" t="s">
        <v>913</v>
      </c>
    </row>
    <row r="1251" spans="1:6" ht="14.25" customHeight="1">
      <c r="A1251" s="285" t="s">
        <v>823</v>
      </c>
      <c r="B1251" s="285">
        <v>2025</v>
      </c>
      <c r="C1251" s="285" t="s">
        <v>88</v>
      </c>
      <c r="D1251" s="285" t="s">
        <v>959</v>
      </c>
      <c r="E1251" s="285" t="s">
        <v>964</v>
      </c>
      <c r="F1251" s="113" t="s">
        <v>913</v>
      </c>
    </row>
    <row r="1252" spans="1:6" ht="14.25" customHeight="1">
      <c r="A1252" s="284" t="s">
        <v>823</v>
      </c>
      <c r="B1252" s="284">
        <v>2025</v>
      </c>
      <c r="C1252" s="284" t="s">
        <v>88</v>
      </c>
      <c r="D1252" s="284" t="s">
        <v>959</v>
      </c>
      <c r="E1252" s="284" t="s">
        <v>949</v>
      </c>
      <c r="F1252" s="113" t="s">
        <v>924</v>
      </c>
    </row>
    <row r="1253" spans="1:6" ht="14.25" customHeight="1">
      <c r="A1253" s="285" t="s">
        <v>823</v>
      </c>
      <c r="B1253" s="285">
        <v>2025</v>
      </c>
      <c r="C1253" s="285" t="s">
        <v>88</v>
      </c>
      <c r="D1253" s="285" t="s">
        <v>959</v>
      </c>
      <c r="E1253" s="285" t="s">
        <v>946</v>
      </c>
      <c r="F1253" s="113" t="s">
        <v>924</v>
      </c>
    </row>
    <row r="1254" spans="1:6" ht="14.25" customHeight="1">
      <c r="A1254" s="284" t="s">
        <v>823</v>
      </c>
      <c r="B1254" s="284">
        <v>2025</v>
      </c>
      <c r="C1254" s="284" t="s">
        <v>88</v>
      </c>
      <c r="D1254" s="284" t="s">
        <v>959</v>
      </c>
      <c r="E1254" s="284" t="s">
        <v>1090</v>
      </c>
      <c r="F1254" s="113" t="s">
        <v>935</v>
      </c>
    </row>
    <row r="1255" spans="1:6" ht="14.25" customHeight="1">
      <c r="A1255" s="285" t="s">
        <v>823</v>
      </c>
      <c r="B1255" s="285">
        <v>2025</v>
      </c>
      <c r="C1255" s="285" t="s">
        <v>88</v>
      </c>
      <c r="D1255" s="285" t="s">
        <v>959</v>
      </c>
      <c r="E1255" s="285" t="s">
        <v>987</v>
      </c>
      <c r="F1255" s="113" t="s">
        <v>935</v>
      </c>
    </row>
    <row r="1256" spans="1:6" ht="14.25" customHeight="1">
      <c r="A1256" s="284" t="s">
        <v>823</v>
      </c>
      <c r="B1256" s="284">
        <v>2025</v>
      </c>
      <c r="C1256" s="284" t="s">
        <v>88</v>
      </c>
      <c r="D1256" s="284" t="s">
        <v>959</v>
      </c>
      <c r="E1256" s="284" t="s">
        <v>1023</v>
      </c>
      <c r="F1256" s="113" t="s">
        <v>935</v>
      </c>
    </row>
    <row r="1257" spans="1:6" ht="14.25" customHeight="1">
      <c r="A1257" s="285" t="s">
        <v>823</v>
      </c>
      <c r="B1257" s="285">
        <v>2025</v>
      </c>
      <c r="C1257" s="285" t="s">
        <v>88</v>
      </c>
      <c r="D1257" s="285" t="s">
        <v>959</v>
      </c>
      <c r="E1257" s="285" t="s">
        <v>1023</v>
      </c>
      <c r="F1257" s="113" t="s">
        <v>935</v>
      </c>
    </row>
    <row r="1258" spans="1:6" ht="14.25" customHeight="1">
      <c r="A1258" s="284" t="s">
        <v>823</v>
      </c>
      <c r="B1258" s="284">
        <v>2025</v>
      </c>
      <c r="C1258" s="284" t="s">
        <v>88</v>
      </c>
      <c r="D1258" s="284" t="s">
        <v>988</v>
      </c>
      <c r="E1258" s="284" t="s">
        <v>952</v>
      </c>
      <c r="F1258" s="113" t="s">
        <v>906</v>
      </c>
    </row>
    <row r="1259" spans="1:6" ht="14.25" customHeight="1">
      <c r="A1259" s="285" t="s">
        <v>823</v>
      </c>
      <c r="B1259" s="285">
        <v>2025</v>
      </c>
      <c r="C1259" s="285" t="s">
        <v>88</v>
      </c>
      <c r="D1259" s="285" t="s">
        <v>988</v>
      </c>
      <c r="E1259" s="285" t="s">
        <v>1036</v>
      </c>
      <c r="F1259" s="113" t="s">
        <v>906</v>
      </c>
    </row>
    <row r="1260" spans="1:6" ht="14.25" customHeight="1">
      <c r="A1260" s="284" t="s">
        <v>823</v>
      </c>
      <c r="B1260" s="284">
        <v>2025</v>
      </c>
      <c r="C1260" s="284" t="s">
        <v>88</v>
      </c>
      <c r="D1260" s="284" t="s">
        <v>988</v>
      </c>
      <c r="E1260" s="284" t="s">
        <v>1021</v>
      </c>
      <c r="F1260" s="113" t="s">
        <v>663</v>
      </c>
    </row>
    <row r="1261" spans="1:6" ht="14.25" customHeight="1">
      <c r="A1261" s="285" t="s">
        <v>823</v>
      </c>
      <c r="B1261" s="285">
        <v>2025</v>
      </c>
      <c r="C1261" s="285" t="s">
        <v>88</v>
      </c>
      <c r="D1261" s="285" t="s">
        <v>988</v>
      </c>
      <c r="E1261" s="285" t="s">
        <v>982</v>
      </c>
      <c r="F1261" s="113" t="s">
        <v>663</v>
      </c>
    </row>
    <row r="1262" spans="1:6" ht="14.25" customHeight="1">
      <c r="A1262" s="284" t="s">
        <v>823</v>
      </c>
      <c r="B1262" s="284">
        <v>2025</v>
      </c>
      <c r="C1262" s="284" t="s">
        <v>88</v>
      </c>
      <c r="D1262" s="284" t="s">
        <v>988</v>
      </c>
      <c r="E1262" s="284" t="s">
        <v>997</v>
      </c>
      <c r="F1262" s="113" t="s">
        <v>935</v>
      </c>
    </row>
    <row r="1263" spans="1:6" ht="14.25" customHeight="1">
      <c r="A1263" s="285" t="s">
        <v>823</v>
      </c>
      <c r="B1263" s="285">
        <v>2025</v>
      </c>
      <c r="C1263" s="285" t="s">
        <v>88</v>
      </c>
      <c r="D1263" s="285" t="s">
        <v>988</v>
      </c>
      <c r="E1263" s="285" t="s">
        <v>1100</v>
      </c>
      <c r="F1263" s="113" t="s">
        <v>935</v>
      </c>
    </row>
    <row r="1264" spans="1:6" ht="14.25" customHeight="1">
      <c r="A1264" s="284" t="s">
        <v>823</v>
      </c>
      <c r="B1264" s="284">
        <v>2025</v>
      </c>
      <c r="C1264" s="284" t="s">
        <v>88</v>
      </c>
      <c r="D1264" s="284" t="s">
        <v>956</v>
      </c>
      <c r="E1264" s="284" t="s">
        <v>1036</v>
      </c>
      <c r="F1264" s="113" t="s">
        <v>906</v>
      </c>
    </row>
    <row r="1265" spans="1:6" ht="14.25" customHeight="1">
      <c r="A1265" s="285" t="s">
        <v>823</v>
      </c>
      <c r="B1265" s="285">
        <v>2025</v>
      </c>
      <c r="C1265" s="285" t="s">
        <v>88</v>
      </c>
      <c r="D1265" s="285" t="s">
        <v>956</v>
      </c>
      <c r="E1265" s="285" t="s">
        <v>954</v>
      </c>
      <c r="F1265" s="113" t="s">
        <v>906</v>
      </c>
    </row>
    <row r="1266" spans="1:6" ht="14.25" customHeight="1">
      <c r="A1266" s="284" t="s">
        <v>823</v>
      </c>
      <c r="B1266" s="284">
        <v>2025</v>
      </c>
      <c r="C1266" s="284" t="s">
        <v>88</v>
      </c>
      <c r="D1266" s="284" t="s">
        <v>958</v>
      </c>
      <c r="E1266" s="284" t="s">
        <v>1066</v>
      </c>
      <c r="F1266" s="113" t="s">
        <v>935</v>
      </c>
    </row>
    <row r="1267" spans="1:6" ht="14.25" customHeight="1">
      <c r="A1267" s="285" t="s">
        <v>823</v>
      </c>
      <c r="B1267" s="285">
        <v>2025</v>
      </c>
      <c r="C1267" s="285" t="s">
        <v>88</v>
      </c>
      <c r="D1267" s="285" t="s">
        <v>969</v>
      </c>
      <c r="E1267" s="285" t="s">
        <v>953</v>
      </c>
      <c r="F1267" s="113" t="s">
        <v>906</v>
      </c>
    </row>
    <row r="1268" spans="1:6" ht="14.25" customHeight="1">
      <c r="A1268" s="284" t="s">
        <v>823</v>
      </c>
      <c r="B1268" s="284">
        <v>2025</v>
      </c>
      <c r="C1268" s="284" t="s">
        <v>88</v>
      </c>
      <c r="D1268" s="284" t="s">
        <v>969</v>
      </c>
      <c r="E1268" s="284" t="s">
        <v>1041</v>
      </c>
      <c r="F1268" s="113" t="s">
        <v>906</v>
      </c>
    </row>
    <row r="1269" spans="1:6" ht="14.25" customHeight="1">
      <c r="A1269" s="285" t="s">
        <v>823</v>
      </c>
      <c r="B1269" s="285">
        <v>2025</v>
      </c>
      <c r="C1269" s="285" t="s">
        <v>88</v>
      </c>
      <c r="D1269" s="285" t="s">
        <v>969</v>
      </c>
      <c r="E1269" s="285" t="s">
        <v>1014</v>
      </c>
      <c r="F1269" s="113" t="s">
        <v>906</v>
      </c>
    </row>
    <row r="1270" spans="1:6" ht="14.25" customHeight="1">
      <c r="A1270" s="284" t="s">
        <v>823</v>
      </c>
      <c r="B1270" s="284">
        <v>2025</v>
      </c>
      <c r="C1270" s="284" t="s">
        <v>88</v>
      </c>
      <c r="D1270" s="284" t="s">
        <v>969</v>
      </c>
      <c r="E1270" s="284" t="s">
        <v>1036</v>
      </c>
      <c r="F1270" s="113" t="s">
        <v>906</v>
      </c>
    </row>
    <row r="1271" spans="1:6" ht="14.25" customHeight="1">
      <c r="A1271" s="285" t="s">
        <v>823</v>
      </c>
      <c r="B1271" s="285">
        <v>2025</v>
      </c>
      <c r="C1271" s="285" t="s">
        <v>88</v>
      </c>
      <c r="D1271" s="285" t="s">
        <v>969</v>
      </c>
      <c r="E1271" s="285" t="s">
        <v>1140</v>
      </c>
      <c r="F1271" s="113" t="s">
        <v>909</v>
      </c>
    </row>
    <row r="1272" spans="1:6" ht="14.25" customHeight="1">
      <c r="A1272" s="284" t="s">
        <v>823</v>
      </c>
      <c r="B1272" s="284">
        <v>2025</v>
      </c>
      <c r="C1272" s="284" t="s">
        <v>88</v>
      </c>
      <c r="D1272" s="284" t="s">
        <v>969</v>
      </c>
      <c r="E1272" s="284" t="s">
        <v>982</v>
      </c>
      <c r="F1272" s="113" t="s">
        <v>663</v>
      </c>
    </row>
    <row r="1273" spans="1:6" ht="14.25" customHeight="1">
      <c r="A1273" s="285" t="s">
        <v>823</v>
      </c>
      <c r="B1273" s="285">
        <v>2025</v>
      </c>
      <c r="C1273" s="285" t="s">
        <v>88</v>
      </c>
      <c r="D1273" s="285" t="s">
        <v>969</v>
      </c>
      <c r="E1273" s="285" t="s">
        <v>994</v>
      </c>
      <c r="F1273" s="113" t="s">
        <v>663</v>
      </c>
    </row>
    <row r="1274" spans="1:6" ht="14.25" customHeight="1">
      <c r="A1274" s="284" t="s">
        <v>823</v>
      </c>
      <c r="B1274" s="284">
        <v>2025</v>
      </c>
      <c r="C1274" s="284" t="s">
        <v>88</v>
      </c>
      <c r="D1274" s="284" t="s">
        <v>969</v>
      </c>
      <c r="E1274" s="284" t="s">
        <v>1119</v>
      </c>
      <c r="F1274" s="113" t="s">
        <v>918</v>
      </c>
    </row>
    <row r="1275" spans="1:6" ht="14.25" customHeight="1">
      <c r="A1275" s="285" t="s">
        <v>823</v>
      </c>
      <c r="B1275" s="285">
        <v>2025</v>
      </c>
      <c r="C1275" s="285" t="s">
        <v>88</v>
      </c>
      <c r="D1275" s="285" t="s">
        <v>969</v>
      </c>
      <c r="E1275" s="285" t="s">
        <v>1113</v>
      </c>
      <c r="F1275" s="113" t="s">
        <v>922</v>
      </c>
    </row>
    <row r="1276" spans="1:6" ht="14.25" customHeight="1">
      <c r="A1276" s="284" t="s">
        <v>823</v>
      </c>
      <c r="B1276" s="284">
        <v>2025</v>
      </c>
      <c r="C1276" s="284" t="s">
        <v>88</v>
      </c>
      <c r="D1276" s="284" t="s">
        <v>969</v>
      </c>
      <c r="E1276" s="284" t="s">
        <v>1100</v>
      </c>
      <c r="F1276" s="113" t="s">
        <v>935</v>
      </c>
    </row>
    <row r="1277" spans="1:6" ht="14.25" customHeight="1">
      <c r="A1277" s="285" t="s">
        <v>823</v>
      </c>
      <c r="B1277" s="285">
        <v>2025</v>
      </c>
      <c r="C1277" s="285" t="s">
        <v>859</v>
      </c>
      <c r="D1277" s="285" t="s">
        <v>1005</v>
      </c>
      <c r="E1277" s="285" t="s">
        <v>1128</v>
      </c>
      <c r="F1277" s="113" t="s">
        <v>483</v>
      </c>
    </row>
    <row r="1278" spans="1:6" ht="14.25" customHeight="1">
      <c r="A1278" s="284" t="s">
        <v>823</v>
      </c>
      <c r="B1278" s="284">
        <v>2025</v>
      </c>
      <c r="C1278" s="284" t="s">
        <v>859</v>
      </c>
      <c r="D1278" s="284" t="s">
        <v>1005</v>
      </c>
      <c r="E1278" s="284" t="s">
        <v>1096</v>
      </c>
      <c r="F1278" s="113" t="s">
        <v>909</v>
      </c>
    </row>
    <row r="1279" spans="1:6" ht="14.25" customHeight="1">
      <c r="A1279" s="285" t="s">
        <v>823</v>
      </c>
      <c r="B1279" s="285">
        <v>2025</v>
      </c>
      <c r="C1279" s="285" t="s">
        <v>859</v>
      </c>
      <c r="D1279" s="285" t="s">
        <v>1005</v>
      </c>
      <c r="E1279" s="285" t="s">
        <v>938</v>
      </c>
      <c r="F1279" s="113" t="s">
        <v>663</v>
      </c>
    </row>
    <row r="1280" spans="1:6" ht="14.25" customHeight="1">
      <c r="A1280" s="284" t="s">
        <v>823</v>
      </c>
      <c r="B1280" s="284">
        <v>2025</v>
      </c>
      <c r="C1280" s="284" t="s">
        <v>859</v>
      </c>
      <c r="D1280" s="284" t="s">
        <v>1005</v>
      </c>
      <c r="E1280" s="284" t="s">
        <v>989</v>
      </c>
      <c r="F1280" s="113" t="s">
        <v>935</v>
      </c>
    </row>
    <row r="1281" spans="1:6" ht="14.25" customHeight="1">
      <c r="A1281" s="285" t="s">
        <v>823</v>
      </c>
      <c r="B1281" s="285">
        <v>2025</v>
      </c>
      <c r="C1281" s="285" t="s">
        <v>859</v>
      </c>
      <c r="D1281" s="285" t="s">
        <v>999</v>
      </c>
      <c r="E1281" s="285" t="s">
        <v>1014</v>
      </c>
      <c r="F1281" s="113" t="s">
        <v>906</v>
      </c>
    </row>
    <row r="1282" spans="1:6" ht="14.25" customHeight="1">
      <c r="A1282" s="284" t="s">
        <v>823</v>
      </c>
      <c r="B1282" s="284">
        <v>2025</v>
      </c>
      <c r="C1282" s="284" t="s">
        <v>859</v>
      </c>
      <c r="D1282" s="284" t="s">
        <v>999</v>
      </c>
      <c r="E1282" s="284" t="s">
        <v>1002</v>
      </c>
      <c r="F1282" s="113" t="s">
        <v>483</v>
      </c>
    </row>
    <row r="1283" spans="1:6" ht="14.25" customHeight="1">
      <c r="A1283" s="285" t="s">
        <v>823</v>
      </c>
      <c r="B1283" s="285">
        <v>2025</v>
      </c>
      <c r="C1283" s="285" t="s">
        <v>859</v>
      </c>
      <c r="D1283" s="285" t="s">
        <v>999</v>
      </c>
      <c r="E1283" s="285" t="s">
        <v>961</v>
      </c>
      <c r="F1283" s="113" t="s">
        <v>663</v>
      </c>
    </row>
    <row r="1284" spans="1:6" ht="14.25" customHeight="1">
      <c r="A1284" s="284" t="s">
        <v>823</v>
      </c>
      <c r="B1284" s="284">
        <v>2025</v>
      </c>
      <c r="C1284" s="284" t="s">
        <v>859</v>
      </c>
      <c r="D1284" s="284" t="s">
        <v>999</v>
      </c>
      <c r="E1284" s="284" t="s">
        <v>950</v>
      </c>
      <c r="F1284" s="113" t="s">
        <v>783</v>
      </c>
    </row>
    <row r="1285" spans="1:6" ht="14.25" customHeight="1">
      <c r="A1285" s="285" t="s">
        <v>823</v>
      </c>
      <c r="B1285" s="285">
        <v>2025</v>
      </c>
      <c r="C1285" s="285" t="s">
        <v>859</v>
      </c>
      <c r="D1285" s="285" t="s">
        <v>998</v>
      </c>
      <c r="E1285" s="285" t="s">
        <v>1041</v>
      </c>
      <c r="F1285" s="113" t="s">
        <v>906</v>
      </c>
    </row>
    <row r="1286" spans="1:6" ht="14.25" customHeight="1">
      <c r="A1286" s="284" t="s">
        <v>823</v>
      </c>
      <c r="B1286" s="284">
        <v>2025</v>
      </c>
      <c r="C1286" s="284" t="s">
        <v>859</v>
      </c>
      <c r="D1286" s="284" t="s">
        <v>998</v>
      </c>
      <c r="E1286" s="284" t="s">
        <v>991</v>
      </c>
      <c r="F1286" s="113" t="s">
        <v>906</v>
      </c>
    </row>
    <row r="1287" spans="1:6" ht="14.25" customHeight="1">
      <c r="A1287" s="285" t="s">
        <v>823</v>
      </c>
      <c r="B1287" s="285">
        <v>2025</v>
      </c>
      <c r="C1287" s="285" t="s">
        <v>859</v>
      </c>
      <c r="D1287" s="285" t="s">
        <v>998</v>
      </c>
      <c r="E1287" s="285" t="s">
        <v>1141</v>
      </c>
      <c r="F1287" s="113" t="s">
        <v>483</v>
      </c>
    </row>
    <row r="1288" spans="1:6" ht="14.25" customHeight="1">
      <c r="A1288" s="284" t="s">
        <v>823</v>
      </c>
      <c r="B1288" s="284">
        <v>2025</v>
      </c>
      <c r="C1288" s="284" t="s">
        <v>859</v>
      </c>
      <c r="D1288" s="284" t="s">
        <v>998</v>
      </c>
      <c r="E1288" s="284" t="s">
        <v>2</v>
      </c>
      <c r="F1288" s="113" t="s">
        <v>935</v>
      </c>
    </row>
    <row r="1289" spans="1:6" ht="14.25" customHeight="1">
      <c r="A1289" s="285" t="s">
        <v>823</v>
      </c>
      <c r="B1289" s="285">
        <v>2025</v>
      </c>
      <c r="C1289" s="285" t="s">
        <v>872</v>
      </c>
      <c r="D1289" s="285" t="s">
        <v>1018</v>
      </c>
      <c r="E1289" s="285" t="s">
        <v>1050</v>
      </c>
      <c r="F1289" s="113" t="s">
        <v>483</v>
      </c>
    </row>
    <row r="1290" spans="1:6" ht="14.25" customHeight="1">
      <c r="A1290" s="284" t="s">
        <v>823</v>
      </c>
      <c r="B1290" s="284">
        <v>2025</v>
      </c>
      <c r="C1290" s="284" t="s">
        <v>872</v>
      </c>
      <c r="D1290" s="284" t="s">
        <v>1018</v>
      </c>
      <c r="E1290" s="284" t="s">
        <v>1004</v>
      </c>
      <c r="F1290" s="113" t="s">
        <v>935</v>
      </c>
    </row>
    <row r="1291" spans="1:6" ht="14.25" customHeight="1">
      <c r="A1291" s="285" t="s">
        <v>823</v>
      </c>
      <c r="B1291" s="285">
        <v>2025</v>
      </c>
      <c r="C1291" s="285" t="s">
        <v>872</v>
      </c>
      <c r="D1291" s="285" t="s">
        <v>1013</v>
      </c>
      <c r="E1291" s="285" t="s">
        <v>953</v>
      </c>
      <c r="F1291" s="113" t="s">
        <v>906</v>
      </c>
    </row>
    <row r="1292" spans="1:6" ht="14.25" customHeight="1">
      <c r="A1292" s="284" t="s">
        <v>823</v>
      </c>
      <c r="B1292" s="284">
        <v>2025</v>
      </c>
      <c r="C1292" s="284" t="s">
        <v>872</v>
      </c>
      <c r="D1292" s="284" t="s">
        <v>1013</v>
      </c>
      <c r="E1292" s="284" t="s">
        <v>995</v>
      </c>
      <c r="F1292" s="113" t="s">
        <v>924</v>
      </c>
    </row>
    <row r="1293" spans="1:6" ht="14.25" customHeight="1">
      <c r="A1293" s="285" t="s">
        <v>823</v>
      </c>
      <c r="B1293" s="285">
        <v>2025</v>
      </c>
      <c r="C1293" s="285" t="s">
        <v>872</v>
      </c>
      <c r="D1293" s="285" t="s">
        <v>1012</v>
      </c>
      <c r="E1293" s="285" t="s">
        <v>1128</v>
      </c>
      <c r="F1293" s="113" t="s">
        <v>483</v>
      </c>
    </row>
    <row r="1294" spans="1:6" ht="14.25" customHeight="1">
      <c r="A1294" s="284" t="s">
        <v>823</v>
      </c>
      <c r="B1294" s="284">
        <v>2025</v>
      </c>
      <c r="C1294" s="284" t="s">
        <v>872</v>
      </c>
      <c r="D1294" s="284" t="s">
        <v>1012</v>
      </c>
      <c r="E1294" s="284" t="s">
        <v>1043</v>
      </c>
      <c r="F1294" s="113" t="s">
        <v>913</v>
      </c>
    </row>
    <row r="1295" spans="1:6" ht="14.25" customHeight="1">
      <c r="A1295" s="285" t="s">
        <v>823</v>
      </c>
      <c r="B1295" s="285">
        <v>2025</v>
      </c>
      <c r="C1295" s="285" t="s">
        <v>872</v>
      </c>
      <c r="D1295" s="285" t="s">
        <v>1015</v>
      </c>
      <c r="E1295" s="285" t="s">
        <v>1008</v>
      </c>
      <c r="F1295" s="113" t="s">
        <v>913</v>
      </c>
    </row>
    <row r="1296" spans="1:6" ht="14.25" customHeight="1">
      <c r="A1296" s="284" t="s">
        <v>823</v>
      </c>
      <c r="B1296" s="284">
        <v>2025</v>
      </c>
      <c r="C1296" s="284" t="s">
        <v>872</v>
      </c>
      <c r="D1296" s="284" t="s">
        <v>1015</v>
      </c>
      <c r="E1296" s="284" t="s">
        <v>938</v>
      </c>
      <c r="F1296" s="113" t="s">
        <v>663</v>
      </c>
    </row>
    <row r="1297" spans="1:6" ht="14.25" customHeight="1">
      <c r="A1297" s="285" t="s">
        <v>823</v>
      </c>
      <c r="B1297" s="285">
        <v>2025</v>
      </c>
      <c r="C1297" s="285" t="s">
        <v>872</v>
      </c>
      <c r="D1297" s="285" t="s">
        <v>1015</v>
      </c>
      <c r="E1297" s="285" t="s">
        <v>1061</v>
      </c>
      <c r="F1297" s="113" t="s">
        <v>918</v>
      </c>
    </row>
    <row r="1298" spans="1:6" ht="14.25" customHeight="1">
      <c r="A1298" s="284" t="s">
        <v>823</v>
      </c>
      <c r="B1298" s="284">
        <v>2025</v>
      </c>
      <c r="C1298" s="284" t="s">
        <v>872</v>
      </c>
      <c r="D1298" s="284" t="s">
        <v>1015</v>
      </c>
      <c r="E1298" s="284" t="s">
        <v>1004</v>
      </c>
      <c r="F1298" s="113" t="s">
        <v>935</v>
      </c>
    </row>
    <row r="1299" spans="1:6" ht="14.25" customHeight="1">
      <c r="A1299" s="285" t="s">
        <v>823</v>
      </c>
      <c r="B1299" s="285">
        <v>2025</v>
      </c>
      <c r="C1299" s="285" t="s">
        <v>1024</v>
      </c>
      <c r="D1299" s="285" t="s">
        <v>1027</v>
      </c>
      <c r="E1299" s="285" t="s">
        <v>981</v>
      </c>
      <c r="F1299" s="113" t="s">
        <v>906</v>
      </c>
    </row>
    <row r="1300" spans="1:6" ht="14.25" customHeight="1">
      <c r="A1300" s="284" t="s">
        <v>823</v>
      </c>
      <c r="B1300" s="284">
        <v>2025</v>
      </c>
      <c r="C1300" s="284" t="s">
        <v>1024</v>
      </c>
      <c r="D1300" s="284" t="s">
        <v>1027</v>
      </c>
      <c r="E1300" s="284" t="s">
        <v>930</v>
      </c>
      <c r="F1300" s="113" t="s">
        <v>906</v>
      </c>
    </row>
    <row r="1301" spans="1:6" ht="14.25" customHeight="1">
      <c r="A1301" s="285" t="s">
        <v>823</v>
      </c>
      <c r="B1301" s="285">
        <v>2025</v>
      </c>
      <c r="C1301" s="285" t="s">
        <v>1024</v>
      </c>
      <c r="D1301" s="285" t="s">
        <v>1027</v>
      </c>
      <c r="E1301" s="285" t="s">
        <v>1100</v>
      </c>
      <c r="F1301" s="113" t="s">
        <v>935</v>
      </c>
    </row>
    <row r="1302" spans="1:6" ht="14.25" customHeight="1">
      <c r="A1302" s="284" t="s">
        <v>823</v>
      </c>
      <c r="B1302" s="284">
        <v>2025</v>
      </c>
      <c r="C1302" s="284" t="s">
        <v>1024</v>
      </c>
      <c r="D1302" s="284" t="s">
        <v>1027</v>
      </c>
      <c r="E1302" s="284" t="s">
        <v>990</v>
      </c>
      <c r="F1302" s="113" t="s">
        <v>935</v>
      </c>
    </row>
    <row r="1303" spans="1:6" ht="14.25" customHeight="1">
      <c r="A1303" s="285" t="s">
        <v>823</v>
      </c>
      <c r="B1303" s="285">
        <v>2025</v>
      </c>
      <c r="C1303" s="285" t="s">
        <v>1024</v>
      </c>
      <c r="D1303" s="285" t="s">
        <v>1026</v>
      </c>
      <c r="E1303" s="113" t="s">
        <v>2</v>
      </c>
      <c r="F1303" s="113" t="s">
        <v>935</v>
      </c>
    </row>
    <row r="1304" spans="1:6" ht="14.25" customHeight="1">
      <c r="A1304" s="284" t="s">
        <v>823</v>
      </c>
      <c r="B1304" s="284">
        <v>2025</v>
      </c>
      <c r="C1304" s="284" t="s">
        <v>1024</v>
      </c>
      <c r="D1304" s="284" t="s">
        <v>1142</v>
      </c>
      <c r="E1304" s="284" t="s">
        <v>944</v>
      </c>
      <c r="F1304" s="113" t="s">
        <v>906</v>
      </c>
    </row>
    <row r="1305" spans="1:6" ht="14.25" customHeight="1">
      <c r="A1305" s="285" t="s">
        <v>823</v>
      </c>
      <c r="B1305" s="285">
        <v>2025</v>
      </c>
      <c r="C1305" s="285" t="s">
        <v>1024</v>
      </c>
      <c r="D1305" s="285" t="s">
        <v>1142</v>
      </c>
      <c r="E1305" s="285" t="s">
        <v>986</v>
      </c>
      <c r="F1305" s="113" t="s">
        <v>906</v>
      </c>
    </row>
    <row r="1306" spans="1:6" ht="14.25" customHeight="1">
      <c r="A1306" s="284" t="s">
        <v>823</v>
      </c>
      <c r="B1306" s="284">
        <v>2025</v>
      </c>
      <c r="C1306" s="284" t="s">
        <v>1024</v>
      </c>
      <c r="D1306" s="284" t="s">
        <v>1142</v>
      </c>
      <c r="E1306" s="284" t="s">
        <v>1036</v>
      </c>
      <c r="F1306" s="113" t="s">
        <v>906</v>
      </c>
    </row>
    <row r="1307" spans="1:6" ht="14.25" customHeight="1">
      <c r="A1307" s="285" t="s">
        <v>823</v>
      </c>
      <c r="B1307" s="285">
        <v>2025</v>
      </c>
      <c r="C1307" s="285" t="s">
        <v>1024</v>
      </c>
      <c r="D1307" s="285" t="s">
        <v>1142</v>
      </c>
      <c r="E1307" s="285" t="s">
        <v>957</v>
      </c>
      <c r="F1307" s="113" t="s">
        <v>924</v>
      </c>
    </row>
    <row r="1308" spans="1:6" ht="14.25" customHeight="1">
      <c r="A1308" s="284" t="s">
        <v>823</v>
      </c>
      <c r="B1308" s="284">
        <v>2025</v>
      </c>
      <c r="C1308" s="284" t="s">
        <v>1024</v>
      </c>
      <c r="D1308" s="284" t="s">
        <v>1142</v>
      </c>
      <c r="E1308" s="284" t="s">
        <v>1095</v>
      </c>
      <c r="F1308" s="113" t="s">
        <v>924</v>
      </c>
    </row>
    <row r="1309" spans="1:6" ht="14.25" customHeight="1">
      <c r="A1309" s="285" t="s">
        <v>823</v>
      </c>
      <c r="B1309" s="285">
        <v>2025</v>
      </c>
      <c r="C1309" s="285" t="s">
        <v>1024</v>
      </c>
      <c r="D1309" s="285" t="s">
        <v>1142</v>
      </c>
      <c r="E1309" s="285" t="s">
        <v>996</v>
      </c>
      <c r="F1309" s="113" t="s">
        <v>924</v>
      </c>
    </row>
    <row r="1310" spans="1:6" ht="14.25" customHeight="1">
      <c r="A1310" s="284" t="s">
        <v>824</v>
      </c>
      <c r="B1310" s="284">
        <v>2025</v>
      </c>
      <c r="C1310" s="284" t="s">
        <v>821</v>
      </c>
      <c r="D1310" s="284" t="s">
        <v>132</v>
      </c>
      <c r="E1310" s="284" t="s">
        <v>1143</v>
      </c>
      <c r="F1310" s="284" t="s">
        <v>1144</v>
      </c>
    </row>
    <row r="1311" spans="1:6" ht="14.25" customHeight="1">
      <c r="A1311" s="285" t="s">
        <v>824</v>
      </c>
      <c r="B1311" s="285">
        <v>2025</v>
      </c>
      <c r="C1311" s="285" t="s">
        <v>821</v>
      </c>
      <c r="D1311" s="285" t="s">
        <v>132</v>
      </c>
      <c r="E1311" s="285" t="s">
        <v>954</v>
      </c>
      <c r="F1311" s="113" t="s">
        <v>906</v>
      </c>
    </row>
    <row r="1312" spans="1:6" ht="14.25" customHeight="1">
      <c r="A1312" s="284" t="s">
        <v>824</v>
      </c>
      <c r="B1312" s="284">
        <v>2025</v>
      </c>
      <c r="C1312" s="284" t="s">
        <v>821</v>
      </c>
      <c r="D1312" s="284" t="s">
        <v>132</v>
      </c>
      <c r="E1312" s="284" t="s">
        <v>953</v>
      </c>
      <c r="F1312" s="113" t="s">
        <v>906</v>
      </c>
    </row>
    <row r="1313" spans="1:6" ht="14.25" customHeight="1">
      <c r="A1313" s="285" t="s">
        <v>824</v>
      </c>
      <c r="B1313" s="285">
        <v>2025</v>
      </c>
      <c r="C1313" s="285" t="s">
        <v>821</v>
      </c>
      <c r="D1313" s="285" t="s">
        <v>132</v>
      </c>
      <c r="E1313" s="285" t="s">
        <v>1036</v>
      </c>
      <c r="F1313" s="113" t="s">
        <v>906</v>
      </c>
    </row>
    <row r="1314" spans="1:6" ht="14.25" customHeight="1">
      <c r="A1314" s="284" t="s">
        <v>824</v>
      </c>
      <c r="B1314" s="284">
        <v>2025</v>
      </c>
      <c r="C1314" s="284" t="s">
        <v>821</v>
      </c>
      <c r="D1314" s="284" t="s">
        <v>132</v>
      </c>
      <c r="E1314" s="284" t="s">
        <v>1014</v>
      </c>
      <c r="F1314" s="113" t="s">
        <v>906</v>
      </c>
    </row>
    <row r="1315" spans="1:6" ht="14.25" customHeight="1">
      <c r="A1315" s="285" t="s">
        <v>824</v>
      </c>
      <c r="B1315" s="285">
        <v>2025</v>
      </c>
      <c r="C1315" s="285" t="s">
        <v>821</v>
      </c>
      <c r="D1315" s="285" t="s">
        <v>132</v>
      </c>
      <c r="E1315" s="284" t="s">
        <v>944</v>
      </c>
      <c r="F1315" s="113" t="s">
        <v>906</v>
      </c>
    </row>
    <row r="1316" spans="1:6" ht="14.25" customHeight="1">
      <c r="A1316" s="284" t="s">
        <v>824</v>
      </c>
      <c r="B1316" s="284">
        <v>2025</v>
      </c>
      <c r="C1316" s="284" t="s">
        <v>821</v>
      </c>
      <c r="D1316" s="284" t="s">
        <v>132</v>
      </c>
      <c r="E1316" s="284" t="s">
        <v>1014</v>
      </c>
      <c r="F1316" s="113" t="s">
        <v>906</v>
      </c>
    </row>
    <row r="1317" spans="1:6" ht="14.25" customHeight="1">
      <c r="A1317" s="285" t="s">
        <v>824</v>
      </c>
      <c r="B1317" s="285">
        <v>2025</v>
      </c>
      <c r="C1317" s="285" t="s">
        <v>821</v>
      </c>
      <c r="D1317" s="285" t="s">
        <v>132</v>
      </c>
      <c r="E1317" s="285" t="s">
        <v>1145</v>
      </c>
      <c r="F1317" s="113" t="s">
        <v>663</v>
      </c>
    </row>
    <row r="1318" spans="1:6" ht="14.25" customHeight="1">
      <c r="A1318" s="284" t="s">
        <v>824</v>
      </c>
      <c r="B1318" s="284">
        <v>2025</v>
      </c>
      <c r="C1318" s="284" t="s">
        <v>821</v>
      </c>
      <c r="D1318" s="284" t="s">
        <v>132</v>
      </c>
      <c r="E1318" s="284" t="s">
        <v>1093</v>
      </c>
      <c r="F1318" s="113" t="s">
        <v>915</v>
      </c>
    </row>
    <row r="1319" spans="1:6" ht="14.25" customHeight="1">
      <c r="A1319" s="285" t="s">
        <v>824</v>
      </c>
      <c r="B1319" s="285">
        <v>2025</v>
      </c>
      <c r="C1319" s="285" t="s">
        <v>821</v>
      </c>
      <c r="D1319" s="285" t="s">
        <v>132</v>
      </c>
      <c r="E1319" s="285" t="s">
        <v>1146</v>
      </c>
      <c r="F1319" s="113" t="s">
        <v>917</v>
      </c>
    </row>
    <row r="1320" spans="1:6" ht="14.25" customHeight="1">
      <c r="A1320" s="284" t="s">
        <v>824</v>
      </c>
      <c r="B1320" s="284">
        <v>2025</v>
      </c>
      <c r="C1320" s="284" t="s">
        <v>821</v>
      </c>
      <c r="D1320" s="284" t="s">
        <v>132</v>
      </c>
      <c r="E1320" s="284" t="s">
        <v>1147</v>
      </c>
      <c r="F1320" s="113" t="s">
        <v>574</v>
      </c>
    </row>
    <row r="1321" spans="1:6" ht="14.25" customHeight="1">
      <c r="A1321" s="285" t="s">
        <v>824</v>
      </c>
      <c r="B1321" s="285">
        <v>2025</v>
      </c>
      <c r="C1321" s="285" t="s">
        <v>821</v>
      </c>
      <c r="D1321" s="285" t="s">
        <v>132</v>
      </c>
      <c r="E1321" s="285" t="s">
        <v>1148</v>
      </c>
      <c r="F1321" s="113" t="s">
        <v>574</v>
      </c>
    </row>
    <row r="1322" spans="1:6" ht="14.25" customHeight="1">
      <c r="A1322" s="284" t="s">
        <v>824</v>
      </c>
      <c r="B1322" s="284">
        <v>2025</v>
      </c>
      <c r="C1322" s="284" t="s">
        <v>821</v>
      </c>
      <c r="D1322" s="284" t="s">
        <v>132</v>
      </c>
      <c r="E1322" s="284" t="s">
        <v>1149</v>
      </c>
      <c r="F1322" s="113" t="s">
        <v>574</v>
      </c>
    </row>
    <row r="1323" spans="1:6" ht="14.25" customHeight="1">
      <c r="A1323" s="285" t="s">
        <v>824</v>
      </c>
      <c r="B1323" s="285">
        <v>2025</v>
      </c>
      <c r="C1323" s="285" t="s">
        <v>821</v>
      </c>
      <c r="D1323" s="285" t="s">
        <v>132</v>
      </c>
      <c r="E1323" s="285" t="s">
        <v>1150</v>
      </c>
      <c r="F1323" s="113" t="s">
        <v>574</v>
      </c>
    </row>
    <row r="1324" spans="1:6" ht="14.25" customHeight="1">
      <c r="A1324" s="284" t="s">
        <v>824</v>
      </c>
      <c r="B1324" s="284">
        <v>2025</v>
      </c>
      <c r="C1324" s="284" t="s">
        <v>821</v>
      </c>
      <c r="D1324" s="284" t="s">
        <v>132</v>
      </c>
      <c r="E1324" s="284" t="s">
        <v>1151</v>
      </c>
      <c r="F1324" s="113" t="s">
        <v>574</v>
      </c>
    </row>
    <row r="1325" spans="1:6" ht="14.25" customHeight="1">
      <c r="A1325" s="285" t="s">
        <v>824</v>
      </c>
      <c r="B1325" s="285">
        <v>2025</v>
      </c>
      <c r="C1325" s="285" t="s">
        <v>821</v>
      </c>
      <c r="D1325" s="285" t="s">
        <v>132</v>
      </c>
      <c r="E1325" s="285" t="s">
        <v>948</v>
      </c>
      <c r="F1325" s="113" t="s">
        <v>922</v>
      </c>
    </row>
    <row r="1326" spans="1:6" ht="14.25" customHeight="1">
      <c r="A1326" s="284" t="s">
        <v>824</v>
      </c>
      <c r="B1326" s="284">
        <v>2025</v>
      </c>
      <c r="C1326" s="284" t="s">
        <v>821</v>
      </c>
      <c r="D1326" s="284" t="s">
        <v>132</v>
      </c>
      <c r="E1326" s="284" t="s">
        <v>955</v>
      </c>
      <c r="F1326" s="113" t="s">
        <v>922</v>
      </c>
    </row>
    <row r="1327" spans="1:6" ht="14.25" customHeight="1">
      <c r="A1327" s="285" t="s">
        <v>824</v>
      </c>
      <c r="B1327" s="285">
        <v>2025</v>
      </c>
      <c r="C1327" s="285" t="s">
        <v>821</v>
      </c>
      <c r="D1327" s="285" t="s">
        <v>132</v>
      </c>
      <c r="E1327" s="285" t="s">
        <v>1152</v>
      </c>
      <c r="F1327" s="113" t="s">
        <v>922</v>
      </c>
    </row>
    <row r="1328" spans="1:6" ht="14.25" customHeight="1">
      <c r="A1328" s="284" t="s">
        <v>824</v>
      </c>
      <c r="B1328" s="284">
        <v>2025</v>
      </c>
      <c r="C1328" s="284" t="s">
        <v>821</v>
      </c>
      <c r="D1328" s="284" t="s">
        <v>132</v>
      </c>
      <c r="E1328" s="284" t="s">
        <v>1064</v>
      </c>
      <c r="F1328" s="113" t="s">
        <v>922</v>
      </c>
    </row>
    <row r="1329" spans="1:6" ht="14.25" customHeight="1">
      <c r="A1329" s="285" t="s">
        <v>824</v>
      </c>
      <c r="B1329" s="285">
        <v>2025</v>
      </c>
      <c r="C1329" s="285" t="s">
        <v>821</v>
      </c>
      <c r="D1329" s="285" t="s">
        <v>132</v>
      </c>
      <c r="E1329" s="285" t="s">
        <v>1059</v>
      </c>
      <c r="F1329" s="113" t="s">
        <v>922</v>
      </c>
    </row>
    <row r="1330" spans="1:6" ht="14.25" customHeight="1">
      <c r="A1330" s="284" t="s">
        <v>824</v>
      </c>
      <c r="B1330" s="284">
        <v>2025</v>
      </c>
      <c r="C1330" s="284" t="s">
        <v>821</v>
      </c>
      <c r="D1330" s="284" t="s">
        <v>132</v>
      </c>
      <c r="E1330" s="284" t="s">
        <v>1023</v>
      </c>
      <c r="F1330" s="113" t="s">
        <v>935</v>
      </c>
    </row>
    <row r="1331" spans="1:6" ht="14.25" customHeight="1">
      <c r="A1331" s="285" t="s">
        <v>824</v>
      </c>
      <c r="B1331" s="285">
        <v>2025</v>
      </c>
      <c r="C1331" s="285" t="s">
        <v>821</v>
      </c>
      <c r="D1331" s="285" t="s">
        <v>976</v>
      </c>
      <c r="E1331" s="285" t="s">
        <v>1040</v>
      </c>
      <c r="F1331" s="113" t="s">
        <v>906</v>
      </c>
    </row>
    <row r="1332" spans="1:6" ht="14.25" customHeight="1">
      <c r="A1332" s="284" t="s">
        <v>824</v>
      </c>
      <c r="B1332" s="284">
        <v>2025</v>
      </c>
      <c r="C1332" s="284" t="s">
        <v>821</v>
      </c>
      <c r="D1332" s="284" t="s">
        <v>976</v>
      </c>
      <c r="E1332" s="284" t="s">
        <v>953</v>
      </c>
      <c r="F1332" s="113" t="s">
        <v>906</v>
      </c>
    </row>
    <row r="1333" spans="1:6" ht="14.25" customHeight="1">
      <c r="A1333" s="285" t="s">
        <v>824</v>
      </c>
      <c r="B1333" s="285">
        <v>2025</v>
      </c>
      <c r="C1333" s="285" t="s">
        <v>821</v>
      </c>
      <c r="D1333" s="285" t="s">
        <v>976</v>
      </c>
      <c r="E1333" s="285" t="s">
        <v>1153</v>
      </c>
      <c r="F1333" s="113" t="s">
        <v>483</v>
      </c>
    </row>
    <row r="1334" spans="1:6" ht="14.25" customHeight="1">
      <c r="A1334" s="284" t="s">
        <v>824</v>
      </c>
      <c r="B1334" s="284">
        <v>2025</v>
      </c>
      <c r="C1334" s="284" t="s">
        <v>821</v>
      </c>
      <c r="D1334" s="284" t="s">
        <v>976</v>
      </c>
      <c r="E1334" s="284" t="s">
        <v>1154</v>
      </c>
      <c r="F1334" s="113" t="s">
        <v>663</v>
      </c>
    </row>
    <row r="1335" spans="1:6" ht="14.25" customHeight="1">
      <c r="A1335" s="285" t="s">
        <v>824</v>
      </c>
      <c r="B1335" s="285">
        <v>2025</v>
      </c>
      <c r="C1335" s="285" t="s">
        <v>821</v>
      </c>
      <c r="D1335" s="285" t="s">
        <v>976</v>
      </c>
      <c r="E1335" s="285" t="s">
        <v>1090</v>
      </c>
      <c r="F1335" s="113" t="s">
        <v>935</v>
      </c>
    </row>
    <row r="1336" spans="1:6" ht="14.25" customHeight="1">
      <c r="A1336" s="284" t="s">
        <v>824</v>
      </c>
      <c r="B1336" s="284">
        <v>2025</v>
      </c>
      <c r="C1336" s="284" t="s">
        <v>821</v>
      </c>
      <c r="D1336" s="284" t="s">
        <v>934</v>
      </c>
      <c r="E1336" s="284" t="s">
        <v>1028</v>
      </c>
      <c r="F1336" s="113" t="s">
        <v>906</v>
      </c>
    </row>
    <row r="1337" spans="1:6" ht="14.25" customHeight="1">
      <c r="A1337" s="285" t="s">
        <v>824</v>
      </c>
      <c r="B1337" s="285">
        <v>2025</v>
      </c>
      <c r="C1337" s="285" t="s">
        <v>821</v>
      </c>
      <c r="D1337" s="285" t="s">
        <v>934</v>
      </c>
      <c r="E1337" s="285" t="s">
        <v>1155</v>
      </c>
      <c r="F1337" s="113" t="s">
        <v>906</v>
      </c>
    </row>
    <row r="1338" spans="1:6" ht="14.25" customHeight="1">
      <c r="A1338" s="284" t="s">
        <v>824</v>
      </c>
      <c r="B1338" s="284">
        <v>2025</v>
      </c>
      <c r="C1338" s="284" t="s">
        <v>821</v>
      </c>
      <c r="D1338" s="284" t="s">
        <v>934</v>
      </c>
      <c r="E1338" s="284" t="s">
        <v>1156</v>
      </c>
      <c r="F1338" s="284" t="s">
        <v>483</v>
      </c>
    </row>
    <row r="1339" spans="1:6" ht="14.25" customHeight="1">
      <c r="A1339" s="285" t="s">
        <v>824</v>
      </c>
      <c r="B1339" s="285">
        <v>2025</v>
      </c>
      <c r="C1339" s="285" t="s">
        <v>821</v>
      </c>
      <c r="D1339" s="285" t="s">
        <v>934</v>
      </c>
      <c r="E1339" s="285" t="s">
        <v>1106</v>
      </c>
      <c r="F1339" s="113" t="s">
        <v>663</v>
      </c>
    </row>
    <row r="1340" spans="1:6" ht="14.25" customHeight="1">
      <c r="A1340" s="284" t="s">
        <v>824</v>
      </c>
      <c r="B1340" s="284">
        <v>2025</v>
      </c>
      <c r="C1340" s="284" t="s">
        <v>821</v>
      </c>
      <c r="D1340" s="284" t="s">
        <v>934</v>
      </c>
      <c r="E1340" s="284" t="s">
        <v>1008</v>
      </c>
      <c r="F1340" s="113" t="s">
        <v>913</v>
      </c>
    </row>
    <row r="1341" spans="1:6" ht="14.25" customHeight="1">
      <c r="A1341" s="285" t="s">
        <v>824</v>
      </c>
      <c r="B1341" s="285">
        <v>2025</v>
      </c>
      <c r="C1341" s="285" t="s">
        <v>821</v>
      </c>
      <c r="D1341" s="285" t="s">
        <v>934</v>
      </c>
      <c r="E1341" s="285" t="s">
        <v>1008</v>
      </c>
      <c r="F1341" s="113" t="s">
        <v>913</v>
      </c>
    </row>
    <row r="1342" spans="1:6" ht="14.25" customHeight="1">
      <c r="A1342" s="284" t="s">
        <v>824</v>
      </c>
      <c r="B1342" s="284">
        <v>2025</v>
      </c>
      <c r="C1342" s="284" t="s">
        <v>821</v>
      </c>
      <c r="D1342" s="284" t="s">
        <v>934</v>
      </c>
      <c r="E1342" s="284" t="s">
        <v>964</v>
      </c>
      <c r="F1342" s="113" t="s">
        <v>913</v>
      </c>
    </row>
    <row r="1343" spans="1:6" ht="14.25" customHeight="1">
      <c r="A1343" s="285" t="s">
        <v>824</v>
      </c>
      <c r="B1343" s="285">
        <v>2025</v>
      </c>
      <c r="C1343" s="285" t="s">
        <v>821</v>
      </c>
      <c r="D1343" s="285" t="s">
        <v>934</v>
      </c>
      <c r="E1343" s="285" t="s">
        <v>1031</v>
      </c>
      <c r="F1343" s="113" t="s">
        <v>913</v>
      </c>
    </row>
    <row r="1344" spans="1:6" ht="14.25" customHeight="1">
      <c r="A1344" s="284" t="s">
        <v>824</v>
      </c>
      <c r="B1344" s="284">
        <v>2025</v>
      </c>
      <c r="C1344" s="284" t="s">
        <v>821</v>
      </c>
      <c r="D1344" s="284" t="s">
        <v>934</v>
      </c>
      <c r="E1344" s="284" t="s">
        <v>950</v>
      </c>
      <c r="F1344" s="113" t="s">
        <v>783</v>
      </c>
    </row>
    <row r="1345" spans="1:6" ht="14.25" customHeight="1">
      <c r="A1345" s="285" t="s">
        <v>824</v>
      </c>
      <c r="B1345" s="285">
        <v>2025</v>
      </c>
      <c r="C1345" s="285" t="s">
        <v>821</v>
      </c>
      <c r="D1345" s="285" t="s">
        <v>934</v>
      </c>
      <c r="E1345" s="285" t="s">
        <v>1061</v>
      </c>
      <c r="F1345" s="113" t="s">
        <v>783</v>
      </c>
    </row>
    <row r="1346" spans="1:6" ht="14.25" customHeight="1">
      <c r="A1346" s="284" t="s">
        <v>824</v>
      </c>
      <c r="B1346" s="284">
        <v>2025</v>
      </c>
      <c r="C1346" s="284" t="s">
        <v>821</v>
      </c>
      <c r="D1346" s="284" t="s">
        <v>934</v>
      </c>
      <c r="E1346" s="284" t="s">
        <v>984</v>
      </c>
      <c r="F1346" s="113" t="s">
        <v>935</v>
      </c>
    </row>
    <row r="1347" spans="1:6" ht="14.25" customHeight="1">
      <c r="A1347" s="285" t="s">
        <v>824</v>
      </c>
      <c r="B1347" s="285">
        <v>2025</v>
      </c>
      <c r="C1347" s="285" t="s">
        <v>88</v>
      </c>
      <c r="D1347" s="285" t="s">
        <v>959</v>
      </c>
      <c r="E1347" s="285" t="s">
        <v>954</v>
      </c>
      <c r="F1347" s="113" t="s">
        <v>906</v>
      </c>
    </row>
    <row r="1348" spans="1:6" ht="14.25" customHeight="1">
      <c r="A1348" s="284" t="s">
        <v>824</v>
      </c>
      <c r="B1348" s="284">
        <v>2025</v>
      </c>
      <c r="C1348" s="284" t="s">
        <v>88</v>
      </c>
      <c r="D1348" s="284" t="s">
        <v>959</v>
      </c>
      <c r="E1348" s="284" t="s">
        <v>1028</v>
      </c>
      <c r="F1348" s="113" t="s">
        <v>906</v>
      </c>
    </row>
    <row r="1349" spans="1:6" ht="14.25" customHeight="1">
      <c r="A1349" s="285" t="s">
        <v>824</v>
      </c>
      <c r="B1349" s="285">
        <v>2025</v>
      </c>
      <c r="C1349" s="285" t="s">
        <v>88</v>
      </c>
      <c r="D1349" s="285" t="s">
        <v>959</v>
      </c>
      <c r="E1349" s="285" t="s">
        <v>953</v>
      </c>
      <c r="F1349" s="113" t="s">
        <v>906</v>
      </c>
    </row>
    <row r="1350" spans="1:6" ht="14.25" customHeight="1">
      <c r="A1350" s="284" t="s">
        <v>824</v>
      </c>
      <c r="B1350" s="284">
        <v>2025</v>
      </c>
      <c r="C1350" s="284" t="s">
        <v>88</v>
      </c>
      <c r="D1350" s="284" t="s">
        <v>959</v>
      </c>
      <c r="E1350" s="284" t="s">
        <v>1036</v>
      </c>
      <c r="F1350" s="113" t="s">
        <v>906</v>
      </c>
    </row>
    <row r="1351" spans="1:6" ht="14.25" customHeight="1">
      <c r="A1351" s="285" t="s">
        <v>824</v>
      </c>
      <c r="B1351" s="285">
        <v>2025</v>
      </c>
      <c r="C1351" s="285" t="s">
        <v>88</v>
      </c>
      <c r="D1351" s="285" t="s">
        <v>959</v>
      </c>
      <c r="E1351" s="285" t="s">
        <v>930</v>
      </c>
      <c r="F1351" s="113" t="s">
        <v>906</v>
      </c>
    </row>
    <row r="1352" spans="1:6" ht="14.25" customHeight="1">
      <c r="A1352" s="284" t="s">
        <v>824</v>
      </c>
      <c r="B1352" s="284">
        <v>2025</v>
      </c>
      <c r="C1352" s="284" t="s">
        <v>88</v>
      </c>
      <c r="D1352" s="284" t="s">
        <v>959</v>
      </c>
      <c r="E1352" s="284" t="s">
        <v>1075</v>
      </c>
      <c r="F1352" s="113" t="s">
        <v>483</v>
      </c>
    </row>
    <row r="1353" spans="1:6" ht="14.25" customHeight="1">
      <c r="A1353" s="285" t="s">
        <v>824</v>
      </c>
      <c r="B1353" s="285">
        <v>2025</v>
      </c>
      <c r="C1353" s="285" t="s">
        <v>88</v>
      </c>
      <c r="D1353" s="285" t="s">
        <v>959</v>
      </c>
      <c r="E1353" s="285" t="s">
        <v>1080</v>
      </c>
      <c r="F1353" s="113" t="s">
        <v>913</v>
      </c>
    </row>
    <row r="1354" spans="1:6" ht="14.25" customHeight="1">
      <c r="A1354" s="284" t="s">
        <v>824</v>
      </c>
      <c r="B1354" s="284">
        <v>2025</v>
      </c>
      <c r="C1354" s="284" t="s">
        <v>88</v>
      </c>
      <c r="D1354" s="284" t="s">
        <v>959</v>
      </c>
      <c r="E1354" s="284" t="s">
        <v>1042</v>
      </c>
      <c r="F1354" s="113" t="s">
        <v>913</v>
      </c>
    </row>
    <row r="1355" spans="1:6" ht="14.25" customHeight="1">
      <c r="A1355" s="285" t="s">
        <v>824</v>
      </c>
      <c r="B1355" s="285">
        <v>2025</v>
      </c>
      <c r="C1355" s="285" t="s">
        <v>88</v>
      </c>
      <c r="D1355" s="285" t="s">
        <v>959</v>
      </c>
      <c r="E1355" s="285" t="s">
        <v>961</v>
      </c>
      <c r="F1355" s="113" t="s">
        <v>663</v>
      </c>
    </row>
    <row r="1356" spans="1:6" ht="14.25" customHeight="1">
      <c r="A1356" s="284" t="s">
        <v>824</v>
      </c>
      <c r="B1356" s="284">
        <v>2025</v>
      </c>
      <c r="C1356" s="284" t="s">
        <v>88</v>
      </c>
      <c r="D1356" s="284" t="s">
        <v>959</v>
      </c>
      <c r="E1356" s="284" t="s">
        <v>1157</v>
      </c>
      <c r="F1356" s="113" t="s">
        <v>663</v>
      </c>
    </row>
    <row r="1357" spans="1:6" ht="14.25" customHeight="1">
      <c r="A1357" s="285" t="s">
        <v>824</v>
      </c>
      <c r="B1357" s="285">
        <v>2025</v>
      </c>
      <c r="C1357" s="285" t="s">
        <v>88</v>
      </c>
      <c r="D1357" s="285" t="s">
        <v>959</v>
      </c>
      <c r="E1357" s="285" t="s">
        <v>1037</v>
      </c>
      <c r="F1357" s="113" t="s">
        <v>917</v>
      </c>
    </row>
    <row r="1358" spans="1:6" ht="14.25" customHeight="1">
      <c r="A1358" s="284" t="s">
        <v>824</v>
      </c>
      <c r="B1358" s="284">
        <v>2025</v>
      </c>
      <c r="C1358" s="284" t="s">
        <v>88</v>
      </c>
      <c r="D1358" s="284" t="s">
        <v>959</v>
      </c>
      <c r="E1358" s="284" t="s">
        <v>1111</v>
      </c>
      <c r="F1358" s="113" t="s">
        <v>918</v>
      </c>
    </row>
    <row r="1359" spans="1:6" ht="14.25" customHeight="1">
      <c r="A1359" s="285" t="s">
        <v>824</v>
      </c>
      <c r="B1359" s="285">
        <v>2025</v>
      </c>
      <c r="C1359" s="285" t="s">
        <v>88</v>
      </c>
      <c r="D1359" s="285" t="s">
        <v>959</v>
      </c>
      <c r="E1359" s="285" t="s">
        <v>1094</v>
      </c>
      <c r="F1359" s="113" t="s">
        <v>918</v>
      </c>
    </row>
    <row r="1360" spans="1:6" ht="14.25" customHeight="1">
      <c r="A1360" s="284" t="s">
        <v>824</v>
      </c>
      <c r="B1360" s="284">
        <v>2025</v>
      </c>
      <c r="C1360" s="284" t="s">
        <v>88</v>
      </c>
      <c r="D1360" s="284" t="s">
        <v>959</v>
      </c>
      <c r="E1360" s="284" t="s">
        <v>1119</v>
      </c>
      <c r="F1360" s="113" t="s">
        <v>918</v>
      </c>
    </row>
    <row r="1361" spans="1:6" ht="14.25" customHeight="1">
      <c r="A1361" s="285" t="s">
        <v>824</v>
      </c>
      <c r="B1361" s="285">
        <v>2025</v>
      </c>
      <c r="C1361" s="285" t="s">
        <v>88</v>
      </c>
      <c r="D1361" s="285" t="s">
        <v>959</v>
      </c>
      <c r="E1361" s="285" t="s">
        <v>2</v>
      </c>
      <c r="F1361" s="113" t="s">
        <v>783</v>
      </c>
    </row>
    <row r="1362" spans="1:6" ht="14.25" customHeight="1">
      <c r="A1362" s="284" t="s">
        <v>824</v>
      </c>
      <c r="B1362" s="284">
        <v>2025</v>
      </c>
      <c r="C1362" s="284" t="s">
        <v>88</v>
      </c>
      <c r="D1362" s="284" t="s">
        <v>959</v>
      </c>
      <c r="E1362" s="284" t="s">
        <v>992</v>
      </c>
      <c r="F1362" s="113" t="s">
        <v>922</v>
      </c>
    </row>
    <row r="1363" spans="1:6" ht="14.25" customHeight="1">
      <c r="A1363" s="285" t="s">
        <v>824</v>
      </c>
      <c r="B1363" s="285">
        <v>2025</v>
      </c>
      <c r="C1363" s="285" t="s">
        <v>88</v>
      </c>
      <c r="D1363" s="285" t="s">
        <v>959</v>
      </c>
      <c r="E1363" s="285" t="s">
        <v>1100</v>
      </c>
      <c r="F1363" s="113" t="s">
        <v>935</v>
      </c>
    </row>
    <row r="1364" spans="1:6" ht="14.25" customHeight="1">
      <c r="A1364" s="284" t="s">
        <v>824</v>
      </c>
      <c r="B1364" s="284">
        <v>2025</v>
      </c>
      <c r="C1364" s="284" t="s">
        <v>88</v>
      </c>
      <c r="D1364" s="284" t="s">
        <v>959</v>
      </c>
      <c r="E1364" s="284" t="s">
        <v>987</v>
      </c>
      <c r="F1364" s="113" t="s">
        <v>935</v>
      </c>
    </row>
    <row r="1365" spans="1:6" ht="14.25" customHeight="1">
      <c r="A1365" s="285" t="s">
        <v>824</v>
      </c>
      <c r="B1365" s="285">
        <v>2025</v>
      </c>
      <c r="C1365" s="285" t="s">
        <v>88</v>
      </c>
      <c r="D1365" s="285" t="s">
        <v>959</v>
      </c>
      <c r="E1365" s="285" t="s">
        <v>1023</v>
      </c>
      <c r="F1365" s="113" t="s">
        <v>935</v>
      </c>
    </row>
    <row r="1366" spans="1:6" ht="14.25" customHeight="1">
      <c r="A1366" s="284" t="s">
        <v>824</v>
      </c>
      <c r="B1366" s="284">
        <v>2025</v>
      </c>
      <c r="C1366" s="284" t="s">
        <v>88</v>
      </c>
      <c r="D1366" s="284" t="s">
        <v>959</v>
      </c>
      <c r="E1366" s="284" t="s">
        <v>1066</v>
      </c>
      <c r="F1366" s="113" t="s">
        <v>935</v>
      </c>
    </row>
    <row r="1367" spans="1:6" ht="14.25" customHeight="1">
      <c r="A1367" s="285" t="s">
        <v>824</v>
      </c>
      <c r="B1367" s="285">
        <v>2025</v>
      </c>
      <c r="C1367" s="285" t="s">
        <v>88</v>
      </c>
      <c r="D1367" s="285" t="s">
        <v>959</v>
      </c>
      <c r="E1367" s="285" t="s">
        <v>1023</v>
      </c>
      <c r="F1367" s="113" t="s">
        <v>935</v>
      </c>
    </row>
    <row r="1368" spans="1:6" ht="14.25" customHeight="1">
      <c r="A1368" s="284" t="s">
        <v>824</v>
      </c>
      <c r="B1368" s="284">
        <v>2025</v>
      </c>
      <c r="C1368" s="284" t="s">
        <v>88</v>
      </c>
      <c r="D1368" s="284" t="s">
        <v>959</v>
      </c>
      <c r="E1368" s="284" t="s">
        <v>990</v>
      </c>
      <c r="F1368" s="113" t="s">
        <v>935</v>
      </c>
    </row>
    <row r="1369" spans="1:6" ht="14.25" customHeight="1">
      <c r="A1369" s="285" t="s">
        <v>824</v>
      </c>
      <c r="B1369" s="285">
        <v>2025</v>
      </c>
      <c r="C1369" s="285" t="s">
        <v>88</v>
      </c>
      <c r="D1369" s="285" t="s">
        <v>959</v>
      </c>
      <c r="E1369" s="285" t="s">
        <v>987</v>
      </c>
      <c r="F1369" s="113" t="s">
        <v>935</v>
      </c>
    </row>
    <row r="1370" spans="1:6" ht="14.25" customHeight="1">
      <c r="A1370" s="284" t="s">
        <v>824</v>
      </c>
      <c r="B1370" s="284">
        <v>2025</v>
      </c>
      <c r="C1370" s="284" t="s">
        <v>88</v>
      </c>
      <c r="D1370" s="284" t="s">
        <v>959</v>
      </c>
      <c r="E1370" s="284" t="s">
        <v>1090</v>
      </c>
      <c r="F1370" s="113" t="s">
        <v>935</v>
      </c>
    </row>
    <row r="1371" spans="1:6" ht="14.25" customHeight="1">
      <c r="A1371" s="285" t="s">
        <v>824</v>
      </c>
      <c r="B1371" s="285">
        <v>2025</v>
      </c>
      <c r="C1371" s="285" t="s">
        <v>88</v>
      </c>
      <c r="D1371" s="285" t="s">
        <v>959</v>
      </c>
      <c r="E1371" s="285" t="s">
        <v>2</v>
      </c>
      <c r="F1371" s="113" t="s">
        <v>935</v>
      </c>
    </row>
    <row r="1372" spans="1:6" ht="14.25" customHeight="1">
      <c r="A1372" s="284" t="s">
        <v>824</v>
      </c>
      <c r="B1372" s="284">
        <v>2025</v>
      </c>
      <c r="C1372" s="284" t="s">
        <v>88</v>
      </c>
      <c r="D1372" s="284" t="s">
        <v>988</v>
      </c>
      <c r="E1372" s="284" t="s">
        <v>1158</v>
      </c>
      <c r="F1372" s="284" t="s">
        <v>1144</v>
      </c>
    </row>
    <row r="1373" spans="1:6" ht="14.25" customHeight="1">
      <c r="A1373" s="285" t="s">
        <v>824</v>
      </c>
      <c r="B1373" s="285">
        <v>2025</v>
      </c>
      <c r="C1373" s="285" t="s">
        <v>88</v>
      </c>
      <c r="D1373" s="285" t="s">
        <v>988</v>
      </c>
      <c r="E1373" s="285" t="s">
        <v>1124</v>
      </c>
      <c r="F1373" s="113" t="s">
        <v>483</v>
      </c>
    </row>
    <row r="1374" spans="1:6" ht="14.25" customHeight="1">
      <c r="A1374" s="284" t="s">
        <v>824</v>
      </c>
      <c r="B1374" s="284">
        <v>2025</v>
      </c>
      <c r="C1374" s="284" t="s">
        <v>88</v>
      </c>
      <c r="D1374" s="284" t="s">
        <v>988</v>
      </c>
      <c r="E1374" s="284" t="s">
        <v>1159</v>
      </c>
      <c r="F1374" s="113" t="s">
        <v>483</v>
      </c>
    </row>
    <row r="1375" spans="1:6" ht="14.25" customHeight="1">
      <c r="A1375" s="285" t="s">
        <v>824</v>
      </c>
      <c r="B1375" s="285">
        <v>2025</v>
      </c>
      <c r="C1375" s="285" t="s">
        <v>88</v>
      </c>
      <c r="D1375" s="285" t="s">
        <v>988</v>
      </c>
      <c r="E1375" s="285" t="s">
        <v>1160</v>
      </c>
      <c r="F1375" s="113" t="s">
        <v>483</v>
      </c>
    </row>
    <row r="1376" spans="1:6" ht="14.25" customHeight="1">
      <c r="A1376" s="284" t="s">
        <v>824</v>
      </c>
      <c r="B1376" s="284">
        <v>2025</v>
      </c>
      <c r="C1376" s="284" t="s">
        <v>88</v>
      </c>
      <c r="D1376" s="284" t="s">
        <v>988</v>
      </c>
      <c r="E1376" s="284" t="s">
        <v>1154</v>
      </c>
      <c r="F1376" s="113" t="s">
        <v>663</v>
      </c>
    </row>
    <row r="1377" spans="1:6" ht="14.25" customHeight="1">
      <c r="A1377" s="285" t="s">
        <v>824</v>
      </c>
      <c r="B1377" s="285">
        <v>2025</v>
      </c>
      <c r="C1377" s="285" t="s">
        <v>88</v>
      </c>
      <c r="D1377" s="285" t="s">
        <v>988</v>
      </c>
      <c r="E1377" s="285" t="s">
        <v>936</v>
      </c>
      <c r="F1377" s="113" t="s">
        <v>917</v>
      </c>
    </row>
    <row r="1378" spans="1:6" ht="14.25" customHeight="1">
      <c r="A1378" s="284" t="s">
        <v>824</v>
      </c>
      <c r="B1378" s="284">
        <v>2025</v>
      </c>
      <c r="C1378" s="284" t="s">
        <v>88</v>
      </c>
      <c r="D1378" s="284" t="s">
        <v>988</v>
      </c>
      <c r="E1378" s="284" t="s">
        <v>1114</v>
      </c>
      <c r="F1378" s="113" t="s">
        <v>783</v>
      </c>
    </row>
    <row r="1379" spans="1:6" ht="14.25" customHeight="1">
      <c r="A1379" s="285" t="s">
        <v>824</v>
      </c>
      <c r="B1379" s="285">
        <v>2025</v>
      </c>
      <c r="C1379" s="285" t="s">
        <v>88</v>
      </c>
      <c r="D1379" s="285" t="s">
        <v>988</v>
      </c>
      <c r="E1379" s="285" t="s">
        <v>950</v>
      </c>
      <c r="F1379" s="113" t="s">
        <v>783</v>
      </c>
    </row>
    <row r="1380" spans="1:6" ht="14.25" customHeight="1">
      <c r="A1380" s="284" t="s">
        <v>824</v>
      </c>
      <c r="B1380" s="284">
        <v>2025</v>
      </c>
      <c r="C1380" s="284" t="s">
        <v>88</v>
      </c>
      <c r="D1380" s="284" t="s">
        <v>988</v>
      </c>
      <c r="E1380" s="284" t="s">
        <v>1114</v>
      </c>
      <c r="F1380" s="113" t="s">
        <v>783</v>
      </c>
    </row>
    <row r="1381" spans="1:6" ht="14.25" customHeight="1">
      <c r="A1381" s="285" t="s">
        <v>824</v>
      </c>
      <c r="B1381" s="285">
        <v>2025</v>
      </c>
      <c r="C1381" s="285" t="s">
        <v>88</v>
      </c>
      <c r="D1381" s="285" t="s">
        <v>988</v>
      </c>
      <c r="E1381" s="285" t="s">
        <v>1035</v>
      </c>
      <c r="F1381" s="113" t="s">
        <v>935</v>
      </c>
    </row>
    <row r="1382" spans="1:6" ht="14.25" customHeight="1">
      <c r="A1382" s="284" t="s">
        <v>824</v>
      </c>
      <c r="B1382" s="284">
        <v>2025</v>
      </c>
      <c r="C1382" s="284" t="s">
        <v>88</v>
      </c>
      <c r="D1382" s="284" t="s">
        <v>988</v>
      </c>
      <c r="E1382" s="284" t="s">
        <v>989</v>
      </c>
      <c r="F1382" s="113" t="s">
        <v>935</v>
      </c>
    </row>
    <row r="1383" spans="1:6" ht="14.25" customHeight="1">
      <c r="A1383" s="285" t="s">
        <v>824</v>
      </c>
      <c r="B1383" s="285">
        <v>2025</v>
      </c>
      <c r="C1383" s="285" t="s">
        <v>88</v>
      </c>
      <c r="D1383" s="285" t="s">
        <v>969</v>
      </c>
      <c r="E1383" s="285" t="s">
        <v>1052</v>
      </c>
      <c r="F1383" s="113" t="s">
        <v>909</v>
      </c>
    </row>
    <row r="1384" spans="1:6" ht="14.25" customHeight="1">
      <c r="A1384" s="284" t="s">
        <v>824</v>
      </c>
      <c r="B1384" s="284">
        <v>2025</v>
      </c>
      <c r="C1384" s="284" t="s">
        <v>88</v>
      </c>
      <c r="D1384" s="284" t="s">
        <v>969</v>
      </c>
      <c r="E1384" s="284" t="s">
        <v>1102</v>
      </c>
      <c r="F1384" s="113" t="s">
        <v>909</v>
      </c>
    </row>
    <row r="1385" spans="1:6" ht="14.25" customHeight="1">
      <c r="A1385" s="285" t="s">
        <v>824</v>
      </c>
      <c r="B1385" s="285">
        <v>2025</v>
      </c>
      <c r="C1385" s="285" t="s">
        <v>88</v>
      </c>
      <c r="D1385" s="285" t="s">
        <v>969</v>
      </c>
      <c r="E1385" s="285" t="s">
        <v>1097</v>
      </c>
      <c r="F1385" s="113" t="s">
        <v>911</v>
      </c>
    </row>
    <row r="1386" spans="1:6" ht="14.25" customHeight="1">
      <c r="A1386" s="284" t="s">
        <v>824</v>
      </c>
      <c r="B1386" s="284">
        <v>2025</v>
      </c>
      <c r="C1386" s="284" t="s">
        <v>88</v>
      </c>
      <c r="D1386" s="284" t="s">
        <v>969</v>
      </c>
      <c r="E1386" s="284" t="s">
        <v>1042</v>
      </c>
      <c r="F1386" s="113" t="s">
        <v>913</v>
      </c>
    </row>
    <row r="1387" spans="1:6" ht="14.25" customHeight="1">
      <c r="A1387" s="285" t="s">
        <v>824</v>
      </c>
      <c r="B1387" s="285">
        <v>2025</v>
      </c>
      <c r="C1387" s="285" t="s">
        <v>88</v>
      </c>
      <c r="D1387" s="285" t="s">
        <v>969</v>
      </c>
      <c r="E1387" s="285" t="s">
        <v>1161</v>
      </c>
      <c r="F1387" s="113" t="s">
        <v>918</v>
      </c>
    </row>
    <row r="1388" spans="1:6" ht="14.25" customHeight="1">
      <c r="A1388" s="284" t="s">
        <v>824</v>
      </c>
      <c r="B1388" s="284">
        <v>2025</v>
      </c>
      <c r="C1388" s="284" t="s">
        <v>88</v>
      </c>
      <c r="D1388" s="284" t="s">
        <v>969</v>
      </c>
      <c r="E1388" s="284" t="s">
        <v>1112</v>
      </c>
      <c r="F1388" s="113" t="s">
        <v>918</v>
      </c>
    </row>
    <row r="1389" spans="1:6" ht="14.25" customHeight="1">
      <c r="A1389" s="285" t="s">
        <v>824</v>
      </c>
      <c r="B1389" s="285">
        <v>2025</v>
      </c>
      <c r="C1389" s="285" t="s">
        <v>88</v>
      </c>
      <c r="D1389" s="285" t="s">
        <v>969</v>
      </c>
      <c r="E1389" s="285" t="s">
        <v>1091</v>
      </c>
      <c r="F1389" s="113" t="s">
        <v>783</v>
      </c>
    </row>
    <row r="1390" spans="1:6" ht="14.25" customHeight="1">
      <c r="A1390" s="284" t="s">
        <v>824</v>
      </c>
      <c r="B1390" s="284">
        <v>2025</v>
      </c>
      <c r="C1390" s="284" t="s">
        <v>859</v>
      </c>
      <c r="D1390" s="284" t="s">
        <v>1005</v>
      </c>
      <c r="E1390" s="284" t="s">
        <v>1036</v>
      </c>
      <c r="F1390" s="113" t="s">
        <v>906</v>
      </c>
    </row>
    <row r="1391" spans="1:6" ht="14.25" customHeight="1">
      <c r="A1391" s="285" t="s">
        <v>824</v>
      </c>
      <c r="B1391" s="285">
        <v>2025</v>
      </c>
      <c r="C1391" s="285" t="s">
        <v>859</v>
      </c>
      <c r="D1391" s="285" t="s">
        <v>1005</v>
      </c>
      <c r="E1391" s="285" t="s">
        <v>1023</v>
      </c>
      <c r="F1391" s="113" t="s">
        <v>935</v>
      </c>
    </row>
    <row r="1392" spans="1:6" ht="14.25" customHeight="1">
      <c r="A1392" s="284" t="s">
        <v>824</v>
      </c>
      <c r="B1392" s="284">
        <v>2025</v>
      </c>
      <c r="C1392" s="284" t="s">
        <v>859</v>
      </c>
      <c r="D1392" s="284" t="s">
        <v>999</v>
      </c>
      <c r="E1392" s="284" t="s">
        <v>986</v>
      </c>
      <c r="F1392" s="113" t="s">
        <v>906</v>
      </c>
    </row>
    <row r="1393" spans="1:6" ht="14.25" customHeight="1">
      <c r="A1393" s="285" t="s">
        <v>824</v>
      </c>
      <c r="B1393" s="285">
        <v>2025</v>
      </c>
      <c r="C1393" s="285" t="s">
        <v>859</v>
      </c>
      <c r="D1393" s="285" t="s">
        <v>999</v>
      </c>
      <c r="E1393" s="285" t="s">
        <v>981</v>
      </c>
      <c r="F1393" s="113" t="s">
        <v>906</v>
      </c>
    </row>
    <row r="1394" spans="1:6" ht="14.25" customHeight="1">
      <c r="A1394" s="284" t="s">
        <v>824</v>
      </c>
      <c r="B1394" s="284">
        <v>2025</v>
      </c>
      <c r="C1394" s="284" t="s">
        <v>859</v>
      </c>
      <c r="D1394" s="284" t="s">
        <v>999</v>
      </c>
      <c r="E1394" s="284" t="s">
        <v>1075</v>
      </c>
      <c r="F1394" s="113" t="s">
        <v>483</v>
      </c>
    </row>
    <row r="1395" spans="1:6" ht="14.25" customHeight="1">
      <c r="A1395" s="285" t="s">
        <v>824</v>
      </c>
      <c r="B1395" s="285">
        <v>2025</v>
      </c>
      <c r="C1395" s="285" t="s">
        <v>859</v>
      </c>
      <c r="D1395" s="285" t="s">
        <v>999</v>
      </c>
      <c r="E1395" s="285" t="s">
        <v>1162</v>
      </c>
      <c r="F1395" s="113" t="s">
        <v>483</v>
      </c>
    </row>
    <row r="1396" spans="1:6" ht="14.25" customHeight="1">
      <c r="A1396" s="284" t="s">
        <v>824</v>
      </c>
      <c r="B1396" s="284">
        <v>2025</v>
      </c>
      <c r="C1396" s="284" t="s">
        <v>859</v>
      </c>
      <c r="D1396" s="284" t="s">
        <v>999</v>
      </c>
      <c r="E1396" s="284" t="s">
        <v>1046</v>
      </c>
      <c r="F1396" s="113" t="s">
        <v>918</v>
      </c>
    </row>
    <row r="1397" spans="1:6" ht="14.25" customHeight="1">
      <c r="A1397" s="285" t="s">
        <v>824</v>
      </c>
      <c r="B1397" s="285">
        <v>2025</v>
      </c>
      <c r="C1397" s="285" t="s">
        <v>859</v>
      </c>
      <c r="D1397" s="285" t="s">
        <v>999</v>
      </c>
      <c r="E1397" s="285" t="s">
        <v>946</v>
      </c>
      <c r="F1397" s="113" t="s">
        <v>924</v>
      </c>
    </row>
    <row r="1398" spans="1:6" ht="14.25" customHeight="1">
      <c r="A1398" s="284" t="s">
        <v>824</v>
      </c>
      <c r="B1398" s="284">
        <v>2025</v>
      </c>
      <c r="C1398" s="284" t="s">
        <v>859</v>
      </c>
      <c r="D1398" s="284" t="s">
        <v>998</v>
      </c>
      <c r="E1398" s="284" t="s">
        <v>952</v>
      </c>
      <c r="F1398" s="113" t="s">
        <v>906</v>
      </c>
    </row>
    <row r="1399" spans="1:6" ht="14.25" customHeight="1">
      <c r="A1399" s="285" t="s">
        <v>824</v>
      </c>
      <c r="B1399" s="285">
        <v>2025</v>
      </c>
      <c r="C1399" s="285" t="s">
        <v>859</v>
      </c>
      <c r="D1399" s="285" t="s">
        <v>998</v>
      </c>
      <c r="E1399" s="285" t="s">
        <v>954</v>
      </c>
      <c r="F1399" s="113" t="s">
        <v>906</v>
      </c>
    </row>
    <row r="1400" spans="1:6" ht="14.25" customHeight="1">
      <c r="A1400" s="284" t="s">
        <v>824</v>
      </c>
      <c r="B1400" s="284">
        <v>2025</v>
      </c>
      <c r="C1400" s="284" t="s">
        <v>859</v>
      </c>
      <c r="D1400" s="284" t="s">
        <v>998</v>
      </c>
      <c r="E1400" s="284" t="s">
        <v>1054</v>
      </c>
      <c r="F1400" s="113" t="s">
        <v>483</v>
      </c>
    </row>
    <row r="1401" spans="1:6" ht="14.25" customHeight="1">
      <c r="A1401" s="285" t="s">
        <v>824</v>
      </c>
      <c r="B1401" s="285">
        <v>2025</v>
      </c>
      <c r="C1401" s="285" t="s">
        <v>859</v>
      </c>
      <c r="D1401" s="285" t="s">
        <v>998</v>
      </c>
      <c r="E1401" s="285" t="s">
        <v>1075</v>
      </c>
      <c r="F1401" s="113" t="s">
        <v>483</v>
      </c>
    </row>
    <row r="1402" spans="1:6" ht="14.25" customHeight="1">
      <c r="A1402" s="284" t="s">
        <v>824</v>
      </c>
      <c r="B1402" s="284">
        <v>2025</v>
      </c>
      <c r="C1402" s="284" t="s">
        <v>859</v>
      </c>
      <c r="D1402" s="284" t="s">
        <v>1000</v>
      </c>
      <c r="E1402" s="284" t="s">
        <v>986</v>
      </c>
      <c r="F1402" s="113" t="s">
        <v>906</v>
      </c>
    </row>
    <row r="1403" spans="1:6" ht="14.25" customHeight="1">
      <c r="A1403" s="285" t="s">
        <v>824</v>
      </c>
      <c r="B1403" s="285">
        <v>2025</v>
      </c>
      <c r="C1403" s="285" t="s">
        <v>859</v>
      </c>
      <c r="D1403" s="285" t="s">
        <v>1000</v>
      </c>
      <c r="E1403" s="285" t="s">
        <v>1036</v>
      </c>
      <c r="F1403" s="113" t="s">
        <v>906</v>
      </c>
    </row>
    <row r="1404" spans="1:6" ht="14.25" customHeight="1">
      <c r="A1404" s="284" t="s">
        <v>824</v>
      </c>
      <c r="B1404" s="284">
        <v>2025</v>
      </c>
      <c r="C1404" s="284" t="s">
        <v>859</v>
      </c>
      <c r="D1404" s="284" t="s">
        <v>1000</v>
      </c>
      <c r="E1404" s="284" t="s">
        <v>1036</v>
      </c>
      <c r="F1404" s="113" t="s">
        <v>906</v>
      </c>
    </row>
    <row r="1405" spans="1:6" ht="14.25" customHeight="1">
      <c r="A1405" s="285" t="s">
        <v>824</v>
      </c>
      <c r="B1405" s="285">
        <v>2025</v>
      </c>
      <c r="C1405" s="285" t="s">
        <v>859</v>
      </c>
      <c r="D1405" s="285" t="s">
        <v>1000</v>
      </c>
      <c r="E1405" s="285" t="s">
        <v>1041</v>
      </c>
      <c r="F1405" s="113" t="s">
        <v>906</v>
      </c>
    </row>
    <row r="1406" spans="1:6" ht="14.25" customHeight="1">
      <c r="A1406" s="284" t="s">
        <v>824</v>
      </c>
      <c r="B1406" s="284">
        <v>2025</v>
      </c>
      <c r="C1406" s="284" t="s">
        <v>859</v>
      </c>
      <c r="D1406" s="284" t="s">
        <v>1000</v>
      </c>
      <c r="E1406" s="284" t="s">
        <v>1041</v>
      </c>
      <c r="F1406" s="113" t="s">
        <v>906</v>
      </c>
    </row>
    <row r="1407" spans="1:6" ht="14.25" customHeight="1">
      <c r="A1407" s="285" t="s">
        <v>824</v>
      </c>
      <c r="B1407" s="285">
        <v>2025</v>
      </c>
      <c r="C1407" s="285" t="s">
        <v>859</v>
      </c>
      <c r="D1407" s="285" t="s">
        <v>1000</v>
      </c>
      <c r="E1407" s="285" t="s">
        <v>1059</v>
      </c>
      <c r="F1407" s="113" t="s">
        <v>922</v>
      </c>
    </row>
    <row r="1408" spans="1:6" ht="14.25" customHeight="1">
      <c r="A1408" s="284" t="s">
        <v>824</v>
      </c>
      <c r="B1408" s="284">
        <v>2025</v>
      </c>
      <c r="C1408" s="284" t="s">
        <v>859</v>
      </c>
      <c r="D1408" s="284" t="s">
        <v>1000</v>
      </c>
      <c r="E1408" s="284" t="s">
        <v>984</v>
      </c>
      <c r="F1408" s="113" t="s">
        <v>935</v>
      </c>
    </row>
    <row r="1409" spans="1:6" ht="14.25" customHeight="1">
      <c r="A1409" s="285" t="s">
        <v>824</v>
      </c>
      <c r="B1409" s="285">
        <v>2025</v>
      </c>
      <c r="C1409" s="285" t="s">
        <v>859</v>
      </c>
      <c r="D1409" s="285" t="s">
        <v>1000</v>
      </c>
      <c r="E1409" s="285" t="s">
        <v>1023</v>
      </c>
      <c r="F1409" s="113" t="s">
        <v>935</v>
      </c>
    </row>
    <row r="1410" spans="1:6" ht="14.25" customHeight="1">
      <c r="A1410" s="284" t="s">
        <v>824</v>
      </c>
      <c r="B1410" s="284">
        <v>2025</v>
      </c>
      <c r="C1410" s="284" t="s">
        <v>872</v>
      </c>
      <c r="D1410" s="284" t="s">
        <v>1018</v>
      </c>
      <c r="E1410" s="284" t="s">
        <v>981</v>
      </c>
      <c r="F1410" s="113" t="s">
        <v>906</v>
      </c>
    </row>
    <row r="1411" spans="1:6" ht="14.25" customHeight="1">
      <c r="A1411" s="285" t="s">
        <v>824</v>
      </c>
      <c r="B1411" s="285">
        <v>2025</v>
      </c>
      <c r="C1411" s="285" t="s">
        <v>872</v>
      </c>
      <c r="D1411" s="285" t="s">
        <v>1018</v>
      </c>
      <c r="E1411" s="285" t="s">
        <v>1038</v>
      </c>
      <c r="F1411" s="113" t="s">
        <v>917</v>
      </c>
    </row>
    <row r="1412" spans="1:6" ht="14.25" customHeight="1">
      <c r="A1412" s="284" t="s">
        <v>824</v>
      </c>
      <c r="B1412" s="284">
        <v>2025</v>
      </c>
      <c r="C1412" s="284" t="s">
        <v>872</v>
      </c>
      <c r="D1412" s="284" t="s">
        <v>1013</v>
      </c>
      <c r="E1412" s="284" t="s">
        <v>954</v>
      </c>
      <c r="F1412" s="113" t="s">
        <v>906</v>
      </c>
    </row>
    <row r="1413" spans="1:6" ht="14.25" customHeight="1">
      <c r="A1413" s="285" t="s">
        <v>824</v>
      </c>
      <c r="B1413" s="285">
        <v>2025</v>
      </c>
      <c r="C1413" s="285" t="s">
        <v>872</v>
      </c>
      <c r="D1413" s="285" t="s">
        <v>1012</v>
      </c>
      <c r="E1413" s="285" t="s">
        <v>1070</v>
      </c>
      <c r="F1413" s="113" t="s">
        <v>483</v>
      </c>
    </row>
    <row r="1414" spans="1:6" ht="14.25" customHeight="1">
      <c r="A1414" s="284" t="s">
        <v>824</v>
      </c>
      <c r="B1414" s="284">
        <v>2025</v>
      </c>
      <c r="C1414" s="284" t="s">
        <v>872</v>
      </c>
      <c r="D1414" s="284" t="s">
        <v>1012</v>
      </c>
      <c r="E1414" s="284" t="s">
        <v>1163</v>
      </c>
      <c r="F1414" s="113" t="s">
        <v>913</v>
      </c>
    </row>
    <row r="1415" spans="1:6" ht="14.25" customHeight="1">
      <c r="A1415" s="285" t="s">
        <v>824</v>
      </c>
      <c r="B1415" s="285">
        <v>2025</v>
      </c>
      <c r="C1415" s="285" t="s">
        <v>872</v>
      </c>
      <c r="D1415" s="285" t="s">
        <v>1012</v>
      </c>
      <c r="E1415" s="285" t="s">
        <v>936</v>
      </c>
      <c r="F1415" s="113" t="s">
        <v>783</v>
      </c>
    </row>
    <row r="1416" spans="1:6" ht="14.25" customHeight="1">
      <c r="A1416" s="284" t="s">
        <v>824</v>
      </c>
      <c r="B1416" s="284">
        <v>2025</v>
      </c>
      <c r="C1416" s="284" t="s">
        <v>872</v>
      </c>
      <c r="D1416" s="284" t="s">
        <v>1015</v>
      </c>
      <c r="E1416" s="284" t="s">
        <v>981</v>
      </c>
      <c r="F1416" s="113" t="s">
        <v>906</v>
      </c>
    </row>
    <row r="1417" spans="1:6" ht="14.25" customHeight="1">
      <c r="A1417" s="285" t="s">
        <v>824</v>
      </c>
      <c r="B1417" s="285">
        <v>2025</v>
      </c>
      <c r="C1417" s="285" t="s">
        <v>872</v>
      </c>
      <c r="D1417" s="285" t="s">
        <v>1015</v>
      </c>
      <c r="E1417" s="285" t="s">
        <v>2</v>
      </c>
      <c r="F1417" s="113" t="s">
        <v>483</v>
      </c>
    </row>
    <row r="1418" spans="1:6" ht="14.25" customHeight="1">
      <c r="A1418" s="284" t="s">
        <v>824</v>
      </c>
      <c r="B1418" s="284">
        <v>2025</v>
      </c>
      <c r="C1418" s="284" t="s">
        <v>872</v>
      </c>
      <c r="D1418" s="284" t="s">
        <v>1015</v>
      </c>
      <c r="E1418" s="284" t="s">
        <v>980</v>
      </c>
      <c r="F1418" s="113" t="s">
        <v>918</v>
      </c>
    </row>
    <row r="1419" spans="1:6" ht="14.25" customHeight="1">
      <c r="A1419" s="285" t="s">
        <v>824</v>
      </c>
      <c r="B1419" s="285">
        <v>2025</v>
      </c>
      <c r="C1419" s="285" t="s">
        <v>1024</v>
      </c>
      <c r="D1419" s="285" t="s">
        <v>1029</v>
      </c>
      <c r="E1419" s="285" t="s">
        <v>995</v>
      </c>
      <c r="F1419" s="113" t="s">
        <v>924</v>
      </c>
    </row>
    <row r="1420" spans="1:6" ht="14.25" customHeight="1">
      <c r="A1420" s="284" t="s">
        <v>824</v>
      </c>
      <c r="B1420" s="284">
        <v>2025</v>
      </c>
      <c r="C1420" s="284" t="s">
        <v>1024</v>
      </c>
      <c r="D1420" s="284" t="s">
        <v>1029</v>
      </c>
      <c r="E1420" s="284" t="s">
        <v>2</v>
      </c>
      <c r="F1420" s="113" t="s">
        <v>935</v>
      </c>
    </row>
    <row r="1421" spans="1:6" ht="14.25" customHeight="1">
      <c r="A1421" s="285" t="s">
        <v>824</v>
      </c>
      <c r="B1421" s="285">
        <v>2025</v>
      </c>
      <c r="C1421" s="285" t="s">
        <v>1024</v>
      </c>
      <c r="D1421" s="285" t="s">
        <v>1027</v>
      </c>
      <c r="E1421" s="285" t="s">
        <v>954</v>
      </c>
      <c r="F1421" s="284" t="s">
        <v>1144</v>
      </c>
    </row>
    <row r="1422" spans="1:6" ht="14.25" customHeight="1">
      <c r="A1422" s="284" t="s">
        <v>824</v>
      </c>
      <c r="B1422" s="284">
        <v>2025</v>
      </c>
      <c r="C1422" s="284" t="s">
        <v>1024</v>
      </c>
      <c r="D1422" s="284" t="s">
        <v>1027</v>
      </c>
      <c r="E1422" s="284" t="s">
        <v>952</v>
      </c>
      <c r="F1422" s="284" t="s">
        <v>1144</v>
      </c>
    </row>
    <row r="1423" spans="1:6" ht="14.25" customHeight="1">
      <c r="A1423" s="285" t="s">
        <v>824</v>
      </c>
      <c r="B1423" s="285">
        <v>2025</v>
      </c>
      <c r="C1423" s="285" t="s">
        <v>1024</v>
      </c>
      <c r="D1423" s="285" t="s">
        <v>1027</v>
      </c>
      <c r="E1423" s="285" t="s">
        <v>1164</v>
      </c>
      <c r="F1423" s="113" t="s">
        <v>906</v>
      </c>
    </row>
    <row r="1424" spans="1:6" ht="14.25" customHeight="1">
      <c r="A1424" s="284" t="s">
        <v>824</v>
      </c>
      <c r="B1424" s="284">
        <v>2025</v>
      </c>
      <c r="C1424" s="284" t="s">
        <v>1024</v>
      </c>
      <c r="D1424" s="284" t="s">
        <v>1027</v>
      </c>
      <c r="E1424" s="284" t="s">
        <v>985</v>
      </c>
      <c r="F1424" s="113" t="s">
        <v>918</v>
      </c>
    </row>
    <row r="1425" spans="1:6" ht="14.25" customHeight="1">
      <c r="A1425" s="285" t="s">
        <v>824</v>
      </c>
      <c r="B1425" s="285">
        <v>2025</v>
      </c>
      <c r="C1425" s="285" t="s">
        <v>1024</v>
      </c>
      <c r="D1425" s="285" t="s">
        <v>1027</v>
      </c>
      <c r="E1425" s="285" t="s">
        <v>980</v>
      </c>
      <c r="F1425" s="113" t="s">
        <v>918</v>
      </c>
    </row>
    <row r="1426" spans="1:6" ht="14.25" customHeight="1">
      <c r="A1426" s="284" t="s">
        <v>824</v>
      </c>
      <c r="B1426" s="284">
        <v>2025</v>
      </c>
      <c r="C1426" s="284" t="s">
        <v>1024</v>
      </c>
      <c r="D1426" s="284" t="s">
        <v>1027</v>
      </c>
      <c r="E1426" s="284" t="s">
        <v>1083</v>
      </c>
      <c r="F1426" s="113" t="s">
        <v>783</v>
      </c>
    </row>
    <row r="1427" spans="1:6" ht="14.25" customHeight="1">
      <c r="A1427" s="285" t="s">
        <v>824</v>
      </c>
      <c r="B1427" s="285">
        <v>2025</v>
      </c>
      <c r="C1427" s="285" t="s">
        <v>1024</v>
      </c>
      <c r="D1427" s="285" t="s">
        <v>1027</v>
      </c>
      <c r="E1427" s="285" t="s">
        <v>1023</v>
      </c>
      <c r="F1427" s="113" t="s">
        <v>922</v>
      </c>
    </row>
    <row r="1428" spans="1:6" ht="14.25" customHeight="1">
      <c r="A1428" s="284" t="s">
        <v>824</v>
      </c>
      <c r="B1428" s="284">
        <v>2025</v>
      </c>
      <c r="C1428" s="284" t="s">
        <v>1024</v>
      </c>
      <c r="D1428" s="284" t="s">
        <v>1142</v>
      </c>
      <c r="E1428" s="284" t="s">
        <v>971</v>
      </c>
      <c r="F1428" s="113" t="s">
        <v>909</v>
      </c>
    </row>
    <row r="1429" spans="1:6" ht="14.25" customHeight="1">
      <c r="A1429" s="285" t="s">
        <v>825</v>
      </c>
      <c r="B1429" s="285">
        <v>2025</v>
      </c>
      <c r="C1429" s="285" t="s">
        <v>821</v>
      </c>
      <c r="D1429" s="285" t="s">
        <v>132</v>
      </c>
      <c r="E1429" s="285" t="s">
        <v>1165</v>
      </c>
      <c r="F1429" s="113" t="s">
        <v>906</v>
      </c>
    </row>
    <row r="1430" spans="1:6" ht="14.25" customHeight="1">
      <c r="A1430" s="284" t="s">
        <v>825</v>
      </c>
      <c r="B1430" s="284">
        <v>2025</v>
      </c>
      <c r="C1430" s="284" t="s">
        <v>821</v>
      </c>
      <c r="D1430" s="284" t="s">
        <v>132</v>
      </c>
      <c r="E1430" s="284" t="s">
        <v>1037</v>
      </c>
      <c r="F1430" s="113" t="s">
        <v>917</v>
      </c>
    </row>
    <row r="1431" spans="1:6" ht="14.25" customHeight="1">
      <c r="A1431" s="285" t="s">
        <v>825</v>
      </c>
      <c r="B1431" s="285">
        <v>2025</v>
      </c>
      <c r="C1431" s="285" t="s">
        <v>821</v>
      </c>
      <c r="D1431" s="285" t="s">
        <v>132</v>
      </c>
      <c r="E1431" s="285" t="s">
        <v>1009</v>
      </c>
      <c r="F1431" s="113" t="s">
        <v>917</v>
      </c>
    </row>
    <row r="1432" spans="1:6" ht="14.25" customHeight="1">
      <c r="A1432" s="284" t="s">
        <v>825</v>
      </c>
      <c r="B1432" s="284">
        <v>2025</v>
      </c>
      <c r="C1432" s="284" t="s">
        <v>821</v>
      </c>
      <c r="D1432" s="284" t="s">
        <v>1033</v>
      </c>
      <c r="E1432" s="284" t="s">
        <v>2</v>
      </c>
      <c r="F1432" s="113" t="s">
        <v>909</v>
      </c>
    </row>
    <row r="1433" spans="1:6" ht="14.25" customHeight="1">
      <c r="A1433" s="285" t="s">
        <v>825</v>
      </c>
      <c r="B1433" s="285">
        <v>2025</v>
      </c>
      <c r="C1433" s="285" t="s">
        <v>821</v>
      </c>
      <c r="D1433" s="285" t="s">
        <v>976</v>
      </c>
      <c r="E1433" s="285" t="s">
        <v>1166</v>
      </c>
      <c r="F1433" s="113" t="s">
        <v>483</v>
      </c>
    </row>
    <row r="1434" spans="1:6" ht="14.25" customHeight="1">
      <c r="A1434" s="284" t="s">
        <v>825</v>
      </c>
      <c r="B1434" s="284">
        <v>2025</v>
      </c>
      <c r="C1434" s="284" t="s">
        <v>821</v>
      </c>
      <c r="D1434" s="284" t="s">
        <v>976</v>
      </c>
      <c r="E1434" s="284" t="s">
        <v>2</v>
      </c>
      <c r="F1434" s="113" t="s">
        <v>909</v>
      </c>
    </row>
    <row r="1435" spans="1:6" ht="14.25" customHeight="1">
      <c r="A1435" s="285" t="s">
        <v>825</v>
      </c>
      <c r="B1435" s="285">
        <v>2025</v>
      </c>
      <c r="C1435" s="285" t="s">
        <v>821</v>
      </c>
      <c r="D1435" s="285" t="s">
        <v>976</v>
      </c>
      <c r="E1435" s="285" t="s">
        <v>1108</v>
      </c>
      <c r="F1435" s="113" t="s">
        <v>663</v>
      </c>
    </row>
    <row r="1436" spans="1:6" ht="14.25" customHeight="1">
      <c r="A1436" s="284" t="s">
        <v>825</v>
      </c>
      <c r="B1436" s="284">
        <v>2025</v>
      </c>
      <c r="C1436" s="284" t="s">
        <v>821</v>
      </c>
      <c r="D1436" s="284" t="s">
        <v>976</v>
      </c>
      <c r="E1436" s="284" t="s">
        <v>1079</v>
      </c>
      <c r="F1436" s="113" t="s">
        <v>663</v>
      </c>
    </row>
    <row r="1437" spans="1:6" ht="14.25" customHeight="1">
      <c r="A1437" s="285" t="s">
        <v>825</v>
      </c>
      <c r="B1437" s="285">
        <v>2025</v>
      </c>
      <c r="C1437" s="285" t="s">
        <v>821</v>
      </c>
      <c r="D1437" s="285" t="s">
        <v>934</v>
      </c>
      <c r="E1437" s="285" t="s">
        <v>1079</v>
      </c>
      <c r="F1437" s="113" t="s">
        <v>663</v>
      </c>
    </row>
    <row r="1438" spans="1:6" ht="14.25" customHeight="1">
      <c r="A1438" s="284" t="s">
        <v>825</v>
      </c>
      <c r="B1438" s="284">
        <v>2025</v>
      </c>
      <c r="C1438" s="284" t="s">
        <v>821</v>
      </c>
      <c r="D1438" s="284" t="s">
        <v>934</v>
      </c>
      <c r="E1438" s="284" t="s">
        <v>1167</v>
      </c>
      <c r="F1438" s="113" t="s">
        <v>924</v>
      </c>
    </row>
    <row r="1439" spans="1:6" ht="14.25" customHeight="1">
      <c r="A1439" s="285" t="s">
        <v>825</v>
      </c>
      <c r="B1439" s="285">
        <v>2025</v>
      </c>
      <c r="C1439" s="285" t="s">
        <v>821</v>
      </c>
      <c r="D1439" s="285" t="s">
        <v>934</v>
      </c>
      <c r="E1439" s="285" t="s">
        <v>987</v>
      </c>
      <c r="F1439" s="113" t="s">
        <v>935</v>
      </c>
    </row>
    <row r="1440" spans="1:6" ht="14.25" customHeight="1">
      <c r="A1440" s="284" t="s">
        <v>825</v>
      </c>
      <c r="B1440" s="284">
        <v>2025</v>
      </c>
      <c r="C1440" s="284" t="s">
        <v>821</v>
      </c>
      <c r="D1440" s="284" t="s">
        <v>934</v>
      </c>
      <c r="E1440" s="284" t="s">
        <v>1004</v>
      </c>
      <c r="F1440" s="113" t="s">
        <v>935</v>
      </c>
    </row>
    <row r="1441" spans="1:6" ht="14.25" customHeight="1">
      <c r="A1441" s="285" t="s">
        <v>825</v>
      </c>
      <c r="B1441" s="285">
        <v>2025</v>
      </c>
      <c r="C1441" s="285" t="s">
        <v>88</v>
      </c>
      <c r="D1441" s="285" t="s">
        <v>959</v>
      </c>
      <c r="E1441" s="285" t="s">
        <v>986</v>
      </c>
      <c r="F1441" s="113" t="s">
        <v>906</v>
      </c>
    </row>
    <row r="1442" spans="1:6" ht="14.25" customHeight="1">
      <c r="A1442" s="284" t="s">
        <v>825</v>
      </c>
      <c r="B1442" s="284">
        <v>2025</v>
      </c>
      <c r="C1442" s="284" t="s">
        <v>88</v>
      </c>
      <c r="D1442" s="284" t="s">
        <v>959</v>
      </c>
      <c r="E1442" s="284" t="s">
        <v>1014</v>
      </c>
      <c r="F1442" s="113" t="s">
        <v>906</v>
      </c>
    </row>
    <row r="1443" spans="1:6" ht="14.25" customHeight="1">
      <c r="A1443" s="285" t="s">
        <v>825</v>
      </c>
      <c r="B1443" s="285">
        <v>2025</v>
      </c>
      <c r="C1443" s="285" t="s">
        <v>88</v>
      </c>
      <c r="D1443" s="285" t="s">
        <v>959</v>
      </c>
      <c r="E1443" s="285" t="s">
        <v>1028</v>
      </c>
      <c r="F1443" s="113" t="s">
        <v>906</v>
      </c>
    </row>
    <row r="1444" spans="1:6" ht="14.25" customHeight="1">
      <c r="A1444" s="284" t="s">
        <v>825</v>
      </c>
      <c r="B1444" s="284">
        <v>2025</v>
      </c>
      <c r="C1444" s="284" t="s">
        <v>88</v>
      </c>
      <c r="D1444" s="284" t="s">
        <v>959</v>
      </c>
      <c r="E1444" s="284" t="s">
        <v>954</v>
      </c>
      <c r="F1444" s="113" t="s">
        <v>906</v>
      </c>
    </row>
    <row r="1445" spans="1:6" ht="14.25" customHeight="1">
      <c r="A1445" s="285" t="s">
        <v>825</v>
      </c>
      <c r="B1445" s="285">
        <v>2025</v>
      </c>
      <c r="C1445" s="285" t="s">
        <v>88</v>
      </c>
      <c r="D1445" s="285" t="s">
        <v>959</v>
      </c>
      <c r="E1445" s="285" t="s">
        <v>1040</v>
      </c>
      <c r="F1445" s="113" t="s">
        <v>906</v>
      </c>
    </row>
    <row r="1446" spans="1:6" ht="14.25" customHeight="1">
      <c r="A1446" s="284" t="s">
        <v>825</v>
      </c>
      <c r="B1446" s="284">
        <v>2025</v>
      </c>
      <c r="C1446" s="284" t="s">
        <v>88</v>
      </c>
      <c r="D1446" s="284" t="s">
        <v>959</v>
      </c>
      <c r="E1446" s="284" t="s">
        <v>1036</v>
      </c>
      <c r="F1446" s="113" t="s">
        <v>906</v>
      </c>
    </row>
    <row r="1447" spans="1:6" ht="14.25" customHeight="1">
      <c r="A1447" s="285" t="s">
        <v>825</v>
      </c>
      <c r="B1447" s="285">
        <v>2025</v>
      </c>
      <c r="C1447" s="285" t="s">
        <v>88</v>
      </c>
      <c r="D1447" s="285" t="s">
        <v>959</v>
      </c>
      <c r="E1447" s="285" t="s">
        <v>952</v>
      </c>
      <c r="F1447" s="113" t="s">
        <v>906</v>
      </c>
    </row>
    <row r="1448" spans="1:6" ht="14.25" customHeight="1">
      <c r="A1448" s="284" t="s">
        <v>825</v>
      </c>
      <c r="B1448" s="284">
        <v>2025</v>
      </c>
      <c r="C1448" s="284" t="s">
        <v>88</v>
      </c>
      <c r="D1448" s="284" t="s">
        <v>959</v>
      </c>
      <c r="E1448" s="284" t="s">
        <v>991</v>
      </c>
      <c r="F1448" s="113" t="s">
        <v>906</v>
      </c>
    </row>
    <row r="1449" spans="1:6" ht="14.25" customHeight="1">
      <c r="A1449" s="285" t="s">
        <v>825</v>
      </c>
      <c r="B1449" s="285">
        <v>2025</v>
      </c>
      <c r="C1449" s="285" t="s">
        <v>88</v>
      </c>
      <c r="D1449" s="285" t="s">
        <v>959</v>
      </c>
      <c r="E1449" s="285" t="s">
        <v>952</v>
      </c>
      <c r="F1449" s="113" t="s">
        <v>906</v>
      </c>
    </row>
    <row r="1450" spans="1:6" ht="14.25" customHeight="1">
      <c r="A1450" s="284" t="s">
        <v>825</v>
      </c>
      <c r="B1450" s="284">
        <v>2025</v>
      </c>
      <c r="C1450" s="284" t="s">
        <v>88</v>
      </c>
      <c r="D1450" s="284" t="s">
        <v>959</v>
      </c>
      <c r="E1450" s="284" t="s">
        <v>1124</v>
      </c>
      <c r="F1450" s="113" t="s">
        <v>483</v>
      </c>
    </row>
    <row r="1451" spans="1:6" ht="14.25" customHeight="1">
      <c r="A1451" s="285" t="s">
        <v>825</v>
      </c>
      <c r="B1451" s="285">
        <v>2025</v>
      </c>
      <c r="C1451" s="285" t="s">
        <v>88</v>
      </c>
      <c r="D1451" s="285" t="s">
        <v>959</v>
      </c>
      <c r="E1451" s="285" t="s">
        <v>1120</v>
      </c>
      <c r="F1451" s="113" t="s">
        <v>483</v>
      </c>
    </row>
    <row r="1452" spans="1:6" ht="14.25" customHeight="1">
      <c r="A1452" s="284" t="s">
        <v>825</v>
      </c>
      <c r="B1452" s="284">
        <v>2025</v>
      </c>
      <c r="C1452" s="284" t="s">
        <v>88</v>
      </c>
      <c r="D1452" s="284" t="s">
        <v>959</v>
      </c>
      <c r="E1452" s="284" t="s">
        <v>964</v>
      </c>
      <c r="F1452" s="113" t="s">
        <v>913</v>
      </c>
    </row>
    <row r="1453" spans="1:6" ht="14.25" customHeight="1">
      <c r="A1453" s="285" t="s">
        <v>825</v>
      </c>
      <c r="B1453" s="285">
        <v>2025</v>
      </c>
      <c r="C1453" s="285" t="s">
        <v>88</v>
      </c>
      <c r="D1453" s="285" t="s">
        <v>959</v>
      </c>
      <c r="E1453" s="285" t="s">
        <v>947</v>
      </c>
      <c r="F1453" s="113" t="s">
        <v>913</v>
      </c>
    </row>
    <row r="1454" spans="1:6" ht="14.25" customHeight="1">
      <c r="A1454" s="284" t="s">
        <v>825</v>
      </c>
      <c r="B1454" s="284">
        <v>2025</v>
      </c>
      <c r="C1454" s="284" t="s">
        <v>88</v>
      </c>
      <c r="D1454" s="284" t="s">
        <v>959</v>
      </c>
      <c r="E1454" s="284" t="s">
        <v>941</v>
      </c>
      <c r="F1454" s="113" t="s">
        <v>663</v>
      </c>
    </row>
    <row r="1455" spans="1:6" ht="14.25" customHeight="1">
      <c r="A1455" s="285" t="s">
        <v>825</v>
      </c>
      <c r="B1455" s="285">
        <v>2025</v>
      </c>
      <c r="C1455" s="285" t="s">
        <v>88</v>
      </c>
      <c r="D1455" s="285" t="s">
        <v>959</v>
      </c>
      <c r="E1455" s="285" t="s">
        <v>1006</v>
      </c>
      <c r="F1455" s="113" t="s">
        <v>917</v>
      </c>
    </row>
    <row r="1456" spans="1:6" ht="14.25" customHeight="1">
      <c r="A1456" s="284" t="s">
        <v>825</v>
      </c>
      <c r="B1456" s="284">
        <v>2025</v>
      </c>
      <c r="C1456" s="284" t="s">
        <v>88</v>
      </c>
      <c r="D1456" s="284" t="s">
        <v>959</v>
      </c>
      <c r="E1456" s="284" t="s">
        <v>973</v>
      </c>
      <c r="F1456" s="113" t="s">
        <v>917</v>
      </c>
    </row>
    <row r="1457" spans="1:6" ht="14.25" customHeight="1">
      <c r="A1457" s="285" t="s">
        <v>825</v>
      </c>
      <c r="B1457" s="285">
        <v>2025</v>
      </c>
      <c r="C1457" s="285" t="s">
        <v>88</v>
      </c>
      <c r="D1457" s="285" t="s">
        <v>959</v>
      </c>
      <c r="E1457" s="285" t="s">
        <v>1009</v>
      </c>
      <c r="F1457" s="113" t="s">
        <v>917</v>
      </c>
    </row>
    <row r="1458" spans="1:6" ht="14.25" customHeight="1">
      <c r="A1458" s="284" t="s">
        <v>825</v>
      </c>
      <c r="B1458" s="284">
        <v>2025</v>
      </c>
      <c r="C1458" s="284" t="s">
        <v>88</v>
      </c>
      <c r="D1458" s="284" t="s">
        <v>959</v>
      </c>
      <c r="E1458" s="284" t="s">
        <v>942</v>
      </c>
      <c r="F1458" s="113" t="s">
        <v>918</v>
      </c>
    </row>
    <row r="1459" spans="1:6" ht="14.25" customHeight="1">
      <c r="A1459" s="285" t="s">
        <v>825</v>
      </c>
      <c r="B1459" s="285">
        <v>2025</v>
      </c>
      <c r="C1459" s="285" t="s">
        <v>88</v>
      </c>
      <c r="D1459" s="285" t="s">
        <v>959</v>
      </c>
      <c r="E1459" s="285" t="s">
        <v>948</v>
      </c>
      <c r="F1459" s="113" t="s">
        <v>922</v>
      </c>
    </row>
    <row r="1460" spans="1:6" ht="14.25" customHeight="1">
      <c r="A1460" s="284" t="s">
        <v>825</v>
      </c>
      <c r="B1460" s="284">
        <v>2025</v>
      </c>
      <c r="C1460" s="284" t="s">
        <v>88</v>
      </c>
      <c r="D1460" s="284" t="s">
        <v>959</v>
      </c>
      <c r="E1460" s="284" t="s">
        <v>1023</v>
      </c>
      <c r="F1460" s="113" t="s">
        <v>935</v>
      </c>
    </row>
    <row r="1461" spans="1:6" ht="14.25" customHeight="1">
      <c r="A1461" s="285" t="s">
        <v>825</v>
      </c>
      <c r="B1461" s="285">
        <v>2025</v>
      </c>
      <c r="C1461" s="285" t="s">
        <v>88</v>
      </c>
      <c r="D1461" s="285" t="s">
        <v>959</v>
      </c>
      <c r="E1461" s="285" t="s">
        <v>990</v>
      </c>
      <c r="F1461" s="113" t="s">
        <v>935</v>
      </c>
    </row>
    <row r="1462" spans="1:6" ht="14.25" customHeight="1">
      <c r="A1462" s="284" t="s">
        <v>825</v>
      </c>
      <c r="B1462" s="284">
        <v>2025</v>
      </c>
      <c r="C1462" s="284" t="s">
        <v>88</v>
      </c>
      <c r="D1462" s="284" t="s">
        <v>959</v>
      </c>
      <c r="E1462" s="284" t="s">
        <v>987</v>
      </c>
      <c r="F1462" s="113" t="s">
        <v>935</v>
      </c>
    </row>
    <row r="1463" spans="1:6" ht="14.25" customHeight="1">
      <c r="A1463" s="285" t="s">
        <v>825</v>
      </c>
      <c r="B1463" s="285">
        <v>2025</v>
      </c>
      <c r="C1463" s="285" t="s">
        <v>88</v>
      </c>
      <c r="D1463" s="285" t="s">
        <v>959</v>
      </c>
      <c r="E1463" s="285" t="s">
        <v>1100</v>
      </c>
      <c r="F1463" s="113" t="s">
        <v>935</v>
      </c>
    </row>
    <row r="1464" spans="1:6" ht="14.25" customHeight="1">
      <c r="A1464" s="284" t="s">
        <v>825</v>
      </c>
      <c r="B1464" s="284">
        <v>2025</v>
      </c>
      <c r="C1464" s="284" t="s">
        <v>88</v>
      </c>
      <c r="D1464" s="284" t="s">
        <v>959</v>
      </c>
      <c r="E1464" s="284" t="s">
        <v>984</v>
      </c>
      <c r="F1464" s="113" t="s">
        <v>935</v>
      </c>
    </row>
    <row r="1465" spans="1:6" ht="14.25" customHeight="1">
      <c r="A1465" s="285" t="s">
        <v>825</v>
      </c>
      <c r="B1465" s="285">
        <v>2025</v>
      </c>
      <c r="C1465" s="285" t="s">
        <v>88</v>
      </c>
      <c r="D1465" s="285" t="s">
        <v>988</v>
      </c>
      <c r="E1465" s="285" t="s">
        <v>1028</v>
      </c>
      <c r="F1465" s="113" t="s">
        <v>906</v>
      </c>
    </row>
    <row r="1466" spans="1:6" ht="14.25" customHeight="1">
      <c r="A1466" s="284" t="s">
        <v>825</v>
      </c>
      <c r="B1466" s="284">
        <v>2025</v>
      </c>
      <c r="C1466" s="284" t="s">
        <v>88</v>
      </c>
      <c r="D1466" s="284" t="s">
        <v>988</v>
      </c>
      <c r="E1466" s="284" t="s">
        <v>1168</v>
      </c>
      <c r="F1466" s="113" t="s">
        <v>663</v>
      </c>
    </row>
    <row r="1467" spans="1:6" ht="14.25" customHeight="1">
      <c r="A1467" s="285" t="s">
        <v>825</v>
      </c>
      <c r="B1467" s="285">
        <v>2025</v>
      </c>
      <c r="C1467" s="285" t="s">
        <v>88</v>
      </c>
      <c r="D1467" s="285" t="s">
        <v>988</v>
      </c>
      <c r="E1467" s="285" t="s">
        <v>1169</v>
      </c>
      <c r="F1467" s="113" t="s">
        <v>663</v>
      </c>
    </row>
    <row r="1468" spans="1:6" ht="14.25" customHeight="1">
      <c r="A1468" s="284" t="s">
        <v>825</v>
      </c>
      <c r="B1468" s="284">
        <v>2025</v>
      </c>
      <c r="C1468" s="284" t="s">
        <v>88</v>
      </c>
      <c r="D1468" s="284" t="s">
        <v>988</v>
      </c>
      <c r="E1468" s="284" t="s">
        <v>938</v>
      </c>
      <c r="F1468" s="113" t="s">
        <v>663</v>
      </c>
    </row>
    <row r="1469" spans="1:6" ht="14.25" customHeight="1">
      <c r="A1469" s="285" t="s">
        <v>825</v>
      </c>
      <c r="B1469" s="285">
        <v>2025</v>
      </c>
      <c r="C1469" s="285" t="s">
        <v>88</v>
      </c>
      <c r="D1469" s="285" t="s">
        <v>956</v>
      </c>
      <c r="E1469" s="285" t="s">
        <v>954</v>
      </c>
      <c r="F1469" s="113" t="s">
        <v>906</v>
      </c>
    </row>
    <row r="1470" spans="1:6" ht="14.25" customHeight="1">
      <c r="A1470" s="284" t="s">
        <v>825</v>
      </c>
      <c r="B1470" s="284">
        <v>2025</v>
      </c>
      <c r="C1470" s="284" t="s">
        <v>88</v>
      </c>
      <c r="D1470" s="284" t="s">
        <v>969</v>
      </c>
      <c r="E1470" s="284" t="s">
        <v>1040</v>
      </c>
      <c r="F1470" s="113" t="s">
        <v>906</v>
      </c>
    </row>
    <row r="1471" spans="1:6" ht="14.25" customHeight="1">
      <c r="A1471" s="285" t="s">
        <v>825</v>
      </c>
      <c r="B1471" s="285">
        <v>2025</v>
      </c>
      <c r="C1471" s="285" t="s">
        <v>88</v>
      </c>
      <c r="D1471" s="285" t="s">
        <v>969</v>
      </c>
      <c r="E1471" s="285" t="s">
        <v>1166</v>
      </c>
      <c r="F1471" s="113" t="s">
        <v>483</v>
      </c>
    </row>
    <row r="1472" spans="1:6" ht="14.25" customHeight="1">
      <c r="A1472" s="284" t="s">
        <v>825</v>
      </c>
      <c r="B1472" s="284">
        <v>2025</v>
      </c>
      <c r="C1472" s="284" t="s">
        <v>88</v>
      </c>
      <c r="D1472" s="284" t="s">
        <v>969</v>
      </c>
      <c r="E1472" s="284" t="s">
        <v>938</v>
      </c>
      <c r="F1472" s="113" t="s">
        <v>663</v>
      </c>
    </row>
    <row r="1473" spans="1:6" ht="14.25" customHeight="1">
      <c r="A1473" s="285" t="s">
        <v>825</v>
      </c>
      <c r="B1473" s="285">
        <v>2025</v>
      </c>
      <c r="C1473" s="285" t="s">
        <v>88</v>
      </c>
      <c r="D1473" s="285" t="s">
        <v>969</v>
      </c>
      <c r="E1473" s="285" t="s">
        <v>1079</v>
      </c>
      <c r="F1473" s="113" t="s">
        <v>663</v>
      </c>
    </row>
    <row r="1474" spans="1:6" ht="14.25" customHeight="1">
      <c r="A1474" s="284" t="s">
        <v>825</v>
      </c>
      <c r="B1474" s="284">
        <v>2025</v>
      </c>
      <c r="C1474" s="284" t="s">
        <v>88</v>
      </c>
      <c r="D1474" s="284" t="s">
        <v>969</v>
      </c>
      <c r="E1474" s="284" t="s">
        <v>943</v>
      </c>
      <c r="F1474" s="113" t="s">
        <v>917</v>
      </c>
    </row>
    <row r="1475" spans="1:6" ht="14.25" customHeight="1">
      <c r="A1475" s="285" t="s">
        <v>825</v>
      </c>
      <c r="B1475" s="285">
        <v>2025</v>
      </c>
      <c r="C1475" s="285" t="s">
        <v>88</v>
      </c>
      <c r="D1475" s="285" t="s">
        <v>969</v>
      </c>
      <c r="E1475" s="285" t="s">
        <v>1100</v>
      </c>
      <c r="F1475" s="113" t="s">
        <v>935</v>
      </c>
    </row>
    <row r="1476" spans="1:6" ht="14.25" customHeight="1">
      <c r="A1476" s="284" t="s">
        <v>825</v>
      </c>
      <c r="B1476" s="284">
        <v>2025</v>
      </c>
      <c r="C1476" s="284" t="s">
        <v>88</v>
      </c>
      <c r="D1476" s="284" t="s">
        <v>969</v>
      </c>
      <c r="E1476" s="284" t="s">
        <v>1023</v>
      </c>
      <c r="F1476" s="113" t="s">
        <v>935</v>
      </c>
    </row>
    <row r="1477" spans="1:6" ht="14.25" customHeight="1">
      <c r="A1477" s="285" t="s">
        <v>825</v>
      </c>
      <c r="B1477" s="285">
        <v>2025</v>
      </c>
      <c r="C1477" s="285" t="s">
        <v>88</v>
      </c>
      <c r="D1477" s="285" t="s">
        <v>969</v>
      </c>
      <c r="E1477" s="285" t="s">
        <v>989</v>
      </c>
      <c r="F1477" s="113" t="s">
        <v>935</v>
      </c>
    </row>
    <row r="1478" spans="1:6" ht="14.25" customHeight="1">
      <c r="A1478" s="284" t="s">
        <v>825</v>
      </c>
      <c r="B1478" s="284">
        <v>2025</v>
      </c>
      <c r="C1478" s="284" t="s">
        <v>859</v>
      </c>
      <c r="D1478" s="284" t="s">
        <v>1005</v>
      </c>
      <c r="E1478" s="284" t="s">
        <v>1124</v>
      </c>
      <c r="F1478" s="113" t="s">
        <v>483</v>
      </c>
    </row>
    <row r="1479" spans="1:6" ht="14.25" customHeight="1">
      <c r="A1479" s="285" t="s">
        <v>825</v>
      </c>
      <c r="B1479" s="285">
        <v>2025</v>
      </c>
      <c r="C1479" s="285" t="s">
        <v>859</v>
      </c>
      <c r="D1479" s="285" t="s">
        <v>1005</v>
      </c>
      <c r="E1479" s="285" t="s">
        <v>1087</v>
      </c>
      <c r="F1479" s="113" t="s">
        <v>663</v>
      </c>
    </row>
    <row r="1480" spans="1:6" ht="14.25" customHeight="1">
      <c r="A1480" s="284" t="s">
        <v>825</v>
      </c>
      <c r="B1480" s="284">
        <v>2025</v>
      </c>
      <c r="C1480" s="284" t="s">
        <v>859</v>
      </c>
      <c r="D1480" s="284" t="s">
        <v>1005</v>
      </c>
      <c r="E1480" s="284" t="s">
        <v>1087</v>
      </c>
      <c r="F1480" s="113" t="s">
        <v>663</v>
      </c>
    </row>
    <row r="1481" spans="1:6" ht="14.25" customHeight="1">
      <c r="A1481" s="285" t="s">
        <v>825</v>
      </c>
      <c r="B1481" s="285">
        <v>2025</v>
      </c>
      <c r="C1481" s="285" t="s">
        <v>859</v>
      </c>
      <c r="D1481" s="285" t="s">
        <v>1005</v>
      </c>
      <c r="E1481" s="285" t="s">
        <v>1100</v>
      </c>
      <c r="F1481" s="113" t="s">
        <v>935</v>
      </c>
    </row>
    <row r="1482" spans="1:6" ht="14.25" customHeight="1">
      <c r="A1482" s="284" t="s">
        <v>825</v>
      </c>
      <c r="B1482" s="284">
        <v>2025</v>
      </c>
      <c r="C1482" s="284" t="s">
        <v>859</v>
      </c>
      <c r="D1482" s="284" t="s">
        <v>999</v>
      </c>
      <c r="E1482" s="284" t="s">
        <v>981</v>
      </c>
      <c r="F1482" s="113" t="s">
        <v>906</v>
      </c>
    </row>
    <row r="1483" spans="1:6" ht="14.25" customHeight="1">
      <c r="A1483" s="285" t="s">
        <v>825</v>
      </c>
      <c r="B1483" s="285">
        <v>2025</v>
      </c>
      <c r="C1483" s="285" t="s">
        <v>859</v>
      </c>
      <c r="D1483" s="285" t="s">
        <v>999</v>
      </c>
      <c r="E1483" s="285" t="s">
        <v>953</v>
      </c>
      <c r="F1483" s="113" t="s">
        <v>906</v>
      </c>
    </row>
    <row r="1484" spans="1:6" ht="14.25" customHeight="1">
      <c r="A1484" s="284" t="s">
        <v>825</v>
      </c>
      <c r="B1484" s="284">
        <v>2025</v>
      </c>
      <c r="C1484" s="284" t="s">
        <v>859</v>
      </c>
      <c r="D1484" s="284" t="s">
        <v>999</v>
      </c>
      <c r="E1484" s="284" t="s">
        <v>1124</v>
      </c>
      <c r="F1484" s="113" t="s">
        <v>483</v>
      </c>
    </row>
    <row r="1485" spans="1:6" ht="14.25" customHeight="1">
      <c r="A1485" s="285" t="s">
        <v>825</v>
      </c>
      <c r="B1485" s="285">
        <v>2025</v>
      </c>
      <c r="C1485" s="285" t="s">
        <v>859</v>
      </c>
      <c r="D1485" s="285" t="s">
        <v>999</v>
      </c>
      <c r="E1485" s="285" t="s">
        <v>1124</v>
      </c>
      <c r="F1485" s="113" t="s">
        <v>483</v>
      </c>
    </row>
    <row r="1486" spans="1:6" ht="14.25" customHeight="1">
      <c r="A1486" s="284" t="s">
        <v>825</v>
      </c>
      <c r="B1486" s="284">
        <v>2025</v>
      </c>
      <c r="C1486" s="284" t="s">
        <v>859</v>
      </c>
      <c r="D1486" s="284" t="s">
        <v>999</v>
      </c>
      <c r="E1486" s="284" t="s">
        <v>1162</v>
      </c>
      <c r="F1486" s="113" t="s">
        <v>483</v>
      </c>
    </row>
    <row r="1487" spans="1:6" ht="14.25" customHeight="1">
      <c r="A1487" s="285" t="s">
        <v>825</v>
      </c>
      <c r="B1487" s="285">
        <v>2025</v>
      </c>
      <c r="C1487" s="285" t="s">
        <v>859</v>
      </c>
      <c r="D1487" s="285" t="s">
        <v>998</v>
      </c>
      <c r="E1487" s="285" t="s">
        <v>1070</v>
      </c>
      <c r="F1487" s="113" t="s">
        <v>483</v>
      </c>
    </row>
    <row r="1488" spans="1:6" ht="14.25" customHeight="1">
      <c r="A1488" s="284" t="s">
        <v>825</v>
      </c>
      <c r="B1488" s="284">
        <v>2025</v>
      </c>
      <c r="C1488" s="284" t="s">
        <v>859</v>
      </c>
      <c r="D1488" s="284" t="s">
        <v>998</v>
      </c>
      <c r="E1488" s="284" t="s">
        <v>1077</v>
      </c>
      <c r="F1488" s="113" t="s">
        <v>483</v>
      </c>
    </row>
    <row r="1489" spans="1:6" ht="14.25" customHeight="1">
      <c r="A1489" s="285" t="s">
        <v>825</v>
      </c>
      <c r="B1489" s="285">
        <v>2025</v>
      </c>
      <c r="C1489" s="285" t="s">
        <v>859</v>
      </c>
      <c r="D1489" s="285" t="s">
        <v>1000</v>
      </c>
      <c r="E1489" s="285" t="s">
        <v>1036</v>
      </c>
      <c r="F1489" s="113" t="s">
        <v>906</v>
      </c>
    </row>
    <row r="1490" spans="1:6" ht="14.25" customHeight="1">
      <c r="A1490" s="284" t="s">
        <v>825</v>
      </c>
      <c r="B1490" s="284">
        <v>2025</v>
      </c>
      <c r="C1490" s="284" t="s">
        <v>859</v>
      </c>
      <c r="D1490" s="284" t="s">
        <v>1000</v>
      </c>
      <c r="E1490" s="284" t="s">
        <v>1153</v>
      </c>
      <c r="F1490" s="113" t="s">
        <v>483</v>
      </c>
    </row>
    <row r="1491" spans="1:6" ht="14.25" customHeight="1">
      <c r="A1491" s="285" t="s">
        <v>825</v>
      </c>
      <c r="B1491" s="285">
        <v>2025</v>
      </c>
      <c r="C1491" s="285" t="s">
        <v>859</v>
      </c>
      <c r="D1491" s="285" t="s">
        <v>1000</v>
      </c>
      <c r="E1491" s="285" t="s">
        <v>1076</v>
      </c>
      <c r="F1491" s="285" t="s">
        <v>483</v>
      </c>
    </row>
    <row r="1492" spans="1:6" ht="14.25" customHeight="1">
      <c r="A1492" s="284" t="s">
        <v>825</v>
      </c>
      <c r="B1492" s="284">
        <v>2025</v>
      </c>
      <c r="C1492" s="284" t="s">
        <v>859</v>
      </c>
      <c r="D1492" s="284" t="s">
        <v>1000</v>
      </c>
      <c r="E1492" s="284" t="s">
        <v>1048</v>
      </c>
      <c r="F1492" s="113" t="s">
        <v>917</v>
      </c>
    </row>
    <row r="1493" spans="1:6" ht="14.25" customHeight="1">
      <c r="A1493" s="285" t="s">
        <v>825</v>
      </c>
      <c r="B1493" s="285">
        <v>2025</v>
      </c>
      <c r="C1493" s="285" t="s">
        <v>859</v>
      </c>
      <c r="D1493" s="285" t="s">
        <v>1000</v>
      </c>
      <c r="E1493" s="285" t="s">
        <v>1048</v>
      </c>
      <c r="F1493" s="113" t="s">
        <v>917</v>
      </c>
    </row>
    <row r="1494" spans="1:6" ht="14.25" customHeight="1">
      <c r="A1494" s="284" t="s">
        <v>825</v>
      </c>
      <c r="B1494" s="284">
        <v>2025</v>
      </c>
      <c r="C1494" s="284" t="s">
        <v>859</v>
      </c>
      <c r="D1494" s="284" t="s">
        <v>1000</v>
      </c>
      <c r="E1494" s="284" t="s">
        <v>1100</v>
      </c>
      <c r="F1494" s="113" t="s">
        <v>935</v>
      </c>
    </row>
    <row r="1495" spans="1:6" ht="14.25" customHeight="1">
      <c r="A1495" s="285" t="s">
        <v>825</v>
      </c>
      <c r="B1495" s="285">
        <v>2025</v>
      </c>
      <c r="C1495" s="285" t="s">
        <v>859</v>
      </c>
      <c r="D1495" s="285" t="s">
        <v>1000</v>
      </c>
      <c r="E1495" s="285" t="s">
        <v>984</v>
      </c>
      <c r="F1495" s="113" t="s">
        <v>935</v>
      </c>
    </row>
    <row r="1496" spans="1:6" ht="14.25" customHeight="1">
      <c r="A1496" s="284" t="s">
        <v>825</v>
      </c>
      <c r="B1496" s="284">
        <v>2025</v>
      </c>
      <c r="C1496" s="284" t="s">
        <v>872</v>
      </c>
      <c r="D1496" s="284" t="s">
        <v>1018</v>
      </c>
      <c r="E1496" s="284" t="s">
        <v>1170</v>
      </c>
      <c r="F1496" s="113" t="s">
        <v>909</v>
      </c>
    </row>
    <row r="1497" spans="1:6" ht="14.25" customHeight="1">
      <c r="A1497" s="285" t="s">
        <v>825</v>
      </c>
      <c r="B1497" s="285">
        <v>2025</v>
      </c>
      <c r="C1497" s="285" t="s">
        <v>872</v>
      </c>
      <c r="D1497" s="285" t="s">
        <v>1012</v>
      </c>
      <c r="E1497" s="285" t="s">
        <v>1004</v>
      </c>
      <c r="F1497" s="113" t="s">
        <v>935</v>
      </c>
    </row>
    <row r="1498" spans="1:6" ht="14.25" customHeight="1">
      <c r="A1498" s="284" t="s">
        <v>825</v>
      </c>
      <c r="B1498" s="284">
        <v>2025</v>
      </c>
      <c r="C1498" s="284" t="s">
        <v>1024</v>
      </c>
      <c r="D1498" s="284" t="s">
        <v>1029</v>
      </c>
      <c r="E1498" s="284" t="s">
        <v>2</v>
      </c>
      <c r="F1498" s="113" t="s">
        <v>935</v>
      </c>
    </row>
    <row r="1499" spans="1:6" ht="14.25" customHeight="1">
      <c r="A1499" s="285" t="s">
        <v>825</v>
      </c>
      <c r="B1499" s="285">
        <v>2025</v>
      </c>
      <c r="C1499" s="285" t="s">
        <v>1024</v>
      </c>
      <c r="D1499" s="285" t="s">
        <v>1027</v>
      </c>
      <c r="E1499" s="285" t="s">
        <v>1171</v>
      </c>
      <c r="F1499" s="113" t="s">
        <v>906</v>
      </c>
    </row>
    <row r="1500" spans="1:6" ht="14.25" customHeight="1">
      <c r="A1500" s="284" t="s">
        <v>825</v>
      </c>
      <c r="B1500" s="284">
        <v>2025</v>
      </c>
      <c r="C1500" s="284" t="s">
        <v>1024</v>
      </c>
      <c r="D1500" s="284" t="s">
        <v>1027</v>
      </c>
      <c r="E1500" s="284" t="s">
        <v>991</v>
      </c>
      <c r="F1500" s="113" t="s">
        <v>906</v>
      </c>
    </row>
    <row r="1501" spans="1:6" ht="14.25" customHeight="1">
      <c r="A1501" s="285" t="s">
        <v>825</v>
      </c>
      <c r="B1501" s="285">
        <v>2025</v>
      </c>
      <c r="C1501" s="285" t="s">
        <v>1024</v>
      </c>
      <c r="D1501" s="285" t="s">
        <v>1027</v>
      </c>
      <c r="E1501" s="285" t="s">
        <v>1041</v>
      </c>
      <c r="F1501" s="113" t="s">
        <v>906</v>
      </c>
    </row>
    <row r="1502" spans="1:6" ht="14.25" customHeight="1">
      <c r="A1502" s="284" t="s">
        <v>825</v>
      </c>
      <c r="B1502" s="284">
        <v>2025</v>
      </c>
      <c r="C1502" s="284" t="s">
        <v>1024</v>
      </c>
      <c r="D1502" s="284" t="s">
        <v>1027</v>
      </c>
      <c r="E1502" s="284" t="s">
        <v>1112</v>
      </c>
      <c r="F1502" s="113" t="s">
        <v>918</v>
      </c>
    </row>
    <row r="1503" spans="1:6" ht="14.25" customHeight="1">
      <c r="A1503" s="285" t="s">
        <v>825</v>
      </c>
      <c r="B1503" s="285">
        <v>2025</v>
      </c>
      <c r="C1503" s="285" t="s">
        <v>1024</v>
      </c>
      <c r="D1503" s="285" t="s">
        <v>1026</v>
      </c>
      <c r="E1503" s="285" t="s">
        <v>973</v>
      </c>
      <c r="F1503" s="113" t="s">
        <v>909</v>
      </c>
    </row>
    <row r="1504" spans="1:6" ht="14.25" customHeight="1">
      <c r="A1504" s="284" t="s">
        <v>825</v>
      </c>
      <c r="B1504" s="284">
        <v>2025</v>
      </c>
      <c r="C1504" s="284" t="s">
        <v>1024</v>
      </c>
      <c r="D1504" s="284" t="s">
        <v>1026</v>
      </c>
      <c r="E1504" s="284" t="s">
        <v>974</v>
      </c>
      <c r="F1504" s="113" t="s">
        <v>917</v>
      </c>
    </row>
    <row r="1505" spans="1:6" ht="14.25" customHeight="1">
      <c r="A1505" s="285" t="s">
        <v>825</v>
      </c>
      <c r="B1505" s="285">
        <v>2025</v>
      </c>
      <c r="C1505" s="285" t="s">
        <v>1024</v>
      </c>
      <c r="D1505" s="285" t="s">
        <v>1026</v>
      </c>
      <c r="E1505" s="285" t="s">
        <v>974</v>
      </c>
      <c r="F1505" s="113" t="s">
        <v>917</v>
      </c>
    </row>
    <row r="1506" spans="1:6" ht="14.25" customHeight="1">
      <c r="A1506" s="284" t="s">
        <v>826</v>
      </c>
      <c r="B1506" s="284">
        <v>2025</v>
      </c>
      <c r="C1506" s="284" t="s">
        <v>821</v>
      </c>
      <c r="D1506" s="284" t="s">
        <v>132</v>
      </c>
      <c r="E1506" s="284" t="s">
        <v>1040</v>
      </c>
      <c r="F1506" s="113" t="s">
        <v>906</v>
      </c>
    </row>
    <row r="1507" spans="1:6" ht="14.25" customHeight="1">
      <c r="A1507" s="285" t="s">
        <v>826</v>
      </c>
      <c r="B1507" s="285">
        <v>2025</v>
      </c>
      <c r="C1507" s="285" t="s">
        <v>821</v>
      </c>
      <c r="D1507" s="285" t="s">
        <v>132</v>
      </c>
      <c r="E1507" s="285" t="s">
        <v>981</v>
      </c>
      <c r="F1507" s="113" t="s">
        <v>906</v>
      </c>
    </row>
    <row r="1508" spans="1:6" ht="14.25" customHeight="1">
      <c r="A1508" s="284" t="s">
        <v>826</v>
      </c>
      <c r="B1508" s="284">
        <v>2025</v>
      </c>
      <c r="C1508" s="284" t="s">
        <v>821</v>
      </c>
      <c r="D1508" s="284" t="s">
        <v>132</v>
      </c>
      <c r="E1508" s="284" t="s">
        <v>944</v>
      </c>
      <c r="F1508" s="113" t="s">
        <v>906</v>
      </c>
    </row>
    <row r="1509" spans="1:6" ht="14.25" customHeight="1">
      <c r="A1509" s="285" t="s">
        <v>826</v>
      </c>
      <c r="B1509" s="285">
        <v>2025</v>
      </c>
      <c r="C1509" s="285" t="s">
        <v>821</v>
      </c>
      <c r="D1509" s="285" t="s">
        <v>132</v>
      </c>
      <c r="E1509" s="285" t="s">
        <v>954</v>
      </c>
      <c r="F1509" s="113" t="s">
        <v>906</v>
      </c>
    </row>
    <row r="1510" spans="1:6" ht="14.25" customHeight="1">
      <c r="A1510" s="284" t="s">
        <v>826</v>
      </c>
      <c r="B1510" s="284">
        <v>2025</v>
      </c>
      <c r="C1510" s="284" t="s">
        <v>821</v>
      </c>
      <c r="D1510" s="284" t="s">
        <v>132</v>
      </c>
      <c r="E1510" s="284" t="s">
        <v>944</v>
      </c>
      <c r="F1510" s="113" t="s">
        <v>906</v>
      </c>
    </row>
    <row r="1511" spans="1:6" ht="14.25" customHeight="1">
      <c r="A1511" s="285" t="s">
        <v>826</v>
      </c>
      <c r="B1511" s="285">
        <v>2025</v>
      </c>
      <c r="C1511" s="285" t="s">
        <v>821</v>
      </c>
      <c r="D1511" s="285" t="s">
        <v>132</v>
      </c>
      <c r="E1511" s="285" t="s">
        <v>1172</v>
      </c>
      <c r="F1511" s="113" t="s">
        <v>913</v>
      </c>
    </row>
    <row r="1512" spans="1:6" ht="14.25" customHeight="1">
      <c r="A1512" s="284" t="s">
        <v>826</v>
      </c>
      <c r="B1512" s="284">
        <v>2025</v>
      </c>
      <c r="C1512" s="284" t="s">
        <v>821</v>
      </c>
      <c r="D1512" s="284" t="s">
        <v>132</v>
      </c>
      <c r="E1512" s="284" t="s">
        <v>1173</v>
      </c>
      <c r="F1512" s="113" t="s">
        <v>915</v>
      </c>
    </row>
    <row r="1513" spans="1:6" ht="14.25" customHeight="1">
      <c r="A1513" s="285" t="s">
        <v>826</v>
      </c>
      <c r="B1513" s="285">
        <v>2025</v>
      </c>
      <c r="C1513" s="285" t="s">
        <v>821</v>
      </c>
      <c r="D1513" s="285" t="s">
        <v>132</v>
      </c>
      <c r="E1513" s="285" t="s">
        <v>967</v>
      </c>
      <c r="F1513" s="113" t="s">
        <v>915</v>
      </c>
    </row>
    <row r="1514" spans="1:6" ht="14.25" customHeight="1">
      <c r="A1514" s="284" t="s">
        <v>826</v>
      </c>
      <c r="B1514" s="284">
        <v>2025</v>
      </c>
      <c r="C1514" s="284" t="s">
        <v>821</v>
      </c>
      <c r="D1514" s="284" t="s">
        <v>132</v>
      </c>
      <c r="E1514" s="284" t="s">
        <v>1038</v>
      </c>
      <c r="F1514" s="113" t="s">
        <v>918</v>
      </c>
    </row>
    <row r="1515" spans="1:6" ht="14.25" customHeight="1">
      <c r="A1515" s="285" t="s">
        <v>826</v>
      </c>
      <c r="B1515" s="285">
        <v>2025</v>
      </c>
      <c r="C1515" s="285" t="s">
        <v>821</v>
      </c>
      <c r="D1515" s="285" t="s">
        <v>132</v>
      </c>
      <c r="E1515" s="285" t="s">
        <v>1174</v>
      </c>
      <c r="F1515" s="113" t="s">
        <v>918</v>
      </c>
    </row>
    <row r="1516" spans="1:6" ht="14.25" customHeight="1">
      <c r="A1516" s="284" t="s">
        <v>826</v>
      </c>
      <c r="B1516" s="284">
        <v>2025</v>
      </c>
      <c r="C1516" s="284" t="s">
        <v>821</v>
      </c>
      <c r="D1516" s="284" t="s">
        <v>132</v>
      </c>
      <c r="E1516" s="284" t="s">
        <v>1090</v>
      </c>
      <c r="F1516" s="113" t="s">
        <v>935</v>
      </c>
    </row>
    <row r="1517" spans="1:6" ht="14.25" customHeight="1">
      <c r="A1517" s="285" t="s">
        <v>826</v>
      </c>
      <c r="B1517" s="285">
        <v>2025</v>
      </c>
      <c r="C1517" s="285" t="s">
        <v>821</v>
      </c>
      <c r="D1517" s="285" t="s">
        <v>1033</v>
      </c>
      <c r="E1517" s="285" t="s">
        <v>930</v>
      </c>
      <c r="F1517" s="113" t="s">
        <v>906</v>
      </c>
    </row>
    <row r="1518" spans="1:6" ht="14.25" customHeight="1">
      <c r="A1518" s="284" t="s">
        <v>826</v>
      </c>
      <c r="B1518" s="284">
        <v>2025</v>
      </c>
      <c r="C1518" s="284" t="s">
        <v>821</v>
      </c>
      <c r="D1518" s="284" t="s">
        <v>976</v>
      </c>
      <c r="E1518" s="284" t="s">
        <v>1040</v>
      </c>
      <c r="F1518" s="113" t="s">
        <v>906</v>
      </c>
    </row>
    <row r="1519" spans="1:6" ht="14.25" customHeight="1">
      <c r="A1519" s="285" t="s">
        <v>826</v>
      </c>
      <c r="B1519" s="285">
        <v>2025</v>
      </c>
      <c r="C1519" s="285" t="s">
        <v>821</v>
      </c>
      <c r="D1519" s="285" t="s">
        <v>976</v>
      </c>
      <c r="E1519" s="285" t="s">
        <v>1076</v>
      </c>
      <c r="F1519" s="113" t="s">
        <v>483</v>
      </c>
    </row>
    <row r="1520" spans="1:6" ht="14.25" customHeight="1">
      <c r="A1520" s="284" t="s">
        <v>826</v>
      </c>
      <c r="B1520" s="284">
        <v>2025</v>
      </c>
      <c r="C1520" s="284" t="s">
        <v>821</v>
      </c>
      <c r="D1520" s="284" t="s">
        <v>976</v>
      </c>
      <c r="E1520" s="284" t="s">
        <v>1175</v>
      </c>
      <c r="F1520" s="113" t="s">
        <v>483</v>
      </c>
    </row>
    <row r="1521" spans="1:6" ht="14.25" customHeight="1">
      <c r="A1521" s="285" t="s">
        <v>826</v>
      </c>
      <c r="B1521" s="285">
        <v>2025</v>
      </c>
      <c r="C1521" s="285" t="s">
        <v>821</v>
      </c>
      <c r="D1521" s="285" t="s">
        <v>976</v>
      </c>
      <c r="E1521" s="285" t="s">
        <v>1174</v>
      </c>
      <c r="F1521" s="113" t="s">
        <v>909</v>
      </c>
    </row>
    <row r="1522" spans="1:6" ht="14.25" customHeight="1">
      <c r="A1522" s="284" t="s">
        <v>826</v>
      </c>
      <c r="B1522" s="284">
        <v>2025</v>
      </c>
      <c r="C1522" s="284" t="s">
        <v>821</v>
      </c>
      <c r="D1522" s="284" t="s">
        <v>976</v>
      </c>
      <c r="E1522" s="284" t="s">
        <v>2</v>
      </c>
      <c r="F1522" s="113" t="s">
        <v>911</v>
      </c>
    </row>
    <row r="1523" spans="1:6" ht="14.25" customHeight="1">
      <c r="A1523" s="285" t="s">
        <v>826</v>
      </c>
      <c r="B1523" s="285">
        <v>2025</v>
      </c>
      <c r="C1523" s="285" t="s">
        <v>821</v>
      </c>
      <c r="D1523" s="285" t="s">
        <v>976</v>
      </c>
      <c r="E1523" s="285" t="s">
        <v>2</v>
      </c>
      <c r="F1523" s="113" t="s">
        <v>917</v>
      </c>
    </row>
    <row r="1524" spans="1:6" ht="14.25" customHeight="1">
      <c r="A1524" s="284" t="s">
        <v>826</v>
      </c>
      <c r="B1524" s="284">
        <v>2025</v>
      </c>
      <c r="C1524" s="284" t="s">
        <v>821</v>
      </c>
      <c r="D1524" s="284" t="s">
        <v>976</v>
      </c>
      <c r="E1524" s="284" t="s">
        <v>1083</v>
      </c>
      <c r="F1524" s="113" t="s">
        <v>783</v>
      </c>
    </row>
    <row r="1525" spans="1:6" ht="14.25" customHeight="1">
      <c r="A1525" s="285" t="s">
        <v>826</v>
      </c>
      <c r="B1525" s="285">
        <v>2025</v>
      </c>
      <c r="C1525" s="285" t="s">
        <v>821</v>
      </c>
      <c r="D1525" s="285" t="s">
        <v>976</v>
      </c>
      <c r="E1525" s="285" t="s">
        <v>2</v>
      </c>
      <c r="F1525" s="113" t="s">
        <v>935</v>
      </c>
    </row>
    <row r="1526" spans="1:6" ht="14.25" customHeight="1">
      <c r="A1526" s="284" t="s">
        <v>826</v>
      </c>
      <c r="B1526" s="284">
        <v>2025</v>
      </c>
      <c r="C1526" s="284" t="s">
        <v>821</v>
      </c>
      <c r="D1526" s="284" t="s">
        <v>976</v>
      </c>
      <c r="E1526" s="284" t="s">
        <v>2</v>
      </c>
      <c r="F1526" s="113" t="s">
        <v>935</v>
      </c>
    </row>
    <row r="1527" spans="1:6" ht="14.25" customHeight="1">
      <c r="A1527" s="285" t="s">
        <v>826</v>
      </c>
      <c r="B1527" s="285">
        <v>2025</v>
      </c>
      <c r="C1527" s="285" t="s">
        <v>821</v>
      </c>
      <c r="D1527" s="285" t="s">
        <v>931</v>
      </c>
      <c r="E1527" s="285" t="s">
        <v>953</v>
      </c>
      <c r="F1527" s="113" t="s">
        <v>906</v>
      </c>
    </row>
    <row r="1528" spans="1:6" ht="14.25" customHeight="1">
      <c r="A1528" s="284" t="s">
        <v>826</v>
      </c>
      <c r="B1528" s="284">
        <v>2025</v>
      </c>
      <c r="C1528" s="284" t="s">
        <v>821</v>
      </c>
      <c r="D1528" s="284" t="s">
        <v>931</v>
      </c>
      <c r="E1528" s="284" t="s">
        <v>1176</v>
      </c>
      <c r="F1528" s="113" t="s">
        <v>483</v>
      </c>
    </row>
    <row r="1529" spans="1:6" ht="14.25" customHeight="1">
      <c r="A1529" s="285" t="s">
        <v>826</v>
      </c>
      <c r="B1529" s="285">
        <v>2025</v>
      </c>
      <c r="C1529" s="285" t="s">
        <v>821</v>
      </c>
      <c r="D1529" s="285" t="s">
        <v>931</v>
      </c>
      <c r="E1529" s="285" t="s">
        <v>947</v>
      </c>
      <c r="F1529" s="113" t="s">
        <v>911</v>
      </c>
    </row>
    <row r="1530" spans="1:6" ht="14.25" customHeight="1">
      <c r="A1530" s="284" t="s">
        <v>826</v>
      </c>
      <c r="B1530" s="284">
        <v>2025</v>
      </c>
      <c r="C1530" s="284" t="s">
        <v>821</v>
      </c>
      <c r="D1530" s="284" t="s">
        <v>934</v>
      </c>
      <c r="E1530" s="284" t="s">
        <v>1177</v>
      </c>
      <c r="F1530" s="284" t="s">
        <v>1144</v>
      </c>
    </row>
    <row r="1531" spans="1:6" ht="14.25" customHeight="1">
      <c r="A1531" s="285" t="s">
        <v>826</v>
      </c>
      <c r="B1531" s="285">
        <v>2025</v>
      </c>
      <c r="C1531" s="285" t="s">
        <v>821</v>
      </c>
      <c r="D1531" s="285" t="s">
        <v>934</v>
      </c>
      <c r="E1531" s="285" t="s">
        <v>991</v>
      </c>
      <c r="F1531" s="113" t="s">
        <v>906</v>
      </c>
    </row>
    <row r="1532" spans="1:6" ht="14.25" customHeight="1">
      <c r="A1532" s="284" t="s">
        <v>826</v>
      </c>
      <c r="B1532" s="284">
        <v>2025</v>
      </c>
      <c r="C1532" s="284" t="s">
        <v>821</v>
      </c>
      <c r="D1532" s="284" t="s">
        <v>934</v>
      </c>
      <c r="E1532" s="284" t="s">
        <v>930</v>
      </c>
      <c r="F1532" s="113" t="s">
        <v>906</v>
      </c>
    </row>
    <row r="1533" spans="1:6" ht="14.25" customHeight="1">
      <c r="A1533" s="285" t="s">
        <v>826</v>
      </c>
      <c r="B1533" s="285">
        <v>2025</v>
      </c>
      <c r="C1533" s="285" t="s">
        <v>821</v>
      </c>
      <c r="D1533" s="285" t="s">
        <v>934</v>
      </c>
      <c r="E1533" s="285" t="s">
        <v>1178</v>
      </c>
      <c r="F1533" s="113" t="s">
        <v>483</v>
      </c>
    </row>
    <row r="1534" spans="1:6" ht="14.25" customHeight="1">
      <c r="A1534" s="284" t="s">
        <v>826</v>
      </c>
      <c r="B1534" s="284">
        <v>2025</v>
      </c>
      <c r="C1534" s="284" t="s">
        <v>821</v>
      </c>
      <c r="D1534" s="284" t="s">
        <v>934</v>
      </c>
      <c r="E1534" s="284" t="s">
        <v>983</v>
      </c>
      <c r="F1534" s="113" t="s">
        <v>909</v>
      </c>
    </row>
    <row r="1535" spans="1:6" ht="14.25" customHeight="1">
      <c r="A1535" s="285" t="s">
        <v>826</v>
      </c>
      <c r="B1535" s="285">
        <v>2025</v>
      </c>
      <c r="C1535" s="285" t="s">
        <v>821</v>
      </c>
      <c r="D1535" s="285" t="s">
        <v>934</v>
      </c>
      <c r="E1535" s="285" t="s">
        <v>1021</v>
      </c>
      <c r="F1535" s="113" t="s">
        <v>663</v>
      </c>
    </row>
    <row r="1536" spans="1:6" ht="14.25" customHeight="1">
      <c r="A1536" s="284" t="s">
        <v>826</v>
      </c>
      <c r="B1536" s="284">
        <v>2025</v>
      </c>
      <c r="C1536" s="284" t="s">
        <v>821</v>
      </c>
      <c r="D1536" s="284" t="s">
        <v>934</v>
      </c>
      <c r="E1536" s="284" t="s">
        <v>994</v>
      </c>
      <c r="F1536" s="113" t="s">
        <v>663</v>
      </c>
    </row>
    <row r="1537" spans="1:6" ht="14.25" customHeight="1">
      <c r="A1537" s="285" t="s">
        <v>826</v>
      </c>
      <c r="B1537" s="285">
        <v>2025</v>
      </c>
      <c r="C1537" s="285" t="s">
        <v>821</v>
      </c>
      <c r="D1537" s="285" t="s">
        <v>934</v>
      </c>
      <c r="E1537" s="285" t="s">
        <v>1103</v>
      </c>
      <c r="F1537" s="113" t="s">
        <v>911</v>
      </c>
    </row>
    <row r="1538" spans="1:6" ht="14.25" customHeight="1">
      <c r="A1538" s="284" t="s">
        <v>826</v>
      </c>
      <c r="B1538" s="284">
        <v>2025</v>
      </c>
      <c r="C1538" s="284" t="s">
        <v>821</v>
      </c>
      <c r="D1538" s="284" t="s">
        <v>934</v>
      </c>
      <c r="E1538" s="284" t="s">
        <v>2</v>
      </c>
      <c r="F1538" s="113" t="s">
        <v>918</v>
      </c>
    </row>
    <row r="1539" spans="1:6" ht="14.25" customHeight="1">
      <c r="A1539" s="285" t="s">
        <v>826</v>
      </c>
      <c r="B1539" s="285">
        <v>2025</v>
      </c>
      <c r="C1539" s="285" t="s">
        <v>821</v>
      </c>
      <c r="D1539" s="285" t="s">
        <v>934</v>
      </c>
      <c r="E1539" s="285" t="s">
        <v>2</v>
      </c>
      <c r="F1539" s="113" t="s">
        <v>918</v>
      </c>
    </row>
    <row r="1540" spans="1:6" ht="14.25" customHeight="1">
      <c r="A1540" s="284" t="s">
        <v>826</v>
      </c>
      <c r="B1540" s="284">
        <v>2025</v>
      </c>
      <c r="C1540" s="284" t="s">
        <v>821</v>
      </c>
      <c r="D1540" s="284" t="s">
        <v>934</v>
      </c>
      <c r="E1540" s="284" t="s">
        <v>1083</v>
      </c>
      <c r="F1540" s="113" t="s">
        <v>783</v>
      </c>
    </row>
    <row r="1541" spans="1:6" ht="14.25" customHeight="1">
      <c r="A1541" s="285" t="s">
        <v>826</v>
      </c>
      <c r="B1541" s="285">
        <v>2025</v>
      </c>
      <c r="C1541" s="285" t="s">
        <v>821</v>
      </c>
      <c r="D1541" s="285" t="s">
        <v>934</v>
      </c>
      <c r="E1541" s="285" t="s">
        <v>1083</v>
      </c>
      <c r="F1541" s="113" t="s">
        <v>783</v>
      </c>
    </row>
    <row r="1542" spans="1:6" ht="14.25" customHeight="1">
      <c r="A1542" s="284" t="s">
        <v>826</v>
      </c>
      <c r="B1542" s="284">
        <v>2025</v>
      </c>
      <c r="C1542" s="284" t="s">
        <v>821</v>
      </c>
      <c r="D1542" s="284" t="s">
        <v>934</v>
      </c>
      <c r="E1542" s="284" t="s">
        <v>1083</v>
      </c>
      <c r="F1542" s="113" t="s">
        <v>783</v>
      </c>
    </row>
    <row r="1543" spans="1:6" ht="14.25" customHeight="1">
      <c r="A1543" s="285" t="s">
        <v>826</v>
      </c>
      <c r="B1543" s="285">
        <v>2025</v>
      </c>
      <c r="C1543" s="285" t="s">
        <v>821</v>
      </c>
      <c r="D1543" s="285" t="s">
        <v>934</v>
      </c>
      <c r="E1543" s="285" t="s">
        <v>1090</v>
      </c>
      <c r="F1543" s="113" t="s">
        <v>935</v>
      </c>
    </row>
    <row r="1544" spans="1:6" ht="14.25" customHeight="1">
      <c r="A1544" s="284" t="s">
        <v>826</v>
      </c>
      <c r="B1544" s="284">
        <v>2025</v>
      </c>
      <c r="C1544" s="284" t="s">
        <v>88</v>
      </c>
      <c r="D1544" s="284" t="s">
        <v>959</v>
      </c>
      <c r="E1544" s="284" t="s">
        <v>981</v>
      </c>
      <c r="F1544" s="113" t="s">
        <v>906</v>
      </c>
    </row>
    <row r="1545" spans="1:6" ht="14.25" customHeight="1">
      <c r="A1545" s="285" t="s">
        <v>826</v>
      </c>
      <c r="B1545" s="285">
        <v>2025</v>
      </c>
      <c r="C1545" s="285" t="s">
        <v>88</v>
      </c>
      <c r="D1545" s="285" t="s">
        <v>959</v>
      </c>
      <c r="E1545" s="285" t="s">
        <v>954</v>
      </c>
      <c r="F1545" s="113" t="s">
        <v>906</v>
      </c>
    </row>
    <row r="1546" spans="1:6" ht="14.25" customHeight="1">
      <c r="A1546" s="284" t="s">
        <v>826</v>
      </c>
      <c r="B1546" s="284">
        <v>2025</v>
      </c>
      <c r="C1546" s="284" t="s">
        <v>88</v>
      </c>
      <c r="D1546" s="284" t="s">
        <v>959</v>
      </c>
      <c r="E1546" s="284" t="s">
        <v>1036</v>
      </c>
      <c r="F1546" s="113" t="s">
        <v>906</v>
      </c>
    </row>
    <row r="1547" spans="1:6" ht="14.25" customHeight="1">
      <c r="A1547" s="285" t="s">
        <v>826</v>
      </c>
      <c r="B1547" s="285">
        <v>2025</v>
      </c>
      <c r="C1547" s="285" t="s">
        <v>88</v>
      </c>
      <c r="D1547" s="285" t="s">
        <v>959</v>
      </c>
      <c r="E1547" s="285" t="s">
        <v>1028</v>
      </c>
      <c r="F1547" s="113" t="s">
        <v>906</v>
      </c>
    </row>
    <row r="1548" spans="1:6" ht="14.25" customHeight="1">
      <c r="A1548" s="284" t="s">
        <v>826</v>
      </c>
      <c r="B1548" s="284">
        <v>2025</v>
      </c>
      <c r="C1548" s="284" t="s">
        <v>88</v>
      </c>
      <c r="D1548" s="284" t="s">
        <v>959</v>
      </c>
      <c r="E1548" s="284" t="s">
        <v>954</v>
      </c>
      <c r="F1548" s="113" t="s">
        <v>906</v>
      </c>
    </row>
    <row r="1549" spans="1:6" ht="14.25" customHeight="1">
      <c r="A1549" s="285" t="s">
        <v>826</v>
      </c>
      <c r="B1549" s="285">
        <v>2025</v>
      </c>
      <c r="C1549" s="285" t="s">
        <v>88</v>
      </c>
      <c r="D1549" s="285" t="s">
        <v>959</v>
      </c>
      <c r="E1549" s="285" t="s">
        <v>1028</v>
      </c>
      <c r="F1549" s="113" t="s">
        <v>906</v>
      </c>
    </row>
    <row r="1550" spans="1:6" ht="14.25" customHeight="1">
      <c r="A1550" s="284" t="s">
        <v>826</v>
      </c>
      <c r="B1550" s="284">
        <v>2025</v>
      </c>
      <c r="C1550" s="284" t="s">
        <v>88</v>
      </c>
      <c r="D1550" s="284" t="s">
        <v>959</v>
      </c>
      <c r="E1550" s="284" t="s">
        <v>930</v>
      </c>
      <c r="F1550" s="113" t="s">
        <v>906</v>
      </c>
    </row>
    <row r="1551" spans="1:6" ht="14.25" customHeight="1">
      <c r="A1551" s="285" t="s">
        <v>826</v>
      </c>
      <c r="B1551" s="285">
        <v>2025</v>
      </c>
      <c r="C1551" s="285" t="s">
        <v>88</v>
      </c>
      <c r="D1551" s="285" t="s">
        <v>959</v>
      </c>
      <c r="E1551" s="285" t="s">
        <v>1076</v>
      </c>
      <c r="F1551" s="113" t="s">
        <v>483</v>
      </c>
    </row>
    <row r="1552" spans="1:6" ht="14.25" customHeight="1">
      <c r="A1552" s="284" t="s">
        <v>826</v>
      </c>
      <c r="B1552" s="284">
        <v>2025</v>
      </c>
      <c r="C1552" s="284" t="s">
        <v>88</v>
      </c>
      <c r="D1552" s="284" t="s">
        <v>959</v>
      </c>
      <c r="E1552" s="284" t="s">
        <v>1179</v>
      </c>
      <c r="F1552" s="113" t="s">
        <v>483</v>
      </c>
    </row>
    <row r="1553" spans="1:6" ht="14.25" customHeight="1">
      <c r="A1553" s="285" t="s">
        <v>826</v>
      </c>
      <c r="B1553" s="285">
        <v>2025</v>
      </c>
      <c r="C1553" s="285" t="s">
        <v>88</v>
      </c>
      <c r="D1553" s="285" t="s">
        <v>959</v>
      </c>
      <c r="E1553" s="285" t="s">
        <v>939</v>
      </c>
      <c r="F1553" s="113" t="s">
        <v>909</v>
      </c>
    </row>
    <row r="1554" spans="1:6" ht="14.25" customHeight="1">
      <c r="A1554" s="284" t="s">
        <v>826</v>
      </c>
      <c r="B1554" s="284">
        <v>2025</v>
      </c>
      <c r="C1554" s="284" t="s">
        <v>88</v>
      </c>
      <c r="D1554" s="284" t="s">
        <v>959</v>
      </c>
      <c r="E1554" s="284" t="s">
        <v>1103</v>
      </c>
      <c r="F1554" s="113" t="s">
        <v>663</v>
      </c>
    </row>
    <row r="1555" spans="1:6" ht="14.25" customHeight="1">
      <c r="A1555" s="285" t="s">
        <v>826</v>
      </c>
      <c r="B1555" s="285">
        <v>2025</v>
      </c>
      <c r="C1555" s="285" t="s">
        <v>88</v>
      </c>
      <c r="D1555" s="285" t="s">
        <v>959</v>
      </c>
      <c r="E1555" s="285" t="s">
        <v>993</v>
      </c>
      <c r="F1555" s="113" t="s">
        <v>918</v>
      </c>
    </row>
    <row r="1556" spans="1:6" ht="14.25" customHeight="1">
      <c r="A1556" s="284" t="s">
        <v>826</v>
      </c>
      <c r="B1556" s="284">
        <v>2025</v>
      </c>
      <c r="C1556" s="284" t="s">
        <v>88</v>
      </c>
      <c r="D1556" s="284" t="s">
        <v>959</v>
      </c>
      <c r="E1556" s="284" t="s">
        <v>942</v>
      </c>
      <c r="F1556" s="113" t="s">
        <v>918</v>
      </c>
    </row>
    <row r="1557" spans="1:6" ht="14.25" customHeight="1">
      <c r="A1557" s="285" t="s">
        <v>826</v>
      </c>
      <c r="B1557" s="285">
        <v>2025</v>
      </c>
      <c r="C1557" s="285" t="s">
        <v>88</v>
      </c>
      <c r="D1557" s="285" t="s">
        <v>959</v>
      </c>
      <c r="E1557" s="285" t="s">
        <v>943</v>
      </c>
      <c r="F1557" s="113" t="s">
        <v>783</v>
      </c>
    </row>
    <row r="1558" spans="1:6" ht="14.25" customHeight="1">
      <c r="A1558" s="284" t="s">
        <v>826</v>
      </c>
      <c r="B1558" s="284">
        <v>2025</v>
      </c>
      <c r="C1558" s="284" t="s">
        <v>88</v>
      </c>
      <c r="D1558" s="284" t="s">
        <v>959</v>
      </c>
      <c r="E1558" s="284" t="s">
        <v>1063</v>
      </c>
      <c r="F1558" s="113" t="s">
        <v>922</v>
      </c>
    </row>
    <row r="1559" spans="1:6" ht="14.25" customHeight="1">
      <c r="A1559" s="285" t="s">
        <v>826</v>
      </c>
      <c r="B1559" s="285">
        <v>2025</v>
      </c>
      <c r="C1559" s="285" t="s">
        <v>88</v>
      </c>
      <c r="D1559" s="285" t="s">
        <v>959</v>
      </c>
      <c r="E1559" s="285" t="s">
        <v>1066</v>
      </c>
      <c r="F1559" s="113" t="s">
        <v>935</v>
      </c>
    </row>
    <row r="1560" spans="1:6" ht="14.25" customHeight="1">
      <c r="A1560" s="284" t="s">
        <v>826</v>
      </c>
      <c r="B1560" s="284">
        <v>2025</v>
      </c>
      <c r="C1560" s="284" t="s">
        <v>88</v>
      </c>
      <c r="D1560" s="284" t="s">
        <v>988</v>
      </c>
      <c r="E1560" s="284" t="s">
        <v>1180</v>
      </c>
      <c r="F1560" s="284" t="s">
        <v>1144</v>
      </c>
    </row>
    <row r="1561" spans="1:6" ht="14.25" customHeight="1">
      <c r="A1561" s="285" t="s">
        <v>826</v>
      </c>
      <c r="B1561" s="285">
        <v>2025</v>
      </c>
      <c r="C1561" s="285" t="s">
        <v>88</v>
      </c>
      <c r="D1561" s="285" t="s">
        <v>988</v>
      </c>
      <c r="E1561" s="285" t="s">
        <v>1180</v>
      </c>
      <c r="F1561" s="284" t="s">
        <v>1144</v>
      </c>
    </row>
    <row r="1562" spans="1:6" ht="14.25" customHeight="1">
      <c r="A1562" s="284" t="s">
        <v>826</v>
      </c>
      <c r="B1562" s="284">
        <v>2025</v>
      </c>
      <c r="C1562" s="284" t="s">
        <v>88</v>
      </c>
      <c r="D1562" s="284" t="s">
        <v>988</v>
      </c>
      <c r="E1562" s="284" t="s">
        <v>1036</v>
      </c>
      <c r="F1562" s="113" t="s">
        <v>906</v>
      </c>
    </row>
    <row r="1563" spans="1:6" ht="14.25" customHeight="1">
      <c r="A1563" s="285" t="s">
        <v>826</v>
      </c>
      <c r="B1563" s="285">
        <v>2025</v>
      </c>
      <c r="C1563" s="285" t="s">
        <v>88</v>
      </c>
      <c r="D1563" s="285" t="s">
        <v>988</v>
      </c>
      <c r="E1563" s="285" t="s">
        <v>986</v>
      </c>
      <c r="F1563" s="113" t="s">
        <v>906</v>
      </c>
    </row>
    <row r="1564" spans="1:6" ht="14.25" customHeight="1">
      <c r="A1564" s="284" t="s">
        <v>826</v>
      </c>
      <c r="B1564" s="284">
        <v>2025</v>
      </c>
      <c r="C1564" s="284" t="s">
        <v>88</v>
      </c>
      <c r="D1564" s="284" t="s">
        <v>988</v>
      </c>
      <c r="E1564" s="284" t="s">
        <v>952</v>
      </c>
      <c r="F1564" s="113" t="s">
        <v>906</v>
      </c>
    </row>
    <row r="1565" spans="1:6" ht="14.25" customHeight="1">
      <c r="A1565" s="285" t="s">
        <v>826</v>
      </c>
      <c r="B1565" s="285">
        <v>2025</v>
      </c>
      <c r="C1565" s="285" t="s">
        <v>88</v>
      </c>
      <c r="D1565" s="285" t="s">
        <v>988</v>
      </c>
      <c r="E1565" s="285" t="s">
        <v>1070</v>
      </c>
      <c r="F1565" s="113" t="s">
        <v>483</v>
      </c>
    </row>
    <row r="1566" spans="1:6" ht="14.25" customHeight="1">
      <c r="A1566" s="284" t="s">
        <v>826</v>
      </c>
      <c r="B1566" s="284">
        <v>2025</v>
      </c>
      <c r="C1566" s="284" t="s">
        <v>88</v>
      </c>
      <c r="D1566" s="284" t="s">
        <v>988</v>
      </c>
      <c r="E1566" s="284" t="s">
        <v>1020</v>
      </c>
      <c r="F1566" s="113" t="s">
        <v>909</v>
      </c>
    </row>
    <row r="1567" spans="1:6" ht="14.25" customHeight="1">
      <c r="A1567" s="285" t="s">
        <v>826</v>
      </c>
      <c r="B1567" s="285">
        <v>2025</v>
      </c>
      <c r="C1567" s="285" t="s">
        <v>88</v>
      </c>
      <c r="D1567" s="285" t="s">
        <v>988</v>
      </c>
      <c r="E1567" s="285" t="s">
        <v>1053</v>
      </c>
      <c r="F1567" s="113" t="s">
        <v>909</v>
      </c>
    </row>
    <row r="1568" spans="1:6" ht="14.25" customHeight="1">
      <c r="A1568" s="284" t="s">
        <v>826</v>
      </c>
      <c r="B1568" s="284">
        <v>2025</v>
      </c>
      <c r="C1568" s="284" t="s">
        <v>88</v>
      </c>
      <c r="D1568" s="284" t="s">
        <v>988</v>
      </c>
      <c r="E1568" s="284" t="s">
        <v>1087</v>
      </c>
      <c r="F1568" s="113" t="s">
        <v>663</v>
      </c>
    </row>
    <row r="1569" spans="1:6" ht="14.25" customHeight="1">
      <c r="A1569" s="285" t="s">
        <v>826</v>
      </c>
      <c r="B1569" s="285">
        <v>2025</v>
      </c>
      <c r="C1569" s="285" t="s">
        <v>88</v>
      </c>
      <c r="D1569" s="285" t="s">
        <v>988</v>
      </c>
      <c r="E1569" s="285" t="s">
        <v>973</v>
      </c>
      <c r="F1569" s="113" t="s">
        <v>917</v>
      </c>
    </row>
    <row r="1570" spans="1:6" ht="14.25" customHeight="1">
      <c r="A1570" s="284" t="s">
        <v>826</v>
      </c>
      <c r="B1570" s="284">
        <v>2025</v>
      </c>
      <c r="C1570" s="284" t="s">
        <v>88</v>
      </c>
      <c r="D1570" s="284" t="s">
        <v>988</v>
      </c>
      <c r="E1570" s="284" t="s">
        <v>1083</v>
      </c>
      <c r="F1570" s="113" t="s">
        <v>783</v>
      </c>
    </row>
    <row r="1571" spans="1:6" ht="14.25" customHeight="1">
      <c r="A1571" s="285" t="s">
        <v>826</v>
      </c>
      <c r="B1571" s="285">
        <v>2025</v>
      </c>
      <c r="C1571" s="285" t="s">
        <v>88</v>
      </c>
      <c r="D1571" s="285" t="s">
        <v>988</v>
      </c>
      <c r="E1571" s="285" t="s">
        <v>1090</v>
      </c>
      <c r="F1571" s="113" t="s">
        <v>935</v>
      </c>
    </row>
    <row r="1572" spans="1:6" ht="14.25" customHeight="1">
      <c r="A1572" s="284" t="s">
        <v>826</v>
      </c>
      <c r="B1572" s="284">
        <v>2025</v>
      </c>
      <c r="C1572" s="284" t="s">
        <v>88</v>
      </c>
      <c r="D1572" s="284" t="s">
        <v>956</v>
      </c>
      <c r="E1572" s="284" t="s">
        <v>1054</v>
      </c>
      <c r="F1572" s="113" t="s">
        <v>483</v>
      </c>
    </row>
    <row r="1573" spans="1:6" ht="14.25" customHeight="1">
      <c r="A1573" s="285" t="s">
        <v>826</v>
      </c>
      <c r="B1573" s="285">
        <v>2025</v>
      </c>
      <c r="C1573" s="285" t="s">
        <v>88</v>
      </c>
      <c r="D1573" s="285" t="s">
        <v>956</v>
      </c>
      <c r="E1573" s="285" t="s">
        <v>1044</v>
      </c>
      <c r="F1573" s="113" t="s">
        <v>922</v>
      </c>
    </row>
    <row r="1574" spans="1:6" ht="14.25" customHeight="1">
      <c r="A1574" s="284" t="s">
        <v>826</v>
      </c>
      <c r="B1574" s="284">
        <v>2025</v>
      </c>
      <c r="C1574" s="284" t="s">
        <v>88</v>
      </c>
      <c r="D1574" s="284" t="s">
        <v>956</v>
      </c>
      <c r="E1574" s="284" t="s">
        <v>1062</v>
      </c>
      <c r="F1574" s="113" t="s">
        <v>922</v>
      </c>
    </row>
    <row r="1575" spans="1:6" ht="14.25" customHeight="1">
      <c r="A1575" s="285" t="s">
        <v>826</v>
      </c>
      <c r="B1575" s="285">
        <v>2025</v>
      </c>
      <c r="C1575" s="285" t="s">
        <v>88</v>
      </c>
      <c r="D1575" s="285" t="s">
        <v>956</v>
      </c>
      <c r="E1575" s="285" t="s">
        <v>987</v>
      </c>
      <c r="F1575" s="113" t="s">
        <v>935</v>
      </c>
    </row>
    <row r="1576" spans="1:6" ht="14.25" customHeight="1">
      <c r="A1576" s="284" t="s">
        <v>826</v>
      </c>
      <c r="B1576" s="284">
        <v>2025</v>
      </c>
      <c r="C1576" s="284" t="s">
        <v>88</v>
      </c>
      <c r="D1576" s="284" t="s">
        <v>969</v>
      </c>
      <c r="E1576" s="284" t="s">
        <v>1180</v>
      </c>
      <c r="F1576" s="284" t="s">
        <v>1144</v>
      </c>
    </row>
    <row r="1577" spans="1:6" ht="14.25" customHeight="1">
      <c r="A1577" s="285" t="s">
        <v>826</v>
      </c>
      <c r="B1577" s="285">
        <v>2025</v>
      </c>
      <c r="C1577" s="285" t="s">
        <v>88</v>
      </c>
      <c r="D1577" s="285" t="s">
        <v>969</v>
      </c>
      <c r="E1577" s="285" t="s">
        <v>1076</v>
      </c>
      <c r="F1577" s="113" t="s">
        <v>483</v>
      </c>
    </row>
    <row r="1578" spans="1:6" ht="14.25" customHeight="1">
      <c r="A1578" s="284" t="s">
        <v>826</v>
      </c>
      <c r="B1578" s="284">
        <v>2025</v>
      </c>
      <c r="C1578" s="284" t="s">
        <v>88</v>
      </c>
      <c r="D1578" s="284" t="s">
        <v>969</v>
      </c>
      <c r="E1578" s="284" t="s">
        <v>1181</v>
      </c>
      <c r="F1578" s="113" t="s">
        <v>483</v>
      </c>
    </row>
    <row r="1579" spans="1:6" ht="14.25" customHeight="1">
      <c r="A1579" s="285" t="s">
        <v>826</v>
      </c>
      <c r="B1579" s="285">
        <v>2025</v>
      </c>
      <c r="C1579" s="285" t="s">
        <v>88</v>
      </c>
      <c r="D1579" s="285" t="s">
        <v>969</v>
      </c>
      <c r="E1579" s="285" t="s">
        <v>975</v>
      </c>
      <c r="F1579" s="113" t="s">
        <v>483</v>
      </c>
    </row>
    <row r="1580" spans="1:6" ht="14.25" customHeight="1">
      <c r="A1580" s="284" t="s">
        <v>826</v>
      </c>
      <c r="B1580" s="284">
        <v>2025</v>
      </c>
      <c r="C1580" s="284" t="s">
        <v>88</v>
      </c>
      <c r="D1580" s="284" t="s">
        <v>969</v>
      </c>
      <c r="E1580" s="284" t="s">
        <v>994</v>
      </c>
      <c r="F1580" s="113" t="s">
        <v>663</v>
      </c>
    </row>
    <row r="1581" spans="1:6" ht="14.25" customHeight="1">
      <c r="A1581" s="285" t="s">
        <v>826</v>
      </c>
      <c r="B1581" s="285">
        <v>2025</v>
      </c>
      <c r="C1581" s="285" t="s">
        <v>88</v>
      </c>
      <c r="D1581" s="285" t="s">
        <v>969</v>
      </c>
      <c r="E1581" s="285" t="s">
        <v>1087</v>
      </c>
      <c r="F1581" s="113" t="s">
        <v>663</v>
      </c>
    </row>
    <row r="1582" spans="1:6" ht="14.25" customHeight="1">
      <c r="A1582" s="284" t="s">
        <v>826</v>
      </c>
      <c r="B1582" s="284">
        <v>2025</v>
      </c>
      <c r="C1582" s="284" t="s">
        <v>88</v>
      </c>
      <c r="D1582" s="284" t="s">
        <v>969</v>
      </c>
      <c r="E1582" s="284" t="s">
        <v>973</v>
      </c>
      <c r="F1582" s="113" t="s">
        <v>917</v>
      </c>
    </row>
    <row r="1583" spans="1:6" ht="14.25" customHeight="1">
      <c r="A1583" s="285" t="s">
        <v>826</v>
      </c>
      <c r="B1583" s="285">
        <v>2025</v>
      </c>
      <c r="C1583" s="285" t="s">
        <v>88</v>
      </c>
      <c r="D1583" s="285" t="s">
        <v>969</v>
      </c>
      <c r="E1583" s="285" t="s">
        <v>940</v>
      </c>
      <c r="F1583" s="113" t="s">
        <v>922</v>
      </c>
    </row>
    <row r="1584" spans="1:6" ht="14.25" customHeight="1">
      <c r="A1584" s="284" t="s">
        <v>826</v>
      </c>
      <c r="B1584" s="284">
        <v>2025</v>
      </c>
      <c r="C1584" s="284" t="s">
        <v>88</v>
      </c>
      <c r="D1584" s="284" t="s">
        <v>969</v>
      </c>
      <c r="E1584" s="284" t="s">
        <v>1044</v>
      </c>
      <c r="F1584" s="113" t="s">
        <v>922</v>
      </c>
    </row>
    <row r="1585" spans="1:6" ht="14.25" customHeight="1">
      <c r="A1585" s="285" t="s">
        <v>826</v>
      </c>
      <c r="B1585" s="285">
        <v>2025</v>
      </c>
      <c r="C1585" s="285" t="s">
        <v>88</v>
      </c>
      <c r="D1585" s="285" t="s">
        <v>969</v>
      </c>
      <c r="E1585" s="285" t="s">
        <v>1100</v>
      </c>
      <c r="F1585" s="113" t="s">
        <v>935</v>
      </c>
    </row>
    <row r="1586" spans="1:6" ht="14.25" customHeight="1">
      <c r="A1586" s="284" t="s">
        <v>826</v>
      </c>
      <c r="B1586" s="284">
        <v>2025</v>
      </c>
      <c r="C1586" s="284" t="s">
        <v>859</v>
      </c>
      <c r="D1586" s="284" t="s">
        <v>1005</v>
      </c>
      <c r="E1586" s="284" t="s">
        <v>1162</v>
      </c>
      <c r="F1586" s="113" t="s">
        <v>483</v>
      </c>
    </row>
    <row r="1587" spans="1:6" ht="14.25" customHeight="1">
      <c r="A1587" s="285" t="s">
        <v>826</v>
      </c>
      <c r="B1587" s="285">
        <v>2025</v>
      </c>
      <c r="C1587" s="285" t="s">
        <v>859</v>
      </c>
      <c r="D1587" s="285" t="s">
        <v>1005</v>
      </c>
      <c r="E1587" s="285" t="s">
        <v>971</v>
      </c>
      <c r="F1587" s="113" t="s">
        <v>909</v>
      </c>
    </row>
    <row r="1588" spans="1:6" ht="14.25" customHeight="1">
      <c r="A1588" s="284" t="s">
        <v>826</v>
      </c>
      <c r="B1588" s="284">
        <v>2025</v>
      </c>
      <c r="C1588" s="284" t="s">
        <v>859</v>
      </c>
      <c r="D1588" s="284" t="s">
        <v>1005</v>
      </c>
      <c r="E1588" s="284" t="s">
        <v>1113</v>
      </c>
      <c r="F1588" s="113" t="s">
        <v>922</v>
      </c>
    </row>
    <row r="1589" spans="1:6" ht="14.25" customHeight="1">
      <c r="A1589" s="285" t="s">
        <v>826</v>
      </c>
      <c r="B1589" s="285">
        <v>2025</v>
      </c>
      <c r="C1589" s="285" t="s">
        <v>859</v>
      </c>
      <c r="D1589" s="285" t="s">
        <v>999</v>
      </c>
      <c r="E1589" s="285" t="s">
        <v>954</v>
      </c>
      <c r="F1589" s="113" t="s">
        <v>906</v>
      </c>
    </row>
    <row r="1590" spans="1:6" ht="14.25" customHeight="1">
      <c r="A1590" s="284" t="s">
        <v>826</v>
      </c>
      <c r="B1590" s="284">
        <v>2025</v>
      </c>
      <c r="C1590" s="284" t="s">
        <v>859</v>
      </c>
      <c r="D1590" s="284" t="s">
        <v>999</v>
      </c>
      <c r="E1590" s="284" t="s">
        <v>953</v>
      </c>
      <c r="F1590" s="113" t="s">
        <v>906</v>
      </c>
    </row>
    <row r="1591" spans="1:6" ht="14.25" customHeight="1">
      <c r="A1591" s="285" t="s">
        <v>826</v>
      </c>
      <c r="B1591" s="285">
        <v>2025</v>
      </c>
      <c r="C1591" s="285" t="s">
        <v>859</v>
      </c>
      <c r="D1591" s="285" t="s">
        <v>999</v>
      </c>
      <c r="E1591" s="285" t="s">
        <v>1028</v>
      </c>
      <c r="F1591" s="113" t="s">
        <v>906</v>
      </c>
    </row>
    <row r="1592" spans="1:6" ht="14.25" customHeight="1">
      <c r="A1592" s="284" t="s">
        <v>826</v>
      </c>
      <c r="B1592" s="284">
        <v>2025</v>
      </c>
      <c r="C1592" s="284" t="s">
        <v>859</v>
      </c>
      <c r="D1592" s="284" t="s">
        <v>999</v>
      </c>
      <c r="E1592" s="284" t="s">
        <v>954</v>
      </c>
      <c r="F1592" s="113" t="s">
        <v>906</v>
      </c>
    </row>
    <row r="1593" spans="1:6" ht="14.25" customHeight="1">
      <c r="A1593" s="285" t="s">
        <v>826</v>
      </c>
      <c r="B1593" s="285">
        <v>2025</v>
      </c>
      <c r="C1593" s="285" t="s">
        <v>859</v>
      </c>
      <c r="D1593" s="285" t="s">
        <v>999</v>
      </c>
      <c r="E1593" s="285" t="s">
        <v>986</v>
      </c>
      <c r="F1593" s="113" t="s">
        <v>906</v>
      </c>
    </row>
    <row r="1594" spans="1:6" ht="14.25" customHeight="1">
      <c r="A1594" s="284" t="s">
        <v>826</v>
      </c>
      <c r="B1594" s="284">
        <v>2025</v>
      </c>
      <c r="C1594" s="284" t="s">
        <v>859</v>
      </c>
      <c r="D1594" s="284" t="s">
        <v>999</v>
      </c>
      <c r="E1594" s="284" t="s">
        <v>953</v>
      </c>
      <c r="F1594" s="113" t="s">
        <v>906</v>
      </c>
    </row>
    <row r="1595" spans="1:6" ht="14.25" customHeight="1">
      <c r="A1595" s="285" t="s">
        <v>826</v>
      </c>
      <c r="B1595" s="285">
        <v>2025</v>
      </c>
      <c r="C1595" s="285" t="s">
        <v>859</v>
      </c>
      <c r="D1595" s="285" t="s">
        <v>999</v>
      </c>
      <c r="E1595" s="285" t="s">
        <v>981</v>
      </c>
      <c r="F1595" s="113" t="s">
        <v>906</v>
      </c>
    </row>
    <row r="1596" spans="1:6" ht="14.25" customHeight="1">
      <c r="A1596" s="284" t="s">
        <v>826</v>
      </c>
      <c r="B1596" s="284">
        <v>2025</v>
      </c>
      <c r="C1596" s="284" t="s">
        <v>859</v>
      </c>
      <c r="D1596" s="284" t="s">
        <v>999</v>
      </c>
      <c r="E1596" s="284" t="s">
        <v>1178</v>
      </c>
      <c r="F1596" s="113" t="s">
        <v>483</v>
      </c>
    </row>
    <row r="1597" spans="1:6" ht="14.25" customHeight="1">
      <c r="A1597" s="285" t="s">
        <v>826</v>
      </c>
      <c r="B1597" s="285">
        <v>2025</v>
      </c>
      <c r="C1597" s="285" t="s">
        <v>859</v>
      </c>
      <c r="D1597" s="285" t="s">
        <v>998</v>
      </c>
      <c r="E1597" s="285" t="s">
        <v>1153</v>
      </c>
      <c r="F1597" s="113" t="s">
        <v>483</v>
      </c>
    </row>
    <row r="1598" spans="1:6" ht="14.25" customHeight="1">
      <c r="A1598" s="284" t="s">
        <v>826</v>
      </c>
      <c r="B1598" s="284">
        <v>2025</v>
      </c>
      <c r="C1598" s="284" t="s">
        <v>859</v>
      </c>
      <c r="D1598" s="284" t="s">
        <v>998</v>
      </c>
      <c r="E1598" s="284" t="s">
        <v>1050</v>
      </c>
      <c r="F1598" s="113" t="s">
        <v>483</v>
      </c>
    </row>
    <row r="1599" spans="1:6" ht="14.25" customHeight="1">
      <c r="A1599" s="285" t="s">
        <v>826</v>
      </c>
      <c r="B1599" s="285">
        <v>2025</v>
      </c>
      <c r="C1599" s="285" t="s">
        <v>859</v>
      </c>
      <c r="D1599" s="285" t="s">
        <v>1000</v>
      </c>
      <c r="E1599" s="285" t="s">
        <v>1097</v>
      </c>
      <c r="F1599" s="113" t="s">
        <v>911</v>
      </c>
    </row>
    <row r="1600" spans="1:6" ht="14.25" customHeight="1">
      <c r="A1600" s="284" t="s">
        <v>826</v>
      </c>
      <c r="B1600" s="284">
        <v>2025</v>
      </c>
      <c r="C1600" s="284" t="s">
        <v>859</v>
      </c>
      <c r="D1600" s="284" t="s">
        <v>1000</v>
      </c>
      <c r="E1600" s="284" t="s">
        <v>1169</v>
      </c>
      <c r="F1600" s="113" t="s">
        <v>911</v>
      </c>
    </row>
    <row r="1601" spans="1:6" ht="14.25" customHeight="1">
      <c r="A1601" s="285" t="s">
        <v>826</v>
      </c>
      <c r="B1601" s="285">
        <v>2025</v>
      </c>
      <c r="C1601" s="285" t="s">
        <v>859</v>
      </c>
      <c r="D1601" s="285" t="s">
        <v>1000</v>
      </c>
      <c r="E1601" s="285" t="s">
        <v>1097</v>
      </c>
      <c r="F1601" s="113" t="s">
        <v>911</v>
      </c>
    </row>
    <row r="1602" spans="1:6" ht="14.25" customHeight="1">
      <c r="A1602" s="284" t="s">
        <v>826</v>
      </c>
      <c r="B1602" s="284">
        <v>2025</v>
      </c>
      <c r="C1602" s="284" t="s">
        <v>859</v>
      </c>
      <c r="D1602" s="284" t="s">
        <v>1000</v>
      </c>
      <c r="E1602" s="284" t="s">
        <v>1097</v>
      </c>
      <c r="F1602" s="113" t="s">
        <v>911</v>
      </c>
    </row>
    <row r="1603" spans="1:6" ht="14.25" customHeight="1">
      <c r="A1603" s="285" t="s">
        <v>826</v>
      </c>
      <c r="B1603" s="285">
        <v>2025</v>
      </c>
      <c r="C1603" s="285" t="s">
        <v>859</v>
      </c>
      <c r="D1603" s="285" t="s">
        <v>1000</v>
      </c>
      <c r="E1603" s="285" t="s">
        <v>1048</v>
      </c>
      <c r="F1603" s="113" t="s">
        <v>917</v>
      </c>
    </row>
    <row r="1604" spans="1:6" ht="14.25" customHeight="1">
      <c r="A1604" s="284" t="s">
        <v>826</v>
      </c>
      <c r="B1604" s="284">
        <v>2025</v>
      </c>
      <c r="C1604" s="284" t="s">
        <v>859</v>
      </c>
      <c r="D1604" s="284" t="s">
        <v>1000</v>
      </c>
      <c r="E1604" s="284" t="s">
        <v>1061</v>
      </c>
      <c r="F1604" s="113" t="s">
        <v>783</v>
      </c>
    </row>
    <row r="1605" spans="1:6" ht="14.25" customHeight="1">
      <c r="A1605" s="285" t="s">
        <v>826</v>
      </c>
      <c r="B1605" s="285">
        <v>2025</v>
      </c>
      <c r="C1605" s="285" t="s">
        <v>872</v>
      </c>
      <c r="D1605" s="285" t="s">
        <v>1018</v>
      </c>
      <c r="E1605" s="285" t="s">
        <v>991</v>
      </c>
      <c r="F1605" s="113" t="s">
        <v>906</v>
      </c>
    </row>
    <row r="1606" spans="1:6" ht="14.25" customHeight="1">
      <c r="A1606" s="284" t="s">
        <v>826</v>
      </c>
      <c r="B1606" s="284">
        <v>2025</v>
      </c>
      <c r="C1606" s="284" t="s">
        <v>872</v>
      </c>
      <c r="D1606" s="284" t="s">
        <v>1018</v>
      </c>
      <c r="E1606" s="284" t="s">
        <v>930</v>
      </c>
      <c r="F1606" s="113" t="s">
        <v>906</v>
      </c>
    </row>
    <row r="1607" spans="1:6" ht="14.25" customHeight="1">
      <c r="A1607" s="285" t="s">
        <v>826</v>
      </c>
      <c r="B1607" s="285">
        <v>2025</v>
      </c>
      <c r="C1607" s="285" t="s">
        <v>872</v>
      </c>
      <c r="D1607" s="285" t="s">
        <v>1018</v>
      </c>
      <c r="E1607" s="285" t="s">
        <v>1181</v>
      </c>
      <c r="F1607" s="113" t="s">
        <v>483</v>
      </c>
    </row>
    <row r="1608" spans="1:6" ht="14.25" customHeight="1">
      <c r="A1608" s="284" t="s">
        <v>826</v>
      </c>
      <c r="B1608" s="284">
        <v>2025</v>
      </c>
      <c r="C1608" s="284" t="s">
        <v>872</v>
      </c>
      <c r="D1608" s="284" t="s">
        <v>1013</v>
      </c>
      <c r="E1608" s="284" t="s">
        <v>1054</v>
      </c>
      <c r="F1608" s="113" t="s">
        <v>483</v>
      </c>
    </row>
    <row r="1609" spans="1:6" ht="14.25" customHeight="1">
      <c r="A1609" s="285" t="s">
        <v>826</v>
      </c>
      <c r="B1609" s="285">
        <v>2025</v>
      </c>
      <c r="C1609" s="285" t="s">
        <v>872</v>
      </c>
      <c r="D1609" s="285" t="s">
        <v>1013</v>
      </c>
      <c r="E1609" s="285" t="s">
        <v>1125</v>
      </c>
      <c r="F1609" s="113" t="s">
        <v>483</v>
      </c>
    </row>
    <row r="1610" spans="1:6" ht="14.25" customHeight="1">
      <c r="A1610" s="284" t="s">
        <v>826</v>
      </c>
      <c r="B1610" s="284">
        <v>2025</v>
      </c>
      <c r="C1610" s="284" t="s">
        <v>872</v>
      </c>
      <c r="D1610" s="284" t="s">
        <v>1013</v>
      </c>
      <c r="E1610" s="284" t="s">
        <v>987</v>
      </c>
      <c r="F1610" s="113" t="s">
        <v>935</v>
      </c>
    </row>
    <row r="1611" spans="1:6" ht="14.25" customHeight="1">
      <c r="A1611" s="285" t="s">
        <v>826</v>
      </c>
      <c r="B1611" s="285">
        <v>2025</v>
      </c>
      <c r="C1611" s="285" t="s">
        <v>1024</v>
      </c>
      <c r="D1611" s="285" t="s">
        <v>1027</v>
      </c>
      <c r="E1611" s="285" t="s">
        <v>1041</v>
      </c>
      <c r="F1611" s="113" t="s">
        <v>906</v>
      </c>
    </row>
    <row r="1612" spans="1:6" ht="14.25" customHeight="1">
      <c r="A1612" s="284" t="s">
        <v>826</v>
      </c>
      <c r="B1612" s="284">
        <v>2025</v>
      </c>
      <c r="C1612" s="284" t="s">
        <v>1024</v>
      </c>
      <c r="D1612" s="284" t="s">
        <v>1027</v>
      </c>
      <c r="E1612" s="284" t="s">
        <v>1041</v>
      </c>
      <c r="F1612" s="113" t="s">
        <v>906</v>
      </c>
    </row>
    <row r="1613" spans="1:6" ht="14.25" customHeight="1">
      <c r="A1613" s="285" t="s">
        <v>826</v>
      </c>
      <c r="B1613" s="285">
        <v>2025</v>
      </c>
      <c r="C1613" s="285" t="s">
        <v>1024</v>
      </c>
      <c r="D1613" s="285" t="s">
        <v>1027</v>
      </c>
      <c r="E1613" s="285" t="s">
        <v>1041</v>
      </c>
      <c r="F1613" s="113" t="s">
        <v>906</v>
      </c>
    </row>
    <row r="1614" spans="1:6" ht="14.25" customHeight="1">
      <c r="A1614" s="284" t="s">
        <v>826</v>
      </c>
      <c r="B1614" s="284">
        <v>2025</v>
      </c>
      <c r="C1614" s="284" t="s">
        <v>1024</v>
      </c>
      <c r="D1614" s="284" t="s">
        <v>1027</v>
      </c>
      <c r="E1614" s="284" t="s">
        <v>1178</v>
      </c>
      <c r="F1614" s="113" t="s">
        <v>483</v>
      </c>
    </row>
    <row r="1615" spans="1:6" ht="14.25" customHeight="1">
      <c r="A1615" s="285" t="s">
        <v>826</v>
      </c>
      <c r="B1615" s="285">
        <v>2025</v>
      </c>
      <c r="C1615" s="285" t="s">
        <v>1024</v>
      </c>
      <c r="D1615" s="285" t="s">
        <v>1027</v>
      </c>
      <c r="E1615" s="285" t="s">
        <v>973</v>
      </c>
      <c r="F1615" s="113" t="s">
        <v>917</v>
      </c>
    </row>
    <row r="1616" spans="1:6" ht="14.25" customHeight="1">
      <c r="A1616" s="284" t="s">
        <v>826</v>
      </c>
      <c r="B1616" s="284">
        <v>2025</v>
      </c>
      <c r="C1616" s="284" t="s">
        <v>1024</v>
      </c>
      <c r="D1616" s="284" t="s">
        <v>1027</v>
      </c>
      <c r="E1616" s="284" t="s">
        <v>985</v>
      </c>
      <c r="F1616" s="113" t="s">
        <v>918</v>
      </c>
    </row>
    <row r="1617" spans="1:6" ht="14.25" customHeight="1">
      <c r="A1617" s="285" t="s">
        <v>826</v>
      </c>
      <c r="B1617" s="285">
        <v>2025</v>
      </c>
      <c r="C1617" s="285" t="s">
        <v>1024</v>
      </c>
      <c r="D1617" s="285" t="s">
        <v>1027</v>
      </c>
      <c r="E1617" s="285" t="s">
        <v>1071</v>
      </c>
      <c r="F1617" s="113" t="s">
        <v>918</v>
      </c>
    </row>
    <row r="1618" spans="1:6" ht="14.25" customHeight="1">
      <c r="A1618" s="284" t="s">
        <v>826</v>
      </c>
      <c r="B1618" s="284">
        <v>2025</v>
      </c>
      <c r="C1618" s="284" t="s">
        <v>1024</v>
      </c>
      <c r="D1618" s="284" t="s">
        <v>1027</v>
      </c>
      <c r="E1618" s="284" t="s">
        <v>1034</v>
      </c>
      <c r="F1618" s="113" t="s">
        <v>922</v>
      </c>
    </row>
    <row r="1619" spans="1:6" ht="14.25" customHeight="1">
      <c r="A1619" s="285" t="s">
        <v>826</v>
      </c>
      <c r="B1619" s="285">
        <v>2025</v>
      </c>
      <c r="C1619" s="285" t="s">
        <v>1024</v>
      </c>
      <c r="D1619" s="285" t="s">
        <v>1027</v>
      </c>
      <c r="E1619" s="285" t="s">
        <v>1066</v>
      </c>
      <c r="F1619" s="113" t="s">
        <v>935</v>
      </c>
    </row>
    <row r="1620" spans="1:6" ht="14.25" customHeight="1">
      <c r="A1620" s="284" t="s">
        <v>826</v>
      </c>
      <c r="B1620" s="284">
        <v>2025</v>
      </c>
      <c r="C1620" s="284" t="s">
        <v>1024</v>
      </c>
      <c r="D1620" s="284" t="s">
        <v>1027</v>
      </c>
      <c r="E1620" s="284" t="s">
        <v>989</v>
      </c>
      <c r="F1620" s="113" t="s">
        <v>935</v>
      </c>
    </row>
    <row r="1621" spans="1:6" ht="14.25" customHeight="1">
      <c r="A1621" s="285" t="s">
        <v>826</v>
      </c>
      <c r="B1621" s="285">
        <v>2025</v>
      </c>
      <c r="C1621" s="285" t="s">
        <v>1024</v>
      </c>
      <c r="D1621" s="285" t="s">
        <v>1142</v>
      </c>
      <c r="E1621" s="285" t="s">
        <v>1182</v>
      </c>
      <c r="F1621" s="113" t="s">
        <v>574</v>
      </c>
    </row>
    <row r="1622" spans="1:6" ht="14.25" customHeight="1">
      <c r="A1622" s="284" t="s">
        <v>827</v>
      </c>
      <c r="B1622" s="284">
        <v>2025</v>
      </c>
      <c r="C1622" s="284" t="s">
        <v>821</v>
      </c>
      <c r="D1622" s="284" t="s">
        <v>132</v>
      </c>
      <c r="E1622" s="284" t="s">
        <v>1120</v>
      </c>
      <c r="F1622" s="113" t="s">
        <v>483</v>
      </c>
    </row>
    <row r="1623" spans="1:6" ht="14.25" customHeight="1">
      <c r="A1623" s="285" t="s">
        <v>827</v>
      </c>
      <c r="B1623" s="285">
        <v>2025</v>
      </c>
      <c r="C1623" s="285" t="s">
        <v>821</v>
      </c>
      <c r="D1623" s="285" t="s">
        <v>132</v>
      </c>
      <c r="E1623" s="285" t="s">
        <v>1096</v>
      </c>
      <c r="F1623" s="113" t="s">
        <v>909</v>
      </c>
    </row>
    <row r="1624" spans="1:6" ht="14.25" customHeight="1">
      <c r="A1624" s="284" t="s">
        <v>827</v>
      </c>
      <c r="B1624" s="284">
        <v>2025</v>
      </c>
      <c r="C1624" s="284" t="s">
        <v>821</v>
      </c>
      <c r="D1624" s="284" t="s">
        <v>132</v>
      </c>
      <c r="E1624" s="284" t="s">
        <v>2</v>
      </c>
      <c r="F1624" s="113" t="s">
        <v>917</v>
      </c>
    </row>
    <row r="1625" spans="1:6" ht="14.25" customHeight="1">
      <c r="A1625" s="285" t="s">
        <v>827</v>
      </c>
      <c r="B1625" s="285">
        <v>2025</v>
      </c>
      <c r="C1625" s="285" t="s">
        <v>821</v>
      </c>
      <c r="D1625" s="285" t="s">
        <v>976</v>
      </c>
      <c r="E1625" s="285" t="s">
        <v>981</v>
      </c>
      <c r="F1625" s="113" t="s">
        <v>906</v>
      </c>
    </row>
    <row r="1626" spans="1:6" ht="14.25" customHeight="1">
      <c r="A1626" s="284" t="s">
        <v>827</v>
      </c>
      <c r="B1626" s="284">
        <v>2025</v>
      </c>
      <c r="C1626" s="284" t="s">
        <v>821</v>
      </c>
      <c r="D1626" s="284" t="s">
        <v>976</v>
      </c>
      <c r="E1626" s="284" t="s">
        <v>2</v>
      </c>
      <c r="F1626" s="113" t="s">
        <v>917</v>
      </c>
    </row>
    <row r="1627" spans="1:6" ht="14.25" customHeight="1">
      <c r="A1627" s="285" t="s">
        <v>827</v>
      </c>
      <c r="B1627" s="285">
        <v>2025</v>
      </c>
      <c r="C1627" s="285" t="s">
        <v>821</v>
      </c>
      <c r="D1627" s="285" t="s">
        <v>976</v>
      </c>
      <c r="E1627" s="285" t="s">
        <v>2</v>
      </c>
      <c r="F1627" s="113" t="s">
        <v>935</v>
      </c>
    </row>
    <row r="1628" spans="1:6" ht="14.25" customHeight="1">
      <c r="A1628" s="284" t="s">
        <v>827</v>
      </c>
      <c r="B1628" s="284">
        <v>2025</v>
      </c>
      <c r="C1628" s="284" t="s">
        <v>821</v>
      </c>
      <c r="D1628" s="284" t="s">
        <v>976</v>
      </c>
      <c r="E1628" s="284" t="s">
        <v>2</v>
      </c>
      <c r="F1628" s="113" t="s">
        <v>935</v>
      </c>
    </row>
    <row r="1629" spans="1:6" ht="14.25" customHeight="1">
      <c r="A1629" s="285" t="s">
        <v>827</v>
      </c>
      <c r="B1629" s="285">
        <v>2025</v>
      </c>
      <c r="C1629" s="285" t="s">
        <v>821</v>
      </c>
      <c r="D1629" s="285" t="s">
        <v>976</v>
      </c>
      <c r="E1629" s="285" t="s">
        <v>1090</v>
      </c>
      <c r="F1629" s="113" t="s">
        <v>935</v>
      </c>
    </row>
    <row r="1630" spans="1:6" ht="14.25" customHeight="1">
      <c r="A1630" s="284" t="s">
        <v>827</v>
      </c>
      <c r="B1630" s="284">
        <v>2025</v>
      </c>
      <c r="C1630" s="284" t="s">
        <v>821</v>
      </c>
      <c r="D1630" s="284" t="s">
        <v>931</v>
      </c>
      <c r="E1630" s="284" t="s">
        <v>982</v>
      </c>
      <c r="F1630" s="113" t="s">
        <v>663</v>
      </c>
    </row>
    <row r="1631" spans="1:6" ht="14.25" customHeight="1">
      <c r="A1631" s="285" t="s">
        <v>827</v>
      </c>
      <c r="B1631" s="285">
        <v>2025</v>
      </c>
      <c r="C1631" s="285" t="s">
        <v>821</v>
      </c>
      <c r="D1631" s="285" t="s">
        <v>934</v>
      </c>
      <c r="E1631" s="285" t="s">
        <v>1040</v>
      </c>
      <c r="F1631" s="113" t="s">
        <v>906</v>
      </c>
    </row>
    <row r="1632" spans="1:6" ht="14.25" customHeight="1">
      <c r="A1632" s="284" t="s">
        <v>827</v>
      </c>
      <c r="B1632" s="284">
        <v>2025</v>
      </c>
      <c r="C1632" s="284" t="s">
        <v>821</v>
      </c>
      <c r="D1632" s="284" t="s">
        <v>934</v>
      </c>
      <c r="E1632" s="284" t="s">
        <v>981</v>
      </c>
      <c r="F1632" s="113" t="s">
        <v>906</v>
      </c>
    </row>
    <row r="1633" spans="1:6" ht="14.25" customHeight="1">
      <c r="A1633" s="285" t="s">
        <v>827</v>
      </c>
      <c r="B1633" s="285">
        <v>2025</v>
      </c>
      <c r="C1633" s="285" t="s">
        <v>821</v>
      </c>
      <c r="D1633" s="285" t="s">
        <v>934</v>
      </c>
      <c r="E1633" s="285" t="s">
        <v>1178</v>
      </c>
      <c r="F1633" s="113" t="s">
        <v>483</v>
      </c>
    </row>
    <row r="1634" spans="1:6" ht="14.25" customHeight="1">
      <c r="A1634" s="284" t="s">
        <v>827</v>
      </c>
      <c r="B1634" s="284">
        <v>2025</v>
      </c>
      <c r="C1634" s="284" t="s">
        <v>821</v>
      </c>
      <c r="D1634" s="284" t="s">
        <v>934</v>
      </c>
      <c r="E1634" s="284" t="s">
        <v>938</v>
      </c>
      <c r="F1634" s="113" t="s">
        <v>663</v>
      </c>
    </row>
    <row r="1635" spans="1:6" ht="14.25" customHeight="1">
      <c r="A1635" s="285" t="s">
        <v>827</v>
      </c>
      <c r="B1635" s="285">
        <v>2025</v>
      </c>
      <c r="C1635" s="285" t="s">
        <v>821</v>
      </c>
      <c r="D1635" s="285" t="s">
        <v>934</v>
      </c>
      <c r="E1635" s="285" t="s">
        <v>937</v>
      </c>
      <c r="F1635" s="113" t="s">
        <v>917</v>
      </c>
    </row>
    <row r="1636" spans="1:6" ht="14.25" customHeight="1">
      <c r="A1636" s="284" t="s">
        <v>827</v>
      </c>
      <c r="B1636" s="284">
        <v>2025</v>
      </c>
      <c r="C1636" s="284" t="s">
        <v>821</v>
      </c>
      <c r="D1636" s="284" t="s">
        <v>934</v>
      </c>
      <c r="E1636" s="284" t="s">
        <v>1004</v>
      </c>
      <c r="F1636" s="113" t="s">
        <v>935</v>
      </c>
    </row>
    <row r="1637" spans="1:6" ht="14.25" customHeight="1">
      <c r="A1637" s="285" t="s">
        <v>827</v>
      </c>
      <c r="B1637" s="285">
        <v>2025</v>
      </c>
      <c r="C1637" s="285" t="s">
        <v>821</v>
      </c>
      <c r="D1637" s="285" t="s">
        <v>934</v>
      </c>
      <c r="E1637" s="285" t="s">
        <v>1030</v>
      </c>
      <c r="F1637" s="113" t="s">
        <v>935</v>
      </c>
    </row>
    <row r="1638" spans="1:6" ht="14.25" customHeight="1">
      <c r="A1638" s="284" t="s">
        <v>827</v>
      </c>
      <c r="B1638" s="284">
        <v>2025</v>
      </c>
      <c r="C1638" s="284" t="s">
        <v>821</v>
      </c>
      <c r="D1638" s="284" t="s">
        <v>934</v>
      </c>
      <c r="E1638" s="284" t="s">
        <v>1004</v>
      </c>
      <c r="F1638" s="113" t="s">
        <v>935</v>
      </c>
    </row>
    <row r="1639" spans="1:6" ht="14.25" customHeight="1">
      <c r="A1639" s="285" t="s">
        <v>827</v>
      </c>
      <c r="B1639" s="285">
        <v>2025</v>
      </c>
      <c r="C1639" s="285" t="s">
        <v>821</v>
      </c>
      <c r="D1639" s="285" t="s">
        <v>934</v>
      </c>
      <c r="E1639" s="285" t="s">
        <v>984</v>
      </c>
      <c r="F1639" s="113" t="s">
        <v>935</v>
      </c>
    </row>
    <row r="1640" spans="1:6" ht="14.25" customHeight="1">
      <c r="A1640" s="284" t="s">
        <v>827</v>
      </c>
      <c r="B1640" s="284">
        <v>2025</v>
      </c>
      <c r="C1640" s="284" t="s">
        <v>88</v>
      </c>
      <c r="D1640" s="284" t="s">
        <v>959</v>
      </c>
      <c r="E1640" s="284" t="s">
        <v>954</v>
      </c>
      <c r="F1640" s="113" t="s">
        <v>906</v>
      </c>
    </row>
    <row r="1641" spans="1:6" ht="14.25" customHeight="1">
      <c r="A1641" s="285" t="s">
        <v>827</v>
      </c>
      <c r="B1641" s="285">
        <v>2025</v>
      </c>
      <c r="C1641" s="285" t="s">
        <v>88</v>
      </c>
      <c r="D1641" s="285" t="s">
        <v>959</v>
      </c>
      <c r="E1641" s="285" t="s">
        <v>945</v>
      </c>
      <c r="F1641" s="113" t="s">
        <v>917</v>
      </c>
    </row>
    <row r="1642" spans="1:6" ht="14.25" customHeight="1">
      <c r="A1642" s="284" t="s">
        <v>827</v>
      </c>
      <c r="B1642" s="284">
        <v>2025</v>
      </c>
      <c r="C1642" s="284" t="s">
        <v>88</v>
      </c>
      <c r="D1642" s="284" t="s">
        <v>959</v>
      </c>
      <c r="E1642" s="284" t="s">
        <v>2</v>
      </c>
      <c r="F1642" s="113" t="s">
        <v>917</v>
      </c>
    </row>
    <row r="1643" spans="1:6" ht="14.25" customHeight="1">
      <c r="A1643" s="285" t="s">
        <v>827</v>
      </c>
      <c r="B1643" s="285">
        <v>2025</v>
      </c>
      <c r="C1643" s="285" t="s">
        <v>88</v>
      </c>
      <c r="D1643" s="285" t="s">
        <v>959</v>
      </c>
      <c r="E1643" s="285" t="s">
        <v>973</v>
      </c>
      <c r="F1643" s="113" t="s">
        <v>783</v>
      </c>
    </row>
    <row r="1644" spans="1:6" ht="14.25" customHeight="1">
      <c r="A1644" s="284" t="s">
        <v>827</v>
      </c>
      <c r="B1644" s="284">
        <v>2025</v>
      </c>
      <c r="C1644" s="284" t="s">
        <v>88</v>
      </c>
      <c r="D1644" s="284" t="s">
        <v>959</v>
      </c>
      <c r="E1644" s="284" t="s">
        <v>1063</v>
      </c>
      <c r="F1644" s="113" t="s">
        <v>922</v>
      </c>
    </row>
    <row r="1645" spans="1:6" ht="14.25" customHeight="1">
      <c r="A1645" s="285" t="s">
        <v>827</v>
      </c>
      <c r="B1645" s="285">
        <v>2025</v>
      </c>
      <c r="C1645" s="285" t="s">
        <v>88</v>
      </c>
      <c r="D1645" s="285" t="s">
        <v>959</v>
      </c>
      <c r="E1645" s="285" t="s">
        <v>1068</v>
      </c>
      <c r="F1645" s="113" t="s">
        <v>922</v>
      </c>
    </row>
    <row r="1646" spans="1:6" ht="14.25" customHeight="1">
      <c r="A1646" s="284" t="s">
        <v>827</v>
      </c>
      <c r="B1646" s="284">
        <v>2025</v>
      </c>
      <c r="C1646" s="284" t="s">
        <v>88</v>
      </c>
      <c r="D1646" s="284" t="s">
        <v>988</v>
      </c>
      <c r="E1646" s="284" t="s">
        <v>954</v>
      </c>
      <c r="F1646" s="113" t="s">
        <v>906</v>
      </c>
    </row>
    <row r="1647" spans="1:6" ht="14.25" customHeight="1">
      <c r="A1647" s="285" t="s">
        <v>827</v>
      </c>
      <c r="B1647" s="285">
        <v>2025</v>
      </c>
      <c r="C1647" s="285" t="s">
        <v>88</v>
      </c>
      <c r="D1647" s="285" t="s">
        <v>988</v>
      </c>
      <c r="E1647" s="285" t="s">
        <v>1162</v>
      </c>
      <c r="F1647" s="113" t="s">
        <v>483</v>
      </c>
    </row>
    <row r="1648" spans="1:6" ht="14.25" customHeight="1">
      <c r="A1648" s="284" t="s">
        <v>827</v>
      </c>
      <c r="B1648" s="284">
        <v>2025</v>
      </c>
      <c r="C1648" s="284" t="s">
        <v>88</v>
      </c>
      <c r="D1648" s="284" t="s">
        <v>988</v>
      </c>
      <c r="E1648" s="284" t="s">
        <v>1153</v>
      </c>
      <c r="F1648" s="113" t="s">
        <v>483</v>
      </c>
    </row>
    <row r="1649" spans="1:6" ht="14.25" customHeight="1">
      <c r="A1649" s="285" t="s">
        <v>827</v>
      </c>
      <c r="B1649" s="285">
        <v>2025</v>
      </c>
      <c r="C1649" s="285" t="s">
        <v>88</v>
      </c>
      <c r="D1649" s="285" t="s">
        <v>988</v>
      </c>
      <c r="E1649" s="285" t="s">
        <v>1159</v>
      </c>
      <c r="F1649" s="113" t="s">
        <v>483</v>
      </c>
    </row>
    <row r="1650" spans="1:6" ht="14.25" customHeight="1">
      <c r="A1650" s="284" t="s">
        <v>827</v>
      </c>
      <c r="B1650" s="284">
        <v>2025</v>
      </c>
      <c r="C1650" s="284" t="s">
        <v>88</v>
      </c>
      <c r="D1650" s="284" t="s">
        <v>988</v>
      </c>
      <c r="E1650" s="284" t="s">
        <v>938</v>
      </c>
      <c r="F1650" s="113" t="s">
        <v>663</v>
      </c>
    </row>
    <row r="1651" spans="1:6" ht="14.25" customHeight="1">
      <c r="A1651" s="285" t="s">
        <v>827</v>
      </c>
      <c r="B1651" s="285">
        <v>2025</v>
      </c>
      <c r="C1651" s="285" t="s">
        <v>88</v>
      </c>
      <c r="D1651" s="285" t="s">
        <v>988</v>
      </c>
      <c r="E1651" s="285" t="s">
        <v>943</v>
      </c>
      <c r="F1651" s="113" t="s">
        <v>917</v>
      </c>
    </row>
    <row r="1652" spans="1:6" ht="14.25" customHeight="1">
      <c r="A1652" s="284" t="s">
        <v>827</v>
      </c>
      <c r="B1652" s="284">
        <v>2025</v>
      </c>
      <c r="C1652" s="284" t="s">
        <v>88</v>
      </c>
      <c r="D1652" s="284" t="s">
        <v>988</v>
      </c>
      <c r="E1652" s="284" t="s">
        <v>937</v>
      </c>
      <c r="F1652" s="113" t="s">
        <v>917</v>
      </c>
    </row>
    <row r="1653" spans="1:6" ht="14.25" customHeight="1">
      <c r="A1653" s="285" t="s">
        <v>827</v>
      </c>
      <c r="B1653" s="285">
        <v>2025</v>
      </c>
      <c r="C1653" s="285" t="s">
        <v>88</v>
      </c>
      <c r="D1653" s="285" t="s">
        <v>988</v>
      </c>
      <c r="E1653" s="285" t="s">
        <v>1037</v>
      </c>
      <c r="F1653" s="113" t="s">
        <v>917</v>
      </c>
    </row>
    <row r="1654" spans="1:6" ht="14.25" customHeight="1">
      <c r="A1654" s="284" t="s">
        <v>827</v>
      </c>
      <c r="B1654" s="284">
        <v>2025</v>
      </c>
      <c r="C1654" s="284" t="s">
        <v>88</v>
      </c>
      <c r="D1654" s="284" t="s">
        <v>988</v>
      </c>
      <c r="E1654" s="284" t="s">
        <v>1030</v>
      </c>
      <c r="F1654" s="113" t="s">
        <v>935</v>
      </c>
    </row>
    <row r="1655" spans="1:6" ht="14.25" customHeight="1">
      <c r="A1655" s="285" t="s">
        <v>827</v>
      </c>
      <c r="B1655" s="285">
        <v>2025</v>
      </c>
      <c r="C1655" s="285" t="s">
        <v>88</v>
      </c>
      <c r="D1655" s="285" t="s">
        <v>988</v>
      </c>
      <c r="E1655" s="285" t="s">
        <v>1090</v>
      </c>
      <c r="F1655" s="113" t="s">
        <v>935</v>
      </c>
    </row>
    <row r="1656" spans="1:6" ht="14.25" customHeight="1">
      <c r="A1656" s="284" t="s">
        <v>827</v>
      </c>
      <c r="B1656" s="284">
        <v>2025</v>
      </c>
      <c r="C1656" s="284" t="s">
        <v>88</v>
      </c>
      <c r="D1656" s="284" t="s">
        <v>956</v>
      </c>
      <c r="E1656" s="284" t="s">
        <v>1040</v>
      </c>
      <c r="F1656" s="113" t="s">
        <v>906</v>
      </c>
    </row>
    <row r="1657" spans="1:6" ht="14.25" customHeight="1">
      <c r="A1657" s="285" t="s">
        <v>827</v>
      </c>
      <c r="B1657" s="285">
        <v>2025</v>
      </c>
      <c r="C1657" s="285" t="s">
        <v>88</v>
      </c>
      <c r="D1657" s="285" t="s">
        <v>956</v>
      </c>
      <c r="E1657" s="285" t="s">
        <v>964</v>
      </c>
      <c r="F1657" s="113" t="s">
        <v>913</v>
      </c>
    </row>
    <row r="1658" spans="1:6" ht="14.25" customHeight="1">
      <c r="A1658" s="284" t="s">
        <v>827</v>
      </c>
      <c r="B1658" s="284">
        <v>2025</v>
      </c>
      <c r="C1658" s="284" t="s">
        <v>88</v>
      </c>
      <c r="D1658" s="284" t="s">
        <v>956</v>
      </c>
      <c r="E1658" s="284" t="s">
        <v>941</v>
      </c>
      <c r="F1658" s="113" t="s">
        <v>663</v>
      </c>
    </row>
    <row r="1659" spans="1:6" ht="14.25" customHeight="1">
      <c r="A1659" s="285" t="s">
        <v>827</v>
      </c>
      <c r="B1659" s="285">
        <v>2025</v>
      </c>
      <c r="C1659" s="285" t="s">
        <v>88</v>
      </c>
      <c r="D1659" s="285" t="s">
        <v>956</v>
      </c>
      <c r="E1659" s="285" t="s">
        <v>938</v>
      </c>
      <c r="F1659" s="113" t="s">
        <v>663</v>
      </c>
    </row>
    <row r="1660" spans="1:6" ht="14.25" customHeight="1">
      <c r="A1660" s="284" t="s">
        <v>827</v>
      </c>
      <c r="B1660" s="284">
        <v>2025</v>
      </c>
      <c r="C1660" s="284" t="s">
        <v>88</v>
      </c>
      <c r="D1660" s="284" t="s">
        <v>969</v>
      </c>
      <c r="E1660" s="284" t="s">
        <v>1028</v>
      </c>
      <c r="F1660" s="113" t="s">
        <v>906</v>
      </c>
    </row>
    <row r="1661" spans="1:6" ht="14.25" customHeight="1">
      <c r="A1661" s="285" t="s">
        <v>827</v>
      </c>
      <c r="B1661" s="285">
        <v>2025</v>
      </c>
      <c r="C1661" s="285" t="s">
        <v>88</v>
      </c>
      <c r="D1661" s="285" t="s">
        <v>969</v>
      </c>
      <c r="E1661" s="285" t="s">
        <v>1040</v>
      </c>
      <c r="F1661" s="113" t="s">
        <v>906</v>
      </c>
    </row>
    <row r="1662" spans="1:6" ht="14.25" customHeight="1">
      <c r="A1662" s="284" t="s">
        <v>827</v>
      </c>
      <c r="B1662" s="284">
        <v>2025</v>
      </c>
      <c r="C1662" s="284" t="s">
        <v>88</v>
      </c>
      <c r="D1662" s="284" t="s">
        <v>969</v>
      </c>
      <c r="E1662" s="284" t="s">
        <v>1178</v>
      </c>
      <c r="F1662" s="113" t="s">
        <v>483</v>
      </c>
    </row>
    <row r="1663" spans="1:6" ht="14.25" customHeight="1">
      <c r="A1663" s="285" t="s">
        <v>827</v>
      </c>
      <c r="B1663" s="285">
        <v>2025</v>
      </c>
      <c r="C1663" s="285" t="s">
        <v>88</v>
      </c>
      <c r="D1663" s="285" t="s">
        <v>969</v>
      </c>
      <c r="E1663" s="285" t="s">
        <v>939</v>
      </c>
      <c r="F1663" s="113" t="s">
        <v>909</v>
      </c>
    </row>
    <row r="1664" spans="1:6" ht="14.25" customHeight="1">
      <c r="A1664" s="284" t="s">
        <v>827</v>
      </c>
      <c r="B1664" s="284">
        <v>2025</v>
      </c>
      <c r="C1664" s="284" t="s">
        <v>88</v>
      </c>
      <c r="D1664" s="284" t="s">
        <v>969</v>
      </c>
      <c r="E1664" s="284" t="s">
        <v>1087</v>
      </c>
      <c r="F1664" s="113" t="s">
        <v>663</v>
      </c>
    </row>
    <row r="1665" spans="1:6" ht="14.25" customHeight="1">
      <c r="A1665" s="285" t="s">
        <v>827</v>
      </c>
      <c r="B1665" s="285">
        <v>2025</v>
      </c>
      <c r="C1665" s="285" t="s">
        <v>88</v>
      </c>
      <c r="D1665" s="285" t="s">
        <v>969</v>
      </c>
      <c r="E1665" s="285" t="s">
        <v>938</v>
      </c>
      <c r="F1665" s="113" t="s">
        <v>663</v>
      </c>
    </row>
    <row r="1666" spans="1:6" ht="14.25" customHeight="1">
      <c r="A1666" s="284" t="s">
        <v>827</v>
      </c>
      <c r="B1666" s="284">
        <v>2025</v>
      </c>
      <c r="C1666" s="284" t="s">
        <v>88</v>
      </c>
      <c r="D1666" s="284" t="s">
        <v>969</v>
      </c>
      <c r="E1666" s="284" t="s">
        <v>968</v>
      </c>
      <c r="F1666" s="113" t="s">
        <v>663</v>
      </c>
    </row>
    <row r="1667" spans="1:6" ht="14.25" customHeight="1">
      <c r="A1667" s="285" t="s">
        <v>827</v>
      </c>
      <c r="B1667" s="285">
        <v>2025</v>
      </c>
      <c r="C1667" s="285" t="s">
        <v>88</v>
      </c>
      <c r="D1667" s="285" t="s">
        <v>969</v>
      </c>
      <c r="E1667" s="285" t="s">
        <v>2</v>
      </c>
      <c r="F1667" s="113" t="s">
        <v>922</v>
      </c>
    </row>
    <row r="1668" spans="1:6" ht="14.25" customHeight="1">
      <c r="A1668" s="284" t="s">
        <v>827</v>
      </c>
      <c r="B1668" s="284">
        <v>2025</v>
      </c>
      <c r="C1668" s="284" t="s">
        <v>88</v>
      </c>
      <c r="D1668" s="284" t="s">
        <v>969</v>
      </c>
      <c r="E1668" s="284" t="s">
        <v>1100</v>
      </c>
      <c r="F1668" s="113" t="s">
        <v>935</v>
      </c>
    </row>
    <row r="1669" spans="1:6" ht="14.25" customHeight="1">
      <c r="A1669" s="285" t="s">
        <v>827</v>
      </c>
      <c r="B1669" s="285">
        <v>2025</v>
      </c>
      <c r="C1669" s="285" t="s">
        <v>859</v>
      </c>
      <c r="D1669" s="285" t="s">
        <v>1005</v>
      </c>
      <c r="E1669" s="285" t="s">
        <v>952</v>
      </c>
      <c r="F1669" s="113" t="s">
        <v>906</v>
      </c>
    </row>
    <row r="1670" spans="1:6" ht="14.25" customHeight="1">
      <c r="A1670" s="284" t="s">
        <v>827</v>
      </c>
      <c r="B1670" s="284">
        <v>2025</v>
      </c>
      <c r="C1670" s="284" t="s">
        <v>859</v>
      </c>
      <c r="D1670" s="284" t="s">
        <v>1005</v>
      </c>
      <c r="E1670" s="284" t="s">
        <v>973</v>
      </c>
      <c r="F1670" s="113" t="s">
        <v>917</v>
      </c>
    </row>
    <row r="1671" spans="1:6" ht="14.25" customHeight="1">
      <c r="A1671" s="285" t="s">
        <v>827</v>
      </c>
      <c r="B1671" s="285">
        <v>2025</v>
      </c>
      <c r="C1671" s="285" t="s">
        <v>859</v>
      </c>
      <c r="D1671" s="285" t="s">
        <v>999</v>
      </c>
      <c r="E1671" s="285" t="s">
        <v>1040</v>
      </c>
      <c r="F1671" s="113" t="s">
        <v>906</v>
      </c>
    </row>
    <row r="1672" spans="1:6" ht="14.25" customHeight="1">
      <c r="A1672" s="284" t="s">
        <v>827</v>
      </c>
      <c r="B1672" s="284">
        <v>2025</v>
      </c>
      <c r="C1672" s="284" t="s">
        <v>859</v>
      </c>
      <c r="D1672" s="284" t="s">
        <v>999</v>
      </c>
      <c r="E1672" s="284" t="s">
        <v>987</v>
      </c>
      <c r="F1672" s="113" t="s">
        <v>935</v>
      </c>
    </row>
    <row r="1673" spans="1:6" ht="14.25" customHeight="1">
      <c r="A1673" s="285" t="s">
        <v>827</v>
      </c>
      <c r="B1673" s="285">
        <v>2025</v>
      </c>
      <c r="C1673" s="285" t="s">
        <v>859</v>
      </c>
      <c r="D1673" s="285" t="s">
        <v>1000</v>
      </c>
      <c r="E1673" s="285" t="s">
        <v>952</v>
      </c>
      <c r="F1673" s="113" t="s">
        <v>906</v>
      </c>
    </row>
    <row r="1674" spans="1:6" ht="14.25" customHeight="1">
      <c r="A1674" s="284" t="s">
        <v>827</v>
      </c>
      <c r="B1674" s="284">
        <v>2025</v>
      </c>
      <c r="C1674" s="284" t="s">
        <v>859</v>
      </c>
      <c r="D1674" s="284" t="s">
        <v>1000</v>
      </c>
      <c r="E1674" s="284" t="s">
        <v>991</v>
      </c>
      <c r="F1674" s="113" t="s">
        <v>906</v>
      </c>
    </row>
    <row r="1675" spans="1:6" ht="14.25" customHeight="1">
      <c r="A1675" s="285" t="s">
        <v>827</v>
      </c>
      <c r="B1675" s="285">
        <v>2025</v>
      </c>
      <c r="C1675" s="285" t="s">
        <v>859</v>
      </c>
      <c r="D1675" s="285" t="s">
        <v>1000</v>
      </c>
      <c r="E1675" s="285" t="s">
        <v>991</v>
      </c>
      <c r="F1675" s="113" t="s">
        <v>906</v>
      </c>
    </row>
    <row r="1676" spans="1:6" ht="14.25" customHeight="1">
      <c r="A1676" s="284" t="s">
        <v>827</v>
      </c>
      <c r="B1676" s="284">
        <v>2025</v>
      </c>
      <c r="C1676" s="284" t="s">
        <v>859</v>
      </c>
      <c r="D1676" s="284" t="s">
        <v>1000</v>
      </c>
      <c r="E1676" s="284" t="s">
        <v>1102</v>
      </c>
      <c r="F1676" s="113" t="s">
        <v>909</v>
      </c>
    </row>
    <row r="1677" spans="1:6" ht="14.25" customHeight="1">
      <c r="A1677" s="285" t="s">
        <v>827</v>
      </c>
      <c r="B1677" s="285">
        <v>2025</v>
      </c>
      <c r="C1677" s="285" t="s">
        <v>859</v>
      </c>
      <c r="D1677" s="285" t="s">
        <v>1000</v>
      </c>
      <c r="E1677" s="285" t="s">
        <v>1102</v>
      </c>
      <c r="F1677" s="113" t="s">
        <v>909</v>
      </c>
    </row>
    <row r="1678" spans="1:6" ht="14.25" customHeight="1">
      <c r="A1678" s="284" t="s">
        <v>827</v>
      </c>
      <c r="B1678" s="284">
        <v>2025</v>
      </c>
      <c r="C1678" s="284" t="s">
        <v>859</v>
      </c>
      <c r="D1678" s="284" t="s">
        <v>1000</v>
      </c>
      <c r="E1678" s="284" t="s">
        <v>1134</v>
      </c>
      <c r="F1678" s="113" t="s">
        <v>911</v>
      </c>
    </row>
    <row r="1679" spans="1:6" ht="14.25" customHeight="1">
      <c r="A1679" s="285" t="s">
        <v>827</v>
      </c>
      <c r="B1679" s="285">
        <v>2025</v>
      </c>
      <c r="C1679" s="285" t="s">
        <v>859</v>
      </c>
      <c r="D1679" s="285" t="s">
        <v>1000</v>
      </c>
      <c r="E1679" s="285" t="s">
        <v>1042</v>
      </c>
      <c r="F1679" s="113" t="s">
        <v>663</v>
      </c>
    </row>
    <row r="1680" spans="1:6" ht="14.25" customHeight="1">
      <c r="A1680" s="284" t="s">
        <v>827</v>
      </c>
      <c r="B1680" s="284">
        <v>2025</v>
      </c>
      <c r="C1680" s="284" t="s">
        <v>859</v>
      </c>
      <c r="D1680" s="284" t="s">
        <v>1000</v>
      </c>
      <c r="E1680" s="284" t="s">
        <v>1183</v>
      </c>
      <c r="F1680" s="113" t="s">
        <v>917</v>
      </c>
    </row>
    <row r="1681" spans="1:6" ht="14.25" customHeight="1">
      <c r="A1681" s="285" t="s">
        <v>827</v>
      </c>
      <c r="B1681" s="285">
        <v>2025</v>
      </c>
      <c r="C1681" s="285" t="s">
        <v>859</v>
      </c>
      <c r="D1681" s="285" t="s">
        <v>1000</v>
      </c>
      <c r="E1681" s="285" t="s">
        <v>1061</v>
      </c>
      <c r="F1681" s="113" t="s">
        <v>783</v>
      </c>
    </row>
    <row r="1682" spans="1:6" ht="14.25" customHeight="1">
      <c r="A1682" s="284" t="s">
        <v>827</v>
      </c>
      <c r="B1682" s="284">
        <v>2025</v>
      </c>
      <c r="C1682" s="284" t="s">
        <v>872</v>
      </c>
      <c r="D1682" s="284" t="s">
        <v>1018</v>
      </c>
      <c r="E1682" s="284" t="s">
        <v>1162</v>
      </c>
      <c r="F1682" s="113" t="s">
        <v>483</v>
      </c>
    </row>
    <row r="1683" spans="1:6" ht="14.25" customHeight="1">
      <c r="A1683" s="285" t="s">
        <v>827</v>
      </c>
      <c r="B1683" s="285">
        <v>2025</v>
      </c>
      <c r="C1683" s="285" t="s">
        <v>872</v>
      </c>
      <c r="D1683" s="285" t="s">
        <v>1018</v>
      </c>
      <c r="E1683" s="285" t="s">
        <v>939</v>
      </c>
      <c r="F1683" s="113" t="s">
        <v>909</v>
      </c>
    </row>
    <row r="1684" spans="1:6" ht="14.25" customHeight="1">
      <c r="A1684" s="284" t="s">
        <v>827</v>
      </c>
      <c r="B1684" s="284">
        <v>2025</v>
      </c>
      <c r="C1684" s="284" t="s">
        <v>872</v>
      </c>
      <c r="D1684" s="284" t="s">
        <v>1018</v>
      </c>
      <c r="E1684" s="284" t="s">
        <v>1159</v>
      </c>
      <c r="F1684" s="113" t="s">
        <v>483</v>
      </c>
    </row>
    <row r="1685" spans="1:6" ht="14.25" customHeight="1">
      <c r="A1685" s="285" t="s">
        <v>827</v>
      </c>
      <c r="B1685" s="285">
        <v>2025</v>
      </c>
      <c r="C1685" s="285" t="s">
        <v>872</v>
      </c>
      <c r="D1685" s="285" t="s">
        <v>1018</v>
      </c>
      <c r="E1685" s="285" t="s">
        <v>1159</v>
      </c>
      <c r="F1685" s="113" t="s">
        <v>483</v>
      </c>
    </row>
    <row r="1686" spans="1:6" ht="14.25" customHeight="1">
      <c r="A1686" s="284" t="s">
        <v>827</v>
      </c>
      <c r="B1686" s="284">
        <v>2025</v>
      </c>
      <c r="C1686" s="284" t="s">
        <v>872</v>
      </c>
      <c r="D1686" s="284" t="s">
        <v>1018</v>
      </c>
      <c r="E1686" s="284" t="s">
        <v>941</v>
      </c>
      <c r="F1686" s="113" t="s">
        <v>663</v>
      </c>
    </row>
    <row r="1687" spans="1:6" ht="14.25" customHeight="1">
      <c r="A1687" s="285" t="s">
        <v>827</v>
      </c>
      <c r="B1687" s="285">
        <v>2025</v>
      </c>
      <c r="C1687" s="285" t="s">
        <v>872</v>
      </c>
      <c r="D1687" s="285" t="s">
        <v>1018</v>
      </c>
      <c r="E1687" s="285" t="s">
        <v>1090</v>
      </c>
      <c r="F1687" s="113" t="s">
        <v>935</v>
      </c>
    </row>
    <row r="1688" spans="1:6" ht="14.25" customHeight="1">
      <c r="A1688" s="284" t="s">
        <v>827</v>
      </c>
      <c r="B1688" s="284">
        <v>2025</v>
      </c>
      <c r="C1688" s="284" t="s">
        <v>872</v>
      </c>
      <c r="D1688" s="284" t="s">
        <v>1013</v>
      </c>
      <c r="E1688" s="284" t="s">
        <v>1159</v>
      </c>
      <c r="F1688" s="113" t="s">
        <v>483</v>
      </c>
    </row>
    <row r="1689" spans="1:6" ht="14.25" customHeight="1">
      <c r="A1689" s="285" t="s">
        <v>827</v>
      </c>
      <c r="B1689" s="285">
        <v>2025</v>
      </c>
      <c r="C1689" s="285" t="s">
        <v>872</v>
      </c>
      <c r="D1689" s="285" t="s">
        <v>1013</v>
      </c>
      <c r="E1689" s="285" t="s">
        <v>955</v>
      </c>
      <c r="F1689" s="113" t="s">
        <v>922</v>
      </c>
    </row>
    <row r="1690" spans="1:6" ht="14.25" customHeight="1">
      <c r="A1690" s="284" t="s">
        <v>827</v>
      </c>
      <c r="B1690" s="284">
        <v>2025</v>
      </c>
      <c r="C1690" s="284" t="s">
        <v>872</v>
      </c>
      <c r="D1690" s="284" t="s">
        <v>1012</v>
      </c>
      <c r="E1690" s="284" t="s">
        <v>1100</v>
      </c>
      <c r="F1690" s="113" t="s">
        <v>935</v>
      </c>
    </row>
    <row r="1691" spans="1:6" ht="14.25" customHeight="1">
      <c r="A1691" s="285" t="s">
        <v>827</v>
      </c>
      <c r="B1691" s="285">
        <v>2025</v>
      </c>
      <c r="C1691" s="285" t="s">
        <v>872</v>
      </c>
      <c r="D1691" s="285" t="s">
        <v>1015</v>
      </c>
      <c r="E1691" s="285" t="s">
        <v>1184</v>
      </c>
      <c r="F1691" s="113" t="s">
        <v>935</v>
      </c>
    </row>
    <row r="1692" spans="1:6" ht="14.25" customHeight="1">
      <c r="A1692" s="284" t="s">
        <v>827</v>
      </c>
      <c r="B1692" s="284">
        <v>2025</v>
      </c>
      <c r="C1692" s="284" t="s">
        <v>1024</v>
      </c>
      <c r="D1692" s="284" t="s">
        <v>1027</v>
      </c>
      <c r="E1692" s="284" t="s">
        <v>1041</v>
      </c>
      <c r="F1692" s="113" t="s">
        <v>906</v>
      </c>
    </row>
    <row r="1693" spans="1:6" ht="14.25" customHeight="1">
      <c r="A1693" s="285" t="s">
        <v>827</v>
      </c>
      <c r="B1693" s="285">
        <v>2025</v>
      </c>
      <c r="C1693" s="285" t="s">
        <v>1024</v>
      </c>
      <c r="D1693" s="285" t="s">
        <v>1027</v>
      </c>
      <c r="E1693" s="285" t="s">
        <v>981</v>
      </c>
      <c r="F1693" s="113" t="s">
        <v>906</v>
      </c>
    </row>
    <row r="1694" spans="1:6" ht="14.25" customHeight="1">
      <c r="A1694" s="284" t="s">
        <v>827</v>
      </c>
      <c r="B1694" s="284">
        <v>2025</v>
      </c>
      <c r="C1694" s="284" t="s">
        <v>1024</v>
      </c>
      <c r="D1694" s="284" t="s">
        <v>1027</v>
      </c>
      <c r="E1694" s="284" t="s">
        <v>938</v>
      </c>
      <c r="F1694" s="113" t="s">
        <v>663</v>
      </c>
    </row>
    <row r="1695" spans="1:6" ht="14.25" customHeight="1">
      <c r="A1695" s="285" t="s">
        <v>827</v>
      </c>
      <c r="B1695" s="285">
        <v>2025</v>
      </c>
      <c r="C1695" s="285" t="s">
        <v>1024</v>
      </c>
      <c r="D1695" s="285" t="s">
        <v>1027</v>
      </c>
      <c r="E1695" s="285" t="s">
        <v>1071</v>
      </c>
      <c r="F1695" s="113" t="s">
        <v>918</v>
      </c>
    </row>
    <row r="1696" spans="1:6" ht="14.25" customHeight="1">
      <c r="A1696" s="284" t="s">
        <v>827</v>
      </c>
      <c r="B1696" s="284">
        <v>2025</v>
      </c>
      <c r="C1696" s="284" t="s">
        <v>1024</v>
      </c>
      <c r="D1696" s="284" t="s">
        <v>1027</v>
      </c>
      <c r="E1696" s="284" t="s">
        <v>985</v>
      </c>
      <c r="F1696" s="113" t="s">
        <v>918</v>
      </c>
    </row>
    <row r="1697" spans="1:6" ht="14.25" customHeight="1">
      <c r="A1697" s="285" t="s">
        <v>827</v>
      </c>
      <c r="B1697" s="285">
        <v>2025</v>
      </c>
      <c r="C1697" s="285" t="s">
        <v>1024</v>
      </c>
      <c r="D1697" s="285" t="s">
        <v>1027</v>
      </c>
      <c r="E1697" s="285" t="s">
        <v>1100</v>
      </c>
      <c r="F1697" s="113" t="s">
        <v>935</v>
      </c>
    </row>
    <row r="1698" spans="1:6" ht="14.25" customHeight="1">
      <c r="A1698" s="284" t="s">
        <v>827</v>
      </c>
      <c r="B1698" s="284">
        <v>2025</v>
      </c>
      <c r="C1698" s="284" t="s">
        <v>1024</v>
      </c>
      <c r="D1698" s="284" t="s">
        <v>1026</v>
      </c>
      <c r="E1698" s="284" t="s">
        <v>1014</v>
      </c>
      <c r="F1698" s="113" t="s">
        <v>906</v>
      </c>
    </row>
    <row r="1699" spans="1:6" ht="14.25" customHeight="1">
      <c r="A1699" s="285" t="s">
        <v>828</v>
      </c>
      <c r="B1699" s="285">
        <v>2025</v>
      </c>
      <c r="C1699" s="285" t="s">
        <v>821</v>
      </c>
      <c r="D1699" s="285" t="s">
        <v>132</v>
      </c>
      <c r="E1699" s="285" t="s">
        <v>952</v>
      </c>
      <c r="F1699" s="113" t="s">
        <v>906</v>
      </c>
    </row>
    <row r="1700" spans="1:6" ht="14.25" customHeight="1">
      <c r="A1700" s="284" t="s">
        <v>828</v>
      </c>
      <c r="B1700" s="284">
        <v>2025</v>
      </c>
      <c r="C1700" s="284" t="s">
        <v>821</v>
      </c>
      <c r="D1700" s="284" t="s">
        <v>132</v>
      </c>
      <c r="E1700" s="284" t="s">
        <v>981</v>
      </c>
      <c r="F1700" s="113" t="s">
        <v>906</v>
      </c>
    </row>
    <row r="1701" spans="1:6" ht="14.25" customHeight="1">
      <c r="A1701" s="285" t="s">
        <v>828</v>
      </c>
      <c r="B1701" s="285">
        <v>2025</v>
      </c>
      <c r="C1701" s="285" t="s">
        <v>821</v>
      </c>
      <c r="D1701" s="285" t="s">
        <v>132</v>
      </c>
      <c r="E1701" s="285" t="s">
        <v>1058</v>
      </c>
      <c r="F1701" s="113" t="s">
        <v>906</v>
      </c>
    </row>
    <row r="1702" spans="1:6" ht="14.25" customHeight="1">
      <c r="A1702" s="284" t="s">
        <v>828</v>
      </c>
      <c r="B1702" s="284">
        <v>2025</v>
      </c>
      <c r="C1702" s="284" t="s">
        <v>821</v>
      </c>
      <c r="D1702" s="284" t="s">
        <v>132</v>
      </c>
      <c r="E1702" s="285" t="s">
        <v>1058</v>
      </c>
      <c r="F1702" s="113" t="s">
        <v>906</v>
      </c>
    </row>
    <row r="1703" spans="1:6" ht="14.25" customHeight="1">
      <c r="A1703" s="285" t="s">
        <v>828</v>
      </c>
      <c r="B1703" s="285">
        <v>2025</v>
      </c>
      <c r="C1703" s="285" t="s">
        <v>821</v>
      </c>
      <c r="D1703" s="285" t="s">
        <v>132</v>
      </c>
      <c r="E1703" s="285" t="s">
        <v>1058</v>
      </c>
      <c r="F1703" s="113" t="s">
        <v>906</v>
      </c>
    </row>
    <row r="1704" spans="1:6" ht="14.25" customHeight="1">
      <c r="A1704" s="284" t="s">
        <v>828</v>
      </c>
      <c r="B1704" s="284">
        <v>2025</v>
      </c>
      <c r="C1704" s="284" t="s">
        <v>821</v>
      </c>
      <c r="D1704" s="284" t="s">
        <v>132</v>
      </c>
      <c r="E1704" s="284" t="s">
        <v>973</v>
      </c>
      <c r="F1704" s="113" t="s">
        <v>917</v>
      </c>
    </row>
    <row r="1705" spans="1:6" ht="14.25" customHeight="1">
      <c r="A1705" s="285" t="s">
        <v>828</v>
      </c>
      <c r="B1705" s="285">
        <v>2025</v>
      </c>
      <c r="C1705" s="285" t="s">
        <v>821</v>
      </c>
      <c r="D1705" s="285" t="s">
        <v>132</v>
      </c>
      <c r="E1705" s="113" t="s">
        <v>2</v>
      </c>
      <c r="F1705" s="113" t="s">
        <v>935</v>
      </c>
    </row>
    <row r="1706" spans="1:6" ht="14.25" customHeight="1">
      <c r="A1706" s="284" t="s">
        <v>828</v>
      </c>
      <c r="B1706" s="284">
        <v>2025</v>
      </c>
      <c r="C1706" s="284" t="s">
        <v>821</v>
      </c>
      <c r="D1706" s="284" t="s">
        <v>1033</v>
      </c>
      <c r="E1706" s="284" t="s">
        <v>1020</v>
      </c>
      <c r="F1706" s="113" t="s">
        <v>909</v>
      </c>
    </row>
    <row r="1707" spans="1:6" ht="14.25" customHeight="1">
      <c r="A1707" s="285" t="s">
        <v>828</v>
      </c>
      <c r="B1707" s="285">
        <v>2025</v>
      </c>
      <c r="C1707" s="285" t="s">
        <v>821</v>
      </c>
      <c r="D1707" s="285" t="s">
        <v>1033</v>
      </c>
      <c r="E1707" s="285" t="s">
        <v>973</v>
      </c>
      <c r="F1707" s="113" t="s">
        <v>917</v>
      </c>
    </row>
    <row r="1708" spans="1:6" ht="14.25" customHeight="1">
      <c r="A1708" s="284" t="s">
        <v>828</v>
      </c>
      <c r="B1708" s="284">
        <v>2025</v>
      </c>
      <c r="C1708" s="284" t="s">
        <v>821</v>
      </c>
      <c r="D1708" s="284" t="s">
        <v>976</v>
      </c>
      <c r="E1708" s="284" t="s">
        <v>1028</v>
      </c>
      <c r="F1708" s="113" t="s">
        <v>906</v>
      </c>
    </row>
    <row r="1709" spans="1:6" ht="14.25" customHeight="1">
      <c r="A1709" s="285" t="s">
        <v>828</v>
      </c>
      <c r="B1709" s="285">
        <v>2025</v>
      </c>
      <c r="C1709" s="285" t="s">
        <v>821</v>
      </c>
      <c r="D1709" s="285" t="s">
        <v>976</v>
      </c>
      <c r="E1709" s="285" t="s">
        <v>983</v>
      </c>
      <c r="F1709" s="113" t="s">
        <v>483</v>
      </c>
    </row>
    <row r="1710" spans="1:6" ht="14.25" customHeight="1">
      <c r="A1710" s="284" t="s">
        <v>828</v>
      </c>
      <c r="B1710" s="284">
        <v>2025</v>
      </c>
      <c r="C1710" s="284" t="s">
        <v>821</v>
      </c>
      <c r="D1710" s="284" t="s">
        <v>976</v>
      </c>
      <c r="E1710" s="113" t="s">
        <v>2</v>
      </c>
      <c r="F1710" s="113" t="s">
        <v>911</v>
      </c>
    </row>
    <row r="1711" spans="1:6" ht="14.25" customHeight="1">
      <c r="A1711" s="285" t="s">
        <v>828</v>
      </c>
      <c r="B1711" s="285">
        <v>2025</v>
      </c>
      <c r="C1711" s="285" t="s">
        <v>821</v>
      </c>
      <c r="D1711" s="285" t="s">
        <v>976</v>
      </c>
      <c r="E1711" s="285" t="s">
        <v>945</v>
      </c>
      <c r="F1711" s="113" t="s">
        <v>917</v>
      </c>
    </row>
    <row r="1712" spans="1:6" ht="14.25" customHeight="1">
      <c r="A1712" s="284" t="s">
        <v>828</v>
      </c>
      <c r="B1712" s="284">
        <v>2025</v>
      </c>
      <c r="C1712" s="284" t="s">
        <v>821</v>
      </c>
      <c r="D1712" s="284" t="s">
        <v>976</v>
      </c>
      <c r="E1712" s="284" t="s">
        <v>957</v>
      </c>
      <c r="F1712" s="113" t="s">
        <v>924</v>
      </c>
    </row>
    <row r="1713" spans="1:6" ht="14.25" customHeight="1">
      <c r="A1713" s="285" t="s">
        <v>828</v>
      </c>
      <c r="B1713" s="285">
        <v>2025</v>
      </c>
      <c r="C1713" s="285" t="s">
        <v>821</v>
      </c>
      <c r="D1713" s="285" t="s">
        <v>976</v>
      </c>
      <c r="E1713" s="285" t="s">
        <v>1047</v>
      </c>
      <c r="F1713" s="113" t="s">
        <v>924</v>
      </c>
    </row>
    <row r="1714" spans="1:6" ht="14.25" customHeight="1">
      <c r="A1714" s="284" t="s">
        <v>828</v>
      </c>
      <c r="B1714" s="284">
        <v>2025</v>
      </c>
      <c r="C1714" s="284" t="s">
        <v>821</v>
      </c>
      <c r="D1714" s="284" t="s">
        <v>976</v>
      </c>
      <c r="E1714" s="284" t="s">
        <v>992</v>
      </c>
      <c r="F1714" s="113" t="s">
        <v>922</v>
      </c>
    </row>
    <row r="1715" spans="1:6" ht="14.25" customHeight="1">
      <c r="A1715" s="285" t="s">
        <v>828</v>
      </c>
      <c r="B1715" s="285">
        <v>2025</v>
      </c>
      <c r="C1715" s="285" t="s">
        <v>821</v>
      </c>
      <c r="D1715" s="285" t="s">
        <v>931</v>
      </c>
      <c r="E1715" s="285" t="s">
        <v>1036</v>
      </c>
      <c r="F1715" s="113" t="s">
        <v>906</v>
      </c>
    </row>
    <row r="1716" spans="1:6" ht="14.25" customHeight="1">
      <c r="A1716" s="284" t="s">
        <v>828</v>
      </c>
      <c r="B1716" s="284">
        <v>2025</v>
      </c>
      <c r="C1716" s="284" t="s">
        <v>821</v>
      </c>
      <c r="D1716" s="284" t="s">
        <v>931</v>
      </c>
      <c r="E1716" s="284" t="s">
        <v>2</v>
      </c>
      <c r="F1716" s="113" t="s">
        <v>483</v>
      </c>
    </row>
    <row r="1717" spans="1:6" ht="14.25" customHeight="1">
      <c r="A1717" s="285" t="s">
        <v>828</v>
      </c>
      <c r="B1717" s="285">
        <v>2025</v>
      </c>
      <c r="C1717" s="285" t="s">
        <v>821</v>
      </c>
      <c r="D1717" s="285" t="s">
        <v>931</v>
      </c>
      <c r="E1717" s="284" t="s">
        <v>2</v>
      </c>
      <c r="F1717" s="113" t="s">
        <v>483</v>
      </c>
    </row>
    <row r="1718" spans="1:6" ht="14.25" customHeight="1">
      <c r="A1718" s="284" t="s">
        <v>828</v>
      </c>
      <c r="B1718" s="284">
        <v>2025</v>
      </c>
      <c r="C1718" s="284" t="s">
        <v>821</v>
      </c>
      <c r="D1718" s="284" t="s">
        <v>931</v>
      </c>
      <c r="E1718" s="284" t="s">
        <v>2</v>
      </c>
      <c r="F1718" s="113" t="s">
        <v>483</v>
      </c>
    </row>
    <row r="1719" spans="1:6" ht="14.25" customHeight="1">
      <c r="A1719" s="285" t="s">
        <v>828</v>
      </c>
      <c r="B1719" s="285">
        <v>2025</v>
      </c>
      <c r="C1719" s="285" t="s">
        <v>821</v>
      </c>
      <c r="D1719" s="285" t="s">
        <v>931</v>
      </c>
      <c r="E1719" s="285" t="s">
        <v>1085</v>
      </c>
      <c r="F1719" s="113" t="s">
        <v>917</v>
      </c>
    </row>
    <row r="1720" spans="1:6" ht="14.25" customHeight="1">
      <c r="A1720" s="284" t="s">
        <v>828</v>
      </c>
      <c r="B1720" s="284">
        <v>2025</v>
      </c>
      <c r="C1720" s="284" t="s">
        <v>821</v>
      </c>
      <c r="D1720" s="284" t="s">
        <v>934</v>
      </c>
      <c r="E1720" s="284" t="s">
        <v>1014</v>
      </c>
      <c r="F1720" s="113" t="s">
        <v>906</v>
      </c>
    </row>
    <row r="1721" spans="1:6" ht="14.25" customHeight="1">
      <c r="A1721" s="285" t="s">
        <v>828</v>
      </c>
      <c r="B1721" s="285">
        <v>2025</v>
      </c>
      <c r="C1721" s="285" t="s">
        <v>821</v>
      </c>
      <c r="D1721" s="285" t="s">
        <v>934</v>
      </c>
      <c r="E1721" s="285" t="s">
        <v>1131</v>
      </c>
      <c r="F1721" s="113" t="s">
        <v>483</v>
      </c>
    </row>
    <row r="1722" spans="1:6" ht="14.25" customHeight="1">
      <c r="A1722" s="284" t="s">
        <v>828</v>
      </c>
      <c r="B1722" s="284">
        <v>2025</v>
      </c>
      <c r="C1722" s="284" t="s">
        <v>821</v>
      </c>
      <c r="D1722" s="284" t="s">
        <v>934</v>
      </c>
      <c r="E1722" s="284" t="s">
        <v>1080</v>
      </c>
      <c r="F1722" s="113" t="s">
        <v>913</v>
      </c>
    </row>
    <row r="1723" spans="1:6" ht="14.25" customHeight="1">
      <c r="A1723" s="285" t="s">
        <v>828</v>
      </c>
      <c r="B1723" s="285">
        <v>2025</v>
      </c>
      <c r="C1723" s="285" t="s">
        <v>821</v>
      </c>
      <c r="D1723" s="285" t="s">
        <v>934</v>
      </c>
      <c r="E1723" s="285" t="s">
        <v>1163</v>
      </c>
      <c r="F1723" s="113" t="s">
        <v>913</v>
      </c>
    </row>
    <row r="1724" spans="1:6" ht="14.25" customHeight="1">
      <c r="A1724" s="284" t="s">
        <v>828</v>
      </c>
      <c r="B1724" s="284">
        <v>2025</v>
      </c>
      <c r="C1724" s="284" t="s">
        <v>821</v>
      </c>
      <c r="D1724" s="284" t="s">
        <v>934</v>
      </c>
      <c r="E1724" s="284" t="s">
        <v>1080</v>
      </c>
      <c r="F1724" s="113" t="s">
        <v>913</v>
      </c>
    </row>
    <row r="1725" spans="1:6" ht="14.25" customHeight="1">
      <c r="A1725" s="285" t="s">
        <v>828</v>
      </c>
      <c r="B1725" s="285">
        <v>2025</v>
      </c>
      <c r="C1725" s="285" t="s">
        <v>821</v>
      </c>
      <c r="D1725" s="285" t="s">
        <v>934</v>
      </c>
      <c r="E1725" s="285" t="s">
        <v>1163</v>
      </c>
      <c r="F1725" s="113" t="s">
        <v>913</v>
      </c>
    </row>
    <row r="1726" spans="1:6" ht="14.25" customHeight="1">
      <c r="A1726" s="284" t="s">
        <v>828</v>
      </c>
      <c r="B1726" s="284">
        <v>2025</v>
      </c>
      <c r="C1726" s="284" t="s">
        <v>821</v>
      </c>
      <c r="D1726" s="284" t="s">
        <v>934</v>
      </c>
      <c r="E1726" s="284" t="s">
        <v>1185</v>
      </c>
      <c r="F1726" s="113" t="s">
        <v>663</v>
      </c>
    </row>
    <row r="1727" spans="1:6" ht="14.25" customHeight="1">
      <c r="A1727" s="285" t="s">
        <v>828</v>
      </c>
      <c r="B1727" s="285">
        <v>2025</v>
      </c>
      <c r="C1727" s="285" t="s">
        <v>821</v>
      </c>
      <c r="D1727" s="285" t="s">
        <v>934</v>
      </c>
      <c r="E1727" s="285" t="s">
        <v>945</v>
      </c>
      <c r="F1727" s="113" t="s">
        <v>917</v>
      </c>
    </row>
    <row r="1728" spans="1:6" ht="14.25" customHeight="1">
      <c r="A1728" s="284" t="s">
        <v>828</v>
      </c>
      <c r="B1728" s="284">
        <v>2025</v>
      </c>
      <c r="C1728" s="284" t="s">
        <v>821</v>
      </c>
      <c r="D1728" s="284" t="s">
        <v>934</v>
      </c>
      <c r="E1728" s="284" t="s">
        <v>945</v>
      </c>
      <c r="F1728" s="113" t="s">
        <v>917</v>
      </c>
    </row>
    <row r="1729" spans="1:6" ht="14.25" customHeight="1">
      <c r="A1729" s="285" t="s">
        <v>828</v>
      </c>
      <c r="B1729" s="285">
        <v>2025</v>
      </c>
      <c r="C1729" s="285" t="s">
        <v>821</v>
      </c>
      <c r="D1729" s="285" t="s">
        <v>934</v>
      </c>
      <c r="E1729" s="285" t="s">
        <v>1056</v>
      </c>
      <c r="F1729" s="113" t="s">
        <v>917</v>
      </c>
    </row>
    <row r="1730" spans="1:6" ht="14.25" customHeight="1">
      <c r="A1730" s="284" t="s">
        <v>828</v>
      </c>
      <c r="B1730" s="284">
        <v>2025</v>
      </c>
      <c r="C1730" s="284" t="s">
        <v>821</v>
      </c>
      <c r="D1730" s="284" t="s">
        <v>934</v>
      </c>
      <c r="E1730" s="284" t="s">
        <v>974</v>
      </c>
      <c r="F1730" s="113" t="s">
        <v>917</v>
      </c>
    </row>
    <row r="1731" spans="1:6" ht="14.25" customHeight="1">
      <c r="A1731" s="285" t="s">
        <v>828</v>
      </c>
      <c r="B1731" s="285">
        <v>2025</v>
      </c>
      <c r="C1731" s="285" t="s">
        <v>821</v>
      </c>
      <c r="D1731" s="285" t="s">
        <v>934</v>
      </c>
      <c r="E1731" s="285" t="s">
        <v>973</v>
      </c>
      <c r="F1731" s="113" t="s">
        <v>917</v>
      </c>
    </row>
    <row r="1732" spans="1:6" ht="14.25" customHeight="1">
      <c r="A1732" s="284" t="s">
        <v>828</v>
      </c>
      <c r="B1732" s="284">
        <v>2025</v>
      </c>
      <c r="C1732" s="284" t="s">
        <v>821</v>
      </c>
      <c r="D1732" s="284" t="s">
        <v>934</v>
      </c>
      <c r="E1732" s="284" t="s">
        <v>951</v>
      </c>
      <c r="F1732" s="113" t="s">
        <v>917</v>
      </c>
    </row>
    <row r="1733" spans="1:6" ht="14.25" customHeight="1">
      <c r="A1733" s="285" t="s">
        <v>828</v>
      </c>
      <c r="B1733" s="285">
        <v>2025</v>
      </c>
      <c r="C1733" s="285" t="s">
        <v>821</v>
      </c>
      <c r="D1733" s="285" t="s">
        <v>934</v>
      </c>
      <c r="E1733" s="285" t="s">
        <v>1056</v>
      </c>
      <c r="F1733" s="113" t="s">
        <v>918</v>
      </c>
    </row>
    <row r="1734" spans="1:6" ht="14.25" customHeight="1">
      <c r="A1734" s="284" t="s">
        <v>828</v>
      </c>
      <c r="B1734" s="284">
        <v>2025</v>
      </c>
      <c r="C1734" s="284" t="s">
        <v>88</v>
      </c>
      <c r="D1734" s="284" t="s">
        <v>959</v>
      </c>
      <c r="E1734" s="284" t="s">
        <v>986</v>
      </c>
      <c r="F1734" s="113" t="s">
        <v>906</v>
      </c>
    </row>
    <row r="1735" spans="1:6" ht="14.25" customHeight="1">
      <c r="A1735" s="285" t="s">
        <v>828</v>
      </c>
      <c r="B1735" s="285">
        <v>2025</v>
      </c>
      <c r="C1735" s="285" t="s">
        <v>88</v>
      </c>
      <c r="D1735" s="285" t="s">
        <v>959</v>
      </c>
      <c r="E1735" s="285" t="s">
        <v>952</v>
      </c>
      <c r="F1735" s="113" t="s">
        <v>906</v>
      </c>
    </row>
    <row r="1736" spans="1:6" ht="14.25" customHeight="1">
      <c r="A1736" s="284" t="s">
        <v>828</v>
      </c>
      <c r="B1736" s="284">
        <v>2025</v>
      </c>
      <c r="C1736" s="284" t="s">
        <v>88</v>
      </c>
      <c r="D1736" s="284" t="s">
        <v>959</v>
      </c>
      <c r="E1736" s="284" t="s">
        <v>1041</v>
      </c>
      <c r="F1736" s="113" t="s">
        <v>906</v>
      </c>
    </row>
    <row r="1737" spans="1:6" ht="14.25" customHeight="1">
      <c r="A1737" s="285" t="s">
        <v>828</v>
      </c>
      <c r="B1737" s="285">
        <v>2025</v>
      </c>
      <c r="C1737" s="285" t="s">
        <v>88</v>
      </c>
      <c r="D1737" s="285" t="s">
        <v>959</v>
      </c>
      <c r="E1737" s="285" t="s">
        <v>1014</v>
      </c>
      <c r="F1737" s="113" t="s">
        <v>906</v>
      </c>
    </row>
    <row r="1738" spans="1:6" ht="14.25" customHeight="1">
      <c r="A1738" s="284" t="s">
        <v>828</v>
      </c>
      <c r="B1738" s="284">
        <v>2025</v>
      </c>
      <c r="C1738" s="284" t="s">
        <v>88</v>
      </c>
      <c r="D1738" s="284" t="s">
        <v>959</v>
      </c>
      <c r="E1738" s="284" t="s">
        <v>954</v>
      </c>
      <c r="F1738" s="113" t="s">
        <v>906</v>
      </c>
    </row>
    <row r="1739" spans="1:6" ht="14.25" customHeight="1">
      <c r="A1739" s="285" t="s">
        <v>828</v>
      </c>
      <c r="B1739" s="285">
        <v>2025</v>
      </c>
      <c r="C1739" s="285" t="s">
        <v>88</v>
      </c>
      <c r="D1739" s="285" t="s">
        <v>959</v>
      </c>
      <c r="E1739" s="285" t="s">
        <v>953</v>
      </c>
      <c r="F1739" s="113" t="s">
        <v>906</v>
      </c>
    </row>
    <row r="1740" spans="1:6" ht="14.25" customHeight="1">
      <c r="A1740" s="284" t="s">
        <v>828</v>
      </c>
      <c r="B1740" s="284">
        <v>2025</v>
      </c>
      <c r="C1740" s="284" t="s">
        <v>88</v>
      </c>
      <c r="D1740" s="284" t="s">
        <v>959</v>
      </c>
      <c r="E1740" s="284" t="s">
        <v>981</v>
      </c>
      <c r="F1740" s="113" t="s">
        <v>906</v>
      </c>
    </row>
    <row r="1741" spans="1:6" ht="14.25" customHeight="1">
      <c r="A1741" s="285" t="s">
        <v>828</v>
      </c>
      <c r="B1741" s="285">
        <v>2025</v>
      </c>
      <c r="C1741" s="285" t="s">
        <v>88</v>
      </c>
      <c r="D1741" s="285" t="s">
        <v>959</v>
      </c>
      <c r="E1741" s="285" t="s">
        <v>1040</v>
      </c>
      <c r="F1741" s="113" t="s">
        <v>906</v>
      </c>
    </row>
    <row r="1742" spans="1:6" ht="14.25" customHeight="1">
      <c r="A1742" s="284" t="s">
        <v>828</v>
      </c>
      <c r="B1742" s="284">
        <v>2025</v>
      </c>
      <c r="C1742" s="284" t="s">
        <v>88</v>
      </c>
      <c r="D1742" s="284" t="s">
        <v>959</v>
      </c>
      <c r="E1742" s="284" t="s">
        <v>1036</v>
      </c>
      <c r="F1742" s="113" t="s">
        <v>906</v>
      </c>
    </row>
    <row r="1743" spans="1:6" ht="14.25" customHeight="1">
      <c r="A1743" s="285" t="s">
        <v>828</v>
      </c>
      <c r="B1743" s="285">
        <v>2025</v>
      </c>
      <c r="C1743" s="285" t="s">
        <v>88</v>
      </c>
      <c r="D1743" s="285" t="s">
        <v>959</v>
      </c>
      <c r="E1743" s="285" t="s">
        <v>986</v>
      </c>
      <c r="F1743" s="113" t="s">
        <v>906</v>
      </c>
    </row>
    <row r="1744" spans="1:6" ht="14.25" customHeight="1">
      <c r="A1744" s="284" t="s">
        <v>828</v>
      </c>
      <c r="B1744" s="284">
        <v>2025</v>
      </c>
      <c r="C1744" s="284" t="s">
        <v>88</v>
      </c>
      <c r="D1744" s="284" t="s">
        <v>959</v>
      </c>
      <c r="E1744" s="284" t="s">
        <v>1125</v>
      </c>
      <c r="F1744" s="113" t="s">
        <v>483</v>
      </c>
    </row>
    <row r="1745" spans="1:6" ht="14.25" customHeight="1">
      <c r="A1745" s="285" t="s">
        <v>828</v>
      </c>
      <c r="B1745" s="285">
        <v>2025</v>
      </c>
      <c r="C1745" s="285" t="s">
        <v>88</v>
      </c>
      <c r="D1745" s="285" t="s">
        <v>959</v>
      </c>
      <c r="E1745" s="285" t="s">
        <v>947</v>
      </c>
      <c r="F1745" s="113" t="s">
        <v>913</v>
      </c>
    </row>
    <row r="1746" spans="1:6" ht="14.25" customHeight="1">
      <c r="A1746" s="284" t="s">
        <v>828</v>
      </c>
      <c r="B1746" s="284">
        <v>2025</v>
      </c>
      <c r="C1746" s="284" t="s">
        <v>88</v>
      </c>
      <c r="D1746" s="284" t="s">
        <v>959</v>
      </c>
      <c r="E1746" s="284" t="s">
        <v>962</v>
      </c>
      <c r="F1746" s="113" t="s">
        <v>913</v>
      </c>
    </row>
    <row r="1747" spans="1:6" ht="14.25" customHeight="1">
      <c r="A1747" s="285" t="s">
        <v>828</v>
      </c>
      <c r="B1747" s="285">
        <v>2025</v>
      </c>
      <c r="C1747" s="285" t="s">
        <v>88</v>
      </c>
      <c r="D1747" s="285" t="s">
        <v>959</v>
      </c>
      <c r="E1747" s="285" t="s">
        <v>947</v>
      </c>
      <c r="F1747" s="113" t="s">
        <v>913</v>
      </c>
    </row>
    <row r="1748" spans="1:6" ht="14.25" customHeight="1">
      <c r="A1748" s="284" t="s">
        <v>828</v>
      </c>
      <c r="B1748" s="284">
        <v>2025</v>
      </c>
      <c r="C1748" s="284" t="s">
        <v>88</v>
      </c>
      <c r="D1748" s="284" t="s">
        <v>959</v>
      </c>
      <c r="E1748" s="284" t="s">
        <v>1080</v>
      </c>
      <c r="F1748" s="113" t="s">
        <v>913</v>
      </c>
    </row>
    <row r="1749" spans="1:6" ht="14.25" customHeight="1">
      <c r="A1749" s="285" t="s">
        <v>828</v>
      </c>
      <c r="B1749" s="285">
        <v>2025</v>
      </c>
      <c r="C1749" s="285" t="s">
        <v>88</v>
      </c>
      <c r="D1749" s="285" t="s">
        <v>959</v>
      </c>
      <c r="E1749" s="285" t="s">
        <v>1133</v>
      </c>
      <c r="F1749" s="113" t="s">
        <v>663</v>
      </c>
    </row>
    <row r="1750" spans="1:6" ht="14.25" customHeight="1">
      <c r="A1750" s="284" t="s">
        <v>828</v>
      </c>
      <c r="B1750" s="284">
        <v>2025</v>
      </c>
      <c r="C1750" s="284" t="s">
        <v>88</v>
      </c>
      <c r="D1750" s="284" t="s">
        <v>959</v>
      </c>
      <c r="E1750" s="284" t="s">
        <v>1186</v>
      </c>
      <c r="F1750" s="113" t="s">
        <v>663</v>
      </c>
    </row>
    <row r="1751" spans="1:6" ht="14.25" customHeight="1">
      <c r="A1751" s="285" t="s">
        <v>828</v>
      </c>
      <c r="B1751" s="285">
        <v>2025</v>
      </c>
      <c r="C1751" s="285" t="s">
        <v>88</v>
      </c>
      <c r="D1751" s="285" t="s">
        <v>959</v>
      </c>
      <c r="E1751" s="285" t="s">
        <v>943</v>
      </c>
      <c r="F1751" s="113" t="s">
        <v>917</v>
      </c>
    </row>
    <row r="1752" spans="1:6" ht="14.25" customHeight="1">
      <c r="A1752" s="284" t="s">
        <v>828</v>
      </c>
      <c r="B1752" s="284">
        <v>2025</v>
      </c>
      <c r="C1752" s="284" t="s">
        <v>88</v>
      </c>
      <c r="D1752" s="284" t="s">
        <v>959</v>
      </c>
      <c r="E1752" s="284" t="s">
        <v>1006</v>
      </c>
      <c r="F1752" s="113" t="s">
        <v>917</v>
      </c>
    </row>
    <row r="1753" spans="1:6" ht="14.25" customHeight="1">
      <c r="A1753" s="285" t="s">
        <v>828</v>
      </c>
      <c r="B1753" s="285">
        <v>2025</v>
      </c>
      <c r="C1753" s="285" t="s">
        <v>88</v>
      </c>
      <c r="D1753" s="285" t="s">
        <v>959</v>
      </c>
      <c r="E1753" s="285" t="s">
        <v>1009</v>
      </c>
      <c r="F1753" s="113" t="s">
        <v>917</v>
      </c>
    </row>
    <row r="1754" spans="1:6" ht="14.25" customHeight="1">
      <c r="A1754" s="284" t="s">
        <v>828</v>
      </c>
      <c r="B1754" s="284">
        <v>2025</v>
      </c>
      <c r="C1754" s="284" t="s">
        <v>88</v>
      </c>
      <c r="D1754" s="284" t="s">
        <v>959</v>
      </c>
      <c r="E1754" s="284" t="s">
        <v>974</v>
      </c>
      <c r="F1754" s="113" t="s">
        <v>917</v>
      </c>
    </row>
    <row r="1755" spans="1:6" ht="14.25" customHeight="1">
      <c r="A1755" s="285" t="s">
        <v>828</v>
      </c>
      <c r="B1755" s="285">
        <v>2025</v>
      </c>
      <c r="C1755" s="285" t="s">
        <v>88</v>
      </c>
      <c r="D1755" s="285" t="s">
        <v>959</v>
      </c>
      <c r="E1755" s="285" t="s">
        <v>1062</v>
      </c>
      <c r="F1755" s="113" t="s">
        <v>922</v>
      </c>
    </row>
    <row r="1756" spans="1:6" ht="14.25" customHeight="1">
      <c r="A1756" s="284" t="s">
        <v>828</v>
      </c>
      <c r="B1756" s="284">
        <v>2025</v>
      </c>
      <c r="C1756" s="284" t="s">
        <v>88</v>
      </c>
      <c r="D1756" s="284" t="s">
        <v>959</v>
      </c>
      <c r="E1756" s="284" t="s">
        <v>1023</v>
      </c>
      <c r="F1756" s="113" t="s">
        <v>935</v>
      </c>
    </row>
    <row r="1757" spans="1:6" ht="14.25" customHeight="1">
      <c r="A1757" s="285" t="s">
        <v>828</v>
      </c>
      <c r="B1757" s="285">
        <v>2025</v>
      </c>
      <c r="C1757" s="285" t="s">
        <v>88</v>
      </c>
      <c r="D1757" s="285" t="s">
        <v>959</v>
      </c>
      <c r="E1757" s="285" t="s">
        <v>1100</v>
      </c>
      <c r="F1757" s="113" t="s">
        <v>935</v>
      </c>
    </row>
    <row r="1758" spans="1:6" ht="14.25" customHeight="1">
      <c r="A1758" s="284" t="s">
        <v>828</v>
      </c>
      <c r="B1758" s="284">
        <v>2025</v>
      </c>
      <c r="C1758" s="284" t="s">
        <v>88</v>
      </c>
      <c r="D1758" s="284" t="s">
        <v>959</v>
      </c>
      <c r="E1758" s="284" t="s">
        <v>990</v>
      </c>
      <c r="F1758" s="113" t="s">
        <v>935</v>
      </c>
    </row>
    <row r="1759" spans="1:6" ht="14.25" customHeight="1">
      <c r="A1759" s="285" t="s">
        <v>828</v>
      </c>
      <c r="B1759" s="285">
        <v>2025</v>
      </c>
      <c r="C1759" s="285" t="s">
        <v>88</v>
      </c>
      <c r="D1759" s="285" t="s">
        <v>959</v>
      </c>
      <c r="E1759" s="285" t="s">
        <v>1004</v>
      </c>
      <c r="F1759" s="113" t="s">
        <v>935</v>
      </c>
    </row>
    <row r="1760" spans="1:6" ht="14.25" customHeight="1">
      <c r="A1760" s="284" t="s">
        <v>828</v>
      </c>
      <c r="B1760" s="284">
        <v>2025</v>
      </c>
      <c r="C1760" s="284" t="s">
        <v>88</v>
      </c>
      <c r="D1760" s="284" t="s">
        <v>959</v>
      </c>
      <c r="E1760" s="284" t="s">
        <v>1090</v>
      </c>
      <c r="F1760" s="113" t="s">
        <v>935</v>
      </c>
    </row>
    <row r="1761" spans="1:6" ht="14.25" customHeight="1">
      <c r="A1761" s="285" t="s">
        <v>828</v>
      </c>
      <c r="B1761" s="285">
        <v>2025</v>
      </c>
      <c r="C1761" s="285" t="s">
        <v>88</v>
      </c>
      <c r="D1761" s="285" t="s">
        <v>988</v>
      </c>
      <c r="E1761" s="285" t="s">
        <v>954</v>
      </c>
      <c r="F1761" s="113" t="s">
        <v>906</v>
      </c>
    </row>
    <row r="1762" spans="1:6" ht="14.25" customHeight="1">
      <c r="A1762" s="284" t="s">
        <v>828</v>
      </c>
      <c r="B1762" s="284">
        <v>2025</v>
      </c>
      <c r="C1762" s="284" t="s">
        <v>88</v>
      </c>
      <c r="D1762" s="284" t="s">
        <v>988</v>
      </c>
      <c r="E1762" s="284" t="s">
        <v>1037</v>
      </c>
      <c r="F1762" s="113" t="s">
        <v>917</v>
      </c>
    </row>
    <row r="1763" spans="1:6" ht="14.25" customHeight="1">
      <c r="A1763" s="285" t="s">
        <v>828</v>
      </c>
      <c r="B1763" s="285">
        <v>2025</v>
      </c>
      <c r="C1763" s="285" t="s">
        <v>88</v>
      </c>
      <c r="D1763" s="285" t="s">
        <v>988</v>
      </c>
      <c r="E1763" s="285" t="s">
        <v>951</v>
      </c>
      <c r="F1763" s="113" t="s">
        <v>917</v>
      </c>
    </row>
    <row r="1764" spans="1:6" ht="14.25" customHeight="1">
      <c r="A1764" s="284" t="s">
        <v>828</v>
      </c>
      <c r="B1764" s="284">
        <v>2025</v>
      </c>
      <c r="C1764" s="284" t="s">
        <v>88</v>
      </c>
      <c r="D1764" s="284" t="s">
        <v>988</v>
      </c>
      <c r="E1764" s="284" t="s">
        <v>1187</v>
      </c>
      <c r="F1764" s="113" t="s">
        <v>783</v>
      </c>
    </row>
    <row r="1765" spans="1:6" ht="14.25" customHeight="1">
      <c r="A1765" s="285" t="s">
        <v>828</v>
      </c>
      <c r="B1765" s="285">
        <v>2025</v>
      </c>
      <c r="C1765" s="285" t="s">
        <v>88</v>
      </c>
      <c r="D1765" s="285" t="s">
        <v>988</v>
      </c>
      <c r="E1765" s="285" t="s">
        <v>1004</v>
      </c>
      <c r="F1765" s="113" t="s">
        <v>935</v>
      </c>
    </row>
    <row r="1766" spans="1:6" ht="14.25" customHeight="1">
      <c r="A1766" s="284" t="s">
        <v>828</v>
      </c>
      <c r="B1766" s="284">
        <v>2025</v>
      </c>
      <c r="C1766" s="284" t="s">
        <v>88</v>
      </c>
      <c r="D1766" s="284" t="s">
        <v>988</v>
      </c>
      <c r="E1766" s="284" t="s">
        <v>990</v>
      </c>
      <c r="F1766" s="113" t="s">
        <v>935</v>
      </c>
    </row>
    <row r="1767" spans="1:6" ht="14.25" customHeight="1">
      <c r="A1767" s="285" t="s">
        <v>828</v>
      </c>
      <c r="B1767" s="285">
        <v>2025</v>
      </c>
      <c r="C1767" s="285" t="s">
        <v>88</v>
      </c>
      <c r="D1767" s="285" t="s">
        <v>956</v>
      </c>
      <c r="E1767" s="285" t="s">
        <v>952</v>
      </c>
      <c r="F1767" s="113" t="s">
        <v>906</v>
      </c>
    </row>
    <row r="1768" spans="1:6" ht="14.25" customHeight="1">
      <c r="A1768" s="284" t="s">
        <v>828</v>
      </c>
      <c r="B1768" s="284">
        <v>2025</v>
      </c>
      <c r="C1768" s="284" t="s">
        <v>88</v>
      </c>
      <c r="D1768" s="284" t="s">
        <v>956</v>
      </c>
      <c r="E1768" s="284" t="s">
        <v>1041</v>
      </c>
      <c r="F1768" s="113" t="s">
        <v>906</v>
      </c>
    </row>
    <row r="1769" spans="1:6" ht="14.25" customHeight="1">
      <c r="A1769" s="285" t="s">
        <v>828</v>
      </c>
      <c r="B1769" s="285">
        <v>2025</v>
      </c>
      <c r="C1769" s="285" t="s">
        <v>88</v>
      </c>
      <c r="D1769" s="285" t="s">
        <v>956</v>
      </c>
      <c r="E1769" s="285" t="s">
        <v>949</v>
      </c>
      <c r="F1769" s="113" t="s">
        <v>924</v>
      </c>
    </row>
    <row r="1770" spans="1:6" ht="14.25" customHeight="1">
      <c r="A1770" s="284" t="s">
        <v>828</v>
      </c>
      <c r="B1770" s="284">
        <v>2025</v>
      </c>
      <c r="C1770" s="284" t="s">
        <v>88</v>
      </c>
      <c r="D1770" s="284" t="s">
        <v>969</v>
      </c>
      <c r="E1770" s="284" t="s">
        <v>986</v>
      </c>
      <c r="F1770" s="113" t="s">
        <v>906</v>
      </c>
    </row>
    <row r="1771" spans="1:6" ht="14.25" customHeight="1">
      <c r="A1771" s="285" t="s">
        <v>828</v>
      </c>
      <c r="B1771" s="285">
        <v>2025</v>
      </c>
      <c r="C1771" s="285" t="s">
        <v>88</v>
      </c>
      <c r="D1771" s="285" t="s">
        <v>969</v>
      </c>
      <c r="E1771" s="285" t="s">
        <v>952</v>
      </c>
      <c r="F1771" s="113" t="s">
        <v>906</v>
      </c>
    </row>
    <row r="1772" spans="1:6" ht="14.25" customHeight="1">
      <c r="A1772" s="284" t="s">
        <v>828</v>
      </c>
      <c r="B1772" s="284">
        <v>2025</v>
      </c>
      <c r="C1772" s="284" t="s">
        <v>88</v>
      </c>
      <c r="D1772" s="284" t="s">
        <v>969</v>
      </c>
      <c r="E1772" s="284" t="s">
        <v>991</v>
      </c>
      <c r="F1772" s="113" t="s">
        <v>906</v>
      </c>
    </row>
    <row r="1773" spans="1:6" ht="14.25" customHeight="1">
      <c r="A1773" s="285" t="s">
        <v>828</v>
      </c>
      <c r="B1773" s="285">
        <v>2025</v>
      </c>
      <c r="C1773" s="285" t="s">
        <v>88</v>
      </c>
      <c r="D1773" s="285" t="s">
        <v>969</v>
      </c>
      <c r="E1773" s="285" t="s">
        <v>1036</v>
      </c>
      <c r="F1773" s="113" t="s">
        <v>906</v>
      </c>
    </row>
    <row r="1774" spans="1:6" ht="14.25" customHeight="1">
      <c r="A1774" s="284" t="s">
        <v>828</v>
      </c>
      <c r="B1774" s="284">
        <v>2025</v>
      </c>
      <c r="C1774" s="284" t="s">
        <v>88</v>
      </c>
      <c r="D1774" s="284" t="s">
        <v>969</v>
      </c>
      <c r="E1774" s="284" t="s">
        <v>952</v>
      </c>
      <c r="F1774" s="113" t="s">
        <v>906</v>
      </c>
    </row>
    <row r="1775" spans="1:6" ht="14.25" customHeight="1">
      <c r="A1775" s="285" t="s">
        <v>828</v>
      </c>
      <c r="B1775" s="285">
        <v>2025</v>
      </c>
      <c r="C1775" s="285" t="s">
        <v>88</v>
      </c>
      <c r="D1775" s="285" t="s">
        <v>969</v>
      </c>
      <c r="E1775" s="285" t="s">
        <v>952</v>
      </c>
      <c r="F1775" s="113" t="s">
        <v>906</v>
      </c>
    </row>
    <row r="1776" spans="1:6" ht="14.25" customHeight="1">
      <c r="A1776" s="284" t="s">
        <v>828</v>
      </c>
      <c r="B1776" s="284">
        <v>2025</v>
      </c>
      <c r="C1776" s="284" t="s">
        <v>88</v>
      </c>
      <c r="D1776" s="284" t="s">
        <v>969</v>
      </c>
      <c r="E1776" s="284" t="s">
        <v>1014</v>
      </c>
      <c r="F1776" s="113" t="s">
        <v>906</v>
      </c>
    </row>
    <row r="1777" spans="1:6" ht="14.25" customHeight="1">
      <c r="A1777" s="285" t="s">
        <v>828</v>
      </c>
      <c r="B1777" s="285">
        <v>2025</v>
      </c>
      <c r="C1777" s="285" t="s">
        <v>88</v>
      </c>
      <c r="D1777" s="285" t="s">
        <v>969</v>
      </c>
      <c r="E1777" s="285" t="s">
        <v>1036</v>
      </c>
      <c r="F1777" s="113" t="s">
        <v>906</v>
      </c>
    </row>
    <row r="1778" spans="1:6" ht="14.25" customHeight="1">
      <c r="A1778" s="284" t="s">
        <v>828</v>
      </c>
      <c r="B1778" s="284">
        <v>2025</v>
      </c>
      <c r="C1778" s="284" t="s">
        <v>88</v>
      </c>
      <c r="D1778" s="284" t="s">
        <v>969</v>
      </c>
      <c r="E1778" s="284" t="s">
        <v>1014</v>
      </c>
      <c r="F1778" s="113" t="s">
        <v>906</v>
      </c>
    </row>
    <row r="1779" spans="1:6" ht="14.25" customHeight="1">
      <c r="A1779" s="285" t="s">
        <v>828</v>
      </c>
      <c r="B1779" s="285">
        <v>2025</v>
      </c>
      <c r="C1779" s="285" t="s">
        <v>88</v>
      </c>
      <c r="D1779" s="285" t="s">
        <v>969</v>
      </c>
      <c r="E1779" s="285" t="s">
        <v>983</v>
      </c>
      <c r="F1779" s="113" t="s">
        <v>483</v>
      </c>
    </row>
    <row r="1780" spans="1:6" ht="14.25" customHeight="1">
      <c r="A1780" s="284" t="s">
        <v>828</v>
      </c>
      <c r="B1780" s="284">
        <v>2025</v>
      </c>
      <c r="C1780" s="284" t="s">
        <v>88</v>
      </c>
      <c r="D1780" s="284" t="s">
        <v>969</v>
      </c>
      <c r="E1780" s="284" t="s">
        <v>1131</v>
      </c>
      <c r="F1780" s="113" t="s">
        <v>483</v>
      </c>
    </row>
    <row r="1781" spans="1:6" ht="14.25" customHeight="1">
      <c r="A1781" s="285" t="s">
        <v>828</v>
      </c>
      <c r="B1781" s="285">
        <v>2025</v>
      </c>
      <c r="C1781" s="285" t="s">
        <v>88</v>
      </c>
      <c r="D1781" s="285" t="s">
        <v>969</v>
      </c>
      <c r="E1781" s="285" t="s">
        <v>1096</v>
      </c>
      <c r="F1781" s="113" t="s">
        <v>909</v>
      </c>
    </row>
    <row r="1782" spans="1:6" ht="14.25" customHeight="1">
      <c r="A1782" s="284" t="s">
        <v>828</v>
      </c>
      <c r="B1782" s="284">
        <v>2025</v>
      </c>
      <c r="C1782" s="284" t="s">
        <v>88</v>
      </c>
      <c r="D1782" s="284" t="s">
        <v>969</v>
      </c>
      <c r="E1782" s="284" t="s">
        <v>971</v>
      </c>
      <c r="F1782" s="113" t="s">
        <v>909</v>
      </c>
    </row>
    <row r="1783" spans="1:6" ht="14.25" customHeight="1">
      <c r="A1783" s="285" t="s">
        <v>828</v>
      </c>
      <c r="B1783" s="285">
        <v>2025</v>
      </c>
      <c r="C1783" s="285" t="s">
        <v>88</v>
      </c>
      <c r="D1783" s="285" t="s">
        <v>969</v>
      </c>
      <c r="E1783" s="285" t="s">
        <v>939</v>
      </c>
      <c r="F1783" s="113" t="s">
        <v>909</v>
      </c>
    </row>
    <row r="1784" spans="1:6" ht="14.25" customHeight="1">
      <c r="A1784" s="284" t="s">
        <v>828</v>
      </c>
      <c r="B1784" s="284">
        <v>2025</v>
      </c>
      <c r="C1784" s="284" t="s">
        <v>88</v>
      </c>
      <c r="D1784" s="284" t="s">
        <v>969</v>
      </c>
      <c r="E1784" s="284" t="s">
        <v>1188</v>
      </c>
      <c r="F1784" s="113" t="s">
        <v>911</v>
      </c>
    </row>
    <row r="1785" spans="1:6" ht="14.25" customHeight="1">
      <c r="A1785" s="285" t="s">
        <v>828</v>
      </c>
      <c r="B1785" s="285">
        <v>2025</v>
      </c>
      <c r="C1785" s="285" t="s">
        <v>88</v>
      </c>
      <c r="D1785" s="285" t="s">
        <v>969</v>
      </c>
      <c r="E1785" s="285" t="s">
        <v>951</v>
      </c>
      <c r="F1785" s="113" t="s">
        <v>917</v>
      </c>
    </row>
    <row r="1786" spans="1:6" ht="14.25" customHeight="1">
      <c r="A1786" s="284" t="s">
        <v>828</v>
      </c>
      <c r="B1786" s="284">
        <v>2025</v>
      </c>
      <c r="C1786" s="284" t="s">
        <v>859</v>
      </c>
      <c r="D1786" s="284" t="s">
        <v>1005</v>
      </c>
      <c r="E1786" s="284" t="s">
        <v>1028</v>
      </c>
      <c r="F1786" s="113" t="s">
        <v>906</v>
      </c>
    </row>
    <row r="1787" spans="1:6" ht="14.25" customHeight="1">
      <c r="A1787" s="285" t="s">
        <v>828</v>
      </c>
      <c r="B1787" s="285">
        <v>2025</v>
      </c>
      <c r="C1787" s="285" t="s">
        <v>859</v>
      </c>
      <c r="D1787" s="285" t="s">
        <v>1005</v>
      </c>
      <c r="E1787" s="285" t="s">
        <v>975</v>
      </c>
      <c r="F1787" s="113" t="s">
        <v>483</v>
      </c>
    </row>
    <row r="1788" spans="1:6" ht="14.25" customHeight="1">
      <c r="A1788" s="284" t="s">
        <v>828</v>
      </c>
      <c r="B1788" s="284">
        <v>2025</v>
      </c>
      <c r="C1788" s="284" t="s">
        <v>859</v>
      </c>
      <c r="D1788" s="284" t="s">
        <v>1005</v>
      </c>
      <c r="E1788" s="284" t="s">
        <v>1118</v>
      </c>
      <c r="F1788" s="113" t="s">
        <v>909</v>
      </c>
    </row>
    <row r="1789" spans="1:6" ht="14.25" customHeight="1">
      <c r="A1789" s="285" t="s">
        <v>828</v>
      </c>
      <c r="B1789" s="285">
        <v>2025</v>
      </c>
      <c r="C1789" s="285" t="s">
        <v>859</v>
      </c>
      <c r="D1789" s="285" t="s">
        <v>1005</v>
      </c>
      <c r="E1789" s="285" t="s">
        <v>1102</v>
      </c>
      <c r="F1789" s="113" t="s">
        <v>909</v>
      </c>
    </row>
    <row r="1790" spans="1:6" ht="14.25" customHeight="1">
      <c r="A1790" s="284" t="s">
        <v>828</v>
      </c>
      <c r="B1790" s="284">
        <v>2025</v>
      </c>
      <c r="C1790" s="284" t="s">
        <v>859</v>
      </c>
      <c r="D1790" s="284" t="s">
        <v>1005</v>
      </c>
      <c r="E1790" s="284" t="s">
        <v>1062</v>
      </c>
      <c r="F1790" s="113" t="s">
        <v>922</v>
      </c>
    </row>
    <row r="1791" spans="1:6" ht="14.25" customHeight="1">
      <c r="A1791" s="285" t="s">
        <v>828</v>
      </c>
      <c r="B1791" s="285">
        <v>2025</v>
      </c>
      <c r="C1791" s="285" t="s">
        <v>859</v>
      </c>
      <c r="D1791" s="285" t="s">
        <v>999</v>
      </c>
      <c r="E1791" s="285" t="s">
        <v>1023</v>
      </c>
      <c r="F1791" s="113" t="s">
        <v>935</v>
      </c>
    </row>
    <row r="1792" spans="1:6" ht="14.25" customHeight="1">
      <c r="A1792" s="284" t="s">
        <v>828</v>
      </c>
      <c r="B1792" s="284">
        <v>2025</v>
      </c>
      <c r="C1792" s="284" t="s">
        <v>859</v>
      </c>
      <c r="D1792" s="284" t="s">
        <v>1000</v>
      </c>
      <c r="E1792" s="284" t="s">
        <v>952</v>
      </c>
      <c r="F1792" s="113" t="s">
        <v>906</v>
      </c>
    </row>
    <row r="1793" spans="1:6" ht="14.25" customHeight="1">
      <c r="A1793" s="285" t="s">
        <v>828</v>
      </c>
      <c r="B1793" s="285">
        <v>2025</v>
      </c>
      <c r="C1793" s="285" t="s">
        <v>859</v>
      </c>
      <c r="D1793" s="285" t="s">
        <v>1000</v>
      </c>
      <c r="E1793" s="285" t="s">
        <v>1041</v>
      </c>
      <c r="F1793" s="113" t="s">
        <v>906</v>
      </c>
    </row>
    <row r="1794" spans="1:6" ht="14.25" customHeight="1">
      <c r="A1794" s="284" t="s">
        <v>828</v>
      </c>
      <c r="B1794" s="284">
        <v>2025</v>
      </c>
      <c r="C1794" s="284" t="s">
        <v>859</v>
      </c>
      <c r="D1794" s="284" t="s">
        <v>1000</v>
      </c>
      <c r="E1794" s="284" t="s">
        <v>1086</v>
      </c>
      <c r="F1794" s="113" t="s">
        <v>909</v>
      </c>
    </row>
    <row r="1795" spans="1:6" ht="14.25" customHeight="1">
      <c r="A1795" s="285" t="s">
        <v>828</v>
      </c>
      <c r="B1795" s="285">
        <v>2025</v>
      </c>
      <c r="C1795" s="285" t="s">
        <v>859</v>
      </c>
      <c r="D1795" s="285" t="s">
        <v>1000</v>
      </c>
      <c r="E1795" s="285" t="s">
        <v>1081</v>
      </c>
      <c r="F1795" s="113" t="s">
        <v>911</v>
      </c>
    </row>
    <row r="1796" spans="1:6" ht="14.25" customHeight="1">
      <c r="A1796" s="284" t="s">
        <v>828</v>
      </c>
      <c r="B1796" s="284">
        <v>2025</v>
      </c>
      <c r="C1796" s="284" t="s">
        <v>859</v>
      </c>
      <c r="D1796" s="284" t="s">
        <v>1000</v>
      </c>
      <c r="E1796" s="284" t="s">
        <v>1188</v>
      </c>
      <c r="F1796" s="113" t="s">
        <v>911</v>
      </c>
    </row>
    <row r="1797" spans="1:6" ht="14.25" customHeight="1">
      <c r="A1797" s="285" t="s">
        <v>828</v>
      </c>
      <c r="B1797" s="285">
        <v>2025</v>
      </c>
      <c r="C1797" s="285" t="s">
        <v>859</v>
      </c>
      <c r="D1797" s="285" t="s">
        <v>1000</v>
      </c>
      <c r="E1797" s="285" t="s">
        <v>1087</v>
      </c>
      <c r="F1797" s="113" t="s">
        <v>663</v>
      </c>
    </row>
    <row r="1798" spans="1:6" ht="14.25" customHeight="1">
      <c r="A1798" s="284" t="s">
        <v>828</v>
      </c>
      <c r="B1798" s="284">
        <v>2025</v>
      </c>
      <c r="C1798" s="284" t="s">
        <v>859</v>
      </c>
      <c r="D1798" s="284" t="s">
        <v>1000</v>
      </c>
      <c r="E1798" s="284" t="s">
        <v>1047</v>
      </c>
      <c r="F1798" s="113" t="s">
        <v>924</v>
      </c>
    </row>
    <row r="1799" spans="1:6" ht="14.25" customHeight="1">
      <c r="A1799" s="285" t="s">
        <v>828</v>
      </c>
      <c r="B1799" s="285">
        <v>2025</v>
      </c>
      <c r="C1799" s="285" t="s">
        <v>859</v>
      </c>
      <c r="D1799" s="285" t="s">
        <v>1000</v>
      </c>
      <c r="E1799" s="285" t="s">
        <v>946</v>
      </c>
      <c r="F1799" s="113" t="s">
        <v>924</v>
      </c>
    </row>
    <row r="1800" spans="1:6" ht="14.25" customHeight="1">
      <c r="A1800" s="284" t="s">
        <v>828</v>
      </c>
      <c r="B1800" s="284">
        <v>2025</v>
      </c>
      <c r="C1800" s="284" t="s">
        <v>859</v>
      </c>
      <c r="D1800" s="284" t="s">
        <v>1000</v>
      </c>
      <c r="E1800" s="284" t="s">
        <v>1059</v>
      </c>
      <c r="F1800" s="113" t="s">
        <v>922</v>
      </c>
    </row>
    <row r="1801" spans="1:6" ht="14.25" customHeight="1">
      <c r="A1801" s="285" t="s">
        <v>828</v>
      </c>
      <c r="B1801" s="285">
        <v>2025</v>
      </c>
      <c r="C1801" s="285" t="s">
        <v>872</v>
      </c>
      <c r="D1801" s="285" t="s">
        <v>1018</v>
      </c>
      <c r="E1801" s="285" t="s">
        <v>952</v>
      </c>
      <c r="F1801" s="113" t="s">
        <v>906</v>
      </c>
    </row>
    <row r="1802" spans="1:6" ht="14.25" customHeight="1">
      <c r="A1802" s="284" t="s">
        <v>828</v>
      </c>
      <c r="B1802" s="284">
        <v>2025</v>
      </c>
      <c r="C1802" s="284" t="s">
        <v>872</v>
      </c>
      <c r="D1802" s="284" t="s">
        <v>1018</v>
      </c>
      <c r="E1802" s="284" t="s">
        <v>1041</v>
      </c>
      <c r="F1802" s="113" t="s">
        <v>906</v>
      </c>
    </row>
    <row r="1803" spans="1:6" ht="14.25" customHeight="1">
      <c r="A1803" s="285" t="s">
        <v>828</v>
      </c>
      <c r="B1803" s="285">
        <v>2025</v>
      </c>
      <c r="C1803" s="285" t="s">
        <v>872</v>
      </c>
      <c r="D1803" s="285" t="s">
        <v>1018</v>
      </c>
      <c r="E1803" s="285" t="s">
        <v>1002</v>
      </c>
      <c r="F1803" s="113" t="s">
        <v>483</v>
      </c>
    </row>
    <row r="1804" spans="1:6" ht="14.25" customHeight="1">
      <c r="A1804" s="284" t="s">
        <v>828</v>
      </c>
      <c r="B1804" s="284">
        <v>2025</v>
      </c>
      <c r="C1804" s="284" t="s">
        <v>872</v>
      </c>
      <c r="D1804" s="284" t="s">
        <v>1018</v>
      </c>
      <c r="E1804" s="284" t="s">
        <v>951</v>
      </c>
      <c r="F1804" s="113" t="s">
        <v>917</v>
      </c>
    </row>
    <row r="1805" spans="1:6" ht="14.25" customHeight="1">
      <c r="A1805" s="285" t="s">
        <v>828</v>
      </c>
      <c r="B1805" s="285">
        <v>2025</v>
      </c>
      <c r="C1805" s="285" t="s">
        <v>872</v>
      </c>
      <c r="D1805" s="285" t="s">
        <v>1018</v>
      </c>
      <c r="E1805" s="285" t="s">
        <v>1187</v>
      </c>
      <c r="F1805" s="113" t="s">
        <v>783</v>
      </c>
    </row>
    <row r="1806" spans="1:6" ht="14.25" customHeight="1">
      <c r="A1806" s="284" t="s">
        <v>828</v>
      </c>
      <c r="B1806" s="284">
        <v>2025</v>
      </c>
      <c r="C1806" s="284" t="s">
        <v>872</v>
      </c>
      <c r="D1806" s="284" t="s">
        <v>1018</v>
      </c>
      <c r="E1806" s="284" t="s">
        <v>1010</v>
      </c>
      <c r="F1806" s="113" t="s">
        <v>924</v>
      </c>
    </row>
    <row r="1807" spans="1:6" ht="14.25" customHeight="1">
      <c r="A1807" s="285" t="s">
        <v>828</v>
      </c>
      <c r="B1807" s="285">
        <v>2025</v>
      </c>
      <c r="C1807" s="285" t="s">
        <v>872</v>
      </c>
      <c r="D1807" s="285" t="s">
        <v>1018</v>
      </c>
      <c r="E1807" s="285" t="s">
        <v>990</v>
      </c>
      <c r="F1807" s="113" t="s">
        <v>935</v>
      </c>
    </row>
    <row r="1808" spans="1:6" ht="14.25" customHeight="1">
      <c r="A1808" s="284" t="s">
        <v>828</v>
      </c>
      <c r="B1808" s="284">
        <v>2025</v>
      </c>
      <c r="C1808" s="284" t="s">
        <v>872</v>
      </c>
      <c r="D1808" s="284" t="s">
        <v>1018</v>
      </c>
      <c r="E1808" s="284" t="s">
        <v>990</v>
      </c>
      <c r="F1808" s="113" t="s">
        <v>935</v>
      </c>
    </row>
    <row r="1809" spans="1:6" ht="14.25" customHeight="1">
      <c r="A1809" s="285" t="s">
        <v>828</v>
      </c>
      <c r="B1809" s="285">
        <v>2025</v>
      </c>
      <c r="C1809" s="285" t="s">
        <v>872</v>
      </c>
      <c r="D1809" s="285" t="s">
        <v>1013</v>
      </c>
      <c r="E1809" s="285" t="s">
        <v>1045</v>
      </c>
      <c r="F1809" s="113" t="s">
        <v>922</v>
      </c>
    </row>
    <row r="1810" spans="1:6" ht="14.25" customHeight="1">
      <c r="A1810" s="284" t="s">
        <v>828</v>
      </c>
      <c r="B1810" s="284">
        <v>2025</v>
      </c>
      <c r="C1810" s="284" t="s">
        <v>872</v>
      </c>
      <c r="D1810" s="284" t="s">
        <v>1013</v>
      </c>
      <c r="E1810" s="284" t="s">
        <v>1090</v>
      </c>
      <c r="F1810" s="113" t="s">
        <v>935</v>
      </c>
    </row>
    <row r="1811" spans="1:6" ht="14.25" customHeight="1">
      <c r="A1811" s="285" t="s">
        <v>828</v>
      </c>
      <c r="B1811" s="285">
        <v>2025</v>
      </c>
      <c r="C1811" s="285" t="s">
        <v>872</v>
      </c>
      <c r="D1811" s="285" t="s">
        <v>1012</v>
      </c>
      <c r="E1811" s="285" t="s">
        <v>1187</v>
      </c>
      <c r="F1811" s="113" t="s">
        <v>783</v>
      </c>
    </row>
    <row r="1812" spans="1:6" ht="14.25" customHeight="1">
      <c r="A1812" s="284" t="s">
        <v>828</v>
      </c>
      <c r="B1812" s="284">
        <v>2025</v>
      </c>
      <c r="C1812" s="284" t="s">
        <v>1024</v>
      </c>
      <c r="D1812" s="284" t="s">
        <v>1027</v>
      </c>
      <c r="E1812" s="284" t="s">
        <v>953</v>
      </c>
      <c r="F1812" s="113" t="s">
        <v>906</v>
      </c>
    </row>
    <row r="1813" spans="1:6" ht="14.25" customHeight="1">
      <c r="A1813" s="285" t="s">
        <v>828</v>
      </c>
      <c r="B1813" s="285">
        <v>2025</v>
      </c>
      <c r="C1813" s="285" t="s">
        <v>1024</v>
      </c>
      <c r="D1813" s="285" t="s">
        <v>1027</v>
      </c>
      <c r="E1813" s="285" t="s">
        <v>952</v>
      </c>
      <c r="F1813" s="113" t="s">
        <v>906</v>
      </c>
    </row>
    <row r="1814" spans="1:6" ht="14.25" customHeight="1">
      <c r="A1814" s="284" t="s">
        <v>828</v>
      </c>
      <c r="B1814" s="284">
        <v>2025</v>
      </c>
      <c r="C1814" s="284" t="s">
        <v>1024</v>
      </c>
      <c r="D1814" s="284" t="s">
        <v>1027</v>
      </c>
      <c r="E1814" s="284" t="s">
        <v>983</v>
      </c>
      <c r="F1814" s="113" t="s">
        <v>483</v>
      </c>
    </row>
    <row r="1815" spans="1:6" ht="14.25" customHeight="1">
      <c r="A1815" s="285" t="s">
        <v>828</v>
      </c>
      <c r="B1815" s="285">
        <v>2025</v>
      </c>
      <c r="C1815" s="285" t="s">
        <v>1024</v>
      </c>
      <c r="D1815" s="285" t="s">
        <v>1027</v>
      </c>
      <c r="E1815" s="285" t="s">
        <v>1131</v>
      </c>
      <c r="F1815" s="113" t="s">
        <v>483</v>
      </c>
    </row>
    <row r="1816" spans="1:6" ht="14.25" customHeight="1">
      <c r="A1816" s="284" t="s">
        <v>828</v>
      </c>
      <c r="B1816" s="284">
        <v>2025</v>
      </c>
      <c r="C1816" s="284" t="s">
        <v>1024</v>
      </c>
      <c r="D1816" s="284" t="s">
        <v>1027</v>
      </c>
      <c r="E1816" s="284" t="s">
        <v>1100</v>
      </c>
      <c r="F1816" s="113" t="s">
        <v>935</v>
      </c>
    </row>
    <row r="1817" spans="1:6" ht="14.25" customHeight="1">
      <c r="A1817" s="285" t="s">
        <v>828</v>
      </c>
      <c r="B1817" s="285">
        <v>2025</v>
      </c>
      <c r="C1817" s="285" t="s">
        <v>1024</v>
      </c>
      <c r="D1817" s="285" t="s">
        <v>1026</v>
      </c>
      <c r="E1817" s="285" t="s">
        <v>1014</v>
      </c>
      <c r="F1817" s="113" t="s">
        <v>906</v>
      </c>
    </row>
    <row r="1818" spans="1:6" ht="14.25" customHeight="1">
      <c r="A1818" s="284" t="s">
        <v>828</v>
      </c>
      <c r="B1818" s="284">
        <v>2025</v>
      </c>
      <c r="C1818" s="284" t="s">
        <v>1024</v>
      </c>
      <c r="D1818" s="284" t="s">
        <v>1026</v>
      </c>
      <c r="E1818" s="284" t="s">
        <v>991</v>
      </c>
      <c r="F1818" s="113" t="s">
        <v>906</v>
      </c>
    </row>
    <row r="1819" spans="1:6" ht="14.25" customHeight="1">
      <c r="A1819" s="285" t="s">
        <v>828</v>
      </c>
      <c r="B1819" s="285">
        <v>2025</v>
      </c>
      <c r="C1819" s="285" t="s">
        <v>1024</v>
      </c>
      <c r="D1819" s="285" t="s">
        <v>1026</v>
      </c>
      <c r="E1819" s="285" t="s">
        <v>939</v>
      </c>
      <c r="F1819" s="113" t="s">
        <v>909</v>
      </c>
    </row>
    <row r="1820" spans="1:6" ht="14.25" customHeight="1">
      <c r="A1820" s="284" t="s">
        <v>828</v>
      </c>
      <c r="B1820" s="284">
        <v>2025</v>
      </c>
      <c r="C1820" s="284" t="s">
        <v>1024</v>
      </c>
      <c r="D1820" s="284" t="s">
        <v>1026</v>
      </c>
      <c r="E1820" s="284" t="s">
        <v>1021</v>
      </c>
      <c r="F1820" s="113" t="s">
        <v>663</v>
      </c>
    </row>
    <row r="1821" spans="1:6" ht="14.25" customHeight="1">
      <c r="A1821" s="285" t="s">
        <v>828</v>
      </c>
      <c r="B1821" s="285">
        <v>2025</v>
      </c>
      <c r="C1821" s="285" t="s">
        <v>1024</v>
      </c>
      <c r="D1821" s="285" t="s">
        <v>1026</v>
      </c>
      <c r="E1821" s="285" t="s">
        <v>1023</v>
      </c>
      <c r="F1821" s="113" t="s">
        <v>935</v>
      </c>
    </row>
    <row r="1822" spans="1:6" ht="14.25" customHeight="1">
      <c r="A1822" s="284" t="s">
        <v>828</v>
      </c>
      <c r="B1822" s="284">
        <v>2025</v>
      </c>
      <c r="C1822" s="284" t="s">
        <v>1024</v>
      </c>
      <c r="D1822" s="284" t="s">
        <v>1142</v>
      </c>
      <c r="E1822" s="284" t="s">
        <v>1189</v>
      </c>
      <c r="F1822" s="113" t="s">
        <v>574</v>
      </c>
    </row>
    <row r="1823" spans="1:6" ht="14.25" customHeight="1">
      <c r="A1823" s="285" t="s">
        <v>829</v>
      </c>
      <c r="B1823" s="285">
        <v>2025</v>
      </c>
      <c r="C1823" s="285" t="s">
        <v>821</v>
      </c>
      <c r="D1823" s="285" t="s">
        <v>132</v>
      </c>
      <c r="E1823" s="285" t="s">
        <v>952</v>
      </c>
      <c r="F1823" s="113" t="s">
        <v>906</v>
      </c>
    </row>
    <row r="1824" spans="1:6" ht="14.25" customHeight="1">
      <c r="A1824" s="284" t="s">
        <v>829</v>
      </c>
      <c r="B1824" s="284">
        <v>2025</v>
      </c>
      <c r="C1824" s="284" t="s">
        <v>821</v>
      </c>
      <c r="D1824" s="284" t="s">
        <v>132</v>
      </c>
      <c r="E1824" s="284" t="s">
        <v>1040</v>
      </c>
      <c r="F1824" s="113" t="s">
        <v>906</v>
      </c>
    </row>
    <row r="1825" spans="1:6" ht="14.25" customHeight="1">
      <c r="A1825" s="285" t="s">
        <v>829</v>
      </c>
      <c r="B1825" s="285">
        <v>2025</v>
      </c>
      <c r="C1825" s="285" t="s">
        <v>821</v>
      </c>
      <c r="D1825" s="285" t="s">
        <v>1033</v>
      </c>
      <c r="E1825" s="285" t="s">
        <v>1075</v>
      </c>
      <c r="F1825" s="113" t="s">
        <v>483</v>
      </c>
    </row>
    <row r="1826" spans="1:6" ht="14.25" customHeight="1">
      <c r="A1826" s="284" t="s">
        <v>829</v>
      </c>
      <c r="B1826" s="284">
        <v>2025</v>
      </c>
      <c r="C1826" s="284" t="s">
        <v>821</v>
      </c>
      <c r="D1826" s="284" t="s">
        <v>976</v>
      </c>
      <c r="E1826" s="284" t="s">
        <v>1036</v>
      </c>
      <c r="F1826" s="113" t="s">
        <v>906</v>
      </c>
    </row>
    <row r="1827" spans="1:6" ht="14.25" customHeight="1">
      <c r="A1827" s="285" t="s">
        <v>829</v>
      </c>
      <c r="B1827" s="285">
        <v>2025</v>
      </c>
      <c r="C1827" s="285" t="s">
        <v>821</v>
      </c>
      <c r="D1827" s="285" t="s">
        <v>976</v>
      </c>
      <c r="E1827" s="285" t="s">
        <v>1036</v>
      </c>
      <c r="F1827" s="113" t="s">
        <v>906</v>
      </c>
    </row>
    <row r="1828" spans="1:6" ht="14.25" customHeight="1">
      <c r="A1828" s="284" t="s">
        <v>829</v>
      </c>
      <c r="B1828" s="284">
        <v>2025</v>
      </c>
      <c r="C1828" s="284" t="s">
        <v>821</v>
      </c>
      <c r="D1828" s="284" t="s">
        <v>976</v>
      </c>
      <c r="E1828" s="284" t="s">
        <v>1153</v>
      </c>
      <c r="F1828" s="113" t="s">
        <v>483</v>
      </c>
    </row>
    <row r="1829" spans="1:6" ht="14.25" customHeight="1">
      <c r="A1829" s="285" t="s">
        <v>829</v>
      </c>
      <c r="B1829" s="285">
        <v>2025</v>
      </c>
      <c r="C1829" s="285" t="s">
        <v>821</v>
      </c>
      <c r="D1829" s="285" t="s">
        <v>976</v>
      </c>
      <c r="E1829" s="285" t="s">
        <v>2</v>
      </c>
      <c r="F1829" s="113" t="s">
        <v>483</v>
      </c>
    </row>
    <row r="1830" spans="1:6" ht="14.25" customHeight="1">
      <c r="A1830" s="284" t="s">
        <v>829</v>
      </c>
      <c r="B1830" s="284">
        <v>2025</v>
      </c>
      <c r="C1830" s="284" t="s">
        <v>821</v>
      </c>
      <c r="D1830" s="284" t="s">
        <v>976</v>
      </c>
      <c r="E1830" s="113" t="s">
        <v>2</v>
      </c>
      <c r="F1830" s="113" t="s">
        <v>911</v>
      </c>
    </row>
    <row r="1831" spans="1:6" ht="14.25" customHeight="1">
      <c r="A1831" s="285" t="s">
        <v>829</v>
      </c>
      <c r="B1831" s="285">
        <v>2025</v>
      </c>
      <c r="C1831" s="285" t="s">
        <v>821</v>
      </c>
      <c r="D1831" s="285" t="s">
        <v>976</v>
      </c>
      <c r="E1831" s="285" t="s">
        <v>994</v>
      </c>
      <c r="F1831" s="113" t="s">
        <v>663</v>
      </c>
    </row>
    <row r="1832" spans="1:6" ht="14.25" customHeight="1">
      <c r="A1832" s="284" t="s">
        <v>829</v>
      </c>
      <c r="B1832" s="284">
        <v>2025</v>
      </c>
      <c r="C1832" s="284" t="s">
        <v>821</v>
      </c>
      <c r="D1832" s="284" t="s">
        <v>976</v>
      </c>
      <c r="E1832" s="284" t="s">
        <v>1048</v>
      </c>
      <c r="F1832" s="113" t="s">
        <v>783</v>
      </c>
    </row>
    <row r="1833" spans="1:6" ht="14.25" customHeight="1">
      <c r="A1833" s="285" t="s">
        <v>829</v>
      </c>
      <c r="B1833" s="285">
        <v>2025</v>
      </c>
      <c r="C1833" s="285" t="s">
        <v>821</v>
      </c>
      <c r="D1833" s="285" t="s">
        <v>976</v>
      </c>
      <c r="E1833" s="285" t="s">
        <v>1190</v>
      </c>
      <c r="F1833" s="113" t="s">
        <v>924</v>
      </c>
    </row>
    <row r="1834" spans="1:6" ht="14.25" customHeight="1">
      <c r="A1834" s="284" t="s">
        <v>829</v>
      </c>
      <c r="B1834" s="284">
        <v>2025</v>
      </c>
      <c r="C1834" s="284" t="s">
        <v>821</v>
      </c>
      <c r="D1834" s="284" t="s">
        <v>931</v>
      </c>
      <c r="E1834" s="284" t="s">
        <v>1159</v>
      </c>
      <c r="F1834" s="113" t="s">
        <v>483</v>
      </c>
    </row>
    <row r="1835" spans="1:6" ht="14.25" customHeight="1">
      <c r="A1835" s="285" t="s">
        <v>829</v>
      </c>
      <c r="B1835" s="285">
        <v>2025</v>
      </c>
      <c r="C1835" s="285" t="s">
        <v>821</v>
      </c>
      <c r="D1835" s="285" t="s">
        <v>931</v>
      </c>
      <c r="E1835" s="285" t="s">
        <v>1052</v>
      </c>
      <c r="F1835" s="113" t="s">
        <v>909</v>
      </c>
    </row>
    <row r="1836" spans="1:6" ht="14.25" customHeight="1">
      <c r="A1836" s="284" t="s">
        <v>829</v>
      </c>
      <c r="B1836" s="284">
        <v>2025</v>
      </c>
      <c r="C1836" s="284" t="s">
        <v>821</v>
      </c>
      <c r="D1836" s="284" t="s">
        <v>931</v>
      </c>
      <c r="E1836" s="284" t="s">
        <v>1056</v>
      </c>
      <c r="F1836" s="113" t="s">
        <v>917</v>
      </c>
    </row>
    <row r="1837" spans="1:6" ht="14.25" customHeight="1">
      <c r="A1837" s="285" t="s">
        <v>829</v>
      </c>
      <c r="B1837" s="285">
        <v>2025</v>
      </c>
      <c r="C1837" s="285" t="s">
        <v>821</v>
      </c>
      <c r="D1837" s="285" t="s">
        <v>934</v>
      </c>
      <c r="E1837" s="285" t="s">
        <v>952</v>
      </c>
      <c r="F1837" s="113" t="s">
        <v>906</v>
      </c>
    </row>
    <row r="1838" spans="1:6" ht="14.25" customHeight="1">
      <c r="A1838" s="284" t="s">
        <v>829</v>
      </c>
      <c r="B1838" s="284">
        <v>2025</v>
      </c>
      <c r="C1838" s="284" t="s">
        <v>821</v>
      </c>
      <c r="D1838" s="284" t="s">
        <v>934</v>
      </c>
      <c r="E1838" s="284" t="s">
        <v>1014</v>
      </c>
      <c r="F1838" s="113" t="s">
        <v>906</v>
      </c>
    </row>
    <row r="1839" spans="1:6" ht="14.25" customHeight="1">
      <c r="A1839" s="285" t="s">
        <v>829</v>
      </c>
      <c r="B1839" s="285">
        <v>2025</v>
      </c>
      <c r="C1839" s="285" t="s">
        <v>821</v>
      </c>
      <c r="D1839" s="285" t="s">
        <v>934</v>
      </c>
      <c r="E1839" s="285" t="s">
        <v>952</v>
      </c>
      <c r="F1839" s="113" t="s">
        <v>906</v>
      </c>
    </row>
    <row r="1840" spans="1:6" ht="14.25" customHeight="1">
      <c r="A1840" s="284" t="s">
        <v>829</v>
      </c>
      <c r="B1840" s="284">
        <v>2025</v>
      </c>
      <c r="C1840" s="284" t="s">
        <v>821</v>
      </c>
      <c r="D1840" s="284" t="s">
        <v>934</v>
      </c>
      <c r="E1840" s="284" t="s">
        <v>1093</v>
      </c>
      <c r="F1840" s="113" t="s">
        <v>911</v>
      </c>
    </row>
    <row r="1841" spans="1:6" ht="14.25" customHeight="1">
      <c r="A1841" s="285" t="s">
        <v>829</v>
      </c>
      <c r="B1841" s="285">
        <v>2025</v>
      </c>
      <c r="C1841" s="285" t="s">
        <v>821</v>
      </c>
      <c r="D1841" s="285" t="s">
        <v>934</v>
      </c>
      <c r="E1841" s="285" t="s">
        <v>1057</v>
      </c>
      <c r="F1841" s="113" t="s">
        <v>663</v>
      </c>
    </row>
    <row r="1842" spans="1:6" ht="14.25" customHeight="1">
      <c r="A1842" s="284" t="s">
        <v>829</v>
      </c>
      <c r="B1842" s="284">
        <v>2025</v>
      </c>
      <c r="C1842" s="284" t="s">
        <v>821</v>
      </c>
      <c r="D1842" s="284" t="s">
        <v>934</v>
      </c>
      <c r="E1842" s="284" t="s">
        <v>947</v>
      </c>
      <c r="F1842" s="113" t="s">
        <v>913</v>
      </c>
    </row>
    <row r="1843" spans="1:6" ht="14.25" customHeight="1">
      <c r="A1843" s="285" t="s">
        <v>829</v>
      </c>
      <c r="B1843" s="285">
        <v>2025</v>
      </c>
      <c r="C1843" s="285" t="s">
        <v>821</v>
      </c>
      <c r="D1843" s="285" t="s">
        <v>934</v>
      </c>
      <c r="E1843" s="285" t="s">
        <v>1008</v>
      </c>
      <c r="F1843" s="113" t="s">
        <v>913</v>
      </c>
    </row>
    <row r="1844" spans="1:6" ht="14.25" customHeight="1">
      <c r="A1844" s="284" t="s">
        <v>829</v>
      </c>
      <c r="B1844" s="284">
        <v>2025</v>
      </c>
      <c r="C1844" s="284" t="s">
        <v>821</v>
      </c>
      <c r="D1844" s="284" t="s">
        <v>934</v>
      </c>
      <c r="E1844" s="284" t="s">
        <v>1080</v>
      </c>
      <c r="F1844" s="113" t="s">
        <v>913</v>
      </c>
    </row>
    <row r="1845" spans="1:6" ht="14.25" customHeight="1">
      <c r="A1845" s="285" t="s">
        <v>829</v>
      </c>
      <c r="B1845" s="285">
        <v>2025</v>
      </c>
      <c r="C1845" s="285" t="s">
        <v>821</v>
      </c>
      <c r="D1845" s="285" t="s">
        <v>934</v>
      </c>
      <c r="E1845" s="113" t="s">
        <v>2</v>
      </c>
      <c r="F1845" s="113" t="s">
        <v>663</v>
      </c>
    </row>
    <row r="1846" spans="1:6" ht="14.25" customHeight="1">
      <c r="A1846" s="284" t="s">
        <v>829</v>
      </c>
      <c r="B1846" s="284">
        <v>2025</v>
      </c>
      <c r="C1846" s="284" t="s">
        <v>821</v>
      </c>
      <c r="D1846" s="284" t="s">
        <v>934</v>
      </c>
      <c r="E1846" s="284" t="s">
        <v>938</v>
      </c>
      <c r="F1846" s="113" t="s">
        <v>663</v>
      </c>
    </row>
    <row r="1847" spans="1:6" ht="14.25" customHeight="1">
      <c r="A1847" s="285" t="s">
        <v>829</v>
      </c>
      <c r="B1847" s="285">
        <v>2025</v>
      </c>
      <c r="C1847" s="285" t="s">
        <v>821</v>
      </c>
      <c r="D1847" s="285" t="s">
        <v>934</v>
      </c>
      <c r="E1847" s="285" t="s">
        <v>973</v>
      </c>
      <c r="F1847" s="113" t="s">
        <v>917</v>
      </c>
    </row>
    <row r="1848" spans="1:6" ht="14.25" customHeight="1">
      <c r="A1848" s="284" t="s">
        <v>829</v>
      </c>
      <c r="B1848" s="284">
        <v>2025</v>
      </c>
      <c r="C1848" s="284" t="s">
        <v>821</v>
      </c>
      <c r="D1848" s="284" t="s">
        <v>934</v>
      </c>
      <c r="E1848" s="284" t="s">
        <v>973</v>
      </c>
      <c r="F1848" s="113" t="s">
        <v>917</v>
      </c>
    </row>
    <row r="1849" spans="1:6" ht="14.25" customHeight="1">
      <c r="A1849" s="285" t="s">
        <v>829</v>
      </c>
      <c r="B1849" s="285">
        <v>2025</v>
      </c>
      <c r="C1849" s="285" t="s">
        <v>821</v>
      </c>
      <c r="D1849" s="285" t="s">
        <v>934</v>
      </c>
      <c r="E1849" s="113" t="s">
        <v>2</v>
      </c>
      <c r="F1849" s="113" t="s">
        <v>918</v>
      </c>
    </row>
    <row r="1850" spans="1:6" ht="14.25" customHeight="1">
      <c r="A1850" s="284" t="s">
        <v>829</v>
      </c>
      <c r="B1850" s="284">
        <v>2025</v>
      </c>
      <c r="C1850" s="284" t="s">
        <v>821</v>
      </c>
      <c r="D1850" s="284" t="s">
        <v>934</v>
      </c>
      <c r="E1850" s="113" t="s">
        <v>2</v>
      </c>
      <c r="F1850" s="113" t="s">
        <v>935</v>
      </c>
    </row>
    <row r="1851" spans="1:6" ht="14.25" customHeight="1">
      <c r="A1851" s="285" t="s">
        <v>829</v>
      </c>
      <c r="B1851" s="285">
        <v>2025</v>
      </c>
      <c r="C1851" s="285" t="s">
        <v>821</v>
      </c>
      <c r="D1851" s="285" t="s">
        <v>934</v>
      </c>
      <c r="E1851" s="113" t="s">
        <v>2</v>
      </c>
      <c r="F1851" s="113" t="s">
        <v>924</v>
      </c>
    </row>
    <row r="1852" spans="1:6" ht="14.25" customHeight="1">
      <c r="A1852" s="284" t="s">
        <v>829</v>
      </c>
      <c r="B1852" s="284">
        <v>2025</v>
      </c>
      <c r="C1852" s="284" t="s">
        <v>88</v>
      </c>
      <c r="D1852" s="284" t="s">
        <v>959</v>
      </c>
      <c r="E1852" s="284" t="s">
        <v>991</v>
      </c>
      <c r="F1852" s="113" t="s">
        <v>906</v>
      </c>
    </row>
    <row r="1853" spans="1:6" ht="14.25" customHeight="1">
      <c r="A1853" s="285" t="s">
        <v>829</v>
      </c>
      <c r="B1853" s="285">
        <v>2025</v>
      </c>
      <c r="C1853" s="285" t="s">
        <v>88</v>
      </c>
      <c r="D1853" s="285" t="s">
        <v>959</v>
      </c>
      <c r="E1853" s="285" t="s">
        <v>981</v>
      </c>
      <c r="F1853" s="113" t="s">
        <v>906</v>
      </c>
    </row>
    <row r="1854" spans="1:6" ht="14.25" customHeight="1">
      <c r="A1854" s="284" t="s">
        <v>829</v>
      </c>
      <c r="B1854" s="284">
        <v>2025</v>
      </c>
      <c r="C1854" s="284" t="s">
        <v>88</v>
      </c>
      <c r="D1854" s="284" t="s">
        <v>959</v>
      </c>
      <c r="E1854" s="284" t="s">
        <v>1003</v>
      </c>
      <c r="F1854" s="113" t="s">
        <v>483</v>
      </c>
    </row>
    <row r="1855" spans="1:6" ht="14.25" customHeight="1">
      <c r="A1855" s="285" t="s">
        <v>829</v>
      </c>
      <c r="B1855" s="285">
        <v>2025</v>
      </c>
      <c r="C1855" s="285" t="s">
        <v>88</v>
      </c>
      <c r="D1855" s="285" t="s">
        <v>959</v>
      </c>
      <c r="E1855" s="285" t="s">
        <v>1043</v>
      </c>
      <c r="F1855" s="113" t="s">
        <v>913</v>
      </c>
    </row>
    <row r="1856" spans="1:6" ht="14.25" customHeight="1">
      <c r="A1856" s="284" t="s">
        <v>829</v>
      </c>
      <c r="B1856" s="284">
        <v>2025</v>
      </c>
      <c r="C1856" s="284" t="s">
        <v>88</v>
      </c>
      <c r="D1856" s="284" t="s">
        <v>959</v>
      </c>
      <c r="E1856" s="284" t="s">
        <v>1008</v>
      </c>
      <c r="F1856" s="113" t="s">
        <v>913</v>
      </c>
    </row>
    <row r="1857" spans="1:6" ht="14.25" customHeight="1">
      <c r="A1857" s="285" t="s">
        <v>829</v>
      </c>
      <c r="B1857" s="285">
        <v>2025</v>
      </c>
      <c r="C1857" s="285" t="s">
        <v>88</v>
      </c>
      <c r="D1857" s="285" t="s">
        <v>959</v>
      </c>
      <c r="E1857" s="285" t="s">
        <v>962</v>
      </c>
      <c r="F1857" s="113" t="s">
        <v>913</v>
      </c>
    </row>
    <row r="1858" spans="1:6" ht="14.25" customHeight="1">
      <c r="A1858" s="284" t="s">
        <v>829</v>
      </c>
      <c r="B1858" s="284">
        <v>2025</v>
      </c>
      <c r="C1858" s="284" t="s">
        <v>88</v>
      </c>
      <c r="D1858" s="284" t="s">
        <v>959</v>
      </c>
      <c r="E1858" s="284" t="s">
        <v>1080</v>
      </c>
      <c r="F1858" s="113" t="s">
        <v>913</v>
      </c>
    </row>
    <row r="1859" spans="1:6" ht="14.25" customHeight="1">
      <c r="A1859" s="285" t="s">
        <v>829</v>
      </c>
      <c r="B1859" s="285">
        <v>2025</v>
      </c>
      <c r="C1859" s="285" t="s">
        <v>88</v>
      </c>
      <c r="D1859" s="285" t="s">
        <v>959</v>
      </c>
      <c r="E1859" s="285" t="s">
        <v>961</v>
      </c>
      <c r="F1859" s="113" t="s">
        <v>663</v>
      </c>
    </row>
    <row r="1860" spans="1:6" ht="14.25" customHeight="1">
      <c r="A1860" s="284" t="s">
        <v>829</v>
      </c>
      <c r="B1860" s="284">
        <v>2025</v>
      </c>
      <c r="C1860" s="284" t="s">
        <v>88</v>
      </c>
      <c r="D1860" s="284" t="s">
        <v>959</v>
      </c>
      <c r="E1860" s="284" t="s">
        <v>964</v>
      </c>
      <c r="F1860" s="113" t="s">
        <v>915</v>
      </c>
    </row>
    <row r="1861" spans="1:6" ht="14.25" customHeight="1">
      <c r="A1861" s="285" t="s">
        <v>829</v>
      </c>
      <c r="B1861" s="285">
        <v>2025</v>
      </c>
      <c r="C1861" s="285" t="s">
        <v>88</v>
      </c>
      <c r="D1861" s="285" t="s">
        <v>959</v>
      </c>
      <c r="E1861" s="285" t="s">
        <v>951</v>
      </c>
      <c r="F1861" s="113" t="s">
        <v>917</v>
      </c>
    </row>
    <row r="1862" spans="1:6" ht="14.25" customHeight="1">
      <c r="A1862" s="284" t="s">
        <v>829</v>
      </c>
      <c r="B1862" s="284">
        <v>2025</v>
      </c>
      <c r="C1862" s="284" t="s">
        <v>88</v>
      </c>
      <c r="D1862" s="284" t="s">
        <v>959</v>
      </c>
      <c r="E1862" s="284" t="s">
        <v>943</v>
      </c>
      <c r="F1862" s="113" t="s">
        <v>917</v>
      </c>
    </row>
    <row r="1863" spans="1:6" ht="14.25" customHeight="1">
      <c r="A1863" s="285" t="s">
        <v>829</v>
      </c>
      <c r="B1863" s="285">
        <v>2025</v>
      </c>
      <c r="C1863" s="285" t="s">
        <v>88</v>
      </c>
      <c r="D1863" s="285" t="s">
        <v>959</v>
      </c>
      <c r="E1863" s="285" t="s">
        <v>974</v>
      </c>
      <c r="F1863" s="113" t="s">
        <v>917</v>
      </c>
    </row>
    <row r="1864" spans="1:6" ht="14.25" customHeight="1">
      <c r="A1864" s="284" t="s">
        <v>829</v>
      </c>
      <c r="B1864" s="284">
        <v>2025</v>
      </c>
      <c r="C1864" s="284" t="s">
        <v>88</v>
      </c>
      <c r="D1864" s="284" t="s">
        <v>959</v>
      </c>
      <c r="E1864" s="284" t="s">
        <v>1111</v>
      </c>
      <c r="F1864" s="113" t="s">
        <v>918</v>
      </c>
    </row>
    <row r="1865" spans="1:6" ht="14.25" customHeight="1">
      <c r="A1865" s="285" t="s">
        <v>829</v>
      </c>
      <c r="B1865" s="285">
        <v>2025</v>
      </c>
      <c r="C1865" s="285" t="s">
        <v>88</v>
      </c>
      <c r="D1865" s="285" t="s">
        <v>959</v>
      </c>
      <c r="E1865" s="285" t="s">
        <v>980</v>
      </c>
      <c r="F1865" s="113" t="s">
        <v>918</v>
      </c>
    </row>
    <row r="1866" spans="1:6" ht="14.25" customHeight="1">
      <c r="A1866" s="284" t="s">
        <v>829</v>
      </c>
      <c r="B1866" s="284">
        <v>2025</v>
      </c>
      <c r="C1866" s="284" t="s">
        <v>88</v>
      </c>
      <c r="D1866" s="284" t="s">
        <v>959</v>
      </c>
      <c r="E1866" s="284" t="s">
        <v>1044</v>
      </c>
      <c r="F1866" s="113" t="s">
        <v>922</v>
      </c>
    </row>
    <row r="1867" spans="1:6" ht="14.25" customHeight="1">
      <c r="A1867" s="285" t="s">
        <v>829</v>
      </c>
      <c r="B1867" s="285">
        <v>2025</v>
      </c>
      <c r="C1867" s="285" t="s">
        <v>88</v>
      </c>
      <c r="D1867" s="285" t="s">
        <v>959</v>
      </c>
      <c r="E1867" s="285" t="s">
        <v>997</v>
      </c>
      <c r="F1867" s="113" t="s">
        <v>935</v>
      </c>
    </row>
    <row r="1868" spans="1:6" ht="14.25" customHeight="1">
      <c r="A1868" s="284" t="s">
        <v>829</v>
      </c>
      <c r="B1868" s="284">
        <v>2025</v>
      </c>
      <c r="C1868" s="284" t="s">
        <v>88</v>
      </c>
      <c r="D1868" s="284" t="s">
        <v>988</v>
      </c>
      <c r="E1868" s="284" t="s">
        <v>986</v>
      </c>
      <c r="F1868" s="113" t="s">
        <v>906</v>
      </c>
    </row>
    <row r="1869" spans="1:6" ht="14.25" customHeight="1">
      <c r="A1869" s="285" t="s">
        <v>829</v>
      </c>
      <c r="B1869" s="285">
        <v>2025</v>
      </c>
      <c r="C1869" s="285" t="s">
        <v>88</v>
      </c>
      <c r="D1869" s="285" t="s">
        <v>988</v>
      </c>
      <c r="E1869" s="285" t="s">
        <v>1124</v>
      </c>
      <c r="F1869" s="113" t="s">
        <v>483</v>
      </c>
    </row>
    <row r="1870" spans="1:6" ht="14.25" customHeight="1">
      <c r="A1870" s="284" t="s">
        <v>829</v>
      </c>
      <c r="B1870" s="284">
        <v>2025</v>
      </c>
      <c r="C1870" s="284" t="s">
        <v>88</v>
      </c>
      <c r="D1870" s="284" t="s">
        <v>988</v>
      </c>
      <c r="E1870" s="284" t="s">
        <v>1102</v>
      </c>
      <c r="F1870" s="113" t="s">
        <v>909</v>
      </c>
    </row>
    <row r="1871" spans="1:6" ht="14.25" customHeight="1">
      <c r="A1871" s="285" t="s">
        <v>829</v>
      </c>
      <c r="B1871" s="285">
        <v>2025</v>
      </c>
      <c r="C1871" s="285" t="s">
        <v>88</v>
      </c>
      <c r="D1871" s="285" t="s">
        <v>988</v>
      </c>
      <c r="E1871" s="285" t="s">
        <v>932</v>
      </c>
      <c r="F1871" s="113" t="s">
        <v>663</v>
      </c>
    </row>
    <row r="1872" spans="1:6" ht="14.25" customHeight="1">
      <c r="A1872" s="284" t="s">
        <v>829</v>
      </c>
      <c r="B1872" s="284">
        <v>2025</v>
      </c>
      <c r="C1872" s="284" t="s">
        <v>88</v>
      </c>
      <c r="D1872" s="284" t="s">
        <v>988</v>
      </c>
      <c r="E1872" s="284" t="s">
        <v>1009</v>
      </c>
      <c r="F1872" s="113" t="s">
        <v>917</v>
      </c>
    </row>
    <row r="1873" spans="1:6" ht="14.25" customHeight="1">
      <c r="A1873" s="285" t="s">
        <v>829</v>
      </c>
      <c r="B1873" s="285">
        <v>2025</v>
      </c>
      <c r="C1873" s="285" t="s">
        <v>88</v>
      </c>
      <c r="D1873" s="285" t="s">
        <v>988</v>
      </c>
      <c r="E1873" s="285" t="s">
        <v>1037</v>
      </c>
      <c r="F1873" s="113" t="s">
        <v>917</v>
      </c>
    </row>
    <row r="1874" spans="1:6" ht="14.25" customHeight="1">
      <c r="A1874" s="284" t="s">
        <v>829</v>
      </c>
      <c r="B1874" s="284">
        <v>2025</v>
      </c>
      <c r="C1874" s="284" t="s">
        <v>88</v>
      </c>
      <c r="D1874" s="284" t="s">
        <v>988</v>
      </c>
      <c r="E1874" s="284" t="s">
        <v>1048</v>
      </c>
      <c r="F1874" s="113" t="s">
        <v>917</v>
      </c>
    </row>
    <row r="1875" spans="1:6" ht="14.25" customHeight="1">
      <c r="A1875" s="285" t="s">
        <v>829</v>
      </c>
      <c r="B1875" s="285">
        <v>2025</v>
      </c>
      <c r="C1875" s="285" t="s">
        <v>88</v>
      </c>
      <c r="D1875" s="285" t="s">
        <v>988</v>
      </c>
      <c r="E1875" s="285" t="s">
        <v>1190</v>
      </c>
      <c r="F1875" s="113" t="s">
        <v>924</v>
      </c>
    </row>
    <row r="1876" spans="1:6" ht="14.25" customHeight="1">
      <c r="A1876" s="284" t="s">
        <v>829</v>
      </c>
      <c r="B1876" s="284">
        <v>2025</v>
      </c>
      <c r="C1876" s="284" t="s">
        <v>88</v>
      </c>
      <c r="D1876" s="284" t="s">
        <v>988</v>
      </c>
      <c r="E1876" s="284" t="s">
        <v>1044</v>
      </c>
      <c r="F1876" s="113" t="s">
        <v>922</v>
      </c>
    </row>
    <row r="1877" spans="1:6" ht="14.25" customHeight="1">
      <c r="A1877" s="285" t="s">
        <v>829</v>
      </c>
      <c r="B1877" s="285">
        <v>2025</v>
      </c>
      <c r="C1877" s="285" t="s">
        <v>88</v>
      </c>
      <c r="D1877" s="285" t="s">
        <v>956</v>
      </c>
      <c r="E1877" s="285" t="s">
        <v>930</v>
      </c>
      <c r="F1877" s="113" t="s">
        <v>906</v>
      </c>
    </row>
    <row r="1878" spans="1:6" ht="14.25" customHeight="1">
      <c r="A1878" s="284" t="s">
        <v>829</v>
      </c>
      <c r="B1878" s="284">
        <v>2025</v>
      </c>
      <c r="C1878" s="284" t="s">
        <v>88</v>
      </c>
      <c r="D1878" s="284" t="s">
        <v>956</v>
      </c>
      <c r="E1878" s="284" t="s">
        <v>1075</v>
      </c>
      <c r="F1878" s="113" t="s">
        <v>483</v>
      </c>
    </row>
    <row r="1879" spans="1:6" ht="14.25" customHeight="1">
      <c r="A1879" s="285" t="s">
        <v>829</v>
      </c>
      <c r="B1879" s="285">
        <v>2025</v>
      </c>
      <c r="C1879" s="285" t="s">
        <v>88</v>
      </c>
      <c r="D1879" s="285" t="s">
        <v>956</v>
      </c>
      <c r="E1879" s="285" t="s">
        <v>1159</v>
      </c>
      <c r="F1879" s="113" t="s">
        <v>483</v>
      </c>
    </row>
    <row r="1880" spans="1:6" ht="14.25" customHeight="1">
      <c r="A1880" s="284" t="s">
        <v>829</v>
      </c>
      <c r="B1880" s="284">
        <v>2025</v>
      </c>
      <c r="C1880" s="284" t="s">
        <v>88</v>
      </c>
      <c r="D1880" s="284" t="s">
        <v>956</v>
      </c>
      <c r="E1880" s="284" t="s">
        <v>1075</v>
      </c>
      <c r="F1880" s="113" t="s">
        <v>483</v>
      </c>
    </row>
    <row r="1881" spans="1:6" ht="14.25" customHeight="1">
      <c r="A1881" s="285" t="s">
        <v>829</v>
      </c>
      <c r="B1881" s="285">
        <v>2025</v>
      </c>
      <c r="C1881" s="285" t="s">
        <v>88</v>
      </c>
      <c r="D1881" s="285" t="s">
        <v>956</v>
      </c>
      <c r="E1881" s="285" t="s">
        <v>1021</v>
      </c>
      <c r="F1881" s="113" t="s">
        <v>663</v>
      </c>
    </row>
    <row r="1882" spans="1:6" ht="14.25" customHeight="1">
      <c r="A1882" s="284" t="s">
        <v>829</v>
      </c>
      <c r="B1882" s="284">
        <v>2025</v>
      </c>
      <c r="C1882" s="284" t="s">
        <v>88</v>
      </c>
      <c r="D1882" s="284" t="s">
        <v>956</v>
      </c>
      <c r="E1882" s="284" t="s">
        <v>1037</v>
      </c>
      <c r="F1882" s="113" t="s">
        <v>917</v>
      </c>
    </row>
    <row r="1883" spans="1:6" ht="14.25" customHeight="1">
      <c r="A1883" s="285" t="s">
        <v>829</v>
      </c>
      <c r="B1883" s="285">
        <v>2025</v>
      </c>
      <c r="C1883" s="285" t="s">
        <v>88</v>
      </c>
      <c r="D1883" s="285" t="s">
        <v>956</v>
      </c>
      <c r="E1883" s="285" t="s">
        <v>1010</v>
      </c>
      <c r="F1883" s="113" t="s">
        <v>924</v>
      </c>
    </row>
    <row r="1884" spans="1:6" ht="14.25" customHeight="1">
      <c r="A1884" s="284" t="s">
        <v>829</v>
      </c>
      <c r="B1884" s="284">
        <v>2025</v>
      </c>
      <c r="C1884" s="284" t="s">
        <v>88</v>
      </c>
      <c r="D1884" s="284" t="s">
        <v>956</v>
      </c>
      <c r="E1884" s="284" t="s">
        <v>1063</v>
      </c>
      <c r="F1884" s="113" t="s">
        <v>922</v>
      </c>
    </row>
    <row r="1885" spans="1:6" ht="14.25" customHeight="1">
      <c r="A1885" s="285" t="s">
        <v>829</v>
      </c>
      <c r="B1885" s="285">
        <v>2025</v>
      </c>
      <c r="C1885" s="285" t="s">
        <v>88</v>
      </c>
      <c r="D1885" s="285" t="s">
        <v>969</v>
      </c>
      <c r="E1885" s="285" t="s">
        <v>954</v>
      </c>
      <c r="F1885" s="113" t="s">
        <v>906</v>
      </c>
    </row>
    <row r="1886" spans="1:6" ht="14.25" customHeight="1">
      <c r="A1886" s="284" t="s">
        <v>829</v>
      </c>
      <c r="B1886" s="284">
        <v>2025</v>
      </c>
      <c r="C1886" s="284" t="s">
        <v>88</v>
      </c>
      <c r="D1886" s="284" t="s">
        <v>969</v>
      </c>
      <c r="E1886" s="284" t="s">
        <v>981</v>
      </c>
      <c r="F1886" s="113" t="s">
        <v>906</v>
      </c>
    </row>
    <row r="1887" spans="1:6" ht="14.25" customHeight="1">
      <c r="A1887" s="285" t="s">
        <v>829</v>
      </c>
      <c r="B1887" s="285">
        <v>2025</v>
      </c>
      <c r="C1887" s="285" t="s">
        <v>88</v>
      </c>
      <c r="D1887" s="285" t="s">
        <v>969</v>
      </c>
      <c r="E1887" s="285" t="s">
        <v>1028</v>
      </c>
      <c r="F1887" s="113" t="s">
        <v>906</v>
      </c>
    </row>
    <row r="1888" spans="1:6" ht="14.25" customHeight="1">
      <c r="A1888" s="284" t="s">
        <v>829</v>
      </c>
      <c r="B1888" s="284">
        <v>2025</v>
      </c>
      <c r="C1888" s="284" t="s">
        <v>88</v>
      </c>
      <c r="D1888" s="284" t="s">
        <v>969</v>
      </c>
      <c r="E1888" s="284" t="s">
        <v>954</v>
      </c>
      <c r="F1888" s="113" t="s">
        <v>906</v>
      </c>
    </row>
    <row r="1889" spans="1:6" ht="14.25" customHeight="1">
      <c r="A1889" s="285" t="s">
        <v>829</v>
      </c>
      <c r="B1889" s="285">
        <v>2025</v>
      </c>
      <c r="C1889" s="285" t="s">
        <v>88</v>
      </c>
      <c r="D1889" s="285" t="s">
        <v>969</v>
      </c>
      <c r="E1889" s="285" t="s">
        <v>1075</v>
      </c>
      <c r="F1889" s="113" t="s">
        <v>483</v>
      </c>
    </row>
    <row r="1890" spans="1:6" ht="14.25" customHeight="1">
      <c r="A1890" s="284" t="s">
        <v>829</v>
      </c>
      <c r="B1890" s="284">
        <v>2025</v>
      </c>
      <c r="C1890" s="284" t="s">
        <v>88</v>
      </c>
      <c r="D1890" s="284" t="s">
        <v>969</v>
      </c>
      <c r="E1890" s="284" t="s">
        <v>1050</v>
      </c>
      <c r="F1890" s="113" t="s">
        <v>483</v>
      </c>
    </row>
    <row r="1891" spans="1:6" ht="14.25" customHeight="1">
      <c r="A1891" s="285" t="s">
        <v>829</v>
      </c>
      <c r="B1891" s="285">
        <v>2025</v>
      </c>
      <c r="C1891" s="285" t="s">
        <v>88</v>
      </c>
      <c r="D1891" s="285" t="s">
        <v>969</v>
      </c>
      <c r="E1891" s="285" t="s">
        <v>971</v>
      </c>
      <c r="F1891" s="113" t="s">
        <v>909</v>
      </c>
    </row>
    <row r="1892" spans="1:6" ht="14.25" customHeight="1">
      <c r="A1892" s="284" t="s">
        <v>829</v>
      </c>
      <c r="B1892" s="284">
        <v>2025</v>
      </c>
      <c r="C1892" s="284" t="s">
        <v>88</v>
      </c>
      <c r="D1892" s="284" t="s">
        <v>969</v>
      </c>
      <c r="E1892" s="284" t="s">
        <v>1096</v>
      </c>
      <c r="F1892" s="113" t="s">
        <v>909</v>
      </c>
    </row>
    <row r="1893" spans="1:6" ht="14.25" customHeight="1">
      <c r="A1893" s="285" t="s">
        <v>829</v>
      </c>
      <c r="B1893" s="285">
        <v>2025</v>
      </c>
      <c r="C1893" s="285" t="s">
        <v>88</v>
      </c>
      <c r="D1893" s="285" t="s">
        <v>969</v>
      </c>
      <c r="E1893" s="285" t="s">
        <v>947</v>
      </c>
      <c r="F1893" s="113" t="s">
        <v>915</v>
      </c>
    </row>
    <row r="1894" spans="1:6" ht="14.25" customHeight="1">
      <c r="A1894" s="284" t="s">
        <v>829</v>
      </c>
      <c r="B1894" s="284">
        <v>2025</v>
      </c>
      <c r="C1894" s="284" t="s">
        <v>88</v>
      </c>
      <c r="D1894" s="284" t="s">
        <v>969</v>
      </c>
      <c r="E1894" s="284" t="s">
        <v>1021</v>
      </c>
      <c r="F1894" s="113" t="s">
        <v>915</v>
      </c>
    </row>
    <row r="1895" spans="1:6" ht="14.25" customHeight="1">
      <c r="A1895" s="285" t="s">
        <v>829</v>
      </c>
      <c r="B1895" s="285">
        <v>2025</v>
      </c>
      <c r="C1895" s="285" t="s">
        <v>88</v>
      </c>
      <c r="D1895" s="285" t="s">
        <v>969</v>
      </c>
      <c r="E1895" s="285" t="s">
        <v>974</v>
      </c>
      <c r="F1895" s="113" t="s">
        <v>917</v>
      </c>
    </row>
    <row r="1896" spans="1:6" ht="14.25" customHeight="1">
      <c r="A1896" s="284" t="s">
        <v>829</v>
      </c>
      <c r="B1896" s="284">
        <v>2025</v>
      </c>
      <c r="C1896" s="284" t="s">
        <v>88</v>
      </c>
      <c r="D1896" s="284" t="s">
        <v>969</v>
      </c>
      <c r="E1896" s="284" t="s">
        <v>1085</v>
      </c>
      <c r="F1896" s="113" t="s">
        <v>917</v>
      </c>
    </row>
    <row r="1897" spans="1:6" ht="14.25" customHeight="1">
      <c r="A1897" s="285" t="s">
        <v>829</v>
      </c>
      <c r="B1897" s="285">
        <v>2025</v>
      </c>
      <c r="C1897" s="285" t="s">
        <v>88</v>
      </c>
      <c r="D1897" s="285" t="s">
        <v>969</v>
      </c>
      <c r="E1897" s="285" t="s">
        <v>1190</v>
      </c>
      <c r="F1897" s="113" t="s">
        <v>924</v>
      </c>
    </row>
    <row r="1898" spans="1:6" ht="14.25" customHeight="1">
      <c r="A1898" s="284" t="s">
        <v>829</v>
      </c>
      <c r="B1898" s="284">
        <v>2025</v>
      </c>
      <c r="C1898" s="284" t="s">
        <v>88</v>
      </c>
      <c r="D1898" s="284" t="s">
        <v>969</v>
      </c>
      <c r="E1898" s="284" t="s">
        <v>997</v>
      </c>
      <c r="F1898" s="113" t="s">
        <v>935</v>
      </c>
    </row>
    <row r="1899" spans="1:6" ht="14.25" customHeight="1">
      <c r="A1899" s="285" t="s">
        <v>829</v>
      </c>
      <c r="B1899" s="285">
        <v>2025</v>
      </c>
      <c r="C1899" s="285" t="s">
        <v>88</v>
      </c>
      <c r="D1899" s="285" t="s">
        <v>969</v>
      </c>
      <c r="E1899" s="285" t="s">
        <v>1023</v>
      </c>
      <c r="F1899" s="113" t="s">
        <v>935</v>
      </c>
    </row>
    <row r="1900" spans="1:6" ht="14.25" customHeight="1">
      <c r="A1900" s="284" t="s">
        <v>829</v>
      </c>
      <c r="B1900" s="284">
        <v>2025</v>
      </c>
      <c r="C1900" s="284" t="s">
        <v>859</v>
      </c>
      <c r="D1900" s="284" t="s">
        <v>1005</v>
      </c>
      <c r="E1900" s="284" t="s">
        <v>971</v>
      </c>
      <c r="F1900" s="113" t="s">
        <v>909</v>
      </c>
    </row>
    <row r="1901" spans="1:6" ht="14.25" customHeight="1">
      <c r="A1901" s="285" t="s">
        <v>829</v>
      </c>
      <c r="B1901" s="285">
        <v>2025</v>
      </c>
      <c r="C1901" s="285" t="s">
        <v>859</v>
      </c>
      <c r="D1901" s="285" t="s">
        <v>1005</v>
      </c>
      <c r="E1901" s="285" t="s">
        <v>1096</v>
      </c>
      <c r="F1901" s="113" t="s">
        <v>909</v>
      </c>
    </row>
    <row r="1902" spans="1:6" ht="14.25" customHeight="1">
      <c r="A1902" s="284" t="s">
        <v>829</v>
      </c>
      <c r="B1902" s="284">
        <v>2025</v>
      </c>
      <c r="C1902" s="284" t="s">
        <v>859</v>
      </c>
      <c r="D1902" s="284" t="s">
        <v>999</v>
      </c>
      <c r="E1902" s="284" t="s">
        <v>953</v>
      </c>
      <c r="F1902" s="113" t="s">
        <v>906</v>
      </c>
    </row>
    <row r="1903" spans="1:6" ht="14.25" customHeight="1">
      <c r="A1903" s="285" t="s">
        <v>829</v>
      </c>
      <c r="B1903" s="285">
        <v>2025</v>
      </c>
      <c r="C1903" s="285" t="s">
        <v>859</v>
      </c>
      <c r="D1903" s="285" t="s">
        <v>998</v>
      </c>
      <c r="E1903" s="285" t="s">
        <v>1002</v>
      </c>
      <c r="F1903" s="113" t="s">
        <v>483</v>
      </c>
    </row>
    <row r="1904" spans="1:6" ht="14.25" customHeight="1">
      <c r="A1904" s="284" t="s">
        <v>829</v>
      </c>
      <c r="B1904" s="284">
        <v>2025</v>
      </c>
      <c r="C1904" s="284" t="s">
        <v>859</v>
      </c>
      <c r="D1904" s="284" t="s">
        <v>998</v>
      </c>
      <c r="E1904" s="284" t="s">
        <v>1128</v>
      </c>
      <c r="F1904" s="113" t="s">
        <v>483</v>
      </c>
    </row>
    <row r="1905" spans="1:6" ht="14.25" customHeight="1">
      <c r="A1905" s="285" t="s">
        <v>829</v>
      </c>
      <c r="B1905" s="285">
        <v>2025</v>
      </c>
      <c r="C1905" s="285" t="s">
        <v>859</v>
      </c>
      <c r="D1905" s="285" t="s">
        <v>998</v>
      </c>
      <c r="E1905" s="285" t="s">
        <v>937</v>
      </c>
      <c r="F1905" s="113" t="s">
        <v>917</v>
      </c>
    </row>
    <row r="1906" spans="1:6" ht="14.25" customHeight="1">
      <c r="A1906" s="284" t="s">
        <v>829</v>
      </c>
      <c r="B1906" s="284">
        <v>2025</v>
      </c>
      <c r="C1906" s="284" t="s">
        <v>859</v>
      </c>
      <c r="D1906" s="284" t="s">
        <v>1000</v>
      </c>
      <c r="E1906" s="284" t="s">
        <v>1036</v>
      </c>
      <c r="F1906" s="113" t="s">
        <v>906</v>
      </c>
    </row>
    <row r="1907" spans="1:6" ht="14.25" customHeight="1">
      <c r="A1907" s="285" t="s">
        <v>829</v>
      </c>
      <c r="B1907" s="285">
        <v>2025</v>
      </c>
      <c r="C1907" s="285" t="s">
        <v>859</v>
      </c>
      <c r="D1907" s="285" t="s">
        <v>1000</v>
      </c>
      <c r="E1907" s="285" t="s">
        <v>1125</v>
      </c>
      <c r="F1907" s="113" t="s">
        <v>483</v>
      </c>
    </row>
    <row r="1908" spans="1:6" ht="14.25" customHeight="1">
      <c r="A1908" s="284" t="s">
        <v>829</v>
      </c>
      <c r="B1908" s="284">
        <v>2025</v>
      </c>
      <c r="C1908" s="284" t="s">
        <v>859</v>
      </c>
      <c r="D1908" s="284" t="s">
        <v>1000</v>
      </c>
      <c r="E1908" s="284" t="s">
        <v>1153</v>
      </c>
      <c r="F1908" s="113" t="s">
        <v>483</v>
      </c>
    </row>
    <row r="1909" spans="1:6" ht="14.25" customHeight="1">
      <c r="A1909" s="285" t="s">
        <v>829</v>
      </c>
      <c r="B1909" s="285">
        <v>2025</v>
      </c>
      <c r="C1909" s="285" t="s">
        <v>859</v>
      </c>
      <c r="D1909" s="285" t="s">
        <v>1000</v>
      </c>
      <c r="E1909" s="285" t="s">
        <v>1102</v>
      </c>
      <c r="F1909" s="113" t="s">
        <v>909</v>
      </c>
    </row>
    <row r="1910" spans="1:6" ht="14.25" customHeight="1">
      <c r="A1910" s="284" t="s">
        <v>829</v>
      </c>
      <c r="B1910" s="284">
        <v>2025</v>
      </c>
      <c r="C1910" s="284" t="s">
        <v>859</v>
      </c>
      <c r="D1910" s="284" t="s">
        <v>1000</v>
      </c>
      <c r="E1910" s="284" t="s">
        <v>1191</v>
      </c>
      <c r="F1910" s="113" t="s">
        <v>663</v>
      </c>
    </row>
    <row r="1911" spans="1:6" ht="14.25" customHeight="1">
      <c r="A1911" s="285" t="s">
        <v>829</v>
      </c>
      <c r="B1911" s="285">
        <v>2025</v>
      </c>
      <c r="C1911" s="285" t="s">
        <v>859</v>
      </c>
      <c r="D1911" s="285" t="s">
        <v>1000</v>
      </c>
      <c r="E1911" s="285" t="s">
        <v>1103</v>
      </c>
      <c r="F1911" s="113" t="s">
        <v>663</v>
      </c>
    </row>
    <row r="1912" spans="1:6" ht="14.25" customHeight="1">
      <c r="A1912" s="284" t="s">
        <v>829</v>
      </c>
      <c r="B1912" s="284">
        <v>2025</v>
      </c>
      <c r="C1912" s="284" t="s">
        <v>859</v>
      </c>
      <c r="D1912" s="284" t="s">
        <v>1000</v>
      </c>
      <c r="E1912" s="284" t="s">
        <v>1103</v>
      </c>
      <c r="F1912" s="113" t="s">
        <v>663</v>
      </c>
    </row>
    <row r="1913" spans="1:6" ht="14.25" customHeight="1">
      <c r="A1913" s="285" t="s">
        <v>829</v>
      </c>
      <c r="B1913" s="285">
        <v>2025</v>
      </c>
      <c r="C1913" s="285" t="s">
        <v>859</v>
      </c>
      <c r="D1913" s="285" t="s">
        <v>1000</v>
      </c>
      <c r="E1913" s="285" t="s">
        <v>1103</v>
      </c>
      <c r="F1913" s="113" t="s">
        <v>663</v>
      </c>
    </row>
    <row r="1914" spans="1:6" ht="14.25" customHeight="1">
      <c r="A1914" s="284" t="s">
        <v>829</v>
      </c>
      <c r="B1914" s="284">
        <v>2025</v>
      </c>
      <c r="C1914" s="284" t="s">
        <v>859</v>
      </c>
      <c r="D1914" s="284" t="s">
        <v>1000</v>
      </c>
      <c r="E1914" s="284" t="s">
        <v>961</v>
      </c>
      <c r="F1914" s="113" t="s">
        <v>663</v>
      </c>
    </row>
    <row r="1915" spans="1:6" ht="14.25" customHeight="1">
      <c r="A1915" s="285" t="s">
        <v>829</v>
      </c>
      <c r="B1915" s="285">
        <v>2025</v>
      </c>
      <c r="C1915" s="285" t="s">
        <v>859</v>
      </c>
      <c r="D1915" s="285" t="s">
        <v>1000</v>
      </c>
      <c r="E1915" s="285" t="s">
        <v>1085</v>
      </c>
      <c r="F1915" s="113" t="s">
        <v>917</v>
      </c>
    </row>
    <row r="1916" spans="1:6" ht="14.25" customHeight="1">
      <c r="A1916" s="284" t="s">
        <v>829</v>
      </c>
      <c r="B1916" s="284">
        <v>2025</v>
      </c>
      <c r="C1916" s="284" t="s">
        <v>859</v>
      </c>
      <c r="D1916" s="284" t="s">
        <v>1000</v>
      </c>
      <c r="E1916" s="284" t="s">
        <v>1037</v>
      </c>
      <c r="F1916" s="113" t="s">
        <v>917</v>
      </c>
    </row>
    <row r="1917" spans="1:6" ht="14.25" customHeight="1">
      <c r="A1917" s="285" t="s">
        <v>829</v>
      </c>
      <c r="B1917" s="285">
        <v>2025</v>
      </c>
      <c r="C1917" s="285" t="s">
        <v>859</v>
      </c>
      <c r="D1917" s="285" t="s">
        <v>1000</v>
      </c>
      <c r="E1917" s="285" t="s">
        <v>1048</v>
      </c>
      <c r="F1917" s="113" t="s">
        <v>783</v>
      </c>
    </row>
    <row r="1918" spans="1:6" ht="14.25" customHeight="1">
      <c r="A1918" s="284" t="s">
        <v>829</v>
      </c>
      <c r="B1918" s="284">
        <v>2025</v>
      </c>
      <c r="C1918" s="284" t="s">
        <v>859</v>
      </c>
      <c r="D1918" s="284" t="s">
        <v>1000</v>
      </c>
      <c r="E1918" s="284" t="s">
        <v>1190</v>
      </c>
      <c r="F1918" s="113" t="s">
        <v>924</v>
      </c>
    </row>
    <row r="1919" spans="1:6" ht="14.25" customHeight="1">
      <c r="A1919" s="285" t="s">
        <v>829</v>
      </c>
      <c r="B1919" s="285">
        <v>2025</v>
      </c>
      <c r="C1919" s="285" t="s">
        <v>859</v>
      </c>
      <c r="D1919" s="285" t="s">
        <v>1000</v>
      </c>
      <c r="E1919" s="285" t="s">
        <v>1047</v>
      </c>
      <c r="F1919" s="113" t="s">
        <v>924</v>
      </c>
    </row>
    <row r="1920" spans="1:6" ht="14.25" customHeight="1">
      <c r="A1920" s="284" t="s">
        <v>829</v>
      </c>
      <c r="B1920" s="284">
        <v>2025</v>
      </c>
      <c r="C1920" s="284" t="s">
        <v>859</v>
      </c>
      <c r="D1920" s="284" t="s">
        <v>1000</v>
      </c>
      <c r="E1920" s="113" t="s">
        <v>2</v>
      </c>
      <c r="F1920" s="113" t="s">
        <v>935</v>
      </c>
    </row>
    <row r="1921" spans="1:6" ht="14.25" customHeight="1">
      <c r="A1921" s="285" t="s">
        <v>829</v>
      </c>
      <c r="B1921" s="285">
        <v>2025</v>
      </c>
      <c r="C1921" s="285" t="s">
        <v>859</v>
      </c>
      <c r="D1921" s="285" t="s">
        <v>1000</v>
      </c>
      <c r="E1921" s="285" t="s">
        <v>1063</v>
      </c>
      <c r="F1921" s="113" t="s">
        <v>922</v>
      </c>
    </row>
    <row r="1922" spans="1:6" ht="14.25" customHeight="1">
      <c r="A1922" s="284" t="s">
        <v>829</v>
      </c>
      <c r="B1922" s="284">
        <v>2025</v>
      </c>
      <c r="C1922" s="284" t="s">
        <v>859</v>
      </c>
      <c r="D1922" s="284" t="s">
        <v>1000</v>
      </c>
      <c r="E1922" s="284" t="s">
        <v>1019</v>
      </c>
      <c r="F1922" s="113" t="s">
        <v>922</v>
      </c>
    </row>
    <row r="1923" spans="1:6" ht="14.25" customHeight="1">
      <c r="A1923" s="285" t="s">
        <v>829</v>
      </c>
      <c r="B1923" s="285">
        <v>2025</v>
      </c>
      <c r="C1923" s="285" t="s">
        <v>859</v>
      </c>
      <c r="D1923" s="285" t="s">
        <v>1000</v>
      </c>
      <c r="E1923" s="285" t="s">
        <v>984</v>
      </c>
      <c r="F1923" s="113" t="s">
        <v>935</v>
      </c>
    </row>
    <row r="1924" spans="1:6" ht="14.25" customHeight="1">
      <c r="A1924" s="284" t="s">
        <v>829</v>
      </c>
      <c r="B1924" s="284">
        <v>2025</v>
      </c>
      <c r="C1924" s="284" t="s">
        <v>872</v>
      </c>
      <c r="D1924" s="284" t="s">
        <v>1018</v>
      </c>
      <c r="E1924" s="284" t="s">
        <v>1041</v>
      </c>
      <c r="F1924" s="113" t="s">
        <v>906</v>
      </c>
    </row>
    <row r="1925" spans="1:6" ht="14.25" customHeight="1">
      <c r="A1925" s="285" t="s">
        <v>829</v>
      </c>
      <c r="B1925" s="285">
        <v>2025</v>
      </c>
      <c r="C1925" s="285" t="s">
        <v>872</v>
      </c>
      <c r="D1925" s="285" t="s">
        <v>1018</v>
      </c>
      <c r="E1925" s="285" t="s">
        <v>1124</v>
      </c>
      <c r="F1925" s="113" t="s">
        <v>483</v>
      </c>
    </row>
    <row r="1926" spans="1:6" ht="14.25" customHeight="1">
      <c r="A1926" s="284" t="s">
        <v>829</v>
      </c>
      <c r="B1926" s="284">
        <v>2025</v>
      </c>
      <c r="C1926" s="284" t="s">
        <v>872</v>
      </c>
      <c r="D1926" s="284" t="s">
        <v>1018</v>
      </c>
      <c r="E1926" s="284" t="s">
        <v>1102</v>
      </c>
      <c r="F1926" s="113" t="s">
        <v>909</v>
      </c>
    </row>
    <row r="1927" spans="1:6" ht="14.25" customHeight="1">
      <c r="A1927" s="285" t="s">
        <v>829</v>
      </c>
      <c r="B1927" s="285">
        <v>2025</v>
      </c>
      <c r="C1927" s="285" t="s">
        <v>872</v>
      </c>
      <c r="D1927" s="285" t="s">
        <v>1018</v>
      </c>
      <c r="E1927" s="285" t="s">
        <v>1066</v>
      </c>
      <c r="F1927" s="113" t="s">
        <v>935</v>
      </c>
    </row>
    <row r="1928" spans="1:6" ht="14.25" customHeight="1">
      <c r="A1928" s="284" t="s">
        <v>829</v>
      </c>
      <c r="B1928" s="284">
        <v>2025</v>
      </c>
      <c r="C1928" s="284" t="s">
        <v>872</v>
      </c>
      <c r="D1928" s="284" t="s">
        <v>1013</v>
      </c>
      <c r="E1928" s="284" t="s">
        <v>1153</v>
      </c>
      <c r="F1928" s="113" t="s">
        <v>483</v>
      </c>
    </row>
    <row r="1929" spans="1:6" ht="14.25" customHeight="1">
      <c r="A1929" s="285" t="s">
        <v>829</v>
      </c>
      <c r="B1929" s="285">
        <v>2025</v>
      </c>
      <c r="C1929" s="285" t="s">
        <v>872</v>
      </c>
      <c r="D1929" s="285" t="s">
        <v>1013</v>
      </c>
      <c r="E1929" s="285" t="s">
        <v>1118</v>
      </c>
      <c r="F1929" s="113" t="s">
        <v>909</v>
      </c>
    </row>
    <row r="1930" spans="1:6" ht="14.25" customHeight="1">
      <c r="A1930" s="284" t="s">
        <v>829</v>
      </c>
      <c r="B1930" s="284">
        <v>2025</v>
      </c>
      <c r="C1930" s="284" t="s">
        <v>872</v>
      </c>
      <c r="D1930" s="284" t="s">
        <v>1013</v>
      </c>
      <c r="E1930" s="284" t="s">
        <v>1192</v>
      </c>
      <c r="F1930" s="113" t="s">
        <v>911</v>
      </c>
    </row>
    <row r="1931" spans="1:6" ht="14.25" customHeight="1">
      <c r="A1931" s="285" t="s">
        <v>829</v>
      </c>
      <c r="B1931" s="285">
        <v>2025</v>
      </c>
      <c r="C1931" s="285" t="s">
        <v>872</v>
      </c>
      <c r="D1931" s="285" t="s">
        <v>1013</v>
      </c>
      <c r="E1931" s="285" t="s">
        <v>947</v>
      </c>
      <c r="F1931" s="113" t="s">
        <v>915</v>
      </c>
    </row>
    <row r="1932" spans="1:6" ht="14.25" customHeight="1">
      <c r="A1932" s="284" t="s">
        <v>829</v>
      </c>
      <c r="B1932" s="284">
        <v>2025</v>
      </c>
      <c r="C1932" s="284" t="s">
        <v>872</v>
      </c>
      <c r="D1932" s="284" t="s">
        <v>1013</v>
      </c>
      <c r="E1932" s="284" t="s">
        <v>1094</v>
      </c>
      <c r="F1932" s="113" t="s">
        <v>783</v>
      </c>
    </row>
    <row r="1933" spans="1:6" ht="14.25" customHeight="1">
      <c r="A1933" s="285" t="s">
        <v>829</v>
      </c>
      <c r="B1933" s="285">
        <v>2025</v>
      </c>
      <c r="C1933" s="285" t="s">
        <v>872</v>
      </c>
      <c r="D1933" s="285" t="s">
        <v>1013</v>
      </c>
      <c r="E1933" s="285" t="s">
        <v>1034</v>
      </c>
      <c r="F1933" s="113" t="s">
        <v>922</v>
      </c>
    </row>
    <row r="1934" spans="1:6" ht="14.25" customHeight="1">
      <c r="A1934" s="284" t="s">
        <v>829</v>
      </c>
      <c r="B1934" s="284">
        <v>2025</v>
      </c>
      <c r="C1934" s="284" t="s">
        <v>872</v>
      </c>
      <c r="D1934" s="284" t="s">
        <v>1013</v>
      </c>
      <c r="E1934" s="284" t="s">
        <v>990</v>
      </c>
      <c r="F1934" s="113" t="s">
        <v>935</v>
      </c>
    </row>
    <row r="1935" spans="1:6" ht="14.25" customHeight="1">
      <c r="A1935" s="285" t="s">
        <v>829</v>
      </c>
      <c r="B1935" s="285">
        <v>2025</v>
      </c>
      <c r="C1935" s="285" t="s">
        <v>872</v>
      </c>
      <c r="D1935" s="285" t="s">
        <v>1012</v>
      </c>
      <c r="E1935" s="284" t="s">
        <v>1153</v>
      </c>
      <c r="F1935" s="113" t="s">
        <v>483</v>
      </c>
    </row>
    <row r="1936" spans="1:6" ht="14.25" customHeight="1">
      <c r="A1936" s="284" t="s">
        <v>829</v>
      </c>
      <c r="B1936" s="284">
        <v>2025</v>
      </c>
      <c r="C1936" s="284" t="s">
        <v>872</v>
      </c>
      <c r="D1936" s="284" t="s">
        <v>1012</v>
      </c>
      <c r="E1936" s="284" t="s">
        <v>1098</v>
      </c>
      <c r="F1936" s="113" t="s">
        <v>911</v>
      </c>
    </row>
    <row r="1937" spans="1:6" ht="14.25" customHeight="1">
      <c r="A1937" s="285" t="s">
        <v>829</v>
      </c>
      <c r="B1937" s="285">
        <v>2025</v>
      </c>
      <c r="C1937" s="285" t="s">
        <v>872</v>
      </c>
      <c r="D1937" s="285" t="s">
        <v>1012</v>
      </c>
      <c r="E1937" s="285" t="s">
        <v>1080</v>
      </c>
      <c r="F1937" s="113" t="s">
        <v>913</v>
      </c>
    </row>
    <row r="1938" spans="1:6" ht="14.25" customHeight="1">
      <c r="A1938" s="284" t="s">
        <v>829</v>
      </c>
      <c r="B1938" s="284">
        <v>2025</v>
      </c>
      <c r="C1938" s="284" t="s">
        <v>872</v>
      </c>
      <c r="D1938" s="284" t="s">
        <v>1012</v>
      </c>
      <c r="E1938" s="284" t="s">
        <v>1043</v>
      </c>
      <c r="F1938" s="113" t="s">
        <v>913</v>
      </c>
    </row>
    <row r="1939" spans="1:6" ht="14.25" customHeight="1">
      <c r="A1939" s="285" t="s">
        <v>829</v>
      </c>
      <c r="B1939" s="285">
        <v>2025</v>
      </c>
      <c r="C1939" s="285" t="s">
        <v>872</v>
      </c>
      <c r="D1939" s="285" t="s">
        <v>1012</v>
      </c>
      <c r="E1939" s="285" t="s">
        <v>947</v>
      </c>
      <c r="F1939" s="113" t="s">
        <v>913</v>
      </c>
    </row>
    <row r="1940" spans="1:6" ht="14.25" customHeight="1">
      <c r="A1940" s="284" t="s">
        <v>829</v>
      </c>
      <c r="B1940" s="284">
        <v>2025</v>
      </c>
      <c r="C1940" s="284" t="s">
        <v>872</v>
      </c>
      <c r="D1940" s="284" t="s">
        <v>1012</v>
      </c>
      <c r="E1940" s="284" t="s">
        <v>932</v>
      </c>
      <c r="F1940" s="113" t="s">
        <v>663</v>
      </c>
    </row>
    <row r="1941" spans="1:6" ht="14.25" customHeight="1">
      <c r="A1941" s="285" t="s">
        <v>829</v>
      </c>
      <c r="B1941" s="285">
        <v>2025</v>
      </c>
      <c r="C1941" s="285" t="s">
        <v>872</v>
      </c>
      <c r="D1941" s="285" t="s">
        <v>1012</v>
      </c>
      <c r="E1941" s="285" t="s">
        <v>937</v>
      </c>
      <c r="F1941" s="113" t="s">
        <v>917</v>
      </c>
    </row>
    <row r="1942" spans="1:6" ht="14.25" customHeight="1">
      <c r="A1942" s="284" t="s">
        <v>829</v>
      </c>
      <c r="B1942" s="284">
        <v>2025</v>
      </c>
      <c r="C1942" s="284" t="s">
        <v>872</v>
      </c>
      <c r="D1942" s="284" t="s">
        <v>1012</v>
      </c>
      <c r="E1942" s="284" t="s">
        <v>996</v>
      </c>
      <c r="F1942" s="113" t="s">
        <v>924</v>
      </c>
    </row>
    <row r="1943" spans="1:6" ht="14.25" customHeight="1">
      <c r="A1943" s="285" t="s">
        <v>829</v>
      </c>
      <c r="B1943" s="285">
        <v>2025</v>
      </c>
      <c r="C1943" s="285" t="s">
        <v>872</v>
      </c>
      <c r="D1943" s="285" t="s">
        <v>1015</v>
      </c>
      <c r="E1943" s="285" t="s">
        <v>1014</v>
      </c>
      <c r="F1943" s="113" t="s">
        <v>906</v>
      </c>
    </row>
    <row r="1944" spans="1:6" ht="14.25" customHeight="1">
      <c r="A1944" s="284" t="s">
        <v>829</v>
      </c>
      <c r="B1944" s="284">
        <v>2025</v>
      </c>
      <c r="C1944" s="284" t="s">
        <v>872</v>
      </c>
      <c r="D1944" s="284" t="s">
        <v>1015</v>
      </c>
      <c r="E1944" s="284" t="s">
        <v>1063</v>
      </c>
      <c r="F1944" s="113" t="s">
        <v>922</v>
      </c>
    </row>
    <row r="1945" spans="1:6" ht="14.25" customHeight="1">
      <c r="A1945" s="285" t="s">
        <v>829</v>
      </c>
      <c r="B1945" s="285">
        <v>2025</v>
      </c>
      <c r="C1945" s="285" t="s">
        <v>1024</v>
      </c>
      <c r="D1945" s="285" t="s">
        <v>1029</v>
      </c>
      <c r="E1945" s="285" t="s">
        <v>2</v>
      </c>
      <c r="F1945" s="113" t="s">
        <v>483</v>
      </c>
    </row>
    <row r="1946" spans="1:6" ht="14.25" customHeight="1">
      <c r="A1946" s="284" t="s">
        <v>829</v>
      </c>
      <c r="B1946" s="284">
        <v>2025</v>
      </c>
      <c r="C1946" s="284" t="s">
        <v>1024</v>
      </c>
      <c r="D1946" s="284" t="s">
        <v>1029</v>
      </c>
      <c r="E1946" s="284" t="s">
        <v>2</v>
      </c>
      <c r="F1946" s="113" t="s">
        <v>924</v>
      </c>
    </row>
    <row r="1947" spans="1:6" ht="14.25" customHeight="1">
      <c r="A1947" s="285" t="s">
        <v>829</v>
      </c>
      <c r="B1947" s="285">
        <v>2025</v>
      </c>
      <c r="C1947" s="285" t="s">
        <v>1024</v>
      </c>
      <c r="D1947" s="285" t="s">
        <v>1027</v>
      </c>
      <c r="E1947" s="285" t="s">
        <v>1028</v>
      </c>
      <c r="F1947" s="113" t="s">
        <v>906</v>
      </c>
    </row>
    <row r="1948" spans="1:6" ht="14.25" customHeight="1">
      <c r="A1948" s="284" t="s">
        <v>829</v>
      </c>
      <c r="B1948" s="284">
        <v>2025</v>
      </c>
      <c r="C1948" s="284" t="s">
        <v>1024</v>
      </c>
      <c r="D1948" s="284" t="s">
        <v>1027</v>
      </c>
      <c r="E1948" s="284" t="s">
        <v>991</v>
      </c>
      <c r="F1948" s="113" t="s">
        <v>906</v>
      </c>
    </row>
    <row r="1949" spans="1:6" ht="14.25" customHeight="1">
      <c r="A1949" s="285" t="s">
        <v>829</v>
      </c>
      <c r="B1949" s="285">
        <v>2025</v>
      </c>
      <c r="C1949" s="285" t="s">
        <v>1024</v>
      </c>
      <c r="D1949" s="285" t="s">
        <v>1027</v>
      </c>
      <c r="E1949" s="285" t="s">
        <v>953</v>
      </c>
      <c r="F1949" s="113" t="s">
        <v>906</v>
      </c>
    </row>
    <row r="1950" spans="1:6" ht="14.25" customHeight="1">
      <c r="A1950" s="284" t="s">
        <v>829</v>
      </c>
      <c r="B1950" s="284">
        <v>2025</v>
      </c>
      <c r="C1950" s="284" t="s">
        <v>1024</v>
      </c>
      <c r="D1950" s="284" t="s">
        <v>1027</v>
      </c>
      <c r="E1950" s="284" t="s">
        <v>971</v>
      </c>
      <c r="F1950" s="113" t="s">
        <v>909</v>
      </c>
    </row>
    <row r="1951" spans="1:6" ht="14.25" customHeight="1">
      <c r="A1951" s="285" t="s">
        <v>829</v>
      </c>
      <c r="B1951" s="285">
        <v>2025</v>
      </c>
      <c r="C1951" s="285" t="s">
        <v>1024</v>
      </c>
      <c r="D1951" s="285" t="s">
        <v>1027</v>
      </c>
      <c r="E1951" s="285" t="s">
        <v>972</v>
      </c>
      <c r="F1951" s="113" t="s">
        <v>911</v>
      </c>
    </row>
    <row r="1952" spans="1:6" ht="14.25" customHeight="1">
      <c r="A1952" s="284" t="s">
        <v>829</v>
      </c>
      <c r="B1952" s="284">
        <v>2025</v>
      </c>
      <c r="C1952" s="284" t="s">
        <v>1024</v>
      </c>
      <c r="D1952" s="284" t="s">
        <v>1027</v>
      </c>
      <c r="E1952" s="284" t="s">
        <v>997</v>
      </c>
      <c r="F1952" s="113" t="s">
        <v>935</v>
      </c>
    </row>
    <row r="1953" spans="1:6" ht="14.25" customHeight="1">
      <c r="A1953" s="285" t="s">
        <v>829</v>
      </c>
      <c r="B1953" s="285">
        <v>2025</v>
      </c>
      <c r="C1953" s="285" t="s">
        <v>1024</v>
      </c>
      <c r="D1953" s="285" t="s">
        <v>1025</v>
      </c>
      <c r="E1953" s="285" t="s">
        <v>952</v>
      </c>
      <c r="F1953" s="113" t="s">
        <v>906</v>
      </c>
    </row>
    <row r="1954" spans="1:6" ht="14.25" customHeight="1">
      <c r="A1954" s="284" t="s">
        <v>830</v>
      </c>
      <c r="B1954" s="284">
        <v>2025</v>
      </c>
      <c r="C1954" s="284" t="s">
        <v>821</v>
      </c>
      <c r="D1954" s="284" t="s">
        <v>132</v>
      </c>
      <c r="E1954" s="284" t="s">
        <v>954</v>
      </c>
      <c r="F1954" s="113" t="s">
        <v>906</v>
      </c>
    </row>
    <row r="1955" spans="1:6" ht="14.25" customHeight="1">
      <c r="A1955" s="285" t="s">
        <v>830</v>
      </c>
      <c r="B1955" s="285">
        <v>2025</v>
      </c>
      <c r="C1955" s="285" t="s">
        <v>821</v>
      </c>
      <c r="D1955" s="285" t="s">
        <v>132</v>
      </c>
      <c r="E1955" s="285" t="s">
        <v>986</v>
      </c>
      <c r="F1955" s="113" t="s">
        <v>906</v>
      </c>
    </row>
    <row r="1956" spans="1:6" ht="14.25" customHeight="1">
      <c r="A1956" s="284" t="s">
        <v>830</v>
      </c>
      <c r="B1956" s="284">
        <v>2025</v>
      </c>
      <c r="C1956" s="284" t="s">
        <v>821</v>
      </c>
      <c r="D1956" s="284" t="s">
        <v>132</v>
      </c>
      <c r="E1956" s="284" t="s">
        <v>1193</v>
      </c>
      <c r="F1956" s="113" t="s">
        <v>922</v>
      </c>
    </row>
    <row r="1957" spans="1:6" ht="14.25" customHeight="1">
      <c r="A1957" s="285" t="s">
        <v>830</v>
      </c>
      <c r="B1957" s="285">
        <v>2025</v>
      </c>
      <c r="C1957" s="285" t="s">
        <v>821</v>
      </c>
      <c r="D1957" s="285" t="s">
        <v>976</v>
      </c>
      <c r="E1957" s="285" t="s">
        <v>953</v>
      </c>
      <c r="F1957" s="113" t="s">
        <v>906</v>
      </c>
    </row>
    <row r="1958" spans="1:6" ht="14.25" customHeight="1">
      <c r="A1958" s="284" t="s">
        <v>830</v>
      </c>
      <c r="B1958" s="284">
        <v>2025</v>
      </c>
      <c r="C1958" s="284" t="s">
        <v>821</v>
      </c>
      <c r="D1958" s="284" t="s">
        <v>976</v>
      </c>
      <c r="E1958" s="284" t="s">
        <v>2</v>
      </c>
      <c r="F1958" s="113" t="s">
        <v>483</v>
      </c>
    </row>
    <row r="1959" spans="1:6" ht="14.25" customHeight="1">
      <c r="A1959" s="285" t="s">
        <v>830</v>
      </c>
      <c r="B1959" s="285">
        <v>2025</v>
      </c>
      <c r="C1959" s="285" t="s">
        <v>821</v>
      </c>
      <c r="D1959" s="285" t="s">
        <v>976</v>
      </c>
      <c r="E1959" s="285" t="s">
        <v>1194</v>
      </c>
      <c r="F1959" s="113" t="s">
        <v>917</v>
      </c>
    </row>
    <row r="1960" spans="1:6" ht="14.25" customHeight="1">
      <c r="A1960" s="284" t="s">
        <v>830</v>
      </c>
      <c r="B1960" s="284">
        <v>2025</v>
      </c>
      <c r="C1960" s="284" t="s">
        <v>821</v>
      </c>
      <c r="D1960" s="284" t="s">
        <v>931</v>
      </c>
      <c r="E1960" s="284" t="s">
        <v>1195</v>
      </c>
      <c r="F1960" s="113" t="s">
        <v>906</v>
      </c>
    </row>
    <row r="1961" spans="1:6" ht="14.25" customHeight="1">
      <c r="A1961" s="285" t="s">
        <v>830</v>
      </c>
      <c r="B1961" s="285">
        <v>2025</v>
      </c>
      <c r="C1961" s="285" t="s">
        <v>821</v>
      </c>
      <c r="D1961" s="285" t="s">
        <v>931</v>
      </c>
      <c r="E1961" s="285" t="s">
        <v>952</v>
      </c>
      <c r="F1961" s="113" t="s">
        <v>906</v>
      </c>
    </row>
    <row r="1962" spans="1:6" ht="14.25" customHeight="1">
      <c r="A1962" s="284" t="s">
        <v>830</v>
      </c>
      <c r="B1962" s="284">
        <v>2025</v>
      </c>
      <c r="C1962" s="284" t="s">
        <v>821</v>
      </c>
      <c r="D1962" s="284" t="s">
        <v>931</v>
      </c>
      <c r="E1962" s="284" t="s">
        <v>953</v>
      </c>
      <c r="F1962" s="113" t="s">
        <v>906</v>
      </c>
    </row>
    <row r="1963" spans="1:6" ht="14.25" customHeight="1">
      <c r="A1963" s="285" t="s">
        <v>830</v>
      </c>
      <c r="B1963" s="285">
        <v>2025</v>
      </c>
      <c r="C1963" s="285" t="s">
        <v>821</v>
      </c>
      <c r="D1963" s="285" t="s">
        <v>931</v>
      </c>
      <c r="E1963" s="285" t="s">
        <v>953</v>
      </c>
      <c r="F1963" s="113" t="s">
        <v>906</v>
      </c>
    </row>
    <row r="1964" spans="1:6" ht="14.25" customHeight="1">
      <c r="A1964" s="284" t="s">
        <v>830</v>
      </c>
      <c r="B1964" s="284">
        <v>2025</v>
      </c>
      <c r="C1964" s="284" t="s">
        <v>821</v>
      </c>
      <c r="D1964" s="284" t="s">
        <v>931</v>
      </c>
      <c r="E1964" s="284" t="s">
        <v>1037</v>
      </c>
      <c r="F1964" s="113" t="s">
        <v>917</v>
      </c>
    </row>
    <row r="1965" spans="1:6" ht="14.25" customHeight="1">
      <c r="A1965" s="285" t="s">
        <v>830</v>
      </c>
      <c r="B1965" s="285">
        <v>2025</v>
      </c>
      <c r="C1965" s="285" t="s">
        <v>821</v>
      </c>
      <c r="D1965" s="285" t="s">
        <v>931</v>
      </c>
      <c r="E1965" s="285" t="s">
        <v>1038</v>
      </c>
      <c r="F1965" s="113" t="s">
        <v>918</v>
      </c>
    </row>
    <row r="1966" spans="1:6" ht="14.25" customHeight="1">
      <c r="A1966" s="284" t="s">
        <v>830</v>
      </c>
      <c r="B1966" s="284">
        <v>2025</v>
      </c>
      <c r="C1966" s="284" t="s">
        <v>821</v>
      </c>
      <c r="D1966" s="284" t="s">
        <v>931</v>
      </c>
      <c r="E1966" s="284" t="s">
        <v>2</v>
      </c>
      <c r="F1966" s="113" t="s">
        <v>922</v>
      </c>
    </row>
    <row r="1967" spans="1:6" ht="14.25" customHeight="1">
      <c r="A1967" s="285" t="s">
        <v>830</v>
      </c>
      <c r="B1967" s="285">
        <v>2025</v>
      </c>
      <c r="C1967" s="285" t="s">
        <v>821</v>
      </c>
      <c r="D1967" s="285" t="s">
        <v>934</v>
      </c>
      <c r="E1967" s="285" t="s">
        <v>1014</v>
      </c>
      <c r="F1967" s="113" t="s">
        <v>906</v>
      </c>
    </row>
    <row r="1968" spans="1:6" ht="14.25" customHeight="1">
      <c r="A1968" s="284" t="s">
        <v>830</v>
      </c>
      <c r="B1968" s="284">
        <v>2025</v>
      </c>
      <c r="C1968" s="284" t="s">
        <v>821</v>
      </c>
      <c r="D1968" s="284" t="s">
        <v>934</v>
      </c>
      <c r="E1968" s="284" t="s">
        <v>1028</v>
      </c>
      <c r="F1968" s="113" t="s">
        <v>906</v>
      </c>
    </row>
    <row r="1969" spans="1:6" ht="14.25" customHeight="1">
      <c r="A1969" s="285" t="s">
        <v>830</v>
      </c>
      <c r="B1969" s="285">
        <v>2025</v>
      </c>
      <c r="C1969" s="285" t="s">
        <v>821</v>
      </c>
      <c r="D1969" s="285" t="s">
        <v>934</v>
      </c>
      <c r="E1969" s="285" t="s">
        <v>954</v>
      </c>
      <c r="F1969" s="113" t="s">
        <v>906</v>
      </c>
    </row>
    <row r="1970" spans="1:6" ht="14.25" customHeight="1">
      <c r="A1970" s="284" t="s">
        <v>830</v>
      </c>
      <c r="B1970" s="284">
        <v>2025</v>
      </c>
      <c r="C1970" s="284" t="s">
        <v>821</v>
      </c>
      <c r="D1970" s="284" t="s">
        <v>934</v>
      </c>
      <c r="E1970" s="284" t="s">
        <v>952</v>
      </c>
      <c r="F1970" s="113" t="s">
        <v>906</v>
      </c>
    </row>
    <row r="1971" spans="1:6" ht="14.25" customHeight="1">
      <c r="A1971" s="285" t="s">
        <v>830</v>
      </c>
      <c r="B1971" s="285">
        <v>2025</v>
      </c>
      <c r="C1971" s="285" t="s">
        <v>821</v>
      </c>
      <c r="D1971" s="285" t="s">
        <v>934</v>
      </c>
      <c r="E1971" s="285" t="s">
        <v>991</v>
      </c>
      <c r="F1971" s="113" t="s">
        <v>906</v>
      </c>
    </row>
    <row r="1972" spans="1:6" ht="14.25" customHeight="1">
      <c r="A1972" s="284" t="s">
        <v>830</v>
      </c>
      <c r="B1972" s="284">
        <v>2025</v>
      </c>
      <c r="C1972" s="284" t="s">
        <v>821</v>
      </c>
      <c r="D1972" s="284" t="s">
        <v>934</v>
      </c>
      <c r="E1972" s="284" t="s">
        <v>941</v>
      </c>
      <c r="F1972" s="113" t="s">
        <v>663</v>
      </c>
    </row>
    <row r="1973" spans="1:6" ht="14.25" customHeight="1">
      <c r="A1973" s="285" t="s">
        <v>830</v>
      </c>
      <c r="B1973" s="285">
        <v>2025</v>
      </c>
      <c r="C1973" s="285" t="s">
        <v>821</v>
      </c>
      <c r="D1973" s="285" t="s">
        <v>934</v>
      </c>
      <c r="E1973" s="285" t="s">
        <v>932</v>
      </c>
      <c r="F1973" s="113" t="s">
        <v>663</v>
      </c>
    </row>
    <row r="1974" spans="1:6" ht="14.25" customHeight="1">
      <c r="A1974" s="284" t="s">
        <v>830</v>
      </c>
      <c r="B1974" s="284">
        <v>2025</v>
      </c>
      <c r="C1974" s="284" t="s">
        <v>821</v>
      </c>
      <c r="D1974" s="284" t="s">
        <v>934</v>
      </c>
      <c r="E1974" s="284" t="s">
        <v>1106</v>
      </c>
      <c r="F1974" s="113" t="s">
        <v>915</v>
      </c>
    </row>
    <row r="1975" spans="1:6" ht="14.25" customHeight="1">
      <c r="A1975" s="285" t="s">
        <v>830</v>
      </c>
      <c r="B1975" s="285">
        <v>2025</v>
      </c>
      <c r="C1975" s="285" t="s">
        <v>821</v>
      </c>
      <c r="D1975" s="285" t="s">
        <v>934</v>
      </c>
      <c r="E1975" s="285" t="s">
        <v>973</v>
      </c>
      <c r="F1975" s="113" t="s">
        <v>917</v>
      </c>
    </row>
    <row r="1976" spans="1:6" ht="14.25" customHeight="1">
      <c r="A1976" s="284" t="s">
        <v>830</v>
      </c>
      <c r="B1976" s="284">
        <v>2025</v>
      </c>
      <c r="C1976" s="284" t="s">
        <v>821</v>
      </c>
      <c r="D1976" s="284" t="s">
        <v>934</v>
      </c>
      <c r="E1976" s="284" t="s">
        <v>951</v>
      </c>
      <c r="F1976" s="113" t="s">
        <v>917</v>
      </c>
    </row>
    <row r="1977" spans="1:6" ht="14.25" customHeight="1">
      <c r="A1977" s="285" t="s">
        <v>830</v>
      </c>
      <c r="B1977" s="285">
        <v>2025</v>
      </c>
      <c r="C1977" s="285" t="s">
        <v>821</v>
      </c>
      <c r="D1977" s="285" t="s">
        <v>934</v>
      </c>
      <c r="E1977" s="285" t="s">
        <v>945</v>
      </c>
      <c r="F1977" s="113" t="s">
        <v>917</v>
      </c>
    </row>
    <row r="1978" spans="1:6" ht="14.25" customHeight="1">
      <c r="A1978" s="284" t="s">
        <v>830</v>
      </c>
      <c r="B1978" s="284">
        <v>2025</v>
      </c>
      <c r="C1978" s="284" t="s">
        <v>821</v>
      </c>
      <c r="D1978" s="284" t="s">
        <v>934</v>
      </c>
      <c r="E1978" s="284" t="s">
        <v>1006</v>
      </c>
      <c r="F1978" s="113" t="s">
        <v>917</v>
      </c>
    </row>
    <row r="1979" spans="1:6" ht="14.25" customHeight="1">
      <c r="A1979" s="285" t="s">
        <v>830</v>
      </c>
      <c r="B1979" s="285">
        <v>2025</v>
      </c>
      <c r="C1979" s="285" t="s">
        <v>821</v>
      </c>
      <c r="D1979" s="285" t="s">
        <v>934</v>
      </c>
      <c r="E1979" s="285" t="s">
        <v>946</v>
      </c>
      <c r="F1979" s="113" t="s">
        <v>924</v>
      </c>
    </row>
    <row r="1980" spans="1:6" ht="14.25" customHeight="1">
      <c r="A1980" s="284" t="s">
        <v>830</v>
      </c>
      <c r="B1980" s="284">
        <v>2025</v>
      </c>
      <c r="C1980" s="284" t="s">
        <v>821</v>
      </c>
      <c r="D1980" s="284" t="s">
        <v>934</v>
      </c>
      <c r="E1980" s="284" t="s">
        <v>2</v>
      </c>
      <c r="F1980" s="113" t="s">
        <v>924</v>
      </c>
    </row>
    <row r="1981" spans="1:6" ht="14.25" customHeight="1">
      <c r="A1981" s="285" t="s">
        <v>830</v>
      </c>
      <c r="B1981" s="285">
        <v>2025</v>
      </c>
      <c r="C1981" s="285" t="s">
        <v>821</v>
      </c>
      <c r="D1981" s="285" t="s">
        <v>934</v>
      </c>
      <c r="E1981" s="285" t="s">
        <v>1051</v>
      </c>
      <c r="F1981" s="113" t="s">
        <v>924</v>
      </c>
    </row>
    <row r="1982" spans="1:6" ht="14.25" customHeight="1">
      <c r="A1982" s="284" t="s">
        <v>830</v>
      </c>
      <c r="B1982" s="284">
        <v>2025</v>
      </c>
      <c r="C1982" s="284" t="s">
        <v>88</v>
      </c>
      <c r="D1982" s="284" t="s">
        <v>959</v>
      </c>
      <c r="E1982" s="284" t="s">
        <v>1196</v>
      </c>
      <c r="F1982" s="113" t="s">
        <v>906</v>
      </c>
    </row>
    <row r="1983" spans="1:6" ht="14.25" customHeight="1">
      <c r="A1983" s="285" t="s">
        <v>830</v>
      </c>
      <c r="B1983" s="285">
        <v>2025</v>
      </c>
      <c r="C1983" s="285" t="s">
        <v>88</v>
      </c>
      <c r="D1983" s="285" t="s">
        <v>959</v>
      </c>
      <c r="E1983" s="285" t="s">
        <v>991</v>
      </c>
      <c r="F1983" s="113" t="s">
        <v>906</v>
      </c>
    </row>
    <row r="1984" spans="1:6" ht="14.25" customHeight="1">
      <c r="A1984" s="284" t="s">
        <v>830</v>
      </c>
      <c r="B1984" s="284">
        <v>2025</v>
      </c>
      <c r="C1984" s="284" t="s">
        <v>88</v>
      </c>
      <c r="D1984" s="284" t="s">
        <v>959</v>
      </c>
      <c r="E1984" s="284" t="s">
        <v>1036</v>
      </c>
      <c r="F1984" s="113" t="s">
        <v>906</v>
      </c>
    </row>
    <row r="1985" spans="1:6" ht="14.25" customHeight="1">
      <c r="A1985" s="285" t="s">
        <v>830</v>
      </c>
      <c r="B1985" s="285">
        <v>2025</v>
      </c>
      <c r="C1985" s="285" t="s">
        <v>88</v>
      </c>
      <c r="D1985" s="285" t="s">
        <v>959</v>
      </c>
      <c r="E1985" s="285" t="s">
        <v>1153</v>
      </c>
      <c r="F1985" s="113" t="s">
        <v>483</v>
      </c>
    </row>
    <row r="1986" spans="1:6" ht="14.25" customHeight="1">
      <c r="A1986" s="284" t="s">
        <v>830</v>
      </c>
      <c r="B1986" s="284">
        <v>2025</v>
      </c>
      <c r="C1986" s="284" t="s">
        <v>88</v>
      </c>
      <c r="D1986" s="284" t="s">
        <v>959</v>
      </c>
      <c r="E1986" s="284" t="s">
        <v>965</v>
      </c>
      <c r="F1986" s="113" t="s">
        <v>911</v>
      </c>
    </row>
    <row r="1987" spans="1:6" ht="14.25" customHeight="1">
      <c r="A1987" s="285" t="s">
        <v>830</v>
      </c>
      <c r="B1987" s="285">
        <v>2025</v>
      </c>
      <c r="C1987" s="285" t="s">
        <v>88</v>
      </c>
      <c r="D1987" s="285" t="s">
        <v>959</v>
      </c>
      <c r="E1987" s="285" t="s">
        <v>1197</v>
      </c>
      <c r="F1987" s="113" t="s">
        <v>911</v>
      </c>
    </row>
    <row r="1988" spans="1:6" ht="14.25" customHeight="1">
      <c r="A1988" s="284" t="s">
        <v>830</v>
      </c>
      <c r="B1988" s="284">
        <v>2025</v>
      </c>
      <c r="C1988" s="284" t="s">
        <v>88</v>
      </c>
      <c r="D1988" s="284" t="s">
        <v>959</v>
      </c>
      <c r="E1988" s="284" t="s">
        <v>1031</v>
      </c>
      <c r="F1988" s="113" t="s">
        <v>913</v>
      </c>
    </row>
    <row r="1989" spans="1:6" ht="14.25" customHeight="1">
      <c r="A1989" s="285" t="s">
        <v>830</v>
      </c>
      <c r="B1989" s="285">
        <v>2025</v>
      </c>
      <c r="C1989" s="285" t="s">
        <v>88</v>
      </c>
      <c r="D1989" s="285" t="s">
        <v>959</v>
      </c>
      <c r="E1989" s="285" t="s">
        <v>951</v>
      </c>
      <c r="F1989" s="113" t="s">
        <v>917</v>
      </c>
    </row>
    <row r="1990" spans="1:6" ht="14.25" customHeight="1">
      <c r="A1990" s="284" t="s">
        <v>830</v>
      </c>
      <c r="B1990" s="284">
        <v>2025</v>
      </c>
      <c r="C1990" s="284" t="s">
        <v>88</v>
      </c>
      <c r="D1990" s="284" t="s">
        <v>959</v>
      </c>
      <c r="E1990" s="284" t="s">
        <v>1037</v>
      </c>
      <c r="F1990" s="113" t="s">
        <v>917</v>
      </c>
    </row>
    <row r="1991" spans="1:6" ht="14.25" customHeight="1">
      <c r="A1991" s="285" t="s">
        <v>830</v>
      </c>
      <c r="B1991" s="285">
        <v>2025</v>
      </c>
      <c r="C1991" s="285" t="s">
        <v>88</v>
      </c>
      <c r="D1991" s="285" t="s">
        <v>959</v>
      </c>
      <c r="E1991" s="285" t="s">
        <v>1094</v>
      </c>
      <c r="F1991" s="113" t="s">
        <v>918</v>
      </c>
    </row>
    <row r="1992" spans="1:6" ht="14.25" customHeight="1">
      <c r="A1992" s="284" t="s">
        <v>830</v>
      </c>
      <c r="B1992" s="284">
        <v>2025</v>
      </c>
      <c r="C1992" s="284" t="s">
        <v>88</v>
      </c>
      <c r="D1992" s="284" t="s">
        <v>959</v>
      </c>
      <c r="E1992" s="284" t="s">
        <v>945</v>
      </c>
      <c r="F1992" s="113" t="s">
        <v>918</v>
      </c>
    </row>
    <row r="1993" spans="1:6" ht="14.25" customHeight="1">
      <c r="A1993" s="285" t="s">
        <v>830</v>
      </c>
      <c r="B1993" s="285">
        <v>2025</v>
      </c>
      <c r="C1993" s="285" t="s">
        <v>88</v>
      </c>
      <c r="D1993" s="285" t="s">
        <v>959</v>
      </c>
      <c r="E1993" s="285" t="s">
        <v>951</v>
      </c>
      <c r="F1993" s="113" t="s">
        <v>783</v>
      </c>
    </row>
    <row r="1994" spans="1:6" ht="14.25" customHeight="1">
      <c r="A1994" s="284" t="s">
        <v>830</v>
      </c>
      <c r="B1994" s="284">
        <v>2025</v>
      </c>
      <c r="C1994" s="284" t="s">
        <v>88</v>
      </c>
      <c r="D1994" s="284" t="s">
        <v>959</v>
      </c>
      <c r="E1994" s="284" t="s">
        <v>1047</v>
      </c>
      <c r="F1994" s="113" t="s">
        <v>924</v>
      </c>
    </row>
    <row r="1995" spans="1:6" ht="14.25" customHeight="1">
      <c r="A1995" s="285" t="s">
        <v>830</v>
      </c>
      <c r="B1995" s="285">
        <v>2025</v>
      </c>
      <c r="C1995" s="285" t="s">
        <v>88</v>
      </c>
      <c r="D1995" s="285" t="s">
        <v>959</v>
      </c>
      <c r="E1995" s="285" t="s">
        <v>949</v>
      </c>
      <c r="F1995" s="113" t="s">
        <v>924</v>
      </c>
    </row>
    <row r="1996" spans="1:6" ht="14.25" customHeight="1">
      <c r="A1996" s="284" t="s">
        <v>830</v>
      </c>
      <c r="B1996" s="284">
        <v>2025</v>
      </c>
      <c r="C1996" s="284" t="s">
        <v>88</v>
      </c>
      <c r="D1996" s="284" t="s">
        <v>959</v>
      </c>
      <c r="E1996" s="284" t="s">
        <v>995</v>
      </c>
      <c r="F1996" s="113" t="s">
        <v>924</v>
      </c>
    </row>
    <row r="1997" spans="1:6" ht="14.25" customHeight="1">
      <c r="A1997" s="285" t="s">
        <v>830</v>
      </c>
      <c r="B1997" s="285">
        <v>2025</v>
      </c>
      <c r="C1997" s="285" t="s">
        <v>88</v>
      </c>
      <c r="D1997" s="285" t="s">
        <v>959</v>
      </c>
      <c r="E1997" s="285" t="s">
        <v>1065</v>
      </c>
      <c r="F1997" s="113" t="s">
        <v>924</v>
      </c>
    </row>
    <row r="1998" spans="1:6" ht="14.25" customHeight="1">
      <c r="A1998" s="284" t="s">
        <v>830</v>
      </c>
      <c r="B1998" s="284">
        <v>2025</v>
      </c>
      <c r="C1998" s="284" t="s">
        <v>88</v>
      </c>
      <c r="D1998" s="284" t="s">
        <v>988</v>
      </c>
      <c r="E1998" s="284" t="s">
        <v>1153</v>
      </c>
      <c r="F1998" s="113" t="s">
        <v>483</v>
      </c>
    </row>
    <row r="1999" spans="1:6" ht="14.25" customHeight="1">
      <c r="A1999" s="285" t="s">
        <v>830</v>
      </c>
      <c r="B1999" s="285">
        <v>2025</v>
      </c>
      <c r="C1999" s="285" t="s">
        <v>88</v>
      </c>
      <c r="D1999" s="285" t="s">
        <v>988</v>
      </c>
      <c r="E1999" s="285" t="s">
        <v>1081</v>
      </c>
      <c r="F1999" s="113" t="s">
        <v>911</v>
      </c>
    </row>
    <row r="2000" spans="1:6" ht="14.25" customHeight="1">
      <c r="A2000" s="284" t="s">
        <v>830</v>
      </c>
      <c r="B2000" s="284">
        <v>2025</v>
      </c>
      <c r="C2000" s="284" t="s">
        <v>88</v>
      </c>
      <c r="D2000" s="284" t="s">
        <v>988</v>
      </c>
      <c r="E2000" s="284" t="s">
        <v>943</v>
      </c>
      <c r="F2000" s="113" t="s">
        <v>917</v>
      </c>
    </row>
    <row r="2001" spans="1:6" ht="14.25" customHeight="1">
      <c r="A2001" s="285" t="s">
        <v>830</v>
      </c>
      <c r="B2001" s="285">
        <v>2025</v>
      </c>
      <c r="C2001" s="285" t="s">
        <v>88</v>
      </c>
      <c r="D2001" s="285" t="s">
        <v>988</v>
      </c>
      <c r="E2001" s="285" t="s">
        <v>974</v>
      </c>
      <c r="F2001" s="113" t="s">
        <v>917</v>
      </c>
    </row>
    <row r="2002" spans="1:6" ht="14.25" customHeight="1">
      <c r="A2002" s="284" t="s">
        <v>830</v>
      </c>
      <c r="B2002" s="284">
        <v>2025</v>
      </c>
      <c r="C2002" s="284" t="s">
        <v>88</v>
      </c>
      <c r="D2002" s="284" t="s">
        <v>988</v>
      </c>
      <c r="E2002" s="284" t="s">
        <v>951</v>
      </c>
      <c r="F2002" s="113" t="s">
        <v>783</v>
      </c>
    </row>
    <row r="2003" spans="1:6" ht="14.25" customHeight="1">
      <c r="A2003" s="285" t="s">
        <v>830</v>
      </c>
      <c r="B2003" s="285">
        <v>2025</v>
      </c>
      <c r="C2003" s="285" t="s">
        <v>88</v>
      </c>
      <c r="D2003" s="285" t="s">
        <v>988</v>
      </c>
      <c r="E2003" s="285" t="s">
        <v>1016</v>
      </c>
      <c r="F2003" s="113" t="s">
        <v>783</v>
      </c>
    </row>
    <row r="2004" spans="1:6" ht="14.25" customHeight="1">
      <c r="A2004" s="284" t="s">
        <v>830</v>
      </c>
      <c r="B2004" s="284">
        <v>2025</v>
      </c>
      <c r="C2004" s="284" t="s">
        <v>88</v>
      </c>
      <c r="D2004" s="284" t="s">
        <v>988</v>
      </c>
      <c r="E2004" s="284" t="s">
        <v>996</v>
      </c>
      <c r="F2004" s="113" t="s">
        <v>924</v>
      </c>
    </row>
    <row r="2005" spans="1:6" ht="14.25" customHeight="1">
      <c r="A2005" s="285" t="s">
        <v>830</v>
      </c>
      <c r="B2005" s="285">
        <v>2025</v>
      </c>
      <c r="C2005" s="285" t="s">
        <v>88</v>
      </c>
      <c r="D2005" s="285" t="s">
        <v>988</v>
      </c>
      <c r="E2005" s="285" t="s">
        <v>1030</v>
      </c>
      <c r="F2005" s="113" t="s">
        <v>935</v>
      </c>
    </row>
    <row r="2006" spans="1:6" ht="14.25" customHeight="1">
      <c r="A2006" s="284" t="s">
        <v>830</v>
      </c>
      <c r="B2006" s="284">
        <v>2025</v>
      </c>
      <c r="C2006" s="284" t="s">
        <v>88</v>
      </c>
      <c r="D2006" s="284" t="s">
        <v>956</v>
      </c>
      <c r="E2006" s="284" t="s">
        <v>981</v>
      </c>
      <c r="F2006" s="113" t="s">
        <v>906</v>
      </c>
    </row>
    <row r="2007" spans="1:6" ht="14.25" customHeight="1">
      <c r="A2007" s="285" t="s">
        <v>830</v>
      </c>
      <c r="B2007" s="285">
        <v>2025</v>
      </c>
      <c r="C2007" s="285" t="s">
        <v>88</v>
      </c>
      <c r="D2007" s="285" t="s">
        <v>956</v>
      </c>
      <c r="E2007" s="285" t="s">
        <v>991</v>
      </c>
      <c r="F2007" s="113" t="s">
        <v>906</v>
      </c>
    </row>
    <row r="2008" spans="1:6" ht="14.25" customHeight="1">
      <c r="A2008" s="284" t="s">
        <v>830</v>
      </c>
      <c r="B2008" s="284">
        <v>2025</v>
      </c>
      <c r="C2008" s="284" t="s">
        <v>88</v>
      </c>
      <c r="D2008" s="284" t="s">
        <v>956</v>
      </c>
      <c r="E2008" s="284" t="s">
        <v>953</v>
      </c>
      <c r="F2008" s="113" t="s">
        <v>906</v>
      </c>
    </row>
    <row r="2009" spans="1:6" ht="14.25" customHeight="1">
      <c r="A2009" s="285" t="s">
        <v>830</v>
      </c>
      <c r="B2009" s="285">
        <v>2025</v>
      </c>
      <c r="C2009" s="285" t="s">
        <v>88</v>
      </c>
      <c r="D2009" s="285" t="s">
        <v>956</v>
      </c>
      <c r="E2009" s="285" t="s">
        <v>1131</v>
      </c>
      <c r="F2009" s="113" t="s">
        <v>483</v>
      </c>
    </row>
    <row r="2010" spans="1:6" ht="14.25" customHeight="1">
      <c r="A2010" s="284" t="s">
        <v>830</v>
      </c>
      <c r="B2010" s="284">
        <v>2025</v>
      </c>
      <c r="C2010" s="284" t="s">
        <v>88</v>
      </c>
      <c r="D2010" s="284" t="s">
        <v>956</v>
      </c>
      <c r="E2010" s="284" t="s">
        <v>1050</v>
      </c>
      <c r="F2010" s="113" t="s">
        <v>483</v>
      </c>
    </row>
    <row r="2011" spans="1:6" ht="14.25" customHeight="1">
      <c r="A2011" s="285" t="s">
        <v>830</v>
      </c>
      <c r="B2011" s="285">
        <v>2025</v>
      </c>
      <c r="C2011" s="285" t="s">
        <v>88</v>
      </c>
      <c r="D2011" s="285" t="s">
        <v>956</v>
      </c>
      <c r="E2011" s="285" t="s">
        <v>1037</v>
      </c>
      <c r="F2011" s="113" t="s">
        <v>917</v>
      </c>
    </row>
    <row r="2012" spans="1:6" ht="14.25" customHeight="1">
      <c r="A2012" s="284" t="s">
        <v>830</v>
      </c>
      <c r="B2012" s="284">
        <v>2025</v>
      </c>
      <c r="C2012" s="284" t="s">
        <v>88</v>
      </c>
      <c r="D2012" s="284" t="s">
        <v>956</v>
      </c>
      <c r="E2012" s="284" t="s">
        <v>1051</v>
      </c>
      <c r="F2012" s="113" t="s">
        <v>924</v>
      </c>
    </row>
    <row r="2013" spans="1:6" ht="14.25" customHeight="1">
      <c r="A2013" s="285" t="s">
        <v>830</v>
      </c>
      <c r="B2013" s="285">
        <v>2025</v>
      </c>
      <c r="C2013" s="285" t="s">
        <v>88</v>
      </c>
      <c r="D2013" s="285" t="s">
        <v>969</v>
      </c>
      <c r="E2013" s="285" t="s">
        <v>981</v>
      </c>
      <c r="F2013" s="113" t="s">
        <v>906</v>
      </c>
    </row>
    <row r="2014" spans="1:6" ht="14.25" customHeight="1">
      <c r="A2014" s="284" t="s">
        <v>830</v>
      </c>
      <c r="B2014" s="284">
        <v>2025</v>
      </c>
      <c r="C2014" s="284" t="s">
        <v>88</v>
      </c>
      <c r="D2014" s="284" t="s">
        <v>969</v>
      </c>
      <c r="E2014" s="284" t="s">
        <v>952</v>
      </c>
      <c r="F2014" s="113" t="s">
        <v>906</v>
      </c>
    </row>
    <row r="2015" spans="1:6" ht="14.25" customHeight="1">
      <c r="A2015" s="285" t="s">
        <v>830</v>
      </c>
      <c r="B2015" s="285">
        <v>2025</v>
      </c>
      <c r="C2015" s="285" t="s">
        <v>88</v>
      </c>
      <c r="D2015" s="285" t="s">
        <v>969</v>
      </c>
      <c r="E2015" s="285" t="s">
        <v>1153</v>
      </c>
      <c r="F2015" s="113" t="s">
        <v>483</v>
      </c>
    </row>
    <row r="2016" spans="1:6" ht="14.25" customHeight="1">
      <c r="A2016" s="284" t="s">
        <v>830</v>
      </c>
      <c r="B2016" s="284">
        <v>2025</v>
      </c>
      <c r="C2016" s="284" t="s">
        <v>88</v>
      </c>
      <c r="D2016" s="284" t="s">
        <v>969</v>
      </c>
      <c r="E2016" s="284" t="s">
        <v>951</v>
      </c>
      <c r="F2016" s="113" t="s">
        <v>917</v>
      </c>
    </row>
    <row r="2017" spans="1:6" ht="14.25" customHeight="1">
      <c r="A2017" s="285" t="s">
        <v>830</v>
      </c>
      <c r="B2017" s="285">
        <v>2025</v>
      </c>
      <c r="C2017" s="285" t="s">
        <v>88</v>
      </c>
      <c r="D2017" s="285" t="s">
        <v>969</v>
      </c>
      <c r="E2017" s="285" t="s">
        <v>1009</v>
      </c>
      <c r="F2017" s="113" t="s">
        <v>917</v>
      </c>
    </row>
    <row r="2018" spans="1:6" ht="14.25" customHeight="1">
      <c r="A2018" s="284" t="s">
        <v>830</v>
      </c>
      <c r="B2018" s="284">
        <v>2025</v>
      </c>
      <c r="C2018" s="284" t="s">
        <v>88</v>
      </c>
      <c r="D2018" s="284" t="s">
        <v>969</v>
      </c>
      <c r="E2018" s="284" t="s">
        <v>951</v>
      </c>
      <c r="F2018" s="113" t="s">
        <v>917</v>
      </c>
    </row>
    <row r="2019" spans="1:6" ht="14.25" customHeight="1">
      <c r="A2019" s="285" t="s">
        <v>830</v>
      </c>
      <c r="B2019" s="285">
        <v>2025</v>
      </c>
      <c r="C2019" s="285" t="s">
        <v>88</v>
      </c>
      <c r="D2019" s="285" t="s">
        <v>969</v>
      </c>
      <c r="E2019" s="285" t="s">
        <v>1095</v>
      </c>
      <c r="F2019" s="113" t="s">
        <v>924</v>
      </c>
    </row>
    <row r="2020" spans="1:6" ht="14.25" customHeight="1">
      <c r="A2020" s="284" t="s">
        <v>830</v>
      </c>
      <c r="B2020" s="284">
        <v>2025</v>
      </c>
      <c r="C2020" s="284" t="s">
        <v>859</v>
      </c>
      <c r="D2020" s="284" t="s">
        <v>999</v>
      </c>
      <c r="E2020" s="284" t="s">
        <v>1028</v>
      </c>
      <c r="F2020" s="113" t="s">
        <v>906</v>
      </c>
    </row>
    <row r="2021" spans="1:6" ht="14.25" customHeight="1">
      <c r="A2021" s="285" t="s">
        <v>830</v>
      </c>
      <c r="B2021" s="285">
        <v>2025</v>
      </c>
      <c r="C2021" s="285" t="s">
        <v>859</v>
      </c>
      <c r="D2021" s="285" t="s">
        <v>999</v>
      </c>
      <c r="E2021" s="285" t="s">
        <v>953</v>
      </c>
      <c r="F2021" s="113" t="s">
        <v>906</v>
      </c>
    </row>
    <row r="2022" spans="1:6" ht="14.25" customHeight="1">
      <c r="A2022" s="284" t="s">
        <v>830</v>
      </c>
      <c r="B2022" s="284">
        <v>2025</v>
      </c>
      <c r="C2022" s="284" t="s">
        <v>859</v>
      </c>
      <c r="D2022" s="284" t="s">
        <v>999</v>
      </c>
      <c r="E2022" s="284" t="s">
        <v>1094</v>
      </c>
      <c r="F2022" s="113" t="s">
        <v>918</v>
      </c>
    </row>
    <row r="2023" spans="1:6" ht="14.25" customHeight="1">
      <c r="A2023" s="285" t="s">
        <v>830</v>
      </c>
      <c r="B2023" s="285">
        <v>2025</v>
      </c>
      <c r="C2023" s="285" t="s">
        <v>859</v>
      </c>
      <c r="D2023" s="285" t="s">
        <v>999</v>
      </c>
      <c r="E2023" s="285" t="s">
        <v>1111</v>
      </c>
      <c r="F2023" s="113" t="s">
        <v>918</v>
      </c>
    </row>
    <row r="2024" spans="1:6" ht="14.25" customHeight="1">
      <c r="A2024" s="284" t="s">
        <v>830</v>
      </c>
      <c r="B2024" s="284">
        <v>2025</v>
      </c>
      <c r="C2024" s="284" t="s">
        <v>859</v>
      </c>
      <c r="D2024" s="284" t="s">
        <v>998</v>
      </c>
      <c r="E2024" s="284" t="s">
        <v>962</v>
      </c>
      <c r="F2024" s="113" t="s">
        <v>913</v>
      </c>
    </row>
    <row r="2025" spans="1:6" ht="14.25" customHeight="1">
      <c r="A2025" s="285" t="s">
        <v>830</v>
      </c>
      <c r="B2025" s="285">
        <v>2025</v>
      </c>
      <c r="C2025" s="285" t="s">
        <v>859</v>
      </c>
      <c r="D2025" s="285" t="s">
        <v>1000</v>
      </c>
      <c r="E2025" s="285" t="s">
        <v>1198</v>
      </c>
      <c r="F2025" s="113" t="s">
        <v>906</v>
      </c>
    </row>
    <row r="2026" spans="1:6" ht="14.25" customHeight="1">
      <c r="A2026" s="284" t="s">
        <v>830</v>
      </c>
      <c r="B2026" s="284">
        <v>2025</v>
      </c>
      <c r="C2026" s="284" t="s">
        <v>859</v>
      </c>
      <c r="D2026" s="284" t="s">
        <v>1000</v>
      </c>
      <c r="E2026" s="284" t="s">
        <v>991</v>
      </c>
      <c r="F2026" s="113" t="s">
        <v>906</v>
      </c>
    </row>
    <row r="2027" spans="1:6" ht="14.25" customHeight="1">
      <c r="A2027" s="285" t="s">
        <v>830</v>
      </c>
      <c r="B2027" s="285">
        <v>2025</v>
      </c>
      <c r="C2027" s="285" t="s">
        <v>859</v>
      </c>
      <c r="D2027" s="285" t="s">
        <v>1000</v>
      </c>
      <c r="E2027" s="285" t="s">
        <v>991</v>
      </c>
      <c r="F2027" s="113" t="s">
        <v>906</v>
      </c>
    </row>
    <row r="2028" spans="1:6" ht="14.25" customHeight="1">
      <c r="A2028" s="284" t="s">
        <v>830</v>
      </c>
      <c r="B2028" s="284">
        <v>2025</v>
      </c>
      <c r="C2028" s="284" t="s">
        <v>859</v>
      </c>
      <c r="D2028" s="284" t="s">
        <v>1000</v>
      </c>
      <c r="E2028" s="284" t="s">
        <v>986</v>
      </c>
      <c r="F2028" s="113" t="s">
        <v>906</v>
      </c>
    </row>
    <row r="2029" spans="1:6" ht="14.25" customHeight="1">
      <c r="A2029" s="285" t="s">
        <v>830</v>
      </c>
      <c r="B2029" s="285">
        <v>2025</v>
      </c>
      <c r="C2029" s="285" t="s">
        <v>859</v>
      </c>
      <c r="D2029" s="285" t="s">
        <v>1000</v>
      </c>
      <c r="E2029" s="285" t="s">
        <v>1153</v>
      </c>
      <c r="F2029" s="113" t="s">
        <v>483</v>
      </c>
    </row>
    <row r="2030" spans="1:6" ht="14.25" customHeight="1">
      <c r="A2030" s="284" t="s">
        <v>830</v>
      </c>
      <c r="B2030" s="284">
        <v>2025</v>
      </c>
      <c r="C2030" s="284" t="s">
        <v>859</v>
      </c>
      <c r="D2030" s="284" t="s">
        <v>1000</v>
      </c>
      <c r="E2030" s="284" t="s">
        <v>975</v>
      </c>
      <c r="F2030" s="113" t="s">
        <v>483</v>
      </c>
    </row>
    <row r="2031" spans="1:6" ht="14.25" customHeight="1">
      <c r="A2031" s="285" t="s">
        <v>830</v>
      </c>
      <c r="B2031" s="285">
        <v>2025</v>
      </c>
      <c r="C2031" s="285" t="s">
        <v>859</v>
      </c>
      <c r="D2031" s="285" t="s">
        <v>1000</v>
      </c>
      <c r="E2031" s="285" t="s">
        <v>1153</v>
      </c>
      <c r="F2031" s="113" t="s">
        <v>483</v>
      </c>
    </row>
    <row r="2032" spans="1:6" ht="14.25" customHeight="1">
      <c r="A2032" s="284" t="s">
        <v>830</v>
      </c>
      <c r="B2032" s="284">
        <v>2025</v>
      </c>
      <c r="C2032" s="284" t="s">
        <v>859</v>
      </c>
      <c r="D2032" s="284" t="s">
        <v>1000</v>
      </c>
      <c r="E2032" s="284" t="s">
        <v>1097</v>
      </c>
      <c r="F2032" s="113" t="s">
        <v>911</v>
      </c>
    </row>
    <row r="2033" spans="1:6" ht="14.25" customHeight="1">
      <c r="A2033" s="285" t="s">
        <v>830</v>
      </c>
      <c r="B2033" s="285">
        <v>2025</v>
      </c>
      <c r="C2033" s="285" t="s">
        <v>859</v>
      </c>
      <c r="D2033" s="285" t="s">
        <v>1000</v>
      </c>
      <c r="E2033" s="285" t="s">
        <v>1048</v>
      </c>
      <c r="F2033" s="113" t="s">
        <v>917</v>
      </c>
    </row>
    <row r="2034" spans="1:6" ht="14.25" customHeight="1">
      <c r="A2034" s="284" t="s">
        <v>830</v>
      </c>
      <c r="B2034" s="284">
        <v>2025</v>
      </c>
      <c r="C2034" s="284" t="s">
        <v>859</v>
      </c>
      <c r="D2034" s="284" t="s">
        <v>1000</v>
      </c>
      <c r="E2034" s="284" t="s">
        <v>1085</v>
      </c>
      <c r="F2034" s="113" t="s">
        <v>917</v>
      </c>
    </row>
    <row r="2035" spans="1:6" ht="14.25" customHeight="1">
      <c r="A2035" s="285" t="s">
        <v>830</v>
      </c>
      <c r="B2035" s="285">
        <v>2025</v>
      </c>
      <c r="C2035" s="285" t="s">
        <v>859</v>
      </c>
      <c r="D2035" s="285" t="s">
        <v>1000</v>
      </c>
      <c r="E2035" s="285" t="s">
        <v>1048</v>
      </c>
      <c r="F2035" s="113" t="s">
        <v>917</v>
      </c>
    </row>
    <row r="2036" spans="1:6" ht="14.25" customHeight="1">
      <c r="A2036" s="284" t="s">
        <v>830</v>
      </c>
      <c r="B2036" s="284">
        <v>2025</v>
      </c>
      <c r="C2036" s="284" t="s">
        <v>859</v>
      </c>
      <c r="D2036" s="284" t="s">
        <v>1000</v>
      </c>
      <c r="E2036" s="284" t="s">
        <v>1065</v>
      </c>
      <c r="F2036" s="113" t="s">
        <v>924</v>
      </c>
    </row>
    <row r="2037" spans="1:6" ht="14.25" customHeight="1">
      <c r="A2037" s="285" t="s">
        <v>830</v>
      </c>
      <c r="B2037" s="285">
        <v>2025</v>
      </c>
      <c r="C2037" s="285" t="s">
        <v>859</v>
      </c>
      <c r="D2037" s="285" t="s">
        <v>1000</v>
      </c>
      <c r="E2037" s="285" t="s">
        <v>990</v>
      </c>
      <c r="F2037" s="113" t="s">
        <v>935</v>
      </c>
    </row>
    <row r="2038" spans="1:6" ht="14.25" customHeight="1">
      <c r="A2038" s="284" t="s">
        <v>830</v>
      </c>
      <c r="B2038" s="284">
        <v>2025</v>
      </c>
      <c r="C2038" s="284" t="s">
        <v>859</v>
      </c>
      <c r="D2038" s="284" t="s">
        <v>1000</v>
      </c>
      <c r="E2038" s="284" t="s">
        <v>997</v>
      </c>
      <c r="F2038" s="113" t="s">
        <v>935</v>
      </c>
    </row>
    <row r="2039" spans="1:6" ht="14.25" customHeight="1">
      <c r="A2039" s="285" t="s">
        <v>830</v>
      </c>
      <c r="B2039" s="285">
        <v>2025</v>
      </c>
      <c r="C2039" s="285" t="s">
        <v>872</v>
      </c>
      <c r="D2039" s="285" t="s">
        <v>1018</v>
      </c>
      <c r="E2039" s="285" t="s">
        <v>932</v>
      </c>
      <c r="F2039" s="113" t="s">
        <v>663</v>
      </c>
    </row>
    <row r="2040" spans="1:6" ht="14.25" customHeight="1">
      <c r="A2040" s="284" t="s">
        <v>830</v>
      </c>
      <c r="B2040" s="284">
        <v>2025</v>
      </c>
      <c r="C2040" s="284" t="s">
        <v>872</v>
      </c>
      <c r="D2040" s="284" t="s">
        <v>1013</v>
      </c>
      <c r="E2040" s="284" t="s">
        <v>952</v>
      </c>
      <c r="F2040" s="113" t="s">
        <v>906</v>
      </c>
    </row>
    <row r="2041" spans="1:6" ht="14.25" customHeight="1">
      <c r="A2041" s="285" t="s">
        <v>830</v>
      </c>
      <c r="B2041" s="285">
        <v>2025</v>
      </c>
      <c r="C2041" s="285" t="s">
        <v>872</v>
      </c>
      <c r="D2041" s="285" t="s">
        <v>1013</v>
      </c>
      <c r="E2041" s="285" t="s">
        <v>1041</v>
      </c>
      <c r="F2041" s="113" t="s">
        <v>906</v>
      </c>
    </row>
    <row r="2042" spans="1:6" ht="14.25" customHeight="1">
      <c r="A2042" s="284" t="s">
        <v>830</v>
      </c>
      <c r="B2042" s="284">
        <v>2025</v>
      </c>
      <c r="C2042" s="284" t="s">
        <v>872</v>
      </c>
      <c r="D2042" s="284" t="s">
        <v>1013</v>
      </c>
      <c r="E2042" s="284" t="s">
        <v>952</v>
      </c>
      <c r="F2042" s="113" t="s">
        <v>906</v>
      </c>
    </row>
    <row r="2043" spans="1:6" ht="14.25" customHeight="1">
      <c r="A2043" s="285" t="s">
        <v>830</v>
      </c>
      <c r="B2043" s="285">
        <v>2025</v>
      </c>
      <c r="C2043" s="285" t="s">
        <v>872</v>
      </c>
      <c r="D2043" s="285" t="s">
        <v>1013</v>
      </c>
      <c r="E2043" s="285" t="s">
        <v>953</v>
      </c>
      <c r="F2043" s="113" t="s">
        <v>906</v>
      </c>
    </row>
    <row r="2044" spans="1:6" ht="14.25" customHeight="1">
      <c r="A2044" s="284" t="s">
        <v>830</v>
      </c>
      <c r="B2044" s="284">
        <v>2025</v>
      </c>
      <c r="C2044" s="284" t="s">
        <v>872</v>
      </c>
      <c r="D2044" s="284" t="s">
        <v>1013</v>
      </c>
      <c r="E2044" s="284" t="s">
        <v>1041</v>
      </c>
      <c r="F2044" s="113" t="s">
        <v>906</v>
      </c>
    </row>
    <row r="2045" spans="1:6" ht="14.25" customHeight="1">
      <c r="A2045" s="285" t="s">
        <v>830</v>
      </c>
      <c r="B2045" s="285">
        <v>2025</v>
      </c>
      <c r="C2045" s="285" t="s">
        <v>872</v>
      </c>
      <c r="D2045" s="285" t="s">
        <v>1013</v>
      </c>
      <c r="E2045" s="285" t="s">
        <v>1102</v>
      </c>
      <c r="F2045" s="113" t="s">
        <v>909</v>
      </c>
    </row>
    <row r="2046" spans="1:6" ht="14.25" customHeight="1">
      <c r="A2046" s="284" t="s">
        <v>830</v>
      </c>
      <c r="B2046" s="284">
        <v>2025</v>
      </c>
      <c r="C2046" s="284" t="s">
        <v>872</v>
      </c>
      <c r="D2046" s="284" t="s">
        <v>1013</v>
      </c>
      <c r="E2046" s="284" t="s">
        <v>1081</v>
      </c>
      <c r="F2046" s="113" t="s">
        <v>911</v>
      </c>
    </row>
    <row r="2047" spans="1:6" ht="14.25" customHeight="1">
      <c r="A2047" s="285" t="s">
        <v>830</v>
      </c>
      <c r="B2047" s="285">
        <v>2025</v>
      </c>
      <c r="C2047" s="285" t="s">
        <v>872</v>
      </c>
      <c r="D2047" s="285" t="s">
        <v>1013</v>
      </c>
      <c r="E2047" s="285" t="s">
        <v>1199</v>
      </c>
      <c r="F2047" s="113" t="s">
        <v>917</v>
      </c>
    </row>
    <row r="2048" spans="1:6" ht="14.25" customHeight="1">
      <c r="A2048" s="284" t="s">
        <v>830</v>
      </c>
      <c r="B2048" s="284">
        <v>2025</v>
      </c>
      <c r="C2048" s="284" t="s">
        <v>872</v>
      </c>
      <c r="D2048" s="284" t="s">
        <v>1013</v>
      </c>
      <c r="E2048" s="284" t="s">
        <v>936</v>
      </c>
      <c r="F2048" s="113" t="s">
        <v>783</v>
      </c>
    </row>
    <row r="2049" spans="1:6" ht="14.25" customHeight="1">
      <c r="A2049" s="285" t="s">
        <v>830</v>
      </c>
      <c r="B2049" s="285">
        <v>2025</v>
      </c>
      <c r="C2049" s="285" t="s">
        <v>872</v>
      </c>
      <c r="D2049" s="285" t="s">
        <v>1013</v>
      </c>
      <c r="E2049" s="285" t="s">
        <v>1200</v>
      </c>
      <c r="F2049" s="113" t="s">
        <v>924</v>
      </c>
    </row>
    <row r="2050" spans="1:6" ht="14.25" customHeight="1">
      <c r="A2050" s="284" t="s">
        <v>830</v>
      </c>
      <c r="B2050" s="284">
        <v>2025</v>
      </c>
      <c r="C2050" s="284" t="s">
        <v>872</v>
      </c>
      <c r="D2050" s="284" t="s">
        <v>1013</v>
      </c>
      <c r="E2050" s="284" t="s">
        <v>1051</v>
      </c>
      <c r="F2050" s="113" t="s">
        <v>924</v>
      </c>
    </row>
    <row r="2051" spans="1:6" ht="14.25" customHeight="1">
      <c r="A2051" s="285" t="s">
        <v>830</v>
      </c>
      <c r="B2051" s="285">
        <v>2025</v>
      </c>
      <c r="C2051" s="285" t="s">
        <v>872</v>
      </c>
      <c r="D2051" s="285" t="s">
        <v>1013</v>
      </c>
      <c r="E2051" s="285" t="s">
        <v>1030</v>
      </c>
      <c r="F2051" s="113" t="s">
        <v>935</v>
      </c>
    </row>
    <row r="2052" spans="1:6" ht="14.25" customHeight="1">
      <c r="A2052" s="284" t="s">
        <v>830</v>
      </c>
      <c r="B2052" s="284">
        <v>2025</v>
      </c>
      <c r="C2052" s="284" t="s">
        <v>872</v>
      </c>
      <c r="D2052" s="284" t="s">
        <v>1012</v>
      </c>
      <c r="E2052" s="284" t="s">
        <v>1036</v>
      </c>
      <c r="F2052" s="113" t="s">
        <v>906</v>
      </c>
    </row>
    <row r="2053" spans="1:6" ht="14.25" customHeight="1">
      <c r="A2053" s="285" t="s">
        <v>830</v>
      </c>
      <c r="B2053" s="285">
        <v>2025</v>
      </c>
      <c r="C2053" s="285" t="s">
        <v>872</v>
      </c>
      <c r="D2053" s="285" t="s">
        <v>1012</v>
      </c>
      <c r="E2053" s="285" t="s">
        <v>1041</v>
      </c>
      <c r="F2053" s="113" t="s">
        <v>906</v>
      </c>
    </row>
    <row r="2054" spans="1:6" ht="14.25" customHeight="1">
      <c r="A2054" s="284" t="s">
        <v>830</v>
      </c>
      <c r="B2054" s="284">
        <v>2025</v>
      </c>
      <c r="C2054" s="284" t="s">
        <v>872</v>
      </c>
      <c r="D2054" s="284" t="s">
        <v>1012</v>
      </c>
      <c r="E2054" s="284" t="s">
        <v>1114</v>
      </c>
      <c r="F2054" s="113" t="s">
        <v>783</v>
      </c>
    </row>
    <row r="2055" spans="1:6" ht="14.25" customHeight="1">
      <c r="A2055" s="285" t="s">
        <v>830</v>
      </c>
      <c r="B2055" s="285">
        <v>2025</v>
      </c>
      <c r="C2055" s="285" t="s">
        <v>872</v>
      </c>
      <c r="D2055" s="285" t="s">
        <v>1012</v>
      </c>
      <c r="E2055" s="285" t="s">
        <v>957</v>
      </c>
      <c r="F2055" s="113" t="s">
        <v>924</v>
      </c>
    </row>
    <row r="2056" spans="1:6" ht="14.25" customHeight="1">
      <c r="A2056" s="284" t="s">
        <v>830</v>
      </c>
      <c r="B2056" s="284">
        <v>2025</v>
      </c>
      <c r="C2056" s="284" t="s">
        <v>872</v>
      </c>
      <c r="D2056" s="284" t="s">
        <v>1012</v>
      </c>
      <c r="E2056" s="284" t="s">
        <v>1065</v>
      </c>
      <c r="F2056" s="113" t="s">
        <v>924</v>
      </c>
    </row>
    <row r="2057" spans="1:6" ht="14.25" customHeight="1">
      <c r="A2057" s="285" t="s">
        <v>830</v>
      </c>
      <c r="B2057" s="285">
        <v>2025</v>
      </c>
      <c r="C2057" s="285" t="s">
        <v>1024</v>
      </c>
      <c r="D2057" s="285" t="s">
        <v>1027</v>
      </c>
      <c r="E2057" s="285" t="s">
        <v>1036</v>
      </c>
      <c r="F2057" s="113" t="s">
        <v>906</v>
      </c>
    </row>
    <row r="2058" spans="1:6" ht="14.25" customHeight="1">
      <c r="A2058" s="284" t="s">
        <v>830</v>
      </c>
      <c r="B2058" s="284">
        <v>2025</v>
      </c>
      <c r="C2058" s="284" t="s">
        <v>1024</v>
      </c>
      <c r="D2058" s="284" t="s">
        <v>1027</v>
      </c>
      <c r="E2058" s="284" t="s">
        <v>1036</v>
      </c>
      <c r="F2058" s="113" t="s">
        <v>906</v>
      </c>
    </row>
    <row r="2059" spans="1:6" ht="14.25" customHeight="1">
      <c r="A2059" s="285" t="s">
        <v>830</v>
      </c>
      <c r="B2059" s="285">
        <v>2025</v>
      </c>
      <c r="C2059" s="285" t="s">
        <v>1024</v>
      </c>
      <c r="D2059" s="285" t="s">
        <v>1027</v>
      </c>
      <c r="E2059" s="285" t="s">
        <v>951</v>
      </c>
      <c r="F2059" s="113" t="s">
        <v>917</v>
      </c>
    </row>
    <row r="2060" spans="1:6" ht="14.25" customHeight="1">
      <c r="A2060" s="284" t="s">
        <v>830</v>
      </c>
      <c r="B2060" s="284">
        <v>2025</v>
      </c>
      <c r="C2060" s="284" t="s">
        <v>1024</v>
      </c>
      <c r="D2060" s="284" t="s">
        <v>1027</v>
      </c>
      <c r="E2060" s="284" t="s">
        <v>1006</v>
      </c>
      <c r="F2060" s="113" t="s">
        <v>917</v>
      </c>
    </row>
    <row r="2061" spans="1:6" ht="14.25" customHeight="1">
      <c r="A2061" s="285" t="s">
        <v>830</v>
      </c>
      <c r="B2061" s="285">
        <v>2025</v>
      </c>
      <c r="C2061" s="285" t="s">
        <v>1024</v>
      </c>
      <c r="D2061" s="285" t="s">
        <v>1027</v>
      </c>
      <c r="E2061" s="285" t="s">
        <v>979</v>
      </c>
      <c r="F2061" s="113" t="s">
        <v>918</v>
      </c>
    </row>
    <row r="2062" spans="1:6" ht="14.25" customHeight="1">
      <c r="A2062" s="284" t="s">
        <v>830</v>
      </c>
      <c r="B2062" s="284">
        <v>2025</v>
      </c>
      <c r="C2062" s="284" t="s">
        <v>1024</v>
      </c>
      <c r="D2062" s="284" t="s">
        <v>1027</v>
      </c>
      <c r="E2062" s="284" t="s">
        <v>1071</v>
      </c>
      <c r="F2062" s="113" t="s">
        <v>918</v>
      </c>
    </row>
    <row r="2063" spans="1:6" ht="14.25" customHeight="1">
      <c r="A2063" s="285" t="s">
        <v>830</v>
      </c>
      <c r="B2063" s="285">
        <v>2025</v>
      </c>
      <c r="C2063" s="285" t="s">
        <v>1024</v>
      </c>
      <c r="D2063" s="285" t="s">
        <v>1027</v>
      </c>
      <c r="E2063" s="285" t="s">
        <v>993</v>
      </c>
      <c r="F2063" s="113" t="s">
        <v>918</v>
      </c>
    </row>
    <row r="2064" spans="1:6" ht="14.25" customHeight="1">
      <c r="A2064" s="284" t="s">
        <v>830</v>
      </c>
      <c r="B2064" s="284">
        <v>2025</v>
      </c>
      <c r="C2064" s="284" t="s">
        <v>1024</v>
      </c>
      <c r="D2064" s="284" t="s">
        <v>1027</v>
      </c>
      <c r="E2064" s="284" t="s">
        <v>1094</v>
      </c>
      <c r="F2064" s="113" t="s">
        <v>918</v>
      </c>
    </row>
    <row r="2065" spans="1:6" ht="14.25" customHeight="1">
      <c r="A2065" s="285" t="s">
        <v>830</v>
      </c>
      <c r="B2065" s="285">
        <v>2025</v>
      </c>
      <c r="C2065" s="285" t="s">
        <v>1024</v>
      </c>
      <c r="D2065" s="285" t="s">
        <v>1026</v>
      </c>
      <c r="E2065" s="285" t="s">
        <v>1201</v>
      </c>
      <c r="F2065" s="113" t="s">
        <v>917</v>
      </c>
    </row>
    <row r="2066" spans="1:6" ht="14.25" customHeight="1">
      <c r="A2066" s="284" t="s">
        <v>830</v>
      </c>
      <c r="B2066" s="284">
        <v>2025</v>
      </c>
      <c r="C2066" s="284" t="s">
        <v>1024</v>
      </c>
      <c r="D2066" s="284" t="s">
        <v>1025</v>
      </c>
      <c r="E2066" s="284" t="s">
        <v>953</v>
      </c>
      <c r="F2066" s="113" t="s">
        <v>906</v>
      </c>
    </row>
    <row r="2067" spans="1:6" ht="14.25" customHeight="1">
      <c r="A2067" s="285" t="s">
        <v>830</v>
      </c>
      <c r="B2067" s="285">
        <v>2025</v>
      </c>
      <c r="C2067" s="285" t="s">
        <v>1024</v>
      </c>
      <c r="D2067" s="285" t="s">
        <v>1025</v>
      </c>
      <c r="E2067" s="285" t="s">
        <v>991</v>
      </c>
      <c r="F2067" s="113" t="s">
        <v>906</v>
      </c>
    </row>
    <row r="2068" spans="1:6" ht="14.25" customHeight="1">
      <c r="A2068" s="284" t="s">
        <v>830</v>
      </c>
      <c r="B2068" s="284">
        <v>2025</v>
      </c>
      <c r="C2068" s="284" t="s">
        <v>1024</v>
      </c>
      <c r="D2068" s="284" t="s">
        <v>1025</v>
      </c>
      <c r="E2068" s="284" t="s">
        <v>946</v>
      </c>
      <c r="F2068" s="113" t="s">
        <v>924</v>
      </c>
    </row>
    <row r="2069" spans="1:6" ht="14.25" customHeight="1">
      <c r="A2069" s="285" t="s">
        <v>831</v>
      </c>
      <c r="B2069" s="285">
        <v>2025</v>
      </c>
      <c r="C2069" s="285" t="s">
        <v>821</v>
      </c>
      <c r="D2069" s="285" t="s">
        <v>132</v>
      </c>
      <c r="E2069" s="285" t="s">
        <v>1036</v>
      </c>
      <c r="F2069" s="113" t="s">
        <v>906</v>
      </c>
    </row>
    <row r="2070" spans="1:6" ht="14.25" customHeight="1">
      <c r="A2070" s="284" t="s">
        <v>831</v>
      </c>
      <c r="B2070" s="284">
        <v>2025</v>
      </c>
      <c r="C2070" s="284" t="s">
        <v>821</v>
      </c>
      <c r="D2070" s="284" t="s">
        <v>132</v>
      </c>
      <c r="E2070" s="284" t="s">
        <v>953</v>
      </c>
      <c r="F2070" s="113" t="s">
        <v>906</v>
      </c>
    </row>
    <row r="2071" spans="1:6" ht="14.25" customHeight="1">
      <c r="A2071" s="285" t="s">
        <v>831</v>
      </c>
      <c r="B2071" s="285">
        <v>2025</v>
      </c>
      <c r="C2071" s="285" t="s">
        <v>821</v>
      </c>
      <c r="D2071" s="285" t="s">
        <v>132</v>
      </c>
      <c r="E2071" s="285" t="s">
        <v>1040</v>
      </c>
      <c r="F2071" s="113" t="s">
        <v>906</v>
      </c>
    </row>
    <row r="2072" spans="1:6" ht="14.25" customHeight="1">
      <c r="A2072" s="284" t="s">
        <v>831</v>
      </c>
      <c r="B2072" s="284">
        <v>2025</v>
      </c>
      <c r="C2072" s="284" t="s">
        <v>821</v>
      </c>
      <c r="D2072" s="284" t="s">
        <v>132</v>
      </c>
      <c r="E2072" s="284" t="s">
        <v>951</v>
      </c>
      <c r="F2072" s="113" t="s">
        <v>917</v>
      </c>
    </row>
    <row r="2073" spans="1:6" ht="14.25" customHeight="1">
      <c r="A2073" s="285" t="s">
        <v>831</v>
      </c>
      <c r="B2073" s="285">
        <v>2025</v>
      </c>
      <c r="C2073" s="285" t="s">
        <v>821</v>
      </c>
      <c r="D2073" s="285" t="s">
        <v>132</v>
      </c>
      <c r="E2073" s="285" t="s">
        <v>944</v>
      </c>
      <c r="F2073" s="113" t="s">
        <v>783</v>
      </c>
    </row>
    <row r="2074" spans="1:6" ht="14.25" customHeight="1">
      <c r="A2074" s="284" t="s">
        <v>831</v>
      </c>
      <c r="B2074" s="284">
        <v>2025</v>
      </c>
      <c r="C2074" s="284" t="s">
        <v>821</v>
      </c>
      <c r="D2074" s="284" t="s">
        <v>132</v>
      </c>
      <c r="E2074" s="284" t="s">
        <v>1202</v>
      </c>
      <c r="F2074" s="113" t="s">
        <v>924</v>
      </c>
    </row>
    <row r="2075" spans="1:6" ht="14.25" customHeight="1">
      <c r="A2075" s="285" t="s">
        <v>831</v>
      </c>
      <c r="B2075" s="285">
        <v>2025</v>
      </c>
      <c r="C2075" s="285" t="s">
        <v>821</v>
      </c>
      <c r="D2075" s="285" t="s">
        <v>132</v>
      </c>
      <c r="E2075" s="285" t="s">
        <v>1203</v>
      </c>
      <c r="F2075" s="113" t="s">
        <v>924</v>
      </c>
    </row>
    <row r="2076" spans="1:6" ht="14.25" customHeight="1">
      <c r="A2076" s="284" t="s">
        <v>831</v>
      </c>
      <c r="B2076" s="284">
        <v>2025</v>
      </c>
      <c r="C2076" s="284" t="s">
        <v>821</v>
      </c>
      <c r="D2076" s="284" t="s">
        <v>132</v>
      </c>
      <c r="E2076" s="284" t="s">
        <v>1204</v>
      </c>
      <c r="F2076" s="113" t="s">
        <v>924</v>
      </c>
    </row>
    <row r="2077" spans="1:6" ht="14.25" customHeight="1">
      <c r="A2077" s="285" t="s">
        <v>831</v>
      </c>
      <c r="B2077" s="285">
        <v>2025</v>
      </c>
      <c r="C2077" s="285" t="s">
        <v>821</v>
      </c>
      <c r="D2077" s="285" t="s">
        <v>132</v>
      </c>
      <c r="E2077" s="285" t="s">
        <v>1065</v>
      </c>
      <c r="F2077" s="113" t="s">
        <v>924</v>
      </c>
    </row>
    <row r="2078" spans="1:6" ht="14.25" customHeight="1">
      <c r="A2078" s="284" t="s">
        <v>831</v>
      </c>
      <c r="B2078" s="284">
        <v>2025</v>
      </c>
      <c r="C2078" s="284" t="s">
        <v>821</v>
      </c>
      <c r="D2078" s="284" t="s">
        <v>132</v>
      </c>
      <c r="E2078" s="284" t="s">
        <v>957</v>
      </c>
      <c r="F2078" s="113" t="s">
        <v>924</v>
      </c>
    </row>
    <row r="2079" spans="1:6" ht="14.25" customHeight="1">
      <c r="A2079" s="285" t="s">
        <v>831</v>
      </c>
      <c r="B2079" s="285">
        <v>2025</v>
      </c>
      <c r="C2079" s="285" t="s">
        <v>821</v>
      </c>
      <c r="D2079" s="285" t="s">
        <v>132</v>
      </c>
      <c r="E2079" s="285" t="s">
        <v>2</v>
      </c>
      <c r="F2079" s="113" t="s">
        <v>935</v>
      </c>
    </row>
    <row r="2080" spans="1:6" ht="14.25" customHeight="1">
      <c r="A2080" s="284" t="s">
        <v>831</v>
      </c>
      <c r="B2080" s="284">
        <v>2025</v>
      </c>
      <c r="C2080" s="284" t="s">
        <v>821</v>
      </c>
      <c r="D2080" s="284" t="s">
        <v>132</v>
      </c>
      <c r="E2080" s="284" t="s">
        <v>944</v>
      </c>
      <c r="F2080" s="113" t="s">
        <v>922</v>
      </c>
    </row>
    <row r="2081" spans="1:6" ht="14.25" customHeight="1">
      <c r="A2081" s="285" t="s">
        <v>831</v>
      </c>
      <c r="B2081" s="285">
        <v>2025</v>
      </c>
      <c r="C2081" s="285" t="s">
        <v>821</v>
      </c>
      <c r="D2081" s="285" t="s">
        <v>976</v>
      </c>
      <c r="E2081" s="285" t="s">
        <v>1086</v>
      </c>
      <c r="F2081" s="113" t="s">
        <v>911</v>
      </c>
    </row>
    <row r="2082" spans="1:6" ht="14.25" customHeight="1">
      <c r="A2082" s="284" t="s">
        <v>831</v>
      </c>
      <c r="B2082" s="284">
        <v>2025</v>
      </c>
      <c r="C2082" s="284" t="s">
        <v>821</v>
      </c>
      <c r="D2082" s="284" t="s">
        <v>976</v>
      </c>
      <c r="E2082" s="284" t="s">
        <v>1134</v>
      </c>
      <c r="F2082" s="113" t="s">
        <v>911</v>
      </c>
    </row>
    <row r="2083" spans="1:6" ht="14.25" customHeight="1">
      <c r="A2083" s="285" t="s">
        <v>831</v>
      </c>
      <c r="B2083" s="285">
        <v>2025</v>
      </c>
      <c r="C2083" s="285" t="s">
        <v>821</v>
      </c>
      <c r="D2083" s="285" t="s">
        <v>976</v>
      </c>
      <c r="E2083" s="285" t="s">
        <v>943</v>
      </c>
      <c r="F2083" s="113" t="s">
        <v>917</v>
      </c>
    </row>
    <row r="2084" spans="1:6" ht="14.25" customHeight="1">
      <c r="A2084" s="284" t="s">
        <v>831</v>
      </c>
      <c r="B2084" s="284">
        <v>2025</v>
      </c>
      <c r="C2084" s="284" t="s">
        <v>821</v>
      </c>
      <c r="D2084" s="284" t="s">
        <v>931</v>
      </c>
      <c r="E2084" s="284" t="s">
        <v>1058</v>
      </c>
      <c r="F2084" s="113" t="s">
        <v>906</v>
      </c>
    </row>
    <row r="2085" spans="1:6" ht="14.25" customHeight="1">
      <c r="A2085" s="285" t="s">
        <v>831</v>
      </c>
      <c r="B2085" s="285">
        <v>2025</v>
      </c>
      <c r="C2085" s="285" t="s">
        <v>821</v>
      </c>
      <c r="D2085" s="285" t="s">
        <v>931</v>
      </c>
      <c r="E2085" s="285" t="s">
        <v>1124</v>
      </c>
      <c r="F2085" s="113" t="s">
        <v>483</v>
      </c>
    </row>
    <row r="2086" spans="1:6" ht="14.25" customHeight="1">
      <c r="A2086" s="284" t="s">
        <v>831</v>
      </c>
      <c r="B2086" s="284">
        <v>2025</v>
      </c>
      <c r="C2086" s="284" t="s">
        <v>821</v>
      </c>
      <c r="D2086" s="284" t="s">
        <v>931</v>
      </c>
      <c r="E2086" s="284" t="s">
        <v>939</v>
      </c>
      <c r="F2086" s="113" t="s">
        <v>909</v>
      </c>
    </row>
    <row r="2087" spans="1:6" ht="14.25" customHeight="1">
      <c r="A2087" s="285" t="s">
        <v>831</v>
      </c>
      <c r="B2087" s="285">
        <v>2025</v>
      </c>
      <c r="C2087" s="285" t="s">
        <v>821</v>
      </c>
      <c r="D2087" s="285" t="s">
        <v>931</v>
      </c>
      <c r="E2087" s="285" t="s">
        <v>1134</v>
      </c>
      <c r="F2087" s="113" t="s">
        <v>911</v>
      </c>
    </row>
    <row r="2088" spans="1:6" ht="14.25" customHeight="1">
      <c r="A2088" s="284" t="s">
        <v>831</v>
      </c>
      <c r="B2088" s="284">
        <v>2025</v>
      </c>
      <c r="C2088" s="284" t="s">
        <v>821</v>
      </c>
      <c r="D2088" s="284" t="s">
        <v>931</v>
      </c>
      <c r="E2088" s="284" t="s">
        <v>964</v>
      </c>
      <c r="F2088" s="113" t="s">
        <v>913</v>
      </c>
    </row>
    <row r="2089" spans="1:6" ht="14.25" customHeight="1">
      <c r="A2089" s="285" t="s">
        <v>831</v>
      </c>
      <c r="B2089" s="285">
        <v>2025</v>
      </c>
      <c r="C2089" s="285" t="s">
        <v>821</v>
      </c>
      <c r="D2089" s="285" t="s">
        <v>931</v>
      </c>
      <c r="E2089" s="285" t="s">
        <v>951</v>
      </c>
      <c r="F2089" s="113" t="s">
        <v>917</v>
      </c>
    </row>
    <row r="2090" spans="1:6" ht="14.25" customHeight="1">
      <c r="A2090" s="284" t="s">
        <v>831</v>
      </c>
      <c r="B2090" s="284">
        <v>2025</v>
      </c>
      <c r="C2090" s="284" t="s">
        <v>821</v>
      </c>
      <c r="D2090" s="284" t="s">
        <v>934</v>
      </c>
      <c r="E2090" s="284" t="s">
        <v>986</v>
      </c>
      <c r="F2090" s="113" t="s">
        <v>906</v>
      </c>
    </row>
    <row r="2091" spans="1:6" ht="14.25" customHeight="1">
      <c r="A2091" s="285" t="s">
        <v>831</v>
      </c>
      <c r="B2091" s="285">
        <v>2025</v>
      </c>
      <c r="C2091" s="285" t="s">
        <v>821</v>
      </c>
      <c r="D2091" s="285" t="s">
        <v>934</v>
      </c>
      <c r="E2091" s="285" t="s">
        <v>1028</v>
      </c>
      <c r="F2091" s="113" t="s">
        <v>906</v>
      </c>
    </row>
    <row r="2092" spans="1:6" ht="14.25" customHeight="1">
      <c r="A2092" s="284" t="s">
        <v>831</v>
      </c>
      <c r="B2092" s="284">
        <v>2025</v>
      </c>
      <c r="C2092" s="284" t="s">
        <v>821</v>
      </c>
      <c r="D2092" s="284" t="s">
        <v>934</v>
      </c>
      <c r="E2092" s="284" t="s">
        <v>2</v>
      </c>
      <c r="F2092" s="113" t="s">
        <v>906</v>
      </c>
    </row>
    <row r="2093" spans="1:6" ht="14.25" customHeight="1">
      <c r="A2093" s="285" t="s">
        <v>831</v>
      </c>
      <c r="B2093" s="285">
        <v>2025</v>
      </c>
      <c r="C2093" s="285" t="s">
        <v>821</v>
      </c>
      <c r="D2093" s="285" t="s">
        <v>934</v>
      </c>
      <c r="E2093" s="285" t="s">
        <v>1058</v>
      </c>
      <c r="F2093" s="113" t="s">
        <v>906</v>
      </c>
    </row>
    <row r="2094" spans="1:6" ht="14.25" customHeight="1">
      <c r="A2094" s="284" t="s">
        <v>831</v>
      </c>
      <c r="B2094" s="284">
        <v>2025</v>
      </c>
      <c r="C2094" s="284" t="s">
        <v>821</v>
      </c>
      <c r="D2094" s="284" t="s">
        <v>934</v>
      </c>
      <c r="E2094" s="284" t="s">
        <v>1125</v>
      </c>
      <c r="F2094" s="113" t="s">
        <v>483</v>
      </c>
    </row>
    <row r="2095" spans="1:6" ht="14.25" customHeight="1">
      <c r="A2095" s="285" t="s">
        <v>831</v>
      </c>
      <c r="B2095" s="285">
        <v>2025</v>
      </c>
      <c r="C2095" s="285" t="s">
        <v>821</v>
      </c>
      <c r="D2095" s="285" t="s">
        <v>934</v>
      </c>
      <c r="E2095" s="285" t="s">
        <v>1057</v>
      </c>
      <c r="F2095" s="113" t="s">
        <v>915</v>
      </c>
    </row>
    <row r="2096" spans="1:6" ht="14.25" customHeight="1">
      <c r="A2096" s="284" t="s">
        <v>831</v>
      </c>
      <c r="B2096" s="284">
        <v>2025</v>
      </c>
      <c r="C2096" s="284" t="s">
        <v>821</v>
      </c>
      <c r="D2096" s="284" t="s">
        <v>934</v>
      </c>
      <c r="E2096" s="284" t="s">
        <v>973</v>
      </c>
      <c r="F2096" s="113" t="s">
        <v>917</v>
      </c>
    </row>
    <row r="2097" spans="1:6" ht="14.25" customHeight="1">
      <c r="A2097" s="285" t="s">
        <v>831</v>
      </c>
      <c r="B2097" s="285">
        <v>2025</v>
      </c>
      <c r="C2097" s="285" t="s">
        <v>821</v>
      </c>
      <c r="D2097" s="285" t="s">
        <v>934</v>
      </c>
      <c r="E2097" s="285" t="s">
        <v>1037</v>
      </c>
      <c r="F2097" s="113" t="s">
        <v>917</v>
      </c>
    </row>
    <row r="2098" spans="1:6" ht="14.25" customHeight="1">
      <c r="A2098" s="284" t="s">
        <v>831</v>
      </c>
      <c r="B2098" s="284">
        <v>2025</v>
      </c>
      <c r="C2098" s="284" t="s">
        <v>821</v>
      </c>
      <c r="D2098" s="284" t="s">
        <v>934</v>
      </c>
      <c r="E2098" s="284" t="s">
        <v>2</v>
      </c>
      <c r="F2098" s="113" t="s">
        <v>917</v>
      </c>
    </row>
    <row r="2099" spans="1:6" ht="14.25" customHeight="1">
      <c r="A2099" s="285" t="s">
        <v>831</v>
      </c>
      <c r="B2099" s="285">
        <v>2025</v>
      </c>
      <c r="C2099" s="285" t="s">
        <v>821</v>
      </c>
      <c r="D2099" s="285" t="s">
        <v>934</v>
      </c>
      <c r="E2099" s="285" t="s">
        <v>945</v>
      </c>
      <c r="F2099" s="113" t="s">
        <v>917</v>
      </c>
    </row>
    <row r="2100" spans="1:6" ht="14.25" customHeight="1">
      <c r="A2100" s="284" t="s">
        <v>831</v>
      </c>
      <c r="B2100" s="284">
        <v>2025</v>
      </c>
      <c r="C2100" s="284" t="s">
        <v>821</v>
      </c>
      <c r="D2100" s="284" t="s">
        <v>934</v>
      </c>
      <c r="E2100" s="284" t="s">
        <v>951</v>
      </c>
      <c r="F2100" s="113" t="s">
        <v>917</v>
      </c>
    </row>
    <row r="2101" spans="1:6" ht="14.25" customHeight="1">
      <c r="A2101" s="285" t="s">
        <v>831</v>
      </c>
      <c r="B2101" s="285">
        <v>2025</v>
      </c>
      <c r="C2101" s="285" t="s">
        <v>821</v>
      </c>
      <c r="D2101" s="285" t="s">
        <v>934</v>
      </c>
      <c r="E2101" s="285" t="s">
        <v>951</v>
      </c>
      <c r="F2101" s="113" t="s">
        <v>917</v>
      </c>
    </row>
    <row r="2102" spans="1:6" ht="14.25" customHeight="1">
      <c r="A2102" s="284" t="s">
        <v>831</v>
      </c>
      <c r="B2102" s="284">
        <v>2025</v>
      </c>
      <c r="C2102" s="284" t="s">
        <v>821</v>
      </c>
      <c r="D2102" s="284" t="s">
        <v>934</v>
      </c>
      <c r="E2102" s="284" t="s">
        <v>1205</v>
      </c>
      <c r="F2102" s="113" t="s">
        <v>918</v>
      </c>
    </row>
    <row r="2103" spans="1:6" ht="14.25" customHeight="1">
      <c r="A2103" s="285" t="s">
        <v>831</v>
      </c>
      <c r="B2103" s="285">
        <v>2025</v>
      </c>
      <c r="C2103" s="285" t="s">
        <v>821</v>
      </c>
      <c r="D2103" s="285" t="s">
        <v>934</v>
      </c>
      <c r="E2103" s="285" t="s">
        <v>1206</v>
      </c>
      <c r="F2103" s="113" t="s">
        <v>924</v>
      </c>
    </row>
    <row r="2104" spans="1:6" ht="14.25" customHeight="1">
      <c r="A2104" s="284" t="s">
        <v>831</v>
      </c>
      <c r="B2104" s="284">
        <v>2025</v>
      </c>
      <c r="C2104" s="284" t="s">
        <v>821</v>
      </c>
      <c r="D2104" s="284" t="s">
        <v>934</v>
      </c>
      <c r="E2104" s="284" t="s">
        <v>989</v>
      </c>
      <c r="F2104" s="113" t="s">
        <v>935</v>
      </c>
    </row>
    <row r="2105" spans="1:6" ht="14.25" customHeight="1">
      <c r="A2105" s="285" t="s">
        <v>831</v>
      </c>
      <c r="B2105" s="285">
        <v>2025</v>
      </c>
      <c r="C2105" s="285" t="s">
        <v>821</v>
      </c>
      <c r="D2105" s="285" t="s">
        <v>934</v>
      </c>
      <c r="E2105" s="285" t="s">
        <v>989</v>
      </c>
      <c r="F2105" s="113" t="s">
        <v>935</v>
      </c>
    </row>
    <row r="2106" spans="1:6" ht="14.25" customHeight="1">
      <c r="A2106" s="284" t="s">
        <v>831</v>
      </c>
      <c r="B2106" s="284">
        <v>2025</v>
      </c>
      <c r="C2106" s="284" t="s">
        <v>821</v>
      </c>
      <c r="D2106" s="284" t="s">
        <v>934</v>
      </c>
      <c r="E2106" s="284" t="s">
        <v>989</v>
      </c>
      <c r="F2106" s="113" t="s">
        <v>935</v>
      </c>
    </row>
    <row r="2107" spans="1:6" ht="14.25" customHeight="1">
      <c r="A2107" s="285" t="s">
        <v>831</v>
      </c>
      <c r="B2107" s="285">
        <v>2025</v>
      </c>
      <c r="C2107" s="285" t="s">
        <v>821</v>
      </c>
      <c r="D2107" s="285" t="s">
        <v>934</v>
      </c>
      <c r="E2107" s="285" t="s">
        <v>1100</v>
      </c>
      <c r="F2107" s="113" t="s">
        <v>935</v>
      </c>
    </row>
    <row r="2108" spans="1:6" ht="14.25" customHeight="1">
      <c r="A2108" s="284" t="s">
        <v>831</v>
      </c>
      <c r="B2108" s="284">
        <v>2025</v>
      </c>
      <c r="C2108" s="284" t="s">
        <v>88</v>
      </c>
      <c r="D2108" s="284" t="s">
        <v>959</v>
      </c>
      <c r="E2108" s="284" t="s">
        <v>953</v>
      </c>
      <c r="F2108" s="113" t="s">
        <v>906</v>
      </c>
    </row>
    <row r="2109" spans="1:6" ht="14.25" customHeight="1">
      <c r="A2109" s="285" t="s">
        <v>831</v>
      </c>
      <c r="B2109" s="285">
        <v>2025</v>
      </c>
      <c r="C2109" s="285" t="s">
        <v>88</v>
      </c>
      <c r="D2109" s="285" t="s">
        <v>959</v>
      </c>
      <c r="E2109" s="285" t="s">
        <v>952</v>
      </c>
      <c r="F2109" s="113" t="s">
        <v>906</v>
      </c>
    </row>
    <row r="2110" spans="1:6" ht="14.25" customHeight="1">
      <c r="A2110" s="284" t="s">
        <v>831</v>
      </c>
      <c r="B2110" s="284">
        <v>2025</v>
      </c>
      <c r="C2110" s="284" t="s">
        <v>88</v>
      </c>
      <c r="D2110" s="284" t="s">
        <v>959</v>
      </c>
      <c r="E2110" s="284" t="s">
        <v>991</v>
      </c>
      <c r="F2110" s="113" t="s">
        <v>906</v>
      </c>
    </row>
    <row r="2111" spans="1:6" ht="14.25" customHeight="1">
      <c r="A2111" s="285" t="s">
        <v>831</v>
      </c>
      <c r="B2111" s="285">
        <v>2025</v>
      </c>
      <c r="C2111" s="285" t="s">
        <v>88</v>
      </c>
      <c r="D2111" s="285" t="s">
        <v>959</v>
      </c>
      <c r="E2111" s="285" t="s">
        <v>981</v>
      </c>
      <c r="F2111" s="113" t="s">
        <v>906</v>
      </c>
    </row>
    <row r="2112" spans="1:6" ht="14.25" customHeight="1">
      <c r="A2112" s="284" t="s">
        <v>831</v>
      </c>
      <c r="B2112" s="284">
        <v>2025</v>
      </c>
      <c r="C2112" s="284" t="s">
        <v>88</v>
      </c>
      <c r="D2112" s="284" t="s">
        <v>959</v>
      </c>
      <c r="E2112" s="284" t="s">
        <v>1028</v>
      </c>
      <c r="F2112" s="113" t="s">
        <v>906</v>
      </c>
    </row>
    <row r="2113" spans="1:6" ht="14.25" customHeight="1">
      <c r="A2113" s="285" t="s">
        <v>831</v>
      </c>
      <c r="B2113" s="285">
        <v>2025</v>
      </c>
      <c r="C2113" s="285" t="s">
        <v>88</v>
      </c>
      <c r="D2113" s="285" t="s">
        <v>959</v>
      </c>
      <c r="E2113" s="285" t="s">
        <v>1014</v>
      </c>
      <c r="F2113" s="113" t="s">
        <v>906</v>
      </c>
    </row>
    <row r="2114" spans="1:6" ht="14.25" customHeight="1">
      <c r="A2114" s="284" t="s">
        <v>831</v>
      </c>
      <c r="B2114" s="284">
        <v>2025</v>
      </c>
      <c r="C2114" s="284" t="s">
        <v>88</v>
      </c>
      <c r="D2114" s="284" t="s">
        <v>959</v>
      </c>
      <c r="E2114" s="284" t="s">
        <v>1002</v>
      </c>
      <c r="F2114" s="113" t="s">
        <v>483</v>
      </c>
    </row>
    <row r="2115" spans="1:6" ht="14.25" customHeight="1">
      <c r="A2115" s="285" t="s">
        <v>831</v>
      </c>
      <c r="B2115" s="285">
        <v>2025</v>
      </c>
      <c r="C2115" s="285" t="s">
        <v>88</v>
      </c>
      <c r="D2115" s="285" t="s">
        <v>959</v>
      </c>
      <c r="E2115" s="285" t="s">
        <v>1075</v>
      </c>
      <c r="F2115" s="113" t="s">
        <v>483</v>
      </c>
    </row>
    <row r="2116" spans="1:6" ht="14.25" customHeight="1">
      <c r="A2116" s="284" t="s">
        <v>831</v>
      </c>
      <c r="B2116" s="284">
        <v>2025</v>
      </c>
      <c r="C2116" s="284" t="s">
        <v>88</v>
      </c>
      <c r="D2116" s="284" t="s">
        <v>959</v>
      </c>
      <c r="E2116" s="284" t="s">
        <v>1086</v>
      </c>
      <c r="F2116" s="113" t="s">
        <v>911</v>
      </c>
    </row>
    <row r="2117" spans="1:6" ht="14.25" customHeight="1">
      <c r="A2117" s="285" t="s">
        <v>831</v>
      </c>
      <c r="B2117" s="285">
        <v>2025</v>
      </c>
      <c r="C2117" s="285" t="s">
        <v>88</v>
      </c>
      <c r="D2117" s="285" t="s">
        <v>959</v>
      </c>
      <c r="E2117" s="285" t="s">
        <v>1207</v>
      </c>
      <c r="F2117" s="113" t="s">
        <v>913</v>
      </c>
    </row>
    <row r="2118" spans="1:6" ht="14.25" customHeight="1">
      <c r="A2118" s="284" t="s">
        <v>831</v>
      </c>
      <c r="B2118" s="284">
        <v>2025</v>
      </c>
      <c r="C2118" s="284" t="s">
        <v>88</v>
      </c>
      <c r="D2118" s="284" t="s">
        <v>959</v>
      </c>
      <c r="E2118" s="284" t="s">
        <v>1080</v>
      </c>
      <c r="F2118" s="113" t="s">
        <v>913</v>
      </c>
    </row>
    <row r="2119" spans="1:6" ht="14.25" customHeight="1">
      <c r="A2119" s="285" t="s">
        <v>831</v>
      </c>
      <c r="B2119" s="285">
        <v>2025</v>
      </c>
      <c r="C2119" s="285" t="s">
        <v>88</v>
      </c>
      <c r="D2119" s="285" t="s">
        <v>959</v>
      </c>
      <c r="E2119" s="285" t="s">
        <v>1009</v>
      </c>
      <c r="F2119" s="113" t="s">
        <v>917</v>
      </c>
    </row>
    <row r="2120" spans="1:6" ht="14.25" customHeight="1">
      <c r="A2120" s="284" t="s">
        <v>831</v>
      </c>
      <c r="B2120" s="284">
        <v>2025</v>
      </c>
      <c r="C2120" s="284" t="s">
        <v>88</v>
      </c>
      <c r="D2120" s="284" t="s">
        <v>959</v>
      </c>
      <c r="E2120" s="284" t="s">
        <v>973</v>
      </c>
      <c r="F2120" s="113" t="s">
        <v>917</v>
      </c>
    </row>
    <row r="2121" spans="1:6" ht="14.25" customHeight="1">
      <c r="A2121" s="285" t="s">
        <v>831</v>
      </c>
      <c r="B2121" s="285">
        <v>2025</v>
      </c>
      <c r="C2121" s="285" t="s">
        <v>88</v>
      </c>
      <c r="D2121" s="285" t="s">
        <v>959</v>
      </c>
      <c r="E2121" s="285" t="s">
        <v>973</v>
      </c>
      <c r="F2121" s="113" t="s">
        <v>917</v>
      </c>
    </row>
    <row r="2122" spans="1:6" ht="14.25" customHeight="1">
      <c r="A2122" s="284" t="s">
        <v>831</v>
      </c>
      <c r="B2122" s="284">
        <v>2025</v>
      </c>
      <c r="C2122" s="284" t="s">
        <v>88</v>
      </c>
      <c r="D2122" s="284" t="s">
        <v>959</v>
      </c>
      <c r="E2122" s="284" t="s">
        <v>1006</v>
      </c>
      <c r="F2122" s="113" t="s">
        <v>917</v>
      </c>
    </row>
    <row r="2123" spans="1:6" ht="14.25" customHeight="1">
      <c r="A2123" s="285" t="s">
        <v>831</v>
      </c>
      <c r="B2123" s="285">
        <v>2025</v>
      </c>
      <c r="C2123" s="285" t="s">
        <v>88</v>
      </c>
      <c r="D2123" s="285" t="s">
        <v>959</v>
      </c>
      <c r="E2123" s="285" t="s">
        <v>1023</v>
      </c>
      <c r="F2123" s="113" t="s">
        <v>935</v>
      </c>
    </row>
    <row r="2124" spans="1:6" ht="14.25" customHeight="1">
      <c r="A2124" s="284" t="s">
        <v>831</v>
      </c>
      <c r="B2124" s="284">
        <v>2025</v>
      </c>
      <c r="C2124" s="284" t="s">
        <v>88</v>
      </c>
      <c r="D2124" s="284" t="s">
        <v>959</v>
      </c>
      <c r="E2124" s="284" t="s">
        <v>1090</v>
      </c>
      <c r="F2124" s="113" t="s">
        <v>935</v>
      </c>
    </row>
    <row r="2125" spans="1:6" ht="14.25" customHeight="1">
      <c r="A2125" s="285" t="s">
        <v>831</v>
      </c>
      <c r="B2125" s="285">
        <v>2025</v>
      </c>
      <c r="C2125" s="285" t="s">
        <v>88</v>
      </c>
      <c r="D2125" s="285" t="s">
        <v>988</v>
      </c>
      <c r="E2125" s="285" t="s">
        <v>981</v>
      </c>
      <c r="F2125" s="113" t="s">
        <v>906</v>
      </c>
    </row>
    <row r="2126" spans="1:6" ht="14.25" customHeight="1">
      <c r="A2126" s="284" t="s">
        <v>831</v>
      </c>
      <c r="B2126" s="284">
        <v>2025</v>
      </c>
      <c r="C2126" s="284" t="s">
        <v>88</v>
      </c>
      <c r="D2126" s="284" t="s">
        <v>988</v>
      </c>
      <c r="E2126" s="284" t="s">
        <v>1011</v>
      </c>
      <c r="F2126" s="113" t="s">
        <v>911</v>
      </c>
    </row>
    <row r="2127" spans="1:6" ht="14.25" customHeight="1">
      <c r="A2127" s="285" t="s">
        <v>831</v>
      </c>
      <c r="B2127" s="285">
        <v>2025</v>
      </c>
      <c r="C2127" s="285" t="s">
        <v>88</v>
      </c>
      <c r="D2127" s="285" t="s">
        <v>988</v>
      </c>
      <c r="E2127" s="285" t="s">
        <v>982</v>
      </c>
      <c r="F2127" s="113" t="s">
        <v>663</v>
      </c>
    </row>
    <row r="2128" spans="1:6" ht="14.25" customHeight="1">
      <c r="A2128" s="284" t="s">
        <v>831</v>
      </c>
      <c r="B2128" s="284">
        <v>2025</v>
      </c>
      <c r="C2128" s="284" t="s">
        <v>88</v>
      </c>
      <c r="D2128" s="284" t="s">
        <v>988</v>
      </c>
      <c r="E2128" s="284" t="s">
        <v>982</v>
      </c>
      <c r="F2128" s="113" t="s">
        <v>663</v>
      </c>
    </row>
    <row r="2129" spans="1:6" ht="14.25" customHeight="1">
      <c r="A2129" s="285" t="s">
        <v>831</v>
      </c>
      <c r="B2129" s="285">
        <v>2025</v>
      </c>
      <c r="C2129" s="285" t="s">
        <v>88</v>
      </c>
      <c r="D2129" s="285" t="s">
        <v>988</v>
      </c>
      <c r="E2129" s="285" t="s">
        <v>943</v>
      </c>
      <c r="F2129" s="113" t="s">
        <v>917</v>
      </c>
    </row>
    <row r="2130" spans="1:6" ht="14.25" customHeight="1">
      <c r="A2130" s="284" t="s">
        <v>831</v>
      </c>
      <c r="B2130" s="284">
        <v>2025</v>
      </c>
      <c r="C2130" s="284" t="s">
        <v>88</v>
      </c>
      <c r="D2130" s="284" t="s">
        <v>988</v>
      </c>
      <c r="E2130" s="284" t="s">
        <v>943</v>
      </c>
      <c r="F2130" s="113" t="s">
        <v>917</v>
      </c>
    </row>
    <row r="2131" spans="1:6" ht="14.25" customHeight="1">
      <c r="A2131" s="285" t="s">
        <v>831</v>
      </c>
      <c r="B2131" s="285">
        <v>2025</v>
      </c>
      <c r="C2131" s="285" t="s">
        <v>88</v>
      </c>
      <c r="D2131" s="285" t="s">
        <v>988</v>
      </c>
      <c r="E2131" s="285" t="s">
        <v>1061</v>
      </c>
      <c r="F2131" s="113" t="s">
        <v>783</v>
      </c>
    </row>
    <row r="2132" spans="1:6" ht="14.25" customHeight="1">
      <c r="A2132" s="284" t="s">
        <v>831</v>
      </c>
      <c r="B2132" s="284">
        <v>2025</v>
      </c>
      <c r="C2132" s="284" t="s">
        <v>88</v>
      </c>
      <c r="D2132" s="284" t="s">
        <v>988</v>
      </c>
      <c r="E2132" s="284" t="s">
        <v>1047</v>
      </c>
      <c r="F2132" s="113" t="s">
        <v>924</v>
      </c>
    </row>
    <row r="2133" spans="1:6" ht="14.25" customHeight="1">
      <c r="A2133" s="285" t="s">
        <v>831</v>
      </c>
      <c r="B2133" s="285">
        <v>2025</v>
      </c>
      <c r="C2133" s="285" t="s">
        <v>88</v>
      </c>
      <c r="D2133" s="285" t="s">
        <v>988</v>
      </c>
      <c r="E2133" s="285" t="s">
        <v>1047</v>
      </c>
      <c r="F2133" s="113" t="s">
        <v>924</v>
      </c>
    </row>
    <row r="2134" spans="1:6" ht="14.25" customHeight="1">
      <c r="A2134" s="284" t="s">
        <v>831</v>
      </c>
      <c r="B2134" s="284">
        <v>2025</v>
      </c>
      <c r="C2134" s="284" t="s">
        <v>88</v>
      </c>
      <c r="D2134" s="284" t="s">
        <v>988</v>
      </c>
      <c r="E2134" s="284" t="s">
        <v>1065</v>
      </c>
      <c r="F2134" s="113" t="s">
        <v>924</v>
      </c>
    </row>
    <row r="2135" spans="1:6" ht="14.25" customHeight="1">
      <c r="A2135" s="285" t="s">
        <v>831</v>
      </c>
      <c r="B2135" s="285">
        <v>2025</v>
      </c>
      <c r="C2135" s="285" t="s">
        <v>88</v>
      </c>
      <c r="D2135" s="285" t="s">
        <v>988</v>
      </c>
      <c r="E2135" s="285" t="s">
        <v>1090</v>
      </c>
      <c r="F2135" s="113" t="s">
        <v>935</v>
      </c>
    </row>
    <row r="2136" spans="1:6" ht="14.25" customHeight="1">
      <c r="A2136" s="284" t="s">
        <v>831</v>
      </c>
      <c r="B2136" s="284">
        <v>2025</v>
      </c>
      <c r="C2136" s="284" t="s">
        <v>88</v>
      </c>
      <c r="D2136" s="284" t="s">
        <v>956</v>
      </c>
      <c r="E2136" s="284" t="s">
        <v>1040</v>
      </c>
      <c r="F2136" s="113" t="s">
        <v>906</v>
      </c>
    </row>
    <row r="2137" spans="1:6" ht="14.25" customHeight="1">
      <c r="A2137" s="285" t="s">
        <v>831</v>
      </c>
      <c r="B2137" s="285">
        <v>2025</v>
      </c>
      <c r="C2137" s="285" t="s">
        <v>88</v>
      </c>
      <c r="D2137" s="285" t="s">
        <v>956</v>
      </c>
      <c r="E2137" s="285" t="s">
        <v>1014</v>
      </c>
      <c r="F2137" s="113" t="s">
        <v>906</v>
      </c>
    </row>
    <row r="2138" spans="1:6" ht="14.25" customHeight="1">
      <c r="A2138" s="284" t="s">
        <v>831</v>
      </c>
      <c r="B2138" s="284">
        <v>2025</v>
      </c>
      <c r="C2138" s="284" t="s">
        <v>88</v>
      </c>
      <c r="D2138" s="284" t="s">
        <v>956</v>
      </c>
      <c r="E2138" s="284" t="s">
        <v>954</v>
      </c>
      <c r="F2138" s="113" t="s">
        <v>906</v>
      </c>
    </row>
    <row r="2139" spans="1:6" ht="14.25" customHeight="1">
      <c r="A2139" s="285" t="s">
        <v>831</v>
      </c>
      <c r="B2139" s="285">
        <v>2025</v>
      </c>
      <c r="C2139" s="285" t="s">
        <v>88</v>
      </c>
      <c r="D2139" s="285" t="s">
        <v>956</v>
      </c>
      <c r="E2139" s="285" t="s">
        <v>930</v>
      </c>
      <c r="F2139" s="113" t="s">
        <v>906</v>
      </c>
    </row>
    <row r="2140" spans="1:6" ht="14.25" customHeight="1">
      <c r="A2140" s="284" t="s">
        <v>831</v>
      </c>
      <c r="B2140" s="284">
        <v>2025</v>
      </c>
      <c r="C2140" s="284" t="s">
        <v>88</v>
      </c>
      <c r="D2140" s="284" t="s">
        <v>956</v>
      </c>
      <c r="E2140" s="284" t="s">
        <v>996</v>
      </c>
      <c r="F2140" s="113" t="s">
        <v>924</v>
      </c>
    </row>
    <row r="2141" spans="1:6" ht="14.25" customHeight="1">
      <c r="A2141" s="285" t="s">
        <v>831</v>
      </c>
      <c r="B2141" s="285">
        <v>2025</v>
      </c>
      <c r="C2141" s="285" t="s">
        <v>88</v>
      </c>
      <c r="D2141" s="285" t="s">
        <v>956</v>
      </c>
      <c r="E2141" s="285" t="s">
        <v>996</v>
      </c>
      <c r="F2141" s="113" t="s">
        <v>924</v>
      </c>
    </row>
    <row r="2142" spans="1:6" ht="14.25" customHeight="1">
      <c r="A2142" s="284" t="s">
        <v>831</v>
      </c>
      <c r="B2142" s="284">
        <v>2025</v>
      </c>
      <c r="C2142" s="284" t="s">
        <v>88</v>
      </c>
      <c r="D2142" s="284" t="s">
        <v>969</v>
      </c>
      <c r="E2142" s="284" t="s">
        <v>1040</v>
      </c>
      <c r="F2142" s="113" t="s">
        <v>906</v>
      </c>
    </row>
    <row r="2143" spans="1:6" ht="14.25" customHeight="1">
      <c r="A2143" s="285" t="s">
        <v>831</v>
      </c>
      <c r="B2143" s="285">
        <v>2025</v>
      </c>
      <c r="C2143" s="285" t="s">
        <v>88</v>
      </c>
      <c r="D2143" s="285" t="s">
        <v>969</v>
      </c>
      <c r="E2143" s="285" t="s">
        <v>930</v>
      </c>
      <c r="F2143" s="113" t="s">
        <v>906</v>
      </c>
    </row>
    <row r="2144" spans="1:6" ht="14.25" customHeight="1">
      <c r="A2144" s="284" t="s">
        <v>831</v>
      </c>
      <c r="B2144" s="284">
        <v>2025</v>
      </c>
      <c r="C2144" s="284" t="s">
        <v>88</v>
      </c>
      <c r="D2144" s="284" t="s">
        <v>969</v>
      </c>
      <c r="E2144" s="284" t="s">
        <v>981</v>
      </c>
      <c r="F2144" s="113" t="s">
        <v>906</v>
      </c>
    </row>
    <row r="2145" spans="1:6" ht="14.25" customHeight="1">
      <c r="A2145" s="285" t="s">
        <v>831</v>
      </c>
      <c r="B2145" s="285">
        <v>2025</v>
      </c>
      <c r="C2145" s="285" t="s">
        <v>88</v>
      </c>
      <c r="D2145" s="285" t="s">
        <v>969</v>
      </c>
      <c r="E2145" s="285" t="s">
        <v>973</v>
      </c>
      <c r="F2145" s="113" t="s">
        <v>917</v>
      </c>
    </row>
    <row r="2146" spans="1:6" ht="14.25" customHeight="1">
      <c r="A2146" s="284" t="s">
        <v>831</v>
      </c>
      <c r="B2146" s="284">
        <v>2025</v>
      </c>
      <c r="C2146" s="284" t="s">
        <v>88</v>
      </c>
      <c r="D2146" s="284" t="s">
        <v>969</v>
      </c>
      <c r="E2146" s="284" t="s">
        <v>951</v>
      </c>
      <c r="F2146" s="113" t="s">
        <v>917</v>
      </c>
    </row>
    <row r="2147" spans="1:6" ht="14.25" customHeight="1">
      <c r="A2147" s="285" t="s">
        <v>831</v>
      </c>
      <c r="B2147" s="285">
        <v>2025</v>
      </c>
      <c r="C2147" s="285" t="s">
        <v>88</v>
      </c>
      <c r="D2147" s="285" t="s">
        <v>969</v>
      </c>
      <c r="E2147" s="285" t="s">
        <v>974</v>
      </c>
      <c r="F2147" s="113" t="s">
        <v>917</v>
      </c>
    </row>
    <row r="2148" spans="1:6" ht="14.25" customHeight="1">
      <c r="A2148" s="284" t="s">
        <v>831</v>
      </c>
      <c r="B2148" s="284">
        <v>2025</v>
      </c>
      <c r="C2148" s="284" t="s">
        <v>88</v>
      </c>
      <c r="D2148" s="284" t="s">
        <v>969</v>
      </c>
      <c r="E2148" s="284" t="s">
        <v>942</v>
      </c>
      <c r="F2148" s="113" t="s">
        <v>918</v>
      </c>
    </row>
    <row r="2149" spans="1:6" ht="14.25" customHeight="1">
      <c r="A2149" s="285" t="s">
        <v>831</v>
      </c>
      <c r="B2149" s="285">
        <v>2025</v>
      </c>
      <c r="C2149" s="285" t="s">
        <v>88</v>
      </c>
      <c r="D2149" s="285" t="s">
        <v>969</v>
      </c>
      <c r="E2149" s="285" t="s">
        <v>1061</v>
      </c>
      <c r="F2149" s="113" t="s">
        <v>783</v>
      </c>
    </row>
    <row r="2150" spans="1:6" ht="14.25" customHeight="1">
      <c r="A2150" s="284" t="s">
        <v>831</v>
      </c>
      <c r="B2150" s="284">
        <v>2025</v>
      </c>
      <c r="C2150" s="284" t="s">
        <v>88</v>
      </c>
      <c r="D2150" s="284" t="s">
        <v>969</v>
      </c>
      <c r="E2150" s="284" t="s">
        <v>1187</v>
      </c>
      <c r="F2150" s="113" t="s">
        <v>783</v>
      </c>
    </row>
    <row r="2151" spans="1:6" ht="14.25" customHeight="1">
      <c r="A2151" s="285" t="s">
        <v>831</v>
      </c>
      <c r="B2151" s="285">
        <v>2025</v>
      </c>
      <c r="C2151" s="285" t="s">
        <v>88</v>
      </c>
      <c r="D2151" s="285" t="s">
        <v>969</v>
      </c>
      <c r="E2151" s="285" t="s">
        <v>1091</v>
      </c>
      <c r="F2151" s="113" t="s">
        <v>783</v>
      </c>
    </row>
    <row r="2152" spans="1:6" ht="14.25" customHeight="1">
      <c r="A2152" s="284" t="s">
        <v>831</v>
      </c>
      <c r="B2152" s="284">
        <v>2025</v>
      </c>
      <c r="C2152" s="284" t="s">
        <v>88</v>
      </c>
      <c r="D2152" s="284" t="s">
        <v>969</v>
      </c>
      <c r="E2152" s="284" t="s">
        <v>1051</v>
      </c>
      <c r="F2152" s="113" t="s">
        <v>924</v>
      </c>
    </row>
    <row r="2153" spans="1:6" ht="14.25" customHeight="1">
      <c r="A2153" s="285" t="s">
        <v>831</v>
      </c>
      <c r="B2153" s="285">
        <v>2025</v>
      </c>
      <c r="C2153" s="285" t="s">
        <v>88</v>
      </c>
      <c r="D2153" s="285" t="s">
        <v>969</v>
      </c>
      <c r="E2153" s="285" t="s">
        <v>2</v>
      </c>
      <c r="F2153" s="113" t="s">
        <v>935</v>
      </c>
    </row>
    <row r="2154" spans="1:6" ht="14.25" customHeight="1">
      <c r="A2154" s="284" t="s">
        <v>831</v>
      </c>
      <c r="B2154" s="284">
        <v>2025</v>
      </c>
      <c r="C2154" s="284" t="s">
        <v>88</v>
      </c>
      <c r="D2154" s="284" t="s">
        <v>969</v>
      </c>
      <c r="E2154" s="284" t="s">
        <v>1064</v>
      </c>
      <c r="F2154" s="113" t="s">
        <v>922</v>
      </c>
    </row>
    <row r="2155" spans="1:6" ht="14.25" customHeight="1">
      <c r="A2155" s="285" t="s">
        <v>831</v>
      </c>
      <c r="B2155" s="285">
        <v>2025</v>
      </c>
      <c r="C2155" s="285" t="s">
        <v>859</v>
      </c>
      <c r="D2155" s="285" t="s">
        <v>1208</v>
      </c>
      <c r="E2155" s="285" t="s">
        <v>1011</v>
      </c>
      <c r="F2155" s="113" t="s">
        <v>911</v>
      </c>
    </row>
    <row r="2156" spans="1:6" ht="14.25" customHeight="1">
      <c r="A2156" s="284" t="s">
        <v>831</v>
      </c>
      <c r="B2156" s="284">
        <v>2025</v>
      </c>
      <c r="C2156" s="284" t="s">
        <v>859</v>
      </c>
      <c r="D2156" s="284" t="s">
        <v>999</v>
      </c>
      <c r="E2156" s="284" t="s">
        <v>1028</v>
      </c>
      <c r="F2156" s="113" t="s">
        <v>906</v>
      </c>
    </row>
    <row r="2157" spans="1:6" ht="14.25" customHeight="1">
      <c r="A2157" s="285" t="s">
        <v>831</v>
      </c>
      <c r="B2157" s="285">
        <v>2025</v>
      </c>
      <c r="C2157" s="285" t="s">
        <v>859</v>
      </c>
      <c r="D2157" s="285" t="s">
        <v>999</v>
      </c>
      <c r="E2157" s="285" t="s">
        <v>970</v>
      </c>
      <c r="F2157" s="113" t="s">
        <v>915</v>
      </c>
    </row>
    <row r="2158" spans="1:6" ht="14.25" customHeight="1">
      <c r="A2158" s="284" t="s">
        <v>831</v>
      </c>
      <c r="B2158" s="284">
        <v>2025</v>
      </c>
      <c r="C2158" s="284" t="s">
        <v>859</v>
      </c>
      <c r="D2158" s="284" t="s">
        <v>999</v>
      </c>
      <c r="E2158" s="284" t="s">
        <v>1001</v>
      </c>
      <c r="F2158" s="113" t="s">
        <v>783</v>
      </c>
    </row>
    <row r="2159" spans="1:6" ht="14.25" customHeight="1">
      <c r="A2159" s="285" t="s">
        <v>831</v>
      </c>
      <c r="B2159" s="285">
        <v>2025</v>
      </c>
      <c r="C2159" s="285" t="s">
        <v>859</v>
      </c>
      <c r="D2159" s="285" t="s">
        <v>998</v>
      </c>
      <c r="E2159" s="285" t="s">
        <v>1014</v>
      </c>
      <c r="F2159" s="113" t="s">
        <v>906</v>
      </c>
    </row>
    <row r="2160" spans="1:6" ht="14.25" customHeight="1">
      <c r="A2160" s="284" t="s">
        <v>831</v>
      </c>
      <c r="B2160" s="284">
        <v>2025</v>
      </c>
      <c r="C2160" s="284" t="s">
        <v>859</v>
      </c>
      <c r="D2160" s="284" t="s">
        <v>998</v>
      </c>
      <c r="E2160" s="284" t="s">
        <v>986</v>
      </c>
      <c r="F2160" s="113" t="s">
        <v>906</v>
      </c>
    </row>
    <row r="2161" spans="1:6" ht="14.25" customHeight="1">
      <c r="A2161" s="285" t="s">
        <v>831</v>
      </c>
      <c r="B2161" s="285">
        <v>2025</v>
      </c>
      <c r="C2161" s="285" t="s">
        <v>859</v>
      </c>
      <c r="D2161" s="285" t="s">
        <v>998</v>
      </c>
      <c r="E2161" s="285" t="s">
        <v>953</v>
      </c>
      <c r="F2161" s="113" t="s">
        <v>906</v>
      </c>
    </row>
    <row r="2162" spans="1:6" ht="14.25" customHeight="1">
      <c r="A2162" s="284" t="s">
        <v>831</v>
      </c>
      <c r="B2162" s="284">
        <v>2025</v>
      </c>
      <c r="C2162" s="284" t="s">
        <v>859</v>
      </c>
      <c r="D2162" s="284" t="s">
        <v>998</v>
      </c>
      <c r="E2162" s="284" t="s">
        <v>1131</v>
      </c>
      <c r="F2162" s="113" t="s">
        <v>483</v>
      </c>
    </row>
    <row r="2163" spans="1:6" ht="14.25" customHeight="1">
      <c r="A2163" s="285" t="s">
        <v>831</v>
      </c>
      <c r="B2163" s="285">
        <v>2025</v>
      </c>
      <c r="C2163" s="285" t="s">
        <v>859</v>
      </c>
      <c r="D2163" s="285" t="s">
        <v>998</v>
      </c>
      <c r="E2163" s="285" t="s">
        <v>972</v>
      </c>
      <c r="F2163" s="113" t="s">
        <v>911</v>
      </c>
    </row>
    <row r="2164" spans="1:6" ht="14.25" customHeight="1">
      <c r="A2164" s="284" t="s">
        <v>831</v>
      </c>
      <c r="B2164" s="284">
        <v>2025</v>
      </c>
      <c r="C2164" s="284" t="s">
        <v>859</v>
      </c>
      <c r="D2164" s="284" t="s">
        <v>998</v>
      </c>
      <c r="E2164" s="284" t="s">
        <v>972</v>
      </c>
      <c r="F2164" s="113" t="s">
        <v>911</v>
      </c>
    </row>
    <row r="2165" spans="1:6" ht="14.25" customHeight="1">
      <c r="A2165" s="285" t="s">
        <v>831</v>
      </c>
      <c r="B2165" s="285">
        <v>2025</v>
      </c>
      <c r="C2165" s="285" t="s">
        <v>859</v>
      </c>
      <c r="D2165" s="285" t="s">
        <v>998</v>
      </c>
      <c r="E2165" s="285" t="s">
        <v>1011</v>
      </c>
      <c r="F2165" s="113" t="s">
        <v>911</v>
      </c>
    </row>
    <row r="2166" spans="1:6" ht="14.25" customHeight="1">
      <c r="A2166" s="284" t="s">
        <v>831</v>
      </c>
      <c r="B2166" s="284">
        <v>2025</v>
      </c>
      <c r="C2166" s="284" t="s">
        <v>859</v>
      </c>
      <c r="D2166" s="284" t="s">
        <v>998</v>
      </c>
      <c r="E2166" s="284" t="s">
        <v>1009</v>
      </c>
      <c r="F2166" s="113" t="s">
        <v>917</v>
      </c>
    </row>
    <row r="2167" spans="1:6" ht="14.25" customHeight="1">
      <c r="A2167" s="285" t="s">
        <v>831</v>
      </c>
      <c r="B2167" s="285">
        <v>2025</v>
      </c>
      <c r="C2167" s="285" t="s">
        <v>859</v>
      </c>
      <c r="D2167" s="285" t="s">
        <v>998</v>
      </c>
      <c r="E2167" s="285" t="s">
        <v>2</v>
      </c>
      <c r="F2167" s="113" t="s">
        <v>935</v>
      </c>
    </row>
    <row r="2168" spans="1:6" ht="14.25" customHeight="1">
      <c r="A2168" s="284" t="s">
        <v>831</v>
      </c>
      <c r="B2168" s="284">
        <v>2025</v>
      </c>
      <c r="C2168" s="284" t="s">
        <v>859</v>
      </c>
      <c r="D2168" s="284" t="s">
        <v>1000</v>
      </c>
      <c r="E2168" s="284" t="s">
        <v>991</v>
      </c>
      <c r="F2168" s="113" t="s">
        <v>906</v>
      </c>
    </row>
    <row r="2169" spans="1:6" ht="14.25" customHeight="1">
      <c r="A2169" s="285" t="s">
        <v>831</v>
      </c>
      <c r="B2169" s="285">
        <v>2025</v>
      </c>
      <c r="C2169" s="285" t="s">
        <v>859</v>
      </c>
      <c r="D2169" s="285" t="s">
        <v>1000</v>
      </c>
      <c r="E2169" s="285" t="s">
        <v>991</v>
      </c>
      <c r="F2169" s="113" t="s">
        <v>906</v>
      </c>
    </row>
    <row r="2170" spans="1:6" ht="14.25" customHeight="1">
      <c r="A2170" s="284" t="s">
        <v>831</v>
      </c>
      <c r="B2170" s="284">
        <v>2025</v>
      </c>
      <c r="C2170" s="284" t="s">
        <v>859</v>
      </c>
      <c r="D2170" s="284" t="s">
        <v>1000</v>
      </c>
      <c r="E2170" s="284" t="s">
        <v>952</v>
      </c>
      <c r="F2170" s="113" t="s">
        <v>906</v>
      </c>
    </row>
    <row r="2171" spans="1:6" ht="14.25" customHeight="1">
      <c r="A2171" s="285" t="s">
        <v>831</v>
      </c>
      <c r="B2171" s="285">
        <v>2025</v>
      </c>
      <c r="C2171" s="285" t="s">
        <v>859</v>
      </c>
      <c r="D2171" s="285" t="s">
        <v>1000</v>
      </c>
      <c r="E2171" s="285" t="s">
        <v>954</v>
      </c>
      <c r="F2171" s="113" t="s">
        <v>906</v>
      </c>
    </row>
    <row r="2172" spans="1:6" ht="14.25" customHeight="1">
      <c r="A2172" s="284" t="s">
        <v>831</v>
      </c>
      <c r="B2172" s="284">
        <v>2025</v>
      </c>
      <c r="C2172" s="284" t="s">
        <v>859</v>
      </c>
      <c r="D2172" s="284" t="s">
        <v>1000</v>
      </c>
      <c r="E2172" s="284" t="s">
        <v>953</v>
      </c>
      <c r="F2172" s="113" t="s">
        <v>906</v>
      </c>
    </row>
    <row r="2173" spans="1:6" ht="14.25" customHeight="1">
      <c r="A2173" s="285" t="s">
        <v>831</v>
      </c>
      <c r="B2173" s="285">
        <v>2025</v>
      </c>
      <c r="C2173" s="285" t="s">
        <v>859</v>
      </c>
      <c r="D2173" s="285" t="s">
        <v>1000</v>
      </c>
      <c r="E2173" s="285" t="s">
        <v>1124</v>
      </c>
      <c r="F2173" s="113" t="s">
        <v>483</v>
      </c>
    </row>
    <row r="2174" spans="1:6" ht="14.25" customHeight="1">
      <c r="A2174" s="284" t="s">
        <v>831</v>
      </c>
      <c r="B2174" s="284">
        <v>2025</v>
      </c>
      <c r="C2174" s="284" t="s">
        <v>859</v>
      </c>
      <c r="D2174" s="284" t="s">
        <v>1000</v>
      </c>
      <c r="E2174" s="284" t="s">
        <v>1131</v>
      </c>
      <c r="F2174" s="113" t="s">
        <v>483</v>
      </c>
    </row>
    <row r="2175" spans="1:6" ht="14.25" customHeight="1">
      <c r="A2175" s="285" t="s">
        <v>831</v>
      </c>
      <c r="B2175" s="285">
        <v>2025</v>
      </c>
      <c r="C2175" s="285" t="s">
        <v>859</v>
      </c>
      <c r="D2175" s="285" t="s">
        <v>1000</v>
      </c>
      <c r="E2175" s="285" t="s">
        <v>1139</v>
      </c>
      <c r="F2175" s="113" t="s">
        <v>483</v>
      </c>
    </row>
    <row r="2176" spans="1:6" ht="14.25" customHeight="1">
      <c r="A2176" s="284" t="s">
        <v>831</v>
      </c>
      <c r="B2176" s="284">
        <v>2025</v>
      </c>
      <c r="C2176" s="284" t="s">
        <v>859</v>
      </c>
      <c r="D2176" s="284" t="s">
        <v>1000</v>
      </c>
      <c r="E2176" s="284" t="s">
        <v>1209</v>
      </c>
      <c r="F2176" s="113" t="s">
        <v>913</v>
      </c>
    </row>
    <row r="2177" spans="1:6" ht="14.25" customHeight="1">
      <c r="A2177" s="285" t="s">
        <v>831</v>
      </c>
      <c r="B2177" s="285">
        <v>2025</v>
      </c>
      <c r="C2177" s="285" t="s">
        <v>859</v>
      </c>
      <c r="D2177" s="285" t="s">
        <v>1000</v>
      </c>
      <c r="E2177" s="285" t="s">
        <v>1191</v>
      </c>
      <c r="F2177" s="113" t="s">
        <v>663</v>
      </c>
    </row>
    <row r="2178" spans="1:6" ht="14.25" customHeight="1">
      <c r="A2178" s="284" t="s">
        <v>831</v>
      </c>
      <c r="B2178" s="284">
        <v>2025</v>
      </c>
      <c r="C2178" s="284" t="s">
        <v>859</v>
      </c>
      <c r="D2178" s="284" t="s">
        <v>1000</v>
      </c>
      <c r="E2178" s="284" t="s">
        <v>1103</v>
      </c>
      <c r="F2178" s="113" t="s">
        <v>663</v>
      </c>
    </row>
    <row r="2179" spans="1:6" ht="14.25" customHeight="1">
      <c r="A2179" s="285" t="s">
        <v>831</v>
      </c>
      <c r="B2179" s="285">
        <v>2025</v>
      </c>
      <c r="C2179" s="285" t="s">
        <v>859</v>
      </c>
      <c r="D2179" s="285" t="s">
        <v>1000</v>
      </c>
      <c r="E2179" s="285" t="s">
        <v>1048</v>
      </c>
      <c r="F2179" s="113" t="s">
        <v>917</v>
      </c>
    </row>
    <row r="2180" spans="1:6" ht="14.25" customHeight="1">
      <c r="A2180" s="284" t="s">
        <v>831</v>
      </c>
      <c r="B2180" s="284">
        <v>2025</v>
      </c>
      <c r="C2180" s="284" t="s">
        <v>859</v>
      </c>
      <c r="D2180" s="284" t="s">
        <v>1000</v>
      </c>
      <c r="E2180" s="284" t="s">
        <v>974</v>
      </c>
      <c r="F2180" s="113" t="s">
        <v>917</v>
      </c>
    </row>
    <row r="2181" spans="1:6" ht="14.25" customHeight="1">
      <c r="A2181" s="285" t="s">
        <v>831</v>
      </c>
      <c r="B2181" s="285">
        <v>2025</v>
      </c>
      <c r="C2181" s="285" t="s">
        <v>859</v>
      </c>
      <c r="D2181" s="285" t="s">
        <v>1000</v>
      </c>
      <c r="E2181" s="285" t="s">
        <v>974</v>
      </c>
      <c r="F2181" s="113" t="s">
        <v>917</v>
      </c>
    </row>
    <row r="2182" spans="1:6" ht="14.25" customHeight="1">
      <c r="A2182" s="284" t="s">
        <v>831</v>
      </c>
      <c r="B2182" s="284">
        <v>2025</v>
      </c>
      <c r="C2182" s="284" t="s">
        <v>859</v>
      </c>
      <c r="D2182" s="284" t="s">
        <v>1000</v>
      </c>
      <c r="E2182" s="284" t="s">
        <v>1210</v>
      </c>
      <c r="F2182" s="113" t="s">
        <v>917</v>
      </c>
    </row>
    <row r="2183" spans="1:6" ht="14.25" customHeight="1">
      <c r="A2183" s="285" t="s">
        <v>831</v>
      </c>
      <c r="B2183" s="285">
        <v>2025</v>
      </c>
      <c r="C2183" s="285" t="s">
        <v>859</v>
      </c>
      <c r="D2183" s="285" t="s">
        <v>1000</v>
      </c>
      <c r="E2183" s="285" t="s">
        <v>995</v>
      </c>
      <c r="F2183" s="113" t="s">
        <v>924</v>
      </c>
    </row>
    <row r="2184" spans="1:6" ht="14.25" customHeight="1">
      <c r="A2184" s="284" t="s">
        <v>831</v>
      </c>
      <c r="B2184" s="284">
        <v>2025</v>
      </c>
      <c r="C2184" s="284" t="s">
        <v>859</v>
      </c>
      <c r="D2184" s="284" t="s">
        <v>1082</v>
      </c>
      <c r="E2184" s="284" t="s">
        <v>967</v>
      </c>
      <c r="F2184" s="113" t="s">
        <v>915</v>
      </c>
    </row>
    <row r="2185" spans="1:6" ht="14.25" customHeight="1">
      <c r="A2185" s="285" t="s">
        <v>831</v>
      </c>
      <c r="B2185" s="285">
        <v>2025</v>
      </c>
      <c r="C2185" s="285" t="s">
        <v>859</v>
      </c>
      <c r="D2185" s="285" t="s">
        <v>1082</v>
      </c>
      <c r="E2185" s="285" t="s">
        <v>967</v>
      </c>
      <c r="F2185" s="113" t="s">
        <v>915</v>
      </c>
    </row>
    <row r="2186" spans="1:6" ht="14.25" customHeight="1">
      <c r="A2186" s="284" t="s">
        <v>831</v>
      </c>
      <c r="B2186" s="284">
        <v>2025</v>
      </c>
      <c r="C2186" s="284" t="s">
        <v>872</v>
      </c>
      <c r="D2186" s="284" t="s">
        <v>1013</v>
      </c>
      <c r="E2186" s="284" t="s">
        <v>1077</v>
      </c>
      <c r="F2186" s="113" t="s">
        <v>483</v>
      </c>
    </row>
    <row r="2187" spans="1:6" ht="14.25" customHeight="1">
      <c r="A2187" s="285" t="s">
        <v>831</v>
      </c>
      <c r="B2187" s="285">
        <v>2025</v>
      </c>
      <c r="C2187" s="285" t="s">
        <v>872</v>
      </c>
      <c r="D2187" s="285" t="s">
        <v>1013</v>
      </c>
      <c r="E2187" s="285" t="s">
        <v>1181</v>
      </c>
      <c r="F2187" s="113" t="s">
        <v>483</v>
      </c>
    </row>
    <row r="2188" spans="1:6" ht="14.25" customHeight="1">
      <c r="A2188" s="284" t="s">
        <v>831</v>
      </c>
      <c r="B2188" s="284">
        <v>2025</v>
      </c>
      <c r="C2188" s="284" t="s">
        <v>872</v>
      </c>
      <c r="D2188" s="284" t="s">
        <v>1013</v>
      </c>
      <c r="E2188" s="284" t="s">
        <v>1115</v>
      </c>
      <c r="F2188" s="113" t="s">
        <v>911</v>
      </c>
    </row>
    <row r="2189" spans="1:6" ht="14.25" customHeight="1">
      <c r="A2189" s="285" t="s">
        <v>831</v>
      </c>
      <c r="B2189" s="285">
        <v>2025</v>
      </c>
      <c r="C2189" s="285" t="s">
        <v>872</v>
      </c>
      <c r="D2189" s="285" t="s">
        <v>1013</v>
      </c>
      <c r="E2189" s="285" t="s">
        <v>943</v>
      </c>
      <c r="F2189" s="113" t="s">
        <v>917</v>
      </c>
    </row>
    <row r="2190" spans="1:6" ht="14.25" customHeight="1">
      <c r="A2190" s="284" t="s">
        <v>831</v>
      </c>
      <c r="B2190" s="284">
        <v>2025</v>
      </c>
      <c r="C2190" s="284" t="s">
        <v>872</v>
      </c>
      <c r="D2190" s="284" t="s">
        <v>1013</v>
      </c>
      <c r="E2190" s="284" t="s">
        <v>1009</v>
      </c>
      <c r="F2190" s="113" t="s">
        <v>917</v>
      </c>
    </row>
    <row r="2191" spans="1:6" ht="14.25" customHeight="1">
      <c r="A2191" s="285" t="s">
        <v>831</v>
      </c>
      <c r="B2191" s="285">
        <v>2025</v>
      </c>
      <c r="C2191" s="285" t="s">
        <v>872</v>
      </c>
      <c r="D2191" s="285" t="s">
        <v>1013</v>
      </c>
      <c r="E2191" s="285" t="s">
        <v>951</v>
      </c>
      <c r="F2191" s="113" t="s">
        <v>917</v>
      </c>
    </row>
    <row r="2192" spans="1:6" ht="14.25" customHeight="1">
      <c r="A2192" s="284" t="s">
        <v>831</v>
      </c>
      <c r="B2192" s="284">
        <v>2025</v>
      </c>
      <c r="C2192" s="284" t="s">
        <v>872</v>
      </c>
      <c r="D2192" s="284" t="s">
        <v>1013</v>
      </c>
      <c r="E2192" s="284" t="s">
        <v>1211</v>
      </c>
      <c r="F2192" s="113" t="s">
        <v>783</v>
      </c>
    </row>
    <row r="2193" spans="1:6" ht="14.25" customHeight="1">
      <c r="A2193" s="285" t="s">
        <v>831</v>
      </c>
      <c r="B2193" s="285">
        <v>2025</v>
      </c>
      <c r="C2193" s="285" t="s">
        <v>872</v>
      </c>
      <c r="D2193" s="285" t="s">
        <v>1013</v>
      </c>
      <c r="E2193" s="285" t="s">
        <v>1095</v>
      </c>
      <c r="F2193" s="113" t="s">
        <v>924</v>
      </c>
    </row>
    <row r="2194" spans="1:6" ht="14.25" customHeight="1">
      <c r="A2194" s="284" t="s">
        <v>831</v>
      </c>
      <c r="B2194" s="284">
        <v>2025</v>
      </c>
      <c r="C2194" s="284" t="s">
        <v>872</v>
      </c>
      <c r="D2194" s="284" t="s">
        <v>1013</v>
      </c>
      <c r="E2194" s="284" t="s">
        <v>1051</v>
      </c>
      <c r="F2194" s="113" t="s">
        <v>924</v>
      </c>
    </row>
    <row r="2195" spans="1:6" ht="14.25" customHeight="1">
      <c r="A2195" s="285" t="s">
        <v>831</v>
      </c>
      <c r="B2195" s="285">
        <v>2025</v>
      </c>
      <c r="C2195" s="285" t="s">
        <v>872</v>
      </c>
      <c r="D2195" s="285" t="s">
        <v>1013</v>
      </c>
      <c r="E2195" s="113" t="s">
        <v>2</v>
      </c>
      <c r="F2195" s="113" t="s">
        <v>935</v>
      </c>
    </row>
    <row r="2196" spans="1:6" ht="14.25" customHeight="1">
      <c r="A2196" s="284" t="s">
        <v>831</v>
      </c>
      <c r="B2196" s="284">
        <v>2025</v>
      </c>
      <c r="C2196" s="284" t="s">
        <v>872</v>
      </c>
      <c r="D2196" s="284" t="s">
        <v>1012</v>
      </c>
      <c r="E2196" s="284" t="s">
        <v>1196</v>
      </c>
      <c r="F2196" s="113" t="s">
        <v>906</v>
      </c>
    </row>
    <row r="2197" spans="1:6" ht="14.25" customHeight="1">
      <c r="A2197" s="285" t="s">
        <v>831</v>
      </c>
      <c r="B2197" s="285">
        <v>2025</v>
      </c>
      <c r="C2197" s="285" t="s">
        <v>872</v>
      </c>
      <c r="D2197" s="285" t="s">
        <v>1012</v>
      </c>
      <c r="E2197" s="285" t="s">
        <v>952</v>
      </c>
      <c r="F2197" s="113" t="s">
        <v>906</v>
      </c>
    </row>
    <row r="2198" spans="1:6" ht="14.25" customHeight="1">
      <c r="A2198" s="284" t="s">
        <v>831</v>
      </c>
      <c r="B2198" s="284">
        <v>2025</v>
      </c>
      <c r="C2198" s="284" t="s">
        <v>872</v>
      </c>
      <c r="D2198" s="284" t="s">
        <v>1012</v>
      </c>
      <c r="E2198" s="284" t="s">
        <v>1178</v>
      </c>
      <c r="F2198" s="113" t="s">
        <v>483</v>
      </c>
    </row>
    <row r="2199" spans="1:6" ht="14.25" customHeight="1">
      <c r="A2199" s="285" t="s">
        <v>831</v>
      </c>
      <c r="B2199" s="285">
        <v>2025</v>
      </c>
      <c r="C2199" s="285" t="s">
        <v>872</v>
      </c>
      <c r="D2199" s="285" t="s">
        <v>1012</v>
      </c>
      <c r="E2199" s="285" t="s">
        <v>1175</v>
      </c>
      <c r="F2199" s="113" t="s">
        <v>483</v>
      </c>
    </row>
    <row r="2200" spans="1:6" ht="14.25" customHeight="1">
      <c r="A2200" s="284" t="s">
        <v>831</v>
      </c>
      <c r="B2200" s="284">
        <v>2025</v>
      </c>
      <c r="C2200" s="284" t="s">
        <v>872</v>
      </c>
      <c r="D2200" s="284" t="s">
        <v>1012</v>
      </c>
      <c r="E2200" s="284" t="s">
        <v>1011</v>
      </c>
      <c r="F2200" s="113" t="s">
        <v>911</v>
      </c>
    </row>
    <row r="2201" spans="1:6" ht="14.25" customHeight="1">
      <c r="A2201" s="285" t="s">
        <v>831</v>
      </c>
      <c r="B2201" s="285">
        <v>2025</v>
      </c>
      <c r="C2201" s="285" t="s">
        <v>872</v>
      </c>
      <c r="D2201" s="285" t="s">
        <v>1012</v>
      </c>
      <c r="E2201" s="285" t="s">
        <v>1106</v>
      </c>
      <c r="F2201" s="113" t="s">
        <v>915</v>
      </c>
    </row>
    <row r="2202" spans="1:6" ht="14.25" customHeight="1">
      <c r="A2202" s="284" t="s">
        <v>831</v>
      </c>
      <c r="B2202" s="284">
        <v>2025</v>
      </c>
      <c r="C2202" s="284" t="s">
        <v>872</v>
      </c>
      <c r="D2202" s="284" t="s">
        <v>1012</v>
      </c>
      <c r="E2202" s="284" t="s">
        <v>943</v>
      </c>
      <c r="F2202" s="113" t="s">
        <v>917</v>
      </c>
    </row>
    <row r="2203" spans="1:6" ht="14.25" customHeight="1">
      <c r="A2203" s="285" t="s">
        <v>831</v>
      </c>
      <c r="B2203" s="285">
        <v>2025</v>
      </c>
      <c r="C2203" s="285" t="s">
        <v>872</v>
      </c>
      <c r="D2203" s="285" t="s">
        <v>1012</v>
      </c>
      <c r="E2203" s="285" t="s">
        <v>1001</v>
      </c>
      <c r="F2203" s="113" t="s">
        <v>783</v>
      </c>
    </row>
    <row r="2204" spans="1:6" ht="14.25" customHeight="1">
      <c r="A2204" s="284" t="s">
        <v>831</v>
      </c>
      <c r="B2204" s="284">
        <v>2025</v>
      </c>
      <c r="C2204" s="284" t="s">
        <v>872</v>
      </c>
      <c r="D2204" s="284" t="s">
        <v>1012</v>
      </c>
      <c r="E2204" s="284" t="s">
        <v>1047</v>
      </c>
      <c r="F2204" s="113" t="s">
        <v>924</v>
      </c>
    </row>
    <row r="2205" spans="1:6" ht="14.25" customHeight="1">
      <c r="A2205" s="285" t="s">
        <v>831</v>
      </c>
      <c r="B2205" s="285">
        <v>2025</v>
      </c>
      <c r="C2205" s="285" t="s">
        <v>872</v>
      </c>
      <c r="D2205" s="285" t="s">
        <v>1015</v>
      </c>
      <c r="E2205" s="285" t="s">
        <v>930</v>
      </c>
      <c r="F2205" s="113" t="s">
        <v>906</v>
      </c>
    </row>
    <row r="2206" spans="1:6" ht="14.25" customHeight="1">
      <c r="A2206" s="284" t="s">
        <v>831</v>
      </c>
      <c r="B2206" s="284">
        <v>2025</v>
      </c>
      <c r="C2206" s="284" t="s">
        <v>872</v>
      </c>
      <c r="D2206" s="284" t="s">
        <v>1015</v>
      </c>
      <c r="E2206" s="284" t="s">
        <v>1039</v>
      </c>
      <c r="F2206" s="113" t="s">
        <v>483</v>
      </c>
    </row>
    <row r="2207" spans="1:6" ht="14.25" customHeight="1">
      <c r="A2207" s="285" t="s">
        <v>831</v>
      </c>
      <c r="B2207" s="285">
        <v>2025</v>
      </c>
      <c r="C2207" s="285" t="s">
        <v>872</v>
      </c>
      <c r="D2207" s="285" t="s">
        <v>1015</v>
      </c>
      <c r="E2207" s="285" t="s">
        <v>946</v>
      </c>
      <c r="F2207" s="113" t="s">
        <v>924</v>
      </c>
    </row>
    <row r="2208" spans="1:6" ht="14.25" customHeight="1">
      <c r="A2208" s="284" t="s">
        <v>831</v>
      </c>
      <c r="B2208" s="284">
        <v>2025</v>
      </c>
      <c r="C2208" s="284" t="s">
        <v>1024</v>
      </c>
      <c r="D2208" s="284" t="s">
        <v>1029</v>
      </c>
      <c r="E2208" s="284" t="s">
        <v>954</v>
      </c>
      <c r="F2208" s="113" t="s">
        <v>906</v>
      </c>
    </row>
    <row r="2209" spans="1:6" ht="14.25" customHeight="1">
      <c r="A2209" s="285" t="s">
        <v>831</v>
      </c>
      <c r="B2209" s="285">
        <v>2025</v>
      </c>
      <c r="C2209" s="285" t="s">
        <v>1024</v>
      </c>
      <c r="D2209" s="285" t="s">
        <v>1029</v>
      </c>
      <c r="E2209" s="285" t="s">
        <v>974</v>
      </c>
      <c r="F2209" s="113" t="s">
        <v>917</v>
      </c>
    </row>
    <row r="2210" spans="1:6" ht="14.25" customHeight="1">
      <c r="A2210" s="284" t="s">
        <v>831</v>
      </c>
      <c r="B2210" s="284">
        <v>2025</v>
      </c>
      <c r="C2210" s="284" t="s">
        <v>1024</v>
      </c>
      <c r="D2210" s="284" t="s">
        <v>1027</v>
      </c>
      <c r="E2210" s="284" t="s">
        <v>986</v>
      </c>
      <c r="F2210" s="113" t="s">
        <v>906</v>
      </c>
    </row>
    <row r="2211" spans="1:6" ht="14.25" customHeight="1">
      <c r="A2211" s="285" t="s">
        <v>831</v>
      </c>
      <c r="B2211" s="285">
        <v>2025</v>
      </c>
      <c r="C2211" s="285" t="s">
        <v>1024</v>
      </c>
      <c r="D2211" s="285" t="s">
        <v>1027</v>
      </c>
      <c r="E2211" s="285" t="s">
        <v>954</v>
      </c>
      <c r="F2211" s="113" t="s">
        <v>906</v>
      </c>
    </row>
    <row r="2212" spans="1:6" ht="14.25" customHeight="1">
      <c r="A2212" s="284" t="s">
        <v>831</v>
      </c>
      <c r="B2212" s="284">
        <v>2025</v>
      </c>
      <c r="C2212" s="284" t="s">
        <v>1024</v>
      </c>
      <c r="D2212" s="284" t="s">
        <v>1027</v>
      </c>
      <c r="E2212" s="284" t="s">
        <v>1040</v>
      </c>
      <c r="F2212" s="113" t="s">
        <v>906</v>
      </c>
    </row>
    <row r="2213" spans="1:6" ht="14.25" customHeight="1">
      <c r="A2213" s="285" t="s">
        <v>831</v>
      </c>
      <c r="B2213" s="285">
        <v>2025</v>
      </c>
      <c r="C2213" s="285" t="s">
        <v>1024</v>
      </c>
      <c r="D2213" s="285" t="s">
        <v>1027</v>
      </c>
      <c r="E2213" s="285" t="s">
        <v>1036</v>
      </c>
      <c r="F2213" s="113" t="s">
        <v>906</v>
      </c>
    </row>
    <row r="2214" spans="1:6" ht="14.25" customHeight="1">
      <c r="A2214" s="284" t="s">
        <v>831</v>
      </c>
      <c r="B2214" s="284">
        <v>2025</v>
      </c>
      <c r="C2214" s="284" t="s">
        <v>1024</v>
      </c>
      <c r="D2214" s="284" t="s">
        <v>1027</v>
      </c>
      <c r="E2214" s="284" t="s">
        <v>986</v>
      </c>
      <c r="F2214" s="113" t="s">
        <v>906</v>
      </c>
    </row>
    <row r="2215" spans="1:6" ht="14.25" customHeight="1">
      <c r="A2215" s="285" t="s">
        <v>831</v>
      </c>
      <c r="B2215" s="285">
        <v>2025</v>
      </c>
      <c r="C2215" s="285" t="s">
        <v>1024</v>
      </c>
      <c r="D2215" s="285" t="s">
        <v>1027</v>
      </c>
      <c r="E2215" s="285" t="s">
        <v>1212</v>
      </c>
      <c r="F2215" s="113" t="s">
        <v>906</v>
      </c>
    </row>
    <row r="2216" spans="1:6" ht="14.25" customHeight="1">
      <c r="A2216" s="284" t="s">
        <v>831</v>
      </c>
      <c r="B2216" s="284">
        <v>2025</v>
      </c>
      <c r="C2216" s="284" t="s">
        <v>1024</v>
      </c>
      <c r="D2216" s="284" t="s">
        <v>1027</v>
      </c>
      <c r="E2216" s="284" t="s">
        <v>1014</v>
      </c>
      <c r="F2216" s="113" t="s">
        <v>906</v>
      </c>
    </row>
    <row r="2217" spans="1:6" ht="14.25" customHeight="1">
      <c r="A2217" s="285" t="s">
        <v>831</v>
      </c>
      <c r="B2217" s="285">
        <v>2025</v>
      </c>
      <c r="C2217" s="285" t="s">
        <v>1024</v>
      </c>
      <c r="D2217" s="285" t="s">
        <v>1027</v>
      </c>
      <c r="E2217" s="285" t="s">
        <v>952</v>
      </c>
      <c r="F2217" s="113" t="s">
        <v>906</v>
      </c>
    </row>
    <row r="2218" spans="1:6" ht="14.25" customHeight="1">
      <c r="A2218" s="284" t="s">
        <v>831</v>
      </c>
      <c r="B2218" s="284">
        <v>2025</v>
      </c>
      <c r="C2218" s="284" t="s">
        <v>1024</v>
      </c>
      <c r="D2218" s="284" t="s">
        <v>1027</v>
      </c>
      <c r="E2218" s="284" t="s">
        <v>953</v>
      </c>
      <c r="F2218" s="113" t="s">
        <v>906</v>
      </c>
    </row>
    <row r="2219" spans="1:6" ht="14.25" customHeight="1">
      <c r="A2219" s="285" t="s">
        <v>831</v>
      </c>
      <c r="B2219" s="285">
        <v>2025</v>
      </c>
      <c r="C2219" s="285" t="s">
        <v>1024</v>
      </c>
      <c r="D2219" s="285" t="s">
        <v>1027</v>
      </c>
      <c r="E2219" s="285" t="s">
        <v>991</v>
      </c>
      <c r="F2219" s="113" t="s">
        <v>906</v>
      </c>
    </row>
    <row r="2220" spans="1:6" ht="14.25" customHeight="1">
      <c r="A2220" s="284" t="s">
        <v>831</v>
      </c>
      <c r="B2220" s="284">
        <v>2025</v>
      </c>
      <c r="C2220" s="284" t="s">
        <v>1024</v>
      </c>
      <c r="D2220" s="284" t="s">
        <v>1027</v>
      </c>
      <c r="E2220" s="284" t="s">
        <v>981</v>
      </c>
      <c r="F2220" s="113" t="s">
        <v>906</v>
      </c>
    </row>
    <row r="2221" spans="1:6" ht="14.25" customHeight="1">
      <c r="A2221" s="285" t="s">
        <v>831</v>
      </c>
      <c r="B2221" s="285">
        <v>2025</v>
      </c>
      <c r="C2221" s="285" t="s">
        <v>1024</v>
      </c>
      <c r="D2221" s="285" t="s">
        <v>1027</v>
      </c>
      <c r="E2221" s="285" t="s">
        <v>1028</v>
      </c>
      <c r="F2221" s="113" t="s">
        <v>906</v>
      </c>
    </row>
    <row r="2222" spans="1:6" ht="14.25" customHeight="1">
      <c r="A2222" s="284" t="s">
        <v>831</v>
      </c>
      <c r="B2222" s="284">
        <v>2025</v>
      </c>
      <c r="C2222" s="284" t="s">
        <v>1024</v>
      </c>
      <c r="D2222" s="284" t="s">
        <v>1027</v>
      </c>
      <c r="E2222" s="284" t="s">
        <v>930</v>
      </c>
      <c r="F2222" s="113" t="s">
        <v>906</v>
      </c>
    </row>
    <row r="2223" spans="1:6" ht="14.25" customHeight="1">
      <c r="A2223" s="285" t="s">
        <v>831</v>
      </c>
      <c r="B2223" s="285">
        <v>2025</v>
      </c>
      <c r="C2223" s="285" t="s">
        <v>1024</v>
      </c>
      <c r="D2223" s="285" t="s">
        <v>1027</v>
      </c>
      <c r="E2223" s="285" t="s">
        <v>952</v>
      </c>
      <c r="F2223" s="113" t="s">
        <v>906</v>
      </c>
    </row>
    <row r="2224" spans="1:6" ht="14.25" customHeight="1">
      <c r="A2224" s="284" t="s">
        <v>831</v>
      </c>
      <c r="B2224" s="284">
        <v>2025</v>
      </c>
      <c r="C2224" s="284" t="s">
        <v>1024</v>
      </c>
      <c r="D2224" s="284" t="s">
        <v>1027</v>
      </c>
      <c r="E2224" s="284" t="s">
        <v>1036</v>
      </c>
      <c r="F2224" s="113" t="s">
        <v>906</v>
      </c>
    </row>
    <row r="2225" spans="1:6" ht="14.25" customHeight="1">
      <c r="A2225" s="285" t="s">
        <v>831</v>
      </c>
      <c r="B2225" s="285">
        <v>2025</v>
      </c>
      <c r="C2225" s="285" t="s">
        <v>1024</v>
      </c>
      <c r="D2225" s="285" t="s">
        <v>1027</v>
      </c>
      <c r="E2225" s="285" t="s">
        <v>1134</v>
      </c>
      <c r="F2225" s="113" t="s">
        <v>911</v>
      </c>
    </row>
    <row r="2226" spans="1:6" ht="14.25" customHeight="1">
      <c r="A2226" s="284" t="s">
        <v>831</v>
      </c>
      <c r="B2226" s="284">
        <v>2025</v>
      </c>
      <c r="C2226" s="284" t="s">
        <v>1024</v>
      </c>
      <c r="D2226" s="284" t="s">
        <v>1025</v>
      </c>
      <c r="E2226" s="284" t="s">
        <v>952</v>
      </c>
      <c r="F2226" s="113" t="s">
        <v>906</v>
      </c>
    </row>
    <row r="2227" spans="1:6" ht="14.25" customHeight="1">
      <c r="A2227" s="285" t="s">
        <v>831</v>
      </c>
      <c r="B2227" s="285">
        <v>2025</v>
      </c>
      <c r="C2227" s="285" t="s">
        <v>1024</v>
      </c>
      <c r="D2227" s="285" t="s">
        <v>1025</v>
      </c>
      <c r="E2227" s="285" t="s">
        <v>1213</v>
      </c>
      <c r="F2227" s="113" t="s">
        <v>906</v>
      </c>
    </row>
    <row r="2228" spans="1:6" ht="14.25" customHeight="1">
      <c r="A2228" s="284" t="s">
        <v>831</v>
      </c>
      <c r="B2228" s="284">
        <v>2025</v>
      </c>
      <c r="C2228" s="284" t="s">
        <v>1024</v>
      </c>
      <c r="D2228" s="284" t="s">
        <v>1025</v>
      </c>
      <c r="E2228" s="284" t="s">
        <v>2</v>
      </c>
      <c r="F2228" s="113" t="s">
        <v>663</v>
      </c>
    </row>
    <row r="2229" spans="1:6" ht="14.25" customHeight="1">
      <c r="A2229" s="285" t="s">
        <v>832</v>
      </c>
      <c r="B2229" s="285">
        <v>2025</v>
      </c>
      <c r="C2229" s="285" t="s">
        <v>821</v>
      </c>
      <c r="D2229" s="285" t="s">
        <v>132</v>
      </c>
      <c r="E2229" s="285" t="s">
        <v>1214</v>
      </c>
      <c r="F2229" s="113" t="s">
        <v>909</v>
      </c>
    </row>
    <row r="2230" spans="1:6" ht="14.25" customHeight="1">
      <c r="A2230" s="284" t="s">
        <v>832</v>
      </c>
      <c r="B2230" s="284">
        <v>2025</v>
      </c>
      <c r="C2230" s="284" t="s">
        <v>821</v>
      </c>
      <c r="D2230" s="284" t="s">
        <v>132</v>
      </c>
      <c r="E2230" s="284" t="s">
        <v>944</v>
      </c>
      <c r="F2230" s="113" t="s">
        <v>913</v>
      </c>
    </row>
    <row r="2231" spans="1:6" ht="14.25" customHeight="1">
      <c r="A2231" s="285" t="s">
        <v>832</v>
      </c>
      <c r="B2231" s="285">
        <v>2025</v>
      </c>
      <c r="C2231" s="285" t="s">
        <v>821</v>
      </c>
      <c r="D2231" s="285" t="s">
        <v>132</v>
      </c>
      <c r="E2231" s="285" t="s">
        <v>2</v>
      </c>
      <c r="F2231" s="113" t="s">
        <v>924</v>
      </c>
    </row>
    <row r="2232" spans="1:6" ht="14.25" customHeight="1">
      <c r="A2232" s="284" t="s">
        <v>832</v>
      </c>
      <c r="B2232" s="284">
        <v>2025</v>
      </c>
      <c r="C2232" s="284" t="s">
        <v>821</v>
      </c>
      <c r="D2232" s="284" t="s">
        <v>132</v>
      </c>
      <c r="E2232" s="284" t="s">
        <v>1066</v>
      </c>
      <c r="F2232" s="113" t="s">
        <v>935</v>
      </c>
    </row>
    <row r="2233" spans="1:6" ht="14.25" customHeight="1">
      <c r="A2233" s="285" t="s">
        <v>832</v>
      </c>
      <c r="B2233" s="285">
        <v>2025</v>
      </c>
      <c r="C2233" s="285" t="s">
        <v>821</v>
      </c>
      <c r="D2233" s="285" t="s">
        <v>1033</v>
      </c>
      <c r="E2233" s="285" t="s">
        <v>968</v>
      </c>
      <c r="F2233" s="113" t="s">
        <v>915</v>
      </c>
    </row>
    <row r="2234" spans="1:6" ht="14.25" customHeight="1">
      <c r="A2234" s="284" t="s">
        <v>832</v>
      </c>
      <c r="B2234" s="284">
        <v>2025</v>
      </c>
      <c r="C2234" s="284" t="s">
        <v>821</v>
      </c>
      <c r="D2234" s="284" t="s">
        <v>1033</v>
      </c>
      <c r="E2234" s="284" t="s">
        <v>2</v>
      </c>
      <c r="F2234" s="113" t="s">
        <v>918</v>
      </c>
    </row>
    <row r="2235" spans="1:6" ht="14.25" customHeight="1">
      <c r="A2235" s="285" t="s">
        <v>832</v>
      </c>
      <c r="B2235" s="285">
        <v>2025</v>
      </c>
      <c r="C2235" s="285" t="s">
        <v>821</v>
      </c>
      <c r="D2235" s="285" t="s">
        <v>216</v>
      </c>
      <c r="E2235" s="113" t="s">
        <v>2</v>
      </c>
      <c r="F2235" s="113" t="s">
        <v>935</v>
      </c>
    </row>
    <row r="2236" spans="1:6" ht="14.25" customHeight="1">
      <c r="A2236" s="284" t="s">
        <v>832</v>
      </c>
      <c r="B2236" s="284">
        <v>2025</v>
      </c>
      <c r="C2236" s="284" t="s">
        <v>821</v>
      </c>
      <c r="D2236" s="284" t="s">
        <v>976</v>
      </c>
      <c r="E2236" s="284" t="s">
        <v>1213</v>
      </c>
      <c r="F2236" s="113" t="s">
        <v>906</v>
      </c>
    </row>
    <row r="2237" spans="1:6" ht="14.25" customHeight="1">
      <c r="A2237" s="285" t="s">
        <v>832</v>
      </c>
      <c r="B2237" s="285">
        <v>2025</v>
      </c>
      <c r="C2237" s="285" t="s">
        <v>821</v>
      </c>
      <c r="D2237" s="285" t="s">
        <v>976</v>
      </c>
      <c r="E2237" s="285" t="s">
        <v>1036</v>
      </c>
      <c r="F2237" s="113" t="s">
        <v>906</v>
      </c>
    </row>
    <row r="2238" spans="1:6" ht="14.25" customHeight="1">
      <c r="A2238" s="284" t="s">
        <v>832</v>
      </c>
      <c r="B2238" s="284">
        <v>2025</v>
      </c>
      <c r="C2238" s="284" t="s">
        <v>821</v>
      </c>
      <c r="D2238" s="284" t="s">
        <v>976</v>
      </c>
      <c r="E2238" s="284" t="s">
        <v>1178</v>
      </c>
      <c r="F2238" s="113" t="s">
        <v>483</v>
      </c>
    </row>
    <row r="2239" spans="1:6" ht="14.25" customHeight="1">
      <c r="A2239" s="285" t="s">
        <v>832</v>
      </c>
      <c r="B2239" s="285">
        <v>2025</v>
      </c>
      <c r="C2239" s="285" t="s">
        <v>821</v>
      </c>
      <c r="D2239" s="285" t="s">
        <v>976</v>
      </c>
      <c r="E2239" s="285" t="s">
        <v>2</v>
      </c>
      <c r="F2239" s="113" t="s">
        <v>483</v>
      </c>
    </row>
    <row r="2240" spans="1:6" ht="14.25" customHeight="1">
      <c r="A2240" s="284" t="s">
        <v>832</v>
      </c>
      <c r="B2240" s="284">
        <v>2025</v>
      </c>
      <c r="C2240" s="284" t="s">
        <v>821</v>
      </c>
      <c r="D2240" s="284" t="s">
        <v>976</v>
      </c>
      <c r="E2240" s="284" t="s">
        <v>1076</v>
      </c>
      <c r="F2240" s="113" t="s">
        <v>483</v>
      </c>
    </row>
    <row r="2241" spans="1:6" ht="14.25" customHeight="1">
      <c r="A2241" s="285" t="s">
        <v>832</v>
      </c>
      <c r="B2241" s="285">
        <v>2025</v>
      </c>
      <c r="C2241" s="285" t="s">
        <v>821</v>
      </c>
      <c r="D2241" s="285" t="s">
        <v>976</v>
      </c>
      <c r="E2241" s="285" t="s">
        <v>1102</v>
      </c>
      <c r="F2241" s="113" t="s">
        <v>909</v>
      </c>
    </row>
    <row r="2242" spans="1:6" ht="14.25" customHeight="1">
      <c r="A2242" s="284" t="s">
        <v>832</v>
      </c>
      <c r="B2242" s="284">
        <v>2025</v>
      </c>
      <c r="C2242" s="284" t="s">
        <v>821</v>
      </c>
      <c r="D2242" s="284" t="s">
        <v>976</v>
      </c>
      <c r="E2242" s="284" t="s">
        <v>1079</v>
      </c>
      <c r="F2242" s="113" t="s">
        <v>915</v>
      </c>
    </row>
    <row r="2243" spans="1:6" ht="14.25" customHeight="1">
      <c r="A2243" s="285" t="s">
        <v>832</v>
      </c>
      <c r="B2243" s="285">
        <v>2025</v>
      </c>
      <c r="C2243" s="285" t="s">
        <v>821</v>
      </c>
      <c r="D2243" s="285" t="s">
        <v>976</v>
      </c>
      <c r="E2243" s="285" t="s">
        <v>968</v>
      </c>
      <c r="F2243" s="113" t="s">
        <v>915</v>
      </c>
    </row>
    <row r="2244" spans="1:6" ht="14.25" customHeight="1">
      <c r="A2244" s="284" t="s">
        <v>832</v>
      </c>
      <c r="B2244" s="284">
        <v>2025</v>
      </c>
      <c r="C2244" s="284" t="s">
        <v>821</v>
      </c>
      <c r="D2244" s="284" t="s">
        <v>976</v>
      </c>
      <c r="E2244" s="284" t="s">
        <v>1088</v>
      </c>
      <c r="F2244" s="113" t="s">
        <v>915</v>
      </c>
    </row>
    <row r="2245" spans="1:6" ht="14.25" customHeight="1">
      <c r="A2245" s="285" t="s">
        <v>832</v>
      </c>
      <c r="B2245" s="285">
        <v>2025</v>
      </c>
      <c r="C2245" s="285" t="s">
        <v>821</v>
      </c>
      <c r="D2245" s="285" t="s">
        <v>976</v>
      </c>
      <c r="E2245" s="285" t="s">
        <v>936</v>
      </c>
      <c r="F2245" s="113" t="s">
        <v>783</v>
      </c>
    </row>
    <row r="2246" spans="1:6" ht="14.25" customHeight="1">
      <c r="A2246" s="284" t="s">
        <v>832</v>
      </c>
      <c r="B2246" s="284">
        <v>2025</v>
      </c>
      <c r="C2246" s="284" t="s">
        <v>821</v>
      </c>
      <c r="D2246" s="284" t="s">
        <v>976</v>
      </c>
      <c r="E2246" s="284" t="s">
        <v>1215</v>
      </c>
      <c r="F2246" s="113" t="s">
        <v>922</v>
      </c>
    </row>
    <row r="2247" spans="1:6" ht="14.25" customHeight="1">
      <c r="A2247" s="285" t="s">
        <v>832</v>
      </c>
      <c r="B2247" s="285">
        <v>2025</v>
      </c>
      <c r="C2247" s="285" t="s">
        <v>821</v>
      </c>
      <c r="D2247" s="285" t="s">
        <v>976</v>
      </c>
      <c r="E2247" s="285" t="s">
        <v>1066</v>
      </c>
      <c r="F2247" s="113" t="s">
        <v>935</v>
      </c>
    </row>
    <row r="2248" spans="1:6" ht="14.25" customHeight="1">
      <c r="A2248" s="284" t="s">
        <v>832</v>
      </c>
      <c r="B2248" s="284">
        <v>2025</v>
      </c>
      <c r="C2248" s="284" t="s">
        <v>821</v>
      </c>
      <c r="D2248" s="284" t="s">
        <v>931</v>
      </c>
      <c r="E2248" s="284" t="s">
        <v>954</v>
      </c>
      <c r="F2248" s="113" t="s">
        <v>906</v>
      </c>
    </row>
    <row r="2249" spans="1:6" ht="14.25" customHeight="1">
      <c r="A2249" s="285" t="s">
        <v>832</v>
      </c>
      <c r="B2249" s="285">
        <v>2025</v>
      </c>
      <c r="C2249" s="285" t="s">
        <v>821</v>
      </c>
      <c r="D2249" s="285" t="s">
        <v>931</v>
      </c>
      <c r="E2249" s="285" t="s">
        <v>1052</v>
      </c>
      <c r="F2249" s="113" t="s">
        <v>909</v>
      </c>
    </row>
    <row r="2250" spans="1:6" ht="14.25" customHeight="1">
      <c r="A2250" s="284" t="s">
        <v>832</v>
      </c>
      <c r="B2250" s="284">
        <v>2025</v>
      </c>
      <c r="C2250" s="284" t="s">
        <v>821</v>
      </c>
      <c r="D2250" s="284" t="s">
        <v>931</v>
      </c>
      <c r="E2250" s="284" t="s">
        <v>1214</v>
      </c>
      <c r="F2250" s="113" t="s">
        <v>909</v>
      </c>
    </row>
    <row r="2251" spans="1:6" ht="14.25" customHeight="1">
      <c r="A2251" s="285" t="s">
        <v>832</v>
      </c>
      <c r="B2251" s="285">
        <v>2025</v>
      </c>
      <c r="C2251" s="285" t="s">
        <v>821</v>
      </c>
      <c r="D2251" s="285" t="s">
        <v>931</v>
      </c>
      <c r="E2251" s="285" t="s">
        <v>970</v>
      </c>
      <c r="F2251" s="113" t="s">
        <v>915</v>
      </c>
    </row>
    <row r="2252" spans="1:6" ht="14.25" customHeight="1">
      <c r="A2252" s="284" t="s">
        <v>832</v>
      </c>
      <c r="B2252" s="284">
        <v>2025</v>
      </c>
      <c r="C2252" s="284" t="s">
        <v>821</v>
      </c>
      <c r="D2252" s="284" t="s">
        <v>931</v>
      </c>
      <c r="E2252" s="284" t="s">
        <v>968</v>
      </c>
      <c r="F2252" s="113" t="s">
        <v>915</v>
      </c>
    </row>
    <row r="2253" spans="1:6" ht="14.25" customHeight="1">
      <c r="A2253" s="285" t="s">
        <v>832</v>
      </c>
      <c r="B2253" s="285">
        <v>2025</v>
      </c>
      <c r="C2253" s="285" t="s">
        <v>821</v>
      </c>
      <c r="D2253" s="285" t="s">
        <v>931</v>
      </c>
      <c r="E2253" s="285" t="s">
        <v>945</v>
      </c>
      <c r="F2253" s="113" t="s">
        <v>917</v>
      </c>
    </row>
    <row r="2254" spans="1:6" ht="14.25" customHeight="1">
      <c r="A2254" s="284" t="s">
        <v>832</v>
      </c>
      <c r="B2254" s="284">
        <v>2025</v>
      </c>
      <c r="C2254" s="284" t="s">
        <v>821</v>
      </c>
      <c r="D2254" s="284" t="s">
        <v>931</v>
      </c>
      <c r="E2254" s="284" t="s">
        <v>2</v>
      </c>
      <c r="F2254" s="113" t="s">
        <v>917</v>
      </c>
    </row>
    <row r="2255" spans="1:6" ht="14.25" customHeight="1">
      <c r="A2255" s="285" t="s">
        <v>832</v>
      </c>
      <c r="B2255" s="285">
        <v>2025</v>
      </c>
      <c r="C2255" s="285" t="s">
        <v>821</v>
      </c>
      <c r="D2255" s="285" t="s">
        <v>931</v>
      </c>
      <c r="E2255" s="285" t="s">
        <v>950</v>
      </c>
      <c r="F2255" s="113" t="s">
        <v>783</v>
      </c>
    </row>
    <row r="2256" spans="1:6" ht="14.25" customHeight="1">
      <c r="A2256" s="284" t="s">
        <v>832</v>
      </c>
      <c r="B2256" s="284">
        <v>2025</v>
      </c>
      <c r="C2256" s="284" t="s">
        <v>821</v>
      </c>
      <c r="D2256" s="284" t="s">
        <v>934</v>
      </c>
      <c r="E2256" s="284" t="s">
        <v>944</v>
      </c>
      <c r="F2256" s="113" t="s">
        <v>906</v>
      </c>
    </row>
    <row r="2257" spans="1:6" ht="14.25" customHeight="1">
      <c r="A2257" s="285" t="s">
        <v>832</v>
      </c>
      <c r="B2257" s="285">
        <v>2025</v>
      </c>
      <c r="C2257" s="285" t="s">
        <v>821</v>
      </c>
      <c r="D2257" s="285" t="s">
        <v>934</v>
      </c>
      <c r="E2257" s="285" t="s">
        <v>944</v>
      </c>
      <c r="F2257" s="113" t="s">
        <v>906</v>
      </c>
    </row>
    <row r="2258" spans="1:6" ht="14.25" customHeight="1">
      <c r="A2258" s="284" t="s">
        <v>832</v>
      </c>
      <c r="B2258" s="284">
        <v>2025</v>
      </c>
      <c r="C2258" s="284" t="s">
        <v>821</v>
      </c>
      <c r="D2258" s="284" t="s">
        <v>934</v>
      </c>
      <c r="E2258" s="284" t="s">
        <v>1028</v>
      </c>
      <c r="F2258" s="113" t="s">
        <v>906</v>
      </c>
    </row>
    <row r="2259" spans="1:6" ht="14.25" customHeight="1">
      <c r="A2259" s="285" t="s">
        <v>832</v>
      </c>
      <c r="B2259" s="285">
        <v>2025</v>
      </c>
      <c r="C2259" s="285" t="s">
        <v>821</v>
      </c>
      <c r="D2259" s="285" t="s">
        <v>934</v>
      </c>
      <c r="E2259" s="285" t="s">
        <v>1120</v>
      </c>
      <c r="F2259" s="113" t="s">
        <v>483</v>
      </c>
    </row>
    <row r="2260" spans="1:6" ht="14.25" customHeight="1">
      <c r="A2260" s="284" t="s">
        <v>832</v>
      </c>
      <c r="B2260" s="284">
        <v>2025</v>
      </c>
      <c r="C2260" s="284" t="s">
        <v>821</v>
      </c>
      <c r="D2260" s="284" t="s">
        <v>934</v>
      </c>
      <c r="E2260" s="284" t="s">
        <v>961</v>
      </c>
      <c r="F2260" s="113" t="s">
        <v>663</v>
      </c>
    </row>
    <row r="2261" spans="1:6" ht="14.25" customHeight="1">
      <c r="A2261" s="285" t="s">
        <v>832</v>
      </c>
      <c r="B2261" s="285">
        <v>2025</v>
      </c>
      <c r="C2261" s="285" t="s">
        <v>821</v>
      </c>
      <c r="D2261" s="285" t="s">
        <v>934</v>
      </c>
      <c r="E2261" s="285" t="s">
        <v>967</v>
      </c>
      <c r="F2261" s="113" t="s">
        <v>915</v>
      </c>
    </row>
    <row r="2262" spans="1:6" ht="14.25" customHeight="1">
      <c r="A2262" s="284" t="s">
        <v>832</v>
      </c>
      <c r="B2262" s="284">
        <v>2025</v>
      </c>
      <c r="C2262" s="284" t="s">
        <v>821</v>
      </c>
      <c r="D2262" s="284" t="s">
        <v>934</v>
      </c>
      <c r="E2262" s="284" t="s">
        <v>1216</v>
      </c>
      <c r="F2262" s="113" t="s">
        <v>915</v>
      </c>
    </row>
    <row r="2263" spans="1:6" ht="14.25" customHeight="1">
      <c r="A2263" s="285" t="s">
        <v>832</v>
      </c>
      <c r="B2263" s="285">
        <v>2025</v>
      </c>
      <c r="C2263" s="285" t="s">
        <v>821</v>
      </c>
      <c r="D2263" s="285" t="s">
        <v>934</v>
      </c>
      <c r="E2263" s="285" t="s">
        <v>968</v>
      </c>
      <c r="F2263" s="113" t="s">
        <v>915</v>
      </c>
    </row>
    <row r="2264" spans="1:6" ht="14.25" customHeight="1">
      <c r="A2264" s="284" t="s">
        <v>832</v>
      </c>
      <c r="B2264" s="284">
        <v>2025</v>
      </c>
      <c r="C2264" s="284" t="s">
        <v>821</v>
      </c>
      <c r="D2264" s="284" t="s">
        <v>934</v>
      </c>
      <c r="E2264" s="284" t="s">
        <v>1009</v>
      </c>
      <c r="F2264" s="113" t="s">
        <v>917</v>
      </c>
    </row>
    <row r="2265" spans="1:6" ht="14.25" customHeight="1">
      <c r="A2265" s="285" t="s">
        <v>832</v>
      </c>
      <c r="B2265" s="285">
        <v>2025</v>
      </c>
      <c r="C2265" s="285" t="s">
        <v>821</v>
      </c>
      <c r="D2265" s="285" t="s">
        <v>934</v>
      </c>
      <c r="E2265" s="285" t="s">
        <v>936</v>
      </c>
      <c r="F2265" s="113" t="s">
        <v>783</v>
      </c>
    </row>
    <row r="2266" spans="1:6" ht="14.25" customHeight="1">
      <c r="A2266" s="284" t="s">
        <v>832</v>
      </c>
      <c r="B2266" s="284">
        <v>2025</v>
      </c>
      <c r="C2266" s="284" t="s">
        <v>821</v>
      </c>
      <c r="D2266" s="284" t="s">
        <v>934</v>
      </c>
      <c r="E2266" s="284" t="s">
        <v>1001</v>
      </c>
      <c r="F2266" s="113" t="s">
        <v>783</v>
      </c>
    </row>
    <row r="2267" spans="1:6" ht="14.25" customHeight="1">
      <c r="A2267" s="285" t="s">
        <v>832</v>
      </c>
      <c r="B2267" s="285">
        <v>2025</v>
      </c>
      <c r="C2267" s="285" t="s">
        <v>821</v>
      </c>
      <c r="D2267" s="285" t="s">
        <v>934</v>
      </c>
      <c r="E2267" s="285" t="s">
        <v>2</v>
      </c>
      <c r="F2267" s="113" t="s">
        <v>922</v>
      </c>
    </row>
    <row r="2268" spans="1:6" ht="14.25" customHeight="1">
      <c r="A2268" s="284" t="s">
        <v>832</v>
      </c>
      <c r="B2268" s="284">
        <v>2025</v>
      </c>
      <c r="C2268" s="284" t="s">
        <v>88</v>
      </c>
      <c r="D2268" s="284" t="s">
        <v>959</v>
      </c>
      <c r="E2268" s="284" t="s">
        <v>953</v>
      </c>
      <c r="F2268" s="113" t="s">
        <v>906</v>
      </c>
    </row>
    <row r="2269" spans="1:6" ht="14.25" customHeight="1">
      <c r="A2269" s="285" t="s">
        <v>832</v>
      </c>
      <c r="B2269" s="285">
        <v>2025</v>
      </c>
      <c r="C2269" s="285" t="s">
        <v>88</v>
      </c>
      <c r="D2269" s="285" t="s">
        <v>959</v>
      </c>
      <c r="E2269" s="285" t="s">
        <v>1041</v>
      </c>
      <c r="F2269" s="113" t="s">
        <v>906</v>
      </c>
    </row>
    <row r="2270" spans="1:6" ht="14.25" customHeight="1">
      <c r="A2270" s="284" t="s">
        <v>832</v>
      </c>
      <c r="B2270" s="284">
        <v>2025</v>
      </c>
      <c r="C2270" s="284" t="s">
        <v>88</v>
      </c>
      <c r="D2270" s="284" t="s">
        <v>959</v>
      </c>
      <c r="E2270" s="284" t="s">
        <v>952</v>
      </c>
      <c r="F2270" s="113" t="s">
        <v>906</v>
      </c>
    </row>
    <row r="2271" spans="1:6" ht="14.25" customHeight="1">
      <c r="A2271" s="285" t="s">
        <v>832</v>
      </c>
      <c r="B2271" s="285">
        <v>2025</v>
      </c>
      <c r="C2271" s="285" t="s">
        <v>88</v>
      </c>
      <c r="D2271" s="285" t="s">
        <v>959</v>
      </c>
      <c r="E2271" s="285" t="s">
        <v>1159</v>
      </c>
      <c r="F2271" s="113" t="s">
        <v>483</v>
      </c>
    </row>
    <row r="2272" spans="1:6" ht="14.25" customHeight="1">
      <c r="A2272" s="284" t="s">
        <v>832</v>
      </c>
      <c r="B2272" s="284">
        <v>2025</v>
      </c>
      <c r="C2272" s="284" t="s">
        <v>88</v>
      </c>
      <c r="D2272" s="284" t="s">
        <v>959</v>
      </c>
      <c r="E2272" s="284" t="s">
        <v>1153</v>
      </c>
      <c r="F2272" s="113" t="s">
        <v>483</v>
      </c>
    </row>
    <row r="2273" spans="1:6" ht="14.25" customHeight="1">
      <c r="A2273" s="285" t="s">
        <v>832</v>
      </c>
      <c r="B2273" s="285">
        <v>2025</v>
      </c>
      <c r="C2273" s="285" t="s">
        <v>88</v>
      </c>
      <c r="D2273" s="285" t="s">
        <v>959</v>
      </c>
      <c r="E2273" s="285" t="s">
        <v>1008</v>
      </c>
      <c r="F2273" s="113" t="s">
        <v>913</v>
      </c>
    </row>
    <row r="2274" spans="1:6" ht="14.25" customHeight="1">
      <c r="A2274" s="284" t="s">
        <v>832</v>
      </c>
      <c r="B2274" s="284">
        <v>2025</v>
      </c>
      <c r="C2274" s="284" t="s">
        <v>88</v>
      </c>
      <c r="D2274" s="284" t="s">
        <v>959</v>
      </c>
      <c r="E2274" s="284" t="s">
        <v>964</v>
      </c>
      <c r="F2274" s="113" t="s">
        <v>913</v>
      </c>
    </row>
    <row r="2275" spans="1:6" ht="14.25" customHeight="1">
      <c r="A2275" s="285" t="s">
        <v>832</v>
      </c>
      <c r="B2275" s="285">
        <v>2025</v>
      </c>
      <c r="C2275" s="285" t="s">
        <v>88</v>
      </c>
      <c r="D2275" s="285" t="s">
        <v>959</v>
      </c>
      <c r="E2275" s="285" t="s">
        <v>1031</v>
      </c>
      <c r="F2275" s="113" t="s">
        <v>913</v>
      </c>
    </row>
    <row r="2276" spans="1:6" ht="14.25" customHeight="1">
      <c r="A2276" s="284" t="s">
        <v>832</v>
      </c>
      <c r="B2276" s="284">
        <v>2025</v>
      </c>
      <c r="C2276" s="284" t="s">
        <v>88</v>
      </c>
      <c r="D2276" s="284" t="s">
        <v>959</v>
      </c>
      <c r="E2276" s="284" t="s">
        <v>1031</v>
      </c>
      <c r="F2276" s="113" t="s">
        <v>913</v>
      </c>
    </row>
    <row r="2277" spans="1:6" ht="14.25" customHeight="1">
      <c r="A2277" s="285" t="s">
        <v>832</v>
      </c>
      <c r="B2277" s="285">
        <v>2025</v>
      </c>
      <c r="C2277" s="285" t="s">
        <v>88</v>
      </c>
      <c r="D2277" s="285" t="s">
        <v>959</v>
      </c>
      <c r="E2277" s="285" t="s">
        <v>1079</v>
      </c>
      <c r="F2277" s="113" t="s">
        <v>915</v>
      </c>
    </row>
    <row r="2278" spans="1:6" ht="14.25" customHeight="1">
      <c r="A2278" s="284" t="s">
        <v>832</v>
      </c>
      <c r="B2278" s="284">
        <v>2025</v>
      </c>
      <c r="C2278" s="284" t="s">
        <v>88</v>
      </c>
      <c r="D2278" s="284" t="s">
        <v>959</v>
      </c>
      <c r="E2278" s="284" t="s">
        <v>1009</v>
      </c>
      <c r="F2278" s="113" t="s">
        <v>917</v>
      </c>
    </row>
    <row r="2279" spans="1:6" ht="14.25" customHeight="1">
      <c r="A2279" s="285" t="s">
        <v>832</v>
      </c>
      <c r="B2279" s="285">
        <v>2025</v>
      </c>
      <c r="C2279" s="285" t="s">
        <v>88</v>
      </c>
      <c r="D2279" s="285" t="s">
        <v>959</v>
      </c>
      <c r="E2279" s="285" t="s">
        <v>2</v>
      </c>
      <c r="F2279" s="113" t="s">
        <v>935</v>
      </c>
    </row>
    <row r="2280" spans="1:6" ht="14.25" customHeight="1">
      <c r="A2280" s="284" t="s">
        <v>832</v>
      </c>
      <c r="B2280" s="284">
        <v>2025</v>
      </c>
      <c r="C2280" s="284" t="s">
        <v>88</v>
      </c>
      <c r="D2280" s="284" t="s">
        <v>988</v>
      </c>
      <c r="E2280" s="284" t="s">
        <v>1041</v>
      </c>
      <c r="F2280" s="113" t="s">
        <v>906</v>
      </c>
    </row>
    <row r="2281" spans="1:6" ht="14.25" customHeight="1">
      <c r="A2281" s="285" t="s">
        <v>832</v>
      </c>
      <c r="B2281" s="285">
        <v>2025</v>
      </c>
      <c r="C2281" s="285" t="s">
        <v>88</v>
      </c>
      <c r="D2281" s="285" t="s">
        <v>988</v>
      </c>
      <c r="E2281" s="285" t="s">
        <v>1075</v>
      </c>
      <c r="F2281" s="113" t="s">
        <v>483</v>
      </c>
    </row>
    <row r="2282" spans="1:6" ht="14.25" customHeight="1">
      <c r="A2282" s="284" t="s">
        <v>832</v>
      </c>
      <c r="B2282" s="284">
        <v>2025</v>
      </c>
      <c r="C2282" s="284" t="s">
        <v>88</v>
      </c>
      <c r="D2282" s="284" t="s">
        <v>988</v>
      </c>
      <c r="E2282" s="284" t="s">
        <v>1076</v>
      </c>
      <c r="F2282" s="113" t="s">
        <v>483</v>
      </c>
    </row>
    <row r="2283" spans="1:6" ht="14.25" customHeight="1">
      <c r="A2283" s="285" t="s">
        <v>832</v>
      </c>
      <c r="B2283" s="285">
        <v>2025</v>
      </c>
      <c r="C2283" s="285" t="s">
        <v>88</v>
      </c>
      <c r="D2283" s="285" t="s">
        <v>988</v>
      </c>
      <c r="E2283" s="285" t="s">
        <v>1077</v>
      </c>
      <c r="F2283" s="113" t="s">
        <v>483</v>
      </c>
    </row>
    <row r="2284" spans="1:6" ht="14.25" customHeight="1">
      <c r="A2284" s="284" t="s">
        <v>832</v>
      </c>
      <c r="B2284" s="284">
        <v>2025</v>
      </c>
      <c r="C2284" s="284" t="s">
        <v>88</v>
      </c>
      <c r="D2284" s="284" t="s">
        <v>988</v>
      </c>
      <c r="E2284" s="284" t="s">
        <v>994</v>
      </c>
      <c r="F2284" s="113" t="s">
        <v>663</v>
      </c>
    </row>
    <row r="2285" spans="1:6" ht="14.25" customHeight="1">
      <c r="A2285" s="285" t="s">
        <v>832</v>
      </c>
      <c r="B2285" s="285">
        <v>2025</v>
      </c>
      <c r="C2285" s="285" t="s">
        <v>88</v>
      </c>
      <c r="D2285" s="285" t="s">
        <v>988</v>
      </c>
      <c r="E2285" s="285" t="s">
        <v>1087</v>
      </c>
      <c r="F2285" s="113" t="s">
        <v>663</v>
      </c>
    </row>
    <row r="2286" spans="1:6" ht="14.25" customHeight="1">
      <c r="A2286" s="284" t="s">
        <v>832</v>
      </c>
      <c r="B2286" s="284">
        <v>2025</v>
      </c>
      <c r="C2286" s="284" t="s">
        <v>88</v>
      </c>
      <c r="D2286" s="284" t="s">
        <v>988</v>
      </c>
      <c r="E2286" s="284" t="s">
        <v>961</v>
      </c>
      <c r="F2286" s="113" t="s">
        <v>663</v>
      </c>
    </row>
    <row r="2287" spans="1:6" ht="14.25" customHeight="1">
      <c r="A2287" s="285" t="s">
        <v>832</v>
      </c>
      <c r="B2287" s="285">
        <v>2025</v>
      </c>
      <c r="C2287" s="285" t="s">
        <v>88</v>
      </c>
      <c r="D2287" s="285" t="s">
        <v>988</v>
      </c>
      <c r="E2287" s="285" t="s">
        <v>961</v>
      </c>
      <c r="F2287" s="113" t="s">
        <v>663</v>
      </c>
    </row>
    <row r="2288" spans="1:6" ht="14.25" customHeight="1">
      <c r="A2288" s="284" t="s">
        <v>832</v>
      </c>
      <c r="B2288" s="284">
        <v>2025</v>
      </c>
      <c r="C2288" s="284" t="s">
        <v>88</v>
      </c>
      <c r="D2288" s="284" t="s">
        <v>988</v>
      </c>
      <c r="E2288" s="284" t="s">
        <v>961</v>
      </c>
      <c r="F2288" s="113" t="s">
        <v>663</v>
      </c>
    </row>
    <row r="2289" spans="1:6" ht="14.25" customHeight="1">
      <c r="A2289" s="285" t="s">
        <v>832</v>
      </c>
      <c r="B2289" s="285">
        <v>2025</v>
      </c>
      <c r="C2289" s="285" t="s">
        <v>88</v>
      </c>
      <c r="D2289" s="285" t="s">
        <v>988</v>
      </c>
      <c r="E2289" s="285" t="s">
        <v>1079</v>
      </c>
      <c r="F2289" s="113" t="s">
        <v>915</v>
      </c>
    </row>
    <row r="2290" spans="1:6" ht="14.25" customHeight="1">
      <c r="A2290" s="284" t="s">
        <v>832</v>
      </c>
      <c r="B2290" s="284">
        <v>2025</v>
      </c>
      <c r="C2290" s="284" t="s">
        <v>88</v>
      </c>
      <c r="D2290" s="284" t="s">
        <v>988</v>
      </c>
      <c r="E2290" s="284" t="s">
        <v>968</v>
      </c>
      <c r="F2290" s="113" t="s">
        <v>915</v>
      </c>
    </row>
    <row r="2291" spans="1:6" ht="14.25" customHeight="1">
      <c r="A2291" s="285" t="s">
        <v>832</v>
      </c>
      <c r="B2291" s="285">
        <v>2025</v>
      </c>
      <c r="C2291" s="285" t="s">
        <v>88</v>
      </c>
      <c r="D2291" s="285" t="s">
        <v>988</v>
      </c>
      <c r="E2291" s="285" t="s">
        <v>968</v>
      </c>
      <c r="F2291" s="113" t="s">
        <v>915</v>
      </c>
    </row>
    <row r="2292" spans="1:6" ht="14.25" customHeight="1">
      <c r="A2292" s="284" t="s">
        <v>832</v>
      </c>
      <c r="B2292" s="284">
        <v>2025</v>
      </c>
      <c r="C2292" s="284" t="s">
        <v>88</v>
      </c>
      <c r="D2292" s="284" t="s">
        <v>988</v>
      </c>
      <c r="E2292" s="284" t="s">
        <v>1057</v>
      </c>
      <c r="F2292" s="113" t="s">
        <v>915</v>
      </c>
    </row>
    <row r="2293" spans="1:6" ht="14.25" customHeight="1">
      <c r="A2293" s="285" t="s">
        <v>832</v>
      </c>
      <c r="B2293" s="285">
        <v>2025</v>
      </c>
      <c r="C2293" s="285" t="s">
        <v>88</v>
      </c>
      <c r="D2293" s="285" t="s">
        <v>988</v>
      </c>
      <c r="E2293" s="285" t="s">
        <v>2</v>
      </c>
      <c r="F2293" s="113" t="s">
        <v>918</v>
      </c>
    </row>
    <row r="2294" spans="1:6" ht="14.25" customHeight="1">
      <c r="A2294" s="284" t="s">
        <v>832</v>
      </c>
      <c r="B2294" s="284">
        <v>2025</v>
      </c>
      <c r="C2294" s="284" t="s">
        <v>88</v>
      </c>
      <c r="D2294" s="284" t="s">
        <v>956</v>
      </c>
      <c r="E2294" s="284" t="s">
        <v>981</v>
      </c>
      <c r="F2294" s="113" t="s">
        <v>906</v>
      </c>
    </row>
    <row r="2295" spans="1:6" ht="14.25" customHeight="1">
      <c r="A2295" s="285" t="s">
        <v>832</v>
      </c>
      <c r="B2295" s="285">
        <v>2025</v>
      </c>
      <c r="C2295" s="285" t="s">
        <v>88</v>
      </c>
      <c r="D2295" s="285" t="s">
        <v>956</v>
      </c>
      <c r="E2295" s="285" t="s">
        <v>981</v>
      </c>
      <c r="F2295" s="113" t="s">
        <v>906</v>
      </c>
    </row>
    <row r="2296" spans="1:6" ht="14.25" customHeight="1">
      <c r="A2296" s="284" t="s">
        <v>832</v>
      </c>
      <c r="B2296" s="284">
        <v>2025</v>
      </c>
      <c r="C2296" s="284" t="s">
        <v>88</v>
      </c>
      <c r="D2296" s="284" t="s">
        <v>956</v>
      </c>
      <c r="E2296" s="284" t="s">
        <v>954</v>
      </c>
      <c r="F2296" s="113" t="s">
        <v>906</v>
      </c>
    </row>
    <row r="2297" spans="1:6" ht="14.25" customHeight="1">
      <c r="A2297" s="285" t="s">
        <v>832</v>
      </c>
      <c r="B2297" s="285">
        <v>2025</v>
      </c>
      <c r="C2297" s="285" t="s">
        <v>88</v>
      </c>
      <c r="D2297" s="285" t="s">
        <v>956</v>
      </c>
      <c r="E2297" s="285" t="s">
        <v>981</v>
      </c>
      <c r="F2297" s="113" t="s">
        <v>906</v>
      </c>
    </row>
    <row r="2298" spans="1:6" ht="14.25" customHeight="1">
      <c r="A2298" s="284" t="s">
        <v>832</v>
      </c>
      <c r="B2298" s="284">
        <v>2025</v>
      </c>
      <c r="C2298" s="284" t="s">
        <v>88</v>
      </c>
      <c r="D2298" s="284" t="s">
        <v>956</v>
      </c>
      <c r="E2298" s="284" t="s">
        <v>1076</v>
      </c>
      <c r="F2298" s="113" t="s">
        <v>483</v>
      </c>
    </row>
    <row r="2299" spans="1:6" ht="14.25" customHeight="1">
      <c r="A2299" s="285" t="s">
        <v>832</v>
      </c>
      <c r="B2299" s="285">
        <v>2025</v>
      </c>
      <c r="C2299" s="285" t="s">
        <v>88</v>
      </c>
      <c r="D2299" s="285" t="s">
        <v>956</v>
      </c>
      <c r="E2299" s="285" t="s">
        <v>965</v>
      </c>
      <c r="F2299" s="113" t="s">
        <v>911</v>
      </c>
    </row>
    <row r="2300" spans="1:6" ht="14.25" customHeight="1">
      <c r="A2300" s="284" t="s">
        <v>832</v>
      </c>
      <c r="B2300" s="284">
        <v>2025</v>
      </c>
      <c r="C2300" s="284" t="s">
        <v>88</v>
      </c>
      <c r="D2300" s="284" t="s">
        <v>956</v>
      </c>
      <c r="E2300" s="284" t="s">
        <v>1086</v>
      </c>
      <c r="F2300" s="113" t="s">
        <v>911</v>
      </c>
    </row>
    <row r="2301" spans="1:6" ht="14.25" customHeight="1">
      <c r="A2301" s="285" t="s">
        <v>832</v>
      </c>
      <c r="B2301" s="285">
        <v>2025</v>
      </c>
      <c r="C2301" s="285" t="s">
        <v>88</v>
      </c>
      <c r="D2301" s="285" t="s">
        <v>956</v>
      </c>
      <c r="E2301" s="285" t="s">
        <v>1086</v>
      </c>
      <c r="F2301" s="113" t="s">
        <v>911</v>
      </c>
    </row>
    <row r="2302" spans="1:6" ht="14.25" customHeight="1">
      <c r="A2302" s="284" t="s">
        <v>832</v>
      </c>
      <c r="B2302" s="284">
        <v>2025</v>
      </c>
      <c r="C2302" s="284" t="s">
        <v>88</v>
      </c>
      <c r="D2302" s="284" t="s">
        <v>956</v>
      </c>
      <c r="E2302" s="284" t="s">
        <v>1031</v>
      </c>
      <c r="F2302" s="113" t="s">
        <v>913</v>
      </c>
    </row>
    <row r="2303" spans="1:6" ht="14.25" customHeight="1">
      <c r="A2303" s="285" t="s">
        <v>832</v>
      </c>
      <c r="B2303" s="285">
        <v>2025</v>
      </c>
      <c r="C2303" s="285" t="s">
        <v>88</v>
      </c>
      <c r="D2303" s="285" t="s">
        <v>956</v>
      </c>
      <c r="E2303" s="285" t="s">
        <v>982</v>
      </c>
      <c r="F2303" s="113" t="s">
        <v>663</v>
      </c>
    </row>
    <row r="2304" spans="1:6" ht="14.25" customHeight="1">
      <c r="A2304" s="284" t="s">
        <v>832</v>
      </c>
      <c r="B2304" s="284">
        <v>2025</v>
      </c>
      <c r="C2304" s="284" t="s">
        <v>88</v>
      </c>
      <c r="D2304" s="284" t="s">
        <v>956</v>
      </c>
      <c r="E2304" s="284" t="s">
        <v>1079</v>
      </c>
      <c r="F2304" s="113" t="s">
        <v>915</v>
      </c>
    </row>
    <row r="2305" spans="1:6" ht="14.25" customHeight="1">
      <c r="A2305" s="285" t="s">
        <v>832</v>
      </c>
      <c r="B2305" s="285">
        <v>2025</v>
      </c>
      <c r="C2305" s="285" t="s">
        <v>88</v>
      </c>
      <c r="D2305" s="285" t="s">
        <v>956</v>
      </c>
      <c r="E2305" s="285" t="s">
        <v>968</v>
      </c>
      <c r="F2305" s="113" t="s">
        <v>915</v>
      </c>
    </row>
    <row r="2306" spans="1:6" ht="14.25" customHeight="1">
      <c r="A2306" s="284" t="s">
        <v>832</v>
      </c>
      <c r="B2306" s="284">
        <v>2025</v>
      </c>
      <c r="C2306" s="284" t="s">
        <v>88</v>
      </c>
      <c r="D2306" s="284" t="s">
        <v>956</v>
      </c>
      <c r="E2306" s="284" t="s">
        <v>1009</v>
      </c>
      <c r="F2306" s="113" t="s">
        <v>917</v>
      </c>
    </row>
    <row r="2307" spans="1:6" ht="14.25" customHeight="1">
      <c r="A2307" s="285" t="s">
        <v>832</v>
      </c>
      <c r="B2307" s="285">
        <v>2025</v>
      </c>
      <c r="C2307" s="285" t="s">
        <v>88</v>
      </c>
      <c r="D2307" s="285" t="s">
        <v>956</v>
      </c>
      <c r="E2307" s="285" t="s">
        <v>1009</v>
      </c>
      <c r="F2307" s="113" t="s">
        <v>917</v>
      </c>
    </row>
    <row r="2308" spans="1:6" ht="14.25" customHeight="1">
      <c r="A2308" s="284" t="s">
        <v>832</v>
      </c>
      <c r="B2308" s="284">
        <v>2025</v>
      </c>
      <c r="C2308" s="284" t="s">
        <v>88</v>
      </c>
      <c r="D2308" s="284" t="s">
        <v>956</v>
      </c>
      <c r="E2308" s="284" t="s">
        <v>1083</v>
      </c>
      <c r="F2308" s="113" t="s">
        <v>783</v>
      </c>
    </row>
    <row r="2309" spans="1:6" ht="14.25" customHeight="1">
      <c r="A2309" s="285" t="s">
        <v>832</v>
      </c>
      <c r="B2309" s="285">
        <v>2025</v>
      </c>
      <c r="C2309" s="285" t="s">
        <v>88</v>
      </c>
      <c r="D2309" s="285" t="s">
        <v>956</v>
      </c>
      <c r="E2309" s="285" t="s">
        <v>950</v>
      </c>
      <c r="F2309" s="113" t="s">
        <v>783</v>
      </c>
    </row>
    <row r="2310" spans="1:6" ht="14.25" customHeight="1">
      <c r="A2310" s="284" t="s">
        <v>832</v>
      </c>
      <c r="B2310" s="284">
        <v>2025</v>
      </c>
      <c r="C2310" s="284" t="s">
        <v>88</v>
      </c>
      <c r="D2310" s="284" t="s">
        <v>956</v>
      </c>
      <c r="E2310" s="284" t="s">
        <v>955</v>
      </c>
      <c r="F2310" s="113" t="s">
        <v>922</v>
      </c>
    </row>
    <row r="2311" spans="1:6" ht="14.25" customHeight="1">
      <c r="A2311" s="285" t="s">
        <v>832</v>
      </c>
      <c r="B2311" s="285">
        <v>2025</v>
      </c>
      <c r="C2311" s="285" t="s">
        <v>88</v>
      </c>
      <c r="D2311" s="285" t="s">
        <v>956</v>
      </c>
      <c r="E2311" s="285" t="s">
        <v>1066</v>
      </c>
      <c r="F2311" s="113" t="s">
        <v>935</v>
      </c>
    </row>
    <row r="2312" spans="1:6" ht="14.25" customHeight="1">
      <c r="A2312" s="284" t="s">
        <v>832</v>
      </c>
      <c r="B2312" s="284">
        <v>2025</v>
      </c>
      <c r="C2312" s="284" t="s">
        <v>88</v>
      </c>
      <c r="D2312" s="284" t="s">
        <v>958</v>
      </c>
      <c r="E2312" s="284" t="s">
        <v>1076</v>
      </c>
      <c r="F2312" s="113" t="s">
        <v>483</v>
      </c>
    </row>
    <row r="2313" spans="1:6" ht="14.25" customHeight="1">
      <c r="A2313" s="285" t="s">
        <v>832</v>
      </c>
      <c r="B2313" s="285">
        <v>2025</v>
      </c>
      <c r="C2313" s="285" t="s">
        <v>88</v>
      </c>
      <c r="D2313" s="285" t="s">
        <v>958</v>
      </c>
      <c r="E2313" s="285" t="s">
        <v>2</v>
      </c>
      <c r="F2313" s="113" t="s">
        <v>483</v>
      </c>
    </row>
    <row r="2314" spans="1:6" ht="14.25" customHeight="1">
      <c r="A2314" s="284" t="s">
        <v>832</v>
      </c>
      <c r="B2314" s="284">
        <v>2025</v>
      </c>
      <c r="C2314" s="284" t="s">
        <v>88</v>
      </c>
      <c r="D2314" s="284" t="s">
        <v>958</v>
      </c>
      <c r="E2314" s="284" t="s">
        <v>1053</v>
      </c>
      <c r="F2314" s="113" t="s">
        <v>909</v>
      </c>
    </row>
    <row r="2315" spans="1:6" ht="14.25" customHeight="1">
      <c r="A2315" s="285" t="s">
        <v>832</v>
      </c>
      <c r="B2315" s="285">
        <v>2025</v>
      </c>
      <c r="C2315" s="285" t="s">
        <v>88</v>
      </c>
      <c r="D2315" s="285" t="s">
        <v>958</v>
      </c>
      <c r="E2315" s="285" t="s">
        <v>944</v>
      </c>
      <c r="F2315" s="113" t="s">
        <v>917</v>
      </c>
    </row>
    <row r="2316" spans="1:6" ht="14.25" customHeight="1">
      <c r="A2316" s="284" t="s">
        <v>832</v>
      </c>
      <c r="B2316" s="284">
        <v>2025</v>
      </c>
      <c r="C2316" s="284" t="s">
        <v>88</v>
      </c>
      <c r="D2316" s="284" t="s">
        <v>958</v>
      </c>
      <c r="E2316" s="113" t="s">
        <v>2</v>
      </c>
      <c r="F2316" s="113" t="s">
        <v>935</v>
      </c>
    </row>
    <row r="2317" spans="1:6" ht="14.25" customHeight="1">
      <c r="A2317" s="285" t="s">
        <v>832</v>
      </c>
      <c r="B2317" s="285">
        <v>2025</v>
      </c>
      <c r="C2317" s="285" t="s">
        <v>88</v>
      </c>
      <c r="D2317" s="285" t="s">
        <v>969</v>
      </c>
      <c r="E2317" s="285" t="s">
        <v>1041</v>
      </c>
      <c r="F2317" s="113" t="s">
        <v>906</v>
      </c>
    </row>
    <row r="2318" spans="1:6" ht="14.25" customHeight="1">
      <c r="A2318" s="284" t="s">
        <v>832</v>
      </c>
      <c r="B2318" s="284">
        <v>2025</v>
      </c>
      <c r="C2318" s="284" t="s">
        <v>88</v>
      </c>
      <c r="D2318" s="284" t="s">
        <v>969</v>
      </c>
      <c r="E2318" s="284" t="s">
        <v>1036</v>
      </c>
      <c r="F2318" s="113" t="s">
        <v>906</v>
      </c>
    </row>
    <row r="2319" spans="1:6" ht="14.25" customHeight="1">
      <c r="A2319" s="285" t="s">
        <v>832</v>
      </c>
      <c r="B2319" s="285">
        <v>2025</v>
      </c>
      <c r="C2319" s="285" t="s">
        <v>88</v>
      </c>
      <c r="D2319" s="285" t="s">
        <v>969</v>
      </c>
      <c r="E2319" s="285" t="s">
        <v>986</v>
      </c>
      <c r="F2319" s="113" t="s">
        <v>906</v>
      </c>
    </row>
    <row r="2320" spans="1:6" ht="14.25" customHeight="1">
      <c r="A2320" s="284" t="s">
        <v>832</v>
      </c>
      <c r="B2320" s="284">
        <v>2025</v>
      </c>
      <c r="C2320" s="284" t="s">
        <v>88</v>
      </c>
      <c r="D2320" s="284" t="s">
        <v>969</v>
      </c>
      <c r="E2320" s="284" t="s">
        <v>1017</v>
      </c>
      <c r="F2320" s="113" t="s">
        <v>909</v>
      </c>
    </row>
    <row r="2321" spans="1:6" ht="14.25" customHeight="1">
      <c r="A2321" s="285" t="s">
        <v>832</v>
      </c>
      <c r="B2321" s="285">
        <v>2025</v>
      </c>
      <c r="C2321" s="285" t="s">
        <v>88</v>
      </c>
      <c r="D2321" s="285" t="s">
        <v>969</v>
      </c>
      <c r="E2321" s="285" t="s">
        <v>941</v>
      </c>
      <c r="F2321" s="113" t="s">
        <v>663</v>
      </c>
    </row>
    <row r="2322" spans="1:6" ht="14.25" customHeight="1">
      <c r="A2322" s="284" t="s">
        <v>832</v>
      </c>
      <c r="B2322" s="284">
        <v>2025</v>
      </c>
      <c r="C2322" s="284" t="s">
        <v>88</v>
      </c>
      <c r="D2322" s="284" t="s">
        <v>969</v>
      </c>
      <c r="E2322" s="284" t="s">
        <v>938</v>
      </c>
      <c r="F2322" s="113" t="s">
        <v>663</v>
      </c>
    </row>
    <row r="2323" spans="1:6" ht="14.25" customHeight="1">
      <c r="A2323" s="285" t="s">
        <v>832</v>
      </c>
      <c r="B2323" s="285">
        <v>2025</v>
      </c>
      <c r="C2323" s="285" t="s">
        <v>88</v>
      </c>
      <c r="D2323" s="285" t="s">
        <v>969</v>
      </c>
      <c r="E2323" s="285" t="s">
        <v>961</v>
      </c>
      <c r="F2323" s="113" t="s">
        <v>663</v>
      </c>
    </row>
    <row r="2324" spans="1:6" ht="14.25" customHeight="1">
      <c r="A2324" s="284" t="s">
        <v>832</v>
      </c>
      <c r="B2324" s="284">
        <v>2025</v>
      </c>
      <c r="C2324" s="284" t="s">
        <v>88</v>
      </c>
      <c r="D2324" s="284" t="s">
        <v>969</v>
      </c>
      <c r="E2324" s="284" t="s">
        <v>1173</v>
      </c>
      <c r="F2324" s="113" t="s">
        <v>915</v>
      </c>
    </row>
    <row r="2325" spans="1:6" ht="14.25" customHeight="1">
      <c r="A2325" s="285" t="s">
        <v>832</v>
      </c>
      <c r="B2325" s="285">
        <v>2025</v>
      </c>
      <c r="C2325" s="285" t="s">
        <v>88</v>
      </c>
      <c r="D2325" s="285" t="s">
        <v>969</v>
      </c>
      <c r="E2325" s="285" t="s">
        <v>1106</v>
      </c>
      <c r="F2325" s="113" t="s">
        <v>915</v>
      </c>
    </row>
    <row r="2326" spans="1:6" ht="14.25" customHeight="1">
      <c r="A2326" s="284" t="s">
        <v>832</v>
      </c>
      <c r="B2326" s="284">
        <v>2025</v>
      </c>
      <c r="C2326" s="284" t="s">
        <v>88</v>
      </c>
      <c r="D2326" s="284" t="s">
        <v>969</v>
      </c>
      <c r="E2326" s="284" t="s">
        <v>981</v>
      </c>
      <c r="F2326" s="113" t="s">
        <v>915</v>
      </c>
    </row>
    <row r="2327" spans="1:6" ht="14.25" customHeight="1">
      <c r="A2327" s="285" t="s">
        <v>832</v>
      </c>
      <c r="B2327" s="285">
        <v>2025</v>
      </c>
      <c r="C2327" s="285" t="s">
        <v>88</v>
      </c>
      <c r="D2327" s="285" t="s">
        <v>969</v>
      </c>
      <c r="E2327" s="285" t="s">
        <v>1009</v>
      </c>
      <c r="F2327" s="113" t="s">
        <v>917</v>
      </c>
    </row>
    <row r="2328" spans="1:6" ht="14.25" customHeight="1">
      <c r="A2328" s="284" t="s">
        <v>832</v>
      </c>
      <c r="B2328" s="284">
        <v>2025</v>
      </c>
      <c r="C2328" s="284" t="s">
        <v>88</v>
      </c>
      <c r="D2328" s="284" t="s">
        <v>969</v>
      </c>
      <c r="E2328" s="284" t="s">
        <v>1085</v>
      </c>
      <c r="F2328" s="113" t="s">
        <v>917</v>
      </c>
    </row>
    <row r="2329" spans="1:6" ht="14.25" customHeight="1">
      <c r="A2329" s="285" t="s">
        <v>832</v>
      </c>
      <c r="B2329" s="285">
        <v>2025</v>
      </c>
      <c r="C2329" s="285" t="s">
        <v>88</v>
      </c>
      <c r="D2329" s="285" t="s">
        <v>969</v>
      </c>
      <c r="E2329" s="285" t="s">
        <v>1217</v>
      </c>
      <c r="F2329" s="113" t="s">
        <v>917</v>
      </c>
    </row>
    <row r="2330" spans="1:6" ht="14.25" customHeight="1">
      <c r="A2330" s="284" t="s">
        <v>832</v>
      </c>
      <c r="B2330" s="284">
        <v>2025</v>
      </c>
      <c r="C2330" s="284" t="s">
        <v>88</v>
      </c>
      <c r="D2330" s="284" t="s">
        <v>969</v>
      </c>
      <c r="E2330" s="113" t="s">
        <v>2</v>
      </c>
      <c r="F2330" s="113" t="s">
        <v>935</v>
      </c>
    </row>
    <row r="2331" spans="1:6" ht="14.25" customHeight="1">
      <c r="A2331" s="285" t="s">
        <v>832</v>
      </c>
      <c r="B2331" s="285">
        <v>2025</v>
      </c>
      <c r="C2331" s="285" t="s">
        <v>88</v>
      </c>
      <c r="D2331" s="285" t="s">
        <v>969</v>
      </c>
      <c r="E2331" s="113" t="s">
        <v>2</v>
      </c>
      <c r="F2331" s="113" t="s">
        <v>935</v>
      </c>
    </row>
    <row r="2332" spans="1:6" ht="14.25" customHeight="1">
      <c r="A2332" s="284" t="s">
        <v>832</v>
      </c>
      <c r="B2332" s="284">
        <v>2025</v>
      </c>
      <c r="C2332" s="284" t="s">
        <v>88</v>
      </c>
      <c r="D2332" s="284" t="s">
        <v>969</v>
      </c>
      <c r="E2332" s="284" t="s">
        <v>1062</v>
      </c>
      <c r="F2332" s="113" t="s">
        <v>922</v>
      </c>
    </row>
    <row r="2333" spans="1:6" ht="14.25" customHeight="1">
      <c r="A2333" s="285" t="s">
        <v>832</v>
      </c>
      <c r="B2333" s="285">
        <v>2025</v>
      </c>
      <c r="C2333" s="285" t="s">
        <v>859</v>
      </c>
      <c r="D2333" s="285" t="s">
        <v>1005</v>
      </c>
      <c r="E2333" s="285" t="s">
        <v>991</v>
      </c>
      <c r="F2333" s="113" t="s">
        <v>906</v>
      </c>
    </row>
    <row r="2334" spans="1:6" ht="14.25" customHeight="1">
      <c r="A2334" s="284" t="s">
        <v>832</v>
      </c>
      <c r="B2334" s="284">
        <v>2025</v>
      </c>
      <c r="C2334" s="284" t="s">
        <v>859</v>
      </c>
      <c r="D2334" s="284" t="s">
        <v>1005</v>
      </c>
      <c r="E2334" s="284" t="s">
        <v>1091</v>
      </c>
      <c r="F2334" s="113" t="s">
        <v>783</v>
      </c>
    </row>
    <row r="2335" spans="1:6" ht="14.25" customHeight="1">
      <c r="A2335" s="285" t="s">
        <v>832</v>
      </c>
      <c r="B2335" s="285">
        <v>2025</v>
      </c>
      <c r="C2335" s="285" t="s">
        <v>859</v>
      </c>
      <c r="D2335" s="285" t="s">
        <v>1005</v>
      </c>
      <c r="E2335" s="285" t="s">
        <v>1060</v>
      </c>
      <c r="F2335" s="113" t="s">
        <v>922</v>
      </c>
    </row>
    <row r="2336" spans="1:6" ht="14.25" customHeight="1">
      <c r="A2336" s="284" t="s">
        <v>832</v>
      </c>
      <c r="B2336" s="284">
        <v>2025</v>
      </c>
      <c r="C2336" s="284" t="s">
        <v>859</v>
      </c>
      <c r="D2336" s="284" t="s">
        <v>999</v>
      </c>
      <c r="E2336" s="284" t="s">
        <v>1040</v>
      </c>
      <c r="F2336" s="113" t="s">
        <v>906</v>
      </c>
    </row>
    <row r="2337" spans="1:6" ht="14.25" customHeight="1">
      <c r="A2337" s="285" t="s">
        <v>832</v>
      </c>
      <c r="B2337" s="285">
        <v>2025</v>
      </c>
      <c r="C2337" s="285" t="s">
        <v>859</v>
      </c>
      <c r="D2337" s="285" t="s">
        <v>999</v>
      </c>
      <c r="E2337" s="285" t="s">
        <v>1014</v>
      </c>
      <c r="F2337" s="113" t="s">
        <v>906</v>
      </c>
    </row>
    <row r="2338" spans="1:6" ht="14.25" customHeight="1">
      <c r="A2338" s="284" t="s">
        <v>832</v>
      </c>
      <c r="B2338" s="284">
        <v>2025</v>
      </c>
      <c r="C2338" s="284" t="s">
        <v>859</v>
      </c>
      <c r="D2338" s="284" t="s">
        <v>999</v>
      </c>
      <c r="E2338" s="284" t="s">
        <v>953</v>
      </c>
      <c r="F2338" s="113" t="s">
        <v>906</v>
      </c>
    </row>
    <row r="2339" spans="1:6" ht="14.25" customHeight="1">
      <c r="A2339" s="285" t="s">
        <v>832</v>
      </c>
      <c r="B2339" s="285">
        <v>2025</v>
      </c>
      <c r="C2339" s="285" t="s">
        <v>859</v>
      </c>
      <c r="D2339" s="285" t="s">
        <v>999</v>
      </c>
      <c r="E2339" s="285" t="s">
        <v>1014</v>
      </c>
      <c r="F2339" s="113" t="s">
        <v>906</v>
      </c>
    </row>
    <row r="2340" spans="1:6" ht="14.25" customHeight="1">
      <c r="A2340" s="284" t="s">
        <v>832</v>
      </c>
      <c r="B2340" s="284">
        <v>2025</v>
      </c>
      <c r="C2340" s="284" t="s">
        <v>859</v>
      </c>
      <c r="D2340" s="284" t="s">
        <v>999</v>
      </c>
      <c r="E2340" s="284" t="s">
        <v>1050</v>
      </c>
      <c r="F2340" s="113" t="s">
        <v>483</v>
      </c>
    </row>
    <row r="2341" spans="1:6" ht="14.25" customHeight="1">
      <c r="A2341" s="285" t="s">
        <v>832</v>
      </c>
      <c r="B2341" s="285">
        <v>2025</v>
      </c>
      <c r="C2341" s="285" t="s">
        <v>859</v>
      </c>
      <c r="D2341" s="285" t="s">
        <v>999</v>
      </c>
      <c r="E2341" s="285" t="s">
        <v>1069</v>
      </c>
      <c r="F2341" s="113" t="s">
        <v>915</v>
      </c>
    </row>
    <row r="2342" spans="1:6" ht="14.25" customHeight="1">
      <c r="A2342" s="284" t="s">
        <v>832</v>
      </c>
      <c r="B2342" s="284">
        <v>2025</v>
      </c>
      <c r="C2342" s="284" t="s">
        <v>859</v>
      </c>
      <c r="D2342" s="284" t="s">
        <v>999</v>
      </c>
      <c r="E2342" s="284" t="s">
        <v>1100</v>
      </c>
      <c r="F2342" s="113" t="s">
        <v>935</v>
      </c>
    </row>
    <row r="2343" spans="1:6" ht="14.25" customHeight="1">
      <c r="A2343" s="285" t="s">
        <v>832</v>
      </c>
      <c r="B2343" s="285">
        <v>2025</v>
      </c>
      <c r="C2343" s="285" t="s">
        <v>859</v>
      </c>
      <c r="D2343" s="285" t="s">
        <v>998</v>
      </c>
      <c r="E2343" s="285" t="s">
        <v>954</v>
      </c>
      <c r="F2343" s="113" t="s">
        <v>906</v>
      </c>
    </row>
    <row r="2344" spans="1:6" ht="14.25" customHeight="1">
      <c r="A2344" s="284" t="s">
        <v>832</v>
      </c>
      <c r="B2344" s="284">
        <v>2025</v>
      </c>
      <c r="C2344" s="284" t="s">
        <v>859</v>
      </c>
      <c r="D2344" s="284" t="s">
        <v>998</v>
      </c>
      <c r="E2344" s="284" t="s">
        <v>1014</v>
      </c>
      <c r="F2344" s="113" t="s">
        <v>906</v>
      </c>
    </row>
    <row r="2345" spans="1:6" ht="14.25" customHeight="1">
      <c r="A2345" s="285" t="s">
        <v>832</v>
      </c>
      <c r="B2345" s="285">
        <v>2025</v>
      </c>
      <c r="C2345" s="285" t="s">
        <v>859</v>
      </c>
      <c r="D2345" s="285" t="s">
        <v>998</v>
      </c>
      <c r="E2345" s="285" t="s">
        <v>1014</v>
      </c>
      <c r="F2345" s="113" t="s">
        <v>906</v>
      </c>
    </row>
    <row r="2346" spans="1:6" ht="14.25" customHeight="1">
      <c r="A2346" s="284" t="s">
        <v>832</v>
      </c>
      <c r="B2346" s="284">
        <v>2025</v>
      </c>
      <c r="C2346" s="284" t="s">
        <v>859</v>
      </c>
      <c r="D2346" s="284" t="s">
        <v>998</v>
      </c>
      <c r="E2346" s="284" t="s">
        <v>1041</v>
      </c>
      <c r="F2346" s="113" t="s">
        <v>906</v>
      </c>
    </row>
    <row r="2347" spans="1:6" ht="14.25" customHeight="1">
      <c r="A2347" s="285" t="s">
        <v>832</v>
      </c>
      <c r="B2347" s="285">
        <v>2025</v>
      </c>
      <c r="C2347" s="285" t="s">
        <v>859</v>
      </c>
      <c r="D2347" s="285" t="s">
        <v>998</v>
      </c>
      <c r="E2347" s="285" t="s">
        <v>954</v>
      </c>
      <c r="F2347" s="113" t="s">
        <v>906</v>
      </c>
    </row>
    <row r="2348" spans="1:6" ht="14.25" customHeight="1">
      <c r="A2348" s="284" t="s">
        <v>832</v>
      </c>
      <c r="B2348" s="284">
        <v>2025</v>
      </c>
      <c r="C2348" s="284" t="s">
        <v>859</v>
      </c>
      <c r="D2348" s="284" t="s">
        <v>998</v>
      </c>
      <c r="E2348" s="284" t="s">
        <v>1077</v>
      </c>
      <c r="F2348" s="113" t="s">
        <v>483</v>
      </c>
    </row>
    <row r="2349" spans="1:6" ht="14.25" customHeight="1">
      <c r="A2349" s="285" t="s">
        <v>832</v>
      </c>
      <c r="B2349" s="285">
        <v>2025</v>
      </c>
      <c r="C2349" s="285" t="s">
        <v>859</v>
      </c>
      <c r="D2349" s="285" t="s">
        <v>998</v>
      </c>
      <c r="E2349" s="285" t="s">
        <v>1218</v>
      </c>
      <c r="F2349" s="113" t="s">
        <v>483</v>
      </c>
    </row>
    <row r="2350" spans="1:6" ht="14.25" customHeight="1">
      <c r="A2350" s="284" t="s">
        <v>832</v>
      </c>
      <c r="B2350" s="284">
        <v>2025</v>
      </c>
      <c r="C2350" s="284" t="s">
        <v>859</v>
      </c>
      <c r="D2350" s="284" t="s">
        <v>998</v>
      </c>
      <c r="E2350" s="284" t="s">
        <v>1039</v>
      </c>
      <c r="F2350" s="113" t="s">
        <v>483</v>
      </c>
    </row>
    <row r="2351" spans="1:6" ht="14.25" customHeight="1">
      <c r="A2351" s="285" t="s">
        <v>832</v>
      </c>
      <c r="B2351" s="285">
        <v>2025</v>
      </c>
      <c r="C2351" s="285" t="s">
        <v>859</v>
      </c>
      <c r="D2351" s="285" t="s">
        <v>998</v>
      </c>
      <c r="E2351" s="285" t="s">
        <v>1131</v>
      </c>
      <c r="F2351" s="113" t="s">
        <v>483</v>
      </c>
    </row>
    <row r="2352" spans="1:6" ht="14.25" customHeight="1">
      <c r="A2352" s="284" t="s">
        <v>832</v>
      </c>
      <c r="B2352" s="284">
        <v>2025</v>
      </c>
      <c r="C2352" s="284" t="s">
        <v>859</v>
      </c>
      <c r="D2352" s="284" t="s">
        <v>998</v>
      </c>
      <c r="E2352" s="284" t="s">
        <v>1076</v>
      </c>
      <c r="F2352" s="113" t="s">
        <v>483</v>
      </c>
    </row>
    <row r="2353" spans="1:6" ht="14.25" customHeight="1">
      <c r="A2353" s="285" t="s">
        <v>832</v>
      </c>
      <c r="B2353" s="285">
        <v>2025</v>
      </c>
      <c r="C2353" s="285" t="s">
        <v>859</v>
      </c>
      <c r="D2353" s="285" t="s">
        <v>998</v>
      </c>
      <c r="E2353" s="285" t="s">
        <v>1039</v>
      </c>
      <c r="F2353" s="113" t="s">
        <v>483</v>
      </c>
    </row>
    <row r="2354" spans="1:6" ht="14.25" customHeight="1">
      <c r="A2354" s="284" t="s">
        <v>832</v>
      </c>
      <c r="B2354" s="284">
        <v>2025</v>
      </c>
      <c r="C2354" s="284" t="s">
        <v>859</v>
      </c>
      <c r="D2354" s="284" t="s">
        <v>998</v>
      </c>
      <c r="E2354" s="284" t="s">
        <v>1120</v>
      </c>
      <c r="F2354" s="113" t="s">
        <v>483</v>
      </c>
    </row>
    <row r="2355" spans="1:6" ht="14.25" customHeight="1">
      <c r="A2355" s="285" t="s">
        <v>832</v>
      </c>
      <c r="B2355" s="285">
        <v>2025</v>
      </c>
      <c r="C2355" s="285" t="s">
        <v>859</v>
      </c>
      <c r="D2355" s="285" t="s">
        <v>998</v>
      </c>
      <c r="E2355" s="285" t="s">
        <v>1046</v>
      </c>
      <c r="F2355" s="113" t="s">
        <v>918</v>
      </c>
    </row>
    <row r="2356" spans="1:6" ht="14.25" customHeight="1">
      <c r="A2356" s="284" t="s">
        <v>832</v>
      </c>
      <c r="B2356" s="284">
        <v>2025</v>
      </c>
      <c r="C2356" s="284" t="s">
        <v>859</v>
      </c>
      <c r="D2356" s="284" t="s">
        <v>998</v>
      </c>
      <c r="E2356" s="284" t="s">
        <v>997</v>
      </c>
      <c r="F2356" s="113" t="s">
        <v>935</v>
      </c>
    </row>
    <row r="2357" spans="1:6" ht="14.25" customHeight="1">
      <c r="A2357" s="285" t="s">
        <v>832</v>
      </c>
      <c r="B2357" s="285">
        <v>2025</v>
      </c>
      <c r="C2357" s="285" t="s">
        <v>859</v>
      </c>
      <c r="D2357" s="285" t="s">
        <v>1000</v>
      </c>
      <c r="E2357" s="285" t="s">
        <v>1028</v>
      </c>
      <c r="F2357" s="113" t="s">
        <v>906</v>
      </c>
    </row>
    <row r="2358" spans="1:6" ht="14.25" customHeight="1">
      <c r="A2358" s="284" t="s">
        <v>832</v>
      </c>
      <c r="B2358" s="284">
        <v>2025</v>
      </c>
      <c r="C2358" s="284" t="s">
        <v>859</v>
      </c>
      <c r="D2358" s="284" t="s">
        <v>1000</v>
      </c>
      <c r="E2358" s="284" t="s">
        <v>1139</v>
      </c>
      <c r="F2358" s="113" t="s">
        <v>483</v>
      </c>
    </row>
    <row r="2359" spans="1:6" ht="14.25" customHeight="1">
      <c r="A2359" s="285" t="s">
        <v>832</v>
      </c>
      <c r="B2359" s="285">
        <v>2025</v>
      </c>
      <c r="C2359" s="285" t="s">
        <v>859</v>
      </c>
      <c r="D2359" s="285" t="s">
        <v>1000</v>
      </c>
      <c r="E2359" s="284" t="s">
        <v>1075</v>
      </c>
      <c r="F2359" s="113" t="s">
        <v>483</v>
      </c>
    </row>
    <row r="2360" spans="1:6" ht="14.25" customHeight="1">
      <c r="A2360" s="284" t="s">
        <v>832</v>
      </c>
      <c r="B2360" s="284">
        <v>2025</v>
      </c>
      <c r="C2360" s="284" t="s">
        <v>859</v>
      </c>
      <c r="D2360" s="284" t="s">
        <v>1000</v>
      </c>
      <c r="E2360" s="284" t="s">
        <v>1076</v>
      </c>
      <c r="F2360" s="113" t="s">
        <v>483</v>
      </c>
    </row>
    <row r="2361" spans="1:6" ht="14.25" customHeight="1">
      <c r="A2361" s="285" t="s">
        <v>832</v>
      </c>
      <c r="B2361" s="285">
        <v>2025</v>
      </c>
      <c r="C2361" s="285" t="s">
        <v>859</v>
      </c>
      <c r="D2361" s="285" t="s">
        <v>1000</v>
      </c>
      <c r="E2361" s="285" t="s">
        <v>1039</v>
      </c>
      <c r="F2361" s="113" t="s">
        <v>483</v>
      </c>
    </row>
    <row r="2362" spans="1:6" ht="14.25" customHeight="1">
      <c r="A2362" s="284" t="s">
        <v>832</v>
      </c>
      <c r="B2362" s="284">
        <v>2025</v>
      </c>
      <c r="C2362" s="284" t="s">
        <v>859</v>
      </c>
      <c r="D2362" s="284" t="s">
        <v>1000</v>
      </c>
      <c r="E2362" s="284" t="s">
        <v>1075</v>
      </c>
      <c r="F2362" s="113" t="s">
        <v>483</v>
      </c>
    </row>
    <row r="2363" spans="1:6" ht="14.25" customHeight="1">
      <c r="A2363" s="285" t="s">
        <v>832</v>
      </c>
      <c r="B2363" s="285">
        <v>2025</v>
      </c>
      <c r="C2363" s="285" t="s">
        <v>859</v>
      </c>
      <c r="D2363" s="285" t="s">
        <v>1000</v>
      </c>
      <c r="E2363" s="285" t="s">
        <v>973</v>
      </c>
      <c r="F2363" s="113" t="s">
        <v>917</v>
      </c>
    </row>
    <row r="2364" spans="1:6" ht="14.25" customHeight="1">
      <c r="A2364" s="284" t="s">
        <v>832</v>
      </c>
      <c r="B2364" s="284">
        <v>2025</v>
      </c>
      <c r="C2364" s="284" t="s">
        <v>859</v>
      </c>
      <c r="D2364" s="284" t="s">
        <v>1000</v>
      </c>
      <c r="E2364" s="284" t="s">
        <v>1085</v>
      </c>
      <c r="F2364" s="113" t="s">
        <v>917</v>
      </c>
    </row>
    <row r="2365" spans="1:6" ht="14.25" customHeight="1">
      <c r="A2365" s="285" t="s">
        <v>832</v>
      </c>
      <c r="B2365" s="285">
        <v>2025</v>
      </c>
      <c r="C2365" s="285" t="s">
        <v>859</v>
      </c>
      <c r="D2365" s="285" t="s">
        <v>1000</v>
      </c>
      <c r="E2365" s="285" t="s">
        <v>1009</v>
      </c>
      <c r="F2365" s="113" t="s">
        <v>917</v>
      </c>
    </row>
    <row r="2366" spans="1:6" ht="14.25" customHeight="1">
      <c r="A2366" s="284" t="s">
        <v>832</v>
      </c>
      <c r="B2366" s="284">
        <v>2025</v>
      </c>
      <c r="C2366" s="284" t="s">
        <v>859</v>
      </c>
      <c r="D2366" s="284" t="s">
        <v>1000</v>
      </c>
      <c r="E2366" s="284" t="s">
        <v>1047</v>
      </c>
      <c r="F2366" s="113" t="s">
        <v>924</v>
      </c>
    </row>
    <row r="2367" spans="1:6" ht="14.25" customHeight="1">
      <c r="A2367" s="285" t="s">
        <v>832</v>
      </c>
      <c r="B2367" s="285">
        <v>2025</v>
      </c>
      <c r="C2367" s="285" t="s">
        <v>859</v>
      </c>
      <c r="D2367" s="285" t="s">
        <v>1000</v>
      </c>
      <c r="E2367" s="285" t="s">
        <v>1063</v>
      </c>
      <c r="F2367" s="113" t="s">
        <v>922</v>
      </c>
    </row>
    <row r="2368" spans="1:6" ht="14.25" customHeight="1">
      <c r="A2368" s="284" t="s">
        <v>832</v>
      </c>
      <c r="B2368" s="284">
        <v>2025</v>
      </c>
      <c r="C2368" s="284" t="s">
        <v>859</v>
      </c>
      <c r="D2368" s="284" t="s">
        <v>1000</v>
      </c>
      <c r="E2368" s="284" t="s">
        <v>1066</v>
      </c>
      <c r="F2368" s="113" t="s">
        <v>935</v>
      </c>
    </row>
    <row r="2369" spans="1:6" ht="14.25" customHeight="1">
      <c r="A2369" s="285" t="s">
        <v>832</v>
      </c>
      <c r="B2369" s="285">
        <v>2025</v>
      </c>
      <c r="C2369" s="285" t="s">
        <v>859</v>
      </c>
      <c r="D2369" s="285" t="s">
        <v>1082</v>
      </c>
      <c r="E2369" s="285" t="s">
        <v>951</v>
      </c>
      <c r="F2369" s="113" t="s">
        <v>917</v>
      </c>
    </row>
    <row r="2370" spans="1:6" ht="14.25" customHeight="1">
      <c r="A2370" s="284" t="s">
        <v>832</v>
      </c>
      <c r="B2370" s="284">
        <v>2025</v>
      </c>
      <c r="C2370" s="284" t="s">
        <v>859</v>
      </c>
      <c r="D2370" s="284" t="s">
        <v>1082</v>
      </c>
      <c r="E2370" s="284" t="s">
        <v>979</v>
      </c>
      <c r="F2370" s="113" t="s">
        <v>918</v>
      </c>
    </row>
    <row r="2371" spans="1:6" ht="14.25" customHeight="1">
      <c r="A2371" s="285" t="s">
        <v>832</v>
      </c>
      <c r="B2371" s="285">
        <v>2025</v>
      </c>
      <c r="C2371" s="285" t="s">
        <v>859</v>
      </c>
      <c r="D2371" s="285" t="s">
        <v>1082</v>
      </c>
      <c r="E2371" s="285" t="s">
        <v>949</v>
      </c>
      <c r="F2371" s="113" t="s">
        <v>924</v>
      </c>
    </row>
    <row r="2372" spans="1:6" ht="14.25" customHeight="1">
      <c r="A2372" s="284" t="s">
        <v>832</v>
      </c>
      <c r="B2372" s="284">
        <v>2025</v>
      </c>
      <c r="C2372" s="284" t="s">
        <v>872</v>
      </c>
      <c r="D2372" s="284" t="s">
        <v>1018</v>
      </c>
      <c r="E2372" s="284" t="s">
        <v>951</v>
      </c>
      <c r="F2372" s="113" t="s">
        <v>917</v>
      </c>
    </row>
    <row r="2373" spans="1:6" ht="14.25" customHeight="1">
      <c r="A2373" s="285" t="s">
        <v>832</v>
      </c>
      <c r="B2373" s="285">
        <v>2025</v>
      </c>
      <c r="C2373" s="285" t="s">
        <v>872</v>
      </c>
      <c r="D2373" s="285" t="s">
        <v>1013</v>
      </c>
      <c r="E2373" s="285" t="s">
        <v>991</v>
      </c>
      <c r="F2373" s="113" t="s">
        <v>906</v>
      </c>
    </row>
    <row r="2374" spans="1:6" ht="14.25" customHeight="1">
      <c r="A2374" s="284" t="s">
        <v>832</v>
      </c>
      <c r="B2374" s="284">
        <v>2025</v>
      </c>
      <c r="C2374" s="284" t="s">
        <v>872</v>
      </c>
      <c r="D2374" s="284" t="s">
        <v>1013</v>
      </c>
      <c r="E2374" s="284" t="s">
        <v>1040</v>
      </c>
      <c r="F2374" s="113" t="s">
        <v>906</v>
      </c>
    </row>
    <row r="2375" spans="1:6" ht="14.25" customHeight="1">
      <c r="A2375" s="285" t="s">
        <v>832</v>
      </c>
      <c r="B2375" s="285">
        <v>2025</v>
      </c>
      <c r="C2375" s="285" t="s">
        <v>872</v>
      </c>
      <c r="D2375" s="285" t="s">
        <v>1013</v>
      </c>
      <c r="E2375" s="285" t="s">
        <v>1040</v>
      </c>
      <c r="F2375" s="113" t="s">
        <v>906</v>
      </c>
    </row>
    <row r="2376" spans="1:6" ht="14.25" customHeight="1">
      <c r="A2376" s="284" t="s">
        <v>832</v>
      </c>
      <c r="B2376" s="284">
        <v>2025</v>
      </c>
      <c r="C2376" s="284" t="s">
        <v>872</v>
      </c>
      <c r="D2376" s="284" t="s">
        <v>1013</v>
      </c>
      <c r="E2376" s="284" t="s">
        <v>986</v>
      </c>
      <c r="F2376" s="113" t="s">
        <v>906</v>
      </c>
    </row>
    <row r="2377" spans="1:6" ht="14.25" customHeight="1">
      <c r="A2377" s="285" t="s">
        <v>832</v>
      </c>
      <c r="B2377" s="285">
        <v>2025</v>
      </c>
      <c r="C2377" s="285" t="s">
        <v>872</v>
      </c>
      <c r="D2377" s="285" t="s">
        <v>1013</v>
      </c>
      <c r="E2377" s="285" t="s">
        <v>952</v>
      </c>
      <c r="F2377" s="113" t="s">
        <v>906</v>
      </c>
    </row>
    <row r="2378" spans="1:6" ht="14.25" customHeight="1">
      <c r="A2378" s="284" t="s">
        <v>832</v>
      </c>
      <c r="B2378" s="284">
        <v>2025</v>
      </c>
      <c r="C2378" s="284" t="s">
        <v>872</v>
      </c>
      <c r="D2378" s="284" t="s">
        <v>1013</v>
      </c>
      <c r="E2378" s="284" t="s">
        <v>1036</v>
      </c>
      <c r="F2378" s="113" t="s">
        <v>906</v>
      </c>
    </row>
    <row r="2379" spans="1:6" ht="14.25" customHeight="1">
      <c r="A2379" s="285" t="s">
        <v>832</v>
      </c>
      <c r="B2379" s="285">
        <v>2025</v>
      </c>
      <c r="C2379" s="285" t="s">
        <v>872</v>
      </c>
      <c r="D2379" s="285" t="s">
        <v>1013</v>
      </c>
      <c r="E2379" s="285" t="s">
        <v>954</v>
      </c>
      <c r="F2379" s="113" t="s">
        <v>906</v>
      </c>
    </row>
    <row r="2380" spans="1:6" ht="14.25" customHeight="1">
      <c r="A2380" s="284" t="s">
        <v>832</v>
      </c>
      <c r="B2380" s="284">
        <v>2025</v>
      </c>
      <c r="C2380" s="284" t="s">
        <v>872</v>
      </c>
      <c r="D2380" s="284" t="s">
        <v>1013</v>
      </c>
      <c r="E2380" s="284" t="s">
        <v>952</v>
      </c>
      <c r="F2380" s="113" t="s">
        <v>906</v>
      </c>
    </row>
    <row r="2381" spans="1:6" ht="14.25" customHeight="1">
      <c r="A2381" s="285" t="s">
        <v>832</v>
      </c>
      <c r="B2381" s="285">
        <v>2025</v>
      </c>
      <c r="C2381" s="285" t="s">
        <v>872</v>
      </c>
      <c r="D2381" s="285" t="s">
        <v>1013</v>
      </c>
      <c r="E2381" s="285" t="s">
        <v>1002</v>
      </c>
      <c r="F2381" s="113" t="s">
        <v>483</v>
      </c>
    </row>
    <row r="2382" spans="1:6" ht="14.25" customHeight="1">
      <c r="A2382" s="284" t="s">
        <v>832</v>
      </c>
      <c r="B2382" s="284">
        <v>2025</v>
      </c>
      <c r="C2382" s="284" t="s">
        <v>872</v>
      </c>
      <c r="D2382" s="284" t="s">
        <v>1013</v>
      </c>
      <c r="E2382" s="284" t="s">
        <v>972</v>
      </c>
      <c r="F2382" s="113" t="s">
        <v>911</v>
      </c>
    </row>
    <row r="2383" spans="1:6" ht="14.25" customHeight="1">
      <c r="A2383" s="285" t="s">
        <v>832</v>
      </c>
      <c r="B2383" s="285">
        <v>2025</v>
      </c>
      <c r="C2383" s="285" t="s">
        <v>872</v>
      </c>
      <c r="D2383" s="285" t="s">
        <v>1013</v>
      </c>
      <c r="E2383" s="285" t="s">
        <v>1016</v>
      </c>
      <c r="F2383" s="113" t="s">
        <v>783</v>
      </c>
    </row>
    <row r="2384" spans="1:6" ht="14.25" customHeight="1">
      <c r="A2384" s="284" t="s">
        <v>832</v>
      </c>
      <c r="B2384" s="284">
        <v>2025</v>
      </c>
      <c r="C2384" s="284" t="s">
        <v>872</v>
      </c>
      <c r="D2384" s="284" t="s">
        <v>1013</v>
      </c>
      <c r="E2384" s="113" t="s">
        <v>2</v>
      </c>
      <c r="F2384" s="113" t="s">
        <v>935</v>
      </c>
    </row>
    <row r="2385" spans="1:6" ht="14.25" customHeight="1">
      <c r="A2385" s="285" t="s">
        <v>832</v>
      </c>
      <c r="B2385" s="285">
        <v>2025</v>
      </c>
      <c r="C2385" s="285" t="s">
        <v>872</v>
      </c>
      <c r="D2385" s="285" t="s">
        <v>1013</v>
      </c>
      <c r="E2385" s="285" t="s">
        <v>1059</v>
      </c>
      <c r="F2385" s="113" t="s">
        <v>922</v>
      </c>
    </row>
    <row r="2386" spans="1:6" ht="14.25" customHeight="1">
      <c r="A2386" s="284" t="s">
        <v>832</v>
      </c>
      <c r="B2386" s="284">
        <v>2025</v>
      </c>
      <c r="C2386" s="284" t="s">
        <v>872</v>
      </c>
      <c r="D2386" s="284" t="s">
        <v>1013</v>
      </c>
      <c r="E2386" s="284" t="s">
        <v>1060</v>
      </c>
      <c r="F2386" s="113" t="s">
        <v>922</v>
      </c>
    </row>
    <row r="2387" spans="1:6" ht="14.25" customHeight="1">
      <c r="A2387" s="285" t="s">
        <v>832</v>
      </c>
      <c r="B2387" s="285">
        <v>2025</v>
      </c>
      <c r="C2387" s="285" t="s">
        <v>872</v>
      </c>
      <c r="D2387" s="285" t="s">
        <v>1013</v>
      </c>
      <c r="E2387" s="285" t="s">
        <v>1068</v>
      </c>
      <c r="F2387" s="113" t="s">
        <v>922</v>
      </c>
    </row>
    <row r="2388" spans="1:6" ht="14.25" customHeight="1">
      <c r="A2388" s="284" t="s">
        <v>832</v>
      </c>
      <c r="B2388" s="284">
        <v>2025</v>
      </c>
      <c r="C2388" s="284" t="s">
        <v>872</v>
      </c>
      <c r="D2388" s="284" t="s">
        <v>1012</v>
      </c>
      <c r="E2388" s="284" t="s">
        <v>1102</v>
      </c>
      <c r="F2388" s="113" t="s">
        <v>909</v>
      </c>
    </row>
    <row r="2389" spans="1:6" ht="14.25" customHeight="1">
      <c r="A2389" s="285" t="s">
        <v>832</v>
      </c>
      <c r="B2389" s="285">
        <v>2025</v>
      </c>
      <c r="C2389" s="285" t="s">
        <v>872</v>
      </c>
      <c r="D2389" s="285" t="s">
        <v>1012</v>
      </c>
      <c r="E2389" s="285" t="s">
        <v>1090</v>
      </c>
      <c r="F2389" s="113" t="s">
        <v>935</v>
      </c>
    </row>
    <row r="2390" spans="1:6" ht="14.25" customHeight="1">
      <c r="A2390" s="284" t="s">
        <v>832</v>
      </c>
      <c r="B2390" s="284">
        <v>2025</v>
      </c>
      <c r="C2390" s="284" t="s">
        <v>872</v>
      </c>
      <c r="D2390" s="284" t="s">
        <v>1015</v>
      </c>
      <c r="E2390" s="284" t="s">
        <v>991</v>
      </c>
      <c r="F2390" s="113" t="s">
        <v>906</v>
      </c>
    </row>
    <row r="2391" spans="1:6" ht="14.25" customHeight="1">
      <c r="A2391" s="285" t="s">
        <v>832</v>
      </c>
      <c r="B2391" s="285">
        <v>2025</v>
      </c>
      <c r="C2391" s="285" t="s">
        <v>1024</v>
      </c>
      <c r="D2391" s="285" t="s">
        <v>1029</v>
      </c>
      <c r="E2391" s="285" t="s">
        <v>1079</v>
      </c>
      <c r="F2391" s="113" t="s">
        <v>663</v>
      </c>
    </row>
    <row r="2392" spans="1:6" ht="14.25" customHeight="1">
      <c r="A2392" s="284" t="s">
        <v>832</v>
      </c>
      <c r="B2392" s="284">
        <v>2025</v>
      </c>
      <c r="C2392" s="284" t="s">
        <v>1024</v>
      </c>
      <c r="D2392" s="284" t="s">
        <v>1029</v>
      </c>
      <c r="E2392" s="284" t="s">
        <v>1047</v>
      </c>
      <c r="F2392" s="113" t="s">
        <v>924</v>
      </c>
    </row>
    <row r="2393" spans="1:6" ht="14.25" customHeight="1">
      <c r="A2393" s="285" t="s">
        <v>832</v>
      </c>
      <c r="B2393" s="285">
        <v>2025</v>
      </c>
      <c r="C2393" s="285" t="s">
        <v>1024</v>
      </c>
      <c r="D2393" s="285" t="s">
        <v>1055</v>
      </c>
      <c r="E2393" s="285" t="s">
        <v>1085</v>
      </c>
      <c r="F2393" s="113" t="s">
        <v>917</v>
      </c>
    </row>
    <row r="2394" spans="1:6" ht="14.25" customHeight="1">
      <c r="A2394" s="284" t="s">
        <v>832</v>
      </c>
      <c r="B2394" s="284">
        <v>2025</v>
      </c>
      <c r="C2394" s="284" t="s">
        <v>1024</v>
      </c>
      <c r="D2394" s="284" t="s">
        <v>1027</v>
      </c>
      <c r="E2394" s="284" t="s">
        <v>991</v>
      </c>
      <c r="F2394" s="113" t="s">
        <v>906</v>
      </c>
    </row>
    <row r="2395" spans="1:6" ht="14.25" customHeight="1">
      <c r="A2395" s="285" t="s">
        <v>832</v>
      </c>
      <c r="B2395" s="285">
        <v>2025</v>
      </c>
      <c r="C2395" s="285" t="s">
        <v>1024</v>
      </c>
      <c r="D2395" s="285" t="s">
        <v>1027</v>
      </c>
      <c r="E2395" s="285" t="s">
        <v>1028</v>
      </c>
      <c r="F2395" s="113" t="s">
        <v>906</v>
      </c>
    </row>
    <row r="2396" spans="1:6" ht="14.25" customHeight="1">
      <c r="A2396" s="284" t="s">
        <v>832</v>
      </c>
      <c r="B2396" s="284">
        <v>2025</v>
      </c>
      <c r="C2396" s="284" t="s">
        <v>1024</v>
      </c>
      <c r="D2396" s="284" t="s">
        <v>1027</v>
      </c>
      <c r="E2396" s="284" t="s">
        <v>1214</v>
      </c>
      <c r="F2396" s="113" t="s">
        <v>909</v>
      </c>
    </row>
    <row r="2397" spans="1:6" ht="14.25" customHeight="1">
      <c r="A2397" s="285" t="s">
        <v>832</v>
      </c>
      <c r="B2397" s="285">
        <v>2025</v>
      </c>
      <c r="C2397" s="285" t="s">
        <v>1024</v>
      </c>
      <c r="D2397" s="285" t="s">
        <v>1027</v>
      </c>
      <c r="E2397" s="285" t="s">
        <v>980</v>
      </c>
      <c r="F2397" s="113" t="s">
        <v>918</v>
      </c>
    </row>
    <row r="2398" spans="1:6" ht="14.25" customHeight="1">
      <c r="A2398" s="284" t="s">
        <v>832</v>
      </c>
      <c r="B2398" s="284">
        <v>2025</v>
      </c>
      <c r="C2398" s="284" t="s">
        <v>1024</v>
      </c>
      <c r="D2398" s="284" t="s">
        <v>1027</v>
      </c>
      <c r="E2398" s="284" t="s">
        <v>1094</v>
      </c>
      <c r="F2398" s="113" t="s">
        <v>918</v>
      </c>
    </row>
    <row r="2399" spans="1:6" ht="14.25" customHeight="1">
      <c r="A2399" s="285" t="s">
        <v>832</v>
      </c>
      <c r="B2399" s="285">
        <v>2025</v>
      </c>
      <c r="C2399" s="285" t="s">
        <v>1024</v>
      </c>
      <c r="D2399" s="285" t="s">
        <v>1027</v>
      </c>
      <c r="E2399" s="285" t="s">
        <v>979</v>
      </c>
      <c r="F2399" s="113" t="s">
        <v>918</v>
      </c>
    </row>
    <row r="2400" spans="1:6" ht="14.25" customHeight="1">
      <c r="A2400" s="284" t="s">
        <v>832</v>
      </c>
      <c r="B2400" s="284">
        <v>2025</v>
      </c>
      <c r="C2400" s="284" t="s">
        <v>1024</v>
      </c>
      <c r="D2400" s="284" t="s">
        <v>1027</v>
      </c>
      <c r="E2400" s="284" t="s">
        <v>933</v>
      </c>
      <c r="F2400" s="113" t="s">
        <v>918</v>
      </c>
    </row>
    <row r="2401" spans="1:6" ht="14.25" customHeight="1">
      <c r="A2401" s="285" t="s">
        <v>832</v>
      </c>
      <c r="B2401" s="285">
        <v>2025</v>
      </c>
      <c r="C2401" s="285" t="s">
        <v>1024</v>
      </c>
      <c r="D2401" s="285" t="s">
        <v>1026</v>
      </c>
      <c r="E2401" s="285" t="s">
        <v>1041</v>
      </c>
      <c r="F2401" s="113" t="s">
        <v>906</v>
      </c>
    </row>
    <row r="2402" spans="1:6" ht="14.25" customHeight="1">
      <c r="A2402" s="284" t="s">
        <v>832</v>
      </c>
      <c r="B2402" s="284">
        <v>2025</v>
      </c>
      <c r="C2402" s="284" t="s">
        <v>1024</v>
      </c>
      <c r="D2402" s="284" t="s">
        <v>1026</v>
      </c>
      <c r="E2402" s="284" t="s">
        <v>952</v>
      </c>
      <c r="F2402" s="113" t="s">
        <v>906</v>
      </c>
    </row>
    <row r="2403" spans="1:6" ht="14.25" customHeight="1">
      <c r="A2403" s="285" t="s">
        <v>832</v>
      </c>
      <c r="B2403" s="285">
        <v>2025</v>
      </c>
      <c r="C2403" s="285" t="s">
        <v>1024</v>
      </c>
      <c r="D2403" s="285" t="s">
        <v>1026</v>
      </c>
      <c r="E2403" s="285" t="s">
        <v>1116</v>
      </c>
      <c r="F2403" s="113" t="s">
        <v>909</v>
      </c>
    </row>
    <row r="2404" spans="1:6" ht="14.25" customHeight="1">
      <c r="A2404" s="284" t="s">
        <v>832</v>
      </c>
      <c r="B2404" s="284">
        <v>2025</v>
      </c>
      <c r="C2404" s="284" t="s">
        <v>1024</v>
      </c>
      <c r="D2404" s="284" t="s">
        <v>1026</v>
      </c>
      <c r="E2404" s="284" t="s">
        <v>1071</v>
      </c>
      <c r="F2404" s="113" t="s">
        <v>918</v>
      </c>
    </row>
    <row r="2405" spans="1:6" ht="14.25" customHeight="1">
      <c r="A2405" s="285" t="s">
        <v>832</v>
      </c>
      <c r="B2405" s="285">
        <v>2025</v>
      </c>
      <c r="C2405" s="285" t="s">
        <v>1024</v>
      </c>
      <c r="D2405" s="285" t="s">
        <v>1026</v>
      </c>
      <c r="E2405" s="285" t="s">
        <v>949</v>
      </c>
      <c r="F2405" s="113" t="s">
        <v>924</v>
      </c>
    </row>
    <row r="2406" spans="1:6" ht="14.25" customHeight="1">
      <c r="A2406" s="284" t="s">
        <v>832</v>
      </c>
      <c r="B2406" s="284">
        <v>2025</v>
      </c>
      <c r="C2406" s="284" t="s">
        <v>1024</v>
      </c>
      <c r="D2406" s="284" t="s">
        <v>1026</v>
      </c>
      <c r="E2406" s="284" t="s">
        <v>1062</v>
      </c>
      <c r="F2406" s="113" t="s">
        <v>922</v>
      </c>
    </row>
    <row r="2407" spans="1:6" ht="14.25" customHeight="1">
      <c r="A2407" s="285" t="s">
        <v>832</v>
      </c>
      <c r="B2407" s="285">
        <v>2025</v>
      </c>
      <c r="C2407" s="285" t="s">
        <v>1024</v>
      </c>
      <c r="D2407" s="285" t="s">
        <v>1142</v>
      </c>
      <c r="E2407" s="285" t="s">
        <v>2</v>
      </c>
      <c r="F2407" s="113" t="s">
        <v>917</v>
      </c>
    </row>
    <row r="2408" spans="1:6" ht="14.25" customHeight="1">
      <c r="A2408" s="284" t="s">
        <v>832</v>
      </c>
      <c r="B2408" s="284">
        <v>2025</v>
      </c>
      <c r="C2408" s="284" t="s">
        <v>1024</v>
      </c>
      <c r="D2408" s="284" t="s">
        <v>1025</v>
      </c>
      <c r="E2408" s="284" t="s">
        <v>953</v>
      </c>
      <c r="F2408" s="113" t="s">
        <v>906</v>
      </c>
    </row>
    <row r="2409" spans="1:6" ht="14.25" customHeight="1">
      <c r="A2409" s="285" t="s">
        <v>833</v>
      </c>
      <c r="B2409" s="285">
        <v>2025</v>
      </c>
      <c r="C2409" s="285" t="s">
        <v>821</v>
      </c>
      <c r="D2409" s="285" t="s">
        <v>132</v>
      </c>
      <c r="E2409" s="284" t="s">
        <v>1219</v>
      </c>
      <c r="F2409" s="113" t="s">
        <v>906</v>
      </c>
    </row>
    <row r="2410" spans="1:6" ht="14.25" customHeight="1">
      <c r="A2410" s="284" t="s">
        <v>833</v>
      </c>
      <c r="B2410" s="284">
        <v>2025</v>
      </c>
      <c r="C2410" s="284" t="s">
        <v>821</v>
      </c>
      <c r="D2410" s="284" t="s">
        <v>132</v>
      </c>
      <c r="E2410" s="284" t="s">
        <v>991</v>
      </c>
      <c r="F2410" s="113" t="s">
        <v>906</v>
      </c>
    </row>
    <row r="2411" spans="1:6" ht="14.25" customHeight="1">
      <c r="A2411" s="285" t="s">
        <v>833</v>
      </c>
      <c r="B2411" s="285">
        <v>2025</v>
      </c>
      <c r="C2411" s="285" t="s">
        <v>821</v>
      </c>
      <c r="D2411" s="285" t="s">
        <v>132</v>
      </c>
      <c r="E2411" s="285" t="s">
        <v>1213</v>
      </c>
      <c r="F2411" s="113" t="s">
        <v>911</v>
      </c>
    </row>
    <row r="2412" spans="1:6" ht="14.25" customHeight="1">
      <c r="A2412" s="284" t="s">
        <v>833</v>
      </c>
      <c r="B2412" s="284">
        <v>2025</v>
      </c>
      <c r="C2412" s="284" t="s">
        <v>821</v>
      </c>
      <c r="D2412" s="284" t="s">
        <v>132</v>
      </c>
      <c r="E2412" s="284" t="s">
        <v>1067</v>
      </c>
      <c r="F2412" s="113" t="s">
        <v>911</v>
      </c>
    </row>
    <row r="2413" spans="1:6" ht="14.25" customHeight="1">
      <c r="A2413" s="285" t="s">
        <v>833</v>
      </c>
      <c r="B2413" s="285">
        <v>2025</v>
      </c>
      <c r="C2413" s="285" t="s">
        <v>821</v>
      </c>
      <c r="D2413" s="285" t="s">
        <v>132</v>
      </c>
      <c r="E2413" s="285" t="s">
        <v>941</v>
      </c>
      <c r="F2413" s="113" t="s">
        <v>663</v>
      </c>
    </row>
    <row r="2414" spans="1:6" ht="14.25" customHeight="1">
      <c r="A2414" s="284" t="s">
        <v>833</v>
      </c>
      <c r="B2414" s="284">
        <v>2025</v>
      </c>
      <c r="C2414" s="284" t="s">
        <v>821</v>
      </c>
      <c r="D2414" s="284" t="s">
        <v>132</v>
      </c>
      <c r="E2414" s="284" t="s">
        <v>1021</v>
      </c>
      <c r="F2414" s="113" t="s">
        <v>663</v>
      </c>
    </row>
    <row r="2415" spans="1:6" ht="14.25" customHeight="1">
      <c r="A2415" s="285" t="s">
        <v>833</v>
      </c>
      <c r="B2415" s="285">
        <v>2025</v>
      </c>
      <c r="C2415" s="285" t="s">
        <v>821</v>
      </c>
      <c r="D2415" s="285" t="s">
        <v>132</v>
      </c>
      <c r="E2415" s="285" t="s">
        <v>1088</v>
      </c>
      <c r="F2415" s="113" t="s">
        <v>915</v>
      </c>
    </row>
    <row r="2416" spans="1:6" ht="14.25" customHeight="1">
      <c r="A2416" s="284" t="s">
        <v>833</v>
      </c>
      <c r="B2416" s="284">
        <v>2025</v>
      </c>
      <c r="C2416" s="284" t="s">
        <v>821</v>
      </c>
      <c r="D2416" s="284" t="s">
        <v>132</v>
      </c>
      <c r="E2416" s="284" t="s">
        <v>1058</v>
      </c>
      <c r="F2416" s="113" t="s">
        <v>918</v>
      </c>
    </row>
    <row r="2417" spans="1:6" ht="14.25" customHeight="1">
      <c r="A2417" s="285" t="s">
        <v>833</v>
      </c>
      <c r="B2417" s="285">
        <v>2025</v>
      </c>
      <c r="C2417" s="285" t="s">
        <v>821</v>
      </c>
      <c r="D2417" s="285" t="s">
        <v>132</v>
      </c>
      <c r="E2417" s="285" t="s">
        <v>997</v>
      </c>
      <c r="F2417" s="113" t="s">
        <v>935</v>
      </c>
    </row>
    <row r="2418" spans="1:6" ht="14.25" customHeight="1">
      <c r="A2418" s="284" t="s">
        <v>833</v>
      </c>
      <c r="B2418" s="284">
        <v>2025</v>
      </c>
      <c r="C2418" s="284" t="s">
        <v>821</v>
      </c>
      <c r="D2418" s="284" t="s">
        <v>1033</v>
      </c>
      <c r="E2418" s="284" t="s">
        <v>990</v>
      </c>
      <c r="F2418" s="113" t="s">
        <v>935</v>
      </c>
    </row>
    <row r="2419" spans="1:6" ht="14.25" customHeight="1">
      <c r="A2419" s="285" t="s">
        <v>833</v>
      </c>
      <c r="B2419" s="285">
        <v>2025</v>
      </c>
      <c r="C2419" s="285" t="s">
        <v>821</v>
      </c>
      <c r="D2419" s="285" t="s">
        <v>976</v>
      </c>
      <c r="E2419" s="285" t="s">
        <v>954</v>
      </c>
      <c r="F2419" s="113" t="s">
        <v>906</v>
      </c>
    </row>
    <row r="2420" spans="1:6" ht="14.25" customHeight="1">
      <c r="A2420" s="284" t="s">
        <v>833</v>
      </c>
      <c r="B2420" s="284">
        <v>2025</v>
      </c>
      <c r="C2420" s="284" t="s">
        <v>821</v>
      </c>
      <c r="D2420" s="284" t="s">
        <v>976</v>
      </c>
      <c r="E2420" s="284" t="s">
        <v>930</v>
      </c>
      <c r="F2420" s="113" t="s">
        <v>906</v>
      </c>
    </row>
    <row r="2421" spans="1:6" ht="14.25" customHeight="1">
      <c r="A2421" s="285" t="s">
        <v>833</v>
      </c>
      <c r="B2421" s="285">
        <v>2025</v>
      </c>
      <c r="C2421" s="285" t="s">
        <v>821</v>
      </c>
      <c r="D2421" s="285" t="s">
        <v>976</v>
      </c>
      <c r="E2421" s="285" t="s">
        <v>981</v>
      </c>
      <c r="F2421" s="113" t="s">
        <v>906</v>
      </c>
    </row>
    <row r="2422" spans="1:6" ht="14.25" customHeight="1">
      <c r="A2422" s="284" t="s">
        <v>833</v>
      </c>
      <c r="B2422" s="284">
        <v>2025</v>
      </c>
      <c r="C2422" s="284" t="s">
        <v>821</v>
      </c>
      <c r="D2422" s="284" t="s">
        <v>976</v>
      </c>
      <c r="E2422" s="284" t="s">
        <v>1159</v>
      </c>
      <c r="F2422" s="113" t="s">
        <v>483</v>
      </c>
    </row>
    <row r="2423" spans="1:6" ht="14.25" customHeight="1">
      <c r="A2423" s="285" t="s">
        <v>833</v>
      </c>
      <c r="B2423" s="285">
        <v>2025</v>
      </c>
      <c r="C2423" s="285" t="s">
        <v>821</v>
      </c>
      <c r="D2423" s="285" t="s">
        <v>976</v>
      </c>
      <c r="E2423" s="285" t="s">
        <v>1159</v>
      </c>
      <c r="F2423" s="113" t="s">
        <v>483</v>
      </c>
    </row>
    <row r="2424" spans="1:6" ht="14.25" customHeight="1">
      <c r="A2424" s="284" t="s">
        <v>833</v>
      </c>
      <c r="B2424" s="284">
        <v>2025</v>
      </c>
      <c r="C2424" s="284" t="s">
        <v>821</v>
      </c>
      <c r="D2424" s="284" t="s">
        <v>976</v>
      </c>
      <c r="E2424" s="284" t="s">
        <v>932</v>
      </c>
      <c r="F2424" s="113" t="s">
        <v>663</v>
      </c>
    </row>
    <row r="2425" spans="1:6" ht="14.25" customHeight="1">
      <c r="A2425" s="285" t="s">
        <v>833</v>
      </c>
      <c r="B2425" s="285">
        <v>2025</v>
      </c>
      <c r="C2425" s="285" t="s">
        <v>821</v>
      </c>
      <c r="D2425" s="285" t="s">
        <v>976</v>
      </c>
      <c r="E2425" s="285" t="s">
        <v>1078</v>
      </c>
      <c r="F2425" s="113" t="s">
        <v>915</v>
      </c>
    </row>
    <row r="2426" spans="1:6" ht="14.25" customHeight="1">
      <c r="A2426" s="284" t="s">
        <v>833</v>
      </c>
      <c r="B2426" s="284">
        <v>2025</v>
      </c>
      <c r="C2426" s="284" t="s">
        <v>821</v>
      </c>
      <c r="D2426" s="284" t="s">
        <v>976</v>
      </c>
      <c r="E2426" s="284" t="s">
        <v>1022</v>
      </c>
      <c r="F2426" s="113" t="s">
        <v>783</v>
      </c>
    </row>
    <row r="2427" spans="1:6" ht="14.25" customHeight="1">
      <c r="A2427" s="285" t="s">
        <v>833</v>
      </c>
      <c r="B2427" s="285">
        <v>2025</v>
      </c>
      <c r="C2427" s="285" t="s">
        <v>821</v>
      </c>
      <c r="D2427" s="285" t="s">
        <v>976</v>
      </c>
      <c r="E2427" s="285" t="s">
        <v>1091</v>
      </c>
      <c r="F2427" s="113" t="s">
        <v>783</v>
      </c>
    </row>
    <row r="2428" spans="1:6" ht="14.25" customHeight="1">
      <c r="A2428" s="284" t="s">
        <v>833</v>
      </c>
      <c r="B2428" s="284">
        <v>2025</v>
      </c>
      <c r="C2428" s="284" t="s">
        <v>821</v>
      </c>
      <c r="D2428" s="284" t="s">
        <v>976</v>
      </c>
      <c r="E2428" s="284" t="s">
        <v>937</v>
      </c>
      <c r="F2428" s="113" t="s">
        <v>783</v>
      </c>
    </row>
    <row r="2429" spans="1:6" ht="14.25" customHeight="1">
      <c r="A2429" s="285" t="s">
        <v>833</v>
      </c>
      <c r="B2429" s="285">
        <v>2025</v>
      </c>
      <c r="C2429" s="285" t="s">
        <v>821</v>
      </c>
      <c r="D2429" s="285" t="s">
        <v>931</v>
      </c>
      <c r="E2429" s="285" t="s">
        <v>1041</v>
      </c>
      <c r="F2429" s="113" t="s">
        <v>906</v>
      </c>
    </row>
    <row r="2430" spans="1:6" ht="14.25" customHeight="1">
      <c r="A2430" s="284" t="s">
        <v>833</v>
      </c>
      <c r="B2430" s="284">
        <v>2025</v>
      </c>
      <c r="C2430" s="284" t="s">
        <v>821</v>
      </c>
      <c r="D2430" s="284" t="s">
        <v>931</v>
      </c>
      <c r="E2430" s="284" t="s">
        <v>1124</v>
      </c>
      <c r="F2430" s="113" t="s">
        <v>483</v>
      </c>
    </row>
    <row r="2431" spans="1:6" ht="14.25" customHeight="1">
      <c r="A2431" s="285" t="s">
        <v>833</v>
      </c>
      <c r="B2431" s="285">
        <v>2025</v>
      </c>
      <c r="C2431" s="285" t="s">
        <v>821</v>
      </c>
      <c r="D2431" s="285" t="s">
        <v>931</v>
      </c>
      <c r="E2431" s="285" t="s">
        <v>967</v>
      </c>
      <c r="F2431" s="113" t="s">
        <v>915</v>
      </c>
    </row>
    <row r="2432" spans="1:6" ht="14.25" customHeight="1">
      <c r="A2432" s="284" t="s">
        <v>833</v>
      </c>
      <c r="B2432" s="284">
        <v>2025</v>
      </c>
      <c r="C2432" s="284" t="s">
        <v>821</v>
      </c>
      <c r="D2432" s="284" t="s">
        <v>931</v>
      </c>
      <c r="E2432" s="284" t="s">
        <v>1108</v>
      </c>
      <c r="F2432" s="113" t="s">
        <v>915</v>
      </c>
    </row>
    <row r="2433" spans="1:6" ht="14.25" customHeight="1">
      <c r="A2433" s="285" t="s">
        <v>833</v>
      </c>
      <c r="B2433" s="285">
        <v>2025</v>
      </c>
      <c r="C2433" s="285" t="s">
        <v>821</v>
      </c>
      <c r="D2433" s="285" t="s">
        <v>931</v>
      </c>
      <c r="E2433" s="285" t="s">
        <v>1088</v>
      </c>
      <c r="F2433" s="113" t="s">
        <v>915</v>
      </c>
    </row>
    <row r="2434" spans="1:6" ht="14.25" customHeight="1">
      <c r="A2434" s="284" t="s">
        <v>833</v>
      </c>
      <c r="B2434" s="284">
        <v>2025</v>
      </c>
      <c r="C2434" s="284" t="s">
        <v>821</v>
      </c>
      <c r="D2434" s="284" t="s">
        <v>931</v>
      </c>
      <c r="E2434" s="284" t="s">
        <v>1069</v>
      </c>
      <c r="F2434" s="113" t="s">
        <v>915</v>
      </c>
    </row>
    <row r="2435" spans="1:6" ht="14.25" customHeight="1">
      <c r="A2435" s="285" t="s">
        <v>833</v>
      </c>
      <c r="B2435" s="285">
        <v>2025</v>
      </c>
      <c r="C2435" s="285" t="s">
        <v>821</v>
      </c>
      <c r="D2435" s="285" t="s">
        <v>931</v>
      </c>
      <c r="E2435" s="285" t="s">
        <v>1085</v>
      </c>
      <c r="F2435" s="113" t="s">
        <v>917</v>
      </c>
    </row>
    <row r="2436" spans="1:6" ht="14.25" customHeight="1">
      <c r="A2436" s="284" t="s">
        <v>833</v>
      </c>
      <c r="B2436" s="284">
        <v>2025</v>
      </c>
      <c r="C2436" s="284" t="s">
        <v>821</v>
      </c>
      <c r="D2436" s="284" t="s">
        <v>931</v>
      </c>
      <c r="E2436" s="284" t="s">
        <v>933</v>
      </c>
      <c r="F2436" s="113" t="s">
        <v>918</v>
      </c>
    </row>
    <row r="2437" spans="1:6" ht="14.25" customHeight="1">
      <c r="A2437" s="285" t="s">
        <v>833</v>
      </c>
      <c r="B2437" s="285">
        <v>2025</v>
      </c>
      <c r="C2437" s="285" t="s">
        <v>821</v>
      </c>
      <c r="D2437" s="285" t="s">
        <v>931</v>
      </c>
      <c r="E2437" s="285" t="s">
        <v>942</v>
      </c>
      <c r="F2437" s="113" t="s">
        <v>918</v>
      </c>
    </row>
    <row r="2438" spans="1:6" ht="14.25" customHeight="1">
      <c r="A2438" s="284" t="s">
        <v>833</v>
      </c>
      <c r="B2438" s="284">
        <v>2025</v>
      </c>
      <c r="C2438" s="284" t="s">
        <v>821</v>
      </c>
      <c r="D2438" s="284" t="s">
        <v>931</v>
      </c>
      <c r="E2438" s="284" t="s">
        <v>950</v>
      </c>
      <c r="F2438" s="113" t="s">
        <v>783</v>
      </c>
    </row>
    <row r="2439" spans="1:6" ht="14.25" customHeight="1">
      <c r="A2439" s="285" t="s">
        <v>833</v>
      </c>
      <c r="B2439" s="285">
        <v>2025</v>
      </c>
      <c r="C2439" s="285" t="s">
        <v>821</v>
      </c>
      <c r="D2439" s="285" t="s">
        <v>934</v>
      </c>
      <c r="E2439" s="285" t="s">
        <v>1041</v>
      </c>
      <c r="F2439" s="113" t="s">
        <v>906</v>
      </c>
    </row>
    <row r="2440" spans="1:6" ht="14.25" customHeight="1">
      <c r="A2440" s="284" t="s">
        <v>833</v>
      </c>
      <c r="B2440" s="284">
        <v>2025</v>
      </c>
      <c r="C2440" s="284" t="s">
        <v>821</v>
      </c>
      <c r="D2440" s="284" t="s">
        <v>934</v>
      </c>
      <c r="E2440" s="284" t="s">
        <v>952</v>
      </c>
      <c r="F2440" s="113" t="s">
        <v>906</v>
      </c>
    </row>
    <row r="2441" spans="1:6" ht="14.25" customHeight="1">
      <c r="A2441" s="285" t="s">
        <v>833</v>
      </c>
      <c r="B2441" s="285">
        <v>2025</v>
      </c>
      <c r="C2441" s="285" t="s">
        <v>821</v>
      </c>
      <c r="D2441" s="285" t="s">
        <v>934</v>
      </c>
      <c r="E2441" s="285" t="s">
        <v>991</v>
      </c>
      <c r="F2441" s="113" t="s">
        <v>906</v>
      </c>
    </row>
    <row r="2442" spans="1:6" ht="14.25" customHeight="1">
      <c r="A2442" s="284" t="s">
        <v>833</v>
      </c>
      <c r="B2442" s="284">
        <v>2025</v>
      </c>
      <c r="C2442" s="284" t="s">
        <v>821</v>
      </c>
      <c r="D2442" s="284" t="s">
        <v>934</v>
      </c>
      <c r="E2442" s="284" t="s">
        <v>1041</v>
      </c>
      <c r="F2442" s="113" t="s">
        <v>906</v>
      </c>
    </row>
    <row r="2443" spans="1:6" ht="14.25" customHeight="1">
      <c r="A2443" s="285" t="s">
        <v>833</v>
      </c>
      <c r="B2443" s="285">
        <v>2025</v>
      </c>
      <c r="C2443" s="285" t="s">
        <v>821</v>
      </c>
      <c r="D2443" s="285" t="s">
        <v>934</v>
      </c>
      <c r="E2443" s="285" t="s">
        <v>981</v>
      </c>
      <c r="F2443" s="113" t="s">
        <v>906</v>
      </c>
    </row>
    <row r="2444" spans="1:6" ht="14.25" customHeight="1">
      <c r="A2444" s="284" t="s">
        <v>833</v>
      </c>
      <c r="B2444" s="284">
        <v>2025</v>
      </c>
      <c r="C2444" s="284" t="s">
        <v>821</v>
      </c>
      <c r="D2444" s="284" t="s">
        <v>934</v>
      </c>
      <c r="E2444" s="284" t="s">
        <v>2</v>
      </c>
      <c r="F2444" s="113" t="s">
        <v>906</v>
      </c>
    </row>
    <row r="2445" spans="1:6" ht="14.25" customHeight="1">
      <c r="A2445" s="285" t="s">
        <v>833</v>
      </c>
      <c r="B2445" s="285">
        <v>2025</v>
      </c>
      <c r="C2445" s="285" t="s">
        <v>821</v>
      </c>
      <c r="D2445" s="285" t="s">
        <v>934</v>
      </c>
      <c r="E2445" s="285" t="s">
        <v>1118</v>
      </c>
      <c r="F2445" s="113" t="s">
        <v>909</v>
      </c>
    </row>
    <row r="2446" spans="1:6" ht="14.25" customHeight="1">
      <c r="A2446" s="284" t="s">
        <v>833</v>
      </c>
      <c r="B2446" s="284">
        <v>2025</v>
      </c>
      <c r="C2446" s="284" t="s">
        <v>821</v>
      </c>
      <c r="D2446" s="284" t="s">
        <v>934</v>
      </c>
      <c r="E2446" s="284" t="s">
        <v>1069</v>
      </c>
      <c r="F2446" s="113" t="s">
        <v>915</v>
      </c>
    </row>
    <row r="2447" spans="1:6" ht="14.25" customHeight="1">
      <c r="A2447" s="285" t="s">
        <v>833</v>
      </c>
      <c r="B2447" s="285">
        <v>2025</v>
      </c>
      <c r="C2447" s="285" t="s">
        <v>821</v>
      </c>
      <c r="D2447" s="285" t="s">
        <v>934</v>
      </c>
      <c r="E2447" s="285" t="s">
        <v>937</v>
      </c>
      <c r="F2447" s="113" t="s">
        <v>917</v>
      </c>
    </row>
    <row r="2448" spans="1:6" ht="14.25" customHeight="1">
      <c r="A2448" s="284" t="s">
        <v>833</v>
      </c>
      <c r="B2448" s="284">
        <v>2025</v>
      </c>
      <c r="C2448" s="284" t="s">
        <v>821</v>
      </c>
      <c r="D2448" s="284" t="s">
        <v>934</v>
      </c>
      <c r="E2448" s="284" t="s">
        <v>943</v>
      </c>
      <c r="F2448" s="113" t="s">
        <v>917</v>
      </c>
    </row>
    <row r="2449" spans="1:6" ht="14.25" customHeight="1">
      <c r="A2449" s="285" t="s">
        <v>833</v>
      </c>
      <c r="B2449" s="285">
        <v>2025</v>
      </c>
      <c r="C2449" s="285" t="s">
        <v>821</v>
      </c>
      <c r="D2449" s="285" t="s">
        <v>934</v>
      </c>
      <c r="E2449" s="285" t="s">
        <v>1022</v>
      </c>
      <c r="F2449" s="113" t="s">
        <v>783</v>
      </c>
    </row>
    <row r="2450" spans="1:6" ht="14.25" customHeight="1">
      <c r="A2450" s="284" t="s">
        <v>833</v>
      </c>
      <c r="B2450" s="284">
        <v>2025</v>
      </c>
      <c r="C2450" s="284" t="s">
        <v>821</v>
      </c>
      <c r="D2450" s="284" t="s">
        <v>934</v>
      </c>
      <c r="E2450" s="285" t="s">
        <v>2</v>
      </c>
      <c r="F2450" s="113" t="s">
        <v>935</v>
      </c>
    </row>
    <row r="2451" spans="1:6" ht="14.25" customHeight="1">
      <c r="A2451" s="285" t="s">
        <v>833</v>
      </c>
      <c r="B2451" s="285">
        <v>2025</v>
      </c>
      <c r="C2451" s="285" t="s">
        <v>821</v>
      </c>
      <c r="D2451" s="285" t="s">
        <v>934</v>
      </c>
      <c r="E2451" s="285" t="s">
        <v>2</v>
      </c>
      <c r="F2451" s="113" t="s">
        <v>924</v>
      </c>
    </row>
    <row r="2452" spans="1:6" ht="14.25" customHeight="1">
      <c r="A2452" s="284" t="s">
        <v>833</v>
      </c>
      <c r="B2452" s="284">
        <v>2025</v>
      </c>
      <c r="C2452" s="284" t="s">
        <v>821</v>
      </c>
      <c r="D2452" s="284" t="s">
        <v>934</v>
      </c>
      <c r="E2452" s="285" t="s">
        <v>2</v>
      </c>
      <c r="F2452" s="113" t="s">
        <v>935</v>
      </c>
    </row>
    <row r="2453" spans="1:6" ht="14.25" customHeight="1">
      <c r="A2453" s="285" t="s">
        <v>833</v>
      </c>
      <c r="B2453" s="285">
        <v>2025</v>
      </c>
      <c r="C2453" s="285" t="s">
        <v>821</v>
      </c>
      <c r="D2453" s="285" t="s">
        <v>934</v>
      </c>
      <c r="E2453" s="285" t="s">
        <v>2</v>
      </c>
      <c r="F2453" s="113" t="s">
        <v>924</v>
      </c>
    </row>
    <row r="2454" spans="1:6" ht="14.25" customHeight="1">
      <c r="A2454" s="284" t="s">
        <v>833</v>
      </c>
      <c r="B2454" s="284">
        <v>2025</v>
      </c>
      <c r="C2454" s="284" t="s">
        <v>821</v>
      </c>
      <c r="D2454" s="284" t="s">
        <v>934</v>
      </c>
      <c r="E2454" s="284" t="s">
        <v>1034</v>
      </c>
      <c r="F2454" s="113" t="s">
        <v>922</v>
      </c>
    </row>
    <row r="2455" spans="1:6" ht="14.25" customHeight="1">
      <c r="A2455" s="285" t="s">
        <v>833</v>
      </c>
      <c r="B2455" s="285">
        <v>2025</v>
      </c>
      <c r="C2455" s="285" t="s">
        <v>821</v>
      </c>
      <c r="D2455" s="285" t="s">
        <v>934</v>
      </c>
      <c r="E2455" s="285" t="s">
        <v>1045</v>
      </c>
      <c r="F2455" s="113" t="s">
        <v>922</v>
      </c>
    </row>
    <row r="2456" spans="1:6" ht="14.25" customHeight="1">
      <c r="A2456" s="284" t="s">
        <v>833</v>
      </c>
      <c r="B2456" s="284">
        <v>2025</v>
      </c>
      <c r="C2456" s="284" t="s">
        <v>821</v>
      </c>
      <c r="D2456" s="284" t="s">
        <v>934</v>
      </c>
      <c r="E2456" s="284" t="s">
        <v>1220</v>
      </c>
      <c r="F2456" s="113" t="s">
        <v>922</v>
      </c>
    </row>
    <row r="2457" spans="1:6" ht="14.25" customHeight="1">
      <c r="A2457" s="285" t="s">
        <v>833</v>
      </c>
      <c r="B2457" s="285">
        <v>2025</v>
      </c>
      <c r="C2457" s="285" t="s">
        <v>88</v>
      </c>
      <c r="D2457" s="285" t="s">
        <v>959</v>
      </c>
      <c r="E2457" s="285" t="s">
        <v>954</v>
      </c>
      <c r="F2457" s="113" t="s">
        <v>906</v>
      </c>
    </row>
    <row r="2458" spans="1:6" ht="14.25" customHeight="1">
      <c r="A2458" s="284" t="s">
        <v>833</v>
      </c>
      <c r="B2458" s="284">
        <v>2025</v>
      </c>
      <c r="C2458" s="284" t="s">
        <v>88</v>
      </c>
      <c r="D2458" s="284" t="s">
        <v>959</v>
      </c>
      <c r="E2458" s="284" t="s">
        <v>1036</v>
      </c>
      <c r="F2458" s="113" t="s">
        <v>906</v>
      </c>
    </row>
    <row r="2459" spans="1:6" ht="14.25" customHeight="1">
      <c r="A2459" s="285" t="s">
        <v>833</v>
      </c>
      <c r="B2459" s="285">
        <v>2025</v>
      </c>
      <c r="C2459" s="285" t="s">
        <v>88</v>
      </c>
      <c r="D2459" s="285" t="s">
        <v>959</v>
      </c>
      <c r="E2459" s="285" t="s">
        <v>986</v>
      </c>
      <c r="F2459" s="113" t="s">
        <v>906</v>
      </c>
    </row>
    <row r="2460" spans="1:6" ht="14.25" customHeight="1">
      <c r="A2460" s="284" t="s">
        <v>833</v>
      </c>
      <c r="B2460" s="284">
        <v>2025</v>
      </c>
      <c r="C2460" s="284" t="s">
        <v>88</v>
      </c>
      <c r="D2460" s="284" t="s">
        <v>959</v>
      </c>
      <c r="E2460" s="284" t="s">
        <v>1014</v>
      </c>
      <c r="F2460" s="113" t="s">
        <v>906</v>
      </c>
    </row>
    <row r="2461" spans="1:6" ht="14.25" customHeight="1">
      <c r="A2461" s="285" t="s">
        <v>833</v>
      </c>
      <c r="B2461" s="285">
        <v>2025</v>
      </c>
      <c r="C2461" s="285" t="s">
        <v>88</v>
      </c>
      <c r="D2461" s="285" t="s">
        <v>959</v>
      </c>
      <c r="E2461" s="285" t="s">
        <v>952</v>
      </c>
      <c r="F2461" s="113" t="s">
        <v>906</v>
      </c>
    </row>
    <row r="2462" spans="1:6" ht="14.25" customHeight="1">
      <c r="A2462" s="284" t="s">
        <v>833</v>
      </c>
      <c r="B2462" s="284">
        <v>2025</v>
      </c>
      <c r="C2462" s="284" t="s">
        <v>88</v>
      </c>
      <c r="D2462" s="284" t="s">
        <v>959</v>
      </c>
      <c r="E2462" s="284" t="s">
        <v>1120</v>
      </c>
      <c r="F2462" s="113" t="s">
        <v>483</v>
      </c>
    </row>
    <row r="2463" spans="1:6" ht="14.25" customHeight="1">
      <c r="A2463" s="285" t="s">
        <v>833</v>
      </c>
      <c r="B2463" s="285">
        <v>2025</v>
      </c>
      <c r="C2463" s="285" t="s">
        <v>88</v>
      </c>
      <c r="D2463" s="285" t="s">
        <v>959</v>
      </c>
      <c r="E2463" s="285" t="s">
        <v>1011</v>
      </c>
      <c r="F2463" s="113" t="s">
        <v>911</v>
      </c>
    </row>
    <row r="2464" spans="1:6" ht="14.25" customHeight="1">
      <c r="A2464" s="284" t="s">
        <v>833</v>
      </c>
      <c r="B2464" s="284">
        <v>2025</v>
      </c>
      <c r="C2464" s="284" t="s">
        <v>88</v>
      </c>
      <c r="D2464" s="284" t="s">
        <v>959</v>
      </c>
      <c r="E2464" s="284" t="s">
        <v>1221</v>
      </c>
      <c r="F2464" s="113" t="s">
        <v>913</v>
      </c>
    </row>
    <row r="2465" spans="1:6" ht="14.25" customHeight="1">
      <c r="A2465" s="285" t="s">
        <v>833</v>
      </c>
      <c r="B2465" s="285">
        <v>2025</v>
      </c>
      <c r="C2465" s="285" t="s">
        <v>88</v>
      </c>
      <c r="D2465" s="285" t="s">
        <v>959</v>
      </c>
      <c r="E2465" s="285" t="s">
        <v>1031</v>
      </c>
      <c r="F2465" s="113" t="s">
        <v>913</v>
      </c>
    </row>
    <row r="2466" spans="1:6" ht="14.25" customHeight="1">
      <c r="A2466" s="284" t="s">
        <v>833</v>
      </c>
      <c r="B2466" s="284">
        <v>2025</v>
      </c>
      <c r="C2466" s="284" t="s">
        <v>88</v>
      </c>
      <c r="D2466" s="284" t="s">
        <v>959</v>
      </c>
      <c r="E2466" s="284" t="s">
        <v>964</v>
      </c>
      <c r="F2466" s="113" t="s">
        <v>913</v>
      </c>
    </row>
    <row r="2467" spans="1:6" ht="14.25" customHeight="1">
      <c r="A2467" s="285" t="s">
        <v>833</v>
      </c>
      <c r="B2467" s="285">
        <v>2025</v>
      </c>
      <c r="C2467" s="285" t="s">
        <v>88</v>
      </c>
      <c r="D2467" s="285" t="s">
        <v>959</v>
      </c>
      <c r="E2467" s="285" t="s">
        <v>962</v>
      </c>
      <c r="F2467" s="113" t="s">
        <v>913</v>
      </c>
    </row>
    <row r="2468" spans="1:6" ht="14.25" customHeight="1">
      <c r="A2468" s="284" t="s">
        <v>833</v>
      </c>
      <c r="B2468" s="284">
        <v>2025</v>
      </c>
      <c r="C2468" s="284" t="s">
        <v>88</v>
      </c>
      <c r="D2468" s="284" t="s">
        <v>959</v>
      </c>
      <c r="E2468" s="284" t="s">
        <v>1080</v>
      </c>
      <c r="F2468" s="113" t="s">
        <v>911</v>
      </c>
    </row>
    <row r="2469" spans="1:6" ht="14.25" customHeight="1">
      <c r="A2469" s="285" t="s">
        <v>833</v>
      </c>
      <c r="B2469" s="285">
        <v>2025</v>
      </c>
      <c r="C2469" s="285" t="s">
        <v>88</v>
      </c>
      <c r="D2469" s="285" t="s">
        <v>959</v>
      </c>
      <c r="E2469" s="285" t="s">
        <v>1222</v>
      </c>
      <c r="F2469" s="113" t="s">
        <v>911</v>
      </c>
    </row>
    <row r="2470" spans="1:6" ht="14.25" customHeight="1">
      <c r="A2470" s="284" t="s">
        <v>833</v>
      </c>
      <c r="B2470" s="284">
        <v>2025</v>
      </c>
      <c r="C2470" s="284" t="s">
        <v>88</v>
      </c>
      <c r="D2470" s="284" t="s">
        <v>959</v>
      </c>
      <c r="E2470" s="284" t="s">
        <v>1078</v>
      </c>
      <c r="F2470" s="113" t="s">
        <v>915</v>
      </c>
    </row>
    <row r="2471" spans="1:6" ht="14.25" customHeight="1">
      <c r="A2471" s="285" t="s">
        <v>833</v>
      </c>
      <c r="B2471" s="285">
        <v>2025</v>
      </c>
      <c r="C2471" s="285" t="s">
        <v>88</v>
      </c>
      <c r="D2471" s="285" t="s">
        <v>988</v>
      </c>
      <c r="E2471" s="285" t="s">
        <v>1050</v>
      </c>
      <c r="F2471" s="113" t="s">
        <v>483</v>
      </c>
    </row>
    <row r="2472" spans="1:6" ht="14.25" customHeight="1">
      <c r="A2472" s="284" t="s">
        <v>833</v>
      </c>
      <c r="B2472" s="284">
        <v>2025</v>
      </c>
      <c r="C2472" s="284" t="s">
        <v>88</v>
      </c>
      <c r="D2472" s="284" t="s">
        <v>988</v>
      </c>
      <c r="E2472" s="284" t="s">
        <v>1218</v>
      </c>
      <c r="F2472" s="113" t="s">
        <v>483</v>
      </c>
    </row>
    <row r="2473" spans="1:6" ht="14.25" customHeight="1">
      <c r="A2473" s="285" t="s">
        <v>833</v>
      </c>
      <c r="B2473" s="285">
        <v>2025</v>
      </c>
      <c r="C2473" s="285" t="s">
        <v>88</v>
      </c>
      <c r="D2473" s="285" t="s">
        <v>988</v>
      </c>
      <c r="E2473" s="285" t="s">
        <v>1159</v>
      </c>
      <c r="F2473" s="113" t="s">
        <v>483</v>
      </c>
    </row>
    <row r="2474" spans="1:6" ht="14.25" customHeight="1">
      <c r="A2474" s="284" t="s">
        <v>833</v>
      </c>
      <c r="B2474" s="284">
        <v>2025</v>
      </c>
      <c r="C2474" s="284" t="s">
        <v>88</v>
      </c>
      <c r="D2474" s="284" t="s">
        <v>988</v>
      </c>
      <c r="E2474" s="284" t="s">
        <v>1120</v>
      </c>
      <c r="F2474" s="113" t="s">
        <v>483</v>
      </c>
    </row>
    <row r="2475" spans="1:6" ht="14.25" customHeight="1">
      <c r="A2475" s="285" t="s">
        <v>833</v>
      </c>
      <c r="B2475" s="285">
        <v>2025</v>
      </c>
      <c r="C2475" s="285" t="s">
        <v>88</v>
      </c>
      <c r="D2475" s="285" t="s">
        <v>988</v>
      </c>
      <c r="E2475" s="285" t="s">
        <v>1020</v>
      </c>
      <c r="F2475" s="113" t="s">
        <v>909</v>
      </c>
    </row>
    <row r="2476" spans="1:6" ht="14.25" customHeight="1">
      <c r="A2476" s="284" t="s">
        <v>833</v>
      </c>
      <c r="B2476" s="284">
        <v>2025</v>
      </c>
      <c r="C2476" s="284" t="s">
        <v>88</v>
      </c>
      <c r="D2476" s="284" t="s">
        <v>988</v>
      </c>
      <c r="E2476" s="284" t="s">
        <v>937</v>
      </c>
      <c r="F2476" s="113" t="s">
        <v>917</v>
      </c>
    </row>
    <row r="2477" spans="1:6" ht="14.25" customHeight="1">
      <c r="A2477" s="285" t="s">
        <v>833</v>
      </c>
      <c r="B2477" s="285">
        <v>2025</v>
      </c>
      <c r="C2477" s="285" t="s">
        <v>88</v>
      </c>
      <c r="D2477" s="285" t="s">
        <v>988</v>
      </c>
      <c r="E2477" s="285" t="s">
        <v>974</v>
      </c>
      <c r="F2477" s="113" t="s">
        <v>917</v>
      </c>
    </row>
    <row r="2478" spans="1:6" ht="14.25" customHeight="1">
      <c r="A2478" s="284" t="s">
        <v>833</v>
      </c>
      <c r="B2478" s="284">
        <v>2025</v>
      </c>
      <c r="C2478" s="284" t="s">
        <v>88</v>
      </c>
      <c r="D2478" s="284" t="s">
        <v>988</v>
      </c>
      <c r="E2478" s="284" t="s">
        <v>957</v>
      </c>
      <c r="F2478" s="113" t="s">
        <v>924</v>
      </c>
    </row>
    <row r="2479" spans="1:6" ht="14.25" customHeight="1">
      <c r="A2479" s="285" t="s">
        <v>833</v>
      </c>
      <c r="B2479" s="285">
        <v>2025</v>
      </c>
      <c r="C2479" s="285" t="s">
        <v>88</v>
      </c>
      <c r="D2479" s="285" t="s">
        <v>988</v>
      </c>
      <c r="E2479" s="285" t="s">
        <v>949</v>
      </c>
      <c r="F2479" s="113" t="s">
        <v>924</v>
      </c>
    </row>
    <row r="2480" spans="1:6" ht="14.25" customHeight="1">
      <c r="A2480" s="284" t="s">
        <v>833</v>
      </c>
      <c r="B2480" s="284">
        <v>2025</v>
      </c>
      <c r="C2480" s="284" t="s">
        <v>88</v>
      </c>
      <c r="D2480" s="284" t="s">
        <v>988</v>
      </c>
      <c r="E2480" s="284" t="s">
        <v>1047</v>
      </c>
      <c r="F2480" s="113" t="s">
        <v>924</v>
      </c>
    </row>
    <row r="2481" spans="1:6" ht="14.25" customHeight="1">
      <c r="A2481" s="285" t="s">
        <v>833</v>
      </c>
      <c r="B2481" s="285">
        <v>2025</v>
      </c>
      <c r="C2481" s="285" t="s">
        <v>88</v>
      </c>
      <c r="D2481" s="285" t="s">
        <v>988</v>
      </c>
      <c r="E2481" s="285" t="s">
        <v>1044</v>
      </c>
      <c r="F2481" s="113" t="s">
        <v>922</v>
      </c>
    </row>
    <row r="2482" spans="1:6" ht="14.25" customHeight="1">
      <c r="A2482" s="284" t="s">
        <v>833</v>
      </c>
      <c r="B2482" s="284">
        <v>2025</v>
      </c>
      <c r="C2482" s="284" t="s">
        <v>88</v>
      </c>
      <c r="D2482" s="284" t="s">
        <v>988</v>
      </c>
      <c r="E2482" s="285" t="s">
        <v>2</v>
      </c>
      <c r="F2482" s="113" t="s">
        <v>935</v>
      </c>
    </row>
    <row r="2483" spans="1:6" ht="14.25" customHeight="1">
      <c r="A2483" s="285" t="s">
        <v>833</v>
      </c>
      <c r="B2483" s="285">
        <v>2025</v>
      </c>
      <c r="C2483" s="285" t="s">
        <v>88</v>
      </c>
      <c r="D2483" s="285" t="s">
        <v>956</v>
      </c>
      <c r="E2483" s="285" t="s">
        <v>981</v>
      </c>
      <c r="F2483" s="113" t="s">
        <v>906</v>
      </c>
    </row>
    <row r="2484" spans="1:6" ht="14.25" customHeight="1">
      <c r="A2484" s="284" t="s">
        <v>833</v>
      </c>
      <c r="B2484" s="284">
        <v>2025</v>
      </c>
      <c r="C2484" s="284" t="s">
        <v>88</v>
      </c>
      <c r="D2484" s="284" t="s">
        <v>956</v>
      </c>
      <c r="E2484" s="284" t="s">
        <v>930</v>
      </c>
      <c r="F2484" s="113" t="s">
        <v>906</v>
      </c>
    </row>
    <row r="2485" spans="1:6" ht="14.25" customHeight="1">
      <c r="A2485" s="285" t="s">
        <v>833</v>
      </c>
      <c r="B2485" s="285">
        <v>2025</v>
      </c>
      <c r="C2485" s="285" t="s">
        <v>88</v>
      </c>
      <c r="D2485" s="285" t="s">
        <v>956</v>
      </c>
      <c r="E2485" s="285" t="s">
        <v>954</v>
      </c>
      <c r="F2485" s="113" t="s">
        <v>906</v>
      </c>
    </row>
    <row r="2486" spans="1:6" ht="14.25" customHeight="1">
      <c r="A2486" s="284" t="s">
        <v>833</v>
      </c>
      <c r="B2486" s="284">
        <v>2025</v>
      </c>
      <c r="C2486" s="284" t="s">
        <v>88</v>
      </c>
      <c r="D2486" s="284" t="s">
        <v>956</v>
      </c>
      <c r="E2486" s="284" t="s">
        <v>953</v>
      </c>
      <c r="F2486" s="113" t="s">
        <v>906</v>
      </c>
    </row>
    <row r="2487" spans="1:6" ht="14.25" customHeight="1">
      <c r="A2487" s="285" t="s">
        <v>833</v>
      </c>
      <c r="B2487" s="285">
        <v>2025</v>
      </c>
      <c r="C2487" s="285" t="s">
        <v>88</v>
      </c>
      <c r="D2487" s="285" t="s">
        <v>956</v>
      </c>
      <c r="E2487" s="285" t="s">
        <v>953</v>
      </c>
      <c r="F2487" s="113" t="s">
        <v>906</v>
      </c>
    </row>
    <row r="2488" spans="1:6" ht="14.25" customHeight="1">
      <c r="A2488" s="284" t="s">
        <v>833</v>
      </c>
      <c r="B2488" s="284">
        <v>2025</v>
      </c>
      <c r="C2488" s="284" t="s">
        <v>88</v>
      </c>
      <c r="D2488" s="284" t="s">
        <v>956</v>
      </c>
      <c r="E2488" s="284" t="s">
        <v>981</v>
      </c>
      <c r="F2488" s="113" t="s">
        <v>906</v>
      </c>
    </row>
    <row r="2489" spans="1:6" ht="14.25" customHeight="1">
      <c r="A2489" s="285" t="s">
        <v>833</v>
      </c>
      <c r="B2489" s="285">
        <v>2025</v>
      </c>
      <c r="C2489" s="285" t="s">
        <v>88</v>
      </c>
      <c r="D2489" s="285" t="s">
        <v>956</v>
      </c>
      <c r="E2489" s="285" t="s">
        <v>930</v>
      </c>
      <c r="F2489" s="113" t="s">
        <v>906</v>
      </c>
    </row>
    <row r="2490" spans="1:6" ht="14.25" customHeight="1">
      <c r="A2490" s="284" t="s">
        <v>833</v>
      </c>
      <c r="B2490" s="284">
        <v>2025</v>
      </c>
      <c r="C2490" s="284" t="s">
        <v>88</v>
      </c>
      <c r="D2490" s="284" t="s">
        <v>956</v>
      </c>
      <c r="E2490" s="284" t="s">
        <v>1070</v>
      </c>
      <c r="F2490" s="113" t="s">
        <v>483</v>
      </c>
    </row>
    <row r="2491" spans="1:6" ht="14.25" customHeight="1">
      <c r="A2491" s="285" t="s">
        <v>833</v>
      </c>
      <c r="B2491" s="285">
        <v>2025</v>
      </c>
      <c r="C2491" s="285" t="s">
        <v>88</v>
      </c>
      <c r="D2491" s="285" t="s">
        <v>956</v>
      </c>
      <c r="E2491" s="285" t="s">
        <v>1078</v>
      </c>
      <c r="F2491" s="113" t="s">
        <v>915</v>
      </c>
    </row>
    <row r="2492" spans="1:6" ht="14.25" customHeight="1">
      <c r="A2492" s="284" t="s">
        <v>833</v>
      </c>
      <c r="B2492" s="284">
        <v>2025</v>
      </c>
      <c r="C2492" s="284" t="s">
        <v>88</v>
      </c>
      <c r="D2492" s="284" t="s">
        <v>956</v>
      </c>
      <c r="E2492" s="284" t="s">
        <v>1108</v>
      </c>
      <c r="F2492" s="113" t="s">
        <v>915</v>
      </c>
    </row>
    <row r="2493" spans="1:6" ht="14.25" customHeight="1">
      <c r="A2493" s="285" t="s">
        <v>833</v>
      </c>
      <c r="B2493" s="285">
        <v>2025</v>
      </c>
      <c r="C2493" s="285" t="s">
        <v>88</v>
      </c>
      <c r="D2493" s="285" t="s">
        <v>956</v>
      </c>
      <c r="E2493" s="285" t="s">
        <v>943</v>
      </c>
      <c r="F2493" s="113" t="s">
        <v>917</v>
      </c>
    </row>
    <row r="2494" spans="1:6" ht="14.25" customHeight="1">
      <c r="A2494" s="284" t="s">
        <v>833</v>
      </c>
      <c r="B2494" s="284">
        <v>2025</v>
      </c>
      <c r="C2494" s="284" t="s">
        <v>88</v>
      </c>
      <c r="D2494" s="284" t="s">
        <v>956</v>
      </c>
      <c r="E2494" s="284" t="s">
        <v>946</v>
      </c>
      <c r="F2494" s="113" t="s">
        <v>924</v>
      </c>
    </row>
    <row r="2495" spans="1:6" ht="14.25" customHeight="1">
      <c r="A2495" s="285" t="s">
        <v>833</v>
      </c>
      <c r="B2495" s="285">
        <v>2025</v>
      </c>
      <c r="C2495" s="285" t="s">
        <v>88</v>
      </c>
      <c r="D2495" s="285" t="s">
        <v>956</v>
      </c>
      <c r="E2495" s="285" t="s">
        <v>1047</v>
      </c>
      <c r="F2495" s="113" t="s">
        <v>924</v>
      </c>
    </row>
    <row r="2496" spans="1:6" ht="14.25" customHeight="1">
      <c r="A2496" s="284" t="s">
        <v>833</v>
      </c>
      <c r="B2496" s="284">
        <v>2025</v>
      </c>
      <c r="C2496" s="284" t="s">
        <v>88</v>
      </c>
      <c r="D2496" s="284" t="s">
        <v>956</v>
      </c>
      <c r="E2496" s="284" t="s">
        <v>1065</v>
      </c>
      <c r="F2496" s="113" t="s">
        <v>924</v>
      </c>
    </row>
    <row r="2497" spans="1:6" ht="14.25" customHeight="1">
      <c r="A2497" s="285" t="s">
        <v>833</v>
      </c>
      <c r="B2497" s="285">
        <v>2025</v>
      </c>
      <c r="C2497" s="285" t="s">
        <v>88</v>
      </c>
      <c r="D2497" s="285" t="s">
        <v>956</v>
      </c>
      <c r="E2497" s="285" t="s">
        <v>990</v>
      </c>
      <c r="F2497" s="113" t="s">
        <v>935</v>
      </c>
    </row>
    <row r="2498" spans="1:6" ht="14.25" customHeight="1">
      <c r="A2498" s="284" t="s">
        <v>833</v>
      </c>
      <c r="B2498" s="284">
        <v>2025</v>
      </c>
      <c r="C2498" s="284" t="s">
        <v>88</v>
      </c>
      <c r="D2498" s="284" t="s">
        <v>958</v>
      </c>
      <c r="E2498" s="284" t="s">
        <v>1028</v>
      </c>
      <c r="F2498" s="113" t="s">
        <v>906</v>
      </c>
    </row>
    <row r="2499" spans="1:6" ht="14.25" customHeight="1">
      <c r="A2499" s="285" t="s">
        <v>833</v>
      </c>
      <c r="B2499" s="285">
        <v>2025</v>
      </c>
      <c r="C2499" s="285" t="s">
        <v>88</v>
      </c>
      <c r="D2499" s="285" t="s">
        <v>958</v>
      </c>
      <c r="E2499" s="285" t="s">
        <v>1058</v>
      </c>
      <c r="F2499" s="113" t="s">
        <v>915</v>
      </c>
    </row>
    <row r="2500" spans="1:6" ht="14.25" customHeight="1">
      <c r="A2500" s="284" t="s">
        <v>833</v>
      </c>
      <c r="B2500" s="284">
        <v>2025</v>
      </c>
      <c r="C2500" s="284" t="s">
        <v>88</v>
      </c>
      <c r="D2500" s="284" t="s">
        <v>958</v>
      </c>
      <c r="E2500" s="284" t="s">
        <v>1009</v>
      </c>
      <c r="F2500" s="113" t="s">
        <v>917</v>
      </c>
    </row>
    <row r="2501" spans="1:6" ht="14.25" customHeight="1">
      <c r="A2501" s="285" t="s">
        <v>833</v>
      </c>
      <c r="B2501" s="285">
        <v>2025</v>
      </c>
      <c r="C2501" s="285" t="s">
        <v>88</v>
      </c>
      <c r="D2501" s="285" t="s">
        <v>969</v>
      </c>
      <c r="E2501" s="285" t="s">
        <v>1014</v>
      </c>
      <c r="F2501" s="113" t="s">
        <v>906</v>
      </c>
    </row>
    <row r="2502" spans="1:6" ht="14.25" customHeight="1">
      <c r="A2502" s="284" t="s">
        <v>833</v>
      </c>
      <c r="B2502" s="284">
        <v>2025</v>
      </c>
      <c r="C2502" s="284" t="s">
        <v>88</v>
      </c>
      <c r="D2502" s="284" t="s">
        <v>969</v>
      </c>
      <c r="E2502" s="284" t="s">
        <v>973</v>
      </c>
      <c r="F2502" s="113" t="s">
        <v>917</v>
      </c>
    </row>
    <row r="2503" spans="1:6" ht="14.25" customHeight="1">
      <c r="A2503" s="285" t="s">
        <v>833</v>
      </c>
      <c r="B2503" s="285">
        <v>2025</v>
      </c>
      <c r="C2503" s="285" t="s">
        <v>88</v>
      </c>
      <c r="D2503" s="285" t="s">
        <v>969</v>
      </c>
      <c r="E2503" s="285" t="s">
        <v>1019</v>
      </c>
      <c r="F2503" s="113" t="s">
        <v>922</v>
      </c>
    </row>
    <row r="2504" spans="1:6" ht="14.25" customHeight="1">
      <c r="A2504" s="284" t="s">
        <v>833</v>
      </c>
      <c r="B2504" s="284">
        <v>2025</v>
      </c>
      <c r="C2504" s="284" t="s">
        <v>88</v>
      </c>
      <c r="D2504" s="284" t="s">
        <v>969</v>
      </c>
      <c r="E2504" s="284" t="s">
        <v>940</v>
      </c>
      <c r="F2504" s="113" t="s">
        <v>922</v>
      </c>
    </row>
    <row r="2505" spans="1:6" ht="14.25" customHeight="1">
      <c r="A2505" s="285" t="s">
        <v>833</v>
      </c>
      <c r="B2505" s="285">
        <v>2025</v>
      </c>
      <c r="C2505" s="285" t="s">
        <v>88</v>
      </c>
      <c r="D2505" s="285" t="s">
        <v>969</v>
      </c>
      <c r="E2505" s="285" t="s">
        <v>1066</v>
      </c>
      <c r="F2505" s="113" t="s">
        <v>935</v>
      </c>
    </row>
    <row r="2506" spans="1:6" ht="14.25" customHeight="1">
      <c r="A2506" s="284" t="s">
        <v>833</v>
      </c>
      <c r="B2506" s="284">
        <v>2025</v>
      </c>
      <c r="C2506" s="284" t="s">
        <v>859</v>
      </c>
      <c r="D2506" s="284" t="s">
        <v>1005</v>
      </c>
      <c r="E2506" s="284" t="s">
        <v>954</v>
      </c>
      <c r="F2506" s="113" t="s">
        <v>906</v>
      </c>
    </row>
    <row r="2507" spans="1:6" ht="14.25" customHeight="1">
      <c r="A2507" s="285" t="s">
        <v>833</v>
      </c>
      <c r="B2507" s="285">
        <v>2025</v>
      </c>
      <c r="C2507" s="285" t="s">
        <v>859</v>
      </c>
      <c r="D2507" s="285" t="s">
        <v>999</v>
      </c>
      <c r="E2507" s="285" t="s">
        <v>1223</v>
      </c>
      <c r="F2507" s="113" t="s">
        <v>917</v>
      </c>
    </row>
    <row r="2508" spans="1:6" ht="14.25" customHeight="1">
      <c r="A2508" s="284" t="s">
        <v>833</v>
      </c>
      <c r="B2508" s="284">
        <v>2025</v>
      </c>
      <c r="C2508" s="284" t="s">
        <v>859</v>
      </c>
      <c r="D2508" s="284" t="s">
        <v>998</v>
      </c>
      <c r="E2508" s="284" t="s">
        <v>1036</v>
      </c>
      <c r="F2508" s="113" t="s">
        <v>906</v>
      </c>
    </row>
    <row r="2509" spans="1:6" ht="14.25" customHeight="1">
      <c r="A2509" s="285" t="s">
        <v>833</v>
      </c>
      <c r="B2509" s="285">
        <v>2025</v>
      </c>
      <c r="C2509" s="285" t="s">
        <v>859</v>
      </c>
      <c r="D2509" s="285" t="s">
        <v>998</v>
      </c>
      <c r="E2509" s="285" t="s">
        <v>1041</v>
      </c>
      <c r="F2509" s="113" t="s">
        <v>906</v>
      </c>
    </row>
    <row r="2510" spans="1:6" ht="14.25" customHeight="1">
      <c r="A2510" s="284" t="s">
        <v>833</v>
      </c>
      <c r="B2510" s="284">
        <v>2025</v>
      </c>
      <c r="C2510" s="284" t="s">
        <v>859</v>
      </c>
      <c r="D2510" s="284" t="s">
        <v>998</v>
      </c>
      <c r="E2510" s="284" t="s">
        <v>1028</v>
      </c>
      <c r="F2510" s="113" t="s">
        <v>906</v>
      </c>
    </row>
    <row r="2511" spans="1:6" ht="14.25" customHeight="1">
      <c r="A2511" s="285" t="s">
        <v>833</v>
      </c>
      <c r="B2511" s="285">
        <v>2025</v>
      </c>
      <c r="C2511" s="285" t="s">
        <v>859</v>
      </c>
      <c r="D2511" s="285" t="s">
        <v>998</v>
      </c>
      <c r="E2511" s="285" t="s">
        <v>991</v>
      </c>
      <c r="F2511" s="113" t="s">
        <v>906</v>
      </c>
    </row>
    <row r="2512" spans="1:6" ht="14.25" customHeight="1">
      <c r="A2512" s="284" t="s">
        <v>833</v>
      </c>
      <c r="B2512" s="284">
        <v>2025</v>
      </c>
      <c r="C2512" s="284" t="s">
        <v>859</v>
      </c>
      <c r="D2512" s="284" t="s">
        <v>998</v>
      </c>
      <c r="E2512" s="284" t="s">
        <v>991</v>
      </c>
      <c r="F2512" s="113" t="s">
        <v>906</v>
      </c>
    </row>
    <row r="2513" spans="1:6" ht="14.25" customHeight="1">
      <c r="A2513" s="285" t="s">
        <v>833</v>
      </c>
      <c r="B2513" s="285">
        <v>2025</v>
      </c>
      <c r="C2513" s="285" t="s">
        <v>859</v>
      </c>
      <c r="D2513" s="285" t="s">
        <v>998</v>
      </c>
      <c r="E2513" s="285" t="s">
        <v>1153</v>
      </c>
      <c r="F2513" s="113" t="s">
        <v>483</v>
      </c>
    </row>
    <row r="2514" spans="1:6" ht="14.25" customHeight="1">
      <c r="A2514" s="284" t="s">
        <v>833</v>
      </c>
      <c r="B2514" s="284">
        <v>2025</v>
      </c>
      <c r="C2514" s="284" t="s">
        <v>859</v>
      </c>
      <c r="D2514" s="284" t="s">
        <v>998</v>
      </c>
      <c r="E2514" s="284" t="s">
        <v>1050</v>
      </c>
      <c r="F2514" s="113" t="s">
        <v>483</v>
      </c>
    </row>
    <row r="2515" spans="1:6" ht="14.25" customHeight="1">
      <c r="A2515" s="285" t="s">
        <v>833</v>
      </c>
      <c r="B2515" s="285">
        <v>2025</v>
      </c>
      <c r="C2515" s="285" t="s">
        <v>859</v>
      </c>
      <c r="D2515" s="285" t="s">
        <v>998</v>
      </c>
      <c r="E2515" s="285" t="s">
        <v>1081</v>
      </c>
      <c r="F2515" s="113" t="s">
        <v>911</v>
      </c>
    </row>
    <row r="2516" spans="1:6" ht="14.25" customHeight="1">
      <c r="A2516" s="284" t="s">
        <v>833</v>
      </c>
      <c r="B2516" s="284">
        <v>2025</v>
      </c>
      <c r="C2516" s="284" t="s">
        <v>859</v>
      </c>
      <c r="D2516" s="284" t="s">
        <v>998</v>
      </c>
      <c r="E2516" s="284" t="s">
        <v>968</v>
      </c>
      <c r="F2516" s="113" t="s">
        <v>915</v>
      </c>
    </row>
    <row r="2517" spans="1:6" ht="14.25" customHeight="1">
      <c r="A2517" s="285" t="s">
        <v>833</v>
      </c>
      <c r="B2517" s="285">
        <v>2025</v>
      </c>
      <c r="C2517" s="285" t="s">
        <v>859</v>
      </c>
      <c r="D2517" s="285" t="s">
        <v>998</v>
      </c>
      <c r="E2517" s="285" t="s">
        <v>943</v>
      </c>
      <c r="F2517" s="113" t="s">
        <v>917</v>
      </c>
    </row>
    <row r="2518" spans="1:6" ht="14.25" customHeight="1">
      <c r="A2518" s="284" t="s">
        <v>833</v>
      </c>
      <c r="B2518" s="284">
        <v>2025</v>
      </c>
      <c r="C2518" s="284" t="s">
        <v>859</v>
      </c>
      <c r="D2518" s="284" t="s">
        <v>998</v>
      </c>
      <c r="E2518" s="284" t="s">
        <v>1016</v>
      </c>
      <c r="F2518" s="113" t="s">
        <v>783</v>
      </c>
    </row>
    <row r="2519" spans="1:6" ht="14.25" customHeight="1">
      <c r="A2519" s="285" t="s">
        <v>833</v>
      </c>
      <c r="B2519" s="285">
        <v>2025</v>
      </c>
      <c r="C2519" s="285" t="s">
        <v>859</v>
      </c>
      <c r="D2519" s="285" t="s">
        <v>998</v>
      </c>
      <c r="E2519" s="285" t="s">
        <v>1001</v>
      </c>
      <c r="F2519" s="113" t="s">
        <v>783</v>
      </c>
    </row>
    <row r="2520" spans="1:6" ht="14.25" customHeight="1">
      <c r="A2520" s="284" t="s">
        <v>833</v>
      </c>
      <c r="B2520" s="284">
        <v>2025</v>
      </c>
      <c r="C2520" s="284" t="s">
        <v>859</v>
      </c>
      <c r="D2520" s="284" t="s">
        <v>998</v>
      </c>
      <c r="E2520" s="284" t="s">
        <v>1061</v>
      </c>
      <c r="F2520" s="113" t="s">
        <v>783</v>
      </c>
    </row>
    <row r="2521" spans="1:6" ht="14.25" customHeight="1">
      <c r="A2521" s="285" t="s">
        <v>833</v>
      </c>
      <c r="B2521" s="285">
        <v>2025</v>
      </c>
      <c r="C2521" s="285" t="s">
        <v>859</v>
      </c>
      <c r="D2521" s="285" t="s">
        <v>998</v>
      </c>
      <c r="E2521" s="285" t="s">
        <v>936</v>
      </c>
      <c r="F2521" s="113" t="s">
        <v>783</v>
      </c>
    </row>
    <row r="2522" spans="1:6" ht="14.25" customHeight="1">
      <c r="A2522" s="284" t="s">
        <v>833</v>
      </c>
      <c r="B2522" s="284">
        <v>2025</v>
      </c>
      <c r="C2522" s="284" t="s">
        <v>859</v>
      </c>
      <c r="D2522" s="284" t="s">
        <v>1000</v>
      </c>
      <c r="E2522" s="284" t="s">
        <v>1075</v>
      </c>
      <c r="F2522" s="113" t="s">
        <v>483</v>
      </c>
    </row>
    <row r="2523" spans="1:6" ht="14.25" customHeight="1">
      <c r="A2523" s="285" t="s">
        <v>833</v>
      </c>
      <c r="B2523" s="285">
        <v>2025</v>
      </c>
      <c r="C2523" s="285" t="s">
        <v>859</v>
      </c>
      <c r="D2523" s="285" t="s">
        <v>1000</v>
      </c>
      <c r="E2523" s="285" t="s">
        <v>1218</v>
      </c>
      <c r="F2523" s="113" t="s">
        <v>483</v>
      </c>
    </row>
    <row r="2524" spans="1:6" ht="14.25" customHeight="1">
      <c r="A2524" s="284" t="s">
        <v>833</v>
      </c>
      <c r="B2524" s="284">
        <v>2025</v>
      </c>
      <c r="C2524" s="284" t="s">
        <v>859</v>
      </c>
      <c r="D2524" s="284" t="s">
        <v>1000</v>
      </c>
      <c r="E2524" s="284" t="s">
        <v>1128</v>
      </c>
      <c r="F2524" s="113" t="s">
        <v>483</v>
      </c>
    </row>
    <row r="2525" spans="1:6" ht="14.25" customHeight="1">
      <c r="A2525" s="285" t="s">
        <v>833</v>
      </c>
      <c r="B2525" s="285">
        <v>2025</v>
      </c>
      <c r="C2525" s="285" t="s">
        <v>859</v>
      </c>
      <c r="D2525" s="285" t="s">
        <v>1000</v>
      </c>
      <c r="E2525" s="285" t="s">
        <v>938</v>
      </c>
      <c r="F2525" s="113" t="s">
        <v>663</v>
      </c>
    </row>
    <row r="2526" spans="1:6" ht="14.25" customHeight="1">
      <c r="A2526" s="284" t="s">
        <v>833</v>
      </c>
      <c r="B2526" s="284">
        <v>2025</v>
      </c>
      <c r="C2526" s="284" t="s">
        <v>859</v>
      </c>
      <c r="D2526" s="284" t="s">
        <v>1000</v>
      </c>
      <c r="E2526" s="284" t="s">
        <v>1168</v>
      </c>
      <c r="F2526" s="113" t="s">
        <v>663</v>
      </c>
    </row>
    <row r="2527" spans="1:6" ht="14.25" customHeight="1">
      <c r="A2527" s="285" t="s">
        <v>833</v>
      </c>
      <c r="B2527" s="285">
        <v>2025</v>
      </c>
      <c r="C2527" s="285" t="s">
        <v>859</v>
      </c>
      <c r="D2527" s="285" t="s">
        <v>1000</v>
      </c>
      <c r="E2527" s="285" t="s">
        <v>1085</v>
      </c>
      <c r="F2527" s="113" t="s">
        <v>917</v>
      </c>
    </row>
    <row r="2528" spans="1:6" ht="14.25" customHeight="1">
      <c r="A2528" s="284" t="s">
        <v>833</v>
      </c>
      <c r="B2528" s="284">
        <v>2025</v>
      </c>
      <c r="C2528" s="284" t="s">
        <v>859</v>
      </c>
      <c r="D2528" s="284" t="s">
        <v>1000</v>
      </c>
      <c r="E2528" s="284" t="s">
        <v>1071</v>
      </c>
      <c r="F2528" s="113" t="s">
        <v>918</v>
      </c>
    </row>
    <row r="2529" spans="1:6" ht="14.25" customHeight="1">
      <c r="A2529" s="285" t="s">
        <v>833</v>
      </c>
      <c r="B2529" s="285">
        <v>2025</v>
      </c>
      <c r="C2529" s="285" t="s">
        <v>872</v>
      </c>
      <c r="D2529" s="285" t="s">
        <v>1013</v>
      </c>
      <c r="E2529" s="285" t="s">
        <v>953</v>
      </c>
      <c r="F2529" s="113" t="s">
        <v>906</v>
      </c>
    </row>
    <row r="2530" spans="1:6" ht="14.25" customHeight="1">
      <c r="A2530" s="284" t="s">
        <v>833</v>
      </c>
      <c r="B2530" s="284">
        <v>2025</v>
      </c>
      <c r="C2530" s="284" t="s">
        <v>872</v>
      </c>
      <c r="D2530" s="284" t="s">
        <v>1013</v>
      </c>
      <c r="E2530" s="284" t="s">
        <v>953</v>
      </c>
      <c r="F2530" s="113" t="s">
        <v>906</v>
      </c>
    </row>
    <row r="2531" spans="1:6" ht="14.25" customHeight="1">
      <c r="A2531" s="285" t="s">
        <v>833</v>
      </c>
      <c r="B2531" s="285">
        <v>2025</v>
      </c>
      <c r="C2531" s="285" t="s">
        <v>872</v>
      </c>
      <c r="D2531" s="285" t="s">
        <v>1013</v>
      </c>
      <c r="E2531" s="285" t="s">
        <v>1087</v>
      </c>
      <c r="F2531" s="113" t="s">
        <v>663</v>
      </c>
    </row>
    <row r="2532" spans="1:6" ht="14.25" customHeight="1">
      <c r="A2532" s="284" t="s">
        <v>833</v>
      </c>
      <c r="B2532" s="284">
        <v>2025</v>
      </c>
      <c r="C2532" s="284" t="s">
        <v>872</v>
      </c>
      <c r="D2532" s="284" t="s">
        <v>1013</v>
      </c>
      <c r="E2532" s="284" t="s">
        <v>937</v>
      </c>
      <c r="F2532" s="113" t="s">
        <v>917</v>
      </c>
    </row>
    <row r="2533" spans="1:6" ht="14.25" customHeight="1">
      <c r="A2533" s="285" t="s">
        <v>833</v>
      </c>
      <c r="B2533" s="285">
        <v>2025</v>
      </c>
      <c r="C2533" s="285" t="s">
        <v>872</v>
      </c>
      <c r="D2533" s="285" t="s">
        <v>1013</v>
      </c>
      <c r="E2533" s="285" t="s">
        <v>990</v>
      </c>
      <c r="F2533" s="113" t="s">
        <v>922</v>
      </c>
    </row>
    <row r="2534" spans="1:6" ht="14.25" customHeight="1">
      <c r="A2534" s="284" t="s">
        <v>833</v>
      </c>
      <c r="B2534" s="284">
        <v>2025</v>
      </c>
      <c r="C2534" s="284" t="s">
        <v>872</v>
      </c>
      <c r="D2534" s="284" t="s">
        <v>1012</v>
      </c>
      <c r="E2534" s="284" t="s">
        <v>954</v>
      </c>
      <c r="F2534" s="113" t="s">
        <v>906</v>
      </c>
    </row>
    <row r="2535" spans="1:6" ht="14.25" customHeight="1">
      <c r="A2535" s="285" t="s">
        <v>833</v>
      </c>
      <c r="B2535" s="285">
        <v>2025</v>
      </c>
      <c r="C2535" s="285" t="s">
        <v>872</v>
      </c>
      <c r="D2535" s="285" t="s">
        <v>1015</v>
      </c>
      <c r="E2535" s="285" t="s">
        <v>1187</v>
      </c>
      <c r="F2535" s="113" t="s">
        <v>783</v>
      </c>
    </row>
    <row r="2536" spans="1:6" ht="14.25" customHeight="1">
      <c r="A2536" s="284" t="s">
        <v>833</v>
      </c>
      <c r="B2536" s="284">
        <v>2025</v>
      </c>
      <c r="C2536" s="284" t="s">
        <v>1024</v>
      </c>
      <c r="D2536" s="284" t="s">
        <v>1029</v>
      </c>
      <c r="E2536" s="284" t="s">
        <v>951</v>
      </c>
      <c r="F2536" s="113" t="s">
        <v>917</v>
      </c>
    </row>
    <row r="2537" spans="1:6" ht="14.25" customHeight="1">
      <c r="A2537" s="285" t="s">
        <v>833</v>
      </c>
      <c r="B2537" s="285">
        <v>2025</v>
      </c>
      <c r="C2537" s="285" t="s">
        <v>1024</v>
      </c>
      <c r="D2537" s="285" t="s">
        <v>1029</v>
      </c>
      <c r="E2537" s="284" t="s">
        <v>2</v>
      </c>
      <c r="F2537" s="113" t="s">
        <v>924</v>
      </c>
    </row>
    <row r="2538" spans="1:6" ht="14.25" customHeight="1">
      <c r="A2538" s="284" t="s">
        <v>833</v>
      </c>
      <c r="B2538" s="284">
        <v>2025</v>
      </c>
      <c r="C2538" s="284" t="s">
        <v>1024</v>
      </c>
      <c r="D2538" s="284" t="s">
        <v>1029</v>
      </c>
      <c r="E2538" s="284" t="s">
        <v>957</v>
      </c>
      <c r="F2538" s="113" t="s">
        <v>924</v>
      </c>
    </row>
    <row r="2539" spans="1:6" ht="14.25" customHeight="1">
      <c r="A2539" s="285" t="s">
        <v>833</v>
      </c>
      <c r="B2539" s="285">
        <v>2025</v>
      </c>
      <c r="C2539" s="285" t="s">
        <v>1024</v>
      </c>
      <c r="D2539" s="285" t="s">
        <v>1027</v>
      </c>
      <c r="E2539" s="285" t="s">
        <v>930</v>
      </c>
      <c r="F2539" s="113" t="s">
        <v>906</v>
      </c>
    </row>
    <row r="2540" spans="1:6" ht="14.25" customHeight="1">
      <c r="A2540" s="284" t="s">
        <v>833</v>
      </c>
      <c r="B2540" s="284">
        <v>2025</v>
      </c>
      <c r="C2540" s="284" t="s">
        <v>1024</v>
      </c>
      <c r="D2540" s="284" t="s">
        <v>1027</v>
      </c>
      <c r="E2540" s="284" t="s">
        <v>981</v>
      </c>
      <c r="F2540" s="113" t="s">
        <v>906</v>
      </c>
    </row>
    <row r="2541" spans="1:6" ht="14.25" customHeight="1">
      <c r="A2541" s="285" t="s">
        <v>833</v>
      </c>
      <c r="B2541" s="285">
        <v>2025</v>
      </c>
      <c r="C2541" s="285" t="s">
        <v>1024</v>
      </c>
      <c r="D2541" s="285" t="s">
        <v>1027</v>
      </c>
      <c r="E2541" s="285" t="s">
        <v>1052</v>
      </c>
      <c r="F2541" s="113" t="s">
        <v>909</v>
      </c>
    </row>
    <row r="2542" spans="1:6" ht="14.25" customHeight="1">
      <c r="A2542" s="284" t="s">
        <v>833</v>
      </c>
      <c r="B2542" s="284">
        <v>2025</v>
      </c>
      <c r="C2542" s="284" t="s">
        <v>1024</v>
      </c>
      <c r="D2542" s="284" t="s">
        <v>1027</v>
      </c>
      <c r="E2542" s="284" t="s">
        <v>937</v>
      </c>
      <c r="F2542" s="113" t="s">
        <v>917</v>
      </c>
    </row>
    <row r="2543" spans="1:6" ht="14.25" customHeight="1">
      <c r="A2543" s="285" t="s">
        <v>833</v>
      </c>
      <c r="B2543" s="285">
        <v>2025</v>
      </c>
      <c r="C2543" s="285" t="s">
        <v>1024</v>
      </c>
      <c r="D2543" s="285" t="s">
        <v>1026</v>
      </c>
      <c r="E2543" s="285" t="s">
        <v>952</v>
      </c>
      <c r="F2543" s="113" t="s">
        <v>906</v>
      </c>
    </row>
    <row r="2544" spans="1:6" ht="14.25" customHeight="1">
      <c r="A2544" s="284" t="s">
        <v>833</v>
      </c>
      <c r="B2544" s="284">
        <v>2025</v>
      </c>
      <c r="C2544" s="284" t="s">
        <v>1024</v>
      </c>
      <c r="D2544" s="284" t="s">
        <v>1142</v>
      </c>
      <c r="E2544" s="284" t="s">
        <v>1080</v>
      </c>
      <c r="F2544" s="113" t="s">
        <v>913</v>
      </c>
    </row>
    <row r="2545" spans="1:6" ht="14.25" customHeight="1">
      <c r="A2545" s="285" t="s">
        <v>833</v>
      </c>
      <c r="B2545" s="285">
        <v>2025</v>
      </c>
      <c r="C2545" s="285" t="s">
        <v>1024</v>
      </c>
      <c r="D2545" s="285" t="s">
        <v>1025</v>
      </c>
      <c r="E2545" s="285" t="s">
        <v>1014</v>
      </c>
      <c r="F2545" s="113" t="s">
        <v>906</v>
      </c>
    </row>
    <row r="2546" spans="1:6" ht="14.25" customHeight="1">
      <c r="A2546" s="284" t="s">
        <v>833</v>
      </c>
      <c r="B2546" s="284">
        <v>2025</v>
      </c>
      <c r="C2546" s="284" t="s">
        <v>1024</v>
      </c>
      <c r="D2546" s="284" t="s">
        <v>1025</v>
      </c>
      <c r="E2546" s="284" t="s">
        <v>1085</v>
      </c>
      <c r="F2546" s="113" t="s">
        <v>917</v>
      </c>
    </row>
    <row r="2547" spans="1:6" ht="14.25" customHeight="1">
      <c r="A2547" s="285" t="s">
        <v>833</v>
      </c>
      <c r="B2547" s="285">
        <v>2025</v>
      </c>
      <c r="C2547" s="285" t="s">
        <v>1024</v>
      </c>
      <c r="D2547" s="285" t="s">
        <v>1025</v>
      </c>
      <c r="E2547" s="285" t="s">
        <v>1224</v>
      </c>
      <c r="F2547" s="113" t="s">
        <v>783</v>
      </c>
    </row>
    <row r="2548" spans="1:6" ht="14.25" customHeight="1">
      <c r="A2548" s="284" t="s">
        <v>833</v>
      </c>
      <c r="B2548" s="284">
        <v>2025</v>
      </c>
      <c r="C2548" s="284" t="s">
        <v>1024</v>
      </c>
      <c r="D2548" s="284" t="s">
        <v>1025</v>
      </c>
      <c r="E2548" s="284" t="s">
        <v>1114</v>
      </c>
      <c r="F2548" s="113" t="s">
        <v>783</v>
      </c>
    </row>
    <row r="2549" spans="1:6" ht="14.25" customHeight="1">
      <c r="A2549" s="285" t="s">
        <v>834</v>
      </c>
      <c r="B2549" s="285">
        <v>2025</v>
      </c>
      <c r="C2549" s="285" t="s">
        <v>821</v>
      </c>
      <c r="D2549" s="285" t="s">
        <v>132</v>
      </c>
      <c r="E2549" s="285" t="s">
        <v>1225</v>
      </c>
      <c r="F2549" s="284" t="s">
        <v>1144</v>
      </c>
    </row>
    <row r="2550" spans="1:6" ht="14.25" customHeight="1">
      <c r="A2550" s="284" t="s">
        <v>834</v>
      </c>
      <c r="B2550" s="284">
        <v>2025</v>
      </c>
      <c r="C2550" s="284" t="s">
        <v>821</v>
      </c>
      <c r="D2550" s="284" t="s">
        <v>132</v>
      </c>
      <c r="E2550" s="284" t="s">
        <v>1219</v>
      </c>
      <c r="F2550" s="113" t="s">
        <v>906</v>
      </c>
    </row>
    <row r="2551" spans="1:6" ht="14.25" customHeight="1">
      <c r="A2551" s="285" t="s">
        <v>834</v>
      </c>
      <c r="B2551" s="285">
        <v>2025</v>
      </c>
      <c r="C2551" s="285" t="s">
        <v>821</v>
      </c>
      <c r="D2551" s="285" t="s">
        <v>132</v>
      </c>
      <c r="E2551" s="285" t="s">
        <v>1036</v>
      </c>
      <c r="F2551" s="113" t="s">
        <v>906</v>
      </c>
    </row>
    <row r="2552" spans="1:6" ht="14.25" customHeight="1">
      <c r="A2552" s="284" t="s">
        <v>834</v>
      </c>
      <c r="B2552" s="284">
        <v>2025</v>
      </c>
      <c r="C2552" s="284" t="s">
        <v>821</v>
      </c>
      <c r="D2552" s="284" t="s">
        <v>132</v>
      </c>
      <c r="E2552" s="284" t="s">
        <v>1219</v>
      </c>
      <c r="F2552" s="113" t="s">
        <v>906</v>
      </c>
    </row>
    <row r="2553" spans="1:6" ht="14.25" customHeight="1">
      <c r="A2553" s="285" t="s">
        <v>834</v>
      </c>
      <c r="B2553" s="285">
        <v>2025</v>
      </c>
      <c r="C2553" s="285" t="s">
        <v>821</v>
      </c>
      <c r="D2553" s="285" t="s">
        <v>132</v>
      </c>
      <c r="E2553" s="285" t="s">
        <v>936</v>
      </c>
      <c r="F2553" s="113" t="s">
        <v>783</v>
      </c>
    </row>
    <row r="2554" spans="1:6" ht="14.25" customHeight="1">
      <c r="A2554" s="284" t="s">
        <v>834</v>
      </c>
      <c r="B2554" s="284">
        <v>2025</v>
      </c>
      <c r="C2554" s="284" t="s">
        <v>821</v>
      </c>
      <c r="D2554" s="284" t="s">
        <v>132</v>
      </c>
      <c r="E2554" s="284" t="s">
        <v>1219</v>
      </c>
      <c r="F2554" s="113" t="s">
        <v>906</v>
      </c>
    </row>
    <row r="2555" spans="1:6" ht="14.25" customHeight="1">
      <c r="A2555" s="285" t="s">
        <v>834</v>
      </c>
      <c r="B2555" s="285">
        <v>2025</v>
      </c>
      <c r="C2555" s="285" t="s">
        <v>821</v>
      </c>
      <c r="D2555" s="285" t="s">
        <v>132</v>
      </c>
      <c r="E2555" s="285" t="s">
        <v>1219</v>
      </c>
      <c r="F2555" s="113" t="s">
        <v>906</v>
      </c>
    </row>
    <row r="2556" spans="1:6" ht="14.25" customHeight="1">
      <c r="A2556" s="284" t="s">
        <v>834</v>
      </c>
      <c r="B2556" s="284">
        <v>2025</v>
      </c>
      <c r="C2556" s="284" t="s">
        <v>821</v>
      </c>
      <c r="D2556" s="284" t="s">
        <v>132</v>
      </c>
      <c r="E2556" s="284" t="s">
        <v>1017</v>
      </c>
      <c r="F2556" s="113" t="s">
        <v>909</v>
      </c>
    </row>
    <row r="2557" spans="1:6" ht="14.25" customHeight="1">
      <c r="A2557" s="285" t="s">
        <v>834</v>
      </c>
      <c r="B2557" s="285">
        <v>2025</v>
      </c>
      <c r="C2557" s="285" t="s">
        <v>821</v>
      </c>
      <c r="D2557" s="285" t="s">
        <v>132</v>
      </c>
      <c r="E2557" s="285" t="s">
        <v>1096</v>
      </c>
      <c r="F2557" s="113" t="s">
        <v>909</v>
      </c>
    </row>
    <row r="2558" spans="1:6" ht="14.25" customHeight="1">
      <c r="A2558" s="284" t="s">
        <v>834</v>
      </c>
      <c r="B2558" s="284">
        <v>2025</v>
      </c>
      <c r="C2558" s="284" t="s">
        <v>821</v>
      </c>
      <c r="D2558" s="284" t="s">
        <v>132</v>
      </c>
      <c r="E2558" s="284" t="s">
        <v>971</v>
      </c>
      <c r="F2558" s="113" t="s">
        <v>909</v>
      </c>
    </row>
    <row r="2559" spans="1:6" ht="14.25" customHeight="1">
      <c r="A2559" s="285" t="s">
        <v>834</v>
      </c>
      <c r="B2559" s="285">
        <v>2025</v>
      </c>
      <c r="C2559" s="285" t="s">
        <v>821</v>
      </c>
      <c r="D2559" s="285" t="s">
        <v>132</v>
      </c>
      <c r="E2559" s="285" t="s">
        <v>1087</v>
      </c>
      <c r="F2559" s="113" t="s">
        <v>663</v>
      </c>
    </row>
    <row r="2560" spans="1:6" ht="14.25" customHeight="1">
      <c r="A2560" s="284" t="s">
        <v>834</v>
      </c>
      <c r="B2560" s="284">
        <v>2025</v>
      </c>
      <c r="C2560" s="284" t="s">
        <v>821</v>
      </c>
      <c r="D2560" s="284" t="s">
        <v>132</v>
      </c>
      <c r="E2560" s="284" t="s">
        <v>941</v>
      </c>
      <c r="F2560" s="113" t="s">
        <v>663</v>
      </c>
    </row>
    <row r="2561" spans="1:6" ht="14.25" customHeight="1">
      <c r="A2561" s="285" t="s">
        <v>834</v>
      </c>
      <c r="B2561" s="285">
        <v>2025</v>
      </c>
      <c r="C2561" s="285" t="s">
        <v>821</v>
      </c>
      <c r="D2561" s="285" t="s">
        <v>132</v>
      </c>
      <c r="E2561" s="285" t="s">
        <v>1191</v>
      </c>
      <c r="F2561" s="113" t="s">
        <v>663</v>
      </c>
    </row>
    <row r="2562" spans="1:6" ht="14.25" customHeight="1">
      <c r="A2562" s="284" t="s">
        <v>834</v>
      </c>
      <c r="B2562" s="284">
        <v>2025</v>
      </c>
      <c r="C2562" s="284" t="s">
        <v>821</v>
      </c>
      <c r="D2562" s="284" t="s">
        <v>132</v>
      </c>
      <c r="E2562" s="284" t="s">
        <v>1135</v>
      </c>
      <c r="F2562" s="113" t="s">
        <v>663</v>
      </c>
    </row>
    <row r="2563" spans="1:6" ht="14.25" customHeight="1">
      <c r="A2563" s="285" t="s">
        <v>834</v>
      </c>
      <c r="B2563" s="285">
        <v>2025</v>
      </c>
      <c r="C2563" s="285" t="s">
        <v>821</v>
      </c>
      <c r="D2563" s="285" t="s">
        <v>132</v>
      </c>
      <c r="E2563" s="285" t="s">
        <v>1106</v>
      </c>
      <c r="F2563" s="113" t="s">
        <v>915</v>
      </c>
    </row>
    <row r="2564" spans="1:6" ht="14.25" customHeight="1">
      <c r="A2564" s="284" t="s">
        <v>834</v>
      </c>
      <c r="B2564" s="284">
        <v>2025</v>
      </c>
      <c r="C2564" s="284" t="s">
        <v>821</v>
      </c>
      <c r="D2564" s="284" t="s">
        <v>132</v>
      </c>
      <c r="E2564" s="284" t="s">
        <v>1072</v>
      </c>
      <c r="F2564" s="113" t="s">
        <v>915</v>
      </c>
    </row>
    <row r="2565" spans="1:6" ht="14.25" customHeight="1">
      <c r="A2565" s="285" t="s">
        <v>834</v>
      </c>
      <c r="B2565" s="285">
        <v>2025</v>
      </c>
      <c r="C2565" s="285" t="s">
        <v>821</v>
      </c>
      <c r="D2565" s="285" t="s">
        <v>132</v>
      </c>
      <c r="E2565" s="285" t="s">
        <v>974</v>
      </c>
      <c r="F2565" s="113" t="s">
        <v>917</v>
      </c>
    </row>
    <row r="2566" spans="1:6" ht="14.25" customHeight="1">
      <c r="A2566" s="284" t="s">
        <v>834</v>
      </c>
      <c r="B2566" s="284">
        <v>2025</v>
      </c>
      <c r="C2566" s="284" t="s">
        <v>821</v>
      </c>
      <c r="D2566" s="284" t="s">
        <v>132</v>
      </c>
      <c r="E2566" s="284" t="s">
        <v>1193</v>
      </c>
      <c r="F2566" s="113" t="s">
        <v>918</v>
      </c>
    </row>
    <row r="2567" spans="1:6" ht="14.25" customHeight="1">
      <c r="A2567" s="285" t="s">
        <v>834</v>
      </c>
      <c r="B2567" s="285">
        <v>2025</v>
      </c>
      <c r="C2567" s="285" t="s">
        <v>821</v>
      </c>
      <c r="D2567" s="285" t="s">
        <v>132</v>
      </c>
      <c r="E2567" s="285" t="s">
        <v>936</v>
      </c>
      <c r="F2567" s="113" t="s">
        <v>783</v>
      </c>
    </row>
    <row r="2568" spans="1:6" ht="14.25" customHeight="1">
      <c r="A2568" s="284" t="s">
        <v>834</v>
      </c>
      <c r="B2568" s="284">
        <v>2025</v>
      </c>
      <c r="C2568" s="284" t="s">
        <v>821</v>
      </c>
      <c r="D2568" s="284" t="s">
        <v>132</v>
      </c>
      <c r="E2568" s="284" t="s">
        <v>1213</v>
      </c>
      <c r="F2568" s="113" t="s">
        <v>783</v>
      </c>
    </row>
    <row r="2569" spans="1:6" ht="14.25" customHeight="1">
      <c r="A2569" s="285" t="s">
        <v>834</v>
      </c>
      <c r="B2569" s="285">
        <v>2025</v>
      </c>
      <c r="C2569" s="285" t="s">
        <v>821</v>
      </c>
      <c r="D2569" s="285" t="s">
        <v>132</v>
      </c>
      <c r="E2569" s="285" t="s">
        <v>936</v>
      </c>
      <c r="F2569" s="113" t="s">
        <v>783</v>
      </c>
    </row>
    <row r="2570" spans="1:6" ht="14.25" customHeight="1">
      <c r="A2570" s="284" t="s">
        <v>834</v>
      </c>
      <c r="B2570" s="284">
        <v>2025</v>
      </c>
      <c r="C2570" s="284" t="s">
        <v>821</v>
      </c>
      <c r="D2570" s="284" t="s">
        <v>132</v>
      </c>
      <c r="E2570" s="284" t="s">
        <v>1202</v>
      </c>
      <c r="F2570" s="113" t="s">
        <v>924</v>
      </c>
    </row>
    <row r="2571" spans="1:6" ht="14.25" customHeight="1">
      <c r="A2571" s="285" t="s">
        <v>834</v>
      </c>
      <c r="B2571" s="285">
        <v>2025</v>
      </c>
      <c r="C2571" s="285" t="s">
        <v>821</v>
      </c>
      <c r="D2571" s="285" t="s">
        <v>132</v>
      </c>
      <c r="E2571" s="285" t="s">
        <v>957</v>
      </c>
      <c r="F2571" s="113" t="s">
        <v>924</v>
      </c>
    </row>
    <row r="2572" spans="1:6" ht="14.25" customHeight="1">
      <c r="A2572" s="284" t="s">
        <v>834</v>
      </c>
      <c r="B2572" s="284">
        <v>2025</v>
      </c>
      <c r="C2572" s="284" t="s">
        <v>821</v>
      </c>
      <c r="D2572" s="284" t="s">
        <v>1033</v>
      </c>
      <c r="E2572" s="284" t="s">
        <v>1070</v>
      </c>
      <c r="F2572" s="113" t="s">
        <v>483</v>
      </c>
    </row>
    <row r="2573" spans="1:6" ht="14.25" customHeight="1">
      <c r="A2573" s="285" t="s">
        <v>834</v>
      </c>
      <c r="B2573" s="285">
        <v>2025</v>
      </c>
      <c r="C2573" s="285" t="s">
        <v>821</v>
      </c>
      <c r="D2573" s="285" t="s">
        <v>1033</v>
      </c>
      <c r="E2573" s="285" t="s">
        <v>1175</v>
      </c>
      <c r="F2573" s="113" t="s">
        <v>483</v>
      </c>
    </row>
    <row r="2574" spans="1:6" ht="14.25" customHeight="1">
      <c r="A2574" s="284" t="s">
        <v>834</v>
      </c>
      <c r="B2574" s="284">
        <v>2025</v>
      </c>
      <c r="C2574" s="284" t="s">
        <v>821</v>
      </c>
      <c r="D2574" s="284" t="s">
        <v>1033</v>
      </c>
      <c r="E2574" s="284" t="s">
        <v>1226</v>
      </c>
      <c r="F2574" s="113" t="s">
        <v>924</v>
      </c>
    </row>
    <row r="2575" spans="1:6" ht="14.25" customHeight="1">
      <c r="A2575" s="285" t="s">
        <v>834</v>
      </c>
      <c r="B2575" s="285">
        <v>2025</v>
      </c>
      <c r="C2575" s="285" t="s">
        <v>821</v>
      </c>
      <c r="D2575" s="285" t="s">
        <v>216</v>
      </c>
      <c r="E2575" s="285" t="s">
        <v>1006</v>
      </c>
      <c r="F2575" s="113" t="s">
        <v>917</v>
      </c>
    </row>
    <row r="2576" spans="1:6" ht="14.25" customHeight="1">
      <c r="A2576" s="284" t="s">
        <v>834</v>
      </c>
      <c r="B2576" s="284">
        <v>2025</v>
      </c>
      <c r="C2576" s="284" t="s">
        <v>821</v>
      </c>
      <c r="D2576" s="284" t="s">
        <v>216</v>
      </c>
      <c r="E2576" s="284" t="s">
        <v>1227</v>
      </c>
      <c r="F2576" s="113" t="s">
        <v>918</v>
      </c>
    </row>
    <row r="2577" spans="1:6" ht="14.25" customHeight="1">
      <c r="A2577" s="285" t="s">
        <v>834</v>
      </c>
      <c r="B2577" s="285">
        <v>2025</v>
      </c>
      <c r="C2577" s="285" t="s">
        <v>821</v>
      </c>
      <c r="D2577" s="285" t="s">
        <v>216</v>
      </c>
      <c r="E2577" s="285" t="s">
        <v>2</v>
      </c>
      <c r="F2577" s="113" t="s">
        <v>935</v>
      </c>
    </row>
    <row r="2578" spans="1:6" ht="14.25" customHeight="1">
      <c r="A2578" s="284" t="s">
        <v>834</v>
      </c>
      <c r="B2578" s="284">
        <v>2025</v>
      </c>
      <c r="C2578" s="284" t="s">
        <v>821</v>
      </c>
      <c r="D2578" s="284" t="s">
        <v>976</v>
      </c>
      <c r="E2578" s="284" t="s">
        <v>986</v>
      </c>
      <c r="F2578" s="113" t="s">
        <v>906</v>
      </c>
    </row>
    <row r="2579" spans="1:6" ht="14.25" customHeight="1">
      <c r="A2579" s="285" t="s">
        <v>834</v>
      </c>
      <c r="B2579" s="285">
        <v>2025</v>
      </c>
      <c r="C2579" s="285" t="s">
        <v>821</v>
      </c>
      <c r="D2579" s="285" t="s">
        <v>976</v>
      </c>
      <c r="E2579" s="285" t="s">
        <v>952</v>
      </c>
      <c r="F2579" s="113" t="s">
        <v>906</v>
      </c>
    </row>
    <row r="2580" spans="1:6" ht="14.25" customHeight="1">
      <c r="A2580" s="284" t="s">
        <v>834</v>
      </c>
      <c r="B2580" s="284">
        <v>2025</v>
      </c>
      <c r="C2580" s="284" t="s">
        <v>821</v>
      </c>
      <c r="D2580" s="284" t="s">
        <v>976</v>
      </c>
      <c r="E2580" s="284" t="s">
        <v>986</v>
      </c>
      <c r="F2580" s="113" t="s">
        <v>906</v>
      </c>
    </row>
    <row r="2581" spans="1:6" ht="14.25" customHeight="1">
      <c r="A2581" s="285" t="s">
        <v>834</v>
      </c>
      <c r="B2581" s="285">
        <v>2025</v>
      </c>
      <c r="C2581" s="285" t="s">
        <v>821</v>
      </c>
      <c r="D2581" s="285" t="s">
        <v>976</v>
      </c>
      <c r="E2581" s="285" t="s">
        <v>1028</v>
      </c>
      <c r="F2581" s="113" t="s">
        <v>906</v>
      </c>
    </row>
    <row r="2582" spans="1:6" ht="14.25" customHeight="1">
      <c r="A2582" s="284" t="s">
        <v>834</v>
      </c>
      <c r="B2582" s="284">
        <v>2025</v>
      </c>
      <c r="C2582" s="284" t="s">
        <v>821</v>
      </c>
      <c r="D2582" s="284" t="s">
        <v>976</v>
      </c>
      <c r="E2582" s="284" t="s">
        <v>975</v>
      </c>
      <c r="F2582" s="113" t="s">
        <v>483</v>
      </c>
    </row>
    <row r="2583" spans="1:6" ht="14.25" customHeight="1">
      <c r="A2583" s="285" t="s">
        <v>834</v>
      </c>
      <c r="B2583" s="285">
        <v>2025</v>
      </c>
      <c r="C2583" s="285" t="s">
        <v>821</v>
      </c>
      <c r="D2583" s="285" t="s">
        <v>976</v>
      </c>
      <c r="E2583" s="285" t="s">
        <v>1228</v>
      </c>
      <c r="F2583" s="113" t="s">
        <v>909</v>
      </c>
    </row>
    <row r="2584" spans="1:6" ht="14.25" customHeight="1">
      <c r="A2584" s="284" t="s">
        <v>834</v>
      </c>
      <c r="B2584" s="284">
        <v>2025</v>
      </c>
      <c r="C2584" s="284" t="s">
        <v>821</v>
      </c>
      <c r="D2584" s="284" t="s">
        <v>976</v>
      </c>
      <c r="E2584" s="284" t="s">
        <v>982</v>
      </c>
      <c r="F2584" s="113" t="s">
        <v>663</v>
      </c>
    </row>
    <row r="2585" spans="1:6" ht="14.25" customHeight="1">
      <c r="A2585" s="285" t="s">
        <v>834</v>
      </c>
      <c r="B2585" s="285">
        <v>2025</v>
      </c>
      <c r="C2585" s="285" t="s">
        <v>821</v>
      </c>
      <c r="D2585" s="285" t="s">
        <v>976</v>
      </c>
      <c r="E2585" s="285" t="s">
        <v>961</v>
      </c>
      <c r="F2585" s="113" t="s">
        <v>663</v>
      </c>
    </row>
    <row r="2586" spans="1:6" ht="14.25" customHeight="1">
      <c r="A2586" s="284" t="s">
        <v>834</v>
      </c>
      <c r="B2586" s="284">
        <v>2025</v>
      </c>
      <c r="C2586" s="284" t="s">
        <v>821</v>
      </c>
      <c r="D2586" s="284" t="s">
        <v>976</v>
      </c>
      <c r="E2586" s="284" t="s">
        <v>1173</v>
      </c>
      <c r="F2586" s="113" t="s">
        <v>915</v>
      </c>
    </row>
    <row r="2587" spans="1:6" ht="14.25" customHeight="1">
      <c r="A2587" s="285" t="s">
        <v>834</v>
      </c>
      <c r="B2587" s="285">
        <v>2025</v>
      </c>
      <c r="C2587" s="285" t="s">
        <v>821</v>
      </c>
      <c r="D2587" s="285" t="s">
        <v>976</v>
      </c>
      <c r="E2587" s="285" t="s">
        <v>1072</v>
      </c>
      <c r="F2587" s="113" t="s">
        <v>915</v>
      </c>
    </row>
    <row r="2588" spans="1:6" ht="14.25" customHeight="1">
      <c r="A2588" s="284" t="s">
        <v>834</v>
      </c>
      <c r="B2588" s="284">
        <v>2025</v>
      </c>
      <c r="C2588" s="284" t="s">
        <v>821</v>
      </c>
      <c r="D2588" s="284" t="s">
        <v>976</v>
      </c>
      <c r="E2588" s="284" t="s">
        <v>1193</v>
      </c>
      <c r="F2588" s="113" t="s">
        <v>783</v>
      </c>
    </row>
    <row r="2589" spans="1:6" ht="14.25" customHeight="1">
      <c r="A2589" s="285" t="s">
        <v>834</v>
      </c>
      <c r="B2589" s="285">
        <v>2025</v>
      </c>
      <c r="C2589" s="285" t="s">
        <v>821</v>
      </c>
      <c r="D2589" s="285" t="s">
        <v>976</v>
      </c>
      <c r="E2589" s="285" t="s">
        <v>1063</v>
      </c>
      <c r="F2589" s="113" t="s">
        <v>922</v>
      </c>
    </row>
    <row r="2590" spans="1:6" ht="14.25" customHeight="1">
      <c r="A2590" s="284" t="s">
        <v>834</v>
      </c>
      <c r="B2590" s="284">
        <v>2025</v>
      </c>
      <c r="C2590" s="284" t="s">
        <v>821</v>
      </c>
      <c r="D2590" s="284" t="s">
        <v>931</v>
      </c>
      <c r="E2590" s="284" t="s">
        <v>1083</v>
      </c>
      <c r="F2590" s="113" t="s">
        <v>783</v>
      </c>
    </row>
    <row r="2591" spans="1:6" ht="14.25" customHeight="1">
      <c r="A2591" s="285" t="s">
        <v>834</v>
      </c>
      <c r="B2591" s="285">
        <v>2025</v>
      </c>
      <c r="C2591" s="285" t="s">
        <v>821</v>
      </c>
      <c r="D2591" s="285" t="s">
        <v>931</v>
      </c>
      <c r="E2591" s="285" t="s">
        <v>1096</v>
      </c>
      <c r="F2591" s="113" t="s">
        <v>909</v>
      </c>
    </row>
    <row r="2592" spans="1:6" ht="14.25" customHeight="1">
      <c r="A2592" s="284" t="s">
        <v>834</v>
      </c>
      <c r="B2592" s="284">
        <v>2025</v>
      </c>
      <c r="C2592" s="284" t="s">
        <v>821</v>
      </c>
      <c r="D2592" s="284" t="s">
        <v>931</v>
      </c>
      <c r="E2592" s="284" t="s">
        <v>1229</v>
      </c>
      <c r="F2592" s="113" t="s">
        <v>924</v>
      </c>
    </row>
    <row r="2593" spans="1:6" ht="14.25" customHeight="1">
      <c r="A2593" s="285" t="s">
        <v>834</v>
      </c>
      <c r="B2593" s="285">
        <v>2025</v>
      </c>
      <c r="C2593" s="285" t="s">
        <v>821</v>
      </c>
      <c r="D2593" s="285" t="s">
        <v>931</v>
      </c>
      <c r="E2593" s="285" t="s">
        <v>1230</v>
      </c>
      <c r="F2593" s="113" t="s">
        <v>924</v>
      </c>
    </row>
    <row r="2594" spans="1:6" ht="14.25" customHeight="1">
      <c r="A2594" s="284" t="s">
        <v>834</v>
      </c>
      <c r="B2594" s="284">
        <v>2025</v>
      </c>
      <c r="C2594" s="284" t="s">
        <v>821</v>
      </c>
      <c r="D2594" s="284" t="s">
        <v>934</v>
      </c>
      <c r="E2594" s="284" t="s">
        <v>944</v>
      </c>
      <c r="F2594" s="113" t="s">
        <v>906</v>
      </c>
    </row>
    <row r="2595" spans="1:6" ht="14.25" customHeight="1">
      <c r="A2595" s="285" t="s">
        <v>834</v>
      </c>
      <c r="B2595" s="285">
        <v>2025</v>
      </c>
      <c r="C2595" s="285" t="s">
        <v>821</v>
      </c>
      <c r="D2595" s="285" t="s">
        <v>934</v>
      </c>
      <c r="E2595" s="285" t="s">
        <v>1040</v>
      </c>
      <c r="F2595" s="113" t="s">
        <v>906</v>
      </c>
    </row>
    <row r="2596" spans="1:6" ht="14.25" customHeight="1">
      <c r="A2596" s="284" t="s">
        <v>834</v>
      </c>
      <c r="B2596" s="284">
        <v>2025</v>
      </c>
      <c r="C2596" s="284" t="s">
        <v>821</v>
      </c>
      <c r="D2596" s="284" t="s">
        <v>934</v>
      </c>
      <c r="E2596" s="284" t="s">
        <v>1028</v>
      </c>
      <c r="F2596" s="113" t="s">
        <v>906</v>
      </c>
    </row>
    <row r="2597" spans="1:6" ht="14.25" customHeight="1">
      <c r="A2597" s="285" t="s">
        <v>834</v>
      </c>
      <c r="B2597" s="285">
        <v>2025</v>
      </c>
      <c r="C2597" s="285" t="s">
        <v>821</v>
      </c>
      <c r="D2597" s="285" t="s">
        <v>934</v>
      </c>
      <c r="E2597" s="285" t="s">
        <v>1014</v>
      </c>
      <c r="F2597" s="113" t="s">
        <v>906</v>
      </c>
    </row>
    <row r="2598" spans="1:6" ht="14.25" customHeight="1">
      <c r="A2598" s="284" t="s">
        <v>834</v>
      </c>
      <c r="B2598" s="284">
        <v>2025</v>
      </c>
      <c r="C2598" s="284" t="s">
        <v>821</v>
      </c>
      <c r="D2598" s="284" t="s">
        <v>934</v>
      </c>
      <c r="E2598" s="284" t="s">
        <v>2</v>
      </c>
      <c r="F2598" s="113" t="s">
        <v>483</v>
      </c>
    </row>
    <row r="2599" spans="1:6" ht="14.25" customHeight="1">
      <c r="A2599" s="285" t="s">
        <v>834</v>
      </c>
      <c r="B2599" s="285">
        <v>2025</v>
      </c>
      <c r="C2599" s="285" t="s">
        <v>821</v>
      </c>
      <c r="D2599" s="285" t="s">
        <v>934</v>
      </c>
      <c r="E2599" s="285" t="s">
        <v>1170</v>
      </c>
      <c r="F2599" s="113" t="s">
        <v>909</v>
      </c>
    </row>
    <row r="2600" spans="1:6" ht="14.25" customHeight="1">
      <c r="A2600" s="284" t="s">
        <v>834</v>
      </c>
      <c r="B2600" s="284">
        <v>2025</v>
      </c>
      <c r="C2600" s="284" t="s">
        <v>821</v>
      </c>
      <c r="D2600" s="284" t="s">
        <v>934</v>
      </c>
      <c r="E2600" s="284" t="s">
        <v>1231</v>
      </c>
      <c r="F2600" s="113" t="s">
        <v>913</v>
      </c>
    </row>
    <row r="2601" spans="1:6" ht="14.25" customHeight="1">
      <c r="A2601" s="285" t="s">
        <v>834</v>
      </c>
      <c r="B2601" s="285">
        <v>2025</v>
      </c>
      <c r="C2601" s="285" t="s">
        <v>821</v>
      </c>
      <c r="D2601" s="285" t="s">
        <v>934</v>
      </c>
      <c r="E2601" s="285" t="s">
        <v>938</v>
      </c>
      <c r="F2601" s="113" t="s">
        <v>663</v>
      </c>
    </row>
    <row r="2602" spans="1:6" ht="14.25" customHeight="1">
      <c r="A2602" s="284" t="s">
        <v>834</v>
      </c>
      <c r="B2602" s="284">
        <v>2025</v>
      </c>
      <c r="C2602" s="284" t="s">
        <v>821</v>
      </c>
      <c r="D2602" s="284" t="s">
        <v>934</v>
      </c>
      <c r="E2602" s="284" t="s">
        <v>938</v>
      </c>
      <c r="F2602" s="113" t="s">
        <v>663</v>
      </c>
    </row>
    <row r="2603" spans="1:6" ht="14.25" customHeight="1">
      <c r="A2603" s="285" t="s">
        <v>834</v>
      </c>
      <c r="B2603" s="285">
        <v>2025</v>
      </c>
      <c r="C2603" s="285" t="s">
        <v>821</v>
      </c>
      <c r="D2603" s="285" t="s">
        <v>934</v>
      </c>
      <c r="E2603" s="285" t="s">
        <v>945</v>
      </c>
      <c r="F2603" s="113" t="s">
        <v>917</v>
      </c>
    </row>
    <row r="2604" spans="1:6" ht="14.25" customHeight="1">
      <c r="A2604" s="284" t="s">
        <v>834</v>
      </c>
      <c r="B2604" s="284">
        <v>2025</v>
      </c>
      <c r="C2604" s="284" t="s">
        <v>821</v>
      </c>
      <c r="D2604" s="284" t="s">
        <v>934</v>
      </c>
      <c r="E2604" s="284" t="s">
        <v>1037</v>
      </c>
      <c r="F2604" s="113" t="s">
        <v>917</v>
      </c>
    </row>
    <row r="2605" spans="1:6" ht="14.25" customHeight="1">
      <c r="A2605" s="285" t="s">
        <v>834</v>
      </c>
      <c r="B2605" s="285">
        <v>2025</v>
      </c>
      <c r="C2605" s="285" t="s">
        <v>821</v>
      </c>
      <c r="D2605" s="285" t="s">
        <v>934</v>
      </c>
      <c r="E2605" s="285" t="s">
        <v>1022</v>
      </c>
      <c r="F2605" s="113" t="s">
        <v>783</v>
      </c>
    </row>
    <row r="2606" spans="1:6" ht="14.25" customHeight="1">
      <c r="A2606" s="284" t="s">
        <v>834</v>
      </c>
      <c r="B2606" s="284">
        <v>2025</v>
      </c>
      <c r="C2606" s="284" t="s">
        <v>821</v>
      </c>
      <c r="D2606" s="284" t="s">
        <v>934</v>
      </c>
      <c r="E2606" s="284" t="s">
        <v>995</v>
      </c>
      <c r="F2606" s="113" t="s">
        <v>924</v>
      </c>
    </row>
    <row r="2607" spans="1:6" ht="14.25" customHeight="1">
      <c r="A2607" s="285" t="s">
        <v>834</v>
      </c>
      <c r="B2607" s="285">
        <v>2025</v>
      </c>
      <c r="C2607" s="285" t="s">
        <v>821</v>
      </c>
      <c r="D2607" s="285" t="s">
        <v>934</v>
      </c>
      <c r="E2607" s="285" t="s">
        <v>1047</v>
      </c>
      <c r="F2607" s="113" t="s">
        <v>924</v>
      </c>
    </row>
    <row r="2608" spans="1:6" ht="14.25" customHeight="1">
      <c r="A2608" s="284" t="s">
        <v>834</v>
      </c>
      <c r="B2608" s="284">
        <v>2025</v>
      </c>
      <c r="C2608" s="284" t="s">
        <v>821</v>
      </c>
      <c r="D2608" s="284" t="s">
        <v>934</v>
      </c>
      <c r="E2608" s="284" t="s">
        <v>949</v>
      </c>
      <c r="F2608" s="113" t="s">
        <v>924</v>
      </c>
    </row>
    <row r="2609" spans="1:6" ht="14.25" customHeight="1">
      <c r="A2609" s="285" t="s">
        <v>834</v>
      </c>
      <c r="B2609" s="285">
        <v>2025</v>
      </c>
      <c r="C2609" s="285" t="s">
        <v>821</v>
      </c>
      <c r="D2609" s="285" t="s">
        <v>934</v>
      </c>
      <c r="E2609" s="285" t="s">
        <v>957</v>
      </c>
      <c r="F2609" s="113" t="s">
        <v>924</v>
      </c>
    </row>
    <row r="2610" spans="1:6" ht="14.25" customHeight="1">
      <c r="A2610" s="284" t="s">
        <v>834</v>
      </c>
      <c r="B2610" s="284">
        <v>2025</v>
      </c>
      <c r="C2610" s="284" t="s">
        <v>88</v>
      </c>
      <c r="D2610" s="284" t="s">
        <v>959</v>
      </c>
      <c r="E2610" s="284" t="s">
        <v>1014</v>
      </c>
      <c r="F2610" s="113" t="s">
        <v>906</v>
      </c>
    </row>
    <row r="2611" spans="1:6" ht="14.25" customHeight="1">
      <c r="A2611" s="285" t="s">
        <v>834</v>
      </c>
      <c r="B2611" s="285">
        <v>2025</v>
      </c>
      <c r="C2611" s="285" t="s">
        <v>88</v>
      </c>
      <c r="D2611" s="285" t="s">
        <v>959</v>
      </c>
      <c r="E2611" s="285" t="s">
        <v>991</v>
      </c>
      <c r="F2611" s="113" t="s">
        <v>906</v>
      </c>
    </row>
    <row r="2612" spans="1:6" ht="14.25" customHeight="1">
      <c r="A2612" s="284" t="s">
        <v>834</v>
      </c>
      <c r="B2612" s="284">
        <v>2025</v>
      </c>
      <c r="C2612" s="284" t="s">
        <v>88</v>
      </c>
      <c r="D2612" s="284" t="s">
        <v>959</v>
      </c>
      <c r="E2612" s="284" t="s">
        <v>953</v>
      </c>
      <c r="F2612" s="113" t="s">
        <v>906</v>
      </c>
    </row>
    <row r="2613" spans="1:6" ht="14.25" customHeight="1">
      <c r="A2613" s="285" t="s">
        <v>834</v>
      </c>
      <c r="B2613" s="285">
        <v>2025</v>
      </c>
      <c r="C2613" s="285" t="s">
        <v>88</v>
      </c>
      <c r="D2613" s="285" t="s">
        <v>959</v>
      </c>
      <c r="E2613" s="285" t="s">
        <v>953</v>
      </c>
      <c r="F2613" s="113" t="s">
        <v>906</v>
      </c>
    </row>
    <row r="2614" spans="1:6" ht="14.25" customHeight="1">
      <c r="A2614" s="284" t="s">
        <v>834</v>
      </c>
      <c r="B2614" s="284">
        <v>2025</v>
      </c>
      <c r="C2614" s="284" t="s">
        <v>88</v>
      </c>
      <c r="D2614" s="284" t="s">
        <v>959</v>
      </c>
      <c r="E2614" s="284" t="s">
        <v>1075</v>
      </c>
      <c r="F2614" s="113" t="s">
        <v>483</v>
      </c>
    </row>
    <row r="2615" spans="1:6" ht="14.25" customHeight="1">
      <c r="A2615" s="285" t="s">
        <v>834</v>
      </c>
      <c r="B2615" s="285">
        <v>2025</v>
      </c>
      <c r="C2615" s="285" t="s">
        <v>88</v>
      </c>
      <c r="D2615" s="285" t="s">
        <v>959</v>
      </c>
      <c r="E2615" s="285" t="s">
        <v>1070</v>
      </c>
      <c r="F2615" s="113" t="s">
        <v>483</v>
      </c>
    </row>
    <row r="2616" spans="1:6" ht="14.25" customHeight="1">
      <c r="A2616" s="284" t="s">
        <v>834</v>
      </c>
      <c r="B2616" s="284">
        <v>2025</v>
      </c>
      <c r="C2616" s="284" t="s">
        <v>88</v>
      </c>
      <c r="D2616" s="284" t="s">
        <v>959</v>
      </c>
      <c r="E2616" s="284" t="s">
        <v>1116</v>
      </c>
      <c r="F2616" s="113" t="s">
        <v>909</v>
      </c>
    </row>
    <row r="2617" spans="1:6" ht="14.25" customHeight="1">
      <c r="A2617" s="285" t="s">
        <v>834</v>
      </c>
      <c r="B2617" s="285">
        <v>2025</v>
      </c>
      <c r="C2617" s="285" t="s">
        <v>88</v>
      </c>
      <c r="D2617" s="285" t="s">
        <v>959</v>
      </c>
      <c r="E2617" s="285" t="s">
        <v>1231</v>
      </c>
      <c r="F2617" s="113" t="s">
        <v>913</v>
      </c>
    </row>
    <row r="2618" spans="1:6" ht="14.25" customHeight="1">
      <c r="A2618" s="284" t="s">
        <v>834</v>
      </c>
      <c r="B2618" s="284">
        <v>2025</v>
      </c>
      <c r="C2618" s="284" t="s">
        <v>88</v>
      </c>
      <c r="D2618" s="284" t="s">
        <v>959</v>
      </c>
      <c r="E2618" s="284" t="s">
        <v>1072</v>
      </c>
      <c r="F2618" s="113" t="s">
        <v>915</v>
      </c>
    </row>
    <row r="2619" spans="1:6" ht="14.25" customHeight="1">
      <c r="A2619" s="285" t="s">
        <v>834</v>
      </c>
      <c r="B2619" s="285">
        <v>2025</v>
      </c>
      <c r="C2619" s="285" t="s">
        <v>88</v>
      </c>
      <c r="D2619" s="285" t="s">
        <v>959</v>
      </c>
      <c r="E2619" s="285" t="s">
        <v>1072</v>
      </c>
      <c r="F2619" s="113" t="s">
        <v>915</v>
      </c>
    </row>
    <row r="2620" spans="1:6" ht="14.25" customHeight="1">
      <c r="A2620" s="284" t="s">
        <v>834</v>
      </c>
      <c r="B2620" s="284">
        <v>2025</v>
      </c>
      <c r="C2620" s="284" t="s">
        <v>88</v>
      </c>
      <c r="D2620" s="284" t="s">
        <v>959</v>
      </c>
      <c r="E2620" s="284" t="s">
        <v>1069</v>
      </c>
      <c r="F2620" s="113" t="s">
        <v>915</v>
      </c>
    </row>
    <row r="2621" spans="1:6" ht="14.25" customHeight="1">
      <c r="A2621" s="285" t="s">
        <v>834</v>
      </c>
      <c r="B2621" s="285">
        <v>2025</v>
      </c>
      <c r="C2621" s="285" t="s">
        <v>88</v>
      </c>
      <c r="D2621" s="285" t="s">
        <v>959</v>
      </c>
      <c r="E2621" s="285" t="s">
        <v>1095</v>
      </c>
      <c r="F2621" s="113" t="s">
        <v>924</v>
      </c>
    </row>
    <row r="2622" spans="1:6" ht="14.25" customHeight="1">
      <c r="A2622" s="284" t="s">
        <v>834</v>
      </c>
      <c r="B2622" s="284">
        <v>2025</v>
      </c>
      <c r="C2622" s="284" t="s">
        <v>88</v>
      </c>
      <c r="D2622" s="284" t="s">
        <v>959</v>
      </c>
      <c r="E2622" s="284" t="s">
        <v>996</v>
      </c>
      <c r="F2622" s="113" t="s">
        <v>924</v>
      </c>
    </row>
    <row r="2623" spans="1:6" ht="14.25" customHeight="1">
      <c r="A2623" s="285" t="s">
        <v>834</v>
      </c>
      <c r="B2623" s="285">
        <v>2025</v>
      </c>
      <c r="C2623" s="285" t="s">
        <v>88</v>
      </c>
      <c r="D2623" s="285" t="s">
        <v>988</v>
      </c>
      <c r="E2623" s="285" t="s">
        <v>954</v>
      </c>
      <c r="F2623" s="113" t="s">
        <v>906</v>
      </c>
    </row>
    <row r="2624" spans="1:6" ht="14.25" customHeight="1">
      <c r="A2624" s="284" t="s">
        <v>834</v>
      </c>
      <c r="B2624" s="284">
        <v>2025</v>
      </c>
      <c r="C2624" s="284" t="s">
        <v>88</v>
      </c>
      <c r="D2624" s="284" t="s">
        <v>988</v>
      </c>
      <c r="E2624" s="284" t="s">
        <v>1214</v>
      </c>
      <c r="F2624" s="113" t="s">
        <v>909</v>
      </c>
    </row>
    <row r="2625" spans="1:6" ht="14.25" customHeight="1">
      <c r="A2625" s="285" t="s">
        <v>834</v>
      </c>
      <c r="B2625" s="285">
        <v>2025</v>
      </c>
      <c r="C2625" s="285" t="s">
        <v>88</v>
      </c>
      <c r="D2625" s="285" t="s">
        <v>988</v>
      </c>
      <c r="E2625" s="285" t="s">
        <v>938</v>
      </c>
      <c r="F2625" s="113" t="s">
        <v>663</v>
      </c>
    </row>
    <row r="2626" spans="1:6" ht="14.25" customHeight="1">
      <c r="A2626" s="284" t="s">
        <v>834</v>
      </c>
      <c r="B2626" s="284">
        <v>2025</v>
      </c>
      <c r="C2626" s="284" t="s">
        <v>88</v>
      </c>
      <c r="D2626" s="284" t="s">
        <v>988</v>
      </c>
      <c r="E2626" s="284" t="s">
        <v>967</v>
      </c>
      <c r="F2626" s="113" t="s">
        <v>915</v>
      </c>
    </row>
    <row r="2627" spans="1:6" ht="14.25" customHeight="1">
      <c r="A2627" s="285" t="s">
        <v>834</v>
      </c>
      <c r="B2627" s="285">
        <v>2025</v>
      </c>
      <c r="C2627" s="285" t="s">
        <v>88</v>
      </c>
      <c r="D2627" s="285" t="s">
        <v>988</v>
      </c>
      <c r="E2627" s="285" t="s">
        <v>967</v>
      </c>
      <c r="F2627" s="113" t="s">
        <v>915</v>
      </c>
    </row>
    <row r="2628" spans="1:6" ht="14.25" customHeight="1">
      <c r="A2628" s="284" t="s">
        <v>834</v>
      </c>
      <c r="B2628" s="284">
        <v>2025</v>
      </c>
      <c r="C2628" s="284" t="s">
        <v>88</v>
      </c>
      <c r="D2628" s="284" t="s">
        <v>956</v>
      </c>
      <c r="E2628" s="284" t="s">
        <v>981</v>
      </c>
      <c r="F2628" s="113" t="s">
        <v>906</v>
      </c>
    </row>
    <row r="2629" spans="1:6" ht="14.25" customHeight="1">
      <c r="A2629" s="285" t="s">
        <v>834</v>
      </c>
      <c r="B2629" s="285">
        <v>2025</v>
      </c>
      <c r="C2629" s="285" t="s">
        <v>88</v>
      </c>
      <c r="D2629" s="285" t="s">
        <v>956</v>
      </c>
      <c r="E2629" s="285" t="s">
        <v>1014</v>
      </c>
      <c r="F2629" s="113" t="s">
        <v>906</v>
      </c>
    </row>
    <row r="2630" spans="1:6" ht="14.25" customHeight="1">
      <c r="A2630" s="284" t="s">
        <v>834</v>
      </c>
      <c r="B2630" s="284">
        <v>2025</v>
      </c>
      <c r="C2630" s="284" t="s">
        <v>88</v>
      </c>
      <c r="D2630" s="284" t="s">
        <v>956</v>
      </c>
      <c r="E2630" s="284" t="s">
        <v>952</v>
      </c>
      <c r="F2630" s="113" t="s">
        <v>906</v>
      </c>
    </row>
    <row r="2631" spans="1:6" ht="14.25" customHeight="1">
      <c r="A2631" s="285" t="s">
        <v>834</v>
      </c>
      <c r="B2631" s="285">
        <v>2025</v>
      </c>
      <c r="C2631" s="285" t="s">
        <v>88</v>
      </c>
      <c r="D2631" s="285" t="s">
        <v>956</v>
      </c>
      <c r="E2631" s="285" t="s">
        <v>954</v>
      </c>
      <c r="F2631" s="113" t="s">
        <v>906</v>
      </c>
    </row>
    <row r="2632" spans="1:6" ht="14.25" customHeight="1">
      <c r="A2632" s="284" t="s">
        <v>834</v>
      </c>
      <c r="B2632" s="284">
        <v>2025</v>
      </c>
      <c r="C2632" s="284" t="s">
        <v>88</v>
      </c>
      <c r="D2632" s="284" t="s">
        <v>956</v>
      </c>
      <c r="E2632" s="284" t="s">
        <v>1232</v>
      </c>
      <c r="F2632" s="113" t="s">
        <v>911</v>
      </c>
    </row>
    <row r="2633" spans="1:6" ht="14.25" customHeight="1">
      <c r="A2633" s="285" t="s">
        <v>834</v>
      </c>
      <c r="B2633" s="285">
        <v>2025</v>
      </c>
      <c r="C2633" s="285" t="s">
        <v>88</v>
      </c>
      <c r="D2633" s="285" t="s">
        <v>956</v>
      </c>
      <c r="E2633" s="285" t="s">
        <v>1232</v>
      </c>
      <c r="F2633" s="113" t="s">
        <v>911</v>
      </c>
    </row>
    <row r="2634" spans="1:6" ht="14.25" customHeight="1">
      <c r="A2634" s="284" t="s">
        <v>834</v>
      </c>
      <c r="B2634" s="284">
        <v>2025</v>
      </c>
      <c r="C2634" s="284" t="s">
        <v>88</v>
      </c>
      <c r="D2634" s="284" t="s">
        <v>956</v>
      </c>
      <c r="E2634" s="284" t="s">
        <v>1088</v>
      </c>
      <c r="F2634" s="113" t="s">
        <v>915</v>
      </c>
    </row>
    <row r="2635" spans="1:6" ht="14.25" customHeight="1">
      <c r="A2635" s="285" t="s">
        <v>834</v>
      </c>
      <c r="B2635" s="285">
        <v>2025</v>
      </c>
      <c r="C2635" s="285" t="s">
        <v>88</v>
      </c>
      <c r="D2635" s="285" t="s">
        <v>956</v>
      </c>
      <c r="E2635" s="285" t="s">
        <v>1078</v>
      </c>
      <c r="F2635" s="113" t="s">
        <v>915</v>
      </c>
    </row>
    <row r="2636" spans="1:6" ht="14.25" customHeight="1">
      <c r="A2636" s="284" t="s">
        <v>834</v>
      </c>
      <c r="B2636" s="284">
        <v>2025</v>
      </c>
      <c r="C2636" s="284" t="s">
        <v>88</v>
      </c>
      <c r="D2636" s="284" t="s">
        <v>956</v>
      </c>
      <c r="E2636" s="284" t="s">
        <v>1078</v>
      </c>
      <c r="F2636" s="113" t="s">
        <v>915</v>
      </c>
    </row>
    <row r="2637" spans="1:6" ht="14.25" customHeight="1">
      <c r="A2637" s="285" t="s">
        <v>834</v>
      </c>
      <c r="B2637" s="285">
        <v>2025</v>
      </c>
      <c r="C2637" s="285" t="s">
        <v>88</v>
      </c>
      <c r="D2637" s="285" t="s">
        <v>956</v>
      </c>
      <c r="E2637" s="285" t="s">
        <v>1111</v>
      </c>
      <c r="F2637" s="113" t="s">
        <v>918</v>
      </c>
    </row>
    <row r="2638" spans="1:6" ht="14.25" customHeight="1">
      <c r="A2638" s="284" t="s">
        <v>834</v>
      </c>
      <c r="B2638" s="284">
        <v>2025</v>
      </c>
      <c r="C2638" s="284" t="s">
        <v>88</v>
      </c>
      <c r="D2638" s="284" t="s">
        <v>956</v>
      </c>
      <c r="E2638" s="284" t="s">
        <v>1071</v>
      </c>
      <c r="F2638" s="113" t="s">
        <v>918</v>
      </c>
    </row>
    <row r="2639" spans="1:6" ht="14.25" customHeight="1">
      <c r="A2639" s="285" t="s">
        <v>834</v>
      </c>
      <c r="B2639" s="285">
        <v>2025</v>
      </c>
      <c r="C2639" s="285" t="s">
        <v>88</v>
      </c>
      <c r="D2639" s="285" t="s">
        <v>956</v>
      </c>
      <c r="E2639" s="285" t="s">
        <v>1022</v>
      </c>
      <c r="F2639" s="113" t="s">
        <v>783</v>
      </c>
    </row>
    <row r="2640" spans="1:6" ht="14.25" customHeight="1">
      <c r="A2640" s="284" t="s">
        <v>834</v>
      </c>
      <c r="B2640" s="284">
        <v>2025</v>
      </c>
      <c r="C2640" s="284" t="s">
        <v>88</v>
      </c>
      <c r="D2640" s="284" t="s">
        <v>956</v>
      </c>
      <c r="E2640" s="284" t="s">
        <v>1095</v>
      </c>
      <c r="F2640" s="113" t="s">
        <v>924</v>
      </c>
    </row>
    <row r="2641" spans="1:6" ht="14.25" customHeight="1">
      <c r="A2641" s="285" t="s">
        <v>834</v>
      </c>
      <c r="B2641" s="285">
        <v>2025</v>
      </c>
      <c r="C2641" s="285" t="s">
        <v>88</v>
      </c>
      <c r="D2641" s="285" t="s">
        <v>958</v>
      </c>
      <c r="E2641" s="285" t="s">
        <v>937</v>
      </c>
      <c r="F2641" s="113" t="s">
        <v>917</v>
      </c>
    </row>
    <row r="2642" spans="1:6" ht="14.25" customHeight="1">
      <c r="A2642" s="284" t="s">
        <v>834</v>
      </c>
      <c r="B2642" s="284">
        <v>2025</v>
      </c>
      <c r="C2642" s="284" t="s">
        <v>88</v>
      </c>
      <c r="D2642" s="284" t="s">
        <v>958</v>
      </c>
      <c r="E2642" s="284" t="s">
        <v>1233</v>
      </c>
      <c r="F2642" s="113" t="s">
        <v>922</v>
      </c>
    </row>
    <row r="2643" spans="1:6" ht="14.25" customHeight="1">
      <c r="A2643" s="285" t="s">
        <v>834</v>
      </c>
      <c r="B2643" s="285">
        <v>2025</v>
      </c>
      <c r="C2643" s="285" t="s">
        <v>88</v>
      </c>
      <c r="D2643" s="285" t="s">
        <v>969</v>
      </c>
      <c r="E2643" s="285" t="s">
        <v>981</v>
      </c>
      <c r="F2643" s="113" t="s">
        <v>906</v>
      </c>
    </row>
    <row r="2644" spans="1:6" ht="14.25" customHeight="1">
      <c r="A2644" s="284" t="s">
        <v>834</v>
      </c>
      <c r="B2644" s="284">
        <v>2025</v>
      </c>
      <c r="C2644" s="284" t="s">
        <v>88</v>
      </c>
      <c r="D2644" s="284" t="s">
        <v>969</v>
      </c>
      <c r="E2644" s="284" t="s">
        <v>1014</v>
      </c>
      <c r="F2644" s="113" t="s">
        <v>906</v>
      </c>
    </row>
    <row r="2645" spans="1:6" ht="14.25" customHeight="1">
      <c r="A2645" s="285" t="s">
        <v>834</v>
      </c>
      <c r="B2645" s="285">
        <v>2025</v>
      </c>
      <c r="C2645" s="285" t="s">
        <v>88</v>
      </c>
      <c r="D2645" s="285" t="s">
        <v>969</v>
      </c>
      <c r="E2645" s="285" t="s">
        <v>981</v>
      </c>
      <c r="F2645" s="113" t="s">
        <v>906</v>
      </c>
    </row>
    <row r="2646" spans="1:6" ht="14.25" customHeight="1">
      <c r="A2646" s="284" t="s">
        <v>834</v>
      </c>
      <c r="B2646" s="284">
        <v>2025</v>
      </c>
      <c r="C2646" s="284" t="s">
        <v>88</v>
      </c>
      <c r="D2646" s="284" t="s">
        <v>969</v>
      </c>
      <c r="E2646" s="284" t="s">
        <v>930</v>
      </c>
      <c r="F2646" s="113" t="s">
        <v>906</v>
      </c>
    </row>
    <row r="2647" spans="1:6" ht="14.25" customHeight="1">
      <c r="A2647" s="285" t="s">
        <v>834</v>
      </c>
      <c r="B2647" s="285">
        <v>2025</v>
      </c>
      <c r="C2647" s="285" t="s">
        <v>88</v>
      </c>
      <c r="D2647" s="285" t="s">
        <v>969</v>
      </c>
      <c r="E2647" s="285" t="s">
        <v>981</v>
      </c>
      <c r="F2647" s="113" t="s">
        <v>906</v>
      </c>
    </row>
    <row r="2648" spans="1:6" ht="14.25" customHeight="1">
      <c r="A2648" s="284" t="s">
        <v>834</v>
      </c>
      <c r="B2648" s="284">
        <v>2025</v>
      </c>
      <c r="C2648" s="284" t="s">
        <v>88</v>
      </c>
      <c r="D2648" s="284" t="s">
        <v>969</v>
      </c>
      <c r="E2648" s="284" t="s">
        <v>1075</v>
      </c>
      <c r="F2648" s="113" t="s">
        <v>483</v>
      </c>
    </row>
    <row r="2649" spans="1:6" ht="14.25" customHeight="1">
      <c r="A2649" s="285" t="s">
        <v>834</v>
      </c>
      <c r="B2649" s="285">
        <v>2025</v>
      </c>
      <c r="C2649" s="285" t="s">
        <v>88</v>
      </c>
      <c r="D2649" s="285" t="s">
        <v>969</v>
      </c>
      <c r="E2649" s="285" t="s">
        <v>1053</v>
      </c>
      <c r="F2649" s="113" t="s">
        <v>909</v>
      </c>
    </row>
    <row r="2650" spans="1:6" ht="14.25" customHeight="1">
      <c r="A2650" s="284" t="s">
        <v>834</v>
      </c>
      <c r="B2650" s="284">
        <v>2025</v>
      </c>
      <c r="C2650" s="284" t="s">
        <v>88</v>
      </c>
      <c r="D2650" s="284" t="s">
        <v>969</v>
      </c>
      <c r="E2650" s="284" t="s">
        <v>938</v>
      </c>
      <c r="F2650" s="113" t="s">
        <v>663</v>
      </c>
    </row>
    <row r="2651" spans="1:6" ht="14.25" customHeight="1">
      <c r="A2651" s="285" t="s">
        <v>834</v>
      </c>
      <c r="B2651" s="285">
        <v>2025</v>
      </c>
      <c r="C2651" s="285" t="s">
        <v>88</v>
      </c>
      <c r="D2651" s="285" t="s">
        <v>969</v>
      </c>
      <c r="E2651" s="285" t="s">
        <v>961</v>
      </c>
      <c r="F2651" s="113" t="s">
        <v>663</v>
      </c>
    </row>
    <row r="2652" spans="1:6" ht="14.25" customHeight="1">
      <c r="A2652" s="284" t="s">
        <v>834</v>
      </c>
      <c r="B2652" s="284">
        <v>2025</v>
      </c>
      <c r="C2652" s="284" t="s">
        <v>88</v>
      </c>
      <c r="D2652" s="284" t="s">
        <v>969</v>
      </c>
      <c r="E2652" s="284" t="s">
        <v>1021</v>
      </c>
      <c r="F2652" s="113" t="s">
        <v>663</v>
      </c>
    </row>
    <row r="2653" spans="1:6" ht="14.25" customHeight="1">
      <c r="A2653" s="285" t="s">
        <v>834</v>
      </c>
      <c r="B2653" s="285">
        <v>2025</v>
      </c>
      <c r="C2653" s="285" t="s">
        <v>88</v>
      </c>
      <c r="D2653" s="285" t="s">
        <v>969</v>
      </c>
      <c r="E2653" s="285" t="s">
        <v>1088</v>
      </c>
      <c r="F2653" s="113" t="s">
        <v>915</v>
      </c>
    </row>
    <row r="2654" spans="1:6" ht="14.25" customHeight="1">
      <c r="A2654" s="284" t="s">
        <v>834</v>
      </c>
      <c r="B2654" s="284">
        <v>2025</v>
      </c>
      <c r="C2654" s="284" t="s">
        <v>88</v>
      </c>
      <c r="D2654" s="284" t="s">
        <v>966</v>
      </c>
      <c r="E2654" s="284" t="s">
        <v>1011</v>
      </c>
      <c r="F2654" s="113" t="s">
        <v>911</v>
      </c>
    </row>
    <row r="2655" spans="1:6" ht="14.25" customHeight="1">
      <c r="A2655" s="285" t="s">
        <v>834</v>
      </c>
      <c r="B2655" s="285">
        <v>2025</v>
      </c>
      <c r="C2655" s="285" t="s">
        <v>88</v>
      </c>
      <c r="D2655" s="285" t="s">
        <v>966</v>
      </c>
      <c r="E2655" s="285" t="s">
        <v>1092</v>
      </c>
      <c r="F2655" s="113" t="s">
        <v>911</v>
      </c>
    </row>
    <row r="2656" spans="1:6" ht="14.25" customHeight="1">
      <c r="A2656" s="284" t="s">
        <v>834</v>
      </c>
      <c r="B2656" s="284">
        <v>2025</v>
      </c>
      <c r="C2656" s="284" t="s">
        <v>88</v>
      </c>
      <c r="D2656" s="284" t="s">
        <v>966</v>
      </c>
      <c r="E2656" s="284" t="s">
        <v>1092</v>
      </c>
      <c r="F2656" s="113" t="s">
        <v>911</v>
      </c>
    </row>
    <row r="2657" spans="1:6" ht="14.25" customHeight="1">
      <c r="A2657" s="285" t="s">
        <v>834</v>
      </c>
      <c r="B2657" s="285">
        <v>2025</v>
      </c>
      <c r="C2657" s="285" t="s">
        <v>88</v>
      </c>
      <c r="D2657" s="285" t="s">
        <v>966</v>
      </c>
      <c r="E2657" s="285" t="s">
        <v>1173</v>
      </c>
      <c r="F2657" s="113" t="s">
        <v>915</v>
      </c>
    </row>
    <row r="2658" spans="1:6" ht="14.25" customHeight="1">
      <c r="A2658" s="284" t="s">
        <v>834</v>
      </c>
      <c r="B2658" s="284">
        <v>2025</v>
      </c>
      <c r="C2658" s="284" t="s">
        <v>88</v>
      </c>
      <c r="D2658" s="284" t="s">
        <v>966</v>
      </c>
      <c r="E2658" s="284" t="s">
        <v>1234</v>
      </c>
      <c r="F2658" s="113" t="s">
        <v>924</v>
      </c>
    </row>
    <row r="2659" spans="1:6" ht="14.25" customHeight="1">
      <c r="A2659" s="285" t="s">
        <v>834</v>
      </c>
      <c r="B2659" s="285">
        <v>2025</v>
      </c>
      <c r="C2659" s="285" t="s">
        <v>859</v>
      </c>
      <c r="D2659" s="285" t="s">
        <v>1005</v>
      </c>
      <c r="E2659" s="285" t="s">
        <v>986</v>
      </c>
      <c r="F2659" s="113" t="s">
        <v>906</v>
      </c>
    </row>
    <row r="2660" spans="1:6" ht="14.25" customHeight="1">
      <c r="A2660" s="284" t="s">
        <v>834</v>
      </c>
      <c r="B2660" s="284">
        <v>2025</v>
      </c>
      <c r="C2660" s="284" t="s">
        <v>859</v>
      </c>
      <c r="D2660" s="284" t="s">
        <v>998</v>
      </c>
      <c r="E2660" s="284" t="s">
        <v>1014</v>
      </c>
      <c r="F2660" s="113" t="s">
        <v>906</v>
      </c>
    </row>
    <row r="2661" spans="1:6" ht="14.25" customHeight="1">
      <c r="A2661" s="285" t="s">
        <v>834</v>
      </c>
      <c r="B2661" s="285">
        <v>2025</v>
      </c>
      <c r="C2661" s="285" t="s">
        <v>859</v>
      </c>
      <c r="D2661" s="285" t="s">
        <v>998</v>
      </c>
      <c r="E2661" s="285" t="s">
        <v>1014</v>
      </c>
      <c r="F2661" s="113" t="s">
        <v>906</v>
      </c>
    </row>
    <row r="2662" spans="1:6" ht="14.25" customHeight="1">
      <c r="A2662" s="284" t="s">
        <v>834</v>
      </c>
      <c r="B2662" s="284">
        <v>2025</v>
      </c>
      <c r="C2662" s="284" t="s">
        <v>859</v>
      </c>
      <c r="D2662" s="284" t="s">
        <v>998</v>
      </c>
      <c r="E2662" s="284" t="s">
        <v>991</v>
      </c>
      <c r="F2662" s="113" t="s">
        <v>906</v>
      </c>
    </row>
    <row r="2663" spans="1:6" ht="14.25" customHeight="1">
      <c r="A2663" s="285" t="s">
        <v>834</v>
      </c>
      <c r="B2663" s="285">
        <v>2025</v>
      </c>
      <c r="C2663" s="285" t="s">
        <v>859</v>
      </c>
      <c r="D2663" s="285" t="s">
        <v>998</v>
      </c>
      <c r="E2663" s="285" t="s">
        <v>1214</v>
      </c>
      <c r="F2663" s="113" t="s">
        <v>909</v>
      </c>
    </row>
    <row r="2664" spans="1:6" ht="14.25" customHeight="1">
      <c r="A2664" s="284" t="s">
        <v>834</v>
      </c>
      <c r="B2664" s="284">
        <v>2025</v>
      </c>
      <c r="C2664" s="284" t="s">
        <v>859</v>
      </c>
      <c r="D2664" s="284" t="s">
        <v>998</v>
      </c>
      <c r="E2664" s="284" t="s">
        <v>1170</v>
      </c>
      <c r="F2664" s="113" t="s">
        <v>909</v>
      </c>
    </row>
    <row r="2665" spans="1:6" ht="14.25" customHeight="1">
      <c r="A2665" s="285" t="s">
        <v>834</v>
      </c>
      <c r="B2665" s="285">
        <v>2025</v>
      </c>
      <c r="C2665" s="285" t="s">
        <v>859</v>
      </c>
      <c r="D2665" s="285" t="s">
        <v>998</v>
      </c>
      <c r="E2665" s="285" t="s">
        <v>1052</v>
      </c>
      <c r="F2665" s="113" t="s">
        <v>909</v>
      </c>
    </row>
    <row r="2666" spans="1:6" ht="14.25" customHeight="1">
      <c r="A2666" s="284" t="s">
        <v>834</v>
      </c>
      <c r="B2666" s="284">
        <v>2025</v>
      </c>
      <c r="C2666" s="284" t="s">
        <v>859</v>
      </c>
      <c r="D2666" s="284" t="s">
        <v>998</v>
      </c>
      <c r="E2666" s="284" t="s">
        <v>1214</v>
      </c>
      <c r="F2666" s="113" t="s">
        <v>909</v>
      </c>
    </row>
    <row r="2667" spans="1:6" ht="14.25" customHeight="1">
      <c r="A2667" s="285" t="s">
        <v>834</v>
      </c>
      <c r="B2667" s="285">
        <v>2025</v>
      </c>
      <c r="C2667" s="285" t="s">
        <v>859</v>
      </c>
      <c r="D2667" s="285" t="s">
        <v>998</v>
      </c>
      <c r="E2667" s="285" t="s">
        <v>1053</v>
      </c>
      <c r="F2667" s="113" t="s">
        <v>909</v>
      </c>
    </row>
    <row r="2668" spans="1:6" ht="14.25" customHeight="1">
      <c r="A2668" s="284" t="s">
        <v>834</v>
      </c>
      <c r="B2668" s="284">
        <v>2025</v>
      </c>
      <c r="C2668" s="284" t="s">
        <v>859</v>
      </c>
      <c r="D2668" s="284" t="s">
        <v>998</v>
      </c>
      <c r="E2668" s="284" t="s">
        <v>1096</v>
      </c>
      <c r="F2668" s="113" t="s">
        <v>909</v>
      </c>
    </row>
    <row r="2669" spans="1:6" ht="14.25" customHeight="1">
      <c r="A2669" s="285" t="s">
        <v>834</v>
      </c>
      <c r="B2669" s="285">
        <v>2025</v>
      </c>
      <c r="C2669" s="285" t="s">
        <v>859</v>
      </c>
      <c r="D2669" s="285" t="s">
        <v>998</v>
      </c>
      <c r="E2669" s="285" t="s">
        <v>979</v>
      </c>
      <c r="F2669" s="113" t="s">
        <v>918</v>
      </c>
    </row>
    <row r="2670" spans="1:6" ht="14.25" customHeight="1">
      <c r="A2670" s="284" t="s">
        <v>834</v>
      </c>
      <c r="B2670" s="284">
        <v>2025</v>
      </c>
      <c r="C2670" s="284" t="s">
        <v>859</v>
      </c>
      <c r="D2670" s="284" t="s">
        <v>998</v>
      </c>
      <c r="E2670" s="284" t="s">
        <v>1095</v>
      </c>
      <c r="F2670" s="113" t="s">
        <v>924</v>
      </c>
    </row>
    <row r="2671" spans="1:6" ht="14.25" customHeight="1">
      <c r="A2671" s="285" t="s">
        <v>834</v>
      </c>
      <c r="B2671" s="285">
        <v>2025</v>
      </c>
      <c r="C2671" s="285" t="s">
        <v>859</v>
      </c>
      <c r="D2671" s="285" t="s">
        <v>1000</v>
      </c>
      <c r="E2671" s="285" t="s">
        <v>1041</v>
      </c>
      <c r="F2671" s="113" t="s">
        <v>906</v>
      </c>
    </row>
    <row r="2672" spans="1:6" ht="14.25" customHeight="1">
      <c r="A2672" s="284" t="s">
        <v>834</v>
      </c>
      <c r="B2672" s="284">
        <v>2025</v>
      </c>
      <c r="C2672" s="284" t="s">
        <v>859</v>
      </c>
      <c r="D2672" s="284" t="s">
        <v>1000</v>
      </c>
      <c r="E2672" s="284" t="s">
        <v>971</v>
      </c>
      <c r="F2672" s="113" t="s">
        <v>909</v>
      </c>
    </row>
    <row r="2673" spans="1:6" ht="14.25" customHeight="1">
      <c r="A2673" s="285" t="s">
        <v>834</v>
      </c>
      <c r="B2673" s="285">
        <v>2025</v>
      </c>
      <c r="C2673" s="285" t="s">
        <v>859</v>
      </c>
      <c r="D2673" s="285" t="s">
        <v>1000</v>
      </c>
      <c r="E2673" s="285" t="s">
        <v>1170</v>
      </c>
      <c r="F2673" s="113" t="s">
        <v>909</v>
      </c>
    </row>
    <row r="2674" spans="1:6" ht="14.25" customHeight="1">
      <c r="A2674" s="284" t="s">
        <v>834</v>
      </c>
      <c r="B2674" s="284">
        <v>2025</v>
      </c>
      <c r="C2674" s="284" t="s">
        <v>859</v>
      </c>
      <c r="D2674" s="284" t="s">
        <v>1000</v>
      </c>
      <c r="E2674" s="284" t="s">
        <v>1098</v>
      </c>
      <c r="F2674" s="113" t="s">
        <v>911</v>
      </c>
    </row>
    <row r="2675" spans="1:6" ht="14.25" customHeight="1">
      <c r="A2675" s="285" t="s">
        <v>834</v>
      </c>
      <c r="B2675" s="285">
        <v>2025</v>
      </c>
      <c r="C2675" s="285" t="s">
        <v>859</v>
      </c>
      <c r="D2675" s="285" t="s">
        <v>1000</v>
      </c>
      <c r="E2675" s="285" t="s">
        <v>961</v>
      </c>
      <c r="F2675" s="113" t="s">
        <v>663</v>
      </c>
    </row>
    <row r="2676" spans="1:6" ht="14.25" customHeight="1">
      <c r="A2676" s="284" t="s">
        <v>834</v>
      </c>
      <c r="B2676" s="284">
        <v>2025</v>
      </c>
      <c r="C2676" s="284" t="s">
        <v>859</v>
      </c>
      <c r="D2676" s="284" t="s">
        <v>1000</v>
      </c>
      <c r="E2676" s="284" t="s">
        <v>1072</v>
      </c>
      <c r="F2676" s="113" t="s">
        <v>915</v>
      </c>
    </row>
    <row r="2677" spans="1:6" ht="14.25" customHeight="1">
      <c r="A2677" s="285" t="s">
        <v>834</v>
      </c>
      <c r="B2677" s="285">
        <v>2025</v>
      </c>
      <c r="C2677" s="285" t="s">
        <v>859</v>
      </c>
      <c r="D2677" s="285" t="s">
        <v>1000</v>
      </c>
      <c r="E2677" s="285" t="s">
        <v>1173</v>
      </c>
      <c r="F2677" s="113" t="s">
        <v>915</v>
      </c>
    </row>
    <row r="2678" spans="1:6" ht="14.25" customHeight="1">
      <c r="A2678" s="284" t="s">
        <v>834</v>
      </c>
      <c r="B2678" s="284">
        <v>2025</v>
      </c>
      <c r="C2678" s="284" t="s">
        <v>859</v>
      </c>
      <c r="D2678" s="284" t="s">
        <v>1000</v>
      </c>
      <c r="E2678" s="284" t="s">
        <v>949</v>
      </c>
      <c r="F2678" s="113" t="s">
        <v>924</v>
      </c>
    </row>
    <row r="2679" spans="1:6" ht="14.25" customHeight="1">
      <c r="A2679" s="285" t="s">
        <v>834</v>
      </c>
      <c r="B2679" s="285">
        <v>2025</v>
      </c>
      <c r="C2679" s="285" t="s">
        <v>872</v>
      </c>
      <c r="D2679" s="285" t="s">
        <v>1018</v>
      </c>
      <c r="E2679" s="285" t="s">
        <v>961</v>
      </c>
      <c r="F2679" s="113" t="s">
        <v>663</v>
      </c>
    </row>
    <row r="2680" spans="1:6" ht="14.25" customHeight="1">
      <c r="A2680" s="284" t="s">
        <v>834</v>
      </c>
      <c r="B2680" s="284">
        <v>2025</v>
      </c>
      <c r="C2680" s="284" t="s">
        <v>872</v>
      </c>
      <c r="D2680" s="284" t="s">
        <v>1013</v>
      </c>
      <c r="E2680" s="284" t="s">
        <v>981</v>
      </c>
      <c r="F2680" s="113" t="s">
        <v>906</v>
      </c>
    </row>
    <row r="2681" spans="1:6" ht="14.25" customHeight="1">
      <c r="A2681" s="285" t="s">
        <v>834</v>
      </c>
      <c r="B2681" s="285">
        <v>2025</v>
      </c>
      <c r="C2681" s="285" t="s">
        <v>872</v>
      </c>
      <c r="D2681" s="285" t="s">
        <v>1013</v>
      </c>
      <c r="E2681" s="285" t="s">
        <v>986</v>
      </c>
      <c r="F2681" s="113" t="s">
        <v>906</v>
      </c>
    </row>
    <row r="2682" spans="1:6" ht="14.25" customHeight="1">
      <c r="A2682" s="284" t="s">
        <v>834</v>
      </c>
      <c r="B2682" s="284">
        <v>2025</v>
      </c>
      <c r="C2682" s="284" t="s">
        <v>872</v>
      </c>
      <c r="D2682" s="284" t="s">
        <v>1013</v>
      </c>
      <c r="E2682" s="284" t="s">
        <v>1214</v>
      </c>
      <c r="F2682" s="113" t="s">
        <v>909</v>
      </c>
    </row>
    <row r="2683" spans="1:6" ht="14.25" customHeight="1">
      <c r="A2683" s="285" t="s">
        <v>834</v>
      </c>
      <c r="B2683" s="285">
        <v>2025</v>
      </c>
      <c r="C2683" s="285" t="s">
        <v>872</v>
      </c>
      <c r="D2683" s="285" t="s">
        <v>1013</v>
      </c>
      <c r="E2683" s="285" t="s">
        <v>965</v>
      </c>
      <c r="F2683" s="113" t="s">
        <v>911</v>
      </c>
    </row>
    <row r="2684" spans="1:6" ht="14.25" customHeight="1">
      <c r="A2684" s="284" t="s">
        <v>834</v>
      </c>
      <c r="B2684" s="284">
        <v>2025</v>
      </c>
      <c r="C2684" s="284" t="s">
        <v>872</v>
      </c>
      <c r="D2684" s="284" t="s">
        <v>1013</v>
      </c>
      <c r="E2684" s="284" t="s">
        <v>1188</v>
      </c>
      <c r="F2684" s="113" t="s">
        <v>911</v>
      </c>
    </row>
    <row r="2685" spans="1:6" ht="14.25" customHeight="1">
      <c r="A2685" s="285" t="s">
        <v>834</v>
      </c>
      <c r="B2685" s="285">
        <v>2025</v>
      </c>
      <c r="C2685" s="285" t="s">
        <v>872</v>
      </c>
      <c r="D2685" s="285" t="s">
        <v>1013</v>
      </c>
      <c r="E2685" s="285" t="s">
        <v>1187</v>
      </c>
      <c r="F2685" s="113" t="s">
        <v>783</v>
      </c>
    </row>
    <row r="2686" spans="1:6" ht="14.25" customHeight="1">
      <c r="A2686" s="284" t="s">
        <v>834</v>
      </c>
      <c r="B2686" s="284">
        <v>2025</v>
      </c>
      <c r="C2686" s="284" t="s">
        <v>872</v>
      </c>
      <c r="D2686" s="284" t="s">
        <v>1013</v>
      </c>
      <c r="E2686" s="284" t="s">
        <v>995</v>
      </c>
      <c r="F2686" s="113" t="s">
        <v>924</v>
      </c>
    </row>
    <row r="2687" spans="1:6" ht="14.25" customHeight="1">
      <c r="A2687" s="285" t="s">
        <v>834</v>
      </c>
      <c r="B2687" s="285">
        <v>2025</v>
      </c>
      <c r="C2687" s="285" t="s">
        <v>872</v>
      </c>
      <c r="D2687" s="285" t="s">
        <v>1015</v>
      </c>
      <c r="E2687" s="285" t="s">
        <v>1108</v>
      </c>
      <c r="F2687" s="113" t="s">
        <v>915</v>
      </c>
    </row>
    <row r="2688" spans="1:6" ht="14.25" customHeight="1">
      <c r="A2688" s="284" t="s">
        <v>834</v>
      </c>
      <c r="B2688" s="284">
        <v>2025</v>
      </c>
      <c r="C2688" s="284" t="s">
        <v>872</v>
      </c>
      <c r="D2688" s="284" t="s">
        <v>1015</v>
      </c>
      <c r="E2688" s="284" t="s">
        <v>1187</v>
      </c>
      <c r="F2688" s="113" t="s">
        <v>783</v>
      </c>
    </row>
    <row r="2689" spans="1:6" ht="14.25" customHeight="1">
      <c r="A2689" s="285" t="s">
        <v>834</v>
      </c>
      <c r="B2689" s="285">
        <v>2025</v>
      </c>
      <c r="C2689" s="285" t="s">
        <v>1024</v>
      </c>
      <c r="D2689" s="285" t="s">
        <v>1027</v>
      </c>
      <c r="E2689" s="285" t="s">
        <v>944</v>
      </c>
      <c r="F2689" s="113" t="s">
        <v>906</v>
      </c>
    </row>
    <row r="2690" spans="1:6" ht="14.25" customHeight="1">
      <c r="A2690" s="284" t="s">
        <v>834</v>
      </c>
      <c r="B2690" s="284">
        <v>2025</v>
      </c>
      <c r="C2690" s="284" t="s">
        <v>1024</v>
      </c>
      <c r="D2690" s="284" t="s">
        <v>1027</v>
      </c>
      <c r="E2690" s="284" t="s">
        <v>1235</v>
      </c>
      <c r="F2690" s="113" t="s">
        <v>909</v>
      </c>
    </row>
    <row r="2691" spans="1:6" ht="14.25" customHeight="1">
      <c r="A2691" s="285" t="s">
        <v>834</v>
      </c>
      <c r="B2691" s="285">
        <v>2025</v>
      </c>
      <c r="C2691" s="285" t="s">
        <v>1024</v>
      </c>
      <c r="D2691" s="285" t="s">
        <v>1027</v>
      </c>
      <c r="E2691" s="285" t="s">
        <v>1236</v>
      </c>
      <c r="F2691" s="113" t="s">
        <v>663</v>
      </c>
    </row>
    <row r="2692" spans="1:6" ht="14.25" customHeight="1">
      <c r="A2692" s="284" t="s">
        <v>834</v>
      </c>
      <c r="B2692" s="284">
        <v>2025</v>
      </c>
      <c r="C2692" s="284" t="s">
        <v>1024</v>
      </c>
      <c r="D2692" s="284" t="s">
        <v>1027</v>
      </c>
      <c r="E2692" s="284" t="s">
        <v>1044</v>
      </c>
      <c r="F2692" s="113" t="s">
        <v>922</v>
      </c>
    </row>
    <row r="2693" spans="1:6" ht="14.25" customHeight="1">
      <c r="A2693" s="285" t="s">
        <v>834</v>
      </c>
      <c r="B2693" s="285">
        <v>2025</v>
      </c>
      <c r="C2693" s="285" t="s">
        <v>1024</v>
      </c>
      <c r="D2693" s="285" t="s">
        <v>1026</v>
      </c>
      <c r="E2693" s="285" t="s">
        <v>1014</v>
      </c>
      <c r="F2693" s="113" t="s">
        <v>906</v>
      </c>
    </row>
    <row r="2694" spans="1:6" ht="14.25" customHeight="1">
      <c r="A2694" s="284" t="s">
        <v>834</v>
      </c>
      <c r="B2694" s="284">
        <v>2025</v>
      </c>
      <c r="C2694" s="284" t="s">
        <v>1024</v>
      </c>
      <c r="D2694" s="284" t="s">
        <v>1026</v>
      </c>
      <c r="E2694" s="284" t="s">
        <v>1112</v>
      </c>
      <c r="F2694" s="113" t="s">
        <v>918</v>
      </c>
    </row>
    <row r="2695" spans="1:6" ht="14.25" customHeight="1">
      <c r="A2695" s="285" t="s">
        <v>834</v>
      </c>
      <c r="B2695" s="285">
        <v>2025</v>
      </c>
      <c r="C2695" s="285" t="s">
        <v>1024</v>
      </c>
      <c r="D2695" s="285" t="s">
        <v>1025</v>
      </c>
      <c r="E2695" s="285" t="s">
        <v>1022</v>
      </c>
      <c r="F2695" s="113" t="s">
        <v>783</v>
      </c>
    </row>
    <row r="2696" spans="1:6" ht="14.25" customHeight="1">
      <c r="A2696" s="284" t="s">
        <v>834</v>
      </c>
      <c r="B2696" s="284">
        <v>2025</v>
      </c>
      <c r="C2696" s="284" t="s">
        <v>1024</v>
      </c>
      <c r="D2696" s="284" t="s">
        <v>1025</v>
      </c>
      <c r="E2696" s="284" t="s">
        <v>1237</v>
      </c>
      <c r="F2696" s="113" t="s">
        <v>663</v>
      </c>
    </row>
    <row r="2697" spans="1:6" ht="14.25" customHeight="1">
      <c r="A2697" s="286" t="s">
        <v>823</v>
      </c>
      <c r="B2697" s="286">
        <v>2024</v>
      </c>
      <c r="C2697" s="286" t="s">
        <v>821</v>
      </c>
      <c r="D2697" s="286" t="s">
        <v>132</v>
      </c>
      <c r="E2697" s="286" t="s">
        <v>930</v>
      </c>
      <c r="F2697" s="113" t="s">
        <v>906</v>
      </c>
    </row>
    <row r="2698" spans="1:6" ht="14.25" customHeight="1">
      <c r="A2698" s="286" t="s">
        <v>823</v>
      </c>
      <c r="B2698" s="286">
        <v>2024</v>
      </c>
      <c r="C2698" s="286" t="s">
        <v>821</v>
      </c>
      <c r="D2698" s="286" t="s">
        <v>132</v>
      </c>
      <c r="E2698" s="286" t="s">
        <v>1014</v>
      </c>
      <c r="F2698" s="113" t="s">
        <v>906</v>
      </c>
    </row>
    <row r="2699" spans="1:6" ht="14.25" customHeight="1">
      <c r="A2699" s="286" t="s">
        <v>823</v>
      </c>
      <c r="B2699" s="286">
        <v>2024</v>
      </c>
      <c r="C2699" s="286" t="s">
        <v>821</v>
      </c>
      <c r="D2699" s="286" t="s">
        <v>132</v>
      </c>
      <c r="E2699" s="286" t="s">
        <v>930</v>
      </c>
      <c r="F2699" s="113" t="s">
        <v>906</v>
      </c>
    </row>
    <row r="2700" spans="1:6" ht="14.25" customHeight="1">
      <c r="A2700" s="286" t="s">
        <v>823</v>
      </c>
      <c r="B2700" s="286">
        <v>2024</v>
      </c>
      <c r="C2700" s="286" t="s">
        <v>821</v>
      </c>
      <c r="D2700" s="286" t="s">
        <v>132</v>
      </c>
      <c r="E2700" s="286" t="s">
        <v>944</v>
      </c>
      <c r="F2700" s="113" t="s">
        <v>906</v>
      </c>
    </row>
    <row r="2701" spans="1:6" ht="14.25" customHeight="1">
      <c r="A2701" s="286" t="s">
        <v>823</v>
      </c>
      <c r="B2701" s="286">
        <v>2024</v>
      </c>
      <c r="C2701" s="286" t="s">
        <v>821</v>
      </c>
      <c r="D2701" s="286" t="s">
        <v>132</v>
      </c>
      <c r="E2701" s="286" t="s">
        <v>1036</v>
      </c>
      <c r="F2701" s="113" t="s">
        <v>906</v>
      </c>
    </row>
    <row r="2702" spans="1:6" ht="14.25" customHeight="1">
      <c r="A2702" s="286" t="s">
        <v>823</v>
      </c>
      <c r="B2702" s="286">
        <v>2024</v>
      </c>
      <c r="C2702" s="286" t="s">
        <v>821</v>
      </c>
      <c r="D2702" s="286" t="s">
        <v>132</v>
      </c>
      <c r="E2702" s="286" t="s">
        <v>1036</v>
      </c>
      <c r="F2702" s="113" t="s">
        <v>906</v>
      </c>
    </row>
    <row r="2703" spans="1:6" ht="14.25" customHeight="1">
      <c r="A2703" s="286" t="s">
        <v>823</v>
      </c>
      <c r="B2703" s="286">
        <v>2024</v>
      </c>
      <c r="C2703" s="286" t="s">
        <v>821</v>
      </c>
      <c r="D2703" s="286" t="s">
        <v>132</v>
      </c>
      <c r="E2703" s="286" t="s">
        <v>952</v>
      </c>
      <c r="F2703" s="113" t="s">
        <v>906</v>
      </c>
    </row>
    <row r="2704" spans="1:6" ht="14.25" customHeight="1">
      <c r="A2704" s="286" t="s">
        <v>823</v>
      </c>
      <c r="B2704" s="286">
        <v>2024</v>
      </c>
      <c r="C2704" s="286" t="s">
        <v>821</v>
      </c>
      <c r="D2704" s="286" t="s">
        <v>132</v>
      </c>
      <c r="E2704" s="286" t="s">
        <v>939</v>
      </c>
      <c r="F2704" s="113" t="s">
        <v>909</v>
      </c>
    </row>
    <row r="2705" spans="1:6" ht="14.25" customHeight="1">
      <c r="A2705" s="286" t="s">
        <v>823</v>
      </c>
      <c r="B2705" s="286">
        <v>2024</v>
      </c>
      <c r="C2705" s="286" t="s">
        <v>821</v>
      </c>
      <c r="D2705" s="286" t="s">
        <v>132</v>
      </c>
      <c r="E2705" s="286" t="s">
        <v>1170</v>
      </c>
      <c r="F2705" s="113" t="s">
        <v>909</v>
      </c>
    </row>
    <row r="2706" spans="1:6" ht="14.25" customHeight="1">
      <c r="A2706" s="286" t="s">
        <v>823</v>
      </c>
      <c r="B2706" s="286">
        <v>2024</v>
      </c>
      <c r="C2706" s="286" t="s">
        <v>821</v>
      </c>
      <c r="D2706" s="286" t="s">
        <v>132</v>
      </c>
      <c r="E2706" s="286" t="s">
        <v>1096</v>
      </c>
      <c r="F2706" s="113" t="s">
        <v>909</v>
      </c>
    </row>
    <row r="2707" spans="1:6" ht="14.25" customHeight="1">
      <c r="A2707" s="286" t="s">
        <v>823</v>
      </c>
      <c r="B2707" s="286">
        <v>2024</v>
      </c>
      <c r="C2707" s="286" t="s">
        <v>821</v>
      </c>
      <c r="D2707" s="286" t="s">
        <v>132</v>
      </c>
      <c r="E2707" s="286" t="s">
        <v>1052</v>
      </c>
      <c r="F2707" s="113" t="s">
        <v>909</v>
      </c>
    </row>
    <row r="2708" spans="1:6" ht="14.25" customHeight="1">
      <c r="A2708" s="286" t="s">
        <v>823</v>
      </c>
      <c r="B2708" s="286">
        <v>2024</v>
      </c>
      <c r="C2708" s="286" t="s">
        <v>821</v>
      </c>
      <c r="D2708" s="286" t="s">
        <v>132</v>
      </c>
      <c r="E2708" s="286" t="s">
        <v>1238</v>
      </c>
      <c r="F2708" s="113" t="s">
        <v>909</v>
      </c>
    </row>
    <row r="2709" spans="1:6" ht="14.25" customHeight="1">
      <c r="A2709" s="286" t="s">
        <v>823</v>
      </c>
      <c r="B2709" s="286">
        <v>2024</v>
      </c>
      <c r="C2709" s="286" t="s">
        <v>821</v>
      </c>
      <c r="D2709" s="286" t="s">
        <v>132</v>
      </c>
      <c r="E2709" s="286" t="s">
        <v>939</v>
      </c>
      <c r="F2709" s="113" t="s">
        <v>909</v>
      </c>
    </row>
    <row r="2710" spans="1:6" ht="14.25" customHeight="1">
      <c r="A2710" s="286" t="s">
        <v>823</v>
      </c>
      <c r="B2710" s="286">
        <v>2024</v>
      </c>
      <c r="C2710" s="286" t="s">
        <v>821</v>
      </c>
      <c r="D2710" s="286" t="s">
        <v>132</v>
      </c>
      <c r="E2710" s="286" t="s">
        <v>1052</v>
      </c>
      <c r="F2710" s="113" t="s">
        <v>909</v>
      </c>
    </row>
    <row r="2711" spans="1:6" ht="14.25" customHeight="1">
      <c r="A2711" s="286" t="s">
        <v>823</v>
      </c>
      <c r="B2711" s="286">
        <v>2024</v>
      </c>
      <c r="C2711" s="286" t="s">
        <v>821</v>
      </c>
      <c r="D2711" s="286" t="s">
        <v>132</v>
      </c>
      <c r="E2711" s="286" t="s">
        <v>965</v>
      </c>
      <c r="F2711" s="113" t="s">
        <v>911</v>
      </c>
    </row>
    <row r="2712" spans="1:6" ht="14.25" customHeight="1">
      <c r="A2712" s="286" t="s">
        <v>823</v>
      </c>
      <c r="B2712" s="286">
        <v>2024</v>
      </c>
      <c r="C2712" s="286" t="s">
        <v>821</v>
      </c>
      <c r="D2712" s="286" t="s">
        <v>132</v>
      </c>
      <c r="E2712" s="286" t="s">
        <v>2</v>
      </c>
      <c r="F2712" s="113" t="s">
        <v>913</v>
      </c>
    </row>
    <row r="2713" spans="1:6" ht="14.25" customHeight="1">
      <c r="A2713" s="286" t="s">
        <v>823</v>
      </c>
      <c r="B2713" s="286">
        <v>2024</v>
      </c>
      <c r="C2713" s="286" t="s">
        <v>821</v>
      </c>
      <c r="D2713" s="286" t="s">
        <v>132</v>
      </c>
      <c r="E2713" s="286" t="s">
        <v>2</v>
      </c>
      <c r="F2713" s="113" t="s">
        <v>913</v>
      </c>
    </row>
    <row r="2714" spans="1:6" ht="14.25" customHeight="1">
      <c r="A2714" s="286" t="s">
        <v>823</v>
      </c>
      <c r="B2714" s="286">
        <v>2024</v>
      </c>
      <c r="C2714" s="286" t="s">
        <v>821</v>
      </c>
      <c r="D2714" s="286" t="s">
        <v>132</v>
      </c>
      <c r="E2714" s="286" t="s">
        <v>1186</v>
      </c>
      <c r="F2714" s="113" t="s">
        <v>663</v>
      </c>
    </row>
    <row r="2715" spans="1:6" ht="14.25" customHeight="1">
      <c r="A2715" s="286" t="s">
        <v>823</v>
      </c>
      <c r="B2715" s="286">
        <v>2024</v>
      </c>
      <c r="C2715" s="286" t="s">
        <v>821</v>
      </c>
      <c r="D2715" s="286" t="s">
        <v>132</v>
      </c>
      <c r="E2715" s="286" t="s">
        <v>944</v>
      </c>
      <c r="F2715" s="113" t="s">
        <v>915</v>
      </c>
    </row>
    <row r="2716" spans="1:6" ht="14.25" customHeight="1">
      <c r="A2716" s="286" t="s">
        <v>823</v>
      </c>
      <c r="B2716" s="286">
        <v>2024</v>
      </c>
      <c r="C2716" s="286" t="s">
        <v>821</v>
      </c>
      <c r="D2716" s="286" t="s">
        <v>132</v>
      </c>
      <c r="E2716" s="286" t="s">
        <v>1106</v>
      </c>
      <c r="F2716" s="113" t="s">
        <v>915</v>
      </c>
    </row>
    <row r="2717" spans="1:6" ht="14.25" customHeight="1">
      <c r="A2717" s="286" t="s">
        <v>823</v>
      </c>
      <c r="B2717" s="286">
        <v>2024</v>
      </c>
      <c r="C2717" s="286" t="s">
        <v>821</v>
      </c>
      <c r="D2717" s="286" t="s">
        <v>132</v>
      </c>
      <c r="E2717" s="113" t="s">
        <v>2</v>
      </c>
      <c r="F2717" s="113" t="s">
        <v>918</v>
      </c>
    </row>
    <row r="2718" spans="1:6" ht="14.25" customHeight="1">
      <c r="A2718" s="286" t="s">
        <v>823</v>
      </c>
      <c r="B2718" s="286">
        <v>2024</v>
      </c>
      <c r="C2718" s="286" t="s">
        <v>821</v>
      </c>
      <c r="D2718" s="286" t="s">
        <v>132</v>
      </c>
      <c r="E2718" s="286" t="s">
        <v>1058</v>
      </c>
      <c r="F2718" s="113" t="s">
        <v>917</v>
      </c>
    </row>
    <row r="2719" spans="1:6" ht="14.25" customHeight="1">
      <c r="A2719" s="286" t="s">
        <v>823</v>
      </c>
      <c r="B2719" s="286">
        <v>2024</v>
      </c>
      <c r="C2719" s="286" t="s">
        <v>821</v>
      </c>
      <c r="D2719" s="286" t="s">
        <v>132</v>
      </c>
      <c r="E2719" s="286" t="s">
        <v>974</v>
      </c>
      <c r="F2719" s="113" t="s">
        <v>917</v>
      </c>
    </row>
    <row r="2720" spans="1:6" ht="14.25" customHeight="1">
      <c r="A2720" s="286" t="s">
        <v>823</v>
      </c>
      <c r="B2720" s="286">
        <v>2024</v>
      </c>
      <c r="C2720" s="286" t="s">
        <v>821</v>
      </c>
      <c r="D2720" s="286" t="s">
        <v>132</v>
      </c>
      <c r="E2720" s="286" t="s">
        <v>1239</v>
      </c>
      <c r="F2720" s="113" t="s">
        <v>917</v>
      </c>
    </row>
    <row r="2721" spans="1:6" ht="14.25" customHeight="1">
      <c r="A2721" s="286" t="s">
        <v>823</v>
      </c>
      <c r="B2721" s="286">
        <v>2024</v>
      </c>
      <c r="C2721" s="286" t="s">
        <v>821</v>
      </c>
      <c r="D2721" s="286" t="s">
        <v>132</v>
      </c>
      <c r="E2721" s="286" t="s">
        <v>1068</v>
      </c>
      <c r="F2721" s="113" t="s">
        <v>922</v>
      </c>
    </row>
    <row r="2722" spans="1:6" ht="14.25" customHeight="1">
      <c r="A2722" s="286" t="s">
        <v>823</v>
      </c>
      <c r="B2722" s="286">
        <v>2024</v>
      </c>
      <c r="C2722" s="286" t="s">
        <v>821</v>
      </c>
      <c r="D2722" s="286" t="s">
        <v>132</v>
      </c>
      <c r="E2722" s="286" t="s">
        <v>1044</v>
      </c>
      <c r="F2722" s="113" t="s">
        <v>922</v>
      </c>
    </row>
    <row r="2723" spans="1:6" ht="14.25" customHeight="1">
      <c r="A2723" s="286" t="s">
        <v>823</v>
      </c>
      <c r="B2723" s="286">
        <v>2024</v>
      </c>
      <c r="C2723" s="286" t="s">
        <v>821</v>
      </c>
      <c r="D2723" s="286" t="s">
        <v>132</v>
      </c>
      <c r="E2723" s="286" t="s">
        <v>992</v>
      </c>
      <c r="F2723" s="113" t="s">
        <v>922</v>
      </c>
    </row>
    <row r="2724" spans="1:6" ht="14.25" customHeight="1">
      <c r="A2724" s="286" t="s">
        <v>823</v>
      </c>
      <c r="B2724" s="286">
        <v>2024</v>
      </c>
      <c r="C2724" s="286" t="s">
        <v>821</v>
      </c>
      <c r="D2724" s="286" t="s">
        <v>132</v>
      </c>
      <c r="E2724" s="286" t="s">
        <v>1113</v>
      </c>
      <c r="F2724" s="113" t="s">
        <v>922</v>
      </c>
    </row>
    <row r="2725" spans="1:6" ht="14.25" customHeight="1">
      <c r="A2725" s="286" t="s">
        <v>823</v>
      </c>
      <c r="B2725" s="286">
        <v>2024</v>
      </c>
      <c r="C2725" s="286" t="s">
        <v>821</v>
      </c>
      <c r="D2725" s="286" t="s">
        <v>132</v>
      </c>
      <c r="E2725" s="286" t="s">
        <v>1060</v>
      </c>
      <c r="F2725" s="113" t="s">
        <v>922</v>
      </c>
    </row>
    <row r="2726" spans="1:6" ht="14.25" customHeight="1">
      <c r="A2726" s="286" t="s">
        <v>823</v>
      </c>
      <c r="B2726" s="286">
        <v>2024</v>
      </c>
      <c r="C2726" s="286" t="s">
        <v>821</v>
      </c>
      <c r="D2726" s="286" t="s">
        <v>132</v>
      </c>
      <c r="E2726" s="286" t="s">
        <v>1058</v>
      </c>
      <c r="F2726" s="113" t="s">
        <v>922</v>
      </c>
    </row>
    <row r="2727" spans="1:6" ht="14.25" customHeight="1">
      <c r="A2727" s="286" t="s">
        <v>823</v>
      </c>
      <c r="B2727" s="286">
        <v>2024</v>
      </c>
      <c r="C2727" s="286" t="s">
        <v>821</v>
      </c>
      <c r="D2727" s="286" t="s">
        <v>132</v>
      </c>
      <c r="E2727" s="286" t="s">
        <v>992</v>
      </c>
      <c r="F2727" s="113" t="s">
        <v>922</v>
      </c>
    </row>
    <row r="2728" spans="1:6" ht="14.25" customHeight="1">
      <c r="A2728" s="286" t="s">
        <v>823</v>
      </c>
      <c r="B2728" s="286">
        <v>2024</v>
      </c>
      <c r="C2728" s="286" t="s">
        <v>821</v>
      </c>
      <c r="D2728" s="286" t="s">
        <v>132</v>
      </c>
      <c r="E2728" s="286" t="s">
        <v>1060</v>
      </c>
      <c r="F2728" s="113" t="s">
        <v>922</v>
      </c>
    </row>
    <row r="2729" spans="1:6" ht="14.25" customHeight="1">
      <c r="A2729" s="286" t="s">
        <v>823</v>
      </c>
      <c r="B2729" s="286">
        <v>2024</v>
      </c>
      <c r="C2729" s="286" t="s">
        <v>821</v>
      </c>
      <c r="D2729" s="286" t="s">
        <v>132</v>
      </c>
      <c r="E2729" s="286" t="s">
        <v>948</v>
      </c>
      <c r="F2729" s="113" t="s">
        <v>922</v>
      </c>
    </row>
    <row r="2730" spans="1:6" ht="14.25" customHeight="1">
      <c r="A2730" s="286" t="s">
        <v>823</v>
      </c>
      <c r="B2730" s="286">
        <v>2024</v>
      </c>
      <c r="C2730" s="286" t="s">
        <v>821</v>
      </c>
      <c r="D2730" s="286" t="s">
        <v>132</v>
      </c>
      <c r="E2730" s="285" t="s">
        <v>2</v>
      </c>
      <c r="F2730" s="113" t="s">
        <v>935</v>
      </c>
    </row>
    <row r="2731" spans="1:6" ht="14.25" customHeight="1">
      <c r="A2731" s="286" t="s">
        <v>823</v>
      </c>
      <c r="B2731" s="286">
        <v>2024</v>
      </c>
      <c r="C2731" s="286" t="s">
        <v>821</v>
      </c>
      <c r="D2731" s="286" t="s">
        <v>132</v>
      </c>
      <c r="E2731" s="286" t="s">
        <v>1045</v>
      </c>
      <c r="F2731" s="113" t="s">
        <v>922</v>
      </c>
    </row>
    <row r="2732" spans="1:6" ht="14.25" customHeight="1">
      <c r="A2732" s="286" t="s">
        <v>823</v>
      </c>
      <c r="B2732" s="286">
        <v>2024</v>
      </c>
      <c r="C2732" s="286" t="s">
        <v>821</v>
      </c>
      <c r="D2732" s="286" t="s">
        <v>132</v>
      </c>
      <c r="E2732" s="286" t="s">
        <v>989</v>
      </c>
      <c r="F2732" s="113" t="s">
        <v>935</v>
      </c>
    </row>
    <row r="2733" spans="1:6" ht="14.25" customHeight="1">
      <c r="A2733" s="286" t="s">
        <v>823</v>
      </c>
      <c r="B2733" s="286">
        <v>2024</v>
      </c>
      <c r="C2733" s="286" t="s">
        <v>821</v>
      </c>
      <c r="D2733" s="286" t="s">
        <v>132</v>
      </c>
      <c r="E2733" s="286" t="s">
        <v>1023</v>
      </c>
      <c r="F2733" s="113" t="s">
        <v>935</v>
      </c>
    </row>
    <row r="2734" spans="1:6" ht="14.25" customHeight="1">
      <c r="A2734" s="286" t="s">
        <v>823</v>
      </c>
      <c r="B2734" s="286">
        <v>2024</v>
      </c>
      <c r="C2734" s="286" t="s">
        <v>821</v>
      </c>
      <c r="D2734" s="286" t="s">
        <v>132</v>
      </c>
      <c r="E2734" s="286" t="s">
        <v>1030</v>
      </c>
      <c r="F2734" s="113" t="s">
        <v>935</v>
      </c>
    </row>
    <row r="2735" spans="1:6" ht="14.25" customHeight="1">
      <c r="A2735" s="286" t="s">
        <v>823</v>
      </c>
      <c r="B2735" s="286">
        <v>2024</v>
      </c>
      <c r="C2735" s="286" t="s">
        <v>821</v>
      </c>
      <c r="D2735" s="286" t="s">
        <v>132</v>
      </c>
      <c r="E2735" s="286" t="s">
        <v>1240</v>
      </c>
      <c r="F2735" s="286" t="s">
        <v>1241</v>
      </c>
    </row>
    <row r="2736" spans="1:6" ht="14.25" customHeight="1">
      <c r="A2736" s="286" t="s">
        <v>823</v>
      </c>
      <c r="B2736" s="286">
        <v>2024</v>
      </c>
      <c r="C2736" s="286" t="s">
        <v>821</v>
      </c>
      <c r="D2736" s="286" t="s">
        <v>934</v>
      </c>
      <c r="E2736" s="286" t="s">
        <v>1028</v>
      </c>
      <c r="F2736" s="113" t="s">
        <v>906</v>
      </c>
    </row>
    <row r="2737" spans="1:6" ht="14.25" customHeight="1">
      <c r="A2737" s="286" t="s">
        <v>823</v>
      </c>
      <c r="B2737" s="286">
        <v>2024</v>
      </c>
      <c r="C2737" s="286" t="s">
        <v>821</v>
      </c>
      <c r="D2737" s="286" t="s">
        <v>934</v>
      </c>
      <c r="E2737" s="286" t="s">
        <v>1028</v>
      </c>
      <c r="F2737" s="113" t="s">
        <v>906</v>
      </c>
    </row>
    <row r="2738" spans="1:6" ht="14.25" customHeight="1">
      <c r="A2738" s="286" t="s">
        <v>823</v>
      </c>
      <c r="B2738" s="286">
        <v>2024</v>
      </c>
      <c r="C2738" s="286" t="s">
        <v>821</v>
      </c>
      <c r="D2738" s="286" t="s">
        <v>934</v>
      </c>
      <c r="E2738" s="286" t="s">
        <v>1014</v>
      </c>
      <c r="F2738" s="113" t="s">
        <v>906</v>
      </c>
    </row>
    <row r="2739" spans="1:6" ht="14.25" customHeight="1">
      <c r="A2739" s="286" t="s">
        <v>823</v>
      </c>
      <c r="B2739" s="286">
        <v>2024</v>
      </c>
      <c r="C2739" s="286" t="s">
        <v>821</v>
      </c>
      <c r="D2739" s="286" t="s">
        <v>934</v>
      </c>
      <c r="E2739" s="286" t="s">
        <v>991</v>
      </c>
      <c r="F2739" s="113" t="s">
        <v>906</v>
      </c>
    </row>
    <row r="2740" spans="1:6" ht="14.25" customHeight="1">
      <c r="A2740" s="286" t="s">
        <v>823</v>
      </c>
      <c r="B2740" s="286">
        <v>2024</v>
      </c>
      <c r="C2740" s="286" t="s">
        <v>821</v>
      </c>
      <c r="D2740" s="286" t="s">
        <v>934</v>
      </c>
      <c r="E2740" s="286" t="s">
        <v>1028</v>
      </c>
      <c r="F2740" s="113" t="s">
        <v>906</v>
      </c>
    </row>
    <row r="2741" spans="1:6" ht="14.25" customHeight="1">
      <c r="A2741" s="286" t="s">
        <v>823</v>
      </c>
      <c r="B2741" s="286">
        <v>2024</v>
      </c>
      <c r="C2741" s="286" t="s">
        <v>821</v>
      </c>
      <c r="D2741" s="286" t="s">
        <v>934</v>
      </c>
      <c r="E2741" s="286" t="s">
        <v>930</v>
      </c>
      <c r="F2741" s="113" t="s">
        <v>906</v>
      </c>
    </row>
    <row r="2742" spans="1:6" ht="14.25" customHeight="1">
      <c r="A2742" s="286" t="s">
        <v>823</v>
      </c>
      <c r="B2742" s="286">
        <v>2024</v>
      </c>
      <c r="C2742" s="286" t="s">
        <v>821</v>
      </c>
      <c r="D2742" s="286" t="s">
        <v>934</v>
      </c>
      <c r="E2742" s="286" t="s">
        <v>952</v>
      </c>
      <c r="F2742" s="113" t="s">
        <v>906</v>
      </c>
    </row>
    <row r="2743" spans="1:6" ht="14.25" customHeight="1">
      <c r="A2743" s="286" t="s">
        <v>823</v>
      </c>
      <c r="B2743" s="286">
        <v>2024</v>
      </c>
      <c r="C2743" s="286" t="s">
        <v>821</v>
      </c>
      <c r="D2743" s="286" t="s">
        <v>934</v>
      </c>
      <c r="E2743" s="286" t="s">
        <v>1040</v>
      </c>
      <c r="F2743" s="113" t="s">
        <v>906</v>
      </c>
    </row>
    <row r="2744" spans="1:6" ht="14.25" customHeight="1">
      <c r="A2744" s="286" t="s">
        <v>823</v>
      </c>
      <c r="B2744" s="286">
        <v>2024</v>
      </c>
      <c r="C2744" s="286" t="s">
        <v>821</v>
      </c>
      <c r="D2744" s="286" t="s">
        <v>934</v>
      </c>
      <c r="E2744" s="113" t="s">
        <v>2</v>
      </c>
      <c r="F2744" s="113" t="s">
        <v>911</v>
      </c>
    </row>
    <row r="2745" spans="1:6" ht="14.25" customHeight="1">
      <c r="A2745" s="286" t="s">
        <v>823</v>
      </c>
      <c r="B2745" s="286">
        <v>2024</v>
      </c>
      <c r="C2745" s="286" t="s">
        <v>821</v>
      </c>
      <c r="D2745" s="286" t="s">
        <v>934</v>
      </c>
      <c r="E2745" s="286" t="s">
        <v>1115</v>
      </c>
      <c r="F2745" s="113" t="s">
        <v>911</v>
      </c>
    </row>
    <row r="2746" spans="1:6" ht="14.25" customHeight="1">
      <c r="A2746" s="286" t="s">
        <v>823</v>
      </c>
      <c r="B2746" s="286">
        <v>2024</v>
      </c>
      <c r="C2746" s="286" t="s">
        <v>821</v>
      </c>
      <c r="D2746" s="286" t="s">
        <v>934</v>
      </c>
      <c r="E2746" s="286" t="s">
        <v>1031</v>
      </c>
      <c r="F2746" s="113" t="s">
        <v>913</v>
      </c>
    </row>
    <row r="2747" spans="1:6" ht="14.25" customHeight="1">
      <c r="A2747" s="286" t="s">
        <v>823</v>
      </c>
      <c r="B2747" s="286">
        <v>2024</v>
      </c>
      <c r="C2747" s="286" t="s">
        <v>821</v>
      </c>
      <c r="D2747" s="286" t="s">
        <v>934</v>
      </c>
      <c r="E2747" s="113" t="s">
        <v>2</v>
      </c>
      <c r="F2747" s="113" t="s">
        <v>913</v>
      </c>
    </row>
    <row r="2748" spans="1:6" ht="14.25" customHeight="1">
      <c r="A2748" s="286" t="s">
        <v>823</v>
      </c>
      <c r="B2748" s="286">
        <v>2024</v>
      </c>
      <c r="C2748" s="286" t="s">
        <v>821</v>
      </c>
      <c r="D2748" s="286" t="s">
        <v>934</v>
      </c>
      <c r="E2748" s="286" t="s">
        <v>962</v>
      </c>
      <c r="F2748" s="113" t="s">
        <v>913</v>
      </c>
    </row>
    <row r="2749" spans="1:6" ht="14.25" customHeight="1">
      <c r="A2749" s="286" t="s">
        <v>823</v>
      </c>
      <c r="B2749" s="286">
        <v>2024</v>
      </c>
      <c r="C2749" s="286" t="s">
        <v>821</v>
      </c>
      <c r="D2749" s="286" t="s">
        <v>934</v>
      </c>
      <c r="E2749" s="286" t="s">
        <v>1242</v>
      </c>
      <c r="F2749" s="113" t="s">
        <v>663</v>
      </c>
    </row>
    <row r="2750" spans="1:6" ht="14.25" customHeight="1">
      <c r="A2750" s="286" t="s">
        <v>823</v>
      </c>
      <c r="B2750" s="286">
        <v>2024</v>
      </c>
      <c r="C2750" s="286" t="s">
        <v>821</v>
      </c>
      <c r="D2750" s="286" t="s">
        <v>934</v>
      </c>
      <c r="E2750" s="286" t="s">
        <v>941</v>
      </c>
      <c r="F2750" s="113" t="s">
        <v>663</v>
      </c>
    </row>
    <row r="2751" spans="1:6" ht="14.25" customHeight="1">
      <c r="A2751" s="286" t="s">
        <v>823</v>
      </c>
      <c r="B2751" s="286">
        <v>2024</v>
      </c>
      <c r="C2751" s="286" t="s">
        <v>821</v>
      </c>
      <c r="D2751" s="286" t="s">
        <v>934</v>
      </c>
      <c r="E2751" s="286" t="s">
        <v>2</v>
      </c>
      <c r="F2751" s="113" t="s">
        <v>918</v>
      </c>
    </row>
    <row r="2752" spans="1:6" ht="14.25" customHeight="1">
      <c r="A2752" s="286" t="s">
        <v>823</v>
      </c>
      <c r="B2752" s="286">
        <v>2024</v>
      </c>
      <c r="C2752" s="286" t="s">
        <v>821</v>
      </c>
      <c r="D2752" s="286" t="s">
        <v>934</v>
      </c>
      <c r="E2752" s="286" t="s">
        <v>2</v>
      </c>
      <c r="F2752" s="113" t="s">
        <v>918</v>
      </c>
    </row>
    <row r="2753" spans="1:6" ht="14.25" customHeight="1">
      <c r="A2753" s="286" t="s">
        <v>823</v>
      </c>
      <c r="B2753" s="286">
        <v>2024</v>
      </c>
      <c r="C2753" s="286" t="s">
        <v>821</v>
      </c>
      <c r="D2753" s="286" t="s">
        <v>934</v>
      </c>
      <c r="E2753" s="286" t="s">
        <v>2</v>
      </c>
      <c r="F2753" s="113" t="s">
        <v>918</v>
      </c>
    </row>
    <row r="2754" spans="1:6" ht="14.25" customHeight="1">
      <c r="A2754" s="286" t="s">
        <v>823</v>
      </c>
      <c r="B2754" s="286">
        <v>2024</v>
      </c>
      <c r="C2754" s="286" t="s">
        <v>821</v>
      </c>
      <c r="D2754" s="286" t="s">
        <v>934</v>
      </c>
      <c r="E2754" s="286" t="s">
        <v>2</v>
      </c>
      <c r="F2754" s="113" t="s">
        <v>918</v>
      </c>
    </row>
    <row r="2755" spans="1:6" ht="14.25" customHeight="1">
      <c r="A2755" s="286" t="s">
        <v>823</v>
      </c>
      <c r="B2755" s="286">
        <v>2024</v>
      </c>
      <c r="C2755" s="286" t="s">
        <v>821</v>
      </c>
      <c r="D2755" s="286" t="s">
        <v>934</v>
      </c>
      <c r="E2755" s="286" t="s">
        <v>2</v>
      </c>
      <c r="F2755" s="113" t="s">
        <v>918</v>
      </c>
    </row>
    <row r="2756" spans="1:6" ht="14.25" customHeight="1">
      <c r="A2756" s="286" t="s">
        <v>823</v>
      </c>
      <c r="B2756" s="286">
        <v>2024</v>
      </c>
      <c r="C2756" s="286" t="s">
        <v>821</v>
      </c>
      <c r="D2756" s="286" t="s">
        <v>934</v>
      </c>
      <c r="E2756" s="286" t="s">
        <v>2</v>
      </c>
      <c r="F2756" s="113" t="s">
        <v>918</v>
      </c>
    </row>
    <row r="2757" spans="1:6" ht="14.25" customHeight="1">
      <c r="A2757" s="286" t="s">
        <v>823</v>
      </c>
      <c r="B2757" s="286">
        <v>2024</v>
      </c>
      <c r="C2757" s="286" t="s">
        <v>821</v>
      </c>
      <c r="D2757" s="286" t="s">
        <v>934</v>
      </c>
      <c r="E2757" s="286" t="s">
        <v>2</v>
      </c>
      <c r="F2757" s="113" t="s">
        <v>918</v>
      </c>
    </row>
    <row r="2758" spans="1:6" ht="14.25" customHeight="1">
      <c r="A2758" s="286" t="s">
        <v>823</v>
      </c>
      <c r="B2758" s="286">
        <v>2024</v>
      </c>
      <c r="C2758" s="286" t="s">
        <v>821</v>
      </c>
      <c r="D2758" s="286" t="s">
        <v>934</v>
      </c>
      <c r="E2758" s="286" t="s">
        <v>2</v>
      </c>
      <c r="F2758" s="113" t="s">
        <v>918</v>
      </c>
    </row>
    <row r="2759" spans="1:6" ht="14.25" customHeight="1">
      <c r="A2759" s="286" t="s">
        <v>823</v>
      </c>
      <c r="B2759" s="286">
        <v>2024</v>
      </c>
      <c r="C2759" s="286" t="s">
        <v>821</v>
      </c>
      <c r="D2759" s="286" t="s">
        <v>934</v>
      </c>
      <c r="E2759" s="286" t="s">
        <v>2</v>
      </c>
      <c r="F2759" s="113" t="s">
        <v>918</v>
      </c>
    </row>
    <row r="2760" spans="1:6" ht="14.25" customHeight="1">
      <c r="A2760" s="286" t="s">
        <v>823</v>
      </c>
      <c r="B2760" s="286">
        <v>2024</v>
      </c>
      <c r="C2760" s="286" t="s">
        <v>821</v>
      </c>
      <c r="D2760" s="286" t="s">
        <v>934</v>
      </c>
      <c r="E2760" s="286" t="s">
        <v>2</v>
      </c>
      <c r="F2760" s="113" t="s">
        <v>918</v>
      </c>
    </row>
    <row r="2761" spans="1:6" ht="14.25" customHeight="1">
      <c r="A2761" s="286" t="s">
        <v>823</v>
      </c>
      <c r="B2761" s="286">
        <v>2024</v>
      </c>
      <c r="C2761" s="286" t="s">
        <v>821</v>
      </c>
      <c r="D2761" s="286" t="s">
        <v>934</v>
      </c>
      <c r="E2761" s="286" t="s">
        <v>2</v>
      </c>
      <c r="F2761" s="113" t="s">
        <v>918</v>
      </c>
    </row>
    <row r="2762" spans="1:6" ht="14.25" customHeight="1">
      <c r="A2762" s="286" t="s">
        <v>823</v>
      </c>
      <c r="B2762" s="286">
        <v>2024</v>
      </c>
      <c r="C2762" s="286" t="s">
        <v>821</v>
      </c>
      <c r="D2762" s="286" t="s">
        <v>934</v>
      </c>
      <c r="E2762" s="286" t="s">
        <v>2</v>
      </c>
      <c r="F2762" s="113" t="s">
        <v>918</v>
      </c>
    </row>
    <row r="2763" spans="1:6" ht="14.25" customHeight="1">
      <c r="A2763" s="286" t="s">
        <v>823</v>
      </c>
      <c r="B2763" s="286">
        <v>2024</v>
      </c>
      <c r="C2763" s="286" t="s">
        <v>821</v>
      </c>
      <c r="D2763" s="286" t="s">
        <v>934</v>
      </c>
      <c r="E2763" s="286" t="s">
        <v>2</v>
      </c>
      <c r="F2763" s="113" t="s">
        <v>918</v>
      </c>
    </row>
    <row r="2764" spans="1:6" ht="14.25" customHeight="1">
      <c r="A2764" s="286" t="s">
        <v>823</v>
      </c>
      <c r="B2764" s="286">
        <v>2024</v>
      </c>
      <c r="C2764" s="286" t="s">
        <v>821</v>
      </c>
      <c r="D2764" s="286" t="s">
        <v>934</v>
      </c>
      <c r="E2764" s="286" t="s">
        <v>2</v>
      </c>
      <c r="F2764" s="113" t="s">
        <v>918</v>
      </c>
    </row>
    <row r="2765" spans="1:6" ht="14.25" customHeight="1">
      <c r="A2765" s="286" t="s">
        <v>823</v>
      </c>
      <c r="B2765" s="286">
        <v>2024</v>
      </c>
      <c r="C2765" s="286" t="s">
        <v>821</v>
      </c>
      <c r="D2765" s="286" t="s">
        <v>934</v>
      </c>
      <c r="E2765" s="286" t="s">
        <v>2</v>
      </c>
      <c r="F2765" s="113" t="s">
        <v>918</v>
      </c>
    </row>
    <row r="2766" spans="1:6" ht="14.25" customHeight="1">
      <c r="A2766" s="286" t="s">
        <v>823</v>
      </c>
      <c r="B2766" s="286">
        <v>2024</v>
      </c>
      <c r="C2766" s="286" t="s">
        <v>821</v>
      </c>
      <c r="D2766" s="286" t="s">
        <v>934</v>
      </c>
      <c r="E2766" s="286" t="s">
        <v>2</v>
      </c>
      <c r="F2766" s="113" t="s">
        <v>918</v>
      </c>
    </row>
    <row r="2767" spans="1:6" ht="14.25" customHeight="1">
      <c r="A2767" s="286" t="s">
        <v>823</v>
      </c>
      <c r="B2767" s="286">
        <v>2024</v>
      </c>
      <c r="C2767" s="286" t="s">
        <v>821</v>
      </c>
      <c r="D2767" s="286" t="s">
        <v>934</v>
      </c>
      <c r="E2767" s="286" t="s">
        <v>2</v>
      </c>
      <c r="F2767" s="113" t="s">
        <v>918</v>
      </c>
    </row>
    <row r="2768" spans="1:6" ht="14.25" customHeight="1">
      <c r="A2768" s="286" t="s">
        <v>823</v>
      </c>
      <c r="B2768" s="286">
        <v>2024</v>
      </c>
      <c r="C2768" s="286" t="s">
        <v>821</v>
      </c>
      <c r="D2768" s="286" t="s">
        <v>934</v>
      </c>
      <c r="E2768" s="286" t="s">
        <v>2</v>
      </c>
      <c r="F2768" s="113" t="s">
        <v>918</v>
      </c>
    </row>
    <row r="2769" spans="1:6" ht="14.25" customHeight="1">
      <c r="A2769" s="286" t="s">
        <v>823</v>
      </c>
      <c r="B2769" s="286">
        <v>2024</v>
      </c>
      <c r="C2769" s="286" t="s">
        <v>821</v>
      </c>
      <c r="D2769" s="286" t="s">
        <v>934</v>
      </c>
      <c r="E2769" s="286" t="s">
        <v>2</v>
      </c>
      <c r="F2769" s="113" t="s">
        <v>918</v>
      </c>
    </row>
    <row r="2770" spans="1:6" ht="14.25" customHeight="1">
      <c r="A2770" s="286" t="s">
        <v>823</v>
      </c>
      <c r="B2770" s="286">
        <v>2024</v>
      </c>
      <c r="C2770" s="286" t="s">
        <v>821</v>
      </c>
      <c r="D2770" s="286" t="s">
        <v>934</v>
      </c>
      <c r="E2770" s="286" t="s">
        <v>2</v>
      </c>
      <c r="F2770" s="113" t="s">
        <v>918</v>
      </c>
    </row>
    <row r="2771" spans="1:6" ht="14.25" customHeight="1">
      <c r="A2771" s="286" t="s">
        <v>823</v>
      </c>
      <c r="B2771" s="286">
        <v>2024</v>
      </c>
      <c r="C2771" s="286" t="s">
        <v>821</v>
      </c>
      <c r="D2771" s="286" t="s">
        <v>934</v>
      </c>
      <c r="E2771" s="286" t="s">
        <v>2</v>
      </c>
      <c r="F2771" s="113" t="s">
        <v>918</v>
      </c>
    </row>
    <row r="2772" spans="1:6" ht="14.25" customHeight="1">
      <c r="A2772" s="286" t="s">
        <v>823</v>
      </c>
      <c r="B2772" s="286">
        <v>2024</v>
      </c>
      <c r="C2772" s="286" t="s">
        <v>821</v>
      </c>
      <c r="D2772" s="286" t="s">
        <v>934</v>
      </c>
      <c r="E2772" s="286" t="s">
        <v>2</v>
      </c>
      <c r="F2772" s="113" t="s">
        <v>918</v>
      </c>
    </row>
    <row r="2773" spans="1:6" ht="14.25" customHeight="1">
      <c r="A2773" s="286" t="s">
        <v>823</v>
      </c>
      <c r="B2773" s="286">
        <v>2024</v>
      </c>
      <c r="C2773" s="286" t="s">
        <v>821</v>
      </c>
      <c r="D2773" s="286" t="s">
        <v>934</v>
      </c>
      <c r="E2773" s="286" t="s">
        <v>2</v>
      </c>
      <c r="F2773" s="113" t="s">
        <v>918</v>
      </c>
    </row>
    <row r="2774" spans="1:6" ht="14.25" customHeight="1">
      <c r="A2774" s="286" t="s">
        <v>823</v>
      </c>
      <c r="B2774" s="286">
        <v>2024</v>
      </c>
      <c r="C2774" s="286" t="s">
        <v>821</v>
      </c>
      <c r="D2774" s="286" t="s">
        <v>934</v>
      </c>
      <c r="E2774" s="286" t="s">
        <v>2</v>
      </c>
      <c r="F2774" s="113" t="s">
        <v>918</v>
      </c>
    </row>
    <row r="2775" spans="1:6" ht="14.25" customHeight="1">
      <c r="A2775" s="286" t="s">
        <v>823</v>
      </c>
      <c r="B2775" s="286">
        <v>2024</v>
      </c>
      <c r="C2775" s="286" t="s">
        <v>821</v>
      </c>
      <c r="D2775" s="286" t="s">
        <v>934</v>
      </c>
      <c r="E2775" s="286" t="s">
        <v>2</v>
      </c>
      <c r="F2775" s="113" t="s">
        <v>918</v>
      </c>
    </row>
    <row r="2776" spans="1:6" ht="14.25" customHeight="1">
      <c r="A2776" s="286" t="s">
        <v>823</v>
      </c>
      <c r="B2776" s="286">
        <v>2024</v>
      </c>
      <c r="C2776" s="286" t="s">
        <v>821</v>
      </c>
      <c r="D2776" s="286" t="s">
        <v>934</v>
      </c>
      <c r="E2776" s="286" t="s">
        <v>2</v>
      </c>
      <c r="F2776" s="113" t="s">
        <v>918</v>
      </c>
    </row>
    <row r="2777" spans="1:6" ht="14.25" customHeight="1">
      <c r="A2777" s="286" t="s">
        <v>823</v>
      </c>
      <c r="B2777" s="286">
        <v>2024</v>
      </c>
      <c r="C2777" s="286" t="s">
        <v>821</v>
      </c>
      <c r="D2777" s="286" t="s">
        <v>934</v>
      </c>
      <c r="E2777" s="286" t="s">
        <v>2</v>
      </c>
      <c r="F2777" s="113" t="s">
        <v>918</v>
      </c>
    </row>
    <row r="2778" spans="1:6" ht="14.25" customHeight="1">
      <c r="A2778" s="286" t="s">
        <v>823</v>
      </c>
      <c r="B2778" s="286">
        <v>2024</v>
      </c>
      <c r="C2778" s="286" t="s">
        <v>821</v>
      </c>
      <c r="D2778" s="286" t="s">
        <v>934</v>
      </c>
      <c r="E2778" s="286" t="s">
        <v>2</v>
      </c>
      <c r="F2778" s="113" t="s">
        <v>918</v>
      </c>
    </row>
    <row r="2779" spans="1:6" ht="14.25" customHeight="1">
      <c r="A2779" s="286" t="s">
        <v>823</v>
      </c>
      <c r="B2779" s="286">
        <v>2024</v>
      </c>
      <c r="C2779" s="286" t="s">
        <v>821</v>
      </c>
      <c r="D2779" s="286" t="s">
        <v>934</v>
      </c>
      <c r="E2779" s="286" t="s">
        <v>2</v>
      </c>
      <c r="F2779" s="113" t="s">
        <v>918</v>
      </c>
    </row>
    <row r="2780" spans="1:6" ht="14.25" customHeight="1">
      <c r="A2780" s="286" t="s">
        <v>823</v>
      </c>
      <c r="B2780" s="286">
        <v>2024</v>
      </c>
      <c r="C2780" s="286" t="s">
        <v>821</v>
      </c>
      <c r="D2780" s="286" t="s">
        <v>934</v>
      </c>
      <c r="E2780" s="286" t="s">
        <v>2</v>
      </c>
      <c r="F2780" s="113" t="s">
        <v>918</v>
      </c>
    </row>
    <row r="2781" spans="1:6" ht="14.25" customHeight="1">
      <c r="A2781" s="286" t="s">
        <v>823</v>
      </c>
      <c r="B2781" s="286">
        <v>2024</v>
      </c>
      <c r="C2781" s="286" t="s">
        <v>821</v>
      </c>
      <c r="D2781" s="286" t="s">
        <v>934</v>
      </c>
      <c r="E2781" s="286" t="s">
        <v>2</v>
      </c>
      <c r="F2781" s="113" t="s">
        <v>918</v>
      </c>
    </row>
    <row r="2782" spans="1:6" ht="14.25" customHeight="1">
      <c r="A2782" s="286" t="s">
        <v>823</v>
      </c>
      <c r="B2782" s="286">
        <v>2024</v>
      </c>
      <c r="C2782" s="286" t="s">
        <v>821</v>
      </c>
      <c r="D2782" s="286" t="s">
        <v>934</v>
      </c>
      <c r="E2782" s="286" t="s">
        <v>2</v>
      </c>
      <c r="F2782" s="113" t="s">
        <v>918</v>
      </c>
    </row>
    <row r="2783" spans="1:6" ht="14.25" customHeight="1">
      <c r="A2783" s="286" t="s">
        <v>823</v>
      </c>
      <c r="B2783" s="286">
        <v>2024</v>
      </c>
      <c r="C2783" s="286" t="s">
        <v>821</v>
      </c>
      <c r="D2783" s="286" t="s">
        <v>934</v>
      </c>
      <c r="E2783" s="286" t="s">
        <v>2</v>
      </c>
      <c r="F2783" s="113" t="s">
        <v>918</v>
      </c>
    </row>
    <row r="2784" spans="1:6" ht="14.25" customHeight="1">
      <c r="A2784" s="286" t="s">
        <v>823</v>
      </c>
      <c r="B2784" s="286">
        <v>2024</v>
      </c>
      <c r="C2784" s="286" t="s">
        <v>821</v>
      </c>
      <c r="D2784" s="286" t="s">
        <v>934</v>
      </c>
      <c r="E2784" s="286" t="s">
        <v>2</v>
      </c>
      <c r="F2784" s="113" t="s">
        <v>918</v>
      </c>
    </row>
    <row r="2785" spans="1:6" ht="14.25" customHeight="1">
      <c r="A2785" s="286" t="s">
        <v>823</v>
      </c>
      <c r="B2785" s="286">
        <v>2024</v>
      </c>
      <c r="C2785" s="286" t="s">
        <v>821</v>
      </c>
      <c r="D2785" s="286" t="s">
        <v>934</v>
      </c>
      <c r="E2785" s="286" t="s">
        <v>2</v>
      </c>
      <c r="F2785" s="113" t="s">
        <v>918</v>
      </c>
    </row>
    <row r="2786" spans="1:6" ht="14.25" customHeight="1">
      <c r="A2786" s="286" t="s">
        <v>823</v>
      </c>
      <c r="B2786" s="286">
        <v>2024</v>
      </c>
      <c r="C2786" s="286" t="s">
        <v>821</v>
      </c>
      <c r="D2786" s="286" t="s">
        <v>934</v>
      </c>
      <c r="E2786" s="286" t="s">
        <v>2</v>
      </c>
      <c r="F2786" s="113" t="s">
        <v>918</v>
      </c>
    </row>
    <row r="2787" spans="1:6" ht="14.25" customHeight="1">
      <c r="A2787" s="286" t="s">
        <v>823</v>
      </c>
      <c r="B2787" s="286">
        <v>2024</v>
      </c>
      <c r="C2787" s="286" t="s">
        <v>821</v>
      </c>
      <c r="D2787" s="286" t="s">
        <v>934</v>
      </c>
      <c r="E2787" s="286" t="s">
        <v>2</v>
      </c>
      <c r="F2787" s="113" t="s">
        <v>918</v>
      </c>
    </row>
    <row r="2788" spans="1:6" ht="14.25" customHeight="1">
      <c r="A2788" s="286" t="s">
        <v>823</v>
      </c>
      <c r="B2788" s="286">
        <v>2024</v>
      </c>
      <c r="C2788" s="286" t="s">
        <v>821</v>
      </c>
      <c r="D2788" s="286" t="s">
        <v>934</v>
      </c>
      <c r="E2788" s="286" t="s">
        <v>2</v>
      </c>
      <c r="F2788" s="113" t="s">
        <v>918</v>
      </c>
    </row>
    <row r="2789" spans="1:6" ht="14.25" customHeight="1">
      <c r="A2789" s="286" t="s">
        <v>823</v>
      </c>
      <c r="B2789" s="286">
        <v>2024</v>
      </c>
      <c r="C2789" s="286" t="s">
        <v>821</v>
      </c>
      <c r="D2789" s="286" t="s">
        <v>934</v>
      </c>
      <c r="E2789" s="286" t="s">
        <v>2</v>
      </c>
      <c r="F2789" s="113" t="s">
        <v>918</v>
      </c>
    </row>
    <row r="2790" spans="1:6" ht="14.25" customHeight="1">
      <c r="A2790" s="286" t="s">
        <v>823</v>
      </c>
      <c r="B2790" s="286">
        <v>2024</v>
      </c>
      <c r="C2790" s="286" t="s">
        <v>821</v>
      </c>
      <c r="D2790" s="286" t="s">
        <v>934</v>
      </c>
      <c r="E2790" s="286" t="s">
        <v>2</v>
      </c>
      <c r="F2790" s="113" t="s">
        <v>918</v>
      </c>
    </row>
    <row r="2791" spans="1:6" ht="14.25" customHeight="1">
      <c r="A2791" s="286" t="s">
        <v>823</v>
      </c>
      <c r="B2791" s="286">
        <v>2024</v>
      </c>
      <c r="C2791" s="286" t="s">
        <v>821</v>
      </c>
      <c r="D2791" s="286" t="s">
        <v>934</v>
      </c>
      <c r="E2791" s="286" t="s">
        <v>2</v>
      </c>
      <c r="F2791" s="113" t="s">
        <v>918</v>
      </c>
    </row>
    <row r="2792" spans="1:6" ht="14.25" customHeight="1">
      <c r="A2792" s="286" t="s">
        <v>823</v>
      </c>
      <c r="B2792" s="286">
        <v>2024</v>
      </c>
      <c r="C2792" s="286" t="s">
        <v>821</v>
      </c>
      <c r="D2792" s="286" t="s">
        <v>934</v>
      </c>
      <c r="E2792" s="286" t="s">
        <v>2</v>
      </c>
      <c r="F2792" s="113" t="s">
        <v>918</v>
      </c>
    </row>
    <row r="2793" spans="1:6" ht="14.25" customHeight="1">
      <c r="A2793" s="286" t="s">
        <v>823</v>
      </c>
      <c r="B2793" s="286">
        <v>2024</v>
      </c>
      <c r="C2793" s="286" t="s">
        <v>821</v>
      </c>
      <c r="D2793" s="286" t="s">
        <v>934</v>
      </c>
      <c r="E2793" s="286" t="s">
        <v>2</v>
      </c>
      <c r="F2793" s="113" t="s">
        <v>918</v>
      </c>
    </row>
    <row r="2794" spans="1:6" ht="14.25" customHeight="1">
      <c r="A2794" s="286" t="s">
        <v>823</v>
      </c>
      <c r="B2794" s="286">
        <v>2024</v>
      </c>
      <c r="C2794" s="286" t="s">
        <v>821</v>
      </c>
      <c r="D2794" s="286" t="s">
        <v>934</v>
      </c>
      <c r="E2794" s="286" t="s">
        <v>2</v>
      </c>
      <c r="F2794" s="113" t="s">
        <v>918</v>
      </c>
    </row>
    <row r="2795" spans="1:6" ht="14.25" customHeight="1">
      <c r="A2795" s="286" t="s">
        <v>823</v>
      </c>
      <c r="B2795" s="286">
        <v>2024</v>
      </c>
      <c r="C2795" s="286" t="s">
        <v>821</v>
      </c>
      <c r="D2795" s="286" t="s">
        <v>934</v>
      </c>
      <c r="E2795" s="286" t="s">
        <v>1058</v>
      </c>
      <c r="F2795" s="113" t="s">
        <v>783</v>
      </c>
    </row>
    <row r="2796" spans="1:6" ht="14.25" customHeight="1">
      <c r="A2796" s="286" t="s">
        <v>823</v>
      </c>
      <c r="B2796" s="286">
        <v>2024</v>
      </c>
      <c r="C2796" s="286" t="s">
        <v>821</v>
      </c>
      <c r="D2796" s="286" t="s">
        <v>934</v>
      </c>
      <c r="E2796" s="286" t="s">
        <v>2</v>
      </c>
      <c r="F2796" s="113" t="s">
        <v>917</v>
      </c>
    </row>
    <row r="2797" spans="1:6" ht="14.25" customHeight="1">
      <c r="A2797" s="286" t="s">
        <v>823</v>
      </c>
      <c r="B2797" s="286">
        <v>2024</v>
      </c>
      <c r="C2797" s="286" t="s">
        <v>821</v>
      </c>
      <c r="D2797" s="286" t="s">
        <v>934</v>
      </c>
      <c r="E2797" s="286" t="s">
        <v>2</v>
      </c>
      <c r="F2797" s="113" t="s">
        <v>917</v>
      </c>
    </row>
    <row r="2798" spans="1:6" ht="14.25" customHeight="1">
      <c r="A2798" s="286" t="s">
        <v>823</v>
      </c>
      <c r="B2798" s="286">
        <v>2024</v>
      </c>
      <c r="C2798" s="286" t="s">
        <v>821</v>
      </c>
      <c r="D2798" s="286" t="s">
        <v>934</v>
      </c>
      <c r="E2798" s="286" t="s">
        <v>937</v>
      </c>
      <c r="F2798" s="113" t="s">
        <v>917</v>
      </c>
    </row>
    <row r="2799" spans="1:6" ht="14.25" customHeight="1">
      <c r="A2799" s="286" t="s">
        <v>823</v>
      </c>
      <c r="B2799" s="286">
        <v>2024</v>
      </c>
      <c r="C2799" s="286" t="s">
        <v>821</v>
      </c>
      <c r="D2799" s="286" t="s">
        <v>934</v>
      </c>
      <c r="E2799" s="286" t="s">
        <v>944</v>
      </c>
      <c r="F2799" s="113" t="s">
        <v>917</v>
      </c>
    </row>
    <row r="2800" spans="1:6" ht="14.25" customHeight="1">
      <c r="A2800" s="286" t="s">
        <v>823</v>
      </c>
      <c r="B2800" s="286">
        <v>2024</v>
      </c>
      <c r="C2800" s="286" t="s">
        <v>821</v>
      </c>
      <c r="D2800" s="286" t="s">
        <v>934</v>
      </c>
      <c r="E2800" s="286" t="s">
        <v>951</v>
      </c>
      <c r="F2800" s="113" t="s">
        <v>917</v>
      </c>
    </row>
    <row r="2801" spans="1:6" ht="14.25" customHeight="1">
      <c r="A2801" s="286" t="s">
        <v>823</v>
      </c>
      <c r="B2801" s="286">
        <v>2024</v>
      </c>
      <c r="C2801" s="286" t="s">
        <v>821</v>
      </c>
      <c r="D2801" s="286" t="s">
        <v>934</v>
      </c>
      <c r="E2801" s="286" t="s">
        <v>1239</v>
      </c>
      <c r="F2801" s="113" t="s">
        <v>917</v>
      </c>
    </row>
    <row r="2802" spans="1:6" ht="14.25" customHeight="1">
      <c r="A2802" s="286" t="s">
        <v>823</v>
      </c>
      <c r="B2802" s="286">
        <v>2024</v>
      </c>
      <c r="C2802" s="286" t="s">
        <v>821</v>
      </c>
      <c r="D2802" s="286" t="s">
        <v>934</v>
      </c>
      <c r="E2802" s="286" t="s">
        <v>2</v>
      </c>
      <c r="F2802" s="113" t="s">
        <v>924</v>
      </c>
    </row>
    <row r="2803" spans="1:6" ht="14.25" customHeight="1">
      <c r="A2803" s="286" t="s">
        <v>823</v>
      </c>
      <c r="B2803" s="286">
        <v>2024</v>
      </c>
      <c r="C2803" s="286" t="s">
        <v>821</v>
      </c>
      <c r="D2803" s="286" t="s">
        <v>934</v>
      </c>
      <c r="E2803" s="286" t="s">
        <v>2</v>
      </c>
      <c r="F2803" s="113" t="s">
        <v>924</v>
      </c>
    </row>
    <row r="2804" spans="1:6" ht="14.25" customHeight="1">
      <c r="A2804" s="286" t="s">
        <v>823</v>
      </c>
      <c r="B2804" s="286">
        <v>2024</v>
      </c>
      <c r="C2804" s="286" t="s">
        <v>821</v>
      </c>
      <c r="D2804" s="286" t="s">
        <v>934</v>
      </c>
      <c r="E2804" s="286" t="s">
        <v>2</v>
      </c>
      <c r="F2804" s="113" t="s">
        <v>924</v>
      </c>
    </row>
    <row r="2805" spans="1:6" ht="14.25" customHeight="1">
      <c r="A2805" s="286" t="s">
        <v>823</v>
      </c>
      <c r="B2805" s="286">
        <v>2024</v>
      </c>
      <c r="C2805" s="286" t="s">
        <v>821</v>
      </c>
      <c r="D2805" s="286" t="s">
        <v>934</v>
      </c>
      <c r="E2805" s="286" t="s">
        <v>2</v>
      </c>
      <c r="F2805" s="113" t="s">
        <v>924</v>
      </c>
    </row>
    <row r="2806" spans="1:6" ht="14.25" customHeight="1">
      <c r="A2806" s="286" t="s">
        <v>823</v>
      </c>
      <c r="B2806" s="286">
        <v>2024</v>
      </c>
      <c r="C2806" s="286" t="s">
        <v>821</v>
      </c>
      <c r="D2806" s="286" t="s">
        <v>934</v>
      </c>
      <c r="E2806" s="286" t="s">
        <v>2</v>
      </c>
      <c r="F2806" s="113" t="s">
        <v>924</v>
      </c>
    </row>
    <row r="2807" spans="1:6" ht="14.25" customHeight="1">
      <c r="A2807" s="286" t="s">
        <v>823</v>
      </c>
      <c r="B2807" s="286">
        <v>2024</v>
      </c>
      <c r="C2807" s="286" t="s">
        <v>821</v>
      </c>
      <c r="D2807" s="286" t="s">
        <v>934</v>
      </c>
      <c r="E2807" s="286" t="s">
        <v>2</v>
      </c>
      <c r="F2807" s="113" t="s">
        <v>924</v>
      </c>
    </row>
    <row r="2808" spans="1:6" ht="14.25" customHeight="1">
      <c r="A2808" s="286" t="s">
        <v>823</v>
      </c>
      <c r="B2808" s="286">
        <v>2024</v>
      </c>
      <c r="C2808" s="286" t="s">
        <v>821</v>
      </c>
      <c r="D2808" s="286" t="s">
        <v>934</v>
      </c>
      <c r="E2808" s="286" t="s">
        <v>2</v>
      </c>
      <c r="F2808" s="113" t="s">
        <v>924</v>
      </c>
    </row>
    <row r="2809" spans="1:6" ht="14.25" customHeight="1">
      <c r="A2809" s="286" t="s">
        <v>823</v>
      </c>
      <c r="B2809" s="286">
        <v>2024</v>
      </c>
      <c r="C2809" s="286" t="s">
        <v>821</v>
      </c>
      <c r="D2809" s="286" t="s">
        <v>934</v>
      </c>
      <c r="E2809" s="286" t="s">
        <v>2</v>
      </c>
      <c r="F2809" s="113" t="s">
        <v>924</v>
      </c>
    </row>
    <row r="2810" spans="1:6" ht="14.25" customHeight="1">
      <c r="A2810" s="286" t="s">
        <v>823</v>
      </c>
      <c r="B2810" s="286">
        <v>2024</v>
      </c>
      <c r="C2810" s="286" t="s">
        <v>821</v>
      </c>
      <c r="D2810" s="286" t="s">
        <v>934</v>
      </c>
      <c r="E2810" s="286" t="s">
        <v>2</v>
      </c>
      <c r="F2810" s="113" t="s">
        <v>924</v>
      </c>
    </row>
    <row r="2811" spans="1:6" ht="14.25" customHeight="1">
      <c r="A2811" s="286" t="s">
        <v>823</v>
      </c>
      <c r="B2811" s="286">
        <v>2024</v>
      </c>
      <c r="C2811" s="286" t="s">
        <v>821</v>
      </c>
      <c r="D2811" s="286" t="s">
        <v>934</v>
      </c>
      <c r="E2811" s="286" t="s">
        <v>2</v>
      </c>
      <c r="F2811" s="113" t="s">
        <v>924</v>
      </c>
    </row>
    <row r="2812" spans="1:6" ht="14.25" customHeight="1">
      <c r="A2812" s="286" t="s">
        <v>823</v>
      </c>
      <c r="B2812" s="286">
        <v>2024</v>
      </c>
      <c r="C2812" s="286" t="s">
        <v>821</v>
      </c>
      <c r="D2812" s="286" t="s">
        <v>934</v>
      </c>
      <c r="E2812" s="286" t="s">
        <v>2</v>
      </c>
      <c r="F2812" s="113" t="s">
        <v>924</v>
      </c>
    </row>
    <row r="2813" spans="1:6" ht="14.25" customHeight="1">
      <c r="A2813" s="286" t="s">
        <v>823</v>
      </c>
      <c r="B2813" s="286">
        <v>2024</v>
      </c>
      <c r="C2813" s="286" t="s">
        <v>821</v>
      </c>
      <c r="D2813" s="286" t="s">
        <v>934</v>
      </c>
      <c r="E2813" s="286" t="s">
        <v>1047</v>
      </c>
      <c r="F2813" s="113" t="s">
        <v>924</v>
      </c>
    </row>
    <row r="2814" spans="1:6" ht="14.25" customHeight="1">
      <c r="A2814" s="286" t="s">
        <v>823</v>
      </c>
      <c r="B2814" s="286">
        <v>2024</v>
      </c>
      <c r="C2814" s="286" t="s">
        <v>821</v>
      </c>
      <c r="D2814" s="286" t="s">
        <v>934</v>
      </c>
      <c r="E2814" s="286" t="s">
        <v>949</v>
      </c>
      <c r="F2814" s="113" t="s">
        <v>924</v>
      </c>
    </row>
    <row r="2815" spans="1:6" ht="14.25" customHeight="1">
      <c r="A2815" s="286" t="s">
        <v>823</v>
      </c>
      <c r="B2815" s="286">
        <v>2024</v>
      </c>
      <c r="C2815" s="286" t="s">
        <v>821</v>
      </c>
      <c r="D2815" s="286" t="s">
        <v>934</v>
      </c>
      <c r="E2815" s="286" t="s">
        <v>957</v>
      </c>
      <c r="F2815" s="113" t="s">
        <v>924</v>
      </c>
    </row>
    <row r="2816" spans="1:6" ht="14.25" customHeight="1">
      <c r="A2816" s="286" t="s">
        <v>823</v>
      </c>
      <c r="B2816" s="286">
        <v>2024</v>
      </c>
      <c r="C2816" s="286" t="s">
        <v>821</v>
      </c>
      <c r="D2816" s="286" t="s">
        <v>934</v>
      </c>
      <c r="E2816" s="286" t="s">
        <v>2</v>
      </c>
      <c r="F2816" s="113" t="s">
        <v>924</v>
      </c>
    </row>
    <row r="2817" spans="1:6" ht="14.25" customHeight="1">
      <c r="A2817" s="286" t="s">
        <v>823</v>
      </c>
      <c r="B2817" s="286">
        <v>2024</v>
      </c>
      <c r="C2817" s="286" t="s">
        <v>821</v>
      </c>
      <c r="D2817" s="286" t="s">
        <v>934</v>
      </c>
      <c r="E2817" s="286" t="s">
        <v>1113</v>
      </c>
      <c r="F2817" s="113" t="s">
        <v>922</v>
      </c>
    </row>
    <row r="2818" spans="1:6" ht="14.25" customHeight="1">
      <c r="A2818" s="286" t="s">
        <v>823</v>
      </c>
      <c r="B2818" s="286">
        <v>2024</v>
      </c>
      <c r="C2818" s="286" t="s">
        <v>821</v>
      </c>
      <c r="D2818" s="286" t="s">
        <v>934</v>
      </c>
      <c r="E2818" s="286" t="s">
        <v>1113</v>
      </c>
      <c r="F2818" s="113" t="s">
        <v>922</v>
      </c>
    </row>
    <row r="2819" spans="1:6" ht="14.25" customHeight="1">
      <c r="A2819" s="286" t="s">
        <v>823</v>
      </c>
      <c r="B2819" s="286">
        <v>2024</v>
      </c>
      <c r="C2819" s="286" t="s">
        <v>821</v>
      </c>
      <c r="D2819" s="286" t="s">
        <v>934</v>
      </c>
      <c r="E2819" s="286" t="s">
        <v>1063</v>
      </c>
      <c r="F2819" s="113" t="s">
        <v>922</v>
      </c>
    </row>
    <row r="2820" spans="1:6" ht="14.25" customHeight="1">
      <c r="A2820" s="286" t="s">
        <v>823</v>
      </c>
      <c r="B2820" s="286">
        <v>2024</v>
      </c>
      <c r="C2820" s="286" t="s">
        <v>821</v>
      </c>
      <c r="D2820" s="286" t="s">
        <v>934</v>
      </c>
      <c r="E2820" s="286" t="s">
        <v>992</v>
      </c>
      <c r="F2820" s="113" t="s">
        <v>922</v>
      </c>
    </row>
    <row r="2821" spans="1:6" ht="14.25" customHeight="1">
      <c r="A2821" s="286" t="s">
        <v>823</v>
      </c>
      <c r="B2821" s="286">
        <v>2024</v>
      </c>
      <c r="C2821" s="286" t="s">
        <v>821</v>
      </c>
      <c r="D2821" s="286" t="s">
        <v>934</v>
      </c>
      <c r="E2821" s="286" t="s">
        <v>940</v>
      </c>
      <c r="F2821" s="113" t="s">
        <v>922</v>
      </c>
    </row>
    <row r="2822" spans="1:6" ht="14.25" customHeight="1">
      <c r="A2822" s="286" t="s">
        <v>823</v>
      </c>
      <c r="B2822" s="286">
        <v>2024</v>
      </c>
      <c r="C2822" s="286" t="s">
        <v>821</v>
      </c>
      <c r="D2822" s="286" t="s">
        <v>934</v>
      </c>
      <c r="E2822" s="286" t="s">
        <v>2</v>
      </c>
      <c r="F2822" s="113" t="s">
        <v>922</v>
      </c>
    </row>
    <row r="2823" spans="1:6" ht="14.25" customHeight="1">
      <c r="A2823" s="286" t="s">
        <v>823</v>
      </c>
      <c r="B2823" s="286">
        <v>2024</v>
      </c>
      <c r="C2823" s="286" t="s">
        <v>821</v>
      </c>
      <c r="D2823" s="286" t="s">
        <v>934</v>
      </c>
      <c r="E2823" s="286" t="s">
        <v>2</v>
      </c>
      <c r="F2823" s="113" t="s">
        <v>922</v>
      </c>
    </row>
    <row r="2824" spans="1:6" ht="14.25" customHeight="1">
      <c r="A2824" s="286" t="s">
        <v>823</v>
      </c>
      <c r="B2824" s="286">
        <v>2024</v>
      </c>
      <c r="C2824" s="286" t="s">
        <v>821</v>
      </c>
      <c r="D2824" s="286" t="s">
        <v>934</v>
      </c>
      <c r="E2824" s="286" t="s">
        <v>2</v>
      </c>
      <c r="F2824" s="113" t="s">
        <v>922</v>
      </c>
    </row>
    <row r="2825" spans="1:6" ht="14.25" customHeight="1">
      <c r="A2825" s="286" t="s">
        <v>823</v>
      </c>
      <c r="B2825" s="286">
        <v>2024</v>
      </c>
      <c r="C2825" s="286" t="s">
        <v>821</v>
      </c>
      <c r="D2825" s="286" t="s">
        <v>934</v>
      </c>
      <c r="E2825" s="286" t="s">
        <v>1068</v>
      </c>
      <c r="F2825" s="113" t="s">
        <v>922</v>
      </c>
    </row>
    <row r="2826" spans="1:6" ht="14.25" customHeight="1">
      <c r="A2826" s="286" t="s">
        <v>823</v>
      </c>
      <c r="B2826" s="286">
        <v>2024</v>
      </c>
      <c r="C2826" s="286" t="s">
        <v>821</v>
      </c>
      <c r="D2826" s="286" t="s">
        <v>934</v>
      </c>
      <c r="E2826" s="286" t="s">
        <v>1062</v>
      </c>
      <c r="F2826" s="113" t="s">
        <v>922</v>
      </c>
    </row>
    <row r="2827" spans="1:6" ht="14.25" customHeight="1">
      <c r="A2827" s="286" t="s">
        <v>823</v>
      </c>
      <c r="B2827" s="286">
        <v>2024</v>
      </c>
      <c r="C2827" s="286" t="s">
        <v>821</v>
      </c>
      <c r="D2827" s="286" t="s">
        <v>934</v>
      </c>
      <c r="E2827" s="286" t="s">
        <v>1034</v>
      </c>
      <c r="F2827" s="113" t="s">
        <v>922</v>
      </c>
    </row>
    <row r="2828" spans="1:6" ht="14.25" customHeight="1">
      <c r="A2828" s="286" t="s">
        <v>823</v>
      </c>
      <c r="B2828" s="286">
        <v>2024</v>
      </c>
      <c r="C2828" s="286" t="s">
        <v>821</v>
      </c>
      <c r="D2828" s="286" t="s">
        <v>934</v>
      </c>
      <c r="E2828" s="286" t="s">
        <v>1104</v>
      </c>
      <c r="F2828" s="113" t="s">
        <v>922</v>
      </c>
    </row>
    <row r="2829" spans="1:6" ht="14.25" customHeight="1">
      <c r="A2829" s="286" t="s">
        <v>823</v>
      </c>
      <c r="B2829" s="286">
        <v>2024</v>
      </c>
      <c r="C2829" s="286" t="s">
        <v>821</v>
      </c>
      <c r="D2829" s="286" t="s">
        <v>934</v>
      </c>
      <c r="E2829" s="286" t="s">
        <v>992</v>
      </c>
      <c r="F2829" s="113" t="s">
        <v>922</v>
      </c>
    </row>
    <row r="2830" spans="1:6" ht="14.25" customHeight="1">
      <c r="A2830" s="286" t="s">
        <v>823</v>
      </c>
      <c r="B2830" s="286">
        <v>2024</v>
      </c>
      <c r="C2830" s="286" t="s">
        <v>821</v>
      </c>
      <c r="D2830" s="286" t="s">
        <v>934</v>
      </c>
      <c r="E2830" s="286" t="s">
        <v>948</v>
      </c>
      <c r="F2830" s="113" t="s">
        <v>922</v>
      </c>
    </row>
    <row r="2831" spans="1:6" ht="14.25" customHeight="1">
      <c r="A2831" s="286" t="s">
        <v>823</v>
      </c>
      <c r="B2831" s="286">
        <v>2024</v>
      </c>
      <c r="C2831" s="286" t="s">
        <v>821</v>
      </c>
      <c r="D2831" s="286" t="s">
        <v>934</v>
      </c>
      <c r="E2831" s="286" t="s">
        <v>2</v>
      </c>
      <c r="F2831" s="113" t="s">
        <v>935</v>
      </c>
    </row>
    <row r="2832" spans="1:6" ht="14.25" customHeight="1">
      <c r="A2832" s="286" t="s">
        <v>823</v>
      </c>
      <c r="B2832" s="286">
        <v>2024</v>
      </c>
      <c r="C2832" s="286" t="s">
        <v>821</v>
      </c>
      <c r="D2832" s="286" t="s">
        <v>934</v>
      </c>
      <c r="E2832" s="286" t="s">
        <v>2</v>
      </c>
      <c r="F2832" s="113" t="s">
        <v>935</v>
      </c>
    </row>
    <row r="2833" spans="1:6" ht="14.25" customHeight="1">
      <c r="A2833" s="286" t="s">
        <v>823</v>
      </c>
      <c r="B2833" s="286">
        <v>2024</v>
      </c>
      <c r="C2833" s="286" t="s">
        <v>821</v>
      </c>
      <c r="D2833" s="286" t="s">
        <v>934</v>
      </c>
      <c r="E2833" s="286" t="s">
        <v>987</v>
      </c>
      <c r="F2833" s="113" t="s">
        <v>935</v>
      </c>
    </row>
    <row r="2834" spans="1:6" ht="14.25" customHeight="1">
      <c r="A2834" s="286" t="s">
        <v>823</v>
      </c>
      <c r="B2834" s="286">
        <v>2024</v>
      </c>
      <c r="C2834" s="286" t="s">
        <v>821</v>
      </c>
      <c r="D2834" s="286" t="s">
        <v>934</v>
      </c>
      <c r="E2834" s="286" t="s">
        <v>1100</v>
      </c>
      <c r="F2834" s="113" t="s">
        <v>935</v>
      </c>
    </row>
    <row r="2835" spans="1:6" ht="14.25" customHeight="1">
      <c r="A2835" s="286" t="s">
        <v>823</v>
      </c>
      <c r="B2835" s="286">
        <v>2024</v>
      </c>
      <c r="C2835" s="286" t="s">
        <v>821</v>
      </c>
      <c r="D2835" s="286" t="s">
        <v>934</v>
      </c>
      <c r="E2835" s="286" t="s">
        <v>989</v>
      </c>
      <c r="F2835" s="113" t="s">
        <v>935</v>
      </c>
    </row>
    <row r="2836" spans="1:6" ht="14.25" customHeight="1">
      <c r="A2836" s="286" t="s">
        <v>823</v>
      </c>
      <c r="B2836" s="286">
        <v>2024</v>
      </c>
      <c r="C2836" s="286" t="s">
        <v>821</v>
      </c>
      <c r="D2836" s="286" t="s">
        <v>934</v>
      </c>
      <c r="E2836" s="286" t="s">
        <v>1023</v>
      </c>
      <c r="F2836" s="113" t="s">
        <v>935</v>
      </c>
    </row>
    <row r="2837" spans="1:6" ht="14.25" customHeight="1">
      <c r="A2837" s="286" t="s">
        <v>823</v>
      </c>
      <c r="B2837" s="286">
        <v>2024</v>
      </c>
      <c r="C2837" s="286" t="s">
        <v>821</v>
      </c>
      <c r="D2837" s="286" t="s">
        <v>934</v>
      </c>
      <c r="E2837" s="286" t="s">
        <v>1090</v>
      </c>
      <c r="F2837" s="113" t="s">
        <v>935</v>
      </c>
    </row>
    <row r="2838" spans="1:6" ht="14.25" customHeight="1">
      <c r="A2838" s="286" t="s">
        <v>823</v>
      </c>
      <c r="B2838" s="286">
        <v>2024</v>
      </c>
      <c r="C2838" s="286" t="s">
        <v>821</v>
      </c>
      <c r="D2838" s="286" t="s">
        <v>934</v>
      </c>
      <c r="E2838" s="286" t="s">
        <v>1066</v>
      </c>
      <c r="F2838" s="113" t="s">
        <v>935</v>
      </c>
    </row>
    <row r="2839" spans="1:6" ht="14.25" customHeight="1">
      <c r="A2839" s="286" t="s">
        <v>823</v>
      </c>
      <c r="B2839" s="286">
        <v>2024</v>
      </c>
      <c r="C2839" s="286" t="s">
        <v>821</v>
      </c>
      <c r="D2839" s="286" t="s">
        <v>934</v>
      </c>
      <c r="E2839" s="286" t="s">
        <v>2</v>
      </c>
      <c r="F2839" s="113" t="s">
        <v>935</v>
      </c>
    </row>
    <row r="2840" spans="1:6" ht="14.25" customHeight="1">
      <c r="A2840" s="286" t="s">
        <v>823</v>
      </c>
      <c r="B2840" s="286">
        <v>2024</v>
      </c>
      <c r="C2840" s="286" t="s">
        <v>821</v>
      </c>
      <c r="D2840" s="286" t="s">
        <v>934</v>
      </c>
      <c r="E2840" s="286" t="s">
        <v>2</v>
      </c>
      <c r="F2840" s="113" t="s">
        <v>935</v>
      </c>
    </row>
    <row r="2841" spans="1:6" ht="14.25" customHeight="1">
      <c r="A2841" s="286" t="s">
        <v>823</v>
      </c>
      <c r="B2841" s="286">
        <v>2024</v>
      </c>
      <c r="C2841" s="286" t="s">
        <v>821</v>
      </c>
      <c r="D2841" s="286" t="s">
        <v>934</v>
      </c>
      <c r="E2841" s="286" t="s">
        <v>2</v>
      </c>
      <c r="F2841" s="113" t="s">
        <v>935</v>
      </c>
    </row>
    <row r="2842" spans="1:6" ht="14.25" customHeight="1">
      <c r="A2842" s="286" t="s">
        <v>823</v>
      </c>
      <c r="B2842" s="286">
        <v>2024</v>
      </c>
      <c r="C2842" s="286" t="s">
        <v>821</v>
      </c>
      <c r="D2842" s="286" t="s">
        <v>934</v>
      </c>
      <c r="E2842" s="286" t="s">
        <v>2</v>
      </c>
      <c r="F2842" s="113" t="s">
        <v>935</v>
      </c>
    </row>
    <row r="2843" spans="1:6" ht="14.25" customHeight="1">
      <c r="A2843" s="286" t="s">
        <v>823</v>
      </c>
      <c r="B2843" s="286">
        <v>2024</v>
      </c>
      <c r="C2843" s="286" t="s">
        <v>821</v>
      </c>
      <c r="D2843" s="286" t="s">
        <v>934</v>
      </c>
      <c r="E2843" s="286" t="s">
        <v>997</v>
      </c>
      <c r="F2843" s="113" t="s">
        <v>935</v>
      </c>
    </row>
    <row r="2844" spans="1:6" ht="14.25" customHeight="1">
      <c r="A2844" s="286" t="s">
        <v>823</v>
      </c>
      <c r="B2844" s="286">
        <v>2024</v>
      </c>
      <c r="C2844" s="286" t="s">
        <v>821</v>
      </c>
      <c r="D2844" s="286" t="s">
        <v>934</v>
      </c>
      <c r="E2844" s="286" t="s">
        <v>1035</v>
      </c>
      <c r="F2844" s="113" t="s">
        <v>935</v>
      </c>
    </row>
    <row r="2845" spans="1:6" ht="14.25" customHeight="1">
      <c r="A2845" s="286" t="s">
        <v>823</v>
      </c>
      <c r="B2845" s="286">
        <v>2024</v>
      </c>
      <c r="C2845" s="286" t="s">
        <v>821</v>
      </c>
      <c r="D2845" s="286" t="s">
        <v>934</v>
      </c>
      <c r="E2845" s="286" t="s">
        <v>1023</v>
      </c>
      <c r="F2845" s="113" t="s">
        <v>935</v>
      </c>
    </row>
    <row r="2846" spans="1:6" ht="14.25" customHeight="1">
      <c r="A2846" s="286" t="s">
        <v>823</v>
      </c>
      <c r="B2846" s="286">
        <v>2024</v>
      </c>
      <c r="C2846" s="286" t="s">
        <v>821</v>
      </c>
      <c r="D2846" s="286" t="s">
        <v>934</v>
      </c>
      <c r="E2846" s="286" t="s">
        <v>1058</v>
      </c>
      <c r="F2846" s="113" t="s">
        <v>935</v>
      </c>
    </row>
    <row r="2847" spans="1:6" ht="14.25" customHeight="1">
      <c r="A2847" s="286" t="s">
        <v>823</v>
      </c>
      <c r="B2847" s="286">
        <v>2024</v>
      </c>
      <c r="C2847" s="286" t="s">
        <v>821</v>
      </c>
      <c r="D2847" s="286" t="s">
        <v>934</v>
      </c>
      <c r="E2847" s="286" t="s">
        <v>2</v>
      </c>
      <c r="F2847" s="113" t="s">
        <v>935</v>
      </c>
    </row>
    <row r="2848" spans="1:6" ht="14.25" customHeight="1">
      <c r="A2848" s="286" t="s">
        <v>823</v>
      </c>
      <c r="B2848" s="286">
        <v>2024</v>
      </c>
      <c r="C2848" s="286" t="s">
        <v>821</v>
      </c>
      <c r="D2848" s="286" t="s">
        <v>934</v>
      </c>
      <c r="E2848" s="286" t="s">
        <v>2</v>
      </c>
      <c r="F2848" s="113" t="s">
        <v>935</v>
      </c>
    </row>
    <row r="2849" spans="1:6" ht="14.25" customHeight="1">
      <c r="A2849" s="286" t="s">
        <v>823</v>
      </c>
      <c r="B2849" s="286">
        <v>2024</v>
      </c>
      <c r="C2849" s="286" t="s">
        <v>821</v>
      </c>
      <c r="D2849" s="286" t="s">
        <v>934</v>
      </c>
      <c r="E2849" s="286" t="s">
        <v>2</v>
      </c>
      <c r="F2849" s="113" t="s">
        <v>935</v>
      </c>
    </row>
    <row r="2850" spans="1:6" ht="14.25" customHeight="1">
      <c r="A2850" s="286" t="s">
        <v>823</v>
      </c>
      <c r="B2850" s="286">
        <v>2024</v>
      </c>
      <c r="C2850" s="286" t="s">
        <v>821</v>
      </c>
      <c r="D2850" s="286" t="s">
        <v>934</v>
      </c>
      <c r="E2850" s="286" t="s">
        <v>2</v>
      </c>
      <c r="F2850" s="113" t="s">
        <v>935</v>
      </c>
    </row>
    <row r="2851" spans="1:6" ht="14.25" customHeight="1">
      <c r="A2851" s="286" t="s">
        <v>823</v>
      </c>
      <c r="B2851" s="286">
        <v>2024</v>
      </c>
      <c r="C2851" s="286" t="s">
        <v>821</v>
      </c>
      <c r="D2851" s="286" t="s">
        <v>934</v>
      </c>
      <c r="E2851" s="286" t="s">
        <v>2</v>
      </c>
      <c r="F2851" s="113" t="s">
        <v>935</v>
      </c>
    </row>
    <row r="2852" spans="1:6" ht="14.25" customHeight="1">
      <c r="A2852" s="286" t="s">
        <v>823</v>
      </c>
      <c r="B2852" s="286">
        <v>2024</v>
      </c>
      <c r="C2852" s="286" t="s">
        <v>821</v>
      </c>
      <c r="D2852" s="286" t="s">
        <v>934</v>
      </c>
      <c r="E2852" s="286" t="s">
        <v>2</v>
      </c>
      <c r="F2852" s="113" t="s">
        <v>935</v>
      </c>
    </row>
    <row r="2853" spans="1:6" ht="14.25" customHeight="1">
      <c r="A2853" s="286" t="s">
        <v>823</v>
      </c>
      <c r="B2853" s="286">
        <v>2024</v>
      </c>
      <c r="C2853" s="286" t="s">
        <v>821</v>
      </c>
      <c r="D2853" s="286" t="s">
        <v>934</v>
      </c>
      <c r="E2853" s="286" t="s">
        <v>2</v>
      </c>
      <c r="F2853" s="113" t="s">
        <v>935</v>
      </c>
    </row>
    <row r="2854" spans="1:6" ht="14.25" customHeight="1">
      <c r="A2854" s="286" t="s">
        <v>823</v>
      </c>
      <c r="B2854" s="286">
        <v>2024</v>
      </c>
      <c r="C2854" s="286" t="s">
        <v>821</v>
      </c>
      <c r="D2854" s="286" t="s">
        <v>934</v>
      </c>
      <c r="E2854" s="286" t="s">
        <v>989</v>
      </c>
      <c r="F2854" s="113" t="s">
        <v>935</v>
      </c>
    </row>
    <row r="2855" spans="1:6" ht="14.25" customHeight="1">
      <c r="A2855" s="286" t="s">
        <v>823</v>
      </c>
      <c r="B2855" s="286">
        <v>2024</v>
      </c>
      <c r="C2855" s="286" t="s">
        <v>821</v>
      </c>
      <c r="D2855" s="286" t="s">
        <v>934</v>
      </c>
      <c r="E2855" s="286" t="s">
        <v>2</v>
      </c>
      <c r="F2855" s="113" t="s">
        <v>935</v>
      </c>
    </row>
    <row r="2856" spans="1:6" ht="14.25" customHeight="1">
      <c r="A2856" s="286" t="s">
        <v>823</v>
      </c>
      <c r="B2856" s="286">
        <v>2024</v>
      </c>
      <c r="C2856" s="286" t="s">
        <v>821</v>
      </c>
      <c r="D2856" s="286" t="s">
        <v>934</v>
      </c>
      <c r="E2856" s="286" t="s">
        <v>2</v>
      </c>
      <c r="F2856" s="113" t="s">
        <v>935</v>
      </c>
    </row>
    <row r="2857" spans="1:6" ht="14.25" customHeight="1">
      <c r="A2857" s="286" t="s">
        <v>823</v>
      </c>
      <c r="B2857" s="286">
        <v>2024</v>
      </c>
      <c r="C2857" s="286" t="s">
        <v>821</v>
      </c>
      <c r="D2857" s="286" t="s">
        <v>931</v>
      </c>
      <c r="E2857" s="286" t="s">
        <v>1036</v>
      </c>
      <c r="F2857" s="113" t="s">
        <v>906</v>
      </c>
    </row>
    <row r="2858" spans="1:6" ht="14.25" customHeight="1">
      <c r="A2858" s="286" t="s">
        <v>823</v>
      </c>
      <c r="B2858" s="286">
        <v>2024</v>
      </c>
      <c r="C2858" s="286" t="s">
        <v>821</v>
      </c>
      <c r="D2858" s="286" t="s">
        <v>931</v>
      </c>
      <c r="E2858" s="286" t="s">
        <v>2</v>
      </c>
      <c r="F2858" s="113" t="s">
        <v>906</v>
      </c>
    </row>
    <row r="2859" spans="1:6" ht="14.25" customHeight="1">
      <c r="A2859" s="286" t="s">
        <v>823</v>
      </c>
      <c r="B2859" s="286">
        <v>2024</v>
      </c>
      <c r="C2859" s="286" t="s">
        <v>821</v>
      </c>
      <c r="D2859" s="286" t="s">
        <v>931</v>
      </c>
      <c r="E2859" s="286" t="s">
        <v>1243</v>
      </c>
      <c r="F2859" s="113" t="s">
        <v>909</v>
      </c>
    </row>
    <row r="2860" spans="1:6" ht="14.25" customHeight="1">
      <c r="A2860" s="286" t="s">
        <v>823</v>
      </c>
      <c r="B2860" s="286">
        <v>2024</v>
      </c>
      <c r="C2860" s="286" t="s">
        <v>821</v>
      </c>
      <c r="D2860" s="286" t="s">
        <v>931</v>
      </c>
      <c r="E2860" s="286" t="s">
        <v>1244</v>
      </c>
      <c r="F2860" s="113" t="s">
        <v>909</v>
      </c>
    </row>
    <row r="2861" spans="1:6" ht="14.25" customHeight="1">
      <c r="A2861" s="286" t="s">
        <v>823</v>
      </c>
      <c r="B2861" s="286">
        <v>2024</v>
      </c>
      <c r="C2861" s="286" t="s">
        <v>821</v>
      </c>
      <c r="D2861" s="286" t="s">
        <v>931</v>
      </c>
      <c r="E2861" s="286" t="s">
        <v>1244</v>
      </c>
      <c r="F2861" s="113" t="s">
        <v>909</v>
      </c>
    </row>
    <row r="2862" spans="1:6" ht="14.25" customHeight="1">
      <c r="A2862" s="286" t="s">
        <v>823</v>
      </c>
      <c r="B2862" s="286">
        <v>2024</v>
      </c>
      <c r="C2862" s="286" t="s">
        <v>821</v>
      </c>
      <c r="D2862" s="286" t="s">
        <v>931</v>
      </c>
      <c r="E2862" s="286" t="s">
        <v>1053</v>
      </c>
      <c r="F2862" s="113" t="s">
        <v>909</v>
      </c>
    </row>
    <row r="2863" spans="1:6" ht="14.25" customHeight="1">
      <c r="A2863" s="286" t="s">
        <v>823</v>
      </c>
      <c r="B2863" s="286">
        <v>2024</v>
      </c>
      <c r="C2863" s="286" t="s">
        <v>821</v>
      </c>
      <c r="D2863" s="286" t="s">
        <v>931</v>
      </c>
      <c r="E2863" s="286" t="s">
        <v>1214</v>
      </c>
      <c r="F2863" s="113" t="s">
        <v>909</v>
      </c>
    </row>
    <row r="2864" spans="1:6" ht="14.25" customHeight="1">
      <c r="A2864" s="286" t="s">
        <v>823</v>
      </c>
      <c r="B2864" s="286">
        <v>2024</v>
      </c>
      <c r="C2864" s="286" t="s">
        <v>821</v>
      </c>
      <c r="D2864" s="286" t="s">
        <v>931</v>
      </c>
      <c r="E2864" s="286" t="s">
        <v>939</v>
      </c>
      <c r="F2864" s="113" t="s">
        <v>909</v>
      </c>
    </row>
    <row r="2865" spans="1:6" ht="14.25" customHeight="1">
      <c r="A2865" s="286" t="s">
        <v>823</v>
      </c>
      <c r="B2865" s="286">
        <v>2024</v>
      </c>
      <c r="C2865" s="286" t="s">
        <v>821</v>
      </c>
      <c r="D2865" s="286" t="s">
        <v>931</v>
      </c>
      <c r="E2865" s="286" t="s">
        <v>2</v>
      </c>
      <c r="F2865" s="113" t="s">
        <v>911</v>
      </c>
    </row>
    <row r="2866" spans="1:6" ht="14.25" customHeight="1">
      <c r="A2866" s="286" t="s">
        <v>823</v>
      </c>
      <c r="B2866" s="286">
        <v>2024</v>
      </c>
      <c r="C2866" s="286" t="s">
        <v>821</v>
      </c>
      <c r="D2866" s="286" t="s">
        <v>931</v>
      </c>
      <c r="E2866" s="286" t="s">
        <v>2</v>
      </c>
      <c r="F2866" s="113" t="s">
        <v>911</v>
      </c>
    </row>
    <row r="2867" spans="1:6" ht="14.25" customHeight="1">
      <c r="A2867" s="286" t="s">
        <v>823</v>
      </c>
      <c r="B2867" s="286">
        <v>2024</v>
      </c>
      <c r="C2867" s="286" t="s">
        <v>821</v>
      </c>
      <c r="D2867" s="286" t="s">
        <v>931</v>
      </c>
      <c r="E2867" s="286" t="s">
        <v>2</v>
      </c>
      <c r="F2867" s="113" t="s">
        <v>911</v>
      </c>
    </row>
    <row r="2868" spans="1:6" ht="14.25" customHeight="1">
      <c r="A2868" s="286" t="s">
        <v>823</v>
      </c>
      <c r="B2868" s="286">
        <v>2024</v>
      </c>
      <c r="C2868" s="286" t="s">
        <v>821</v>
      </c>
      <c r="D2868" s="286" t="s">
        <v>931</v>
      </c>
      <c r="E2868" s="286" t="s">
        <v>2</v>
      </c>
      <c r="F2868" s="113" t="s">
        <v>911</v>
      </c>
    </row>
    <row r="2869" spans="1:6" ht="14.25" customHeight="1">
      <c r="A2869" s="286" t="s">
        <v>823</v>
      </c>
      <c r="B2869" s="286">
        <v>2024</v>
      </c>
      <c r="C2869" s="286" t="s">
        <v>821</v>
      </c>
      <c r="D2869" s="286" t="s">
        <v>931</v>
      </c>
      <c r="E2869" s="286" t="s">
        <v>1245</v>
      </c>
      <c r="F2869" s="113" t="s">
        <v>911</v>
      </c>
    </row>
    <row r="2870" spans="1:6" ht="14.25" customHeight="1">
      <c r="A2870" s="286" t="s">
        <v>823</v>
      </c>
      <c r="B2870" s="286">
        <v>2024</v>
      </c>
      <c r="C2870" s="286" t="s">
        <v>821</v>
      </c>
      <c r="D2870" s="286" t="s">
        <v>931</v>
      </c>
      <c r="E2870" s="284" t="s">
        <v>2</v>
      </c>
      <c r="F2870" s="113" t="s">
        <v>663</v>
      </c>
    </row>
    <row r="2871" spans="1:6" ht="14.25" customHeight="1">
      <c r="A2871" s="286" t="s">
        <v>823</v>
      </c>
      <c r="B2871" s="286">
        <v>2024</v>
      </c>
      <c r="C2871" s="286" t="s">
        <v>821</v>
      </c>
      <c r="D2871" s="286" t="s">
        <v>931</v>
      </c>
      <c r="E2871" s="284" t="s">
        <v>2</v>
      </c>
      <c r="F2871" s="113" t="s">
        <v>915</v>
      </c>
    </row>
    <row r="2872" spans="1:6" ht="14.25" customHeight="1">
      <c r="A2872" s="286" t="s">
        <v>823</v>
      </c>
      <c r="B2872" s="286">
        <v>2024</v>
      </c>
      <c r="C2872" s="286" t="s">
        <v>821</v>
      </c>
      <c r="D2872" s="286" t="s">
        <v>931</v>
      </c>
      <c r="E2872" s="286" t="s">
        <v>1114</v>
      </c>
      <c r="F2872" s="113" t="s">
        <v>783</v>
      </c>
    </row>
    <row r="2873" spans="1:6" ht="14.25" customHeight="1">
      <c r="A2873" s="286" t="s">
        <v>823</v>
      </c>
      <c r="B2873" s="286">
        <v>2024</v>
      </c>
      <c r="C2873" s="286" t="s">
        <v>821</v>
      </c>
      <c r="D2873" s="286" t="s">
        <v>931</v>
      </c>
      <c r="E2873" s="286" t="s">
        <v>1061</v>
      </c>
      <c r="F2873" s="113" t="s">
        <v>783</v>
      </c>
    </row>
    <row r="2874" spans="1:6" ht="14.25" customHeight="1">
      <c r="A2874" s="286" t="s">
        <v>823</v>
      </c>
      <c r="B2874" s="286">
        <v>2024</v>
      </c>
      <c r="C2874" s="286" t="s">
        <v>821</v>
      </c>
      <c r="D2874" s="286" t="s">
        <v>931</v>
      </c>
      <c r="E2874" s="286" t="s">
        <v>1064</v>
      </c>
      <c r="F2874" s="113" t="s">
        <v>922</v>
      </c>
    </row>
    <row r="2875" spans="1:6" ht="14.25" customHeight="1">
      <c r="A2875" s="286" t="s">
        <v>823</v>
      </c>
      <c r="B2875" s="286">
        <v>2024</v>
      </c>
      <c r="C2875" s="286" t="s">
        <v>821</v>
      </c>
      <c r="D2875" s="286" t="s">
        <v>931</v>
      </c>
      <c r="E2875" s="286" t="s">
        <v>1064</v>
      </c>
      <c r="F2875" s="113" t="s">
        <v>922</v>
      </c>
    </row>
    <row r="2876" spans="1:6" ht="14.25" customHeight="1">
      <c r="A2876" s="286" t="s">
        <v>823</v>
      </c>
      <c r="B2876" s="286">
        <v>2024</v>
      </c>
      <c r="C2876" s="286" t="s">
        <v>821</v>
      </c>
      <c r="D2876" s="286" t="s">
        <v>931</v>
      </c>
      <c r="E2876" s="286" t="s">
        <v>1064</v>
      </c>
      <c r="F2876" s="113" t="s">
        <v>922</v>
      </c>
    </row>
    <row r="2877" spans="1:6" ht="14.25" customHeight="1">
      <c r="A2877" s="286" t="s">
        <v>823</v>
      </c>
      <c r="B2877" s="286">
        <v>2024</v>
      </c>
      <c r="C2877" s="286" t="s">
        <v>821</v>
      </c>
      <c r="D2877" s="286" t="s">
        <v>931</v>
      </c>
      <c r="E2877" s="286" t="s">
        <v>1064</v>
      </c>
      <c r="F2877" s="113" t="s">
        <v>922</v>
      </c>
    </row>
    <row r="2878" spans="1:6" ht="14.25" customHeight="1">
      <c r="A2878" s="286" t="s">
        <v>823</v>
      </c>
      <c r="B2878" s="286">
        <v>2024</v>
      </c>
      <c r="C2878" s="286" t="s">
        <v>821</v>
      </c>
      <c r="D2878" s="286" t="s">
        <v>931</v>
      </c>
      <c r="E2878" s="286" t="s">
        <v>1246</v>
      </c>
      <c r="F2878" s="113" t="s">
        <v>922</v>
      </c>
    </row>
    <row r="2879" spans="1:6" ht="14.25" customHeight="1">
      <c r="A2879" s="286" t="s">
        <v>823</v>
      </c>
      <c r="B2879" s="286">
        <v>2024</v>
      </c>
      <c r="C2879" s="286" t="s">
        <v>821</v>
      </c>
      <c r="D2879" s="286" t="s">
        <v>931</v>
      </c>
      <c r="E2879" s="286" t="s">
        <v>1247</v>
      </c>
      <c r="F2879" s="113" t="s">
        <v>922</v>
      </c>
    </row>
    <row r="2880" spans="1:6" ht="14.25" customHeight="1">
      <c r="A2880" s="286" t="s">
        <v>823</v>
      </c>
      <c r="B2880" s="286">
        <v>2024</v>
      </c>
      <c r="C2880" s="286" t="s">
        <v>821</v>
      </c>
      <c r="D2880" s="286" t="s">
        <v>931</v>
      </c>
      <c r="E2880" s="286" t="s">
        <v>1058</v>
      </c>
      <c r="F2880" s="113" t="s">
        <v>922</v>
      </c>
    </row>
    <row r="2881" spans="1:6" ht="14.25" customHeight="1">
      <c r="A2881" s="286" t="s">
        <v>823</v>
      </c>
      <c r="B2881" s="286">
        <v>2024</v>
      </c>
      <c r="C2881" s="286" t="s">
        <v>821</v>
      </c>
      <c r="D2881" s="286" t="s">
        <v>931</v>
      </c>
      <c r="E2881" s="286" t="s">
        <v>955</v>
      </c>
      <c r="F2881" s="113" t="s">
        <v>922</v>
      </c>
    </row>
    <row r="2882" spans="1:6" ht="14.25" customHeight="1">
      <c r="A2882" s="286" t="s">
        <v>823</v>
      </c>
      <c r="B2882" s="286">
        <v>2024</v>
      </c>
      <c r="C2882" s="286" t="s">
        <v>821</v>
      </c>
      <c r="D2882" s="286" t="s">
        <v>931</v>
      </c>
      <c r="E2882" s="286" t="s">
        <v>2</v>
      </c>
      <c r="F2882" s="113" t="s">
        <v>935</v>
      </c>
    </row>
    <row r="2883" spans="1:6" ht="14.25" customHeight="1">
      <c r="A2883" s="286" t="s">
        <v>823</v>
      </c>
      <c r="B2883" s="286">
        <v>2024</v>
      </c>
      <c r="C2883" s="286" t="s">
        <v>821</v>
      </c>
      <c r="D2883" s="286" t="s">
        <v>931</v>
      </c>
      <c r="E2883" s="286" t="s">
        <v>2</v>
      </c>
      <c r="F2883" s="113" t="s">
        <v>935</v>
      </c>
    </row>
    <row r="2884" spans="1:6" ht="14.25" customHeight="1">
      <c r="A2884" s="286" t="s">
        <v>823</v>
      </c>
      <c r="B2884" s="286">
        <v>2024</v>
      </c>
      <c r="C2884" s="286" t="s">
        <v>821</v>
      </c>
      <c r="D2884" s="286" t="s">
        <v>931</v>
      </c>
      <c r="E2884" s="286" t="s">
        <v>2</v>
      </c>
      <c r="F2884" s="113" t="s">
        <v>935</v>
      </c>
    </row>
    <row r="2885" spans="1:6" ht="14.25" customHeight="1">
      <c r="A2885" s="286" t="s">
        <v>823</v>
      </c>
      <c r="B2885" s="286">
        <v>2024</v>
      </c>
      <c r="C2885" s="286" t="s">
        <v>821</v>
      </c>
      <c r="D2885" s="286" t="s">
        <v>931</v>
      </c>
      <c r="E2885" s="286" t="s">
        <v>2</v>
      </c>
      <c r="F2885" s="113" t="s">
        <v>935</v>
      </c>
    </row>
    <row r="2886" spans="1:6" ht="14.25" customHeight="1">
      <c r="A2886" s="286" t="s">
        <v>823</v>
      </c>
      <c r="B2886" s="286">
        <v>2024</v>
      </c>
      <c r="C2886" s="286" t="s">
        <v>821</v>
      </c>
      <c r="D2886" s="286" t="s">
        <v>931</v>
      </c>
      <c r="E2886" s="284" t="s">
        <v>2</v>
      </c>
      <c r="F2886" s="113" t="s">
        <v>935</v>
      </c>
    </row>
    <row r="2887" spans="1:6" ht="14.25" customHeight="1">
      <c r="A2887" s="286" t="s">
        <v>823</v>
      </c>
      <c r="B2887" s="286">
        <v>2024</v>
      </c>
      <c r="C2887" s="286" t="s">
        <v>821</v>
      </c>
      <c r="D2887" s="286" t="s">
        <v>976</v>
      </c>
      <c r="E2887" s="286" t="s">
        <v>1040</v>
      </c>
      <c r="F2887" s="113" t="s">
        <v>906</v>
      </c>
    </row>
    <row r="2888" spans="1:6" ht="14.25" customHeight="1">
      <c r="A2888" s="286" t="s">
        <v>823</v>
      </c>
      <c r="B2888" s="286">
        <v>2024</v>
      </c>
      <c r="C2888" s="286" t="s">
        <v>821</v>
      </c>
      <c r="D2888" s="286" t="s">
        <v>976</v>
      </c>
      <c r="E2888" s="286" t="s">
        <v>1040</v>
      </c>
      <c r="F2888" s="113" t="s">
        <v>906</v>
      </c>
    </row>
    <row r="2889" spans="1:6" ht="14.25" customHeight="1">
      <c r="A2889" s="286" t="s">
        <v>823</v>
      </c>
      <c r="B2889" s="286">
        <v>2024</v>
      </c>
      <c r="C2889" s="286" t="s">
        <v>821</v>
      </c>
      <c r="D2889" s="286" t="s">
        <v>976</v>
      </c>
      <c r="E2889" s="286" t="s">
        <v>1040</v>
      </c>
      <c r="F2889" s="113" t="s">
        <v>906</v>
      </c>
    </row>
    <row r="2890" spans="1:6" ht="14.25" customHeight="1">
      <c r="A2890" s="286" t="s">
        <v>823</v>
      </c>
      <c r="B2890" s="286">
        <v>2024</v>
      </c>
      <c r="C2890" s="286" t="s">
        <v>821</v>
      </c>
      <c r="D2890" s="286" t="s">
        <v>976</v>
      </c>
      <c r="E2890" s="286" t="s">
        <v>1028</v>
      </c>
      <c r="F2890" s="113" t="s">
        <v>906</v>
      </c>
    </row>
    <row r="2891" spans="1:6" ht="14.25" customHeight="1">
      <c r="A2891" s="286" t="s">
        <v>823</v>
      </c>
      <c r="B2891" s="286">
        <v>2024</v>
      </c>
      <c r="C2891" s="286" t="s">
        <v>821</v>
      </c>
      <c r="D2891" s="286" t="s">
        <v>976</v>
      </c>
      <c r="E2891" s="286" t="s">
        <v>944</v>
      </c>
      <c r="F2891" s="113" t="s">
        <v>906</v>
      </c>
    </row>
    <row r="2892" spans="1:6" ht="14.25" customHeight="1">
      <c r="A2892" s="286" t="s">
        <v>823</v>
      </c>
      <c r="B2892" s="286">
        <v>2024</v>
      </c>
      <c r="C2892" s="286" t="s">
        <v>821</v>
      </c>
      <c r="D2892" s="286" t="s">
        <v>976</v>
      </c>
      <c r="E2892" s="286" t="s">
        <v>944</v>
      </c>
      <c r="F2892" s="113" t="s">
        <v>906</v>
      </c>
    </row>
    <row r="2893" spans="1:6" ht="14.25" customHeight="1">
      <c r="A2893" s="286" t="s">
        <v>823</v>
      </c>
      <c r="B2893" s="286">
        <v>2024</v>
      </c>
      <c r="C2893" s="286" t="s">
        <v>821</v>
      </c>
      <c r="D2893" s="286" t="s">
        <v>976</v>
      </c>
      <c r="E2893" s="286" t="s">
        <v>1248</v>
      </c>
      <c r="F2893" s="113" t="s">
        <v>663</v>
      </c>
    </row>
    <row r="2894" spans="1:6" ht="14.25" customHeight="1">
      <c r="A2894" s="286" t="s">
        <v>823</v>
      </c>
      <c r="B2894" s="286">
        <v>2024</v>
      </c>
      <c r="C2894" s="286" t="s">
        <v>821</v>
      </c>
      <c r="D2894" s="286" t="s">
        <v>976</v>
      </c>
      <c r="E2894" s="286" t="s">
        <v>1059</v>
      </c>
      <c r="F2894" s="113" t="s">
        <v>922</v>
      </c>
    </row>
    <row r="2895" spans="1:6" ht="14.25" customHeight="1">
      <c r="A2895" s="286" t="s">
        <v>823</v>
      </c>
      <c r="B2895" s="286">
        <v>2024</v>
      </c>
      <c r="C2895" s="286" t="s">
        <v>821</v>
      </c>
      <c r="D2895" s="286" t="s">
        <v>976</v>
      </c>
      <c r="E2895" s="286" t="s">
        <v>2</v>
      </c>
      <c r="F2895" s="113" t="s">
        <v>922</v>
      </c>
    </row>
    <row r="2896" spans="1:6" ht="14.25" customHeight="1">
      <c r="A2896" s="286" t="s">
        <v>823</v>
      </c>
      <c r="B2896" s="286">
        <v>2024</v>
      </c>
      <c r="C2896" s="286" t="s">
        <v>821</v>
      </c>
      <c r="D2896" s="286" t="s">
        <v>976</v>
      </c>
      <c r="E2896" s="286" t="s">
        <v>2</v>
      </c>
      <c r="F2896" s="113" t="s">
        <v>922</v>
      </c>
    </row>
    <row r="2897" spans="1:6" ht="14.25" customHeight="1">
      <c r="A2897" s="286" t="s">
        <v>823</v>
      </c>
      <c r="B2897" s="286">
        <v>2024</v>
      </c>
      <c r="C2897" s="286" t="s">
        <v>821</v>
      </c>
      <c r="D2897" s="286" t="s">
        <v>976</v>
      </c>
      <c r="E2897" s="286" t="s">
        <v>989</v>
      </c>
      <c r="F2897" s="113" t="s">
        <v>935</v>
      </c>
    </row>
    <row r="2898" spans="1:6" ht="14.25" customHeight="1">
      <c r="A2898" s="286" t="s">
        <v>823</v>
      </c>
      <c r="B2898" s="286">
        <v>2024</v>
      </c>
      <c r="C2898" s="286" t="s">
        <v>821</v>
      </c>
      <c r="D2898" s="286" t="s">
        <v>976</v>
      </c>
      <c r="E2898" s="286" t="s">
        <v>1066</v>
      </c>
      <c r="F2898" s="113" t="s">
        <v>935</v>
      </c>
    </row>
    <row r="2899" spans="1:6" ht="14.25" customHeight="1">
      <c r="A2899" s="286" t="s">
        <v>823</v>
      </c>
      <c r="B2899" s="286">
        <v>2024</v>
      </c>
      <c r="C2899" s="286" t="s">
        <v>821</v>
      </c>
      <c r="D2899" s="286" t="s">
        <v>976</v>
      </c>
      <c r="E2899" s="286" t="s">
        <v>2</v>
      </c>
      <c r="F2899" s="113" t="s">
        <v>935</v>
      </c>
    </row>
    <row r="2900" spans="1:6" ht="14.25" customHeight="1">
      <c r="A2900" s="286" t="s">
        <v>823</v>
      </c>
      <c r="B2900" s="286">
        <v>2024</v>
      </c>
      <c r="C2900" s="286" t="s">
        <v>821</v>
      </c>
      <c r="D2900" s="286" t="s">
        <v>1033</v>
      </c>
      <c r="E2900" s="286" t="s">
        <v>954</v>
      </c>
      <c r="F2900" s="113" t="s">
        <v>906</v>
      </c>
    </row>
    <row r="2901" spans="1:6" ht="14.25" customHeight="1">
      <c r="A2901" s="286" t="s">
        <v>823</v>
      </c>
      <c r="B2901" s="286">
        <v>2024</v>
      </c>
      <c r="C2901" s="286" t="s">
        <v>821</v>
      </c>
      <c r="D2901" s="286" t="s">
        <v>1033</v>
      </c>
      <c r="E2901" s="286" t="s">
        <v>1249</v>
      </c>
      <c r="F2901" s="113" t="s">
        <v>663</v>
      </c>
    </row>
    <row r="2902" spans="1:6" ht="14.25" customHeight="1">
      <c r="A2902" s="286" t="s">
        <v>823</v>
      </c>
      <c r="B2902" s="286">
        <v>2024</v>
      </c>
      <c r="C2902" s="286" t="s">
        <v>821</v>
      </c>
      <c r="D2902" s="286" t="s">
        <v>216</v>
      </c>
      <c r="E2902" s="286" t="s">
        <v>1250</v>
      </c>
      <c r="F2902" s="113" t="s">
        <v>913</v>
      </c>
    </row>
    <row r="2903" spans="1:6" ht="14.25" customHeight="1">
      <c r="A2903" s="286" t="s">
        <v>823</v>
      </c>
      <c r="B2903" s="286">
        <v>2024</v>
      </c>
      <c r="C2903" s="286" t="s">
        <v>821</v>
      </c>
      <c r="D2903" s="286" t="s">
        <v>216</v>
      </c>
      <c r="E2903" s="286" t="s">
        <v>1251</v>
      </c>
      <c r="F2903" s="113" t="s">
        <v>663</v>
      </c>
    </row>
    <row r="2904" spans="1:6" ht="14.25" customHeight="1">
      <c r="A2904" s="286" t="s">
        <v>823</v>
      </c>
      <c r="B2904" s="286">
        <v>2024</v>
      </c>
      <c r="C2904" s="286" t="s">
        <v>821</v>
      </c>
      <c r="D2904" s="286" t="s">
        <v>216</v>
      </c>
      <c r="E2904" s="286" t="s">
        <v>1252</v>
      </c>
      <c r="F2904" s="113" t="s">
        <v>917</v>
      </c>
    </row>
    <row r="2905" spans="1:6" ht="14.25" customHeight="1">
      <c r="A2905" s="286" t="s">
        <v>823</v>
      </c>
      <c r="B2905" s="286">
        <v>2024</v>
      </c>
      <c r="C2905" s="286" t="s">
        <v>821</v>
      </c>
      <c r="D2905" s="286" t="s">
        <v>216</v>
      </c>
      <c r="E2905" s="286" t="s">
        <v>2</v>
      </c>
      <c r="F2905" s="113" t="s">
        <v>924</v>
      </c>
    </row>
    <row r="2906" spans="1:6" ht="14.25" customHeight="1">
      <c r="A2906" s="286" t="s">
        <v>823</v>
      </c>
      <c r="B2906" s="286">
        <v>2024</v>
      </c>
      <c r="C2906" s="286" t="s">
        <v>821</v>
      </c>
      <c r="D2906" s="286" t="s">
        <v>216</v>
      </c>
      <c r="E2906" s="286" t="s">
        <v>2</v>
      </c>
      <c r="F2906" s="113" t="s">
        <v>924</v>
      </c>
    </row>
    <row r="2907" spans="1:6" ht="14.25" customHeight="1">
      <c r="A2907" s="286" t="s">
        <v>823</v>
      </c>
      <c r="B2907" s="286">
        <v>2024</v>
      </c>
      <c r="C2907" s="286" t="s">
        <v>821</v>
      </c>
      <c r="D2907" s="286" t="s">
        <v>216</v>
      </c>
      <c r="E2907" s="286" t="s">
        <v>2</v>
      </c>
      <c r="F2907" s="113" t="s">
        <v>924</v>
      </c>
    </row>
    <row r="2908" spans="1:6" ht="14.25" customHeight="1">
      <c r="A2908" s="286" t="s">
        <v>823</v>
      </c>
      <c r="B2908" s="286">
        <v>2024</v>
      </c>
      <c r="C2908" s="286" t="s">
        <v>821</v>
      </c>
      <c r="D2908" s="286" t="s">
        <v>216</v>
      </c>
      <c r="E2908" s="286" t="s">
        <v>1044</v>
      </c>
      <c r="F2908" s="113" t="s">
        <v>922</v>
      </c>
    </row>
    <row r="2909" spans="1:6" ht="14.25" customHeight="1">
      <c r="A2909" s="286" t="s">
        <v>823</v>
      </c>
      <c r="B2909" s="286">
        <v>2024</v>
      </c>
      <c r="C2909" s="286" t="s">
        <v>88</v>
      </c>
      <c r="D2909" s="286" t="s">
        <v>958</v>
      </c>
      <c r="E2909" s="286" t="s">
        <v>971</v>
      </c>
      <c r="F2909" s="113" t="s">
        <v>909</v>
      </c>
    </row>
    <row r="2910" spans="1:6" ht="14.25" customHeight="1">
      <c r="A2910" s="286" t="s">
        <v>823</v>
      </c>
      <c r="B2910" s="286">
        <v>2024</v>
      </c>
      <c r="C2910" s="286" t="s">
        <v>88</v>
      </c>
      <c r="D2910" s="286" t="s">
        <v>958</v>
      </c>
      <c r="E2910" s="286" t="s">
        <v>1001</v>
      </c>
      <c r="F2910" s="113" t="s">
        <v>783</v>
      </c>
    </row>
    <row r="2911" spans="1:6" ht="14.25" customHeight="1">
      <c r="A2911" s="286" t="s">
        <v>823</v>
      </c>
      <c r="B2911" s="286">
        <v>2024</v>
      </c>
      <c r="C2911" s="286" t="s">
        <v>88</v>
      </c>
      <c r="D2911" s="286" t="s">
        <v>958</v>
      </c>
      <c r="E2911" s="286" t="s">
        <v>2</v>
      </c>
      <c r="F2911" s="113" t="s">
        <v>783</v>
      </c>
    </row>
    <row r="2912" spans="1:6" ht="14.25" customHeight="1">
      <c r="A2912" s="286" t="s">
        <v>823</v>
      </c>
      <c r="B2912" s="286">
        <v>2024</v>
      </c>
      <c r="C2912" s="286" t="s">
        <v>88</v>
      </c>
      <c r="D2912" s="286" t="s">
        <v>969</v>
      </c>
      <c r="E2912" s="286" t="s">
        <v>1014</v>
      </c>
      <c r="F2912" s="113" t="s">
        <v>906</v>
      </c>
    </row>
    <row r="2913" spans="1:6" ht="14.25" customHeight="1">
      <c r="A2913" s="286" t="s">
        <v>823</v>
      </c>
      <c r="B2913" s="286">
        <v>2024</v>
      </c>
      <c r="C2913" s="286" t="s">
        <v>88</v>
      </c>
      <c r="D2913" s="286" t="s">
        <v>969</v>
      </c>
      <c r="E2913" s="286" t="s">
        <v>1041</v>
      </c>
      <c r="F2913" s="113" t="s">
        <v>906</v>
      </c>
    </row>
    <row r="2914" spans="1:6" ht="14.25" customHeight="1">
      <c r="A2914" s="286" t="s">
        <v>823</v>
      </c>
      <c r="B2914" s="286">
        <v>2024</v>
      </c>
      <c r="C2914" s="286" t="s">
        <v>88</v>
      </c>
      <c r="D2914" s="286" t="s">
        <v>969</v>
      </c>
      <c r="E2914" s="286" t="s">
        <v>2</v>
      </c>
      <c r="F2914" s="113" t="s">
        <v>906</v>
      </c>
    </row>
    <row r="2915" spans="1:6" ht="14.25" customHeight="1">
      <c r="A2915" s="286" t="s">
        <v>823</v>
      </c>
      <c r="B2915" s="286">
        <v>2024</v>
      </c>
      <c r="C2915" s="286" t="s">
        <v>88</v>
      </c>
      <c r="D2915" s="286" t="s">
        <v>969</v>
      </c>
      <c r="E2915" s="286" t="s">
        <v>954</v>
      </c>
      <c r="F2915" s="113" t="s">
        <v>906</v>
      </c>
    </row>
    <row r="2916" spans="1:6" ht="14.25" customHeight="1">
      <c r="A2916" s="286" t="s">
        <v>823</v>
      </c>
      <c r="B2916" s="286">
        <v>2024</v>
      </c>
      <c r="C2916" s="286" t="s">
        <v>88</v>
      </c>
      <c r="D2916" s="286" t="s">
        <v>969</v>
      </c>
      <c r="E2916" s="286" t="s">
        <v>930</v>
      </c>
      <c r="F2916" s="113" t="s">
        <v>906</v>
      </c>
    </row>
    <row r="2917" spans="1:6" ht="14.25" customHeight="1">
      <c r="A2917" s="286" t="s">
        <v>823</v>
      </c>
      <c r="B2917" s="286">
        <v>2024</v>
      </c>
      <c r="C2917" s="286" t="s">
        <v>88</v>
      </c>
      <c r="D2917" s="286" t="s">
        <v>969</v>
      </c>
      <c r="E2917" s="286" t="s">
        <v>1034</v>
      </c>
      <c r="F2917" s="113" t="s">
        <v>922</v>
      </c>
    </row>
    <row r="2918" spans="1:6" ht="14.25" customHeight="1">
      <c r="A2918" s="286" t="s">
        <v>823</v>
      </c>
      <c r="B2918" s="286">
        <v>2024</v>
      </c>
      <c r="C2918" s="286" t="s">
        <v>88</v>
      </c>
      <c r="D2918" s="286" t="s">
        <v>969</v>
      </c>
      <c r="E2918" s="286" t="s">
        <v>992</v>
      </c>
      <c r="F2918" s="113" t="s">
        <v>922</v>
      </c>
    </row>
    <row r="2919" spans="1:6" ht="14.25" customHeight="1">
      <c r="A2919" s="286" t="s">
        <v>823</v>
      </c>
      <c r="B2919" s="286">
        <v>2024</v>
      </c>
      <c r="C2919" s="286" t="s">
        <v>88</v>
      </c>
      <c r="D2919" s="286" t="s">
        <v>988</v>
      </c>
      <c r="E2919" s="286" t="s">
        <v>1058</v>
      </c>
      <c r="F2919" s="113" t="s">
        <v>906</v>
      </c>
    </row>
    <row r="2920" spans="1:6" ht="14.25" customHeight="1">
      <c r="A2920" s="286" t="s">
        <v>823</v>
      </c>
      <c r="B2920" s="286">
        <v>2024</v>
      </c>
      <c r="C2920" s="286" t="s">
        <v>88</v>
      </c>
      <c r="D2920" s="286" t="s">
        <v>956</v>
      </c>
      <c r="E2920" s="286" t="s">
        <v>1090</v>
      </c>
      <c r="F2920" s="113" t="s">
        <v>935</v>
      </c>
    </row>
    <row r="2921" spans="1:6" ht="14.25" customHeight="1">
      <c r="A2921" s="286" t="s">
        <v>823</v>
      </c>
      <c r="B2921" s="286">
        <v>2024</v>
      </c>
      <c r="C2921" s="286" t="s">
        <v>88</v>
      </c>
      <c r="D2921" s="286" t="s">
        <v>966</v>
      </c>
      <c r="E2921" s="286" t="s">
        <v>1253</v>
      </c>
      <c r="F2921" s="113" t="s">
        <v>911</v>
      </c>
    </row>
    <row r="2922" spans="1:6" ht="14.25" customHeight="1">
      <c r="A2922" s="286" t="s">
        <v>823</v>
      </c>
      <c r="B2922" s="286">
        <v>2024</v>
      </c>
      <c r="C2922" s="286" t="s">
        <v>859</v>
      </c>
      <c r="D2922" s="286" t="s">
        <v>999</v>
      </c>
      <c r="E2922" s="286" t="s">
        <v>936</v>
      </c>
      <c r="F2922" s="113" t="s">
        <v>783</v>
      </c>
    </row>
    <row r="2923" spans="1:6" ht="14.25" customHeight="1">
      <c r="A2923" s="286" t="s">
        <v>823</v>
      </c>
      <c r="B2923" s="286">
        <v>2024</v>
      </c>
      <c r="C2923" s="286" t="s">
        <v>859</v>
      </c>
      <c r="D2923" s="286" t="s">
        <v>1005</v>
      </c>
      <c r="E2923" s="286" t="s">
        <v>1028</v>
      </c>
      <c r="F2923" s="113" t="s">
        <v>906</v>
      </c>
    </row>
    <row r="2924" spans="1:6" ht="14.25" customHeight="1">
      <c r="A2924" s="286" t="s">
        <v>823</v>
      </c>
      <c r="B2924" s="286">
        <v>2024</v>
      </c>
      <c r="C2924" s="286" t="s">
        <v>859</v>
      </c>
      <c r="D2924" s="286" t="s">
        <v>1005</v>
      </c>
      <c r="E2924" s="286" t="s">
        <v>2</v>
      </c>
      <c r="F2924" s="284" t="s">
        <v>1144</v>
      </c>
    </row>
    <row r="2925" spans="1:6" ht="14.25" customHeight="1">
      <c r="A2925" s="286" t="s">
        <v>823</v>
      </c>
      <c r="B2925" s="286">
        <v>2024</v>
      </c>
      <c r="C2925" s="286" t="s">
        <v>859</v>
      </c>
      <c r="D2925" s="286" t="s">
        <v>1005</v>
      </c>
      <c r="E2925" s="286" t="s">
        <v>2</v>
      </c>
      <c r="F2925" s="284" t="s">
        <v>1144</v>
      </c>
    </row>
    <row r="2926" spans="1:6" ht="14.25" customHeight="1">
      <c r="A2926" s="286" t="s">
        <v>823</v>
      </c>
      <c r="B2926" s="286">
        <v>2024</v>
      </c>
      <c r="C2926" s="286" t="s">
        <v>859</v>
      </c>
      <c r="D2926" s="286" t="s">
        <v>1005</v>
      </c>
      <c r="E2926" s="286" t="s">
        <v>2</v>
      </c>
      <c r="F2926" s="284" t="s">
        <v>1144</v>
      </c>
    </row>
    <row r="2927" spans="1:6" ht="14.25" customHeight="1">
      <c r="A2927" s="286" t="s">
        <v>823</v>
      </c>
      <c r="B2927" s="286">
        <v>2024</v>
      </c>
      <c r="C2927" s="286" t="s">
        <v>859</v>
      </c>
      <c r="D2927" s="286" t="s">
        <v>1005</v>
      </c>
      <c r="E2927" s="286" t="s">
        <v>2</v>
      </c>
      <c r="F2927" s="284" t="s">
        <v>1144</v>
      </c>
    </row>
    <row r="2928" spans="1:6" ht="14.25" customHeight="1">
      <c r="A2928" s="286" t="s">
        <v>823</v>
      </c>
      <c r="B2928" s="286">
        <v>2024</v>
      </c>
      <c r="C2928" s="286" t="s">
        <v>859</v>
      </c>
      <c r="D2928" s="286" t="s">
        <v>1005</v>
      </c>
      <c r="E2928" s="286" t="s">
        <v>2</v>
      </c>
      <c r="F2928" s="284" t="s">
        <v>1144</v>
      </c>
    </row>
    <row r="2929" spans="1:6" ht="14.25" customHeight="1">
      <c r="A2929" s="286" t="s">
        <v>823</v>
      </c>
      <c r="B2929" s="286">
        <v>2024</v>
      </c>
      <c r="C2929" s="286" t="s">
        <v>859</v>
      </c>
      <c r="D2929" s="286" t="s">
        <v>1005</v>
      </c>
      <c r="E2929" s="286" t="s">
        <v>2</v>
      </c>
      <c r="F2929" s="284" t="s">
        <v>1144</v>
      </c>
    </row>
    <row r="2930" spans="1:6" ht="14.25" customHeight="1">
      <c r="A2930" s="286" t="s">
        <v>823</v>
      </c>
      <c r="B2930" s="286">
        <v>2024</v>
      </c>
      <c r="C2930" s="286" t="s">
        <v>859</v>
      </c>
      <c r="D2930" s="286" t="s">
        <v>1005</v>
      </c>
      <c r="E2930" s="286" t="s">
        <v>2</v>
      </c>
      <c r="F2930" s="284" t="s">
        <v>1144</v>
      </c>
    </row>
    <row r="2931" spans="1:6" ht="14.25" customHeight="1">
      <c r="A2931" s="286" t="s">
        <v>823</v>
      </c>
      <c r="B2931" s="286">
        <v>2024</v>
      </c>
      <c r="C2931" s="286" t="s">
        <v>859</v>
      </c>
      <c r="D2931" s="286" t="s">
        <v>1005</v>
      </c>
      <c r="E2931" s="286" t="s">
        <v>2</v>
      </c>
      <c r="F2931" s="284" t="s">
        <v>1144</v>
      </c>
    </row>
    <row r="2932" spans="1:6" ht="14.25" customHeight="1">
      <c r="A2932" s="286" t="s">
        <v>823</v>
      </c>
      <c r="B2932" s="286">
        <v>2024</v>
      </c>
      <c r="C2932" s="286" t="s">
        <v>859</v>
      </c>
      <c r="D2932" s="286" t="s">
        <v>1000</v>
      </c>
      <c r="E2932" s="286" t="s">
        <v>1170</v>
      </c>
      <c r="F2932" s="113" t="s">
        <v>909</v>
      </c>
    </row>
    <row r="2933" spans="1:6" ht="14.25" customHeight="1">
      <c r="A2933" s="286" t="s">
        <v>823</v>
      </c>
      <c r="B2933" s="286">
        <v>2024</v>
      </c>
      <c r="C2933" s="286" t="s">
        <v>859</v>
      </c>
      <c r="D2933" s="286" t="s">
        <v>1000</v>
      </c>
      <c r="E2933" s="286" t="s">
        <v>938</v>
      </c>
      <c r="F2933" s="113" t="s">
        <v>663</v>
      </c>
    </row>
    <row r="2934" spans="1:6" ht="14.25" customHeight="1">
      <c r="A2934" s="286" t="s">
        <v>823</v>
      </c>
      <c r="B2934" s="286">
        <v>2024</v>
      </c>
      <c r="C2934" s="286" t="s">
        <v>859</v>
      </c>
      <c r="D2934" s="286" t="s">
        <v>1000</v>
      </c>
      <c r="E2934" s="286" t="s">
        <v>1254</v>
      </c>
      <c r="F2934" s="113" t="s">
        <v>663</v>
      </c>
    </row>
    <row r="2935" spans="1:6" ht="14.25" customHeight="1">
      <c r="A2935" s="286" t="s">
        <v>823</v>
      </c>
      <c r="B2935" s="286">
        <v>2024</v>
      </c>
      <c r="C2935" s="286" t="s">
        <v>859</v>
      </c>
      <c r="D2935" s="286" t="s">
        <v>1000</v>
      </c>
      <c r="E2935" s="286" t="s">
        <v>2</v>
      </c>
      <c r="F2935" s="284" t="s">
        <v>1144</v>
      </c>
    </row>
    <row r="2936" spans="1:6" ht="14.25" customHeight="1">
      <c r="A2936" s="286" t="s">
        <v>823</v>
      </c>
      <c r="B2936" s="286">
        <v>2024</v>
      </c>
      <c r="C2936" s="286" t="s">
        <v>859</v>
      </c>
      <c r="D2936" s="286" t="s">
        <v>1000</v>
      </c>
      <c r="E2936" s="286" t="s">
        <v>2</v>
      </c>
      <c r="F2936" s="284" t="s">
        <v>1144</v>
      </c>
    </row>
    <row r="2937" spans="1:6" ht="14.25" customHeight="1">
      <c r="A2937" s="286" t="s">
        <v>823</v>
      </c>
      <c r="B2937" s="286">
        <v>2024</v>
      </c>
      <c r="C2937" s="286" t="s">
        <v>859</v>
      </c>
      <c r="D2937" s="286" t="s">
        <v>1000</v>
      </c>
      <c r="E2937" s="286" t="s">
        <v>2</v>
      </c>
      <c r="F2937" s="284" t="s">
        <v>1144</v>
      </c>
    </row>
    <row r="2938" spans="1:6" ht="14.25" customHeight="1">
      <c r="A2938" s="286" t="s">
        <v>823</v>
      </c>
      <c r="B2938" s="286">
        <v>2024</v>
      </c>
      <c r="C2938" s="286" t="s">
        <v>859</v>
      </c>
      <c r="D2938" s="286" t="s">
        <v>1000</v>
      </c>
      <c r="E2938" s="286" t="s">
        <v>2</v>
      </c>
      <c r="F2938" s="284" t="s">
        <v>1144</v>
      </c>
    </row>
    <row r="2939" spans="1:6" ht="14.25" customHeight="1">
      <c r="A2939" s="286" t="s">
        <v>823</v>
      </c>
      <c r="B2939" s="286">
        <v>2024</v>
      </c>
      <c r="C2939" s="286" t="s">
        <v>859</v>
      </c>
      <c r="D2939" s="286" t="s">
        <v>1000</v>
      </c>
      <c r="E2939" s="286" t="s">
        <v>2</v>
      </c>
      <c r="F2939" s="284" t="s">
        <v>1144</v>
      </c>
    </row>
    <row r="2940" spans="1:6" ht="14.25" customHeight="1">
      <c r="A2940" s="286" t="s">
        <v>823</v>
      </c>
      <c r="B2940" s="286">
        <v>2024</v>
      </c>
      <c r="C2940" s="286" t="s">
        <v>859</v>
      </c>
      <c r="D2940" s="286" t="s">
        <v>1000</v>
      </c>
      <c r="E2940" s="286" t="s">
        <v>2</v>
      </c>
      <c r="F2940" s="284" t="s">
        <v>1144</v>
      </c>
    </row>
    <row r="2941" spans="1:6" ht="14.25" customHeight="1">
      <c r="A2941" s="286" t="s">
        <v>823</v>
      </c>
      <c r="B2941" s="286">
        <v>2024</v>
      </c>
      <c r="C2941" s="286" t="s">
        <v>859</v>
      </c>
      <c r="D2941" s="286" t="s">
        <v>1000</v>
      </c>
      <c r="E2941" s="286" t="s">
        <v>2</v>
      </c>
      <c r="F2941" s="284" t="s">
        <v>1144</v>
      </c>
    </row>
    <row r="2942" spans="1:6" ht="14.25" customHeight="1">
      <c r="A2942" s="286" t="s">
        <v>823</v>
      </c>
      <c r="B2942" s="286">
        <v>2024</v>
      </c>
      <c r="C2942" s="286" t="s">
        <v>859</v>
      </c>
      <c r="D2942" s="286" t="s">
        <v>1000</v>
      </c>
      <c r="E2942" s="286" t="s">
        <v>2</v>
      </c>
      <c r="F2942" s="284" t="s">
        <v>1144</v>
      </c>
    </row>
    <row r="2943" spans="1:6" ht="14.25" customHeight="1">
      <c r="A2943" s="286" t="s">
        <v>823</v>
      </c>
      <c r="B2943" s="286">
        <v>2024</v>
      </c>
      <c r="C2943" s="286" t="s">
        <v>859</v>
      </c>
      <c r="D2943" s="286" t="s">
        <v>1000</v>
      </c>
      <c r="E2943" s="286" t="s">
        <v>2</v>
      </c>
      <c r="F2943" s="284" t="s">
        <v>1144</v>
      </c>
    </row>
    <row r="2944" spans="1:6" ht="14.25" customHeight="1">
      <c r="A2944" s="286" t="s">
        <v>823</v>
      </c>
      <c r="B2944" s="286">
        <v>2024</v>
      </c>
      <c r="C2944" s="286" t="s">
        <v>859</v>
      </c>
      <c r="D2944" s="286" t="s">
        <v>1000</v>
      </c>
      <c r="E2944" s="286" t="s">
        <v>2</v>
      </c>
      <c r="F2944" s="284" t="s">
        <v>1144</v>
      </c>
    </row>
    <row r="2945" spans="1:6" ht="14.25" customHeight="1">
      <c r="A2945" s="286" t="s">
        <v>823</v>
      </c>
      <c r="B2945" s="286">
        <v>2024</v>
      </c>
      <c r="C2945" s="286" t="s">
        <v>859</v>
      </c>
      <c r="D2945" s="286" t="s">
        <v>1000</v>
      </c>
      <c r="E2945" s="286" t="s">
        <v>2</v>
      </c>
      <c r="F2945" s="284" t="s">
        <v>1144</v>
      </c>
    </row>
    <row r="2946" spans="1:6" ht="14.25" customHeight="1">
      <c r="A2946" s="286" t="s">
        <v>823</v>
      </c>
      <c r="B2946" s="286">
        <v>2024</v>
      </c>
      <c r="C2946" s="286" t="s">
        <v>859</v>
      </c>
      <c r="D2946" s="286" t="s">
        <v>1000</v>
      </c>
      <c r="E2946" s="286" t="s">
        <v>2</v>
      </c>
      <c r="F2946" s="284" t="s">
        <v>1144</v>
      </c>
    </row>
    <row r="2947" spans="1:6" ht="14.25" customHeight="1">
      <c r="A2947" s="286" t="s">
        <v>823</v>
      </c>
      <c r="B2947" s="286">
        <v>2024</v>
      </c>
      <c r="C2947" s="286" t="s">
        <v>859</v>
      </c>
      <c r="D2947" s="286" t="s">
        <v>1000</v>
      </c>
      <c r="E2947" s="286" t="s">
        <v>2</v>
      </c>
      <c r="F2947" s="284" t="s">
        <v>1144</v>
      </c>
    </row>
    <row r="2948" spans="1:6" ht="14.25" customHeight="1">
      <c r="A2948" s="286" t="s">
        <v>823</v>
      </c>
      <c r="B2948" s="286">
        <v>2024</v>
      </c>
      <c r="C2948" s="286" t="s">
        <v>859</v>
      </c>
      <c r="D2948" s="286" t="s">
        <v>1000</v>
      </c>
      <c r="E2948" s="286" t="s">
        <v>2</v>
      </c>
      <c r="F2948" s="284" t="s">
        <v>1144</v>
      </c>
    </row>
    <row r="2949" spans="1:6" ht="14.25" customHeight="1">
      <c r="A2949" s="286" t="s">
        <v>823</v>
      </c>
      <c r="B2949" s="286">
        <v>2024</v>
      </c>
      <c r="C2949" s="286" t="s">
        <v>859</v>
      </c>
      <c r="D2949" s="286" t="s">
        <v>1000</v>
      </c>
      <c r="E2949" s="286" t="s">
        <v>2</v>
      </c>
      <c r="F2949" s="284" t="s">
        <v>1144</v>
      </c>
    </row>
    <row r="2950" spans="1:6" ht="14.25" customHeight="1">
      <c r="A2950" s="286" t="s">
        <v>823</v>
      </c>
      <c r="B2950" s="286">
        <v>2024</v>
      </c>
      <c r="C2950" s="286" t="s">
        <v>859</v>
      </c>
      <c r="D2950" s="286" t="s">
        <v>1000</v>
      </c>
      <c r="E2950" s="286" t="s">
        <v>2</v>
      </c>
      <c r="F2950" s="284" t="s">
        <v>1144</v>
      </c>
    </row>
    <row r="2951" spans="1:6" ht="14.25" customHeight="1">
      <c r="A2951" s="286" t="s">
        <v>823</v>
      </c>
      <c r="B2951" s="286">
        <v>2024</v>
      </c>
      <c r="C2951" s="286" t="s">
        <v>859</v>
      </c>
      <c r="D2951" s="286" t="s">
        <v>1000</v>
      </c>
      <c r="E2951" s="286" t="s">
        <v>1180</v>
      </c>
      <c r="F2951" s="284" t="s">
        <v>1144</v>
      </c>
    </row>
    <row r="2952" spans="1:6" ht="14.25" customHeight="1">
      <c r="A2952" s="286" t="s">
        <v>823</v>
      </c>
      <c r="B2952" s="286">
        <v>2024</v>
      </c>
      <c r="C2952" s="286" t="s">
        <v>859</v>
      </c>
      <c r="D2952" s="286" t="s">
        <v>998</v>
      </c>
      <c r="E2952" s="286" t="s">
        <v>971</v>
      </c>
      <c r="F2952" s="113" t="s">
        <v>909</v>
      </c>
    </row>
    <row r="2953" spans="1:6" ht="14.25" customHeight="1">
      <c r="A2953" s="286" t="s">
        <v>823</v>
      </c>
      <c r="B2953" s="286">
        <v>2024</v>
      </c>
      <c r="C2953" s="286" t="s">
        <v>859</v>
      </c>
      <c r="D2953" s="286" t="s">
        <v>998</v>
      </c>
      <c r="E2953" s="286" t="s">
        <v>1115</v>
      </c>
      <c r="F2953" s="113" t="s">
        <v>911</v>
      </c>
    </row>
    <row r="2954" spans="1:6" ht="14.25" customHeight="1">
      <c r="A2954" s="286" t="s">
        <v>823</v>
      </c>
      <c r="B2954" s="286">
        <v>2024</v>
      </c>
      <c r="C2954" s="286" t="s">
        <v>859</v>
      </c>
      <c r="D2954" s="286" t="s">
        <v>998</v>
      </c>
      <c r="E2954" s="286" t="s">
        <v>1163</v>
      </c>
      <c r="F2954" s="113" t="s">
        <v>911</v>
      </c>
    </row>
    <row r="2955" spans="1:6" ht="14.25" customHeight="1">
      <c r="A2955" s="286" t="s">
        <v>823</v>
      </c>
      <c r="B2955" s="286">
        <v>2024</v>
      </c>
      <c r="C2955" s="286" t="s">
        <v>1024</v>
      </c>
      <c r="D2955" s="286" t="s">
        <v>1025</v>
      </c>
      <c r="E2955" s="286" t="s">
        <v>1255</v>
      </c>
      <c r="F2955" s="113" t="s">
        <v>913</v>
      </c>
    </row>
    <row r="2956" spans="1:6" ht="14.25" customHeight="1">
      <c r="A2956" s="286" t="s">
        <v>823</v>
      </c>
      <c r="B2956" s="286">
        <v>2024</v>
      </c>
      <c r="C2956" s="286" t="s">
        <v>1024</v>
      </c>
      <c r="D2956" s="286" t="s">
        <v>1025</v>
      </c>
      <c r="E2956" s="286" t="s">
        <v>1256</v>
      </c>
      <c r="F2956" s="113" t="s">
        <v>663</v>
      </c>
    </row>
    <row r="2957" spans="1:6" ht="14.25" customHeight="1">
      <c r="A2957" s="286" t="s">
        <v>823</v>
      </c>
      <c r="B2957" s="286">
        <v>2024</v>
      </c>
      <c r="C2957" s="286" t="s">
        <v>1024</v>
      </c>
      <c r="D2957" s="286" t="s">
        <v>1025</v>
      </c>
      <c r="E2957" s="286" t="s">
        <v>1257</v>
      </c>
      <c r="F2957" s="113" t="s">
        <v>922</v>
      </c>
    </row>
    <row r="2958" spans="1:6" ht="14.25" customHeight="1">
      <c r="A2958" s="286" t="s">
        <v>823</v>
      </c>
      <c r="B2958" s="286">
        <v>2024</v>
      </c>
      <c r="C2958" s="286" t="s">
        <v>1024</v>
      </c>
      <c r="D2958" s="286" t="s">
        <v>1025</v>
      </c>
      <c r="E2958" s="286" t="s">
        <v>1258</v>
      </c>
      <c r="F2958" s="284" t="s">
        <v>1144</v>
      </c>
    </row>
    <row r="2959" spans="1:6" ht="14.25" customHeight="1">
      <c r="A2959" s="286" t="s">
        <v>823</v>
      </c>
      <c r="B2959" s="286">
        <v>2024</v>
      </c>
      <c r="C2959" s="286" t="s">
        <v>1024</v>
      </c>
      <c r="D2959" s="286" t="s">
        <v>1027</v>
      </c>
      <c r="E2959" s="286" t="s">
        <v>1069</v>
      </c>
      <c r="F2959" s="113" t="s">
        <v>915</v>
      </c>
    </row>
    <row r="2960" spans="1:6" ht="14.25" customHeight="1">
      <c r="A2960" s="286" t="s">
        <v>823</v>
      </c>
      <c r="B2960" s="286">
        <v>2024</v>
      </c>
      <c r="C2960" s="286" t="s">
        <v>1024</v>
      </c>
      <c r="D2960" s="286" t="s">
        <v>1027</v>
      </c>
      <c r="E2960" s="286" t="s">
        <v>1061</v>
      </c>
      <c r="F2960" s="113" t="s">
        <v>783</v>
      </c>
    </row>
    <row r="2961" spans="1:6" ht="14.25" customHeight="1">
      <c r="A2961" s="286" t="s">
        <v>823</v>
      </c>
      <c r="B2961" s="286">
        <v>2024</v>
      </c>
      <c r="C2961" s="286" t="s">
        <v>1024</v>
      </c>
      <c r="D2961" s="286" t="s">
        <v>1027</v>
      </c>
      <c r="E2961" s="286" t="s">
        <v>987</v>
      </c>
      <c r="F2961" s="113" t="s">
        <v>935</v>
      </c>
    </row>
    <row r="2962" spans="1:6" ht="14.25" customHeight="1">
      <c r="A2962" s="286" t="s">
        <v>823</v>
      </c>
      <c r="B2962" s="286">
        <v>2024</v>
      </c>
      <c r="C2962" s="286" t="s">
        <v>1024</v>
      </c>
      <c r="D2962" s="286" t="s">
        <v>1027</v>
      </c>
      <c r="E2962" s="286" t="s">
        <v>1004</v>
      </c>
      <c r="F2962" s="113" t="s">
        <v>935</v>
      </c>
    </row>
    <row r="2963" spans="1:6" ht="14.25" customHeight="1">
      <c r="A2963" s="286" t="s">
        <v>823</v>
      </c>
      <c r="B2963" s="286">
        <v>2024</v>
      </c>
      <c r="C2963" s="286" t="s">
        <v>1024</v>
      </c>
      <c r="D2963" s="286" t="s">
        <v>1027</v>
      </c>
      <c r="E2963" s="286" t="s">
        <v>2</v>
      </c>
      <c r="F2963" s="286" t="s">
        <v>1241</v>
      </c>
    </row>
    <row r="2964" spans="1:6" ht="14.25" customHeight="1">
      <c r="A2964" s="286" t="s">
        <v>823</v>
      </c>
      <c r="B2964" s="286">
        <v>2024</v>
      </c>
      <c r="C2964" s="286" t="s">
        <v>1024</v>
      </c>
      <c r="D2964" s="286" t="s">
        <v>1029</v>
      </c>
      <c r="E2964" s="286" t="s">
        <v>1259</v>
      </c>
      <c r="F2964" s="113" t="s">
        <v>783</v>
      </c>
    </row>
    <row r="2965" spans="1:6" ht="14.25" customHeight="1">
      <c r="A2965" s="286" t="s">
        <v>823</v>
      </c>
      <c r="B2965" s="286">
        <v>2024</v>
      </c>
      <c r="C2965" s="286" t="s">
        <v>1024</v>
      </c>
      <c r="D2965" s="286" t="s">
        <v>1055</v>
      </c>
      <c r="E2965" s="286" t="s">
        <v>986</v>
      </c>
      <c r="F2965" s="113" t="s">
        <v>906</v>
      </c>
    </row>
    <row r="2966" spans="1:6" ht="14.25" customHeight="1">
      <c r="A2966" s="286" t="s">
        <v>823</v>
      </c>
      <c r="B2966" s="286">
        <v>2024</v>
      </c>
      <c r="C2966" s="286" t="s">
        <v>1024</v>
      </c>
      <c r="D2966" s="286" t="s">
        <v>1055</v>
      </c>
      <c r="E2966" s="286" t="s">
        <v>1116</v>
      </c>
      <c r="F2966" s="113" t="s">
        <v>909</v>
      </c>
    </row>
    <row r="2967" spans="1:6" ht="14.25" customHeight="1">
      <c r="A2967" s="286" t="s">
        <v>823</v>
      </c>
      <c r="B2967" s="286">
        <v>2024</v>
      </c>
      <c r="C2967" s="286" t="s">
        <v>1024</v>
      </c>
      <c r="D2967" s="286" t="s">
        <v>1026</v>
      </c>
      <c r="E2967" s="286" t="s">
        <v>989</v>
      </c>
      <c r="F2967" s="113" t="s">
        <v>935</v>
      </c>
    </row>
    <row r="2968" spans="1:6" ht="14.25" customHeight="1">
      <c r="A2968" s="286" t="s">
        <v>823</v>
      </c>
      <c r="B2968" s="286">
        <v>2024</v>
      </c>
      <c r="C2968" s="286" t="s">
        <v>1024</v>
      </c>
      <c r="D2968" s="286" t="s">
        <v>1026</v>
      </c>
      <c r="E2968" s="286" t="s">
        <v>1260</v>
      </c>
      <c r="F2968" s="284" t="s">
        <v>1144</v>
      </c>
    </row>
    <row r="2969" spans="1:6" ht="14.25" customHeight="1">
      <c r="A2969" s="286" t="s">
        <v>824</v>
      </c>
      <c r="B2969" s="286">
        <v>2024</v>
      </c>
      <c r="C2969" s="286" t="s">
        <v>821</v>
      </c>
      <c r="D2969" s="286" t="s">
        <v>132</v>
      </c>
      <c r="E2969" s="286" t="s">
        <v>954</v>
      </c>
      <c r="F2969" s="113" t="s">
        <v>906</v>
      </c>
    </row>
    <row r="2970" spans="1:6" ht="14.25" customHeight="1">
      <c r="A2970" s="286" t="s">
        <v>824</v>
      </c>
      <c r="B2970" s="286">
        <v>2024</v>
      </c>
      <c r="C2970" s="286" t="s">
        <v>821</v>
      </c>
      <c r="D2970" s="286" t="s">
        <v>132</v>
      </c>
      <c r="E2970" s="286" t="s">
        <v>954</v>
      </c>
      <c r="F2970" s="113" t="s">
        <v>906</v>
      </c>
    </row>
    <row r="2971" spans="1:6" ht="14.25" customHeight="1">
      <c r="A2971" s="286" t="s">
        <v>824</v>
      </c>
      <c r="B2971" s="286">
        <v>2024</v>
      </c>
      <c r="C2971" s="286" t="s">
        <v>821</v>
      </c>
      <c r="D2971" s="286" t="s">
        <v>132</v>
      </c>
      <c r="E2971" s="286" t="s">
        <v>954</v>
      </c>
      <c r="F2971" s="113" t="s">
        <v>906</v>
      </c>
    </row>
    <row r="2972" spans="1:6" ht="14.25" customHeight="1">
      <c r="A2972" s="286" t="s">
        <v>824</v>
      </c>
      <c r="B2972" s="286">
        <v>2024</v>
      </c>
      <c r="C2972" s="286" t="s">
        <v>821</v>
      </c>
      <c r="D2972" s="286" t="s">
        <v>132</v>
      </c>
      <c r="E2972" s="286" t="s">
        <v>1020</v>
      </c>
      <c r="F2972" s="113" t="s">
        <v>909</v>
      </c>
    </row>
    <row r="2973" spans="1:6" ht="14.25" customHeight="1">
      <c r="A2973" s="286" t="s">
        <v>824</v>
      </c>
      <c r="B2973" s="286">
        <v>2024</v>
      </c>
      <c r="C2973" s="286" t="s">
        <v>821</v>
      </c>
      <c r="D2973" s="286" t="s">
        <v>132</v>
      </c>
      <c r="E2973" s="286" t="s">
        <v>1118</v>
      </c>
      <c r="F2973" s="113" t="s">
        <v>909</v>
      </c>
    </row>
    <row r="2974" spans="1:6" ht="14.25" customHeight="1">
      <c r="A2974" s="286" t="s">
        <v>824</v>
      </c>
      <c r="B2974" s="286">
        <v>2024</v>
      </c>
      <c r="C2974" s="286" t="s">
        <v>821</v>
      </c>
      <c r="D2974" s="286" t="s">
        <v>132</v>
      </c>
      <c r="E2974" s="286" t="s">
        <v>2</v>
      </c>
      <c r="F2974" s="113" t="s">
        <v>909</v>
      </c>
    </row>
    <row r="2975" spans="1:6" ht="14.25" customHeight="1">
      <c r="A2975" s="286" t="s">
        <v>824</v>
      </c>
      <c r="B2975" s="286">
        <v>2024</v>
      </c>
      <c r="C2975" s="286" t="s">
        <v>821</v>
      </c>
      <c r="D2975" s="286" t="s">
        <v>132</v>
      </c>
      <c r="E2975" s="286" t="s">
        <v>1261</v>
      </c>
      <c r="F2975" s="113" t="s">
        <v>911</v>
      </c>
    </row>
    <row r="2976" spans="1:6" ht="14.25" customHeight="1">
      <c r="A2976" s="286" t="s">
        <v>824</v>
      </c>
      <c r="B2976" s="286">
        <v>2024</v>
      </c>
      <c r="C2976" s="286" t="s">
        <v>821</v>
      </c>
      <c r="D2976" s="286" t="s">
        <v>132</v>
      </c>
      <c r="E2976" s="286" t="s">
        <v>1261</v>
      </c>
      <c r="F2976" s="113" t="s">
        <v>911</v>
      </c>
    </row>
    <row r="2977" spans="1:6" ht="14.25" customHeight="1">
      <c r="A2977" s="286" t="s">
        <v>824</v>
      </c>
      <c r="B2977" s="286">
        <v>2024</v>
      </c>
      <c r="C2977" s="286" t="s">
        <v>821</v>
      </c>
      <c r="D2977" s="286" t="s">
        <v>132</v>
      </c>
      <c r="E2977" s="286" t="s">
        <v>964</v>
      </c>
      <c r="F2977" s="113" t="s">
        <v>913</v>
      </c>
    </row>
    <row r="2978" spans="1:6" ht="14.25" customHeight="1">
      <c r="A2978" s="286" t="s">
        <v>824</v>
      </c>
      <c r="B2978" s="286">
        <v>2024</v>
      </c>
      <c r="C2978" s="286" t="s">
        <v>821</v>
      </c>
      <c r="D2978" s="286" t="s">
        <v>132</v>
      </c>
      <c r="E2978" s="286" t="s">
        <v>1262</v>
      </c>
      <c r="F2978" s="113" t="s">
        <v>915</v>
      </c>
    </row>
    <row r="2979" spans="1:6" ht="14.25" customHeight="1">
      <c r="A2979" s="286" t="s">
        <v>824</v>
      </c>
      <c r="B2979" s="286">
        <v>2024</v>
      </c>
      <c r="C2979" s="286" t="s">
        <v>821</v>
      </c>
      <c r="D2979" s="286" t="s">
        <v>132</v>
      </c>
      <c r="E2979" s="286" t="s">
        <v>2</v>
      </c>
      <c r="F2979" s="113" t="s">
        <v>924</v>
      </c>
    </row>
    <row r="2980" spans="1:6" ht="14.25" customHeight="1">
      <c r="A2980" s="286" t="s">
        <v>824</v>
      </c>
      <c r="B2980" s="286">
        <v>2024</v>
      </c>
      <c r="C2980" s="286" t="s">
        <v>821</v>
      </c>
      <c r="D2980" s="286" t="s">
        <v>132</v>
      </c>
      <c r="E2980" s="286" t="s">
        <v>1263</v>
      </c>
      <c r="F2980" s="113" t="s">
        <v>922</v>
      </c>
    </row>
    <row r="2981" spans="1:6" ht="14.25" customHeight="1">
      <c r="A2981" s="286" t="s">
        <v>824</v>
      </c>
      <c r="B2981" s="286">
        <v>2024</v>
      </c>
      <c r="C2981" s="286" t="s">
        <v>821</v>
      </c>
      <c r="D2981" s="286" t="s">
        <v>132</v>
      </c>
      <c r="E2981" s="286" t="s">
        <v>1263</v>
      </c>
      <c r="F2981" s="113" t="s">
        <v>922</v>
      </c>
    </row>
    <row r="2982" spans="1:6" ht="14.25" customHeight="1">
      <c r="A2982" s="286" t="s">
        <v>824</v>
      </c>
      <c r="B2982" s="286">
        <v>2024</v>
      </c>
      <c r="C2982" s="286" t="s">
        <v>821</v>
      </c>
      <c r="D2982" s="286" t="s">
        <v>132</v>
      </c>
      <c r="E2982" s="286" t="s">
        <v>1263</v>
      </c>
      <c r="F2982" s="113" t="s">
        <v>922</v>
      </c>
    </row>
    <row r="2983" spans="1:6" ht="14.25" customHeight="1">
      <c r="A2983" s="286" t="s">
        <v>824</v>
      </c>
      <c r="B2983" s="286">
        <v>2024</v>
      </c>
      <c r="C2983" s="286" t="s">
        <v>821</v>
      </c>
      <c r="D2983" s="286" t="s">
        <v>132</v>
      </c>
      <c r="E2983" s="286" t="s">
        <v>1263</v>
      </c>
      <c r="F2983" s="113" t="s">
        <v>922</v>
      </c>
    </row>
    <row r="2984" spans="1:6" ht="14.25" customHeight="1">
      <c r="A2984" s="286" t="s">
        <v>824</v>
      </c>
      <c r="B2984" s="286">
        <v>2024</v>
      </c>
      <c r="C2984" s="286" t="s">
        <v>821</v>
      </c>
      <c r="D2984" s="286" t="s">
        <v>132</v>
      </c>
      <c r="E2984" s="286" t="s">
        <v>1263</v>
      </c>
      <c r="F2984" s="113" t="s">
        <v>922</v>
      </c>
    </row>
    <row r="2985" spans="1:6" ht="14.25" customHeight="1">
      <c r="A2985" s="286" t="s">
        <v>824</v>
      </c>
      <c r="B2985" s="286">
        <v>2024</v>
      </c>
      <c r="C2985" s="286" t="s">
        <v>821</v>
      </c>
      <c r="D2985" s="286" t="s">
        <v>132</v>
      </c>
      <c r="E2985" s="286" t="s">
        <v>1263</v>
      </c>
      <c r="F2985" s="113" t="s">
        <v>922</v>
      </c>
    </row>
    <row r="2986" spans="1:6" ht="14.25" customHeight="1">
      <c r="A2986" s="286" t="s">
        <v>824</v>
      </c>
      <c r="B2986" s="286">
        <v>2024</v>
      </c>
      <c r="C2986" s="286" t="s">
        <v>821</v>
      </c>
      <c r="D2986" s="286" t="s">
        <v>934</v>
      </c>
      <c r="E2986" s="286" t="s">
        <v>986</v>
      </c>
      <c r="F2986" s="113" t="s">
        <v>906</v>
      </c>
    </row>
    <row r="2987" spans="1:6" ht="14.25" customHeight="1">
      <c r="A2987" s="286" t="s">
        <v>824</v>
      </c>
      <c r="B2987" s="286">
        <v>2024</v>
      </c>
      <c r="C2987" s="286" t="s">
        <v>821</v>
      </c>
      <c r="D2987" s="286" t="s">
        <v>934</v>
      </c>
      <c r="E2987" s="286" t="s">
        <v>986</v>
      </c>
      <c r="F2987" s="113" t="s">
        <v>906</v>
      </c>
    </row>
    <row r="2988" spans="1:6" ht="14.25" customHeight="1">
      <c r="A2988" s="286" t="s">
        <v>824</v>
      </c>
      <c r="B2988" s="286">
        <v>2024</v>
      </c>
      <c r="C2988" s="286" t="s">
        <v>821</v>
      </c>
      <c r="D2988" s="286" t="s">
        <v>934</v>
      </c>
      <c r="E2988" s="286" t="s">
        <v>986</v>
      </c>
      <c r="F2988" s="113" t="s">
        <v>906</v>
      </c>
    </row>
    <row r="2989" spans="1:6" ht="14.25" customHeight="1">
      <c r="A2989" s="286" t="s">
        <v>824</v>
      </c>
      <c r="B2989" s="286">
        <v>2024</v>
      </c>
      <c r="C2989" s="286" t="s">
        <v>821</v>
      </c>
      <c r="D2989" s="286" t="s">
        <v>934</v>
      </c>
      <c r="E2989" s="286" t="s">
        <v>954</v>
      </c>
      <c r="F2989" s="113" t="s">
        <v>906</v>
      </c>
    </row>
    <row r="2990" spans="1:6" ht="14.25" customHeight="1">
      <c r="A2990" s="286" t="s">
        <v>824</v>
      </c>
      <c r="B2990" s="286">
        <v>2024</v>
      </c>
      <c r="C2990" s="286" t="s">
        <v>821</v>
      </c>
      <c r="D2990" s="286" t="s">
        <v>934</v>
      </c>
      <c r="E2990" s="286" t="s">
        <v>986</v>
      </c>
      <c r="F2990" s="113" t="s">
        <v>906</v>
      </c>
    </row>
    <row r="2991" spans="1:6" ht="14.25" customHeight="1">
      <c r="A2991" s="286" t="s">
        <v>824</v>
      </c>
      <c r="B2991" s="286">
        <v>2024</v>
      </c>
      <c r="C2991" s="286" t="s">
        <v>821</v>
      </c>
      <c r="D2991" s="286" t="s">
        <v>934</v>
      </c>
      <c r="E2991" s="286" t="s">
        <v>1041</v>
      </c>
      <c r="F2991" s="113" t="s">
        <v>906</v>
      </c>
    </row>
    <row r="2992" spans="1:6" ht="14.25" customHeight="1">
      <c r="A2992" s="286" t="s">
        <v>824</v>
      </c>
      <c r="B2992" s="286">
        <v>2024</v>
      </c>
      <c r="C2992" s="286" t="s">
        <v>821</v>
      </c>
      <c r="D2992" s="286" t="s">
        <v>934</v>
      </c>
      <c r="E2992" s="286" t="s">
        <v>1017</v>
      </c>
      <c r="F2992" s="113" t="s">
        <v>909</v>
      </c>
    </row>
    <row r="2993" spans="1:6" ht="14.25" customHeight="1">
      <c r="A2993" s="286" t="s">
        <v>824</v>
      </c>
      <c r="B2993" s="286">
        <v>2024</v>
      </c>
      <c r="C2993" s="286" t="s">
        <v>821</v>
      </c>
      <c r="D2993" s="286" t="s">
        <v>934</v>
      </c>
      <c r="E2993" s="286" t="s">
        <v>1118</v>
      </c>
      <c r="F2993" s="113" t="s">
        <v>909</v>
      </c>
    </row>
    <row r="2994" spans="1:6" ht="14.25" customHeight="1">
      <c r="A2994" s="286" t="s">
        <v>824</v>
      </c>
      <c r="B2994" s="286">
        <v>2024</v>
      </c>
      <c r="C2994" s="286" t="s">
        <v>821</v>
      </c>
      <c r="D2994" s="286" t="s">
        <v>934</v>
      </c>
      <c r="E2994" s="286" t="s">
        <v>2</v>
      </c>
      <c r="F2994" s="113" t="s">
        <v>909</v>
      </c>
    </row>
    <row r="2995" spans="1:6" ht="14.25" customHeight="1">
      <c r="A2995" s="286" t="s">
        <v>824</v>
      </c>
      <c r="B2995" s="286">
        <v>2024</v>
      </c>
      <c r="C2995" s="286" t="s">
        <v>821</v>
      </c>
      <c r="D2995" s="286" t="s">
        <v>934</v>
      </c>
      <c r="E2995" s="286" t="s">
        <v>965</v>
      </c>
      <c r="F2995" s="113" t="s">
        <v>911</v>
      </c>
    </row>
    <row r="2996" spans="1:6" ht="14.25" customHeight="1">
      <c r="A2996" s="286" t="s">
        <v>824</v>
      </c>
      <c r="B2996" s="286">
        <v>2024</v>
      </c>
      <c r="C2996" s="286" t="s">
        <v>821</v>
      </c>
      <c r="D2996" s="286" t="s">
        <v>934</v>
      </c>
      <c r="E2996" s="286" t="s">
        <v>1264</v>
      </c>
      <c r="F2996" s="113" t="s">
        <v>915</v>
      </c>
    </row>
    <row r="2997" spans="1:6" ht="14.25" customHeight="1">
      <c r="A2997" s="286" t="s">
        <v>824</v>
      </c>
      <c r="B2997" s="286">
        <v>2024</v>
      </c>
      <c r="C2997" s="286" t="s">
        <v>821</v>
      </c>
      <c r="D2997" s="286" t="s">
        <v>934</v>
      </c>
      <c r="E2997" s="286" t="s">
        <v>1265</v>
      </c>
      <c r="F2997" s="113" t="s">
        <v>918</v>
      </c>
    </row>
    <row r="2998" spans="1:6" ht="14.25" customHeight="1">
      <c r="A2998" s="286" t="s">
        <v>824</v>
      </c>
      <c r="B2998" s="286">
        <v>2024</v>
      </c>
      <c r="C2998" s="286" t="s">
        <v>821</v>
      </c>
      <c r="D2998" s="286" t="s">
        <v>934</v>
      </c>
      <c r="E2998" s="286" t="s">
        <v>1265</v>
      </c>
      <c r="F2998" s="113" t="s">
        <v>918</v>
      </c>
    </row>
    <row r="2999" spans="1:6" ht="14.25" customHeight="1">
      <c r="A2999" s="286" t="s">
        <v>824</v>
      </c>
      <c r="B2999" s="286">
        <v>2024</v>
      </c>
      <c r="C2999" s="286" t="s">
        <v>821</v>
      </c>
      <c r="D2999" s="286" t="s">
        <v>934</v>
      </c>
      <c r="E2999" s="286" t="s">
        <v>1265</v>
      </c>
      <c r="F2999" s="113" t="s">
        <v>918</v>
      </c>
    </row>
    <row r="3000" spans="1:6" ht="14.25" customHeight="1">
      <c r="A3000" s="286" t="s">
        <v>824</v>
      </c>
      <c r="B3000" s="286">
        <v>2024</v>
      </c>
      <c r="C3000" s="286" t="s">
        <v>821</v>
      </c>
      <c r="D3000" s="286" t="s">
        <v>934</v>
      </c>
      <c r="E3000" s="286" t="s">
        <v>1265</v>
      </c>
      <c r="F3000" s="113" t="s">
        <v>918</v>
      </c>
    </row>
    <row r="3001" spans="1:6" ht="14.25" customHeight="1">
      <c r="A3001" s="286" t="s">
        <v>824</v>
      </c>
      <c r="B3001" s="286">
        <v>2024</v>
      </c>
      <c r="C3001" s="286" t="s">
        <v>821</v>
      </c>
      <c r="D3001" s="286" t="s">
        <v>934</v>
      </c>
      <c r="E3001" s="286" t="s">
        <v>1266</v>
      </c>
      <c r="F3001" s="113" t="s">
        <v>918</v>
      </c>
    </row>
    <row r="3002" spans="1:6" ht="14.25" customHeight="1">
      <c r="A3002" s="286" t="s">
        <v>824</v>
      </c>
      <c r="B3002" s="286">
        <v>2024</v>
      </c>
      <c r="C3002" s="286" t="s">
        <v>821</v>
      </c>
      <c r="D3002" s="286" t="s">
        <v>934</v>
      </c>
      <c r="E3002" s="286" t="s">
        <v>1266</v>
      </c>
      <c r="F3002" s="113" t="s">
        <v>918</v>
      </c>
    </row>
    <row r="3003" spans="1:6" ht="14.25" customHeight="1">
      <c r="A3003" s="286" t="s">
        <v>824</v>
      </c>
      <c r="B3003" s="286">
        <v>2024</v>
      </c>
      <c r="C3003" s="286" t="s">
        <v>821</v>
      </c>
      <c r="D3003" s="286" t="s">
        <v>934</v>
      </c>
      <c r="E3003" s="286" t="s">
        <v>1266</v>
      </c>
      <c r="F3003" s="113" t="s">
        <v>918</v>
      </c>
    </row>
    <row r="3004" spans="1:6" ht="14.25" customHeight="1">
      <c r="A3004" s="286" t="s">
        <v>824</v>
      </c>
      <c r="B3004" s="286">
        <v>2024</v>
      </c>
      <c r="C3004" s="286" t="s">
        <v>821</v>
      </c>
      <c r="D3004" s="286" t="s">
        <v>934</v>
      </c>
      <c r="E3004" s="286" t="s">
        <v>1037</v>
      </c>
      <c r="F3004" s="113" t="s">
        <v>917</v>
      </c>
    </row>
    <row r="3005" spans="1:6" ht="14.25" customHeight="1">
      <c r="A3005" s="286" t="s">
        <v>824</v>
      </c>
      <c r="B3005" s="286">
        <v>2024</v>
      </c>
      <c r="C3005" s="286" t="s">
        <v>821</v>
      </c>
      <c r="D3005" s="286" t="s">
        <v>934</v>
      </c>
      <c r="E3005" s="286" t="s">
        <v>2</v>
      </c>
      <c r="F3005" s="113" t="s">
        <v>935</v>
      </c>
    </row>
    <row r="3006" spans="1:6" ht="14.25" customHeight="1">
      <c r="A3006" s="286" t="s">
        <v>824</v>
      </c>
      <c r="B3006" s="286">
        <v>2024</v>
      </c>
      <c r="C3006" s="286" t="s">
        <v>821</v>
      </c>
      <c r="D3006" s="286" t="s">
        <v>934</v>
      </c>
      <c r="E3006" s="286" t="s">
        <v>1267</v>
      </c>
      <c r="F3006" s="113" t="s">
        <v>922</v>
      </c>
    </row>
    <row r="3007" spans="1:6" ht="14.25" customHeight="1">
      <c r="A3007" s="286" t="s">
        <v>824</v>
      </c>
      <c r="B3007" s="286">
        <v>2024</v>
      </c>
      <c r="C3007" s="286" t="s">
        <v>821</v>
      </c>
      <c r="D3007" s="286" t="s">
        <v>934</v>
      </c>
      <c r="E3007" s="286" t="s">
        <v>1068</v>
      </c>
      <c r="F3007" s="113" t="s">
        <v>922</v>
      </c>
    </row>
    <row r="3008" spans="1:6" ht="14.25" customHeight="1">
      <c r="A3008" s="286" t="s">
        <v>824</v>
      </c>
      <c r="B3008" s="286">
        <v>2024</v>
      </c>
      <c r="C3008" s="286" t="s">
        <v>821</v>
      </c>
      <c r="D3008" s="286" t="s">
        <v>934</v>
      </c>
      <c r="E3008" s="286" t="s">
        <v>1034</v>
      </c>
      <c r="F3008" s="113" t="s">
        <v>922</v>
      </c>
    </row>
    <row r="3009" spans="1:6" ht="14.25" customHeight="1">
      <c r="A3009" s="286" t="s">
        <v>824</v>
      </c>
      <c r="B3009" s="286">
        <v>2024</v>
      </c>
      <c r="C3009" s="286" t="s">
        <v>821</v>
      </c>
      <c r="D3009" s="286" t="s">
        <v>934</v>
      </c>
      <c r="E3009" s="286" t="s">
        <v>1268</v>
      </c>
      <c r="F3009" s="113" t="s">
        <v>922</v>
      </c>
    </row>
    <row r="3010" spans="1:6" ht="14.25" customHeight="1">
      <c r="A3010" s="286" t="s">
        <v>824</v>
      </c>
      <c r="B3010" s="286">
        <v>2024</v>
      </c>
      <c r="C3010" s="286" t="s">
        <v>821</v>
      </c>
      <c r="D3010" s="286" t="s">
        <v>934</v>
      </c>
      <c r="E3010" s="286" t="s">
        <v>990</v>
      </c>
      <c r="F3010" s="113" t="s">
        <v>935</v>
      </c>
    </row>
    <row r="3011" spans="1:6" ht="14.25" customHeight="1">
      <c r="A3011" s="286" t="s">
        <v>824</v>
      </c>
      <c r="B3011" s="286">
        <v>2024</v>
      </c>
      <c r="C3011" s="286" t="s">
        <v>821</v>
      </c>
      <c r="D3011" s="286" t="s">
        <v>934</v>
      </c>
      <c r="E3011" s="286" t="s">
        <v>984</v>
      </c>
      <c r="F3011" s="113" t="s">
        <v>935</v>
      </c>
    </row>
    <row r="3012" spans="1:6" ht="14.25" customHeight="1">
      <c r="A3012" s="286" t="s">
        <v>824</v>
      </c>
      <c r="B3012" s="286">
        <v>2024</v>
      </c>
      <c r="C3012" s="286" t="s">
        <v>821</v>
      </c>
      <c r="D3012" s="286" t="s">
        <v>934</v>
      </c>
      <c r="E3012" s="286" t="s">
        <v>989</v>
      </c>
      <c r="F3012" s="113" t="s">
        <v>935</v>
      </c>
    </row>
    <row r="3013" spans="1:6" ht="14.25" customHeight="1">
      <c r="A3013" s="286" t="s">
        <v>824</v>
      </c>
      <c r="B3013" s="286">
        <v>2024</v>
      </c>
      <c r="C3013" s="286" t="s">
        <v>821</v>
      </c>
      <c r="D3013" s="286" t="s">
        <v>931</v>
      </c>
      <c r="E3013" s="286" t="s">
        <v>2</v>
      </c>
      <c r="F3013" s="113" t="s">
        <v>906</v>
      </c>
    </row>
    <row r="3014" spans="1:6" ht="14.25" customHeight="1">
      <c r="A3014" s="286" t="s">
        <v>824</v>
      </c>
      <c r="B3014" s="286">
        <v>2024</v>
      </c>
      <c r="C3014" s="286" t="s">
        <v>821</v>
      </c>
      <c r="D3014" s="286" t="s">
        <v>931</v>
      </c>
      <c r="E3014" s="286" t="s">
        <v>1118</v>
      </c>
      <c r="F3014" s="113" t="s">
        <v>909</v>
      </c>
    </row>
    <row r="3015" spans="1:6" ht="14.25" customHeight="1">
      <c r="A3015" s="286" t="s">
        <v>824</v>
      </c>
      <c r="B3015" s="286">
        <v>2024</v>
      </c>
      <c r="C3015" s="286" t="s">
        <v>821</v>
      </c>
      <c r="D3015" s="286" t="s">
        <v>931</v>
      </c>
      <c r="E3015" s="286" t="s">
        <v>1269</v>
      </c>
      <c r="F3015" s="113" t="s">
        <v>909</v>
      </c>
    </row>
    <row r="3016" spans="1:6" ht="14.25" customHeight="1">
      <c r="A3016" s="286" t="s">
        <v>824</v>
      </c>
      <c r="B3016" s="286">
        <v>2024</v>
      </c>
      <c r="C3016" s="286" t="s">
        <v>821</v>
      </c>
      <c r="D3016" s="286" t="s">
        <v>931</v>
      </c>
      <c r="E3016" s="286" t="s">
        <v>1270</v>
      </c>
      <c r="F3016" s="113" t="s">
        <v>909</v>
      </c>
    </row>
    <row r="3017" spans="1:6" ht="14.25" customHeight="1">
      <c r="A3017" s="286" t="s">
        <v>824</v>
      </c>
      <c r="B3017" s="286">
        <v>2024</v>
      </c>
      <c r="C3017" s="286" t="s">
        <v>821</v>
      </c>
      <c r="D3017" s="286" t="s">
        <v>931</v>
      </c>
      <c r="E3017" s="286" t="s">
        <v>2</v>
      </c>
      <c r="F3017" s="113" t="s">
        <v>909</v>
      </c>
    </row>
    <row r="3018" spans="1:6" ht="14.25" customHeight="1">
      <c r="A3018" s="286" t="s">
        <v>824</v>
      </c>
      <c r="B3018" s="286">
        <v>2024</v>
      </c>
      <c r="C3018" s="286" t="s">
        <v>821</v>
      </c>
      <c r="D3018" s="286" t="s">
        <v>931</v>
      </c>
      <c r="E3018" s="286" t="s">
        <v>965</v>
      </c>
      <c r="F3018" s="113" t="s">
        <v>911</v>
      </c>
    </row>
    <row r="3019" spans="1:6" ht="14.25" customHeight="1">
      <c r="A3019" s="286" t="s">
        <v>824</v>
      </c>
      <c r="B3019" s="286">
        <v>2024</v>
      </c>
      <c r="C3019" s="286" t="s">
        <v>821</v>
      </c>
      <c r="D3019" s="286" t="s">
        <v>931</v>
      </c>
      <c r="E3019" s="286" t="s">
        <v>1088</v>
      </c>
      <c r="F3019" s="113" t="s">
        <v>915</v>
      </c>
    </row>
    <row r="3020" spans="1:6" ht="14.25" customHeight="1">
      <c r="A3020" s="286" t="s">
        <v>824</v>
      </c>
      <c r="B3020" s="286">
        <v>2024</v>
      </c>
      <c r="C3020" s="286" t="s">
        <v>821</v>
      </c>
      <c r="D3020" s="286" t="s">
        <v>931</v>
      </c>
      <c r="E3020" s="286" t="s">
        <v>2</v>
      </c>
      <c r="F3020" s="113" t="s">
        <v>915</v>
      </c>
    </row>
    <row r="3021" spans="1:6" ht="14.25" customHeight="1">
      <c r="A3021" s="286" t="s">
        <v>824</v>
      </c>
      <c r="B3021" s="286">
        <v>2024</v>
      </c>
      <c r="C3021" s="286" t="s">
        <v>821</v>
      </c>
      <c r="D3021" s="286" t="s">
        <v>931</v>
      </c>
      <c r="E3021" s="286" t="s">
        <v>2</v>
      </c>
      <c r="F3021" s="113" t="s">
        <v>915</v>
      </c>
    </row>
    <row r="3022" spans="1:6" ht="14.25" customHeight="1">
      <c r="A3022" s="286" t="s">
        <v>824</v>
      </c>
      <c r="B3022" s="286">
        <v>2024</v>
      </c>
      <c r="C3022" s="286" t="s">
        <v>821</v>
      </c>
      <c r="D3022" s="286" t="s">
        <v>931</v>
      </c>
      <c r="E3022" s="286" t="s">
        <v>945</v>
      </c>
      <c r="F3022" s="113" t="s">
        <v>783</v>
      </c>
    </row>
    <row r="3023" spans="1:6" ht="14.25" customHeight="1">
      <c r="A3023" s="286" t="s">
        <v>824</v>
      </c>
      <c r="B3023" s="286">
        <v>2024</v>
      </c>
      <c r="C3023" s="286" t="s">
        <v>821</v>
      </c>
      <c r="D3023" s="286" t="s">
        <v>931</v>
      </c>
      <c r="E3023" s="286" t="s">
        <v>945</v>
      </c>
      <c r="F3023" s="113" t="s">
        <v>783</v>
      </c>
    </row>
    <row r="3024" spans="1:6" ht="14.25" customHeight="1">
      <c r="A3024" s="286" t="s">
        <v>824</v>
      </c>
      <c r="B3024" s="286">
        <v>2024</v>
      </c>
      <c r="C3024" s="286" t="s">
        <v>821</v>
      </c>
      <c r="D3024" s="286" t="s">
        <v>931</v>
      </c>
      <c r="E3024" s="286" t="s">
        <v>945</v>
      </c>
      <c r="F3024" s="113" t="s">
        <v>783</v>
      </c>
    </row>
    <row r="3025" spans="1:6" ht="14.25" customHeight="1">
      <c r="A3025" s="286" t="s">
        <v>824</v>
      </c>
      <c r="B3025" s="286">
        <v>2024</v>
      </c>
      <c r="C3025" s="286" t="s">
        <v>821</v>
      </c>
      <c r="D3025" s="286" t="s">
        <v>931</v>
      </c>
      <c r="E3025" s="286" t="s">
        <v>1006</v>
      </c>
      <c r="F3025" s="113" t="s">
        <v>917</v>
      </c>
    </row>
    <row r="3026" spans="1:6" ht="14.25" customHeight="1">
      <c r="A3026" s="286" t="s">
        <v>824</v>
      </c>
      <c r="B3026" s="286">
        <v>2024</v>
      </c>
      <c r="C3026" s="286" t="s">
        <v>821</v>
      </c>
      <c r="D3026" s="286" t="s">
        <v>931</v>
      </c>
      <c r="E3026" s="286" t="s">
        <v>989</v>
      </c>
      <c r="F3026" s="113" t="s">
        <v>935</v>
      </c>
    </row>
    <row r="3027" spans="1:6" ht="14.25" customHeight="1">
      <c r="A3027" s="286" t="s">
        <v>824</v>
      </c>
      <c r="B3027" s="286">
        <v>2024</v>
      </c>
      <c r="C3027" s="286" t="s">
        <v>821</v>
      </c>
      <c r="D3027" s="286" t="s">
        <v>931</v>
      </c>
      <c r="E3027" s="286" t="s">
        <v>990</v>
      </c>
      <c r="F3027" s="113" t="s">
        <v>935</v>
      </c>
    </row>
    <row r="3028" spans="1:6" ht="14.25" customHeight="1">
      <c r="A3028" s="286" t="s">
        <v>824</v>
      </c>
      <c r="B3028" s="286">
        <v>2024</v>
      </c>
      <c r="C3028" s="286" t="s">
        <v>821</v>
      </c>
      <c r="D3028" s="286" t="s">
        <v>976</v>
      </c>
      <c r="E3028" s="286" t="s">
        <v>986</v>
      </c>
      <c r="F3028" s="113" t="s">
        <v>906</v>
      </c>
    </row>
    <row r="3029" spans="1:6" ht="14.25" customHeight="1">
      <c r="A3029" s="286" t="s">
        <v>824</v>
      </c>
      <c r="B3029" s="286">
        <v>2024</v>
      </c>
      <c r="C3029" s="286" t="s">
        <v>821</v>
      </c>
      <c r="D3029" s="286" t="s">
        <v>976</v>
      </c>
      <c r="E3029" s="286" t="s">
        <v>1028</v>
      </c>
      <c r="F3029" s="113" t="s">
        <v>906</v>
      </c>
    </row>
    <row r="3030" spans="1:6" ht="14.25" customHeight="1">
      <c r="A3030" s="286" t="s">
        <v>824</v>
      </c>
      <c r="B3030" s="286">
        <v>2024</v>
      </c>
      <c r="C3030" s="286" t="s">
        <v>821</v>
      </c>
      <c r="D3030" s="286" t="s">
        <v>976</v>
      </c>
      <c r="E3030" s="286" t="s">
        <v>1041</v>
      </c>
      <c r="F3030" s="113" t="s">
        <v>906</v>
      </c>
    </row>
    <row r="3031" spans="1:6" ht="14.25" customHeight="1">
      <c r="A3031" s="286" t="s">
        <v>824</v>
      </c>
      <c r="B3031" s="286">
        <v>2024</v>
      </c>
      <c r="C3031" s="286" t="s">
        <v>821</v>
      </c>
      <c r="D3031" s="286" t="s">
        <v>976</v>
      </c>
      <c r="E3031" s="286" t="s">
        <v>1214</v>
      </c>
      <c r="F3031" s="113" t="s">
        <v>909</v>
      </c>
    </row>
    <row r="3032" spans="1:6" ht="14.25" customHeight="1">
      <c r="A3032" s="286" t="s">
        <v>824</v>
      </c>
      <c r="B3032" s="286">
        <v>2024</v>
      </c>
      <c r="C3032" s="286" t="s">
        <v>821</v>
      </c>
      <c r="D3032" s="286" t="s">
        <v>976</v>
      </c>
      <c r="E3032" s="286" t="s">
        <v>1214</v>
      </c>
      <c r="F3032" s="113" t="s">
        <v>909</v>
      </c>
    </row>
    <row r="3033" spans="1:6" ht="14.25" customHeight="1">
      <c r="A3033" s="286" t="s">
        <v>824</v>
      </c>
      <c r="B3033" s="286">
        <v>2024</v>
      </c>
      <c r="C3033" s="286" t="s">
        <v>821</v>
      </c>
      <c r="D3033" s="286" t="s">
        <v>976</v>
      </c>
      <c r="E3033" s="286" t="s">
        <v>1271</v>
      </c>
      <c r="F3033" s="113" t="s">
        <v>663</v>
      </c>
    </row>
    <row r="3034" spans="1:6" ht="14.25" customHeight="1">
      <c r="A3034" s="286" t="s">
        <v>824</v>
      </c>
      <c r="B3034" s="286">
        <v>2024</v>
      </c>
      <c r="C3034" s="286" t="s">
        <v>821</v>
      </c>
      <c r="D3034" s="286" t="s">
        <v>976</v>
      </c>
      <c r="E3034" s="286" t="s">
        <v>2</v>
      </c>
      <c r="F3034" s="113" t="s">
        <v>924</v>
      </c>
    </row>
    <row r="3035" spans="1:6" ht="14.25" customHeight="1">
      <c r="A3035" s="286" t="s">
        <v>824</v>
      </c>
      <c r="B3035" s="286">
        <v>2024</v>
      </c>
      <c r="C3035" s="286" t="s">
        <v>821</v>
      </c>
      <c r="D3035" s="286" t="s">
        <v>976</v>
      </c>
      <c r="E3035" s="286" t="s">
        <v>2</v>
      </c>
      <c r="F3035" s="113" t="s">
        <v>924</v>
      </c>
    </row>
    <row r="3036" spans="1:6" ht="14.25" customHeight="1">
      <c r="A3036" s="286" t="s">
        <v>824</v>
      </c>
      <c r="B3036" s="286">
        <v>2024</v>
      </c>
      <c r="C3036" s="286" t="s">
        <v>821</v>
      </c>
      <c r="D3036" s="286" t="s">
        <v>976</v>
      </c>
      <c r="E3036" s="286" t="s">
        <v>1100</v>
      </c>
      <c r="F3036" s="113" t="s">
        <v>935</v>
      </c>
    </row>
    <row r="3037" spans="1:6" ht="14.25" customHeight="1">
      <c r="A3037" s="286" t="s">
        <v>824</v>
      </c>
      <c r="B3037" s="286">
        <v>2024</v>
      </c>
      <c r="C3037" s="286" t="s">
        <v>821</v>
      </c>
      <c r="D3037" s="286" t="s">
        <v>976</v>
      </c>
      <c r="E3037" s="286" t="s">
        <v>1100</v>
      </c>
      <c r="F3037" s="113" t="s">
        <v>935</v>
      </c>
    </row>
    <row r="3038" spans="1:6" ht="14.25" customHeight="1">
      <c r="A3038" s="286" t="s">
        <v>824</v>
      </c>
      <c r="B3038" s="286">
        <v>2024</v>
      </c>
      <c r="C3038" s="286" t="s">
        <v>821</v>
      </c>
      <c r="D3038" s="286" t="s">
        <v>1033</v>
      </c>
      <c r="E3038" s="286" t="s">
        <v>991</v>
      </c>
      <c r="F3038" s="113" t="s">
        <v>906</v>
      </c>
    </row>
    <row r="3039" spans="1:6" ht="14.25" customHeight="1">
      <c r="A3039" s="286" t="s">
        <v>824</v>
      </c>
      <c r="B3039" s="286">
        <v>2024</v>
      </c>
      <c r="C3039" s="286" t="s">
        <v>821</v>
      </c>
      <c r="D3039" s="286" t="s">
        <v>1033</v>
      </c>
      <c r="E3039" s="286" t="s">
        <v>1272</v>
      </c>
      <c r="F3039" s="113" t="s">
        <v>918</v>
      </c>
    </row>
    <row r="3040" spans="1:6" ht="14.25" customHeight="1">
      <c r="A3040" s="286" t="s">
        <v>824</v>
      </c>
      <c r="B3040" s="286">
        <v>2024</v>
      </c>
      <c r="C3040" s="286" t="s">
        <v>821</v>
      </c>
      <c r="D3040" s="286" t="s">
        <v>216</v>
      </c>
      <c r="E3040" s="286" t="s">
        <v>1273</v>
      </c>
      <c r="F3040" s="113" t="s">
        <v>924</v>
      </c>
    </row>
    <row r="3041" spans="1:6" ht="14.25" customHeight="1">
      <c r="A3041" s="286" t="s">
        <v>824</v>
      </c>
      <c r="B3041" s="286">
        <v>2024</v>
      </c>
      <c r="C3041" s="286" t="s">
        <v>821</v>
      </c>
      <c r="D3041" s="286" t="s">
        <v>216</v>
      </c>
      <c r="E3041" s="286" t="s">
        <v>1058</v>
      </c>
      <c r="F3041" s="113" t="s">
        <v>924</v>
      </c>
    </row>
    <row r="3042" spans="1:6" ht="14.25" customHeight="1">
      <c r="A3042" s="286" t="s">
        <v>824</v>
      </c>
      <c r="B3042" s="286">
        <v>2024</v>
      </c>
      <c r="C3042" s="286" t="s">
        <v>88</v>
      </c>
      <c r="D3042" s="286" t="s">
        <v>958</v>
      </c>
      <c r="E3042" s="286" t="s">
        <v>1058</v>
      </c>
      <c r="F3042" s="113" t="s">
        <v>924</v>
      </c>
    </row>
    <row r="3043" spans="1:6" ht="14.25" customHeight="1">
      <c r="A3043" s="286" t="s">
        <v>824</v>
      </c>
      <c r="B3043" s="286">
        <v>2024</v>
      </c>
      <c r="C3043" s="286" t="s">
        <v>88</v>
      </c>
      <c r="D3043" s="286" t="s">
        <v>969</v>
      </c>
      <c r="E3043" s="286" t="s">
        <v>2</v>
      </c>
      <c r="F3043" s="113" t="s">
        <v>906</v>
      </c>
    </row>
    <row r="3044" spans="1:6" ht="14.25" customHeight="1">
      <c r="A3044" s="286" t="s">
        <v>824</v>
      </c>
      <c r="B3044" s="286">
        <v>2024</v>
      </c>
      <c r="C3044" s="286" t="s">
        <v>88</v>
      </c>
      <c r="D3044" s="286" t="s">
        <v>969</v>
      </c>
      <c r="E3044" s="286" t="s">
        <v>2</v>
      </c>
      <c r="F3044" s="113" t="s">
        <v>906</v>
      </c>
    </row>
    <row r="3045" spans="1:6" ht="14.25" customHeight="1">
      <c r="A3045" s="286" t="s">
        <v>824</v>
      </c>
      <c r="B3045" s="286">
        <v>2024</v>
      </c>
      <c r="C3045" s="286" t="s">
        <v>88</v>
      </c>
      <c r="D3045" s="286" t="s">
        <v>969</v>
      </c>
      <c r="E3045" s="286" t="s">
        <v>2</v>
      </c>
      <c r="F3045" s="113" t="s">
        <v>906</v>
      </c>
    </row>
    <row r="3046" spans="1:6" ht="14.25" customHeight="1">
      <c r="A3046" s="286" t="s">
        <v>824</v>
      </c>
      <c r="B3046" s="286">
        <v>2024</v>
      </c>
      <c r="C3046" s="286" t="s">
        <v>88</v>
      </c>
      <c r="D3046" s="286" t="s">
        <v>969</v>
      </c>
      <c r="E3046" s="286" t="s">
        <v>2</v>
      </c>
      <c r="F3046" s="113" t="s">
        <v>906</v>
      </c>
    </row>
    <row r="3047" spans="1:6" ht="14.25" customHeight="1">
      <c r="A3047" s="286" t="s">
        <v>824</v>
      </c>
      <c r="B3047" s="286">
        <v>2024</v>
      </c>
      <c r="C3047" s="286" t="s">
        <v>88</v>
      </c>
      <c r="D3047" s="286" t="s">
        <v>969</v>
      </c>
      <c r="E3047" s="286" t="s">
        <v>1274</v>
      </c>
      <c r="F3047" s="113" t="s">
        <v>909</v>
      </c>
    </row>
    <row r="3048" spans="1:6" ht="14.25" customHeight="1">
      <c r="A3048" s="286" t="s">
        <v>824</v>
      </c>
      <c r="B3048" s="286">
        <v>2024</v>
      </c>
      <c r="C3048" s="286" t="s">
        <v>88</v>
      </c>
      <c r="D3048" s="286" t="s">
        <v>969</v>
      </c>
      <c r="E3048" s="286" t="s">
        <v>1011</v>
      </c>
      <c r="F3048" s="113" t="s">
        <v>911</v>
      </c>
    </row>
    <row r="3049" spans="1:6" ht="14.25" customHeight="1">
      <c r="A3049" s="286" t="s">
        <v>824</v>
      </c>
      <c r="B3049" s="286">
        <v>2024</v>
      </c>
      <c r="C3049" s="286" t="s">
        <v>88</v>
      </c>
      <c r="D3049" s="286" t="s">
        <v>969</v>
      </c>
      <c r="E3049" s="286" t="s">
        <v>2</v>
      </c>
      <c r="F3049" s="113" t="s">
        <v>935</v>
      </c>
    </row>
    <row r="3050" spans="1:6" ht="14.25" customHeight="1">
      <c r="A3050" s="286" t="s">
        <v>824</v>
      </c>
      <c r="B3050" s="286">
        <v>2024</v>
      </c>
      <c r="C3050" s="286" t="s">
        <v>88</v>
      </c>
      <c r="D3050" s="286" t="s">
        <v>988</v>
      </c>
      <c r="E3050" s="286" t="s">
        <v>1030</v>
      </c>
      <c r="F3050" s="113" t="s">
        <v>935</v>
      </c>
    </row>
    <row r="3051" spans="1:6" ht="14.25" customHeight="1">
      <c r="A3051" s="286" t="s">
        <v>824</v>
      </c>
      <c r="B3051" s="286">
        <v>2024</v>
      </c>
      <c r="C3051" s="286" t="s">
        <v>859</v>
      </c>
      <c r="D3051" s="286" t="s">
        <v>1005</v>
      </c>
      <c r="E3051" s="286" t="s">
        <v>1036</v>
      </c>
      <c r="F3051" s="113" t="s">
        <v>906</v>
      </c>
    </row>
    <row r="3052" spans="1:6" ht="14.25" customHeight="1">
      <c r="A3052" s="286" t="s">
        <v>824</v>
      </c>
      <c r="B3052" s="286">
        <v>2024</v>
      </c>
      <c r="C3052" s="286" t="s">
        <v>859</v>
      </c>
      <c r="D3052" s="286" t="s">
        <v>1005</v>
      </c>
      <c r="E3052" s="286" t="s">
        <v>991</v>
      </c>
      <c r="F3052" s="113" t="s">
        <v>906</v>
      </c>
    </row>
    <row r="3053" spans="1:6" ht="14.25" customHeight="1">
      <c r="A3053" s="286" t="s">
        <v>824</v>
      </c>
      <c r="B3053" s="286">
        <v>2024</v>
      </c>
      <c r="C3053" s="286" t="s">
        <v>859</v>
      </c>
      <c r="D3053" s="286" t="s">
        <v>1000</v>
      </c>
      <c r="E3053" s="286" t="s">
        <v>1021</v>
      </c>
      <c r="F3053" s="113" t="s">
        <v>663</v>
      </c>
    </row>
    <row r="3054" spans="1:6" ht="14.25" customHeight="1">
      <c r="A3054" s="286" t="s">
        <v>824</v>
      </c>
      <c r="B3054" s="286">
        <v>2024</v>
      </c>
      <c r="C3054" s="286" t="s">
        <v>859</v>
      </c>
      <c r="D3054" s="286" t="s">
        <v>1082</v>
      </c>
      <c r="E3054" s="286" t="s">
        <v>986</v>
      </c>
      <c r="F3054" s="113" t="s">
        <v>906</v>
      </c>
    </row>
    <row r="3055" spans="1:6" ht="14.25" customHeight="1">
      <c r="A3055" s="286" t="s">
        <v>824</v>
      </c>
      <c r="B3055" s="286">
        <v>2024</v>
      </c>
      <c r="C3055" s="286" t="s">
        <v>859</v>
      </c>
      <c r="D3055" s="286" t="s">
        <v>998</v>
      </c>
      <c r="E3055" s="286" t="s">
        <v>1020</v>
      </c>
      <c r="F3055" s="113" t="s">
        <v>909</v>
      </c>
    </row>
    <row r="3056" spans="1:6" ht="14.25" customHeight="1">
      <c r="A3056" s="286" t="s">
        <v>824</v>
      </c>
      <c r="B3056" s="286">
        <v>2024</v>
      </c>
      <c r="C3056" s="286" t="s">
        <v>1024</v>
      </c>
      <c r="D3056" s="286" t="s">
        <v>1025</v>
      </c>
      <c r="E3056" s="286" t="s">
        <v>986</v>
      </c>
      <c r="F3056" s="113" t="s">
        <v>906</v>
      </c>
    </row>
    <row r="3057" spans="1:6" ht="14.25" customHeight="1">
      <c r="A3057" s="286" t="s">
        <v>824</v>
      </c>
      <c r="B3057" s="286">
        <v>2024</v>
      </c>
      <c r="C3057" s="286" t="s">
        <v>1024</v>
      </c>
      <c r="D3057" s="286" t="s">
        <v>1025</v>
      </c>
      <c r="E3057" s="286" t="s">
        <v>2</v>
      </c>
      <c r="F3057" s="113" t="s">
        <v>917</v>
      </c>
    </row>
    <row r="3058" spans="1:6" ht="14.25" customHeight="1">
      <c r="A3058" s="286" t="s">
        <v>824</v>
      </c>
      <c r="B3058" s="286">
        <v>2024</v>
      </c>
      <c r="C3058" s="286" t="s">
        <v>1024</v>
      </c>
      <c r="D3058" s="286" t="s">
        <v>1025</v>
      </c>
      <c r="E3058" s="286" t="s">
        <v>955</v>
      </c>
      <c r="F3058" s="113" t="s">
        <v>922</v>
      </c>
    </row>
    <row r="3059" spans="1:6" ht="14.25" customHeight="1">
      <c r="A3059" s="286" t="s">
        <v>824</v>
      </c>
      <c r="B3059" s="286">
        <v>2024</v>
      </c>
      <c r="C3059" s="286" t="s">
        <v>1024</v>
      </c>
      <c r="D3059" s="286" t="s">
        <v>1025</v>
      </c>
      <c r="E3059" s="286" t="s">
        <v>1275</v>
      </c>
      <c r="F3059" s="286" t="s">
        <v>1241</v>
      </c>
    </row>
    <row r="3060" spans="1:6" ht="14.25" customHeight="1">
      <c r="A3060" s="286" t="s">
        <v>824</v>
      </c>
      <c r="B3060" s="286">
        <v>2024</v>
      </c>
      <c r="C3060" s="286" t="s">
        <v>1024</v>
      </c>
      <c r="D3060" s="286" t="s">
        <v>1027</v>
      </c>
      <c r="E3060" s="286" t="s">
        <v>1187</v>
      </c>
      <c r="F3060" s="113" t="s">
        <v>917</v>
      </c>
    </row>
    <row r="3061" spans="1:6" ht="14.25" customHeight="1">
      <c r="A3061" s="286" t="s">
        <v>825</v>
      </c>
      <c r="B3061" s="286">
        <v>2024</v>
      </c>
      <c r="C3061" s="286" t="s">
        <v>821</v>
      </c>
      <c r="D3061" s="286" t="s">
        <v>132</v>
      </c>
      <c r="E3061" s="286" t="s">
        <v>952</v>
      </c>
      <c r="F3061" s="113" t="s">
        <v>906</v>
      </c>
    </row>
    <row r="3062" spans="1:6" ht="14.25" customHeight="1">
      <c r="A3062" s="286" t="s">
        <v>825</v>
      </c>
      <c r="B3062" s="286">
        <v>2024</v>
      </c>
      <c r="C3062" s="286" t="s">
        <v>821</v>
      </c>
      <c r="D3062" s="286" t="s">
        <v>132</v>
      </c>
      <c r="E3062" s="286" t="s">
        <v>952</v>
      </c>
      <c r="F3062" s="113" t="s">
        <v>906</v>
      </c>
    </row>
    <row r="3063" spans="1:6" ht="14.25" customHeight="1">
      <c r="A3063" s="286" t="s">
        <v>825</v>
      </c>
      <c r="B3063" s="286">
        <v>2024</v>
      </c>
      <c r="C3063" s="286" t="s">
        <v>821</v>
      </c>
      <c r="D3063" s="286" t="s">
        <v>132</v>
      </c>
      <c r="E3063" s="286" t="s">
        <v>2</v>
      </c>
      <c r="F3063" s="113" t="s">
        <v>906</v>
      </c>
    </row>
    <row r="3064" spans="1:6" ht="14.25" customHeight="1">
      <c r="A3064" s="286" t="s">
        <v>825</v>
      </c>
      <c r="B3064" s="286">
        <v>2024</v>
      </c>
      <c r="C3064" s="286" t="s">
        <v>821</v>
      </c>
      <c r="D3064" s="286" t="s">
        <v>132</v>
      </c>
      <c r="E3064" s="286" t="s">
        <v>2</v>
      </c>
      <c r="F3064" s="113" t="s">
        <v>906</v>
      </c>
    </row>
    <row r="3065" spans="1:6" ht="14.25" customHeight="1">
      <c r="A3065" s="286" t="s">
        <v>825</v>
      </c>
      <c r="B3065" s="286">
        <v>2024</v>
      </c>
      <c r="C3065" s="286" t="s">
        <v>821</v>
      </c>
      <c r="D3065" s="286" t="s">
        <v>132</v>
      </c>
      <c r="E3065" s="286" t="s">
        <v>954</v>
      </c>
      <c r="F3065" s="113" t="s">
        <v>906</v>
      </c>
    </row>
    <row r="3066" spans="1:6" ht="14.25" customHeight="1">
      <c r="A3066" s="286" t="s">
        <v>825</v>
      </c>
      <c r="B3066" s="286">
        <v>2024</v>
      </c>
      <c r="C3066" s="286" t="s">
        <v>821</v>
      </c>
      <c r="D3066" s="286" t="s">
        <v>132</v>
      </c>
      <c r="E3066" s="286" t="s">
        <v>954</v>
      </c>
      <c r="F3066" s="113" t="s">
        <v>906</v>
      </c>
    </row>
    <row r="3067" spans="1:6" ht="14.25" customHeight="1">
      <c r="A3067" s="286" t="s">
        <v>825</v>
      </c>
      <c r="B3067" s="286">
        <v>2024</v>
      </c>
      <c r="C3067" s="286" t="s">
        <v>821</v>
      </c>
      <c r="D3067" s="286" t="s">
        <v>132</v>
      </c>
      <c r="E3067" s="286" t="s">
        <v>994</v>
      </c>
      <c r="F3067" s="113" t="s">
        <v>909</v>
      </c>
    </row>
    <row r="3068" spans="1:6" ht="14.25" customHeight="1">
      <c r="A3068" s="286" t="s">
        <v>825</v>
      </c>
      <c r="B3068" s="286">
        <v>2024</v>
      </c>
      <c r="C3068" s="286" t="s">
        <v>821</v>
      </c>
      <c r="D3068" s="286" t="s">
        <v>132</v>
      </c>
      <c r="E3068" s="286" t="s">
        <v>965</v>
      </c>
      <c r="F3068" s="113" t="s">
        <v>911</v>
      </c>
    </row>
    <row r="3069" spans="1:6" ht="14.25" customHeight="1">
      <c r="A3069" s="286" t="s">
        <v>825</v>
      </c>
      <c r="B3069" s="286">
        <v>2024</v>
      </c>
      <c r="C3069" s="286" t="s">
        <v>821</v>
      </c>
      <c r="D3069" s="286" t="s">
        <v>132</v>
      </c>
      <c r="E3069" s="286" t="s">
        <v>994</v>
      </c>
      <c r="F3069" s="113" t="s">
        <v>663</v>
      </c>
    </row>
    <row r="3070" spans="1:6" ht="14.25" customHeight="1">
      <c r="A3070" s="286" t="s">
        <v>825</v>
      </c>
      <c r="B3070" s="286">
        <v>2024</v>
      </c>
      <c r="C3070" s="286" t="s">
        <v>821</v>
      </c>
      <c r="D3070" s="286" t="s">
        <v>132</v>
      </c>
      <c r="E3070" s="286" t="s">
        <v>1213</v>
      </c>
      <c r="F3070" s="113" t="s">
        <v>915</v>
      </c>
    </row>
    <row r="3071" spans="1:6" ht="14.25" customHeight="1">
      <c r="A3071" s="286" t="s">
        <v>825</v>
      </c>
      <c r="B3071" s="286">
        <v>2024</v>
      </c>
      <c r="C3071" s="286" t="s">
        <v>821</v>
      </c>
      <c r="D3071" s="286" t="s">
        <v>132</v>
      </c>
      <c r="E3071" s="286" t="s">
        <v>981</v>
      </c>
      <c r="F3071" s="113" t="s">
        <v>915</v>
      </c>
    </row>
    <row r="3072" spans="1:6" ht="14.25" customHeight="1">
      <c r="A3072" s="286" t="s">
        <v>825</v>
      </c>
      <c r="B3072" s="286">
        <v>2024</v>
      </c>
      <c r="C3072" s="286" t="s">
        <v>821</v>
      </c>
      <c r="D3072" s="286" t="s">
        <v>132</v>
      </c>
      <c r="E3072" s="286" t="s">
        <v>955</v>
      </c>
      <c r="F3072" s="113" t="s">
        <v>922</v>
      </c>
    </row>
    <row r="3073" spans="1:6" ht="14.25" customHeight="1">
      <c r="A3073" s="286" t="s">
        <v>825</v>
      </c>
      <c r="B3073" s="286">
        <v>2024</v>
      </c>
      <c r="C3073" s="286" t="s">
        <v>821</v>
      </c>
      <c r="D3073" s="286" t="s">
        <v>132</v>
      </c>
      <c r="E3073" s="286" t="s">
        <v>1064</v>
      </c>
      <c r="F3073" s="113" t="s">
        <v>922</v>
      </c>
    </row>
    <row r="3074" spans="1:6" ht="14.25" customHeight="1">
      <c r="A3074" s="286" t="s">
        <v>825</v>
      </c>
      <c r="B3074" s="286">
        <v>2024</v>
      </c>
      <c r="C3074" s="286" t="s">
        <v>821</v>
      </c>
      <c r="D3074" s="286" t="s">
        <v>132</v>
      </c>
      <c r="E3074" s="286" t="s">
        <v>1023</v>
      </c>
      <c r="F3074" s="113" t="s">
        <v>935</v>
      </c>
    </row>
    <row r="3075" spans="1:6" ht="14.25" customHeight="1">
      <c r="A3075" s="286" t="s">
        <v>825</v>
      </c>
      <c r="B3075" s="286">
        <v>2024</v>
      </c>
      <c r="C3075" s="286" t="s">
        <v>821</v>
      </c>
      <c r="D3075" s="286" t="s">
        <v>934</v>
      </c>
      <c r="E3075" s="286" t="s">
        <v>2</v>
      </c>
      <c r="F3075" s="113" t="s">
        <v>906</v>
      </c>
    </row>
    <row r="3076" spans="1:6" ht="14.25" customHeight="1">
      <c r="A3076" s="286" t="s">
        <v>825</v>
      </c>
      <c r="B3076" s="286">
        <v>2024</v>
      </c>
      <c r="C3076" s="286" t="s">
        <v>821</v>
      </c>
      <c r="D3076" s="286" t="s">
        <v>934</v>
      </c>
      <c r="E3076" s="286" t="s">
        <v>2</v>
      </c>
      <c r="F3076" s="113" t="s">
        <v>906</v>
      </c>
    </row>
    <row r="3077" spans="1:6" ht="14.25" customHeight="1">
      <c r="A3077" s="286" t="s">
        <v>825</v>
      </c>
      <c r="B3077" s="286">
        <v>2024</v>
      </c>
      <c r="C3077" s="286" t="s">
        <v>821</v>
      </c>
      <c r="D3077" s="286" t="s">
        <v>934</v>
      </c>
      <c r="E3077" s="286" t="s">
        <v>981</v>
      </c>
      <c r="F3077" s="113" t="s">
        <v>906</v>
      </c>
    </row>
    <row r="3078" spans="1:6" ht="14.25" customHeight="1">
      <c r="A3078" s="286" t="s">
        <v>825</v>
      </c>
      <c r="B3078" s="286">
        <v>2024</v>
      </c>
      <c r="C3078" s="286" t="s">
        <v>821</v>
      </c>
      <c r="D3078" s="286" t="s">
        <v>934</v>
      </c>
      <c r="E3078" s="286" t="s">
        <v>981</v>
      </c>
      <c r="F3078" s="113" t="s">
        <v>906</v>
      </c>
    </row>
    <row r="3079" spans="1:6" ht="14.25" customHeight="1">
      <c r="A3079" s="286" t="s">
        <v>825</v>
      </c>
      <c r="B3079" s="286">
        <v>2024</v>
      </c>
      <c r="C3079" s="286" t="s">
        <v>821</v>
      </c>
      <c r="D3079" s="286" t="s">
        <v>934</v>
      </c>
      <c r="E3079" s="286" t="s">
        <v>971</v>
      </c>
      <c r="F3079" s="113" t="s">
        <v>909</v>
      </c>
    </row>
    <row r="3080" spans="1:6" ht="14.25" customHeight="1">
      <c r="A3080" s="286" t="s">
        <v>825</v>
      </c>
      <c r="B3080" s="286">
        <v>2024</v>
      </c>
      <c r="C3080" s="286" t="s">
        <v>821</v>
      </c>
      <c r="D3080" s="286" t="s">
        <v>934</v>
      </c>
      <c r="E3080" s="286" t="s">
        <v>1126</v>
      </c>
      <c r="F3080" s="113" t="s">
        <v>483</v>
      </c>
    </row>
    <row r="3081" spans="1:6" ht="14.25" customHeight="1">
      <c r="A3081" s="286" t="s">
        <v>825</v>
      </c>
      <c r="B3081" s="286">
        <v>2024</v>
      </c>
      <c r="C3081" s="286" t="s">
        <v>821</v>
      </c>
      <c r="D3081" s="286" t="s">
        <v>934</v>
      </c>
      <c r="E3081" s="286" t="s">
        <v>1276</v>
      </c>
      <c r="F3081" s="113" t="s">
        <v>911</v>
      </c>
    </row>
    <row r="3082" spans="1:6" ht="14.25" customHeight="1">
      <c r="A3082" s="286" t="s">
        <v>825</v>
      </c>
      <c r="B3082" s="286">
        <v>2024</v>
      </c>
      <c r="C3082" s="286" t="s">
        <v>821</v>
      </c>
      <c r="D3082" s="286" t="s">
        <v>934</v>
      </c>
      <c r="E3082" s="286" t="s">
        <v>1213</v>
      </c>
      <c r="F3082" s="113" t="s">
        <v>911</v>
      </c>
    </row>
    <row r="3083" spans="1:6" ht="14.25" customHeight="1">
      <c r="A3083" s="286" t="s">
        <v>825</v>
      </c>
      <c r="B3083" s="286">
        <v>2024</v>
      </c>
      <c r="C3083" s="286" t="s">
        <v>821</v>
      </c>
      <c r="D3083" s="286" t="s">
        <v>934</v>
      </c>
      <c r="E3083" s="286" t="s">
        <v>1115</v>
      </c>
      <c r="F3083" s="113" t="s">
        <v>911</v>
      </c>
    </row>
    <row r="3084" spans="1:6" ht="14.25" customHeight="1">
      <c r="A3084" s="286" t="s">
        <v>825</v>
      </c>
      <c r="B3084" s="286">
        <v>2024</v>
      </c>
      <c r="C3084" s="286" t="s">
        <v>821</v>
      </c>
      <c r="D3084" s="286" t="s">
        <v>934</v>
      </c>
      <c r="E3084" s="113" t="s">
        <v>2</v>
      </c>
      <c r="F3084" s="113" t="s">
        <v>663</v>
      </c>
    </row>
    <row r="3085" spans="1:6" ht="14.25" customHeight="1">
      <c r="A3085" s="286" t="s">
        <v>825</v>
      </c>
      <c r="B3085" s="286">
        <v>2024</v>
      </c>
      <c r="C3085" s="286" t="s">
        <v>821</v>
      </c>
      <c r="D3085" s="286" t="s">
        <v>934</v>
      </c>
      <c r="E3085" s="286" t="s">
        <v>1091</v>
      </c>
      <c r="F3085" s="113" t="s">
        <v>783</v>
      </c>
    </row>
    <row r="3086" spans="1:6" ht="14.25" customHeight="1">
      <c r="A3086" s="286" t="s">
        <v>825</v>
      </c>
      <c r="B3086" s="286">
        <v>2024</v>
      </c>
      <c r="C3086" s="286" t="s">
        <v>821</v>
      </c>
      <c r="D3086" s="286" t="s">
        <v>934</v>
      </c>
      <c r="E3086" s="113" t="s">
        <v>2</v>
      </c>
      <c r="F3086" s="113" t="s">
        <v>924</v>
      </c>
    </row>
    <row r="3087" spans="1:6" ht="14.25" customHeight="1">
      <c r="A3087" s="286" t="s">
        <v>825</v>
      </c>
      <c r="B3087" s="286">
        <v>2024</v>
      </c>
      <c r="C3087" s="286" t="s">
        <v>821</v>
      </c>
      <c r="D3087" s="286" t="s">
        <v>934</v>
      </c>
      <c r="E3087" s="286" t="s">
        <v>1045</v>
      </c>
      <c r="F3087" s="113" t="s">
        <v>922</v>
      </c>
    </row>
    <row r="3088" spans="1:6" ht="14.25" customHeight="1">
      <c r="A3088" s="286" t="s">
        <v>825</v>
      </c>
      <c r="B3088" s="286">
        <v>2024</v>
      </c>
      <c r="C3088" s="286" t="s">
        <v>821</v>
      </c>
      <c r="D3088" s="286" t="s">
        <v>934</v>
      </c>
      <c r="E3088" s="113" t="s">
        <v>2</v>
      </c>
      <c r="F3088" s="113" t="s">
        <v>935</v>
      </c>
    </row>
    <row r="3089" spans="1:6" ht="14.25" customHeight="1">
      <c r="A3089" s="286" t="s">
        <v>825</v>
      </c>
      <c r="B3089" s="286">
        <v>2024</v>
      </c>
      <c r="C3089" s="286" t="s">
        <v>821</v>
      </c>
      <c r="D3089" s="286" t="s">
        <v>934</v>
      </c>
      <c r="E3089" s="286" t="s">
        <v>1090</v>
      </c>
      <c r="F3089" s="113" t="s">
        <v>935</v>
      </c>
    </row>
    <row r="3090" spans="1:6" ht="14.25" customHeight="1">
      <c r="A3090" s="286" t="s">
        <v>825</v>
      </c>
      <c r="B3090" s="286">
        <v>2024</v>
      </c>
      <c r="C3090" s="286" t="s">
        <v>821</v>
      </c>
      <c r="D3090" s="286" t="s">
        <v>934</v>
      </c>
      <c r="E3090" s="286" t="s">
        <v>1090</v>
      </c>
      <c r="F3090" s="113" t="s">
        <v>935</v>
      </c>
    </row>
    <row r="3091" spans="1:6" ht="14.25" customHeight="1">
      <c r="A3091" s="286" t="s">
        <v>825</v>
      </c>
      <c r="B3091" s="286">
        <v>2024</v>
      </c>
      <c r="C3091" s="286" t="s">
        <v>821</v>
      </c>
      <c r="D3091" s="286" t="s">
        <v>934</v>
      </c>
      <c r="E3091" s="286" t="s">
        <v>1035</v>
      </c>
      <c r="F3091" s="113" t="s">
        <v>935</v>
      </c>
    </row>
    <row r="3092" spans="1:6" ht="14.25" customHeight="1">
      <c r="A3092" s="286" t="s">
        <v>825</v>
      </c>
      <c r="B3092" s="286">
        <v>2024</v>
      </c>
      <c r="C3092" s="286" t="s">
        <v>821</v>
      </c>
      <c r="D3092" s="286" t="s">
        <v>934</v>
      </c>
      <c r="E3092" s="286" t="s">
        <v>1180</v>
      </c>
      <c r="F3092" s="284" t="s">
        <v>1144</v>
      </c>
    </row>
    <row r="3093" spans="1:6" ht="14.25" customHeight="1">
      <c r="A3093" s="286" t="s">
        <v>825</v>
      </c>
      <c r="B3093" s="286">
        <v>2024</v>
      </c>
      <c r="C3093" s="286" t="s">
        <v>821</v>
      </c>
      <c r="D3093" s="286" t="s">
        <v>931</v>
      </c>
      <c r="E3093" s="286" t="s">
        <v>1079</v>
      </c>
      <c r="F3093" s="113" t="s">
        <v>915</v>
      </c>
    </row>
    <row r="3094" spans="1:6" ht="14.25" customHeight="1">
      <c r="A3094" s="286" t="s">
        <v>825</v>
      </c>
      <c r="B3094" s="286">
        <v>2024</v>
      </c>
      <c r="C3094" s="286" t="s">
        <v>821</v>
      </c>
      <c r="D3094" s="286" t="s">
        <v>931</v>
      </c>
      <c r="E3094" s="286" t="s">
        <v>1069</v>
      </c>
      <c r="F3094" s="113" t="s">
        <v>915</v>
      </c>
    </row>
    <row r="3095" spans="1:6" ht="14.25" customHeight="1">
      <c r="A3095" s="286" t="s">
        <v>825</v>
      </c>
      <c r="B3095" s="286">
        <v>2024</v>
      </c>
      <c r="C3095" s="286" t="s">
        <v>821</v>
      </c>
      <c r="D3095" s="286" t="s">
        <v>931</v>
      </c>
      <c r="E3095" s="286" t="s">
        <v>988</v>
      </c>
      <c r="F3095" s="113" t="s">
        <v>917</v>
      </c>
    </row>
    <row r="3096" spans="1:6" ht="14.25" customHeight="1">
      <c r="A3096" s="286" t="s">
        <v>825</v>
      </c>
      <c r="B3096" s="286">
        <v>2024</v>
      </c>
      <c r="C3096" s="286" t="s">
        <v>821</v>
      </c>
      <c r="D3096" s="286" t="s">
        <v>931</v>
      </c>
      <c r="E3096" s="113" t="s">
        <v>2</v>
      </c>
      <c r="F3096" s="113" t="s">
        <v>924</v>
      </c>
    </row>
    <row r="3097" spans="1:6" ht="14.25" customHeight="1">
      <c r="A3097" s="286" t="s">
        <v>825</v>
      </c>
      <c r="B3097" s="286">
        <v>2024</v>
      </c>
      <c r="C3097" s="286" t="s">
        <v>821</v>
      </c>
      <c r="D3097" s="286" t="s">
        <v>976</v>
      </c>
      <c r="E3097" s="286" t="s">
        <v>954</v>
      </c>
      <c r="F3097" s="113" t="s">
        <v>906</v>
      </c>
    </row>
    <row r="3098" spans="1:6" ht="14.25" customHeight="1">
      <c r="A3098" s="286" t="s">
        <v>825</v>
      </c>
      <c r="B3098" s="286">
        <v>2024</v>
      </c>
      <c r="C3098" s="286" t="s">
        <v>821</v>
      </c>
      <c r="D3098" s="286" t="s">
        <v>976</v>
      </c>
      <c r="E3098" s="286" t="s">
        <v>1036</v>
      </c>
      <c r="F3098" s="113" t="s">
        <v>906</v>
      </c>
    </row>
    <row r="3099" spans="1:6" ht="14.25" customHeight="1">
      <c r="A3099" s="286" t="s">
        <v>825</v>
      </c>
      <c r="B3099" s="286">
        <v>2024</v>
      </c>
      <c r="C3099" s="286" t="s">
        <v>821</v>
      </c>
      <c r="D3099" s="286" t="s">
        <v>976</v>
      </c>
      <c r="E3099" s="286" t="s">
        <v>1028</v>
      </c>
      <c r="F3099" s="113" t="s">
        <v>906</v>
      </c>
    </row>
    <row r="3100" spans="1:6" ht="14.25" customHeight="1">
      <c r="A3100" s="286" t="s">
        <v>825</v>
      </c>
      <c r="B3100" s="286">
        <v>2024</v>
      </c>
      <c r="C3100" s="286" t="s">
        <v>821</v>
      </c>
      <c r="D3100" s="286" t="s">
        <v>976</v>
      </c>
      <c r="E3100" s="286" t="s">
        <v>930</v>
      </c>
      <c r="F3100" s="113" t="s">
        <v>906</v>
      </c>
    </row>
    <row r="3101" spans="1:6" ht="14.25" customHeight="1">
      <c r="A3101" s="286" t="s">
        <v>825</v>
      </c>
      <c r="B3101" s="286">
        <v>2024</v>
      </c>
      <c r="C3101" s="286" t="s">
        <v>821</v>
      </c>
      <c r="D3101" s="286" t="s">
        <v>976</v>
      </c>
      <c r="E3101" s="286" t="s">
        <v>944</v>
      </c>
      <c r="F3101" s="113" t="s">
        <v>483</v>
      </c>
    </row>
    <row r="3102" spans="1:6" ht="14.25" customHeight="1">
      <c r="A3102" s="286" t="s">
        <v>825</v>
      </c>
      <c r="B3102" s="286">
        <v>2024</v>
      </c>
      <c r="C3102" s="286" t="s">
        <v>821</v>
      </c>
      <c r="D3102" s="286" t="s">
        <v>976</v>
      </c>
      <c r="E3102" s="286" t="s">
        <v>944</v>
      </c>
      <c r="F3102" s="113" t="s">
        <v>483</v>
      </c>
    </row>
    <row r="3103" spans="1:6" ht="14.25" customHeight="1">
      <c r="A3103" s="286" t="s">
        <v>825</v>
      </c>
      <c r="B3103" s="286">
        <v>2024</v>
      </c>
      <c r="C3103" s="286" t="s">
        <v>821</v>
      </c>
      <c r="D3103" s="286" t="s">
        <v>976</v>
      </c>
      <c r="E3103" s="286" t="s">
        <v>1276</v>
      </c>
      <c r="F3103" s="113" t="s">
        <v>911</v>
      </c>
    </row>
    <row r="3104" spans="1:6" ht="14.25" customHeight="1">
      <c r="A3104" s="286" t="s">
        <v>825</v>
      </c>
      <c r="B3104" s="286">
        <v>2024</v>
      </c>
      <c r="C3104" s="286" t="s">
        <v>821</v>
      </c>
      <c r="D3104" s="286" t="s">
        <v>976</v>
      </c>
      <c r="E3104" s="286" t="s">
        <v>1277</v>
      </c>
      <c r="F3104" s="113" t="s">
        <v>663</v>
      </c>
    </row>
    <row r="3105" spans="1:6" ht="14.25" customHeight="1">
      <c r="A3105" s="286" t="s">
        <v>825</v>
      </c>
      <c r="B3105" s="286">
        <v>2024</v>
      </c>
      <c r="C3105" s="286" t="s">
        <v>821</v>
      </c>
      <c r="D3105" s="286" t="s">
        <v>976</v>
      </c>
      <c r="E3105" s="286" t="s">
        <v>1276</v>
      </c>
      <c r="F3105" s="113" t="s">
        <v>915</v>
      </c>
    </row>
    <row r="3106" spans="1:6" ht="14.25" customHeight="1">
      <c r="A3106" s="286" t="s">
        <v>825</v>
      </c>
      <c r="B3106" s="286">
        <v>2024</v>
      </c>
      <c r="C3106" s="286" t="s">
        <v>821</v>
      </c>
      <c r="D3106" s="286" t="s">
        <v>976</v>
      </c>
      <c r="E3106" s="286" t="s">
        <v>1079</v>
      </c>
      <c r="F3106" s="113" t="s">
        <v>915</v>
      </c>
    </row>
    <row r="3107" spans="1:6" ht="14.25" customHeight="1">
      <c r="A3107" s="286" t="s">
        <v>825</v>
      </c>
      <c r="B3107" s="286">
        <v>2024</v>
      </c>
      <c r="C3107" s="286" t="s">
        <v>821</v>
      </c>
      <c r="D3107" s="286" t="s">
        <v>976</v>
      </c>
      <c r="E3107" s="113" t="s">
        <v>2</v>
      </c>
      <c r="F3107" s="113" t="s">
        <v>935</v>
      </c>
    </row>
    <row r="3108" spans="1:6" ht="14.25" customHeight="1">
      <c r="A3108" s="286" t="s">
        <v>825</v>
      </c>
      <c r="B3108" s="286">
        <v>2024</v>
      </c>
      <c r="C3108" s="286" t="s">
        <v>821</v>
      </c>
      <c r="D3108" s="286" t="s">
        <v>976</v>
      </c>
      <c r="E3108" s="286" t="s">
        <v>940</v>
      </c>
      <c r="F3108" s="113" t="s">
        <v>922</v>
      </c>
    </row>
    <row r="3109" spans="1:6" ht="14.25" customHeight="1">
      <c r="A3109" s="286" t="s">
        <v>825</v>
      </c>
      <c r="B3109" s="286">
        <v>2024</v>
      </c>
      <c r="C3109" s="286" t="s">
        <v>88</v>
      </c>
      <c r="D3109" s="286" t="s">
        <v>958</v>
      </c>
      <c r="E3109" s="286" t="s">
        <v>1079</v>
      </c>
      <c r="F3109" s="113" t="s">
        <v>915</v>
      </c>
    </row>
    <row r="3110" spans="1:6" ht="14.25" customHeight="1">
      <c r="A3110" s="286" t="s">
        <v>825</v>
      </c>
      <c r="B3110" s="286">
        <v>2024</v>
      </c>
      <c r="C3110" s="286" t="s">
        <v>88</v>
      </c>
      <c r="D3110" s="286" t="s">
        <v>969</v>
      </c>
      <c r="E3110" s="286" t="s">
        <v>1028</v>
      </c>
      <c r="F3110" s="113" t="s">
        <v>906</v>
      </c>
    </row>
    <row r="3111" spans="1:6" ht="14.25" customHeight="1">
      <c r="A3111" s="286" t="s">
        <v>825</v>
      </c>
      <c r="B3111" s="286">
        <v>2024</v>
      </c>
      <c r="C3111" s="286" t="s">
        <v>88</v>
      </c>
      <c r="D3111" s="286" t="s">
        <v>969</v>
      </c>
      <c r="E3111" s="286" t="s">
        <v>948</v>
      </c>
      <c r="F3111" s="113" t="s">
        <v>922</v>
      </c>
    </row>
    <row r="3112" spans="1:6" ht="14.25" customHeight="1">
      <c r="A3112" s="286" t="s">
        <v>825</v>
      </c>
      <c r="B3112" s="286">
        <v>2024</v>
      </c>
      <c r="C3112" s="286" t="s">
        <v>88</v>
      </c>
      <c r="D3112" s="286" t="s">
        <v>988</v>
      </c>
      <c r="E3112" s="286" t="s">
        <v>1276</v>
      </c>
      <c r="F3112" s="113" t="s">
        <v>663</v>
      </c>
    </row>
    <row r="3113" spans="1:6" ht="14.25" customHeight="1">
      <c r="A3113" s="286" t="s">
        <v>825</v>
      </c>
      <c r="B3113" s="286">
        <v>2024</v>
      </c>
      <c r="C3113" s="286" t="s">
        <v>88</v>
      </c>
      <c r="D3113" s="286" t="s">
        <v>988</v>
      </c>
      <c r="E3113" s="286" t="s">
        <v>1278</v>
      </c>
      <c r="F3113" s="113" t="s">
        <v>922</v>
      </c>
    </row>
    <row r="3114" spans="1:6" ht="14.25" customHeight="1">
      <c r="A3114" s="286" t="s">
        <v>825</v>
      </c>
      <c r="B3114" s="286">
        <v>2024</v>
      </c>
      <c r="C3114" s="286" t="s">
        <v>88</v>
      </c>
      <c r="D3114" s="286" t="s">
        <v>966</v>
      </c>
      <c r="E3114" s="286" t="s">
        <v>954</v>
      </c>
      <c r="F3114" s="113" t="s">
        <v>906</v>
      </c>
    </row>
    <row r="3115" spans="1:6" ht="14.25" customHeight="1">
      <c r="A3115" s="286" t="s">
        <v>825</v>
      </c>
      <c r="B3115" s="286">
        <v>2024</v>
      </c>
      <c r="C3115" s="286" t="s">
        <v>88</v>
      </c>
      <c r="D3115" s="286" t="s">
        <v>966</v>
      </c>
      <c r="E3115" s="286" t="s">
        <v>2</v>
      </c>
      <c r="F3115" s="113" t="s">
        <v>483</v>
      </c>
    </row>
    <row r="3116" spans="1:6" ht="14.25" customHeight="1">
      <c r="A3116" s="286" t="s">
        <v>825</v>
      </c>
      <c r="B3116" s="286">
        <v>2024</v>
      </c>
      <c r="C3116" s="286" t="s">
        <v>859</v>
      </c>
      <c r="D3116" s="286" t="s">
        <v>999</v>
      </c>
      <c r="E3116" s="286" t="s">
        <v>1173</v>
      </c>
      <c r="F3116" s="113" t="s">
        <v>915</v>
      </c>
    </row>
    <row r="3117" spans="1:6" ht="14.25" customHeight="1">
      <c r="A3117" s="286" t="s">
        <v>825</v>
      </c>
      <c r="B3117" s="286">
        <v>2024</v>
      </c>
      <c r="C3117" s="286" t="s">
        <v>859</v>
      </c>
      <c r="D3117" s="286" t="s">
        <v>1005</v>
      </c>
      <c r="E3117" s="286" t="s">
        <v>1087</v>
      </c>
      <c r="F3117" s="113" t="s">
        <v>663</v>
      </c>
    </row>
    <row r="3118" spans="1:6" ht="14.25" customHeight="1">
      <c r="A3118" s="286" t="s">
        <v>825</v>
      </c>
      <c r="B3118" s="286">
        <v>2024</v>
      </c>
      <c r="C3118" s="286" t="s">
        <v>859</v>
      </c>
      <c r="D3118" s="286" t="s">
        <v>1000</v>
      </c>
      <c r="E3118" s="286" t="s">
        <v>1106</v>
      </c>
      <c r="F3118" s="113" t="s">
        <v>915</v>
      </c>
    </row>
    <row r="3119" spans="1:6" ht="14.25" customHeight="1">
      <c r="A3119" s="286" t="s">
        <v>825</v>
      </c>
      <c r="B3119" s="286">
        <v>2024</v>
      </c>
      <c r="C3119" s="286" t="s">
        <v>859</v>
      </c>
      <c r="D3119" s="286" t="s">
        <v>1000</v>
      </c>
      <c r="E3119" s="286" t="s">
        <v>2</v>
      </c>
      <c r="F3119" s="113" t="s">
        <v>922</v>
      </c>
    </row>
    <row r="3120" spans="1:6" ht="14.25" customHeight="1">
      <c r="A3120" s="286" t="s">
        <v>825</v>
      </c>
      <c r="B3120" s="286">
        <v>2024</v>
      </c>
      <c r="C3120" s="286" t="s">
        <v>859</v>
      </c>
      <c r="D3120" s="286" t="s">
        <v>1000</v>
      </c>
      <c r="E3120" s="286" t="s">
        <v>2</v>
      </c>
      <c r="F3120" s="113" t="s">
        <v>922</v>
      </c>
    </row>
    <row r="3121" spans="1:6" ht="14.25" customHeight="1">
      <c r="A3121" s="286" t="s">
        <v>825</v>
      </c>
      <c r="B3121" s="286">
        <v>2024</v>
      </c>
      <c r="C3121" s="286" t="s">
        <v>859</v>
      </c>
      <c r="D3121" s="286" t="s">
        <v>998</v>
      </c>
      <c r="E3121" s="286" t="s">
        <v>1279</v>
      </c>
      <c r="F3121" s="113" t="s">
        <v>915</v>
      </c>
    </row>
    <row r="3122" spans="1:6" ht="14.25" customHeight="1">
      <c r="A3122" s="286" t="s">
        <v>825</v>
      </c>
      <c r="B3122" s="286">
        <v>2024</v>
      </c>
      <c r="C3122" s="286" t="s">
        <v>859</v>
      </c>
      <c r="D3122" s="286" t="s">
        <v>998</v>
      </c>
      <c r="E3122" s="286" t="s">
        <v>942</v>
      </c>
      <c r="F3122" s="113" t="s">
        <v>918</v>
      </c>
    </row>
    <row r="3123" spans="1:6" ht="14.25" customHeight="1">
      <c r="A3123" s="286" t="s">
        <v>825</v>
      </c>
      <c r="B3123" s="286">
        <v>2024</v>
      </c>
      <c r="C3123" s="286" t="s">
        <v>859</v>
      </c>
      <c r="D3123" s="286" t="s">
        <v>998</v>
      </c>
      <c r="E3123" s="113" t="s">
        <v>2</v>
      </c>
      <c r="F3123" s="113" t="s">
        <v>935</v>
      </c>
    </row>
    <row r="3124" spans="1:6" ht="14.25" customHeight="1">
      <c r="A3124" s="286" t="s">
        <v>825</v>
      </c>
      <c r="B3124" s="286">
        <v>2024</v>
      </c>
      <c r="C3124" s="286" t="s">
        <v>859</v>
      </c>
      <c r="D3124" s="286" t="s">
        <v>1208</v>
      </c>
      <c r="E3124" s="286" t="s">
        <v>1141</v>
      </c>
      <c r="F3124" s="113" t="s">
        <v>483</v>
      </c>
    </row>
    <row r="3125" spans="1:6" ht="14.25" customHeight="1">
      <c r="A3125" s="286" t="s">
        <v>825</v>
      </c>
      <c r="B3125" s="286">
        <v>2024</v>
      </c>
      <c r="C3125" s="286" t="s">
        <v>859</v>
      </c>
      <c r="D3125" s="286" t="s">
        <v>1208</v>
      </c>
      <c r="E3125" s="286" t="s">
        <v>1035</v>
      </c>
      <c r="F3125" s="113" t="s">
        <v>935</v>
      </c>
    </row>
    <row r="3126" spans="1:6" ht="14.25" customHeight="1">
      <c r="A3126" s="286" t="s">
        <v>825</v>
      </c>
      <c r="B3126" s="286">
        <v>2024</v>
      </c>
      <c r="C3126" s="286" t="s">
        <v>872</v>
      </c>
      <c r="D3126" s="286" t="s">
        <v>1012</v>
      </c>
      <c r="E3126" s="286" t="s">
        <v>1014</v>
      </c>
      <c r="F3126" s="113" t="s">
        <v>906</v>
      </c>
    </row>
    <row r="3127" spans="1:6" ht="14.25" customHeight="1">
      <c r="A3127" s="286" t="s">
        <v>825</v>
      </c>
      <c r="B3127" s="286">
        <v>2024</v>
      </c>
      <c r="C3127" s="286" t="s">
        <v>1024</v>
      </c>
      <c r="D3127" s="286" t="s">
        <v>1025</v>
      </c>
      <c r="E3127" s="286" t="s">
        <v>1036</v>
      </c>
      <c r="F3127" s="113" t="s">
        <v>906</v>
      </c>
    </row>
    <row r="3128" spans="1:6" ht="14.25" customHeight="1">
      <c r="A3128" s="286" t="s">
        <v>825</v>
      </c>
      <c r="B3128" s="286">
        <v>2024</v>
      </c>
      <c r="C3128" s="286" t="s">
        <v>1024</v>
      </c>
      <c r="D3128" s="286" t="s">
        <v>1025</v>
      </c>
      <c r="E3128" s="286" t="s">
        <v>1036</v>
      </c>
      <c r="F3128" s="113" t="s">
        <v>906</v>
      </c>
    </row>
    <row r="3129" spans="1:6" ht="14.25" customHeight="1">
      <c r="A3129" s="286" t="s">
        <v>825</v>
      </c>
      <c r="B3129" s="286">
        <v>2024</v>
      </c>
      <c r="C3129" s="286" t="s">
        <v>1024</v>
      </c>
      <c r="D3129" s="286" t="s">
        <v>1025</v>
      </c>
      <c r="E3129" s="286" t="s">
        <v>981</v>
      </c>
      <c r="F3129" s="113" t="s">
        <v>906</v>
      </c>
    </row>
    <row r="3130" spans="1:6" ht="14.25" customHeight="1">
      <c r="A3130" s="286" t="s">
        <v>825</v>
      </c>
      <c r="B3130" s="286">
        <v>2024</v>
      </c>
      <c r="C3130" s="286" t="s">
        <v>1024</v>
      </c>
      <c r="D3130" s="286" t="s">
        <v>1027</v>
      </c>
      <c r="E3130" s="286" t="s">
        <v>1126</v>
      </c>
      <c r="F3130" s="113" t="s">
        <v>483</v>
      </c>
    </row>
    <row r="3131" spans="1:6" ht="14.25" customHeight="1">
      <c r="A3131" s="286" t="s">
        <v>825</v>
      </c>
      <c r="B3131" s="286">
        <v>2024</v>
      </c>
      <c r="C3131" s="286" t="s">
        <v>1024</v>
      </c>
      <c r="D3131" s="286" t="s">
        <v>1027</v>
      </c>
      <c r="E3131" s="286" t="s">
        <v>1276</v>
      </c>
      <c r="F3131" s="113" t="s">
        <v>911</v>
      </c>
    </row>
    <row r="3132" spans="1:6" ht="14.25" customHeight="1">
      <c r="A3132" s="286" t="s">
        <v>825</v>
      </c>
      <c r="B3132" s="286">
        <v>2024</v>
      </c>
      <c r="C3132" s="286" t="s">
        <v>1024</v>
      </c>
      <c r="D3132" s="286" t="s">
        <v>1027</v>
      </c>
      <c r="E3132" s="113" t="s">
        <v>2</v>
      </c>
      <c r="F3132" s="113" t="s">
        <v>935</v>
      </c>
    </row>
    <row r="3133" spans="1:6" ht="14.25" customHeight="1">
      <c r="A3133" s="286" t="s">
        <v>825</v>
      </c>
      <c r="B3133" s="286">
        <v>2024</v>
      </c>
      <c r="C3133" s="286" t="s">
        <v>1024</v>
      </c>
      <c r="D3133" s="286" t="s">
        <v>1055</v>
      </c>
      <c r="E3133" s="286" t="s">
        <v>1040</v>
      </c>
      <c r="F3133" s="113" t="s">
        <v>917</v>
      </c>
    </row>
    <row r="3134" spans="1:6" ht="14.25" customHeight="1">
      <c r="A3134" s="286" t="s">
        <v>825</v>
      </c>
      <c r="B3134" s="286">
        <v>2024</v>
      </c>
      <c r="C3134" s="286" t="s">
        <v>1024</v>
      </c>
      <c r="D3134" s="286" t="s">
        <v>1026</v>
      </c>
      <c r="E3134" s="286" t="s">
        <v>1280</v>
      </c>
      <c r="F3134" s="113" t="s">
        <v>922</v>
      </c>
    </row>
    <row r="3135" spans="1:6" ht="14.25" customHeight="1">
      <c r="A3135" s="286" t="s">
        <v>826</v>
      </c>
      <c r="B3135" s="286">
        <v>2024</v>
      </c>
      <c r="C3135" s="286" t="s">
        <v>821</v>
      </c>
      <c r="D3135" s="286" t="s">
        <v>132</v>
      </c>
      <c r="E3135" s="286" t="s">
        <v>1041</v>
      </c>
      <c r="F3135" s="113" t="s">
        <v>906</v>
      </c>
    </row>
    <row r="3136" spans="1:6" ht="14.25" customHeight="1">
      <c r="A3136" s="286" t="s">
        <v>826</v>
      </c>
      <c r="B3136" s="286">
        <v>2024</v>
      </c>
      <c r="C3136" s="286" t="s">
        <v>821</v>
      </c>
      <c r="D3136" s="286" t="s">
        <v>132</v>
      </c>
      <c r="E3136" s="286" t="s">
        <v>1041</v>
      </c>
      <c r="F3136" s="113" t="s">
        <v>906</v>
      </c>
    </row>
    <row r="3137" spans="1:6" ht="14.25" customHeight="1">
      <c r="A3137" s="286" t="s">
        <v>826</v>
      </c>
      <c r="B3137" s="286">
        <v>2024</v>
      </c>
      <c r="C3137" s="286" t="s">
        <v>821</v>
      </c>
      <c r="D3137" s="286" t="s">
        <v>132</v>
      </c>
      <c r="E3137" s="286" t="s">
        <v>1040</v>
      </c>
      <c r="F3137" s="113" t="s">
        <v>906</v>
      </c>
    </row>
    <row r="3138" spans="1:6" ht="14.25" customHeight="1">
      <c r="A3138" s="286" t="s">
        <v>826</v>
      </c>
      <c r="B3138" s="286">
        <v>2024</v>
      </c>
      <c r="C3138" s="286" t="s">
        <v>821</v>
      </c>
      <c r="D3138" s="286" t="s">
        <v>132</v>
      </c>
      <c r="E3138" s="286" t="s">
        <v>1036</v>
      </c>
      <c r="F3138" s="113" t="s">
        <v>906</v>
      </c>
    </row>
    <row r="3139" spans="1:6" ht="14.25" customHeight="1">
      <c r="A3139" s="286" t="s">
        <v>826</v>
      </c>
      <c r="B3139" s="286">
        <v>2024</v>
      </c>
      <c r="C3139" s="286" t="s">
        <v>821</v>
      </c>
      <c r="D3139" s="286" t="s">
        <v>132</v>
      </c>
      <c r="E3139" s="286" t="s">
        <v>952</v>
      </c>
      <c r="F3139" s="113" t="s">
        <v>906</v>
      </c>
    </row>
    <row r="3140" spans="1:6" ht="14.25" customHeight="1">
      <c r="A3140" s="286" t="s">
        <v>826</v>
      </c>
      <c r="B3140" s="286">
        <v>2024</v>
      </c>
      <c r="C3140" s="286" t="s">
        <v>821</v>
      </c>
      <c r="D3140" s="286" t="s">
        <v>132</v>
      </c>
      <c r="E3140" s="286" t="s">
        <v>952</v>
      </c>
      <c r="F3140" s="113" t="s">
        <v>906</v>
      </c>
    </row>
    <row r="3141" spans="1:6" ht="14.25" customHeight="1">
      <c r="A3141" s="286" t="s">
        <v>826</v>
      </c>
      <c r="B3141" s="286">
        <v>2024</v>
      </c>
      <c r="C3141" s="286" t="s">
        <v>821</v>
      </c>
      <c r="D3141" s="286" t="s">
        <v>132</v>
      </c>
      <c r="E3141" s="286" t="s">
        <v>953</v>
      </c>
      <c r="F3141" s="113" t="s">
        <v>906</v>
      </c>
    </row>
    <row r="3142" spans="1:6" ht="14.25" customHeight="1">
      <c r="A3142" s="286" t="s">
        <v>826</v>
      </c>
      <c r="B3142" s="286">
        <v>2024</v>
      </c>
      <c r="C3142" s="286" t="s">
        <v>821</v>
      </c>
      <c r="D3142" s="286" t="s">
        <v>132</v>
      </c>
      <c r="E3142" s="286" t="s">
        <v>981</v>
      </c>
      <c r="F3142" s="113" t="s">
        <v>906</v>
      </c>
    </row>
    <row r="3143" spans="1:6" ht="14.25" customHeight="1">
      <c r="A3143" s="286" t="s">
        <v>826</v>
      </c>
      <c r="B3143" s="286">
        <v>2024</v>
      </c>
      <c r="C3143" s="286" t="s">
        <v>821</v>
      </c>
      <c r="D3143" s="286" t="s">
        <v>132</v>
      </c>
      <c r="E3143" s="286" t="s">
        <v>1040</v>
      </c>
      <c r="F3143" s="113" t="s">
        <v>909</v>
      </c>
    </row>
    <row r="3144" spans="1:6" ht="14.25" customHeight="1">
      <c r="A3144" s="286" t="s">
        <v>826</v>
      </c>
      <c r="B3144" s="286">
        <v>2024</v>
      </c>
      <c r="C3144" s="286" t="s">
        <v>821</v>
      </c>
      <c r="D3144" s="286" t="s">
        <v>132</v>
      </c>
      <c r="E3144" s="286" t="s">
        <v>1102</v>
      </c>
      <c r="F3144" s="113" t="s">
        <v>909</v>
      </c>
    </row>
    <row r="3145" spans="1:6" ht="14.25" customHeight="1">
      <c r="A3145" s="286" t="s">
        <v>826</v>
      </c>
      <c r="B3145" s="286">
        <v>2024</v>
      </c>
      <c r="C3145" s="286" t="s">
        <v>821</v>
      </c>
      <c r="D3145" s="286" t="s">
        <v>132</v>
      </c>
      <c r="E3145" s="286" t="s">
        <v>1281</v>
      </c>
      <c r="F3145" s="113" t="s">
        <v>911</v>
      </c>
    </row>
    <row r="3146" spans="1:6" ht="14.25" customHeight="1">
      <c r="A3146" s="286" t="s">
        <v>826</v>
      </c>
      <c r="B3146" s="286">
        <v>2024</v>
      </c>
      <c r="C3146" s="286" t="s">
        <v>821</v>
      </c>
      <c r="D3146" s="286" t="s">
        <v>132</v>
      </c>
      <c r="E3146" s="113" t="s">
        <v>2</v>
      </c>
      <c r="F3146" s="113" t="s">
        <v>924</v>
      </c>
    </row>
    <row r="3147" spans="1:6" ht="14.25" customHeight="1">
      <c r="A3147" s="286" t="s">
        <v>826</v>
      </c>
      <c r="B3147" s="286">
        <v>2024</v>
      </c>
      <c r="C3147" s="286" t="s">
        <v>821</v>
      </c>
      <c r="D3147" s="286" t="s">
        <v>132</v>
      </c>
      <c r="E3147" s="286" t="s">
        <v>1023</v>
      </c>
      <c r="F3147" s="113" t="s">
        <v>935</v>
      </c>
    </row>
    <row r="3148" spans="1:6" ht="14.25" customHeight="1">
      <c r="A3148" s="286" t="s">
        <v>826</v>
      </c>
      <c r="B3148" s="286">
        <v>2024</v>
      </c>
      <c r="C3148" s="286" t="s">
        <v>821</v>
      </c>
      <c r="D3148" s="286" t="s">
        <v>934</v>
      </c>
      <c r="E3148" s="286" t="s">
        <v>952</v>
      </c>
      <c r="F3148" s="113" t="s">
        <v>906</v>
      </c>
    </row>
    <row r="3149" spans="1:6" ht="14.25" customHeight="1">
      <c r="A3149" s="286" t="s">
        <v>826</v>
      </c>
      <c r="B3149" s="286">
        <v>2024</v>
      </c>
      <c r="C3149" s="286" t="s">
        <v>821</v>
      </c>
      <c r="D3149" s="286" t="s">
        <v>934</v>
      </c>
      <c r="E3149" s="286" t="s">
        <v>1040</v>
      </c>
      <c r="F3149" s="113" t="s">
        <v>906</v>
      </c>
    </row>
    <row r="3150" spans="1:6" ht="14.25" customHeight="1">
      <c r="A3150" s="286" t="s">
        <v>826</v>
      </c>
      <c r="B3150" s="286">
        <v>2024</v>
      </c>
      <c r="C3150" s="286" t="s">
        <v>821</v>
      </c>
      <c r="D3150" s="286" t="s">
        <v>934</v>
      </c>
      <c r="E3150" s="286" t="s">
        <v>1014</v>
      </c>
      <c r="F3150" s="113" t="s">
        <v>906</v>
      </c>
    </row>
    <row r="3151" spans="1:6" ht="14.25" customHeight="1">
      <c r="A3151" s="286" t="s">
        <v>826</v>
      </c>
      <c r="B3151" s="286">
        <v>2024</v>
      </c>
      <c r="C3151" s="286" t="s">
        <v>821</v>
      </c>
      <c r="D3151" s="286" t="s">
        <v>934</v>
      </c>
      <c r="E3151" s="286" t="s">
        <v>1028</v>
      </c>
      <c r="F3151" s="113" t="s">
        <v>906</v>
      </c>
    </row>
    <row r="3152" spans="1:6" ht="14.25" customHeight="1">
      <c r="A3152" s="286" t="s">
        <v>826</v>
      </c>
      <c r="B3152" s="286">
        <v>2024</v>
      </c>
      <c r="C3152" s="286" t="s">
        <v>821</v>
      </c>
      <c r="D3152" s="286" t="s">
        <v>934</v>
      </c>
      <c r="E3152" s="286" t="s">
        <v>971</v>
      </c>
      <c r="F3152" s="113" t="s">
        <v>909</v>
      </c>
    </row>
    <row r="3153" spans="1:6" ht="14.25" customHeight="1">
      <c r="A3153" s="286" t="s">
        <v>826</v>
      </c>
      <c r="B3153" s="286">
        <v>2024</v>
      </c>
      <c r="C3153" s="286" t="s">
        <v>821</v>
      </c>
      <c r="D3153" s="286" t="s">
        <v>934</v>
      </c>
      <c r="E3153" s="286" t="s">
        <v>971</v>
      </c>
      <c r="F3153" s="113" t="s">
        <v>909</v>
      </c>
    </row>
    <row r="3154" spans="1:6" ht="14.25" customHeight="1">
      <c r="A3154" s="286" t="s">
        <v>826</v>
      </c>
      <c r="B3154" s="286">
        <v>2024</v>
      </c>
      <c r="C3154" s="286" t="s">
        <v>821</v>
      </c>
      <c r="D3154" s="286" t="s">
        <v>934</v>
      </c>
      <c r="E3154" s="286" t="s">
        <v>1102</v>
      </c>
      <c r="F3154" s="113" t="s">
        <v>909</v>
      </c>
    </row>
    <row r="3155" spans="1:6" ht="14.25" customHeight="1">
      <c r="A3155" s="286" t="s">
        <v>826</v>
      </c>
      <c r="B3155" s="286">
        <v>2024</v>
      </c>
      <c r="C3155" s="286" t="s">
        <v>821</v>
      </c>
      <c r="D3155" s="286" t="s">
        <v>934</v>
      </c>
      <c r="E3155" s="286" t="s">
        <v>1282</v>
      </c>
      <c r="F3155" s="113" t="s">
        <v>909</v>
      </c>
    </row>
    <row r="3156" spans="1:6" ht="14.25" customHeight="1">
      <c r="A3156" s="286" t="s">
        <v>826</v>
      </c>
      <c r="B3156" s="286">
        <v>2024</v>
      </c>
      <c r="C3156" s="286" t="s">
        <v>821</v>
      </c>
      <c r="D3156" s="286" t="s">
        <v>934</v>
      </c>
      <c r="E3156" s="286" t="s">
        <v>1130</v>
      </c>
      <c r="F3156" s="113" t="s">
        <v>483</v>
      </c>
    </row>
    <row r="3157" spans="1:6" ht="14.25" customHeight="1">
      <c r="A3157" s="286" t="s">
        <v>826</v>
      </c>
      <c r="B3157" s="286">
        <v>2024</v>
      </c>
      <c r="C3157" s="286" t="s">
        <v>821</v>
      </c>
      <c r="D3157" s="286" t="s">
        <v>934</v>
      </c>
      <c r="E3157" s="286" t="s">
        <v>1003</v>
      </c>
      <c r="F3157" s="113" t="s">
        <v>483</v>
      </c>
    </row>
    <row r="3158" spans="1:6" ht="14.25" customHeight="1">
      <c r="A3158" s="286" t="s">
        <v>826</v>
      </c>
      <c r="B3158" s="286">
        <v>2024</v>
      </c>
      <c r="C3158" s="286" t="s">
        <v>821</v>
      </c>
      <c r="D3158" s="286" t="s">
        <v>934</v>
      </c>
      <c r="E3158" s="286" t="s">
        <v>1276</v>
      </c>
      <c r="F3158" s="113" t="s">
        <v>911</v>
      </c>
    </row>
    <row r="3159" spans="1:6" ht="14.25" customHeight="1">
      <c r="A3159" s="286" t="s">
        <v>826</v>
      </c>
      <c r="B3159" s="286">
        <v>2024</v>
      </c>
      <c r="C3159" s="286" t="s">
        <v>821</v>
      </c>
      <c r="D3159" s="286" t="s">
        <v>934</v>
      </c>
      <c r="E3159" s="286" t="s">
        <v>1078</v>
      </c>
      <c r="F3159" s="113" t="s">
        <v>913</v>
      </c>
    </row>
    <row r="3160" spans="1:6" ht="14.25" customHeight="1">
      <c r="A3160" s="286" t="s">
        <v>826</v>
      </c>
      <c r="B3160" s="286">
        <v>2024</v>
      </c>
      <c r="C3160" s="286" t="s">
        <v>821</v>
      </c>
      <c r="D3160" s="286" t="s">
        <v>934</v>
      </c>
      <c r="E3160" s="286" t="s">
        <v>1276</v>
      </c>
      <c r="F3160" s="113" t="s">
        <v>915</v>
      </c>
    </row>
    <row r="3161" spans="1:6" ht="14.25" customHeight="1">
      <c r="A3161" s="286" t="s">
        <v>826</v>
      </c>
      <c r="B3161" s="286">
        <v>2024</v>
      </c>
      <c r="C3161" s="286" t="s">
        <v>821</v>
      </c>
      <c r="D3161" s="286" t="s">
        <v>934</v>
      </c>
      <c r="E3161" s="286" t="s">
        <v>1091</v>
      </c>
      <c r="F3161" s="113" t="s">
        <v>917</v>
      </c>
    </row>
    <row r="3162" spans="1:6" ht="14.25" customHeight="1">
      <c r="A3162" s="286" t="s">
        <v>826</v>
      </c>
      <c r="B3162" s="286">
        <v>2024</v>
      </c>
      <c r="C3162" s="286" t="s">
        <v>821</v>
      </c>
      <c r="D3162" s="286" t="s">
        <v>934</v>
      </c>
      <c r="E3162" s="286" t="s">
        <v>951</v>
      </c>
      <c r="F3162" s="113" t="s">
        <v>917</v>
      </c>
    </row>
    <row r="3163" spans="1:6" ht="14.25" customHeight="1">
      <c r="A3163" s="286" t="s">
        <v>826</v>
      </c>
      <c r="B3163" s="286">
        <v>2024</v>
      </c>
      <c r="C3163" s="286" t="s">
        <v>821</v>
      </c>
      <c r="D3163" s="286" t="s">
        <v>934</v>
      </c>
      <c r="E3163" s="113" t="s">
        <v>2</v>
      </c>
      <c r="F3163" s="113" t="s">
        <v>924</v>
      </c>
    </row>
    <row r="3164" spans="1:6" ht="14.25" customHeight="1">
      <c r="A3164" s="286" t="s">
        <v>826</v>
      </c>
      <c r="B3164" s="286">
        <v>2024</v>
      </c>
      <c r="C3164" s="286" t="s">
        <v>821</v>
      </c>
      <c r="D3164" s="286" t="s">
        <v>934</v>
      </c>
      <c r="E3164" s="113" t="s">
        <v>2</v>
      </c>
      <c r="F3164" s="113" t="s">
        <v>935</v>
      </c>
    </row>
    <row r="3165" spans="1:6" ht="14.25" customHeight="1">
      <c r="A3165" s="286" t="s">
        <v>826</v>
      </c>
      <c r="B3165" s="286">
        <v>2024</v>
      </c>
      <c r="C3165" s="286" t="s">
        <v>821</v>
      </c>
      <c r="D3165" s="286" t="s">
        <v>934</v>
      </c>
      <c r="E3165" s="286" t="s">
        <v>1058</v>
      </c>
      <c r="F3165" s="113" t="s">
        <v>922</v>
      </c>
    </row>
    <row r="3166" spans="1:6" ht="14.25" customHeight="1">
      <c r="A3166" s="286" t="s">
        <v>826</v>
      </c>
      <c r="B3166" s="286">
        <v>2024</v>
      </c>
      <c r="C3166" s="286" t="s">
        <v>821</v>
      </c>
      <c r="D3166" s="286" t="s">
        <v>934</v>
      </c>
      <c r="E3166" s="286" t="s">
        <v>989</v>
      </c>
      <c r="F3166" s="113" t="s">
        <v>935</v>
      </c>
    </row>
    <row r="3167" spans="1:6" ht="14.25" customHeight="1">
      <c r="A3167" s="286" t="s">
        <v>826</v>
      </c>
      <c r="B3167" s="286">
        <v>2024</v>
      </c>
      <c r="C3167" s="286" t="s">
        <v>821</v>
      </c>
      <c r="D3167" s="286" t="s">
        <v>934</v>
      </c>
      <c r="E3167" s="286" t="s">
        <v>987</v>
      </c>
      <c r="F3167" s="113" t="s">
        <v>935</v>
      </c>
    </row>
    <row r="3168" spans="1:6" ht="14.25" customHeight="1">
      <c r="A3168" s="286" t="s">
        <v>826</v>
      </c>
      <c r="B3168" s="286">
        <v>2024</v>
      </c>
      <c r="C3168" s="286" t="s">
        <v>821</v>
      </c>
      <c r="D3168" s="286" t="s">
        <v>934</v>
      </c>
      <c r="E3168" s="286" t="s">
        <v>984</v>
      </c>
      <c r="F3168" s="113" t="s">
        <v>935</v>
      </c>
    </row>
    <row r="3169" spans="1:6" ht="14.25" customHeight="1">
      <c r="A3169" s="286" t="s">
        <v>826</v>
      </c>
      <c r="B3169" s="286">
        <v>2024</v>
      </c>
      <c r="C3169" s="286" t="s">
        <v>821</v>
      </c>
      <c r="D3169" s="286" t="s">
        <v>934</v>
      </c>
      <c r="E3169" s="286" t="s">
        <v>1276</v>
      </c>
      <c r="F3169" s="284" t="s">
        <v>1144</v>
      </c>
    </row>
    <row r="3170" spans="1:6" ht="14.25" customHeight="1">
      <c r="A3170" s="286" t="s">
        <v>826</v>
      </c>
      <c r="B3170" s="286">
        <v>2024</v>
      </c>
      <c r="C3170" s="286" t="s">
        <v>821</v>
      </c>
      <c r="D3170" s="286" t="s">
        <v>934</v>
      </c>
      <c r="E3170" s="286" t="s">
        <v>1180</v>
      </c>
      <c r="F3170" s="284" t="s">
        <v>1144</v>
      </c>
    </row>
    <row r="3171" spans="1:6" ht="14.25" customHeight="1">
      <c r="A3171" s="286" t="s">
        <v>826</v>
      </c>
      <c r="B3171" s="286">
        <v>2024</v>
      </c>
      <c r="C3171" s="286" t="s">
        <v>821</v>
      </c>
      <c r="D3171" s="286" t="s">
        <v>931</v>
      </c>
      <c r="E3171" s="286" t="s">
        <v>1040</v>
      </c>
      <c r="F3171" s="113" t="s">
        <v>906</v>
      </c>
    </row>
    <row r="3172" spans="1:6" ht="14.25" customHeight="1">
      <c r="A3172" s="286" t="s">
        <v>826</v>
      </c>
      <c r="B3172" s="286">
        <v>2024</v>
      </c>
      <c r="C3172" s="286" t="s">
        <v>821</v>
      </c>
      <c r="D3172" s="286" t="s">
        <v>931</v>
      </c>
      <c r="E3172" s="113" t="s">
        <v>2</v>
      </c>
      <c r="F3172" s="113" t="s">
        <v>935</v>
      </c>
    </row>
    <row r="3173" spans="1:6" ht="14.25" customHeight="1">
      <c r="A3173" s="286" t="s">
        <v>826</v>
      </c>
      <c r="B3173" s="286">
        <v>2024</v>
      </c>
      <c r="C3173" s="286" t="s">
        <v>821</v>
      </c>
      <c r="D3173" s="286" t="s">
        <v>931</v>
      </c>
      <c r="E3173" s="286" t="s">
        <v>1034</v>
      </c>
      <c r="F3173" s="113" t="s">
        <v>922</v>
      </c>
    </row>
    <row r="3174" spans="1:6" ht="14.25" customHeight="1">
      <c r="A3174" s="286" t="s">
        <v>826</v>
      </c>
      <c r="B3174" s="286">
        <v>2024</v>
      </c>
      <c r="C3174" s="286" t="s">
        <v>821</v>
      </c>
      <c r="D3174" s="286" t="s">
        <v>931</v>
      </c>
      <c r="E3174" s="286" t="s">
        <v>987</v>
      </c>
      <c r="F3174" s="113" t="s">
        <v>935</v>
      </c>
    </row>
    <row r="3175" spans="1:6" ht="14.25" customHeight="1">
      <c r="A3175" s="286" t="s">
        <v>826</v>
      </c>
      <c r="B3175" s="286">
        <v>2024</v>
      </c>
      <c r="C3175" s="286" t="s">
        <v>821</v>
      </c>
      <c r="D3175" s="286" t="s">
        <v>976</v>
      </c>
      <c r="E3175" s="286" t="s">
        <v>981</v>
      </c>
      <c r="F3175" s="113" t="s">
        <v>906</v>
      </c>
    </row>
    <row r="3176" spans="1:6" ht="14.25" customHeight="1">
      <c r="A3176" s="286" t="s">
        <v>826</v>
      </c>
      <c r="B3176" s="286">
        <v>2024</v>
      </c>
      <c r="C3176" s="286" t="s">
        <v>821</v>
      </c>
      <c r="D3176" s="286" t="s">
        <v>976</v>
      </c>
      <c r="E3176" s="286" t="s">
        <v>981</v>
      </c>
      <c r="F3176" s="113" t="s">
        <v>906</v>
      </c>
    </row>
    <row r="3177" spans="1:6" ht="14.25" customHeight="1">
      <c r="A3177" s="286" t="s">
        <v>826</v>
      </c>
      <c r="B3177" s="286">
        <v>2024</v>
      </c>
      <c r="C3177" s="286" t="s">
        <v>821</v>
      </c>
      <c r="D3177" s="286" t="s">
        <v>976</v>
      </c>
      <c r="E3177" s="286" t="s">
        <v>1028</v>
      </c>
      <c r="F3177" s="113" t="s">
        <v>906</v>
      </c>
    </row>
    <row r="3178" spans="1:6" ht="14.25" customHeight="1">
      <c r="A3178" s="286" t="s">
        <v>826</v>
      </c>
      <c r="B3178" s="286">
        <v>2024</v>
      </c>
      <c r="C3178" s="286" t="s">
        <v>821</v>
      </c>
      <c r="D3178" s="286" t="s">
        <v>976</v>
      </c>
      <c r="E3178" s="286" t="s">
        <v>2</v>
      </c>
      <c r="F3178" s="113" t="s">
        <v>483</v>
      </c>
    </row>
    <row r="3179" spans="1:6" ht="14.25" customHeight="1">
      <c r="A3179" s="286" t="s">
        <v>826</v>
      </c>
      <c r="B3179" s="286">
        <v>2024</v>
      </c>
      <c r="C3179" s="286" t="s">
        <v>821</v>
      </c>
      <c r="D3179" s="286" t="s">
        <v>976</v>
      </c>
      <c r="E3179" s="286" t="s">
        <v>970</v>
      </c>
      <c r="F3179" s="113" t="s">
        <v>915</v>
      </c>
    </row>
    <row r="3180" spans="1:6" ht="14.25" customHeight="1">
      <c r="A3180" s="286" t="s">
        <v>826</v>
      </c>
      <c r="B3180" s="286">
        <v>2024</v>
      </c>
      <c r="C3180" s="286" t="s">
        <v>821</v>
      </c>
      <c r="D3180" s="286" t="s">
        <v>976</v>
      </c>
      <c r="E3180" s="286" t="s">
        <v>1066</v>
      </c>
      <c r="F3180" s="113" t="s">
        <v>935</v>
      </c>
    </row>
    <row r="3181" spans="1:6" ht="14.25" customHeight="1">
      <c r="A3181" s="286" t="s">
        <v>826</v>
      </c>
      <c r="B3181" s="286">
        <v>2024</v>
      </c>
      <c r="C3181" s="286" t="s">
        <v>821</v>
      </c>
      <c r="D3181" s="286" t="s">
        <v>1033</v>
      </c>
      <c r="E3181" s="286" t="s">
        <v>1003</v>
      </c>
      <c r="F3181" s="113" t="s">
        <v>483</v>
      </c>
    </row>
    <row r="3182" spans="1:6" ht="14.25" customHeight="1">
      <c r="A3182" s="286" t="s">
        <v>826</v>
      </c>
      <c r="B3182" s="286">
        <v>2024</v>
      </c>
      <c r="C3182" s="286" t="s">
        <v>88</v>
      </c>
      <c r="D3182" s="286" t="s">
        <v>958</v>
      </c>
      <c r="E3182" s="286" t="s">
        <v>989</v>
      </c>
      <c r="F3182" s="113" t="s">
        <v>935</v>
      </c>
    </row>
    <row r="3183" spans="1:6" ht="14.25" customHeight="1">
      <c r="A3183" s="286" t="s">
        <v>826</v>
      </c>
      <c r="B3183" s="286">
        <v>2024</v>
      </c>
      <c r="C3183" s="286" t="s">
        <v>88</v>
      </c>
      <c r="D3183" s="286" t="s">
        <v>969</v>
      </c>
      <c r="E3183" s="286" t="s">
        <v>954</v>
      </c>
      <c r="F3183" s="113" t="s">
        <v>906</v>
      </c>
    </row>
    <row r="3184" spans="1:6" ht="14.25" customHeight="1">
      <c r="A3184" s="286" t="s">
        <v>826</v>
      </c>
      <c r="B3184" s="286">
        <v>2024</v>
      </c>
      <c r="C3184" s="286" t="s">
        <v>88</v>
      </c>
      <c r="D3184" s="286" t="s">
        <v>969</v>
      </c>
      <c r="E3184" s="286" t="s">
        <v>991</v>
      </c>
      <c r="F3184" s="113" t="s">
        <v>906</v>
      </c>
    </row>
    <row r="3185" spans="1:6" ht="14.25" customHeight="1">
      <c r="A3185" s="286" t="s">
        <v>826</v>
      </c>
      <c r="B3185" s="286">
        <v>2024</v>
      </c>
      <c r="C3185" s="286" t="s">
        <v>88</v>
      </c>
      <c r="D3185" s="286" t="s">
        <v>969</v>
      </c>
      <c r="E3185" s="286" t="s">
        <v>1116</v>
      </c>
      <c r="F3185" s="113" t="s">
        <v>909</v>
      </c>
    </row>
    <row r="3186" spans="1:6" ht="14.25" customHeight="1">
      <c r="A3186" s="286" t="s">
        <v>826</v>
      </c>
      <c r="B3186" s="286">
        <v>2024</v>
      </c>
      <c r="C3186" s="286" t="s">
        <v>88</v>
      </c>
      <c r="D3186" s="286" t="s">
        <v>969</v>
      </c>
      <c r="E3186" s="286" t="s">
        <v>939</v>
      </c>
      <c r="F3186" s="113" t="s">
        <v>909</v>
      </c>
    </row>
    <row r="3187" spans="1:6" ht="14.25" customHeight="1">
      <c r="A3187" s="286" t="s">
        <v>826</v>
      </c>
      <c r="B3187" s="286">
        <v>2024</v>
      </c>
      <c r="C3187" s="286" t="s">
        <v>88</v>
      </c>
      <c r="D3187" s="286" t="s">
        <v>969</v>
      </c>
      <c r="E3187" s="286" t="s">
        <v>1034</v>
      </c>
      <c r="F3187" s="113" t="s">
        <v>922</v>
      </c>
    </row>
    <row r="3188" spans="1:6" ht="14.25" customHeight="1">
      <c r="A3188" s="286" t="s">
        <v>826</v>
      </c>
      <c r="B3188" s="286">
        <v>2024</v>
      </c>
      <c r="C3188" s="286" t="s">
        <v>88</v>
      </c>
      <c r="D3188" s="286" t="s">
        <v>969</v>
      </c>
      <c r="E3188" s="286" t="s">
        <v>984</v>
      </c>
      <c r="F3188" s="113" t="s">
        <v>935</v>
      </c>
    </row>
    <row r="3189" spans="1:6" ht="14.25" customHeight="1">
      <c r="A3189" s="286" t="s">
        <v>826</v>
      </c>
      <c r="B3189" s="286">
        <v>2024</v>
      </c>
      <c r="C3189" s="286" t="s">
        <v>88</v>
      </c>
      <c r="D3189" s="286" t="s">
        <v>988</v>
      </c>
      <c r="E3189" s="286" t="s">
        <v>1118</v>
      </c>
      <c r="F3189" s="113" t="s">
        <v>909</v>
      </c>
    </row>
    <row r="3190" spans="1:6" ht="14.25" customHeight="1">
      <c r="A3190" s="286" t="s">
        <v>826</v>
      </c>
      <c r="B3190" s="286">
        <v>2024</v>
      </c>
      <c r="C3190" s="286" t="s">
        <v>88</v>
      </c>
      <c r="D3190" s="286" t="s">
        <v>988</v>
      </c>
      <c r="E3190" s="286" t="s">
        <v>941</v>
      </c>
      <c r="F3190" s="113" t="s">
        <v>663</v>
      </c>
    </row>
    <row r="3191" spans="1:6" ht="14.25" customHeight="1">
      <c r="A3191" s="286" t="s">
        <v>826</v>
      </c>
      <c r="B3191" s="286">
        <v>2024</v>
      </c>
      <c r="C3191" s="286" t="s">
        <v>88</v>
      </c>
      <c r="D3191" s="286" t="s">
        <v>988</v>
      </c>
      <c r="E3191" s="286" t="s">
        <v>948</v>
      </c>
      <c r="F3191" s="113" t="s">
        <v>922</v>
      </c>
    </row>
    <row r="3192" spans="1:6" ht="14.25" customHeight="1">
      <c r="A3192" s="286" t="s">
        <v>826</v>
      </c>
      <c r="B3192" s="286">
        <v>2024</v>
      </c>
      <c r="C3192" s="286" t="s">
        <v>88</v>
      </c>
      <c r="D3192" s="286" t="s">
        <v>988</v>
      </c>
      <c r="E3192" s="286" t="s">
        <v>1100</v>
      </c>
      <c r="F3192" s="113" t="s">
        <v>935</v>
      </c>
    </row>
    <row r="3193" spans="1:6" ht="14.25" customHeight="1">
      <c r="A3193" s="286" t="s">
        <v>826</v>
      </c>
      <c r="B3193" s="286">
        <v>2024</v>
      </c>
      <c r="C3193" s="286" t="s">
        <v>88</v>
      </c>
      <c r="D3193" s="286" t="s">
        <v>988</v>
      </c>
      <c r="E3193" s="286" t="s">
        <v>1004</v>
      </c>
      <c r="F3193" s="113" t="s">
        <v>935</v>
      </c>
    </row>
    <row r="3194" spans="1:6" ht="14.25" customHeight="1">
      <c r="A3194" s="286" t="s">
        <v>826</v>
      </c>
      <c r="B3194" s="286">
        <v>2024</v>
      </c>
      <c r="C3194" s="286" t="s">
        <v>88</v>
      </c>
      <c r="D3194" s="286" t="s">
        <v>956</v>
      </c>
      <c r="E3194" s="286" t="s">
        <v>953</v>
      </c>
      <c r="F3194" s="113" t="s">
        <v>906</v>
      </c>
    </row>
    <row r="3195" spans="1:6" ht="14.25" customHeight="1">
      <c r="A3195" s="286" t="s">
        <v>826</v>
      </c>
      <c r="B3195" s="286">
        <v>2024</v>
      </c>
      <c r="C3195" s="286" t="s">
        <v>88</v>
      </c>
      <c r="D3195" s="286" t="s">
        <v>956</v>
      </c>
      <c r="E3195" s="286" t="s">
        <v>948</v>
      </c>
      <c r="F3195" s="113" t="s">
        <v>922</v>
      </c>
    </row>
    <row r="3196" spans="1:6" ht="14.25" customHeight="1">
      <c r="A3196" s="286" t="s">
        <v>826</v>
      </c>
      <c r="B3196" s="286">
        <v>2024</v>
      </c>
      <c r="C3196" s="286" t="s">
        <v>88</v>
      </c>
      <c r="D3196" s="286" t="s">
        <v>956</v>
      </c>
      <c r="E3196" s="286" t="s">
        <v>984</v>
      </c>
      <c r="F3196" s="113" t="s">
        <v>935</v>
      </c>
    </row>
    <row r="3197" spans="1:6" ht="14.25" customHeight="1">
      <c r="A3197" s="286" t="s">
        <v>826</v>
      </c>
      <c r="B3197" s="286">
        <v>2024</v>
      </c>
      <c r="C3197" s="286" t="s">
        <v>88</v>
      </c>
      <c r="D3197" s="286" t="s">
        <v>966</v>
      </c>
      <c r="E3197" s="286" t="s">
        <v>1130</v>
      </c>
      <c r="F3197" s="113" t="s">
        <v>483</v>
      </c>
    </row>
    <row r="3198" spans="1:6" ht="14.25" customHeight="1">
      <c r="A3198" s="286" t="s">
        <v>826</v>
      </c>
      <c r="B3198" s="286">
        <v>2024</v>
      </c>
      <c r="C3198" s="286" t="s">
        <v>859</v>
      </c>
      <c r="D3198" s="286" t="s">
        <v>999</v>
      </c>
      <c r="E3198" s="286" t="s">
        <v>930</v>
      </c>
      <c r="F3198" s="113" t="s">
        <v>906</v>
      </c>
    </row>
    <row r="3199" spans="1:6" ht="14.25" customHeight="1">
      <c r="A3199" s="286" t="s">
        <v>826</v>
      </c>
      <c r="B3199" s="286">
        <v>2024</v>
      </c>
      <c r="C3199" s="286" t="s">
        <v>859</v>
      </c>
      <c r="D3199" s="286" t="s">
        <v>1005</v>
      </c>
      <c r="E3199" s="286" t="s">
        <v>1020</v>
      </c>
      <c r="F3199" s="113" t="s">
        <v>909</v>
      </c>
    </row>
    <row r="3200" spans="1:6" ht="14.25" customHeight="1">
      <c r="A3200" s="286" t="s">
        <v>826</v>
      </c>
      <c r="B3200" s="286">
        <v>2024</v>
      </c>
      <c r="C3200" s="286" t="s">
        <v>859</v>
      </c>
      <c r="D3200" s="286" t="s">
        <v>1005</v>
      </c>
      <c r="E3200" s="286" t="s">
        <v>1178</v>
      </c>
      <c r="F3200" s="113" t="s">
        <v>483</v>
      </c>
    </row>
    <row r="3201" spans="1:6" ht="14.25" customHeight="1">
      <c r="A3201" s="286" t="s">
        <v>826</v>
      </c>
      <c r="B3201" s="286">
        <v>2024</v>
      </c>
      <c r="C3201" s="286" t="s">
        <v>859</v>
      </c>
      <c r="D3201" s="286" t="s">
        <v>1005</v>
      </c>
      <c r="E3201" s="286" t="s">
        <v>1156</v>
      </c>
      <c r="F3201" s="113" t="s">
        <v>483</v>
      </c>
    </row>
    <row r="3202" spans="1:6" ht="14.25" customHeight="1">
      <c r="A3202" s="286" t="s">
        <v>826</v>
      </c>
      <c r="B3202" s="286">
        <v>2024</v>
      </c>
      <c r="C3202" s="286" t="s">
        <v>859</v>
      </c>
      <c r="D3202" s="286" t="s">
        <v>1005</v>
      </c>
      <c r="E3202" s="286" t="s">
        <v>1030</v>
      </c>
      <c r="F3202" s="113" t="s">
        <v>935</v>
      </c>
    </row>
    <row r="3203" spans="1:6" ht="14.25" customHeight="1">
      <c r="A3203" s="286" t="s">
        <v>826</v>
      </c>
      <c r="B3203" s="286">
        <v>2024</v>
      </c>
      <c r="C3203" s="286" t="s">
        <v>859</v>
      </c>
      <c r="D3203" s="286" t="s">
        <v>1000</v>
      </c>
      <c r="E3203" s="286" t="s">
        <v>1276</v>
      </c>
      <c r="F3203" s="113" t="s">
        <v>911</v>
      </c>
    </row>
    <row r="3204" spans="1:6" ht="14.25" customHeight="1">
      <c r="A3204" s="286" t="s">
        <v>826</v>
      </c>
      <c r="B3204" s="286">
        <v>2024</v>
      </c>
      <c r="C3204" s="286" t="s">
        <v>859</v>
      </c>
      <c r="D3204" s="286" t="s">
        <v>1000</v>
      </c>
      <c r="E3204" s="286" t="s">
        <v>938</v>
      </c>
      <c r="F3204" s="113" t="s">
        <v>663</v>
      </c>
    </row>
    <row r="3205" spans="1:6" ht="14.25" customHeight="1">
      <c r="A3205" s="286" t="s">
        <v>826</v>
      </c>
      <c r="B3205" s="286">
        <v>2024</v>
      </c>
      <c r="C3205" s="286" t="s">
        <v>859</v>
      </c>
      <c r="D3205" s="286" t="s">
        <v>1000</v>
      </c>
      <c r="E3205" s="286" t="s">
        <v>1108</v>
      </c>
      <c r="F3205" s="113" t="s">
        <v>915</v>
      </c>
    </row>
    <row r="3206" spans="1:6" ht="14.25" customHeight="1">
      <c r="A3206" s="286" t="s">
        <v>826</v>
      </c>
      <c r="B3206" s="286">
        <v>2024</v>
      </c>
      <c r="C3206" s="286" t="s">
        <v>859</v>
      </c>
      <c r="D3206" s="286" t="s">
        <v>1000</v>
      </c>
      <c r="E3206" s="286" t="s">
        <v>1003</v>
      </c>
      <c r="F3206" s="113" t="s">
        <v>918</v>
      </c>
    </row>
    <row r="3207" spans="1:6" ht="14.25" customHeight="1">
      <c r="A3207" s="286" t="s">
        <v>826</v>
      </c>
      <c r="B3207" s="286">
        <v>2024</v>
      </c>
      <c r="C3207" s="286" t="s">
        <v>859</v>
      </c>
      <c r="D3207" s="286" t="s">
        <v>1000</v>
      </c>
      <c r="E3207" s="286" t="s">
        <v>1048</v>
      </c>
      <c r="F3207" s="113" t="s">
        <v>917</v>
      </c>
    </row>
    <row r="3208" spans="1:6" ht="14.25" customHeight="1">
      <c r="A3208" s="286" t="s">
        <v>826</v>
      </c>
      <c r="B3208" s="286">
        <v>2024</v>
      </c>
      <c r="C3208" s="286" t="s">
        <v>859</v>
      </c>
      <c r="D3208" s="286" t="s">
        <v>1082</v>
      </c>
      <c r="E3208" s="286" t="s">
        <v>1283</v>
      </c>
      <c r="F3208" s="113" t="s">
        <v>924</v>
      </c>
    </row>
    <row r="3209" spans="1:6" ht="14.25" customHeight="1">
      <c r="A3209" s="286" t="s">
        <v>826</v>
      </c>
      <c r="B3209" s="286">
        <v>2024</v>
      </c>
      <c r="C3209" s="286" t="s">
        <v>872</v>
      </c>
      <c r="D3209" s="286" t="s">
        <v>1018</v>
      </c>
      <c r="E3209" s="286" t="s">
        <v>952</v>
      </c>
      <c r="F3209" s="113" t="s">
        <v>906</v>
      </c>
    </row>
    <row r="3210" spans="1:6" ht="14.25" customHeight="1">
      <c r="A3210" s="286" t="s">
        <v>826</v>
      </c>
      <c r="B3210" s="286">
        <v>2024</v>
      </c>
      <c r="C3210" s="286" t="s">
        <v>872</v>
      </c>
      <c r="D3210" s="286" t="s">
        <v>1018</v>
      </c>
      <c r="E3210" s="286" t="s">
        <v>1090</v>
      </c>
      <c r="F3210" s="113" t="s">
        <v>935</v>
      </c>
    </row>
    <row r="3211" spans="1:6" ht="14.25" customHeight="1">
      <c r="A3211" s="286" t="s">
        <v>826</v>
      </c>
      <c r="B3211" s="286">
        <v>2024</v>
      </c>
      <c r="C3211" s="286" t="s">
        <v>872</v>
      </c>
      <c r="D3211" s="286" t="s">
        <v>1012</v>
      </c>
      <c r="E3211" s="286" t="s">
        <v>1003</v>
      </c>
      <c r="F3211" s="113" t="s">
        <v>918</v>
      </c>
    </row>
    <row r="3212" spans="1:6" ht="14.25" customHeight="1">
      <c r="A3212" s="286" t="s">
        <v>826</v>
      </c>
      <c r="B3212" s="286">
        <v>2024</v>
      </c>
      <c r="C3212" s="286" t="s">
        <v>872</v>
      </c>
      <c r="D3212" s="286" t="s">
        <v>1012</v>
      </c>
      <c r="E3212" s="286" t="s">
        <v>1023</v>
      </c>
      <c r="F3212" s="113" t="s">
        <v>935</v>
      </c>
    </row>
    <row r="3213" spans="1:6" ht="14.25" customHeight="1">
      <c r="A3213" s="286" t="s">
        <v>826</v>
      </c>
      <c r="B3213" s="286">
        <v>2024</v>
      </c>
      <c r="C3213" s="286" t="s">
        <v>872</v>
      </c>
      <c r="D3213" s="286" t="s">
        <v>1012</v>
      </c>
      <c r="E3213" s="286" t="s">
        <v>1090</v>
      </c>
      <c r="F3213" s="113" t="s">
        <v>935</v>
      </c>
    </row>
    <row r="3214" spans="1:6" ht="14.25" customHeight="1">
      <c r="A3214" s="286" t="s">
        <v>826</v>
      </c>
      <c r="B3214" s="286">
        <v>2024</v>
      </c>
      <c r="C3214" s="286" t="s">
        <v>1024</v>
      </c>
      <c r="D3214" s="286" t="s">
        <v>1025</v>
      </c>
      <c r="E3214" s="286" t="s">
        <v>939</v>
      </c>
      <c r="F3214" s="113" t="s">
        <v>909</v>
      </c>
    </row>
    <row r="3215" spans="1:6" ht="14.25" customHeight="1">
      <c r="A3215" s="286" t="s">
        <v>826</v>
      </c>
      <c r="B3215" s="286">
        <v>2024</v>
      </c>
      <c r="C3215" s="286" t="s">
        <v>1024</v>
      </c>
      <c r="D3215" s="286" t="s">
        <v>1025</v>
      </c>
      <c r="E3215" s="286" t="s">
        <v>2</v>
      </c>
      <c r="F3215" s="113" t="s">
        <v>483</v>
      </c>
    </row>
    <row r="3216" spans="1:6" ht="14.25" customHeight="1">
      <c r="A3216" s="286" t="s">
        <v>826</v>
      </c>
      <c r="B3216" s="286">
        <v>2024</v>
      </c>
      <c r="C3216" s="286" t="s">
        <v>1024</v>
      </c>
      <c r="D3216" s="286" t="s">
        <v>1025</v>
      </c>
      <c r="E3216" s="286" t="s">
        <v>1058</v>
      </c>
      <c r="F3216" s="113" t="s">
        <v>911</v>
      </c>
    </row>
    <row r="3217" spans="1:6" ht="14.25" customHeight="1">
      <c r="A3217" s="286" t="s">
        <v>826</v>
      </c>
      <c r="B3217" s="286">
        <v>2024</v>
      </c>
      <c r="C3217" s="286" t="s">
        <v>1024</v>
      </c>
      <c r="D3217" s="286" t="s">
        <v>1027</v>
      </c>
      <c r="E3217" s="286" t="s">
        <v>1036</v>
      </c>
      <c r="F3217" s="113" t="s">
        <v>906</v>
      </c>
    </row>
    <row r="3218" spans="1:6" ht="14.25" customHeight="1">
      <c r="A3218" s="286" t="s">
        <v>826</v>
      </c>
      <c r="B3218" s="286">
        <v>2024</v>
      </c>
      <c r="C3218" s="286" t="s">
        <v>1024</v>
      </c>
      <c r="D3218" s="286" t="s">
        <v>1027</v>
      </c>
      <c r="E3218" s="286" t="s">
        <v>1281</v>
      </c>
      <c r="F3218" s="113" t="s">
        <v>911</v>
      </c>
    </row>
    <row r="3219" spans="1:6" ht="14.25" customHeight="1">
      <c r="A3219" s="286" t="s">
        <v>826</v>
      </c>
      <c r="B3219" s="286">
        <v>2024</v>
      </c>
      <c r="C3219" s="286" t="s">
        <v>1024</v>
      </c>
      <c r="D3219" s="286" t="s">
        <v>1027</v>
      </c>
      <c r="E3219" s="286" t="s">
        <v>951</v>
      </c>
      <c r="F3219" s="113" t="s">
        <v>917</v>
      </c>
    </row>
    <row r="3220" spans="1:6" ht="14.25" customHeight="1">
      <c r="A3220" s="286" t="s">
        <v>826</v>
      </c>
      <c r="B3220" s="286">
        <v>2024</v>
      </c>
      <c r="C3220" s="286" t="s">
        <v>1024</v>
      </c>
      <c r="D3220" s="286" t="s">
        <v>1027</v>
      </c>
      <c r="E3220" s="286" t="s">
        <v>1062</v>
      </c>
      <c r="F3220" s="113" t="s">
        <v>922</v>
      </c>
    </row>
    <row r="3221" spans="1:6" ht="14.25" customHeight="1">
      <c r="A3221" s="286" t="s">
        <v>826</v>
      </c>
      <c r="B3221" s="286">
        <v>2024</v>
      </c>
      <c r="C3221" s="286" t="s">
        <v>1024</v>
      </c>
      <c r="D3221" s="286" t="s">
        <v>1027</v>
      </c>
      <c r="E3221" s="286" t="s">
        <v>1023</v>
      </c>
      <c r="F3221" s="113" t="s">
        <v>935</v>
      </c>
    </row>
    <row r="3222" spans="1:6" ht="14.25" customHeight="1">
      <c r="A3222" s="286" t="s">
        <v>826</v>
      </c>
      <c r="B3222" s="286">
        <v>2024</v>
      </c>
      <c r="C3222" s="286" t="s">
        <v>1024</v>
      </c>
      <c r="D3222" s="286" t="s">
        <v>1027</v>
      </c>
      <c r="E3222" s="286" t="s">
        <v>1004</v>
      </c>
      <c r="F3222" s="113" t="s">
        <v>935</v>
      </c>
    </row>
    <row r="3223" spans="1:6" ht="14.25" customHeight="1">
      <c r="A3223" s="286" t="s">
        <v>827</v>
      </c>
      <c r="B3223" s="286">
        <v>2024</v>
      </c>
      <c r="C3223" s="286" t="s">
        <v>821</v>
      </c>
      <c r="D3223" s="286" t="s">
        <v>132</v>
      </c>
      <c r="E3223" s="286" t="s">
        <v>954</v>
      </c>
      <c r="F3223" s="113" t="s">
        <v>906</v>
      </c>
    </row>
    <row r="3224" spans="1:6" ht="14.25" customHeight="1">
      <c r="A3224" s="286" t="s">
        <v>827</v>
      </c>
      <c r="B3224" s="286">
        <v>2024</v>
      </c>
      <c r="C3224" s="286" t="s">
        <v>821</v>
      </c>
      <c r="D3224" s="286" t="s">
        <v>132</v>
      </c>
      <c r="E3224" s="286" t="s">
        <v>954</v>
      </c>
      <c r="F3224" s="113" t="s">
        <v>906</v>
      </c>
    </row>
    <row r="3225" spans="1:6" ht="14.25" customHeight="1">
      <c r="A3225" s="286" t="s">
        <v>827</v>
      </c>
      <c r="B3225" s="286">
        <v>2024</v>
      </c>
      <c r="C3225" s="286" t="s">
        <v>821</v>
      </c>
      <c r="D3225" s="286" t="s">
        <v>132</v>
      </c>
      <c r="E3225" s="286" t="s">
        <v>1036</v>
      </c>
      <c r="F3225" s="113" t="s">
        <v>906</v>
      </c>
    </row>
    <row r="3226" spans="1:6" ht="14.25" customHeight="1">
      <c r="A3226" s="286" t="s">
        <v>827</v>
      </c>
      <c r="B3226" s="286">
        <v>2024</v>
      </c>
      <c r="C3226" s="286" t="s">
        <v>821</v>
      </c>
      <c r="D3226" s="286" t="s">
        <v>132</v>
      </c>
      <c r="E3226" s="286" t="s">
        <v>1036</v>
      </c>
      <c r="F3226" s="113" t="s">
        <v>906</v>
      </c>
    </row>
    <row r="3227" spans="1:6" ht="14.25" customHeight="1">
      <c r="A3227" s="286" t="s">
        <v>827</v>
      </c>
      <c r="B3227" s="286">
        <v>2024</v>
      </c>
      <c r="C3227" s="286" t="s">
        <v>821</v>
      </c>
      <c r="D3227" s="286" t="s">
        <v>132</v>
      </c>
      <c r="E3227" s="286" t="s">
        <v>952</v>
      </c>
      <c r="F3227" s="113" t="s">
        <v>906</v>
      </c>
    </row>
    <row r="3228" spans="1:6" ht="14.25" customHeight="1">
      <c r="A3228" s="286" t="s">
        <v>827</v>
      </c>
      <c r="B3228" s="286">
        <v>2024</v>
      </c>
      <c r="C3228" s="286" t="s">
        <v>821</v>
      </c>
      <c r="D3228" s="286" t="s">
        <v>132</v>
      </c>
      <c r="E3228" s="286" t="s">
        <v>1126</v>
      </c>
      <c r="F3228" s="113" t="s">
        <v>483</v>
      </c>
    </row>
    <row r="3229" spans="1:6" ht="14.25" customHeight="1">
      <c r="A3229" s="286" t="s">
        <v>827</v>
      </c>
      <c r="B3229" s="286">
        <v>2024</v>
      </c>
      <c r="C3229" s="286" t="s">
        <v>821</v>
      </c>
      <c r="D3229" s="286" t="s">
        <v>132</v>
      </c>
      <c r="E3229" s="286" t="s">
        <v>972</v>
      </c>
      <c r="F3229" s="113" t="s">
        <v>911</v>
      </c>
    </row>
    <row r="3230" spans="1:6" ht="14.25" customHeight="1">
      <c r="A3230" s="286" t="s">
        <v>827</v>
      </c>
      <c r="B3230" s="286">
        <v>2024</v>
      </c>
      <c r="C3230" s="286" t="s">
        <v>821</v>
      </c>
      <c r="D3230" s="286" t="s">
        <v>132</v>
      </c>
      <c r="E3230" s="113" t="s">
        <v>2</v>
      </c>
      <c r="F3230" s="113" t="s">
        <v>935</v>
      </c>
    </row>
    <row r="3231" spans="1:6" ht="14.25" customHeight="1">
      <c r="A3231" s="286" t="s">
        <v>827</v>
      </c>
      <c r="B3231" s="286">
        <v>2024</v>
      </c>
      <c r="C3231" s="286" t="s">
        <v>821</v>
      </c>
      <c r="D3231" s="286" t="s">
        <v>934</v>
      </c>
      <c r="E3231" s="286" t="s">
        <v>954</v>
      </c>
      <c r="F3231" s="113" t="s">
        <v>906</v>
      </c>
    </row>
    <row r="3232" spans="1:6" ht="14.25" customHeight="1">
      <c r="A3232" s="286" t="s">
        <v>827</v>
      </c>
      <c r="B3232" s="286">
        <v>2024</v>
      </c>
      <c r="C3232" s="286" t="s">
        <v>821</v>
      </c>
      <c r="D3232" s="286" t="s">
        <v>934</v>
      </c>
      <c r="E3232" s="286" t="s">
        <v>1040</v>
      </c>
      <c r="F3232" s="113" t="s">
        <v>906</v>
      </c>
    </row>
    <row r="3233" spans="1:6" ht="14.25" customHeight="1">
      <c r="A3233" s="286" t="s">
        <v>827</v>
      </c>
      <c r="B3233" s="286">
        <v>2024</v>
      </c>
      <c r="C3233" s="286" t="s">
        <v>821</v>
      </c>
      <c r="D3233" s="286" t="s">
        <v>934</v>
      </c>
      <c r="E3233" s="286" t="s">
        <v>991</v>
      </c>
      <c r="F3233" s="113" t="s">
        <v>906</v>
      </c>
    </row>
    <row r="3234" spans="1:6" ht="14.25" customHeight="1">
      <c r="A3234" s="286" t="s">
        <v>827</v>
      </c>
      <c r="B3234" s="286">
        <v>2024</v>
      </c>
      <c r="C3234" s="286" t="s">
        <v>821</v>
      </c>
      <c r="D3234" s="286" t="s">
        <v>934</v>
      </c>
      <c r="E3234" s="286" t="s">
        <v>1126</v>
      </c>
      <c r="F3234" s="113" t="s">
        <v>483</v>
      </c>
    </row>
    <row r="3235" spans="1:6" ht="14.25" customHeight="1">
      <c r="A3235" s="286" t="s">
        <v>827</v>
      </c>
      <c r="B3235" s="286">
        <v>2024</v>
      </c>
      <c r="C3235" s="286" t="s">
        <v>821</v>
      </c>
      <c r="D3235" s="286" t="s">
        <v>934</v>
      </c>
      <c r="E3235" s="286" t="s">
        <v>1173</v>
      </c>
      <c r="F3235" s="113" t="s">
        <v>911</v>
      </c>
    </row>
    <row r="3236" spans="1:6" ht="14.25" customHeight="1">
      <c r="A3236" s="286" t="s">
        <v>827</v>
      </c>
      <c r="B3236" s="286">
        <v>2024</v>
      </c>
      <c r="C3236" s="286" t="s">
        <v>821</v>
      </c>
      <c r="D3236" s="286" t="s">
        <v>934</v>
      </c>
      <c r="E3236" s="113" t="s">
        <v>2</v>
      </c>
      <c r="F3236" s="113" t="s">
        <v>924</v>
      </c>
    </row>
    <row r="3237" spans="1:6" ht="14.25" customHeight="1">
      <c r="A3237" s="286" t="s">
        <v>827</v>
      </c>
      <c r="B3237" s="286">
        <v>2024</v>
      </c>
      <c r="C3237" s="286" t="s">
        <v>821</v>
      </c>
      <c r="D3237" s="286" t="s">
        <v>931</v>
      </c>
      <c r="E3237" s="286" t="s">
        <v>1040</v>
      </c>
      <c r="F3237" s="113" t="s">
        <v>906</v>
      </c>
    </row>
    <row r="3238" spans="1:6" ht="14.25" customHeight="1">
      <c r="A3238" s="286" t="s">
        <v>827</v>
      </c>
      <c r="B3238" s="286">
        <v>2024</v>
      </c>
      <c r="C3238" s="286" t="s">
        <v>821</v>
      </c>
      <c r="D3238" s="286" t="s">
        <v>976</v>
      </c>
      <c r="E3238" s="286" t="s">
        <v>953</v>
      </c>
      <c r="F3238" s="113" t="s">
        <v>906</v>
      </c>
    </row>
    <row r="3239" spans="1:6" ht="14.25" customHeight="1">
      <c r="A3239" s="286" t="s">
        <v>827</v>
      </c>
      <c r="B3239" s="286">
        <v>2024</v>
      </c>
      <c r="C3239" s="286" t="s">
        <v>821</v>
      </c>
      <c r="D3239" s="286" t="s">
        <v>976</v>
      </c>
      <c r="E3239" s="286" t="s">
        <v>1028</v>
      </c>
      <c r="F3239" s="113" t="s">
        <v>906</v>
      </c>
    </row>
    <row r="3240" spans="1:6" ht="14.25" customHeight="1">
      <c r="A3240" s="286" t="s">
        <v>827</v>
      </c>
      <c r="B3240" s="286">
        <v>2024</v>
      </c>
      <c r="C3240" s="286" t="s">
        <v>821</v>
      </c>
      <c r="D3240" s="286" t="s">
        <v>976</v>
      </c>
      <c r="E3240" s="286" t="s">
        <v>1041</v>
      </c>
      <c r="F3240" s="113" t="s">
        <v>906</v>
      </c>
    </row>
    <row r="3241" spans="1:6" ht="14.25" customHeight="1">
      <c r="A3241" s="286" t="s">
        <v>827</v>
      </c>
      <c r="B3241" s="286">
        <v>2024</v>
      </c>
      <c r="C3241" s="286" t="s">
        <v>821</v>
      </c>
      <c r="D3241" s="286" t="s">
        <v>976</v>
      </c>
      <c r="E3241" s="286" t="s">
        <v>1092</v>
      </c>
      <c r="F3241" s="113" t="s">
        <v>911</v>
      </c>
    </row>
    <row r="3242" spans="1:6" ht="14.25" customHeight="1">
      <c r="A3242" s="286" t="s">
        <v>827</v>
      </c>
      <c r="B3242" s="286">
        <v>2024</v>
      </c>
      <c r="C3242" s="286" t="s">
        <v>821</v>
      </c>
      <c r="D3242" s="286" t="s">
        <v>216</v>
      </c>
      <c r="E3242" s="113" t="s">
        <v>2</v>
      </c>
      <c r="F3242" s="113" t="s">
        <v>935</v>
      </c>
    </row>
    <row r="3243" spans="1:6" ht="14.25" customHeight="1">
      <c r="A3243" s="286" t="s">
        <v>827</v>
      </c>
      <c r="B3243" s="286">
        <v>2024</v>
      </c>
      <c r="C3243" s="286" t="s">
        <v>88</v>
      </c>
      <c r="D3243" s="286" t="s">
        <v>959</v>
      </c>
      <c r="E3243" s="286" t="s">
        <v>1100</v>
      </c>
      <c r="F3243" s="113" t="s">
        <v>935</v>
      </c>
    </row>
    <row r="3244" spans="1:6" ht="14.25" customHeight="1">
      <c r="A3244" s="286" t="s">
        <v>827</v>
      </c>
      <c r="B3244" s="286">
        <v>2024</v>
      </c>
      <c r="C3244" s="286" t="s">
        <v>88</v>
      </c>
      <c r="D3244" s="286" t="s">
        <v>959</v>
      </c>
      <c r="E3244" s="286" t="s">
        <v>997</v>
      </c>
      <c r="F3244" s="113" t="s">
        <v>935</v>
      </c>
    </row>
    <row r="3245" spans="1:6" ht="14.25" customHeight="1">
      <c r="A3245" s="286" t="s">
        <v>827</v>
      </c>
      <c r="B3245" s="286">
        <v>2024</v>
      </c>
      <c r="C3245" s="286" t="s">
        <v>88</v>
      </c>
      <c r="D3245" s="286" t="s">
        <v>959</v>
      </c>
      <c r="E3245" s="286" t="s">
        <v>997</v>
      </c>
      <c r="F3245" s="113" t="s">
        <v>935</v>
      </c>
    </row>
    <row r="3246" spans="1:6" ht="14.25" customHeight="1">
      <c r="A3246" s="286" t="s">
        <v>827</v>
      </c>
      <c r="B3246" s="286">
        <v>2024</v>
      </c>
      <c r="C3246" s="286" t="s">
        <v>88</v>
      </c>
      <c r="D3246" s="286" t="s">
        <v>969</v>
      </c>
      <c r="E3246" s="286" t="s">
        <v>1173</v>
      </c>
      <c r="F3246" s="113" t="s">
        <v>915</v>
      </c>
    </row>
    <row r="3247" spans="1:6" ht="14.25" customHeight="1">
      <c r="A3247" s="286" t="s">
        <v>827</v>
      </c>
      <c r="B3247" s="286">
        <v>2024</v>
      </c>
      <c r="C3247" s="286" t="s">
        <v>88</v>
      </c>
      <c r="D3247" s="286" t="s">
        <v>969</v>
      </c>
      <c r="E3247" s="286" t="s">
        <v>1023</v>
      </c>
      <c r="F3247" s="113" t="s">
        <v>935</v>
      </c>
    </row>
    <row r="3248" spans="1:6" ht="14.25" customHeight="1">
      <c r="A3248" s="286" t="s">
        <v>827</v>
      </c>
      <c r="B3248" s="286">
        <v>2024</v>
      </c>
      <c r="C3248" s="286" t="s">
        <v>88</v>
      </c>
      <c r="D3248" s="286" t="s">
        <v>969</v>
      </c>
      <c r="E3248" s="286" t="s">
        <v>1023</v>
      </c>
      <c r="F3248" s="113" t="s">
        <v>935</v>
      </c>
    </row>
    <row r="3249" spans="1:6" ht="14.25" customHeight="1">
      <c r="A3249" s="286" t="s">
        <v>827</v>
      </c>
      <c r="B3249" s="286">
        <v>2024</v>
      </c>
      <c r="C3249" s="286" t="s">
        <v>88</v>
      </c>
      <c r="D3249" s="286" t="s">
        <v>969</v>
      </c>
      <c r="E3249" s="286" t="s">
        <v>987</v>
      </c>
      <c r="F3249" s="113" t="s">
        <v>935</v>
      </c>
    </row>
    <row r="3250" spans="1:6" ht="14.25" customHeight="1">
      <c r="A3250" s="286" t="s">
        <v>827</v>
      </c>
      <c r="B3250" s="286">
        <v>2024</v>
      </c>
      <c r="C3250" s="286" t="s">
        <v>88</v>
      </c>
      <c r="D3250" s="286" t="s">
        <v>988</v>
      </c>
      <c r="E3250" s="286" t="s">
        <v>1023</v>
      </c>
      <c r="F3250" s="113" t="s">
        <v>935</v>
      </c>
    </row>
    <row r="3251" spans="1:6" ht="14.25" customHeight="1">
      <c r="A3251" s="286" t="s">
        <v>827</v>
      </c>
      <c r="B3251" s="286">
        <v>2024</v>
      </c>
      <c r="C3251" s="286" t="s">
        <v>88</v>
      </c>
      <c r="D3251" s="286" t="s">
        <v>956</v>
      </c>
      <c r="E3251" s="286" t="s">
        <v>987</v>
      </c>
      <c r="F3251" s="113" t="s">
        <v>935</v>
      </c>
    </row>
    <row r="3252" spans="1:6" ht="14.25" customHeight="1">
      <c r="A3252" s="286" t="s">
        <v>827</v>
      </c>
      <c r="B3252" s="286">
        <v>2024</v>
      </c>
      <c r="C3252" s="286" t="s">
        <v>88</v>
      </c>
      <c r="D3252" s="286" t="s">
        <v>966</v>
      </c>
      <c r="E3252" s="286" t="s">
        <v>1036</v>
      </c>
      <c r="F3252" s="113" t="s">
        <v>906</v>
      </c>
    </row>
    <row r="3253" spans="1:6" ht="14.25" customHeight="1">
      <c r="A3253" s="286" t="s">
        <v>827</v>
      </c>
      <c r="B3253" s="286">
        <v>2024</v>
      </c>
      <c r="C3253" s="286" t="s">
        <v>88</v>
      </c>
      <c r="D3253" s="286" t="s">
        <v>966</v>
      </c>
      <c r="E3253" s="286" t="s">
        <v>1023</v>
      </c>
      <c r="F3253" s="113" t="s">
        <v>935</v>
      </c>
    </row>
    <row r="3254" spans="1:6" ht="14.25" customHeight="1">
      <c r="A3254" s="286" t="s">
        <v>827</v>
      </c>
      <c r="B3254" s="286">
        <v>2024</v>
      </c>
      <c r="C3254" s="286" t="s">
        <v>859</v>
      </c>
      <c r="D3254" s="286" t="s">
        <v>999</v>
      </c>
      <c r="E3254" s="286" t="s">
        <v>954</v>
      </c>
      <c r="F3254" s="113" t="s">
        <v>906</v>
      </c>
    </row>
    <row r="3255" spans="1:6" ht="14.25" customHeight="1">
      <c r="A3255" s="286" t="s">
        <v>827</v>
      </c>
      <c r="B3255" s="286">
        <v>2024</v>
      </c>
      <c r="C3255" s="286" t="s">
        <v>859</v>
      </c>
      <c r="D3255" s="286" t="s">
        <v>999</v>
      </c>
      <c r="E3255" s="286" t="s">
        <v>1040</v>
      </c>
      <c r="F3255" s="113" t="s">
        <v>906</v>
      </c>
    </row>
    <row r="3256" spans="1:6" ht="14.25" customHeight="1">
      <c r="A3256" s="286" t="s">
        <v>827</v>
      </c>
      <c r="B3256" s="286">
        <v>2024</v>
      </c>
      <c r="C3256" s="286" t="s">
        <v>859</v>
      </c>
      <c r="D3256" s="286" t="s">
        <v>999</v>
      </c>
      <c r="E3256" s="286" t="s">
        <v>1040</v>
      </c>
      <c r="F3256" s="113" t="s">
        <v>906</v>
      </c>
    </row>
    <row r="3257" spans="1:6" ht="14.25" customHeight="1">
      <c r="A3257" s="286" t="s">
        <v>827</v>
      </c>
      <c r="B3257" s="286">
        <v>2024</v>
      </c>
      <c r="C3257" s="286" t="s">
        <v>859</v>
      </c>
      <c r="D3257" s="286" t="s">
        <v>999</v>
      </c>
      <c r="E3257" s="286" t="s">
        <v>1040</v>
      </c>
      <c r="F3257" s="113" t="s">
        <v>906</v>
      </c>
    </row>
    <row r="3258" spans="1:6" ht="14.25" customHeight="1">
      <c r="A3258" s="286" t="s">
        <v>827</v>
      </c>
      <c r="B3258" s="286">
        <v>2024</v>
      </c>
      <c r="C3258" s="286" t="s">
        <v>859</v>
      </c>
      <c r="D3258" s="286" t="s">
        <v>999</v>
      </c>
      <c r="E3258" s="286" t="s">
        <v>1040</v>
      </c>
      <c r="F3258" s="113" t="s">
        <v>906</v>
      </c>
    </row>
    <row r="3259" spans="1:6" ht="14.25" customHeight="1">
      <c r="A3259" s="286" t="s">
        <v>827</v>
      </c>
      <c r="B3259" s="286">
        <v>2024</v>
      </c>
      <c r="C3259" s="286" t="s">
        <v>859</v>
      </c>
      <c r="D3259" s="286" t="s">
        <v>999</v>
      </c>
      <c r="E3259" s="286" t="s">
        <v>1036</v>
      </c>
      <c r="F3259" s="113" t="s">
        <v>906</v>
      </c>
    </row>
    <row r="3260" spans="1:6" ht="14.25" customHeight="1">
      <c r="A3260" s="286" t="s">
        <v>827</v>
      </c>
      <c r="B3260" s="286">
        <v>2024</v>
      </c>
      <c r="C3260" s="286" t="s">
        <v>859</v>
      </c>
      <c r="D3260" s="286" t="s">
        <v>999</v>
      </c>
      <c r="E3260" s="286" t="s">
        <v>986</v>
      </c>
      <c r="F3260" s="113" t="s">
        <v>906</v>
      </c>
    </row>
    <row r="3261" spans="1:6" ht="14.25" customHeight="1">
      <c r="A3261" s="286" t="s">
        <v>827</v>
      </c>
      <c r="B3261" s="286">
        <v>2024</v>
      </c>
      <c r="C3261" s="286" t="s">
        <v>859</v>
      </c>
      <c r="D3261" s="286" t="s">
        <v>999</v>
      </c>
      <c r="E3261" s="286" t="s">
        <v>1014</v>
      </c>
      <c r="F3261" s="113" t="s">
        <v>906</v>
      </c>
    </row>
    <row r="3262" spans="1:6" ht="14.25" customHeight="1">
      <c r="A3262" s="286" t="s">
        <v>827</v>
      </c>
      <c r="B3262" s="286">
        <v>2024</v>
      </c>
      <c r="C3262" s="286" t="s">
        <v>859</v>
      </c>
      <c r="D3262" s="286" t="s">
        <v>999</v>
      </c>
      <c r="E3262" s="286" t="s">
        <v>952</v>
      </c>
      <c r="F3262" s="113" t="s">
        <v>906</v>
      </c>
    </row>
    <row r="3263" spans="1:6" ht="14.25" customHeight="1">
      <c r="A3263" s="286" t="s">
        <v>827</v>
      </c>
      <c r="B3263" s="286">
        <v>2024</v>
      </c>
      <c r="C3263" s="286" t="s">
        <v>859</v>
      </c>
      <c r="D3263" s="286" t="s">
        <v>999</v>
      </c>
      <c r="E3263" s="286" t="s">
        <v>991</v>
      </c>
      <c r="F3263" s="113" t="s">
        <v>906</v>
      </c>
    </row>
    <row r="3264" spans="1:6" ht="14.25" customHeight="1">
      <c r="A3264" s="286" t="s">
        <v>827</v>
      </c>
      <c r="B3264" s="286">
        <v>2024</v>
      </c>
      <c r="C3264" s="286" t="s">
        <v>859</v>
      </c>
      <c r="D3264" s="286" t="s">
        <v>999</v>
      </c>
      <c r="E3264" s="286" t="s">
        <v>991</v>
      </c>
      <c r="F3264" s="113" t="s">
        <v>906</v>
      </c>
    </row>
    <row r="3265" spans="1:6" ht="14.25" customHeight="1">
      <c r="A3265" s="286" t="s">
        <v>827</v>
      </c>
      <c r="B3265" s="286">
        <v>2024</v>
      </c>
      <c r="C3265" s="286" t="s">
        <v>859</v>
      </c>
      <c r="D3265" s="286" t="s">
        <v>999</v>
      </c>
      <c r="E3265" s="286" t="s">
        <v>991</v>
      </c>
      <c r="F3265" s="113" t="s">
        <v>906</v>
      </c>
    </row>
    <row r="3266" spans="1:6" ht="14.25" customHeight="1">
      <c r="A3266" s="286" t="s">
        <v>827</v>
      </c>
      <c r="B3266" s="286">
        <v>2024</v>
      </c>
      <c r="C3266" s="286" t="s">
        <v>859</v>
      </c>
      <c r="D3266" s="286" t="s">
        <v>999</v>
      </c>
      <c r="E3266" s="286" t="s">
        <v>1028</v>
      </c>
      <c r="F3266" s="113" t="s">
        <v>906</v>
      </c>
    </row>
    <row r="3267" spans="1:6" ht="14.25" customHeight="1">
      <c r="A3267" s="286" t="s">
        <v>827</v>
      </c>
      <c r="B3267" s="286">
        <v>2024</v>
      </c>
      <c r="C3267" s="286" t="s">
        <v>859</v>
      </c>
      <c r="D3267" s="286" t="s">
        <v>999</v>
      </c>
      <c r="E3267" s="286" t="s">
        <v>1028</v>
      </c>
      <c r="F3267" s="113" t="s">
        <v>906</v>
      </c>
    </row>
    <row r="3268" spans="1:6" ht="14.25" customHeight="1">
      <c r="A3268" s="286" t="s">
        <v>827</v>
      </c>
      <c r="B3268" s="286">
        <v>2024</v>
      </c>
      <c r="C3268" s="286" t="s">
        <v>859</v>
      </c>
      <c r="D3268" s="286" t="s">
        <v>999</v>
      </c>
      <c r="E3268" s="286" t="s">
        <v>930</v>
      </c>
      <c r="F3268" s="113" t="s">
        <v>906</v>
      </c>
    </row>
    <row r="3269" spans="1:6" ht="14.25" customHeight="1">
      <c r="A3269" s="286" t="s">
        <v>827</v>
      </c>
      <c r="B3269" s="286">
        <v>2024</v>
      </c>
      <c r="C3269" s="286" t="s">
        <v>859</v>
      </c>
      <c r="D3269" s="286" t="s">
        <v>999</v>
      </c>
      <c r="E3269" s="286" t="s">
        <v>930</v>
      </c>
      <c r="F3269" s="113" t="s">
        <v>906</v>
      </c>
    </row>
    <row r="3270" spans="1:6" ht="14.25" customHeight="1">
      <c r="A3270" s="286" t="s">
        <v>827</v>
      </c>
      <c r="B3270" s="286">
        <v>2024</v>
      </c>
      <c r="C3270" s="286" t="s">
        <v>859</v>
      </c>
      <c r="D3270" s="286" t="s">
        <v>999</v>
      </c>
      <c r="E3270" s="286" t="s">
        <v>930</v>
      </c>
      <c r="F3270" s="113" t="s">
        <v>906</v>
      </c>
    </row>
    <row r="3271" spans="1:6" ht="14.25" customHeight="1">
      <c r="A3271" s="286" t="s">
        <v>827</v>
      </c>
      <c r="B3271" s="286">
        <v>2024</v>
      </c>
      <c r="C3271" s="286" t="s">
        <v>859</v>
      </c>
      <c r="D3271" s="286" t="s">
        <v>999</v>
      </c>
      <c r="E3271" s="286" t="s">
        <v>1170</v>
      </c>
      <c r="F3271" s="113" t="s">
        <v>909</v>
      </c>
    </row>
    <row r="3272" spans="1:6" ht="14.25" customHeight="1">
      <c r="A3272" s="286" t="s">
        <v>827</v>
      </c>
      <c r="B3272" s="286">
        <v>2024</v>
      </c>
      <c r="C3272" s="286" t="s">
        <v>859</v>
      </c>
      <c r="D3272" s="286" t="s">
        <v>999</v>
      </c>
      <c r="E3272" s="286" t="s">
        <v>1102</v>
      </c>
      <c r="F3272" s="113" t="s">
        <v>909</v>
      </c>
    </row>
    <row r="3273" spans="1:6" ht="14.25" customHeight="1">
      <c r="A3273" s="286" t="s">
        <v>827</v>
      </c>
      <c r="B3273" s="286">
        <v>2024</v>
      </c>
      <c r="C3273" s="286" t="s">
        <v>859</v>
      </c>
      <c r="D3273" s="286" t="s">
        <v>999</v>
      </c>
      <c r="E3273" s="286" t="s">
        <v>1096</v>
      </c>
      <c r="F3273" s="113" t="s">
        <v>909</v>
      </c>
    </row>
    <row r="3274" spans="1:6" ht="14.25" customHeight="1">
      <c r="A3274" s="286" t="s">
        <v>827</v>
      </c>
      <c r="B3274" s="286">
        <v>2024</v>
      </c>
      <c r="C3274" s="286" t="s">
        <v>859</v>
      </c>
      <c r="D3274" s="286" t="s">
        <v>999</v>
      </c>
      <c r="E3274" s="286" t="s">
        <v>971</v>
      </c>
      <c r="F3274" s="113" t="s">
        <v>909</v>
      </c>
    </row>
    <row r="3275" spans="1:6" ht="14.25" customHeight="1">
      <c r="A3275" s="286" t="s">
        <v>827</v>
      </c>
      <c r="B3275" s="286">
        <v>2024</v>
      </c>
      <c r="C3275" s="286" t="s">
        <v>859</v>
      </c>
      <c r="D3275" s="286" t="s">
        <v>999</v>
      </c>
      <c r="E3275" s="286" t="s">
        <v>971</v>
      </c>
      <c r="F3275" s="113" t="s">
        <v>909</v>
      </c>
    </row>
    <row r="3276" spans="1:6" ht="14.25" customHeight="1">
      <c r="A3276" s="286" t="s">
        <v>827</v>
      </c>
      <c r="B3276" s="286">
        <v>2024</v>
      </c>
      <c r="C3276" s="286" t="s">
        <v>859</v>
      </c>
      <c r="D3276" s="286" t="s">
        <v>999</v>
      </c>
      <c r="E3276" s="286" t="s">
        <v>1020</v>
      </c>
      <c r="F3276" s="113" t="s">
        <v>909</v>
      </c>
    </row>
    <row r="3277" spans="1:6" ht="14.25" customHeight="1">
      <c r="A3277" s="286" t="s">
        <v>827</v>
      </c>
      <c r="B3277" s="286">
        <v>2024</v>
      </c>
      <c r="C3277" s="286" t="s">
        <v>859</v>
      </c>
      <c r="D3277" s="286" t="s">
        <v>999</v>
      </c>
      <c r="E3277" s="286" t="s">
        <v>1170</v>
      </c>
      <c r="F3277" s="113" t="s">
        <v>909</v>
      </c>
    </row>
    <row r="3278" spans="1:6" ht="14.25" customHeight="1">
      <c r="A3278" s="286" t="s">
        <v>827</v>
      </c>
      <c r="B3278" s="286">
        <v>2024</v>
      </c>
      <c r="C3278" s="286" t="s">
        <v>859</v>
      </c>
      <c r="D3278" s="286" t="s">
        <v>999</v>
      </c>
      <c r="E3278" s="286" t="s">
        <v>1102</v>
      </c>
      <c r="F3278" s="113" t="s">
        <v>909</v>
      </c>
    </row>
    <row r="3279" spans="1:6" ht="14.25" customHeight="1">
      <c r="A3279" s="286" t="s">
        <v>827</v>
      </c>
      <c r="B3279" s="286">
        <v>2024</v>
      </c>
      <c r="C3279" s="286" t="s">
        <v>859</v>
      </c>
      <c r="D3279" s="286" t="s">
        <v>999</v>
      </c>
      <c r="E3279" s="286" t="s">
        <v>1118</v>
      </c>
      <c r="F3279" s="113" t="s">
        <v>909</v>
      </c>
    </row>
    <row r="3280" spans="1:6" ht="14.25" customHeight="1">
      <c r="A3280" s="286" t="s">
        <v>827</v>
      </c>
      <c r="B3280" s="286">
        <v>2024</v>
      </c>
      <c r="C3280" s="286" t="s">
        <v>859</v>
      </c>
      <c r="D3280" s="286" t="s">
        <v>999</v>
      </c>
      <c r="E3280" s="286" t="s">
        <v>1053</v>
      </c>
      <c r="F3280" s="113" t="s">
        <v>909</v>
      </c>
    </row>
    <row r="3281" spans="1:6" ht="14.25" customHeight="1">
      <c r="A3281" s="286" t="s">
        <v>827</v>
      </c>
      <c r="B3281" s="286">
        <v>2024</v>
      </c>
      <c r="C3281" s="286" t="s">
        <v>859</v>
      </c>
      <c r="D3281" s="286" t="s">
        <v>999</v>
      </c>
      <c r="E3281" s="286" t="s">
        <v>1116</v>
      </c>
      <c r="F3281" s="113" t="s">
        <v>909</v>
      </c>
    </row>
    <row r="3282" spans="1:6" ht="14.25" customHeight="1">
      <c r="A3282" s="286" t="s">
        <v>827</v>
      </c>
      <c r="B3282" s="286">
        <v>2024</v>
      </c>
      <c r="C3282" s="286" t="s">
        <v>859</v>
      </c>
      <c r="D3282" s="286" t="s">
        <v>999</v>
      </c>
      <c r="E3282" s="286" t="s">
        <v>1017</v>
      </c>
      <c r="F3282" s="113" t="s">
        <v>909</v>
      </c>
    </row>
    <row r="3283" spans="1:6" ht="14.25" customHeight="1">
      <c r="A3283" s="286" t="s">
        <v>827</v>
      </c>
      <c r="B3283" s="286">
        <v>2024</v>
      </c>
      <c r="C3283" s="286" t="s">
        <v>859</v>
      </c>
      <c r="D3283" s="286" t="s">
        <v>999</v>
      </c>
      <c r="E3283" s="286" t="s">
        <v>1052</v>
      </c>
      <c r="F3283" s="113" t="s">
        <v>909</v>
      </c>
    </row>
    <row r="3284" spans="1:6" ht="14.25" customHeight="1">
      <c r="A3284" s="286" t="s">
        <v>827</v>
      </c>
      <c r="B3284" s="286">
        <v>2024</v>
      </c>
      <c r="C3284" s="286" t="s">
        <v>859</v>
      </c>
      <c r="D3284" s="286" t="s">
        <v>999</v>
      </c>
      <c r="E3284" s="286" t="s">
        <v>939</v>
      </c>
      <c r="F3284" s="113" t="s">
        <v>909</v>
      </c>
    </row>
    <row r="3285" spans="1:6" ht="14.25" customHeight="1">
      <c r="A3285" s="286" t="s">
        <v>827</v>
      </c>
      <c r="B3285" s="286">
        <v>2024</v>
      </c>
      <c r="C3285" s="286" t="s">
        <v>859</v>
      </c>
      <c r="D3285" s="286" t="s">
        <v>999</v>
      </c>
      <c r="E3285" s="286" t="s">
        <v>1076</v>
      </c>
      <c r="F3285" s="113" t="s">
        <v>483</v>
      </c>
    </row>
    <row r="3286" spans="1:6" ht="14.25" customHeight="1">
      <c r="A3286" s="286" t="s">
        <v>827</v>
      </c>
      <c r="B3286" s="286">
        <v>2024</v>
      </c>
      <c r="C3286" s="286" t="s">
        <v>859</v>
      </c>
      <c r="D3286" s="286" t="s">
        <v>999</v>
      </c>
      <c r="E3286" s="286" t="s">
        <v>1159</v>
      </c>
      <c r="F3286" s="113" t="s">
        <v>483</v>
      </c>
    </row>
    <row r="3287" spans="1:6" ht="14.25" customHeight="1">
      <c r="A3287" s="286" t="s">
        <v>827</v>
      </c>
      <c r="B3287" s="286">
        <v>2024</v>
      </c>
      <c r="C3287" s="286" t="s">
        <v>859</v>
      </c>
      <c r="D3287" s="286" t="s">
        <v>999</v>
      </c>
      <c r="E3287" s="286" t="s">
        <v>1159</v>
      </c>
      <c r="F3287" s="113" t="s">
        <v>483</v>
      </c>
    </row>
    <row r="3288" spans="1:6" ht="14.25" customHeight="1">
      <c r="A3288" s="286" t="s">
        <v>827</v>
      </c>
      <c r="B3288" s="286">
        <v>2024</v>
      </c>
      <c r="C3288" s="286" t="s">
        <v>859</v>
      </c>
      <c r="D3288" s="286" t="s">
        <v>999</v>
      </c>
      <c r="E3288" s="286" t="s">
        <v>1002</v>
      </c>
      <c r="F3288" s="113" t="s">
        <v>483</v>
      </c>
    </row>
    <row r="3289" spans="1:6" ht="14.25" customHeight="1">
      <c r="A3289" s="286" t="s">
        <v>827</v>
      </c>
      <c r="B3289" s="286">
        <v>2024</v>
      </c>
      <c r="C3289" s="286" t="s">
        <v>859</v>
      </c>
      <c r="D3289" s="286" t="s">
        <v>999</v>
      </c>
      <c r="E3289" s="286" t="s">
        <v>1002</v>
      </c>
      <c r="F3289" s="113" t="s">
        <v>483</v>
      </c>
    </row>
    <row r="3290" spans="1:6" ht="14.25" customHeight="1">
      <c r="A3290" s="286" t="s">
        <v>827</v>
      </c>
      <c r="B3290" s="286">
        <v>2024</v>
      </c>
      <c r="C3290" s="286" t="s">
        <v>859</v>
      </c>
      <c r="D3290" s="286" t="s">
        <v>999</v>
      </c>
      <c r="E3290" s="286" t="s">
        <v>1124</v>
      </c>
      <c r="F3290" s="113" t="s">
        <v>483</v>
      </c>
    </row>
    <row r="3291" spans="1:6" ht="14.25" customHeight="1">
      <c r="A3291" s="286" t="s">
        <v>827</v>
      </c>
      <c r="B3291" s="286">
        <v>2024</v>
      </c>
      <c r="C3291" s="286" t="s">
        <v>859</v>
      </c>
      <c r="D3291" s="286" t="s">
        <v>999</v>
      </c>
      <c r="E3291" s="286" t="s">
        <v>1124</v>
      </c>
      <c r="F3291" s="113" t="s">
        <v>483</v>
      </c>
    </row>
    <row r="3292" spans="1:6" ht="14.25" customHeight="1">
      <c r="A3292" s="286" t="s">
        <v>827</v>
      </c>
      <c r="B3292" s="286">
        <v>2024</v>
      </c>
      <c r="C3292" s="286" t="s">
        <v>859</v>
      </c>
      <c r="D3292" s="286" t="s">
        <v>999</v>
      </c>
      <c r="E3292" s="286" t="s">
        <v>1128</v>
      </c>
      <c r="F3292" s="113" t="s">
        <v>483</v>
      </c>
    </row>
    <row r="3293" spans="1:6" ht="14.25" customHeight="1">
      <c r="A3293" s="286" t="s">
        <v>827</v>
      </c>
      <c r="B3293" s="286">
        <v>2024</v>
      </c>
      <c r="C3293" s="286" t="s">
        <v>859</v>
      </c>
      <c r="D3293" s="286" t="s">
        <v>999</v>
      </c>
      <c r="E3293" s="286" t="s">
        <v>1181</v>
      </c>
      <c r="F3293" s="113" t="s">
        <v>483</v>
      </c>
    </row>
    <row r="3294" spans="1:6" ht="14.25" customHeight="1">
      <c r="A3294" s="286" t="s">
        <v>827</v>
      </c>
      <c r="B3294" s="286">
        <v>2024</v>
      </c>
      <c r="C3294" s="286" t="s">
        <v>859</v>
      </c>
      <c r="D3294" s="286" t="s">
        <v>999</v>
      </c>
      <c r="E3294" s="286" t="s">
        <v>1181</v>
      </c>
      <c r="F3294" s="113" t="s">
        <v>483</v>
      </c>
    </row>
    <row r="3295" spans="1:6" ht="14.25" customHeight="1">
      <c r="A3295" s="286" t="s">
        <v>827</v>
      </c>
      <c r="B3295" s="286">
        <v>2024</v>
      </c>
      <c r="C3295" s="286" t="s">
        <v>859</v>
      </c>
      <c r="D3295" s="286" t="s">
        <v>999</v>
      </c>
      <c r="E3295" s="286" t="s">
        <v>1181</v>
      </c>
      <c r="F3295" s="113" t="s">
        <v>483</v>
      </c>
    </row>
    <row r="3296" spans="1:6" ht="14.25" customHeight="1">
      <c r="A3296" s="286" t="s">
        <v>827</v>
      </c>
      <c r="B3296" s="286">
        <v>2024</v>
      </c>
      <c r="C3296" s="286" t="s">
        <v>859</v>
      </c>
      <c r="D3296" s="286" t="s">
        <v>999</v>
      </c>
      <c r="E3296" s="286" t="s">
        <v>1070</v>
      </c>
      <c r="F3296" s="113" t="s">
        <v>483</v>
      </c>
    </row>
    <row r="3297" spans="1:6" ht="14.25" customHeight="1">
      <c r="A3297" s="286" t="s">
        <v>827</v>
      </c>
      <c r="B3297" s="286">
        <v>2024</v>
      </c>
      <c r="C3297" s="286" t="s">
        <v>859</v>
      </c>
      <c r="D3297" s="286" t="s">
        <v>999</v>
      </c>
      <c r="E3297" s="286" t="s">
        <v>1127</v>
      </c>
      <c r="F3297" s="113" t="s">
        <v>483</v>
      </c>
    </row>
    <row r="3298" spans="1:6" ht="14.25" customHeight="1">
      <c r="A3298" s="286" t="s">
        <v>827</v>
      </c>
      <c r="B3298" s="286">
        <v>2024</v>
      </c>
      <c r="C3298" s="286" t="s">
        <v>859</v>
      </c>
      <c r="D3298" s="286" t="s">
        <v>999</v>
      </c>
      <c r="E3298" s="286" t="s">
        <v>1218</v>
      </c>
      <c r="F3298" s="113" t="s">
        <v>483</v>
      </c>
    </row>
    <row r="3299" spans="1:6" ht="14.25" customHeight="1">
      <c r="A3299" s="286" t="s">
        <v>827</v>
      </c>
      <c r="B3299" s="286">
        <v>2024</v>
      </c>
      <c r="C3299" s="286" t="s">
        <v>859</v>
      </c>
      <c r="D3299" s="286" t="s">
        <v>999</v>
      </c>
      <c r="E3299" s="286" t="s">
        <v>1054</v>
      </c>
      <c r="F3299" s="113" t="s">
        <v>483</v>
      </c>
    </row>
    <row r="3300" spans="1:6" ht="14.25" customHeight="1">
      <c r="A3300" s="286" t="s">
        <v>827</v>
      </c>
      <c r="B3300" s="286">
        <v>2024</v>
      </c>
      <c r="C3300" s="286" t="s">
        <v>859</v>
      </c>
      <c r="D3300" s="286" t="s">
        <v>999</v>
      </c>
      <c r="E3300" s="286" t="s">
        <v>1081</v>
      </c>
      <c r="F3300" s="113" t="s">
        <v>911</v>
      </c>
    </row>
    <row r="3301" spans="1:6" ht="14.25" customHeight="1">
      <c r="A3301" s="286" t="s">
        <v>827</v>
      </c>
      <c r="B3301" s="286">
        <v>2024</v>
      </c>
      <c r="C3301" s="286" t="s">
        <v>859</v>
      </c>
      <c r="D3301" s="286" t="s">
        <v>999</v>
      </c>
      <c r="E3301" s="286" t="s">
        <v>972</v>
      </c>
      <c r="F3301" s="113" t="s">
        <v>911</v>
      </c>
    </row>
    <row r="3302" spans="1:6" ht="14.25" customHeight="1">
      <c r="A3302" s="286" t="s">
        <v>827</v>
      </c>
      <c r="B3302" s="286">
        <v>2024</v>
      </c>
      <c r="C3302" s="286" t="s">
        <v>859</v>
      </c>
      <c r="D3302" s="286" t="s">
        <v>999</v>
      </c>
      <c r="E3302" s="286" t="s">
        <v>1097</v>
      </c>
      <c r="F3302" s="113" t="s">
        <v>911</v>
      </c>
    </row>
    <row r="3303" spans="1:6" ht="14.25" customHeight="1">
      <c r="A3303" s="286" t="s">
        <v>827</v>
      </c>
      <c r="B3303" s="286">
        <v>2024</v>
      </c>
      <c r="C3303" s="286" t="s">
        <v>859</v>
      </c>
      <c r="D3303" s="286" t="s">
        <v>999</v>
      </c>
      <c r="E3303" s="286" t="s">
        <v>1109</v>
      </c>
      <c r="F3303" s="113" t="s">
        <v>911</v>
      </c>
    </row>
    <row r="3304" spans="1:6" ht="14.25" customHeight="1">
      <c r="A3304" s="286" t="s">
        <v>827</v>
      </c>
      <c r="B3304" s="286">
        <v>2024</v>
      </c>
      <c r="C3304" s="286" t="s">
        <v>859</v>
      </c>
      <c r="D3304" s="286" t="s">
        <v>999</v>
      </c>
      <c r="E3304" s="286" t="s">
        <v>1067</v>
      </c>
      <c r="F3304" s="113" t="s">
        <v>911</v>
      </c>
    </row>
    <row r="3305" spans="1:6" ht="14.25" customHeight="1">
      <c r="A3305" s="286" t="s">
        <v>827</v>
      </c>
      <c r="B3305" s="286">
        <v>2024</v>
      </c>
      <c r="C3305" s="286" t="s">
        <v>859</v>
      </c>
      <c r="D3305" s="286" t="s">
        <v>999</v>
      </c>
      <c r="E3305" s="286" t="s">
        <v>1081</v>
      </c>
      <c r="F3305" s="113" t="s">
        <v>911</v>
      </c>
    </row>
    <row r="3306" spans="1:6" ht="14.25" customHeight="1">
      <c r="A3306" s="286" t="s">
        <v>827</v>
      </c>
      <c r="B3306" s="286">
        <v>2024</v>
      </c>
      <c r="C3306" s="286" t="s">
        <v>859</v>
      </c>
      <c r="D3306" s="286" t="s">
        <v>999</v>
      </c>
      <c r="E3306" s="286" t="s">
        <v>967</v>
      </c>
      <c r="F3306" s="113" t="s">
        <v>915</v>
      </c>
    </row>
    <row r="3307" spans="1:6" ht="14.25" customHeight="1">
      <c r="A3307" s="286" t="s">
        <v>827</v>
      </c>
      <c r="B3307" s="286">
        <v>2024</v>
      </c>
      <c r="C3307" s="286" t="s">
        <v>859</v>
      </c>
      <c r="D3307" s="286" t="s">
        <v>999</v>
      </c>
      <c r="E3307" s="286" t="s">
        <v>1072</v>
      </c>
      <c r="F3307" s="113" t="s">
        <v>915</v>
      </c>
    </row>
    <row r="3308" spans="1:6" ht="14.25" customHeight="1">
      <c r="A3308" s="286" t="s">
        <v>827</v>
      </c>
      <c r="B3308" s="286">
        <v>2024</v>
      </c>
      <c r="C3308" s="286" t="s">
        <v>859</v>
      </c>
      <c r="D3308" s="286" t="s">
        <v>999</v>
      </c>
      <c r="E3308" s="286" t="s">
        <v>1072</v>
      </c>
      <c r="F3308" s="113" t="s">
        <v>915</v>
      </c>
    </row>
    <row r="3309" spans="1:6" ht="14.25" customHeight="1">
      <c r="A3309" s="286" t="s">
        <v>827</v>
      </c>
      <c r="B3309" s="286">
        <v>2024</v>
      </c>
      <c r="C3309" s="286" t="s">
        <v>859</v>
      </c>
      <c r="D3309" s="286" t="s">
        <v>999</v>
      </c>
      <c r="E3309" s="286" t="s">
        <v>1072</v>
      </c>
      <c r="F3309" s="113" t="s">
        <v>915</v>
      </c>
    </row>
    <row r="3310" spans="1:6" ht="14.25" customHeight="1">
      <c r="A3310" s="286" t="s">
        <v>827</v>
      </c>
      <c r="B3310" s="286">
        <v>2024</v>
      </c>
      <c r="C3310" s="286" t="s">
        <v>859</v>
      </c>
      <c r="D3310" s="286" t="s">
        <v>999</v>
      </c>
      <c r="E3310" s="286" t="s">
        <v>1108</v>
      </c>
      <c r="F3310" s="113" t="s">
        <v>915</v>
      </c>
    </row>
    <row r="3311" spans="1:6" ht="14.25" customHeight="1">
      <c r="A3311" s="286" t="s">
        <v>827</v>
      </c>
      <c r="B3311" s="286">
        <v>2024</v>
      </c>
      <c r="C3311" s="286" t="s">
        <v>859</v>
      </c>
      <c r="D3311" s="286" t="s">
        <v>999</v>
      </c>
      <c r="E3311" s="286" t="s">
        <v>970</v>
      </c>
      <c r="F3311" s="113" t="s">
        <v>915</v>
      </c>
    </row>
    <row r="3312" spans="1:6" ht="14.25" customHeight="1">
      <c r="A3312" s="286" t="s">
        <v>827</v>
      </c>
      <c r="B3312" s="286">
        <v>2024</v>
      </c>
      <c r="C3312" s="286" t="s">
        <v>859</v>
      </c>
      <c r="D3312" s="286" t="s">
        <v>999</v>
      </c>
      <c r="E3312" s="286" t="s">
        <v>1078</v>
      </c>
      <c r="F3312" s="113" t="s">
        <v>915</v>
      </c>
    </row>
    <row r="3313" spans="1:6" ht="14.25" customHeight="1">
      <c r="A3313" s="286" t="s">
        <v>827</v>
      </c>
      <c r="B3313" s="286">
        <v>2024</v>
      </c>
      <c r="C3313" s="286" t="s">
        <v>859</v>
      </c>
      <c r="D3313" s="286" t="s">
        <v>999</v>
      </c>
      <c r="E3313" s="286" t="s">
        <v>1079</v>
      </c>
      <c r="F3313" s="113" t="s">
        <v>915</v>
      </c>
    </row>
    <row r="3314" spans="1:6" ht="14.25" customHeight="1">
      <c r="A3314" s="286" t="s">
        <v>827</v>
      </c>
      <c r="B3314" s="286">
        <v>2024</v>
      </c>
      <c r="C3314" s="286" t="s">
        <v>859</v>
      </c>
      <c r="D3314" s="286" t="s">
        <v>999</v>
      </c>
      <c r="E3314" s="286" t="s">
        <v>1079</v>
      </c>
      <c r="F3314" s="113" t="s">
        <v>915</v>
      </c>
    </row>
    <row r="3315" spans="1:6" ht="14.25" customHeight="1">
      <c r="A3315" s="286" t="s">
        <v>827</v>
      </c>
      <c r="B3315" s="286">
        <v>2024</v>
      </c>
      <c r="C3315" s="286" t="s">
        <v>859</v>
      </c>
      <c r="D3315" s="286" t="s">
        <v>999</v>
      </c>
      <c r="E3315" s="286" t="s">
        <v>1079</v>
      </c>
      <c r="F3315" s="113" t="s">
        <v>915</v>
      </c>
    </row>
    <row r="3316" spans="1:6" ht="14.25" customHeight="1">
      <c r="A3316" s="286" t="s">
        <v>827</v>
      </c>
      <c r="B3316" s="286">
        <v>2024</v>
      </c>
      <c r="C3316" s="286" t="s">
        <v>859</v>
      </c>
      <c r="D3316" s="286" t="s">
        <v>999</v>
      </c>
      <c r="E3316" s="286" t="s">
        <v>1173</v>
      </c>
      <c r="F3316" s="113" t="s">
        <v>915</v>
      </c>
    </row>
    <row r="3317" spans="1:6" ht="14.25" customHeight="1">
      <c r="A3317" s="286" t="s">
        <v>827</v>
      </c>
      <c r="B3317" s="286">
        <v>2024</v>
      </c>
      <c r="C3317" s="286" t="s">
        <v>859</v>
      </c>
      <c r="D3317" s="286" t="s">
        <v>999</v>
      </c>
      <c r="E3317" s="286" t="s">
        <v>1106</v>
      </c>
      <c r="F3317" s="113" t="s">
        <v>915</v>
      </c>
    </row>
    <row r="3318" spans="1:6" ht="14.25" customHeight="1">
      <c r="A3318" s="286" t="s">
        <v>827</v>
      </c>
      <c r="B3318" s="286">
        <v>2024</v>
      </c>
      <c r="C3318" s="286" t="s">
        <v>859</v>
      </c>
      <c r="D3318" s="286" t="s">
        <v>999</v>
      </c>
      <c r="E3318" s="286" t="s">
        <v>1106</v>
      </c>
      <c r="F3318" s="113" t="s">
        <v>915</v>
      </c>
    </row>
    <row r="3319" spans="1:6" ht="14.25" customHeight="1">
      <c r="A3319" s="286" t="s">
        <v>827</v>
      </c>
      <c r="B3319" s="286">
        <v>2024</v>
      </c>
      <c r="C3319" s="286" t="s">
        <v>859</v>
      </c>
      <c r="D3319" s="286" t="s">
        <v>999</v>
      </c>
      <c r="E3319" s="286" t="s">
        <v>1069</v>
      </c>
      <c r="F3319" s="113" t="s">
        <v>915</v>
      </c>
    </row>
    <row r="3320" spans="1:6" ht="14.25" customHeight="1">
      <c r="A3320" s="286" t="s">
        <v>827</v>
      </c>
      <c r="B3320" s="286">
        <v>2024</v>
      </c>
      <c r="C3320" s="286" t="s">
        <v>859</v>
      </c>
      <c r="D3320" s="286" t="s">
        <v>999</v>
      </c>
      <c r="E3320" s="286" t="s">
        <v>1069</v>
      </c>
      <c r="F3320" s="113" t="s">
        <v>915</v>
      </c>
    </row>
    <row r="3321" spans="1:6" ht="14.25" customHeight="1">
      <c r="A3321" s="286" t="s">
        <v>827</v>
      </c>
      <c r="B3321" s="286">
        <v>2024</v>
      </c>
      <c r="C3321" s="286" t="s">
        <v>859</v>
      </c>
      <c r="D3321" s="286" t="s">
        <v>999</v>
      </c>
      <c r="E3321" s="286" t="s">
        <v>1057</v>
      </c>
      <c r="F3321" s="113" t="s">
        <v>915</v>
      </c>
    </row>
    <row r="3322" spans="1:6" ht="14.25" customHeight="1">
      <c r="A3322" s="286" t="s">
        <v>827</v>
      </c>
      <c r="B3322" s="286">
        <v>2024</v>
      </c>
      <c r="C3322" s="286" t="s">
        <v>859</v>
      </c>
      <c r="D3322" s="286" t="s">
        <v>999</v>
      </c>
      <c r="E3322" s="286" t="s">
        <v>1057</v>
      </c>
      <c r="F3322" s="113" t="s">
        <v>915</v>
      </c>
    </row>
    <row r="3323" spans="1:6" ht="14.25" customHeight="1">
      <c r="A3323" s="286" t="s">
        <v>827</v>
      </c>
      <c r="B3323" s="286">
        <v>2024</v>
      </c>
      <c r="C3323" s="286" t="s">
        <v>859</v>
      </c>
      <c r="D3323" s="286" t="s">
        <v>999</v>
      </c>
      <c r="E3323" s="286" t="s">
        <v>968</v>
      </c>
      <c r="F3323" s="113" t="s">
        <v>915</v>
      </c>
    </row>
    <row r="3324" spans="1:6" ht="14.25" customHeight="1">
      <c r="A3324" s="286" t="s">
        <v>827</v>
      </c>
      <c r="B3324" s="286">
        <v>2024</v>
      </c>
      <c r="C3324" s="286" t="s">
        <v>859</v>
      </c>
      <c r="D3324" s="286" t="s">
        <v>999</v>
      </c>
      <c r="E3324" s="286" t="s">
        <v>980</v>
      </c>
      <c r="F3324" s="113" t="s">
        <v>918</v>
      </c>
    </row>
    <row r="3325" spans="1:6" ht="14.25" customHeight="1">
      <c r="A3325" s="286" t="s">
        <v>827</v>
      </c>
      <c r="B3325" s="286">
        <v>2024</v>
      </c>
      <c r="C3325" s="286" t="s">
        <v>859</v>
      </c>
      <c r="D3325" s="286" t="s">
        <v>999</v>
      </c>
      <c r="E3325" s="286" t="s">
        <v>1083</v>
      </c>
      <c r="F3325" s="113" t="s">
        <v>783</v>
      </c>
    </row>
    <row r="3326" spans="1:6" ht="14.25" customHeight="1">
      <c r="A3326" s="286" t="s">
        <v>827</v>
      </c>
      <c r="B3326" s="286">
        <v>2024</v>
      </c>
      <c r="C3326" s="286" t="s">
        <v>859</v>
      </c>
      <c r="D3326" s="286" t="s">
        <v>999</v>
      </c>
      <c r="E3326" s="286" t="s">
        <v>1114</v>
      </c>
      <c r="F3326" s="113" t="s">
        <v>783</v>
      </c>
    </row>
    <row r="3327" spans="1:6" ht="14.25" customHeight="1">
      <c r="A3327" s="286" t="s">
        <v>827</v>
      </c>
      <c r="B3327" s="286">
        <v>2024</v>
      </c>
      <c r="C3327" s="286" t="s">
        <v>859</v>
      </c>
      <c r="D3327" s="286" t="s">
        <v>999</v>
      </c>
      <c r="E3327" s="286" t="s">
        <v>950</v>
      </c>
      <c r="F3327" s="113" t="s">
        <v>783</v>
      </c>
    </row>
    <row r="3328" spans="1:6" ht="14.25" customHeight="1">
      <c r="A3328" s="286" t="s">
        <v>827</v>
      </c>
      <c r="B3328" s="286">
        <v>2024</v>
      </c>
      <c r="C3328" s="286" t="s">
        <v>859</v>
      </c>
      <c r="D3328" s="286" t="s">
        <v>999</v>
      </c>
      <c r="E3328" s="286" t="s">
        <v>950</v>
      </c>
      <c r="F3328" s="113" t="s">
        <v>783</v>
      </c>
    </row>
    <row r="3329" spans="1:6" ht="14.25" customHeight="1">
      <c r="A3329" s="286" t="s">
        <v>827</v>
      </c>
      <c r="B3329" s="286">
        <v>2024</v>
      </c>
      <c r="C3329" s="286" t="s">
        <v>859</v>
      </c>
      <c r="D3329" s="286" t="s">
        <v>999</v>
      </c>
      <c r="E3329" s="286" t="s">
        <v>950</v>
      </c>
      <c r="F3329" s="113" t="s">
        <v>783</v>
      </c>
    </row>
    <row r="3330" spans="1:6" ht="14.25" customHeight="1">
      <c r="A3330" s="286" t="s">
        <v>827</v>
      </c>
      <c r="B3330" s="286">
        <v>2024</v>
      </c>
      <c r="C3330" s="286" t="s">
        <v>859</v>
      </c>
      <c r="D3330" s="286" t="s">
        <v>999</v>
      </c>
      <c r="E3330" s="286" t="s">
        <v>936</v>
      </c>
      <c r="F3330" s="113" t="s">
        <v>783</v>
      </c>
    </row>
    <row r="3331" spans="1:6" ht="14.25" customHeight="1">
      <c r="A3331" s="286" t="s">
        <v>827</v>
      </c>
      <c r="B3331" s="286">
        <v>2024</v>
      </c>
      <c r="C3331" s="286" t="s">
        <v>859</v>
      </c>
      <c r="D3331" s="286" t="s">
        <v>999</v>
      </c>
      <c r="E3331" s="286" t="s">
        <v>1187</v>
      </c>
      <c r="F3331" s="113" t="s">
        <v>783</v>
      </c>
    </row>
    <row r="3332" spans="1:6" ht="14.25" customHeight="1">
      <c r="A3332" s="286" t="s">
        <v>827</v>
      </c>
      <c r="B3332" s="286">
        <v>2024</v>
      </c>
      <c r="C3332" s="286" t="s">
        <v>859</v>
      </c>
      <c r="D3332" s="286" t="s">
        <v>999</v>
      </c>
      <c r="E3332" s="286" t="s">
        <v>1187</v>
      </c>
      <c r="F3332" s="113" t="s">
        <v>783</v>
      </c>
    </row>
    <row r="3333" spans="1:6" ht="14.25" customHeight="1">
      <c r="A3333" s="286" t="s">
        <v>827</v>
      </c>
      <c r="B3333" s="286">
        <v>2024</v>
      </c>
      <c r="C3333" s="286" t="s">
        <v>859</v>
      </c>
      <c r="D3333" s="286" t="s">
        <v>999</v>
      </c>
      <c r="E3333" s="286" t="s">
        <v>1022</v>
      </c>
      <c r="F3333" s="113" t="s">
        <v>783</v>
      </c>
    </row>
    <row r="3334" spans="1:6" ht="14.25" customHeight="1">
      <c r="A3334" s="286" t="s">
        <v>827</v>
      </c>
      <c r="B3334" s="286">
        <v>2024</v>
      </c>
      <c r="C3334" s="286" t="s">
        <v>859</v>
      </c>
      <c r="D3334" s="286" t="s">
        <v>999</v>
      </c>
      <c r="E3334" s="286" t="s">
        <v>1016</v>
      </c>
      <c r="F3334" s="113" t="s">
        <v>783</v>
      </c>
    </row>
    <row r="3335" spans="1:6" ht="14.25" customHeight="1">
      <c r="A3335" s="286" t="s">
        <v>827</v>
      </c>
      <c r="B3335" s="286">
        <v>2024</v>
      </c>
      <c r="C3335" s="286" t="s">
        <v>859</v>
      </c>
      <c r="D3335" s="286" t="s">
        <v>999</v>
      </c>
      <c r="E3335" s="286" t="s">
        <v>1091</v>
      </c>
      <c r="F3335" s="113" t="s">
        <v>783</v>
      </c>
    </row>
    <row r="3336" spans="1:6" ht="14.25" customHeight="1">
      <c r="A3336" s="286" t="s">
        <v>827</v>
      </c>
      <c r="B3336" s="286">
        <v>2024</v>
      </c>
      <c r="C3336" s="286" t="s">
        <v>859</v>
      </c>
      <c r="D3336" s="286" t="s">
        <v>999</v>
      </c>
      <c r="E3336" s="286" t="s">
        <v>1068</v>
      </c>
      <c r="F3336" s="113" t="s">
        <v>922</v>
      </c>
    </row>
    <row r="3337" spans="1:6" ht="14.25" customHeight="1">
      <c r="A3337" s="286" t="s">
        <v>827</v>
      </c>
      <c r="B3337" s="286">
        <v>2024</v>
      </c>
      <c r="C3337" s="286" t="s">
        <v>859</v>
      </c>
      <c r="D3337" s="286" t="s">
        <v>999</v>
      </c>
      <c r="E3337" s="286" t="s">
        <v>948</v>
      </c>
      <c r="F3337" s="113" t="s">
        <v>922</v>
      </c>
    </row>
    <row r="3338" spans="1:6" ht="14.25" customHeight="1">
      <c r="A3338" s="286" t="s">
        <v>827</v>
      </c>
      <c r="B3338" s="286">
        <v>2024</v>
      </c>
      <c r="C3338" s="286" t="s">
        <v>859</v>
      </c>
      <c r="D3338" s="286" t="s">
        <v>999</v>
      </c>
      <c r="E3338" s="286" t="s">
        <v>940</v>
      </c>
      <c r="F3338" s="113" t="s">
        <v>922</v>
      </c>
    </row>
    <row r="3339" spans="1:6" ht="14.25" customHeight="1">
      <c r="A3339" s="286" t="s">
        <v>827</v>
      </c>
      <c r="B3339" s="286">
        <v>2024</v>
      </c>
      <c r="C3339" s="286" t="s">
        <v>859</v>
      </c>
      <c r="D3339" s="286" t="s">
        <v>999</v>
      </c>
      <c r="E3339" s="286" t="s">
        <v>1064</v>
      </c>
      <c r="F3339" s="113" t="s">
        <v>922</v>
      </c>
    </row>
    <row r="3340" spans="1:6" ht="14.25" customHeight="1">
      <c r="A3340" s="286" t="s">
        <v>827</v>
      </c>
      <c r="B3340" s="286">
        <v>2024</v>
      </c>
      <c r="C3340" s="286" t="s">
        <v>859</v>
      </c>
      <c r="D3340" s="286" t="s">
        <v>999</v>
      </c>
      <c r="E3340" s="286" t="s">
        <v>1062</v>
      </c>
      <c r="F3340" s="113" t="s">
        <v>922</v>
      </c>
    </row>
    <row r="3341" spans="1:6" ht="14.25" customHeight="1">
      <c r="A3341" s="286" t="s">
        <v>827</v>
      </c>
      <c r="B3341" s="286">
        <v>2024</v>
      </c>
      <c r="C3341" s="286" t="s">
        <v>859</v>
      </c>
      <c r="D3341" s="286" t="s">
        <v>999</v>
      </c>
      <c r="E3341" s="286" t="s">
        <v>992</v>
      </c>
      <c r="F3341" s="113" t="s">
        <v>922</v>
      </c>
    </row>
    <row r="3342" spans="1:6" ht="14.25" customHeight="1">
      <c r="A3342" s="286" t="s">
        <v>827</v>
      </c>
      <c r="B3342" s="286">
        <v>2024</v>
      </c>
      <c r="C3342" s="286" t="s">
        <v>859</v>
      </c>
      <c r="D3342" s="286" t="s">
        <v>999</v>
      </c>
      <c r="E3342" s="286" t="s">
        <v>1059</v>
      </c>
      <c r="F3342" s="113" t="s">
        <v>922</v>
      </c>
    </row>
    <row r="3343" spans="1:6" ht="14.25" customHeight="1">
      <c r="A3343" s="286" t="s">
        <v>827</v>
      </c>
      <c r="B3343" s="286">
        <v>2024</v>
      </c>
      <c r="C3343" s="286" t="s">
        <v>859</v>
      </c>
      <c r="D3343" s="286" t="s">
        <v>999</v>
      </c>
      <c r="E3343" s="286" t="s">
        <v>1045</v>
      </c>
      <c r="F3343" s="113" t="s">
        <v>922</v>
      </c>
    </row>
    <row r="3344" spans="1:6" ht="14.25" customHeight="1">
      <c r="A3344" s="286" t="s">
        <v>827</v>
      </c>
      <c r="B3344" s="286">
        <v>2024</v>
      </c>
      <c r="C3344" s="286" t="s">
        <v>859</v>
      </c>
      <c r="D3344" s="286" t="s">
        <v>999</v>
      </c>
      <c r="E3344" s="286" t="s">
        <v>1060</v>
      </c>
      <c r="F3344" s="113" t="s">
        <v>922</v>
      </c>
    </row>
    <row r="3345" spans="1:6" ht="14.25" customHeight="1">
      <c r="A3345" s="286" t="s">
        <v>827</v>
      </c>
      <c r="B3345" s="286">
        <v>2024</v>
      </c>
      <c r="C3345" s="286" t="s">
        <v>859</v>
      </c>
      <c r="D3345" s="286" t="s">
        <v>999</v>
      </c>
      <c r="E3345" s="286" t="s">
        <v>1100</v>
      </c>
      <c r="F3345" s="113" t="s">
        <v>935</v>
      </c>
    </row>
    <row r="3346" spans="1:6" ht="14.25" customHeight="1">
      <c r="A3346" s="286" t="s">
        <v>827</v>
      </c>
      <c r="B3346" s="286">
        <v>2024</v>
      </c>
      <c r="C3346" s="286" t="s">
        <v>859</v>
      </c>
      <c r="D3346" s="286" t="s">
        <v>999</v>
      </c>
      <c r="E3346" s="286" t="s">
        <v>1100</v>
      </c>
      <c r="F3346" s="113" t="s">
        <v>935</v>
      </c>
    </row>
    <row r="3347" spans="1:6" ht="14.25" customHeight="1">
      <c r="A3347" s="286" t="s">
        <v>827</v>
      </c>
      <c r="B3347" s="286">
        <v>2024</v>
      </c>
      <c r="C3347" s="286" t="s">
        <v>859</v>
      </c>
      <c r="D3347" s="286" t="s">
        <v>999</v>
      </c>
      <c r="E3347" s="286" t="s">
        <v>989</v>
      </c>
      <c r="F3347" s="113" t="s">
        <v>935</v>
      </c>
    </row>
    <row r="3348" spans="1:6" ht="14.25" customHeight="1">
      <c r="A3348" s="286" t="s">
        <v>827</v>
      </c>
      <c r="B3348" s="286">
        <v>2024</v>
      </c>
      <c r="C3348" s="286" t="s">
        <v>859</v>
      </c>
      <c r="D3348" s="286" t="s">
        <v>999</v>
      </c>
      <c r="E3348" s="286" t="s">
        <v>989</v>
      </c>
      <c r="F3348" s="113" t="s">
        <v>935</v>
      </c>
    </row>
    <row r="3349" spans="1:6" ht="14.25" customHeight="1">
      <c r="A3349" s="286" t="s">
        <v>827</v>
      </c>
      <c r="B3349" s="286">
        <v>2024</v>
      </c>
      <c r="C3349" s="286" t="s">
        <v>859</v>
      </c>
      <c r="D3349" s="286" t="s">
        <v>999</v>
      </c>
      <c r="E3349" s="286" t="s">
        <v>1023</v>
      </c>
      <c r="F3349" s="113" t="s">
        <v>935</v>
      </c>
    </row>
    <row r="3350" spans="1:6" ht="14.25" customHeight="1">
      <c r="A3350" s="286" t="s">
        <v>827</v>
      </c>
      <c r="B3350" s="286">
        <v>2024</v>
      </c>
      <c r="C3350" s="286" t="s">
        <v>859</v>
      </c>
      <c r="D3350" s="286" t="s">
        <v>999</v>
      </c>
      <c r="E3350" s="286" t="s">
        <v>990</v>
      </c>
      <c r="F3350" s="113" t="s">
        <v>935</v>
      </c>
    </row>
    <row r="3351" spans="1:6" ht="14.25" customHeight="1">
      <c r="A3351" s="286" t="s">
        <v>827</v>
      </c>
      <c r="B3351" s="286">
        <v>2024</v>
      </c>
      <c r="C3351" s="286" t="s">
        <v>859</v>
      </c>
      <c r="D3351" s="286" t="s">
        <v>999</v>
      </c>
      <c r="E3351" s="286" t="s">
        <v>990</v>
      </c>
      <c r="F3351" s="113" t="s">
        <v>935</v>
      </c>
    </row>
    <row r="3352" spans="1:6" ht="14.25" customHeight="1">
      <c r="A3352" s="286" t="s">
        <v>827</v>
      </c>
      <c r="B3352" s="286">
        <v>2024</v>
      </c>
      <c r="C3352" s="286" t="s">
        <v>859</v>
      </c>
      <c r="D3352" s="286" t="s">
        <v>999</v>
      </c>
      <c r="E3352" s="286" t="s">
        <v>987</v>
      </c>
      <c r="F3352" s="113" t="s">
        <v>935</v>
      </c>
    </row>
    <row r="3353" spans="1:6" ht="14.25" customHeight="1">
      <c r="A3353" s="286" t="s">
        <v>827</v>
      </c>
      <c r="B3353" s="286">
        <v>2024</v>
      </c>
      <c r="C3353" s="286" t="s">
        <v>859</v>
      </c>
      <c r="D3353" s="286" t="s">
        <v>999</v>
      </c>
      <c r="E3353" s="286" t="s">
        <v>987</v>
      </c>
      <c r="F3353" s="113" t="s">
        <v>935</v>
      </c>
    </row>
    <row r="3354" spans="1:6" ht="14.25" customHeight="1">
      <c r="A3354" s="286" t="s">
        <v>827</v>
      </c>
      <c r="B3354" s="286">
        <v>2024</v>
      </c>
      <c r="C3354" s="286" t="s">
        <v>859</v>
      </c>
      <c r="D3354" s="286" t="s">
        <v>999</v>
      </c>
      <c r="E3354" s="286" t="s">
        <v>987</v>
      </c>
      <c r="F3354" s="113" t="s">
        <v>935</v>
      </c>
    </row>
    <row r="3355" spans="1:6" ht="14.25" customHeight="1">
      <c r="A3355" s="286" t="s">
        <v>827</v>
      </c>
      <c r="B3355" s="286">
        <v>2024</v>
      </c>
      <c r="C3355" s="286" t="s">
        <v>859</v>
      </c>
      <c r="D3355" s="286" t="s">
        <v>999</v>
      </c>
      <c r="E3355" s="286" t="s">
        <v>987</v>
      </c>
      <c r="F3355" s="113" t="s">
        <v>935</v>
      </c>
    </row>
    <row r="3356" spans="1:6" ht="14.25" customHeight="1">
      <c r="A3356" s="286" t="s">
        <v>827</v>
      </c>
      <c r="B3356" s="286">
        <v>2024</v>
      </c>
      <c r="C3356" s="286" t="s">
        <v>859</v>
      </c>
      <c r="D3356" s="286" t="s">
        <v>999</v>
      </c>
      <c r="E3356" s="286" t="s">
        <v>1090</v>
      </c>
      <c r="F3356" s="113" t="s">
        <v>935</v>
      </c>
    </row>
    <row r="3357" spans="1:6" ht="14.25" customHeight="1">
      <c r="A3357" s="286" t="s">
        <v>827</v>
      </c>
      <c r="B3357" s="286">
        <v>2024</v>
      </c>
      <c r="C3357" s="286" t="s">
        <v>859</v>
      </c>
      <c r="D3357" s="286" t="s">
        <v>999</v>
      </c>
      <c r="E3357" s="286" t="s">
        <v>984</v>
      </c>
      <c r="F3357" s="113" t="s">
        <v>935</v>
      </c>
    </row>
    <row r="3358" spans="1:6" ht="14.25" customHeight="1">
      <c r="A3358" s="286" t="s">
        <v>827</v>
      </c>
      <c r="B3358" s="286">
        <v>2024</v>
      </c>
      <c r="C3358" s="286" t="s">
        <v>859</v>
      </c>
      <c r="D3358" s="286" t="s">
        <v>999</v>
      </c>
      <c r="E3358" s="286" t="s">
        <v>1030</v>
      </c>
      <c r="F3358" s="113" t="s">
        <v>935</v>
      </c>
    </row>
    <row r="3359" spans="1:6" ht="14.25" customHeight="1">
      <c r="A3359" s="286" t="s">
        <v>827</v>
      </c>
      <c r="B3359" s="286">
        <v>2024</v>
      </c>
      <c r="C3359" s="286" t="s">
        <v>859</v>
      </c>
      <c r="D3359" s="286" t="s">
        <v>999</v>
      </c>
      <c r="E3359" s="286" t="s">
        <v>1030</v>
      </c>
      <c r="F3359" s="113" t="s">
        <v>935</v>
      </c>
    </row>
    <row r="3360" spans="1:6" ht="14.25" customHeight="1">
      <c r="A3360" s="286" t="s">
        <v>827</v>
      </c>
      <c r="B3360" s="286">
        <v>2024</v>
      </c>
      <c r="C3360" s="286" t="s">
        <v>859</v>
      </c>
      <c r="D3360" s="286" t="s">
        <v>999</v>
      </c>
      <c r="E3360" s="286" t="s">
        <v>997</v>
      </c>
      <c r="F3360" s="113" t="s">
        <v>935</v>
      </c>
    </row>
    <row r="3361" spans="1:6" ht="14.25" customHeight="1">
      <c r="A3361" s="286" t="s">
        <v>827</v>
      </c>
      <c r="B3361" s="286">
        <v>2024</v>
      </c>
      <c r="C3361" s="286" t="s">
        <v>859</v>
      </c>
      <c r="D3361" s="286" t="s">
        <v>1005</v>
      </c>
      <c r="E3361" s="286" t="s">
        <v>1218</v>
      </c>
      <c r="F3361" s="113" t="s">
        <v>483</v>
      </c>
    </row>
    <row r="3362" spans="1:6" ht="14.25" customHeight="1">
      <c r="A3362" s="286" t="s">
        <v>827</v>
      </c>
      <c r="B3362" s="286">
        <v>2024</v>
      </c>
      <c r="C3362" s="286" t="s">
        <v>859</v>
      </c>
      <c r="D3362" s="286" t="s">
        <v>1005</v>
      </c>
      <c r="E3362" s="286" t="s">
        <v>1080</v>
      </c>
      <c r="F3362" s="113" t="s">
        <v>913</v>
      </c>
    </row>
    <row r="3363" spans="1:6" ht="14.25" customHeight="1">
      <c r="A3363" s="286" t="s">
        <v>827</v>
      </c>
      <c r="B3363" s="286">
        <v>2024</v>
      </c>
      <c r="C3363" s="286" t="s">
        <v>859</v>
      </c>
      <c r="D3363" s="286" t="s">
        <v>1005</v>
      </c>
      <c r="E3363" s="286" t="s">
        <v>1004</v>
      </c>
      <c r="F3363" s="113" t="s">
        <v>935</v>
      </c>
    </row>
    <row r="3364" spans="1:6" ht="14.25" customHeight="1">
      <c r="A3364" s="286" t="s">
        <v>827</v>
      </c>
      <c r="B3364" s="286">
        <v>2024</v>
      </c>
      <c r="C3364" s="286" t="s">
        <v>859</v>
      </c>
      <c r="D3364" s="286" t="s">
        <v>1000</v>
      </c>
      <c r="E3364" s="286" t="s">
        <v>1159</v>
      </c>
      <c r="F3364" s="113" t="s">
        <v>483</v>
      </c>
    </row>
    <row r="3365" spans="1:6" ht="14.25" customHeight="1">
      <c r="A3365" s="286" t="s">
        <v>827</v>
      </c>
      <c r="B3365" s="286">
        <v>2024</v>
      </c>
      <c r="C3365" s="286" t="s">
        <v>859</v>
      </c>
      <c r="D3365" s="286" t="s">
        <v>1000</v>
      </c>
      <c r="E3365" s="286" t="s">
        <v>1039</v>
      </c>
      <c r="F3365" s="113" t="s">
        <v>483</v>
      </c>
    </row>
    <row r="3366" spans="1:6" ht="14.25" customHeight="1">
      <c r="A3366" s="286" t="s">
        <v>827</v>
      </c>
      <c r="B3366" s="286">
        <v>2024</v>
      </c>
      <c r="C3366" s="286" t="s">
        <v>859</v>
      </c>
      <c r="D3366" s="286" t="s">
        <v>1000</v>
      </c>
      <c r="E3366" s="286" t="s">
        <v>1081</v>
      </c>
      <c r="F3366" s="113" t="s">
        <v>911</v>
      </c>
    </row>
    <row r="3367" spans="1:6" ht="14.25" customHeight="1">
      <c r="A3367" s="286" t="s">
        <v>827</v>
      </c>
      <c r="B3367" s="286">
        <v>2024</v>
      </c>
      <c r="C3367" s="286" t="s">
        <v>859</v>
      </c>
      <c r="D3367" s="286" t="s">
        <v>1000</v>
      </c>
      <c r="E3367" s="286" t="s">
        <v>1100</v>
      </c>
      <c r="F3367" s="113" t="s">
        <v>935</v>
      </c>
    </row>
    <row r="3368" spans="1:6" ht="14.25" customHeight="1">
      <c r="A3368" s="286" t="s">
        <v>827</v>
      </c>
      <c r="B3368" s="286">
        <v>2024</v>
      </c>
      <c r="C3368" s="286" t="s">
        <v>859</v>
      </c>
      <c r="D3368" s="286" t="s">
        <v>1000</v>
      </c>
      <c r="E3368" s="286" t="s">
        <v>990</v>
      </c>
      <c r="F3368" s="113" t="s">
        <v>935</v>
      </c>
    </row>
    <row r="3369" spans="1:6" ht="14.25" customHeight="1">
      <c r="A3369" s="286" t="s">
        <v>827</v>
      </c>
      <c r="B3369" s="286">
        <v>2024</v>
      </c>
      <c r="C3369" s="286" t="s">
        <v>859</v>
      </c>
      <c r="D3369" s="286" t="s">
        <v>998</v>
      </c>
      <c r="E3369" s="286" t="s">
        <v>1036</v>
      </c>
      <c r="F3369" s="113" t="s">
        <v>906</v>
      </c>
    </row>
    <row r="3370" spans="1:6" ht="14.25" customHeight="1">
      <c r="A3370" s="286" t="s">
        <v>827</v>
      </c>
      <c r="B3370" s="286">
        <v>2024</v>
      </c>
      <c r="C3370" s="286" t="s">
        <v>859</v>
      </c>
      <c r="D3370" s="286" t="s">
        <v>998</v>
      </c>
      <c r="E3370" s="286" t="s">
        <v>986</v>
      </c>
      <c r="F3370" s="113" t="s">
        <v>906</v>
      </c>
    </row>
    <row r="3371" spans="1:6" ht="14.25" customHeight="1">
      <c r="A3371" s="286" t="s">
        <v>827</v>
      </c>
      <c r="B3371" s="286">
        <v>2024</v>
      </c>
      <c r="C3371" s="286" t="s">
        <v>859</v>
      </c>
      <c r="D3371" s="286" t="s">
        <v>998</v>
      </c>
      <c r="E3371" s="286" t="s">
        <v>1014</v>
      </c>
      <c r="F3371" s="113" t="s">
        <v>906</v>
      </c>
    </row>
    <row r="3372" spans="1:6" ht="14.25" customHeight="1">
      <c r="A3372" s="286" t="s">
        <v>827</v>
      </c>
      <c r="B3372" s="286">
        <v>2024</v>
      </c>
      <c r="C3372" s="286" t="s">
        <v>859</v>
      </c>
      <c r="D3372" s="286" t="s">
        <v>998</v>
      </c>
      <c r="E3372" s="286" t="s">
        <v>952</v>
      </c>
      <c r="F3372" s="113" t="s">
        <v>906</v>
      </c>
    </row>
    <row r="3373" spans="1:6" ht="14.25" customHeight="1">
      <c r="A3373" s="286" t="s">
        <v>827</v>
      </c>
      <c r="B3373" s="286">
        <v>2024</v>
      </c>
      <c r="C3373" s="286" t="s">
        <v>859</v>
      </c>
      <c r="D3373" s="286" t="s">
        <v>998</v>
      </c>
      <c r="E3373" s="286" t="s">
        <v>930</v>
      </c>
      <c r="F3373" s="113" t="s">
        <v>906</v>
      </c>
    </row>
    <row r="3374" spans="1:6" ht="14.25" customHeight="1">
      <c r="A3374" s="286" t="s">
        <v>827</v>
      </c>
      <c r="B3374" s="286">
        <v>2024</v>
      </c>
      <c r="C3374" s="286" t="s">
        <v>859</v>
      </c>
      <c r="D3374" s="286" t="s">
        <v>998</v>
      </c>
      <c r="E3374" s="286" t="s">
        <v>971</v>
      </c>
      <c r="F3374" s="113" t="s">
        <v>909</v>
      </c>
    </row>
    <row r="3375" spans="1:6" ht="14.25" customHeight="1">
      <c r="A3375" s="286" t="s">
        <v>827</v>
      </c>
      <c r="B3375" s="286">
        <v>2024</v>
      </c>
      <c r="C3375" s="286" t="s">
        <v>859</v>
      </c>
      <c r="D3375" s="286" t="s">
        <v>998</v>
      </c>
      <c r="E3375" s="286" t="s">
        <v>1020</v>
      </c>
      <c r="F3375" s="113" t="s">
        <v>909</v>
      </c>
    </row>
    <row r="3376" spans="1:6" ht="14.25" customHeight="1">
      <c r="A3376" s="286" t="s">
        <v>827</v>
      </c>
      <c r="B3376" s="286">
        <v>2024</v>
      </c>
      <c r="C3376" s="286" t="s">
        <v>859</v>
      </c>
      <c r="D3376" s="286" t="s">
        <v>998</v>
      </c>
      <c r="E3376" s="286" t="s">
        <v>1170</v>
      </c>
      <c r="F3376" s="113" t="s">
        <v>909</v>
      </c>
    </row>
    <row r="3377" spans="1:6" ht="14.25" customHeight="1">
      <c r="A3377" s="286" t="s">
        <v>827</v>
      </c>
      <c r="B3377" s="286">
        <v>2024</v>
      </c>
      <c r="C3377" s="286" t="s">
        <v>859</v>
      </c>
      <c r="D3377" s="286" t="s">
        <v>998</v>
      </c>
      <c r="E3377" s="286" t="s">
        <v>1118</v>
      </c>
      <c r="F3377" s="113" t="s">
        <v>909</v>
      </c>
    </row>
    <row r="3378" spans="1:6" ht="14.25" customHeight="1">
      <c r="A3378" s="286" t="s">
        <v>827</v>
      </c>
      <c r="B3378" s="286">
        <v>2024</v>
      </c>
      <c r="C3378" s="286" t="s">
        <v>859</v>
      </c>
      <c r="D3378" s="286" t="s">
        <v>998</v>
      </c>
      <c r="E3378" s="286" t="s">
        <v>1053</v>
      </c>
      <c r="F3378" s="113" t="s">
        <v>909</v>
      </c>
    </row>
    <row r="3379" spans="1:6" ht="14.25" customHeight="1">
      <c r="A3379" s="286" t="s">
        <v>827</v>
      </c>
      <c r="B3379" s="286">
        <v>2024</v>
      </c>
      <c r="C3379" s="286" t="s">
        <v>859</v>
      </c>
      <c r="D3379" s="286" t="s">
        <v>998</v>
      </c>
      <c r="E3379" s="286" t="s">
        <v>1214</v>
      </c>
      <c r="F3379" s="113" t="s">
        <v>909</v>
      </c>
    </row>
    <row r="3380" spans="1:6" ht="14.25" customHeight="1">
      <c r="A3380" s="286" t="s">
        <v>827</v>
      </c>
      <c r="B3380" s="286">
        <v>2024</v>
      </c>
      <c r="C3380" s="286" t="s">
        <v>859</v>
      </c>
      <c r="D3380" s="286" t="s">
        <v>998</v>
      </c>
      <c r="E3380" s="286" t="s">
        <v>1052</v>
      </c>
      <c r="F3380" s="113" t="s">
        <v>909</v>
      </c>
    </row>
    <row r="3381" spans="1:6" ht="14.25" customHeight="1">
      <c r="A3381" s="286" t="s">
        <v>827</v>
      </c>
      <c r="B3381" s="286">
        <v>2024</v>
      </c>
      <c r="C3381" s="286" t="s">
        <v>859</v>
      </c>
      <c r="D3381" s="286" t="s">
        <v>998</v>
      </c>
      <c r="E3381" s="286" t="s">
        <v>1076</v>
      </c>
      <c r="F3381" s="113" t="s">
        <v>483</v>
      </c>
    </row>
    <row r="3382" spans="1:6" ht="14.25" customHeight="1">
      <c r="A3382" s="286" t="s">
        <v>827</v>
      </c>
      <c r="B3382" s="286">
        <v>2024</v>
      </c>
      <c r="C3382" s="286" t="s">
        <v>859</v>
      </c>
      <c r="D3382" s="286" t="s">
        <v>998</v>
      </c>
      <c r="E3382" s="286" t="s">
        <v>1050</v>
      </c>
      <c r="F3382" s="113" t="s">
        <v>483</v>
      </c>
    </row>
    <row r="3383" spans="1:6" ht="14.25" customHeight="1">
      <c r="A3383" s="286" t="s">
        <v>827</v>
      </c>
      <c r="B3383" s="286">
        <v>2024</v>
      </c>
      <c r="C3383" s="286" t="s">
        <v>859</v>
      </c>
      <c r="D3383" s="286" t="s">
        <v>998</v>
      </c>
      <c r="E3383" s="286" t="s">
        <v>1050</v>
      </c>
      <c r="F3383" s="113" t="s">
        <v>483</v>
      </c>
    </row>
    <row r="3384" spans="1:6" ht="14.25" customHeight="1">
      <c r="A3384" s="286" t="s">
        <v>827</v>
      </c>
      <c r="B3384" s="286">
        <v>2024</v>
      </c>
      <c r="C3384" s="286" t="s">
        <v>859</v>
      </c>
      <c r="D3384" s="286" t="s">
        <v>998</v>
      </c>
      <c r="E3384" s="286" t="s">
        <v>1178</v>
      </c>
      <c r="F3384" s="113" t="s">
        <v>483</v>
      </c>
    </row>
    <row r="3385" spans="1:6" ht="14.25" customHeight="1">
      <c r="A3385" s="286" t="s">
        <v>827</v>
      </c>
      <c r="B3385" s="286">
        <v>2024</v>
      </c>
      <c r="C3385" s="286" t="s">
        <v>859</v>
      </c>
      <c r="D3385" s="286" t="s">
        <v>998</v>
      </c>
      <c r="E3385" s="286" t="s">
        <v>1124</v>
      </c>
      <c r="F3385" s="113" t="s">
        <v>483</v>
      </c>
    </row>
    <row r="3386" spans="1:6" ht="14.25" customHeight="1">
      <c r="A3386" s="286" t="s">
        <v>827</v>
      </c>
      <c r="B3386" s="286">
        <v>2024</v>
      </c>
      <c r="C3386" s="286" t="s">
        <v>859</v>
      </c>
      <c r="D3386" s="286" t="s">
        <v>998</v>
      </c>
      <c r="E3386" s="286" t="s">
        <v>1070</v>
      </c>
      <c r="F3386" s="113" t="s">
        <v>483</v>
      </c>
    </row>
    <row r="3387" spans="1:6" ht="14.25" customHeight="1">
      <c r="A3387" s="286" t="s">
        <v>827</v>
      </c>
      <c r="B3387" s="286">
        <v>2024</v>
      </c>
      <c r="C3387" s="286" t="s">
        <v>859</v>
      </c>
      <c r="D3387" s="286" t="s">
        <v>998</v>
      </c>
      <c r="E3387" s="286" t="s">
        <v>1218</v>
      </c>
      <c r="F3387" s="113" t="s">
        <v>483</v>
      </c>
    </row>
    <row r="3388" spans="1:6" ht="14.25" customHeight="1">
      <c r="A3388" s="286" t="s">
        <v>827</v>
      </c>
      <c r="B3388" s="286">
        <v>2024</v>
      </c>
      <c r="C3388" s="286" t="s">
        <v>859</v>
      </c>
      <c r="D3388" s="286" t="s">
        <v>998</v>
      </c>
      <c r="E3388" s="286" t="s">
        <v>1039</v>
      </c>
      <c r="F3388" s="113" t="s">
        <v>483</v>
      </c>
    </row>
    <row r="3389" spans="1:6" ht="14.25" customHeight="1">
      <c r="A3389" s="286" t="s">
        <v>827</v>
      </c>
      <c r="B3389" s="286">
        <v>2024</v>
      </c>
      <c r="C3389" s="286" t="s">
        <v>859</v>
      </c>
      <c r="D3389" s="286" t="s">
        <v>998</v>
      </c>
      <c r="E3389" s="286" t="s">
        <v>1131</v>
      </c>
      <c r="F3389" s="113" t="s">
        <v>483</v>
      </c>
    </row>
    <row r="3390" spans="1:6" ht="14.25" customHeight="1">
      <c r="A3390" s="286" t="s">
        <v>827</v>
      </c>
      <c r="B3390" s="286">
        <v>2024</v>
      </c>
      <c r="C3390" s="286" t="s">
        <v>859</v>
      </c>
      <c r="D3390" s="286" t="s">
        <v>998</v>
      </c>
      <c r="E3390" s="286" t="s">
        <v>972</v>
      </c>
      <c r="F3390" s="113" t="s">
        <v>911</v>
      </c>
    </row>
    <row r="3391" spans="1:6" ht="14.25" customHeight="1">
      <c r="A3391" s="286" t="s">
        <v>827</v>
      </c>
      <c r="B3391" s="286">
        <v>2024</v>
      </c>
      <c r="C3391" s="286" t="s">
        <v>859</v>
      </c>
      <c r="D3391" s="286" t="s">
        <v>998</v>
      </c>
      <c r="E3391" s="286" t="s">
        <v>1098</v>
      </c>
      <c r="F3391" s="113" t="s">
        <v>911</v>
      </c>
    </row>
    <row r="3392" spans="1:6" ht="14.25" customHeight="1">
      <c r="A3392" s="286" t="s">
        <v>827</v>
      </c>
      <c r="B3392" s="286">
        <v>2024</v>
      </c>
      <c r="C3392" s="286" t="s">
        <v>859</v>
      </c>
      <c r="D3392" s="286" t="s">
        <v>998</v>
      </c>
      <c r="E3392" s="286" t="s">
        <v>1098</v>
      </c>
      <c r="F3392" s="113" t="s">
        <v>911</v>
      </c>
    </row>
    <row r="3393" spans="1:6" ht="14.25" customHeight="1">
      <c r="A3393" s="286" t="s">
        <v>827</v>
      </c>
      <c r="B3393" s="286">
        <v>2024</v>
      </c>
      <c r="C3393" s="286" t="s">
        <v>859</v>
      </c>
      <c r="D3393" s="286" t="s">
        <v>998</v>
      </c>
      <c r="E3393" s="286" t="s">
        <v>1098</v>
      </c>
      <c r="F3393" s="113" t="s">
        <v>911</v>
      </c>
    </row>
    <row r="3394" spans="1:6" ht="14.25" customHeight="1">
      <c r="A3394" s="286" t="s">
        <v>827</v>
      </c>
      <c r="B3394" s="286">
        <v>2024</v>
      </c>
      <c r="C3394" s="286" t="s">
        <v>859</v>
      </c>
      <c r="D3394" s="286" t="s">
        <v>998</v>
      </c>
      <c r="E3394" s="286" t="s">
        <v>1097</v>
      </c>
      <c r="F3394" s="113" t="s">
        <v>911</v>
      </c>
    </row>
    <row r="3395" spans="1:6" ht="14.25" customHeight="1">
      <c r="A3395" s="286" t="s">
        <v>827</v>
      </c>
      <c r="B3395" s="286">
        <v>2024</v>
      </c>
      <c r="C3395" s="286" t="s">
        <v>859</v>
      </c>
      <c r="D3395" s="286" t="s">
        <v>998</v>
      </c>
      <c r="E3395" s="286" t="s">
        <v>1134</v>
      </c>
      <c r="F3395" s="113" t="s">
        <v>911</v>
      </c>
    </row>
    <row r="3396" spans="1:6" ht="14.25" customHeight="1">
      <c r="A3396" s="286" t="s">
        <v>827</v>
      </c>
      <c r="B3396" s="286">
        <v>2024</v>
      </c>
      <c r="C3396" s="286" t="s">
        <v>859</v>
      </c>
      <c r="D3396" s="286" t="s">
        <v>998</v>
      </c>
      <c r="E3396" s="286" t="s">
        <v>1092</v>
      </c>
      <c r="F3396" s="113" t="s">
        <v>911</v>
      </c>
    </row>
    <row r="3397" spans="1:6" ht="14.25" customHeight="1">
      <c r="A3397" s="286" t="s">
        <v>827</v>
      </c>
      <c r="B3397" s="286">
        <v>2024</v>
      </c>
      <c r="C3397" s="286" t="s">
        <v>859</v>
      </c>
      <c r="D3397" s="286" t="s">
        <v>998</v>
      </c>
      <c r="E3397" s="286" t="s">
        <v>1092</v>
      </c>
      <c r="F3397" s="113" t="s">
        <v>911</v>
      </c>
    </row>
    <row r="3398" spans="1:6" ht="14.25" customHeight="1">
      <c r="A3398" s="286" t="s">
        <v>827</v>
      </c>
      <c r="B3398" s="286">
        <v>2024</v>
      </c>
      <c r="C3398" s="286" t="s">
        <v>859</v>
      </c>
      <c r="D3398" s="286" t="s">
        <v>998</v>
      </c>
      <c r="E3398" s="286" t="s">
        <v>1092</v>
      </c>
      <c r="F3398" s="113" t="s">
        <v>911</v>
      </c>
    </row>
    <row r="3399" spans="1:6" ht="14.25" customHeight="1">
      <c r="A3399" s="286" t="s">
        <v>827</v>
      </c>
      <c r="B3399" s="286">
        <v>2024</v>
      </c>
      <c r="C3399" s="286" t="s">
        <v>859</v>
      </c>
      <c r="D3399" s="286" t="s">
        <v>998</v>
      </c>
      <c r="E3399" s="286" t="s">
        <v>1188</v>
      </c>
      <c r="F3399" s="113" t="s">
        <v>911</v>
      </c>
    </row>
    <row r="3400" spans="1:6" ht="14.25" customHeight="1">
      <c r="A3400" s="286" t="s">
        <v>827</v>
      </c>
      <c r="B3400" s="286">
        <v>2024</v>
      </c>
      <c r="C3400" s="286" t="s">
        <v>859</v>
      </c>
      <c r="D3400" s="286" t="s">
        <v>998</v>
      </c>
      <c r="E3400" s="286" t="s">
        <v>1188</v>
      </c>
      <c r="F3400" s="113" t="s">
        <v>911</v>
      </c>
    </row>
    <row r="3401" spans="1:6" ht="14.25" customHeight="1">
      <c r="A3401" s="286" t="s">
        <v>827</v>
      </c>
      <c r="B3401" s="286">
        <v>2024</v>
      </c>
      <c r="C3401" s="286" t="s">
        <v>859</v>
      </c>
      <c r="D3401" s="286" t="s">
        <v>998</v>
      </c>
      <c r="E3401" s="286" t="s">
        <v>1081</v>
      </c>
      <c r="F3401" s="113" t="s">
        <v>911</v>
      </c>
    </row>
    <row r="3402" spans="1:6" ht="14.25" customHeight="1">
      <c r="A3402" s="286" t="s">
        <v>827</v>
      </c>
      <c r="B3402" s="286">
        <v>2024</v>
      </c>
      <c r="C3402" s="286" t="s">
        <v>859</v>
      </c>
      <c r="D3402" s="286" t="s">
        <v>998</v>
      </c>
      <c r="E3402" s="286" t="s">
        <v>967</v>
      </c>
      <c r="F3402" s="113" t="s">
        <v>915</v>
      </c>
    </row>
    <row r="3403" spans="1:6" ht="14.25" customHeight="1">
      <c r="A3403" s="286" t="s">
        <v>827</v>
      </c>
      <c r="B3403" s="286">
        <v>2024</v>
      </c>
      <c r="C3403" s="286" t="s">
        <v>859</v>
      </c>
      <c r="D3403" s="286" t="s">
        <v>998</v>
      </c>
      <c r="E3403" s="286" t="s">
        <v>970</v>
      </c>
      <c r="F3403" s="113" t="s">
        <v>915</v>
      </c>
    </row>
    <row r="3404" spans="1:6" ht="14.25" customHeight="1">
      <c r="A3404" s="286" t="s">
        <v>827</v>
      </c>
      <c r="B3404" s="286">
        <v>2024</v>
      </c>
      <c r="C3404" s="286" t="s">
        <v>859</v>
      </c>
      <c r="D3404" s="286" t="s">
        <v>998</v>
      </c>
      <c r="E3404" s="286" t="s">
        <v>1106</v>
      </c>
      <c r="F3404" s="113" t="s">
        <v>915</v>
      </c>
    </row>
    <row r="3405" spans="1:6" ht="14.25" customHeight="1">
      <c r="A3405" s="286" t="s">
        <v>827</v>
      </c>
      <c r="B3405" s="286">
        <v>2024</v>
      </c>
      <c r="C3405" s="286" t="s">
        <v>859</v>
      </c>
      <c r="D3405" s="286" t="s">
        <v>998</v>
      </c>
      <c r="E3405" s="286" t="s">
        <v>968</v>
      </c>
      <c r="F3405" s="113" t="s">
        <v>915</v>
      </c>
    </row>
    <row r="3406" spans="1:6" ht="14.25" customHeight="1">
      <c r="A3406" s="286" t="s">
        <v>827</v>
      </c>
      <c r="B3406" s="286">
        <v>2024</v>
      </c>
      <c r="C3406" s="286" t="s">
        <v>859</v>
      </c>
      <c r="D3406" s="286" t="s">
        <v>998</v>
      </c>
      <c r="E3406" s="286" t="s">
        <v>1071</v>
      </c>
      <c r="F3406" s="113" t="s">
        <v>918</v>
      </c>
    </row>
    <row r="3407" spans="1:6" ht="14.25" customHeight="1">
      <c r="A3407" s="286" t="s">
        <v>827</v>
      </c>
      <c r="B3407" s="286">
        <v>2024</v>
      </c>
      <c r="C3407" s="286" t="s">
        <v>859</v>
      </c>
      <c r="D3407" s="286" t="s">
        <v>998</v>
      </c>
      <c r="E3407" s="286" t="s">
        <v>1001</v>
      </c>
      <c r="F3407" s="113" t="s">
        <v>783</v>
      </c>
    </row>
    <row r="3408" spans="1:6" ht="14.25" customHeight="1">
      <c r="A3408" s="286" t="s">
        <v>827</v>
      </c>
      <c r="B3408" s="286">
        <v>2024</v>
      </c>
      <c r="C3408" s="286" t="s">
        <v>859</v>
      </c>
      <c r="D3408" s="286" t="s">
        <v>998</v>
      </c>
      <c r="E3408" s="286" t="s">
        <v>1114</v>
      </c>
      <c r="F3408" s="113" t="s">
        <v>783</v>
      </c>
    </row>
    <row r="3409" spans="1:6" ht="14.25" customHeight="1">
      <c r="A3409" s="286" t="s">
        <v>827</v>
      </c>
      <c r="B3409" s="286">
        <v>2024</v>
      </c>
      <c r="C3409" s="286" t="s">
        <v>859</v>
      </c>
      <c r="D3409" s="286" t="s">
        <v>998</v>
      </c>
      <c r="E3409" s="286" t="s">
        <v>950</v>
      </c>
      <c r="F3409" s="113" t="s">
        <v>783</v>
      </c>
    </row>
    <row r="3410" spans="1:6" ht="14.25" customHeight="1">
      <c r="A3410" s="286" t="s">
        <v>827</v>
      </c>
      <c r="B3410" s="286">
        <v>2024</v>
      </c>
      <c r="C3410" s="286" t="s">
        <v>859</v>
      </c>
      <c r="D3410" s="286" t="s">
        <v>998</v>
      </c>
      <c r="E3410" s="286" t="s">
        <v>936</v>
      </c>
      <c r="F3410" s="113" t="s">
        <v>783</v>
      </c>
    </row>
    <row r="3411" spans="1:6" ht="14.25" customHeight="1">
      <c r="A3411" s="286" t="s">
        <v>827</v>
      </c>
      <c r="B3411" s="286">
        <v>2024</v>
      </c>
      <c r="C3411" s="286" t="s">
        <v>859</v>
      </c>
      <c r="D3411" s="286" t="s">
        <v>998</v>
      </c>
      <c r="E3411" s="286" t="s">
        <v>1061</v>
      </c>
      <c r="F3411" s="113" t="s">
        <v>783</v>
      </c>
    </row>
    <row r="3412" spans="1:6" ht="14.25" customHeight="1">
      <c r="A3412" s="286" t="s">
        <v>827</v>
      </c>
      <c r="B3412" s="286">
        <v>2024</v>
      </c>
      <c r="C3412" s="286" t="s">
        <v>859</v>
      </c>
      <c r="D3412" s="286" t="s">
        <v>998</v>
      </c>
      <c r="E3412" s="286" t="s">
        <v>1016</v>
      </c>
      <c r="F3412" s="113" t="s">
        <v>783</v>
      </c>
    </row>
    <row r="3413" spans="1:6" ht="14.25" customHeight="1">
      <c r="A3413" s="286" t="s">
        <v>827</v>
      </c>
      <c r="B3413" s="286">
        <v>2024</v>
      </c>
      <c r="C3413" s="286" t="s">
        <v>859</v>
      </c>
      <c r="D3413" s="286" t="s">
        <v>998</v>
      </c>
      <c r="E3413" s="286" t="s">
        <v>1091</v>
      </c>
      <c r="F3413" s="113" t="s">
        <v>783</v>
      </c>
    </row>
    <row r="3414" spans="1:6" ht="14.25" customHeight="1">
      <c r="A3414" s="286" t="s">
        <v>827</v>
      </c>
      <c r="B3414" s="286">
        <v>2024</v>
      </c>
      <c r="C3414" s="286" t="s">
        <v>859</v>
      </c>
      <c r="D3414" s="286" t="s">
        <v>998</v>
      </c>
      <c r="E3414" s="286" t="s">
        <v>1091</v>
      </c>
      <c r="F3414" s="113" t="s">
        <v>783</v>
      </c>
    </row>
    <row r="3415" spans="1:6" ht="14.25" customHeight="1">
      <c r="A3415" s="286" t="s">
        <v>827</v>
      </c>
      <c r="B3415" s="286">
        <v>2024</v>
      </c>
      <c r="C3415" s="286" t="s">
        <v>859</v>
      </c>
      <c r="D3415" s="286" t="s">
        <v>998</v>
      </c>
      <c r="E3415" s="286" t="s">
        <v>1100</v>
      </c>
      <c r="F3415" s="113" t="s">
        <v>935</v>
      </c>
    </row>
    <row r="3416" spans="1:6" ht="14.25" customHeight="1">
      <c r="A3416" s="286" t="s">
        <v>827</v>
      </c>
      <c r="B3416" s="286">
        <v>2024</v>
      </c>
      <c r="C3416" s="286" t="s">
        <v>859</v>
      </c>
      <c r="D3416" s="286" t="s">
        <v>998</v>
      </c>
      <c r="E3416" s="286" t="s">
        <v>989</v>
      </c>
      <c r="F3416" s="113" t="s">
        <v>935</v>
      </c>
    </row>
    <row r="3417" spans="1:6" ht="14.25" customHeight="1">
      <c r="A3417" s="286" t="s">
        <v>827</v>
      </c>
      <c r="B3417" s="286">
        <v>2024</v>
      </c>
      <c r="C3417" s="286" t="s">
        <v>859</v>
      </c>
      <c r="D3417" s="286" t="s">
        <v>998</v>
      </c>
      <c r="E3417" s="286" t="s">
        <v>989</v>
      </c>
      <c r="F3417" s="113" t="s">
        <v>935</v>
      </c>
    </row>
    <row r="3418" spans="1:6" ht="14.25" customHeight="1">
      <c r="A3418" s="286" t="s">
        <v>827</v>
      </c>
      <c r="B3418" s="286">
        <v>2024</v>
      </c>
      <c r="C3418" s="286" t="s">
        <v>859</v>
      </c>
      <c r="D3418" s="286" t="s">
        <v>998</v>
      </c>
      <c r="E3418" s="286" t="s">
        <v>1023</v>
      </c>
      <c r="F3418" s="113" t="s">
        <v>935</v>
      </c>
    </row>
    <row r="3419" spans="1:6" ht="14.25" customHeight="1">
      <c r="A3419" s="286" t="s">
        <v>827</v>
      </c>
      <c r="B3419" s="286">
        <v>2024</v>
      </c>
      <c r="C3419" s="286" t="s">
        <v>859</v>
      </c>
      <c r="D3419" s="286" t="s">
        <v>998</v>
      </c>
      <c r="E3419" s="286" t="s">
        <v>987</v>
      </c>
      <c r="F3419" s="113" t="s">
        <v>935</v>
      </c>
    </row>
    <row r="3420" spans="1:6" ht="14.25" customHeight="1">
      <c r="A3420" s="286" t="s">
        <v>827</v>
      </c>
      <c r="B3420" s="286">
        <v>2024</v>
      </c>
      <c r="C3420" s="286" t="s">
        <v>859</v>
      </c>
      <c r="D3420" s="286" t="s">
        <v>998</v>
      </c>
      <c r="E3420" s="286" t="s">
        <v>1090</v>
      </c>
      <c r="F3420" s="113" t="s">
        <v>935</v>
      </c>
    </row>
    <row r="3421" spans="1:6" ht="14.25" customHeight="1">
      <c r="A3421" s="286" t="s">
        <v>827</v>
      </c>
      <c r="B3421" s="286">
        <v>2024</v>
      </c>
      <c r="C3421" s="286" t="s">
        <v>859</v>
      </c>
      <c r="D3421" s="286" t="s">
        <v>998</v>
      </c>
      <c r="E3421" s="286" t="s">
        <v>1066</v>
      </c>
      <c r="F3421" s="113" t="s">
        <v>935</v>
      </c>
    </row>
    <row r="3422" spans="1:6" ht="14.25" customHeight="1">
      <c r="A3422" s="286" t="s">
        <v>827</v>
      </c>
      <c r="B3422" s="286">
        <v>2024</v>
      </c>
      <c r="C3422" s="286" t="s">
        <v>859</v>
      </c>
      <c r="D3422" s="286" t="s">
        <v>998</v>
      </c>
      <c r="E3422" s="286" t="s">
        <v>1066</v>
      </c>
      <c r="F3422" s="113" t="s">
        <v>935</v>
      </c>
    </row>
    <row r="3423" spans="1:6" ht="14.25" customHeight="1">
      <c r="A3423" s="286" t="s">
        <v>827</v>
      </c>
      <c r="B3423" s="286">
        <v>2024</v>
      </c>
      <c r="C3423" s="286" t="s">
        <v>859</v>
      </c>
      <c r="D3423" s="286" t="s">
        <v>998</v>
      </c>
      <c r="E3423" s="286" t="s">
        <v>1004</v>
      </c>
      <c r="F3423" s="113" t="s">
        <v>935</v>
      </c>
    </row>
    <row r="3424" spans="1:6" ht="14.25" customHeight="1">
      <c r="A3424" s="286" t="s">
        <v>827</v>
      </c>
      <c r="B3424" s="286">
        <v>2024</v>
      </c>
      <c r="C3424" s="286" t="s">
        <v>859</v>
      </c>
      <c r="D3424" s="286" t="s">
        <v>998</v>
      </c>
      <c r="E3424" s="286" t="s">
        <v>984</v>
      </c>
      <c r="F3424" s="113" t="s">
        <v>935</v>
      </c>
    </row>
    <row r="3425" spans="1:6" ht="14.25" customHeight="1">
      <c r="A3425" s="286" t="s">
        <v>827</v>
      </c>
      <c r="B3425" s="286">
        <v>2024</v>
      </c>
      <c r="C3425" s="286" t="s">
        <v>859</v>
      </c>
      <c r="D3425" s="286" t="s">
        <v>998</v>
      </c>
      <c r="E3425" s="286" t="s">
        <v>1030</v>
      </c>
      <c r="F3425" s="113" t="s">
        <v>935</v>
      </c>
    </row>
    <row r="3426" spans="1:6" ht="14.25" customHeight="1">
      <c r="A3426" s="286" t="s">
        <v>827</v>
      </c>
      <c r="B3426" s="286">
        <v>2024</v>
      </c>
      <c r="C3426" s="286" t="s">
        <v>859</v>
      </c>
      <c r="D3426" s="286" t="s">
        <v>998</v>
      </c>
      <c r="E3426" s="286" t="s">
        <v>1035</v>
      </c>
      <c r="F3426" s="113" t="s">
        <v>935</v>
      </c>
    </row>
    <row r="3427" spans="1:6" ht="14.25" customHeight="1">
      <c r="A3427" s="286" t="s">
        <v>827</v>
      </c>
      <c r="B3427" s="286">
        <v>2024</v>
      </c>
      <c r="C3427" s="286" t="s">
        <v>859</v>
      </c>
      <c r="D3427" s="286" t="s">
        <v>998</v>
      </c>
      <c r="E3427" s="286" t="s">
        <v>1035</v>
      </c>
      <c r="F3427" s="113" t="s">
        <v>935</v>
      </c>
    </row>
    <row r="3428" spans="1:6" ht="14.25" customHeight="1">
      <c r="A3428" s="286" t="s">
        <v>827</v>
      </c>
      <c r="B3428" s="286">
        <v>2024</v>
      </c>
      <c r="C3428" s="286" t="s">
        <v>859</v>
      </c>
      <c r="D3428" s="286" t="s">
        <v>998</v>
      </c>
      <c r="E3428" s="286" t="s">
        <v>997</v>
      </c>
      <c r="F3428" s="113" t="s">
        <v>935</v>
      </c>
    </row>
    <row r="3429" spans="1:6" ht="14.25" customHeight="1">
      <c r="A3429" s="286" t="s">
        <v>827</v>
      </c>
      <c r="B3429" s="286">
        <v>2024</v>
      </c>
      <c r="C3429" s="286" t="s">
        <v>872</v>
      </c>
      <c r="D3429" s="286" t="s">
        <v>1013</v>
      </c>
      <c r="E3429" s="286" t="s">
        <v>954</v>
      </c>
      <c r="F3429" s="113" t="s">
        <v>906</v>
      </c>
    </row>
    <row r="3430" spans="1:6" ht="14.25" customHeight="1">
      <c r="A3430" s="286" t="s">
        <v>827</v>
      </c>
      <c r="B3430" s="286">
        <v>2024</v>
      </c>
      <c r="C3430" s="286" t="s">
        <v>872</v>
      </c>
      <c r="D3430" s="286" t="s">
        <v>1013</v>
      </c>
      <c r="E3430" s="286" t="s">
        <v>1036</v>
      </c>
      <c r="F3430" s="113" t="s">
        <v>906</v>
      </c>
    </row>
    <row r="3431" spans="1:6" ht="14.25" customHeight="1">
      <c r="A3431" s="286" t="s">
        <v>827</v>
      </c>
      <c r="B3431" s="286">
        <v>2024</v>
      </c>
      <c r="C3431" s="286" t="s">
        <v>872</v>
      </c>
      <c r="D3431" s="286" t="s">
        <v>1013</v>
      </c>
      <c r="E3431" s="286" t="s">
        <v>986</v>
      </c>
      <c r="F3431" s="113" t="s">
        <v>906</v>
      </c>
    </row>
    <row r="3432" spans="1:6" ht="14.25" customHeight="1">
      <c r="A3432" s="286" t="s">
        <v>827</v>
      </c>
      <c r="B3432" s="286">
        <v>2024</v>
      </c>
      <c r="C3432" s="286" t="s">
        <v>872</v>
      </c>
      <c r="D3432" s="286" t="s">
        <v>1013</v>
      </c>
      <c r="E3432" s="286" t="s">
        <v>952</v>
      </c>
      <c r="F3432" s="113" t="s">
        <v>906</v>
      </c>
    </row>
    <row r="3433" spans="1:6" ht="14.25" customHeight="1">
      <c r="A3433" s="286" t="s">
        <v>827</v>
      </c>
      <c r="B3433" s="286">
        <v>2024</v>
      </c>
      <c r="C3433" s="286" t="s">
        <v>872</v>
      </c>
      <c r="D3433" s="286" t="s">
        <v>1013</v>
      </c>
      <c r="E3433" s="286" t="s">
        <v>1052</v>
      </c>
      <c r="F3433" s="113" t="s">
        <v>909</v>
      </c>
    </row>
    <row r="3434" spans="1:6" ht="14.25" customHeight="1">
      <c r="A3434" s="286" t="s">
        <v>827</v>
      </c>
      <c r="B3434" s="286">
        <v>2024</v>
      </c>
      <c r="C3434" s="286" t="s">
        <v>872</v>
      </c>
      <c r="D3434" s="286" t="s">
        <v>1013</v>
      </c>
      <c r="E3434" s="286" t="s">
        <v>1075</v>
      </c>
      <c r="F3434" s="113" t="s">
        <v>483</v>
      </c>
    </row>
    <row r="3435" spans="1:6" ht="14.25" customHeight="1">
      <c r="A3435" s="286" t="s">
        <v>827</v>
      </c>
      <c r="B3435" s="286">
        <v>2024</v>
      </c>
      <c r="C3435" s="286" t="s">
        <v>872</v>
      </c>
      <c r="D3435" s="286" t="s">
        <v>1013</v>
      </c>
      <c r="E3435" s="286" t="s">
        <v>1076</v>
      </c>
      <c r="F3435" s="113" t="s">
        <v>483</v>
      </c>
    </row>
    <row r="3436" spans="1:6" ht="14.25" customHeight="1">
      <c r="A3436" s="286" t="s">
        <v>827</v>
      </c>
      <c r="B3436" s="286">
        <v>2024</v>
      </c>
      <c r="C3436" s="286" t="s">
        <v>872</v>
      </c>
      <c r="D3436" s="286" t="s">
        <v>1013</v>
      </c>
      <c r="E3436" s="286" t="s">
        <v>1077</v>
      </c>
      <c r="F3436" s="113" t="s">
        <v>483</v>
      </c>
    </row>
    <row r="3437" spans="1:6" ht="14.25" customHeight="1">
      <c r="A3437" s="286" t="s">
        <v>827</v>
      </c>
      <c r="B3437" s="286">
        <v>2024</v>
      </c>
      <c r="C3437" s="286" t="s">
        <v>872</v>
      </c>
      <c r="D3437" s="286" t="s">
        <v>1013</v>
      </c>
      <c r="E3437" s="286" t="s">
        <v>1077</v>
      </c>
      <c r="F3437" s="113" t="s">
        <v>483</v>
      </c>
    </row>
    <row r="3438" spans="1:6" ht="14.25" customHeight="1">
      <c r="A3438" s="286" t="s">
        <v>827</v>
      </c>
      <c r="B3438" s="286">
        <v>2024</v>
      </c>
      <c r="C3438" s="286" t="s">
        <v>872</v>
      </c>
      <c r="D3438" s="286" t="s">
        <v>1013</v>
      </c>
      <c r="E3438" s="286" t="s">
        <v>1178</v>
      </c>
      <c r="F3438" s="113" t="s">
        <v>483</v>
      </c>
    </row>
    <row r="3439" spans="1:6" ht="14.25" customHeight="1">
      <c r="A3439" s="286" t="s">
        <v>827</v>
      </c>
      <c r="B3439" s="286">
        <v>2024</v>
      </c>
      <c r="C3439" s="286" t="s">
        <v>872</v>
      </c>
      <c r="D3439" s="286" t="s">
        <v>1013</v>
      </c>
      <c r="E3439" s="286" t="s">
        <v>1124</v>
      </c>
      <c r="F3439" s="113" t="s">
        <v>483</v>
      </c>
    </row>
    <row r="3440" spans="1:6" ht="14.25" customHeight="1">
      <c r="A3440" s="286" t="s">
        <v>827</v>
      </c>
      <c r="B3440" s="286">
        <v>2024</v>
      </c>
      <c r="C3440" s="286" t="s">
        <v>872</v>
      </c>
      <c r="D3440" s="286" t="s">
        <v>1013</v>
      </c>
      <c r="E3440" s="286" t="s">
        <v>1131</v>
      </c>
      <c r="F3440" s="113" t="s">
        <v>483</v>
      </c>
    </row>
    <row r="3441" spans="1:6" ht="14.25" customHeight="1">
      <c r="A3441" s="286" t="s">
        <v>827</v>
      </c>
      <c r="B3441" s="286">
        <v>2024</v>
      </c>
      <c r="C3441" s="286" t="s">
        <v>872</v>
      </c>
      <c r="D3441" s="286" t="s">
        <v>1013</v>
      </c>
      <c r="E3441" s="286" t="s">
        <v>1134</v>
      </c>
      <c r="F3441" s="113" t="s">
        <v>911</v>
      </c>
    </row>
    <row r="3442" spans="1:6" ht="14.25" customHeight="1">
      <c r="A3442" s="286" t="s">
        <v>827</v>
      </c>
      <c r="B3442" s="286">
        <v>2024</v>
      </c>
      <c r="C3442" s="286" t="s">
        <v>872</v>
      </c>
      <c r="D3442" s="286" t="s">
        <v>1013</v>
      </c>
      <c r="E3442" s="286" t="s">
        <v>1092</v>
      </c>
      <c r="F3442" s="113" t="s">
        <v>911</v>
      </c>
    </row>
    <row r="3443" spans="1:6" ht="14.25" customHeight="1">
      <c r="A3443" s="286" t="s">
        <v>827</v>
      </c>
      <c r="B3443" s="286">
        <v>2024</v>
      </c>
      <c r="C3443" s="286" t="s">
        <v>872</v>
      </c>
      <c r="D3443" s="286" t="s">
        <v>1013</v>
      </c>
      <c r="E3443" s="286" t="s">
        <v>1081</v>
      </c>
      <c r="F3443" s="113" t="s">
        <v>911</v>
      </c>
    </row>
    <row r="3444" spans="1:6" ht="14.25" customHeight="1">
      <c r="A3444" s="286" t="s">
        <v>827</v>
      </c>
      <c r="B3444" s="286">
        <v>2024</v>
      </c>
      <c r="C3444" s="286" t="s">
        <v>872</v>
      </c>
      <c r="D3444" s="286" t="s">
        <v>1013</v>
      </c>
      <c r="E3444" s="286" t="s">
        <v>967</v>
      </c>
      <c r="F3444" s="113" t="s">
        <v>915</v>
      </c>
    </row>
    <row r="3445" spans="1:6" ht="14.25" customHeight="1">
      <c r="A3445" s="286" t="s">
        <v>827</v>
      </c>
      <c r="B3445" s="286">
        <v>2024</v>
      </c>
      <c r="C3445" s="286" t="s">
        <v>872</v>
      </c>
      <c r="D3445" s="286" t="s">
        <v>1013</v>
      </c>
      <c r="E3445" s="286" t="s">
        <v>1088</v>
      </c>
      <c r="F3445" s="113" t="s">
        <v>915</v>
      </c>
    </row>
    <row r="3446" spans="1:6" ht="14.25" customHeight="1">
      <c r="A3446" s="286" t="s">
        <v>827</v>
      </c>
      <c r="B3446" s="286">
        <v>2024</v>
      </c>
      <c r="C3446" s="286" t="s">
        <v>872</v>
      </c>
      <c r="D3446" s="286" t="s">
        <v>1013</v>
      </c>
      <c r="E3446" s="286" t="s">
        <v>1173</v>
      </c>
      <c r="F3446" s="113" t="s">
        <v>915</v>
      </c>
    </row>
    <row r="3447" spans="1:6" ht="14.25" customHeight="1">
      <c r="A3447" s="286" t="s">
        <v>827</v>
      </c>
      <c r="B3447" s="286">
        <v>2024</v>
      </c>
      <c r="C3447" s="286" t="s">
        <v>872</v>
      </c>
      <c r="D3447" s="286" t="s">
        <v>1013</v>
      </c>
      <c r="E3447" s="286" t="s">
        <v>968</v>
      </c>
      <c r="F3447" s="113" t="s">
        <v>915</v>
      </c>
    </row>
    <row r="3448" spans="1:6" ht="14.25" customHeight="1">
      <c r="A3448" s="286" t="s">
        <v>827</v>
      </c>
      <c r="B3448" s="286">
        <v>2024</v>
      </c>
      <c r="C3448" s="286" t="s">
        <v>872</v>
      </c>
      <c r="D3448" s="286" t="s">
        <v>1013</v>
      </c>
      <c r="E3448" s="286" t="s">
        <v>968</v>
      </c>
      <c r="F3448" s="113" t="s">
        <v>915</v>
      </c>
    </row>
    <row r="3449" spans="1:6" ht="14.25" customHeight="1">
      <c r="A3449" s="286" t="s">
        <v>827</v>
      </c>
      <c r="B3449" s="286">
        <v>2024</v>
      </c>
      <c r="C3449" s="286" t="s">
        <v>872</v>
      </c>
      <c r="D3449" s="286" t="s">
        <v>1013</v>
      </c>
      <c r="E3449" s="286" t="s">
        <v>1083</v>
      </c>
      <c r="F3449" s="113" t="s">
        <v>783</v>
      </c>
    </row>
    <row r="3450" spans="1:6" ht="14.25" customHeight="1">
      <c r="A3450" s="286" t="s">
        <v>827</v>
      </c>
      <c r="B3450" s="286">
        <v>2024</v>
      </c>
      <c r="C3450" s="286" t="s">
        <v>872</v>
      </c>
      <c r="D3450" s="286" t="s">
        <v>1013</v>
      </c>
      <c r="E3450" s="286" t="s">
        <v>1083</v>
      </c>
      <c r="F3450" s="113" t="s">
        <v>783</v>
      </c>
    </row>
    <row r="3451" spans="1:6" ht="14.25" customHeight="1">
      <c r="A3451" s="286" t="s">
        <v>827</v>
      </c>
      <c r="B3451" s="286">
        <v>2024</v>
      </c>
      <c r="C3451" s="286" t="s">
        <v>872</v>
      </c>
      <c r="D3451" s="286" t="s">
        <v>1013</v>
      </c>
      <c r="E3451" s="286" t="s">
        <v>1001</v>
      </c>
      <c r="F3451" s="113" t="s">
        <v>783</v>
      </c>
    </row>
    <row r="3452" spans="1:6" ht="14.25" customHeight="1">
      <c r="A3452" s="286" t="s">
        <v>827</v>
      </c>
      <c r="B3452" s="286">
        <v>2024</v>
      </c>
      <c r="C3452" s="286" t="s">
        <v>872</v>
      </c>
      <c r="D3452" s="286" t="s">
        <v>1013</v>
      </c>
      <c r="E3452" s="286" t="s">
        <v>1001</v>
      </c>
      <c r="F3452" s="113" t="s">
        <v>783</v>
      </c>
    </row>
    <row r="3453" spans="1:6" ht="14.25" customHeight="1">
      <c r="A3453" s="286" t="s">
        <v>827</v>
      </c>
      <c r="B3453" s="286">
        <v>2024</v>
      </c>
      <c r="C3453" s="286" t="s">
        <v>872</v>
      </c>
      <c r="D3453" s="286" t="s">
        <v>1013</v>
      </c>
      <c r="E3453" s="286" t="s">
        <v>1114</v>
      </c>
      <c r="F3453" s="113" t="s">
        <v>783</v>
      </c>
    </row>
    <row r="3454" spans="1:6" ht="14.25" customHeight="1">
      <c r="A3454" s="286" t="s">
        <v>827</v>
      </c>
      <c r="B3454" s="286">
        <v>2024</v>
      </c>
      <c r="C3454" s="286" t="s">
        <v>872</v>
      </c>
      <c r="D3454" s="286" t="s">
        <v>1013</v>
      </c>
      <c r="E3454" s="286" t="s">
        <v>1114</v>
      </c>
      <c r="F3454" s="113" t="s">
        <v>783</v>
      </c>
    </row>
    <row r="3455" spans="1:6" ht="14.25" customHeight="1">
      <c r="A3455" s="286" t="s">
        <v>827</v>
      </c>
      <c r="B3455" s="286">
        <v>2024</v>
      </c>
      <c r="C3455" s="286" t="s">
        <v>872</v>
      </c>
      <c r="D3455" s="286" t="s">
        <v>1013</v>
      </c>
      <c r="E3455" s="286" t="s">
        <v>950</v>
      </c>
      <c r="F3455" s="113" t="s">
        <v>783</v>
      </c>
    </row>
    <row r="3456" spans="1:6" ht="14.25" customHeight="1">
      <c r="A3456" s="286" t="s">
        <v>827</v>
      </c>
      <c r="B3456" s="286">
        <v>2024</v>
      </c>
      <c r="C3456" s="286" t="s">
        <v>872</v>
      </c>
      <c r="D3456" s="286" t="s">
        <v>1013</v>
      </c>
      <c r="E3456" s="286" t="s">
        <v>936</v>
      </c>
      <c r="F3456" s="113" t="s">
        <v>783</v>
      </c>
    </row>
    <row r="3457" spans="1:6" ht="14.25" customHeight="1">
      <c r="A3457" s="286" t="s">
        <v>827</v>
      </c>
      <c r="B3457" s="286">
        <v>2024</v>
      </c>
      <c r="C3457" s="286" t="s">
        <v>872</v>
      </c>
      <c r="D3457" s="286" t="s">
        <v>1013</v>
      </c>
      <c r="E3457" s="286" t="s">
        <v>1187</v>
      </c>
      <c r="F3457" s="113" t="s">
        <v>783</v>
      </c>
    </row>
    <row r="3458" spans="1:6" ht="14.25" customHeight="1">
      <c r="A3458" s="286" t="s">
        <v>827</v>
      </c>
      <c r="B3458" s="286">
        <v>2024</v>
      </c>
      <c r="C3458" s="286" t="s">
        <v>872</v>
      </c>
      <c r="D3458" s="286" t="s">
        <v>1013</v>
      </c>
      <c r="E3458" s="286" t="s">
        <v>1187</v>
      </c>
      <c r="F3458" s="113" t="s">
        <v>783</v>
      </c>
    </row>
    <row r="3459" spans="1:6" ht="14.25" customHeight="1">
      <c r="A3459" s="286" t="s">
        <v>827</v>
      </c>
      <c r="B3459" s="286">
        <v>2024</v>
      </c>
      <c r="C3459" s="286" t="s">
        <v>872</v>
      </c>
      <c r="D3459" s="286" t="s">
        <v>1013</v>
      </c>
      <c r="E3459" s="286" t="s">
        <v>1183</v>
      </c>
      <c r="F3459" s="113" t="s">
        <v>783</v>
      </c>
    </row>
    <row r="3460" spans="1:6" ht="14.25" customHeight="1">
      <c r="A3460" s="286" t="s">
        <v>827</v>
      </c>
      <c r="B3460" s="286">
        <v>2024</v>
      </c>
      <c r="C3460" s="286" t="s">
        <v>872</v>
      </c>
      <c r="D3460" s="286" t="s">
        <v>1013</v>
      </c>
      <c r="E3460" s="286" t="s">
        <v>1061</v>
      </c>
      <c r="F3460" s="113" t="s">
        <v>783</v>
      </c>
    </row>
    <row r="3461" spans="1:6" ht="14.25" customHeight="1">
      <c r="A3461" s="286" t="s">
        <v>827</v>
      </c>
      <c r="B3461" s="286">
        <v>2024</v>
      </c>
      <c r="C3461" s="286" t="s">
        <v>872</v>
      </c>
      <c r="D3461" s="286" t="s">
        <v>1013</v>
      </c>
      <c r="E3461" s="286" t="s">
        <v>1061</v>
      </c>
      <c r="F3461" s="113" t="s">
        <v>783</v>
      </c>
    </row>
    <row r="3462" spans="1:6" ht="14.25" customHeight="1">
      <c r="A3462" s="286" t="s">
        <v>827</v>
      </c>
      <c r="B3462" s="286">
        <v>2024</v>
      </c>
      <c r="C3462" s="286" t="s">
        <v>872</v>
      </c>
      <c r="D3462" s="286" t="s">
        <v>1013</v>
      </c>
      <c r="E3462" s="286" t="s">
        <v>1284</v>
      </c>
      <c r="F3462" s="113" t="s">
        <v>783</v>
      </c>
    </row>
    <row r="3463" spans="1:6" ht="14.25" customHeight="1">
      <c r="A3463" s="286" t="s">
        <v>827</v>
      </c>
      <c r="B3463" s="286">
        <v>2024</v>
      </c>
      <c r="C3463" s="286" t="s">
        <v>872</v>
      </c>
      <c r="D3463" s="286" t="s">
        <v>1013</v>
      </c>
      <c r="E3463" s="286" t="s">
        <v>1022</v>
      </c>
      <c r="F3463" s="113" t="s">
        <v>783</v>
      </c>
    </row>
    <row r="3464" spans="1:6" ht="14.25" customHeight="1">
      <c r="A3464" s="286" t="s">
        <v>827</v>
      </c>
      <c r="B3464" s="286">
        <v>2024</v>
      </c>
      <c r="C3464" s="286" t="s">
        <v>872</v>
      </c>
      <c r="D3464" s="286" t="s">
        <v>1013</v>
      </c>
      <c r="E3464" s="286" t="s">
        <v>1016</v>
      </c>
      <c r="F3464" s="113" t="s">
        <v>783</v>
      </c>
    </row>
    <row r="3465" spans="1:6" ht="14.25" customHeight="1">
      <c r="A3465" s="286" t="s">
        <v>827</v>
      </c>
      <c r="B3465" s="286">
        <v>2024</v>
      </c>
      <c r="C3465" s="286" t="s">
        <v>872</v>
      </c>
      <c r="D3465" s="286" t="s">
        <v>1013</v>
      </c>
      <c r="E3465" s="286" t="s">
        <v>1091</v>
      </c>
      <c r="F3465" s="113" t="s">
        <v>783</v>
      </c>
    </row>
    <row r="3466" spans="1:6" ht="14.25" customHeight="1">
      <c r="A3466" s="286" t="s">
        <v>827</v>
      </c>
      <c r="B3466" s="286">
        <v>2024</v>
      </c>
      <c r="C3466" s="286" t="s">
        <v>872</v>
      </c>
      <c r="D3466" s="286" t="s">
        <v>1013</v>
      </c>
      <c r="E3466" s="286" t="s">
        <v>1091</v>
      </c>
      <c r="F3466" s="113" t="s">
        <v>783</v>
      </c>
    </row>
    <row r="3467" spans="1:6" ht="14.25" customHeight="1">
      <c r="A3467" s="286" t="s">
        <v>827</v>
      </c>
      <c r="B3467" s="286">
        <v>2024</v>
      </c>
      <c r="C3467" s="286" t="s">
        <v>872</v>
      </c>
      <c r="D3467" s="286" t="s">
        <v>1013</v>
      </c>
      <c r="E3467" s="286" t="s">
        <v>955</v>
      </c>
      <c r="F3467" s="113" t="s">
        <v>922</v>
      </c>
    </row>
    <row r="3468" spans="1:6" ht="14.25" customHeight="1">
      <c r="A3468" s="286" t="s">
        <v>827</v>
      </c>
      <c r="B3468" s="286">
        <v>2024</v>
      </c>
      <c r="C3468" s="286" t="s">
        <v>872</v>
      </c>
      <c r="D3468" s="286" t="s">
        <v>1013</v>
      </c>
      <c r="E3468" s="286" t="s">
        <v>1063</v>
      </c>
      <c r="F3468" s="113" t="s">
        <v>922</v>
      </c>
    </row>
    <row r="3469" spans="1:6" ht="14.25" customHeight="1">
      <c r="A3469" s="286" t="s">
        <v>827</v>
      </c>
      <c r="B3469" s="286">
        <v>2024</v>
      </c>
      <c r="C3469" s="286" t="s">
        <v>872</v>
      </c>
      <c r="D3469" s="286" t="s">
        <v>1013</v>
      </c>
      <c r="E3469" s="286" t="s">
        <v>1113</v>
      </c>
      <c r="F3469" s="113" t="s">
        <v>922</v>
      </c>
    </row>
    <row r="3470" spans="1:6" ht="14.25" customHeight="1">
      <c r="A3470" s="286" t="s">
        <v>827</v>
      </c>
      <c r="B3470" s="286">
        <v>2024</v>
      </c>
      <c r="C3470" s="286" t="s">
        <v>872</v>
      </c>
      <c r="D3470" s="286" t="s">
        <v>1013</v>
      </c>
      <c r="E3470" s="286" t="s">
        <v>1019</v>
      </c>
      <c r="F3470" s="113" t="s">
        <v>922</v>
      </c>
    </row>
    <row r="3471" spans="1:6" ht="14.25" customHeight="1">
      <c r="A3471" s="286" t="s">
        <v>827</v>
      </c>
      <c r="B3471" s="286">
        <v>2024</v>
      </c>
      <c r="C3471" s="286" t="s">
        <v>872</v>
      </c>
      <c r="D3471" s="286" t="s">
        <v>1013</v>
      </c>
      <c r="E3471" s="286" t="s">
        <v>1100</v>
      </c>
      <c r="F3471" s="113" t="s">
        <v>935</v>
      </c>
    </row>
    <row r="3472" spans="1:6" ht="14.25" customHeight="1">
      <c r="A3472" s="286" t="s">
        <v>827</v>
      </c>
      <c r="B3472" s="286">
        <v>2024</v>
      </c>
      <c r="C3472" s="286" t="s">
        <v>872</v>
      </c>
      <c r="D3472" s="286" t="s">
        <v>1013</v>
      </c>
      <c r="E3472" s="286" t="s">
        <v>1100</v>
      </c>
      <c r="F3472" s="113" t="s">
        <v>935</v>
      </c>
    </row>
    <row r="3473" spans="1:6" ht="14.25" customHeight="1">
      <c r="A3473" s="286" t="s">
        <v>827</v>
      </c>
      <c r="B3473" s="286">
        <v>2024</v>
      </c>
      <c r="C3473" s="286" t="s">
        <v>872</v>
      </c>
      <c r="D3473" s="286" t="s">
        <v>1013</v>
      </c>
      <c r="E3473" s="286" t="s">
        <v>989</v>
      </c>
      <c r="F3473" s="113" t="s">
        <v>935</v>
      </c>
    </row>
    <row r="3474" spans="1:6" ht="14.25" customHeight="1">
      <c r="A3474" s="286" t="s">
        <v>827</v>
      </c>
      <c r="B3474" s="286">
        <v>2024</v>
      </c>
      <c r="C3474" s="286" t="s">
        <v>872</v>
      </c>
      <c r="D3474" s="286" t="s">
        <v>1013</v>
      </c>
      <c r="E3474" s="286" t="s">
        <v>989</v>
      </c>
      <c r="F3474" s="113" t="s">
        <v>935</v>
      </c>
    </row>
    <row r="3475" spans="1:6" ht="14.25" customHeight="1">
      <c r="A3475" s="286" t="s">
        <v>827</v>
      </c>
      <c r="B3475" s="286">
        <v>2024</v>
      </c>
      <c r="C3475" s="286" t="s">
        <v>872</v>
      </c>
      <c r="D3475" s="286" t="s">
        <v>1013</v>
      </c>
      <c r="E3475" s="286" t="s">
        <v>1023</v>
      </c>
      <c r="F3475" s="113" t="s">
        <v>935</v>
      </c>
    </row>
    <row r="3476" spans="1:6" ht="14.25" customHeight="1">
      <c r="A3476" s="286" t="s">
        <v>827</v>
      </c>
      <c r="B3476" s="286">
        <v>2024</v>
      </c>
      <c r="C3476" s="286" t="s">
        <v>872</v>
      </c>
      <c r="D3476" s="286" t="s">
        <v>1013</v>
      </c>
      <c r="E3476" s="286" t="s">
        <v>990</v>
      </c>
      <c r="F3476" s="113" t="s">
        <v>935</v>
      </c>
    </row>
    <row r="3477" spans="1:6" ht="14.25" customHeight="1">
      <c r="A3477" s="286" t="s">
        <v>827</v>
      </c>
      <c r="B3477" s="286">
        <v>2024</v>
      </c>
      <c r="C3477" s="286" t="s">
        <v>872</v>
      </c>
      <c r="D3477" s="286" t="s">
        <v>1013</v>
      </c>
      <c r="E3477" s="286" t="s">
        <v>990</v>
      </c>
      <c r="F3477" s="113" t="s">
        <v>935</v>
      </c>
    </row>
    <row r="3478" spans="1:6" ht="14.25" customHeight="1">
      <c r="A3478" s="286" t="s">
        <v>827</v>
      </c>
      <c r="B3478" s="286">
        <v>2024</v>
      </c>
      <c r="C3478" s="286" t="s">
        <v>872</v>
      </c>
      <c r="D3478" s="286" t="s">
        <v>1013</v>
      </c>
      <c r="E3478" s="286" t="s">
        <v>987</v>
      </c>
      <c r="F3478" s="113" t="s">
        <v>935</v>
      </c>
    </row>
    <row r="3479" spans="1:6" ht="14.25" customHeight="1">
      <c r="A3479" s="286" t="s">
        <v>827</v>
      </c>
      <c r="B3479" s="286">
        <v>2024</v>
      </c>
      <c r="C3479" s="286" t="s">
        <v>872</v>
      </c>
      <c r="D3479" s="286" t="s">
        <v>1013</v>
      </c>
      <c r="E3479" s="286" t="s">
        <v>1090</v>
      </c>
      <c r="F3479" s="113" t="s">
        <v>935</v>
      </c>
    </row>
    <row r="3480" spans="1:6" ht="14.25" customHeight="1">
      <c r="A3480" s="286" t="s">
        <v>827</v>
      </c>
      <c r="B3480" s="286">
        <v>2024</v>
      </c>
      <c r="C3480" s="286" t="s">
        <v>872</v>
      </c>
      <c r="D3480" s="286" t="s">
        <v>1013</v>
      </c>
      <c r="E3480" s="286" t="s">
        <v>1090</v>
      </c>
      <c r="F3480" s="113" t="s">
        <v>935</v>
      </c>
    </row>
    <row r="3481" spans="1:6" ht="14.25" customHeight="1">
      <c r="A3481" s="286" t="s">
        <v>827</v>
      </c>
      <c r="B3481" s="286">
        <v>2024</v>
      </c>
      <c r="C3481" s="286" t="s">
        <v>872</v>
      </c>
      <c r="D3481" s="286" t="s">
        <v>1013</v>
      </c>
      <c r="E3481" s="286" t="s">
        <v>1066</v>
      </c>
      <c r="F3481" s="113" t="s">
        <v>935</v>
      </c>
    </row>
    <row r="3482" spans="1:6" ht="14.25" customHeight="1">
      <c r="A3482" s="286" t="s">
        <v>827</v>
      </c>
      <c r="B3482" s="286">
        <v>2024</v>
      </c>
      <c r="C3482" s="286" t="s">
        <v>872</v>
      </c>
      <c r="D3482" s="286" t="s">
        <v>1013</v>
      </c>
      <c r="E3482" s="286" t="s">
        <v>1004</v>
      </c>
      <c r="F3482" s="113" t="s">
        <v>935</v>
      </c>
    </row>
    <row r="3483" spans="1:6" ht="14.25" customHeight="1">
      <c r="A3483" s="286" t="s">
        <v>827</v>
      </c>
      <c r="B3483" s="286">
        <v>2024</v>
      </c>
      <c r="C3483" s="286" t="s">
        <v>872</v>
      </c>
      <c r="D3483" s="286" t="s">
        <v>1013</v>
      </c>
      <c r="E3483" s="286" t="s">
        <v>984</v>
      </c>
      <c r="F3483" s="113" t="s">
        <v>935</v>
      </c>
    </row>
    <row r="3484" spans="1:6" ht="14.25" customHeight="1">
      <c r="A3484" s="286" t="s">
        <v>827</v>
      </c>
      <c r="B3484" s="286">
        <v>2024</v>
      </c>
      <c r="C3484" s="286" t="s">
        <v>872</v>
      </c>
      <c r="D3484" s="286" t="s">
        <v>1013</v>
      </c>
      <c r="E3484" s="286" t="s">
        <v>1030</v>
      </c>
      <c r="F3484" s="113" t="s">
        <v>935</v>
      </c>
    </row>
    <row r="3485" spans="1:6" ht="14.25" customHeight="1">
      <c r="A3485" s="286" t="s">
        <v>827</v>
      </c>
      <c r="B3485" s="286">
        <v>2024</v>
      </c>
      <c r="C3485" s="286" t="s">
        <v>872</v>
      </c>
      <c r="D3485" s="286" t="s">
        <v>1013</v>
      </c>
      <c r="E3485" s="286" t="s">
        <v>1035</v>
      </c>
      <c r="F3485" s="113" t="s">
        <v>935</v>
      </c>
    </row>
    <row r="3486" spans="1:6" ht="14.25" customHeight="1">
      <c r="A3486" s="286" t="s">
        <v>827</v>
      </c>
      <c r="B3486" s="286">
        <v>2024</v>
      </c>
      <c r="C3486" s="286" t="s">
        <v>872</v>
      </c>
      <c r="D3486" s="286" t="s">
        <v>1013</v>
      </c>
      <c r="E3486" s="286" t="s">
        <v>997</v>
      </c>
      <c r="F3486" s="113" t="s">
        <v>935</v>
      </c>
    </row>
    <row r="3487" spans="1:6" ht="14.25" customHeight="1">
      <c r="A3487" s="286" t="s">
        <v>827</v>
      </c>
      <c r="B3487" s="286">
        <v>2024</v>
      </c>
      <c r="C3487" s="286" t="s">
        <v>872</v>
      </c>
      <c r="D3487" s="286" t="s">
        <v>1018</v>
      </c>
      <c r="E3487" s="286" t="s">
        <v>991</v>
      </c>
      <c r="F3487" s="113" t="s">
        <v>906</v>
      </c>
    </row>
    <row r="3488" spans="1:6" ht="14.25" customHeight="1">
      <c r="A3488" s="286" t="s">
        <v>827</v>
      </c>
      <c r="B3488" s="286">
        <v>2024</v>
      </c>
      <c r="C3488" s="286" t="s">
        <v>872</v>
      </c>
      <c r="D3488" s="286" t="s">
        <v>1018</v>
      </c>
      <c r="E3488" s="286" t="s">
        <v>1100</v>
      </c>
      <c r="F3488" s="113" t="s">
        <v>935</v>
      </c>
    </row>
    <row r="3489" spans="1:6" ht="14.25" customHeight="1">
      <c r="A3489" s="286" t="s">
        <v>827</v>
      </c>
      <c r="B3489" s="286">
        <v>2024</v>
      </c>
      <c r="C3489" s="286" t="s">
        <v>872</v>
      </c>
      <c r="D3489" s="286" t="s">
        <v>1018</v>
      </c>
      <c r="E3489" s="286" t="s">
        <v>989</v>
      </c>
      <c r="F3489" s="113" t="s">
        <v>935</v>
      </c>
    </row>
    <row r="3490" spans="1:6" ht="14.25" customHeight="1">
      <c r="A3490" s="286" t="s">
        <v>827</v>
      </c>
      <c r="B3490" s="286">
        <v>2024</v>
      </c>
      <c r="C3490" s="286" t="s">
        <v>872</v>
      </c>
      <c r="D3490" s="286" t="s">
        <v>1018</v>
      </c>
      <c r="E3490" s="286" t="s">
        <v>1066</v>
      </c>
      <c r="F3490" s="113" t="s">
        <v>935</v>
      </c>
    </row>
    <row r="3491" spans="1:6" ht="14.25" customHeight="1">
      <c r="A3491" s="286" t="s">
        <v>827</v>
      </c>
      <c r="B3491" s="286">
        <v>2024</v>
      </c>
      <c r="C3491" s="286" t="s">
        <v>872</v>
      </c>
      <c r="D3491" s="286" t="s">
        <v>1018</v>
      </c>
      <c r="E3491" s="286" t="s">
        <v>997</v>
      </c>
      <c r="F3491" s="113" t="s">
        <v>935</v>
      </c>
    </row>
    <row r="3492" spans="1:6" ht="14.25" customHeight="1">
      <c r="A3492" s="286" t="s">
        <v>827</v>
      </c>
      <c r="B3492" s="286">
        <v>2024</v>
      </c>
      <c r="C3492" s="286" t="s">
        <v>1024</v>
      </c>
      <c r="D3492" s="286" t="s">
        <v>1025</v>
      </c>
      <c r="E3492" s="286" t="s">
        <v>1276</v>
      </c>
      <c r="F3492" s="113" t="s">
        <v>911</v>
      </c>
    </row>
    <row r="3493" spans="1:6" ht="14.25" customHeight="1">
      <c r="A3493" s="286" t="s">
        <v>827</v>
      </c>
      <c r="B3493" s="286">
        <v>2024</v>
      </c>
      <c r="C3493" s="286" t="s">
        <v>1024</v>
      </c>
      <c r="D3493" s="286" t="s">
        <v>1025</v>
      </c>
      <c r="E3493" s="286" t="s">
        <v>1276</v>
      </c>
      <c r="F3493" s="113" t="s">
        <v>911</v>
      </c>
    </row>
    <row r="3494" spans="1:6" ht="14.25" customHeight="1">
      <c r="A3494" s="286" t="s">
        <v>827</v>
      </c>
      <c r="B3494" s="286">
        <v>2024</v>
      </c>
      <c r="C3494" s="286" t="s">
        <v>1024</v>
      </c>
      <c r="D3494" s="286" t="s">
        <v>1025</v>
      </c>
      <c r="E3494" s="286" t="s">
        <v>1180</v>
      </c>
      <c r="F3494" s="284" t="s">
        <v>1144</v>
      </c>
    </row>
    <row r="3495" spans="1:6" ht="14.25" customHeight="1">
      <c r="A3495" s="286" t="s">
        <v>828</v>
      </c>
      <c r="B3495" s="286">
        <v>2024</v>
      </c>
      <c r="C3495" s="286" t="s">
        <v>821</v>
      </c>
      <c r="D3495" s="286" t="s">
        <v>132</v>
      </c>
      <c r="E3495" s="286" t="s">
        <v>954</v>
      </c>
      <c r="F3495" s="113" t="s">
        <v>906</v>
      </c>
    </row>
    <row r="3496" spans="1:6" ht="14.25" customHeight="1">
      <c r="A3496" s="286" t="s">
        <v>828</v>
      </c>
      <c r="B3496" s="286">
        <v>2024</v>
      </c>
      <c r="C3496" s="286" t="s">
        <v>821</v>
      </c>
      <c r="D3496" s="286" t="s">
        <v>132</v>
      </c>
      <c r="E3496" s="286" t="s">
        <v>954</v>
      </c>
      <c r="F3496" s="113" t="s">
        <v>906</v>
      </c>
    </row>
    <row r="3497" spans="1:6" ht="14.25" customHeight="1">
      <c r="A3497" s="286" t="s">
        <v>828</v>
      </c>
      <c r="B3497" s="286">
        <v>2024</v>
      </c>
      <c r="C3497" s="286" t="s">
        <v>821</v>
      </c>
      <c r="D3497" s="286" t="s">
        <v>132</v>
      </c>
      <c r="E3497" s="286" t="s">
        <v>952</v>
      </c>
      <c r="F3497" s="113" t="s">
        <v>906</v>
      </c>
    </row>
    <row r="3498" spans="1:6" ht="14.25" customHeight="1">
      <c r="A3498" s="286" t="s">
        <v>828</v>
      </c>
      <c r="B3498" s="286">
        <v>2024</v>
      </c>
      <c r="C3498" s="286" t="s">
        <v>821</v>
      </c>
      <c r="D3498" s="286" t="s">
        <v>132</v>
      </c>
      <c r="E3498" s="286" t="s">
        <v>972</v>
      </c>
      <c r="F3498" s="113" t="s">
        <v>911</v>
      </c>
    </row>
    <row r="3499" spans="1:6" ht="14.25" customHeight="1">
      <c r="A3499" s="286" t="s">
        <v>828</v>
      </c>
      <c r="B3499" s="286">
        <v>2024</v>
      </c>
      <c r="C3499" s="286" t="s">
        <v>821</v>
      </c>
      <c r="D3499" s="286" t="s">
        <v>934</v>
      </c>
      <c r="E3499" s="286" t="s">
        <v>1040</v>
      </c>
      <c r="F3499" s="113" t="s">
        <v>906</v>
      </c>
    </row>
    <row r="3500" spans="1:6" ht="14.25" customHeight="1">
      <c r="A3500" s="286" t="s">
        <v>828</v>
      </c>
      <c r="B3500" s="286">
        <v>2024</v>
      </c>
      <c r="C3500" s="286" t="s">
        <v>821</v>
      </c>
      <c r="D3500" s="286" t="s">
        <v>934</v>
      </c>
      <c r="E3500" s="286" t="s">
        <v>983</v>
      </c>
      <c r="F3500" s="113" t="s">
        <v>483</v>
      </c>
    </row>
    <row r="3501" spans="1:6" ht="14.25" customHeight="1">
      <c r="A3501" s="286" t="s">
        <v>828</v>
      </c>
      <c r="B3501" s="286">
        <v>2024</v>
      </c>
      <c r="C3501" s="286" t="s">
        <v>821</v>
      </c>
      <c r="D3501" s="286" t="s">
        <v>934</v>
      </c>
      <c r="E3501" s="286" t="s">
        <v>1218</v>
      </c>
      <c r="F3501" s="113" t="s">
        <v>483</v>
      </c>
    </row>
    <row r="3502" spans="1:6" ht="14.25" customHeight="1">
      <c r="A3502" s="286" t="s">
        <v>828</v>
      </c>
      <c r="B3502" s="286">
        <v>2024</v>
      </c>
      <c r="C3502" s="286" t="s">
        <v>821</v>
      </c>
      <c r="D3502" s="286" t="s">
        <v>931</v>
      </c>
      <c r="E3502" s="286" t="s">
        <v>1285</v>
      </c>
      <c r="F3502" s="113" t="s">
        <v>483</v>
      </c>
    </row>
    <row r="3503" spans="1:6" ht="14.25" customHeight="1">
      <c r="A3503" s="286" t="s">
        <v>828</v>
      </c>
      <c r="B3503" s="286">
        <v>2024</v>
      </c>
      <c r="C3503" s="286" t="s">
        <v>821</v>
      </c>
      <c r="D3503" s="286" t="s">
        <v>931</v>
      </c>
      <c r="E3503" s="286" t="s">
        <v>965</v>
      </c>
      <c r="F3503" s="113" t="s">
        <v>911</v>
      </c>
    </row>
    <row r="3504" spans="1:6" ht="14.25" customHeight="1">
      <c r="A3504" s="286" t="s">
        <v>828</v>
      </c>
      <c r="B3504" s="286">
        <v>2024</v>
      </c>
      <c r="C3504" s="286" t="s">
        <v>821</v>
      </c>
      <c r="D3504" s="286" t="s">
        <v>931</v>
      </c>
      <c r="E3504" s="286" t="s">
        <v>941</v>
      </c>
      <c r="F3504" s="113" t="s">
        <v>913</v>
      </c>
    </row>
    <row r="3505" spans="1:6" ht="14.25" customHeight="1">
      <c r="A3505" s="286" t="s">
        <v>828</v>
      </c>
      <c r="B3505" s="286">
        <v>2024</v>
      </c>
      <c r="C3505" s="286" t="s">
        <v>821</v>
      </c>
      <c r="D3505" s="286" t="s">
        <v>976</v>
      </c>
      <c r="E3505" s="286" t="s">
        <v>953</v>
      </c>
      <c r="F3505" s="113" t="s">
        <v>906</v>
      </c>
    </row>
    <row r="3506" spans="1:6" ht="14.25" customHeight="1">
      <c r="A3506" s="286" t="s">
        <v>828</v>
      </c>
      <c r="B3506" s="286">
        <v>2024</v>
      </c>
      <c r="C3506" s="286" t="s">
        <v>821</v>
      </c>
      <c r="D3506" s="286" t="s">
        <v>976</v>
      </c>
      <c r="E3506" s="286" t="s">
        <v>1028</v>
      </c>
      <c r="F3506" s="113" t="s">
        <v>906</v>
      </c>
    </row>
    <row r="3507" spans="1:6" ht="14.25" customHeight="1">
      <c r="A3507" s="286" t="s">
        <v>828</v>
      </c>
      <c r="B3507" s="286">
        <v>2024</v>
      </c>
      <c r="C3507" s="286" t="s">
        <v>821</v>
      </c>
      <c r="D3507" s="286" t="s">
        <v>976</v>
      </c>
      <c r="E3507" s="286" t="s">
        <v>1041</v>
      </c>
      <c r="F3507" s="113" t="s">
        <v>906</v>
      </c>
    </row>
    <row r="3508" spans="1:6" ht="14.25" customHeight="1">
      <c r="A3508" s="286" t="s">
        <v>828</v>
      </c>
      <c r="B3508" s="286">
        <v>2024</v>
      </c>
      <c r="C3508" s="286" t="s">
        <v>821</v>
      </c>
      <c r="D3508" s="286" t="s">
        <v>976</v>
      </c>
      <c r="E3508" s="286" t="s">
        <v>1090</v>
      </c>
      <c r="F3508" s="113" t="s">
        <v>935</v>
      </c>
    </row>
    <row r="3509" spans="1:6" ht="14.25" customHeight="1">
      <c r="A3509" s="286" t="s">
        <v>828</v>
      </c>
      <c r="B3509" s="286">
        <v>2024</v>
      </c>
      <c r="C3509" s="286" t="s">
        <v>88</v>
      </c>
      <c r="D3509" s="286" t="s">
        <v>969</v>
      </c>
      <c r="E3509" s="286" t="s">
        <v>952</v>
      </c>
      <c r="F3509" s="113" t="s">
        <v>906</v>
      </c>
    </row>
    <row r="3510" spans="1:6" ht="14.25" customHeight="1">
      <c r="A3510" s="286" t="s">
        <v>828</v>
      </c>
      <c r="B3510" s="286">
        <v>2024</v>
      </c>
      <c r="C3510" s="286" t="s">
        <v>88</v>
      </c>
      <c r="D3510" s="286" t="s">
        <v>969</v>
      </c>
      <c r="E3510" s="286" t="s">
        <v>972</v>
      </c>
      <c r="F3510" s="113" t="s">
        <v>911</v>
      </c>
    </row>
    <row r="3511" spans="1:6" ht="14.25" customHeight="1">
      <c r="A3511" s="286" t="s">
        <v>828</v>
      </c>
      <c r="B3511" s="286">
        <v>2024</v>
      </c>
      <c r="C3511" s="286" t="s">
        <v>88</v>
      </c>
      <c r="D3511" s="286" t="s">
        <v>969</v>
      </c>
      <c r="E3511" s="286" t="s">
        <v>1134</v>
      </c>
      <c r="F3511" s="113" t="s">
        <v>911</v>
      </c>
    </row>
    <row r="3512" spans="1:6" ht="14.25" customHeight="1">
      <c r="A3512" s="286" t="s">
        <v>828</v>
      </c>
      <c r="B3512" s="286">
        <v>2024</v>
      </c>
      <c r="C3512" s="286" t="s">
        <v>88</v>
      </c>
      <c r="D3512" s="286" t="s">
        <v>969</v>
      </c>
      <c r="E3512" s="286" t="s">
        <v>2</v>
      </c>
      <c r="F3512" s="113" t="s">
        <v>783</v>
      </c>
    </row>
    <row r="3513" spans="1:6" ht="14.25" customHeight="1">
      <c r="A3513" s="286" t="s">
        <v>828</v>
      </c>
      <c r="B3513" s="286">
        <v>2024</v>
      </c>
      <c r="C3513" s="286" t="s">
        <v>88</v>
      </c>
      <c r="D3513" s="286" t="s">
        <v>969</v>
      </c>
      <c r="E3513" s="286" t="s">
        <v>2</v>
      </c>
      <c r="F3513" s="113" t="s">
        <v>783</v>
      </c>
    </row>
    <row r="3514" spans="1:6" ht="14.25" customHeight="1">
      <c r="A3514" s="286" t="s">
        <v>828</v>
      </c>
      <c r="B3514" s="286">
        <v>2024</v>
      </c>
      <c r="C3514" s="286" t="s">
        <v>88</v>
      </c>
      <c r="D3514" s="286" t="s">
        <v>969</v>
      </c>
      <c r="E3514" s="286" t="s">
        <v>1276</v>
      </c>
      <c r="F3514" s="113" t="s">
        <v>783</v>
      </c>
    </row>
    <row r="3515" spans="1:6" ht="14.25" customHeight="1">
      <c r="A3515" s="286" t="s">
        <v>828</v>
      </c>
      <c r="B3515" s="286">
        <v>2024</v>
      </c>
      <c r="C3515" s="286" t="s">
        <v>88</v>
      </c>
      <c r="D3515" s="286" t="s">
        <v>969</v>
      </c>
      <c r="E3515" s="286" t="s">
        <v>2</v>
      </c>
      <c r="F3515" s="113" t="s">
        <v>935</v>
      </c>
    </row>
    <row r="3516" spans="1:6" ht="14.25" customHeight="1">
      <c r="A3516" s="286" t="s">
        <v>828</v>
      </c>
      <c r="B3516" s="286">
        <v>2024</v>
      </c>
      <c r="C3516" s="286" t="s">
        <v>88</v>
      </c>
      <c r="D3516" s="286" t="s">
        <v>969</v>
      </c>
      <c r="E3516" s="286" t="s">
        <v>2</v>
      </c>
      <c r="F3516" s="113" t="s">
        <v>935</v>
      </c>
    </row>
    <row r="3517" spans="1:6" ht="14.25" customHeight="1">
      <c r="A3517" s="286" t="s">
        <v>828</v>
      </c>
      <c r="B3517" s="286">
        <v>2024</v>
      </c>
      <c r="C3517" s="286" t="s">
        <v>859</v>
      </c>
      <c r="D3517" s="286" t="s">
        <v>1005</v>
      </c>
      <c r="E3517" s="286" t="s">
        <v>972</v>
      </c>
      <c r="F3517" s="113" t="s">
        <v>911</v>
      </c>
    </row>
    <row r="3518" spans="1:6" ht="14.25" customHeight="1">
      <c r="A3518" s="286" t="s">
        <v>828</v>
      </c>
      <c r="B3518" s="286">
        <v>2024</v>
      </c>
      <c r="C3518" s="286" t="s">
        <v>872</v>
      </c>
      <c r="D3518" s="286" t="s">
        <v>1018</v>
      </c>
      <c r="E3518" s="286" t="s">
        <v>1100</v>
      </c>
      <c r="F3518" s="113" t="s">
        <v>935</v>
      </c>
    </row>
    <row r="3519" spans="1:6" ht="14.25" customHeight="1">
      <c r="A3519" s="286" t="s">
        <v>829</v>
      </c>
      <c r="B3519" s="286">
        <v>2024</v>
      </c>
      <c r="C3519" s="286" t="s">
        <v>821</v>
      </c>
      <c r="D3519" s="286" t="s">
        <v>132</v>
      </c>
      <c r="E3519" s="286" t="s">
        <v>954</v>
      </c>
      <c r="F3519" s="113" t="s">
        <v>906</v>
      </c>
    </row>
    <row r="3520" spans="1:6" ht="14.25" customHeight="1">
      <c r="A3520" s="286" t="s">
        <v>829</v>
      </c>
      <c r="B3520" s="286">
        <v>2024</v>
      </c>
      <c r="C3520" s="286" t="s">
        <v>821</v>
      </c>
      <c r="D3520" s="286" t="s">
        <v>132</v>
      </c>
      <c r="E3520" s="286" t="s">
        <v>986</v>
      </c>
      <c r="F3520" s="113" t="s">
        <v>906</v>
      </c>
    </row>
    <row r="3521" spans="1:6" ht="14.25" customHeight="1">
      <c r="A3521" s="286" t="s">
        <v>829</v>
      </c>
      <c r="B3521" s="286">
        <v>2024</v>
      </c>
      <c r="C3521" s="286" t="s">
        <v>821</v>
      </c>
      <c r="D3521" s="286" t="s">
        <v>132</v>
      </c>
      <c r="E3521" s="286" t="s">
        <v>1115</v>
      </c>
      <c r="F3521" s="113" t="s">
        <v>911</v>
      </c>
    </row>
    <row r="3522" spans="1:6" ht="14.25" customHeight="1">
      <c r="A3522" s="286" t="s">
        <v>829</v>
      </c>
      <c r="B3522" s="286">
        <v>2024</v>
      </c>
      <c r="C3522" s="286" t="s">
        <v>821</v>
      </c>
      <c r="D3522" s="286" t="s">
        <v>132</v>
      </c>
      <c r="E3522" s="286" t="s">
        <v>2</v>
      </c>
      <c r="F3522" s="113" t="s">
        <v>924</v>
      </c>
    </row>
    <row r="3523" spans="1:6" ht="14.25" customHeight="1">
      <c r="A3523" s="286" t="s">
        <v>829</v>
      </c>
      <c r="B3523" s="286">
        <v>2024</v>
      </c>
      <c r="C3523" s="286" t="s">
        <v>821</v>
      </c>
      <c r="D3523" s="286" t="s">
        <v>934</v>
      </c>
      <c r="E3523" s="286" t="s">
        <v>2</v>
      </c>
      <c r="F3523" s="113" t="s">
        <v>906</v>
      </c>
    </row>
    <row r="3524" spans="1:6" ht="14.25" customHeight="1">
      <c r="A3524" s="286" t="s">
        <v>829</v>
      </c>
      <c r="B3524" s="286">
        <v>2024</v>
      </c>
      <c r="C3524" s="286" t="s">
        <v>821</v>
      </c>
      <c r="D3524" s="286" t="s">
        <v>934</v>
      </c>
      <c r="E3524" s="286" t="s">
        <v>1058</v>
      </c>
      <c r="F3524" s="113" t="s">
        <v>906</v>
      </c>
    </row>
    <row r="3525" spans="1:6" ht="14.25" customHeight="1">
      <c r="A3525" s="286" t="s">
        <v>829</v>
      </c>
      <c r="B3525" s="286">
        <v>2024</v>
      </c>
      <c r="C3525" s="286" t="s">
        <v>821</v>
      </c>
      <c r="D3525" s="286" t="s">
        <v>934</v>
      </c>
      <c r="E3525" s="286" t="s">
        <v>1036</v>
      </c>
      <c r="F3525" s="113" t="s">
        <v>906</v>
      </c>
    </row>
    <row r="3526" spans="1:6" ht="14.25" customHeight="1">
      <c r="A3526" s="286" t="s">
        <v>829</v>
      </c>
      <c r="B3526" s="286">
        <v>2024</v>
      </c>
      <c r="C3526" s="286" t="s">
        <v>821</v>
      </c>
      <c r="D3526" s="286" t="s">
        <v>934</v>
      </c>
      <c r="E3526" s="286" t="s">
        <v>930</v>
      </c>
      <c r="F3526" s="113" t="s">
        <v>906</v>
      </c>
    </row>
    <row r="3527" spans="1:6" ht="14.25" customHeight="1">
      <c r="A3527" s="286" t="s">
        <v>829</v>
      </c>
      <c r="B3527" s="286">
        <v>2024</v>
      </c>
      <c r="C3527" s="286" t="s">
        <v>821</v>
      </c>
      <c r="D3527" s="286" t="s">
        <v>934</v>
      </c>
      <c r="E3527" s="286" t="s">
        <v>977</v>
      </c>
      <c r="F3527" s="113" t="s">
        <v>483</v>
      </c>
    </row>
    <row r="3528" spans="1:6" ht="14.25" customHeight="1">
      <c r="A3528" s="286" t="s">
        <v>829</v>
      </c>
      <c r="B3528" s="286">
        <v>2024</v>
      </c>
      <c r="C3528" s="286" t="s">
        <v>821</v>
      </c>
      <c r="D3528" s="286" t="s">
        <v>934</v>
      </c>
      <c r="E3528" s="286" t="s">
        <v>1003</v>
      </c>
      <c r="F3528" s="113" t="s">
        <v>483</v>
      </c>
    </row>
    <row r="3529" spans="1:6" ht="14.25" customHeight="1">
      <c r="A3529" s="286" t="s">
        <v>829</v>
      </c>
      <c r="B3529" s="286">
        <v>2024</v>
      </c>
      <c r="C3529" s="286" t="s">
        <v>821</v>
      </c>
      <c r="D3529" s="286" t="s">
        <v>934</v>
      </c>
      <c r="E3529" s="286" t="s">
        <v>1189</v>
      </c>
      <c r="F3529" s="113" t="s">
        <v>924</v>
      </c>
    </row>
    <row r="3530" spans="1:6" ht="14.25" customHeight="1">
      <c r="A3530" s="286" t="s">
        <v>829</v>
      </c>
      <c r="B3530" s="286">
        <v>2024</v>
      </c>
      <c r="C3530" s="286" t="s">
        <v>821</v>
      </c>
      <c r="D3530" s="286" t="s">
        <v>934</v>
      </c>
      <c r="E3530" s="286" t="s">
        <v>1286</v>
      </c>
      <c r="F3530" s="113" t="s">
        <v>924</v>
      </c>
    </row>
    <row r="3531" spans="1:6" ht="14.25" customHeight="1">
      <c r="A3531" s="286" t="s">
        <v>829</v>
      </c>
      <c r="B3531" s="286">
        <v>2024</v>
      </c>
      <c r="C3531" s="286" t="s">
        <v>821</v>
      </c>
      <c r="D3531" s="286" t="s">
        <v>934</v>
      </c>
      <c r="E3531" s="286" t="s">
        <v>989</v>
      </c>
      <c r="F3531" s="113" t="s">
        <v>935</v>
      </c>
    </row>
    <row r="3532" spans="1:6" ht="14.25" customHeight="1">
      <c r="A3532" s="286" t="s">
        <v>829</v>
      </c>
      <c r="B3532" s="286">
        <v>2024</v>
      </c>
      <c r="C3532" s="286" t="s">
        <v>821</v>
      </c>
      <c r="D3532" s="286" t="s">
        <v>934</v>
      </c>
      <c r="E3532" s="286" t="s">
        <v>990</v>
      </c>
      <c r="F3532" s="113" t="s">
        <v>935</v>
      </c>
    </row>
    <row r="3533" spans="1:6" ht="14.25" customHeight="1">
      <c r="A3533" s="286" t="s">
        <v>829</v>
      </c>
      <c r="B3533" s="286">
        <v>2024</v>
      </c>
      <c r="C3533" s="286" t="s">
        <v>821</v>
      </c>
      <c r="D3533" s="286" t="s">
        <v>934</v>
      </c>
      <c r="E3533" s="286" t="s">
        <v>1004</v>
      </c>
      <c r="F3533" s="113" t="s">
        <v>935</v>
      </c>
    </row>
    <row r="3534" spans="1:6" ht="14.25" customHeight="1">
      <c r="A3534" s="286" t="s">
        <v>829</v>
      </c>
      <c r="B3534" s="286">
        <v>2024</v>
      </c>
      <c r="C3534" s="286" t="s">
        <v>821</v>
      </c>
      <c r="D3534" s="286" t="s">
        <v>934</v>
      </c>
      <c r="E3534" s="286" t="s">
        <v>984</v>
      </c>
      <c r="F3534" s="113" t="s">
        <v>935</v>
      </c>
    </row>
    <row r="3535" spans="1:6" ht="14.25" customHeight="1">
      <c r="A3535" s="286" t="s">
        <v>829</v>
      </c>
      <c r="B3535" s="286">
        <v>2024</v>
      </c>
      <c r="C3535" s="286" t="s">
        <v>821</v>
      </c>
      <c r="D3535" s="286" t="s">
        <v>931</v>
      </c>
      <c r="E3535" s="286" t="s">
        <v>954</v>
      </c>
      <c r="F3535" s="113" t="s">
        <v>906</v>
      </c>
    </row>
    <row r="3536" spans="1:6" ht="14.25" customHeight="1">
      <c r="A3536" s="286" t="s">
        <v>829</v>
      </c>
      <c r="B3536" s="286">
        <v>2024</v>
      </c>
      <c r="C3536" s="286" t="s">
        <v>821</v>
      </c>
      <c r="D3536" s="286" t="s">
        <v>931</v>
      </c>
      <c r="E3536" s="286" t="s">
        <v>1028</v>
      </c>
      <c r="F3536" s="113" t="s">
        <v>906</v>
      </c>
    </row>
    <row r="3537" spans="1:6" ht="14.25" customHeight="1">
      <c r="A3537" s="286" t="s">
        <v>829</v>
      </c>
      <c r="B3537" s="286">
        <v>2024</v>
      </c>
      <c r="C3537" s="286" t="s">
        <v>821</v>
      </c>
      <c r="D3537" s="286" t="s">
        <v>931</v>
      </c>
      <c r="E3537" s="286" t="s">
        <v>2</v>
      </c>
      <c r="F3537" s="113" t="s">
        <v>909</v>
      </c>
    </row>
    <row r="3538" spans="1:6" ht="14.25" customHeight="1">
      <c r="A3538" s="286" t="s">
        <v>829</v>
      </c>
      <c r="B3538" s="286">
        <v>2024</v>
      </c>
      <c r="C3538" s="286" t="s">
        <v>821</v>
      </c>
      <c r="D3538" s="286" t="s">
        <v>931</v>
      </c>
      <c r="E3538" s="286" t="s">
        <v>2</v>
      </c>
      <c r="F3538" s="113" t="s">
        <v>483</v>
      </c>
    </row>
    <row r="3539" spans="1:6" ht="14.25" customHeight="1">
      <c r="A3539" s="286" t="s">
        <v>829</v>
      </c>
      <c r="B3539" s="286">
        <v>2024</v>
      </c>
      <c r="C3539" s="286" t="s">
        <v>821</v>
      </c>
      <c r="D3539" s="286" t="s">
        <v>931</v>
      </c>
      <c r="E3539" s="286" t="s">
        <v>960</v>
      </c>
      <c r="F3539" s="113" t="s">
        <v>911</v>
      </c>
    </row>
    <row r="3540" spans="1:6" ht="14.25" customHeight="1">
      <c r="A3540" s="286" t="s">
        <v>829</v>
      </c>
      <c r="B3540" s="286">
        <v>2024</v>
      </c>
      <c r="C3540" s="286" t="s">
        <v>821</v>
      </c>
      <c r="D3540" s="286" t="s">
        <v>931</v>
      </c>
      <c r="E3540" s="286" t="s">
        <v>1106</v>
      </c>
      <c r="F3540" s="113" t="s">
        <v>915</v>
      </c>
    </row>
    <row r="3541" spans="1:6" ht="14.25" customHeight="1">
      <c r="A3541" s="286" t="s">
        <v>829</v>
      </c>
      <c r="B3541" s="286">
        <v>2024</v>
      </c>
      <c r="C3541" s="286" t="s">
        <v>821</v>
      </c>
      <c r="D3541" s="286" t="s">
        <v>931</v>
      </c>
      <c r="E3541" s="286" t="s">
        <v>1001</v>
      </c>
      <c r="F3541" s="113" t="s">
        <v>783</v>
      </c>
    </row>
    <row r="3542" spans="1:6" ht="14.25" customHeight="1">
      <c r="A3542" s="286" t="s">
        <v>829</v>
      </c>
      <c r="B3542" s="286">
        <v>2024</v>
      </c>
      <c r="C3542" s="286" t="s">
        <v>821</v>
      </c>
      <c r="D3542" s="286" t="s">
        <v>931</v>
      </c>
      <c r="E3542" s="286" t="s">
        <v>973</v>
      </c>
      <c r="F3542" s="113" t="s">
        <v>783</v>
      </c>
    </row>
    <row r="3543" spans="1:6" ht="14.25" customHeight="1">
      <c r="A3543" s="286" t="s">
        <v>829</v>
      </c>
      <c r="B3543" s="286">
        <v>2024</v>
      </c>
      <c r="C3543" s="286" t="s">
        <v>821</v>
      </c>
      <c r="D3543" s="286" t="s">
        <v>976</v>
      </c>
      <c r="E3543" s="286" t="s">
        <v>1036</v>
      </c>
      <c r="F3543" s="113" t="s">
        <v>906</v>
      </c>
    </row>
    <row r="3544" spans="1:6" ht="14.25" customHeight="1">
      <c r="A3544" s="286" t="s">
        <v>829</v>
      </c>
      <c r="B3544" s="286">
        <v>2024</v>
      </c>
      <c r="C3544" s="286" t="s">
        <v>821</v>
      </c>
      <c r="D3544" s="286" t="s">
        <v>976</v>
      </c>
      <c r="E3544" s="286" t="s">
        <v>1159</v>
      </c>
      <c r="F3544" s="113" t="s">
        <v>483</v>
      </c>
    </row>
    <row r="3545" spans="1:6" ht="14.25" customHeight="1">
      <c r="A3545" s="286" t="s">
        <v>829</v>
      </c>
      <c r="B3545" s="286">
        <v>2024</v>
      </c>
      <c r="C3545" s="286" t="s">
        <v>821</v>
      </c>
      <c r="D3545" s="286" t="s">
        <v>976</v>
      </c>
      <c r="E3545" s="286" t="s">
        <v>960</v>
      </c>
      <c r="F3545" s="113" t="s">
        <v>911</v>
      </c>
    </row>
    <row r="3546" spans="1:6" ht="14.25" customHeight="1">
      <c r="A3546" s="286" t="s">
        <v>829</v>
      </c>
      <c r="B3546" s="286">
        <v>2024</v>
      </c>
      <c r="C3546" s="286" t="s">
        <v>821</v>
      </c>
      <c r="D3546" s="286" t="s">
        <v>1033</v>
      </c>
      <c r="E3546" s="286" t="s">
        <v>2</v>
      </c>
      <c r="F3546" s="113" t="s">
        <v>906</v>
      </c>
    </row>
    <row r="3547" spans="1:6" ht="14.25" customHeight="1">
      <c r="A3547" s="286" t="s">
        <v>829</v>
      </c>
      <c r="B3547" s="286">
        <v>2024</v>
      </c>
      <c r="C3547" s="286" t="s">
        <v>821</v>
      </c>
      <c r="D3547" s="286" t="s">
        <v>1033</v>
      </c>
      <c r="E3547" s="286" t="s">
        <v>960</v>
      </c>
      <c r="F3547" s="113" t="s">
        <v>911</v>
      </c>
    </row>
    <row r="3548" spans="1:6" ht="14.25" customHeight="1">
      <c r="A3548" s="286" t="s">
        <v>829</v>
      </c>
      <c r="B3548" s="286">
        <v>2024</v>
      </c>
      <c r="C3548" s="286" t="s">
        <v>821</v>
      </c>
      <c r="D3548" s="286" t="s">
        <v>216</v>
      </c>
      <c r="E3548" s="286" t="s">
        <v>2</v>
      </c>
      <c r="F3548" s="113" t="s">
        <v>924</v>
      </c>
    </row>
    <row r="3549" spans="1:6" ht="14.25" customHeight="1">
      <c r="A3549" s="286" t="s">
        <v>829</v>
      </c>
      <c r="B3549" s="286">
        <v>2024</v>
      </c>
      <c r="C3549" s="286" t="s">
        <v>88</v>
      </c>
      <c r="D3549" s="286" t="s">
        <v>959</v>
      </c>
      <c r="E3549" s="286" t="s">
        <v>953</v>
      </c>
      <c r="F3549" s="113" t="s">
        <v>906</v>
      </c>
    </row>
    <row r="3550" spans="1:6" ht="14.25" customHeight="1">
      <c r="A3550" s="286" t="s">
        <v>829</v>
      </c>
      <c r="B3550" s="286">
        <v>2024</v>
      </c>
      <c r="C3550" s="286" t="s">
        <v>88</v>
      </c>
      <c r="D3550" s="286" t="s">
        <v>959</v>
      </c>
      <c r="E3550" s="286" t="s">
        <v>1041</v>
      </c>
      <c r="F3550" s="113" t="s">
        <v>906</v>
      </c>
    </row>
    <row r="3551" spans="1:6" ht="14.25" customHeight="1">
      <c r="A3551" s="286" t="s">
        <v>829</v>
      </c>
      <c r="B3551" s="286">
        <v>2024</v>
      </c>
      <c r="C3551" s="286" t="s">
        <v>88</v>
      </c>
      <c r="D3551" s="286" t="s">
        <v>959</v>
      </c>
      <c r="E3551" s="286" t="s">
        <v>988</v>
      </c>
      <c r="F3551" s="113" t="s">
        <v>909</v>
      </c>
    </row>
    <row r="3552" spans="1:6" ht="14.25" customHeight="1">
      <c r="A3552" s="286" t="s">
        <v>829</v>
      </c>
      <c r="B3552" s="286">
        <v>2024</v>
      </c>
      <c r="C3552" s="286" t="s">
        <v>88</v>
      </c>
      <c r="D3552" s="286" t="s">
        <v>959</v>
      </c>
      <c r="E3552" s="286" t="s">
        <v>988</v>
      </c>
      <c r="F3552" s="113" t="s">
        <v>913</v>
      </c>
    </row>
    <row r="3553" spans="1:6" ht="14.25" customHeight="1">
      <c r="A3553" s="286" t="s">
        <v>829</v>
      </c>
      <c r="B3553" s="286">
        <v>2024</v>
      </c>
      <c r="C3553" s="286" t="s">
        <v>88</v>
      </c>
      <c r="D3553" s="286" t="s">
        <v>959</v>
      </c>
      <c r="E3553" s="286" t="s">
        <v>1043</v>
      </c>
      <c r="F3553" s="113" t="s">
        <v>913</v>
      </c>
    </row>
    <row r="3554" spans="1:6" ht="14.25" customHeight="1">
      <c r="A3554" s="286" t="s">
        <v>829</v>
      </c>
      <c r="B3554" s="286">
        <v>2024</v>
      </c>
      <c r="C3554" s="286" t="s">
        <v>88</v>
      </c>
      <c r="D3554" s="286" t="s">
        <v>959</v>
      </c>
      <c r="E3554" s="286" t="s">
        <v>1163</v>
      </c>
      <c r="F3554" s="113" t="s">
        <v>913</v>
      </c>
    </row>
    <row r="3555" spans="1:6" ht="14.25" customHeight="1">
      <c r="A3555" s="286" t="s">
        <v>829</v>
      </c>
      <c r="B3555" s="286">
        <v>2024</v>
      </c>
      <c r="C3555" s="286" t="s">
        <v>88</v>
      </c>
      <c r="D3555" s="286" t="s">
        <v>959</v>
      </c>
      <c r="E3555" s="286" t="s">
        <v>947</v>
      </c>
      <c r="F3555" s="113" t="s">
        <v>913</v>
      </c>
    </row>
    <row r="3556" spans="1:6" ht="14.25" customHeight="1">
      <c r="A3556" s="286" t="s">
        <v>829</v>
      </c>
      <c r="B3556" s="286">
        <v>2024</v>
      </c>
      <c r="C3556" s="286" t="s">
        <v>88</v>
      </c>
      <c r="D3556" s="286" t="s">
        <v>959</v>
      </c>
      <c r="E3556" s="286" t="s">
        <v>1008</v>
      </c>
      <c r="F3556" s="113" t="s">
        <v>913</v>
      </c>
    </row>
    <row r="3557" spans="1:6" ht="14.25" customHeight="1">
      <c r="A3557" s="286" t="s">
        <v>829</v>
      </c>
      <c r="B3557" s="286">
        <v>2024</v>
      </c>
      <c r="C3557" s="286" t="s">
        <v>88</v>
      </c>
      <c r="D3557" s="286" t="s">
        <v>959</v>
      </c>
      <c r="E3557" s="286" t="s">
        <v>1287</v>
      </c>
      <c r="F3557" s="113" t="s">
        <v>918</v>
      </c>
    </row>
    <row r="3558" spans="1:6" ht="14.25" customHeight="1">
      <c r="A3558" s="286" t="s">
        <v>829</v>
      </c>
      <c r="B3558" s="286">
        <v>2024</v>
      </c>
      <c r="C3558" s="286" t="s">
        <v>88</v>
      </c>
      <c r="D3558" s="286" t="s">
        <v>959</v>
      </c>
      <c r="E3558" s="286" t="s">
        <v>1276</v>
      </c>
      <c r="F3558" s="113" t="s">
        <v>917</v>
      </c>
    </row>
    <row r="3559" spans="1:6" ht="14.25" customHeight="1">
      <c r="A3559" s="286" t="s">
        <v>829</v>
      </c>
      <c r="B3559" s="286">
        <v>2024</v>
      </c>
      <c r="C3559" s="286" t="s">
        <v>88</v>
      </c>
      <c r="D3559" s="286" t="s">
        <v>959</v>
      </c>
      <c r="E3559" s="113" t="s">
        <v>2</v>
      </c>
      <c r="F3559" s="113" t="s">
        <v>935</v>
      </c>
    </row>
    <row r="3560" spans="1:6" ht="14.25" customHeight="1">
      <c r="A3560" s="286" t="s">
        <v>829</v>
      </c>
      <c r="B3560" s="286">
        <v>2024</v>
      </c>
      <c r="C3560" s="286" t="s">
        <v>88</v>
      </c>
      <c r="D3560" s="286" t="s">
        <v>959</v>
      </c>
      <c r="E3560" s="286" t="s">
        <v>1023</v>
      </c>
      <c r="F3560" s="113" t="s">
        <v>935</v>
      </c>
    </row>
    <row r="3561" spans="1:6" ht="14.25" customHeight="1">
      <c r="A3561" s="286" t="s">
        <v>829</v>
      </c>
      <c r="B3561" s="286">
        <v>2024</v>
      </c>
      <c r="C3561" s="286" t="s">
        <v>88</v>
      </c>
      <c r="D3561" s="286" t="s">
        <v>959</v>
      </c>
      <c r="E3561" s="286" t="s">
        <v>1066</v>
      </c>
      <c r="F3561" s="113" t="s">
        <v>935</v>
      </c>
    </row>
    <row r="3562" spans="1:6" ht="14.25" customHeight="1">
      <c r="A3562" s="286" t="s">
        <v>829</v>
      </c>
      <c r="B3562" s="286">
        <v>2024</v>
      </c>
      <c r="C3562" s="286" t="s">
        <v>88</v>
      </c>
      <c r="D3562" s="286" t="s">
        <v>958</v>
      </c>
      <c r="E3562" s="286" t="s">
        <v>1019</v>
      </c>
      <c r="F3562" s="113" t="s">
        <v>922</v>
      </c>
    </row>
    <row r="3563" spans="1:6" ht="14.25" customHeight="1">
      <c r="A3563" s="286" t="s">
        <v>829</v>
      </c>
      <c r="B3563" s="286">
        <v>2024</v>
      </c>
      <c r="C3563" s="286" t="s">
        <v>88</v>
      </c>
      <c r="D3563" s="286" t="s">
        <v>969</v>
      </c>
      <c r="E3563" s="286" t="s">
        <v>954</v>
      </c>
      <c r="F3563" s="113" t="s">
        <v>906</v>
      </c>
    </row>
    <row r="3564" spans="1:6" ht="14.25" customHeight="1">
      <c r="A3564" s="286" t="s">
        <v>829</v>
      </c>
      <c r="B3564" s="286">
        <v>2024</v>
      </c>
      <c r="C3564" s="286" t="s">
        <v>88</v>
      </c>
      <c r="D3564" s="286" t="s">
        <v>969</v>
      </c>
      <c r="E3564" s="286" t="s">
        <v>954</v>
      </c>
      <c r="F3564" s="113" t="s">
        <v>906</v>
      </c>
    </row>
    <row r="3565" spans="1:6" ht="14.25" customHeight="1">
      <c r="A3565" s="286" t="s">
        <v>829</v>
      </c>
      <c r="B3565" s="286">
        <v>2024</v>
      </c>
      <c r="C3565" s="286" t="s">
        <v>88</v>
      </c>
      <c r="D3565" s="286" t="s">
        <v>969</v>
      </c>
      <c r="E3565" s="286" t="s">
        <v>952</v>
      </c>
      <c r="F3565" s="113" t="s">
        <v>906</v>
      </c>
    </row>
    <row r="3566" spans="1:6" ht="14.25" customHeight="1">
      <c r="A3566" s="286" t="s">
        <v>829</v>
      </c>
      <c r="B3566" s="286">
        <v>2024</v>
      </c>
      <c r="C3566" s="286" t="s">
        <v>88</v>
      </c>
      <c r="D3566" s="286" t="s">
        <v>969</v>
      </c>
      <c r="E3566" s="286" t="s">
        <v>991</v>
      </c>
      <c r="F3566" s="113" t="s">
        <v>906</v>
      </c>
    </row>
    <row r="3567" spans="1:6" ht="14.25" customHeight="1">
      <c r="A3567" s="286" t="s">
        <v>829</v>
      </c>
      <c r="B3567" s="286">
        <v>2024</v>
      </c>
      <c r="C3567" s="286" t="s">
        <v>88</v>
      </c>
      <c r="D3567" s="286" t="s">
        <v>969</v>
      </c>
      <c r="E3567" s="286" t="s">
        <v>1041</v>
      </c>
      <c r="F3567" s="113" t="s">
        <v>906</v>
      </c>
    </row>
    <row r="3568" spans="1:6" ht="14.25" customHeight="1">
      <c r="A3568" s="286" t="s">
        <v>829</v>
      </c>
      <c r="B3568" s="286">
        <v>2024</v>
      </c>
      <c r="C3568" s="286" t="s">
        <v>88</v>
      </c>
      <c r="D3568" s="286" t="s">
        <v>969</v>
      </c>
      <c r="E3568" s="286" t="s">
        <v>1159</v>
      </c>
      <c r="F3568" s="113" t="s">
        <v>483</v>
      </c>
    </row>
    <row r="3569" spans="1:6" ht="14.25" customHeight="1">
      <c r="A3569" s="286" t="s">
        <v>829</v>
      </c>
      <c r="B3569" s="286">
        <v>2024</v>
      </c>
      <c r="C3569" s="286" t="s">
        <v>88</v>
      </c>
      <c r="D3569" s="286" t="s">
        <v>969</v>
      </c>
      <c r="E3569" s="286" t="s">
        <v>1090</v>
      </c>
      <c r="F3569" s="113" t="s">
        <v>935</v>
      </c>
    </row>
    <row r="3570" spans="1:6" ht="14.25" customHeight="1">
      <c r="A3570" s="286" t="s">
        <v>829</v>
      </c>
      <c r="B3570" s="286">
        <v>2024</v>
      </c>
      <c r="C3570" s="286" t="s">
        <v>859</v>
      </c>
      <c r="D3570" s="286" t="s">
        <v>1000</v>
      </c>
      <c r="E3570" s="286" t="s">
        <v>1040</v>
      </c>
      <c r="F3570" s="113" t="s">
        <v>906</v>
      </c>
    </row>
    <row r="3571" spans="1:6" ht="14.25" customHeight="1">
      <c r="A3571" s="286" t="s">
        <v>829</v>
      </c>
      <c r="B3571" s="286">
        <v>2024</v>
      </c>
      <c r="C3571" s="286" t="s">
        <v>859</v>
      </c>
      <c r="D3571" s="286" t="s">
        <v>1000</v>
      </c>
      <c r="E3571" s="286" t="s">
        <v>952</v>
      </c>
      <c r="F3571" s="113" t="s">
        <v>906</v>
      </c>
    </row>
    <row r="3572" spans="1:6" ht="14.25" customHeight="1">
      <c r="A3572" s="286" t="s">
        <v>829</v>
      </c>
      <c r="B3572" s="286">
        <v>2024</v>
      </c>
      <c r="C3572" s="286" t="s">
        <v>859</v>
      </c>
      <c r="D3572" s="286" t="s">
        <v>1000</v>
      </c>
      <c r="E3572" s="286" t="s">
        <v>972</v>
      </c>
      <c r="F3572" s="113" t="s">
        <v>911</v>
      </c>
    </row>
    <row r="3573" spans="1:6" ht="14.25" customHeight="1">
      <c r="A3573" s="286" t="s">
        <v>830</v>
      </c>
      <c r="B3573" s="286">
        <v>2024</v>
      </c>
      <c r="C3573" s="286" t="s">
        <v>821</v>
      </c>
      <c r="D3573" s="286" t="s">
        <v>132</v>
      </c>
      <c r="E3573" s="286" t="s">
        <v>1032</v>
      </c>
      <c r="F3573" s="113" t="s">
        <v>924</v>
      </c>
    </row>
    <row r="3574" spans="1:6" ht="14.25" customHeight="1">
      <c r="A3574" s="286" t="s">
        <v>830</v>
      </c>
      <c r="B3574" s="286">
        <v>2024</v>
      </c>
      <c r="C3574" s="286" t="s">
        <v>821</v>
      </c>
      <c r="D3574" s="286" t="s">
        <v>132</v>
      </c>
      <c r="E3574" s="286" t="s">
        <v>1004</v>
      </c>
      <c r="F3574" s="113" t="s">
        <v>935</v>
      </c>
    </row>
    <row r="3575" spans="1:6" ht="14.25" customHeight="1">
      <c r="A3575" s="286" t="s">
        <v>830</v>
      </c>
      <c r="B3575" s="286">
        <v>2024</v>
      </c>
      <c r="C3575" s="286" t="s">
        <v>821</v>
      </c>
      <c r="D3575" s="286" t="s">
        <v>934</v>
      </c>
      <c r="E3575" s="286" t="s">
        <v>2</v>
      </c>
      <c r="F3575" s="113" t="s">
        <v>483</v>
      </c>
    </row>
    <row r="3576" spans="1:6" ht="14.25" customHeight="1">
      <c r="A3576" s="286" t="s">
        <v>830</v>
      </c>
      <c r="B3576" s="286">
        <v>2024</v>
      </c>
      <c r="C3576" s="286" t="s">
        <v>821</v>
      </c>
      <c r="D3576" s="286" t="s">
        <v>934</v>
      </c>
      <c r="E3576" s="286" t="s">
        <v>1139</v>
      </c>
      <c r="F3576" s="113" t="s">
        <v>483</v>
      </c>
    </row>
    <row r="3577" spans="1:6" ht="14.25" customHeight="1">
      <c r="A3577" s="286" t="s">
        <v>830</v>
      </c>
      <c r="B3577" s="286">
        <v>2024</v>
      </c>
      <c r="C3577" s="286" t="s">
        <v>821</v>
      </c>
      <c r="D3577" s="286" t="s">
        <v>931</v>
      </c>
      <c r="E3577" s="286" t="s">
        <v>1128</v>
      </c>
      <c r="F3577" s="113" t="s">
        <v>483</v>
      </c>
    </row>
    <row r="3578" spans="1:6" ht="14.25" customHeight="1">
      <c r="A3578" s="286" t="s">
        <v>830</v>
      </c>
      <c r="B3578" s="286">
        <v>2024</v>
      </c>
      <c r="C3578" s="286" t="s">
        <v>821</v>
      </c>
      <c r="D3578" s="286" t="s">
        <v>931</v>
      </c>
      <c r="E3578" s="286" t="s">
        <v>988</v>
      </c>
      <c r="F3578" s="113" t="s">
        <v>924</v>
      </c>
    </row>
    <row r="3579" spans="1:6" ht="14.25" customHeight="1">
      <c r="A3579" s="286" t="s">
        <v>830</v>
      </c>
      <c r="B3579" s="286">
        <v>2024</v>
      </c>
      <c r="C3579" s="286" t="s">
        <v>821</v>
      </c>
      <c r="D3579" s="286" t="s">
        <v>931</v>
      </c>
      <c r="E3579" s="286" t="s">
        <v>989</v>
      </c>
      <c r="F3579" s="113" t="s">
        <v>935</v>
      </c>
    </row>
    <row r="3580" spans="1:6" ht="14.25" customHeight="1">
      <c r="A3580" s="286" t="s">
        <v>830</v>
      </c>
      <c r="B3580" s="286">
        <v>2024</v>
      </c>
      <c r="C3580" s="286" t="s">
        <v>821</v>
      </c>
      <c r="D3580" s="286" t="s">
        <v>931</v>
      </c>
      <c r="E3580" s="286" t="s">
        <v>1004</v>
      </c>
      <c r="F3580" s="113" t="s">
        <v>935</v>
      </c>
    </row>
    <row r="3581" spans="1:6" ht="14.25" customHeight="1">
      <c r="A3581" s="286" t="s">
        <v>830</v>
      </c>
      <c r="B3581" s="286">
        <v>2024</v>
      </c>
      <c r="C3581" s="286" t="s">
        <v>821</v>
      </c>
      <c r="D3581" s="286" t="s">
        <v>976</v>
      </c>
      <c r="E3581" s="286" t="s">
        <v>953</v>
      </c>
      <c r="F3581" s="113" t="s">
        <v>906</v>
      </c>
    </row>
    <row r="3582" spans="1:6" ht="14.25" customHeight="1">
      <c r="A3582" s="286" t="s">
        <v>830</v>
      </c>
      <c r="B3582" s="286">
        <v>2024</v>
      </c>
      <c r="C3582" s="286" t="s">
        <v>821</v>
      </c>
      <c r="D3582" s="286" t="s">
        <v>976</v>
      </c>
      <c r="E3582" s="286" t="s">
        <v>981</v>
      </c>
      <c r="F3582" s="113" t="s">
        <v>906</v>
      </c>
    </row>
    <row r="3583" spans="1:6" ht="14.25" customHeight="1">
      <c r="A3583" s="286" t="s">
        <v>830</v>
      </c>
      <c r="B3583" s="286">
        <v>2024</v>
      </c>
      <c r="C3583" s="286" t="s">
        <v>821</v>
      </c>
      <c r="D3583" s="286" t="s">
        <v>976</v>
      </c>
      <c r="E3583" s="286" t="s">
        <v>1028</v>
      </c>
      <c r="F3583" s="113" t="s">
        <v>906</v>
      </c>
    </row>
    <row r="3584" spans="1:6" ht="14.25" customHeight="1">
      <c r="A3584" s="286" t="s">
        <v>830</v>
      </c>
      <c r="B3584" s="286">
        <v>2024</v>
      </c>
      <c r="C3584" s="286" t="s">
        <v>821</v>
      </c>
      <c r="D3584" s="286" t="s">
        <v>976</v>
      </c>
      <c r="E3584" s="286" t="s">
        <v>930</v>
      </c>
      <c r="F3584" s="113" t="s">
        <v>906</v>
      </c>
    </row>
    <row r="3585" spans="1:6" ht="14.25" customHeight="1">
      <c r="A3585" s="286" t="s">
        <v>830</v>
      </c>
      <c r="B3585" s="286">
        <v>2024</v>
      </c>
      <c r="C3585" s="286" t="s">
        <v>821</v>
      </c>
      <c r="D3585" s="286" t="s">
        <v>976</v>
      </c>
      <c r="E3585" s="286" t="s">
        <v>1116</v>
      </c>
      <c r="F3585" s="113" t="s">
        <v>909</v>
      </c>
    </row>
    <row r="3586" spans="1:6" ht="14.25" customHeight="1">
      <c r="A3586" s="286" t="s">
        <v>830</v>
      </c>
      <c r="B3586" s="286">
        <v>2024</v>
      </c>
      <c r="C3586" s="286" t="s">
        <v>88</v>
      </c>
      <c r="D3586" s="286" t="s">
        <v>959</v>
      </c>
      <c r="E3586" s="286" t="s">
        <v>1276</v>
      </c>
      <c r="F3586" s="113" t="s">
        <v>909</v>
      </c>
    </row>
    <row r="3587" spans="1:6" ht="14.25" customHeight="1">
      <c r="A3587" s="286" t="s">
        <v>830</v>
      </c>
      <c r="B3587" s="286">
        <v>2024</v>
      </c>
      <c r="C3587" s="286" t="s">
        <v>88</v>
      </c>
      <c r="D3587" s="286" t="s">
        <v>959</v>
      </c>
      <c r="E3587" s="286" t="s">
        <v>1116</v>
      </c>
      <c r="F3587" s="113" t="s">
        <v>909</v>
      </c>
    </row>
    <row r="3588" spans="1:6" ht="14.25" customHeight="1">
      <c r="A3588" s="286" t="s">
        <v>830</v>
      </c>
      <c r="B3588" s="286">
        <v>2024</v>
      </c>
      <c r="C3588" s="286" t="s">
        <v>88</v>
      </c>
      <c r="D3588" s="286" t="s">
        <v>959</v>
      </c>
      <c r="E3588" s="286" t="s">
        <v>1042</v>
      </c>
      <c r="F3588" s="113" t="s">
        <v>913</v>
      </c>
    </row>
    <row r="3589" spans="1:6" ht="14.25" customHeight="1">
      <c r="A3589" s="286" t="s">
        <v>830</v>
      </c>
      <c r="B3589" s="286">
        <v>2024</v>
      </c>
      <c r="C3589" s="286" t="s">
        <v>88</v>
      </c>
      <c r="D3589" s="286" t="s">
        <v>959</v>
      </c>
      <c r="E3589" s="286" t="s">
        <v>1043</v>
      </c>
      <c r="F3589" s="113" t="s">
        <v>913</v>
      </c>
    </row>
    <row r="3590" spans="1:6" ht="14.25" customHeight="1">
      <c r="A3590" s="286" t="s">
        <v>830</v>
      </c>
      <c r="B3590" s="286">
        <v>2024</v>
      </c>
      <c r="C3590" s="286" t="s">
        <v>88</v>
      </c>
      <c r="D3590" s="286" t="s">
        <v>959</v>
      </c>
      <c r="E3590" s="286" t="s">
        <v>1090</v>
      </c>
      <c r="F3590" s="113" t="s">
        <v>935</v>
      </c>
    </row>
    <row r="3591" spans="1:6" ht="14.25" customHeight="1">
      <c r="A3591" s="286" t="s">
        <v>830</v>
      </c>
      <c r="B3591" s="286">
        <v>2024</v>
      </c>
      <c r="C3591" s="286" t="s">
        <v>88</v>
      </c>
      <c r="D3591" s="286" t="s">
        <v>959</v>
      </c>
      <c r="E3591" s="286" t="s">
        <v>997</v>
      </c>
      <c r="F3591" s="113" t="s">
        <v>935</v>
      </c>
    </row>
    <row r="3592" spans="1:6" ht="14.25" customHeight="1">
      <c r="A3592" s="286" t="s">
        <v>830</v>
      </c>
      <c r="B3592" s="286">
        <v>2024</v>
      </c>
      <c r="C3592" s="286" t="s">
        <v>88</v>
      </c>
      <c r="D3592" s="286" t="s">
        <v>969</v>
      </c>
      <c r="E3592" s="286" t="s">
        <v>1014</v>
      </c>
      <c r="F3592" s="113" t="s">
        <v>906</v>
      </c>
    </row>
    <row r="3593" spans="1:6" ht="14.25" customHeight="1">
      <c r="A3593" s="286" t="s">
        <v>830</v>
      </c>
      <c r="B3593" s="286">
        <v>2024</v>
      </c>
      <c r="C3593" s="286" t="s">
        <v>88</v>
      </c>
      <c r="D3593" s="286" t="s">
        <v>969</v>
      </c>
      <c r="E3593" s="113" t="s">
        <v>2</v>
      </c>
      <c r="F3593" s="113" t="s">
        <v>935</v>
      </c>
    </row>
    <row r="3594" spans="1:6" ht="14.25" customHeight="1">
      <c r="A3594" s="286" t="s">
        <v>830</v>
      </c>
      <c r="B3594" s="286">
        <v>2024</v>
      </c>
      <c r="C3594" s="286" t="s">
        <v>88</v>
      </c>
      <c r="D3594" s="286" t="s">
        <v>966</v>
      </c>
      <c r="E3594" s="286" t="s">
        <v>1036</v>
      </c>
      <c r="F3594" s="113" t="s">
        <v>906</v>
      </c>
    </row>
    <row r="3595" spans="1:6" ht="14.25" customHeight="1">
      <c r="A3595" s="286" t="s">
        <v>830</v>
      </c>
      <c r="B3595" s="286">
        <v>2024</v>
      </c>
      <c r="C3595" s="286" t="s">
        <v>859</v>
      </c>
      <c r="D3595" s="286" t="s">
        <v>1005</v>
      </c>
      <c r="E3595" s="286" t="s">
        <v>1116</v>
      </c>
      <c r="F3595" s="113" t="s">
        <v>909</v>
      </c>
    </row>
    <row r="3596" spans="1:6" ht="14.25" customHeight="1">
      <c r="A3596" s="286" t="s">
        <v>830</v>
      </c>
      <c r="B3596" s="286">
        <v>2024</v>
      </c>
      <c r="C3596" s="286" t="s">
        <v>872</v>
      </c>
      <c r="D3596" s="286" t="s">
        <v>1018</v>
      </c>
      <c r="E3596" s="286" t="s">
        <v>1131</v>
      </c>
      <c r="F3596" s="113" t="s">
        <v>483</v>
      </c>
    </row>
    <row r="3597" spans="1:6" ht="14.25" customHeight="1">
      <c r="A3597" s="286" t="s">
        <v>831</v>
      </c>
      <c r="B3597" s="286">
        <v>2024</v>
      </c>
      <c r="C3597" s="286" t="s">
        <v>821</v>
      </c>
      <c r="D3597" s="286" t="s">
        <v>132</v>
      </c>
      <c r="E3597" s="286" t="s">
        <v>1040</v>
      </c>
      <c r="F3597" s="113" t="s">
        <v>906</v>
      </c>
    </row>
    <row r="3598" spans="1:6" ht="14.25" customHeight="1">
      <c r="A3598" s="286" t="s">
        <v>831</v>
      </c>
      <c r="B3598" s="286">
        <v>2024</v>
      </c>
      <c r="C3598" s="286" t="s">
        <v>821</v>
      </c>
      <c r="D3598" s="286" t="s">
        <v>132</v>
      </c>
      <c r="E3598" s="286" t="s">
        <v>1036</v>
      </c>
      <c r="F3598" s="113" t="s">
        <v>906</v>
      </c>
    </row>
    <row r="3599" spans="1:6" ht="14.25" customHeight="1">
      <c r="A3599" s="286" t="s">
        <v>831</v>
      </c>
      <c r="B3599" s="286">
        <v>2024</v>
      </c>
      <c r="C3599" s="286" t="s">
        <v>821</v>
      </c>
      <c r="D3599" s="286" t="s">
        <v>132</v>
      </c>
      <c r="E3599" s="286" t="s">
        <v>1008</v>
      </c>
      <c r="F3599" s="113" t="s">
        <v>913</v>
      </c>
    </row>
    <row r="3600" spans="1:6" ht="14.25" customHeight="1">
      <c r="A3600" s="286" t="s">
        <v>831</v>
      </c>
      <c r="B3600" s="286">
        <v>2024</v>
      </c>
      <c r="C3600" s="286" t="s">
        <v>821</v>
      </c>
      <c r="D3600" s="286" t="s">
        <v>934</v>
      </c>
      <c r="E3600" s="286" t="s">
        <v>954</v>
      </c>
      <c r="F3600" s="113" t="s">
        <v>906</v>
      </c>
    </row>
    <row r="3601" spans="1:6" ht="14.25" customHeight="1">
      <c r="A3601" s="286" t="s">
        <v>831</v>
      </c>
      <c r="B3601" s="286">
        <v>2024</v>
      </c>
      <c r="C3601" s="286" t="s">
        <v>821</v>
      </c>
      <c r="D3601" s="286" t="s">
        <v>934</v>
      </c>
      <c r="E3601" s="286" t="s">
        <v>952</v>
      </c>
      <c r="F3601" s="113" t="s">
        <v>906</v>
      </c>
    </row>
    <row r="3602" spans="1:6" ht="14.25" customHeight="1">
      <c r="A3602" s="286" t="s">
        <v>831</v>
      </c>
      <c r="B3602" s="286">
        <v>2024</v>
      </c>
      <c r="C3602" s="286" t="s">
        <v>821</v>
      </c>
      <c r="D3602" s="286" t="s">
        <v>934</v>
      </c>
      <c r="E3602" s="286" t="s">
        <v>1041</v>
      </c>
      <c r="F3602" s="113" t="s">
        <v>906</v>
      </c>
    </row>
    <row r="3603" spans="1:6" ht="14.25" customHeight="1">
      <c r="A3603" s="286" t="s">
        <v>831</v>
      </c>
      <c r="B3603" s="286">
        <v>2024</v>
      </c>
      <c r="C3603" s="286" t="s">
        <v>821</v>
      </c>
      <c r="D3603" s="286" t="s">
        <v>934</v>
      </c>
      <c r="E3603" s="286" t="s">
        <v>1130</v>
      </c>
      <c r="F3603" s="113" t="s">
        <v>483</v>
      </c>
    </row>
    <row r="3604" spans="1:6" ht="14.25" customHeight="1">
      <c r="A3604" s="286" t="s">
        <v>831</v>
      </c>
      <c r="B3604" s="286">
        <v>2024</v>
      </c>
      <c r="C3604" s="286" t="s">
        <v>821</v>
      </c>
      <c r="D3604" s="286" t="s">
        <v>934</v>
      </c>
      <c r="E3604" s="286" t="s">
        <v>1159</v>
      </c>
      <c r="F3604" s="113" t="s">
        <v>483</v>
      </c>
    </row>
    <row r="3605" spans="1:6" ht="14.25" customHeight="1">
      <c r="A3605" s="286" t="s">
        <v>831</v>
      </c>
      <c r="B3605" s="286">
        <v>2024</v>
      </c>
      <c r="C3605" s="286" t="s">
        <v>821</v>
      </c>
      <c r="D3605" s="286" t="s">
        <v>934</v>
      </c>
      <c r="E3605" s="286" t="s">
        <v>1111</v>
      </c>
      <c r="F3605" s="113" t="s">
        <v>918</v>
      </c>
    </row>
    <row r="3606" spans="1:6" ht="14.25" customHeight="1">
      <c r="A3606" s="286" t="s">
        <v>831</v>
      </c>
      <c r="B3606" s="286">
        <v>2024</v>
      </c>
      <c r="C3606" s="286" t="s">
        <v>821</v>
      </c>
      <c r="D3606" s="286" t="s">
        <v>931</v>
      </c>
      <c r="E3606" s="286" t="s">
        <v>1120</v>
      </c>
      <c r="F3606" s="113" t="s">
        <v>483</v>
      </c>
    </row>
    <row r="3607" spans="1:6" ht="14.25" customHeight="1">
      <c r="A3607" s="286" t="s">
        <v>831</v>
      </c>
      <c r="B3607" s="286">
        <v>2024</v>
      </c>
      <c r="C3607" s="286" t="s">
        <v>821</v>
      </c>
      <c r="D3607" s="286" t="s">
        <v>931</v>
      </c>
      <c r="E3607" s="286" t="s">
        <v>1100</v>
      </c>
      <c r="F3607" s="113" t="s">
        <v>935</v>
      </c>
    </row>
    <row r="3608" spans="1:6" ht="14.25" customHeight="1">
      <c r="A3608" s="286" t="s">
        <v>831</v>
      </c>
      <c r="B3608" s="286">
        <v>2024</v>
      </c>
      <c r="C3608" s="286" t="s">
        <v>821</v>
      </c>
      <c r="D3608" s="286" t="s">
        <v>976</v>
      </c>
      <c r="E3608" s="286" t="s">
        <v>1036</v>
      </c>
      <c r="F3608" s="113" t="s">
        <v>906</v>
      </c>
    </row>
    <row r="3609" spans="1:6" ht="14.25" customHeight="1">
      <c r="A3609" s="286" t="s">
        <v>831</v>
      </c>
      <c r="B3609" s="286">
        <v>2024</v>
      </c>
      <c r="C3609" s="286" t="s">
        <v>821</v>
      </c>
      <c r="D3609" s="286" t="s">
        <v>976</v>
      </c>
      <c r="E3609" s="286" t="s">
        <v>1014</v>
      </c>
      <c r="F3609" s="113" t="s">
        <v>906</v>
      </c>
    </row>
    <row r="3610" spans="1:6" ht="14.25" customHeight="1">
      <c r="A3610" s="286" t="s">
        <v>831</v>
      </c>
      <c r="B3610" s="286">
        <v>2024</v>
      </c>
      <c r="C3610" s="286" t="s">
        <v>821</v>
      </c>
      <c r="D3610" s="286" t="s">
        <v>976</v>
      </c>
      <c r="E3610" s="286" t="s">
        <v>1288</v>
      </c>
      <c r="F3610" s="113" t="s">
        <v>483</v>
      </c>
    </row>
    <row r="3611" spans="1:6" ht="14.25" customHeight="1">
      <c r="A3611" s="286" t="s">
        <v>831</v>
      </c>
      <c r="B3611" s="286">
        <v>2024</v>
      </c>
      <c r="C3611" s="286" t="s">
        <v>821</v>
      </c>
      <c r="D3611" s="286" t="s">
        <v>976</v>
      </c>
      <c r="E3611" s="286" t="s">
        <v>1079</v>
      </c>
      <c r="F3611" s="113" t="s">
        <v>915</v>
      </c>
    </row>
    <row r="3612" spans="1:6" ht="14.25" customHeight="1">
      <c r="A3612" s="286" t="s">
        <v>831</v>
      </c>
      <c r="B3612" s="286">
        <v>2024</v>
      </c>
      <c r="C3612" s="286" t="s">
        <v>88</v>
      </c>
      <c r="D3612" s="286" t="s">
        <v>959</v>
      </c>
      <c r="E3612" s="286" t="s">
        <v>1036</v>
      </c>
      <c r="F3612" s="113" t="s">
        <v>906</v>
      </c>
    </row>
    <row r="3613" spans="1:6" ht="14.25" customHeight="1">
      <c r="A3613" s="286" t="s">
        <v>831</v>
      </c>
      <c r="B3613" s="286">
        <v>2024</v>
      </c>
      <c r="C3613" s="286" t="s">
        <v>88</v>
      </c>
      <c r="D3613" s="286" t="s">
        <v>959</v>
      </c>
      <c r="E3613" s="286" t="s">
        <v>1036</v>
      </c>
      <c r="F3613" s="113" t="s">
        <v>906</v>
      </c>
    </row>
    <row r="3614" spans="1:6" ht="14.25" customHeight="1">
      <c r="A3614" s="286" t="s">
        <v>831</v>
      </c>
      <c r="B3614" s="286">
        <v>2024</v>
      </c>
      <c r="C3614" s="286" t="s">
        <v>88</v>
      </c>
      <c r="D3614" s="286" t="s">
        <v>959</v>
      </c>
      <c r="E3614" s="286" t="s">
        <v>952</v>
      </c>
      <c r="F3614" s="113" t="s">
        <v>906</v>
      </c>
    </row>
    <row r="3615" spans="1:6" ht="14.25" customHeight="1">
      <c r="A3615" s="286" t="s">
        <v>831</v>
      </c>
      <c r="B3615" s="286">
        <v>2024</v>
      </c>
      <c r="C3615" s="286" t="s">
        <v>88</v>
      </c>
      <c r="D3615" s="286" t="s">
        <v>959</v>
      </c>
      <c r="E3615" s="286" t="s">
        <v>952</v>
      </c>
      <c r="F3615" s="113" t="s">
        <v>906</v>
      </c>
    </row>
    <row r="3616" spans="1:6" ht="14.25" customHeight="1">
      <c r="A3616" s="286" t="s">
        <v>831</v>
      </c>
      <c r="B3616" s="286">
        <v>2024</v>
      </c>
      <c r="C3616" s="286" t="s">
        <v>88</v>
      </c>
      <c r="D3616" s="286" t="s">
        <v>959</v>
      </c>
      <c r="E3616" s="286" t="s">
        <v>981</v>
      </c>
      <c r="F3616" s="113" t="s">
        <v>906</v>
      </c>
    </row>
    <row r="3617" spans="1:6" ht="14.25" customHeight="1">
      <c r="A3617" s="286" t="s">
        <v>831</v>
      </c>
      <c r="B3617" s="286">
        <v>2024</v>
      </c>
      <c r="C3617" s="286" t="s">
        <v>88</v>
      </c>
      <c r="D3617" s="286" t="s">
        <v>959</v>
      </c>
      <c r="E3617" s="286" t="s">
        <v>1028</v>
      </c>
      <c r="F3617" s="113" t="s">
        <v>906</v>
      </c>
    </row>
    <row r="3618" spans="1:6" ht="14.25" customHeight="1">
      <c r="A3618" s="286" t="s">
        <v>831</v>
      </c>
      <c r="B3618" s="286">
        <v>2024</v>
      </c>
      <c r="C3618" s="286" t="s">
        <v>88</v>
      </c>
      <c r="D3618" s="286" t="s">
        <v>959</v>
      </c>
      <c r="E3618" s="286" t="s">
        <v>930</v>
      </c>
      <c r="F3618" s="113" t="s">
        <v>906</v>
      </c>
    </row>
    <row r="3619" spans="1:6" ht="14.25" customHeight="1">
      <c r="A3619" s="286" t="s">
        <v>831</v>
      </c>
      <c r="B3619" s="286">
        <v>2024</v>
      </c>
      <c r="C3619" s="286" t="s">
        <v>88</v>
      </c>
      <c r="D3619" s="286" t="s">
        <v>959</v>
      </c>
      <c r="E3619" s="286" t="s">
        <v>1020</v>
      </c>
      <c r="F3619" s="113" t="s">
        <v>909</v>
      </c>
    </row>
    <row r="3620" spans="1:6" ht="14.25" customHeight="1">
      <c r="A3620" s="286" t="s">
        <v>831</v>
      </c>
      <c r="B3620" s="286">
        <v>2024</v>
      </c>
      <c r="C3620" s="286" t="s">
        <v>88</v>
      </c>
      <c r="D3620" s="286" t="s">
        <v>959</v>
      </c>
      <c r="E3620" s="286" t="s">
        <v>1075</v>
      </c>
      <c r="F3620" s="113" t="s">
        <v>483</v>
      </c>
    </row>
    <row r="3621" spans="1:6" ht="14.25" customHeight="1">
      <c r="A3621" s="286" t="s">
        <v>831</v>
      </c>
      <c r="B3621" s="286">
        <v>2024</v>
      </c>
      <c r="C3621" s="286" t="s">
        <v>88</v>
      </c>
      <c r="D3621" s="286" t="s">
        <v>959</v>
      </c>
      <c r="E3621" s="286" t="s">
        <v>1159</v>
      </c>
      <c r="F3621" s="113" t="s">
        <v>483</v>
      </c>
    </row>
    <row r="3622" spans="1:6" ht="14.25" customHeight="1">
      <c r="A3622" s="286" t="s">
        <v>831</v>
      </c>
      <c r="B3622" s="286">
        <v>2024</v>
      </c>
      <c r="C3622" s="286" t="s">
        <v>88</v>
      </c>
      <c r="D3622" s="286" t="s">
        <v>959</v>
      </c>
      <c r="E3622" s="286" t="s">
        <v>1128</v>
      </c>
      <c r="F3622" s="113" t="s">
        <v>483</v>
      </c>
    </row>
    <row r="3623" spans="1:6" ht="14.25" customHeight="1">
      <c r="A3623" s="286" t="s">
        <v>831</v>
      </c>
      <c r="B3623" s="286">
        <v>2024</v>
      </c>
      <c r="C3623" s="286" t="s">
        <v>88</v>
      </c>
      <c r="D3623" s="286" t="s">
        <v>959</v>
      </c>
      <c r="E3623" s="286" t="s">
        <v>1218</v>
      </c>
      <c r="F3623" s="113" t="s">
        <v>483</v>
      </c>
    </row>
    <row r="3624" spans="1:6" ht="14.25" customHeight="1">
      <c r="A3624" s="286" t="s">
        <v>831</v>
      </c>
      <c r="B3624" s="286">
        <v>2024</v>
      </c>
      <c r="C3624" s="286" t="s">
        <v>88</v>
      </c>
      <c r="D3624" s="286" t="s">
        <v>959</v>
      </c>
      <c r="E3624" s="286" t="s">
        <v>1086</v>
      </c>
      <c r="F3624" s="113" t="s">
        <v>911</v>
      </c>
    </row>
    <row r="3625" spans="1:6" ht="14.25" customHeight="1">
      <c r="A3625" s="286" t="s">
        <v>831</v>
      </c>
      <c r="B3625" s="286">
        <v>2024</v>
      </c>
      <c r="C3625" s="286" t="s">
        <v>88</v>
      </c>
      <c r="D3625" s="286" t="s">
        <v>959</v>
      </c>
      <c r="E3625" s="286" t="s">
        <v>1163</v>
      </c>
      <c r="F3625" s="113" t="s">
        <v>913</v>
      </c>
    </row>
    <row r="3626" spans="1:6" ht="14.25" customHeight="1">
      <c r="A3626" s="286" t="s">
        <v>831</v>
      </c>
      <c r="B3626" s="286">
        <v>2024</v>
      </c>
      <c r="C3626" s="286" t="s">
        <v>88</v>
      </c>
      <c r="D3626" s="286" t="s">
        <v>959</v>
      </c>
      <c r="E3626" s="286" t="s">
        <v>1072</v>
      </c>
      <c r="F3626" s="113" t="s">
        <v>915</v>
      </c>
    </row>
    <row r="3627" spans="1:6" ht="14.25" customHeight="1">
      <c r="A3627" s="286" t="s">
        <v>831</v>
      </c>
      <c r="B3627" s="286">
        <v>2024</v>
      </c>
      <c r="C3627" s="286" t="s">
        <v>88</v>
      </c>
      <c r="D3627" s="286" t="s">
        <v>959</v>
      </c>
      <c r="E3627" s="286" t="s">
        <v>970</v>
      </c>
      <c r="F3627" s="113" t="s">
        <v>915</v>
      </c>
    </row>
    <row r="3628" spans="1:6" ht="14.25" customHeight="1">
      <c r="A3628" s="286" t="s">
        <v>831</v>
      </c>
      <c r="B3628" s="286">
        <v>2024</v>
      </c>
      <c r="C3628" s="286" t="s">
        <v>88</v>
      </c>
      <c r="D3628" s="286" t="s">
        <v>959</v>
      </c>
      <c r="E3628" s="286" t="s">
        <v>968</v>
      </c>
      <c r="F3628" s="113" t="s">
        <v>915</v>
      </c>
    </row>
    <row r="3629" spans="1:6" ht="14.25" customHeight="1">
      <c r="A3629" s="286" t="s">
        <v>831</v>
      </c>
      <c r="B3629" s="286">
        <v>2024</v>
      </c>
      <c r="C3629" s="286" t="s">
        <v>88</v>
      </c>
      <c r="D3629" s="286" t="s">
        <v>959</v>
      </c>
      <c r="E3629" s="286" t="s">
        <v>1100</v>
      </c>
      <c r="F3629" s="113" t="s">
        <v>935</v>
      </c>
    </row>
    <row r="3630" spans="1:6" ht="14.25" customHeight="1">
      <c r="A3630" s="286" t="s">
        <v>831</v>
      </c>
      <c r="B3630" s="286">
        <v>2024</v>
      </c>
      <c r="C3630" s="286" t="s">
        <v>88</v>
      </c>
      <c r="D3630" s="286" t="s">
        <v>959</v>
      </c>
      <c r="E3630" s="286" t="s">
        <v>1023</v>
      </c>
      <c r="F3630" s="113" t="s">
        <v>935</v>
      </c>
    </row>
    <row r="3631" spans="1:6" ht="14.25" customHeight="1">
      <c r="A3631" s="286" t="s">
        <v>831</v>
      </c>
      <c r="B3631" s="286">
        <v>2024</v>
      </c>
      <c r="C3631" s="286" t="s">
        <v>88</v>
      </c>
      <c r="D3631" s="286" t="s">
        <v>958</v>
      </c>
      <c r="E3631" s="286" t="s">
        <v>1036</v>
      </c>
      <c r="F3631" s="113" t="s">
        <v>906</v>
      </c>
    </row>
    <row r="3632" spans="1:6" ht="14.25" customHeight="1">
      <c r="A3632" s="286" t="s">
        <v>831</v>
      </c>
      <c r="B3632" s="286">
        <v>2024</v>
      </c>
      <c r="C3632" s="286" t="s">
        <v>88</v>
      </c>
      <c r="D3632" s="286" t="s">
        <v>969</v>
      </c>
      <c r="E3632" s="286" t="s">
        <v>952</v>
      </c>
      <c r="F3632" s="113" t="s">
        <v>906</v>
      </c>
    </row>
    <row r="3633" spans="1:6" ht="14.25" customHeight="1">
      <c r="A3633" s="286" t="s">
        <v>831</v>
      </c>
      <c r="B3633" s="286">
        <v>2024</v>
      </c>
      <c r="C3633" s="286" t="s">
        <v>88</v>
      </c>
      <c r="D3633" s="286" t="s">
        <v>969</v>
      </c>
      <c r="E3633" s="286" t="s">
        <v>930</v>
      </c>
      <c r="F3633" s="113" t="s">
        <v>906</v>
      </c>
    </row>
    <row r="3634" spans="1:6" ht="14.25" customHeight="1">
      <c r="A3634" s="286" t="s">
        <v>831</v>
      </c>
      <c r="B3634" s="286">
        <v>2024</v>
      </c>
      <c r="C3634" s="286" t="s">
        <v>88</v>
      </c>
      <c r="D3634" s="286" t="s">
        <v>969</v>
      </c>
      <c r="E3634" s="286" t="s">
        <v>1159</v>
      </c>
      <c r="F3634" s="113" t="s">
        <v>483</v>
      </c>
    </row>
    <row r="3635" spans="1:6" ht="14.25" customHeight="1">
      <c r="A3635" s="286" t="s">
        <v>831</v>
      </c>
      <c r="B3635" s="286">
        <v>2024</v>
      </c>
      <c r="C3635" s="286" t="s">
        <v>88</v>
      </c>
      <c r="D3635" s="286" t="s">
        <v>969</v>
      </c>
      <c r="E3635" s="286" t="s">
        <v>1153</v>
      </c>
      <c r="F3635" s="113" t="s">
        <v>483</v>
      </c>
    </row>
    <row r="3636" spans="1:6" ht="14.25" customHeight="1">
      <c r="A3636" s="286" t="s">
        <v>831</v>
      </c>
      <c r="B3636" s="286">
        <v>2024</v>
      </c>
      <c r="C3636" s="286" t="s">
        <v>88</v>
      </c>
      <c r="D3636" s="286" t="s">
        <v>969</v>
      </c>
      <c r="E3636" s="286" t="s">
        <v>1111</v>
      </c>
      <c r="F3636" s="113" t="s">
        <v>918</v>
      </c>
    </row>
    <row r="3637" spans="1:6" ht="14.25" customHeight="1">
      <c r="A3637" s="286" t="s">
        <v>831</v>
      </c>
      <c r="B3637" s="286">
        <v>2024</v>
      </c>
      <c r="C3637" s="286" t="s">
        <v>88</v>
      </c>
      <c r="D3637" s="286" t="s">
        <v>969</v>
      </c>
      <c r="E3637" s="286" t="s">
        <v>945</v>
      </c>
      <c r="F3637" s="113" t="s">
        <v>918</v>
      </c>
    </row>
    <row r="3638" spans="1:6" ht="14.25" customHeight="1">
      <c r="A3638" s="286" t="s">
        <v>831</v>
      </c>
      <c r="B3638" s="286">
        <v>2024</v>
      </c>
      <c r="C3638" s="286" t="s">
        <v>88</v>
      </c>
      <c r="D3638" s="286" t="s">
        <v>956</v>
      </c>
      <c r="E3638" s="286" t="s">
        <v>1031</v>
      </c>
      <c r="F3638" s="113" t="s">
        <v>913</v>
      </c>
    </row>
    <row r="3639" spans="1:6" ht="14.25" customHeight="1">
      <c r="A3639" s="286" t="s">
        <v>831</v>
      </c>
      <c r="B3639" s="286">
        <v>2024</v>
      </c>
      <c r="C3639" s="286" t="s">
        <v>859</v>
      </c>
      <c r="D3639" s="286" t="s">
        <v>1005</v>
      </c>
      <c r="E3639" s="286" t="s">
        <v>954</v>
      </c>
      <c r="F3639" s="113" t="s">
        <v>906</v>
      </c>
    </row>
    <row r="3640" spans="1:6" ht="14.25" customHeight="1">
      <c r="A3640" s="286" t="s">
        <v>831</v>
      </c>
      <c r="B3640" s="286">
        <v>2024</v>
      </c>
      <c r="C3640" s="286" t="s">
        <v>859</v>
      </c>
      <c r="D3640" s="286" t="s">
        <v>1005</v>
      </c>
      <c r="E3640" s="286" t="s">
        <v>1041</v>
      </c>
      <c r="F3640" s="113" t="s">
        <v>906</v>
      </c>
    </row>
    <row r="3641" spans="1:6" ht="14.25" customHeight="1">
      <c r="A3641" s="286" t="s">
        <v>831</v>
      </c>
      <c r="B3641" s="286">
        <v>2024</v>
      </c>
      <c r="C3641" s="286" t="s">
        <v>859</v>
      </c>
      <c r="D3641" s="286" t="s">
        <v>998</v>
      </c>
      <c r="E3641" s="286" t="s">
        <v>971</v>
      </c>
      <c r="F3641" s="113" t="s">
        <v>909</v>
      </c>
    </row>
    <row r="3642" spans="1:6" ht="14.25" customHeight="1">
      <c r="A3642" s="286" t="s">
        <v>831</v>
      </c>
      <c r="B3642" s="286">
        <v>2024</v>
      </c>
      <c r="C3642" s="286" t="s">
        <v>859</v>
      </c>
      <c r="D3642" s="286" t="s">
        <v>998</v>
      </c>
      <c r="E3642" s="286" t="s">
        <v>1170</v>
      </c>
      <c r="F3642" s="113" t="s">
        <v>909</v>
      </c>
    </row>
    <row r="3643" spans="1:6" ht="14.25" customHeight="1">
      <c r="A3643" s="286" t="s">
        <v>831</v>
      </c>
      <c r="B3643" s="286">
        <v>2024</v>
      </c>
      <c r="C3643" s="286" t="s">
        <v>859</v>
      </c>
      <c r="D3643" s="286" t="s">
        <v>998</v>
      </c>
      <c r="E3643" s="286" t="s">
        <v>939</v>
      </c>
      <c r="F3643" s="113" t="s">
        <v>909</v>
      </c>
    </row>
    <row r="3644" spans="1:6" ht="14.25" customHeight="1">
      <c r="A3644" s="286" t="s">
        <v>831</v>
      </c>
      <c r="B3644" s="286">
        <v>2024</v>
      </c>
      <c r="C3644" s="286" t="s">
        <v>859</v>
      </c>
      <c r="D3644" s="286" t="s">
        <v>998</v>
      </c>
      <c r="E3644" s="286" t="s">
        <v>1153</v>
      </c>
      <c r="F3644" s="113" t="s">
        <v>483</v>
      </c>
    </row>
    <row r="3645" spans="1:6" ht="14.25" customHeight="1">
      <c r="A3645" s="286" t="s">
        <v>831</v>
      </c>
      <c r="B3645" s="286">
        <v>2024</v>
      </c>
      <c r="C3645" s="286" t="s">
        <v>859</v>
      </c>
      <c r="D3645" s="286" t="s">
        <v>998</v>
      </c>
      <c r="E3645" s="286" t="s">
        <v>1289</v>
      </c>
      <c r="F3645" s="113" t="s">
        <v>483</v>
      </c>
    </row>
    <row r="3646" spans="1:6" ht="14.25" customHeight="1">
      <c r="A3646" s="286" t="s">
        <v>831</v>
      </c>
      <c r="B3646" s="286">
        <v>2024</v>
      </c>
      <c r="C3646" s="286" t="s">
        <v>859</v>
      </c>
      <c r="D3646" s="286" t="s">
        <v>998</v>
      </c>
      <c r="E3646" s="286" t="s">
        <v>1002</v>
      </c>
      <c r="F3646" s="113" t="s">
        <v>483</v>
      </c>
    </row>
    <row r="3647" spans="1:6" ht="14.25" customHeight="1">
      <c r="A3647" s="286" t="s">
        <v>831</v>
      </c>
      <c r="B3647" s="286">
        <v>2024</v>
      </c>
      <c r="C3647" s="286" t="s">
        <v>859</v>
      </c>
      <c r="D3647" s="286" t="s">
        <v>998</v>
      </c>
      <c r="E3647" s="286" t="s">
        <v>1124</v>
      </c>
      <c r="F3647" s="113" t="s">
        <v>483</v>
      </c>
    </row>
    <row r="3648" spans="1:6" ht="14.25" customHeight="1">
      <c r="A3648" s="286" t="s">
        <v>831</v>
      </c>
      <c r="B3648" s="286">
        <v>2024</v>
      </c>
      <c r="C3648" s="286" t="s">
        <v>859</v>
      </c>
      <c r="D3648" s="286" t="s">
        <v>998</v>
      </c>
      <c r="E3648" s="286" t="s">
        <v>1218</v>
      </c>
      <c r="F3648" s="113" t="s">
        <v>483</v>
      </c>
    </row>
    <row r="3649" spans="1:6" ht="14.25" customHeight="1">
      <c r="A3649" s="286" t="s">
        <v>831</v>
      </c>
      <c r="B3649" s="286">
        <v>2024</v>
      </c>
      <c r="C3649" s="286" t="s">
        <v>859</v>
      </c>
      <c r="D3649" s="286" t="s">
        <v>998</v>
      </c>
      <c r="E3649" s="286" t="s">
        <v>1092</v>
      </c>
      <c r="F3649" s="113" t="s">
        <v>911</v>
      </c>
    </row>
    <row r="3650" spans="1:6" ht="14.25" customHeight="1">
      <c r="A3650" s="286" t="s">
        <v>831</v>
      </c>
      <c r="B3650" s="286">
        <v>2024</v>
      </c>
      <c r="C3650" s="286" t="s">
        <v>859</v>
      </c>
      <c r="D3650" s="286" t="s">
        <v>998</v>
      </c>
      <c r="E3650" s="286" t="s">
        <v>1106</v>
      </c>
      <c r="F3650" s="113" t="s">
        <v>663</v>
      </c>
    </row>
    <row r="3651" spans="1:6" ht="14.25" customHeight="1">
      <c r="A3651" s="286" t="s">
        <v>831</v>
      </c>
      <c r="B3651" s="286">
        <v>2024</v>
      </c>
      <c r="C3651" s="286" t="s">
        <v>872</v>
      </c>
      <c r="D3651" s="286" t="s">
        <v>1290</v>
      </c>
      <c r="E3651" s="286" t="s">
        <v>1128</v>
      </c>
      <c r="F3651" s="113" t="s">
        <v>483</v>
      </c>
    </row>
    <row r="3652" spans="1:6" ht="14.25" customHeight="1">
      <c r="A3652" s="286" t="s">
        <v>831</v>
      </c>
      <c r="B3652" s="286">
        <v>2024</v>
      </c>
      <c r="C3652" s="286" t="s">
        <v>872</v>
      </c>
      <c r="D3652" s="286" t="s">
        <v>1290</v>
      </c>
      <c r="E3652" s="286" t="s">
        <v>1128</v>
      </c>
      <c r="F3652" s="113" t="s">
        <v>483</v>
      </c>
    </row>
    <row r="3653" spans="1:6" ht="14.25" customHeight="1">
      <c r="A3653" s="286" t="s">
        <v>831</v>
      </c>
      <c r="B3653" s="286">
        <v>2024</v>
      </c>
      <c r="C3653" s="286" t="s">
        <v>872</v>
      </c>
      <c r="D3653" s="286" t="s">
        <v>1018</v>
      </c>
      <c r="E3653" s="286" t="s">
        <v>1081</v>
      </c>
      <c r="F3653" s="113" t="s">
        <v>911</v>
      </c>
    </row>
    <row r="3654" spans="1:6" ht="14.25" customHeight="1">
      <c r="A3654" s="286" t="s">
        <v>831</v>
      </c>
      <c r="B3654" s="286">
        <v>2024</v>
      </c>
      <c r="C3654" s="286" t="s">
        <v>872</v>
      </c>
      <c r="D3654" s="286" t="s">
        <v>1012</v>
      </c>
      <c r="E3654" s="286" t="s">
        <v>1023</v>
      </c>
      <c r="F3654" s="113" t="s">
        <v>935</v>
      </c>
    </row>
    <row r="3655" spans="1:6" ht="14.25" customHeight="1">
      <c r="A3655" s="286" t="s">
        <v>831</v>
      </c>
      <c r="B3655" s="286">
        <v>2024</v>
      </c>
      <c r="C3655" s="286" t="s">
        <v>1024</v>
      </c>
      <c r="D3655" s="286" t="s">
        <v>1027</v>
      </c>
      <c r="E3655" s="286" t="s">
        <v>954</v>
      </c>
      <c r="F3655" s="113" t="s">
        <v>906</v>
      </c>
    </row>
    <row r="3656" spans="1:6" ht="14.25" customHeight="1">
      <c r="A3656" s="286" t="s">
        <v>831</v>
      </c>
      <c r="B3656" s="286">
        <v>2024</v>
      </c>
      <c r="C3656" s="286" t="s">
        <v>1024</v>
      </c>
      <c r="D3656" s="286" t="s">
        <v>1027</v>
      </c>
      <c r="E3656" s="286" t="s">
        <v>1014</v>
      </c>
      <c r="F3656" s="113" t="s">
        <v>906</v>
      </c>
    </row>
    <row r="3657" spans="1:6" ht="14.25" customHeight="1">
      <c r="A3657" s="286" t="s">
        <v>831</v>
      </c>
      <c r="B3657" s="286">
        <v>2024</v>
      </c>
      <c r="C3657" s="286" t="s">
        <v>1024</v>
      </c>
      <c r="D3657" s="286" t="s">
        <v>1027</v>
      </c>
      <c r="E3657" s="286" t="s">
        <v>952</v>
      </c>
      <c r="F3657" s="113" t="s">
        <v>906</v>
      </c>
    </row>
    <row r="3658" spans="1:6" ht="14.25" customHeight="1">
      <c r="A3658" s="286" t="s">
        <v>831</v>
      </c>
      <c r="B3658" s="286">
        <v>2024</v>
      </c>
      <c r="C3658" s="286" t="s">
        <v>1024</v>
      </c>
      <c r="D3658" s="286" t="s">
        <v>1027</v>
      </c>
      <c r="E3658" s="286" t="s">
        <v>1159</v>
      </c>
      <c r="F3658" s="113" t="s">
        <v>483</v>
      </c>
    </row>
    <row r="3659" spans="1:6" ht="14.25" customHeight="1">
      <c r="A3659" s="286" t="s">
        <v>831</v>
      </c>
      <c r="B3659" s="286">
        <v>2024</v>
      </c>
      <c r="C3659" s="286" t="s">
        <v>1024</v>
      </c>
      <c r="D3659" s="286" t="s">
        <v>1027</v>
      </c>
      <c r="E3659" s="286" t="s">
        <v>985</v>
      </c>
      <c r="F3659" s="113" t="s">
        <v>918</v>
      </c>
    </row>
    <row r="3660" spans="1:6" ht="14.25" customHeight="1">
      <c r="A3660" s="286" t="s">
        <v>831</v>
      </c>
      <c r="B3660" s="286">
        <v>2024</v>
      </c>
      <c r="C3660" s="286" t="s">
        <v>1024</v>
      </c>
      <c r="D3660" s="286" t="s">
        <v>1027</v>
      </c>
      <c r="E3660" s="286" t="s">
        <v>2</v>
      </c>
      <c r="F3660" s="113" t="s">
        <v>917</v>
      </c>
    </row>
    <row r="3661" spans="1:6" ht="14.25" customHeight="1">
      <c r="A3661" s="286" t="s">
        <v>831</v>
      </c>
      <c r="B3661" s="286">
        <v>2024</v>
      </c>
      <c r="C3661" s="286" t="s">
        <v>1024</v>
      </c>
      <c r="D3661" s="286" t="s">
        <v>1027</v>
      </c>
      <c r="E3661" s="286" t="s">
        <v>2</v>
      </c>
      <c r="F3661" s="113" t="s">
        <v>917</v>
      </c>
    </row>
    <row r="3662" spans="1:6" ht="14.25" customHeight="1">
      <c r="A3662" s="286" t="s">
        <v>831</v>
      </c>
      <c r="B3662" s="286">
        <v>2024</v>
      </c>
      <c r="C3662" s="286" t="s">
        <v>1024</v>
      </c>
      <c r="D3662" s="286" t="s">
        <v>1027</v>
      </c>
      <c r="E3662" s="286" t="s">
        <v>1023</v>
      </c>
      <c r="F3662" s="113" t="s">
        <v>935</v>
      </c>
    </row>
    <row r="3663" spans="1:6" ht="14.25" customHeight="1">
      <c r="A3663" s="286" t="s">
        <v>831</v>
      </c>
      <c r="B3663" s="286">
        <v>2024</v>
      </c>
      <c r="C3663" s="286" t="s">
        <v>1024</v>
      </c>
      <c r="D3663" s="286" t="s">
        <v>1029</v>
      </c>
      <c r="E3663" s="286" t="s">
        <v>1041</v>
      </c>
      <c r="F3663" s="113" t="s">
        <v>906</v>
      </c>
    </row>
    <row r="3664" spans="1:6" ht="14.25" customHeight="1">
      <c r="A3664" s="286" t="s">
        <v>831</v>
      </c>
      <c r="B3664" s="286">
        <v>2024</v>
      </c>
      <c r="C3664" s="286" t="s">
        <v>1024</v>
      </c>
      <c r="D3664" s="286" t="s">
        <v>1026</v>
      </c>
      <c r="E3664" s="286" t="s">
        <v>930</v>
      </c>
      <c r="F3664" s="113" t="s">
        <v>906</v>
      </c>
    </row>
    <row r="3665" spans="1:6" ht="14.25" customHeight="1">
      <c r="A3665" s="286" t="s">
        <v>831</v>
      </c>
      <c r="B3665" s="286">
        <v>2024</v>
      </c>
      <c r="C3665" s="286" t="s">
        <v>1024</v>
      </c>
      <c r="D3665" s="286" t="s">
        <v>1026</v>
      </c>
      <c r="E3665" s="286" t="s">
        <v>1041</v>
      </c>
      <c r="F3665" s="113" t="s">
        <v>906</v>
      </c>
    </row>
    <row r="3666" spans="1:6" ht="14.25" customHeight="1">
      <c r="A3666" s="286" t="s">
        <v>831</v>
      </c>
      <c r="B3666" s="286">
        <v>2024</v>
      </c>
      <c r="C3666" s="286" t="s">
        <v>1024</v>
      </c>
      <c r="D3666" s="286" t="s">
        <v>1026</v>
      </c>
      <c r="E3666" s="286" t="s">
        <v>1050</v>
      </c>
      <c r="F3666" s="113" t="s">
        <v>483</v>
      </c>
    </row>
    <row r="3667" spans="1:6" ht="14.25" customHeight="1">
      <c r="A3667" s="286" t="s">
        <v>831</v>
      </c>
      <c r="B3667" s="286">
        <v>2024</v>
      </c>
      <c r="C3667" s="286" t="s">
        <v>1024</v>
      </c>
      <c r="D3667" s="286" t="s">
        <v>1026</v>
      </c>
      <c r="E3667" s="286" t="s">
        <v>1078</v>
      </c>
      <c r="F3667" s="113" t="s">
        <v>663</v>
      </c>
    </row>
    <row r="3668" spans="1:6" ht="14.25" customHeight="1">
      <c r="A3668" s="286" t="s">
        <v>831</v>
      </c>
      <c r="B3668" s="286">
        <v>2024</v>
      </c>
      <c r="C3668" s="286" t="s">
        <v>1024</v>
      </c>
      <c r="D3668" s="286" t="s">
        <v>1026</v>
      </c>
      <c r="E3668" s="286" t="s">
        <v>1035</v>
      </c>
      <c r="F3668" s="113" t="s">
        <v>935</v>
      </c>
    </row>
    <row r="3669" spans="1:6" ht="14.25" customHeight="1">
      <c r="A3669" s="286" t="s">
        <v>831</v>
      </c>
      <c r="B3669" s="286">
        <v>2024</v>
      </c>
      <c r="C3669" s="286" t="s">
        <v>1024</v>
      </c>
      <c r="D3669" s="286" t="s">
        <v>1026</v>
      </c>
      <c r="E3669" s="286" t="s">
        <v>997</v>
      </c>
      <c r="F3669" s="113" t="s">
        <v>935</v>
      </c>
    </row>
    <row r="3670" spans="1:6" ht="14.25" customHeight="1">
      <c r="A3670" s="286" t="s">
        <v>832</v>
      </c>
      <c r="B3670" s="286">
        <v>2024</v>
      </c>
      <c r="C3670" s="286" t="s">
        <v>821</v>
      </c>
      <c r="D3670" s="286" t="s">
        <v>132</v>
      </c>
      <c r="E3670" s="286" t="s">
        <v>944</v>
      </c>
      <c r="F3670" s="113" t="s">
        <v>906</v>
      </c>
    </row>
    <row r="3671" spans="1:6" ht="14.25" customHeight="1">
      <c r="A3671" s="286" t="s">
        <v>832</v>
      </c>
      <c r="B3671" s="286">
        <v>2024</v>
      </c>
      <c r="C3671" s="286" t="s">
        <v>821</v>
      </c>
      <c r="D3671" s="286" t="s">
        <v>132</v>
      </c>
      <c r="E3671" s="286" t="s">
        <v>1036</v>
      </c>
      <c r="F3671" s="113" t="s">
        <v>906</v>
      </c>
    </row>
    <row r="3672" spans="1:6" ht="14.25" customHeight="1">
      <c r="A3672" s="286" t="s">
        <v>832</v>
      </c>
      <c r="B3672" s="286">
        <v>2024</v>
      </c>
      <c r="C3672" s="286" t="s">
        <v>821</v>
      </c>
      <c r="D3672" s="286" t="s">
        <v>132</v>
      </c>
      <c r="E3672" s="286" t="s">
        <v>1170</v>
      </c>
      <c r="F3672" s="113" t="s">
        <v>909</v>
      </c>
    </row>
    <row r="3673" spans="1:6" ht="14.25" customHeight="1">
      <c r="A3673" s="286" t="s">
        <v>832</v>
      </c>
      <c r="B3673" s="286">
        <v>2024</v>
      </c>
      <c r="C3673" s="286" t="s">
        <v>821</v>
      </c>
      <c r="D3673" s="286" t="s">
        <v>132</v>
      </c>
      <c r="E3673" s="113" t="s">
        <v>2</v>
      </c>
      <c r="F3673" s="113" t="s">
        <v>935</v>
      </c>
    </row>
    <row r="3674" spans="1:6" ht="14.25" customHeight="1">
      <c r="A3674" s="286" t="s">
        <v>832</v>
      </c>
      <c r="B3674" s="286">
        <v>2024</v>
      </c>
      <c r="C3674" s="286" t="s">
        <v>821</v>
      </c>
      <c r="D3674" s="286" t="s">
        <v>132</v>
      </c>
      <c r="E3674" s="113" t="s">
        <v>2</v>
      </c>
      <c r="F3674" s="113" t="s">
        <v>935</v>
      </c>
    </row>
    <row r="3675" spans="1:6" ht="14.25" customHeight="1">
      <c r="A3675" s="286" t="s">
        <v>832</v>
      </c>
      <c r="B3675" s="286">
        <v>2024</v>
      </c>
      <c r="C3675" s="286" t="s">
        <v>821</v>
      </c>
      <c r="D3675" s="286" t="s">
        <v>132</v>
      </c>
      <c r="E3675" s="286" t="s">
        <v>990</v>
      </c>
      <c r="F3675" s="113" t="s">
        <v>935</v>
      </c>
    </row>
    <row r="3676" spans="1:6" ht="14.25" customHeight="1">
      <c r="A3676" s="286" t="s">
        <v>832</v>
      </c>
      <c r="B3676" s="286">
        <v>2024</v>
      </c>
      <c r="C3676" s="286" t="s">
        <v>821</v>
      </c>
      <c r="D3676" s="286" t="s">
        <v>132</v>
      </c>
      <c r="E3676" s="286" t="s">
        <v>2</v>
      </c>
      <c r="F3676" s="113" t="s">
        <v>935</v>
      </c>
    </row>
    <row r="3677" spans="1:6" ht="14.25" customHeight="1">
      <c r="A3677" s="286" t="s">
        <v>832</v>
      </c>
      <c r="B3677" s="286">
        <v>2024</v>
      </c>
      <c r="C3677" s="286" t="s">
        <v>821</v>
      </c>
      <c r="D3677" s="286" t="s">
        <v>934</v>
      </c>
      <c r="E3677" s="286" t="s">
        <v>1028</v>
      </c>
      <c r="F3677" s="113" t="s">
        <v>906</v>
      </c>
    </row>
    <row r="3678" spans="1:6" ht="14.25" customHeight="1">
      <c r="A3678" s="286" t="s">
        <v>832</v>
      </c>
      <c r="B3678" s="286">
        <v>2024</v>
      </c>
      <c r="C3678" s="286" t="s">
        <v>821</v>
      </c>
      <c r="D3678" s="286" t="s">
        <v>934</v>
      </c>
      <c r="E3678" s="286" t="s">
        <v>2</v>
      </c>
      <c r="F3678" s="113" t="s">
        <v>906</v>
      </c>
    </row>
    <row r="3679" spans="1:6" ht="14.25" customHeight="1">
      <c r="A3679" s="286" t="s">
        <v>832</v>
      </c>
      <c r="B3679" s="286">
        <v>2024</v>
      </c>
      <c r="C3679" s="286" t="s">
        <v>821</v>
      </c>
      <c r="D3679" s="286" t="s">
        <v>934</v>
      </c>
      <c r="E3679" s="286" t="s">
        <v>1170</v>
      </c>
      <c r="F3679" s="113" t="s">
        <v>909</v>
      </c>
    </row>
    <row r="3680" spans="1:6" ht="14.25" customHeight="1">
      <c r="A3680" s="286" t="s">
        <v>832</v>
      </c>
      <c r="B3680" s="286">
        <v>2024</v>
      </c>
      <c r="C3680" s="286" t="s">
        <v>821</v>
      </c>
      <c r="D3680" s="286" t="s">
        <v>934</v>
      </c>
      <c r="E3680" s="286" t="s">
        <v>1170</v>
      </c>
      <c r="F3680" s="113" t="s">
        <v>909</v>
      </c>
    </row>
    <row r="3681" spans="1:6" ht="14.25" customHeight="1">
      <c r="A3681" s="286" t="s">
        <v>832</v>
      </c>
      <c r="B3681" s="286">
        <v>2024</v>
      </c>
      <c r="C3681" s="286" t="s">
        <v>821</v>
      </c>
      <c r="D3681" s="286" t="s">
        <v>934</v>
      </c>
      <c r="E3681" s="286" t="s">
        <v>1053</v>
      </c>
      <c r="F3681" s="113" t="s">
        <v>909</v>
      </c>
    </row>
    <row r="3682" spans="1:6" ht="14.25" customHeight="1">
      <c r="A3682" s="286" t="s">
        <v>832</v>
      </c>
      <c r="B3682" s="286">
        <v>2024</v>
      </c>
      <c r="C3682" s="286" t="s">
        <v>821</v>
      </c>
      <c r="D3682" s="286" t="s">
        <v>934</v>
      </c>
      <c r="E3682" s="286" t="s">
        <v>1124</v>
      </c>
      <c r="F3682" s="113" t="s">
        <v>483</v>
      </c>
    </row>
    <row r="3683" spans="1:6" ht="14.25" customHeight="1">
      <c r="A3683" s="286" t="s">
        <v>832</v>
      </c>
      <c r="B3683" s="286">
        <v>2024</v>
      </c>
      <c r="C3683" s="286" t="s">
        <v>821</v>
      </c>
      <c r="D3683" s="286" t="s">
        <v>934</v>
      </c>
      <c r="E3683" s="286" t="s">
        <v>1139</v>
      </c>
      <c r="F3683" s="113" t="s">
        <v>483</v>
      </c>
    </row>
    <row r="3684" spans="1:6" ht="14.25" customHeight="1">
      <c r="A3684" s="286" t="s">
        <v>832</v>
      </c>
      <c r="B3684" s="286">
        <v>2024</v>
      </c>
      <c r="C3684" s="286" t="s">
        <v>821</v>
      </c>
      <c r="D3684" s="286" t="s">
        <v>934</v>
      </c>
      <c r="E3684" s="286" t="s">
        <v>1106</v>
      </c>
      <c r="F3684" s="113" t="s">
        <v>915</v>
      </c>
    </row>
    <row r="3685" spans="1:6" ht="14.25" customHeight="1">
      <c r="A3685" s="286" t="s">
        <v>832</v>
      </c>
      <c r="B3685" s="286">
        <v>2024</v>
      </c>
      <c r="C3685" s="286" t="s">
        <v>821</v>
      </c>
      <c r="D3685" s="286" t="s">
        <v>934</v>
      </c>
      <c r="E3685" s="113" t="s">
        <v>2</v>
      </c>
      <c r="F3685" s="113" t="s">
        <v>935</v>
      </c>
    </row>
    <row r="3686" spans="1:6" ht="14.25" customHeight="1">
      <c r="A3686" s="286" t="s">
        <v>832</v>
      </c>
      <c r="B3686" s="286">
        <v>2024</v>
      </c>
      <c r="C3686" s="286" t="s">
        <v>821</v>
      </c>
      <c r="D3686" s="286" t="s">
        <v>934</v>
      </c>
      <c r="E3686" s="113" t="s">
        <v>2</v>
      </c>
      <c r="F3686" s="113" t="s">
        <v>935</v>
      </c>
    </row>
    <row r="3687" spans="1:6" ht="14.25" customHeight="1">
      <c r="A3687" s="286" t="s">
        <v>832</v>
      </c>
      <c r="B3687" s="286">
        <v>2024</v>
      </c>
      <c r="C3687" s="286" t="s">
        <v>821</v>
      </c>
      <c r="D3687" s="286" t="s">
        <v>934</v>
      </c>
      <c r="E3687" s="286" t="s">
        <v>922</v>
      </c>
      <c r="F3687" s="113" t="s">
        <v>922</v>
      </c>
    </row>
    <row r="3688" spans="1:6" ht="14.25" customHeight="1">
      <c r="A3688" s="286" t="s">
        <v>832</v>
      </c>
      <c r="B3688" s="286">
        <v>2024</v>
      </c>
      <c r="C3688" s="286" t="s">
        <v>821</v>
      </c>
      <c r="D3688" s="286" t="s">
        <v>934</v>
      </c>
      <c r="E3688" s="286" t="s">
        <v>987</v>
      </c>
      <c r="F3688" s="113" t="s">
        <v>935</v>
      </c>
    </row>
    <row r="3689" spans="1:6" ht="14.25" customHeight="1">
      <c r="A3689" s="286" t="s">
        <v>832</v>
      </c>
      <c r="B3689" s="286">
        <v>2024</v>
      </c>
      <c r="C3689" s="286" t="s">
        <v>821</v>
      </c>
      <c r="D3689" s="286" t="s">
        <v>934</v>
      </c>
      <c r="E3689" s="286" t="s">
        <v>2</v>
      </c>
      <c r="F3689" s="113" t="s">
        <v>935</v>
      </c>
    </row>
    <row r="3690" spans="1:6" ht="14.25" customHeight="1">
      <c r="A3690" s="286" t="s">
        <v>832</v>
      </c>
      <c r="B3690" s="286">
        <v>2024</v>
      </c>
      <c r="C3690" s="286" t="s">
        <v>821</v>
      </c>
      <c r="D3690" s="286" t="s">
        <v>976</v>
      </c>
      <c r="E3690" s="286" t="s">
        <v>1213</v>
      </c>
      <c r="F3690" s="113" t="s">
        <v>483</v>
      </c>
    </row>
    <row r="3691" spans="1:6" ht="14.25" customHeight="1">
      <c r="A3691" s="286" t="s">
        <v>832</v>
      </c>
      <c r="B3691" s="286">
        <v>2024</v>
      </c>
      <c r="C3691" s="286" t="s">
        <v>821</v>
      </c>
      <c r="D3691" s="286" t="s">
        <v>976</v>
      </c>
      <c r="E3691" s="286" t="s">
        <v>2</v>
      </c>
      <c r="F3691" s="113" t="s">
        <v>483</v>
      </c>
    </row>
    <row r="3692" spans="1:6" ht="14.25" customHeight="1">
      <c r="A3692" s="286" t="s">
        <v>832</v>
      </c>
      <c r="B3692" s="286">
        <v>2024</v>
      </c>
      <c r="C3692" s="286" t="s">
        <v>821</v>
      </c>
      <c r="D3692" s="286" t="s">
        <v>976</v>
      </c>
      <c r="E3692" s="286" t="s">
        <v>1103</v>
      </c>
      <c r="F3692" s="113" t="s">
        <v>911</v>
      </c>
    </row>
    <row r="3693" spans="1:6" ht="14.25" customHeight="1">
      <c r="A3693" s="286" t="s">
        <v>832</v>
      </c>
      <c r="B3693" s="286">
        <v>2024</v>
      </c>
      <c r="C3693" s="286" t="s">
        <v>821</v>
      </c>
      <c r="D3693" s="286" t="s">
        <v>976</v>
      </c>
      <c r="E3693" s="286" t="s">
        <v>2</v>
      </c>
      <c r="F3693" s="113" t="s">
        <v>911</v>
      </c>
    </row>
    <row r="3694" spans="1:6" ht="14.25" customHeight="1">
      <c r="A3694" s="286" t="s">
        <v>832</v>
      </c>
      <c r="B3694" s="286">
        <v>2024</v>
      </c>
      <c r="C3694" s="286" t="s">
        <v>821</v>
      </c>
      <c r="D3694" s="286" t="s">
        <v>976</v>
      </c>
      <c r="E3694" s="113" t="s">
        <v>2</v>
      </c>
      <c r="F3694" s="113" t="s">
        <v>935</v>
      </c>
    </row>
    <row r="3695" spans="1:6" ht="14.25" customHeight="1">
      <c r="A3695" s="286" t="s">
        <v>832</v>
      </c>
      <c r="B3695" s="286">
        <v>2024</v>
      </c>
      <c r="C3695" s="286" t="s">
        <v>821</v>
      </c>
      <c r="D3695" s="286" t="s">
        <v>976</v>
      </c>
      <c r="E3695" s="286" t="s">
        <v>990</v>
      </c>
      <c r="F3695" s="113" t="s">
        <v>935</v>
      </c>
    </row>
    <row r="3696" spans="1:6" ht="14.25" customHeight="1">
      <c r="A3696" s="286" t="s">
        <v>832</v>
      </c>
      <c r="B3696" s="286">
        <v>2024</v>
      </c>
      <c r="C3696" s="286" t="s">
        <v>821</v>
      </c>
      <c r="D3696" s="286" t="s">
        <v>976</v>
      </c>
      <c r="E3696" s="286" t="s">
        <v>987</v>
      </c>
      <c r="F3696" s="113" t="s">
        <v>935</v>
      </c>
    </row>
    <row r="3697" spans="1:6" ht="14.25" customHeight="1">
      <c r="A3697" s="286" t="s">
        <v>832</v>
      </c>
      <c r="B3697" s="286">
        <v>2024</v>
      </c>
      <c r="C3697" s="286" t="s">
        <v>821</v>
      </c>
      <c r="D3697" s="286" t="s">
        <v>1033</v>
      </c>
      <c r="E3697" s="286" t="s">
        <v>1028</v>
      </c>
      <c r="F3697" s="113" t="s">
        <v>906</v>
      </c>
    </row>
    <row r="3698" spans="1:6" ht="14.25" customHeight="1">
      <c r="A3698" s="286" t="s">
        <v>832</v>
      </c>
      <c r="B3698" s="286">
        <v>2024</v>
      </c>
      <c r="C3698" s="286" t="s">
        <v>88</v>
      </c>
      <c r="D3698" s="286" t="s">
        <v>959</v>
      </c>
      <c r="E3698" s="286" t="s">
        <v>954</v>
      </c>
      <c r="F3698" s="113" t="s">
        <v>906</v>
      </c>
    </row>
    <row r="3699" spans="1:6" ht="14.25" customHeight="1">
      <c r="A3699" s="286" t="s">
        <v>832</v>
      </c>
      <c r="B3699" s="286">
        <v>2024</v>
      </c>
      <c r="C3699" s="286" t="s">
        <v>88</v>
      </c>
      <c r="D3699" s="286" t="s">
        <v>959</v>
      </c>
      <c r="E3699" s="286" t="s">
        <v>1040</v>
      </c>
      <c r="F3699" s="113" t="s">
        <v>906</v>
      </c>
    </row>
    <row r="3700" spans="1:6" ht="14.25" customHeight="1">
      <c r="A3700" s="286" t="s">
        <v>832</v>
      </c>
      <c r="B3700" s="286">
        <v>2024</v>
      </c>
      <c r="C3700" s="286" t="s">
        <v>88</v>
      </c>
      <c r="D3700" s="286" t="s">
        <v>959</v>
      </c>
      <c r="E3700" s="286" t="s">
        <v>1036</v>
      </c>
      <c r="F3700" s="113" t="s">
        <v>906</v>
      </c>
    </row>
    <row r="3701" spans="1:6" ht="14.25" customHeight="1">
      <c r="A3701" s="286" t="s">
        <v>832</v>
      </c>
      <c r="B3701" s="286">
        <v>2024</v>
      </c>
      <c r="C3701" s="286" t="s">
        <v>88</v>
      </c>
      <c r="D3701" s="286" t="s">
        <v>959</v>
      </c>
      <c r="E3701" s="286" t="s">
        <v>930</v>
      </c>
      <c r="F3701" s="113" t="s">
        <v>906</v>
      </c>
    </row>
    <row r="3702" spans="1:6" ht="14.25" customHeight="1">
      <c r="A3702" s="286" t="s">
        <v>832</v>
      </c>
      <c r="B3702" s="286">
        <v>2024</v>
      </c>
      <c r="C3702" s="286" t="s">
        <v>88</v>
      </c>
      <c r="D3702" s="286" t="s">
        <v>959</v>
      </c>
      <c r="E3702" s="286" t="s">
        <v>939</v>
      </c>
      <c r="F3702" s="113" t="s">
        <v>909</v>
      </c>
    </row>
    <row r="3703" spans="1:6" ht="14.25" customHeight="1">
      <c r="A3703" s="286" t="s">
        <v>832</v>
      </c>
      <c r="B3703" s="286">
        <v>2024</v>
      </c>
      <c r="C3703" s="286" t="s">
        <v>88</v>
      </c>
      <c r="D3703" s="286" t="s">
        <v>959</v>
      </c>
      <c r="E3703" s="286" t="s">
        <v>1291</v>
      </c>
      <c r="F3703" s="113" t="s">
        <v>913</v>
      </c>
    </row>
    <row r="3704" spans="1:6" ht="14.25" customHeight="1">
      <c r="A3704" s="286" t="s">
        <v>832</v>
      </c>
      <c r="B3704" s="286">
        <v>2024</v>
      </c>
      <c r="C3704" s="286" t="s">
        <v>88</v>
      </c>
      <c r="D3704" s="286" t="s">
        <v>959</v>
      </c>
      <c r="E3704" s="286" t="s">
        <v>947</v>
      </c>
      <c r="F3704" s="113" t="s">
        <v>913</v>
      </c>
    </row>
    <row r="3705" spans="1:6" ht="14.25" customHeight="1">
      <c r="A3705" s="286" t="s">
        <v>832</v>
      </c>
      <c r="B3705" s="286">
        <v>2024</v>
      </c>
      <c r="C3705" s="286" t="s">
        <v>88</v>
      </c>
      <c r="D3705" s="286" t="s">
        <v>959</v>
      </c>
      <c r="E3705" s="286" t="s">
        <v>2</v>
      </c>
      <c r="F3705" s="113" t="s">
        <v>917</v>
      </c>
    </row>
    <row r="3706" spans="1:6" ht="14.25" customHeight="1">
      <c r="A3706" s="286" t="s">
        <v>832</v>
      </c>
      <c r="B3706" s="286">
        <v>2024</v>
      </c>
      <c r="C3706" s="286" t="s">
        <v>88</v>
      </c>
      <c r="D3706" s="286" t="s">
        <v>969</v>
      </c>
      <c r="E3706" s="286" t="s">
        <v>981</v>
      </c>
      <c r="F3706" s="113" t="s">
        <v>906</v>
      </c>
    </row>
    <row r="3707" spans="1:6" ht="14.25" customHeight="1">
      <c r="A3707" s="286" t="s">
        <v>832</v>
      </c>
      <c r="B3707" s="286">
        <v>2024</v>
      </c>
      <c r="C3707" s="286" t="s">
        <v>88</v>
      </c>
      <c r="D3707" s="286" t="s">
        <v>969</v>
      </c>
      <c r="E3707" s="286" t="s">
        <v>981</v>
      </c>
      <c r="F3707" s="113" t="s">
        <v>906</v>
      </c>
    </row>
    <row r="3708" spans="1:6" ht="14.25" customHeight="1">
      <c r="A3708" s="286" t="s">
        <v>832</v>
      </c>
      <c r="B3708" s="286">
        <v>2024</v>
      </c>
      <c r="C3708" s="286" t="s">
        <v>88</v>
      </c>
      <c r="D3708" s="286" t="s">
        <v>969</v>
      </c>
      <c r="E3708" s="286" t="s">
        <v>939</v>
      </c>
      <c r="F3708" s="113" t="s">
        <v>909</v>
      </c>
    </row>
    <row r="3709" spans="1:6" ht="14.25" customHeight="1">
      <c r="A3709" s="286" t="s">
        <v>832</v>
      </c>
      <c r="B3709" s="286">
        <v>2024</v>
      </c>
      <c r="C3709" s="286" t="s">
        <v>88</v>
      </c>
      <c r="D3709" s="286" t="s">
        <v>969</v>
      </c>
      <c r="E3709" s="286" t="s">
        <v>942</v>
      </c>
      <c r="F3709" s="113" t="s">
        <v>918</v>
      </c>
    </row>
    <row r="3710" spans="1:6" ht="14.25" customHeight="1">
      <c r="A3710" s="286" t="s">
        <v>832</v>
      </c>
      <c r="B3710" s="286">
        <v>2024</v>
      </c>
      <c r="C3710" s="286" t="s">
        <v>88</v>
      </c>
      <c r="D3710" s="286" t="s">
        <v>969</v>
      </c>
      <c r="E3710" s="286" t="s">
        <v>955</v>
      </c>
      <c r="F3710" s="113" t="s">
        <v>922</v>
      </c>
    </row>
    <row r="3711" spans="1:6" ht="14.25" customHeight="1">
      <c r="A3711" s="286" t="s">
        <v>832</v>
      </c>
      <c r="B3711" s="286">
        <v>2024</v>
      </c>
      <c r="C3711" s="286" t="s">
        <v>88</v>
      </c>
      <c r="D3711" s="286" t="s">
        <v>969</v>
      </c>
      <c r="E3711" s="286" t="s">
        <v>990</v>
      </c>
      <c r="F3711" s="113" t="s">
        <v>935</v>
      </c>
    </row>
    <row r="3712" spans="1:6" ht="14.25" customHeight="1">
      <c r="A3712" s="286" t="s">
        <v>832</v>
      </c>
      <c r="B3712" s="286">
        <v>2024</v>
      </c>
      <c r="C3712" s="286" t="s">
        <v>88</v>
      </c>
      <c r="D3712" s="286" t="s">
        <v>956</v>
      </c>
      <c r="E3712" s="286" t="s">
        <v>1040</v>
      </c>
      <c r="F3712" s="113" t="s">
        <v>906</v>
      </c>
    </row>
    <row r="3713" spans="1:6" ht="14.25" customHeight="1">
      <c r="A3713" s="286" t="s">
        <v>832</v>
      </c>
      <c r="B3713" s="286">
        <v>2024</v>
      </c>
      <c r="C3713" s="286" t="s">
        <v>88</v>
      </c>
      <c r="D3713" s="286" t="s">
        <v>956</v>
      </c>
      <c r="E3713" s="286" t="s">
        <v>986</v>
      </c>
      <c r="F3713" s="113" t="s">
        <v>906</v>
      </c>
    </row>
    <row r="3714" spans="1:6" ht="14.25" customHeight="1">
      <c r="A3714" s="286" t="s">
        <v>832</v>
      </c>
      <c r="B3714" s="286">
        <v>2024</v>
      </c>
      <c r="C3714" s="286" t="s">
        <v>88</v>
      </c>
      <c r="D3714" s="286" t="s">
        <v>956</v>
      </c>
      <c r="E3714" s="286" t="s">
        <v>952</v>
      </c>
      <c r="F3714" s="113" t="s">
        <v>906</v>
      </c>
    </row>
    <row r="3715" spans="1:6" ht="14.25" customHeight="1">
      <c r="A3715" s="286" t="s">
        <v>832</v>
      </c>
      <c r="B3715" s="286">
        <v>2024</v>
      </c>
      <c r="C3715" s="286" t="s">
        <v>88</v>
      </c>
      <c r="D3715" s="286" t="s">
        <v>956</v>
      </c>
      <c r="E3715" s="286" t="s">
        <v>1170</v>
      </c>
      <c r="F3715" s="113" t="s">
        <v>909</v>
      </c>
    </row>
    <row r="3716" spans="1:6" ht="14.25" customHeight="1">
      <c r="A3716" s="286" t="s">
        <v>832</v>
      </c>
      <c r="B3716" s="286">
        <v>2024</v>
      </c>
      <c r="C3716" s="286" t="s">
        <v>88</v>
      </c>
      <c r="D3716" s="286" t="s">
        <v>956</v>
      </c>
      <c r="E3716" s="286" t="s">
        <v>1292</v>
      </c>
      <c r="F3716" s="113" t="s">
        <v>911</v>
      </c>
    </row>
    <row r="3717" spans="1:6" ht="14.25" customHeight="1">
      <c r="A3717" s="286" t="s">
        <v>832</v>
      </c>
      <c r="B3717" s="286">
        <v>2024</v>
      </c>
      <c r="C3717" s="286" t="s">
        <v>88</v>
      </c>
      <c r="D3717" s="286" t="s">
        <v>956</v>
      </c>
      <c r="E3717" s="286" t="s">
        <v>1042</v>
      </c>
      <c r="F3717" s="113" t="s">
        <v>913</v>
      </c>
    </row>
    <row r="3718" spans="1:6" ht="14.25" customHeight="1">
      <c r="A3718" s="286" t="s">
        <v>832</v>
      </c>
      <c r="B3718" s="286">
        <v>2024</v>
      </c>
      <c r="C3718" s="286" t="s">
        <v>88</v>
      </c>
      <c r="D3718" s="286" t="s">
        <v>956</v>
      </c>
      <c r="E3718" s="286" t="s">
        <v>1046</v>
      </c>
      <c r="F3718" s="113" t="s">
        <v>918</v>
      </c>
    </row>
    <row r="3719" spans="1:6" ht="14.25" customHeight="1">
      <c r="A3719" s="286" t="s">
        <v>832</v>
      </c>
      <c r="B3719" s="286">
        <v>2024</v>
      </c>
      <c r="C3719" s="286" t="s">
        <v>88</v>
      </c>
      <c r="D3719" s="286" t="s">
        <v>956</v>
      </c>
      <c r="E3719" s="286" t="s">
        <v>990</v>
      </c>
      <c r="F3719" s="113" t="s">
        <v>935</v>
      </c>
    </row>
    <row r="3720" spans="1:6" ht="14.25" customHeight="1">
      <c r="A3720" s="286" t="s">
        <v>832</v>
      </c>
      <c r="B3720" s="286">
        <v>2024</v>
      </c>
      <c r="C3720" s="286" t="s">
        <v>88</v>
      </c>
      <c r="D3720" s="286" t="s">
        <v>956</v>
      </c>
      <c r="E3720" s="286" t="s">
        <v>1030</v>
      </c>
      <c r="F3720" s="113" t="s">
        <v>935</v>
      </c>
    </row>
    <row r="3721" spans="1:6" ht="14.25" customHeight="1">
      <c r="A3721" s="286" t="s">
        <v>832</v>
      </c>
      <c r="B3721" s="286">
        <v>2024</v>
      </c>
      <c r="C3721" s="286" t="s">
        <v>859</v>
      </c>
      <c r="D3721" s="286" t="s">
        <v>999</v>
      </c>
      <c r="E3721" s="286" t="s">
        <v>1014</v>
      </c>
      <c r="F3721" s="113" t="s">
        <v>906</v>
      </c>
    </row>
    <row r="3722" spans="1:6" ht="14.25" customHeight="1">
      <c r="A3722" s="286" t="s">
        <v>832</v>
      </c>
      <c r="B3722" s="286">
        <v>2024</v>
      </c>
      <c r="C3722" s="286" t="s">
        <v>859</v>
      </c>
      <c r="D3722" s="286" t="s">
        <v>999</v>
      </c>
      <c r="E3722" s="286" t="s">
        <v>1014</v>
      </c>
      <c r="F3722" s="113" t="s">
        <v>906</v>
      </c>
    </row>
    <row r="3723" spans="1:6" ht="14.25" customHeight="1">
      <c r="A3723" s="286" t="s">
        <v>832</v>
      </c>
      <c r="B3723" s="286">
        <v>2024</v>
      </c>
      <c r="C3723" s="286" t="s">
        <v>859</v>
      </c>
      <c r="D3723" s="286" t="s">
        <v>999</v>
      </c>
      <c r="E3723" s="286" t="s">
        <v>1124</v>
      </c>
      <c r="F3723" s="113" t="s">
        <v>483</v>
      </c>
    </row>
    <row r="3724" spans="1:6" ht="14.25" customHeight="1">
      <c r="A3724" s="286" t="s">
        <v>832</v>
      </c>
      <c r="B3724" s="286">
        <v>2024</v>
      </c>
      <c r="C3724" s="286" t="s">
        <v>859</v>
      </c>
      <c r="D3724" s="286" t="s">
        <v>1000</v>
      </c>
      <c r="E3724" s="286" t="s">
        <v>1040</v>
      </c>
      <c r="F3724" s="113" t="s">
        <v>906</v>
      </c>
    </row>
    <row r="3725" spans="1:6" ht="14.25" customHeight="1">
      <c r="A3725" s="286" t="s">
        <v>832</v>
      </c>
      <c r="B3725" s="286">
        <v>2024</v>
      </c>
      <c r="C3725" s="286" t="s">
        <v>859</v>
      </c>
      <c r="D3725" s="286" t="s">
        <v>1000</v>
      </c>
      <c r="E3725" s="286" t="s">
        <v>1036</v>
      </c>
      <c r="F3725" s="113" t="s">
        <v>906</v>
      </c>
    </row>
    <row r="3726" spans="1:6" ht="14.25" customHeight="1">
      <c r="A3726" s="286" t="s">
        <v>832</v>
      </c>
      <c r="B3726" s="286">
        <v>2024</v>
      </c>
      <c r="C3726" s="286" t="s">
        <v>859</v>
      </c>
      <c r="D3726" s="286" t="s">
        <v>1000</v>
      </c>
      <c r="E3726" s="286" t="s">
        <v>1020</v>
      </c>
      <c r="F3726" s="113" t="s">
        <v>909</v>
      </c>
    </row>
    <row r="3727" spans="1:6" ht="14.25" customHeight="1">
      <c r="A3727" s="286" t="s">
        <v>832</v>
      </c>
      <c r="B3727" s="286">
        <v>2024</v>
      </c>
      <c r="C3727" s="286" t="s">
        <v>859</v>
      </c>
      <c r="D3727" s="286" t="s">
        <v>1000</v>
      </c>
      <c r="E3727" s="286" t="s">
        <v>1170</v>
      </c>
      <c r="F3727" s="113" t="s">
        <v>909</v>
      </c>
    </row>
    <row r="3728" spans="1:6" ht="14.25" customHeight="1">
      <c r="A3728" s="286" t="s">
        <v>832</v>
      </c>
      <c r="B3728" s="286">
        <v>2024</v>
      </c>
      <c r="C3728" s="286" t="s">
        <v>859</v>
      </c>
      <c r="D3728" s="286" t="s">
        <v>1000</v>
      </c>
      <c r="E3728" s="286" t="s">
        <v>1124</v>
      </c>
      <c r="F3728" s="113" t="s">
        <v>483</v>
      </c>
    </row>
    <row r="3729" spans="1:6" ht="14.25" customHeight="1">
      <c r="A3729" s="286" t="s">
        <v>832</v>
      </c>
      <c r="B3729" s="286">
        <v>2024</v>
      </c>
      <c r="C3729" s="286" t="s">
        <v>859</v>
      </c>
      <c r="D3729" s="286" t="s">
        <v>1000</v>
      </c>
      <c r="E3729" s="286" t="s">
        <v>1103</v>
      </c>
      <c r="F3729" s="113" t="s">
        <v>911</v>
      </c>
    </row>
    <row r="3730" spans="1:6" ht="14.25" customHeight="1">
      <c r="A3730" s="286" t="s">
        <v>832</v>
      </c>
      <c r="B3730" s="286">
        <v>2024</v>
      </c>
      <c r="C3730" s="286" t="s">
        <v>859</v>
      </c>
      <c r="D3730" s="286" t="s">
        <v>998</v>
      </c>
      <c r="E3730" s="286" t="s">
        <v>1096</v>
      </c>
      <c r="F3730" s="113" t="s">
        <v>909</v>
      </c>
    </row>
    <row r="3731" spans="1:6" ht="14.25" customHeight="1">
      <c r="A3731" s="286" t="s">
        <v>832</v>
      </c>
      <c r="B3731" s="286">
        <v>2024</v>
      </c>
      <c r="C3731" s="286" t="s">
        <v>859</v>
      </c>
      <c r="D3731" s="286" t="s">
        <v>998</v>
      </c>
      <c r="E3731" s="286" t="s">
        <v>1159</v>
      </c>
      <c r="F3731" s="113" t="s">
        <v>483</v>
      </c>
    </row>
    <row r="3732" spans="1:6" ht="14.25" customHeight="1">
      <c r="A3732" s="286" t="s">
        <v>832</v>
      </c>
      <c r="B3732" s="286">
        <v>2024</v>
      </c>
      <c r="C3732" s="286" t="s">
        <v>859</v>
      </c>
      <c r="D3732" s="286" t="s">
        <v>998</v>
      </c>
      <c r="E3732" s="286" t="s">
        <v>1128</v>
      </c>
      <c r="F3732" s="113" t="s">
        <v>483</v>
      </c>
    </row>
    <row r="3733" spans="1:6" ht="14.25" customHeight="1">
      <c r="A3733" s="286" t="s">
        <v>832</v>
      </c>
      <c r="B3733" s="286">
        <v>2024</v>
      </c>
      <c r="C3733" s="286" t="s">
        <v>859</v>
      </c>
      <c r="D3733" s="286" t="s">
        <v>998</v>
      </c>
      <c r="E3733" s="286" t="s">
        <v>1181</v>
      </c>
      <c r="F3733" s="113" t="s">
        <v>483</v>
      </c>
    </row>
    <row r="3734" spans="1:6" ht="14.25" customHeight="1">
      <c r="A3734" s="286" t="s">
        <v>832</v>
      </c>
      <c r="B3734" s="286">
        <v>2024</v>
      </c>
      <c r="C3734" s="286" t="s">
        <v>859</v>
      </c>
      <c r="D3734" s="286" t="s">
        <v>998</v>
      </c>
      <c r="E3734" s="286" t="s">
        <v>1181</v>
      </c>
      <c r="F3734" s="113" t="s">
        <v>483</v>
      </c>
    </row>
    <row r="3735" spans="1:6" ht="14.25" customHeight="1">
      <c r="A3735" s="286" t="s">
        <v>832</v>
      </c>
      <c r="B3735" s="286">
        <v>2024</v>
      </c>
      <c r="C3735" s="286" t="s">
        <v>859</v>
      </c>
      <c r="D3735" s="286" t="s">
        <v>998</v>
      </c>
      <c r="E3735" s="286" t="s">
        <v>1139</v>
      </c>
      <c r="F3735" s="113" t="s">
        <v>483</v>
      </c>
    </row>
    <row r="3736" spans="1:6" ht="14.25" customHeight="1">
      <c r="A3736" s="286" t="s">
        <v>832</v>
      </c>
      <c r="B3736" s="286">
        <v>2024</v>
      </c>
      <c r="C3736" s="286" t="s">
        <v>859</v>
      </c>
      <c r="D3736" s="286" t="s">
        <v>998</v>
      </c>
      <c r="E3736" s="286" t="s">
        <v>1175</v>
      </c>
      <c r="F3736" s="113" t="s">
        <v>483</v>
      </c>
    </row>
    <row r="3737" spans="1:6" ht="14.25" customHeight="1">
      <c r="A3737" s="286" t="s">
        <v>832</v>
      </c>
      <c r="B3737" s="286">
        <v>2024</v>
      </c>
      <c r="C3737" s="286" t="s">
        <v>859</v>
      </c>
      <c r="D3737" s="286" t="s">
        <v>998</v>
      </c>
      <c r="E3737" s="286" t="s">
        <v>942</v>
      </c>
      <c r="F3737" s="113" t="s">
        <v>918</v>
      </c>
    </row>
    <row r="3738" spans="1:6" ht="14.25" customHeight="1">
      <c r="A3738" s="286" t="s">
        <v>832</v>
      </c>
      <c r="B3738" s="286">
        <v>2024</v>
      </c>
      <c r="C3738" s="286" t="s">
        <v>872</v>
      </c>
      <c r="D3738" s="286" t="s">
        <v>1015</v>
      </c>
      <c r="E3738" s="286" t="s">
        <v>1091</v>
      </c>
      <c r="F3738" s="113" t="s">
        <v>918</v>
      </c>
    </row>
    <row r="3739" spans="1:6" ht="14.25" customHeight="1">
      <c r="A3739" s="286" t="s">
        <v>832</v>
      </c>
      <c r="B3739" s="286">
        <v>2024</v>
      </c>
      <c r="C3739" s="286" t="s">
        <v>872</v>
      </c>
      <c r="D3739" s="286" t="s">
        <v>1018</v>
      </c>
      <c r="E3739" s="286" t="s">
        <v>953</v>
      </c>
      <c r="F3739" s="113" t="s">
        <v>906</v>
      </c>
    </row>
    <row r="3740" spans="1:6" ht="14.25" customHeight="1">
      <c r="A3740" s="286" t="s">
        <v>832</v>
      </c>
      <c r="B3740" s="286">
        <v>2024</v>
      </c>
      <c r="C3740" s="286" t="s">
        <v>872</v>
      </c>
      <c r="D3740" s="286" t="s">
        <v>1018</v>
      </c>
      <c r="E3740" s="286" t="s">
        <v>990</v>
      </c>
      <c r="F3740" s="113" t="s">
        <v>935</v>
      </c>
    </row>
    <row r="3741" spans="1:6" ht="14.25" customHeight="1">
      <c r="A3741" s="286" t="s">
        <v>832</v>
      </c>
      <c r="B3741" s="286">
        <v>2024</v>
      </c>
      <c r="C3741" s="286" t="s">
        <v>872</v>
      </c>
      <c r="D3741" s="286" t="s">
        <v>1012</v>
      </c>
      <c r="E3741" s="286" t="s">
        <v>1030</v>
      </c>
      <c r="F3741" s="113" t="s">
        <v>935</v>
      </c>
    </row>
    <row r="3742" spans="1:6" ht="14.25" customHeight="1">
      <c r="A3742" s="286" t="s">
        <v>832</v>
      </c>
      <c r="B3742" s="286">
        <v>2024</v>
      </c>
      <c r="C3742" s="286" t="s">
        <v>1024</v>
      </c>
      <c r="D3742" s="286" t="s">
        <v>1025</v>
      </c>
      <c r="E3742" s="286" t="s">
        <v>954</v>
      </c>
      <c r="F3742" s="113" t="s">
        <v>906</v>
      </c>
    </row>
    <row r="3743" spans="1:6" ht="14.25" customHeight="1">
      <c r="A3743" s="286" t="s">
        <v>832</v>
      </c>
      <c r="B3743" s="286">
        <v>2024</v>
      </c>
      <c r="C3743" s="286" t="s">
        <v>1024</v>
      </c>
      <c r="D3743" s="286" t="s">
        <v>1025</v>
      </c>
      <c r="E3743" s="286" t="s">
        <v>1028</v>
      </c>
      <c r="F3743" s="113" t="s">
        <v>906</v>
      </c>
    </row>
    <row r="3744" spans="1:6" ht="14.25" customHeight="1">
      <c r="A3744" s="286" t="s">
        <v>832</v>
      </c>
      <c r="B3744" s="286">
        <v>2024</v>
      </c>
      <c r="C3744" s="286" t="s">
        <v>1024</v>
      </c>
      <c r="D3744" s="286" t="s">
        <v>1025</v>
      </c>
      <c r="E3744" s="286" t="s">
        <v>1041</v>
      </c>
      <c r="F3744" s="113" t="s">
        <v>906</v>
      </c>
    </row>
    <row r="3745" spans="1:6" ht="14.25" customHeight="1">
      <c r="A3745" s="286" t="s">
        <v>832</v>
      </c>
      <c r="B3745" s="286">
        <v>2024</v>
      </c>
      <c r="C3745" s="286" t="s">
        <v>1024</v>
      </c>
      <c r="D3745" s="286" t="s">
        <v>1027</v>
      </c>
      <c r="E3745" s="286" t="s">
        <v>954</v>
      </c>
      <c r="F3745" s="113" t="s">
        <v>906</v>
      </c>
    </row>
    <row r="3746" spans="1:6" ht="14.25" customHeight="1">
      <c r="A3746" s="286" t="s">
        <v>832</v>
      </c>
      <c r="B3746" s="286">
        <v>2024</v>
      </c>
      <c r="C3746" s="286" t="s">
        <v>1024</v>
      </c>
      <c r="D3746" s="286" t="s">
        <v>1027</v>
      </c>
      <c r="E3746" s="286" t="s">
        <v>1040</v>
      </c>
      <c r="F3746" s="113" t="s">
        <v>906</v>
      </c>
    </row>
    <row r="3747" spans="1:6" ht="14.25" customHeight="1">
      <c r="A3747" s="286" t="s">
        <v>832</v>
      </c>
      <c r="B3747" s="286">
        <v>2024</v>
      </c>
      <c r="C3747" s="286" t="s">
        <v>1024</v>
      </c>
      <c r="D3747" s="286" t="s">
        <v>1027</v>
      </c>
      <c r="E3747" s="286" t="s">
        <v>1040</v>
      </c>
      <c r="F3747" s="113" t="s">
        <v>906</v>
      </c>
    </row>
    <row r="3748" spans="1:6" ht="14.25" customHeight="1">
      <c r="A3748" s="286" t="s">
        <v>832</v>
      </c>
      <c r="B3748" s="286">
        <v>2024</v>
      </c>
      <c r="C3748" s="286" t="s">
        <v>1024</v>
      </c>
      <c r="D3748" s="286" t="s">
        <v>1026</v>
      </c>
      <c r="E3748" s="286" t="s">
        <v>1040</v>
      </c>
      <c r="F3748" s="113" t="s">
        <v>906</v>
      </c>
    </row>
    <row r="3749" spans="1:6" ht="14.25" customHeight="1">
      <c r="A3749" s="286" t="s">
        <v>832</v>
      </c>
      <c r="B3749" s="286">
        <v>2024</v>
      </c>
      <c r="C3749" s="286" t="s">
        <v>1024</v>
      </c>
      <c r="D3749" s="286" t="s">
        <v>1026</v>
      </c>
      <c r="E3749" s="286" t="s">
        <v>981</v>
      </c>
      <c r="F3749" s="113" t="s">
        <v>906</v>
      </c>
    </row>
    <row r="3750" spans="1:6" ht="14.25" customHeight="1">
      <c r="A3750" s="286" t="s">
        <v>832</v>
      </c>
      <c r="B3750" s="286">
        <v>2024</v>
      </c>
      <c r="C3750" s="286" t="s">
        <v>1024</v>
      </c>
      <c r="D3750" s="286" t="s">
        <v>1026</v>
      </c>
      <c r="E3750" s="286" t="s">
        <v>981</v>
      </c>
      <c r="F3750" s="113" t="s">
        <v>906</v>
      </c>
    </row>
    <row r="3751" spans="1:6" ht="14.25" customHeight="1">
      <c r="A3751" s="286" t="s">
        <v>832</v>
      </c>
      <c r="B3751" s="286">
        <v>2024</v>
      </c>
      <c r="C3751" s="286" t="s">
        <v>1024</v>
      </c>
      <c r="D3751" s="286" t="s">
        <v>1026</v>
      </c>
      <c r="E3751" s="286" t="s">
        <v>967</v>
      </c>
      <c r="F3751" s="113" t="s">
        <v>915</v>
      </c>
    </row>
    <row r="3752" spans="1:6" ht="14.25" customHeight="1">
      <c r="A3752" s="286" t="s">
        <v>832</v>
      </c>
      <c r="B3752" s="286">
        <v>2024</v>
      </c>
      <c r="C3752" s="286" t="s">
        <v>1024</v>
      </c>
      <c r="D3752" s="286" t="s">
        <v>1026</v>
      </c>
      <c r="E3752" s="286" t="s">
        <v>1057</v>
      </c>
      <c r="F3752" s="113" t="s">
        <v>915</v>
      </c>
    </row>
    <row r="3753" spans="1:6" ht="14.25" customHeight="1">
      <c r="A3753" s="286" t="s">
        <v>832</v>
      </c>
      <c r="B3753" s="286">
        <v>2024</v>
      </c>
      <c r="C3753" s="286" t="s">
        <v>1024</v>
      </c>
      <c r="D3753" s="286" t="s">
        <v>1026</v>
      </c>
      <c r="E3753" s="286" t="s">
        <v>980</v>
      </c>
      <c r="F3753" s="113" t="s">
        <v>918</v>
      </c>
    </row>
    <row r="3754" spans="1:6" ht="14.25" customHeight="1">
      <c r="A3754" s="286" t="s">
        <v>832</v>
      </c>
      <c r="B3754" s="286">
        <v>2024</v>
      </c>
      <c r="C3754" s="286" t="s">
        <v>1024</v>
      </c>
      <c r="D3754" s="286" t="s">
        <v>1026</v>
      </c>
      <c r="E3754" s="286" t="s">
        <v>1065</v>
      </c>
      <c r="F3754" s="113" t="s">
        <v>924</v>
      </c>
    </row>
    <row r="3755" spans="1:6" ht="14.25" customHeight="1">
      <c r="A3755" s="286" t="s">
        <v>832</v>
      </c>
      <c r="B3755" s="286">
        <v>2024</v>
      </c>
      <c r="C3755" s="286" t="s">
        <v>1024</v>
      </c>
      <c r="D3755" s="286" t="s">
        <v>1026</v>
      </c>
      <c r="E3755" s="286" t="s">
        <v>1100</v>
      </c>
      <c r="F3755" s="113" t="s">
        <v>935</v>
      </c>
    </row>
    <row r="3756" spans="1:6" ht="14.25" customHeight="1">
      <c r="A3756" s="286" t="s">
        <v>833</v>
      </c>
      <c r="B3756" s="286">
        <v>2024</v>
      </c>
      <c r="C3756" s="286" t="s">
        <v>821</v>
      </c>
      <c r="D3756" s="286" t="s">
        <v>132</v>
      </c>
      <c r="E3756" s="286" t="s">
        <v>944</v>
      </c>
      <c r="F3756" s="113" t="s">
        <v>906</v>
      </c>
    </row>
    <row r="3757" spans="1:6" ht="14.25" customHeight="1">
      <c r="A3757" s="286" t="s">
        <v>833</v>
      </c>
      <c r="B3757" s="286">
        <v>2024</v>
      </c>
      <c r="C3757" s="286" t="s">
        <v>821</v>
      </c>
      <c r="D3757" s="286" t="s">
        <v>132</v>
      </c>
      <c r="E3757" s="286" t="s">
        <v>944</v>
      </c>
      <c r="F3757" s="113" t="s">
        <v>906</v>
      </c>
    </row>
    <row r="3758" spans="1:6" ht="14.25" customHeight="1">
      <c r="A3758" s="286" t="s">
        <v>833</v>
      </c>
      <c r="B3758" s="286">
        <v>2024</v>
      </c>
      <c r="C3758" s="286" t="s">
        <v>821</v>
      </c>
      <c r="D3758" s="286" t="s">
        <v>132</v>
      </c>
      <c r="E3758" s="286" t="s">
        <v>1036</v>
      </c>
      <c r="F3758" s="113" t="s">
        <v>906</v>
      </c>
    </row>
    <row r="3759" spans="1:6" ht="14.25" customHeight="1">
      <c r="A3759" s="286" t="s">
        <v>833</v>
      </c>
      <c r="B3759" s="286">
        <v>2024</v>
      </c>
      <c r="C3759" s="286" t="s">
        <v>821</v>
      </c>
      <c r="D3759" s="286" t="s">
        <v>132</v>
      </c>
      <c r="E3759" s="286" t="s">
        <v>1036</v>
      </c>
      <c r="F3759" s="113" t="s">
        <v>906</v>
      </c>
    </row>
    <row r="3760" spans="1:6" ht="14.25" customHeight="1">
      <c r="A3760" s="286" t="s">
        <v>833</v>
      </c>
      <c r="B3760" s="286">
        <v>2024</v>
      </c>
      <c r="C3760" s="286" t="s">
        <v>821</v>
      </c>
      <c r="D3760" s="286" t="s">
        <v>132</v>
      </c>
      <c r="E3760" s="286" t="s">
        <v>1028</v>
      </c>
      <c r="F3760" s="113" t="s">
        <v>906</v>
      </c>
    </row>
    <row r="3761" spans="1:6" ht="14.25" customHeight="1">
      <c r="A3761" s="286" t="s">
        <v>833</v>
      </c>
      <c r="B3761" s="286">
        <v>2024</v>
      </c>
      <c r="C3761" s="286" t="s">
        <v>821</v>
      </c>
      <c r="D3761" s="286" t="s">
        <v>132</v>
      </c>
      <c r="E3761" s="286" t="s">
        <v>1041</v>
      </c>
      <c r="F3761" s="113" t="s">
        <v>906</v>
      </c>
    </row>
    <row r="3762" spans="1:6" ht="14.25" customHeight="1">
      <c r="A3762" s="286" t="s">
        <v>833</v>
      </c>
      <c r="B3762" s="286">
        <v>2024</v>
      </c>
      <c r="C3762" s="286" t="s">
        <v>821</v>
      </c>
      <c r="D3762" s="286" t="s">
        <v>132</v>
      </c>
      <c r="E3762" s="286" t="s">
        <v>1170</v>
      </c>
      <c r="F3762" s="113" t="s">
        <v>909</v>
      </c>
    </row>
    <row r="3763" spans="1:6" ht="14.25" customHeight="1">
      <c r="A3763" s="286" t="s">
        <v>833</v>
      </c>
      <c r="B3763" s="286">
        <v>2024</v>
      </c>
      <c r="C3763" s="286" t="s">
        <v>821</v>
      </c>
      <c r="D3763" s="286" t="s">
        <v>132</v>
      </c>
      <c r="E3763" s="286" t="s">
        <v>2</v>
      </c>
      <c r="F3763" s="113" t="s">
        <v>483</v>
      </c>
    </row>
    <row r="3764" spans="1:6" ht="14.25" customHeight="1">
      <c r="A3764" s="286" t="s">
        <v>833</v>
      </c>
      <c r="B3764" s="286">
        <v>2024</v>
      </c>
      <c r="C3764" s="286" t="s">
        <v>821</v>
      </c>
      <c r="D3764" s="286" t="s">
        <v>132</v>
      </c>
      <c r="E3764" s="286" t="s">
        <v>1057</v>
      </c>
      <c r="F3764" s="113" t="s">
        <v>911</v>
      </c>
    </row>
    <row r="3765" spans="1:6" ht="14.25" customHeight="1">
      <c r="A3765" s="286" t="s">
        <v>833</v>
      </c>
      <c r="B3765" s="286">
        <v>2024</v>
      </c>
      <c r="C3765" s="286" t="s">
        <v>821</v>
      </c>
      <c r="D3765" s="286" t="s">
        <v>132</v>
      </c>
      <c r="E3765" s="286" t="s">
        <v>994</v>
      </c>
      <c r="F3765" s="113" t="s">
        <v>911</v>
      </c>
    </row>
    <row r="3766" spans="1:6" ht="14.25" customHeight="1">
      <c r="A3766" s="286" t="s">
        <v>833</v>
      </c>
      <c r="B3766" s="286">
        <v>2024</v>
      </c>
      <c r="C3766" s="286" t="s">
        <v>821</v>
      </c>
      <c r="D3766" s="286" t="s">
        <v>132</v>
      </c>
      <c r="E3766" s="286" t="s">
        <v>1152</v>
      </c>
      <c r="F3766" s="113" t="s">
        <v>915</v>
      </c>
    </row>
    <row r="3767" spans="1:6" ht="14.25" customHeight="1">
      <c r="A3767" s="286" t="s">
        <v>833</v>
      </c>
      <c r="B3767" s="286">
        <v>2024</v>
      </c>
      <c r="C3767" s="286" t="s">
        <v>821</v>
      </c>
      <c r="D3767" s="286" t="s">
        <v>132</v>
      </c>
      <c r="E3767" s="286" t="s">
        <v>1022</v>
      </c>
      <c r="F3767" s="113" t="s">
        <v>783</v>
      </c>
    </row>
    <row r="3768" spans="1:6" ht="14.25" customHeight="1">
      <c r="A3768" s="286" t="s">
        <v>833</v>
      </c>
      <c r="B3768" s="286">
        <v>2024</v>
      </c>
      <c r="C3768" s="286" t="s">
        <v>821</v>
      </c>
      <c r="D3768" s="286" t="s">
        <v>132</v>
      </c>
      <c r="E3768" s="286" t="s">
        <v>1293</v>
      </c>
      <c r="F3768" s="113" t="s">
        <v>917</v>
      </c>
    </row>
    <row r="3769" spans="1:6" ht="14.25" customHeight="1">
      <c r="A3769" s="286" t="s">
        <v>833</v>
      </c>
      <c r="B3769" s="286">
        <v>2024</v>
      </c>
      <c r="C3769" s="286" t="s">
        <v>821</v>
      </c>
      <c r="D3769" s="286" t="s">
        <v>132</v>
      </c>
      <c r="E3769" s="286" t="s">
        <v>1294</v>
      </c>
      <c r="F3769" s="113" t="s">
        <v>1117</v>
      </c>
    </row>
    <row r="3770" spans="1:6" ht="14.25" customHeight="1">
      <c r="A3770" s="286" t="s">
        <v>833</v>
      </c>
      <c r="B3770" s="286">
        <v>2024</v>
      </c>
      <c r="C3770" s="286" t="s">
        <v>821</v>
      </c>
      <c r="D3770" s="286" t="s">
        <v>132</v>
      </c>
      <c r="E3770" s="286" t="s">
        <v>1068</v>
      </c>
      <c r="F3770" s="113" t="s">
        <v>922</v>
      </c>
    </row>
    <row r="3771" spans="1:6" ht="14.25" customHeight="1">
      <c r="A3771" s="286" t="s">
        <v>833</v>
      </c>
      <c r="B3771" s="286">
        <v>2024</v>
      </c>
      <c r="C3771" s="286" t="s">
        <v>821</v>
      </c>
      <c r="D3771" s="286" t="s">
        <v>132</v>
      </c>
      <c r="E3771" s="286" t="s">
        <v>955</v>
      </c>
      <c r="F3771" s="113" t="s">
        <v>922</v>
      </c>
    </row>
    <row r="3772" spans="1:6" ht="14.25" customHeight="1">
      <c r="A3772" s="286" t="s">
        <v>833</v>
      </c>
      <c r="B3772" s="286">
        <v>2024</v>
      </c>
      <c r="C3772" s="286" t="s">
        <v>821</v>
      </c>
      <c r="D3772" s="286" t="s">
        <v>132</v>
      </c>
      <c r="E3772" s="113" t="s">
        <v>2</v>
      </c>
      <c r="F3772" s="113" t="s">
        <v>935</v>
      </c>
    </row>
    <row r="3773" spans="1:6" ht="14.25" customHeight="1">
      <c r="A3773" s="286" t="s">
        <v>833</v>
      </c>
      <c r="B3773" s="286">
        <v>2024</v>
      </c>
      <c r="C3773" s="286" t="s">
        <v>821</v>
      </c>
      <c r="D3773" s="286" t="s">
        <v>132</v>
      </c>
      <c r="E3773" s="286" t="s">
        <v>2</v>
      </c>
      <c r="F3773" s="284" t="s">
        <v>1144</v>
      </c>
    </row>
    <row r="3774" spans="1:6" ht="14.25" customHeight="1">
      <c r="A3774" s="286" t="s">
        <v>833</v>
      </c>
      <c r="B3774" s="286">
        <v>2024</v>
      </c>
      <c r="C3774" s="286" t="s">
        <v>821</v>
      </c>
      <c r="D3774" s="286" t="s">
        <v>132</v>
      </c>
      <c r="E3774" s="286" t="s">
        <v>1295</v>
      </c>
      <c r="F3774" s="284" t="s">
        <v>1144</v>
      </c>
    </row>
    <row r="3775" spans="1:6" ht="14.25" customHeight="1">
      <c r="A3775" s="286" t="s">
        <v>833</v>
      </c>
      <c r="B3775" s="286">
        <v>2024</v>
      </c>
      <c r="C3775" s="286" t="s">
        <v>821</v>
      </c>
      <c r="D3775" s="286" t="s">
        <v>934</v>
      </c>
      <c r="E3775" s="286" t="s">
        <v>1041</v>
      </c>
      <c r="F3775" s="113" t="s">
        <v>906</v>
      </c>
    </row>
    <row r="3776" spans="1:6" ht="14.25" customHeight="1">
      <c r="A3776" s="286" t="s">
        <v>833</v>
      </c>
      <c r="B3776" s="286">
        <v>2024</v>
      </c>
      <c r="C3776" s="286" t="s">
        <v>821</v>
      </c>
      <c r="D3776" s="286" t="s">
        <v>934</v>
      </c>
      <c r="E3776" s="286" t="s">
        <v>1041</v>
      </c>
      <c r="F3776" s="113" t="s">
        <v>906</v>
      </c>
    </row>
    <row r="3777" spans="1:6" ht="14.25" customHeight="1">
      <c r="A3777" s="286" t="s">
        <v>833</v>
      </c>
      <c r="B3777" s="286">
        <v>2024</v>
      </c>
      <c r="C3777" s="286" t="s">
        <v>821</v>
      </c>
      <c r="D3777" s="286" t="s">
        <v>934</v>
      </c>
      <c r="E3777" s="286" t="s">
        <v>1041</v>
      </c>
      <c r="F3777" s="113" t="s">
        <v>906</v>
      </c>
    </row>
    <row r="3778" spans="1:6" ht="14.25" customHeight="1">
      <c r="A3778" s="286" t="s">
        <v>833</v>
      </c>
      <c r="B3778" s="286">
        <v>2024</v>
      </c>
      <c r="C3778" s="286" t="s">
        <v>821</v>
      </c>
      <c r="D3778" s="286" t="s">
        <v>934</v>
      </c>
      <c r="E3778" s="286" t="s">
        <v>2</v>
      </c>
      <c r="F3778" s="113" t="s">
        <v>911</v>
      </c>
    </row>
    <row r="3779" spans="1:6" ht="14.25" customHeight="1">
      <c r="A3779" s="286" t="s">
        <v>833</v>
      </c>
      <c r="B3779" s="286">
        <v>2024</v>
      </c>
      <c r="C3779" s="286" t="s">
        <v>821</v>
      </c>
      <c r="D3779" s="286" t="s">
        <v>934</v>
      </c>
      <c r="E3779" s="286" t="s">
        <v>1008</v>
      </c>
      <c r="F3779" s="113" t="s">
        <v>913</v>
      </c>
    </row>
    <row r="3780" spans="1:6" ht="14.25" customHeight="1">
      <c r="A3780" s="286" t="s">
        <v>833</v>
      </c>
      <c r="B3780" s="286">
        <v>2024</v>
      </c>
      <c r="C3780" s="286" t="s">
        <v>821</v>
      </c>
      <c r="D3780" s="286" t="s">
        <v>934</v>
      </c>
      <c r="E3780" s="286" t="s">
        <v>1152</v>
      </c>
      <c r="F3780" s="113" t="s">
        <v>663</v>
      </c>
    </row>
    <row r="3781" spans="1:6" ht="14.25" customHeight="1">
      <c r="A3781" s="286" t="s">
        <v>833</v>
      </c>
      <c r="B3781" s="286">
        <v>2024</v>
      </c>
      <c r="C3781" s="286" t="s">
        <v>821</v>
      </c>
      <c r="D3781" s="286" t="s">
        <v>934</v>
      </c>
      <c r="E3781" s="113" t="s">
        <v>2</v>
      </c>
      <c r="F3781" s="113" t="s">
        <v>918</v>
      </c>
    </row>
    <row r="3782" spans="1:6" ht="14.25" customHeight="1">
      <c r="A3782" s="286" t="s">
        <v>833</v>
      </c>
      <c r="B3782" s="286">
        <v>2024</v>
      </c>
      <c r="C3782" s="286" t="s">
        <v>821</v>
      </c>
      <c r="D3782" s="286" t="s">
        <v>934</v>
      </c>
      <c r="E3782" s="113" t="s">
        <v>2</v>
      </c>
      <c r="F3782" s="113" t="s">
        <v>918</v>
      </c>
    </row>
    <row r="3783" spans="1:6" ht="14.25" customHeight="1">
      <c r="A3783" s="286" t="s">
        <v>833</v>
      </c>
      <c r="B3783" s="286">
        <v>2024</v>
      </c>
      <c r="C3783" s="286" t="s">
        <v>821</v>
      </c>
      <c r="D3783" s="286" t="s">
        <v>934</v>
      </c>
      <c r="E3783" s="286" t="s">
        <v>951</v>
      </c>
      <c r="F3783" s="113" t="s">
        <v>917</v>
      </c>
    </row>
    <row r="3784" spans="1:6" ht="14.25" customHeight="1">
      <c r="A3784" s="286" t="s">
        <v>833</v>
      </c>
      <c r="B3784" s="286">
        <v>2024</v>
      </c>
      <c r="C3784" s="286" t="s">
        <v>821</v>
      </c>
      <c r="D3784" s="286" t="s">
        <v>934</v>
      </c>
      <c r="E3784" s="286" t="s">
        <v>1009</v>
      </c>
      <c r="F3784" s="113" t="s">
        <v>917</v>
      </c>
    </row>
    <row r="3785" spans="1:6" ht="14.25" customHeight="1">
      <c r="A3785" s="286" t="s">
        <v>833</v>
      </c>
      <c r="B3785" s="286">
        <v>2024</v>
      </c>
      <c r="C3785" s="286" t="s">
        <v>821</v>
      </c>
      <c r="D3785" s="286" t="s">
        <v>934</v>
      </c>
      <c r="E3785" s="286" t="s">
        <v>1009</v>
      </c>
      <c r="F3785" s="113" t="s">
        <v>917</v>
      </c>
    </row>
    <row r="3786" spans="1:6" ht="14.25" customHeight="1">
      <c r="A3786" s="286" t="s">
        <v>833</v>
      </c>
      <c r="B3786" s="286">
        <v>2024</v>
      </c>
      <c r="C3786" s="286" t="s">
        <v>821</v>
      </c>
      <c r="D3786" s="286" t="s">
        <v>934</v>
      </c>
      <c r="E3786" s="286" t="s">
        <v>1058</v>
      </c>
      <c r="F3786" s="113" t="s">
        <v>924</v>
      </c>
    </row>
    <row r="3787" spans="1:6" ht="14.25" customHeight="1">
      <c r="A3787" s="286" t="s">
        <v>833</v>
      </c>
      <c r="B3787" s="286">
        <v>2024</v>
      </c>
      <c r="C3787" s="286" t="s">
        <v>821</v>
      </c>
      <c r="D3787" s="286" t="s">
        <v>934</v>
      </c>
      <c r="E3787" s="113" t="s">
        <v>2</v>
      </c>
      <c r="F3787" s="113" t="s">
        <v>935</v>
      </c>
    </row>
    <row r="3788" spans="1:6" ht="14.25" customHeight="1">
      <c r="A3788" s="286" t="s">
        <v>833</v>
      </c>
      <c r="B3788" s="286">
        <v>2024</v>
      </c>
      <c r="C3788" s="286" t="s">
        <v>821</v>
      </c>
      <c r="D3788" s="286" t="s">
        <v>934</v>
      </c>
      <c r="E3788" s="286" t="s">
        <v>1152</v>
      </c>
      <c r="F3788" s="113" t="s">
        <v>922</v>
      </c>
    </row>
    <row r="3789" spans="1:6" ht="14.25" customHeight="1">
      <c r="A3789" s="286" t="s">
        <v>833</v>
      </c>
      <c r="B3789" s="286">
        <v>2024</v>
      </c>
      <c r="C3789" s="286" t="s">
        <v>821</v>
      </c>
      <c r="D3789" s="286" t="s">
        <v>934</v>
      </c>
      <c r="E3789" s="286" t="s">
        <v>1152</v>
      </c>
      <c r="F3789" s="113" t="s">
        <v>922</v>
      </c>
    </row>
    <row r="3790" spans="1:6" ht="14.25" customHeight="1">
      <c r="A3790" s="286" t="s">
        <v>833</v>
      </c>
      <c r="B3790" s="286">
        <v>2024</v>
      </c>
      <c r="C3790" s="286" t="s">
        <v>821</v>
      </c>
      <c r="D3790" s="286" t="s">
        <v>934</v>
      </c>
      <c r="E3790" s="286" t="s">
        <v>2</v>
      </c>
      <c r="F3790" s="113" t="s">
        <v>922</v>
      </c>
    </row>
    <row r="3791" spans="1:6" ht="14.25" customHeight="1">
      <c r="A3791" s="286" t="s">
        <v>833</v>
      </c>
      <c r="B3791" s="286">
        <v>2024</v>
      </c>
      <c r="C3791" s="286" t="s">
        <v>821</v>
      </c>
      <c r="D3791" s="286" t="s">
        <v>934</v>
      </c>
      <c r="E3791" s="286" t="s">
        <v>2</v>
      </c>
      <c r="F3791" s="284" t="s">
        <v>1144</v>
      </c>
    </row>
    <row r="3792" spans="1:6" ht="14.25" customHeight="1">
      <c r="A3792" s="286" t="s">
        <v>833</v>
      </c>
      <c r="B3792" s="286">
        <v>2024</v>
      </c>
      <c r="C3792" s="286" t="s">
        <v>821</v>
      </c>
      <c r="D3792" s="286" t="s">
        <v>931</v>
      </c>
      <c r="E3792" s="286" t="s">
        <v>1041</v>
      </c>
      <c r="F3792" s="113" t="s">
        <v>906</v>
      </c>
    </row>
    <row r="3793" spans="1:6" ht="14.25" customHeight="1">
      <c r="A3793" s="286" t="s">
        <v>833</v>
      </c>
      <c r="B3793" s="286">
        <v>2024</v>
      </c>
      <c r="C3793" s="286" t="s">
        <v>821</v>
      </c>
      <c r="D3793" s="286" t="s">
        <v>931</v>
      </c>
      <c r="E3793" s="286" t="s">
        <v>2</v>
      </c>
      <c r="F3793" s="113" t="s">
        <v>483</v>
      </c>
    </row>
    <row r="3794" spans="1:6" ht="14.25" customHeight="1">
      <c r="A3794" s="286" t="s">
        <v>833</v>
      </c>
      <c r="B3794" s="286">
        <v>2024</v>
      </c>
      <c r="C3794" s="286" t="s">
        <v>821</v>
      </c>
      <c r="D3794" s="286" t="s">
        <v>931</v>
      </c>
      <c r="E3794" s="286" t="s">
        <v>973</v>
      </c>
      <c r="F3794" s="113" t="s">
        <v>917</v>
      </c>
    </row>
    <row r="3795" spans="1:6" ht="14.25" customHeight="1">
      <c r="A3795" s="286" t="s">
        <v>833</v>
      </c>
      <c r="B3795" s="286">
        <v>2024</v>
      </c>
      <c r="C3795" s="286" t="s">
        <v>821</v>
      </c>
      <c r="D3795" s="286" t="s">
        <v>976</v>
      </c>
      <c r="E3795" s="286" t="s">
        <v>953</v>
      </c>
      <c r="F3795" s="113" t="s">
        <v>906</v>
      </c>
    </row>
    <row r="3796" spans="1:6" ht="14.25" customHeight="1">
      <c r="A3796" s="286" t="s">
        <v>833</v>
      </c>
      <c r="B3796" s="286">
        <v>2024</v>
      </c>
      <c r="C3796" s="286" t="s">
        <v>821</v>
      </c>
      <c r="D3796" s="286" t="s">
        <v>976</v>
      </c>
      <c r="E3796" s="286" t="s">
        <v>1041</v>
      </c>
      <c r="F3796" s="113" t="s">
        <v>906</v>
      </c>
    </row>
    <row r="3797" spans="1:6" ht="14.25" customHeight="1">
      <c r="A3797" s="286" t="s">
        <v>833</v>
      </c>
      <c r="B3797" s="286">
        <v>2024</v>
      </c>
      <c r="C3797" s="286" t="s">
        <v>821</v>
      </c>
      <c r="D3797" s="286" t="s">
        <v>976</v>
      </c>
      <c r="E3797" s="286" t="s">
        <v>1070</v>
      </c>
      <c r="F3797" s="113" t="s">
        <v>483</v>
      </c>
    </row>
    <row r="3798" spans="1:6" ht="14.25" customHeight="1">
      <c r="A3798" s="286" t="s">
        <v>833</v>
      </c>
      <c r="B3798" s="286">
        <v>2024</v>
      </c>
      <c r="C3798" s="286" t="s">
        <v>821</v>
      </c>
      <c r="D3798" s="286" t="s">
        <v>976</v>
      </c>
      <c r="E3798" s="286" t="s">
        <v>1003</v>
      </c>
      <c r="F3798" s="113" t="s">
        <v>483</v>
      </c>
    </row>
    <row r="3799" spans="1:6" ht="14.25" customHeight="1">
      <c r="A3799" s="286" t="s">
        <v>833</v>
      </c>
      <c r="B3799" s="286">
        <v>2024</v>
      </c>
      <c r="C3799" s="286" t="s">
        <v>821</v>
      </c>
      <c r="D3799" s="286" t="s">
        <v>976</v>
      </c>
      <c r="E3799" s="286" t="s">
        <v>1003</v>
      </c>
      <c r="F3799" s="113" t="s">
        <v>483</v>
      </c>
    </row>
    <row r="3800" spans="1:6" ht="14.25" customHeight="1">
      <c r="A3800" s="286" t="s">
        <v>833</v>
      </c>
      <c r="B3800" s="286">
        <v>2024</v>
      </c>
      <c r="C3800" s="286" t="s">
        <v>821</v>
      </c>
      <c r="D3800" s="286" t="s">
        <v>976</v>
      </c>
      <c r="E3800" s="286" t="s">
        <v>1126</v>
      </c>
      <c r="F3800" s="113" t="s">
        <v>483</v>
      </c>
    </row>
    <row r="3801" spans="1:6" ht="14.25" customHeight="1">
      <c r="A3801" s="286" t="s">
        <v>833</v>
      </c>
      <c r="B3801" s="286">
        <v>2024</v>
      </c>
      <c r="C3801" s="286" t="s">
        <v>821</v>
      </c>
      <c r="D3801" s="286" t="s">
        <v>976</v>
      </c>
      <c r="E3801" s="286" t="s">
        <v>932</v>
      </c>
      <c r="F3801" s="113" t="s">
        <v>911</v>
      </c>
    </row>
    <row r="3802" spans="1:6" ht="14.25" customHeight="1">
      <c r="A3802" s="286" t="s">
        <v>833</v>
      </c>
      <c r="B3802" s="286">
        <v>2024</v>
      </c>
      <c r="C3802" s="286" t="s">
        <v>821</v>
      </c>
      <c r="D3802" s="286" t="s">
        <v>976</v>
      </c>
      <c r="E3802" s="286" t="s">
        <v>2</v>
      </c>
      <c r="F3802" s="113" t="s">
        <v>911</v>
      </c>
    </row>
    <row r="3803" spans="1:6" ht="14.25" customHeight="1">
      <c r="A3803" s="286" t="s">
        <v>833</v>
      </c>
      <c r="B3803" s="286">
        <v>2024</v>
      </c>
      <c r="C3803" s="286" t="s">
        <v>821</v>
      </c>
      <c r="D3803" s="286" t="s">
        <v>976</v>
      </c>
      <c r="E3803" s="286" t="s">
        <v>2</v>
      </c>
      <c r="F3803" s="113" t="s">
        <v>911</v>
      </c>
    </row>
    <row r="3804" spans="1:6" ht="14.25" customHeight="1">
      <c r="A3804" s="286" t="s">
        <v>833</v>
      </c>
      <c r="B3804" s="286">
        <v>2024</v>
      </c>
      <c r="C3804" s="286" t="s">
        <v>821</v>
      </c>
      <c r="D3804" s="286" t="s">
        <v>976</v>
      </c>
      <c r="E3804" s="286" t="s">
        <v>1173</v>
      </c>
      <c r="F3804" s="113" t="s">
        <v>915</v>
      </c>
    </row>
    <row r="3805" spans="1:6" ht="14.25" customHeight="1">
      <c r="A3805" s="286" t="s">
        <v>833</v>
      </c>
      <c r="B3805" s="286">
        <v>2024</v>
      </c>
      <c r="C3805" s="286" t="s">
        <v>821</v>
      </c>
      <c r="D3805" s="286" t="s">
        <v>976</v>
      </c>
      <c r="E3805" s="286" t="s">
        <v>1112</v>
      </c>
      <c r="F3805" s="113" t="s">
        <v>918</v>
      </c>
    </row>
    <row r="3806" spans="1:6" ht="14.25" customHeight="1">
      <c r="A3806" s="286" t="s">
        <v>833</v>
      </c>
      <c r="B3806" s="286">
        <v>2024</v>
      </c>
      <c r="C3806" s="286" t="s">
        <v>821</v>
      </c>
      <c r="D3806" s="286" t="s">
        <v>976</v>
      </c>
      <c r="E3806" s="286" t="s">
        <v>951</v>
      </c>
      <c r="F3806" s="113" t="s">
        <v>917</v>
      </c>
    </row>
    <row r="3807" spans="1:6" ht="14.25" customHeight="1">
      <c r="A3807" s="286" t="s">
        <v>833</v>
      </c>
      <c r="B3807" s="286">
        <v>2024</v>
      </c>
      <c r="C3807" s="286" t="s">
        <v>821</v>
      </c>
      <c r="D3807" s="286" t="s">
        <v>976</v>
      </c>
      <c r="E3807" s="286" t="s">
        <v>1004</v>
      </c>
      <c r="F3807" s="113" t="s">
        <v>935</v>
      </c>
    </row>
    <row r="3808" spans="1:6" ht="14.25" customHeight="1">
      <c r="A3808" s="286" t="s">
        <v>833</v>
      </c>
      <c r="B3808" s="286">
        <v>2024</v>
      </c>
      <c r="C3808" s="286" t="s">
        <v>821</v>
      </c>
      <c r="D3808" s="286" t="s">
        <v>1033</v>
      </c>
      <c r="E3808" s="286" t="s">
        <v>1036</v>
      </c>
      <c r="F3808" s="113" t="s">
        <v>906</v>
      </c>
    </row>
    <row r="3809" spans="1:6" ht="14.25" customHeight="1">
      <c r="A3809" s="286" t="s">
        <v>833</v>
      </c>
      <c r="B3809" s="286">
        <v>2024</v>
      </c>
      <c r="C3809" s="286" t="s">
        <v>821</v>
      </c>
      <c r="D3809" s="286" t="s">
        <v>1033</v>
      </c>
      <c r="E3809" s="286" t="s">
        <v>951</v>
      </c>
      <c r="F3809" s="113" t="s">
        <v>917</v>
      </c>
    </row>
    <row r="3810" spans="1:6" ht="14.25" customHeight="1">
      <c r="A3810" s="286" t="s">
        <v>833</v>
      </c>
      <c r="B3810" s="286">
        <v>2024</v>
      </c>
      <c r="C3810" s="286" t="s">
        <v>88</v>
      </c>
      <c r="D3810" s="286" t="s">
        <v>959</v>
      </c>
      <c r="E3810" s="286" t="s">
        <v>1040</v>
      </c>
      <c r="F3810" s="113" t="s">
        <v>906</v>
      </c>
    </row>
    <row r="3811" spans="1:6" ht="14.25" customHeight="1">
      <c r="A3811" s="286" t="s">
        <v>833</v>
      </c>
      <c r="B3811" s="286">
        <v>2024</v>
      </c>
      <c r="C3811" s="286" t="s">
        <v>88</v>
      </c>
      <c r="D3811" s="286" t="s">
        <v>959</v>
      </c>
      <c r="E3811" s="286" t="s">
        <v>986</v>
      </c>
      <c r="F3811" s="113" t="s">
        <v>906</v>
      </c>
    </row>
    <row r="3812" spans="1:6" ht="14.25" customHeight="1">
      <c r="A3812" s="286" t="s">
        <v>833</v>
      </c>
      <c r="B3812" s="286">
        <v>2024</v>
      </c>
      <c r="C3812" s="286" t="s">
        <v>88</v>
      </c>
      <c r="D3812" s="286" t="s">
        <v>959</v>
      </c>
      <c r="E3812" s="286" t="s">
        <v>986</v>
      </c>
      <c r="F3812" s="113" t="s">
        <v>906</v>
      </c>
    </row>
    <row r="3813" spans="1:6" ht="14.25" customHeight="1">
      <c r="A3813" s="286" t="s">
        <v>833</v>
      </c>
      <c r="B3813" s="286">
        <v>2024</v>
      </c>
      <c r="C3813" s="286" t="s">
        <v>88</v>
      </c>
      <c r="D3813" s="286" t="s">
        <v>959</v>
      </c>
      <c r="E3813" s="286" t="s">
        <v>952</v>
      </c>
      <c r="F3813" s="113" t="s">
        <v>906</v>
      </c>
    </row>
    <row r="3814" spans="1:6" ht="14.25" customHeight="1">
      <c r="A3814" s="286" t="s">
        <v>833</v>
      </c>
      <c r="B3814" s="286">
        <v>2024</v>
      </c>
      <c r="C3814" s="286" t="s">
        <v>88</v>
      </c>
      <c r="D3814" s="286" t="s">
        <v>959</v>
      </c>
      <c r="E3814" s="286" t="s">
        <v>981</v>
      </c>
      <c r="F3814" s="113" t="s">
        <v>906</v>
      </c>
    </row>
    <row r="3815" spans="1:6" ht="14.25" customHeight="1">
      <c r="A3815" s="286" t="s">
        <v>833</v>
      </c>
      <c r="B3815" s="286">
        <v>2024</v>
      </c>
      <c r="C3815" s="286" t="s">
        <v>88</v>
      </c>
      <c r="D3815" s="286" t="s">
        <v>959</v>
      </c>
      <c r="E3815" s="286" t="s">
        <v>1159</v>
      </c>
      <c r="F3815" s="113" t="s">
        <v>483</v>
      </c>
    </row>
    <row r="3816" spans="1:6" ht="14.25" customHeight="1">
      <c r="A3816" s="286" t="s">
        <v>833</v>
      </c>
      <c r="B3816" s="286">
        <v>2024</v>
      </c>
      <c r="C3816" s="286" t="s">
        <v>88</v>
      </c>
      <c r="D3816" s="286" t="s">
        <v>959</v>
      </c>
      <c r="E3816" s="286" t="s">
        <v>1127</v>
      </c>
      <c r="F3816" s="113" t="s">
        <v>483</v>
      </c>
    </row>
    <row r="3817" spans="1:6" ht="14.25" customHeight="1">
      <c r="A3817" s="286" t="s">
        <v>833</v>
      </c>
      <c r="B3817" s="286">
        <v>2024</v>
      </c>
      <c r="C3817" s="286" t="s">
        <v>88</v>
      </c>
      <c r="D3817" s="286" t="s">
        <v>959</v>
      </c>
      <c r="E3817" s="286" t="s">
        <v>1008</v>
      </c>
      <c r="F3817" s="113" t="s">
        <v>913</v>
      </c>
    </row>
    <row r="3818" spans="1:6" ht="14.25" customHeight="1">
      <c r="A3818" s="286" t="s">
        <v>833</v>
      </c>
      <c r="B3818" s="286">
        <v>2024</v>
      </c>
      <c r="C3818" s="286" t="s">
        <v>88</v>
      </c>
      <c r="D3818" s="286" t="s">
        <v>959</v>
      </c>
      <c r="E3818" s="286" t="s">
        <v>1094</v>
      </c>
      <c r="F3818" s="113" t="s">
        <v>918</v>
      </c>
    </row>
    <row r="3819" spans="1:6" ht="14.25" customHeight="1">
      <c r="A3819" s="286" t="s">
        <v>833</v>
      </c>
      <c r="B3819" s="286">
        <v>2024</v>
      </c>
      <c r="C3819" s="286" t="s">
        <v>88</v>
      </c>
      <c r="D3819" s="286" t="s">
        <v>959</v>
      </c>
      <c r="E3819" s="286" t="s">
        <v>980</v>
      </c>
      <c r="F3819" s="113" t="s">
        <v>918</v>
      </c>
    </row>
    <row r="3820" spans="1:6" ht="14.25" customHeight="1">
      <c r="A3820" s="286" t="s">
        <v>833</v>
      </c>
      <c r="B3820" s="286">
        <v>2024</v>
      </c>
      <c r="C3820" s="286" t="s">
        <v>88</v>
      </c>
      <c r="D3820" s="286" t="s">
        <v>959</v>
      </c>
      <c r="E3820" s="286" t="s">
        <v>979</v>
      </c>
      <c r="F3820" s="113" t="s">
        <v>918</v>
      </c>
    </row>
    <row r="3821" spans="1:6" ht="14.25" customHeight="1">
      <c r="A3821" s="286" t="s">
        <v>833</v>
      </c>
      <c r="B3821" s="286">
        <v>2024</v>
      </c>
      <c r="C3821" s="286" t="s">
        <v>88</v>
      </c>
      <c r="D3821" s="286" t="s">
        <v>959</v>
      </c>
      <c r="E3821" s="286" t="s">
        <v>933</v>
      </c>
      <c r="F3821" s="113" t="s">
        <v>918</v>
      </c>
    </row>
    <row r="3822" spans="1:6" ht="14.25" customHeight="1">
      <c r="A3822" s="286" t="s">
        <v>833</v>
      </c>
      <c r="B3822" s="286">
        <v>2024</v>
      </c>
      <c r="C3822" s="286" t="s">
        <v>88</v>
      </c>
      <c r="D3822" s="286" t="s">
        <v>959</v>
      </c>
      <c r="E3822" s="286" t="s">
        <v>942</v>
      </c>
      <c r="F3822" s="113" t="s">
        <v>918</v>
      </c>
    </row>
    <row r="3823" spans="1:6" ht="14.25" customHeight="1">
      <c r="A3823" s="286" t="s">
        <v>833</v>
      </c>
      <c r="B3823" s="286">
        <v>2024</v>
      </c>
      <c r="C3823" s="286" t="s">
        <v>88</v>
      </c>
      <c r="D3823" s="286" t="s">
        <v>959</v>
      </c>
      <c r="E3823" s="286" t="s">
        <v>1083</v>
      </c>
      <c r="F3823" s="113" t="s">
        <v>783</v>
      </c>
    </row>
    <row r="3824" spans="1:6" ht="14.25" customHeight="1">
      <c r="A3824" s="286" t="s">
        <v>833</v>
      </c>
      <c r="B3824" s="286">
        <v>2024</v>
      </c>
      <c r="C3824" s="286" t="s">
        <v>88</v>
      </c>
      <c r="D3824" s="286" t="s">
        <v>959</v>
      </c>
      <c r="E3824" s="286" t="s">
        <v>1296</v>
      </c>
      <c r="F3824" s="113" t="s">
        <v>917</v>
      </c>
    </row>
    <row r="3825" spans="1:6" ht="14.25" customHeight="1">
      <c r="A3825" s="286" t="s">
        <v>833</v>
      </c>
      <c r="B3825" s="286">
        <v>2024</v>
      </c>
      <c r="C3825" s="286" t="s">
        <v>88</v>
      </c>
      <c r="D3825" s="286" t="s">
        <v>959</v>
      </c>
      <c r="E3825" s="286" t="s">
        <v>973</v>
      </c>
      <c r="F3825" s="113" t="s">
        <v>917</v>
      </c>
    </row>
    <row r="3826" spans="1:6" ht="14.25" customHeight="1">
      <c r="A3826" s="286" t="s">
        <v>833</v>
      </c>
      <c r="B3826" s="286">
        <v>2024</v>
      </c>
      <c r="C3826" s="286" t="s">
        <v>88</v>
      </c>
      <c r="D3826" s="286" t="s">
        <v>959</v>
      </c>
      <c r="E3826" s="286" t="s">
        <v>951</v>
      </c>
      <c r="F3826" s="113" t="s">
        <v>917</v>
      </c>
    </row>
    <row r="3827" spans="1:6" ht="14.25" customHeight="1">
      <c r="A3827" s="286" t="s">
        <v>833</v>
      </c>
      <c r="B3827" s="286">
        <v>2024</v>
      </c>
      <c r="C3827" s="286" t="s">
        <v>88</v>
      </c>
      <c r="D3827" s="286" t="s">
        <v>959</v>
      </c>
      <c r="E3827" s="286" t="s">
        <v>1009</v>
      </c>
      <c r="F3827" s="113" t="s">
        <v>917</v>
      </c>
    </row>
    <row r="3828" spans="1:6" ht="14.25" customHeight="1">
      <c r="A3828" s="286" t="s">
        <v>833</v>
      </c>
      <c r="B3828" s="286">
        <v>2024</v>
      </c>
      <c r="C3828" s="286" t="s">
        <v>88</v>
      </c>
      <c r="D3828" s="286" t="s">
        <v>959</v>
      </c>
      <c r="E3828" s="286" t="s">
        <v>945</v>
      </c>
      <c r="F3828" s="113" t="s">
        <v>917</v>
      </c>
    </row>
    <row r="3829" spans="1:6" ht="14.25" customHeight="1">
      <c r="A3829" s="286" t="s">
        <v>833</v>
      </c>
      <c r="B3829" s="286">
        <v>2024</v>
      </c>
      <c r="C3829" s="286" t="s">
        <v>88</v>
      </c>
      <c r="D3829" s="286" t="s">
        <v>959</v>
      </c>
      <c r="E3829" s="286" t="s">
        <v>1112</v>
      </c>
      <c r="F3829" s="113" t="s">
        <v>917</v>
      </c>
    </row>
    <row r="3830" spans="1:6" ht="14.25" customHeight="1">
      <c r="A3830" s="286" t="s">
        <v>833</v>
      </c>
      <c r="B3830" s="286">
        <v>2024</v>
      </c>
      <c r="C3830" s="286" t="s">
        <v>88</v>
      </c>
      <c r="D3830" s="286" t="s">
        <v>969</v>
      </c>
      <c r="E3830" s="286" t="s">
        <v>1036</v>
      </c>
      <c r="F3830" s="113" t="s">
        <v>906</v>
      </c>
    </row>
    <row r="3831" spans="1:6" ht="14.25" customHeight="1">
      <c r="A3831" s="286" t="s">
        <v>833</v>
      </c>
      <c r="B3831" s="286">
        <v>2024</v>
      </c>
      <c r="C3831" s="286" t="s">
        <v>88</v>
      </c>
      <c r="D3831" s="286" t="s">
        <v>969</v>
      </c>
      <c r="E3831" s="286" t="s">
        <v>953</v>
      </c>
      <c r="F3831" s="113" t="s">
        <v>906</v>
      </c>
    </row>
    <row r="3832" spans="1:6" ht="14.25" customHeight="1">
      <c r="A3832" s="286" t="s">
        <v>833</v>
      </c>
      <c r="B3832" s="286">
        <v>2024</v>
      </c>
      <c r="C3832" s="286" t="s">
        <v>88</v>
      </c>
      <c r="D3832" s="286" t="s">
        <v>969</v>
      </c>
      <c r="E3832" s="286" t="s">
        <v>1041</v>
      </c>
      <c r="F3832" s="113" t="s">
        <v>906</v>
      </c>
    </row>
    <row r="3833" spans="1:6" ht="14.25" customHeight="1">
      <c r="A3833" s="286" t="s">
        <v>833</v>
      </c>
      <c r="B3833" s="286">
        <v>2024</v>
      </c>
      <c r="C3833" s="286" t="s">
        <v>88</v>
      </c>
      <c r="D3833" s="286" t="s">
        <v>969</v>
      </c>
      <c r="E3833" s="286" t="s">
        <v>1102</v>
      </c>
      <c r="F3833" s="113" t="s">
        <v>909</v>
      </c>
    </row>
    <row r="3834" spans="1:6" ht="14.25" customHeight="1">
      <c r="A3834" s="286" t="s">
        <v>833</v>
      </c>
      <c r="B3834" s="286">
        <v>2024</v>
      </c>
      <c r="C3834" s="286" t="s">
        <v>88</v>
      </c>
      <c r="D3834" s="286" t="s">
        <v>969</v>
      </c>
      <c r="E3834" s="286" t="s">
        <v>1116</v>
      </c>
      <c r="F3834" s="113" t="s">
        <v>909</v>
      </c>
    </row>
    <row r="3835" spans="1:6" ht="14.25" customHeight="1">
      <c r="A3835" s="286" t="s">
        <v>833</v>
      </c>
      <c r="B3835" s="286">
        <v>2024</v>
      </c>
      <c r="C3835" s="286" t="s">
        <v>88</v>
      </c>
      <c r="D3835" s="286" t="s">
        <v>969</v>
      </c>
      <c r="E3835" s="286" t="s">
        <v>1017</v>
      </c>
      <c r="F3835" s="113" t="s">
        <v>909</v>
      </c>
    </row>
    <row r="3836" spans="1:6" ht="14.25" customHeight="1">
      <c r="A3836" s="286" t="s">
        <v>833</v>
      </c>
      <c r="B3836" s="286">
        <v>2024</v>
      </c>
      <c r="C3836" s="286" t="s">
        <v>88</v>
      </c>
      <c r="D3836" s="286" t="s">
        <v>969</v>
      </c>
      <c r="E3836" s="286" t="s">
        <v>1116</v>
      </c>
      <c r="F3836" s="113" t="s">
        <v>909</v>
      </c>
    </row>
    <row r="3837" spans="1:6" ht="14.25" customHeight="1">
      <c r="A3837" s="286" t="s">
        <v>833</v>
      </c>
      <c r="B3837" s="286">
        <v>2024</v>
      </c>
      <c r="C3837" s="286" t="s">
        <v>88</v>
      </c>
      <c r="D3837" s="286" t="s">
        <v>969</v>
      </c>
      <c r="E3837" s="286" t="s">
        <v>1127</v>
      </c>
      <c r="F3837" s="113" t="s">
        <v>483</v>
      </c>
    </row>
    <row r="3838" spans="1:6" ht="14.25" customHeight="1">
      <c r="A3838" s="286" t="s">
        <v>833</v>
      </c>
      <c r="B3838" s="286">
        <v>2024</v>
      </c>
      <c r="C3838" s="286" t="s">
        <v>88</v>
      </c>
      <c r="D3838" s="286" t="s">
        <v>969</v>
      </c>
      <c r="E3838" s="286" t="s">
        <v>1098</v>
      </c>
      <c r="F3838" s="113" t="s">
        <v>911</v>
      </c>
    </row>
    <row r="3839" spans="1:6" ht="14.25" customHeight="1">
      <c r="A3839" s="286" t="s">
        <v>833</v>
      </c>
      <c r="B3839" s="286">
        <v>2024</v>
      </c>
      <c r="C3839" s="286" t="s">
        <v>88</v>
      </c>
      <c r="D3839" s="286" t="s">
        <v>969</v>
      </c>
      <c r="E3839" s="286" t="s">
        <v>1097</v>
      </c>
      <c r="F3839" s="113" t="s">
        <v>911</v>
      </c>
    </row>
    <row r="3840" spans="1:6" ht="14.25" customHeight="1">
      <c r="A3840" s="286" t="s">
        <v>833</v>
      </c>
      <c r="B3840" s="286">
        <v>2024</v>
      </c>
      <c r="C3840" s="286" t="s">
        <v>88</v>
      </c>
      <c r="D3840" s="286" t="s">
        <v>969</v>
      </c>
      <c r="E3840" s="286" t="s">
        <v>1081</v>
      </c>
      <c r="F3840" s="113" t="s">
        <v>911</v>
      </c>
    </row>
    <row r="3841" spans="1:6" ht="14.25" customHeight="1">
      <c r="A3841" s="286" t="s">
        <v>833</v>
      </c>
      <c r="B3841" s="286">
        <v>2024</v>
      </c>
      <c r="C3841" s="286" t="s">
        <v>88</v>
      </c>
      <c r="D3841" s="286" t="s">
        <v>969</v>
      </c>
      <c r="E3841" s="286" t="s">
        <v>994</v>
      </c>
      <c r="F3841" s="113" t="s">
        <v>663</v>
      </c>
    </row>
    <row r="3842" spans="1:6" ht="14.25" customHeight="1">
      <c r="A3842" s="286" t="s">
        <v>833</v>
      </c>
      <c r="B3842" s="286">
        <v>2024</v>
      </c>
      <c r="C3842" s="286" t="s">
        <v>88</v>
      </c>
      <c r="D3842" s="286" t="s">
        <v>969</v>
      </c>
      <c r="E3842" s="286" t="s">
        <v>970</v>
      </c>
      <c r="F3842" s="113" t="s">
        <v>915</v>
      </c>
    </row>
    <row r="3843" spans="1:6" ht="14.25" customHeight="1">
      <c r="A3843" s="286" t="s">
        <v>833</v>
      </c>
      <c r="B3843" s="286">
        <v>2024</v>
      </c>
      <c r="C3843" s="286" t="s">
        <v>88</v>
      </c>
      <c r="D3843" s="286" t="s">
        <v>969</v>
      </c>
      <c r="E3843" s="286" t="s">
        <v>937</v>
      </c>
      <c r="F3843" s="113" t="s">
        <v>917</v>
      </c>
    </row>
    <row r="3844" spans="1:6" ht="14.25" customHeight="1">
      <c r="A3844" s="286" t="s">
        <v>833</v>
      </c>
      <c r="B3844" s="286">
        <v>2024</v>
      </c>
      <c r="C3844" s="286" t="s">
        <v>88</v>
      </c>
      <c r="D3844" s="286" t="s">
        <v>969</v>
      </c>
      <c r="E3844" s="286" t="s">
        <v>989</v>
      </c>
      <c r="F3844" s="113" t="s">
        <v>935</v>
      </c>
    </row>
    <row r="3845" spans="1:6" ht="14.25" customHeight="1">
      <c r="A3845" s="286" t="s">
        <v>833</v>
      </c>
      <c r="B3845" s="286">
        <v>2024</v>
      </c>
      <c r="C3845" s="286" t="s">
        <v>88</v>
      </c>
      <c r="D3845" s="286" t="s">
        <v>988</v>
      </c>
      <c r="E3845" s="286" t="s">
        <v>952</v>
      </c>
      <c r="F3845" s="113" t="s">
        <v>906</v>
      </c>
    </row>
    <row r="3846" spans="1:6" ht="14.25" customHeight="1">
      <c r="A3846" s="286" t="s">
        <v>833</v>
      </c>
      <c r="B3846" s="286">
        <v>2024</v>
      </c>
      <c r="C3846" s="286" t="s">
        <v>88</v>
      </c>
      <c r="D3846" s="286" t="s">
        <v>956</v>
      </c>
      <c r="E3846" s="286" t="s">
        <v>1041</v>
      </c>
      <c r="F3846" s="113" t="s">
        <v>906</v>
      </c>
    </row>
    <row r="3847" spans="1:6" ht="14.25" customHeight="1">
      <c r="A3847" s="286" t="s">
        <v>833</v>
      </c>
      <c r="B3847" s="286">
        <v>2024</v>
      </c>
      <c r="C3847" s="286" t="s">
        <v>88</v>
      </c>
      <c r="D3847" s="286" t="s">
        <v>956</v>
      </c>
      <c r="E3847" s="286" t="s">
        <v>1159</v>
      </c>
      <c r="F3847" s="113" t="s">
        <v>483</v>
      </c>
    </row>
    <row r="3848" spans="1:6" ht="14.25" customHeight="1">
      <c r="A3848" s="286" t="s">
        <v>833</v>
      </c>
      <c r="B3848" s="286">
        <v>2024</v>
      </c>
      <c r="C3848" s="286" t="s">
        <v>88</v>
      </c>
      <c r="D3848" s="286" t="s">
        <v>956</v>
      </c>
      <c r="E3848" s="286" t="s">
        <v>1153</v>
      </c>
      <c r="F3848" s="113" t="s">
        <v>483</v>
      </c>
    </row>
    <row r="3849" spans="1:6" ht="14.25" customHeight="1">
      <c r="A3849" s="286" t="s">
        <v>833</v>
      </c>
      <c r="B3849" s="286">
        <v>2024</v>
      </c>
      <c r="C3849" s="286" t="s">
        <v>88</v>
      </c>
      <c r="D3849" s="286" t="s">
        <v>956</v>
      </c>
      <c r="E3849" s="286" t="s">
        <v>1128</v>
      </c>
      <c r="F3849" s="113" t="s">
        <v>483</v>
      </c>
    </row>
    <row r="3850" spans="1:6" ht="14.25" customHeight="1">
      <c r="A3850" s="286" t="s">
        <v>833</v>
      </c>
      <c r="B3850" s="286">
        <v>2024</v>
      </c>
      <c r="C3850" s="286" t="s">
        <v>88</v>
      </c>
      <c r="D3850" s="286" t="s">
        <v>956</v>
      </c>
      <c r="E3850" s="286" t="s">
        <v>1297</v>
      </c>
      <c r="F3850" s="113" t="s">
        <v>918</v>
      </c>
    </row>
    <row r="3851" spans="1:6" ht="14.25" customHeight="1">
      <c r="A3851" s="286" t="s">
        <v>833</v>
      </c>
      <c r="B3851" s="286">
        <v>2024</v>
      </c>
      <c r="C3851" s="286" t="s">
        <v>88</v>
      </c>
      <c r="D3851" s="286" t="s">
        <v>956</v>
      </c>
      <c r="E3851" s="286" t="s">
        <v>1297</v>
      </c>
      <c r="F3851" s="113" t="s">
        <v>918</v>
      </c>
    </row>
    <row r="3852" spans="1:6" ht="14.25" customHeight="1">
      <c r="A3852" s="286" t="s">
        <v>833</v>
      </c>
      <c r="B3852" s="286">
        <v>2024</v>
      </c>
      <c r="C3852" s="286" t="s">
        <v>88</v>
      </c>
      <c r="D3852" s="286" t="s">
        <v>956</v>
      </c>
      <c r="E3852" s="286" t="s">
        <v>942</v>
      </c>
      <c r="F3852" s="113" t="s">
        <v>918</v>
      </c>
    </row>
    <row r="3853" spans="1:6" ht="14.25" customHeight="1">
      <c r="A3853" s="286" t="s">
        <v>833</v>
      </c>
      <c r="B3853" s="286">
        <v>2024</v>
      </c>
      <c r="C3853" s="286" t="s">
        <v>88</v>
      </c>
      <c r="D3853" s="286" t="s">
        <v>956</v>
      </c>
      <c r="E3853" s="286" t="s">
        <v>1016</v>
      </c>
      <c r="F3853" s="113" t="s">
        <v>783</v>
      </c>
    </row>
    <row r="3854" spans="1:6" ht="14.25" customHeight="1">
      <c r="A3854" s="286" t="s">
        <v>833</v>
      </c>
      <c r="B3854" s="286">
        <v>2024</v>
      </c>
      <c r="C3854" s="286" t="s">
        <v>88</v>
      </c>
      <c r="D3854" s="286" t="s">
        <v>956</v>
      </c>
      <c r="E3854" s="286" t="s">
        <v>937</v>
      </c>
      <c r="F3854" s="113" t="s">
        <v>917</v>
      </c>
    </row>
    <row r="3855" spans="1:6" ht="14.25" customHeight="1">
      <c r="A3855" s="286" t="s">
        <v>833</v>
      </c>
      <c r="B3855" s="286">
        <v>2024</v>
      </c>
      <c r="C3855" s="286" t="s">
        <v>88</v>
      </c>
      <c r="D3855" s="286" t="s">
        <v>956</v>
      </c>
      <c r="E3855" s="286" t="s">
        <v>1068</v>
      </c>
      <c r="F3855" s="113" t="s">
        <v>922</v>
      </c>
    </row>
    <row r="3856" spans="1:6" ht="14.25" customHeight="1">
      <c r="A3856" s="286" t="s">
        <v>833</v>
      </c>
      <c r="B3856" s="286">
        <v>2024</v>
      </c>
      <c r="C3856" s="286" t="s">
        <v>859</v>
      </c>
      <c r="D3856" s="286" t="s">
        <v>999</v>
      </c>
      <c r="E3856" s="286" t="s">
        <v>1014</v>
      </c>
      <c r="F3856" s="113" t="s">
        <v>906</v>
      </c>
    </row>
    <row r="3857" spans="1:6" ht="14.25" customHeight="1">
      <c r="A3857" s="286" t="s">
        <v>833</v>
      </c>
      <c r="B3857" s="286">
        <v>2024</v>
      </c>
      <c r="C3857" s="286" t="s">
        <v>859</v>
      </c>
      <c r="D3857" s="286" t="s">
        <v>1005</v>
      </c>
      <c r="E3857" s="286" t="s">
        <v>991</v>
      </c>
      <c r="F3857" s="113" t="s">
        <v>906</v>
      </c>
    </row>
    <row r="3858" spans="1:6" ht="14.25" customHeight="1">
      <c r="A3858" s="286" t="s">
        <v>833</v>
      </c>
      <c r="B3858" s="286">
        <v>2024</v>
      </c>
      <c r="C3858" s="286" t="s">
        <v>859</v>
      </c>
      <c r="D3858" s="286" t="s">
        <v>1005</v>
      </c>
      <c r="E3858" s="286" t="s">
        <v>1017</v>
      </c>
      <c r="F3858" s="113" t="s">
        <v>909</v>
      </c>
    </row>
    <row r="3859" spans="1:6" ht="14.25" customHeight="1">
      <c r="A3859" s="286" t="s">
        <v>833</v>
      </c>
      <c r="B3859" s="286">
        <v>2024</v>
      </c>
      <c r="C3859" s="286" t="s">
        <v>859</v>
      </c>
      <c r="D3859" s="286" t="s">
        <v>1005</v>
      </c>
      <c r="E3859" s="286" t="s">
        <v>1111</v>
      </c>
      <c r="F3859" s="113" t="s">
        <v>918</v>
      </c>
    </row>
    <row r="3860" spans="1:6" ht="14.25" customHeight="1">
      <c r="A3860" s="286" t="s">
        <v>833</v>
      </c>
      <c r="B3860" s="286">
        <v>2024</v>
      </c>
      <c r="C3860" s="286" t="s">
        <v>859</v>
      </c>
      <c r="D3860" s="286" t="s">
        <v>1005</v>
      </c>
      <c r="E3860" s="286" t="s">
        <v>951</v>
      </c>
      <c r="F3860" s="113" t="s">
        <v>917</v>
      </c>
    </row>
    <row r="3861" spans="1:6" ht="14.25" customHeight="1">
      <c r="A3861" s="286" t="s">
        <v>833</v>
      </c>
      <c r="B3861" s="286">
        <v>2024</v>
      </c>
      <c r="C3861" s="286" t="s">
        <v>859</v>
      </c>
      <c r="D3861" s="286" t="s">
        <v>1000</v>
      </c>
      <c r="E3861" s="286" t="s">
        <v>1040</v>
      </c>
      <c r="F3861" s="113" t="s">
        <v>906</v>
      </c>
    </row>
    <row r="3862" spans="1:6" ht="14.25" customHeight="1">
      <c r="A3862" s="286" t="s">
        <v>833</v>
      </c>
      <c r="B3862" s="286">
        <v>2024</v>
      </c>
      <c r="C3862" s="286" t="s">
        <v>859</v>
      </c>
      <c r="D3862" s="286" t="s">
        <v>1000</v>
      </c>
      <c r="E3862" s="286" t="s">
        <v>1041</v>
      </c>
      <c r="F3862" s="113" t="s">
        <v>906</v>
      </c>
    </row>
    <row r="3863" spans="1:6" ht="14.25" customHeight="1">
      <c r="A3863" s="286" t="s">
        <v>833</v>
      </c>
      <c r="B3863" s="286">
        <v>2024</v>
      </c>
      <c r="C3863" s="286" t="s">
        <v>859</v>
      </c>
      <c r="D3863" s="286" t="s">
        <v>1000</v>
      </c>
      <c r="E3863" s="286" t="s">
        <v>1178</v>
      </c>
      <c r="F3863" s="113" t="s">
        <v>483</v>
      </c>
    </row>
    <row r="3864" spans="1:6" ht="14.25" customHeight="1">
      <c r="A3864" s="286" t="s">
        <v>833</v>
      </c>
      <c r="B3864" s="286">
        <v>2024</v>
      </c>
      <c r="C3864" s="286" t="s">
        <v>859</v>
      </c>
      <c r="D3864" s="286" t="s">
        <v>1000</v>
      </c>
      <c r="E3864" s="286" t="s">
        <v>1092</v>
      </c>
      <c r="F3864" s="113" t="s">
        <v>911</v>
      </c>
    </row>
    <row r="3865" spans="1:6" ht="14.25" customHeight="1">
      <c r="A3865" s="286" t="s">
        <v>833</v>
      </c>
      <c r="B3865" s="286">
        <v>2024</v>
      </c>
      <c r="C3865" s="286" t="s">
        <v>859</v>
      </c>
      <c r="D3865" s="286" t="s">
        <v>1000</v>
      </c>
      <c r="E3865" s="286" t="s">
        <v>1191</v>
      </c>
      <c r="F3865" s="113" t="s">
        <v>663</v>
      </c>
    </row>
    <row r="3866" spans="1:6" ht="14.25" customHeight="1">
      <c r="A3866" s="286" t="s">
        <v>833</v>
      </c>
      <c r="B3866" s="286">
        <v>2024</v>
      </c>
      <c r="C3866" s="286" t="s">
        <v>859</v>
      </c>
      <c r="D3866" s="286" t="s">
        <v>1000</v>
      </c>
      <c r="E3866" s="286" t="s">
        <v>1191</v>
      </c>
      <c r="F3866" s="113" t="s">
        <v>663</v>
      </c>
    </row>
    <row r="3867" spans="1:6" ht="14.25" customHeight="1">
      <c r="A3867" s="286" t="s">
        <v>833</v>
      </c>
      <c r="B3867" s="286">
        <v>2024</v>
      </c>
      <c r="C3867" s="286" t="s">
        <v>859</v>
      </c>
      <c r="D3867" s="286" t="s">
        <v>1000</v>
      </c>
      <c r="E3867" s="286" t="s">
        <v>1297</v>
      </c>
      <c r="F3867" s="113" t="s">
        <v>918</v>
      </c>
    </row>
    <row r="3868" spans="1:6" ht="14.25" customHeight="1">
      <c r="A3868" s="286" t="s">
        <v>833</v>
      </c>
      <c r="B3868" s="286">
        <v>2024</v>
      </c>
      <c r="C3868" s="286" t="s">
        <v>859</v>
      </c>
      <c r="D3868" s="286" t="s">
        <v>1000</v>
      </c>
      <c r="E3868" s="286" t="s">
        <v>945</v>
      </c>
      <c r="F3868" s="113" t="s">
        <v>917</v>
      </c>
    </row>
    <row r="3869" spans="1:6" ht="14.25" customHeight="1">
      <c r="A3869" s="286" t="s">
        <v>833</v>
      </c>
      <c r="B3869" s="286">
        <v>2024</v>
      </c>
      <c r="C3869" s="286" t="s">
        <v>859</v>
      </c>
      <c r="D3869" s="286" t="s">
        <v>1000</v>
      </c>
      <c r="E3869" s="286" t="s">
        <v>1065</v>
      </c>
      <c r="F3869" s="113" t="s">
        <v>924</v>
      </c>
    </row>
    <row r="3870" spans="1:6" ht="14.25" customHeight="1">
      <c r="A3870" s="286" t="s">
        <v>833</v>
      </c>
      <c r="B3870" s="286">
        <v>2024</v>
      </c>
      <c r="C3870" s="286" t="s">
        <v>859</v>
      </c>
      <c r="D3870" s="286" t="s">
        <v>1000</v>
      </c>
      <c r="E3870" s="286" t="s">
        <v>1019</v>
      </c>
      <c r="F3870" s="113" t="s">
        <v>922</v>
      </c>
    </row>
    <row r="3871" spans="1:6" ht="14.25" customHeight="1">
      <c r="A3871" s="286" t="s">
        <v>833</v>
      </c>
      <c r="B3871" s="286">
        <v>2024</v>
      </c>
      <c r="C3871" s="286" t="s">
        <v>859</v>
      </c>
      <c r="D3871" s="286" t="s">
        <v>998</v>
      </c>
      <c r="E3871" s="286" t="s">
        <v>991</v>
      </c>
      <c r="F3871" s="113" t="s">
        <v>906</v>
      </c>
    </row>
    <row r="3872" spans="1:6" ht="14.25" customHeight="1">
      <c r="A3872" s="286" t="s">
        <v>833</v>
      </c>
      <c r="B3872" s="286">
        <v>2024</v>
      </c>
      <c r="C3872" s="286" t="s">
        <v>859</v>
      </c>
      <c r="D3872" s="286" t="s">
        <v>998</v>
      </c>
      <c r="E3872" s="286" t="s">
        <v>1020</v>
      </c>
      <c r="F3872" s="113" t="s">
        <v>909</v>
      </c>
    </row>
    <row r="3873" spans="1:6" ht="14.25" customHeight="1">
      <c r="A3873" s="286" t="s">
        <v>833</v>
      </c>
      <c r="B3873" s="286">
        <v>2024</v>
      </c>
      <c r="C3873" s="286" t="s">
        <v>859</v>
      </c>
      <c r="D3873" s="286" t="s">
        <v>998</v>
      </c>
      <c r="E3873" s="286" t="s">
        <v>1052</v>
      </c>
      <c r="F3873" s="113" t="s">
        <v>909</v>
      </c>
    </row>
    <row r="3874" spans="1:6" ht="14.25" customHeight="1">
      <c r="A3874" s="286" t="s">
        <v>833</v>
      </c>
      <c r="B3874" s="286">
        <v>2024</v>
      </c>
      <c r="C3874" s="286" t="s">
        <v>859</v>
      </c>
      <c r="D3874" s="286" t="s">
        <v>998</v>
      </c>
      <c r="E3874" s="286" t="s">
        <v>1116</v>
      </c>
      <c r="F3874" s="113" t="s">
        <v>909</v>
      </c>
    </row>
    <row r="3875" spans="1:6" ht="14.25" customHeight="1">
      <c r="A3875" s="286" t="s">
        <v>833</v>
      </c>
      <c r="B3875" s="286">
        <v>2024</v>
      </c>
      <c r="C3875" s="286" t="s">
        <v>859</v>
      </c>
      <c r="D3875" s="286" t="s">
        <v>998</v>
      </c>
      <c r="E3875" s="286" t="s">
        <v>1124</v>
      </c>
      <c r="F3875" s="113" t="s">
        <v>483</v>
      </c>
    </row>
    <row r="3876" spans="1:6" ht="14.25" customHeight="1">
      <c r="A3876" s="286" t="s">
        <v>833</v>
      </c>
      <c r="B3876" s="286">
        <v>2024</v>
      </c>
      <c r="C3876" s="286" t="s">
        <v>859</v>
      </c>
      <c r="D3876" s="286" t="s">
        <v>998</v>
      </c>
      <c r="E3876" s="286" t="s">
        <v>1120</v>
      </c>
      <c r="F3876" s="113" t="s">
        <v>483</v>
      </c>
    </row>
    <row r="3877" spans="1:6" ht="14.25" customHeight="1">
      <c r="A3877" s="286" t="s">
        <v>833</v>
      </c>
      <c r="B3877" s="286">
        <v>2024</v>
      </c>
      <c r="C3877" s="286" t="s">
        <v>859</v>
      </c>
      <c r="D3877" s="286" t="s">
        <v>998</v>
      </c>
      <c r="E3877" s="286" t="s">
        <v>1112</v>
      </c>
      <c r="F3877" s="113" t="s">
        <v>918</v>
      </c>
    </row>
    <row r="3878" spans="1:6" ht="14.25" customHeight="1">
      <c r="A3878" s="286" t="s">
        <v>833</v>
      </c>
      <c r="B3878" s="286">
        <v>2024</v>
      </c>
      <c r="C3878" s="286" t="s">
        <v>859</v>
      </c>
      <c r="D3878" s="286" t="s">
        <v>998</v>
      </c>
      <c r="E3878" s="286" t="s">
        <v>1061</v>
      </c>
      <c r="F3878" s="113" t="s">
        <v>783</v>
      </c>
    </row>
    <row r="3879" spans="1:6" ht="14.25" customHeight="1">
      <c r="A3879" s="286" t="s">
        <v>833</v>
      </c>
      <c r="B3879" s="286">
        <v>2024</v>
      </c>
      <c r="C3879" s="286" t="s">
        <v>859</v>
      </c>
      <c r="D3879" s="286" t="s">
        <v>998</v>
      </c>
      <c r="E3879" s="286" t="s">
        <v>1006</v>
      </c>
      <c r="F3879" s="113" t="s">
        <v>917</v>
      </c>
    </row>
    <row r="3880" spans="1:6" ht="14.25" customHeight="1">
      <c r="A3880" s="286" t="s">
        <v>833</v>
      </c>
      <c r="B3880" s="286">
        <v>2024</v>
      </c>
      <c r="C3880" s="286" t="s">
        <v>872</v>
      </c>
      <c r="D3880" s="286" t="s">
        <v>1015</v>
      </c>
      <c r="E3880" s="286" t="s">
        <v>954</v>
      </c>
      <c r="F3880" s="113" t="s">
        <v>906</v>
      </c>
    </row>
    <row r="3881" spans="1:6" ht="14.25" customHeight="1">
      <c r="A3881" s="286" t="s">
        <v>833</v>
      </c>
      <c r="B3881" s="286">
        <v>2024</v>
      </c>
      <c r="C3881" s="286" t="s">
        <v>872</v>
      </c>
      <c r="D3881" s="286" t="s">
        <v>1015</v>
      </c>
      <c r="E3881" s="286" t="s">
        <v>1043</v>
      </c>
      <c r="F3881" s="113" t="s">
        <v>911</v>
      </c>
    </row>
    <row r="3882" spans="1:6" ht="14.25" customHeight="1">
      <c r="A3882" s="286" t="s">
        <v>833</v>
      </c>
      <c r="B3882" s="286">
        <v>2024</v>
      </c>
      <c r="C3882" s="286" t="s">
        <v>872</v>
      </c>
      <c r="D3882" s="286" t="s">
        <v>1015</v>
      </c>
      <c r="E3882" s="286" t="s">
        <v>973</v>
      </c>
      <c r="F3882" s="113" t="s">
        <v>917</v>
      </c>
    </row>
    <row r="3883" spans="1:6" ht="14.25" customHeight="1">
      <c r="A3883" s="286" t="s">
        <v>833</v>
      </c>
      <c r="B3883" s="286">
        <v>2024</v>
      </c>
      <c r="C3883" s="286" t="s">
        <v>872</v>
      </c>
      <c r="D3883" s="286" t="s">
        <v>1015</v>
      </c>
      <c r="E3883" s="286" t="s">
        <v>1037</v>
      </c>
      <c r="F3883" s="113" t="s">
        <v>917</v>
      </c>
    </row>
    <row r="3884" spans="1:6" ht="14.25" customHeight="1">
      <c r="A3884" s="286" t="s">
        <v>833</v>
      </c>
      <c r="B3884" s="286">
        <v>2024</v>
      </c>
      <c r="C3884" s="286" t="s">
        <v>872</v>
      </c>
      <c r="D3884" s="286" t="s">
        <v>1018</v>
      </c>
      <c r="E3884" s="286" t="s">
        <v>1072</v>
      </c>
      <c r="F3884" s="113" t="s">
        <v>915</v>
      </c>
    </row>
    <row r="3885" spans="1:6" ht="14.25" customHeight="1">
      <c r="A3885" s="286" t="s">
        <v>833</v>
      </c>
      <c r="B3885" s="286">
        <v>2024</v>
      </c>
      <c r="C3885" s="286" t="s">
        <v>872</v>
      </c>
      <c r="D3885" s="286" t="s">
        <v>1018</v>
      </c>
      <c r="E3885" s="286" t="s">
        <v>1297</v>
      </c>
      <c r="F3885" s="113" t="s">
        <v>918</v>
      </c>
    </row>
    <row r="3886" spans="1:6" ht="14.25" customHeight="1">
      <c r="A3886" s="286" t="s">
        <v>833</v>
      </c>
      <c r="B3886" s="286">
        <v>2024</v>
      </c>
      <c r="C3886" s="286" t="s">
        <v>872</v>
      </c>
      <c r="D3886" s="286" t="s">
        <v>1018</v>
      </c>
      <c r="E3886" s="286" t="s">
        <v>950</v>
      </c>
      <c r="F3886" s="113" t="s">
        <v>783</v>
      </c>
    </row>
    <row r="3887" spans="1:6" ht="14.25" customHeight="1">
      <c r="A3887" s="286" t="s">
        <v>833</v>
      </c>
      <c r="B3887" s="286">
        <v>2024</v>
      </c>
      <c r="C3887" s="286" t="s">
        <v>872</v>
      </c>
      <c r="D3887" s="286" t="s">
        <v>1018</v>
      </c>
      <c r="E3887" s="286" t="s">
        <v>936</v>
      </c>
      <c r="F3887" s="113" t="s">
        <v>783</v>
      </c>
    </row>
    <row r="3888" spans="1:6" ht="14.25" customHeight="1">
      <c r="A3888" s="286" t="s">
        <v>833</v>
      </c>
      <c r="B3888" s="286">
        <v>2024</v>
      </c>
      <c r="C3888" s="286" t="s">
        <v>872</v>
      </c>
      <c r="D3888" s="286" t="s">
        <v>1018</v>
      </c>
      <c r="E3888" s="286" t="s">
        <v>1022</v>
      </c>
      <c r="F3888" s="113" t="s">
        <v>783</v>
      </c>
    </row>
    <row r="3889" spans="1:6" ht="14.25" customHeight="1">
      <c r="A3889" s="286" t="s">
        <v>833</v>
      </c>
      <c r="B3889" s="286">
        <v>2024</v>
      </c>
      <c r="C3889" s="286" t="s">
        <v>872</v>
      </c>
      <c r="D3889" s="286" t="s">
        <v>1018</v>
      </c>
      <c r="E3889" s="286" t="s">
        <v>984</v>
      </c>
      <c r="F3889" s="113" t="s">
        <v>935</v>
      </c>
    </row>
    <row r="3890" spans="1:6" ht="14.25" customHeight="1">
      <c r="A3890" s="286" t="s">
        <v>833</v>
      </c>
      <c r="B3890" s="286">
        <v>2024</v>
      </c>
      <c r="C3890" s="286" t="s">
        <v>872</v>
      </c>
      <c r="D3890" s="286" t="s">
        <v>1012</v>
      </c>
      <c r="E3890" s="286" t="s">
        <v>1090</v>
      </c>
      <c r="F3890" s="113" t="s">
        <v>935</v>
      </c>
    </row>
    <row r="3891" spans="1:6" ht="14.25" customHeight="1">
      <c r="A3891" s="286" t="s">
        <v>833</v>
      </c>
      <c r="B3891" s="286">
        <v>2024</v>
      </c>
      <c r="C3891" s="286" t="s">
        <v>872</v>
      </c>
      <c r="D3891" s="286" t="s">
        <v>1012</v>
      </c>
      <c r="E3891" s="286" t="s">
        <v>997</v>
      </c>
      <c r="F3891" s="113" t="s">
        <v>935</v>
      </c>
    </row>
    <row r="3892" spans="1:6" ht="14.25" customHeight="1">
      <c r="A3892" s="286" t="s">
        <v>833</v>
      </c>
      <c r="B3892" s="286">
        <v>2024</v>
      </c>
      <c r="C3892" s="286" t="s">
        <v>1024</v>
      </c>
      <c r="D3892" s="286" t="s">
        <v>1025</v>
      </c>
      <c r="E3892" s="286" t="s">
        <v>1041</v>
      </c>
      <c r="F3892" s="113" t="s">
        <v>906</v>
      </c>
    </row>
    <row r="3893" spans="1:6" ht="14.25" customHeight="1">
      <c r="A3893" s="286" t="s">
        <v>833</v>
      </c>
      <c r="B3893" s="286">
        <v>2024</v>
      </c>
      <c r="C3893" s="286" t="s">
        <v>1024</v>
      </c>
      <c r="D3893" s="286" t="s">
        <v>1142</v>
      </c>
      <c r="E3893" s="286" t="s">
        <v>941</v>
      </c>
      <c r="F3893" s="113" t="s">
        <v>911</v>
      </c>
    </row>
    <row r="3894" spans="1:6" ht="14.25" customHeight="1">
      <c r="A3894" s="286" t="s">
        <v>833</v>
      </c>
      <c r="B3894" s="286">
        <v>2024</v>
      </c>
      <c r="C3894" s="286" t="s">
        <v>1024</v>
      </c>
      <c r="D3894" s="286" t="s">
        <v>1142</v>
      </c>
      <c r="E3894" s="286" t="s">
        <v>962</v>
      </c>
      <c r="F3894" s="113" t="s">
        <v>913</v>
      </c>
    </row>
    <row r="3895" spans="1:6" ht="14.25" customHeight="1">
      <c r="A3895" s="286" t="s">
        <v>833</v>
      </c>
      <c r="B3895" s="286">
        <v>2024</v>
      </c>
      <c r="C3895" s="286" t="s">
        <v>1024</v>
      </c>
      <c r="D3895" s="286" t="s">
        <v>1142</v>
      </c>
      <c r="E3895" s="286" t="s">
        <v>1042</v>
      </c>
      <c r="F3895" s="113" t="s">
        <v>913</v>
      </c>
    </row>
    <row r="3896" spans="1:6" ht="14.25" customHeight="1">
      <c r="A3896" s="286" t="s">
        <v>833</v>
      </c>
      <c r="B3896" s="286">
        <v>2024</v>
      </c>
      <c r="C3896" s="286" t="s">
        <v>1024</v>
      </c>
      <c r="D3896" s="286" t="s">
        <v>1142</v>
      </c>
      <c r="E3896" s="286" t="s">
        <v>1163</v>
      </c>
      <c r="F3896" s="113" t="s">
        <v>913</v>
      </c>
    </row>
    <row r="3897" spans="1:6" ht="14.25" customHeight="1">
      <c r="A3897" s="286" t="s">
        <v>833</v>
      </c>
      <c r="B3897" s="286">
        <v>2024</v>
      </c>
      <c r="C3897" s="286" t="s">
        <v>1024</v>
      </c>
      <c r="D3897" s="286" t="s">
        <v>1142</v>
      </c>
      <c r="E3897" s="286" t="s">
        <v>1051</v>
      </c>
      <c r="F3897" s="113" t="s">
        <v>924</v>
      </c>
    </row>
    <row r="3898" spans="1:6" ht="14.25" customHeight="1">
      <c r="A3898" s="286" t="s">
        <v>833</v>
      </c>
      <c r="B3898" s="286">
        <v>2024</v>
      </c>
      <c r="C3898" s="286" t="s">
        <v>1024</v>
      </c>
      <c r="D3898" s="286" t="s">
        <v>1142</v>
      </c>
      <c r="E3898" s="286" t="s">
        <v>996</v>
      </c>
      <c r="F3898" s="113" t="s">
        <v>924</v>
      </c>
    </row>
    <row r="3899" spans="1:6" ht="14.25" customHeight="1">
      <c r="A3899" s="286" t="s">
        <v>833</v>
      </c>
      <c r="B3899" s="286">
        <v>2024</v>
      </c>
      <c r="C3899" s="286" t="s">
        <v>1024</v>
      </c>
      <c r="D3899" s="286" t="s">
        <v>1142</v>
      </c>
      <c r="E3899" s="286" t="s">
        <v>1065</v>
      </c>
      <c r="F3899" s="113" t="s">
        <v>924</v>
      </c>
    </row>
    <row r="3900" spans="1:6" ht="14.25" customHeight="1">
      <c r="A3900" s="286" t="s">
        <v>833</v>
      </c>
      <c r="B3900" s="286">
        <v>2024</v>
      </c>
      <c r="C3900" s="286" t="s">
        <v>1024</v>
      </c>
      <c r="D3900" s="286" t="s">
        <v>1142</v>
      </c>
      <c r="E3900" s="286" t="s">
        <v>957</v>
      </c>
      <c r="F3900" s="113" t="s">
        <v>924</v>
      </c>
    </row>
    <row r="3901" spans="1:6" ht="14.25" customHeight="1">
      <c r="A3901" s="286" t="s">
        <v>833</v>
      </c>
      <c r="B3901" s="286">
        <v>2024</v>
      </c>
      <c r="C3901" s="286" t="s">
        <v>1024</v>
      </c>
      <c r="D3901" s="286" t="s">
        <v>1027</v>
      </c>
      <c r="E3901" s="286" t="s">
        <v>952</v>
      </c>
      <c r="F3901" s="113" t="s">
        <v>906</v>
      </c>
    </row>
    <row r="3902" spans="1:6" ht="14.25" customHeight="1">
      <c r="A3902" s="286" t="s">
        <v>833</v>
      </c>
      <c r="B3902" s="286">
        <v>2024</v>
      </c>
      <c r="C3902" s="286" t="s">
        <v>1024</v>
      </c>
      <c r="D3902" s="286" t="s">
        <v>1027</v>
      </c>
      <c r="E3902" s="286" t="s">
        <v>1041</v>
      </c>
      <c r="F3902" s="113" t="s">
        <v>906</v>
      </c>
    </row>
    <row r="3903" spans="1:6" ht="14.25" customHeight="1">
      <c r="A3903" s="286" t="s">
        <v>833</v>
      </c>
      <c r="B3903" s="286">
        <v>2024</v>
      </c>
      <c r="C3903" s="286" t="s">
        <v>1024</v>
      </c>
      <c r="D3903" s="286" t="s">
        <v>1027</v>
      </c>
      <c r="E3903" s="286" t="s">
        <v>1041</v>
      </c>
      <c r="F3903" s="113" t="s">
        <v>906</v>
      </c>
    </row>
    <row r="3904" spans="1:6" ht="14.25" customHeight="1">
      <c r="A3904" s="286" t="s">
        <v>833</v>
      </c>
      <c r="B3904" s="286">
        <v>2024</v>
      </c>
      <c r="C3904" s="286" t="s">
        <v>1024</v>
      </c>
      <c r="D3904" s="286" t="s">
        <v>1027</v>
      </c>
      <c r="E3904" s="286" t="s">
        <v>953</v>
      </c>
      <c r="F3904" s="113" t="s">
        <v>906</v>
      </c>
    </row>
    <row r="3905" spans="1:6" ht="14.25" customHeight="1">
      <c r="A3905" s="286" t="s">
        <v>833</v>
      </c>
      <c r="B3905" s="286">
        <v>2024</v>
      </c>
      <c r="C3905" s="286" t="s">
        <v>1024</v>
      </c>
      <c r="D3905" s="286" t="s">
        <v>1027</v>
      </c>
      <c r="E3905" s="286" t="s">
        <v>1090</v>
      </c>
      <c r="F3905" s="113" t="s">
        <v>935</v>
      </c>
    </row>
    <row r="3906" spans="1:6" ht="14.25" customHeight="1">
      <c r="A3906" s="286" t="s">
        <v>833</v>
      </c>
      <c r="B3906" s="286">
        <v>2024</v>
      </c>
      <c r="C3906" s="286" t="s">
        <v>1024</v>
      </c>
      <c r="D3906" s="286" t="s">
        <v>1027</v>
      </c>
      <c r="E3906" s="286" t="s">
        <v>997</v>
      </c>
      <c r="F3906" s="113" t="s">
        <v>935</v>
      </c>
    </row>
    <row r="3907" spans="1:6" ht="14.25" customHeight="1">
      <c r="A3907" s="286" t="s">
        <v>833</v>
      </c>
      <c r="B3907" s="286">
        <v>2024</v>
      </c>
      <c r="C3907" s="286" t="s">
        <v>1024</v>
      </c>
      <c r="D3907" s="286" t="s">
        <v>1026</v>
      </c>
      <c r="E3907" s="286" t="s">
        <v>1178</v>
      </c>
      <c r="F3907" s="113" t="s">
        <v>483</v>
      </c>
    </row>
    <row r="3908" spans="1:6" ht="14.25" customHeight="1">
      <c r="A3908" s="286" t="s">
        <v>833</v>
      </c>
      <c r="B3908" s="286">
        <v>2024</v>
      </c>
      <c r="C3908" s="286" t="s">
        <v>1024</v>
      </c>
      <c r="D3908" s="286" t="s">
        <v>1026</v>
      </c>
      <c r="E3908" s="286" t="s">
        <v>980</v>
      </c>
      <c r="F3908" s="113" t="s">
        <v>918</v>
      </c>
    </row>
    <row r="3909" spans="1:6" ht="14.25" customHeight="1">
      <c r="A3909" s="286" t="s">
        <v>834</v>
      </c>
      <c r="B3909" s="286">
        <v>2024</v>
      </c>
      <c r="C3909" s="286" t="s">
        <v>821</v>
      </c>
      <c r="D3909" s="286" t="s">
        <v>132</v>
      </c>
      <c r="E3909" s="286" t="s">
        <v>944</v>
      </c>
      <c r="F3909" s="113" t="s">
        <v>906</v>
      </c>
    </row>
    <row r="3910" spans="1:6" ht="14.25" customHeight="1">
      <c r="A3910" s="286" t="s">
        <v>834</v>
      </c>
      <c r="B3910" s="286">
        <v>2024</v>
      </c>
      <c r="C3910" s="286" t="s">
        <v>821</v>
      </c>
      <c r="D3910" s="286" t="s">
        <v>132</v>
      </c>
      <c r="E3910" s="286" t="s">
        <v>1036</v>
      </c>
      <c r="F3910" s="113" t="s">
        <v>906</v>
      </c>
    </row>
    <row r="3911" spans="1:6" ht="14.25" customHeight="1">
      <c r="A3911" s="286" t="s">
        <v>834</v>
      </c>
      <c r="B3911" s="286">
        <v>2024</v>
      </c>
      <c r="C3911" s="286" t="s">
        <v>821</v>
      </c>
      <c r="D3911" s="286" t="s">
        <v>132</v>
      </c>
      <c r="E3911" s="286" t="s">
        <v>1178</v>
      </c>
      <c r="F3911" s="113" t="s">
        <v>483</v>
      </c>
    </row>
    <row r="3912" spans="1:6" ht="14.25" customHeight="1">
      <c r="A3912" s="286" t="s">
        <v>834</v>
      </c>
      <c r="B3912" s="286">
        <v>2024</v>
      </c>
      <c r="C3912" s="286" t="s">
        <v>821</v>
      </c>
      <c r="D3912" s="286" t="s">
        <v>132</v>
      </c>
      <c r="E3912" s="286" t="s">
        <v>1173</v>
      </c>
      <c r="F3912" s="113" t="s">
        <v>915</v>
      </c>
    </row>
    <row r="3913" spans="1:6" ht="14.25" customHeight="1">
      <c r="A3913" s="286" t="s">
        <v>834</v>
      </c>
      <c r="B3913" s="286">
        <v>2024</v>
      </c>
      <c r="C3913" s="286" t="s">
        <v>821</v>
      </c>
      <c r="D3913" s="286" t="s">
        <v>132</v>
      </c>
      <c r="E3913" s="113" t="s">
        <v>2</v>
      </c>
      <c r="F3913" s="113" t="s">
        <v>935</v>
      </c>
    </row>
    <row r="3914" spans="1:6" ht="14.25" customHeight="1">
      <c r="A3914" s="286" t="s">
        <v>834</v>
      </c>
      <c r="B3914" s="286">
        <v>2024</v>
      </c>
      <c r="C3914" s="286" t="s">
        <v>821</v>
      </c>
      <c r="D3914" s="286" t="s">
        <v>132</v>
      </c>
      <c r="E3914" s="113" t="s">
        <v>2</v>
      </c>
      <c r="F3914" s="113" t="s">
        <v>935</v>
      </c>
    </row>
    <row r="3915" spans="1:6" ht="14.25" customHeight="1">
      <c r="A3915" s="286" t="s">
        <v>834</v>
      </c>
      <c r="B3915" s="286">
        <v>2024</v>
      </c>
      <c r="C3915" s="286" t="s">
        <v>821</v>
      </c>
      <c r="D3915" s="286" t="s">
        <v>132</v>
      </c>
      <c r="E3915" s="113" t="s">
        <v>2</v>
      </c>
      <c r="F3915" s="113" t="s">
        <v>935</v>
      </c>
    </row>
    <row r="3916" spans="1:6" ht="14.25" customHeight="1">
      <c r="A3916" s="286" t="s">
        <v>834</v>
      </c>
      <c r="B3916" s="286">
        <v>2024</v>
      </c>
      <c r="C3916" s="286" t="s">
        <v>821</v>
      </c>
      <c r="D3916" s="286" t="s">
        <v>934</v>
      </c>
      <c r="E3916" s="286" t="s">
        <v>1040</v>
      </c>
      <c r="F3916" s="113" t="s">
        <v>906</v>
      </c>
    </row>
    <row r="3917" spans="1:6" ht="14.25" customHeight="1">
      <c r="A3917" s="286" t="s">
        <v>834</v>
      </c>
      <c r="B3917" s="286">
        <v>2024</v>
      </c>
      <c r="C3917" s="286" t="s">
        <v>821</v>
      </c>
      <c r="D3917" s="286" t="s">
        <v>934</v>
      </c>
      <c r="E3917" s="286" t="s">
        <v>1298</v>
      </c>
      <c r="F3917" s="113" t="s">
        <v>924</v>
      </c>
    </row>
    <row r="3918" spans="1:6" ht="14.25" customHeight="1">
      <c r="A3918" s="286" t="s">
        <v>834</v>
      </c>
      <c r="B3918" s="286">
        <v>2024</v>
      </c>
      <c r="C3918" s="286" t="s">
        <v>821</v>
      </c>
      <c r="D3918" s="286" t="s">
        <v>934</v>
      </c>
      <c r="E3918" s="286" t="s">
        <v>1004</v>
      </c>
      <c r="F3918" s="113" t="s">
        <v>935</v>
      </c>
    </row>
    <row r="3919" spans="1:6" ht="14.25" customHeight="1">
      <c r="A3919" s="286" t="s">
        <v>834</v>
      </c>
      <c r="B3919" s="286">
        <v>2024</v>
      </c>
      <c r="C3919" s="286" t="s">
        <v>821</v>
      </c>
      <c r="D3919" s="286" t="s">
        <v>931</v>
      </c>
      <c r="E3919" s="286" t="s">
        <v>1017</v>
      </c>
      <c r="F3919" s="113" t="s">
        <v>909</v>
      </c>
    </row>
    <row r="3920" spans="1:6" ht="14.25" customHeight="1">
      <c r="A3920" s="286" t="s">
        <v>834</v>
      </c>
      <c r="B3920" s="286">
        <v>2024</v>
      </c>
      <c r="C3920" s="286" t="s">
        <v>821</v>
      </c>
      <c r="D3920" s="286" t="s">
        <v>976</v>
      </c>
      <c r="E3920" s="286" t="s">
        <v>2</v>
      </c>
      <c r="F3920" s="113" t="s">
        <v>911</v>
      </c>
    </row>
    <row r="3921" spans="1:6" ht="14.25" customHeight="1">
      <c r="A3921" s="286" t="s">
        <v>834</v>
      </c>
      <c r="B3921" s="286">
        <v>2024</v>
      </c>
      <c r="C3921" s="286" t="s">
        <v>821</v>
      </c>
      <c r="D3921" s="286" t="s">
        <v>976</v>
      </c>
      <c r="E3921" s="286" t="s">
        <v>2</v>
      </c>
      <c r="F3921" s="113" t="s">
        <v>915</v>
      </c>
    </row>
    <row r="3922" spans="1:6" ht="14.25" customHeight="1">
      <c r="A3922" s="286" t="s">
        <v>834</v>
      </c>
      <c r="B3922" s="286">
        <v>2024</v>
      </c>
      <c r="C3922" s="286" t="s">
        <v>821</v>
      </c>
      <c r="D3922" s="286" t="s">
        <v>976</v>
      </c>
      <c r="E3922" s="286" t="s">
        <v>943</v>
      </c>
      <c r="F3922" s="113" t="s">
        <v>917</v>
      </c>
    </row>
    <row r="3923" spans="1:6" ht="14.25" customHeight="1">
      <c r="A3923" s="286" t="s">
        <v>834</v>
      </c>
      <c r="B3923" s="286">
        <v>2024</v>
      </c>
      <c r="C3923" s="286" t="s">
        <v>821</v>
      </c>
      <c r="D3923" s="286" t="s">
        <v>976</v>
      </c>
      <c r="E3923" s="286" t="s">
        <v>1004</v>
      </c>
      <c r="F3923" s="113" t="s">
        <v>935</v>
      </c>
    </row>
    <row r="3924" spans="1:6" ht="14.25" customHeight="1">
      <c r="A3924" s="286" t="s">
        <v>834</v>
      </c>
      <c r="B3924" s="286">
        <v>2024</v>
      </c>
      <c r="C3924" s="286" t="s">
        <v>821</v>
      </c>
      <c r="D3924" s="286" t="s">
        <v>1033</v>
      </c>
      <c r="E3924" s="286" t="s">
        <v>954</v>
      </c>
      <c r="F3924" s="113" t="s">
        <v>906</v>
      </c>
    </row>
    <row r="3925" spans="1:6" ht="14.25" customHeight="1">
      <c r="A3925" s="286" t="s">
        <v>834</v>
      </c>
      <c r="B3925" s="286">
        <v>2024</v>
      </c>
      <c r="C3925" s="286" t="s">
        <v>821</v>
      </c>
      <c r="D3925" s="286" t="s">
        <v>1033</v>
      </c>
      <c r="E3925" s="286" t="s">
        <v>1126</v>
      </c>
      <c r="F3925" s="113" t="s">
        <v>483</v>
      </c>
    </row>
    <row r="3926" spans="1:6" ht="14.25" customHeight="1">
      <c r="A3926" s="286" t="s">
        <v>834</v>
      </c>
      <c r="B3926" s="286">
        <v>2024</v>
      </c>
      <c r="C3926" s="286" t="s">
        <v>821</v>
      </c>
      <c r="D3926" s="286" t="s">
        <v>1033</v>
      </c>
      <c r="E3926" s="286" t="s">
        <v>1038</v>
      </c>
      <c r="F3926" s="113" t="s">
        <v>918</v>
      </c>
    </row>
    <row r="3927" spans="1:6" ht="14.25" customHeight="1">
      <c r="A3927" s="286" t="s">
        <v>834</v>
      </c>
      <c r="B3927" s="286">
        <v>2024</v>
      </c>
      <c r="C3927" s="286" t="s">
        <v>821</v>
      </c>
      <c r="D3927" s="286" t="s">
        <v>1033</v>
      </c>
      <c r="E3927" s="286" t="s">
        <v>1091</v>
      </c>
      <c r="F3927" s="113" t="s">
        <v>783</v>
      </c>
    </row>
    <row r="3928" spans="1:6" ht="14.25" customHeight="1">
      <c r="A3928" s="286" t="s">
        <v>834</v>
      </c>
      <c r="B3928" s="286">
        <v>2024</v>
      </c>
      <c r="C3928" s="286" t="s">
        <v>821</v>
      </c>
      <c r="D3928" s="286" t="s">
        <v>1033</v>
      </c>
      <c r="E3928" s="286" t="s">
        <v>2</v>
      </c>
      <c r="F3928" s="113" t="s">
        <v>924</v>
      </c>
    </row>
    <row r="3929" spans="1:6" ht="14.25" customHeight="1">
      <c r="A3929" s="286" t="s">
        <v>834</v>
      </c>
      <c r="B3929" s="286">
        <v>2024</v>
      </c>
      <c r="C3929" s="286" t="s">
        <v>88</v>
      </c>
      <c r="D3929" s="286" t="s">
        <v>959</v>
      </c>
      <c r="E3929" s="286" t="s">
        <v>954</v>
      </c>
      <c r="F3929" s="113" t="s">
        <v>906</v>
      </c>
    </row>
    <row r="3930" spans="1:6" ht="14.25" customHeight="1">
      <c r="A3930" s="286" t="s">
        <v>834</v>
      </c>
      <c r="B3930" s="286">
        <v>2024</v>
      </c>
      <c r="C3930" s="286" t="s">
        <v>88</v>
      </c>
      <c r="D3930" s="286" t="s">
        <v>959</v>
      </c>
      <c r="E3930" s="286" t="s">
        <v>952</v>
      </c>
      <c r="F3930" s="113" t="s">
        <v>906</v>
      </c>
    </row>
    <row r="3931" spans="1:6" ht="14.25" customHeight="1">
      <c r="A3931" s="286" t="s">
        <v>834</v>
      </c>
      <c r="B3931" s="286">
        <v>2024</v>
      </c>
      <c r="C3931" s="286" t="s">
        <v>88</v>
      </c>
      <c r="D3931" s="286" t="s">
        <v>959</v>
      </c>
      <c r="E3931" s="286" t="s">
        <v>1170</v>
      </c>
      <c r="F3931" s="113" t="s">
        <v>909</v>
      </c>
    </row>
    <row r="3932" spans="1:6" ht="14.25" customHeight="1">
      <c r="A3932" s="286" t="s">
        <v>834</v>
      </c>
      <c r="B3932" s="286">
        <v>2024</v>
      </c>
      <c r="C3932" s="286" t="s">
        <v>88</v>
      </c>
      <c r="D3932" s="286" t="s">
        <v>959</v>
      </c>
      <c r="E3932" s="286" t="s">
        <v>1017</v>
      </c>
      <c r="F3932" s="113" t="s">
        <v>909</v>
      </c>
    </row>
    <row r="3933" spans="1:6" ht="14.25" customHeight="1">
      <c r="A3933" s="286" t="s">
        <v>834</v>
      </c>
      <c r="B3933" s="286">
        <v>2024</v>
      </c>
      <c r="C3933" s="286" t="s">
        <v>88</v>
      </c>
      <c r="D3933" s="286" t="s">
        <v>959</v>
      </c>
      <c r="E3933" s="286" t="s">
        <v>1076</v>
      </c>
      <c r="F3933" s="113" t="s">
        <v>483</v>
      </c>
    </row>
    <row r="3934" spans="1:6" ht="14.25" customHeight="1">
      <c r="A3934" s="286" t="s">
        <v>834</v>
      </c>
      <c r="B3934" s="286">
        <v>2024</v>
      </c>
      <c r="C3934" s="286" t="s">
        <v>88</v>
      </c>
      <c r="D3934" s="286" t="s">
        <v>969</v>
      </c>
      <c r="E3934" s="286" t="s">
        <v>953</v>
      </c>
      <c r="F3934" s="113" t="s">
        <v>906</v>
      </c>
    </row>
    <row r="3935" spans="1:6" ht="14.25" customHeight="1">
      <c r="A3935" s="286" t="s">
        <v>834</v>
      </c>
      <c r="B3935" s="286">
        <v>2024</v>
      </c>
      <c r="C3935" s="286" t="s">
        <v>88</v>
      </c>
      <c r="D3935" s="286" t="s">
        <v>969</v>
      </c>
      <c r="E3935" s="286" t="s">
        <v>987</v>
      </c>
      <c r="F3935" s="113" t="s">
        <v>935</v>
      </c>
    </row>
    <row r="3936" spans="1:6" ht="14.25" customHeight="1">
      <c r="A3936" s="286" t="s">
        <v>834</v>
      </c>
      <c r="B3936" s="286">
        <v>2024</v>
      </c>
      <c r="C3936" s="286" t="s">
        <v>88</v>
      </c>
      <c r="D3936" s="286" t="s">
        <v>969</v>
      </c>
      <c r="E3936" s="286" t="s">
        <v>1090</v>
      </c>
      <c r="F3936" s="113" t="s">
        <v>935</v>
      </c>
    </row>
    <row r="3937" spans="1:6" ht="14.25" customHeight="1">
      <c r="A3937" s="286" t="s">
        <v>834</v>
      </c>
      <c r="B3937" s="286">
        <v>2024</v>
      </c>
      <c r="C3937" s="286" t="s">
        <v>88</v>
      </c>
      <c r="D3937" s="286" t="s">
        <v>969</v>
      </c>
      <c r="E3937" s="286" t="s">
        <v>1004</v>
      </c>
      <c r="F3937" s="113" t="s">
        <v>935</v>
      </c>
    </row>
    <row r="3938" spans="1:6" ht="14.25" customHeight="1">
      <c r="A3938" s="286" t="s">
        <v>834</v>
      </c>
      <c r="B3938" s="286">
        <v>2024</v>
      </c>
      <c r="C3938" s="286" t="s">
        <v>88</v>
      </c>
      <c r="D3938" s="286" t="s">
        <v>988</v>
      </c>
      <c r="E3938" s="286" t="s">
        <v>1004</v>
      </c>
      <c r="F3938" s="113" t="s">
        <v>935</v>
      </c>
    </row>
    <row r="3939" spans="1:6" ht="14.25" customHeight="1">
      <c r="A3939" s="286" t="s">
        <v>834</v>
      </c>
      <c r="B3939" s="286">
        <v>2024</v>
      </c>
      <c r="C3939" s="286" t="s">
        <v>88</v>
      </c>
      <c r="D3939" s="286" t="s">
        <v>956</v>
      </c>
      <c r="E3939" s="286" t="s">
        <v>961</v>
      </c>
      <c r="F3939" s="113" t="s">
        <v>663</v>
      </c>
    </row>
    <row r="3940" spans="1:6" ht="14.25" customHeight="1">
      <c r="A3940" s="286" t="s">
        <v>834</v>
      </c>
      <c r="B3940" s="286">
        <v>2024</v>
      </c>
      <c r="C3940" s="286" t="s">
        <v>859</v>
      </c>
      <c r="D3940" s="286" t="s">
        <v>999</v>
      </c>
      <c r="E3940" s="286" t="s">
        <v>1094</v>
      </c>
      <c r="F3940" s="113" t="s">
        <v>918</v>
      </c>
    </row>
    <row r="3941" spans="1:6" ht="14.25" customHeight="1">
      <c r="A3941" s="286" t="s">
        <v>834</v>
      </c>
      <c r="B3941" s="286">
        <v>2024</v>
      </c>
      <c r="C3941" s="286" t="s">
        <v>859</v>
      </c>
      <c r="D3941" s="286" t="s">
        <v>1005</v>
      </c>
      <c r="E3941" s="286" t="s">
        <v>1111</v>
      </c>
      <c r="F3941" s="113" t="s">
        <v>918</v>
      </c>
    </row>
    <row r="3942" spans="1:6" ht="14.25" customHeight="1">
      <c r="A3942" s="286" t="s">
        <v>834</v>
      </c>
      <c r="B3942" s="286">
        <v>2024</v>
      </c>
      <c r="C3942" s="286" t="s">
        <v>859</v>
      </c>
      <c r="D3942" s="286" t="s">
        <v>998</v>
      </c>
      <c r="E3942" s="286" t="s">
        <v>981</v>
      </c>
      <c r="F3942" s="113" t="s">
        <v>906</v>
      </c>
    </row>
    <row r="3943" spans="1:6" ht="14.25" customHeight="1">
      <c r="A3943" s="286" t="s">
        <v>834</v>
      </c>
      <c r="B3943" s="286">
        <v>2024</v>
      </c>
      <c r="C3943" s="286" t="s">
        <v>859</v>
      </c>
      <c r="D3943" s="286" t="s">
        <v>998</v>
      </c>
      <c r="E3943" s="286" t="s">
        <v>971</v>
      </c>
      <c r="F3943" s="113" t="s">
        <v>909</v>
      </c>
    </row>
    <row r="3944" spans="1:6" ht="14.25" customHeight="1">
      <c r="A3944" s="286" t="s">
        <v>834</v>
      </c>
      <c r="B3944" s="286">
        <v>2024</v>
      </c>
      <c r="C3944" s="286" t="s">
        <v>859</v>
      </c>
      <c r="D3944" s="286" t="s">
        <v>998</v>
      </c>
      <c r="E3944" s="286" t="s">
        <v>1075</v>
      </c>
      <c r="F3944" s="113" t="s">
        <v>483</v>
      </c>
    </row>
    <row r="3945" spans="1:6" ht="14.25" customHeight="1">
      <c r="A3945" s="286" t="s">
        <v>834</v>
      </c>
      <c r="B3945" s="286">
        <v>2024</v>
      </c>
      <c r="C3945" s="286" t="s">
        <v>859</v>
      </c>
      <c r="D3945" s="286" t="s">
        <v>998</v>
      </c>
      <c r="E3945" s="286" t="s">
        <v>1139</v>
      </c>
      <c r="F3945" s="113" t="s">
        <v>483</v>
      </c>
    </row>
    <row r="3946" spans="1:6" ht="14.25" customHeight="1">
      <c r="A3946" s="286" t="s">
        <v>834</v>
      </c>
      <c r="B3946" s="286">
        <v>2024</v>
      </c>
      <c r="C3946" s="286" t="s">
        <v>859</v>
      </c>
      <c r="D3946" s="286" t="s">
        <v>998</v>
      </c>
      <c r="E3946" s="286" t="s">
        <v>1092</v>
      </c>
      <c r="F3946" s="113" t="s">
        <v>911</v>
      </c>
    </row>
    <row r="3947" spans="1:6" ht="14.25" customHeight="1">
      <c r="A3947" s="286" t="s">
        <v>834</v>
      </c>
      <c r="B3947" s="286">
        <v>2024</v>
      </c>
      <c r="C3947" s="286" t="s">
        <v>859</v>
      </c>
      <c r="D3947" s="286" t="s">
        <v>998</v>
      </c>
      <c r="E3947" s="286" t="s">
        <v>961</v>
      </c>
      <c r="F3947" s="113" t="s">
        <v>663</v>
      </c>
    </row>
    <row r="3948" spans="1:6" ht="14.25" customHeight="1">
      <c r="A3948" s="286" t="s">
        <v>834</v>
      </c>
      <c r="B3948" s="286">
        <v>2024</v>
      </c>
      <c r="C3948" s="286" t="s">
        <v>872</v>
      </c>
      <c r="D3948" s="286" t="s">
        <v>1015</v>
      </c>
      <c r="E3948" s="286" t="s">
        <v>943</v>
      </c>
      <c r="F3948" s="113" t="s">
        <v>917</v>
      </c>
    </row>
    <row r="3949" spans="1:6" ht="14.25" customHeight="1">
      <c r="A3949" s="286" t="s">
        <v>834</v>
      </c>
      <c r="B3949" s="286">
        <v>2024</v>
      </c>
      <c r="C3949" s="286" t="s">
        <v>872</v>
      </c>
      <c r="D3949" s="286" t="s">
        <v>1018</v>
      </c>
      <c r="E3949" s="286" t="s">
        <v>1187</v>
      </c>
      <c r="F3949" s="113" t="s">
        <v>783</v>
      </c>
    </row>
    <row r="3950" spans="1:6" ht="14.25" customHeight="1">
      <c r="A3950" s="286" t="s">
        <v>834</v>
      </c>
      <c r="B3950" s="286">
        <v>2024</v>
      </c>
      <c r="C3950" s="286" t="s">
        <v>1024</v>
      </c>
      <c r="D3950" s="286" t="s">
        <v>1025</v>
      </c>
      <c r="E3950" s="286" t="s">
        <v>981</v>
      </c>
      <c r="F3950" s="113" t="s">
        <v>906</v>
      </c>
    </row>
    <row r="3951" spans="1:6" ht="14.25" customHeight="1">
      <c r="A3951" s="286" t="s">
        <v>834</v>
      </c>
      <c r="B3951" s="286">
        <v>2024</v>
      </c>
      <c r="C3951" s="286" t="s">
        <v>1024</v>
      </c>
      <c r="D3951" s="286" t="s">
        <v>1027</v>
      </c>
      <c r="E3951" s="286" t="s">
        <v>2</v>
      </c>
      <c r="F3951" s="113" t="s">
        <v>935</v>
      </c>
    </row>
    <row r="3952" spans="1:6" ht="14.25" customHeight="1">
      <c r="A3952" s="286" t="s">
        <v>824</v>
      </c>
      <c r="B3952" s="286">
        <v>2023</v>
      </c>
      <c r="C3952" s="286" t="s">
        <v>821</v>
      </c>
      <c r="D3952" s="286" t="s">
        <v>132</v>
      </c>
      <c r="E3952" s="286" t="s">
        <v>954</v>
      </c>
      <c r="F3952" s="113" t="s">
        <v>906</v>
      </c>
    </row>
    <row r="3953" spans="1:6" ht="14.25" customHeight="1">
      <c r="A3953" s="286" t="s">
        <v>824</v>
      </c>
      <c r="B3953" s="286">
        <v>2023</v>
      </c>
      <c r="C3953" s="286" t="s">
        <v>821</v>
      </c>
      <c r="D3953" s="286" t="s">
        <v>132</v>
      </c>
      <c r="E3953" s="286" t="s">
        <v>991</v>
      </c>
      <c r="F3953" s="113" t="s">
        <v>906</v>
      </c>
    </row>
    <row r="3954" spans="1:6" ht="14.25" customHeight="1">
      <c r="A3954" s="286" t="s">
        <v>824</v>
      </c>
      <c r="B3954" s="286">
        <v>2023</v>
      </c>
      <c r="C3954" s="286" t="s">
        <v>821</v>
      </c>
      <c r="D3954" s="286" t="s">
        <v>132</v>
      </c>
      <c r="E3954" s="286" t="s">
        <v>944</v>
      </c>
      <c r="F3954" s="113" t="s">
        <v>906</v>
      </c>
    </row>
    <row r="3955" spans="1:6" ht="14.25" customHeight="1">
      <c r="A3955" s="286" t="s">
        <v>824</v>
      </c>
      <c r="B3955" s="286">
        <v>2023</v>
      </c>
      <c r="C3955" s="286" t="s">
        <v>821</v>
      </c>
      <c r="D3955" s="286" t="s">
        <v>132</v>
      </c>
      <c r="E3955" s="286" t="s">
        <v>2</v>
      </c>
      <c r="F3955" s="113" t="s">
        <v>906</v>
      </c>
    </row>
    <row r="3956" spans="1:6" ht="14.25" customHeight="1">
      <c r="A3956" s="286" t="s">
        <v>824</v>
      </c>
      <c r="B3956" s="286">
        <v>2023</v>
      </c>
      <c r="C3956" s="286" t="s">
        <v>821</v>
      </c>
      <c r="D3956" s="286" t="s">
        <v>132</v>
      </c>
      <c r="E3956" s="286" t="s">
        <v>2</v>
      </c>
      <c r="F3956" s="113" t="s">
        <v>906</v>
      </c>
    </row>
    <row r="3957" spans="1:6" ht="14.25" customHeight="1">
      <c r="A3957" s="286" t="s">
        <v>824</v>
      </c>
      <c r="B3957" s="286">
        <v>2023</v>
      </c>
      <c r="C3957" s="286" t="s">
        <v>821</v>
      </c>
      <c r="D3957" s="286" t="s">
        <v>132</v>
      </c>
      <c r="E3957" s="286" t="s">
        <v>2</v>
      </c>
      <c r="F3957" s="113" t="s">
        <v>906</v>
      </c>
    </row>
    <row r="3958" spans="1:6" ht="14.25" customHeight="1">
      <c r="A3958" s="286" t="s">
        <v>824</v>
      </c>
      <c r="B3958" s="286">
        <v>2023</v>
      </c>
      <c r="C3958" s="286" t="s">
        <v>821</v>
      </c>
      <c r="D3958" s="286" t="s">
        <v>132</v>
      </c>
      <c r="E3958" s="286" t="s">
        <v>2</v>
      </c>
      <c r="F3958" s="113" t="s">
        <v>906</v>
      </c>
    </row>
    <row r="3959" spans="1:6" ht="14.25" customHeight="1">
      <c r="A3959" s="286" t="s">
        <v>824</v>
      </c>
      <c r="B3959" s="286">
        <v>2023</v>
      </c>
      <c r="C3959" s="286" t="s">
        <v>821</v>
      </c>
      <c r="D3959" s="286" t="s">
        <v>132</v>
      </c>
      <c r="E3959" s="286" t="s">
        <v>1040</v>
      </c>
      <c r="F3959" s="113" t="s">
        <v>906</v>
      </c>
    </row>
    <row r="3960" spans="1:6" ht="14.25" customHeight="1">
      <c r="A3960" s="286" t="s">
        <v>824</v>
      </c>
      <c r="B3960" s="286">
        <v>2023</v>
      </c>
      <c r="C3960" s="286" t="s">
        <v>821</v>
      </c>
      <c r="D3960" s="286" t="s">
        <v>132</v>
      </c>
      <c r="E3960" s="286" t="s">
        <v>1190</v>
      </c>
      <c r="F3960" s="286" t="s">
        <v>924</v>
      </c>
    </row>
    <row r="3961" spans="1:6" ht="14.25" customHeight="1">
      <c r="A3961" s="286" t="s">
        <v>824</v>
      </c>
      <c r="B3961" s="286">
        <v>2023</v>
      </c>
      <c r="C3961" s="286" t="s">
        <v>821</v>
      </c>
      <c r="D3961" s="286" t="s">
        <v>132</v>
      </c>
      <c r="E3961" s="286" t="s">
        <v>1299</v>
      </c>
      <c r="F3961" s="286" t="s">
        <v>924</v>
      </c>
    </row>
    <row r="3962" spans="1:6" ht="14.25" customHeight="1">
      <c r="A3962" s="286" t="s">
        <v>824</v>
      </c>
      <c r="B3962" s="286">
        <v>2023</v>
      </c>
      <c r="C3962" s="286" t="s">
        <v>821</v>
      </c>
      <c r="D3962" s="286" t="s">
        <v>132</v>
      </c>
      <c r="E3962" s="286" t="s">
        <v>952</v>
      </c>
      <c r="F3962" s="113" t="s">
        <v>906</v>
      </c>
    </row>
    <row r="3963" spans="1:6" ht="14.25" customHeight="1">
      <c r="A3963" s="286" t="s">
        <v>824</v>
      </c>
      <c r="B3963" s="286">
        <v>2023</v>
      </c>
      <c r="C3963" s="286" t="s">
        <v>821</v>
      </c>
      <c r="D3963" s="286" t="s">
        <v>132</v>
      </c>
      <c r="E3963" s="286" t="s">
        <v>930</v>
      </c>
      <c r="F3963" s="113" t="s">
        <v>906</v>
      </c>
    </row>
    <row r="3964" spans="1:6" ht="14.25" customHeight="1">
      <c r="A3964" s="286" t="s">
        <v>824</v>
      </c>
      <c r="B3964" s="286">
        <v>2023</v>
      </c>
      <c r="C3964" s="286" t="s">
        <v>821</v>
      </c>
      <c r="D3964" s="286" t="s">
        <v>132</v>
      </c>
      <c r="E3964" s="286" t="s">
        <v>944</v>
      </c>
      <c r="F3964" s="113" t="s">
        <v>906</v>
      </c>
    </row>
    <row r="3965" spans="1:6" ht="14.25" customHeight="1">
      <c r="A3965" s="286" t="s">
        <v>824</v>
      </c>
      <c r="B3965" s="286">
        <v>2023</v>
      </c>
      <c r="C3965" s="286" t="s">
        <v>821</v>
      </c>
      <c r="D3965" s="286" t="s">
        <v>934</v>
      </c>
      <c r="E3965" s="286" t="s">
        <v>954</v>
      </c>
      <c r="F3965" s="113" t="s">
        <v>906</v>
      </c>
    </row>
    <row r="3966" spans="1:6" ht="14.25" customHeight="1">
      <c r="A3966" s="286" t="s">
        <v>824</v>
      </c>
      <c r="B3966" s="286">
        <v>2023</v>
      </c>
      <c r="C3966" s="286" t="s">
        <v>821</v>
      </c>
      <c r="D3966" s="286" t="s">
        <v>934</v>
      </c>
      <c r="E3966" s="286" t="s">
        <v>1014</v>
      </c>
      <c r="F3966" s="113" t="s">
        <v>906</v>
      </c>
    </row>
    <row r="3967" spans="1:6" ht="14.25" customHeight="1">
      <c r="A3967" s="286" t="s">
        <v>824</v>
      </c>
      <c r="B3967" s="286">
        <v>2023</v>
      </c>
      <c r="C3967" s="286" t="s">
        <v>821</v>
      </c>
      <c r="D3967" s="286" t="s">
        <v>934</v>
      </c>
      <c r="E3967" s="286" t="s">
        <v>952</v>
      </c>
      <c r="F3967" s="113" t="s">
        <v>906</v>
      </c>
    </row>
    <row r="3968" spans="1:6" ht="14.25" customHeight="1">
      <c r="A3968" s="286" t="s">
        <v>824</v>
      </c>
      <c r="B3968" s="286">
        <v>2023</v>
      </c>
      <c r="C3968" s="286" t="s">
        <v>821</v>
      </c>
      <c r="D3968" s="286" t="s">
        <v>934</v>
      </c>
      <c r="E3968" s="286" t="s">
        <v>982</v>
      </c>
      <c r="F3968" s="113" t="s">
        <v>663</v>
      </c>
    </row>
    <row r="3969" spans="1:6" ht="14.25" customHeight="1">
      <c r="A3969" s="286" t="s">
        <v>824</v>
      </c>
      <c r="B3969" s="286">
        <v>2023</v>
      </c>
      <c r="C3969" s="286" t="s">
        <v>821</v>
      </c>
      <c r="D3969" s="286" t="s">
        <v>934</v>
      </c>
      <c r="E3969" s="286" t="s">
        <v>990</v>
      </c>
      <c r="F3969" s="113" t="s">
        <v>935</v>
      </c>
    </row>
    <row r="3970" spans="1:6" ht="14.25" customHeight="1">
      <c r="A3970" s="286" t="s">
        <v>824</v>
      </c>
      <c r="B3970" s="286">
        <v>2023</v>
      </c>
      <c r="C3970" s="286" t="s">
        <v>821</v>
      </c>
      <c r="D3970" s="286" t="s">
        <v>934</v>
      </c>
      <c r="E3970" s="286" t="s">
        <v>1035</v>
      </c>
      <c r="F3970" s="113" t="s">
        <v>935</v>
      </c>
    </row>
    <row r="3971" spans="1:6" ht="14.25" customHeight="1">
      <c r="A3971" s="286" t="s">
        <v>824</v>
      </c>
      <c r="B3971" s="286">
        <v>2023</v>
      </c>
      <c r="C3971" s="286" t="s">
        <v>821</v>
      </c>
      <c r="D3971" s="286" t="s">
        <v>934</v>
      </c>
      <c r="E3971" s="286" t="s">
        <v>2</v>
      </c>
      <c r="F3971" s="113" t="s">
        <v>922</v>
      </c>
    </row>
    <row r="3972" spans="1:6" ht="14.25" customHeight="1">
      <c r="A3972" s="286" t="s">
        <v>824</v>
      </c>
      <c r="B3972" s="286">
        <v>2023</v>
      </c>
      <c r="C3972" s="286" t="s">
        <v>821</v>
      </c>
      <c r="D3972" s="286" t="s">
        <v>934</v>
      </c>
      <c r="E3972" s="286" t="s">
        <v>2</v>
      </c>
      <c r="F3972" s="113" t="s">
        <v>922</v>
      </c>
    </row>
    <row r="3973" spans="1:6" ht="14.25" customHeight="1">
      <c r="A3973" s="286" t="s">
        <v>824</v>
      </c>
      <c r="B3973" s="286">
        <v>2023</v>
      </c>
      <c r="C3973" s="286" t="s">
        <v>821</v>
      </c>
      <c r="D3973" s="286" t="s">
        <v>934</v>
      </c>
      <c r="E3973" s="286" t="s">
        <v>2</v>
      </c>
      <c r="F3973" s="113" t="s">
        <v>922</v>
      </c>
    </row>
    <row r="3974" spans="1:6" ht="14.25" customHeight="1">
      <c r="A3974" s="286" t="s">
        <v>824</v>
      </c>
      <c r="B3974" s="286">
        <v>2023</v>
      </c>
      <c r="C3974" s="286" t="s">
        <v>821</v>
      </c>
      <c r="D3974" s="286" t="s">
        <v>934</v>
      </c>
      <c r="E3974" s="286" t="s">
        <v>1300</v>
      </c>
      <c r="F3974" s="284" t="s">
        <v>1144</v>
      </c>
    </row>
    <row r="3975" spans="1:6" ht="14.25" customHeight="1">
      <c r="A3975" s="286" t="s">
        <v>824</v>
      </c>
      <c r="B3975" s="286">
        <v>2023</v>
      </c>
      <c r="C3975" s="286" t="s">
        <v>821</v>
      </c>
      <c r="D3975" s="286" t="s">
        <v>934</v>
      </c>
      <c r="E3975" s="286" t="s">
        <v>991</v>
      </c>
      <c r="F3975" s="113" t="s">
        <v>906</v>
      </c>
    </row>
    <row r="3976" spans="1:6" ht="14.25" customHeight="1">
      <c r="A3976" s="286" t="s">
        <v>824</v>
      </c>
      <c r="B3976" s="286">
        <v>2023</v>
      </c>
      <c r="C3976" s="286" t="s">
        <v>821</v>
      </c>
      <c r="D3976" s="286" t="s">
        <v>934</v>
      </c>
      <c r="E3976" s="286" t="s">
        <v>1057</v>
      </c>
      <c r="F3976" s="113" t="s">
        <v>915</v>
      </c>
    </row>
    <row r="3977" spans="1:6" ht="14.25" customHeight="1">
      <c r="A3977" s="286" t="s">
        <v>824</v>
      </c>
      <c r="B3977" s="286">
        <v>2023</v>
      </c>
      <c r="C3977" s="286" t="s">
        <v>821</v>
      </c>
      <c r="D3977" s="286" t="s">
        <v>934</v>
      </c>
      <c r="E3977" s="286" t="s">
        <v>955</v>
      </c>
      <c r="F3977" s="113" t="s">
        <v>922</v>
      </c>
    </row>
    <row r="3978" spans="1:6" ht="14.25" customHeight="1">
      <c r="A3978" s="286" t="s">
        <v>824</v>
      </c>
      <c r="B3978" s="286">
        <v>2023</v>
      </c>
      <c r="C3978" s="286" t="s">
        <v>821</v>
      </c>
      <c r="D3978" s="286" t="s">
        <v>934</v>
      </c>
      <c r="E3978" s="286" t="s">
        <v>1023</v>
      </c>
      <c r="F3978" s="113" t="s">
        <v>935</v>
      </c>
    </row>
    <row r="3979" spans="1:6" ht="14.25" customHeight="1">
      <c r="A3979" s="286" t="s">
        <v>824</v>
      </c>
      <c r="B3979" s="286">
        <v>2023</v>
      </c>
      <c r="C3979" s="286" t="s">
        <v>821</v>
      </c>
      <c r="D3979" s="286" t="s">
        <v>931</v>
      </c>
      <c r="E3979" s="286" t="s">
        <v>1088</v>
      </c>
      <c r="F3979" s="113" t="s">
        <v>915</v>
      </c>
    </row>
    <row r="3980" spans="1:6" ht="14.25" customHeight="1">
      <c r="A3980" s="286" t="s">
        <v>824</v>
      </c>
      <c r="B3980" s="286">
        <v>2023</v>
      </c>
      <c r="C3980" s="286" t="s">
        <v>821</v>
      </c>
      <c r="D3980" s="286" t="s">
        <v>931</v>
      </c>
      <c r="E3980" s="286" t="s">
        <v>1106</v>
      </c>
      <c r="F3980" s="113" t="s">
        <v>915</v>
      </c>
    </row>
    <row r="3981" spans="1:6" ht="14.25" customHeight="1">
      <c r="A3981" s="286" t="s">
        <v>824</v>
      </c>
      <c r="B3981" s="286">
        <v>2023</v>
      </c>
      <c r="C3981" s="286" t="s">
        <v>821</v>
      </c>
      <c r="D3981" s="286" t="s">
        <v>931</v>
      </c>
      <c r="E3981" s="286" t="s">
        <v>1090</v>
      </c>
      <c r="F3981" s="113" t="s">
        <v>935</v>
      </c>
    </row>
    <row r="3982" spans="1:6" ht="14.25" customHeight="1">
      <c r="A3982" s="286" t="s">
        <v>824</v>
      </c>
      <c r="B3982" s="286">
        <v>2023</v>
      </c>
      <c r="C3982" s="286" t="s">
        <v>821</v>
      </c>
      <c r="D3982" s="286" t="s">
        <v>976</v>
      </c>
      <c r="E3982" s="286" t="s">
        <v>953</v>
      </c>
      <c r="F3982" s="113" t="s">
        <v>906</v>
      </c>
    </row>
    <row r="3983" spans="1:6" ht="14.25" customHeight="1">
      <c r="A3983" s="286" t="s">
        <v>824</v>
      </c>
      <c r="B3983" s="286">
        <v>2023</v>
      </c>
      <c r="C3983" s="286" t="s">
        <v>821</v>
      </c>
      <c r="D3983" s="286" t="s">
        <v>976</v>
      </c>
      <c r="E3983" s="286" t="s">
        <v>1062</v>
      </c>
      <c r="F3983" s="113" t="s">
        <v>922</v>
      </c>
    </row>
    <row r="3984" spans="1:6" ht="14.25" customHeight="1">
      <c r="A3984" s="286" t="s">
        <v>824</v>
      </c>
      <c r="B3984" s="286">
        <v>2023</v>
      </c>
      <c r="C3984" s="286" t="s">
        <v>821</v>
      </c>
      <c r="D3984" s="286" t="s">
        <v>976</v>
      </c>
      <c r="E3984" s="286" t="s">
        <v>1063</v>
      </c>
      <c r="F3984" s="113" t="s">
        <v>922</v>
      </c>
    </row>
    <row r="3985" spans="1:6" ht="14.25" customHeight="1">
      <c r="A3985" s="286" t="s">
        <v>824</v>
      </c>
      <c r="B3985" s="286">
        <v>2023</v>
      </c>
      <c r="C3985" s="286" t="s">
        <v>821</v>
      </c>
      <c r="D3985" s="286" t="s">
        <v>976</v>
      </c>
      <c r="E3985" s="286" t="s">
        <v>1034</v>
      </c>
      <c r="F3985" s="113" t="s">
        <v>922</v>
      </c>
    </row>
    <row r="3986" spans="1:6" ht="14.25" customHeight="1">
      <c r="A3986" s="286" t="s">
        <v>824</v>
      </c>
      <c r="B3986" s="286">
        <v>2023</v>
      </c>
      <c r="C3986" s="286" t="s">
        <v>821</v>
      </c>
      <c r="D3986" s="286" t="s">
        <v>976</v>
      </c>
      <c r="E3986" s="286" t="s">
        <v>1104</v>
      </c>
      <c r="F3986" s="113" t="s">
        <v>922</v>
      </c>
    </row>
    <row r="3987" spans="1:6" ht="14.25" customHeight="1">
      <c r="A3987" s="286" t="s">
        <v>824</v>
      </c>
      <c r="B3987" s="286">
        <v>2023</v>
      </c>
      <c r="C3987" s="286" t="s">
        <v>821</v>
      </c>
      <c r="D3987" s="286" t="s">
        <v>1033</v>
      </c>
      <c r="E3987" s="286" t="s">
        <v>2</v>
      </c>
      <c r="F3987" s="113" t="s">
        <v>483</v>
      </c>
    </row>
    <row r="3988" spans="1:6" ht="14.25" customHeight="1">
      <c r="A3988" s="286" t="s">
        <v>824</v>
      </c>
      <c r="B3988" s="286">
        <v>2023</v>
      </c>
      <c r="C3988" s="286" t="s">
        <v>821</v>
      </c>
      <c r="D3988" s="286" t="s">
        <v>1033</v>
      </c>
      <c r="E3988" s="286" t="s">
        <v>2</v>
      </c>
      <c r="F3988" s="113" t="s">
        <v>483</v>
      </c>
    </row>
    <row r="3989" spans="1:6" ht="14.25" customHeight="1">
      <c r="A3989" s="286" t="s">
        <v>824</v>
      </c>
      <c r="B3989" s="286">
        <v>2023</v>
      </c>
      <c r="C3989" s="286" t="s">
        <v>821</v>
      </c>
      <c r="D3989" s="286" t="s">
        <v>1033</v>
      </c>
      <c r="E3989" s="286" t="s">
        <v>2</v>
      </c>
      <c r="F3989" s="113" t="s">
        <v>483</v>
      </c>
    </row>
    <row r="3990" spans="1:6" ht="14.25" customHeight="1">
      <c r="A3990" s="286" t="s">
        <v>824</v>
      </c>
      <c r="B3990" s="286">
        <v>2023</v>
      </c>
      <c r="C3990" s="286" t="s">
        <v>821</v>
      </c>
      <c r="D3990" s="286" t="s">
        <v>1033</v>
      </c>
      <c r="E3990" s="286" t="s">
        <v>2</v>
      </c>
      <c r="F3990" s="113" t="s">
        <v>483</v>
      </c>
    </row>
    <row r="3991" spans="1:6" ht="14.25" customHeight="1">
      <c r="A3991" s="286" t="s">
        <v>824</v>
      </c>
      <c r="B3991" s="286">
        <v>2023</v>
      </c>
      <c r="C3991" s="286" t="s">
        <v>821</v>
      </c>
      <c r="D3991" s="286" t="s">
        <v>216</v>
      </c>
      <c r="E3991" s="286" t="s">
        <v>964</v>
      </c>
      <c r="F3991" s="113" t="s">
        <v>913</v>
      </c>
    </row>
    <row r="3992" spans="1:6" ht="14.25" customHeight="1">
      <c r="A3992" s="286" t="s">
        <v>824</v>
      </c>
      <c r="B3992" s="286">
        <v>2023</v>
      </c>
      <c r="C3992" s="286" t="s">
        <v>821</v>
      </c>
      <c r="D3992" s="286" t="s">
        <v>216</v>
      </c>
      <c r="E3992" s="286" t="s">
        <v>964</v>
      </c>
      <c r="F3992" s="113" t="s">
        <v>913</v>
      </c>
    </row>
    <row r="3993" spans="1:6" ht="14.25" customHeight="1">
      <c r="A3993" s="286" t="s">
        <v>824</v>
      </c>
      <c r="B3993" s="286">
        <v>2023</v>
      </c>
      <c r="C3993" s="286" t="s">
        <v>88</v>
      </c>
      <c r="D3993" s="286" t="s">
        <v>958</v>
      </c>
      <c r="E3993" s="286" t="s">
        <v>2</v>
      </c>
      <c r="F3993" s="286" t="s">
        <v>924</v>
      </c>
    </row>
    <row r="3994" spans="1:6" ht="14.25" customHeight="1">
      <c r="A3994" s="286" t="s">
        <v>824</v>
      </c>
      <c r="B3994" s="286">
        <v>2023</v>
      </c>
      <c r="C3994" s="286" t="s">
        <v>88</v>
      </c>
      <c r="D3994" s="286" t="s">
        <v>958</v>
      </c>
      <c r="E3994" s="286" t="s">
        <v>2</v>
      </c>
      <c r="F3994" s="286" t="s">
        <v>924</v>
      </c>
    </row>
    <row r="3995" spans="1:6" ht="14.25" customHeight="1">
      <c r="A3995" s="286" t="s">
        <v>824</v>
      </c>
      <c r="B3995" s="286">
        <v>2023</v>
      </c>
      <c r="C3995" s="286" t="s">
        <v>88</v>
      </c>
      <c r="D3995" s="286" t="s">
        <v>958</v>
      </c>
      <c r="E3995" s="286" t="s">
        <v>2</v>
      </c>
      <c r="F3995" s="286" t="s">
        <v>924</v>
      </c>
    </row>
    <row r="3996" spans="1:6" ht="14.25" customHeight="1">
      <c r="A3996" s="286" t="s">
        <v>824</v>
      </c>
      <c r="B3996" s="286">
        <v>2023</v>
      </c>
      <c r="C3996" s="286" t="s">
        <v>88</v>
      </c>
      <c r="D3996" s="286" t="s">
        <v>969</v>
      </c>
      <c r="E3996" s="286" t="s">
        <v>1040</v>
      </c>
      <c r="F3996" s="113" t="s">
        <v>906</v>
      </c>
    </row>
    <row r="3997" spans="1:6" ht="14.25" customHeight="1">
      <c r="A3997" s="286" t="s">
        <v>824</v>
      </c>
      <c r="B3997" s="286">
        <v>2023</v>
      </c>
      <c r="C3997" s="286" t="s">
        <v>88</v>
      </c>
      <c r="D3997" s="286" t="s">
        <v>969</v>
      </c>
      <c r="E3997" s="286" t="s">
        <v>1170</v>
      </c>
      <c r="F3997" s="113" t="s">
        <v>909</v>
      </c>
    </row>
    <row r="3998" spans="1:6" ht="14.25" customHeight="1">
      <c r="A3998" s="286" t="s">
        <v>824</v>
      </c>
      <c r="B3998" s="286">
        <v>2023</v>
      </c>
      <c r="C3998" s="286" t="s">
        <v>88</v>
      </c>
      <c r="D3998" s="286" t="s">
        <v>969</v>
      </c>
      <c r="E3998" s="286" t="s">
        <v>1080</v>
      </c>
      <c r="F3998" s="113" t="s">
        <v>913</v>
      </c>
    </row>
    <row r="3999" spans="1:6" ht="14.25" customHeight="1">
      <c r="A3999" s="286" t="s">
        <v>824</v>
      </c>
      <c r="B3999" s="286">
        <v>2023</v>
      </c>
      <c r="C3999" s="286" t="s">
        <v>88</v>
      </c>
      <c r="D3999" s="286" t="s">
        <v>969</v>
      </c>
      <c r="E3999" s="286" t="s">
        <v>2</v>
      </c>
      <c r="F3999" s="113" t="s">
        <v>913</v>
      </c>
    </row>
    <row r="4000" spans="1:6" ht="14.25" customHeight="1">
      <c r="A4000" s="286" t="s">
        <v>824</v>
      </c>
      <c r="B4000" s="286">
        <v>2023</v>
      </c>
      <c r="C4000" s="286" t="s">
        <v>88</v>
      </c>
      <c r="D4000" s="286" t="s">
        <v>969</v>
      </c>
      <c r="E4000" s="286" t="s">
        <v>978</v>
      </c>
      <c r="F4000" s="113" t="s">
        <v>483</v>
      </c>
    </row>
    <row r="4001" spans="1:6" ht="14.25" customHeight="1">
      <c r="A4001" s="286" t="s">
        <v>824</v>
      </c>
      <c r="B4001" s="286">
        <v>2023</v>
      </c>
      <c r="C4001" s="286" t="s">
        <v>88</v>
      </c>
      <c r="D4001" s="286" t="s">
        <v>969</v>
      </c>
      <c r="E4001" s="286" t="s">
        <v>978</v>
      </c>
      <c r="F4001" s="113" t="s">
        <v>483</v>
      </c>
    </row>
    <row r="4002" spans="1:6" ht="14.25" customHeight="1">
      <c r="A4002" s="286" t="s">
        <v>824</v>
      </c>
      <c r="B4002" s="286">
        <v>2023</v>
      </c>
      <c r="C4002" s="286" t="s">
        <v>88</v>
      </c>
      <c r="D4002" s="286" t="s">
        <v>969</v>
      </c>
      <c r="E4002" s="286" t="s">
        <v>930</v>
      </c>
      <c r="F4002" s="113" t="s">
        <v>906</v>
      </c>
    </row>
    <row r="4003" spans="1:6" ht="14.25" customHeight="1">
      <c r="A4003" s="286" t="s">
        <v>824</v>
      </c>
      <c r="B4003" s="286">
        <v>2023</v>
      </c>
      <c r="C4003" s="286" t="s">
        <v>88</v>
      </c>
      <c r="D4003" s="286" t="s">
        <v>969</v>
      </c>
      <c r="E4003" s="286" t="s">
        <v>1088</v>
      </c>
      <c r="F4003" s="113" t="s">
        <v>915</v>
      </c>
    </row>
    <row r="4004" spans="1:6" ht="14.25" customHeight="1">
      <c r="A4004" s="286" t="s">
        <v>824</v>
      </c>
      <c r="B4004" s="286">
        <v>2023</v>
      </c>
      <c r="C4004" s="286" t="s">
        <v>859</v>
      </c>
      <c r="D4004" s="286" t="s">
        <v>1000</v>
      </c>
      <c r="E4004" s="286" t="s">
        <v>1170</v>
      </c>
      <c r="F4004" s="113" t="s">
        <v>909</v>
      </c>
    </row>
    <row r="4005" spans="1:6" ht="14.25" customHeight="1">
      <c r="A4005" s="286" t="s">
        <v>824</v>
      </c>
      <c r="B4005" s="286">
        <v>2023</v>
      </c>
      <c r="C4005" s="286" t="s">
        <v>859</v>
      </c>
      <c r="D4005" s="286" t="s">
        <v>1082</v>
      </c>
      <c r="E4005" s="286" t="s">
        <v>2</v>
      </c>
      <c r="F4005" s="113" t="s">
        <v>935</v>
      </c>
    </row>
    <row r="4006" spans="1:6" ht="14.25" customHeight="1">
      <c r="A4006" s="286" t="s">
        <v>824</v>
      </c>
      <c r="B4006" s="286">
        <v>2023</v>
      </c>
      <c r="C4006" s="286" t="s">
        <v>1024</v>
      </c>
      <c r="D4006" s="286" t="s">
        <v>1025</v>
      </c>
      <c r="E4006" s="286" t="s">
        <v>2</v>
      </c>
      <c r="F4006" s="113" t="s">
        <v>935</v>
      </c>
    </row>
    <row r="4007" spans="1:6" ht="14.25" customHeight="1">
      <c r="A4007" s="286" t="s">
        <v>824</v>
      </c>
      <c r="B4007" s="286">
        <v>2023</v>
      </c>
      <c r="C4007" s="286" t="s">
        <v>1024</v>
      </c>
      <c r="D4007" s="286" t="s">
        <v>1027</v>
      </c>
      <c r="E4007" s="286" t="s">
        <v>1028</v>
      </c>
      <c r="F4007" s="113" t="s">
        <v>906</v>
      </c>
    </row>
    <row r="4008" spans="1:6" ht="14.25" customHeight="1">
      <c r="A4008" s="286" t="s">
        <v>824</v>
      </c>
      <c r="B4008" s="286">
        <v>2023</v>
      </c>
      <c r="C4008" s="286" t="s">
        <v>1024</v>
      </c>
      <c r="D4008" s="286" t="s">
        <v>1027</v>
      </c>
      <c r="E4008" s="286" t="s">
        <v>1170</v>
      </c>
      <c r="F4008" s="113" t="s">
        <v>909</v>
      </c>
    </row>
    <row r="4009" spans="1:6" ht="14.25" customHeight="1">
      <c r="A4009" s="286" t="s">
        <v>824</v>
      </c>
      <c r="B4009" s="286">
        <v>2023</v>
      </c>
      <c r="C4009" s="286" t="s">
        <v>1024</v>
      </c>
      <c r="D4009" s="286" t="s">
        <v>1027</v>
      </c>
      <c r="E4009" s="286" t="s">
        <v>1170</v>
      </c>
      <c r="F4009" s="113" t="s">
        <v>909</v>
      </c>
    </row>
    <row r="4010" spans="1:6" ht="14.25" customHeight="1">
      <c r="A4010" s="286" t="s">
        <v>824</v>
      </c>
      <c r="B4010" s="286">
        <v>2023</v>
      </c>
      <c r="C4010" s="286" t="s">
        <v>1024</v>
      </c>
      <c r="D4010" s="286" t="s">
        <v>1026</v>
      </c>
      <c r="E4010" s="286" t="s">
        <v>1170</v>
      </c>
      <c r="F4010" s="113" t="s">
        <v>909</v>
      </c>
    </row>
    <row r="4011" spans="1:6" ht="14.25" customHeight="1">
      <c r="A4011" s="286" t="s">
        <v>825</v>
      </c>
      <c r="B4011" s="286">
        <v>2023</v>
      </c>
      <c r="C4011" s="286" t="s">
        <v>821</v>
      </c>
      <c r="D4011" s="286" t="s">
        <v>132</v>
      </c>
      <c r="E4011" s="286" t="s">
        <v>986</v>
      </c>
      <c r="F4011" s="113" t="s">
        <v>906</v>
      </c>
    </row>
    <row r="4012" spans="1:6" ht="14.25" customHeight="1">
      <c r="A4012" s="286" t="s">
        <v>825</v>
      </c>
      <c r="B4012" s="286">
        <v>2023</v>
      </c>
      <c r="C4012" s="286" t="s">
        <v>821</v>
      </c>
      <c r="D4012" s="286" t="s">
        <v>132</v>
      </c>
      <c r="E4012" s="286" t="s">
        <v>1036</v>
      </c>
      <c r="F4012" s="113" t="s">
        <v>906</v>
      </c>
    </row>
    <row r="4013" spans="1:6" ht="14.25" customHeight="1">
      <c r="A4013" s="286" t="s">
        <v>825</v>
      </c>
      <c r="B4013" s="286">
        <v>2023</v>
      </c>
      <c r="C4013" s="286" t="s">
        <v>821</v>
      </c>
      <c r="D4013" s="286" t="s">
        <v>132</v>
      </c>
      <c r="E4013" s="286" t="s">
        <v>1036</v>
      </c>
      <c r="F4013" s="113" t="s">
        <v>906</v>
      </c>
    </row>
    <row r="4014" spans="1:6" ht="14.25" customHeight="1">
      <c r="A4014" s="286" t="s">
        <v>825</v>
      </c>
      <c r="B4014" s="286">
        <v>2023</v>
      </c>
      <c r="C4014" s="286" t="s">
        <v>821</v>
      </c>
      <c r="D4014" s="286" t="s">
        <v>132</v>
      </c>
      <c r="E4014" s="286" t="s">
        <v>2</v>
      </c>
      <c r="F4014" s="113" t="s">
        <v>922</v>
      </c>
    </row>
    <row r="4015" spans="1:6" ht="14.25" customHeight="1">
      <c r="A4015" s="286" t="s">
        <v>825</v>
      </c>
      <c r="B4015" s="286">
        <v>2023</v>
      </c>
      <c r="C4015" s="286" t="s">
        <v>821</v>
      </c>
      <c r="D4015" s="286" t="s">
        <v>132</v>
      </c>
      <c r="E4015" s="286" t="s">
        <v>2</v>
      </c>
      <c r="F4015" s="286" t="s">
        <v>924</v>
      </c>
    </row>
    <row r="4016" spans="1:6" ht="14.25" customHeight="1">
      <c r="A4016" s="286" t="s">
        <v>825</v>
      </c>
      <c r="B4016" s="286">
        <v>2023</v>
      </c>
      <c r="C4016" s="286" t="s">
        <v>821</v>
      </c>
      <c r="D4016" s="286" t="s">
        <v>132</v>
      </c>
      <c r="E4016" s="286" t="s">
        <v>1020</v>
      </c>
      <c r="F4016" s="113" t="s">
        <v>909</v>
      </c>
    </row>
    <row r="4017" spans="1:6" ht="14.25" customHeight="1">
      <c r="A4017" s="286" t="s">
        <v>825</v>
      </c>
      <c r="B4017" s="286">
        <v>2023</v>
      </c>
      <c r="C4017" s="286" t="s">
        <v>821</v>
      </c>
      <c r="D4017" s="286" t="s">
        <v>934</v>
      </c>
      <c r="E4017" s="286" t="s">
        <v>2</v>
      </c>
      <c r="F4017" s="113" t="s">
        <v>906</v>
      </c>
    </row>
    <row r="4018" spans="1:6" ht="14.25" customHeight="1">
      <c r="A4018" s="286" t="s">
        <v>825</v>
      </c>
      <c r="B4018" s="286">
        <v>2023</v>
      </c>
      <c r="C4018" s="286" t="s">
        <v>821</v>
      </c>
      <c r="D4018" s="286" t="s">
        <v>934</v>
      </c>
      <c r="E4018" s="287" t="s">
        <v>1020</v>
      </c>
      <c r="F4018" s="113" t="s">
        <v>909</v>
      </c>
    </row>
    <row r="4019" spans="1:6" ht="14.25" customHeight="1">
      <c r="A4019" s="286" t="s">
        <v>825</v>
      </c>
      <c r="B4019" s="286">
        <v>2023</v>
      </c>
      <c r="C4019" s="286" t="s">
        <v>821</v>
      </c>
      <c r="D4019" s="286" t="s">
        <v>934</v>
      </c>
      <c r="E4019" s="286" t="s">
        <v>977</v>
      </c>
      <c r="F4019" s="113" t="s">
        <v>483</v>
      </c>
    </row>
    <row r="4020" spans="1:6" ht="14.25" customHeight="1">
      <c r="A4020" s="286" t="s">
        <v>825</v>
      </c>
      <c r="B4020" s="286">
        <v>2023</v>
      </c>
      <c r="C4020" s="286" t="s">
        <v>821</v>
      </c>
      <c r="D4020" s="286" t="s">
        <v>934</v>
      </c>
      <c r="E4020" s="286" t="s">
        <v>1126</v>
      </c>
      <c r="F4020" s="113" t="s">
        <v>483</v>
      </c>
    </row>
    <row r="4021" spans="1:6" ht="14.25" customHeight="1">
      <c r="A4021" s="286" t="s">
        <v>825</v>
      </c>
      <c r="B4021" s="286">
        <v>2023</v>
      </c>
      <c r="C4021" s="286" t="s">
        <v>821</v>
      </c>
      <c r="D4021" s="286" t="s">
        <v>934</v>
      </c>
      <c r="E4021" s="286" t="s">
        <v>2</v>
      </c>
      <c r="F4021" s="113" t="s">
        <v>483</v>
      </c>
    </row>
    <row r="4022" spans="1:6" ht="14.25" customHeight="1">
      <c r="A4022" s="286" t="s">
        <v>825</v>
      </c>
      <c r="B4022" s="286">
        <v>2023</v>
      </c>
      <c r="C4022" s="286" t="s">
        <v>821</v>
      </c>
      <c r="D4022" s="286" t="s">
        <v>934</v>
      </c>
      <c r="E4022" s="286" t="s">
        <v>2</v>
      </c>
      <c r="F4022" s="113" t="s">
        <v>915</v>
      </c>
    </row>
    <row r="4023" spans="1:6" ht="14.25" customHeight="1">
      <c r="A4023" s="286" t="s">
        <v>825</v>
      </c>
      <c r="B4023" s="286">
        <v>2023</v>
      </c>
      <c r="C4023" s="286" t="s">
        <v>821</v>
      </c>
      <c r="D4023" s="286" t="s">
        <v>934</v>
      </c>
      <c r="E4023" s="286" t="s">
        <v>2</v>
      </c>
      <c r="F4023" s="286" t="s">
        <v>574</v>
      </c>
    </row>
    <row r="4024" spans="1:6" ht="14.25" customHeight="1">
      <c r="A4024" s="286" t="s">
        <v>825</v>
      </c>
      <c r="B4024" s="286">
        <v>2023</v>
      </c>
      <c r="C4024" s="286" t="s">
        <v>821</v>
      </c>
      <c r="D4024" s="286" t="s">
        <v>934</v>
      </c>
      <c r="E4024" s="286" t="s">
        <v>948</v>
      </c>
      <c r="F4024" s="113" t="s">
        <v>922</v>
      </c>
    </row>
    <row r="4025" spans="1:6" ht="14.25" customHeight="1">
      <c r="A4025" s="286" t="s">
        <v>825</v>
      </c>
      <c r="B4025" s="286">
        <v>2023</v>
      </c>
      <c r="C4025" s="286" t="s">
        <v>821</v>
      </c>
      <c r="D4025" s="286" t="s">
        <v>934</v>
      </c>
      <c r="E4025" s="286" t="s">
        <v>990</v>
      </c>
      <c r="F4025" s="113" t="s">
        <v>935</v>
      </c>
    </row>
    <row r="4026" spans="1:6" ht="14.25" customHeight="1">
      <c r="A4026" s="286" t="s">
        <v>825</v>
      </c>
      <c r="B4026" s="286">
        <v>2023</v>
      </c>
      <c r="C4026" s="286" t="s">
        <v>821</v>
      </c>
      <c r="D4026" s="286" t="s">
        <v>934</v>
      </c>
      <c r="E4026" s="286" t="s">
        <v>2</v>
      </c>
      <c r="F4026" s="113" t="s">
        <v>906</v>
      </c>
    </row>
    <row r="4027" spans="1:6" ht="14.25" customHeight="1">
      <c r="A4027" s="286" t="s">
        <v>825</v>
      </c>
      <c r="B4027" s="286">
        <v>2023</v>
      </c>
      <c r="C4027" s="286" t="s">
        <v>821</v>
      </c>
      <c r="D4027" s="286" t="s">
        <v>934</v>
      </c>
      <c r="E4027" s="286" t="s">
        <v>2</v>
      </c>
      <c r="F4027" s="113" t="s">
        <v>906</v>
      </c>
    </row>
    <row r="4028" spans="1:6" ht="14.25" customHeight="1">
      <c r="A4028" s="286" t="s">
        <v>825</v>
      </c>
      <c r="B4028" s="286">
        <v>2023</v>
      </c>
      <c r="C4028" s="286" t="s">
        <v>821</v>
      </c>
      <c r="D4028" s="286" t="s">
        <v>934</v>
      </c>
      <c r="E4028" s="286" t="s">
        <v>932</v>
      </c>
      <c r="F4028" s="113" t="s">
        <v>663</v>
      </c>
    </row>
    <row r="4029" spans="1:6" ht="14.25" customHeight="1">
      <c r="A4029" s="286" t="s">
        <v>825</v>
      </c>
      <c r="B4029" s="286">
        <v>2023</v>
      </c>
      <c r="C4029" s="286" t="s">
        <v>821</v>
      </c>
      <c r="D4029" s="286" t="s">
        <v>934</v>
      </c>
      <c r="E4029" s="286" t="s">
        <v>986</v>
      </c>
      <c r="F4029" s="113" t="s">
        <v>906</v>
      </c>
    </row>
    <row r="4030" spans="1:6" ht="14.25" customHeight="1">
      <c r="A4030" s="286" t="s">
        <v>825</v>
      </c>
      <c r="B4030" s="286">
        <v>2023</v>
      </c>
      <c r="C4030" s="286" t="s">
        <v>821</v>
      </c>
      <c r="D4030" s="286" t="s">
        <v>934</v>
      </c>
      <c r="E4030" s="286" t="s">
        <v>2</v>
      </c>
      <c r="F4030" s="113" t="s">
        <v>663</v>
      </c>
    </row>
    <row r="4031" spans="1:6" ht="14.25" customHeight="1">
      <c r="A4031" s="286" t="s">
        <v>825</v>
      </c>
      <c r="B4031" s="286">
        <v>2023</v>
      </c>
      <c r="C4031" s="286" t="s">
        <v>821</v>
      </c>
      <c r="D4031" s="286" t="s">
        <v>934</v>
      </c>
      <c r="E4031" s="286" t="s">
        <v>2</v>
      </c>
      <c r="F4031" s="113" t="s">
        <v>906</v>
      </c>
    </row>
    <row r="4032" spans="1:6" ht="14.25" customHeight="1">
      <c r="A4032" s="286" t="s">
        <v>825</v>
      </c>
      <c r="B4032" s="286">
        <v>2023</v>
      </c>
      <c r="C4032" s="286" t="s">
        <v>821</v>
      </c>
      <c r="D4032" s="286" t="s">
        <v>934</v>
      </c>
      <c r="E4032" s="286" t="s">
        <v>2</v>
      </c>
      <c r="F4032" s="113" t="s">
        <v>663</v>
      </c>
    </row>
    <row r="4033" spans="1:6" ht="14.25" customHeight="1">
      <c r="A4033" s="286" t="s">
        <v>825</v>
      </c>
      <c r="B4033" s="286">
        <v>2023</v>
      </c>
      <c r="C4033" s="286" t="s">
        <v>821</v>
      </c>
      <c r="D4033" s="286" t="s">
        <v>934</v>
      </c>
      <c r="E4033" s="286" t="s">
        <v>2</v>
      </c>
      <c r="F4033" s="113" t="s">
        <v>906</v>
      </c>
    </row>
    <row r="4034" spans="1:6" ht="14.25" customHeight="1">
      <c r="A4034" s="286" t="s">
        <v>825</v>
      </c>
      <c r="B4034" s="286">
        <v>2023</v>
      </c>
      <c r="C4034" s="286" t="s">
        <v>821</v>
      </c>
      <c r="D4034" s="286" t="s">
        <v>934</v>
      </c>
      <c r="E4034" s="286" t="s">
        <v>989</v>
      </c>
      <c r="F4034" s="113" t="s">
        <v>935</v>
      </c>
    </row>
    <row r="4035" spans="1:6" ht="14.25" customHeight="1">
      <c r="A4035" s="286" t="s">
        <v>825</v>
      </c>
      <c r="B4035" s="286">
        <v>2023</v>
      </c>
      <c r="C4035" s="286" t="s">
        <v>821</v>
      </c>
      <c r="D4035" s="286" t="s">
        <v>934</v>
      </c>
      <c r="E4035" s="286" t="s">
        <v>978</v>
      </c>
      <c r="F4035" s="113" t="s">
        <v>909</v>
      </c>
    </row>
    <row r="4036" spans="1:6" ht="14.25" customHeight="1">
      <c r="A4036" s="286" t="s">
        <v>825</v>
      </c>
      <c r="B4036" s="286">
        <v>2023</v>
      </c>
      <c r="C4036" s="286" t="s">
        <v>821</v>
      </c>
      <c r="D4036" s="286" t="s">
        <v>934</v>
      </c>
      <c r="E4036" s="286" t="s">
        <v>1301</v>
      </c>
      <c r="F4036" s="286" t="s">
        <v>1302</v>
      </c>
    </row>
    <row r="4037" spans="1:6" ht="14.25" customHeight="1">
      <c r="A4037" s="286" t="s">
        <v>825</v>
      </c>
      <c r="B4037" s="286">
        <v>2023</v>
      </c>
      <c r="C4037" s="286" t="s">
        <v>821</v>
      </c>
      <c r="D4037" s="286" t="s">
        <v>934</v>
      </c>
      <c r="E4037" s="286" t="s">
        <v>1300</v>
      </c>
      <c r="F4037" s="286" t="s">
        <v>1302</v>
      </c>
    </row>
    <row r="4038" spans="1:6" ht="14.25" customHeight="1">
      <c r="A4038" s="286" t="s">
        <v>825</v>
      </c>
      <c r="B4038" s="286">
        <v>2023</v>
      </c>
      <c r="C4038" s="286" t="s">
        <v>821</v>
      </c>
      <c r="D4038" s="286" t="s">
        <v>976</v>
      </c>
      <c r="E4038" s="287" t="s">
        <v>1020</v>
      </c>
      <c r="F4038" s="113" t="s">
        <v>909</v>
      </c>
    </row>
    <row r="4039" spans="1:6" ht="14.25" customHeight="1">
      <c r="A4039" s="286" t="s">
        <v>825</v>
      </c>
      <c r="B4039" s="286">
        <v>2023</v>
      </c>
      <c r="C4039" s="286" t="s">
        <v>821</v>
      </c>
      <c r="D4039" s="286" t="s">
        <v>976</v>
      </c>
      <c r="E4039" s="287" t="s">
        <v>977</v>
      </c>
      <c r="F4039" s="113" t="s">
        <v>483</v>
      </c>
    </row>
    <row r="4040" spans="1:6" ht="12" customHeight="1">
      <c r="A4040" s="286" t="s">
        <v>825</v>
      </c>
      <c r="B4040" s="286">
        <v>2023</v>
      </c>
      <c r="C4040" s="286" t="s">
        <v>821</v>
      </c>
      <c r="D4040" s="286" t="s">
        <v>976</v>
      </c>
      <c r="E4040" s="286" t="s">
        <v>1303</v>
      </c>
      <c r="F4040" s="286" t="s">
        <v>1302</v>
      </c>
    </row>
    <row r="4041" spans="1:6" ht="14.25" customHeight="1">
      <c r="A4041" s="286" t="s">
        <v>825</v>
      </c>
      <c r="B4041" s="286">
        <v>2023</v>
      </c>
      <c r="C4041" s="286" t="s">
        <v>821</v>
      </c>
      <c r="D4041" s="286" t="s">
        <v>1033</v>
      </c>
      <c r="E4041" s="286" t="s">
        <v>2</v>
      </c>
      <c r="F4041" s="113" t="s">
        <v>918</v>
      </c>
    </row>
    <row r="4042" spans="1:6" ht="14.25" customHeight="1">
      <c r="A4042" s="286" t="s">
        <v>825</v>
      </c>
      <c r="B4042" s="286">
        <v>2023</v>
      </c>
      <c r="C4042" s="286" t="s">
        <v>821</v>
      </c>
      <c r="D4042" s="286" t="s">
        <v>1033</v>
      </c>
      <c r="E4042" s="286" t="s">
        <v>2</v>
      </c>
      <c r="F4042" s="113" t="s">
        <v>918</v>
      </c>
    </row>
    <row r="4043" spans="1:6" ht="14.25" customHeight="1">
      <c r="A4043" s="286" t="s">
        <v>825</v>
      </c>
      <c r="B4043" s="286">
        <v>2023</v>
      </c>
      <c r="C4043" s="286" t="s">
        <v>821</v>
      </c>
      <c r="D4043" s="286" t="s">
        <v>1033</v>
      </c>
      <c r="E4043" s="286" t="s">
        <v>2</v>
      </c>
      <c r="F4043" s="113" t="s">
        <v>918</v>
      </c>
    </row>
    <row r="4044" spans="1:6" ht="14.25" customHeight="1">
      <c r="A4044" s="286" t="s">
        <v>825</v>
      </c>
      <c r="B4044" s="286">
        <v>2023</v>
      </c>
      <c r="C4044" s="286" t="s">
        <v>821</v>
      </c>
      <c r="D4044" s="286" t="s">
        <v>1033</v>
      </c>
      <c r="E4044" s="286" t="s">
        <v>2</v>
      </c>
      <c r="F4044" s="113" t="s">
        <v>918</v>
      </c>
    </row>
    <row r="4045" spans="1:6" ht="14.25" customHeight="1">
      <c r="A4045" s="286" t="s">
        <v>825</v>
      </c>
      <c r="B4045" s="286">
        <v>2023</v>
      </c>
      <c r="C4045" s="286" t="s">
        <v>821</v>
      </c>
      <c r="D4045" s="286" t="s">
        <v>1033</v>
      </c>
      <c r="E4045" s="286" t="s">
        <v>2</v>
      </c>
      <c r="F4045" s="113" t="s">
        <v>918</v>
      </c>
    </row>
    <row r="4046" spans="1:6" ht="14.25" customHeight="1">
      <c r="A4046" s="286" t="s">
        <v>825</v>
      </c>
      <c r="B4046" s="286">
        <v>2023</v>
      </c>
      <c r="C4046" s="286" t="s">
        <v>821</v>
      </c>
      <c r="D4046" s="286" t="s">
        <v>216</v>
      </c>
      <c r="E4046" s="286" t="s">
        <v>2</v>
      </c>
      <c r="F4046" s="286" t="s">
        <v>574</v>
      </c>
    </row>
    <row r="4047" spans="1:6" ht="14.25" customHeight="1">
      <c r="A4047" s="286" t="s">
        <v>825</v>
      </c>
      <c r="B4047" s="286">
        <v>2023</v>
      </c>
      <c r="C4047" s="286" t="s">
        <v>821</v>
      </c>
      <c r="D4047" s="286" t="s">
        <v>216</v>
      </c>
      <c r="E4047" s="286" t="s">
        <v>1301</v>
      </c>
      <c r="F4047" s="286" t="s">
        <v>1302</v>
      </c>
    </row>
    <row r="4048" spans="1:6" ht="14.25" customHeight="1">
      <c r="A4048" s="286" t="s">
        <v>825</v>
      </c>
      <c r="B4048" s="286">
        <v>2023</v>
      </c>
      <c r="C4048" s="286" t="s">
        <v>88</v>
      </c>
      <c r="D4048" s="286" t="s">
        <v>958</v>
      </c>
      <c r="E4048" s="113" t="s">
        <v>2</v>
      </c>
      <c r="F4048" s="286" t="s">
        <v>1302</v>
      </c>
    </row>
    <row r="4049" spans="1:6" ht="14.25" customHeight="1">
      <c r="A4049" s="286" t="s">
        <v>825</v>
      </c>
      <c r="B4049" s="286">
        <v>2023</v>
      </c>
      <c r="C4049" s="286" t="s">
        <v>88</v>
      </c>
      <c r="D4049" s="286" t="s">
        <v>969</v>
      </c>
      <c r="E4049" s="286" t="s">
        <v>1008</v>
      </c>
      <c r="F4049" s="113" t="s">
        <v>913</v>
      </c>
    </row>
    <row r="4050" spans="1:6" ht="14.25" customHeight="1">
      <c r="A4050" s="286" t="s">
        <v>825</v>
      </c>
      <c r="B4050" s="286">
        <v>2023</v>
      </c>
      <c r="C4050" s="286" t="s">
        <v>88</v>
      </c>
      <c r="D4050" s="286" t="s">
        <v>969</v>
      </c>
      <c r="E4050" s="286" t="s">
        <v>964</v>
      </c>
      <c r="F4050" s="113" t="s">
        <v>913</v>
      </c>
    </row>
    <row r="4051" spans="1:6" ht="14.25" customHeight="1">
      <c r="A4051" s="286" t="s">
        <v>825</v>
      </c>
      <c r="B4051" s="286">
        <v>2023</v>
      </c>
      <c r="C4051" s="286" t="s">
        <v>88</v>
      </c>
      <c r="D4051" s="286" t="s">
        <v>969</v>
      </c>
      <c r="E4051" s="286" t="s">
        <v>1191</v>
      </c>
      <c r="F4051" s="113" t="s">
        <v>913</v>
      </c>
    </row>
    <row r="4052" spans="1:6" ht="14.25" customHeight="1">
      <c r="A4052" s="286" t="s">
        <v>825</v>
      </c>
      <c r="B4052" s="286">
        <v>2023</v>
      </c>
      <c r="C4052" s="286" t="s">
        <v>1024</v>
      </c>
      <c r="D4052" s="286" t="s">
        <v>1025</v>
      </c>
      <c r="E4052" s="286" t="s">
        <v>954</v>
      </c>
      <c r="F4052" s="113" t="s">
        <v>906</v>
      </c>
    </row>
    <row r="4053" spans="1:6" ht="14.25" customHeight="1">
      <c r="A4053" s="286" t="s">
        <v>825</v>
      </c>
      <c r="B4053" s="286">
        <v>2023</v>
      </c>
      <c r="C4053" s="286" t="s">
        <v>1024</v>
      </c>
      <c r="D4053" s="286" t="s">
        <v>1025</v>
      </c>
      <c r="E4053" s="286" t="s">
        <v>2</v>
      </c>
      <c r="F4053" s="113" t="s">
        <v>915</v>
      </c>
    </row>
    <row r="4054" spans="1:6" ht="14.25" customHeight="1">
      <c r="A4054" s="286" t="s">
        <v>825</v>
      </c>
      <c r="B4054" s="286">
        <v>2023</v>
      </c>
      <c r="C4054" s="286" t="s">
        <v>1024</v>
      </c>
      <c r="D4054" s="286" t="s">
        <v>1025</v>
      </c>
      <c r="E4054" s="286" t="s">
        <v>2</v>
      </c>
      <c r="F4054" s="113" t="s">
        <v>935</v>
      </c>
    </row>
    <row r="4055" spans="1:6" ht="14.25" customHeight="1">
      <c r="A4055" s="286" t="s">
        <v>825</v>
      </c>
      <c r="B4055" s="286">
        <v>2023</v>
      </c>
      <c r="C4055" s="286" t="s">
        <v>1024</v>
      </c>
      <c r="D4055" s="286" t="s">
        <v>1025</v>
      </c>
      <c r="E4055" s="286" t="s">
        <v>2</v>
      </c>
      <c r="F4055" s="113" t="s">
        <v>935</v>
      </c>
    </row>
    <row r="4056" spans="1:6" ht="14.25" customHeight="1">
      <c r="A4056" s="286" t="s">
        <v>825</v>
      </c>
      <c r="B4056" s="286">
        <v>2023</v>
      </c>
      <c r="C4056" s="286" t="s">
        <v>1024</v>
      </c>
      <c r="D4056" s="286" t="s">
        <v>1027</v>
      </c>
      <c r="E4056" s="286" t="s">
        <v>2</v>
      </c>
      <c r="F4056" s="113" t="s">
        <v>906</v>
      </c>
    </row>
    <row r="4057" spans="1:6" ht="14.25" customHeight="1">
      <c r="A4057" s="286" t="s">
        <v>825</v>
      </c>
      <c r="B4057" s="286">
        <v>2023</v>
      </c>
      <c r="C4057" s="286" t="s">
        <v>1024</v>
      </c>
      <c r="D4057" s="286" t="s">
        <v>1027</v>
      </c>
      <c r="E4057" s="287">
        <v>203</v>
      </c>
      <c r="F4057" s="113" t="s">
        <v>909</v>
      </c>
    </row>
    <row r="4058" spans="1:6" ht="14.25" customHeight="1">
      <c r="A4058" s="286" t="s">
        <v>825</v>
      </c>
      <c r="B4058" s="286">
        <v>2023</v>
      </c>
      <c r="C4058" s="286" t="s">
        <v>1024</v>
      </c>
      <c r="D4058" s="286" t="s">
        <v>1027</v>
      </c>
      <c r="E4058" s="286" t="s">
        <v>2</v>
      </c>
      <c r="F4058" s="286" t="s">
        <v>574</v>
      </c>
    </row>
    <row r="4059" spans="1:6" ht="14.25" customHeight="1">
      <c r="A4059" s="286" t="s">
        <v>825</v>
      </c>
      <c r="B4059" s="286">
        <v>2023</v>
      </c>
      <c r="C4059" s="286" t="s">
        <v>1024</v>
      </c>
      <c r="D4059" s="286" t="s">
        <v>1027</v>
      </c>
      <c r="E4059" s="286" t="s">
        <v>1265</v>
      </c>
      <c r="F4059" s="286" t="s">
        <v>1302</v>
      </c>
    </row>
    <row r="4060" spans="1:6" ht="14.25" customHeight="1">
      <c r="A4060" s="286" t="s">
        <v>825</v>
      </c>
      <c r="B4060" s="286">
        <v>2023</v>
      </c>
      <c r="C4060" s="286" t="s">
        <v>1024</v>
      </c>
      <c r="D4060" s="286" t="s">
        <v>1027</v>
      </c>
      <c r="E4060" s="286" t="s">
        <v>1265</v>
      </c>
      <c r="F4060" s="286" t="s">
        <v>1302</v>
      </c>
    </row>
    <row r="4061" spans="1:6" ht="14.25" customHeight="1">
      <c r="A4061" s="286" t="s">
        <v>825</v>
      </c>
      <c r="B4061" s="286">
        <v>2023</v>
      </c>
      <c r="C4061" s="286" t="s">
        <v>1024</v>
      </c>
      <c r="D4061" s="286" t="s">
        <v>1027</v>
      </c>
      <c r="E4061" s="286" t="s">
        <v>1304</v>
      </c>
      <c r="F4061" s="286" t="s">
        <v>1302</v>
      </c>
    </row>
    <row r="4062" spans="1:6" ht="14.25" customHeight="1">
      <c r="A4062" s="286" t="s">
        <v>825</v>
      </c>
      <c r="B4062" s="286">
        <v>2023</v>
      </c>
      <c r="C4062" s="286" t="s">
        <v>1024</v>
      </c>
      <c r="D4062" s="286" t="s">
        <v>1027</v>
      </c>
      <c r="E4062" s="286" t="s">
        <v>1305</v>
      </c>
      <c r="F4062" s="286" t="s">
        <v>1302</v>
      </c>
    </row>
    <row r="4063" spans="1:6" ht="14.25" customHeight="1">
      <c r="A4063" s="286" t="s">
        <v>826</v>
      </c>
      <c r="B4063" s="286">
        <v>2023</v>
      </c>
      <c r="C4063" s="286" t="s">
        <v>821</v>
      </c>
      <c r="D4063" s="286" t="s">
        <v>934</v>
      </c>
      <c r="E4063" s="286" t="s">
        <v>1306</v>
      </c>
      <c r="F4063" s="286" t="s">
        <v>1302</v>
      </c>
    </row>
    <row r="4064" spans="1:6" ht="14.25" customHeight="1">
      <c r="A4064" s="286" t="s">
        <v>826</v>
      </c>
      <c r="B4064" s="286">
        <v>2023</v>
      </c>
      <c r="C4064" s="286" t="s">
        <v>821</v>
      </c>
      <c r="D4064" s="286" t="s">
        <v>934</v>
      </c>
      <c r="E4064" s="286" t="s">
        <v>1306</v>
      </c>
      <c r="F4064" s="286" t="s">
        <v>1302</v>
      </c>
    </row>
    <row r="4065" spans="1:6" ht="14.25" customHeight="1">
      <c r="A4065" s="286" t="s">
        <v>826</v>
      </c>
      <c r="B4065" s="286">
        <v>2023</v>
      </c>
      <c r="C4065" s="286" t="s">
        <v>821</v>
      </c>
      <c r="D4065" s="286" t="s">
        <v>934</v>
      </c>
      <c r="E4065" s="286" t="s">
        <v>1301</v>
      </c>
      <c r="F4065" s="286" t="s">
        <v>1302</v>
      </c>
    </row>
    <row r="4066" spans="1:6" ht="14.25" customHeight="1">
      <c r="A4066" s="286" t="s">
        <v>826</v>
      </c>
      <c r="B4066" s="286">
        <v>2023</v>
      </c>
      <c r="C4066" s="286" t="s">
        <v>821</v>
      </c>
      <c r="D4066" s="286" t="s">
        <v>216</v>
      </c>
      <c r="E4066" s="286" t="s">
        <v>2</v>
      </c>
      <c r="F4066" s="113" t="s">
        <v>915</v>
      </c>
    </row>
    <row r="4067" spans="1:6" ht="14.25" customHeight="1">
      <c r="A4067" s="286" t="s">
        <v>826</v>
      </c>
      <c r="B4067" s="286">
        <v>2023</v>
      </c>
      <c r="C4067" s="286" t="s">
        <v>821</v>
      </c>
      <c r="D4067" s="286" t="s">
        <v>216</v>
      </c>
      <c r="E4067" s="113" t="s">
        <v>2</v>
      </c>
      <c r="F4067" s="286" t="s">
        <v>1302</v>
      </c>
    </row>
    <row r="4068" spans="1:6" ht="14.25" customHeight="1">
      <c r="A4068" s="286" t="s">
        <v>826</v>
      </c>
      <c r="B4068" s="286">
        <v>2023</v>
      </c>
      <c r="C4068" s="286" t="s">
        <v>88</v>
      </c>
      <c r="D4068" s="286" t="s">
        <v>958</v>
      </c>
      <c r="E4068" s="113" t="s">
        <v>2</v>
      </c>
      <c r="F4068" s="113" t="s">
        <v>909</v>
      </c>
    </row>
    <row r="4069" spans="1:6" ht="14.25" customHeight="1">
      <c r="A4069" s="286" t="s">
        <v>826</v>
      </c>
      <c r="B4069" s="286">
        <v>2023</v>
      </c>
      <c r="C4069" s="286" t="s">
        <v>88</v>
      </c>
      <c r="D4069" s="286" t="s">
        <v>958</v>
      </c>
      <c r="E4069" s="113" t="s">
        <v>2</v>
      </c>
      <c r="F4069" s="286" t="s">
        <v>1302</v>
      </c>
    </row>
    <row r="4070" spans="1:6" ht="14.25" customHeight="1">
      <c r="A4070" s="286" t="s">
        <v>826</v>
      </c>
      <c r="B4070" s="286">
        <v>2023</v>
      </c>
      <c r="C4070" s="286" t="s">
        <v>88</v>
      </c>
      <c r="D4070" s="286" t="s">
        <v>988</v>
      </c>
      <c r="E4070" s="113" t="s">
        <v>2</v>
      </c>
      <c r="F4070" s="286" t="s">
        <v>1302</v>
      </c>
    </row>
    <row r="4071" spans="1:6" ht="14.25" customHeight="1">
      <c r="A4071" s="286" t="s">
        <v>826</v>
      </c>
      <c r="B4071" s="286">
        <v>2023</v>
      </c>
      <c r="C4071" s="286" t="s">
        <v>1024</v>
      </c>
      <c r="D4071" s="286" t="s">
        <v>1025</v>
      </c>
      <c r="E4071" s="113" t="s">
        <v>2</v>
      </c>
      <c r="F4071" s="286" t="s">
        <v>1302</v>
      </c>
    </row>
    <row r="4072" spans="1:6" ht="14.25" customHeight="1">
      <c r="A4072" s="286" t="s">
        <v>827</v>
      </c>
      <c r="B4072" s="286">
        <v>2023</v>
      </c>
      <c r="C4072" s="286" t="s">
        <v>821</v>
      </c>
      <c r="D4072" s="286" t="s">
        <v>934</v>
      </c>
      <c r="E4072" s="287">
        <v>102</v>
      </c>
      <c r="F4072" s="113" t="s">
        <v>906</v>
      </c>
    </row>
    <row r="4073" spans="1:6" ht="14.25" customHeight="1">
      <c r="A4073" s="286" t="s">
        <v>827</v>
      </c>
      <c r="B4073" s="286">
        <v>2023</v>
      </c>
      <c r="C4073" s="286" t="s">
        <v>821</v>
      </c>
      <c r="D4073" s="286" t="s">
        <v>934</v>
      </c>
      <c r="E4073" s="286" t="s">
        <v>2</v>
      </c>
      <c r="F4073" s="113" t="s">
        <v>935</v>
      </c>
    </row>
    <row r="4074" spans="1:6" ht="14.25" customHeight="1">
      <c r="A4074" s="286" t="s">
        <v>827</v>
      </c>
      <c r="B4074" s="286">
        <v>2023</v>
      </c>
      <c r="C4074" s="286" t="s">
        <v>821</v>
      </c>
      <c r="D4074" s="286" t="s">
        <v>934</v>
      </c>
      <c r="E4074" s="286" t="s">
        <v>2</v>
      </c>
      <c r="F4074" s="113" t="s">
        <v>935</v>
      </c>
    </row>
    <row r="4075" spans="1:6" ht="14.25" customHeight="1">
      <c r="A4075" s="286" t="s">
        <v>827</v>
      </c>
      <c r="B4075" s="286">
        <v>2023</v>
      </c>
      <c r="C4075" s="286" t="s">
        <v>821</v>
      </c>
      <c r="D4075" s="286" t="s">
        <v>934</v>
      </c>
      <c r="E4075" s="286" t="s">
        <v>1307</v>
      </c>
      <c r="F4075" s="286" t="s">
        <v>1302</v>
      </c>
    </row>
    <row r="4076" spans="1:6" ht="14.25" customHeight="1">
      <c r="A4076" s="286" t="s">
        <v>827</v>
      </c>
      <c r="B4076" s="286">
        <v>2023</v>
      </c>
      <c r="C4076" s="286" t="s">
        <v>821</v>
      </c>
      <c r="D4076" s="286" t="s">
        <v>934</v>
      </c>
      <c r="E4076" s="286" t="s">
        <v>1307</v>
      </c>
      <c r="F4076" s="286" t="s">
        <v>1302</v>
      </c>
    </row>
    <row r="4077" spans="1:6" ht="14.25" customHeight="1">
      <c r="A4077" s="286" t="s">
        <v>827</v>
      </c>
      <c r="B4077" s="286">
        <v>2023</v>
      </c>
      <c r="C4077" s="286" t="s">
        <v>821</v>
      </c>
      <c r="D4077" s="286" t="s">
        <v>934</v>
      </c>
      <c r="E4077" s="286" t="s">
        <v>1307</v>
      </c>
      <c r="F4077" s="286" t="s">
        <v>1302</v>
      </c>
    </row>
    <row r="4078" spans="1:6" ht="14.25" customHeight="1">
      <c r="A4078" s="286" t="s">
        <v>827</v>
      </c>
      <c r="B4078" s="286">
        <v>2023</v>
      </c>
      <c r="C4078" s="286" t="s">
        <v>821</v>
      </c>
      <c r="D4078" s="286" t="s">
        <v>934</v>
      </c>
      <c r="E4078" s="286" t="s">
        <v>1307</v>
      </c>
      <c r="F4078" s="286" t="s">
        <v>1302</v>
      </c>
    </row>
    <row r="4079" spans="1:6" ht="14.25" customHeight="1">
      <c r="A4079" s="286" t="s">
        <v>827</v>
      </c>
      <c r="B4079" s="286">
        <v>2023</v>
      </c>
      <c r="C4079" s="286" t="s">
        <v>821</v>
      </c>
      <c r="D4079" s="286" t="s">
        <v>934</v>
      </c>
      <c r="E4079" s="286" t="s">
        <v>1307</v>
      </c>
      <c r="F4079" s="286" t="s">
        <v>1302</v>
      </c>
    </row>
    <row r="4080" spans="1:6" ht="14.25" customHeight="1">
      <c r="A4080" s="286" t="s">
        <v>827</v>
      </c>
      <c r="B4080" s="286">
        <v>2023</v>
      </c>
      <c r="C4080" s="286" t="s">
        <v>821</v>
      </c>
      <c r="D4080" s="286" t="s">
        <v>934</v>
      </c>
      <c r="E4080" s="286" t="s">
        <v>1307</v>
      </c>
      <c r="F4080" s="286" t="s">
        <v>1302</v>
      </c>
    </row>
    <row r="4081" spans="1:6" ht="14.25" customHeight="1">
      <c r="A4081" s="286" t="s">
        <v>827</v>
      </c>
      <c r="B4081" s="286">
        <v>2023</v>
      </c>
      <c r="C4081" s="286" t="s">
        <v>821</v>
      </c>
      <c r="D4081" s="286" t="s">
        <v>934</v>
      </c>
      <c r="E4081" s="286" t="s">
        <v>1307</v>
      </c>
      <c r="F4081" s="286" t="s">
        <v>1302</v>
      </c>
    </row>
    <row r="4082" spans="1:6" ht="14.25" customHeight="1">
      <c r="A4082" s="286" t="s">
        <v>827</v>
      </c>
      <c r="B4082" s="286">
        <v>2023</v>
      </c>
      <c r="C4082" s="286" t="s">
        <v>821</v>
      </c>
      <c r="D4082" s="286" t="s">
        <v>934</v>
      </c>
      <c r="E4082" s="113" t="s">
        <v>2</v>
      </c>
      <c r="F4082" s="286" t="s">
        <v>1302</v>
      </c>
    </row>
    <row r="4083" spans="1:6" ht="14.25" customHeight="1">
      <c r="A4083" s="286" t="s">
        <v>827</v>
      </c>
      <c r="B4083" s="286">
        <v>2023</v>
      </c>
      <c r="C4083" s="286" t="s">
        <v>821</v>
      </c>
      <c r="D4083" s="286" t="s">
        <v>931</v>
      </c>
      <c r="E4083" s="287">
        <v>802</v>
      </c>
      <c r="F4083" s="286" t="s">
        <v>1302</v>
      </c>
    </row>
    <row r="4084" spans="1:6" ht="40.5" customHeight="1">
      <c r="A4084" s="286" t="s">
        <v>827</v>
      </c>
      <c r="B4084" s="286">
        <v>2023</v>
      </c>
      <c r="C4084" s="286" t="s">
        <v>821</v>
      </c>
      <c r="D4084" s="286" t="s">
        <v>216</v>
      </c>
      <c r="E4084" s="286" t="s">
        <v>1308</v>
      </c>
      <c r="F4084" s="286" t="s">
        <v>1302</v>
      </c>
    </row>
    <row r="4085" spans="1:6" ht="14.25" customHeight="1">
      <c r="A4085" s="286" t="s">
        <v>827</v>
      </c>
      <c r="B4085" s="286">
        <v>2023</v>
      </c>
      <c r="C4085" s="286" t="s">
        <v>1024</v>
      </c>
      <c r="D4085" s="286" t="s">
        <v>1025</v>
      </c>
      <c r="E4085" s="286" t="s">
        <v>2</v>
      </c>
      <c r="F4085" s="113" t="s">
        <v>935</v>
      </c>
    </row>
    <row r="4086" spans="1:6" ht="14.25" customHeight="1">
      <c r="A4086" s="286" t="s">
        <v>827</v>
      </c>
      <c r="B4086" s="286">
        <v>2023</v>
      </c>
      <c r="C4086" s="286" t="s">
        <v>1024</v>
      </c>
      <c r="D4086" s="286" t="s">
        <v>1025</v>
      </c>
      <c r="E4086" s="286" t="s">
        <v>2</v>
      </c>
      <c r="F4086" s="113" t="s">
        <v>935</v>
      </c>
    </row>
    <row r="4087" spans="1:6" ht="14.25" customHeight="1">
      <c r="A4087" s="286" t="s">
        <v>828</v>
      </c>
      <c r="B4087" s="286">
        <v>2023</v>
      </c>
      <c r="C4087" s="286" t="s">
        <v>821</v>
      </c>
      <c r="D4087" s="286" t="s">
        <v>132</v>
      </c>
      <c r="E4087" s="286" t="s">
        <v>1078</v>
      </c>
      <c r="F4087" s="113" t="s">
        <v>915</v>
      </c>
    </row>
    <row r="4088" spans="1:6" ht="14.25" customHeight="1">
      <c r="A4088" s="286" t="s">
        <v>828</v>
      </c>
      <c r="B4088" s="286">
        <v>2023</v>
      </c>
      <c r="C4088" s="286" t="s">
        <v>821</v>
      </c>
      <c r="D4088" s="286" t="s">
        <v>132</v>
      </c>
      <c r="E4088" s="286" t="s">
        <v>2</v>
      </c>
      <c r="F4088" s="113" t="s">
        <v>935</v>
      </c>
    </row>
    <row r="4089" spans="1:6" ht="14.25" customHeight="1">
      <c r="A4089" s="286" t="s">
        <v>828</v>
      </c>
      <c r="B4089" s="286">
        <v>2023</v>
      </c>
      <c r="C4089" s="286" t="s">
        <v>821</v>
      </c>
      <c r="D4089" s="286" t="s">
        <v>934</v>
      </c>
      <c r="E4089" s="287">
        <v>102</v>
      </c>
      <c r="F4089" s="113" t="s">
        <v>906</v>
      </c>
    </row>
    <row r="4090" spans="1:6" ht="14.25" customHeight="1">
      <c r="A4090" s="286" t="s">
        <v>828</v>
      </c>
      <c r="B4090" s="286">
        <v>2023</v>
      </c>
      <c r="C4090" s="286" t="s">
        <v>821</v>
      </c>
      <c r="D4090" s="286" t="s">
        <v>934</v>
      </c>
      <c r="E4090" s="287">
        <v>110</v>
      </c>
      <c r="F4090" s="113" t="s">
        <v>906</v>
      </c>
    </row>
    <row r="4091" spans="1:6" ht="14.25" customHeight="1">
      <c r="A4091" s="286" t="s">
        <v>828</v>
      </c>
      <c r="B4091" s="286">
        <v>2023</v>
      </c>
      <c r="C4091" s="286" t="s">
        <v>821</v>
      </c>
      <c r="D4091" s="286" t="s">
        <v>934</v>
      </c>
      <c r="E4091" s="287">
        <v>305</v>
      </c>
      <c r="F4091" s="286" t="s">
        <v>1302</v>
      </c>
    </row>
    <row r="4092" spans="1:6" ht="14.25" customHeight="1">
      <c r="A4092" s="286" t="s">
        <v>828</v>
      </c>
      <c r="B4092" s="286">
        <v>2023</v>
      </c>
      <c r="C4092" s="286" t="s">
        <v>821</v>
      </c>
      <c r="D4092" s="286" t="s">
        <v>934</v>
      </c>
      <c r="E4092" s="287">
        <v>322</v>
      </c>
      <c r="F4092" s="286" t="s">
        <v>1302</v>
      </c>
    </row>
    <row r="4093" spans="1:6" ht="14.25" customHeight="1">
      <c r="A4093" s="286" t="s">
        <v>828</v>
      </c>
      <c r="B4093" s="286">
        <v>2023</v>
      </c>
      <c r="C4093" s="286" t="s">
        <v>821</v>
      </c>
      <c r="D4093" s="286" t="s">
        <v>934</v>
      </c>
      <c r="E4093" s="287">
        <v>334</v>
      </c>
      <c r="F4093" s="286" t="s">
        <v>1302</v>
      </c>
    </row>
    <row r="4094" spans="1:6" ht="14.25" customHeight="1">
      <c r="A4094" s="286" t="s">
        <v>828</v>
      </c>
      <c r="B4094" s="286">
        <v>2023</v>
      </c>
      <c r="C4094" s="286" t="s">
        <v>821</v>
      </c>
      <c r="D4094" s="286" t="s">
        <v>934</v>
      </c>
      <c r="E4094" s="286" t="s">
        <v>2</v>
      </c>
      <c r="F4094" s="113" t="s">
        <v>917</v>
      </c>
    </row>
    <row r="4095" spans="1:6" ht="14.25" customHeight="1">
      <c r="A4095" s="286" t="s">
        <v>828</v>
      </c>
      <c r="B4095" s="286">
        <v>2023</v>
      </c>
      <c r="C4095" s="286" t="s">
        <v>821</v>
      </c>
      <c r="D4095" s="286" t="s">
        <v>934</v>
      </c>
      <c r="E4095" s="286" t="s">
        <v>2</v>
      </c>
      <c r="F4095" s="113" t="s">
        <v>783</v>
      </c>
    </row>
    <row r="4096" spans="1:6" ht="14.25" customHeight="1">
      <c r="A4096" s="286" t="s">
        <v>828</v>
      </c>
      <c r="B4096" s="286">
        <v>2023</v>
      </c>
      <c r="C4096" s="286" t="s">
        <v>821</v>
      </c>
      <c r="D4096" s="286" t="s">
        <v>934</v>
      </c>
      <c r="E4096" s="287">
        <v>416</v>
      </c>
      <c r="F4096" s="286" t="s">
        <v>1302</v>
      </c>
    </row>
    <row r="4097" spans="1:6" ht="14.25" customHeight="1">
      <c r="A4097" s="286" t="s">
        <v>828</v>
      </c>
      <c r="B4097" s="286">
        <v>2023</v>
      </c>
      <c r="C4097" s="286" t="s">
        <v>821</v>
      </c>
      <c r="D4097" s="286" t="s">
        <v>934</v>
      </c>
      <c r="E4097" s="287">
        <v>417</v>
      </c>
      <c r="F4097" s="286" t="s">
        <v>1302</v>
      </c>
    </row>
    <row r="4098" spans="1:6" ht="14.25" customHeight="1">
      <c r="A4098" s="286" t="s">
        <v>828</v>
      </c>
      <c r="B4098" s="286">
        <v>2023</v>
      </c>
      <c r="C4098" s="286" t="s">
        <v>821</v>
      </c>
      <c r="D4098" s="286" t="s">
        <v>934</v>
      </c>
      <c r="E4098" s="287">
        <v>427</v>
      </c>
      <c r="F4098" s="286" t="s">
        <v>1302</v>
      </c>
    </row>
    <row r="4099" spans="1:6" ht="14.25" customHeight="1">
      <c r="A4099" s="286" t="s">
        <v>828</v>
      </c>
      <c r="B4099" s="286">
        <v>2023</v>
      </c>
      <c r="C4099" s="286" t="s">
        <v>821</v>
      </c>
      <c r="D4099" s="286" t="s">
        <v>934</v>
      </c>
      <c r="E4099" s="286" t="s">
        <v>2</v>
      </c>
      <c r="F4099" s="113" t="s">
        <v>917</v>
      </c>
    </row>
    <row r="4100" spans="1:6" ht="14.25" customHeight="1">
      <c r="A4100" s="286" t="s">
        <v>828</v>
      </c>
      <c r="B4100" s="286">
        <v>2023</v>
      </c>
      <c r="C4100" s="286" t="s">
        <v>821</v>
      </c>
      <c r="D4100" s="286" t="s">
        <v>934</v>
      </c>
      <c r="E4100" s="287">
        <v>802</v>
      </c>
      <c r="F4100" s="286" t="s">
        <v>1302</v>
      </c>
    </row>
    <row r="4101" spans="1:6" ht="14.25" customHeight="1">
      <c r="A4101" s="286" t="s">
        <v>828</v>
      </c>
      <c r="B4101" s="286">
        <v>2023</v>
      </c>
      <c r="C4101" s="286" t="s">
        <v>821</v>
      </c>
      <c r="D4101" s="286" t="s">
        <v>934</v>
      </c>
      <c r="E4101" s="286" t="s">
        <v>1030</v>
      </c>
      <c r="F4101" s="113" t="s">
        <v>935</v>
      </c>
    </row>
    <row r="4102" spans="1:6" ht="14.25" customHeight="1">
      <c r="A4102" s="286" t="s">
        <v>828</v>
      </c>
      <c r="B4102" s="286">
        <v>2023</v>
      </c>
      <c r="C4102" s="286" t="s">
        <v>821</v>
      </c>
      <c r="D4102" s="286" t="s">
        <v>934</v>
      </c>
      <c r="E4102" s="287">
        <v>811</v>
      </c>
      <c r="F4102" s="286" t="s">
        <v>1302</v>
      </c>
    </row>
    <row r="4103" spans="1:6" ht="14.25" customHeight="1">
      <c r="A4103" s="286" t="s">
        <v>828</v>
      </c>
      <c r="B4103" s="286">
        <v>2023</v>
      </c>
      <c r="C4103" s="286" t="s">
        <v>821</v>
      </c>
      <c r="D4103" s="286" t="s">
        <v>934</v>
      </c>
      <c r="E4103" s="287">
        <v>811</v>
      </c>
      <c r="F4103" s="286" t="s">
        <v>1302</v>
      </c>
    </row>
    <row r="4104" spans="1:6" ht="14.25" customHeight="1">
      <c r="A4104" s="286" t="s">
        <v>828</v>
      </c>
      <c r="B4104" s="286">
        <v>2023</v>
      </c>
      <c r="C4104" s="286" t="s">
        <v>821</v>
      </c>
      <c r="D4104" s="286" t="s">
        <v>934</v>
      </c>
      <c r="E4104" s="286" t="s">
        <v>986</v>
      </c>
      <c r="F4104" s="113" t="s">
        <v>906</v>
      </c>
    </row>
    <row r="4105" spans="1:6" ht="14.25" customHeight="1">
      <c r="A4105" s="286" t="s">
        <v>828</v>
      </c>
      <c r="B4105" s="286">
        <v>2023</v>
      </c>
      <c r="C4105" s="286" t="s">
        <v>821</v>
      </c>
      <c r="D4105" s="286" t="s">
        <v>934</v>
      </c>
      <c r="E4105" s="286" t="s">
        <v>974</v>
      </c>
      <c r="F4105" s="286" t="s">
        <v>1302</v>
      </c>
    </row>
    <row r="4106" spans="1:6" ht="14.25" customHeight="1">
      <c r="A4106" s="286" t="s">
        <v>828</v>
      </c>
      <c r="B4106" s="286">
        <v>2023</v>
      </c>
      <c r="C4106" s="286" t="s">
        <v>821</v>
      </c>
      <c r="D4106" s="286" t="s">
        <v>934</v>
      </c>
      <c r="E4106" s="286" t="s">
        <v>1309</v>
      </c>
      <c r="F4106" s="286" t="s">
        <v>1302</v>
      </c>
    </row>
    <row r="4107" spans="1:6" ht="14.25" customHeight="1">
      <c r="A4107" s="286" t="s">
        <v>828</v>
      </c>
      <c r="B4107" s="286">
        <v>2023</v>
      </c>
      <c r="C4107" s="286" t="s">
        <v>821</v>
      </c>
      <c r="D4107" s="286" t="s">
        <v>931</v>
      </c>
      <c r="E4107" s="287">
        <v>103</v>
      </c>
      <c r="F4107" s="113" t="s">
        <v>906</v>
      </c>
    </row>
    <row r="4108" spans="1:6" ht="14.25" customHeight="1">
      <c r="A4108" s="286" t="s">
        <v>828</v>
      </c>
      <c r="B4108" s="286">
        <v>2023</v>
      </c>
      <c r="C4108" s="286" t="s">
        <v>821</v>
      </c>
      <c r="D4108" s="286" t="s">
        <v>931</v>
      </c>
      <c r="E4108" s="286" t="s">
        <v>2</v>
      </c>
      <c r="F4108" s="113" t="s">
        <v>783</v>
      </c>
    </row>
    <row r="4109" spans="1:6" ht="14.25" customHeight="1">
      <c r="A4109" s="286" t="s">
        <v>828</v>
      </c>
      <c r="B4109" s="286">
        <v>2023</v>
      </c>
      <c r="C4109" s="286" t="s">
        <v>821</v>
      </c>
      <c r="D4109" s="286" t="s">
        <v>931</v>
      </c>
      <c r="E4109" s="287">
        <v>705</v>
      </c>
      <c r="F4109" s="286" t="s">
        <v>1302</v>
      </c>
    </row>
    <row r="4110" spans="1:6" ht="14.25" customHeight="1">
      <c r="A4110" s="286" t="s">
        <v>828</v>
      </c>
      <c r="B4110" s="286">
        <v>2023</v>
      </c>
      <c r="C4110" s="286" t="s">
        <v>821</v>
      </c>
      <c r="D4110" s="286" t="s">
        <v>931</v>
      </c>
      <c r="E4110" s="287">
        <v>812</v>
      </c>
      <c r="F4110" s="286" t="s">
        <v>1302</v>
      </c>
    </row>
    <row r="4111" spans="1:6" ht="14.25" customHeight="1">
      <c r="A4111" s="286" t="s">
        <v>828</v>
      </c>
      <c r="B4111" s="286">
        <v>2023</v>
      </c>
      <c r="C4111" s="286" t="s">
        <v>821</v>
      </c>
      <c r="D4111" s="286" t="s">
        <v>931</v>
      </c>
      <c r="E4111" s="286" t="s">
        <v>968</v>
      </c>
      <c r="F4111" s="113" t="s">
        <v>915</v>
      </c>
    </row>
    <row r="4112" spans="1:6" ht="14.25" customHeight="1">
      <c r="A4112" s="286" t="s">
        <v>828</v>
      </c>
      <c r="B4112" s="286">
        <v>2023</v>
      </c>
      <c r="C4112" s="286" t="s">
        <v>821</v>
      </c>
      <c r="D4112" s="286" t="s">
        <v>931</v>
      </c>
      <c r="E4112" s="286" t="s">
        <v>1310</v>
      </c>
      <c r="F4112" s="286" t="s">
        <v>1302</v>
      </c>
    </row>
    <row r="4113" spans="1:6" ht="14.25" customHeight="1">
      <c r="A4113" s="286" t="s">
        <v>828</v>
      </c>
      <c r="B4113" s="286">
        <v>2023</v>
      </c>
      <c r="C4113" s="286" t="s">
        <v>821</v>
      </c>
      <c r="D4113" s="286" t="s">
        <v>976</v>
      </c>
      <c r="E4113" s="286" t="s">
        <v>2</v>
      </c>
      <c r="F4113" s="113" t="s">
        <v>909</v>
      </c>
    </row>
    <row r="4114" spans="1:6" ht="14.25" customHeight="1">
      <c r="A4114" s="286" t="s">
        <v>828</v>
      </c>
      <c r="B4114" s="286">
        <v>2023</v>
      </c>
      <c r="C4114" s="286" t="s">
        <v>821</v>
      </c>
      <c r="D4114" s="286" t="s">
        <v>976</v>
      </c>
      <c r="E4114" s="286" t="s">
        <v>2</v>
      </c>
      <c r="F4114" s="113" t="s">
        <v>935</v>
      </c>
    </row>
    <row r="4115" spans="1:6" ht="14.25" customHeight="1">
      <c r="A4115" s="286" t="s">
        <v>828</v>
      </c>
      <c r="B4115" s="286">
        <v>2023</v>
      </c>
      <c r="C4115" s="286" t="s">
        <v>821</v>
      </c>
      <c r="D4115" s="286" t="s">
        <v>976</v>
      </c>
      <c r="E4115" s="286" t="s">
        <v>2</v>
      </c>
      <c r="F4115" s="113" t="s">
        <v>935</v>
      </c>
    </row>
    <row r="4116" spans="1:6" ht="14.25" customHeight="1">
      <c r="A4116" s="286" t="s">
        <v>828</v>
      </c>
      <c r="B4116" s="286">
        <v>2023</v>
      </c>
      <c r="C4116" s="286" t="s">
        <v>821</v>
      </c>
      <c r="D4116" s="286" t="s">
        <v>976</v>
      </c>
      <c r="E4116" s="287">
        <v>805</v>
      </c>
      <c r="F4116" s="286" t="s">
        <v>1302</v>
      </c>
    </row>
    <row r="4117" spans="1:6" ht="14.25" customHeight="1">
      <c r="A4117" s="286" t="s">
        <v>828</v>
      </c>
      <c r="B4117" s="286">
        <v>2023</v>
      </c>
      <c r="C4117" s="286" t="s">
        <v>821</v>
      </c>
      <c r="D4117" s="286" t="s">
        <v>976</v>
      </c>
      <c r="E4117" s="286" t="s">
        <v>1080</v>
      </c>
      <c r="F4117" s="113" t="s">
        <v>913</v>
      </c>
    </row>
    <row r="4118" spans="1:6" ht="14.25" customHeight="1">
      <c r="A4118" s="286" t="s">
        <v>828</v>
      </c>
      <c r="B4118" s="286">
        <v>2023</v>
      </c>
      <c r="C4118" s="286" t="s">
        <v>821</v>
      </c>
      <c r="D4118" s="286" t="s">
        <v>976</v>
      </c>
      <c r="E4118" s="286" t="s">
        <v>981</v>
      </c>
      <c r="F4118" s="113" t="s">
        <v>906</v>
      </c>
    </row>
    <row r="4119" spans="1:6" ht="14.25" customHeight="1">
      <c r="A4119" s="286" t="s">
        <v>828</v>
      </c>
      <c r="B4119" s="286">
        <v>2023</v>
      </c>
      <c r="C4119" s="286" t="s">
        <v>821</v>
      </c>
      <c r="D4119" s="286" t="s">
        <v>976</v>
      </c>
      <c r="E4119" s="286" t="s">
        <v>2</v>
      </c>
      <c r="F4119" s="113" t="s">
        <v>909</v>
      </c>
    </row>
    <row r="4120" spans="1:6" ht="14.25" customHeight="1">
      <c r="A4120" s="286" t="s">
        <v>828</v>
      </c>
      <c r="B4120" s="286">
        <v>2023</v>
      </c>
      <c r="C4120" s="286" t="s">
        <v>821</v>
      </c>
      <c r="D4120" s="286" t="s">
        <v>976</v>
      </c>
      <c r="E4120" s="286" t="s">
        <v>2</v>
      </c>
      <c r="F4120" s="113" t="s">
        <v>913</v>
      </c>
    </row>
    <row r="4121" spans="1:6" ht="14.25" customHeight="1">
      <c r="A4121" s="286" t="s">
        <v>828</v>
      </c>
      <c r="B4121" s="286">
        <v>2023</v>
      </c>
      <c r="C4121" s="286" t="s">
        <v>821</v>
      </c>
      <c r="D4121" s="286" t="s">
        <v>976</v>
      </c>
      <c r="E4121" s="286" t="s">
        <v>1037</v>
      </c>
      <c r="F4121" s="113" t="s">
        <v>917</v>
      </c>
    </row>
    <row r="4122" spans="1:6" ht="14.25" customHeight="1">
      <c r="A4122" s="286" t="s">
        <v>828</v>
      </c>
      <c r="B4122" s="286">
        <v>2023</v>
      </c>
      <c r="C4122" s="286" t="s">
        <v>821</v>
      </c>
      <c r="D4122" s="286" t="s">
        <v>976</v>
      </c>
      <c r="E4122" s="286" t="s">
        <v>1092</v>
      </c>
      <c r="F4122" s="113" t="s">
        <v>913</v>
      </c>
    </row>
    <row r="4123" spans="1:6" ht="14.25" customHeight="1">
      <c r="A4123" s="286" t="s">
        <v>828</v>
      </c>
      <c r="B4123" s="286">
        <v>2023</v>
      </c>
      <c r="C4123" s="286" t="s">
        <v>821</v>
      </c>
      <c r="D4123" s="286" t="s">
        <v>976</v>
      </c>
      <c r="E4123" s="286" t="s">
        <v>1079</v>
      </c>
      <c r="F4123" s="113" t="s">
        <v>915</v>
      </c>
    </row>
    <row r="4124" spans="1:6" ht="14.25" customHeight="1">
      <c r="A4124" s="286" t="s">
        <v>828</v>
      </c>
      <c r="B4124" s="286">
        <v>2023</v>
      </c>
      <c r="C4124" s="286" t="s">
        <v>821</v>
      </c>
      <c r="D4124" s="286" t="s">
        <v>976</v>
      </c>
      <c r="E4124" s="286" t="s">
        <v>992</v>
      </c>
      <c r="F4124" s="113" t="s">
        <v>922</v>
      </c>
    </row>
    <row r="4125" spans="1:6" ht="14.25" customHeight="1">
      <c r="A4125" s="286" t="s">
        <v>828</v>
      </c>
      <c r="B4125" s="286">
        <v>2023</v>
      </c>
      <c r="C4125" s="286" t="s">
        <v>821</v>
      </c>
      <c r="D4125" s="286" t="s">
        <v>976</v>
      </c>
      <c r="E4125" s="286" t="s">
        <v>1116</v>
      </c>
      <c r="F4125" s="113" t="s">
        <v>909</v>
      </c>
    </row>
    <row r="4126" spans="1:6" ht="14.25" customHeight="1">
      <c r="A4126" s="286" t="s">
        <v>828</v>
      </c>
      <c r="B4126" s="286">
        <v>2023</v>
      </c>
      <c r="C4126" s="286" t="s">
        <v>821</v>
      </c>
      <c r="D4126" s="286" t="s">
        <v>976</v>
      </c>
      <c r="E4126" s="286" t="s">
        <v>997</v>
      </c>
      <c r="F4126" s="113" t="s">
        <v>935</v>
      </c>
    </row>
    <row r="4127" spans="1:6" ht="14.25" customHeight="1">
      <c r="A4127" s="286" t="s">
        <v>828</v>
      </c>
      <c r="B4127" s="286">
        <v>2023</v>
      </c>
      <c r="C4127" s="286" t="s">
        <v>821</v>
      </c>
      <c r="D4127" s="286" t="s">
        <v>976</v>
      </c>
      <c r="E4127" s="286" t="s">
        <v>938</v>
      </c>
      <c r="F4127" s="113" t="s">
        <v>663</v>
      </c>
    </row>
    <row r="4128" spans="1:6" ht="14.25" customHeight="1">
      <c r="A4128" s="286" t="s">
        <v>828</v>
      </c>
      <c r="B4128" s="286">
        <v>2023</v>
      </c>
      <c r="C4128" s="286" t="s">
        <v>821</v>
      </c>
      <c r="D4128" s="286" t="s">
        <v>976</v>
      </c>
      <c r="E4128" s="286" t="s">
        <v>1004</v>
      </c>
      <c r="F4128" s="113" t="s">
        <v>935</v>
      </c>
    </row>
    <row r="4129" spans="1:6" ht="14.25" customHeight="1">
      <c r="A4129" s="286" t="s">
        <v>828</v>
      </c>
      <c r="B4129" s="286">
        <v>2023</v>
      </c>
      <c r="C4129" s="286" t="s">
        <v>821</v>
      </c>
      <c r="D4129" s="286" t="s">
        <v>976</v>
      </c>
      <c r="E4129" s="286" t="s">
        <v>1311</v>
      </c>
      <c r="F4129" s="286" t="s">
        <v>1302</v>
      </c>
    </row>
    <row r="4130" spans="1:6" ht="14.25" customHeight="1">
      <c r="A4130" s="286" t="s">
        <v>828</v>
      </c>
      <c r="B4130" s="286">
        <v>2023</v>
      </c>
      <c r="C4130" s="286" t="s">
        <v>821</v>
      </c>
      <c r="D4130" s="286" t="s">
        <v>1033</v>
      </c>
      <c r="E4130" s="287">
        <v>102</v>
      </c>
      <c r="F4130" s="113" t="s">
        <v>906</v>
      </c>
    </row>
    <row r="4131" spans="1:6" ht="14.25" customHeight="1">
      <c r="A4131" s="286" t="s">
        <v>828</v>
      </c>
      <c r="B4131" s="286">
        <v>2023</v>
      </c>
      <c r="C4131" s="286" t="s">
        <v>821</v>
      </c>
      <c r="D4131" s="286" t="s">
        <v>1033</v>
      </c>
      <c r="E4131" s="286" t="s">
        <v>2</v>
      </c>
      <c r="F4131" s="113" t="s">
        <v>915</v>
      </c>
    </row>
    <row r="4132" spans="1:6" ht="14.25" customHeight="1">
      <c r="A4132" s="286" t="s">
        <v>828</v>
      </c>
      <c r="B4132" s="286">
        <v>2023</v>
      </c>
      <c r="C4132" s="286" t="s">
        <v>821</v>
      </c>
      <c r="D4132" s="286" t="s">
        <v>1033</v>
      </c>
      <c r="E4132" s="286" t="s">
        <v>951</v>
      </c>
      <c r="F4132" s="286" t="s">
        <v>1302</v>
      </c>
    </row>
    <row r="4133" spans="1:6" ht="14.25" customHeight="1">
      <c r="A4133" s="286" t="s">
        <v>828</v>
      </c>
      <c r="B4133" s="286">
        <v>2023</v>
      </c>
      <c r="C4133" s="286" t="s">
        <v>821</v>
      </c>
      <c r="D4133" s="286" t="s">
        <v>1033</v>
      </c>
      <c r="E4133" s="286" t="s">
        <v>943</v>
      </c>
      <c r="F4133" s="286" t="s">
        <v>1302</v>
      </c>
    </row>
    <row r="4134" spans="1:6" ht="14.25" customHeight="1">
      <c r="A4134" s="286" t="s">
        <v>828</v>
      </c>
      <c r="B4134" s="286">
        <v>2023</v>
      </c>
      <c r="C4134" s="286" t="s">
        <v>821</v>
      </c>
      <c r="D4134" s="286" t="s">
        <v>216</v>
      </c>
      <c r="E4134" s="286" t="s">
        <v>2</v>
      </c>
      <c r="F4134" s="113" t="s">
        <v>483</v>
      </c>
    </row>
    <row r="4135" spans="1:6" ht="14.25" customHeight="1">
      <c r="A4135" s="286" t="s">
        <v>828</v>
      </c>
      <c r="B4135" s="286">
        <v>2023</v>
      </c>
      <c r="C4135" s="286" t="s">
        <v>821</v>
      </c>
      <c r="D4135" s="286" t="s">
        <v>216</v>
      </c>
      <c r="E4135" s="286" t="s">
        <v>2</v>
      </c>
      <c r="F4135" s="113" t="s">
        <v>917</v>
      </c>
    </row>
    <row r="4136" spans="1:6" ht="14.25" customHeight="1">
      <c r="A4136" s="286" t="s">
        <v>828</v>
      </c>
      <c r="B4136" s="286">
        <v>2023</v>
      </c>
      <c r="C4136" s="286" t="s">
        <v>821</v>
      </c>
      <c r="D4136" s="286" t="s">
        <v>216</v>
      </c>
      <c r="E4136" s="286" t="s">
        <v>2</v>
      </c>
      <c r="F4136" s="113" t="s">
        <v>783</v>
      </c>
    </row>
    <row r="4137" spans="1:6" ht="14.25" customHeight="1">
      <c r="A4137" s="286" t="s">
        <v>828</v>
      </c>
      <c r="B4137" s="286">
        <v>2023</v>
      </c>
      <c r="C4137" s="286" t="s">
        <v>821</v>
      </c>
      <c r="D4137" s="286" t="s">
        <v>216</v>
      </c>
      <c r="E4137" s="286" t="s">
        <v>2</v>
      </c>
      <c r="F4137" s="113" t="s">
        <v>917</v>
      </c>
    </row>
    <row r="4138" spans="1:6" ht="14.25" customHeight="1">
      <c r="A4138" s="286" t="s">
        <v>828</v>
      </c>
      <c r="B4138" s="286">
        <v>2023</v>
      </c>
      <c r="C4138" s="286" t="s">
        <v>821</v>
      </c>
      <c r="D4138" s="286" t="s">
        <v>216</v>
      </c>
      <c r="E4138" s="286" t="s">
        <v>2</v>
      </c>
      <c r="F4138" s="113" t="s">
        <v>917</v>
      </c>
    </row>
    <row r="4139" spans="1:6" ht="14.25" customHeight="1">
      <c r="A4139" s="286" t="s">
        <v>828</v>
      </c>
      <c r="B4139" s="286">
        <v>2023</v>
      </c>
      <c r="C4139" s="286" t="s">
        <v>821</v>
      </c>
      <c r="D4139" s="286" t="s">
        <v>216</v>
      </c>
      <c r="E4139" s="286" t="s">
        <v>2</v>
      </c>
      <c r="F4139" s="113" t="s">
        <v>935</v>
      </c>
    </row>
    <row r="4140" spans="1:6" ht="14.25" customHeight="1">
      <c r="A4140" s="286" t="s">
        <v>828</v>
      </c>
      <c r="B4140" s="286">
        <v>2023</v>
      </c>
      <c r="C4140" s="286" t="s">
        <v>821</v>
      </c>
      <c r="D4140" s="286" t="s">
        <v>216</v>
      </c>
      <c r="E4140" s="286" t="s">
        <v>2</v>
      </c>
      <c r="F4140" s="113" t="s">
        <v>935</v>
      </c>
    </row>
    <row r="4141" spans="1:6" ht="14.25" customHeight="1">
      <c r="A4141" s="286" t="s">
        <v>828</v>
      </c>
      <c r="B4141" s="286">
        <v>2023</v>
      </c>
      <c r="C4141" s="286" t="s">
        <v>821</v>
      </c>
      <c r="D4141" s="286" t="s">
        <v>216</v>
      </c>
      <c r="E4141" s="286" t="s">
        <v>2</v>
      </c>
      <c r="F4141" s="113" t="s">
        <v>935</v>
      </c>
    </row>
    <row r="4142" spans="1:6" ht="14.25" customHeight="1">
      <c r="A4142" s="286" t="s">
        <v>828</v>
      </c>
      <c r="B4142" s="286">
        <v>2023</v>
      </c>
      <c r="C4142" s="286" t="s">
        <v>821</v>
      </c>
      <c r="D4142" s="286" t="s">
        <v>216</v>
      </c>
      <c r="E4142" s="286" t="s">
        <v>1312</v>
      </c>
      <c r="F4142" s="286" t="s">
        <v>1302</v>
      </c>
    </row>
    <row r="4143" spans="1:6" ht="14.25" customHeight="1">
      <c r="A4143" s="286" t="s">
        <v>828</v>
      </c>
      <c r="B4143" s="286">
        <v>2023</v>
      </c>
      <c r="C4143" s="286" t="s">
        <v>821</v>
      </c>
      <c r="D4143" s="286" t="s">
        <v>216</v>
      </c>
      <c r="E4143" s="113" t="s">
        <v>2</v>
      </c>
      <c r="F4143" s="286" t="s">
        <v>1302</v>
      </c>
    </row>
    <row r="4144" spans="1:6" ht="14.25" customHeight="1">
      <c r="A4144" s="286" t="s">
        <v>828</v>
      </c>
      <c r="B4144" s="286">
        <v>2023</v>
      </c>
      <c r="C4144" s="286" t="s">
        <v>88</v>
      </c>
      <c r="D4144" s="286" t="s">
        <v>958</v>
      </c>
      <c r="E4144" s="286" t="s">
        <v>2</v>
      </c>
      <c r="F4144" s="113" t="s">
        <v>918</v>
      </c>
    </row>
    <row r="4145" spans="1:6" ht="14.25" customHeight="1">
      <c r="A4145" s="286" t="s">
        <v>828</v>
      </c>
      <c r="B4145" s="286">
        <v>2023</v>
      </c>
      <c r="C4145" s="286" t="s">
        <v>88</v>
      </c>
      <c r="D4145" s="286" t="s">
        <v>969</v>
      </c>
      <c r="E4145" s="286" t="s">
        <v>2</v>
      </c>
      <c r="F4145" s="113" t="s">
        <v>909</v>
      </c>
    </row>
    <row r="4146" spans="1:6" ht="14.25" customHeight="1">
      <c r="A4146" s="286" t="s">
        <v>828</v>
      </c>
      <c r="B4146" s="286">
        <v>2023</v>
      </c>
      <c r="C4146" s="286" t="s">
        <v>88</v>
      </c>
      <c r="D4146" s="286" t="s">
        <v>969</v>
      </c>
      <c r="E4146" s="286" t="s">
        <v>2</v>
      </c>
      <c r="F4146" s="113" t="s">
        <v>909</v>
      </c>
    </row>
    <row r="4147" spans="1:6" ht="14.25" customHeight="1">
      <c r="A4147" s="286" t="s">
        <v>828</v>
      </c>
      <c r="B4147" s="286">
        <v>2023</v>
      </c>
      <c r="C4147" s="286" t="s">
        <v>88</v>
      </c>
      <c r="D4147" s="286" t="s">
        <v>969</v>
      </c>
      <c r="E4147" s="286" t="s">
        <v>981</v>
      </c>
      <c r="F4147" s="113" t="s">
        <v>906</v>
      </c>
    </row>
    <row r="4148" spans="1:6" ht="14.25" customHeight="1">
      <c r="A4148" s="286" t="s">
        <v>828</v>
      </c>
      <c r="B4148" s="286">
        <v>2023</v>
      </c>
      <c r="C4148" s="286" t="s">
        <v>88</v>
      </c>
      <c r="D4148" s="286" t="s">
        <v>969</v>
      </c>
      <c r="E4148" s="286" t="s">
        <v>1116</v>
      </c>
      <c r="F4148" s="113" t="s">
        <v>909</v>
      </c>
    </row>
    <row r="4149" spans="1:6" ht="14.25" customHeight="1">
      <c r="A4149" s="286" t="s">
        <v>828</v>
      </c>
      <c r="B4149" s="286">
        <v>2023</v>
      </c>
      <c r="C4149" s="286" t="s">
        <v>88</v>
      </c>
      <c r="D4149" s="286" t="s">
        <v>969</v>
      </c>
      <c r="E4149" s="286" t="s">
        <v>992</v>
      </c>
      <c r="F4149" s="286" t="s">
        <v>1302</v>
      </c>
    </row>
    <row r="4150" spans="1:6" ht="14.25" customHeight="1">
      <c r="A4150" s="286" t="s">
        <v>828</v>
      </c>
      <c r="B4150" s="286">
        <v>2023</v>
      </c>
      <c r="C4150" s="286" t="s">
        <v>88</v>
      </c>
      <c r="D4150" s="286" t="s">
        <v>956</v>
      </c>
      <c r="E4150" s="287">
        <v>711</v>
      </c>
      <c r="F4150" s="286" t="s">
        <v>1302</v>
      </c>
    </row>
    <row r="4151" spans="1:6" ht="14.25" customHeight="1">
      <c r="A4151" s="286" t="s">
        <v>828</v>
      </c>
      <c r="B4151" s="286">
        <v>2023</v>
      </c>
      <c r="C4151" s="286" t="s">
        <v>859</v>
      </c>
      <c r="D4151" s="286" t="s">
        <v>1005</v>
      </c>
      <c r="E4151" s="286" t="s">
        <v>1030</v>
      </c>
      <c r="F4151" s="113" t="s">
        <v>935</v>
      </c>
    </row>
    <row r="4152" spans="1:6" ht="14.25" customHeight="1">
      <c r="A4152" s="286" t="s">
        <v>828</v>
      </c>
      <c r="B4152" s="286">
        <v>2023</v>
      </c>
      <c r="C4152" s="286" t="s">
        <v>859</v>
      </c>
      <c r="D4152" s="286" t="s">
        <v>1005</v>
      </c>
      <c r="E4152" s="286" t="s">
        <v>1030</v>
      </c>
      <c r="F4152" s="113" t="s">
        <v>935</v>
      </c>
    </row>
    <row r="4153" spans="1:6" ht="14.25" customHeight="1">
      <c r="A4153" s="286" t="s">
        <v>828</v>
      </c>
      <c r="B4153" s="286">
        <v>2023</v>
      </c>
      <c r="C4153" s="286" t="s">
        <v>859</v>
      </c>
      <c r="D4153" s="286" t="s">
        <v>1000</v>
      </c>
      <c r="E4153" s="286" t="s">
        <v>1116</v>
      </c>
      <c r="F4153" s="113" t="s">
        <v>909</v>
      </c>
    </row>
    <row r="4154" spans="1:6" ht="14.25" customHeight="1">
      <c r="A4154" s="286" t="s">
        <v>828</v>
      </c>
      <c r="B4154" s="286">
        <v>2023</v>
      </c>
      <c r="C4154" s="286" t="s">
        <v>859</v>
      </c>
      <c r="D4154" s="286" t="s">
        <v>1208</v>
      </c>
      <c r="E4154" s="286" t="s">
        <v>937</v>
      </c>
      <c r="F4154" s="286" t="s">
        <v>1302</v>
      </c>
    </row>
    <row r="4155" spans="1:6" ht="14.25" customHeight="1">
      <c r="A4155" s="286" t="s">
        <v>828</v>
      </c>
      <c r="B4155" s="286">
        <v>2023</v>
      </c>
      <c r="C4155" s="286" t="s">
        <v>859</v>
      </c>
      <c r="D4155" s="286" t="s">
        <v>1208</v>
      </c>
      <c r="E4155" s="286" t="s">
        <v>1068</v>
      </c>
      <c r="F4155" s="286" t="s">
        <v>1302</v>
      </c>
    </row>
    <row r="4156" spans="1:6" ht="14.25" customHeight="1">
      <c r="A4156" s="286" t="s">
        <v>828</v>
      </c>
      <c r="B4156" s="286">
        <v>2023</v>
      </c>
      <c r="C4156" s="286" t="s">
        <v>872</v>
      </c>
      <c r="D4156" s="286" t="s">
        <v>1018</v>
      </c>
      <c r="E4156" s="286" t="s">
        <v>1006</v>
      </c>
      <c r="F4156" s="113" t="s">
        <v>917</v>
      </c>
    </row>
    <row r="4157" spans="1:6" ht="14.25" customHeight="1">
      <c r="A4157" s="286" t="s">
        <v>828</v>
      </c>
      <c r="B4157" s="286">
        <v>2023</v>
      </c>
      <c r="C4157" s="286" t="s">
        <v>1024</v>
      </c>
      <c r="D4157" s="286" t="s">
        <v>1025</v>
      </c>
      <c r="E4157" s="286" t="s">
        <v>2</v>
      </c>
      <c r="F4157" s="113" t="s">
        <v>918</v>
      </c>
    </row>
    <row r="4158" spans="1:6" ht="14.25" customHeight="1">
      <c r="A4158" s="286" t="s">
        <v>828</v>
      </c>
      <c r="B4158" s="286">
        <v>2023</v>
      </c>
      <c r="C4158" s="286" t="s">
        <v>1024</v>
      </c>
      <c r="D4158" s="286" t="s">
        <v>1025</v>
      </c>
      <c r="E4158" s="287">
        <v>809</v>
      </c>
      <c r="F4158" s="286" t="s">
        <v>1302</v>
      </c>
    </row>
    <row r="4159" spans="1:6" ht="14.25" customHeight="1">
      <c r="A4159" s="286" t="s">
        <v>828</v>
      </c>
      <c r="B4159" s="286">
        <v>2023</v>
      </c>
      <c r="C4159" s="286" t="s">
        <v>1024</v>
      </c>
      <c r="D4159" s="286" t="s">
        <v>1025</v>
      </c>
      <c r="E4159" s="286" t="s">
        <v>1311</v>
      </c>
      <c r="F4159" s="286" t="s">
        <v>1302</v>
      </c>
    </row>
    <row r="4160" spans="1:6" ht="14.25" customHeight="1">
      <c r="A4160" s="286" t="s">
        <v>828</v>
      </c>
      <c r="B4160" s="286">
        <v>2023</v>
      </c>
      <c r="C4160" s="286" t="s">
        <v>1024</v>
      </c>
      <c r="D4160" s="286" t="s">
        <v>1027</v>
      </c>
      <c r="E4160" s="287">
        <v>334</v>
      </c>
      <c r="F4160" s="286" t="s">
        <v>1302</v>
      </c>
    </row>
    <row r="4161" spans="1:6" ht="14.25" customHeight="1">
      <c r="A4161" s="286" t="s">
        <v>828</v>
      </c>
      <c r="B4161" s="286">
        <v>2023</v>
      </c>
      <c r="C4161" s="286" t="s">
        <v>1024</v>
      </c>
      <c r="D4161" s="286" t="s">
        <v>1027</v>
      </c>
      <c r="E4161" s="286" t="s">
        <v>1313</v>
      </c>
      <c r="F4161" s="286" t="s">
        <v>1302</v>
      </c>
    </row>
    <row r="4162" spans="1:6" ht="14.25" customHeight="1">
      <c r="A4162" s="286" t="s">
        <v>828</v>
      </c>
      <c r="B4162" s="286">
        <v>2023</v>
      </c>
      <c r="C4162" s="286" t="s">
        <v>1024</v>
      </c>
      <c r="D4162" s="286" t="s">
        <v>1027</v>
      </c>
      <c r="E4162" s="286" t="s">
        <v>1313</v>
      </c>
      <c r="F4162" s="286" t="s">
        <v>1302</v>
      </c>
    </row>
    <row r="4163" spans="1:6" ht="14.25" customHeight="1">
      <c r="A4163" s="286" t="s">
        <v>828</v>
      </c>
      <c r="B4163" s="286">
        <v>2023</v>
      </c>
      <c r="C4163" s="286" t="s">
        <v>1024</v>
      </c>
      <c r="D4163" s="286" t="s">
        <v>1027</v>
      </c>
      <c r="E4163" s="286" t="s">
        <v>1311</v>
      </c>
      <c r="F4163" s="286" t="s">
        <v>1302</v>
      </c>
    </row>
    <row r="4164" spans="1:6" ht="14.25" customHeight="1">
      <c r="A4164" s="286" t="s">
        <v>828</v>
      </c>
      <c r="B4164" s="286">
        <v>2023</v>
      </c>
      <c r="C4164" s="286" t="s">
        <v>1024</v>
      </c>
      <c r="D4164" s="286" t="s">
        <v>1055</v>
      </c>
      <c r="E4164" s="287">
        <v>801</v>
      </c>
      <c r="F4164" s="286" t="s">
        <v>1302</v>
      </c>
    </row>
    <row r="4165" spans="1:6" ht="14.25" customHeight="1">
      <c r="A4165" s="286" t="s">
        <v>829</v>
      </c>
      <c r="B4165" s="286">
        <v>2023</v>
      </c>
      <c r="C4165" s="286" t="s">
        <v>821</v>
      </c>
      <c r="D4165" s="286" t="s">
        <v>132</v>
      </c>
      <c r="E4165" s="286" t="s">
        <v>2</v>
      </c>
      <c r="F4165" s="113" t="s">
        <v>906</v>
      </c>
    </row>
    <row r="4166" spans="1:6" ht="14.25" customHeight="1">
      <c r="A4166" s="286" t="s">
        <v>829</v>
      </c>
      <c r="B4166" s="286">
        <v>2023</v>
      </c>
      <c r="C4166" s="286" t="s">
        <v>821</v>
      </c>
      <c r="D4166" s="286" t="s">
        <v>934</v>
      </c>
      <c r="E4166" s="287">
        <v>419</v>
      </c>
      <c r="F4166" s="286" t="s">
        <v>1302</v>
      </c>
    </row>
    <row r="4167" spans="1:6" ht="14.25" customHeight="1">
      <c r="A4167" s="286" t="s">
        <v>829</v>
      </c>
      <c r="B4167" s="286">
        <v>2023</v>
      </c>
      <c r="C4167" s="286" t="s">
        <v>821</v>
      </c>
      <c r="D4167" s="286" t="s">
        <v>934</v>
      </c>
      <c r="E4167" s="286" t="s">
        <v>2</v>
      </c>
      <c r="F4167" s="113" t="s">
        <v>917</v>
      </c>
    </row>
    <row r="4168" spans="1:6" ht="14.25" customHeight="1">
      <c r="A4168" s="286" t="s">
        <v>829</v>
      </c>
      <c r="B4168" s="286">
        <v>2023</v>
      </c>
      <c r="C4168" s="286" t="s">
        <v>821</v>
      </c>
      <c r="D4168" s="286" t="s">
        <v>934</v>
      </c>
      <c r="E4168" s="287">
        <v>803</v>
      </c>
      <c r="F4168" s="286" t="s">
        <v>1302</v>
      </c>
    </row>
    <row r="4169" spans="1:6" ht="14.25" customHeight="1">
      <c r="A4169" s="286" t="s">
        <v>829</v>
      </c>
      <c r="B4169" s="286">
        <v>2023</v>
      </c>
      <c r="C4169" s="286" t="s">
        <v>821</v>
      </c>
      <c r="D4169" s="286" t="s">
        <v>934</v>
      </c>
      <c r="E4169" s="286" t="s">
        <v>2</v>
      </c>
      <c r="F4169" s="113" t="s">
        <v>917</v>
      </c>
    </row>
    <row r="4170" spans="1:6" ht="14.25" customHeight="1">
      <c r="A4170" s="286" t="s">
        <v>829</v>
      </c>
      <c r="B4170" s="286">
        <v>2023</v>
      </c>
      <c r="C4170" s="286" t="s">
        <v>821</v>
      </c>
      <c r="D4170" s="286" t="s">
        <v>934</v>
      </c>
      <c r="E4170" s="286" t="s">
        <v>2</v>
      </c>
      <c r="F4170" s="113" t="s">
        <v>917</v>
      </c>
    </row>
    <row r="4171" spans="1:6" ht="14.25" customHeight="1">
      <c r="A4171" s="286" t="s">
        <v>829</v>
      </c>
      <c r="B4171" s="286">
        <v>2023</v>
      </c>
      <c r="C4171" s="286" t="s">
        <v>821</v>
      </c>
      <c r="D4171" s="286" t="s">
        <v>934</v>
      </c>
      <c r="E4171" s="286" t="s">
        <v>2</v>
      </c>
      <c r="F4171" s="113" t="s">
        <v>917</v>
      </c>
    </row>
    <row r="4172" spans="1:6" ht="14.25" customHeight="1">
      <c r="A4172" s="286" t="s">
        <v>829</v>
      </c>
      <c r="B4172" s="286">
        <v>2023</v>
      </c>
      <c r="C4172" s="286" t="s">
        <v>821</v>
      </c>
      <c r="D4172" s="286" t="s">
        <v>931</v>
      </c>
      <c r="E4172" s="286" t="s">
        <v>2</v>
      </c>
      <c r="F4172" s="113" t="s">
        <v>663</v>
      </c>
    </row>
    <row r="4173" spans="1:6" ht="14.25" customHeight="1">
      <c r="A4173" s="286" t="s">
        <v>829</v>
      </c>
      <c r="B4173" s="286">
        <v>2023</v>
      </c>
      <c r="C4173" s="286" t="s">
        <v>821</v>
      </c>
      <c r="D4173" s="286" t="s">
        <v>931</v>
      </c>
      <c r="E4173" s="286" t="s">
        <v>2</v>
      </c>
      <c r="F4173" s="113" t="s">
        <v>915</v>
      </c>
    </row>
    <row r="4174" spans="1:6" ht="14.25" customHeight="1">
      <c r="A4174" s="286" t="s">
        <v>829</v>
      </c>
      <c r="B4174" s="286">
        <v>2023</v>
      </c>
      <c r="C4174" s="286" t="s">
        <v>821</v>
      </c>
      <c r="D4174" s="286" t="s">
        <v>931</v>
      </c>
      <c r="E4174" s="286" t="s">
        <v>2</v>
      </c>
      <c r="F4174" s="113" t="s">
        <v>917</v>
      </c>
    </row>
    <row r="4175" spans="1:6" ht="14.25" customHeight="1">
      <c r="A4175" s="286" t="s">
        <v>829</v>
      </c>
      <c r="B4175" s="286">
        <v>2023</v>
      </c>
      <c r="C4175" s="286" t="s">
        <v>821</v>
      </c>
      <c r="D4175" s="286" t="s">
        <v>931</v>
      </c>
      <c r="E4175" s="286" t="s">
        <v>2</v>
      </c>
      <c r="F4175" s="113" t="s">
        <v>917</v>
      </c>
    </row>
    <row r="4176" spans="1:6" ht="14.25" customHeight="1">
      <c r="A4176" s="286" t="s">
        <v>829</v>
      </c>
      <c r="B4176" s="286">
        <v>2023</v>
      </c>
      <c r="C4176" s="286" t="s">
        <v>821</v>
      </c>
      <c r="D4176" s="286" t="s">
        <v>931</v>
      </c>
      <c r="E4176" s="286" t="s">
        <v>2</v>
      </c>
      <c r="F4176" s="113" t="s">
        <v>917</v>
      </c>
    </row>
    <row r="4177" spans="1:6" ht="14.25" customHeight="1">
      <c r="A4177" s="286" t="s">
        <v>829</v>
      </c>
      <c r="B4177" s="286">
        <v>2023</v>
      </c>
      <c r="C4177" s="286" t="s">
        <v>821</v>
      </c>
      <c r="D4177" s="286" t="s">
        <v>976</v>
      </c>
      <c r="E4177" s="286" t="s">
        <v>2</v>
      </c>
      <c r="F4177" s="113" t="s">
        <v>783</v>
      </c>
    </row>
    <row r="4178" spans="1:6" ht="14.25" customHeight="1">
      <c r="A4178" s="286" t="s">
        <v>829</v>
      </c>
      <c r="B4178" s="286">
        <v>2023</v>
      </c>
      <c r="C4178" s="286" t="s">
        <v>821</v>
      </c>
      <c r="D4178" s="286" t="s">
        <v>976</v>
      </c>
      <c r="E4178" s="286" t="s">
        <v>2</v>
      </c>
      <c r="F4178" s="113" t="s">
        <v>783</v>
      </c>
    </row>
    <row r="4179" spans="1:6" ht="14.25" customHeight="1">
      <c r="A4179" s="286" t="s">
        <v>829</v>
      </c>
      <c r="B4179" s="286">
        <v>2023</v>
      </c>
      <c r="C4179" s="286" t="s">
        <v>821</v>
      </c>
      <c r="D4179" s="286" t="s">
        <v>976</v>
      </c>
      <c r="E4179" s="286" t="s">
        <v>2</v>
      </c>
      <c r="F4179" s="113" t="s">
        <v>783</v>
      </c>
    </row>
    <row r="4180" spans="1:6" ht="14.25" customHeight="1">
      <c r="A4180" s="286" t="s">
        <v>829</v>
      </c>
      <c r="B4180" s="286">
        <v>2023</v>
      </c>
      <c r="C4180" s="286" t="s">
        <v>821</v>
      </c>
      <c r="D4180" s="286" t="s">
        <v>976</v>
      </c>
      <c r="E4180" s="286" t="s">
        <v>2</v>
      </c>
      <c r="F4180" s="113" t="s">
        <v>783</v>
      </c>
    </row>
    <row r="4181" spans="1:6" ht="14.25" customHeight="1">
      <c r="A4181" s="286" t="s">
        <v>829</v>
      </c>
      <c r="B4181" s="286">
        <v>2023</v>
      </c>
      <c r="C4181" s="286" t="s">
        <v>821</v>
      </c>
      <c r="D4181" s="286" t="s">
        <v>976</v>
      </c>
      <c r="E4181" s="286" t="s">
        <v>2</v>
      </c>
      <c r="F4181" s="113" t="s">
        <v>783</v>
      </c>
    </row>
    <row r="4182" spans="1:6" ht="14.25" customHeight="1">
      <c r="A4182" s="286" t="s">
        <v>829</v>
      </c>
      <c r="B4182" s="286">
        <v>2023</v>
      </c>
      <c r="C4182" s="286" t="s">
        <v>821</v>
      </c>
      <c r="D4182" s="286" t="s">
        <v>976</v>
      </c>
      <c r="E4182" s="286" t="s">
        <v>2</v>
      </c>
      <c r="F4182" s="113" t="s">
        <v>783</v>
      </c>
    </row>
    <row r="4183" spans="1:6" ht="14.25" customHeight="1">
      <c r="A4183" s="286" t="s">
        <v>829</v>
      </c>
      <c r="B4183" s="286">
        <v>2023</v>
      </c>
      <c r="C4183" s="286" t="s">
        <v>821</v>
      </c>
      <c r="D4183" s="286" t="s">
        <v>1033</v>
      </c>
      <c r="E4183" s="286" t="s">
        <v>2</v>
      </c>
      <c r="F4183" s="113" t="s">
        <v>915</v>
      </c>
    </row>
    <row r="4184" spans="1:6" ht="14.25" customHeight="1">
      <c r="A4184" s="286" t="s">
        <v>829</v>
      </c>
      <c r="B4184" s="286">
        <v>2023</v>
      </c>
      <c r="C4184" s="286" t="s">
        <v>821</v>
      </c>
      <c r="D4184" s="286" t="s">
        <v>1033</v>
      </c>
      <c r="E4184" s="286" t="s">
        <v>2</v>
      </c>
      <c r="F4184" s="113" t="s">
        <v>915</v>
      </c>
    </row>
    <row r="4185" spans="1:6" ht="14.25" customHeight="1">
      <c r="A4185" s="286" t="s">
        <v>829</v>
      </c>
      <c r="B4185" s="286">
        <v>2023</v>
      </c>
      <c r="C4185" s="286" t="s">
        <v>821</v>
      </c>
      <c r="D4185" s="286" t="s">
        <v>1033</v>
      </c>
      <c r="E4185" s="286" t="s">
        <v>2</v>
      </c>
      <c r="F4185" s="113" t="s">
        <v>783</v>
      </c>
    </row>
    <row r="4186" spans="1:6" ht="14.25" customHeight="1">
      <c r="A4186" s="286" t="s">
        <v>829</v>
      </c>
      <c r="B4186" s="286">
        <v>2023</v>
      </c>
      <c r="C4186" s="286" t="s">
        <v>821</v>
      </c>
      <c r="D4186" s="286" t="s">
        <v>1033</v>
      </c>
      <c r="E4186" s="286" t="s">
        <v>2</v>
      </c>
      <c r="F4186" s="113" t="s">
        <v>906</v>
      </c>
    </row>
    <row r="4187" spans="1:6" ht="14.25" customHeight="1">
      <c r="A4187" s="286" t="s">
        <v>829</v>
      </c>
      <c r="B4187" s="286">
        <v>2023</v>
      </c>
      <c r="C4187" s="286" t="s">
        <v>821</v>
      </c>
      <c r="D4187" s="286" t="s">
        <v>216</v>
      </c>
      <c r="E4187" s="286" t="s">
        <v>2</v>
      </c>
      <c r="F4187" s="113" t="s">
        <v>935</v>
      </c>
    </row>
    <row r="4188" spans="1:6" ht="14.25" customHeight="1">
      <c r="A4188" s="286" t="s">
        <v>829</v>
      </c>
      <c r="B4188" s="286">
        <v>2023</v>
      </c>
      <c r="C4188" s="286" t="s">
        <v>821</v>
      </c>
      <c r="D4188" s="286" t="s">
        <v>216</v>
      </c>
      <c r="E4188" s="286" t="s">
        <v>2</v>
      </c>
      <c r="F4188" s="113" t="s">
        <v>935</v>
      </c>
    </row>
    <row r="4189" spans="1:6" ht="14.25" customHeight="1">
      <c r="A4189" s="286" t="s">
        <v>829</v>
      </c>
      <c r="B4189" s="286">
        <v>2023</v>
      </c>
      <c r="C4189" s="286" t="s">
        <v>88</v>
      </c>
      <c r="D4189" s="286" t="s">
        <v>958</v>
      </c>
      <c r="E4189" s="286" t="s">
        <v>2</v>
      </c>
      <c r="F4189" s="113" t="s">
        <v>935</v>
      </c>
    </row>
    <row r="4190" spans="1:6" ht="14.25" customHeight="1">
      <c r="A4190" s="286" t="s">
        <v>829</v>
      </c>
      <c r="B4190" s="286">
        <v>2023</v>
      </c>
      <c r="C4190" s="286" t="s">
        <v>88</v>
      </c>
      <c r="D4190" s="286" t="s">
        <v>958</v>
      </c>
      <c r="E4190" s="286" t="s">
        <v>1265</v>
      </c>
      <c r="F4190" s="286" t="s">
        <v>1302</v>
      </c>
    </row>
    <row r="4191" spans="1:6" ht="14.25" customHeight="1">
      <c r="A4191" s="286" t="s">
        <v>829</v>
      </c>
      <c r="B4191" s="286">
        <v>2023</v>
      </c>
      <c r="C4191" s="286" t="s">
        <v>88</v>
      </c>
      <c r="D4191" s="286" t="s">
        <v>958</v>
      </c>
      <c r="E4191" s="286" t="s">
        <v>1265</v>
      </c>
      <c r="F4191" s="286" t="s">
        <v>1302</v>
      </c>
    </row>
    <row r="4192" spans="1:6" ht="14.25" customHeight="1">
      <c r="A4192" s="286" t="s">
        <v>829</v>
      </c>
      <c r="B4192" s="286">
        <v>2023</v>
      </c>
      <c r="C4192" s="286" t="s">
        <v>88</v>
      </c>
      <c r="D4192" s="286" t="s">
        <v>958</v>
      </c>
      <c r="E4192" s="286" t="s">
        <v>1265</v>
      </c>
      <c r="F4192" s="286" t="s">
        <v>1302</v>
      </c>
    </row>
    <row r="4193" spans="1:6" ht="14.25" customHeight="1">
      <c r="A4193" s="286" t="s">
        <v>829</v>
      </c>
      <c r="B4193" s="286">
        <v>2023</v>
      </c>
      <c r="C4193" s="286" t="s">
        <v>1024</v>
      </c>
      <c r="D4193" s="286" t="s">
        <v>1025</v>
      </c>
      <c r="E4193" s="286" t="s">
        <v>2</v>
      </c>
      <c r="F4193" s="113" t="s">
        <v>906</v>
      </c>
    </row>
    <row r="4194" spans="1:6" ht="14.25" customHeight="1">
      <c r="A4194" s="286" t="s">
        <v>829</v>
      </c>
      <c r="B4194" s="286">
        <v>2023</v>
      </c>
      <c r="C4194" s="286" t="s">
        <v>1024</v>
      </c>
      <c r="D4194" s="286" t="s">
        <v>1027</v>
      </c>
      <c r="E4194" s="286" t="s">
        <v>1313</v>
      </c>
      <c r="F4194" s="286" t="s">
        <v>1302</v>
      </c>
    </row>
    <row r="4195" spans="1:6" ht="14.25" customHeight="1">
      <c r="A4195" s="286" t="s">
        <v>829</v>
      </c>
      <c r="B4195" s="286">
        <v>2023</v>
      </c>
      <c r="C4195" s="286" t="s">
        <v>1024</v>
      </c>
      <c r="D4195" s="286" t="s">
        <v>1027</v>
      </c>
      <c r="E4195" s="286" t="s">
        <v>1313</v>
      </c>
      <c r="F4195" s="286" t="s">
        <v>1302</v>
      </c>
    </row>
    <row r="4196" spans="1:6" ht="14.25" customHeight="1">
      <c r="A4196" s="286" t="s">
        <v>829</v>
      </c>
      <c r="B4196" s="286">
        <v>2023</v>
      </c>
      <c r="C4196" s="286" t="s">
        <v>1024</v>
      </c>
      <c r="D4196" s="286" t="s">
        <v>1027</v>
      </c>
      <c r="E4196" s="286" t="s">
        <v>1313</v>
      </c>
      <c r="F4196" s="286" t="s">
        <v>1302</v>
      </c>
    </row>
    <row r="4197" spans="1:6" ht="14.25" customHeight="1">
      <c r="A4197" s="286" t="s">
        <v>829</v>
      </c>
      <c r="B4197" s="286">
        <v>2023</v>
      </c>
      <c r="C4197" s="286" t="s">
        <v>1024</v>
      </c>
      <c r="D4197" s="286" t="s">
        <v>1027</v>
      </c>
      <c r="E4197" s="286" t="s">
        <v>1313</v>
      </c>
      <c r="F4197" s="286" t="s">
        <v>1302</v>
      </c>
    </row>
    <row r="4198" spans="1:6" ht="14.25" customHeight="1">
      <c r="A4198" s="286" t="s">
        <v>829</v>
      </c>
      <c r="B4198" s="286">
        <v>2023</v>
      </c>
      <c r="C4198" s="286" t="s">
        <v>1024</v>
      </c>
      <c r="D4198" s="286" t="s">
        <v>1027</v>
      </c>
      <c r="E4198" s="286" t="s">
        <v>1313</v>
      </c>
      <c r="F4198" s="286" t="s">
        <v>1302</v>
      </c>
    </row>
    <row r="4199" spans="1:6" ht="14.25" customHeight="1">
      <c r="A4199" s="286" t="s">
        <v>829</v>
      </c>
      <c r="B4199" s="286">
        <v>2023</v>
      </c>
      <c r="C4199" s="286" t="s">
        <v>1024</v>
      </c>
      <c r="D4199" s="286" t="s">
        <v>1027</v>
      </c>
      <c r="E4199" s="286" t="s">
        <v>1037</v>
      </c>
      <c r="F4199" s="286" t="s">
        <v>1302</v>
      </c>
    </row>
    <row r="4200" spans="1:6" ht="14.25" customHeight="1">
      <c r="A4200" s="286" t="s">
        <v>829</v>
      </c>
      <c r="B4200" s="286">
        <v>2023</v>
      </c>
      <c r="C4200" s="286" t="s">
        <v>1024</v>
      </c>
      <c r="D4200" s="286" t="s">
        <v>1027</v>
      </c>
      <c r="E4200" s="286" t="s">
        <v>1009</v>
      </c>
      <c r="F4200" s="286" t="s">
        <v>1302</v>
      </c>
    </row>
    <row r="4201" spans="1:6" ht="14.25" customHeight="1">
      <c r="A4201" s="286" t="s">
        <v>829</v>
      </c>
      <c r="B4201" s="286">
        <v>2023</v>
      </c>
      <c r="C4201" s="286" t="s">
        <v>1024</v>
      </c>
      <c r="D4201" s="286" t="s">
        <v>1029</v>
      </c>
      <c r="E4201" s="286" t="s">
        <v>1311</v>
      </c>
      <c r="F4201" s="286" t="s">
        <v>1302</v>
      </c>
    </row>
    <row r="4202" spans="1:6" ht="14.25" customHeight="1">
      <c r="A4202" s="286" t="s">
        <v>830</v>
      </c>
      <c r="B4202" s="286">
        <v>2023</v>
      </c>
      <c r="C4202" s="286" t="s">
        <v>821</v>
      </c>
      <c r="D4202" s="286" t="s">
        <v>132</v>
      </c>
      <c r="E4202" s="287">
        <v>304</v>
      </c>
      <c r="F4202" s="286" t="s">
        <v>1302</v>
      </c>
    </row>
    <row r="4203" spans="1:6" ht="14.25" customHeight="1">
      <c r="A4203" s="286" t="s">
        <v>830</v>
      </c>
      <c r="B4203" s="286">
        <v>2023</v>
      </c>
      <c r="C4203" s="286" t="s">
        <v>821</v>
      </c>
      <c r="D4203" s="286" t="s">
        <v>934</v>
      </c>
      <c r="E4203" s="286" t="s">
        <v>2</v>
      </c>
      <c r="F4203" s="113" t="s">
        <v>909</v>
      </c>
    </row>
    <row r="4204" spans="1:6" ht="14.25" customHeight="1">
      <c r="A4204" s="286" t="s">
        <v>830</v>
      </c>
      <c r="B4204" s="286">
        <v>2023</v>
      </c>
      <c r="C4204" s="286" t="s">
        <v>821</v>
      </c>
      <c r="D4204" s="286" t="s">
        <v>934</v>
      </c>
      <c r="E4204" s="287">
        <v>413</v>
      </c>
      <c r="F4204" s="286" t="s">
        <v>1302</v>
      </c>
    </row>
    <row r="4205" spans="1:6" ht="14.25" customHeight="1">
      <c r="A4205" s="286" t="s">
        <v>830</v>
      </c>
      <c r="B4205" s="286">
        <v>2023</v>
      </c>
      <c r="C4205" s="286" t="s">
        <v>821</v>
      </c>
      <c r="D4205" s="286" t="s">
        <v>934</v>
      </c>
      <c r="E4205" s="287">
        <v>413</v>
      </c>
      <c r="F4205" s="286" t="s">
        <v>1302</v>
      </c>
    </row>
    <row r="4206" spans="1:6" ht="14.25" customHeight="1">
      <c r="A4206" s="286" t="s">
        <v>830</v>
      </c>
      <c r="B4206" s="286">
        <v>2023</v>
      </c>
      <c r="C4206" s="286" t="s">
        <v>821</v>
      </c>
      <c r="D4206" s="286" t="s">
        <v>934</v>
      </c>
      <c r="E4206" s="287">
        <v>807</v>
      </c>
      <c r="F4206" s="286" t="s">
        <v>1302</v>
      </c>
    </row>
    <row r="4207" spans="1:6" ht="14.25" customHeight="1">
      <c r="A4207" s="286" t="s">
        <v>830</v>
      </c>
      <c r="B4207" s="286">
        <v>2023</v>
      </c>
      <c r="C4207" s="286" t="s">
        <v>821</v>
      </c>
      <c r="D4207" s="286" t="s">
        <v>934</v>
      </c>
      <c r="E4207" s="286" t="s">
        <v>2</v>
      </c>
      <c r="F4207" s="113" t="s">
        <v>935</v>
      </c>
    </row>
    <row r="4208" spans="1:6" ht="14.25" customHeight="1">
      <c r="A4208" s="286" t="s">
        <v>830</v>
      </c>
      <c r="B4208" s="286">
        <v>2023</v>
      </c>
      <c r="C4208" s="286" t="s">
        <v>821</v>
      </c>
      <c r="D4208" s="286" t="s">
        <v>934</v>
      </c>
      <c r="E4208" s="286" t="s">
        <v>984</v>
      </c>
      <c r="F4208" s="113" t="s">
        <v>935</v>
      </c>
    </row>
    <row r="4209" spans="1:6" ht="14.25" customHeight="1">
      <c r="A4209" s="286" t="s">
        <v>830</v>
      </c>
      <c r="B4209" s="286">
        <v>2023</v>
      </c>
      <c r="C4209" s="286" t="s">
        <v>821</v>
      </c>
      <c r="D4209" s="286" t="s">
        <v>934</v>
      </c>
      <c r="E4209" s="286" t="s">
        <v>945</v>
      </c>
      <c r="F4209" s="113" t="s">
        <v>917</v>
      </c>
    </row>
    <row r="4210" spans="1:6" ht="14.25" customHeight="1">
      <c r="A4210" s="286" t="s">
        <v>830</v>
      </c>
      <c r="B4210" s="286">
        <v>2023</v>
      </c>
      <c r="C4210" s="286" t="s">
        <v>821</v>
      </c>
      <c r="D4210" s="286" t="s">
        <v>934</v>
      </c>
      <c r="E4210" s="286" t="s">
        <v>2</v>
      </c>
      <c r="F4210" s="113" t="s">
        <v>917</v>
      </c>
    </row>
    <row r="4211" spans="1:6" ht="14.25" customHeight="1">
      <c r="A4211" s="286" t="s">
        <v>830</v>
      </c>
      <c r="B4211" s="286">
        <v>2023</v>
      </c>
      <c r="C4211" s="286" t="s">
        <v>821</v>
      </c>
      <c r="D4211" s="286" t="s">
        <v>934</v>
      </c>
      <c r="E4211" s="286" t="s">
        <v>2</v>
      </c>
      <c r="F4211" s="113" t="s">
        <v>917</v>
      </c>
    </row>
    <row r="4212" spans="1:6" ht="14.25" customHeight="1">
      <c r="A4212" s="286" t="s">
        <v>830</v>
      </c>
      <c r="B4212" s="286">
        <v>2023</v>
      </c>
      <c r="C4212" s="286" t="s">
        <v>821</v>
      </c>
      <c r="D4212" s="286" t="s">
        <v>934</v>
      </c>
      <c r="E4212" s="286" t="s">
        <v>2</v>
      </c>
      <c r="F4212" s="113" t="s">
        <v>917</v>
      </c>
    </row>
    <row r="4213" spans="1:6" ht="14.25" customHeight="1">
      <c r="A4213" s="286" t="s">
        <v>830</v>
      </c>
      <c r="B4213" s="286">
        <v>2023</v>
      </c>
      <c r="C4213" s="286" t="s">
        <v>821</v>
      </c>
      <c r="D4213" s="286" t="s">
        <v>934</v>
      </c>
      <c r="E4213" s="286" t="s">
        <v>2</v>
      </c>
      <c r="F4213" s="113" t="s">
        <v>917</v>
      </c>
    </row>
    <row r="4214" spans="1:6" ht="14.25" customHeight="1">
      <c r="A4214" s="286" t="s">
        <v>830</v>
      </c>
      <c r="B4214" s="286">
        <v>2023</v>
      </c>
      <c r="C4214" s="286" t="s">
        <v>821</v>
      </c>
      <c r="D4214" s="286" t="s">
        <v>934</v>
      </c>
      <c r="E4214" s="286" t="s">
        <v>2</v>
      </c>
      <c r="F4214" s="113" t="s">
        <v>917</v>
      </c>
    </row>
    <row r="4215" spans="1:6" ht="14.25" customHeight="1">
      <c r="A4215" s="286" t="s">
        <v>830</v>
      </c>
      <c r="B4215" s="286">
        <v>2023</v>
      </c>
      <c r="C4215" s="286" t="s">
        <v>821</v>
      </c>
      <c r="D4215" s="286" t="s">
        <v>934</v>
      </c>
      <c r="E4215" s="286" t="s">
        <v>1314</v>
      </c>
      <c r="F4215" s="286" t="s">
        <v>1302</v>
      </c>
    </row>
    <row r="4216" spans="1:6" ht="14.25" customHeight="1">
      <c r="A4216" s="286" t="s">
        <v>830</v>
      </c>
      <c r="B4216" s="286">
        <v>2023</v>
      </c>
      <c r="C4216" s="286" t="s">
        <v>821</v>
      </c>
      <c r="D4216" s="286" t="s">
        <v>934</v>
      </c>
      <c r="E4216" s="286" t="s">
        <v>1315</v>
      </c>
      <c r="F4216" s="286" t="s">
        <v>1302</v>
      </c>
    </row>
    <row r="4217" spans="1:6" ht="14.25" customHeight="1">
      <c r="A4217" s="286" t="s">
        <v>830</v>
      </c>
      <c r="B4217" s="286">
        <v>2023</v>
      </c>
      <c r="C4217" s="286" t="s">
        <v>821</v>
      </c>
      <c r="D4217" s="286" t="s">
        <v>934</v>
      </c>
      <c r="E4217" s="286" t="s">
        <v>1316</v>
      </c>
      <c r="F4217" s="286" t="s">
        <v>1302</v>
      </c>
    </row>
    <row r="4218" spans="1:6" ht="14.25" customHeight="1">
      <c r="A4218" s="286" t="s">
        <v>830</v>
      </c>
      <c r="B4218" s="286">
        <v>2023</v>
      </c>
      <c r="C4218" s="286" t="s">
        <v>821</v>
      </c>
      <c r="D4218" s="286" t="s">
        <v>931</v>
      </c>
      <c r="E4218" s="286" t="s">
        <v>2</v>
      </c>
      <c r="F4218" s="113" t="s">
        <v>663</v>
      </c>
    </row>
    <row r="4219" spans="1:6" ht="14.25" customHeight="1">
      <c r="A4219" s="286" t="s">
        <v>830</v>
      </c>
      <c r="B4219" s="286">
        <v>2023</v>
      </c>
      <c r="C4219" s="286" t="s">
        <v>821</v>
      </c>
      <c r="D4219" s="286" t="s">
        <v>931</v>
      </c>
      <c r="E4219" s="286" t="s">
        <v>2</v>
      </c>
      <c r="F4219" s="113" t="s">
        <v>915</v>
      </c>
    </row>
    <row r="4220" spans="1:6" ht="14.25" customHeight="1">
      <c r="A4220" s="286" t="s">
        <v>830</v>
      </c>
      <c r="B4220" s="286">
        <v>2023</v>
      </c>
      <c r="C4220" s="286" t="s">
        <v>821</v>
      </c>
      <c r="D4220" s="286" t="s">
        <v>931</v>
      </c>
      <c r="E4220" s="287">
        <v>413</v>
      </c>
      <c r="F4220" s="286" t="s">
        <v>1302</v>
      </c>
    </row>
    <row r="4221" spans="1:6" ht="14.25" customHeight="1">
      <c r="A4221" s="286" t="s">
        <v>830</v>
      </c>
      <c r="B4221" s="286">
        <v>2023</v>
      </c>
      <c r="C4221" s="286" t="s">
        <v>821</v>
      </c>
      <c r="D4221" s="286" t="s">
        <v>931</v>
      </c>
      <c r="E4221" s="287">
        <v>417</v>
      </c>
      <c r="F4221" s="286" t="s">
        <v>1302</v>
      </c>
    </row>
    <row r="4222" spans="1:6" ht="14.25" customHeight="1">
      <c r="A4222" s="286" t="s">
        <v>830</v>
      </c>
      <c r="B4222" s="286">
        <v>2023</v>
      </c>
      <c r="C4222" s="286" t="s">
        <v>821</v>
      </c>
      <c r="D4222" s="286" t="s">
        <v>931</v>
      </c>
      <c r="E4222" s="286" t="s">
        <v>1048</v>
      </c>
      <c r="F4222" s="286" t="s">
        <v>1302</v>
      </c>
    </row>
    <row r="4223" spans="1:6" ht="14.25" customHeight="1">
      <c r="A4223" s="286" t="s">
        <v>830</v>
      </c>
      <c r="B4223" s="286">
        <v>2023</v>
      </c>
      <c r="C4223" s="286" t="s">
        <v>821</v>
      </c>
      <c r="D4223" s="286" t="s">
        <v>931</v>
      </c>
      <c r="E4223" s="286" t="s">
        <v>1019</v>
      </c>
      <c r="F4223" s="286" t="s">
        <v>1302</v>
      </c>
    </row>
    <row r="4224" spans="1:6" ht="14.25" customHeight="1">
      <c r="A4224" s="286" t="s">
        <v>830</v>
      </c>
      <c r="B4224" s="286">
        <v>2023</v>
      </c>
      <c r="C4224" s="286" t="s">
        <v>821</v>
      </c>
      <c r="D4224" s="286" t="s">
        <v>976</v>
      </c>
      <c r="E4224" s="286" t="s">
        <v>1006</v>
      </c>
      <c r="F4224" s="113" t="s">
        <v>917</v>
      </c>
    </row>
    <row r="4225" spans="1:6" ht="14.25" customHeight="1">
      <c r="A4225" s="286" t="s">
        <v>830</v>
      </c>
      <c r="B4225" s="286">
        <v>2023</v>
      </c>
      <c r="C4225" s="286" t="s">
        <v>821</v>
      </c>
      <c r="D4225" s="286" t="s">
        <v>976</v>
      </c>
      <c r="E4225" s="286" t="s">
        <v>1042</v>
      </c>
      <c r="F4225" s="113" t="s">
        <v>913</v>
      </c>
    </row>
    <row r="4226" spans="1:6" ht="14.25" customHeight="1">
      <c r="A4226" s="286" t="s">
        <v>830</v>
      </c>
      <c r="B4226" s="286">
        <v>2023</v>
      </c>
      <c r="C4226" s="286" t="s">
        <v>821</v>
      </c>
      <c r="D4226" s="286" t="s">
        <v>976</v>
      </c>
      <c r="E4226" s="286" t="s">
        <v>1239</v>
      </c>
      <c r="F4226" s="113" t="s">
        <v>917</v>
      </c>
    </row>
    <row r="4227" spans="1:6" ht="14.25" customHeight="1">
      <c r="A4227" s="286" t="s">
        <v>830</v>
      </c>
      <c r="B4227" s="286">
        <v>2023</v>
      </c>
      <c r="C4227" s="286" t="s">
        <v>821</v>
      </c>
      <c r="D4227" s="286" t="s">
        <v>976</v>
      </c>
      <c r="E4227" s="113" t="s">
        <v>2</v>
      </c>
      <c r="F4227" s="286" t="s">
        <v>1302</v>
      </c>
    </row>
    <row r="4228" spans="1:6" ht="14.25" customHeight="1">
      <c r="A4228" s="286" t="s">
        <v>830</v>
      </c>
      <c r="B4228" s="286">
        <v>2023</v>
      </c>
      <c r="C4228" s="286" t="s">
        <v>821</v>
      </c>
      <c r="D4228" s="286" t="s">
        <v>976</v>
      </c>
      <c r="E4228" s="113" t="s">
        <v>2</v>
      </c>
      <c r="F4228" s="286" t="s">
        <v>1302</v>
      </c>
    </row>
    <row r="4229" spans="1:6" ht="14.25" customHeight="1">
      <c r="A4229" s="286" t="s">
        <v>830</v>
      </c>
      <c r="B4229" s="286">
        <v>2023</v>
      </c>
      <c r="C4229" s="286" t="s">
        <v>821</v>
      </c>
      <c r="D4229" s="286" t="s">
        <v>1033</v>
      </c>
      <c r="E4229" s="286" t="s">
        <v>1239</v>
      </c>
      <c r="F4229" s="286" t="s">
        <v>1302</v>
      </c>
    </row>
    <row r="4230" spans="1:6" ht="14.25" customHeight="1">
      <c r="A4230" s="286" t="s">
        <v>830</v>
      </c>
      <c r="B4230" s="286">
        <v>2023</v>
      </c>
      <c r="C4230" s="286" t="s">
        <v>821</v>
      </c>
      <c r="D4230" s="286" t="s">
        <v>1033</v>
      </c>
      <c r="E4230" s="286" t="s">
        <v>987</v>
      </c>
      <c r="F4230" s="286" t="s">
        <v>1302</v>
      </c>
    </row>
    <row r="4231" spans="1:6" ht="14.25" customHeight="1">
      <c r="A4231" s="286" t="s">
        <v>830</v>
      </c>
      <c r="B4231" s="286">
        <v>2023</v>
      </c>
      <c r="C4231" s="286" t="s">
        <v>88</v>
      </c>
      <c r="D4231" s="286" t="s">
        <v>958</v>
      </c>
      <c r="E4231" s="286" t="s">
        <v>1317</v>
      </c>
      <c r="F4231" s="286" t="s">
        <v>1302</v>
      </c>
    </row>
    <row r="4232" spans="1:6" ht="14.25" customHeight="1">
      <c r="A4232" s="286" t="s">
        <v>831</v>
      </c>
      <c r="B4232" s="286">
        <v>2023</v>
      </c>
      <c r="C4232" s="286" t="s">
        <v>821</v>
      </c>
      <c r="D4232" s="286" t="s">
        <v>132</v>
      </c>
      <c r="E4232" s="286" t="s">
        <v>951</v>
      </c>
      <c r="F4232" s="113" t="s">
        <v>917</v>
      </c>
    </row>
    <row r="4233" spans="1:6" ht="14.25" customHeight="1">
      <c r="A4233" s="286" t="s">
        <v>831</v>
      </c>
      <c r="B4233" s="286">
        <v>2023</v>
      </c>
      <c r="C4233" s="286" t="s">
        <v>821</v>
      </c>
      <c r="D4233" s="286" t="s">
        <v>132</v>
      </c>
      <c r="E4233" s="286" t="s">
        <v>933</v>
      </c>
      <c r="F4233" s="113" t="s">
        <v>918</v>
      </c>
    </row>
    <row r="4234" spans="1:6" ht="14.25" customHeight="1">
      <c r="A4234" s="286" t="s">
        <v>831</v>
      </c>
      <c r="B4234" s="286">
        <v>2023</v>
      </c>
      <c r="C4234" s="286" t="s">
        <v>821</v>
      </c>
      <c r="D4234" s="286" t="s">
        <v>132</v>
      </c>
      <c r="E4234" s="286" t="s">
        <v>1190</v>
      </c>
      <c r="F4234" s="286" t="s">
        <v>924</v>
      </c>
    </row>
    <row r="4235" spans="1:6" ht="14.25" customHeight="1">
      <c r="A4235" s="286" t="s">
        <v>831</v>
      </c>
      <c r="B4235" s="286">
        <v>2023</v>
      </c>
      <c r="C4235" s="286" t="s">
        <v>821</v>
      </c>
      <c r="D4235" s="286" t="s">
        <v>132</v>
      </c>
      <c r="E4235" s="286" t="s">
        <v>952</v>
      </c>
      <c r="F4235" s="113" t="s">
        <v>906</v>
      </c>
    </row>
    <row r="4236" spans="1:6" ht="14.25" customHeight="1">
      <c r="A4236" s="286" t="s">
        <v>831</v>
      </c>
      <c r="B4236" s="286">
        <v>2023</v>
      </c>
      <c r="C4236" s="286" t="s">
        <v>821</v>
      </c>
      <c r="D4236" s="286" t="s">
        <v>132</v>
      </c>
      <c r="E4236" s="286" t="s">
        <v>953</v>
      </c>
      <c r="F4236" s="113" t="s">
        <v>906</v>
      </c>
    </row>
    <row r="4237" spans="1:6" ht="14.25" customHeight="1">
      <c r="A4237" s="286" t="s">
        <v>831</v>
      </c>
      <c r="B4237" s="286">
        <v>2023</v>
      </c>
      <c r="C4237" s="286" t="s">
        <v>821</v>
      </c>
      <c r="D4237" s="286" t="s">
        <v>132</v>
      </c>
      <c r="E4237" s="286" t="s">
        <v>942</v>
      </c>
      <c r="F4237" s="113" t="s">
        <v>918</v>
      </c>
    </row>
    <row r="4238" spans="1:6" ht="14.25" customHeight="1">
      <c r="A4238" s="286" t="s">
        <v>831</v>
      </c>
      <c r="B4238" s="286">
        <v>2023</v>
      </c>
      <c r="C4238" s="286" t="s">
        <v>821</v>
      </c>
      <c r="D4238" s="286" t="s">
        <v>132</v>
      </c>
      <c r="E4238" s="286" t="s">
        <v>944</v>
      </c>
      <c r="F4238" s="113" t="s">
        <v>917</v>
      </c>
    </row>
    <row r="4239" spans="1:6" ht="14.25" customHeight="1">
      <c r="A4239" s="286" t="s">
        <v>831</v>
      </c>
      <c r="B4239" s="286">
        <v>2023</v>
      </c>
      <c r="C4239" s="286" t="s">
        <v>821</v>
      </c>
      <c r="D4239" s="286" t="s">
        <v>934</v>
      </c>
      <c r="E4239" s="286" t="s">
        <v>1079</v>
      </c>
      <c r="F4239" s="113" t="s">
        <v>915</v>
      </c>
    </row>
    <row r="4240" spans="1:6" ht="14.25" customHeight="1">
      <c r="A4240" s="286" t="s">
        <v>831</v>
      </c>
      <c r="B4240" s="286">
        <v>2023</v>
      </c>
      <c r="C4240" s="286" t="s">
        <v>821</v>
      </c>
      <c r="D4240" s="286" t="s">
        <v>934</v>
      </c>
      <c r="E4240" s="286" t="s">
        <v>1069</v>
      </c>
      <c r="F4240" s="113" t="s">
        <v>915</v>
      </c>
    </row>
    <row r="4241" spans="1:6" ht="14.25" customHeight="1">
      <c r="A4241" s="286" t="s">
        <v>831</v>
      </c>
      <c r="B4241" s="286">
        <v>2023</v>
      </c>
      <c r="C4241" s="286" t="s">
        <v>821</v>
      </c>
      <c r="D4241" s="286" t="s">
        <v>934</v>
      </c>
      <c r="E4241" s="286" t="s">
        <v>2</v>
      </c>
      <c r="F4241" s="113" t="s">
        <v>915</v>
      </c>
    </row>
    <row r="4242" spans="1:6" ht="14.25" customHeight="1">
      <c r="A4242" s="286" t="s">
        <v>831</v>
      </c>
      <c r="B4242" s="286">
        <v>2023</v>
      </c>
      <c r="C4242" s="286" t="s">
        <v>821</v>
      </c>
      <c r="D4242" s="286" t="s">
        <v>934</v>
      </c>
      <c r="E4242" s="286" t="s">
        <v>1041</v>
      </c>
      <c r="F4242" s="113" t="s">
        <v>906</v>
      </c>
    </row>
    <row r="4243" spans="1:6" ht="14.25" customHeight="1">
      <c r="A4243" s="286" t="s">
        <v>831</v>
      </c>
      <c r="B4243" s="286">
        <v>2023</v>
      </c>
      <c r="C4243" s="286" t="s">
        <v>821</v>
      </c>
      <c r="D4243" s="286" t="s">
        <v>934</v>
      </c>
      <c r="E4243" s="286" t="s">
        <v>2</v>
      </c>
      <c r="F4243" s="113" t="s">
        <v>922</v>
      </c>
    </row>
    <row r="4244" spans="1:6" ht="14.25" customHeight="1">
      <c r="A4244" s="286" t="s">
        <v>831</v>
      </c>
      <c r="B4244" s="286">
        <v>2023</v>
      </c>
      <c r="C4244" s="286" t="s">
        <v>821</v>
      </c>
      <c r="D4244" s="286" t="s">
        <v>934</v>
      </c>
      <c r="E4244" s="286" t="s">
        <v>2</v>
      </c>
      <c r="F4244" s="113" t="s">
        <v>915</v>
      </c>
    </row>
    <row r="4245" spans="1:6" ht="14.25" customHeight="1">
      <c r="A4245" s="286" t="s">
        <v>831</v>
      </c>
      <c r="B4245" s="286">
        <v>2023</v>
      </c>
      <c r="C4245" s="286" t="s">
        <v>821</v>
      </c>
      <c r="D4245" s="286" t="s">
        <v>934</v>
      </c>
      <c r="E4245" s="286" t="s">
        <v>1058</v>
      </c>
      <c r="F4245" s="113" t="s">
        <v>922</v>
      </c>
    </row>
    <row r="4246" spans="1:6" ht="14.25" customHeight="1">
      <c r="A4246" s="286" t="s">
        <v>831</v>
      </c>
      <c r="B4246" s="286">
        <v>2023</v>
      </c>
      <c r="C4246" s="286" t="s">
        <v>821</v>
      </c>
      <c r="D4246" s="286" t="s">
        <v>934</v>
      </c>
      <c r="E4246" s="286" t="s">
        <v>1011</v>
      </c>
      <c r="F4246" s="113" t="s">
        <v>915</v>
      </c>
    </row>
    <row r="4247" spans="1:6" ht="14.25" customHeight="1">
      <c r="A4247" s="286" t="s">
        <v>831</v>
      </c>
      <c r="B4247" s="286">
        <v>2023</v>
      </c>
      <c r="C4247" s="286" t="s">
        <v>821</v>
      </c>
      <c r="D4247" s="286" t="s">
        <v>934</v>
      </c>
      <c r="E4247" s="286" t="s">
        <v>1318</v>
      </c>
      <c r="F4247" s="286" t="s">
        <v>1302</v>
      </c>
    </row>
    <row r="4248" spans="1:6" ht="14.25" customHeight="1">
      <c r="A4248" s="286" t="s">
        <v>831</v>
      </c>
      <c r="B4248" s="286">
        <v>2023</v>
      </c>
      <c r="C4248" s="286" t="s">
        <v>821</v>
      </c>
      <c r="D4248" s="286" t="s">
        <v>934</v>
      </c>
      <c r="E4248" s="286" t="s">
        <v>1319</v>
      </c>
      <c r="F4248" s="286" t="s">
        <v>1302</v>
      </c>
    </row>
    <row r="4249" spans="1:6" ht="14.25" customHeight="1">
      <c r="A4249" s="286" t="s">
        <v>831</v>
      </c>
      <c r="B4249" s="286">
        <v>2023</v>
      </c>
      <c r="C4249" s="286" t="s">
        <v>821</v>
      </c>
      <c r="D4249" s="286" t="s">
        <v>934</v>
      </c>
      <c r="E4249" s="286" t="s">
        <v>1311</v>
      </c>
      <c r="F4249" s="286" t="s">
        <v>1302</v>
      </c>
    </row>
    <row r="4250" spans="1:6" ht="14.25" customHeight="1">
      <c r="A4250" s="286" t="s">
        <v>831</v>
      </c>
      <c r="B4250" s="286">
        <v>2023</v>
      </c>
      <c r="C4250" s="286" t="s">
        <v>821</v>
      </c>
      <c r="D4250" s="286" t="s">
        <v>934</v>
      </c>
      <c r="E4250" s="286" t="s">
        <v>1320</v>
      </c>
      <c r="F4250" s="286" t="s">
        <v>1302</v>
      </c>
    </row>
    <row r="4251" spans="1:6" ht="14.25" customHeight="1">
      <c r="A4251" s="286" t="s">
        <v>831</v>
      </c>
      <c r="B4251" s="286">
        <v>2023</v>
      </c>
      <c r="C4251" s="286" t="s">
        <v>821</v>
      </c>
      <c r="D4251" s="286" t="s">
        <v>934</v>
      </c>
      <c r="E4251" s="286" t="s">
        <v>1321</v>
      </c>
      <c r="F4251" s="113" t="s">
        <v>906</v>
      </c>
    </row>
    <row r="4252" spans="1:6" ht="14.25" customHeight="1">
      <c r="A4252" s="286" t="s">
        <v>831</v>
      </c>
      <c r="B4252" s="286">
        <v>2023</v>
      </c>
      <c r="C4252" s="286" t="s">
        <v>821</v>
      </c>
      <c r="D4252" s="286" t="s">
        <v>934</v>
      </c>
      <c r="E4252" s="286" t="s">
        <v>1322</v>
      </c>
      <c r="F4252" s="286" t="s">
        <v>1302</v>
      </c>
    </row>
    <row r="4253" spans="1:6" ht="14.25" customHeight="1">
      <c r="A4253" s="286" t="s">
        <v>831</v>
      </c>
      <c r="B4253" s="286">
        <v>2023</v>
      </c>
      <c r="C4253" s="286" t="s">
        <v>821</v>
      </c>
      <c r="D4253" s="286" t="s">
        <v>934</v>
      </c>
      <c r="E4253" s="286" t="s">
        <v>1323</v>
      </c>
      <c r="F4253" s="286" t="s">
        <v>1302</v>
      </c>
    </row>
    <row r="4254" spans="1:6" ht="14.25" customHeight="1">
      <c r="A4254" s="286" t="s">
        <v>831</v>
      </c>
      <c r="B4254" s="286">
        <v>2023</v>
      </c>
      <c r="C4254" s="286" t="s">
        <v>821</v>
      </c>
      <c r="D4254" s="286" t="s">
        <v>931</v>
      </c>
      <c r="E4254" s="287">
        <v>107</v>
      </c>
      <c r="F4254" s="113" t="s">
        <v>906</v>
      </c>
    </row>
    <row r="4255" spans="1:6" ht="14.25" customHeight="1">
      <c r="A4255" s="286" t="s">
        <v>831</v>
      </c>
      <c r="B4255" s="286">
        <v>2023</v>
      </c>
      <c r="C4255" s="286" t="s">
        <v>821</v>
      </c>
      <c r="D4255" s="286" t="s">
        <v>976</v>
      </c>
      <c r="E4255" s="286" t="s">
        <v>1106</v>
      </c>
      <c r="F4255" s="113" t="s">
        <v>915</v>
      </c>
    </row>
    <row r="4256" spans="1:6" ht="14.25" customHeight="1">
      <c r="A4256" s="286" t="s">
        <v>831</v>
      </c>
      <c r="B4256" s="286">
        <v>2023</v>
      </c>
      <c r="C4256" s="286" t="s">
        <v>821</v>
      </c>
      <c r="D4256" s="286" t="s">
        <v>976</v>
      </c>
      <c r="E4256" s="286" t="s">
        <v>968</v>
      </c>
      <c r="F4256" s="113" t="s">
        <v>915</v>
      </c>
    </row>
    <row r="4257" spans="1:6" ht="14.25" customHeight="1">
      <c r="A4257" s="286" t="s">
        <v>831</v>
      </c>
      <c r="B4257" s="286">
        <v>2023</v>
      </c>
      <c r="C4257" s="286" t="s">
        <v>821</v>
      </c>
      <c r="D4257" s="286" t="s">
        <v>976</v>
      </c>
      <c r="E4257" s="286" t="s">
        <v>944</v>
      </c>
      <c r="F4257" s="113" t="s">
        <v>915</v>
      </c>
    </row>
    <row r="4258" spans="1:6" ht="14.25" customHeight="1">
      <c r="A4258" s="286" t="s">
        <v>831</v>
      </c>
      <c r="B4258" s="286">
        <v>2023</v>
      </c>
      <c r="C4258" s="286" t="s">
        <v>821</v>
      </c>
      <c r="D4258" s="286" t="s">
        <v>976</v>
      </c>
      <c r="E4258" s="286" t="s">
        <v>944</v>
      </c>
      <c r="F4258" s="113" t="s">
        <v>917</v>
      </c>
    </row>
    <row r="4259" spans="1:6" ht="14.25" customHeight="1">
      <c r="A4259" s="286" t="s">
        <v>831</v>
      </c>
      <c r="B4259" s="286">
        <v>2023</v>
      </c>
      <c r="C4259" s="286" t="s">
        <v>821</v>
      </c>
      <c r="D4259" s="286" t="s">
        <v>976</v>
      </c>
      <c r="E4259" s="286" t="s">
        <v>1324</v>
      </c>
      <c r="F4259" s="286" t="s">
        <v>1302</v>
      </c>
    </row>
    <row r="4260" spans="1:6" ht="14.25" customHeight="1">
      <c r="A4260" s="286" t="s">
        <v>831</v>
      </c>
      <c r="B4260" s="286">
        <v>2023</v>
      </c>
      <c r="C4260" s="286" t="s">
        <v>821</v>
      </c>
      <c r="D4260" s="286" t="s">
        <v>976</v>
      </c>
      <c r="E4260" s="286" t="s">
        <v>1324</v>
      </c>
      <c r="F4260" s="286" t="s">
        <v>1302</v>
      </c>
    </row>
    <row r="4261" spans="1:6" ht="14.25" customHeight="1">
      <c r="A4261" s="286" t="s">
        <v>831</v>
      </c>
      <c r="B4261" s="286">
        <v>2023</v>
      </c>
      <c r="C4261" s="286" t="s">
        <v>821</v>
      </c>
      <c r="D4261" s="286" t="s">
        <v>976</v>
      </c>
      <c r="E4261" s="286" t="s">
        <v>1324</v>
      </c>
      <c r="F4261" s="286" t="s">
        <v>1302</v>
      </c>
    </row>
    <row r="4262" spans="1:6" ht="14.25" customHeight="1">
      <c r="A4262" s="286" t="s">
        <v>831</v>
      </c>
      <c r="B4262" s="286">
        <v>2023</v>
      </c>
      <c r="C4262" s="286" t="s">
        <v>821</v>
      </c>
      <c r="D4262" s="286" t="s">
        <v>976</v>
      </c>
      <c r="E4262" s="286" t="s">
        <v>1324</v>
      </c>
      <c r="F4262" s="286" t="s">
        <v>1302</v>
      </c>
    </row>
    <row r="4263" spans="1:6" ht="14.25" customHeight="1">
      <c r="A4263" s="286" t="s">
        <v>831</v>
      </c>
      <c r="B4263" s="286">
        <v>2023</v>
      </c>
      <c r="C4263" s="286" t="s">
        <v>821</v>
      </c>
      <c r="D4263" s="286" t="s">
        <v>1033</v>
      </c>
      <c r="E4263" s="286" t="s">
        <v>1325</v>
      </c>
      <c r="F4263" s="286" t="s">
        <v>1302</v>
      </c>
    </row>
    <row r="4264" spans="1:6" ht="14.25" customHeight="1">
      <c r="A4264" s="286" t="s">
        <v>831</v>
      </c>
      <c r="B4264" s="286">
        <v>2023</v>
      </c>
      <c r="C4264" s="286" t="s">
        <v>821</v>
      </c>
      <c r="D4264" s="286" t="s">
        <v>216</v>
      </c>
      <c r="E4264" s="287">
        <v>312</v>
      </c>
      <c r="F4264" s="286" t="s">
        <v>1302</v>
      </c>
    </row>
    <row r="4265" spans="1:6" ht="14.25" customHeight="1">
      <c r="A4265" s="286" t="s">
        <v>831</v>
      </c>
      <c r="B4265" s="286">
        <v>2023</v>
      </c>
      <c r="C4265" s="286" t="s">
        <v>88</v>
      </c>
      <c r="D4265" s="286" t="s">
        <v>969</v>
      </c>
      <c r="E4265" s="286" t="s">
        <v>1011</v>
      </c>
      <c r="F4265" s="113" t="s">
        <v>913</v>
      </c>
    </row>
    <row r="4266" spans="1:6" ht="14.25" customHeight="1">
      <c r="A4266" s="286" t="s">
        <v>831</v>
      </c>
      <c r="B4266" s="286">
        <v>2023</v>
      </c>
      <c r="C4266" s="286" t="s">
        <v>88</v>
      </c>
      <c r="D4266" s="286" t="s">
        <v>969</v>
      </c>
      <c r="E4266" s="286" t="s">
        <v>1100</v>
      </c>
      <c r="F4266" s="113" t="s">
        <v>915</v>
      </c>
    </row>
    <row r="4267" spans="1:6" ht="14.25" customHeight="1">
      <c r="A4267" s="286" t="s">
        <v>831</v>
      </c>
      <c r="B4267" s="286">
        <v>2023</v>
      </c>
      <c r="C4267" s="286" t="s">
        <v>88</v>
      </c>
      <c r="D4267" s="286" t="s">
        <v>969</v>
      </c>
      <c r="E4267" s="286" t="s">
        <v>967</v>
      </c>
      <c r="F4267" s="113" t="s">
        <v>915</v>
      </c>
    </row>
    <row r="4268" spans="1:6" ht="14.25" customHeight="1">
      <c r="A4268" s="286" t="s">
        <v>831</v>
      </c>
      <c r="B4268" s="286">
        <v>2023</v>
      </c>
      <c r="C4268" s="286" t="s">
        <v>88</v>
      </c>
      <c r="D4268" s="286" t="s">
        <v>988</v>
      </c>
      <c r="E4268" s="286" t="s">
        <v>2</v>
      </c>
      <c r="F4268" s="113" t="s">
        <v>935</v>
      </c>
    </row>
    <row r="4269" spans="1:6" ht="14.25" customHeight="1">
      <c r="A4269" s="286" t="s">
        <v>831</v>
      </c>
      <c r="B4269" s="286">
        <v>2023</v>
      </c>
      <c r="C4269" s="286" t="s">
        <v>88</v>
      </c>
      <c r="D4269" s="286" t="s">
        <v>966</v>
      </c>
      <c r="E4269" s="286" t="s">
        <v>1078</v>
      </c>
      <c r="F4269" s="113" t="s">
        <v>915</v>
      </c>
    </row>
    <row r="4270" spans="1:6" ht="14.25" customHeight="1">
      <c r="A4270" s="286" t="s">
        <v>831</v>
      </c>
      <c r="B4270" s="286">
        <v>2023</v>
      </c>
      <c r="C4270" s="286" t="s">
        <v>859</v>
      </c>
      <c r="D4270" s="286" t="s">
        <v>999</v>
      </c>
      <c r="E4270" s="287">
        <v>208</v>
      </c>
      <c r="F4270" s="286" t="s">
        <v>1302</v>
      </c>
    </row>
    <row r="4271" spans="1:6" ht="14.25" customHeight="1">
      <c r="A4271" s="286" t="s">
        <v>831</v>
      </c>
      <c r="B4271" s="286">
        <v>2023</v>
      </c>
      <c r="C4271" s="286" t="s">
        <v>859</v>
      </c>
      <c r="D4271" s="286" t="s">
        <v>1005</v>
      </c>
      <c r="E4271" s="286" t="s">
        <v>1326</v>
      </c>
      <c r="F4271" s="286" t="s">
        <v>1302</v>
      </c>
    </row>
    <row r="4272" spans="1:6" ht="14.25" customHeight="1">
      <c r="A4272" s="286" t="s">
        <v>831</v>
      </c>
      <c r="B4272" s="286">
        <v>2023</v>
      </c>
      <c r="C4272" s="286" t="s">
        <v>859</v>
      </c>
      <c r="D4272" s="286" t="s">
        <v>1000</v>
      </c>
      <c r="E4272" s="286" t="s">
        <v>2</v>
      </c>
      <c r="F4272" s="113" t="s">
        <v>913</v>
      </c>
    </row>
    <row r="4273" spans="1:6" ht="14.25" customHeight="1">
      <c r="A4273" s="286" t="s">
        <v>831</v>
      </c>
      <c r="B4273" s="286">
        <v>2023</v>
      </c>
      <c r="C4273" s="286" t="s">
        <v>859</v>
      </c>
      <c r="D4273" s="286" t="s">
        <v>1000</v>
      </c>
      <c r="E4273" s="286" t="s">
        <v>982</v>
      </c>
      <c r="F4273" s="286" t="s">
        <v>1302</v>
      </c>
    </row>
    <row r="4274" spans="1:6" ht="14.25" customHeight="1">
      <c r="A4274" s="286" t="s">
        <v>831</v>
      </c>
      <c r="B4274" s="286">
        <v>2023</v>
      </c>
      <c r="C4274" s="286" t="s">
        <v>859</v>
      </c>
      <c r="D4274" s="286" t="s">
        <v>1000</v>
      </c>
      <c r="E4274" s="286" t="s">
        <v>1186</v>
      </c>
      <c r="F4274" s="286" t="s">
        <v>1302</v>
      </c>
    </row>
    <row r="4275" spans="1:6" ht="14.25" customHeight="1">
      <c r="A4275" s="286" t="s">
        <v>831</v>
      </c>
      <c r="B4275" s="286">
        <v>2023</v>
      </c>
      <c r="C4275" s="286" t="s">
        <v>859</v>
      </c>
      <c r="D4275" s="286" t="s">
        <v>998</v>
      </c>
      <c r="E4275" s="286" t="s">
        <v>1327</v>
      </c>
      <c r="F4275" s="286" t="s">
        <v>1302</v>
      </c>
    </row>
    <row r="4276" spans="1:6" ht="14.25" customHeight="1">
      <c r="A4276" s="286" t="s">
        <v>831</v>
      </c>
      <c r="B4276" s="286">
        <v>2023</v>
      </c>
      <c r="C4276" s="286" t="s">
        <v>872</v>
      </c>
      <c r="D4276" s="286" t="s">
        <v>1328</v>
      </c>
      <c r="E4276" s="287">
        <v>301</v>
      </c>
      <c r="F4276" s="286" t="s">
        <v>1302</v>
      </c>
    </row>
    <row r="4277" spans="1:6" ht="14.25" customHeight="1">
      <c r="A4277" s="286" t="s">
        <v>831</v>
      </c>
      <c r="B4277" s="286">
        <v>2023</v>
      </c>
      <c r="C4277" s="286" t="s">
        <v>872</v>
      </c>
      <c r="D4277" s="286" t="s">
        <v>1328</v>
      </c>
      <c r="E4277" s="287">
        <v>332</v>
      </c>
      <c r="F4277" s="286" t="s">
        <v>1302</v>
      </c>
    </row>
    <row r="4278" spans="1:6" ht="14.25" customHeight="1">
      <c r="A4278" s="286" t="s">
        <v>831</v>
      </c>
      <c r="B4278" s="286">
        <v>2023</v>
      </c>
      <c r="C4278" s="286" t="s">
        <v>1024</v>
      </c>
      <c r="D4278" s="286" t="s">
        <v>1025</v>
      </c>
      <c r="E4278" s="286" t="s">
        <v>930</v>
      </c>
      <c r="F4278" s="286" t="s">
        <v>1302</v>
      </c>
    </row>
    <row r="4279" spans="1:6" ht="14.25" customHeight="1">
      <c r="A4279" s="286" t="s">
        <v>831</v>
      </c>
      <c r="B4279" s="286">
        <v>2023</v>
      </c>
      <c r="C4279" s="286" t="s">
        <v>1024</v>
      </c>
      <c r="D4279" s="286" t="s">
        <v>1025</v>
      </c>
      <c r="E4279" s="286" t="s">
        <v>1041</v>
      </c>
      <c r="F4279" s="286" t="s">
        <v>1302</v>
      </c>
    </row>
    <row r="4280" spans="1:6" ht="14.25" customHeight="1">
      <c r="A4280" s="286" t="s">
        <v>831</v>
      </c>
      <c r="B4280" s="286">
        <v>2023</v>
      </c>
      <c r="C4280" s="286" t="s">
        <v>1024</v>
      </c>
      <c r="D4280" s="286" t="s">
        <v>1027</v>
      </c>
      <c r="E4280" s="286" t="s">
        <v>2</v>
      </c>
      <c r="F4280" s="113" t="s">
        <v>906</v>
      </c>
    </row>
    <row r="4281" spans="1:6" ht="14.25" customHeight="1">
      <c r="A4281" s="286" t="s">
        <v>831</v>
      </c>
      <c r="B4281" s="286">
        <v>2023</v>
      </c>
      <c r="C4281" s="286" t="s">
        <v>1024</v>
      </c>
      <c r="D4281" s="286" t="s">
        <v>1027</v>
      </c>
      <c r="E4281" s="286" t="s">
        <v>1088</v>
      </c>
      <c r="F4281" s="113" t="s">
        <v>915</v>
      </c>
    </row>
    <row r="4282" spans="1:6" ht="14.25" customHeight="1">
      <c r="A4282" s="286" t="s">
        <v>831</v>
      </c>
      <c r="B4282" s="286">
        <v>2023</v>
      </c>
      <c r="C4282" s="286" t="s">
        <v>1024</v>
      </c>
      <c r="D4282" s="286" t="s">
        <v>1027</v>
      </c>
      <c r="E4282" s="286" t="s">
        <v>975</v>
      </c>
      <c r="F4282" s="113" t="s">
        <v>483</v>
      </c>
    </row>
    <row r="4283" spans="1:6" ht="14.25" customHeight="1">
      <c r="A4283" s="286" t="s">
        <v>831</v>
      </c>
      <c r="B4283" s="286">
        <v>2023</v>
      </c>
      <c r="C4283" s="286" t="s">
        <v>1024</v>
      </c>
      <c r="D4283" s="286" t="s">
        <v>1027</v>
      </c>
      <c r="E4283" s="286" t="s">
        <v>978</v>
      </c>
      <c r="F4283" s="113" t="s">
        <v>483</v>
      </c>
    </row>
    <row r="4284" spans="1:6" ht="14.25" customHeight="1">
      <c r="A4284" s="286" t="s">
        <v>831</v>
      </c>
      <c r="B4284" s="286">
        <v>2023</v>
      </c>
      <c r="C4284" s="286" t="s">
        <v>1024</v>
      </c>
      <c r="D4284" s="286" t="s">
        <v>1027</v>
      </c>
      <c r="E4284" s="286" t="s">
        <v>1329</v>
      </c>
      <c r="F4284" s="286" t="s">
        <v>1302</v>
      </c>
    </row>
    <row r="4285" spans="1:6" ht="14.25" customHeight="1">
      <c r="A4285" s="286" t="s">
        <v>831</v>
      </c>
      <c r="B4285" s="286">
        <v>2023</v>
      </c>
      <c r="C4285" s="286" t="s">
        <v>1024</v>
      </c>
      <c r="D4285" s="286" t="s">
        <v>1027</v>
      </c>
      <c r="E4285" s="286" t="s">
        <v>1330</v>
      </c>
      <c r="F4285" s="286" t="s">
        <v>1302</v>
      </c>
    </row>
    <row r="4286" spans="1:6" ht="14.25" customHeight="1">
      <c r="A4286" s="286" t="s">
        <v>832</v>
      </c>
      <c r="B4286" s="286">
        <v>2023</v>
      </c>
      <c r="C4286" s="286" t="s">
        <v>821</v>
      </c>
      <c r="D4286" s="286" t="s">
        <v>132</v>
      </c>
      <c r="E4286" s="286" t="s">
        <v>954</v>
      </c>
      <c r="F4286" s="113" t="s">
        <v>906</v>
      </c>
    </row>
    <row r="4287" spans="1:6" ht="14.25" customHeight="1">
      <c r="A4287" s="286" t="s">
        <v>832</v>
      </c>
      <c r="B4287" s="286">
        <v>2023</v>
      </c>
      <c r="C4287" s="286" t="s">
        <v>821</v>
      </c>
      <c r="D4287" s="286" t="s">
        <v>132</v>
      </c>
      <c r="E4287" s="286" t="s">
        <v>1036</v>
      </c>
      <c r="F4287" s="113" t="s">
        <v>906</v>
      </c>
    </row>
    <row r="4288" spans="1:6" ht="14.25" customHeight="1">
      <c r="A4288" s="286" t="s">
        <v>832</v>
      </c>
      <c r="B4288" s="286">
        <v>2023</v>
      </c>
      <c r="C4288" s="286" t="s">
        <v>821</v>
      </c>
      <c r="D4288" s="286" t="s">
        <v>132</v>
      </c>
      <c r="E4288" s="286" t="s">
        <v>930</v>
      </c>
      <c r="F4288" s="113" t="s">
        <v>906</v>
      </c>
    </row>
    <row r="4289" spans="1:6" ht="14.25" customHeight="1">
      <c r="A4289" s="286" t="s">
        <v>832</v>
      </c>
      <c r="B4289" s="286">
        <v>2023</v>
      </c>
      <c r="C4289" s="286" t="s">
        <v>821</v>
      </c>
      <c r="D4289" s="286" t="s">
        <v>132</v>
      </c>
      <c r="E4289" s="286" t="s">
        <v>2</v>
      </c>
      <c r="F4289" s="286" t="s">
        <v>574</v>
      </c>
    </row>
    <row r="4290" spans="1:6" ht="14.25" customHeight="1">
      <c r="A4290" s="286" t="s">
        <v>832</v>
      </c>
      <c r="B4290" s="286">
        <v>2023</v>
      </c>
      <c r="C4290" s="286" t="s">
        <v>821</v>
      </c>
      <c r="D4290" s="286" t="s">
        <v>132</v>
      </c>
      <c r="E4290" s="286" t="s">
        <v>2</v>
      </c>
      <c r="F4290" s="286" t="s">
        <v>574</v>
      </c>
    </row>
    <row r="4291" spans="1:6" ht="14.25" customHeight="1">
      <c r="A4291" s="286" t="s">
        <v>832</v>
      </c>
      <c r="B4291" s="286">
        <v>2023</v>
      </c>
      <c r="C4291" s="286" t="s">
        <v>821</v>
      </c>
      <c r="D4291" s="286" t="s">
        <v>132</v>
      </c>
      <c r="E4291" s="286" t="s">
        <v>2</v>
      </c>
      <c r="F4291" s="286" t="s">
        <v>574</v>
      </c>
    </row>
    <row r="4292" spans="1:6" ht="14.25" customHeight="1">
      <c r="A4292" s="286" t="s">
        <v>832</v>
      </c>
      <c r="B4292" s="286">
        <v>2023</v>
      </c>
      <c r="C4292" s="286" t="s">
        <v>821</v>
      </c>
      <c r="D4292" s="286" t="s">
        <v>132</v>
      </c>
      <c r="E4292" s="286" t="s">
        <v>1032</v>
      </c>
      <c r="F4292" s="113" t="s">
        <v>663</v>
      </c>
    </row>
    <row r="4293" spans="1:6" ht="14.25" customHeight="1">
      <c r="A4293" s="286" t="s">
        <v>832</v>
      </c>
      <c r="B4293" s="286">
        <v>2023</v>
      </c>
      <c r="C4293" s="286" t="s">
        <v>821</v>
      </c>
      <c r="D4293" s="286" t="s">
        <v>132</v>
      </c>
      <c r="E4293" s="286" t="s">
        <v>944</v>
      </c>
      <c r="F4293" s="113" t="s">
        <v>913</v>
      </c>
    </row>
    <row r="4294" spans="1:6" ht="14.25" customHeight="1">
      <c r="A4294" s="286" t="s">
        <v>832</v>
      </c>
      <c r="B4294" s="286">
        <v>2023</v>
      </c>
      <c r="C4294" s="286" t="s">
        <v>821</v>
      </c>
      <c r="D4294" s="286" t="s">
        <v>132</v>
      </c>
      <c r="E4294" s="286" t="s">
        <v>944</v>
      </c>
      <c r="F4294" s="113" t="s">
        <v>913</v>
      </c>
    </row>
    <row r="4295" spans="1:6" ht="14.25" customHeight="1">
      <c r="A4295" s="286" t="s">
        <v>832</v>
      </c>
      <c r="B4295" s="286">
        <v>2023</v>
      </c>
      <c r="C4295" s="286" t="s">
        <v>821</v>
      </c>
      <c r="D4295" s="286" t="s">
        <v>132</v>
      </c>
      <c r="E4295" s="286" t="s">
        <v>2</v>
      </c>
      <c r="F4295" s="113" t="s">
        <v>915</v>
      </c>
    </row>
    <row r="4296" spans="1:6" ht="14.25" customHeight="1">
      <c r="A4296" s="286" t="s">
        <v>832</v>
      </c>
      <c r="B4296" s="286">
        <v>2023</v>
      </c>
      <c r="C4296" s="286" t="s">
        <v>821</v>
      </c>
      <c r="D4296" s="286" t="s">
        <v>132</v>
      </c>
      <c r="E4296" s="286" t="s">
        <v>2</v>
      </c>
      <c r="F4296" s="113" t="s">
        <v>915</v>
      </c>
    </row>
    <row r="4297" spans="1:6" ht="14.25" customHeight="1">
      <c r="A4297" s="286" t="s">
        <v>832</v>
      </c>
      <c r="B4297" s="286">
        <v>2023</v>
      </c>
      <c r="C4297" s="286" t="s">
        <v>821</v>
      </c>
      <c r="D4297" s="286" t="s">
        <v>132</v>
      </c>
      <c r="E4297" s="286" t="s">
        <v>1331</v>
      </c>
      <c r="F4297" s="113" t="s">
        <v>783</v>
      </c>
    </row>
    <row r="4298" spans="1:6" ht="14.25" customHeight="1">
      <c r="A4298" s="286" t="s">
        <v>832</v>
      </c>
      <c r="B4298" s="286">
        <v>2023</v>
      </c>
      <c r="C4298" s="286" t="s">
        <v>821</v>
      </c>
      <c r="D4298" s="286" t="s">
        <v>132</v>
      </c>
      <c r="E4298" s="286" t="s">
        <v>1047</v>
      </c>
      <c r="F4298" s="286" t="s">
        <v>924</v>
      </c>
    </row>
    <row r="4299" spans="1:6" ht="14.25" customHeight="1">
      <c r="A4299" s="286" t="s">
        <v>832</v>
      </c>
      <c r="B4299" s="286">
        <v>2023</v>
      </c>
      <c r="C4299" s="286" t="s">
        <v>821</v>
      </c>
      <c r="D4299" s="286" t="s">
        <v>132</v>
      </c>
      <c r="E4299" s="286" t="s">
        <v>996</v>
      </c>
      <c r="F4299" s="286" t="s">
        <v>924</v>
      </c>
    </row>
    <row r="4300" spans="1:6" ht="14.25" customHeight="1">
      <c r="A4300" s="286" t="s">
        <v>832</v>
      </c>
      <c r="B4300" s="286">
        <v>2023</v>
      </c>
      <c r="C4300" s="286" t="s">
        <v>821</v>
      </c>
      <c r="D4300" s="286" t="s">
        <v>132</v>
      </c>
      <c r="E4300" s="286" t="s">
        <v>1104</v>
      </c>
      <c r="F4300" s="113" t="s">
        <v>922</v>
      </c>
    </row>
    <row r="4301" spans="1:6" ht="14.25" customHeight="1">
      <c r="A4301" s="286" t="s">
        <v>832</v>
      </c>
      <c r="B4301" s="286">
        <v>2023</v>
      </c>
      <c r="C4301" s="286" t="s">
        <v>821</v>
      </c>
      <c r="D4301" s="286" t="s">
        <v>132</v>
      </c>
      <c r="E4301" s="286" t="s">
        <v>992</v>
      </c>
      <c r="F4301" s="113" t="s">
        <v>922</v>
      </c>
    </row>
    <row r="4302" spans="1:6" ht="14.25" customHeight="1">
      <c r="A4302" s="286" t="s">
        <v>832</v>
      </c>
      <c r="B4302" s="286">
        <v>2023</v>
      </c>
      <c r="C4302" s="286" t="s">
        <v>821</v>
      </c>
      <c r="D4302" s="286" t="s">
        <v>132</v>
      </c>
      <c r="E4302" s="286" t="s">
        <v>1113</v>
      </c>
      <c r="F4302" s="113" t="s">
        <v>922</v>
      </c>
    </row>
    <row r="4303" spans="1:6" ht="14.25" customHeight="1">
      <c r="A4303" s="286" t="s">
        <v>832</v>
      </c>
      <c r="B4303" s="286">
        <v>2023</v>
      </c>
      <c r="C4303" s="286" t="s">
        <v>821</v>
      </c>
      <c r="D4303" s="286" t="s">
        <v>132</v>
      </c>
      <c r="E4303" s="286" t="s">
        <v>2</v>
      </c>
      <c r="F4303" s="284" t="s">
        <v>1144</v>
      </c>
    </row>
    <row r="4304" spans="1:6" ht="14.25" customHeight="1">
      <c r="A4304" s="286" t="s">
        <v>832</v>
      </c>
      <c r="B4304" s="286">
        <v>2023</v>
      </c>
      <c r="C4304" s="286" t="s">
        <v>821</v>
      </c>
      <c r="D4304" s="286" t="s">
        <v>132</v>
      </c>
      <c r="E4304" s="286" t="s">
        <v>2</v>
      </c>
      <c r="F4304" s="284" t="s">
        <v>1144</v>
      </c>
    </row>
    <row r="4305" spans="1:6" ht="14.25" customHeight="1">
      <c r="A4305" s="286" t="s">
        <v>832</v>
      </c>
      <c r="B4305" s="286">
        <v>2023</v>
      </c>
      <c r="C4305" s="286" t="s">
        <v>821</v>
      </c>
      <c r="D4305" s="286" t="s">
        <v>132</v>
      </c>
      <c r="E4305" s="286" t="s">
        <v>2</v>
      </c>
      <c r="F4305" s="284" t="s">
        <v>1144</v>
      </c>
    </row>
    <row r="4306" spans="1:6" ht="14.25" customHeight="1">
      <c r="A4306" s="286" t="s">
        <v>832</v>
      </c>
      <c r="B4306" s="286">
        <v>2023</v>
      </c>
      <c r="C4306" s="286" t="s">
        <v>821</v>
      </c>
      <c r="D4306" s="286" t="s">
        <v>132</v>
      </c>
      <c r="E4306" s="286" t="s">
        <v>2</v>
      </c>
      <c r="F4306" s="284" t="s">
        <v>1144</v>
      </c>
    </row>
    <row r="4307" spans="1:6" ht="14.25" customHeight="1">
      <c r="A4307" s="286" t="s">
        <v>832</v>
      </c>
      <c r="B4307" s="286">
        <v>2023</v>
      </c>
      <c r="C4307" s="286" t="s">
        <v>821</v>
      </c>
      <c r="D4307" s="286" t="s">
        <v>132</v>
      </c>
      <c r="E4307" s="286" t="s">
        <v>2</v>
      </c>
      <c r="F4307" s="284" t="s">
        <v>1144</v>
      </c>
    </row>
    <row r="4308" spans="1:6" ht="14.25" customHeight="1">
      <c r="A4308" s="286" t="s">
        <v>832</v>
      </c>
      <c r="B4308" s="286">
        <v>2023</v>
      </c>
      <c r="C4308" s="286" t="s">
        <v>821</v>
      </c>
      <c r="D4308" s="286" t="s">
        <v>934</v>
      </c>
      <c r="E4308" s="286" t="s">
        <v>2</v>
      </c>
      <c r="F4308" s="113" t="s">
        <v>909</v>
      </c>
    </row>
    <row r="4309" spans="1:6" ht="14.25" customHeight="1">
      <c r="A4309" s="286" t="s">
        <v>832</v>
      </c>
      <c r="B4309" s="286">
        <v>2023</v>
      </c>
      <c r="C4309" s="286" t="s">
        <v>821</v>
      </c>
      <c r="D4309" s="286" t="s">
        <v>934</v>
      </c>
      <c r="E4309" s="286" t="s">
        <v>1332</v>
      </c>
      <c r="F4309" s="113" t="s">
        <v>909</v>
      </c>
    </row>
    <row r="4310" spans="1:6" ht="14.25" customHeight="1">
      <c r="A4310" s="286" t="s">
        <v>832</v>
      </c>
      <c r="B4310" s="286">
        <v>2023</v>
      </c>
      <c r="C4310" s="286" t="s">
        <v>821</v>
      </c>
      <c r="D4310" s="286" t="s">
        <v>934</v>
      </c>
      <c r="E4310" s="286" t="s">
        <v>944</v>
      </c>
      <c r="F4310" s="113" t="s">
        <v>483</v>
      </c>
    </row>
    <row r="4311" spans="1:6" ht="14.25" customHeight="1">
      <c r="A4311" s="286" t="s">
        <v>832</v>
      </c>
      <c r="B4311" s="286">
        <v>2023</v>
      </c>
      <c r="C4311" s="286" t="s">
        <v>821</v>
      </c>
      <c r="D4311" s="286" t="s">
        <v>934</v>
      </c>
      <c r="E4311" s="286" t="s">
        <v>1031</v>
      </c>
      <c r="F4311" s="113" t="s">
        <v>913</v>
      </c>
    </row>
    <row r="4312" spans="1:6" ht="14.25" customHeight="1">
      <c r="A4312" s="286" t="s">
        <v>832</v>
      </c>
      <c r="B4312" s="286">
        <v>2023</v>
      </c>
      <c r="C4312" s="286" t="s">
        <v>821</v>
      </c>
      <c r="D4312" s="286" t="s">
        <v>934</v>
      </c>
      <c r="E4312" s="287">
        <v>321</v>
      </c>
      <c r="F4312" s="113" t="s">
        <v>663</v>
      </c>
    </row>
    <row r="4313" spans="1:6" ht="14.25" customHeight="1">
      <c r="A4313" s="286" t="s">
        <v>832</v>
      </c>
      <c r="B4313" s="286">
        <v>2023</v>
      </c>
      <c r="C4313" s="286" t="s">
        <v>821</v>
      </c>
      <c r="D4313" s="286" t="s">
        <v>934</v>
      </c>
      <c r="E4313" s="286" t="s">
        <v>1333</v>
      </c>
      <c r="F4313" s="113" t="s">
        <v>915</v>
      </c>
    </row>
    <row r="4314" spans="1:6" ht="14.25" customHeight="1">
      <c r="A4314" s="286" t="s">
        <v>832</v>
      </c>
      <c r="B4314" s="286">
        <v>2023</v>
      </c>
      <c r="C4314" s="286" t="s">
        <v>821</v>
      </c>
      <c r="D4314" s="286" t="s">
        <v>934</v>
      </c>
      <c r="E4314" s="286" t="s">
        <v>1333</v>
      </c>
      <c r="F4314" s="113" t="s">
        <v>915</v>
      </c>
    </row>
    <row r="4315" spans="1:6" ht="14.25" customHeight="1">
      <c r="A4315" s="286" t="s">
        <v>832</v>
      </c>
      <c r="B4315" s="286">
        <v>2023</v>
      </c>
      <c r="C4315" s="286" t="s">
        <v>821</v>
      </c>
      <c r="D4315" s="286" t="s">
        <v>934</v>
      </c>
      <c r="E4315" s="286" t="s">
        <v>988</v>
      </c>
      <c r="F4315" s="113" t="s">
        <v>915</v>
      </c>
    </row>
    <row r="4316" spans="1:6" ht="14.25" customHeight="1">
      <c r="A4316" s="286" t="s">
        <v>832</v>
      </c>
      <c r="B4316" s="286">
        <v>2023</v>
      </c>
      <c r="C4316" s="286" t="s">
        <v>821</v>
      </c>
      <c r="D4316" s="286" t="s">
        <v>934</v>
      </c>
      <c r="E4316" s="286" t="s">
        <v>1334</v>
      </c>
      <c r="F4316" s="113" t="s">
        <v>915</v>
      </c>
    </row>
    <row r="4317" spans="1:6" ht="14.25" customHeight="1">
      <c r="A4317" s="286" t="s">
        <v>832</v>
      </c>
      <c r="B4317" s="286">
        <v>2023</v>
      </c>
      <c r="C4317" s="286" t="s">
        <v>821</v>
      </c>
      <c r="D4317" s="286" t="s">
        <v>934</v>
      </c>
      <c r="E4317" s="286" t="s">
        <v>1335</v>
      </c>
      <c r="F4317" s="113" t="s">
        <v>918</v>
      </c>
    </row>
    <row r="4318" spans="1:6" ht="14.25" customHeight="1">
      <c r="A4318" s="286" t="s">
        <v>832</v>
      </c>
      <c r="B4318" s="286">
        <v>2023</v>
      </c>
      <c r="C4318" s="286" t="s">
        <v>821</v>
      </c>
      <c r="D4318" s="286" t="s">
        <v>934</v>
      </c>
      <c r="E4318" s="286" t="s">
        <v>1336</v>
      </c>
      <c r="F4318" s="113" t="s">
        <v>917</v>
      </c>
    </row>
    <row r="4319" spans="1:6" ht="14.25" customHeight="1">
      <c r="A4319" s="286" t="s">
        <v>832</v>
      </c>
      <c r="B4319" s="286">
        <v>2023</v>
      </c>
      <c r="C4319" s="286" t="s">
        <v>821</v>
      </c>
      <c r="D4319" s="286" t="s">
        <v>934</v>
      </c>
      <c r="E4319" s="287">
        <v>606</v>
      </c>
      <c r="F4319" s="286" t="s">
        <v>924</v>
      </c>
    </row>
    <row r="4320" spans="1:6" ht="14.25" customHeight="1">
      <c r="A4320" s="286" t="s">
        <v>832</v>
      </c>
      <c r="B4320" s="286">
        <v>2023</v>
      </c>
      <c r="C4320" s="286" t="s">
        <v>821</v>
      </c>
      <c r="D4320" s="286" t="s">
        <v>934</v>
      </c>
      <c r="E4320" s="286" t="s">
        <v>2</v>
      </c>
      <c r="F4320" s="286" t="s">
        <v>924</v>
      </c>
    </row>
    <row r="4321" spans="1:6" ht="14.25" customHeight="1">
      <c r="A4321" s="286" t="s">
        <v>832</v>
      </c>
      <c r="B4321" s="286">
        <v>2023</v>
      </c>
      <c r="C4321" s="286" t="s">
        <v>821</v>
      </c>
      <c r="D4321" s="286" t="s">
        <v>934</v>
      </c>
      <c r="E4321" s="286" t="s">
        <v>1068</v>
      </c>
      <c r="F4321" s="113" t="s">
        <v>922</v>
      </c>
    </row>
    <row r="4322" spans="1:6" ht="14.25" customHeight="1">
      <c r="A4322" s="286" t="s">
        <v>832</v>
      </c>
      <c r="B4322" s="286">
        <v>2023</v>
      </c>
      <c r="C4322" s="286" t="s">
        <v>821</v>
      </c>
      <c r="D4322" s="286" t="s">
        <v>934</v>
      </c>
      <c r="E4322" s="286" t="s">
        <v>988</v>
      </c>
      <c r="F4322" s="113" t="s">
        <v>922</v>
      </c>
    </row>
    <row r="4323" spans="1:6" ht="14.25" customHeight="1">
      <c r="A4323" s="286" t="s">
        <v>832</v>
      </c>
      <c r="B4323" s="286">
        <v>2023</v>
      </c>
      <c r="C4323" s="286" t="s">
        <v>821</v>
      </c>
      <c r="D4323" s="286" t="s">
        <v>934</v>
      </c>
      <c r="E4323" s="286" t="s">
        <v>1337</v>
      </c>
      <c r="F4323" s="113" t="s">
        <v>922</v>
      </c>
    </row>
    <row r="4324" spans="1:6" ht="14.25" customHeight="1">
      <c r="A4324" s="286" t="s">
        <v>832</v>
      </c>
      <c r="B4324" s="286">
        <v>2023</v>
      </c>
      <c r="C4324" s="286" t="s">
        <v>821</v>
      </c>
      <c r="D4324" s="286" t="s">
        <v>934</v>
      </c>
      <c r="E4324" s="286" t="s">
        <v>955</v>
      </c>
      <c r="F4324" s="113" t="s">
        <v>922</v>
      </c>
    </row>
    <row r="4325" spans="1:6" ht="14.25" customHeight="1">
      <c r="A4325" s="286" t="s">
        <v>832</v>
      </c>
      <c r="B4325" s="286">
        <v>2023</v>
      </c>
      <c r="C4325" s="286" t="s">
        <v>821</v>
      </c>
      <c r="D4325" s="286" t="s">
        <v>934</v>
      </c>
      <c r="E4325" s="286" t="s">
        <v>1064</v>
      </c>
      <c r="F4325" s="113" t="s">
        <v>922</v>
      </c>
    </row>
    <row r="4326" spans="1:6" ht="14.25" customHeight="1">
      <c r="A4326" s="286" t="s">
        <v>832</v>
      </c>
      <c r="B4326" s="286">
        <v>2023</v>
      </c>
      <c r="C4326" s="286" t="s">
        <v>821</v>
      </c>
      <c r="D4326" s="286" t="s">
        <v>934</v>
      </c>
      <c r="E4326" s="286" t="s">
        <v>1044</v>
      </c>
      <c r="F4326" s="113" t="s">
        <v>922</v>
      </c>
    </row>
    <row r="4327" spans="1:6" ht="14.25" customHeight="1">
      <c r="A4327" s="286" t="s">
        <v>832</v>
      </c>
      <c r="B4327" s="286">
        <v>2023</v>
      </c>
      <c r="C4327" s="286" t="s">
        <v>821</v>
      </c>
      <c r="D4327" s="286" t="s">
        <v>934</v>
      </c>
      <c r="E4327" s="286" t="s">
        <v>1063</v>
      </c>
      <c r="F4327" s="113" t="s">
        <v>922</v>
      </c>
    </row>
    <row r="4328" spans="1:6" ht="14.25" customHeight="1">
      <c r="A4328" s="286" t="s">
        <v>832</v>
      </c>
      <c r="B4328" s="286">
        <v>2023</v>
      </c>
      <c r="C4328" s="286" t="s">
        <v>821</v>
      </c>
      <c r="D4328" s="286" t="s">
        <v>934</v>
      </c>
      <c r="E4328" s="286" t="s">
        <v>1113</v>
      </c>
      <c r="F4328" s="113" t="s">
        <v>922</v>
      </c>
    </row>
    <row r="4329" spans="1:6" ht="14.25" customHeight="1">
      <c r="A4329" s="286" t="s">
        <v>832</v>
      </c>
      <c r="B4329" s="286">
        <v>2023</v>
      </c>
      <c r="C4329" s="286" t="s">
        <v>821</v>
      </c>
      <c r="D4329" s="286" t="s">
        <v>934</v>
      </c>
      <c r="E4329" s="286" t="s">
        <v>1338</v>
      </c>
      <c r="F4329" s="286" t="s">
        <v>1241</v>
      </c>
    </row>
    <row r="4330" spans="1:6" ht="14.25" customHeight="1">
      <c r="A4330" s="286" t="s">
        <v>832</v>
      </c>
      <c r="B4330" s="286">
        <v>2023</v>
      </c>
      <c r="C4330" s="286" t="s">
        <v>821</v>
      </c>
      <c r="D4330" s="286" t="s">
        <v>934</v>
      </c>
      <c r="E4330" s="286" t="s">
        <v>2</v>
      </c>
      <c r="F4330" s="286" t="s">
        <v>1241</v>
      </c>
    </row>
    <row r="4331" spans="1:6" ht="14.25" customHeight="1">
      <c r="A4331" s="286" t="s">
        <v>832</v>
      </c>
      <c r="B4331" s="286">
        <v>2023</v>
      </c>
      <c r="C4331" s="286" t="s">
        <v>821</v>
      </c>
      <c r="D4331" s="286" t="s">
        <v>934</v>
      </c>
      <c r="E4331" s="286" t="s">
        <v>1258</v>
      </c>
      <c r="F4331" s="284" t="s">
        <v>1144</v>
      </c>
    </row>
    <row r="4332" spans="1:6" ht="14.25" customHeight="1">
      <c r="A4332" s="286" t="s">
        <v>832</v>
      </c>
      <c r="B4332" s="286">
        <v>2023</v>
      </c>
      <c r="C4332" s="286" t="s">
        <v>821</v>
      </c>
      <c r="D4332" s="286" t="s">
        <v>934</v>
      </c>
      <c r="E4332" s="286" t="s">
        <v>1339</v>
      </c>
      <c r="F4332" s="284" t="s">
        <v>1144</v>
      </c>
    </row>
    <row r="4333" spans="1:6" ht="14.25" customHeight="1">
      <c r="A4333" s="286" t="s">
        <v>832</v>
      </c>
      <c r="B4333" s="286">
        <v>2023</v>
      </c>
      <c r="C4333" s="286" t="s">
        <v>821</v>
      </c>
      <c r="D4333" s="286" t="s">
        <v>931</v>
      </c>
      <c r="E4333" s="286" t="s">
        <v>1156</v>
      </c>
      <c r="F4333" s="113" t="s">
        <v>483</v>
      </c>
    </row>
    <row r="4334" spans="1:6" ht="14.25" customHeight="1">
      <c r="A4334" s="286" t="s">
        <v>832</v>
      </c>
      <c r="B4334" s="286">
        <v>2023</v>
      </c>
      <c r="C4334" s="286" t="s">
        <v>821</v>
      </c>
      <c r="D4334" s="286" t="s">
        <v>931</v>
      </c>
      <c r="E4334" s="286" t="s">
        <v>1141</v>
      </c>
      <c r="F4334" s="113" t="s">
        <v>483</v>
      </c>
    </row>
    <row r="4335" spans="1:6" ht="14.25" customHeight="1">
      <c r="A4335" s="286" t="s">
        <v>832</v>
      </c>
      <c r="B4335" s="286">
        <v>2023</v>
      </c>
      <c r="C4335" s="286" t="s">
        <v>821</v>
      </c>
      <c r="D4335" s="286" t="s">
        <v>931</v>
      </c>
      <c r="E4335" s="286" t="s">
        <v>1031</v>
      </c>
      <c r="F4335" s="113" t="s">
        <v>913</v>
      </c>
    </row>
    <row r="4336" spans="1:6" ht="14.25" customHeight="1">
      <c r="A4336" s="286" t="s">
        <v>832</v>
      </c>
      <c r="B4336" s="286">
        <v>2023</v>
      </c>
      <c r="C4336" s="286" t="s">
        <v>821</v>
      </c>
      <c r="D4336" s="286" t="s">
        <v>931</v>
      </c>
      <c r="E4336" s="287">
        <v>314</v>
      </c>
      <c r="F4336" s="113" t="s">
        <v>663</v>
      </c>
    </row>
    <row r="4337" spans="1:6" ht="14.25" customHeight="1">
      <c r="A4337" s="286" t="s">
        <v>832</v>
      </c>
      <c r="B4337" s="286">
        <v>2023</v>
      </c>
      <c r="C4337" s="286" t="s">
        <v>821</v>
      </c>
      <c r="D4337" s="286" t="s">
        <v>931</v>
      </c>
      <c r="E4337" s="287">
        <v>306</v>
      </c>
      <c r="F4337" s="113" t="s">
        <v>915</v>
      </c>
    </row>
    <row r="4338" spans="1:6" ht="14.25" customHeight="1">
      <c r="A4338" s="286" t="s">
        <v>832</v>
      </c>
      <c r="B4338" s="286">
        <v>2023</v>
      </c>
      <c r="C4338" s="286" t="s">
        <v>821</v>
      </c>
      <c r="D4338" s="286" t="s">
        <v>931</v>
      </c>
      <c r="E4338" s="286" t="s">
        <v>2</v>
      </c>
      <c r="F4338" s="113" t="s">
        <v>915</v>
      </c>
    </row>
    <row r="4339" spans="1:6" ht="14.25" customHeight="1">
      <c r="A4339" s="286" t="s">
        <v>832</v>
      </c>
      <c r="B4339" s="286">
        <v>2023</v>
      </c>
      <c r="C4339" s="286" t="s">
        <v>821</v>
      </c>
      <c r="D4339" s="286" t="s">
        <v>976</v>
      </c>
      <c r="E4339" s="287">
        <v>701</v>
      </c>
      <c r="F4339" s="113" t="s">
        <v>922</v>
      </c>
    </row>
    <row r="4340" spans="1:6" ht="14.25" customHeight="1">
      <c r="A4340" s="286" t="s">
        <v>832</v>
      </c>
      <c r="B4340" s="286">
        <v>2023</v>
      </c>
      <c r="C4340" s="286" t="s">
        <v>821</v>
      </c>
      <c r="D4340" s="286" t="s">
        <v>976</v>
      </c>
      <c r="E4340" s="287">
        <v>705</v>
      </c>
      <c r="F4340" s="113" t="s">
        <v>922</v>
      </c>
    </row>
    <row r="4341" spans="1:6" ht="14.25" customHeight="1">
      <c r="A4341" s="286" t="s">
        <v>832</v>
      </c>
      <c r="B4341" s="286">
        <v>2023</v>
      </c>
      <c r="C4341" s="286" t="s">
        <v>821</v>
      </c>
      <c r="D4341" s="286" t="s">
        <v>216</v>
      </c>
      <c r="E4341" s="113" t="s">
        <v>2</v>
      </c>
      <c r="F4341" s="113" t="s">
        <v>483</v>
      </c>
    </row>
    <row r="4342" spans="1:6" ht="14.25" customHeight="1">
      <c r="A4342" s="286" t="s">
        <v>832</v>
      </c>
      <c r="B4342" s="286">
        <v>2023</v>
      </c>
      <c r="C4342" s="286" t="s">
        <v>821</v>
      </c>
      <c r="D4342" s="286" t="s">
        <v>216</v>
      </c>
      <c r="E4342" s="286" t="s">
        <v>1340</v>
      </c>
      <c r="F4342" s="113" t="s">
        <v>483</v>
      </c>
    </row>
    <row r="4343" spans="1:6" ht="14.25" customHeight="1">
      <c r="A4343" s="286" t="s">
        <v>832</v>
      </c>
      <c r="B4343" s="286">
        <v>2023</v>
      </c>
      <c r="C4343" s="286" t="s">
        <v>821</v>
      </c>
      <c r="D4343" s="286" t="s">
        <v>216</v>
      </c>
      <c r="E4343" s="286" t="s">
        <v>1180</v>
      </c>
      <c r="F4343" s="284" t="s">
        <v>1144</v>
      </c>
    </row>
    <row r="4344" spans="1:6" ht="14.25" customHeight="1">
      <c r="A4344" s="286" t="s">
        <v>832</v>
      </c>
      <c r="B4344" s="286">
        <v>2023</v>
      </c>
      <c r="C4344" s="286" t="s">
        <v>88</v>
      </c>
      <c r="D4344" s="286" t="s">
        <v>969</v>
      </c>
      <c r="E4344" s="286" t="s">
        <v>1341</v>
      </c>
      <c r="F4344" s="113" t="s">
        <v>917</v>
      </c>
    </row>
    <row r="4345" spans="1:6" ht="14.25" customHeight="1">
      <c r="A4345" s="286" t="s">
        <v>832</v>
      </c>
      <c r="B4345" s="286">
        <v>2023</v>
      </c>
      <c r="C4345" s="286" t="s">
        <v>88</v>
      </c>
      <c r="D4345" s="286" t="s">
        <v>969</v>
      </c>
      <c r="E4345" s="286" t="s">
        <v>1342</v>
      </c>
      <c r="F4345" s="113" t="s">
        <v>922</v>
      </c>
    </row>
    <row r="4346" spans="1:6" ht="14.25" customHeight="1">
      <c r="A4346" s="286" t="s">
        <v>832</v>
      </c>
      <c r="B4346" s="286">
        <v>2023</v>
      </c>
      <c r="C4346" s="286" t="s">
        <v>88</v>
      </c>
      <c r="D4346" s="286" t="s">
        <v>969</v>
      </c>
      <c r="E4346" s="286" t="s">
        <v>1343</v>
      </c>
      <c r="F4346" s="113" t="s">
        <v>935</v>
      </c>
    </row>
    <row r="4347" spans="1:6" ht="14.25" customHeight="1">
      <c r="A4347" s="286" t="s">
        <v>832</v>
      </c>
      <c r="B4347" s="286">
        <v>2023</v>
      </c>
      <c r="C4347" s="286" t="s">
        <v>88</v>
      </c>
      <c r="D4347" s="286" t="s">
        <v>988</v>
      </c>
      <c r="E4347" s="286" t="s">
        <v>1040</v>
      </c>
      <c r="F4347" s="113" t="s">
        <v>906</v>
      </c>
    </row>
    <row r="4348" spans="1:6" ht="14.25" customHeight="1">
      <c r="A4348" s="286" t="s">
        <v>832</v>
      </c>
      <c r="B4348" s="286">
        <v>2023</v>
      </c>
      <c r="C4348" s="286" t="s">
        <v>88</v>
      </c>
      <c r="D4348" s="286" t="s">
        <v>956</v>
      </c>
      <c r="E4348" s="286" t="s">
        <v>1344</v>
      </c>
      <c r="F4348" s="113" t="s">
        <v>783</v>
      </c>
    </row>
    <row r="4349" spans="1:6" ht="14.25" customHeight="1">
      <c r="A4349" s="286" t="s">
        <v>832</v>
      </c>
      <c r="B4349" s="286">
        <v>2023</v>
      </c>
      <c r="C4349" s="286" t="s">
        <v>859</v>
      </c>
      <c r="D4349" s="286" t="s">
        <v>999</v>
      </c>
      <c r="E4349" s="287">
        <v>332</v>
      </c>
      <c r="F4349" s="113" t="s">
        <v>663</v>
      </c>
    </row>
    <row r="4350" spans="1:6" ht="14.25" customHeight="1">
      <c r="A4350" s="286" t="s">
        <v>832</v>
      </c>
      <c r="B4350" s="286">
        <v>2023</v>
      </c>
      <c r="C4350" s="286" t="s">
        <v>859</v>
      </c>
      <c r="D4350" s="286" t="s">
        <v>999</v>
      </c>
      <c r="E4350" s="287">
        <v>313</v>
      </c>
      <c r="F4350" s="113" t="s">
        <v>663</v>
      </c>
    </row>
    <row r="4351" spans="1:6" ht="14.25" customHeight="1">
      <c r="A4351" s="286" t="s">
        <v>832</v>
      </c>
      <c r="B4351" s="286">
        <v>2023</v>
      </c>
      <c r="C4351" s="286" t="s">
        <v>859</v>
      </c>
      <c r="D4351" s="286" t="s">
        <v>1005</v>
      </c>
      <c r="E4351" s="287">
        <v>331</v>
      </c>
      <c r="F4351" s="113" t="s">
        <v>663</v>
      </c>
    </row>
    <row r="4352" spans="1:6" ht="14.25" customHeight="1">
      <c r="A4352" s="286" t="s">
        <v>832</v>
      </c>
      <c r="B4352" s="286">
        <v>2023</v>
      </c>
      <c r="C4352" s="286" t="s">
        <v>859</v>
      </c>
      <c r="D4352" s="286" t="s">
        <v>1005</v>
      </c>
      <c r="E4352" s="286" t="s">
        <v>2</v>
      </c>
      <c r="F4352" s="284" t="s">
        <v>1144</v>
      </c>
    </row>
    <row r="4353" spans="1:6" ht="14.25" customHeight="1">
      <c r="A4353" s="286" t="s">
        <v>832</v>
      </c>
      <c r="B4353" s="286">
        <v>2023</v>
      </c>
      <c r="C4353" s="286" t="s">
        <v>859</v>
      </c>
      <c r="D4353" s="286" t="s">
        <v>1005</v>
      </c>
      <c r="E4353" s="286" t="s">
        <v>2</v>
      </c>
      <c r="F4353" s="284" t="s">
        <v>1144</v>
      </c>
    </row>
    <row r="4354" spans="1:6" ht="14.25" customHeight="1">
      <c r="A4354" s="286" t="s">
        <v>832</v>
      </c>
      <c r="B4354" s="286">
        <v>2023</v>
      </c>
      <c r="C4354" s="286" t="s">
        <v>859</v>
      </c>
      <c r="D4354" s="286" t="s">
        <v>1005</v>
      </c>
      <c r="E4354" s="286" t="s">
        <v>2</v>
      </c>
      <c r="F4354" s="284" t="s">
        <v>1144</v>
      </c>
    </row>
    <row r="4355" spans="1:6" ht="14.25" customHeight="1">
      <c r="A4355" s="286" t="s">
        <v>832</v>
      </c>
      <c r="B4355" s="286">
        <v>2023</v>
      </c>
      <c r="C4355" s="286" t="s">
        <v>859</v>
      </c>
      <c r="D4355" s="286" t="s">
        <v>1005</v>
      </c>
      <c r="E4355" s="286" t="s">
        <v>2</v>
      </c>
      <c r="F4355" s="284" t="s">
        <v>1144</v>
      </c>
    </row>
    <row r="4356" spans="1:6" ht="14.25" customHeight="1">
      <c r="A4356" s="286" t="s">
        <v>832</v>
      </c>
      <c r="B4356" s="286">
        <v>2023</v>
      </c>
      <c r="C4356" s="286" t="s">
        <v>859</v>
      </c>
      <c r="D4356" s="286" t="s">
        <v>1005</v>
      </c>
      <c r="E4356" s="286" t="s">
        <v>2</v>
      </c>
      <c r="F4356" s="284" t="s">
        <v>1144</v>
      </c>
    </row>
    <row r="4357" spans="1:6" ht="14.25" customHeight="1">
      <c r="A4357" s="286" t="s">
        <v>832</v>
      </c>
      <c r="B4357" s="286">
        <v>2023</v>
      </c>
      <c r="C4357" s="286" t="s">
        <v>859</v>
      </c>
      <c r="D4357" s="286" t="s">
        <v>1005</v>
      </c>
      <c r="E4357" s="286" t="s">
        <v>2</v>
      </c>
      <c r="F4357" s="284" t="s">
        <v>1144</v>
      </c>
    </row>
    <row r="4358" spans="1:6" ht="14.25" customHeight="1">
      <c r="A4358" s="286" t="s">
        <v>832</v>
      </c>
      <c r="B4358" s="286">
        <v>2023</v>
      </c>
      <c r="C4358" s="286" t="s">
        <v>859</v>
      </c>
      <c r="D4358" s="286" t="s">
        <v>1005</v>
      </c>
      <c r="E4358" s="286" t="s">
        <v>2</v>
      </c>
      <c r="F4358" s="284" t="s">
        <v>1144</v>
      </c>
    </row>
    <row r="4359" spans="1:6" ht="14.25" customHeight="1">
      <c r="A4359" s="286" t="s">
        <v>832</v>
      </c>
      <c r="B4359" s="286">
        <v>2023</v>
      </c>
      <c r="C4359" s="286" t="s">
        <v>859</v>
      </c>
      <c r="D4359" s="286" t="s">
        <v>1005</v>
      </c>
      <c r="E4359" s="286" t="s">
        <v>2</v>
      </c>
      <c r="F4359" s="284" t="s">
        <v>1144</v>
      </c>
    </row>
    <row r="4360" spans="1:6" ht="14.25" customHeight="1">
      <c r="A4360" s="286" t="s">
        <v>832</v>
      </c>
      <c r="B4360" s="286">
        <v>2023</v>
      </c>
      <c r="C4360" s="286" t="s">
        <v>859</v>
      </c>
      <c r="D4360" s="286" t="s">
        <v>1005</v>
      </c>
      <c r="E4360" s="286" t="s">
        <v>2</v>
      </c>
      <c r="F4360" s="284" t="s">
        <v>1144</v>
      </c>
    </row>
    <row r="4361" spans="1:6" ht="14.25" customHeight="1">
      <c r="A4361" s="286" t="s">
        <v>832</v>
      </c>
      <c r="B4361" s="286">
        <v>2023</v>
      </c>
      <c r="C4361" s="286" t="s">
        <v>859</v>
      </c>
      <c r="D4361" s="286" t="s">
        <v>1005</v>
      </c>
      <c r="E4361" s="286" t="s">
        <v>2</v>
      </c>
      <c r="F4361" s="284" t="s">
        <v>1144</v>
      </c>
    </row>
    <row r="4362" spans="1:6" ht="14.25" customHeight="1">
      <c r="A4362" s="286" t="s">
        <v>832</v>
      </c>
      <c r="B4362" s="286">
        <v>2023</v>
      </c>
      <c r="C4362" s="286" t="s">
        <v>859</v>
      </c>
      <c r="D4362" s="286" t="s">
        <v>1005</v>
      </c>
      <c r="E4362" s="286" t="s">
        <v>2</v>
      </c>
      <c r="F4362" s="284" t="s">
        <v>1144</v>
      </c>
    </row>
    <row r="4363" spans="1:6" ht="14.25" customHeight="1">
      <c r="A4363" s="286" t="s">
        <v>832</v>
      </c>
      <c r="B4363" s="286">
        <v>2023</v>
      </c>
      <c r="C4363" s="286" t="s">
        <v>859</v>
      </c>
      <c r="D4363" s="286" t="s">
        <v>1005</v>
      </c>
      <c r="E4363" s="286" t="s">
        <v>2</v>
      </c>
      <c r="F4363" s="284" t="s">
        <v>1144</v>
      </c>
    </row>
    <row r="4364" spans="1:6" ht="14.25" customHeight="1">
      <c r="A4364" s="286" t="s">
        <v>832</v>
      </c>
      <c r="B4364" s="286">
        <v>2023</v>
      </c>
      <c r="C4364" s="286" t="s">
        <v>859</v>
      </c>
      <c r="D4364" s="286" t="s">
        <v>1005</v>
      </c>
      <c r="E4364" s="286" t="s">
        <v>2</v>
      </c>
      <c r="F4364" s="284" t="s">
        <v>1144</v>
      </c>
    </row>
    <row r="4365" spans="1:6" ht="14.25" customHeight="1">
      <c r="A4365" s="286" t="s">
        <v>832</v>
      </c>
      <c r="B4365" s="286">
        <v>2023</v>
      </c>
      <c r="C4365" s="286" t="s">
        <v>859</v>
      </c>
      <c r="D4365" s="286" t="s">
        <v>1005</v>
      </c>
      <c r="E4365" s="286" t="s">
        <v>2</v>
      </c>
      <c r="F4365" s="284" t="s">
        <v>1144</v>
      </c>
    </row>
    <row r="4366" spans="1:6" ht="14.25" customHeight="1">
      <c r="A4366" s="286" t="s">
        <v>832</v>
      </c>
      <c r="B4366" s="286">
        <v>2023</v>
      </c>
      <c r="C4366" s="286" t="s">
        <v>859</v>
      </c>
      <c r="D4366" s="286" t="s">
        <v>1005</v>
      </c>
      <c r="E4366" s="286" t="s">
        <v>2</v>
      </c>
      <c r="F4366" s="284" t="s">
        <v>1144</v>
      </c>
    </row>
    <row r="4367" spans="1:6" ht="14.25" customHeight="1">
      <c r="A4367" s="286" t="s">
        <v>832</v>
      </c>
      <c r="B4367" s="286">
        <v>2023</v>
      </c>
      <c r="C4367" s="286" t="s">
        <v>859</v>
      </c>
      <c r="D4367" s="286" t="s">
        <v>1005</v>
      </c>
      <c r="E4367" s="286" t="s">
        <v>2</v>
      </c>
      <c r="F4367" s="284" t="s">
        <v>1144</v>
      </c>
    </row>
    <row r="4368" spans="1:6" ht="14.25" customHeight="1">
      <c r="A4368" s="286" t="s">
        <v>832</v>
      </c>
      <c r="B4368" s="286">
        <v>2023</v>
      </c>
      <c r="C4368" s="286" t="s">
        <v>859</v>
      </c>
      <c r="D4368" s="286" t="s">
        <v>1005</v>
      </c>
      <c r="E4368" s="286" t="s">
        <v>2</v>
      </c>
      <c r="F4368" s="284" t="s">
        <v>1144</v>
      </c>
    </row>
    <row r="4369" spans="1:6" ht="14.25" customHeight="1">
      <c r="A4369" s="286" t="s">
        <v>832</v>
      </c>
      <c r="B4369" s="286">
        <v>2023</v>
      </c>
      <c r="C4369" s="286" t="s">
        <v>859</v>
      </c>
      <c r="D4369" s="286" t="s">
        <v>1005</v>
      </c>
      <c r="E4369" s="286" t="s">
        <v>2</v>
      </c>
      <c r="F4369" s="284" t="s">
        <v>1144</v>
      </c>
    </row>
    <row r="4370" spans="1:6" ht="14.25" customHeight="1">
      <c r="A4370" s="286" t="s">
        <v>832</v>
      </c>
      <c r="B4370" s="286">
        <v>2023</v>
      </c>
      <c r="C4370" s="286" t="s">
        <v>859</v>
      </c>
      <c r="D4370" s="286" t="s">
        <v>1005</v>
      </c>
      <c r="E4370" s="286" t="s">
        <v>2</v>
      </c>
      <c r="F4370" s="284" t="s">
        <v>1144</v>
      </c>
    </row>
    <row r="4371" spans="1:6" ht="14.25" customHeight="1">
      <c r="A4371" s="286" t="s">
        <v>832</v>
      </c>
      <c r="B4371" s="286">
        <v>2023</v>
      </c>
      <c r="C4371" s="286" t="s">
        <v>859</v>
      </c>
      <c r="D4371" s="286" t="s">
        <v>1005</v>
      </c>
      <c r="E4371" s="286" t="s">
        <v>2</v>
      </c>
      <c r="F4371" s="284" t="s">
        <v>1144</v>
      </c>
    </row>
    <row r="4372" spans="1:6" ht="14.25" customHeight="1">
      <c r="A4372" s="286" t="s">
        <v>832</v>
      </c>
      <c r="B4372" s="286">
        <v>2023</v>
      </c>
      <c r="C4372" s="286" t="s">
        <v>859</v>
      </c>
      <c r="D4372" s="286" t="s">
        <v>1005</v>
      </c>
      <c r="E4372" s="286" t="s">
        <v>2</v>
      </c>
      <c r="F4372" s="284" t="s">
        <v>1144</v>
      </c>
    </row>
    <row r="4373" spans="1:6" ht="14.25" customHeight="1">
      <c r="A4373" s="286" t="s">
        <v>832</v>
      </c>
      <c r="B4373" s="286">
        <v>2023</v>
      </c>
      <c r="C4373" s="286" t="s">
        <v>859</v>
      </c>
      <c r="D4373" s="286" t="s">
        <v>1000</v>
      </c>
      <c r="E4373" s="287">
        <v>212</v>
      </c>
      <c r="F4373" s="113" t="s">
        <v>909</v>
      </c>
    </row>
    <row r="4374" spans="1:6" ht="14.25" customHeight="1">
      <c r="A4374" s="286" t="s">
        <v>832</v>
      </c>
      <c r="B4374" s="286">
        <v>2023</v>
      </c>
      <c r="C4374" s="286" t="s">
        <v>859</v>
      </c>
      <c r="D4374" s="286" t="s">
        <v>1000</v>
      </c>
      <c r="E4374" s="287">
        <v>322</v>
      </c>
      <c r="F4374" s="113" t="s">
        <v>663</v>
      </c>
    </row>
    <row r="4375" spans="1:6" ht="14.25" customHeight="1">
      <c r="A4375" s="286" t="s">
        <v>832</v>
      </c>
      <c r="B4375" s="286">
        <v>2023</v>
      </c>
      <c r="C4375" s="286" t="s">
        <v>859</v>
      </c>
      <c r="D4375" s="286" t="s">
        <v>1000</v>
      </c>
      <c r="E4375" s="287">
        <v>803</v>
      </c>
      <c r="F4375" s="113" t="s">
        <v>935</v>
      </c>
    </row>
    <row r="4376" spans="1:6" ht="14.25" customHeight="1">
      <c r="A4376" s="286" t="s">
        <v>832</v>
      </c>
      <c r="B4376" s="286">
        <v>2023</v>
      </c>
      <c r="C4376" s="286" t="s">
        <v>859</v>
      </c>
      <c r="D4376" s="286" t="s">
        <v>1000</v>
      </c>
      <c r="E4376" s="286" t="s">
        <v>1260</v>
      </c>
      <c r="F4376" s="284" t="s">
        <v>1144</v>
      </c>
    </row>
    <row r="4377" spans="1:6" ht="14.25" customHeight="1">
      <c r="A4377" s="286" t="s">
        <v>832</v>
      </c>
      <c r="B4377" s="286">
        <v>2023</v>
      </c>
      <c r="C4377" s="286" t="s">
        <v>859</v>
      </c>
      <c r="D4377" s="286" t="s">
        <v>1000</v>
      </c>
      <c r="E4377" s="286" t="s">
        <v>1345</v>
      </c>
      <c r="F4377" s="284" t="s">
        <v>1144</v>
      </c>
    </row>
    <row r="4378" spans="1:6" ht="14.25" customHeight="1">
      <c r="A4378" s="286" t="s">
        <v>832</v>
      </c>
      <c r="B4378" s="286">
        <v>2023</v>
      </c>
      <c r="C4378" s="286" t="s">
        <v>859</v>
      </c>
      <c r="D4378" s="286" t="s">
        <v>1000</v>
      </c>
      <c r="E4378" s="286" t="s">
        <v>960</v>
      </c>
      <c r="F4378" s="284" t="s">
        <v>1144</v>
      </c>
    </row>
    <row r="4379" spans="1:6" ht="14.25" customHeight="1">
      <c r="A4379" s="286" t="s">
        <v>832</v>
      </c>
      <c r="B4379" s="286">
        <v>2023</v>
      </c>
      <c r="C4379" s="286" t="s">
        <v>859</v>
      </c>
      <c r="D4379" s="286" t="s">
        <v>998</v>
      </c>
      <c r="E4379" s="287">
        <v>221</v>
      </c>
      <c r="F4379" s="113" t="s">
        <v>483</v>
      </c>
    </row>
    <row r="4380" spans="1:6" ht="14.25" customHeight="1">
      <c r="A4380" s="286" t="s">
        <v>832</v>
      </c>
      <c r="B4380" s="286">
        <v>2023</v>
      </c>
      <c r="C4380" s="286" t="s">
        <v>859</v>
      </c>
      <c r="D4380" s="286" t="s">
        <v>1208</v>
      </c>
      <c r="E4380" s="286" t="s">
        <v>1004</v>
      </c>
      <c r="F4380" s="113" t="s">
        <v>935</v>
      </c>
    </row>
    <row r="4381" spans="1:6" ht="14.25" customHeight="1">
      <c r="A4381" s="286" t="s">
        <v>832</v>
      </c>
      <c r="B4381" s="286">
        <v>2023</v>
      </c>
      <c r="C4381" s="286" t="s">
        <v>1024</v>
      </c>
      <c r="D4381" s="286" t="s">
        <v>1025</v>
      </c>
      <c r="E4381" s="286" t="s">
        <v>1346</v>
      </c>
      <c r="F4381" s="113" t="s">
        <v>483</v>
      </c>
    </row>
    <row r="4382" spans="1:6" ht="14.25" customHeight="1">
      <c r="A4382" s="286" t="s">
        <v>832</v>
      </c>
      <c r="B4382" s="286">
        <v>2023</v>
      </c>
      <c r="C4382" s="286" t="s">
        <v>1024</v>
      </c>
      <c r="D4382" s="286" t="s">
        <v>1025</v>
      </c>
      <c r="E4382" s="286" t="s">
        <v>2</v>
      </c>
      <c r="F4382" s="113" t="s">
        <v>483</v>
      </c>
    </row>
    <row r="4383" spans="1:6" ht="14.25" customHeight="1">
      <c r="A4383" s="286" t="s">
        <v>832</v>
      </c>
      <c r="B4383" s="286">
        <v>2023</v>
      </c>
      <c r="C4383" s="286" t="s">
        <v>1024</v>
      </c>
      <c r="D4383" s="286" t="s">
        <v>1025</v>
      </c>
      <c r="E4383" s="286" t="s">
        <v>1347</v>
      </c>
      <c r="F4383" s="113" t="s">
        <v>917</v>
      </c>
    </row>
    <row r="4384" spans="1:6" ht="14.25" customHeight="1">
      <c r="A4384" s="286" t="s">
        <v>832</v>
      </c>
      <c r="B4384" s="286">
        <v>2023</v>
      </c>
      <c r="C4384" s="286" t="s">
        <v>1024</v>
      </c>
      <c r="D4384" s="286" t="s">
        <v>1025</v>
      </c>
      <c r="E4384" s="286" t="s">
        <v>1051</v>
      </c>
      <c r="F4384" s="286" t="s">
        <v>924</v>
      </c>
    </row>
    <row r="4385" spans="1:6" ht="14.25" customHeight="1">
      <c r="A4385" s="286" t="s">
        <v>832</v>
      </c>
      <c r="B4385" s="286">
        <v>2023</v>
      </c>
      <c r="C4385" s="286" t="s">
        <v>1024</v>
      </c>
      <c r="D4385" s="286" t="s">
        <v>1025</v>
      </c>
      <c r="E4385" s="286" t="s">
        <v>944</v>
      </c>
      <c r="F4385" s="286" t="s">
        <v>924</v>
      </c>
    </row>
    <row r="4386" spans="1:6" ht="14.25" customHeight="1">
      <c r="A4386" s="286" t="s">
        <v>832</v>
      </c>
      <c r="B4386" s="286">
        <v>2023</v>
      </c>
      <c r="C4386" s="286" t="s">
        <v>1024</v>
      </c>
      <c r="D4386" s="286" t="s">
        <v>1025</v>
      </c>
      <c r="E4386" s="286" t="s">
        <v>1063</v>
      </c>
      <c r="F4386" s="113" t="s">
        <v>922</v>
      </c>
    </row>
    <row r="4387" spans="1:6" ht="14.25" customHeight="1">
      <c r="A4387" s="286" t="s">
        <v>832</v>
      </c>
      <c r="B4387" s="286">
        <v>2023</v>
      </c>
      <c r="C4387" s="286" t="s">
        <v>1024</v>
      </c>
      <c r="D4387" s="286" t="s">
        <v>1025</v>
      </c>
      <c r="E4387" s="286" t="s">
        <v>1348</v>
      </c>
      <c r="F4387" s="284" t="s">
        <v>1144</v>
      </c>
    </row>
    <row r="4388" spans="1:6" ht="14.25" customHeight="1">
      <c r="A4388" s="286" t="s">
        <v>832</v>
      </c>
      <c r="B4388" s="286">
        <v>2023</v>
      </c>
      <c r="C4388" s="286" t="s">
        <v>1024</v>
      </c>
      <c r="D4388" s="286" t="s">
        <v>1025</v>
      </c>
      <c r="E4388" s="286" t="s">
        <v>1349</v>
      </c>
      <c r="F4388" s="284" t="s">
        <v>1144</v>
      </c>
    </row>
    <row r="4389" spans="1:6" ht="14.25" customHeight="1">
      <c r="A4389" s="286" t="s">
        <v>832</v>
      </c>
      <c r="B4389" s="286">
        <v>2023</v>
      </c>
      <c r="C4389" s="286" t="s">
        <v>1024</v>
      </c>
      <c r="D4389" s="286" t="s">
        <v>1025</v>
      </c>
      <c r="E4389" s="286" t="s">
        <v>1350</v>
      </c>
      <c r="F4389" s="284" t="s">
        <v>1144</v>
      </c>
    </row>
    <row r="4390" spans="1:6" ht="14.25" customHeight="1">
      <c r="A4390" s="286" t="s">
        <v>832</v>
      </c>
      <c r="B4390" s="286">
        <v>2023</v>
      </c>
      <c r="C4390" s="286" t="s">
        <v>1024</v>
      </c>
      <c r="D4390" s="286" t="s">
        <v>1027</v>
      </c>
      <c r="E4390" s="286" t="s">
        <v>2</v>
      </c>
      <c r="F4390" s="113" t="s">
        <v>918</v>
      </c>
    </row>
    <row r="4391" spans="1:6" ht="14.25" customHeight="1">
      <c r="A4391" s="286" t="s">
        <v>832</v>
      </c>
      <c r="B4391" s="286">
        <v>2023</v>
      </c>
      <c r="C4391" s="286" t="s">
        <v>1024</v>
      </c>
      <c r="D4391" s="286" t="s">
        <v>1027</v>
      </c>
      <c r="E4391" s="113" t="s">
        <v>2</v>
      </c>
      <c r="F4391" s="286" t="s">
        <v>924</v>
      </c>
    </row>
    <row r="4392" spans="1:6" ht="14.25" customHeight="1">
      <c r="A4392" s="286" t="s">
        <v>832</v>
      </c>
      <c r="B4392" s="286">
        <v>2023</v>
      </c>
      <c r="C4392" s="286" t="s">
        <v>1024</v>
      </c>
      <c r="D4392" s="286" t="s">
        <v>1027</v>
      </c>
      <c r="E4392" s="286" t="s">
        <v>992</v>
      </c>
      <c r="F4392" s="113" t="s">
        <v>922</v>
      </c>
    </row>
    <row r="4393" spans="1:6" ht="14.25" customHeight="1">
      <c r="A4393" s="286" t="s">
        <v>832</v>
      </c>
      <c r="B4393" s="286">
        <v>2023</v>
      </c>
      <c r="C4393" s="286" t="s">
        <v>1024</v>
      </c>
      <c r="D4393" s="286" t="s">
        <v>1027</v>
      </c>
      <c r="E4393" s="287">
        <v>712</v>
      </c>
      <c r="F4393" s="113" t="s">
        <v>922</v>
      </c>
    </row>
    <row r="4394" spans="1:6" ht="14.25" customHeight="1">
      <c r="A4394" s="286" t="s">
        <v>832</v>
      </c>
      <c r="B4394" s="286">
        <v>2023</v>
      </c>
      <c r="C4394" s="286" t="s">
        <v>1024</v>
      </c>
      <c r="D4394" s="286" t="s">
        <v>1026</v>
      </c>
      <c r="E4394" s="286" t="s">
        <v>2</v>
      </c>
      <c r="F4394" s="286" t="s">
        <v>1241</v>
      </c>
    </row>
    <row r="4395" spans="1:6" ht="14.25" customHeight="1">
      <c r="A4395" s="286" t="s">
        <v>833</v>
      </c>
      <c r="B4395" s="286">
        <v>2023</v>
      </c>
      <c r="C4395" s="286" t="s">
        <v>821</v>
      </c>
      <c r="D4395" s="286" t="s">
        <v>132</v>
      </c>
      <c r="E4395" s="286" t="s">
        <v>944</v>
      </c>
      <c r="F4395" s="113" t="s">
        <v>906</v>
      </c>
    </row>
    <row r="4396" spans="1:6" ht="14.25" customHeight="1">
      <c r="A4396" s="286" t="s">
        <v>833</v>
      </c>
      <c r="B4396" s="286">
        <v>2023</v>
      </c>
      <c r="C4396" s="286" t="s">
        <v>821</v>
      </c>
      <c r="D4396" s="286" t="s">
        <v>132</v>
      </c>
      <c r="E4396" s="286" t="s">
        <v>1041</v>
      </c>
      <c r="F4396" s="113" t="s">
        <v>906</v>
      </c>
    </row>
    <row r="4397" spans="1:6" ht="14.25" customHeight="1">
      <c r="A4397" s="286" t="s">
        <v>833</v>
      </c>
      <c r="B4397" s="286">
        <v>2023</v>
      </c>
      <c r="C4397" s="286" t="s">
        <v>821</v>
      </c>
      <c r="D4397" s="286" t="s">
        <v>132</v>
      </c>
      <c r="E4397" s="286" t="s">
        <v>1351</v>
      </c>
      <c r="F4397" s="113" t="s">
        <v>909</v>
      </c>
    </row>
    <row r="4398" spans="1:6" ht="14.25" customHeight="1">
      <c r="A4398" s="286" t="s">
        <v>833</v>
      </c>
      <c r="B4398" s="286">
        <v>2023</v>
      </c>
      <c r="C4398" s="286" t="s">
        <v>821</v>
      </c>
      <c r="D4398" s="286" t="s">
        <v>132</v>
      </c>
      <c r="E4398" s="286" t="s">
        <v>1130</v>
      </c>
      <c r="F4398" s="113" t="s">
        <v>483</v>
      </c>
    </row>
    <row r="4399" spans="1:6" ht="14.25" customHeight="1">
      <c r="A4399" s="286" t="s">
        <v>833</v>
      </c>
      <c r="B4399" s="286">
        <v>2023</v>
      </c>
      <c r="C4399" s="286" t="s">
        <v>821</v>
      </c>
      <c r="D4399" s="286" t="s">
        <v>132</v>
      </c>
      <c r="E4399" s="286" t="s">
        <v>978</v>
      </c>
      <c r="F4399" s="113" t="s">
        <v>483</v>
      </c>
    </row>
    <row r="4400" spans="1:6" ht="14.25" customHeight="1">
      <c r="A4400" s="286" t="s">
        <v>833</v>
      </c>
      <c r="B4400" s="286">
        <v>2023</v>
      </c>
      <c r="C4400" s="286" t="s">
        <v>821</v>
      </c>
      <c r="D4400" s="286" t="s">
        <v>132</v>
      </c>
      <c r="E4400" s="286" t="s">
        <v>977</v>
      </c>
      <c r="F4400" s="113" t="s">
        <v>483</v>
      </c>
    </row>
    <row r="4401" spans="1:6" ht="14.25" customHeight="1">
      <c r="A4401" s="286" t="s">
        <v>833</v>
      </c>
      <c r="B4401" s="286">
        <v>2023</v>
      </c>
      <c r="C4401" s="286" t="s">
        <v>821</v>
      </c>
      <c r="D4401" s="286" t="s">
        <v>132</v>
      </c>
      <c r="E4401" s="286" t="s">
        <v>1003</v>
      </c>
      <c r="F4401" s="113" t="s">
        <v>483</v>
      </c>
    </row>
    <row r="4402" spans="1:6" ht="14.25" customHeight="1">
      <c r="A4402" s="286" t="s">
        <v>833</v>
      </c>
      <c r="B4402" s="286">
        <v>2023</v>
      </c>
      <c r="C4402" s="286" t="s">
        <v>821</v>
      </c>
      <c r="D4402" s="286" t="s">
        <v>132</v>
      </c>
      <c r="E4402" s="286" t="s">
        <v>1156</v>
      </c>
      <c r="F4402" s="113" t="s">
        <v>483</v>
      </c>
    </row>
    <row r="4403" spans="1:6" ht="14.25" customHeight="1">
      <c r="A4403" s="286" t="s">
        <v>833</v>
      </c>
      <c r="B4403" s="286">
        <v>2023</v>
      </c>
      <c r="C4403" s="286" t="s">
        <v>821</v>
      </c>
      <c r="D4403" s="286" t="s">
        <v>132</v>
      </c>
      <c r="E4403" s="286" t="s">
        <v>1352</v>
      </c>
      <c r="F4403" s="113" t="s">
        <v>663</v>
      </c>
    </row>
    <row r="4404" spans="1:6" ht="14.25" customHeight="1">
      <c r="A4404" s="286" t="s">
        <v>833</v>
      </c>
      <c r="B4404" s="286">
        <v>2023</v>
      </c>
      <c r="C4404" s="286" t="s">
        <v>821</v>
      </c>
      <c r="D4404" s="286" t="s">
        <v>132</v>
      </c>
      <c r="E4404" s="287">
        <v>301</v>
      </c>
      <c r="F4404" s="113" t="s">
        <v>915</v>
      </c>
    </row>
    <row r="4405" spans="1:6" ht="14.25" customHeight="1">
      <c r="A4405" s="286" t="s">
        <v>833</v>
      </c>
      <c r="B4405" s="286">
        <v>2023</v>
      </c>
      <c r="C4405" s="286" t="s">
        <v>821</v>
      </c>
      <c r="D4405" s="286" t="s">
        <v>132</v>
      </c>
      <c r="E4405" s="286" t="s">
        <v>1353</v>
      </c>
      <c r="F4405" s="113" t="s">
        <v>918</v>
      </c>
    </row>
    <row r="4406" spans="1:6" ht="14.25" customHeight="1">
      <c r="A4406" s="286" t="s">
        <v>833</v>
      </c>
      <c r="B4406" s="286">
        <v>2023</v>
      </c>
      <c r="C4406" s="286" t="s">
        <v>821</v>
      </c>
      <c r="D4406" s="286" t="s">
        <v>132</v>
      </c>
      <c r="E4406" s="286" t="s">
        <v>1354</v>
      </c>
      <c r="F4406" s="113" t="s">
        <v>918</v>
      </c>
    </row>
    <row r="4407" spans="1:6" ht="14.25" customHeight="1">
      <c r="A4407" s="286" t="s">
        <v>833</v>
      </c>
      <c r="B4407" s="286">
        <v>2023</v>
      </c>
      <c r="C4407" s="286" t="s">
        <v>821</v>
      </c>
      <c r="D4407" s="286" t="s">
        <v>132</v>
      </c>
      <c r="E4407" s="286" t="s">
        <v>1355</v>
      </c>
      <c r="F4407" s="113" t="s">
        <v>918</v>
      </c>
    </row>
    <row r="4408" spans="1:6" ht="14.25" customHeight="1">
      <c r="A4408" s="286" t="s">
        <v>833</v>
      </c>
      <c r="B4408" s="286">
        <v>2023</v>
      </c>
      <c r="C4408" s="286" t="s">
        <v>821</v>
      </c>
      <c r="D4408" s="286" t="s">
        <v>132</v>
      </c>
      <c r="E4408" s="286" t="s">
        <v>1094</v>
      </c>
      <c r="F4408" s="113" t="s">
        <v>918</v>
      </c>
    </row>
    <row r="4409" spans="1:6" ht="14.25" customHeight="1">
      <c r="A4409" s="286" t="s">
        <v>833</v>
      </c>
      <c r="B4409" s="286">
        <v>2023</v>
      </c>
      <c r="C4409" s="286" t="s">
        <v>821</v>
      </c>
      <c r="D4409" s="286" t="s">
        <v>132</v>
      </c>
      <c r="E4409" s="286" t="s">
        <v>1046</v>
      </c>
      <c r="F4409" s="113" t="s">
        <v>918</v>
      </c>
    </row>
    <row r="4410" spans="1:6" ht="14.25" customHeight="1">
      <c r="A4410" s="286" t="s">
        <v>833</v>
      </c>
      <c r="B4410" s="286">
        <v>2023</v>
      </c>
      <c r="C4410" s="286" t="s">
        <v>821</v>
      </c>
      <c r="D4410" s="286" t="s">
        <v>132</v>
      </c>
      <c r="E4410" s="286" t="s">
        <v>1019</v>
      </c>
      <c r="F4410" s="113" t="s">
        <v>922</v>
      </c>
    </row>
    <row r="4411" spans="1:6" ht="14.25" customHeight="1">
      <c r="A4411" s="286" t="s">
        <v>833</v>
      </c>
      <c r="B4411" s="286">
        <v>2023</v>
      </c>
      <c r="C4411" s="286" t="s">
        <v>821</v>
      </c>
      <c r="D4411" s="286" t="s">
        <v>132</v>
      </c>
      <c r="E4411" s="286" t="s">
        <v>1062</v>
      </c>
      <c r="F4411" s="113" t="s">
        <v>922</v>
      </c>
    </row>
    <row r="4412" spans="1:6" ht="14.25" customHeight="1">
      <c r="A4412" s="286" t="s">
        <v>833</v>
      </c>
      <c r="B4412" s="286">
        <v>2023</v>
      </c>
      <c r="C4412" s="286" t="s">
        <v>821</v>
      </c>
      <c r="D4412" s="286" t="s">
        <v>132</v>
      </c>
      <c r="E4412" s="286" t="s">
        <v>1113</v>
      </c>
      <c r="F4412" s="113" t="s">
        <v>922</v>
      </c>
    </row>
    <row r="4413" spans="1:6" ht="14.25" customHeight="1">
      <c r="A4413" s="286" t="s">
        <v>833</v>
      </c>
      <c r="B4413" s="286">
        <v>2023</v>
      </c>
      <c r="C4413" s="286" t="s">
        <v>821</v>
      </c>
      <c r="D4413" s="286" t="s">
        <v>132</v>
      </c>
      <c r="E4413" s="286" t="s">
        <v>948</v>
      </c>
      <c r="F4413" s="113" t="s">
        <v>922</v>
      </c>
    </row>
    <row r="4414" spans="1:6" ht="14.25" customHeight="1">
      <c r="A4414" s="286" t="s">
        <v>833</v>
      </c>
      <c r="B4414" s="286">
        <v>2023</v>
      </c>
      <c r="C4414" s="286" t="s">
        <v>821</v>
      </c>
      <c r="D4414" s="286" t="s">
        <v>132</v>
      </c>
      <c r="E4414" s="286" t="s">
        <v>1059</v>
      </c>
      <c r="F4414" s="113" t="s">
        <v>922</v>
      </c>
    </row>
    <row r="4415" spans="1:6" ht="14.25" customHeight="1">
      <c r="A4415" s="286" t="s">
        <v>833</v>
      </c>
      <c r="B4415" s="286">
        <v>2023</v>
      </c>
      <c r="C4415" s="286" t="s">
        <v>821</v>
      </c>
      <c r="D4415" s="286" t="s">
        <v>132</v>
      </c>
      <c r="E4415" s="286" t="s">
        <v>1023</v>
      </c>
      <c r="F4415" s="113" t="s">
        <v>935</v>
      </c>
    </row>
    <row r="4416" spans="1:6" ht="14.25" customHeight="1">
      <c r="A4416" s="286" t="s">
        <v>833</v>
      </c>
      <c r="B4416" s="286">
        <v>2023</v>
      </c>
      <c r="C4416" s="286" t="s">
        <v>821</v>
      </c>
      <c r="D4416" s="286" t="s">
        <v>132</v>
      </c>
      <c r="E4416" s="286" t="s">
        <v>1100</v>
      </c>
      <c r="F4416" s="113" t="s">
        <v>935</v>
      </c>
    </row>
    <row r="4417" spans="1:6" ht="14.25" customHeight="1">
      <c r="A4417" s="286" t="s">
        <v>833</v>
      </c>
      <c r="B4417" s="286">
        <v>2023</v>
      </c>
      <c r="C4417" s="286" t="s">
        <v>821</v>
      </c>
      <c r="D4417" s="286" t="s">
        <v>132</v>
      </c>
      <c r="E4417" s="286" t="s">
        <v>997</v>
      </c>
      <c r="F4417" s="113" t="s">
        <v>935</v>
      </c>
    </row>
    <row r="4418" spans="1:6" ht="14.25" customHeight="1">
      <c r="A4418" s="286" t="s">
        <v>833</v>
      </c>
      <c r="B4418" s="286">
        <v>2023</v>
      </c>
      <c r="C4418" s="286" t="s">
        <v>821</v>
      </c>
      <c r="D4418" s="286" t="s">
        <v>132</v>
      </c>
      <c r="E4418" s="286" t="s">
        <v>987</v>
      </c>
      <c r="F4418" s="113" t="s">
        <v>935</v>
      </c>
    </row>
    <row r="4419" spans="1:6" ht="14.25" customHeight="1">
      <c r="A4419" s="286" t="s">
        <v>833</v>
      </c>
      <c r="B4419" s="286">
        <v>2023</v>
      </c>
      <c r="C4419" s="286" t="s">
        <v>821</v>
      </c>
      <c r="D4419" s="286" t="s">
        <v>132</v>
      </c>
      <c r="E4419" s="286" t="s">
        <v>2</v>
      </c>
      <c r="F4419" s="284" t="s">
        <v>1144</v>
      </c>
    </row>
    <row r="4420" spans="1:6" ht="14.25" customHeight="1">
      <c r="A4420" s="286" t="s">
        <v>833</v>
      </c>
      <c r="B4420" s="286">
        <v>2023</v>
      </c>
      <c r="C4420" s="286" t="s">
        <v>821</v>
      </c>
      <c r="D4420" s="286" t="s">
        <v>132</v>
      </c>
      <c r="E4420" s="286" t="s">
        <v>2</v>
      </c>
      <c r="F4420" s="284" t="s">
        <v>1144</v>
      </c>
    </row>
    <row r="4421" spans="1:6" ht="14.25" customHeight="1">
      <c r="A4421" s="286" t="s">
        <v>833</v>
      </c>
      <c r="B4421" s="286">
        <v>2023</v>
      </c>
      <c r="C4421" s="286" t="s">
        <v>821</v>
      </c>
      <c r="D4421" s="286" t="s">
        <v>934</v>
      </c>
      <c r="E4421" s="113" t="s">
        <v>2</v>
      </c>
      <c r="F4421" s="113" t="s">
        <v>906</v>
      </c>
    </row>
    <row r="4422" spans="1:6" ht="14.25" customHeight="1">
      <c r="A4422" s="286" t="s">
        <v>833</v>
      </c>
      <c r="B4422" s="286">
        <v>2023</v>
      </c>
      <c r="C4422" s="286" t="s">
        <v>821</v>
      </c>
      <c r="D4422" s="286" t="s">
        <v>934</v>
      </c>
      <c r="E4422" s="286" t="s">
        <v>1356</v>
      </c>
      <c r="F4422" s="113" t="s">
        <v>483</v>
      </c>
    </row>
    <row r="4423" spans="1:6" ht="14.25" customHeight="1">
      <c r="A4423" s="286" t="s">
        <v>833</v>
      </c>
      <c r="B4423" s="286">
        <v>2023</v>
      </c>
      <c r="C4423" s="286" t="s">
        <v>821</v>
      </c>
      <c r="D4423" s="286" t="s">
        <v>934</v>
      </c>
      <c r="E4423" s="286" t="s">
        <v>1356</v>
      </c>
      <c r="F4423" s="113" t="s">
        <v>483</v>
      </c>
    </row>
    <row r="4424" spans="1:6" ht="14.25" customHeight="1">
      <c r="A4424" s="286" t="s">
        <v>833</v>
      </c>
      <c r="B4424" s="286">
        <v>2023</v>
      </c>
      <c r="C4424" s="286" t="s">
        <v>821</v>
      </c>
      <c r="D4424" s="286" t="s">
        <v>934</v>
      </c>
      <c r="E4424" s="286" t="s">
        <v>1357</v>
      </c>
      <c r="F4424" s="113" t="s">
        <v>483</v>
      </c>
    </row>
    <row r="4425" spans="1:6" ht="14.25" customHeight="1">
      <c r="A4425" s="286" t="s">
        <v>833</v>
      </c>
      <c r="B4425" s="286">
        <v>2023</v>
      </c>
      <c r="C4425" s="286" t="s">
        <v>821</v>
      </c>
      <c r="D4425" s="286" t="s">
        <v>934</v>
      </c>
      <c r="E4425" s="286" t="s">
        <v>1358</v>
      </c>
      <c r="F4425" s="113" t="s">
        <v>483</v>
      </c>
    </row>
    <row r="4426" spans="1:6" ht="14.25" customHeight="1">
      <c r="A4426" s="286" t="s">
        <v>833</v>
      </c>
      <c r="B4426" s="286">
        <v>2023</v>
      </c>
      <c r="C4426" s="286" t="s">
        <v>821</v>
      </c>
      <c r="D4426" s="286" t="s">
        <v>934</v>
      </c>
      <c r="E4426" s="287">
        <v>334</v>
      </c>
      <c r="F4426" s="113" t="s">
        <v>663</v>
      </c>
    </row>
    <row r="4427" spans="1:6" ht="14.25" customHeight="1">
      <c r="A4427" s="286" t="s">
        <v>833</v>
      </c>
      <c r="B4427" s="286">
        <v>2023</v>
      </c>
      <c r="C4427" s="286" t="s">
        <v>821</v>
      </c>
      <c r="D4427" s="286" t="s">
        <v>934</v>
      </c>
      <c r="E4427" s="286" t="s">
        <v>947</v>
      </c>
      <c r="F4427" s="113" t="s">
        <v>913</v>
      </c>
    </row>
    <row r="4428" spans="1:6" ht="14.25" customHeight="1">
      <c r="A4428" s="286" t="s">
        <v>833</v>
      </c>
      <c r="B4428" s="286">
        <v>2023</v>
      </c>
      <c r="C4428" s="286" t="s">
        <v>821</v>
      </c>
      <c r="D4428" s="286" t="s">
        <v>934</v>
      </c>
      <c r="E4428" s="286" t="s">
        <v>1359</v>
      </c>
      <c r="F4428" s="113" t="s">
        <v>663</v>
      </c>
    </row>
    <row r="4429" spans="1:6" ht="14.25" customHeight="1">
      <c r="A4429" s="286" t="s">
        <v>833</v>
      </c>
      <c r="B4429" s="286">
        <v>2023</v>
      </c>
      <c r="C4429" s="286" t="s">
        <v>821</v>
      </c>
      <c r="D4429" s="286" t="s">
        <v>934</v>
      </c>
      <c r="E4429" s="286" t="s">
        <v>1360</v>
      </c>
      <c r="F4429" s="113" t="s">
        <v>663</v>
      </c>
    </row>
    <row r="4430" spans="1:6" ht="14.25" customHeight="1">
      <c r="A4430" s="286" t="s">
        <v>833</v>
      </c>
      <c r="B4430" s="286">
        <v>2023</v>
      </c>
      <c r="C4430" s="286" t="s">
        <v>821</v>
      </c>
      <c r="D4430" s="286" t="s">
        <v>934</v>
      </c>
      <c r="E4430" s="286" t="s">
        <v>1361</v>
      </c>
      <c r="F4430" s="113" t="s">
        <v>783</v>
      </c>
    </row>
    <row r="4431" spans="1:6" ht="14.25" customHeight="1">
      <c r="A4431" s="286" t="s">
        <v>833</v>
      </c>
      <c r="B4431" s="286">
        <v>2023</v>
      </c>
      <c r="C4431" s="286" t="s">
        <v>821</v>
      </c>
      <c r="D4431" s="286" t="s">
        <v>934</v>
      </c>
      <c r="E4431" s="286" t="s">
        <v>1362</v>
      </c>
      <c r="F4431" s="113" t="s">
        <v>783</v>
      </c>
    </row>
    <row r="4432" spans="1:6" ht="14.25" customHeight="1">
      <c r="A4432" s="286" t="s">
        <v>833</v>
      </c>
      <c r="B4432" s="286">
        <v>2023</v>
      </c>
      <c r="C4432" s="286" t="s">
        <v>821</v>
      </c>
      <c r="D4432" s="286" t="s">
        <v>934</v>
      </c>
      <c r="E4432" s="286" t="s">
        <v>1363</v>
      </c>
      <c r="F4432" s="113" t="s">
        <v>917</v>
      </c>
    </row>
    <row r="4433" spans="1:6" ht="14.25" customHeight="1">
      <c r="A4433" s="286" t="s">
        <v>833</v>
      </c>
      <c r="B4433" s="286">
        <v>2023</v>
      </c>
      <c r="C4433" s="286" t="s">
        <v>821</v>
      </c>
      <c r="D4433" s="286" t="s">
        <v>934</v>
      </c>
      <c r="E4433" s="113" t="s">
        <v>2</v>
      </c>
      <c r="F4433" s="113" t="s">
        <v>917</v>
      </c>
    </row>
    <row r="4434" spans="1:6" ht="14.25" customHeight="1">
      <c r="A4434" s="286" t="s">
        <v>833</v>
      </c>
      <c r="B4434" s="286">
        <v>2023</v>
      </c>
      <c r="C4434" s="286" t="s">
        <v>821</v>
      </c>
      <c r="D4434" s="286" t="s">
        <v>934</v>
      </c>
      <c r="E4434" s="113" t="s">
        <v>2</v>
      </c>
      <c r="F4434" s="113" t="s">
        <v>917</v>
      </c>
    </row>
    <row r="4435" spans="1:6" ht="14.25" customHeight="1">
      <c r="A4435" s="286" t="s">
        <v>833</v>
      </c>
      <c r="B4435" s="286">
        <v>2023</v>
      </c>
      <c r="C4435" s="286" t="s">
        <v>821</v>
      </c>
      <c r="D4435" s="286" t="s">
        <v>934</v>
      </c>
      <c r="E4435" s="287">
        <v>612</v>
      </c>
      <c r="F4435" s="286" t="s">
        <v>924</v>
      </c>
    </row>
    <row r="4436" spans="1:6" ht="14.25" customHeight="1">
      <c r="A4436" s="286" t="s">
        <v>833</v>
      </c>
      <c r="B4436" s="286">
        <v>2023</v>
      </c>
      <c r="C4436" s="286" t="s">
        <v>821</v>
      </c>
      <c r="D4436" s="286" t="s">
        <v>934</v>
      </c>
      <c r="E4436" s="287">
        <v>614</v>
      </c>
      <c r="F4436" s="286" t="s">
        <v>924</v>
      </c>
    </row>
    <row r="4437" spans="1:6" ht="14.25" customHeight="1">
      <c r="A4437" s="286" t="s">
        <v>833</v>
      </c>
      <c r="B4437" s="286">
        <v>2023</v>
      </c>
      <c r="C4437" s="286" t="s">
        <v>821</v>
      </c>
      <c r="D4437" s="286" t="s">
        <v>934</v>
      </c>
      <c r="E4437" s="286" t="s">
        <v>2</v>
      </c>
      <c r="F4437" s="286" t="s">
        <v>924</v>
      </c>
    </row>
    <row r="4438" spans="1:6" ht="14.25" customHeight="1">
      <c r="A4438" s="286" t="s">
        <v>833</v>
      </c>
      <c r="B4438" s="286">
        <v>2023</v>
      </c>
      <c r="C4438" s="286" t="s">
        <v>821</v>
      </c>
      <c r="D4438" s="286" t="s">
        <v>934</v>
      </c>
      <c r="E4438" s="286" t="s">
        <v>2</v>
      </c>
      <c r="F4438" s="286" t="s">
        <v>924</v>
      </c>
    </row>
    <row r="4439" spans="1:6" ht="14.25" customHeight="1">
      <c r="A4439" s="286" t="s">
        <v>833</v>
      </c>
      <c r="B4439" s="286">
        <v>2023</v>
      </c>
      <c r="C4439" s="286" t="s">
        <v>821</v>
      </c>
      <c r="D4439" s="286" t="s">
        <v>934</v>
      </c>
      <c r="E4439" s="286" t="s">
        <v>1364</v>
      </c>
      <c r="F4439" s="113" t="s">
        <v>922</v>
      </c>
    </row>
    <row r="4440" spans="1:6" ht="14.25" customHeight="1">
      <c r="A4440" s="286" t="s">
        <v>833</v>
      </c>
      <c r="B4440" s="286">
        <v>2023</v>
      </c>
      <c r="C4440" s="286" t="s">
        <v>821</v>
      </c>
      <c r="D4440" s="286" t="s">
        <v>934</v>
      </c>
      <c r="E4440" s="286" t="s">
        <v>1364</v>
      </c>
      <c r="F4440" s="113" t="s">
        <v>922</v>
      </c>
    </row>
    <row r="4441" spans="1:6" ht="14.25" customHeight="1">
      <c r="A4441" s="286" t="s">
        <v>833</v>
      </c>
      <c r="B4441" s="286">
        <v>2023</v>
      </c>
      <c r="C4441" s="286" t="s">
        <v>821</v>
      </c>
      <c r="D4441" s="286" t="s">
        <v>934</v>
      </c>
      <c r="E4441" s="286" t="s">
        <v>1365</v>
      </c>
      <c r="F4441" s="113" t="s">
        <v>922</v>
      </c>
    </row>
    <row r="4442" spans="1:6" ht="14.25" customHeight="1">
      <c r="A4442" s="286" t="s">
        <v>833</v>
      </c>
      <c r="B4442" s="286">
        <v>2023</v>
      </c>
      <c r="C4442" s="286" t="s">
        <v>821</v>
      </c>
      <c r="D4442" s="286" t="s">
        <v>934</v>
      </c>
      <c r="E4442" s="286" t="s">
        <v>1366</v>
      </c>
      <c r="F4442" s="113" t="s">
        <v>922</v>
      </c>
    </row>
    <row r="4443" spans="1:6" ht="14.25" customHeight="1">
      <c r="A4443" s="286" t="s">
        <v>833</v>
      </c>
      <c r="B4443" s="286">
        <v>2023</v>
      </c>
      <c r="C4443" s="286" t="s">
        <v>821</v>
      </c>
      <c r="D4443" s="286" t="s">
        <v>934</v>
      </c>
      <c r="E4443" s="286" t="s">
        <v>1367</v>
      </c>
      <c r="F4443" s="113" t="s">
        <v>922</v>
      </c>
    </row>
    <row r="4444" spans="1:6" ht="14.25" customHeight="1">
      <c r="A4444" s="286" t="s">
        <v>833</v>
      </c>
      <c r="B4444" s="286">
        <v>2023</v>
      </c>
      <c r="C4444" s="286" t="s">
        <v>821</v>
      </c>
      <c r="D4444" s="286" t="s">
        <v>934</v>
      </c>
      <c r="E4444" s="286" t="s">
        <v>1368</v>
      </c>
      <c r="F4444" s="113" t="s">
        <v>922</v>
      </c>
    </row>
    <row r="4445" spans="1:6" ht="14.25" customHeight="1">
      <c r="A4445" s="286" t="s">
        <v>833</v>
      </c>
      <c r="B4445" s="286">
        <v>2023</v>
      </c>
      <c r="C4445" s="286" t="s">
        <v>821</v>
      </c>
      <c r="D4445" s="286" t="s">
        <v>934</v>
      </c>
      <c r="E4445" s="286" t="s">
        <v>1100</v>
      </c>
      <c r="F4445" s="113" t="s">
        <v>935</v>
      </c>
    </row>
    <row r="4446" spans="1:6" ht="14.25" customHeight="1">
      <c r="A4446" s="286" t="s">
        <v>833</v>
      </c>
      <c r="B4446" s="286">
        <v>2023</v>
      </c>
      <c r="C4446" s="286" t="s">
        <v>821</v>
      </c>
      <c r="D4446" s="286" t="s">
        <v>934</v>
      </c>
      <c r="E4446" s="286" t="s">
        <v>1369</v>
      </c>
      <c r="F4446" s="113" t="s">
        <v>935</v>
      </c>
    </row>
    <row r="4447" spans="1:6" ht="14.25" customHeight="1">
      <c r="A4447" s="286" t="s">
        <v>833</v>
      </c>
      <c r="B4447" s="286">
        <v>2023</v>
      </c>
      <c r="C4447" s="286" t="s">
        <v>821</v>
      </c>
      <c r="D4447" s="286" t="s">
        <v>934</v>
      </c>
      <c r="E4447" s="286" t="s">
        <v>1058</v>
      </c>
      <c r="F4447" s="113" t="s">
        <v>935</v>
      </c>
    </row>
    <row r="4448" spans="1:6" ht="14.25" customHeight="1">
      <c r="A4448" s="286" t="s">
        <v>833</v>
      </c>
      <c r="B4448" s="286">
        <v>2023</v>
      </c>
      <c r="C4448" s="286" t="s">
        <v>821</v>
      </c>
      <c r="D4448" s="286" t="s">
        <v>934</v>
      </c>
      <c r="E4448" s="286" t="s">
        <v>987</v>
      </c>
      <c r="F4448" s="113" t="s">
        <v>935</v>
      </c>
    </row>
    <row r="4449" spans="1:6" ht="14.25" customHeight="1">
      <c r="A4449" s="286" t="s">
        <v>833</v>
      </c>
      <c r="B4449" s="286">
        <v>2023</v>
      </c>
      <c r="C4449" s="286" t="s">
        <v>821</v>
      </c>
      <c r="D4449" s="286" t="s">
        <v>934</v>
      </c>
      <c r="E4449" s="286" t="s">
        <v>1370</v>
      </c>
      <c r="F4449" s="286" t="s">
        <v>1241</v>
      </c>
    </row>
    <row r="4450" spans="1:6" ht="14.25" customHeight="1">
      <c r="A4450" s="286" t="s">
        <v>833</v>
      </c>
      <c r="B4450" s="286">
        <v>2023</v>
      </c>
      <c r="C4450" s="286" t="s">
        <v>821</v>
      </c>
      <c r="D4450" s="286" t="s">
        <v>934</v>
      </c>
      <c r="E4450" s="286" t="s">
        <v>1371</v>
      </c>
      <c r="F4450" s="284" t="s">
        <v>1144</v>
      </c>
    </row>
    <row r="4451" spans="1:6" ht="14.25" customHeight="1">
      <c r="A4451" s="286" t="s">
        <v>833</v>
      </c>
      <c r="B4451" s="286">
        <v>2023</v>
      </c>
      <c r="C4451" s="286" t="s">
        <v>821</v>
      </c>
      <c r="D4451" s="286" t="s">
        <v>934</v>
      </c>
      <c r="E4451" s="286" t="s">
        <v>2</v>
      </c>
      <c r="F4451" s="284" t="s">
        <v>1144</v>
      </c>
    </row>
    <row r="4452" spans="1:6" ht="14.25" customHeight="1">
      <c r="A4452" s="286" t="s">
        <v>833</v>
      </c>
      <c r="B4452" s="286">
        <v>2023</v>
      </c>
      <c r="C4452" s="286" t="s">
        <v>821</v>
      </c>
      <c r="D4452" s="286" t="s">
        <v>931</v>
      </c>
      <c r="E4452" s="286" t="s">
        <v>1125</v>
      </c>
      <c r="F4452" s="113" t="s">
        <v>483</v>
      </c>
    </row>
    <row r="4453" spans="1:6" ht="14.25" customHeight="1">
      <c r="A4453" s="286" t="s">
        <v>833</v>
      </c>
      <c r="B4453" s="286">
        <v>2023</v>
      </c>
      <c r="C4453" s="286" t="s">
        <v>821</v>
      </c>
      <c r="D4453" s="286" t="s">
        <v>931</v>
      </c>
      <c r="E4453" s="286" t="s">
        <v>983</v>
      </c>
      <c r="F4453" s="113" t="s">
        <v>483</v>
      </c>
    </row>
    <row r="4454" spans="1:6" ht="14.25" customHeight="1">
      <c r="A4454" s="286" t="s">
        <v>833</v>
      </c>
      <c r="B4454" s="286">
        <v>2023</v>
      </c>
      <c r="C4454" s="286" t="s">
        <v>821</v>
      </c>
      <c r="D4454" s="286" t="s">
        <v>931</v>
      </c>
      <c r="E4454" s="287">
        <v>406</v>
      </c>
      <c r="F4454" s="113" t="s">
        <v>783</v>
      </c>
    </row>
    <row r="4455" spans="1:6" ht="14.25" customHeight="1">
      <c r="A4455" s="286" t="s">
        <v>833</v>
      </c>
      <c r="B4455" s="286">
        <v>2023</v>
      </c>
      <c r="C4455" s="286" t="s">
        <v>821</v>
      </c>
      <c r="D4455" s="286" t="s">
        <v>931</v>
      </c>
      <c r="E4455" s="287">
        <v>714</v>
      </c>
      <c r="F4455" s="113" t="s">
        <v>922</v>
      </c>
    </row>
    <row r="4456" spans="1:6" ht="14.25" customHeight="1">
      <c r="A4456" s="286" t="s">
        <v>833</v>
      </c>
      <c r="B4456" s="286">
        <v>2023</v>
      </c>
      <c r="C4456" s="286" t="s">
        <v>821</v>
      </c>
      <c r="D4456" s="286" t="s">
        <v>931</v>
      </c>
      <c r="E4456" s="286" t="s">
        <v>1372</v>
      </c>
      <c r="F4456" s="113" t="s">
        <v>922</v>
      </c>
    </row>
    <row r="4457" spans="1:6" ht="14.25" customHeight="1">
      <c r="A4457" s="286" t="s">
        <v>833</v>
      </c>
      <c r="B4457" s="286">
        <v>2023</v>
      </c>
      <c r="C4457" s="286" t="s">
        <v>821</v>
      </c>
      <c r="D4457" s="286" t="s">
        <v>931</v>
      </c>
      <c r="E4457" s="286" t="s">
        <v>1373</v>
      </c>
      <c r="F4457" s="113" t="s">
        <v>922</v>
      </c>
    </row>
    <row r="4458" spans="1:6" ht="14.25" customHeight="1">
      <c r="A4458" s="286" t="s">
        <v>833</v>
      </c>
      <c r="B4458" s="286">
        <v>2023</v>
      </c>
      <c r="C4458" s="286" t="s">
        <v>821</v>
      </c>
      <c r="D4458" s="286" t="s">
        <v>931</v>
      </c>
      <c r="E4458" s="287">
        <v>810</v>
      </c>
      <c r="F4458" s="113" t="s">
        <v>935</v>
      </c>
    </row>
    <row r="4459" spans="1:6" ht="14.25" customHeight="1">
      <c r="A4459" s="286" t="s">
        <v>833</v>
      </c>
      <c r="B4459" s="286">
        <v>2023</v>
      </c>
      <c r="C4459" s="286" t="s">
        <v>821</v>
      </c>
      <c r="D4459" s="286" t="s">
        <v>931</v>
      </c>
      <c r="E4459" s="286" t="s">
        <v>1058</v>
      </c>
      <c r="F4459" s="113" t="s">
        <v>935</v>
      </c>
    </row>
    <row r="4460" spans="1:6" ht="14.25" customHeight="1">
      <c r="A4460" s="286" t="s">
        <v>833</v>
      </c>
      <c r="B4460" s="286">
        <v>2023</v>
      </c>
      <c r="C4460" s="286" t="s">
        <v>821</v>
      </c>
      <c r="D4460" s="286" t="s">
        <v>976</v>
      </c>
      <c r="E4460" s="286" t="s">
        <v>953</v>
      </c>
      <c r="F4460" s="113" t="s">
        <v>906</v>
      </c>
    </row>
    <row r="4461" spans="1:6" ht="14.25" customHeight="1">
      <c r="A4461" s="286" t="s">
        <v>833</v>
      </c>
      <c r="B4461" s="286">
        <v>2023</v>
      </c>
      <c r="C4461" s="286" t="s">
        <v>821</v>
      </c>
      <c r="D4461" s="286" t="s">
        <v>976</v>
      </c>
      <c r="E4461" s="287">
        <v>201</v>
      </c>
      <c r="F4461" s="113" t="s">
        <v>909</v>
      </c>
    </row>
    <row r="4462" spans="1:6" ht="14.25" customHeight="1">
      <c r="A4462" s="286" t="s">
        <v>833</v>
      </c>
      <c r="B4462" s="286">
        <v>2023</v>
      </c>
      <c r="C4462" s="286" t="s">
        <v>821</v>
      </c>
      <c r="D4462" s="286" t="s">
        <v>976</v>
      </c>
      <c r="E4462" s="286" t="s">
        <v>939</v>
      </c>
      <c r="F4462" s="113" t="s">
        <v>909</v>
      </c>
    </row>
    <row r="4463" spans="1:6" ht="14.25" customHeight="1">
      <c r="A4463" s="286" t="s">
        <v>833</v>
      </c>
      <c r="B4463" s="286">
        <v>2023</v>
      </c>
      <c r="C4463" s="286" t="s">
        <v>821</v>
      </c>
      <c r="D4463" s="286" t="s">
        <v>976</v>
      </c>
      <c r="E4463" s="286" t="s">
        <v>1040</v>
      </c>
      <c r="F4463" s="113" t="s">
        <v>906</v>
      </c>
    </row>
    <row r="4464" spans="1:6" ht="14.25" customHeight="1">
      <c r="A4464" s="286" t="s">
        <v>833</v>
      </c>
      <c r="B4464" s="286">
        <v>2023</v>
      </c>
      <c r="C4464" s="286" t="s">
        <v>821</v>
      </c>
      <c r="D4464" s="286" t="s">
        <v>976</v>
      </c>
      <c r="E4464" s="286" t="s">
        <v>2</v>
      </c>
      <c r="F4464" s="113" t="s">
        <v>663</v>
      </c>
    </row>
    <row r="4465" spans="1:6" ht="14.25" customHeight="1">
      <c r="A4465" s="286" t="s">
        <v>833</v>
      </c>
      <c r="B4465" s="286">
        <v>2023</v>
      </c>
      <c r="C4465" s="286" t="s">
        <v>821</v>
      </c>
      <c r="D4465" s="286" t="s">
        <v>976</v>
      </c>
      <c r="E4465" s="286" t="s">
        <v>2</v>
      </c>
      <c r="F4465" s="113" t="s">
        <v>663</v>
      </c>
    </row>
    <row r="4466" spans="1:6" ht="14.25" customHeight="1">
      <c r="A4466" s="286" t="s">
        <v>833</v>
      </c>
      <c r="B4466" s="286">
        <v>2023</v>
      </c>
      <c r="C4466" s="286" t="s">
        <v>821</v>
      </c>
      <c r="D4466" s="286" t="s">
        <v>976</v>
      </c>
      <c r="E4466" s="286" t="s">
        <v>1374</v>
      </c>
      <c r="F4466" s="113" t="s">
        <v>917</v>
      </c>
    </row>
    <row r="4467" spans="1:6" ht="14.25" customHeight="1">
      <c r="A4467" s="286" t="s">
        <v>833</v>
      </c>
      <c r="B4467" s="286">
        <v>2023</v>
      </c>
      <c r="C4467" s="286" t="s">
        <v>821</v>
      </c>
      <c r="D4467" s="286" t="s">
        <v>216</v>
      </c>
      <c r="E4467" s="286" t="s">
        <v>1375</v>
      </c>
      <c r="F4467" s="113" t="s">
        <v>906</v>
      </c>
    </row>
    <row r="4468" spans="1:6" ht="14.25" customHeight="1">
      <c r="A4468" s="286" t="s">
        <v>833</v>
      </c>
      <c r="B4468" s="286">
        <v>2023</v>
      </c>
      <c r="C4468" s="286" t="s">
        <v>821</v>
      </c>
      <c r="D4468" s="286" t="s">
        <v>216</v>
      </c>
      <c r="E4468" s="286" t="s">
        <v>2</v>
      </c>
      <c r="F4468" s="113" t="s">
        <v>663</v>
      </c>
    </row>
    <row r="4469" spans="1:6" ht="14.25" customHeight="1">
      <c r="A4469" s="286" t="s">
        <v>833</v>
      </c>
      <c r="B4469" s="286">
        <v>2023</v>
      </c>
      <c r="C4469" s="286" t="s">
        <v>821</v>
      </c>
      <c r="D4469" s="286" t="s">
        <v>216</v>
      </c>
      <c r="E4469" s="287">
        <v>428</v>
      </c>
      <c r="F4469" s="113" t="s">
        <v>918</v>
      </c>
    </row>
    <row r="4470" spans="1:6" ht="14.25" customHeight="1">
      <c r="A4470" s="286" t="s">
        <v>833</v>
      </c>
      <c r="B4470" s="286">
        <v>2023</v>
      </c>
      <c r="C4470" s="286" t="s">
        <v>821</v>
      </c>
      <c r="D4470" s="286" t="s">
        <v>216</v>
      </c>
      <c r="E4470" s="286" t="s">
        <v>1376</v>
      </c>
      <c r="F4470" s="113" t="s">
        <v>783</v>
      </c>
    </row>
    <row r="4471" spans="1:6" ht="14.25" customHeight="1">
      <c r="A4471" s="286" t="s">
        <v>833</v>
      </c>
      <c r="B4471" s="286">
        <v>2023</v>
      </c>
      <c r="C4471" s="286" t="s">
        <v>88</v>
      </c>
      <c r="D4471" s="286" t="s">
        <v>969</v>
      </c>
      <c r="E4471" s="286" t="s">
        <v>2</v>
      </c>
      <c r="F4471" s="113" t="s">
        <v>906</v>
      </c>
    </row>
    <row r="4472" spans="1:6" ht="14.25" customHeight="1">
      <c r="A4472" s="286" t="s">
        <v>833</v>
      </c>
      <c r="B4472" s="286">
        <v>2023</v>
      </c>
      <c r="C4472" s="286" t="s">
        <v>88</v>
      </c>
      <c r="D4472" s="286" t="s">
        <v>969</v>
      </c>
      <c r="E4472" s="286" t="s">
        <v>2</v>
      </c>
      <c r="F4472" s="113" t="s">
        <v>906</v>
      </c>
    </row>
    <row r="4473" spans="1:6" ht="14.25" customHeight="1">
      <c r="A4473" s="286" t="s">
        <v>833</v>
      </c>
      <c r="B4473" s="286">
        <v>2023</v>
      </c>
      <c r="C4473" s="286" t="s">
        <v>88</v>
      </c>
      <c r="D4473" s="286" t="s">
        <v>969</v>
      </c>
      <c r="E4473" s="286" t="s">
        <v>1377</v>
      </c>
      <c r="F4473" s="113" t="s">
        <v>483</v>
      </c>
    </row>
    <row r="4474" spans="1:6" ht="14.25" customHeight="1">
      <c r="A4474" s="286" t="s">
        <v>833</v>
      </c>
      <c r="B4474" s="286">
        <v>2023</v>
      </c>
      <c r="C4474" s="286" t="s">
        <v>88</v>
      </c>
      <c r="D4474" s="286" t="s">
        <v>969</v>
      </c>
      <c r="E4474" s="286" t="s">
        <v>1378</v>
      </c>
      <c r="F4474" s="113" t="s">
        <v>663</v>
      </c>
    </row>
    <row r="4475" spans="1:6" ht="14.25" customHeight="1">
      <c r="A4475" s="286" t="s">
        <v>833</v>
      </c>
      <c r="B4475" s="286">
        <v>2023</v>
      </c>
      <c r="C4475" s="286" t="s">
        <v>88</v>
      </c>
      <c r="D4475" s="286" t="s">
        <v>969</v>
      </c>
      <c r="E4475" s="287">
        <v>102</v>
      </c>
      <c r="F4475" s="113" t="s">
        <v>906</v>
      </c>
    </row>
    <row r="4476" spans="1:6" ht="14.25" customHeight="1">
      <c r="A4476" s="286" t="s">
        <v>833</v>
      </c>
      <c r="B4476" s="286">
        <v>2023</v>
      </c>
      <c r="C4476" s="286" t="s">
        <v>88</v>
      </c>
      <c r="D4476" s="286" t="s">
        <v>969</v>
      </c>
      <c r="E4476" s="286" t="s">
        <v>1379</v>
      </c>
      <c r="F4476" s="113" t="s">
        <v>783</v>
      </c>
    </row>
    <row r="4477" spans="1:6" ht="14.25" customHeight="1">
      <c r="A4477" s="286" t="s">
        <v>833</v>
      </c>
      <c r="B4477" s="286">
        <v>2023</v>
      </c>
      <c r="C4477" s="286" t="s">
        <v>88</v>
      </c>
      <c r="D4477" s="286" t="s">
        <v>969</v>
      </c>
      <c r="E4477" s="286" t="s">
        <v>1380</v>
      </c>
      <c r="F4477" s="113" t="s">
        <v>922</v>
      </c>
    </row>
    <row r="4478" spans="1:6" ht="14.25" customHeight="1">
      <c r="A4478" s="286" t="s">
        <v>833</v>
      </c>
      <c r="B4478" s="286">
        <v>2023</v>
      </c>
      <c r="C4478" s="286" t="s">
        <v>88</v>
      </c>
      <c r="D4478" s="286" t="s">
        <v>969</v>
      </c>
      <c r="E4478" s="286" t="s">
        <v>1381</v>
      </c>
      <c r="F4478" s="113" t="s">
        <v>922</v>
      </c>
    </row>
    <row r="4479" spans="1:6" ht="14.25" customHeight="1">
      <c r="A4479" s="286" t="s">
        <v>833</v>
      </c>
      <c r="B4479" s="286">
        <v>2023</v>
      </c>
      <c r="C4479" s="286" t="s">
        <v>88</v>
      </c>
      <c r="D4479" s="286" t="s">
        <v>969</v>
      </c>
      <c r="E4479" s="286" t="s">
        <v>1382</v>
      </c>
      <c r="F4479" s="113" t="s">
        <v>935</v>
      </c>
    </row>
    <row r="4480" spans="1:6" ht="14.25" customHeight="1">
      <c r="A4480" s="286" t="s">
        <v>833</v>
      </c>
      <c r="B4480" s="286">
        <v>2023</v>
      </c>
      <c r="C4480" s="286" t="s">
        <v>88</v>
      </c>
      <c r="D4480" s="286" t="s">
        <v>988</v>
      </c>
      <c r="E4480" s="286" t="s">
        <v>1383</v>
      </c>
      <c r="F4480" s="113" t="s">
        <v>906</v>
      </c>
    </row>
    <row r="4481" spans="1:6" ht="14.25" customHeight="1">
      <c r="A4481" s="286" t="s">
        <v>833</v>
      </c>
      <c r="B4481" s="286">
        <v>2023</v>
      </c>
      <c r="C4481" s="286" t="s">
        <v>88</v>
      </c>
      <c r="D4481" s="286" t="s">
        <v>988</v>
      </c>
      <c r="E4481" s="287">
        <v>414</v>
      </c>
      <c r="F4481" s="113" t="s">
        <v>917</v>
      </c>
    </row>
    <row r="4482" spans="1:6" ht="14.25" customHeight="1">
      <c r="A4482" s="286" t="s">
        <v>833</v>
      </c>
      <c r="B4482" s="286">
        <v>2023</v>
      </c>
      <c r="C4482" s="286" t="s">
        <v>88</v>
      </c>
      <c r="D4482" s="286" t="s">
        <v>966</v>
      </c>
      <c r="E4482" s="286" t="s">
        <v>1040</v>
      </c>
      <c r="F4482" s="113" t="s">
        <v>906</v>
      </c>
    </row>
    <row r="4483" spans="1:6" ht="14.25" customHeight="1">
      <c r="A4483" s="286" t="s">
        <v>833</v>
      </c>
      <c r="B4483" s="286">
        <v>2023</v>
      </c>
      <c r="C4483" s="286" t="s">
        <v>859</v>
      </c>
      <c r="D4483" s="286" t="s">
        <v>1005</v>
      </c>
      <c r="E4483" s="287">
        <v>106</v>
      </c>
      <c r="F4483" s="113" t="s">
        <v>906</v>
      </c>
    </row>
    <row r="4484" spans="1:6" ht="14.25" customHeight="1">
      <c r="A4484" s="286" t="s">
        <v>833</v>
      </c>
      <c r="B4484" s="286">
        <v>2023</v>
      </c>
      <c r="C4484" s="286" t="s">
        <v>859</v>
      </c>
      <c r="D4484" s="286" t="s">
        <v>1005</v>
      </c>
      <c r="E4484" s="286" t="s">
        <v>1170</v>
      </c>
      <c r="F4484" s="113" t="s">
        <v>909</v>
      </c>
    </row>
    <row r="4485" spans="1:6" ht="14.25" customHeight="1">
      <c r="A4485" s="286" t="s">
        <v>833</v>
      </c>
      <c r="B4485" s="286">
        <v>2023</v>
      </c>
      <c r="C4485" s="286" t="s">
        <v>859</v>
      </c>
      <c r="D4485" s="286" t="s">
        <v>1005</v>
      </c>
      <c r="E4485" s="286" t="s">
        <v>1052</v>
      </c>
      <c r="F4485" s="113" t="s">
        <v>909</v>
      </c>
    </row>
    <row r="4486" spans="1:6" ht="14.25" customHeight="1">
      <c r="A4486" s="286" t="s">
        <v>833</v>
      </c>
      <c r="B4486" s="286">
        <v>2023</v>
      </c>
      <c r="C4486" s="286" t="s">
        <v>859</v>
      </c>
      <c r="D4486" s="286" t="s">
        <v>1005</v>
      </c>
      <c r="E4486" s="287">
        <v>202</v>
      </c>
      <c r="F4486" s="113" t="s">
        <v>483</v>
      </c>
    </row>
    <row r="4487" spans="1:6" ht="14.25" customHeight="1">
      <c r="A4487" s="286" t="s">
        <v>833</v>
      </c>
      <c r="B4487" s="286">
        <v>2023</v>
      </c>
      <c r="C4487" s="286" t="s">
        <v>859</v>
      </c>
      <c r="D4487" s="286" t="s">
        <v>1005</v>
      </c>
      <c r="E4487" s="286" t="s">
        <v>2</v>
      </c>
      <c r="F4487" s="284" t="s">
        <v>1144</v>
      </c>
    </row>
    <row r="4488" spans="1:6" ht="14.25" customHeight="1">
      <c r="A4488" s="286" t="s">
        <v>833</v>
      </c>
      <c r="B4488" s="286">
        <v>2023</v>
      </c>
      <c r="C4488" s="286" t="s">
        <v>859</v>
      </c>
      <c r="D4488" s="286" t="s">
        <v>1005</v>
      </c>
      <c r="E4488" s="286" t="s">
        <v>2</v>
      </c>
      <c r="F4488" s="284" t="s">
        <v>1144</v>
      </c>
    </row>
    <row r="4489" spans="1:6" ht="14.25" customHeight="1">
      <c r="A4489" s="286" t="s">
        <v>833</v>
      </c>
      <c r="B4489" s="286">
        <v>2023</v>
      </c>
      <c r="C4489" s="286" t="s">
        <v>859</v>
      </c>
      <c r="D4489" s="286" t="s">
        <v>1000</v>
      </c>
      <c r="E4489" s="287">
        <v>106</v>
      </c>
      <c r="F4489" s="113" t="s">
        <v>906</v>
      </c>
    </row>
    <row r="4490" spans="1:6" ht="14.25" customHeight="1">
      <c r="A4490" s="286" t="s">
        <v>833</v>
      </c>
      <c r="B4490" s="286">
        <v>2023</v>
      </c>
      <c r="C4490" s="286" t="s">
        <v>859</v>
      </c>
      <c r="D4490" s="286" t="s">
        <v>1000</v>
      </c>
      <c r="E4490" s="287">
        <v>107</v>
      </c>
      <c r="F4490" s="113" t="s">
        <v>906</v>
      </c>
    </row>
    <row r="4491" spans="1:6" ht="14.25" customHeight="1">
      <c r="A4491" s="286" t="s">
        <v>833</v>
      </c>
      <c r="B4491" s="286">
        <v>2023</v>
      </c>
      <c r="C4491" s="286" t="s">
        <v>859</v>
      </c>
      <c r="D4491" s="286" t="s">
        <v>1000</v>
      </c>
      <c r="E4491" s="286" t="s">
        <v>1124</v>
      </c>
      <c r="F4491" s="113" t="s">
        <v>483</v>
      </c>
    </row>
    <row r="4492" spans="1:6" ht="14.25" customHeight="1">
      <c r="A4492" s="286" t="s">
        <v>833</v>
      </c>
      <c r="B4492" s="286">
        <v>2023</v>
      </c>
      <c r="C4492" s="286" t="s">
        <v>859</v>
      </c>
      <c r="D4492" s="286" t="s">
        <v>1000</v>
      </c>
      <c r="E4492" s="286" t="s">
        <v>1384</v>
      </c>
      <c r="F4492" s="113" t="s">
        <v>663</v>
      </c>
    </row>
    <row r="4493" spans="1:6" ht="14.25" customHeight="1">
      <c r="A4493" s="286" t="s">
        <v>833</v>
      </c>
      <c r="B4493" s="286">
        <v>2023</v>
      </c>
      <c r="C4493" s="286" t="s">
        <v>859</v>
      </c>
      <c r="D4493" s="286" t="s">
        <v>1000</v>
      </c>
      <c r="E4493" s="287">
        <v>314</v>
      </c>
      <c r="F4493" s="113" t="s">
        <v>663</v>
      </c>
    </row>
    <row r="4494" spans="1:6" ht="14.25" customHeight="1">
      <c r="A4494" s="286" t="s">
        <v>833</v>
      </c>
      <c r="B4494" s="286">
        <v>2023</v>
      </c>
      <c r="C4494" s="286" t="s">
        <v>859</v>
      </c>
      <c r="D4494" s="286" t="s">
        <v>1000</v>
      </c>
      <c r="E4494" s="287">
        <v>408</v>
      </c>
      <c r="F4494" s="113" t="s">
        <v>783</v>
      </c>
    </row>
    <row r="4495" spans="1:6" ht="14.25" customHeight="1">
      <c r="A4495" s="286" t="s">
        <v>833</v>
      </c>
      <c r="B4495" s="286">
        <v>2023</v>
      </c>
      <c r="C4495" s="286" t="s">
        <v>859</v>
      </c>
      <c r="D4495" s="286" t="s">
        <v>1000</v>
      </c>
      <c r="E4495" s="286" t="s">
        <v>2</v>
      </c>
      <c r="F4495" s="284" t="s">
        <v>1144</v>
      </c>
    </row>
    <row r="4496" spans="1:6" ht="14.25" customHeight="1">
      <c r="A4496" s="286" t="s">
        <v>833</v>
      </c>
      <c r="B4496" s="286">
        <v>2023</v>
      </c>
      <c r="C4496" s="286" t="s">
        <v>859</v>
      </c>
      <c r="D4496" s="286" t="s">
        <v>1000</v>
      </c>
      <c r="E4496" s="286" t="s">
        <v>2</v>
      </c>
      <c r="F4496" s="284" t="s">
        <v>1144</v>
      </c>
    </row>
    <row r="4497" spans="1:6" ht="14.25" customHeight="1">
      <c r="A4497" s="286" t="s">
        <v>833</v>
      </c>
      <c r="B4497" s="286">
        <v>2023</v>
      </c>
      <c r="C4497" s="286" t="s">
        <v>859</v>
      </c>
      <c r="D4497" s="286" t="s">
        <v>1000</v>
      </c>
      <c r="E4497" s="286" t="s">
        <v>2</v>
      </c>
      <c r="F4497" s="284" t="s">
        <v>1144</v>
      </c>
    </row>
    <row r="4498" spans="1:6" ht="14.25" customHeight="1">
      <c r="A4498" s="286" t="s">
        <v>833</v>
      </c>
      <c r="B4498" s="286">
        <v>2023</v>
      </c>
      <c r="C4498" s="286" t="s">
        <v>859</v>
      </c>
      <c r="D4498" s="286" t="s">
        <v>1000</v>
      </c>
      <c r="E4498" s="286" t="s">
        <v>2</v>
      </c>
      <c r="F4498" s="284" t="s">
        <v>1144</v>
      </c>
    </row>
    <row r="4499" spans="1:6" ht="14.25" customHeight="1">
      <c r="A4499" s="286" t="s">
        <v>833</v>
      </c>
      <c r="B4499" s="286">
        <v>2023</v>
      </c>
      <c r="C4499" s="286" t="s">
        <v>859</v>
      </c>
      <c r="D4499" s="286" t="s">
        <v>1000</v>
      </c>
      <c r="E4499" s="286" t="s">
        <v>2</v>
      </c>
      <c r="F4499" s="284" t="s">
        <v>1144</v>
      </c>
    </row>
    <row r="4500" spans="1:6" ht="14.25" customHeight="1">
      <c r="A4500" s="286" t="s">
        <v>833</v>
      </c>
      <c r="B4500" s="286">
        <v>2023</v>
      </c>
      <c r="C4500" s="286" t="s">
        <v>859</v>
      </c>
      <c r="D4500" s="286" t="s">
        <v>1000</v>
      </c>
      <c r="E4500" s="286" t="s">
        <v>2</v>
      </c>
      <c r="F4500" s="284" t="s">
        <v>1144</v>
      </c>
    </row>
    <row r="4501" spans="1:6" ht="14.25" customHeight="1">
      <c r="A4501" s="286" t="s">
        <v>833</v>
      </c>
      <c r="B4501" s="286">
        <v>2023</v>
      </c>
      <c r="C4501" s="286" t="s">
        <v>859</v>
      </c>
      <c r="D4501" s="286" t="s">
        <v>1000</v>
      </c>
      <c r="E4501" s="286" t="s">
        <v>2</v>
      </c>
      <c r="F4501" s="284" t="s">
        <v>1144</v>
      </c>
    </row>
    <row r="4502" spans="1:6" ht="14.25" customHeight="1">
      <c r="A4502" s="286" t="s">
        <v>833</v>
      </c>
      <c r="B4502" s="286">
        <v>2023</v>
      </c>
      <c r="C4502" s="286" t="s">
        <v>859</v>
      </c>
      <c r="D4502" s="286" t="s">
        <v>1000</v>
      </c>
      <c r="E4502" s="286" t="s">
        <v>2</v>
      </c>
      <c r="F4502" s="284" t="s">
        <v>1144</v>
      </c>
    </row>
    <row r="4503" spans="1:6" ht="14.25" customHeight="1">
      <c r="A4503" s="286" t="s">
        <v>833</v>
      </c>
      <c r="B4503" s="286">
        <v>2023</v>
      </c>
      <c r="C4503" s="286" t="s">
        <v>859</v>
      </c>
      <c r="D4503" s="286" t="s">
        <v>1000</v>
      </c>
      <c r="E4503" s="286" t="s">
        <v>2</v>
      </c>
      <c r="F4503" s="284" t="s">
        <v>1144</v>
      </c>
    </row>
    <row r="4504" spans="1:6" ht="14.25" customHeight="1">
      <c r="A4504" s="286" t="s">
        <v>833</v>
      </c>
      <c r="B4504" s="286">
        <v>2023</v>
      </c>
      <c r="C4504" s="286" t="s">
        <v>859</v>
      </c>
      <c r="D4504" s="286" t="s">
        <v>1000</v>
      </c>
      <c r="E4504" s="286" t="s">
        <v>2</v>
      </c>
      <c r="F4504" s="284" t="s">
        <v>1144</v>
      </c>
    </row>
    <row r="4505" spans="1:6" ht="14.25" customHeight="1">
      <c r="A4505" s="286" t="s">
        <v>833</v>
      </c>
      <c r="B4505" s="286">
        <v>2023</v>
      </c>
      <c r="C4505" s="286" t="s">
        <v>859</v>
      </c>
      <c r="D4505" s="286" t="s">
        <v>1000</v>
      </c>
      <c r="E4505" s="286" t="s">
        <v>2</v>
      </c>
      <c r="F4505" s="284" t="s">
        <v>1144</v>
      </c>
    </row>
    <row r="4506" spans="1:6" ht="14.25" customHeight="1">
      <c r="A4506" s="286" t="s">
        <v>833</v>
      </c>
      <c r="B4506" s="286">
        <v>2023</v>
      </c>
      <c r="C4506" s="286" t="s">
        <v>859</v>
      </c>
      <c r="D4506" s="286" t="s">
        <v>1000</v>
      </c>
      <c r="E4506" s="286" t="s">
        <v>2</v>
      </c>
      <c r="F4506" s="284" t="s">
        <v>1144</v>
      </c>
    </row>
    <row r="4507" spans="1:6" ht="14.25" customHeight="1">
      <c r="A4507" s="286" t="s">
        <v>833</v>
      </c>
      <c r="B4507" s="286">
        <v>2023</v>
      </c>
      <c r="C4507" s="286" t="s">
        <v>859</v>
      </c>
      <c r="D4507" s="286" t="s">
        <v>1000</v>
      </c>
      <c r="E4507" s="286" t="s">
        <v>2</v>
      </c>
      <c r="F4507" s="284" t="s">
        <v>1144</v>
      </c>
    </row>
    <row r="4508" spans="1:6" ht="14.25" customHeight="1">
      <c r="A4508" s="286" t="s">
        <v>833</v>
      </c>
      <c r="B4508" s="286">
        <v>2023</v>
      </c>
      <c r="C4508" s="286" t="s">
        <v>859</v>
      </c>
      <c r="D4508" s="286" t="s">
        <v>1000</v>
      </c>
      <c r="E4508" s="286" t="s">
        <v>2</v>
      </c>
      <c r="F4508" s="284" t="s">
        <v>1144</v>
      </c>
    </row>
    <row r="4509" spans="1:6" ht="14.25" customHeight="1">
      <c r="A4509" s="286" t="s">
        <v>833</v>
      </c>
      <c r="B4509" s="286">
        <v>2023</v>
      </c>
      <c r="C4509" s="286" t="s">
        <v>859</v>
      </c>
      <c r="D4509" s="286" t="s">
        <v>1000</v>
      </c>
      <c r="E4509" s="286" t="s">
        <v>2</v>
      </c>
      <c r="F4509" s="284" t="s">
        <v>1144</v>
      </c>
    </row>
    <row r="4510" spans="1:6" ht="14.25" customHeight="1">
      <c r="A4510" s="286" t="s">
        <v>833</v>
      </c>
      <c r="B4510" s="286">
        <v>2023</v>
      </c>
      <c r="C4510" s="286" t="s">
        <v>859</v>
      </c>
      <c r="D4510" s="286" t="s">
        <v>1000</v>
      </c>
      <c r="E4510" s="286" t="s">
        <v>2</v>
      </c>
      <c r="F4510" s="284" t="s">
        <v>1144</v>
      </c>
    </row>
    <row r="4511" spans="1:6" ht="14.25" customHeight="1">
      <c r="A4511" s="286" t="s">
        <v>833</v>
      </c>
      <c r="B4511" s="286">
        <v>2023</v>
      </c>
      <c r="C4511" s="286" t="s">
        <v>859</v>
      </c>
      <c r="D4511" s="286" t="s">
        <v>1000</v>
      </c>
      <c r="E4511" s="286" t="s">
        <v>2</v>
      </c>
      <c r="F4511" s="284" t="s">
        <v>1144</v>
      </c>
    </row>
    <row r="4512" spans="1:6" ht="14.25" customHeight="1">
      <c r="A4512" s="286" t="s">
        <v>833</v>
      </c>
      <c r="B4512" s="286">
        <v>2023</v>
      </c>
      <c r="C4512" s="286" t="s">
        <v>859</v>
      </c>
      <c r="D4512" s="286" t="s">
        <v>1000</v>
      </c>
      <c r="E4512" s="286" t="s">
        <v>2</v>
      </c>
      <c r="F4512" s="284" t="s">
        <v>1144</v>
      </c>
    </row>
    <row r="4513" spans="1:6" ht="14.25" customHeight="1">
      <c r="A4513" s="286" t="s">
        <v>833</v>
      </c>
      <c r="B4513" s="286">
        <v>2023</v>
      </c>
      <c r="C4513" s="286" t="s">
        <v>859</v>
      </c>
      <c r="D4513" s="286" t="s">
        <v>1000</v>
      </c>
      <c r="E4513" s="286" t="s">
        <v>2</v>
      </c>
      <c r="F4513" s="284" t="s">
        <v>1144</v>
      </c>
    </row>
    <row r="4514" spans="1:6" ht="14.25" customHeight="1">
      <c r="A4514" s="286" t="s">
        <v>833</v>
      </c>
      <c r="B4514" s="286">
        <v>2023</v>
      </c>
      <c r="C4514" s="286" t="s">
        <v>859</v>
      </c>
      <c r="D4514" s="286" t="s">
        <v>1000</v>
      </c>
      <c r="E4514" s="286" t="s">
        <v>2</v>
      </c>
      <c r="F4514" s="284" t="s">
        <v>1144</v>
      </c>
    </row>
    <row r="4515" spans="1:6" ht="14.25" customHeight="1">
      <c r="A4515" s="286" t="s">
        <v>833</v>
      </c>
      <c r="B4515" s="286">
        <v>2023</v>
      </c>
      <c r="C4515" s="286" t="s">
        <v>859</v>
      </c>
      <c r="D4515" s="286" t="s">
        <v>1000</v>
      </c>
      <c r="E4515" s="286" t="s">
        <v>2</v>
      </c>
      <c r="F4515" s="284" t="s">
        <v>1144</v>
      </c>
    </row>
    <row r="4516" spans="1:6" ht="14.25" customHeight="1">
      <c r="A4516" s="286" t="s">
        <v>833</v>
      </c>
      <c r="B4516" s="286">
        <v>2023</v>
      </c>
      <c r="C4516" s="286" t="s">
        <v>859</v>
      </c>
      <c r="D4516" s="286" t="s">
        <v>1000</v>
      </c>
      <c r="E4516" s="286" t="s">
        <v>2</v>
      </c>
      <c r="F4516" s="284" t="s">
        <v>1144</v>
      </c>
    </row>
    <row r="4517" spans="1:6" ht="14.25" customHeight="1">
      <c r="A4517" s="286" t="s">
        <v>833</v>
      </c>
      <c r="B4517" s="286">
        <v>2023</v>
      </c>
      <c r="C4517" s="286" t="s">
        <v>859</v>
      </c>
      <c r="D4517" s="286" t="s">
        <v>998</v>
      </c>
      <c r="E4517" s="287">
        <v>712</v>
      </c>
      <c r="F4517" s="113" t="s">
        <v>922</v>
      </c>
    </row>
    <row r="4518" spans="1:6" ht="14.25" customHeight="1">
      <c r="A4518" s="286" t="s">
        <v>833</v>
      </c>
      <c r="B4518" s="286">
        <v>2023</v>
      </c>
      <c r="C4518" s="286" t="s">
        <v>859</v>
      </c>
      <c r="D4518" s="286" t="s">
        <v>1208</v>
      </c>
      <c r="E4518" s="286" t="s">
        <v>946</v>
      </c>
      <c r="F4518" s="286" t="s">
        <v>1385</v>
      </c>
    </row>
    <row r="4519" spans="1:6" ht="14.25" customHeight="1">
      <c r="A4519" s="286" t="s">
        <v>833</v>
      </c>
      <c r="B4519" s="286">
        <v>2023</v>
      </c>
      <c r="C4519" s="286" t="s">
        <v>859</v>
      </c>
      <c r="D4519" s="286" t="s">
        <v>1208</v>
      </c>
      <c r="E4519" s="286" t="s">
        <v>1019</v>
      </c>
      <c r="F4519" s="113" t="s">
        <v>922</v>
      </c>
    </row>
    <row r="4520" spans="1:6" ht="14.25" customHeight="1">
      <c r="A4520" s="286" t="s">
        <v>833</v>
      </c>
      <c r="B4520" s="286">
        <v>2023</v>
      </c>
      <c r="C4520" s="286" t="s">
        <v>1024</v>
      </c>
      <c r="D4520" s="286" t="s">
        <v>1025</v>
      </c>
      <c r="E4520" s="286" t="s">
        <v>1386</v>
      </c>
      <c r="F4520" s="113" t="s">
        <v>483</v>
      </c>
    </row>
    <row r="4521" spans="1:6" ht="14.25" customHeight="1">
      <c r="A4521" s="286" t="s">
        <v>833</v>
      </c>
      <c r="B4521" s="286">
        <v>2023</v>
      </c>
      <c r="C4521" s="286" t="s">
        <v>1024</v>
      </c>
      <c r="D4521" s="286" t="s">
        <v>1025</v>
      </c>
      <c r="E4521" s="286" t="s">
        <v>1387</v>
      </c>
      <c r="F4521" s="113" t="s">
        <v>783</v>
      </c>
    </row>
    <row r="4522" spans="1:6" ht="14.25" customHeight="1">
      <c r="A4522" s="286" t="s">
        <v>833</v>
      </c>
      <c r="B4522" s="286">
        <v>2023</v>
      </c>
      <c r="C4522" s="286" t="s">
        <v>1024</v>
      </c>
      <c r="D4522" s="286" t="s">
        <v>1025</v>
      </c>
      <c r="E4522" s="286" t="s">
        <v>1388</v>
      </c>
      <c r="F4522" s="113" t="s">
        <v>935</v>
      </c>
    </row>
    <row r="4523" spans="1:6" ht="14.25" customHeight="1">
      <c r="A4523" s="286" t="s">
        <v>833</v>
      </c>
      <c r="B4523" s="286">
        <v>2023</v>
      </c>
      <c r="C4523" s="286" t="s">
        <v>1024</v>
      </c>
      <c r="D4523" s="286" t="s">
        <v>1025</v>
      </c>
      <c r="E4523" s="286" t="s">
        <v>1388</v>
      </c>
      <c r="F4523" s="113" t="s">
        <v>935</v>
      </c>
    </row>
    <row r="4524" spans="1:6" ht="14.25" customHeight="1">
      <c r="A4524" s="286" t="s">
        <v>833</v>
      </c>
      <c r="B4524" s="286">
        <v>2023</v>
      </c>
      <c r="C4524" s="286" t="s">
        <v>1024</v>
      </c>
      <c r="D4524" s="286" t="s">
        <v>1025</v>
      </c>
      <c r="E4524" s="287">
        <v>701</v>
      </c>
      <c r="F4524" s="113" t="s">
        <v>922</v>
      </c>
    </row>
    <row r="4525" spans="1:6" ht="14.25" customHeight="1">
      <c r="A4525" s="286" t="s">
        <v>833</v>
      </c>
      <c r="B4525" s="286">
        <v>2023</v>
      </c>
      <c r="C4525" s="286" t="s">
        <v>1024</v>
      </c>
      <c r="D4525" s="286" t="s">
        <v>1027</v>
      </c>
      <c r="E4525" s="286" t="s">
        <v>1041</v>
      </c>
      <c r="F4525" s="113" t="s">
        <v>906</v>
      </c>
    </row>
    <row r="4526" spans="1:6" ht="14.25" customHeight="1">
      <c r="A4526" s="286" t="s">
        <v>833</v>
      </c>
      <c r="B4526" s="286">
        <v>2023</v>
      </c>
      <c r="C4526" s="286" t="s">
        <v>1024</v>
      </c>
      <c r="D4526" s="286" t="s">
        <v>1027</v>
      </c>
      <c r="E4526" s="286" t="s">
        <v>2</v>
      </c>
      <c r="F4526" s="113" t="s">
        <v>913</v>
      </c>
    </row>
    <row r="4527" spans="1:6" ht="14.25" customHeight="1">
      <c r="A4527" s="286" t="s">
        <v>833</v>
      </c>
      <c r="B4527" s="286">
        <v>2023</v>
      </c>
      <c r="C4527" s="286" t="s">
        <v>1024</v>
      </c>
      <c r="D4527" s="286" t="s">
        <v>1027</v>
      </c>
      <c r="E4527" s="286" t="s">
        <v>1389</v>
      </c>
      <c r="F4527" s="113" t="s">
        <v>918</v>
      </c>
    </row>
    <row r="4528" spans="1:6" ht="14.25" customHeight="1">
      <c r="A4528" s="286" t="s">
        <v>833</v>
      </c>
      <c r="B4528" s="286">
        <v>2023</v>
      </c>
      <c r="C4528" s="286" t="s">
        <v>1024</v>
      </c>
      <c r="D4528" s="286" t="s">
        <v>1027</v>
      </c>
      <c r="E4528" s="286" t="s">
        <v>1389</v>
      </c>
      <c r="F4528" s="113" t="s">
        <v>918</v>
      </c>
    </row>
    <row r="4529" spans="1:6" ht="14.25" customHeight="1">
      <c r="A4529" s="286" t="s">
        <v>833</v>
      </c>
      <c r="B4529" s="286">
        <v>2023</v>
      </c>
      <c r="C4529" s="286" t="s">
        <v>1024</v>
      </c>
      <c r="D4529" s="286" t="s">
        <v>1027</v>
      </c>
      <c r="E4529" s="286" t="s">
        <v>1389</v>
      </c>
      <c r="F4529" s="113" t="s">
        <v>918</v>
      </c>
    </row>
    <row r="4530" spans="1:6" ht="14.25" customHeight="1">
      <c r="A4530" s="286" t="s">
        <v>833</v>
      </c>
      <c r="B4530" s="286">
        <v>2023</v>
      </c>
      <c r="C4530" s="286" t="s">
        <v>1024</v>
      </c>
      <c r="D4530" s="286" t="s">
        <v>1027</v>
      </c>
      <c r="E4530" s="286" t="s">
        <v>1389</v>
      </c>
      <c r="F4530" s="113" t="s">
        <v>918</v>
      </c>
    </row>
    <row r="4531" spans="1:6" ht="14.25" customHeight="1">
      <c r="A4531" s="286" t="s">
        <v>833</v>
      </c>
      <c r="B4531" s="286">
        <v>2023</v>
      </c>
      <c r="C4531" s="286" t="s">
        <v>1024</v>
      </c>
      <c r="D4531" s="286" t="s">
        <v>1027</v>
      </c>
      <c r="E4531" s="286" t="s">
        <v>1390</v>
      </c>
      <c r="F4531" s="113" t="s">
        <v>918</v>
      </c>
    </row>
    <row r="4532" spans="1:6" ht="14.25" customHeight="1">
      <c r="A4532" s="286" t="s">
        <v>833</v>
      </c>
      <c r="B4532" s="286">
        <v>2023</v>
      </c>
      <c r="C4532" s="286" t="s">
        <v>1024</v>
      </c>
      <c r="D4532" s="286" t="s">
        <v>1027</v>
      </c>
      <c r="E4532" s="286" t="s">
        <v>1391</v>
      </c>
      <c r="F4532" s="113" t="s">
        <v>917</v>
      </c>
    </row>
    <row r="4533" spans="1:6" ht="14.25" customHeight="1">
      <c r="A4533" s="286" t="s">
        <v>833</v>
      </c>
      <c r="B4533" s="286">
        <v>2023</v>
      </c>
      <c r="C4533" s="286" t="s">
        <v>1024</v>
      </c>
      <c r="D4533" s="286" t="s">
        <v>1027</v>
      </c>
      <c r="E4533" s="286" t="s">
        <v>1392</v>
      </c>
      <c r="F4533" s="113" t="s">
        <v>917</v>
      </c>
    </row>
    <row r="4534" spans="1:6" ht="14.25" customHeight="1">
      <c r="A4534" s="286" t="s">
        <v>833</v>
      </c>
      <c r="B4534" s="286">
        <v>2023</v>
      </c>
      <c r="C4534" s="286" t="s">
        <v>1024</v>
      </c>
      <c r="D4534" s="286" t="s">
        <v>1027</v>
      </c>
      <c r="E4534" s="286" t="s">
        <v>949</v>
      </c>
      <c r="F4534" s="286" t="s">
        <v>924</v>
      </c>
    </row>
    <row r="4535" spans="1:6" ht="14.25" customHeight="1">
      <c r="A4535" s="286" t="s">
        <v>833</v>
      </c>
      <c r="B4535" s="286">
        <v>2023</v>
      </c>
      <c r="C4535" s="286" t="s">
        <v>1024</v>
      </c>
      <c r="D4535" s="286" t="s">
        <v>1027</v>
      </c>
      <c r="E4535" s="286" t="s">
        <v>1393</v>
      </c>
      <c r="F4535" s="286" t="s">
        <v>924</v>
      </c>
    </row>
    <row r="4536" spans="1:6" ht="14.25" customHeight="1">
      <c r="A4536" s="286" t="s">
        <v>833</v>
      </c>
      <c r="B4536" s="286">
        <v>2023</v>
      </c>
      <c r="C4536" s="286" t="s">
        <v>1024</v>
      </c>
      <c r="D4536" s="286" t="s">
        <v>1027</v>
      </c>
      <c r="E4536" s="286" t="s">
        <v>1190</v>
      </c>
      <c r="F4536" s="286" t="s">
        <v>924</v>
      </c>
    </row>
    <row r="4537" spans="1:6" ht="14.25" customHeight="1">
      <c r="A4537" s="286" t="s">
        <v>833</v>
      </c>
      <c r="B4537" s="286">
        <v>2023</v>
      </c>
      <c r="C4537" s="286" t="s">
        <v>1024</v>
      </c>
      <c r="D4537" s="286" t="s">
        <v>1027</v>
      </c>
      <c r="E4537" s="286" t="s">
        <v>1167</v>
      </c>
      <c r="F4537" s="286" t="s">
        <v>924</v>
      </c>
    </row>
    <row r="4538" spans="1:6" ht="14.25" customHeight="1">
      <c r="A4538" s="286" t="s">
        <v>833</v>
      </c>
      <c r="B4538" s="286">
        <v>2023</v>
      </c>
      <c r="C4538" s="286" t="s">
        <v>1024</v>
      </c>
      <c r="D4538" s="286" t="s">
        <v>1027</v>
      </c>
      <c r="E4538" s="286" t="s">
        <v>1394</v>
      </c>
      <c r="F4538" s="113" t="s">
        <v>922</v>
      </c>
    </row>
    <row r="4539" spans="1:6" ht="14.25" customHeight="1">
      <c r="A4539" s="286" t="s">
        <v>833</v>
      </c>
      <c r="B4539" s="286">
        <v>2023</v>
      </c>
      <c r="C4539" s="286" t="s">
        <v>1024</v>
      </c>
      <c r="D4539" s="286" t="s">
        <v>1026</v>
      </c>
      <c r="E4539" s="286" t="s">
        <v>1395</v>
      </c>
      <c r="F4539" s="113" t="s">
        <v>909</v>
      </c>
    </row>
    <row r="4540" spans="1:6" ht="14.25" customHeight="1">
      <c r="A4540" s="286" t="s">
        <v>834</v>
      </c>
      <c r="B4540" s="286">
        <v>2023</v>
      </c>
      <c r="C4540" s="286" t="s">
        <v>821</v>
      </c>
      <c r="D4540" s="286" t="s">
        <v>132</v>
      </c>
      <c r="E4540" s="286" t="s">
        <v>1041</v>
      </c>
      <c r="F4540" s="113" t="s">
        <v>906</v>
      </c>
    </row>
    <row r="4541" spans="1:6" ht="14.25" customHeight="1">
      <c r="A4541" s="286" t="s">
        <v>834</v>
      </c>
      <c r="B4541" s="286">
        <v>2023</v>
      </c>
      <c r="C4541" s="286" t="s">
        <v>821</v>
      </c>
      <c r="D4541" s="286" t="s">
        <v>132</v>
      </c>
      <c r="E4541" s="286" t="s">
        <v>953</v>
      </c>
      <c r="F4541" s="113" t="s">
        <v>906</v>
      </c>
    </row>
    <row r="4542" spans="1:6" ht="14.25" customHeight="1">
      <c r="A4542" s="286" t="s">
        <v>834</v>
      </c>
      <c r="B4542" s="286">
        <v>2023</v>
      </c>
      <c r="C4542" s="286" t="s">
        <v>821</v>
      </c>
      <c r="D4542" s="286" t="s">
        <v>132</v>
      </c>
      <c r="E4542" s="286" t="s">
        <v>1396</v>
      </c>
      <c r="F4542" s="113" t="s">
        <v>909</v>
      </c>
    </row>
    <row r="4543" spans="1:6" ht="14.25" customHeight="1">
      <c r="A4543" s="286" t="s">
        <v>834</v>
      </c>
      <c r="B4543" s="286">
        <v>2023</v>
      </c>
      <c r="C4543" s="286" t="s">
        <v>821</v>
      </c>
      <c r="D4543" s="286" t="s">
        <v>132</v>
      </c>
      <c r="E4543" s="286" t="s">
        <v>1396</v>
      </c>
      <c r="F4543" s="113" t="s">
        <v>909</v>
      </c>
    </row>
    <row r="4544" spans="1:6" ht="14.25" customHeight="1">
      <c r="A4544" s="286" t="s">
        <v>834</v>
      </c>
      <c r="B4544" s="286">
        <v>2023</v>
      </c>
      <c r="C4544" s="286" t="s">
        <v>821</v>
      </c>
      <c r="D4544" s="286" t="s">
        <v>132</v>
      </c>
      <c r="E4544" s="286" t="s">
        <v>1396</v>
      </c>
      <c r="F4544" s="113" t="s">
        <v>909</v>
      </c>
    </row>
    <row r="4545" spans="1:6" ht="14.25" customHeight="1">
      <c r="A4545" s="286" t="s">
        <v>834</v>
      </c>
      <c r="B4545" s="286">
        <v>2023</v>
      </c>
      <c r="C4545" s="286" t="s">
        <v>821</v>
      </c>
      <c r="D4545" s="286" t="s">
        <v>132</v>
      </c>
      <c r="E4545" s="286" t="s">
        <v>1396</v>
      </c>
      <c r="F4545" s="113" t="s">
        <v>909</v>
      </c>
    </row>
    <row r="4546" spans="1:6" ht="14.25" customHeight="1">
      <c r="A4546" s="286" t="s">
        <v>834</v>
      </c>
      <c r="B4546" s="286">
        <v>2023</v>
      </c>
      <c r="C4546" s="286" t="s">
        <v>821</v>
      </c>
      <c r="D4546" s="286" t="s">
        <v>132</v>
      </c>
      <c r="E4546" s="286" t="s">
        <v>1396</v>
      </c>
      <c r="F4546" s="113" t="s">
        <v>909</v>
      </c>
    </row>
    <row r="4547" spans="1:6" ht="14.25" customHeight="1">
      <c r="A4547" s="286" t="s">
        <v>834</v>
      </c>
      <c r="B4547" s="286">
        <v>2023</v>
      </c>
      <c r="C4547" s="286" t="s">
        <v>821</v>
      </c>
      <c r="D4547" s="286" t="s">
        <v>132</v>
      </c>
      <c r="E4547" s="286" t="s">
        <v>1396</v>
      </c>
      <c r="F4547" s="113" t="s">
        <v>909</v>
      </c>
    </row>
    <row r="4548" spans="1:6" ht="14.25" customHeight="1">
      <c r="A4548" s="286" t="s">
        <v>834</v>
      </c>
      <c r="B4548" s="286">
        <v>2023</v>
      </c>
      <c r="C4548" s="286" t="s">
        <v>821</v>
      </c>
      <c r="D4548" s="286" t="s">
        <v>132</v>
      </c>
      <c r="E4548" s="286" t="s">
        <v>1396</v>
      </c>
      <c r="F4548" s="113" t="s">
        <v>909</v>
      </c>
    </row>
    <row r="4549" spans="1:6" ht="14.25" customHeight="1">
      <c r="A4549" s="286" t="s">
        <v>834</v>
      </c>
      <c r="B4549" s="286">
        <v>2023</v>
      </c>
      <c r="C4549" s="286" t="s">
        <v>821</v>
      </c>
      <c r="D4549" s="286" t="s">
        <v>132</v>
      </c>
      <c r="E4549" s="286" t="s">
        <v>1396</v>
      </c>
      <c r="F4549" s="113" t="s">
        <v>909</v>
      </c>
    </row>
    <row r="4550" spans="1:6" ht="14.25" customHeight="1">
      <c r="A4550" s="286" t="s">
        <v>834</v>
      </c>
      <c r="B4550" s="286">
        <v>2023</v>
      </c>
      <c r="C4550" s="286" t="s">
        <v>821</v>
      </c>
      <c r="D4550" s="286" t="s">
        <v>132</v>
      </c>
      <c r="E4550" s="286" t="s">
        <v>977</v>
      </c>
      <c r="F4550" s="113" t="s">
        <v>483</v>
      </c>
    </row>
    <row r="4551" spans="1:6" ht="14.25" customHeight="1">
      <c r="A4551" s="286" t="s">
        <v>834</v>
      </c>
      <c r="B4551" s="286">
        <v>2023</v>
      </c>
      <c r="C4551" s="286" t="s">
        <v>821</v>
      </c>
      <c r="D4551" s="286" t="s">
        <v>132</v>
      </c>
      <c r="E4551" s="286" t="s">
        <v>1130</v>
      </c>
      <c r="F4551" s="113" t="s">
        <v>483</v>
      </c>
    </row>
    <row r="4552" spans="1:6" ht="14.25" customHeight="1">
      <c r="A4552" s="286" t="s">
        <v>834</v>
      </c>
      <c r="B4552" s="286">
        <v>2023</v>
      </c>
      <c r="C4552" s="286" t="s">
        <v>821</v>
      </c>
      <c r="D4552" s="286" t="s">
        <v>132</v>
      </c>
      <c r="E4552" s="286" t="s">
        <v>978</v>
      </c>
      <c r="F4552" s="113" t="s">
        <v>483</v>
      </c>
    </row>
    <row r="4553" spans="1:6" ht="14.25" customHeight="1">
      <c r="A4553" s="286" t="s">
        <v>834</v>
      </c>
      <c r="B4553" s="286">
        <v>2023</v>
      </c>
      <c r="C4553" s="286" t="s">
        <v>821</v>
      </c>
      <c r="D4553" s="286" t="s">
        <v>132</v>
      </c>
      <c r="E4553" s="286" t="s">
        <v>1003</v>
      </c>
      <c r="F4553" s="113" t="s">
        <v>483</v>
      </c>
    </row>
    <row r="4554" spans="1:6" ht="14.25" customHeight="1">
      <c r="A4554" s="286" t="s">
        <v>834</v>
      </c>
      <c r="B4554" s="286">
        <v>2023</v>
      </c>
      <c r="C4554" s="286" t="s">
        <v>821</v>
      </c>
      <c r="D4554" s="286" t="s">
        <v>132</v>
      </c>
      <c r="E4554" s="286" t="s">
        <v>1156</v>
      </c>
      <c r="F4554" s="113" t="s">
        <v>483</v>
      </c>
    </row>
    <row r="4555" spans="1:6" ht="14.25" customHeight="1">
      <c r="A4555" s="286" t="s">
        <v>834</v>
      </c>
      <c r="B4555" s="286">
        <v>2023</v>
      </c>
      <c r="C4555" s="286" t="s">
        <v>821</v>
      </c>
      <c r="D4555" s="286" t="s">
        <v>132</v>
      </c>
      <c r="E4555" s="286" t="s">
        <v>2</v>
      </c>
      <c r="F4555" s="113" t="s">
        <v>663</v>
      </c>
    </row>
    <row r="4556" spans="1:6" ht="14.25" customHeight="1">
      <c r="A4556" s="286" t="s">
        <v>834</v>
      </c>
      <c r="B4556" s="286">
        <v>2023</v>
      </c>
      <c r="C4556" s="286" t="s">
        <v>821</v>
      </c>
      <c r="D4556" s="286" t="s">
        <v>132</v>
      </c>
      <c r="E4556" s="286" t="s">
        <v>1397</v>
      </c>
      <c r="F4556" s="113" t="s">
        <v>663</v>
      </c>
    </row>
    <row r="4557" spans="1:6" ht="14.25" customHeight="1">
      <c r="A4557" s="286" t="s">
        <v>834</v>
      </c>
      <c r="B4557" s="286">
        <v>2023</v>
      </c>
      <c r="C4557" s="286" t="s">
        <v>821</v>
      </c>
      <c r="D4557" s="286" t="s">
        <v>132</v>
      </c>
      <c r="E4557" s="286" t="s">
        <v>1397</v>
      </c>
      <c r="F4557" s="113" t="s">
        <v>663</v>
      </c>
    </row>
    <row r="4558" spans="1:6" ht="14.25" customHeight="1">
      <c r="A4558" s="286" t="s">
        <v>834</v>
      </c>
      <c r="B4558" s="286">
        <v>2023</v>
      </c>
      <c r="C4558" s="286" t="s">
        <v>821</v>
      </c>
      <c r="D4558" s="286" t="s">
        <v>132</v>
      </c>
      <c r="E4558" s="286" t="s">
        <v>967</v>
      </c>
      <c r="F4558" s="113" t="s">
        <v>915</v>
      </c>
    </row>
    <row r="4559" spans="1:6" ht="14.25" customHeight="1">
      <c r="A4559" s="286" t="s">
        <v>834</v>
      </c>
      <c r="B4559" s="286">
        <v>2023</v>
      </c>
      <c r="C4559" s="286" t="s">
        <v>821</v>
      </c>
      <c r="D4559" s="286" t="s">
        <v>132</v>
      </c>
      <c r="E4559" s="286" t="s">
        <v>970</v>
      </c>
      <c r="F4559" s="113" t="s">
        <v>915</v>
      </c>
    </row>
    <row r="4560" spans="1:6" ht="14.25" customHeight="1">
      <c r="A4560" s="286" t="s">
        <v>834</v>
      </c>
      <c r="B4560" s="286">
        <v>2023</v>
      </c>
      <c r="C4560" s="286" t="s">
        <v>821</v>
      </c>
      <c r="D4560" s="286" t="s">
        <v>132</v>
      </c>
      <c r="E4560" s="286" t="s">
        <v>1088</v>
      </c>
      <c r="F4560" s="113" t="s">
        <v>915</v>
      </c>
    </row>
    <row r="4561" spans="1:6" ht="14.25" customHeight="1">
      <c r="A4561" s="286" t="s">
        <v>834</v>
      </c>
      <c r="B4561" s="286">
        <v>2023</v>
      </c>
      <c r="C4561" s="286" t="s">
        <v>821</v>
      </c>
      <c r="D4561" s="286" t="s">
        <v>132</v>
      </c>
      <c r="E4561" s="286" t="s">
        <v>944</v>
      </c>
      <c r="F4561" s="113" t="s">
        <v>915</v>
      </c>
    </row>
    <row r="4562" spans="1:6" ht="14.25" customHeight="1">
      <c r="A4562" s="286" t="s">
        <v>834</v>
      </c>
      <c r="B4562" s="286">
        <v>2023</v>
      </c>
      <c r="C4562" s="286" t="s">
        <v>821</v>
      </c>
      <c r="D4562" s="286" t="s">
        <v>132</v>
      </c>
      <c r="E4562" s="286" t="s">
        <v>1094</v>
      </c>
      <c r="F4562" s="113" t="s">
        <v>918</v>
      </c>
    </row>
    <row r="4563" spans="1:6" ht="14.25" customHeight="1">
      <c r="A4563" s="286" t="s">
        <v>834</v>
      </c>
      <c r="B4563" s="286">
        <v>2023</v>
      </c>
      <c r="C4563" s="286" t="s">
        <v>821</v>
      </c>
      <c r="D4563" s="286" t="s">
        <v>132</v>
      </c>
      <c r="E4563" s="286" t="s">
        <v>1398</v>
      </c>
      <c r="F4563" s="113" t="s">
        <v>918</v>
      </c>
    </row>
    <row r="4564" spans="1:6" ht="14.25" customHeight="1">
      <c r="A4564" s="286" t="s">
        <v>834</v>
      </c>
      <c r="B4564" s="286">
        <v>2023</v>
      </c>
      <c r="C4564" s="286" t="s">
        <v>821</v>
      </c>
      <c r="D4564" s="286" t="s">
        <v>132</v>
      </c>
      <c r="E4564" s="286" t="s">
        <v>1399</v>
      </c>
      <c r="F4564" s="113" t="s">
        <v>918</v>
      </c>
    </row>
    <row r="4565" spans="1:6" ht="14.25" customHeight="1">
      <c r="A4565" s="286" t="s">
        <v>834</v>
      </c>
      <c r="B4565" s="286">
        <v>2023</v>
      </c>
      <c r="C4565" s="286" t="s">
        <v>821</v>
      </c>
      <c r="D4565" s="286" t="s">
        <v>132</v>
      </c>
      <c r="E4565" s="286" t="s">
        <v>1046</v>
      </c>
      <c r="F4565" s="113" t="s">
        <v>918</v>
      </c>
    </row>
    <row r="4566" spans="1:6" ht="14.25" customHeight="1">
      <c r="A4566" s="286" t="s">
        <v>834</v>
      </c>
      <c r="B4566" s="286">
        <v>2023</v>
      </c>
      <c r="C4566" s="286" t="s">
        <v>821</v>
      </c>
      <c r="D4566" s="286" t="s">
        <v>132</v>
      </c>
      <c r="E4566" s="286" t="s">
        <v>1119</v>
      </c>
      <c r="F4566" s="113" t="s">
        <v>918</v>
      </c>
    </row>
    <row r="4567" spans="1:6" ht="14.25" customHeight="1">
      <c r="A4567" s="286" t="s">
        <v>834</v>
      </c>
      <c r="B4567" s="286">
        <v>2023</v>
      </c>
      <c r="C4567" s="286" t="s">
        <v>821</v>
      </c>
      <c r="D4567" s="286" t="s">
        <v>132</v>
      </c>
      <c r="E4567" s="286" t="s">
        <v>1239</v>
      </c>
      <c r="F4567" s="113" t="s">
        <v>917</v>
      </c>
    </row>
    <row r="4568" spans="1:6" ht="14.25" customHeight="1">
      <c r="A4568" s="286" t="s">
        <v>834</v>
      </c>
      <c r="B4568" s="286">
        <v>2023</v>
      </c>
      <c r="C4568" s="286" t="s">
        <v>821</v>
      </c>
      <c r="D4568" s="286" t="s">
        <v>132</v>
      </c>
      <c r="E4568" s="286" t="s">
        <v>944</v>
      </c>
      <c r="F4568" s="113" t="s">
        <v>917</v>
      </c>
    </row>
    <row r="4569" spans="1:6" ht="14.25" customHeight="1">
      <c r="A4569" s="286" t="s">
        <v>834</v>
      </c>
      <c r="B4569" s="286">
        <v>2023</v>
      </c>
      <c r="C4569" s="286" t="s">
        <v>821</v>
      </c>
      <c r="D4569" s="286" t="s">
        <v>132</v>
      </c>
      <c r="E4569" s="286" t="s">
        <v>1047</v>
      </c>
      <c r="F4569" s="286" t="s">
        <v>924</v>
      </c>
    </row>
    <row r="4570" spans="1:6" ht="14.25" customHeight="1">
      <c r="A4570" s="286" t="s">
        <v>834</v>
      </c>
      <c r="B4570" s="286">
        <v>2023</v>
      </c>
      <c r="C4570" s="286" t="s">
        <v>821</v>
      </c>
      <c r="D4570" s="286" t="s">
        <v>132</v>
      </c>
      <c r="E4570" s="286" t="s">
        <v>949</v>
      </c>
      <c r="F4570" s="286" t="s">
        <v>924</v>
      </c>
    </row>
    <row r="4571" spans="1:6" ht="14.25" customHeight="1">
      <c r="A4571" s="286" t="s">
        <v>834</v>
      </c>
      <c r="B4571" s="286">
        <v>2023</v>
      </c>
      <c r="C4571" s="286" t="s">
        <v>821</v>
      </c>
      <c r="D4571" s="286" t="s">
        <v>132</v>
      </c>
      <c r="E4571" s="286" t="s">
        <v>946</v>
      </c>
      <c r="F4571" s="286" t="s">
        <v>924</v>
      </c>
    </row>
    <row r="4572" spans="1:6" ht="14.25" customHeight="1">
      <c r="A4572" s="286" t="s">
        <v>834</v>
      </c>
      <c r="B4572" s="286">
        <v>2023</v>
      </c>
      <c r="C4572" s="286" t="s">
        <v>821</v>
      </c>
      <c r="D4572" s="286" t="s">
        <v>132</v>
      </c>
      <c r="E4572" s="286" t="s">
        <v>1095</v>
      </c>
      <c r="F4572" s="286" t="s">
        <v>924</v>
      </c>
    </row>
    <row r="4573" spans="1:6" ht="14.25" customHeight="1">
      <c r="A4573" s="286" t="s">
        <v>834</v>
      </c>
      <c r="B4573" s="286">
        <v>2023</v>
      </c>
      <c r="C4573" s="286" t="s">
        <v>821</v>
      </c>
      <c r="D4573" s="286" t="s">
        <v>132</v>
      </c>
      <c r="E4573" s="286" t="s">
        <v>1051</v>
      </c>
      <c r="F4573" s="286" t="s">
        <v>924</v>
      </c>
    </row>
    <row r="4574" spans="1:6" ht="14.25" customHeight="1">
      <c r="A4574" s="286" t="s">
        <v>834</v>
      </c>
      <c r="B4574" s="286">
        <v>2023</v>
      </c>
      <c r="C4574" s="286" t="s">
        <v>821</v>
      </c>
      <c r="D4574" s="286" t="s">
        <v>132</v>
      </c>
      <c r="E4574" s="286" t="s">
        <v>1062</v>
      </c>
      <c r="F4574" s="113" t="s">
        <v>922</v>
      </c>
    </row>
    <row r="4575" spans="1:6" ht="14.25" customHeight="1">
      <c r="A4575" s="286" t="s">
        <v>834</v>
      </c>
      <c r="B4575" s="286">
        <v>2023</v>
      </c>
      <c r="C4575" s="286" t="s">
        <v>821</v>
      </c>
      <c r="D4575" s="286" t="s">
        <v>132</v>
      </c>
      <c r="E4575" s="286" t="s">
        <v>1019</v>
      </c>
      <c r="F4575" s="113" t="s">
        <v>922</v>
      </c>
    </row>
    <row r="4576" spans="1:6" ht="14.25" customHeight="1">
      <c r="A4576" s="286" t="s">
        <v>834</v>
      </c>
      <c r="B4576" s="286">
        <v>2023</v>
      </c>
      <c r="C4576" s="286" t="s">
        <v>821</v>
      </c>
      <c r="D4576" s="286" t="s">
        <v>132</v>
      </c>
      <c r="E4576" s="286" t="s">
        <v>1113</v>
      </c>
      <c r="F4576" s="113" t="s">
        <v>922</v>
      </c>
    </row>
    <row r="4577" spans="1:6" ht="14.25" customHeight="1">
      <c r="A4577" s="286" t="s">
        <v>834</v>
      </c>
      <c r="B4577" s="286">
        <v>2023</v>
      </c>
      <c r="C4577" s="286" t="s">
        <v>821</v>
      </c>
      <c r="D4577" s="286" t="s">
        <v>132</v>
      </c>
      <c r="E4577" s="286" t="s">
        <v>948</v>
      </c>
      <c r="F4577" s="113" t="s">
        <v>922</v>
      </c>
    </row>
    <row r="4578" spans="1:6" ht="14.25" customHeight="1">
      <c r="A4578" s="286" t="s">
        <v>834</v>
      </c>
      <c r="B4578" s="286">
        <v>2023</v>
      </c>
      <c r="C4578" s="286" t="s">
        <v>821</v>
      </c>
      <c r="D4578" s="286" t="s">
        <v>132</v>
      </c>
      <c r="E4578" s="286" t="s">
        <v>1059</v>
      </c>
      <c r="F4578" s="113" t="s">
        <v>922</v>
      </c>
    </row>
    <row r="4579" spans="1:6" ht="14.25" customHeight="1">
      <c r="A4579" s="286" t="s">
        <v>834</v>
      </c>
      <c r="B4579" s="286">
        <v>2023</v>
      </c>
      <c r="C4579" s="286" t="s">
        <v>821</v>
      </c>
      <c r="D4579" s="286" t="s">
        <v>132</v>
      </c>
      <c r="E4579" s="286" t="s">
        <v>1060</v>
      </c>
      <c r="F4579" s="113" t="s">
        <v>922</v>
      </c>
    </row>
    <row r="4580" spans="1:6" ht="14.25" customHeight="1">
      <c r="A4580" s="286" t="s">
        <v>834</v>
      </c>
      <c r="B4580" s="286">
        <v>2023</v>
      </c>
      <c r="C4580" s="286" t="s">
        <v>821</v>
      </c>
      <c r="D4580" s="286" t="s">
        <v>132</v>
      </c>
      <c r="E4580" s="286" t="s">
        <v>944</v>
      </c>
      <c r="F4580" s="113" t="s">
        <v>922</v>
      </c>
    </row>
    <row r="4581" spans="1:6" ht="14.25" customHeight="1">
      <c r="A4581" s="286" t="s">
        <v>834</v>
      </c>
      <c r="B4581" s="286">
        <v>2023</v>
      </c>
      <c r="C4581" s="286" t="s">
        <v>821</v>
      </c>
      <c r="D4581" s="286" t="s">
        <v>132</v>
      </c>
      <c r="E4581" s="286" t="s">
        <v>940</v>
      </c>
      <c r="F4581" s="113" t="s">
        <v>922</v>
      </c>
    </row>
    <row r="4582" spans="1:6" ht="14.25" customHeight="1">
      <c r="A4582" s="286" t="s">
        <v>834</v>
      </c>
      <c r="B4582" s="286">
        <v>2023</v>
      </c>
      <c r="C4582" s="286" t="s">
        <v>821</v>
      </c>
      <c r="D4582" s="286" t="s">
        <v>132</v>
      </c>
      <c r="E4582" s="286" t="s">
        <v>1100</v>
      </c>
      <c r="F4582" s="113" t="s">
        <v>935</v>
      </c>
    </row>
    <row r="4583" spans="1:6" ht="14.25" customHeight="1">
      <c r="A4583" s="286" t="s">
        <v>834</v>
      </c>
      <c r="B4583" s="286">
        <v>2023</v>
      </c>
      <c r="C4583" s="286" t="s">
        <v>821</v>
      </c>
      <c r="D4583" s="286" t="s">
        <v>132</v>
      </c>
      <c r="E4583" s="286" t="s">
        <v>989</v>
      </c>
      <c r="F4583" s="113" t="s">
        <v>935</v>
      </c>
    </row>
    <row r="4584" spans="1:6" ht="14.25" customHeight="1">
      <c r="A4584" s="286" t="s">
        <v>834</v>
      </c>
      <c r="B4584" s="286">
        <v>2023</v>
      </c>
      <c r="C4584" s="286" t="s">
        <v>821</v>
      </c>
      <c r="D4584" s="286" t="s">
        <v>132</v>
      </c>
      <c r="E4584" s="286" t="s">
        <v>1023</v>
      </c>
      <c r="F4584" s="113" t="s">
        <v>935</v>
      </c>
    </row>
    <row r="4585" spans="1:6" ht="14.25" customHeight="1">
      <c r="A4585" s="286" t="s">
        <v>834</v>
      </c>
      <c r="B4585" s="286">
        <v>2023</v>
      </c>
      <c r="C4585" s="286" t="s">
        <v>821</v>
      </c>
      <c r="D4585" s="286" t="s">
        <v>132</v>
      </c>
      <c r="E4585" s="286" t="s">
        <v>987</v>
      </c>
      <c r="F4585" s="113" t="s">
        <v>935</v>
      </c>
    </row>
    <row r="4586" spans="1:6" ht="14.25" customHeight="1">
      <c r="A4586" s="286" t="s">
        <v>834</v>
      </c>
      <c r="B4586" s="286">
        <v>2023</v>
      </c>
      <c r="C4586" s="286" t="s">
        <v>821</v>
      </c>
      <c r="D4586" s="286" t="s">
        <v>132</v>
      </c>
      <c r="E4586" s="286" t="s">
        <v>1030</v>
      </c>
      <c r="F4586" s="113" t="s">
        <v>935</v>
      </c>
    </row>
    <row r="4587" spans="1:6" ht="14.25" customHeight="1">
      <c r="A4587" s="286" t="s">
        <v>834</v>
      </c>
      <c r="B4587" s="286">
        <v>2023</v>
      </c>
      <c r="C4587" s="286" t="s">
        <v>821</v>
      </c>
      <c r="D4587" s="286" t="s">
        <v>132</v>
      </c>
      <c r="E4587" s="286" t="s">
        <v>997</v>
      </c>
      <c r="F4587" s="113" t="s">
        <v>935</v>
      </c>
    </row>
    <row r="4588" spans="1:6" ht="14.25" customHeight="1">
      <c r="A4588" s="286" t="s">
        <v>834</v>
      </c>
      <c r="B4588" s="286">
        <v>2023</v>
      </c>
      <c r="C4588" s="286" t="s">
        <v>821</v>
      </c>
      <c r="D4588" s="286" t="s">
        <v>132</v>
      </c>
      <c r="E4588" s="286" t="s">
        <v>944</v>
      </c>
      <c r="F4588" s="113" t="s">
        <v>935</v>
      </c>
    </row>
    <row r="4589" spans="1:6" ht="14.25" customHeight="1">
      <c r="A4589" s="286" t="s">
        <v>834</v>
      </c>
      <c r="B4589" s="286">
        <v>2023</v>
      </c>
      <c r="C4589" s="286" t="s">
        <v>821</v>
      </c>
      <c r="D4589" s="286" t="s">
        <v>132</v>
      </c>
      <c r="E4589" s="286" t="s">
        <v>2</v>
      </c>
      <c r="F4589" s="284" t="s">
        <v>1144</v>
      </c>
    </row>
    <row r="4590" spans="1:6" ht="14.25" customHeight="1">
      <c r="A4590" s="286" t="s">
        <v>834</v>
      </c>
      <c r="B4590" s="286">
        <v>2023</v>
      </c>
      <c r="C4590" s="286" t="s">
        <v>821</v>
      </c>
      <c r="D4590" s="286" t="s">
        <v>132</v>
      </c>
      <c r="E4590" s="286" t="s">
        <v>2</v>
      </c>
      <c r="F4590" s="284" t="s">
        <v>1144</v>
      </c>
    </row>
    <row r="4591" spans="1:6" ht="14.25" customHeight="1">
      <c r="A4591" s="286" t="s">
        <v>834</v>
      </c>
      <c r="B4591" s="286">
        <v>2023</v>
      </c>
      <c r="C4591" s="286" t="s">
        <v>821</v>
      </c>
      <c r="D4591" s="286" t="s">
        <v>132</v>
      </c>
      <c r="E4591" s="286" t="s">
        <v>2</v>
      </c>
      <c r="F4591" s="284" t="s">
        <v>1144</v>
      </c>
    </row>
    <row r="4592" spans="1:6" ht="14.25" customHeight="1">
      <c r="A4592" s="286" t="s">
        <v>834</v>
      </c>
      <c r="B4592" s="286">
        <v>2023</v>
      </c>
      <c r="C4592" s="286" t="s">
        <v>821</v>
      </c>
      <c r="D4592" s="286" t="s">
        <v>132</v>
      </c>
      <c r="E4592" s="286" t="s">
        <v>2</v>
      </c>
      <c r="F4592" s="284" t="s">
        <v>1144</v>
      </c>
    </row>
    <row r="4593" spans="1:6" ht="14.25" customHeight="1">
      <c r="A4593" s="286" t="s">
        <v>834</v>
      </c>
      <c r="B4593" s="286">
        <v>2023</v>
      </c>
      <c r="C4593" s="286" t="s">
        <v>821</v>
      </c>
      <c r="D4593" s="286" t="s">
        <v>934</v>
      </c>
      <c r="E4593" s="286" t="s">
        <v>1400</v>
      </c>
      <c r="F4593" s="113" t="s">
        <v>906</v>
      </c>
    </row>
    <row r="4594" spans="1:6" ht="14.25" customHeight="1">
      <c r="A4594" s="286" t="s">
        <v>834</v>
      </c>
      <c r="B4594" s="286">
        <v>2023</v>
      </c>
      <c r="C4594" s="286" t="s">
        <v>821</v>
      </c>
      <c r="D4594" s="286" t="s">
        <v>934</v>
      </c>
      <c r="E4594" s="286" t="s">
        <v>2</v>
      </c>
      <c r="F4594" s="113" t="s">
        <v>906</v>
      </c>
    </row>
    <row r="4595" spans="1:6" ht="14.25" customHeight="1">
      <c r="A4595" s="286" t="s">
        <v>834</v>
      </c>
      <c r="B4595" s="286">
        <v>2023</v>
      </c>
      <c r="C4595" s="286" t="s">
        <v>821</v>
      </c>
      <c r="D4595" s="286" t="s">
        <v>934</v>
      </c>
      <c r="E4595" s="286" t="s">
        <v>1118</v>
      </c>
      <c r="F4595" s="113" t="s">
        <v>909</v>
      </c>
    </row>
    <row r="4596" spans="1:6" ht="14.25" customHeight="1">
      <c r="A4596" s="286" t="s">
        <v>834</v>
      </c>
      <c r="B4596" s="286">
        <v>2023</v>
      </c>
      <c r="C4596" s="286" t="s">
        <v>821</v>
      </c>
      <c r="D4596" s="286" t="s">
        <v>934</v>
      </c>
      <c r="E4596" s="286" t="s">
        <v>1017</v>
      </c>
      <c r="F4596" s="113" t="s">
        <v>909</v>
      </c>
    </row>
    <row r="4597" spans="1:6" ht="14.25" customHeight="1">
      <c r="A4597" s="286" t="s">
        <v>834</v>
      </c>
      <c r="B4597" s="286">
        <v>2023</v>
      </c>
      <c r="C4597" s="286" t="s">
        <v>821</v>
      </c>
      <c r="D4597" s="286" t="s">
        <v>934</v>
      </c>
      <c r="E4597" s="286" t="s">
        <v>1058</v>
      </c>
      <c r="F4597" s="113" t="s">
        <v>909</v>
      </c>
    </row>
    <row r="4598" spans="1:6" ht="14.25" customHeight="1">
      <c r="A4598" s="286" t="s">
        <v>834</v>
      </c>
      <c r="B4598" s="286">
        <v>2023</v>
      </c>
      <c r="C4598" s="286" t="s">
        <v>821</v>
      </c>
      <c r="D4598" s="286" t="s">
        <v>934</v>
      </c>
      <c r="E4598" s="286" t="s">
        <v>1102</v>
      </c>
      <c r="F4598" s="113" t="s">
        <v>909</v>
      </c>
    </row>
    <row r="4599" spans="1:6" ht="14.25" customHeight="1">
      <c r="A4599" s="286" t="s">
        <v>834</v>
      </c>
      <c r="B4599" s="286">
        <v>2023</v>
      </c>
      <c r="C4599" s="286" t="s">
        <v>821</v>
      </c>
      <c r="D4599" s="286" t="s">
        <v>934</v>
      </c>
      <c r="E4599" s="286" t="s">
        <v>1052</v>
      </c>
      <c r="F4599" s="113" t="s">
        <v>909</v>
      </c>
    </row>
    <row r="4600" spans="1:6" ht="14.25" customHeight="1">
      <c r="A4600" s="286" t="s">
        <v>834</v>
      </c>
      <c r="B4600" s="286">
        <v>2023</v>
      </c>
      <c r="C4600" s="286" t="s">
        <v>821</v>
      </c>
      <c r="D4600" s="286" t="s">
        <v>934</v>
      </c>
      <c r="E4600" s="286" t="s">
        <v>1356</v>
      </c>
      <c r="F4600" s="113" t="s">
        <v>483</v>
      </c>
    </row>
    <row r="4601" spans="1:6" ht="14.25" customHeight="1">
      <c r="A4601" s="286" t="s">
        <v>834</v>
      </c>
      <c r="B4601" s="286">
        <v>2023</v>
      </c>
      <c r="C4601" s="286" t="s">
        <v>821</v>
      </c>
      <c r="D4601" s="286" t="s">
        <v>934</v>
      </c>
      <c r="E4601" s="286" t="s">
        <v>1356</v>
      </c>
      <c r="F4601" s="113" t="s">
        <v>483</v>
      </c>
    </row>
    <row r="4602" spans="1:6" ht="14.25" customHeight="1">
      <c r="A4602" s="286" t="s">
        <v>834</v>
      </c>
      <c r="B4602" s="286">
        <v>2023</v>
      </c>
      <c r="C4602" s="286" t="s">
        <v>821</v>
      </c>
      <c r="D4602" s="286" t="s">
        <v>934</v>
      </c>
      <c r="E4602" s="286" t="s">
        <v>1357</v>
      </c>
      <c r="F4602" s="113" t="s">
        <v>483</v>
      </c>
    </row>
    <row r="4603" spans="1:6" ht="14.25" customHeight="1">
      <c r="A4603" s="286" t="s">
        <v>834</v>
      </c>
      <c r="B4603" s="286">
        <v>2023</v>
      </c>
      <c r="C4603" s="286" t="s">
        <v>821</v>
      </c>
      <c r="D4603" s="286" t="s">
        <v>934</v>
      </c>
      <c r="E4603" s="286" t="s">
        <v>1358</v>
      </c>
      <c r="F4603" s="113" t="s">
        <v>483</v>
      </c>
    </row>
    <row r="4604" spans="1:6" ht="14.25" customHeight="1">
      <c r="A4604" s="286" t="s">
        <v>834</v>
      </c>
      <c r="B4604" s="286">
        <v>2023</v>
      </c>
      <c r="C4604" s="286" t="s">
        <v>821</v>
      </c>
      <c r="D4604" s="286" t="s">
        <v>934</v>
      </c>
      <c r="E4604" s="287">
        <v>334</v>
      </c>
      <c r="F4604" s="113" t="s">
        <v>663</v>
      </c>
    </row>
    <row r="4605" spans="1:6" ht="14.25" customHeight="1">
      <c r="A4605" s="286" t="s">
        <v>834</v>
      </c>
      <c r="B4605" s="286">
        <v>2023</v>
      </c>
      <c r="C4605" s="286" t="s">
        <v>821</v>
      </c>
      <c r="D4605" s="286" t="s">
        <v>934</v>
      </c>
      <c r="E4605" s="286" t="s">
        <v>947</v>
      </c>
      <c r="F4605" s="113" t="s">
        <v>913</v>
      </c>
    </row>
    <row r="4606" spans="1:6" ht="14.25" customHeight="1">
      <c r="A4606" s="286" t="s">
        <v>834</v>
      </c>
      <c r="B4606" s="286">
        <v>2023</v>
      </c>
      <c r="C4606" s="286" t="s">
        <v>821</v>
      </c>
      <c r="D4606" s="286" t="s">
        <v>934</v>
      </c>
      <c r="E4606" s="286" t="s">
        <v>1359</v>
      </c>
      <c r="F4606" s="113" t="s">
        <v>663</v>
      </c>
    </row>
    <row r="4607" spans="1:6" ht="14.25" customHeight="1">
      <c r="A4607" s="286" t="s">
        <v>834</v>
      </c>
      <c r="B4607" s="286">
        <v>2023</v>
      </c>
      <c r="C4607" s="286" t="s">
        <v>821</v>
      </c>
      <c r="D4607" s="286" t="s">
        <v>934</v>
      </c>
      <c r="E4607" s="286" t="s">
        <v>932</v>
      </c>
      <c r="F4607" s="113" t="s">
        <v>663</v>
      </c>
    </row>
    <row r="4608" spans="1:6" ht="14.25" customHeight="1">
      <c r="A4608" s="286" t="s">
        <v>834</v>
      </c>
      <c r="B4608" s="286">
        <v>2023</v>
      </c>
      <c r="C4608" s="286" t="s">
        <v>821</v>
      </c>
      <c r="D4608" s="286" t="s">
        <v>934</v>
      </c>
      <c r="E4608" s="286" t="s">
        <v>944</v>
      </c>
      <c r="F4608" s="113" t="s">
        <v>663</v>
      </c>
    </row>
    <row r="4609" spans="1:6" ht="14.25" customHeight="1">
      <c r="A4609" s="286" t="s">
        <v>834</v>
      </c>
      <c r="B4609" s="286">
        <v>2023</v>
      </c>
      <c r="C4609" s="286" t="s">
        <v>821</v>
      </c>
      <c r="D4609" s="286" t="s">
        <v>934</v>
      </c>
      <c r="E4609" s="286" t="s">
        <v>2</v>
      </c>
      <c r="F4609" s="113" t="s">
        <v>663</v>
      </c>
    </row>
    <row r="4610" spans="1:6" ht="14.25" customHeight="1">
      <c r="A4610" s="286" t="s">
        <v>834</v>
      </c>
      <c r="B4610" s="286">
        <v>2023</v>
      </c>
      <c r="C4610" s="286" t="s">
        <v>821</v>
      </c>
      <c r="D4610" s="286" t="s">
        <v>934</v>
      </c>
      <c r="E4610" s="286" t="s">
        <v>2</v>
      </c>
      <c r="F4610" s="113" t="s">
        <v>663</v>
      </c>
    </row>
    <row r="4611" spans="1:6" ht="14.25" customHeight="1">
      <c r="A4611" s="286" t="s">
        <v>834</v>
      </c>
      <c r="B4611" s="286">
        <v>2023</v>
      </c>
      <c r="C4611" s="286" t="s">
        <v>821</v>
      </c>
      <c r="D4611" s="286" t="s">
        <v>934</v>
      </c>
      <c r="E4611" s="286" t="s">
        <v>1401</v>
      </c>
      <c r="F4611" s="113" t="s">
        <v>663</v>
      </c>
    </row>
    <row r="4612" spans="1:6" ht="14.25" customHeight="1">
      <c r="A4612" s="286" t="s">
        <v>834</v>
      </c>
      <c r="B4612" s="286">
        <v>2023</v>
      </c>
      <c r="C4612" s="286" t="s">
        <v>821</v>
      </c>
      <c r="D4612" s="286" t="s">
        <v>934</v>
      </c>
      <c r="E4612" s="286" t="s">
        <v>2</v>
      </c>
      <c r="F4612" s="113" t="s">
        <v>663</v>
      </c>
    </row>
    <row r="4613" spans="1:6" ht="14.25" customHeight="1">
      <c r="A4613" s="286" t="s">
        <v>834</v>
      </c>
      <c r="B4613" s="286">
        <v>2023</v>
      </c>
      <c r="C4613" s="286" t="s">
        <v>821</v>
      </c>
      <c r="D4613" s="286" t="s">
        <v>934</v>
      </c>
      <c r="E4613" s="286" t="s">
        <v>1402</v>
      </c>
      <c r="F4613" s="113" t="s">
        <v>915</v>
      </c>
    </row>
    <row r="4614" spans="1:6" ht="14.25" customHeight="1">
      <c r="A4614" s="286" t="s">
        <v>834</v>
      </c>
      <c r="B4614" s="286">
        <v>2023</v>
      </c>
      <c r="C4614" s="286" t="s">
        <v>821</v>
      </c>
      <c r="D4614" s="286" t="s">
        <v>934</v>
      </c>
      <c r="E4614" s="286" t="s">
        <v>979</v>
      </c>
      <c r="F4614" s="113" t="s">
        <v>918</v>
      </c>
    </row>
    <row r="4615" spans="1:6" ht="14.25" customHeight="1">
      <c r="A4615" s="286" t="s">
        <v>834</v>
      </c>
      <c r="B4615" s="286">
        <v>2023</v>
      </c>
      <c r="C4615" s="286" t="s">
        <v>821</v>
      </c>
      <c r="D4615" s="286" t="s">
        <v>934</v>
      </c>
      <c r="E4615" s="286" t="s">
        <v>2</v>
      </c>
      <c r="F4615" s="113" t="s">
        <v>918</v>
      </c>
    </row>
    <row r="4616" spans="1:6" ht="14.25" customHeight="1">
      <c r="A4616" s="286" t="s">
        <v>834</v>
      </c>
      <c r="B4616" s="286">
        <v>2023</v>
      </c>
      <c r="C4616" s="286" t="s">
        <v>821</v>
      </c>
      <c r="D4616" s="286" t="s">
        <v>934</v>
      </c>
      <c r="E4616" s="286" t="s">
        <v>1361</v>
      </c>
      <c r="F4616" s="113" t="s">
        <v>783</v>
      </c>
    </row>
    <row r="4617" spans="1:6" ht="14.25" customHeight="1">
      <c r="A4617" s="286" t="s">
        <v>834</v>
      </c>
      <c r="B4617" s="286">
        <v>2023</v>
      </c>
      <c r="C4617" s="286" t="s">
        <v>821</v>
      </c>
      <c r="D4617" s="286" t="s">
        <v>934</v>
      </c>
      <c r="E4617" s="286" t="s">
        <v>1362</v>
      </c>
      <c r="F4617" s="113" t="s">
        <v>783</v>
      </c>
    </row>
    <row r="4618" spans="1:6" ht="14.25" customHeight="1">
      <c r="A4618" s="286" t="s">
        <v>834</v>
      </c>
      <c r="B4618" s="286">
        <v>2023</v>
      </c>
      <c r="C4618" s="286" t="s">
        <v>821</v>
      </c>
      <c r="D4618" s="286" t="s">
        <v>934</v>
      </c>
      <c r="E4618" s="286" t="s">
        <v>2</v>
      </c>
      <c r="F4618" s="113" t="s">
        <v>917</v>
      </c>
    </row>
    <row r="4619" spans="1:6" ht="14.25" customHeight="1">
      <c r="A4619" s="286" t="s">
        <v>834</v>
      </c>
      <c r="B4619" s="286">
        <v>2023</v>
      </c>
      <c r="C4619" s="286" t="s">
        <v>821</v>
      </c>
      <c r="D4619" s="286" t="s">
        <v>934</v>
      </c>
      <c r="E4619" s="286" t="s">
        <v>2</v>
      </c>
      <c r="F4619" s="113" t="s">
        <v>917</v>
      </c>
    </row>
    <row r="4620" spans="1:6" ht="14.25" customHeight="1">
      <c r="A4620" s="286" t="s">
        <v>834</v>
      </c>
      <c r="B4620" s="286">
        <v>2023</v>
      </c>
      <c r="C4620" s="286" t="s">
        <v>821</v>
      </c>
      <c r="D4620" s="286" t="s">
        <v>934</v>
      </c>
      <c r="E4620" s="286" t="s">
        <v>1403</v>
      </c>
      <c r="F4620" s="113" t="s">
        <v>917</v>
      </c>
    </row>
    <row r="4621" spans="1:6" ht="14.25" customHeight="1">
      <c r="A4621" s="286" t="s">
        <v>834</v>
      </c>
      <c r="B4621" s="286">
        <v>2023</v>
      </c>
      <c r="C4621" s="286" t="s">
        <v>821</v>
      </c>
      <c r="D4621" s="286" t="s">
        <v>934</v>
      </c>
      <c r="E4621" s="286" t="s">
        <v>1403</v>
      </c>
      <c r="F4621" s="113" t="s">
        <v>917</v>
      </c>
    </row>
    <row r="4622" spans="1:6" ht="14.25" customHeight="1">
      <c r="A4622" s="286" t="s">
        <v>834</v>
      </c>
      <c r="B4622" s="286">
        <v>2023</v>
      </c>
      <c r="C4622" s="286" t="s">
        <v>821</v>
      </c>
      <c r="D4622" s="286" t="s">
        <v>934</v>
      </c>
      <c r="E4622" s="286" t="s">
        <v>1403</v>
      </c>
      <c r="F4622" s="113" t="s">
        <v>917</v>
      </c>
    </row>
    <row r="4623" spans="1:6" ht="14.25" customHeight="1">
      <c r="A4623" s="286" t="s">
        <v>834</v>
      </c>
      <c r="B4623" s="286">
        <v>2023</v>
      </c>
      <c r="C4623" s="286" t="s">
        <v>821</v>
      </c>
      <c r="D4623" s="286" t="s">
        <v>934</v>
      </c>
      <c r="E4623" s="286" t="s">
        <v>1403</v>
      </c>
      <c r="F4623" s="113" t="s">
        <v>917</v>
      </c>
    </row>
    <row r="4624" spans="1:6" ht="14.25" customHeight="1">
      <c r="A4624" s="286" t="s">
        <v>834</v>
      </c>
      <c r="B4624" s="286">
        <v>2023</v>
      </c>
      <c r="C4624" s="286" t="s">
        <v>821</v>
      </c>
      <c r="D4624" s="286" t="s">
        <v>934</v>
      </c>
      <c r="E4624" s="286" t="s">
        <v>1404</v>
      </c>
      <c r="F4624" s="113" t="s">
        <v>917</v>
      </c>
    </row>
    <row r="4625" spans="1:6" ht="14.25" customHeight="1">
      <c r="A4625" s="286" t="s">
        <v>834</v>
      </c>
      <c r="B4625" s="286">
        <v>2023</v>
      </c>
      <c r="C4625" s="286" t="s">
        <v>821</v>
      </c>
      <c r="D4625" s="286" t="s">
        <v>934</v>
      </c>
      <c r="E4625" s="286" t="s">
        <v>1363</v>
      </c>
      <c r="F4625" s="113" t="s">
        <v>917</v>
      </c>
    </row>
    <row r="4626" spans="1:6" ht="14.25" customHeight="1">
      <c r="A4626" s="286" t="s">
        <v>834</v>
      </c>
      <c r="B4626" s="286">
        <v>2023</v>
      </c>
      <c r="C4626" s="286" t="s">
        <v>821</v>
      </c>
      <c r="D4626" s="286" t="s">
        <v>934</v>
      </c>
      <c r="E4626" s="286" t="s">
        <v>2</v>
      </c>
      <c r="F4626" s="113" t="s">
        <v>917</v>
      </c>
    </row>
    <row r="4627" spans="1:6" ht="14.25" customHeight="1">
      <c r="A4627" s="286" t="s">
        <v>834</v>
      </c>
      <c r="B4627" s="286">
        <v>2023</v>
      </c>
      <c r="C4627" s="286" t="s">
        <v>821</v>
      </c>
      <c r="D4627" s="286" t="s">
        <v>934</v>
      </c>
      <c r="E4627" s="287" t="s">
        <v>1190</v>
      </c>
      <c r="F4627" s="286" t="s">
        <v>924</v>
      </c>
    </row>
    <row r="4628" spans="1:6" ht="14.25" customHeight="1">
      <c r="A4628" s="286" t="s">
        <v>834</v>
      </c>
      <c r="B4628" s="286">
        <v>2023</v>
      </c>
      <c r="C4628" s="286" t="s">
        <v>821</v>
      </c>
      <c r="D4628" s="286" t="s">
        <v>934</v>
      </c>
      <c r="E4628" s="287" t="s">
        <v>1299</v>
      </c>
      <c r="F4628" s="286" t="s">
        <v>924</v>
      </c>
    </row>
    <row r="4629" spans="1:6" ht="14.25" customHeight="1">
      <c r="A4629" s="286" t="s">
        <v>834</v>
      </c>
      <c r="B4629" s="286">
        <v>2023</v>
      </c>
      <c r="C4629" s="286" t="s">
        <v>821</v>
      </c>
      <c r="D4629" s="286" t="s">
        <v>934</v>
      </c>
      <c r="E4629" s="286" t="s">
        <v>2</v>
      </c>
      <c r="F4629" s="286" t="s">
        <v>924</v>
      </c>
    </row>
    <row r="4630" spans="1:6" ht="14.25" customHeight="1">
      <c r="A4630" s="286" t="s">
        <v>834</v>
      </c>
      <c r="B4630" s="286">
        <v>2023</v>
      </c>
      <c r="C4630" s="286" t="s">
        <v>821</v>
      </c>
      <c r="D4630" s="286" t="s">
        <v>934</v>
      </c>
      <c r="E4630" s="286" t="s">
        <v>2</v>
      </c>
      <c r="F4630" s="286" t="s">
        <v>924</v>
      </c>
    </row>
    <row r="4631" spans="1:6" ht="14.25" customHeight="1">
      <c r="A4631" s="286" t="s">
        <v>834</v>
      </c>
      <c r="B4631" s="286">
        <v>2023</v>
      </c>
      <c r="C4631" s="286" t="s">
        <v>821</v>
      </c>
      <c r="D4631" s="286" t="s">
        <v>934</v>
      </c>
      <c r="E4631" s="286" t="s">
        <v>1364</v>
      </c>
      <c r="F4631" s="113" t="s">
        <v>922</v>
      </c>
    </row>
    <row r="4632" spans="1:6" ht="14.25" customHeight="1">
      <c r="A4632" s="286" t="s">
        <v>834</v>
      </c>
      <c r="B4632" s="286">
        <v>2023</v>
      </c>
      <c r="C4632" s="286" t="s">
        <v>821</v>
      </c>
      <c r="D4632" s="286" t="s">
        <v>934</v>
      </c>
      <c r="E4632" s="286" t="s">
        <v>1364</v>
      </c>
      <c r="F4632" s="113" t="s">
        <v>922</v>
      </c>
    </row>
    <row r="4633" spans="1:6" ht="14.25" customHeight="1">
      <c r="A4633" s="286" t="s">
        <v>834</v>
      </c>
      <c r="B4633" s="286">
        <v>2023</v>
      </c>
      <c r="C4633" s="286" t="s">
        <v>821</v>
      </c>
      <c r="D4633" s="286" t="s">
        <v>934</v>
      </c>
      <c r="E4633" s="286" t="s">
        <v>2</v>
      </c>
      <c r="F4633" s="113" t="s">
        <v>922</v>
      </c>
    </row>
    <row r="4634" spans="1:6" ht="14.25" customHeight="1">
      <c r="A4634" s="286" t="s">
        <v>834</v>
      </c>
      <c r="B4634" s="286">
        <v>2023</v>
      </c>
      <c r="C4634" s="286" t="s">
        <v>821</v>
      </c>
      <c r="D4634" s="286" t="s">
        <v>934</v>
      </c>
      <c r="E4634" s="286" t="s">
        <v>1060</v>
      </c>
      <c r="F4634" s="113" t="s">
        <v>922</v>
      </c>
    </row>
    <row r="4635" spans="1:6" ht="14.25" customHeight="1">
      <c r="A4635" s="286" t="s">
        <v>834</v>
      </c>
      <c r="B4635" s="286">
        <v>2023</v>
      </c>
      <c r="C4635" s="286" t="s">
        <v>821</v>
      </c>
      <c r="D4635" s="286" t="s">
        <v>934</v>
      </c>
      <c r="E4635" s="286" t="s">
        <v>1365</v>
      </c>
      <c r="F4635" s="113" t="s">
        <v>922</v>
      </c>
    </row>
    <row r="4636" spans="1:6" ht="14.25" customHeight="1">
      <c r="A4636" s="286" t="s">
        <v>834</v>
      </c>
      <c r="B4636" s="286">
        <v>2023</v>
      </c>
      <c r="C4636" s="286" t="s">
        <v>821</v>
      </c>
      <c r="D4636" s="286" t="s">
        <v>934</v>
      </c>
      <c r="E4636" s="286" t="s">
        <v>1366</v>
      </c>
      <c r="F4636" s="113" t="s">
        <v>922</v>
      </c>
    </row>
    <row r="4637" spans="1:6" ht="14.25" customHeight="1">
      <c r="A4637" s="286" t="s">
        <v>834</v>
      </c>
      <c r="B4637" s="286">
        <v>2023</v>
      </c>
      <c r="C4637" s="286" t="s">
        <v>821</v>
      </c>
      <c r="D4637" s="286" t="s">
        <v>934</v>
      </c>
      <c r="E4637" s="286" t="s">
        <v>1367</v>
      </c>
      <c r="F4637" s="113" t="s">
        <v>922</v>
      </c>
    </row>
    <row r="4638" spans="1:6" ht="14.25" customHeight="1">
      <c r="A4638" s="286" t="s">
        <v>834</v>
      </c>
      <c r="B4638" s="286">
        <v>2023</v>
      </c>
      <c r="C4638" s="286" t="s">
        <v>821</v>
      </c>
      <c r="D4638" s="286" t="s">
        <v>934</v>
      </c>
      <c r="E4638" s="286" t="s">
        <v>1405</v>
      </c>
      <c r="F4638" s="113" t="s">
        <v>922</v>
      </c>
    </row>
    <row r="4639" spans="1:6" ht="14.25" customHeight="1">
      <c r="A4639" s="286" t="s">
        <v>834</v>
      </c>
      <c r="B4639" s="286">
        <v>2023</v>
      </c>
      <c r="C4639" s="286" t="s">
        <v>821</v>
      </c>
      <c r="D4639" s="286" t="s">
        <v>934</v>
      </c>
      <c r="E4639" s="287">
        <v>805</v>
      </c>
      <c r="F4639" s="113" t="s">
        <v>935</v>
      </c>
    </row>
    <row r="4640" spans="1:6" ht="14.25" customHeight="1">
      <c r="A4640" s="286" t="s">
        <v>834</v>
      </c>
      <c r="B4640" s="286">
        <v>2023</v>
      </c>
      <c r="C4640" s="286" t="s">
        <v>821</v>
      </c>
      <c r="D4640" s="286" t="s">
        <v>934</v>
      </c>
      <c r="E4640" s="286" t="s">
        <v>1100</v>
      </c>
      <c r="F4640" s="113" t="s">
        <v>935</v>
      </c>
    </row>
    <row r="4641" spans="1:6" ht="14.25" customHeight="1">
      <c r="A4641" s="286" t="s">
        <v>834</v>
      </c>
      <c r="B4641" s="286">
        <v>2023</v>
      </c>
      <c r="C4641" s="286" t="s">
        <v>821</v>
      </c>
      <c r="D4641" s="286" t="s">
        <v>934</v>
      </c>
      <c r="E4641" s="286" t="s">
        <v>2</v>
      </c>
      <c r="F4641" s="113" t="s">
        <v>935</v>
      </c>
    </row>
    <row r="4642" spans="1:6" ht="14.25" customHeight="1">
      <c r="A4642" s="286" t="s">
        <v>834</v>
      </c>
      <c r="B4642" s="286">
        <v>2023</v>
      </c>
      <c r="C4642" s="286" t="s">
        <v>821</v>
      </c>
      <c r="D4642" s="286" t="s">
        <v>934</v>
      </c>
      <c r="E4642" s="286" t="s">
        <v>1058</v>
      </c>
      <c r="F4642" s="113" t="s">
        <v>935</v>
      </c>
    </row>
    <row r="4643" spans="1:6" ht="14.25" customHeight="1">
      <c r="A4643" s="286" t="s">
        <v>834</v>
      </c>
      <c r="B4643" s="286">
        <v>2023</v>
      </c>
      <c r="C4643" s="286" t="s">
        <v>821</v>
      </c>
      <c r="D4643" s="286" t="s">
        <v>934</v>
      </c>
      <c r="E4643" s="286" t="s">
        <v>1406</v>
      </c>
      <c r="F4643" s="113" t="s">
        <v>935</v>
      </c>
    </row>
    <row r="4644" spans="1:6" ht="14.25" customHeight="1">
      <c r="A4644" s="286" t="s">
        <v>834</v>
      </c>
      <c r="B4644" s="286">
        <v>2023</v>
      </c>
      <c r="C4644" s="286" t="s">
        <v>821</v>
      </c>
      <c r="D4644" s="286" t="s">
        <v>934</v>
      </c>
      <c r="E4644" s="286" t="s">
        <v>1406</v>
      </c>
      <c r="F4644" s="113" t="s">
        <v>935</v>
      </c>
    </row>
    <row r="4645" spans="1:6" ht="14.25" customHeight="1">
      <c r="A4645" s="286" t="s">
        <v>834</v>
      </c>
      <c r="B4645" s="286">
        <v>2023</v>
      </c>
      <c r="C4645" s="286" t="s">
        <v>821</v>
      </c>
      <c r="D4645" s="286" t="s">
        <v>934</v>
      </c>
      <c r="E4645" s="286" t="s">
        <v>1030</v>
      </c>
      <c r="F4645" s="113" t="s">
        <v>935</v>
      </c>
    </row>
    <row r="4646" spans="1:6" ht="14.25" customHeight="1">
      <c r="A4646" s="286" t="s">
        <v>834</v>
      </c>
      <c r="B4646" s="286">
        <v>2023</v>
      </c>
      <c r="C4646" s="286" t="s">
        <v>821</v>
      </c>
      <c r="D4646" s="286" t="s">
        <v>934</v>
      </c>
      <c r="E4646" s="286" t="s">
        <v>944</v>
      </c>
      <c r="F4646" s="113" t="s">
        <v>935</v>
      </c>
    </row>
    <row r="4647" spans="1:6" ht="14.25" customHeight="1">
      <c r="A4647" s="286" t="s">
        <v>834</v>
      </c>
      <c r="B4647" s="286">
        <v>2023</v>
      </c>
      <c r="C4647" s="286" t="s">
        <v>821</v>
      </c>
      <c r="D4647" s="286" t="s">
        <v>934</v>
      </c>
      <c r="E4647" s="286" t="s">
        <v>1068</v>
      </c>
      <c r="F4647" s="113" t="s">
        <v>935</v>
      </c>
    </row>
    <row r="4648" spans="1:6" ht="14.25" customHeight="1">
      <c r="A4648" s="286" t="s">
        <v>834</v>
      </c>
      <c r="B4648" s="286">
        <v>2023</v>
      </c>
      <c r="C4648" s="286" t="s">
        <v>821</v>
      </c>
      <c r="D4648" s="286" t="s">
        <v>934</v>
      </c>
      <c r="E4648" s="286" t="s">
        <v>1023</v>
      </c>
      <c r="F4648" s="113" t="s">
        <v>935</v>
      </c>
    </row>
    <row r="4649" spans="1:6" ht="14.25" customHeight="1">
      <c r="A4649" s="286" t="s">
        <v>834</v>
      </c>
      <c r="B4649" s="286">
        <v>2023</v>
      </c>
      <c r="C4649" s="286" t="s">
        <v>821</v>
      </c>
      <c r="D4649" s="286" t="s">
        <v>934</v>
      </c>
      <c r="E4649" s="286" t="s">
        <v>987</v>
      </c>
      <c r="F4649" s="113" t="s">
        <v>935</v>
      </c>
    </row>
    <row r="4650" spans="1:6" ht="14.25" customHeight="1">
      <c r="A4650" s="286" t="s">
        <v>834</v>
      </c>
      <c r="B4650" s="286">
        <v>2023</v>
      </c>
      <c r="C4650" s="286" t="s">
        <v>821</v>
      </c>
      <c r="D4650" s="286" t="s">
        <v>934</v>
      </c>
      <c r="E4650" s="286" t="s">
        <v>1066</v>
      </c>
      <c r="F4650" s="113" t="s">
        <v>935</v>
      </c>
    </row>
    <row r="4651" spans="1:6" ht="14.25" customHeight="1">
      <c r="A4651" s="286" t="s">
        <v>834</v>
      </c>
      <c r="B4651" s="286">
        <v>2023</v>
      </c>
      <c r="C4651" s="286" t="s">
        <v>821</v>
      </c>
      <c r="D4651" s="286" t="s">
        <v>934</v>
      </c>
      <c r="E4651" s="286" t="s">
        <v>1030</v>
      </c>
      <c r="F4651" s="113" t="s">
        <v>935</v>
      </c>
    </row>
    <row r="4652" spans="1:6" ht="14.25" customHeight="1">
      <c r="A4652" s="286" t="s">
        <v>834</v>
      </c>
      <c r="B4652" s="286">
        <v>2023</v>
      </c>
      <c r="C4652" s="286" t="s">
        <v>821</v>
      </c>
      <c r="D4652" s="286" t="s">
        <v>934</v>
      </c>
      <c r="E4652" s="286" t="s">
        <v>1035</v>
      </c>
      <c r="F4652" s="113" t="s">
        <v>935</v>
      </c>
    </row>
    <row r="4653" spans="1:6" ht="14.25" customHeight="1">
      <c r="A4653" s="286" t="s">
        <v>834</v>
      </c>
      <c r="B4653" s="286">
        <v>2023</v>
      </c>
      <c r="C4653" s="286" t="s">
        <v>821</v>
      </c>
      <c r="D4653" s="286" t="s">
        <v>934</v>
      </c>
      <c r="E4653" s="286" t="s">
        <v>997</v>
      </c>
      <c r="F4653" s="113" t="s">
        <v>935</v>
      </c>
    </row>
    <row r="4654" spans="1:6" ht="14.25" customHeight="1">
      <c r="A4654" s="286" t="s">
        <v>834</v>
      </c>
      <c r="B4654" s="286">
        <v>2023</v>
      </c>
      <c r="C4654" s="286" t="s">
        <v>821</v>
      </c>
      <c r="D4654" s="286" t="s">
        <v>934</v>
      </c>
      <c r="E4654" s="286" t="s">
        <v>1407</v>
      </c>
      <c r="F4654" s="113" t="s">
        <v>935</v>
      </c>
    </row>
    <row r="4655" spans="1:6" ht="14.25" customHeight="1">
      <c r="A4655" s="286" t="s">
        <v>834</v>
      </c>
      <c r="B4655" s="286">
        <v>2023</v>
      </c>
      <c r="C4655" s="286" t="s">
        <v>821</v>
      </c>
      <c r="D4655" s="286" t="s">
        <v>934</v>
      </c>
      <c r="E4655" s="286" t="s">
        <v>1370</v>
      </c>
      <c r="F4655" s="286" t="s">
        <v>1241</v>
      </c>
    </row>
    <row r="4656" spans="1:6" ht="14.25" customHeight="1">
      <c r="A4656" s="286" t="s">
        <v>834</v>
      </c>
      <c r="B4656" s="286">
        <v>2023</v>
      </c>
      <c r="C4656" s="286" t="s">
        <v>821</v>
      </c>
      <c r="D4656" s="286" t="s">
        <v>934</v>
      </c>
      <c r="E4656" s="286" t="s">
        <v>1371</v>
      </c>
      <c r="F4656" s="284" t="s">
        <v>1144</v>
      </c>
    </row>
    <row r="4657" spans="1:6" ht="14.25" customHeight="1">
      <c r="A4657" s="286" t="s">
        <v>834</v>
      </c>
      <c r="B4657" s="286">
        <v>2023</v>
      </c>
      <c r="C4657" s="286" t="s">
        <v>821</v>
      </c>
      <c r="D4657" s="286" t="s">
        <v>934</v>
      </c>
      <c r="E4657" s="286" t="s">
        <v>2</v>
      </c>
      <c r="F4657" s="284" t="s">
        <v>1144</v>
      </c>
    </row>
    <row r="4658" spans="1:6" ht="14.25" customHeight="1">
      <c r="A4658" s="286" t="s">
        <v>834</v>
      </c>
      <c r="B4658" s="286">
        <v>2023</v>
      </c>
      <c r="C4658" s="286" t="s">
        <v>821</v>
      </c>
      <c r="D4658" s="286" t="s">
        <v>931</v>
      </c>
      <c r="E4658" s="286" t="s">
        <v>1058</v>
      </c>
      <c r="F4658" s="113" t="s">
        <v>909</v>
      </c>
    </row>
    <row r="4659" spans="1:6" ht="14.25" customHeight="1">
      <c r="A4659" s="286" t="s">
        <v>834</v>
      </c>
      <c r="B4659" s="286">
        <v>2023</v>
      </c>
      <c r="C4659" s="286" t="s">
        <v>821</v>
      </c>
      <c r="D4659" s="286" t="s">
        <v>931</v>
      </c>
      <c r="E4659" s="286" t="s">
        <v>1125</v>
      </c>
      <c r="F4659" s="113" t="s">
        <v>483</v>
      </c>
    </row>
    <row r="4660" spans="1:6" ht="14.25" customHeight="1">
      <c r="A4660" s="286" t="s">
        <v>834</v>
      </c>
      <c r="B4660" s="286">
        <v>2023</v>
      </c>
      <c r="C4660" s="286" t="s">
        <v>821</v>
      </c>
      <c r="D4660" s="286" t="s">
        <v>931</v>
      </c>
      <c r="E4660" s="286" t="s">
        <v>983</v>
      </c>
      <c r="F4660" s="113" t="s">
        <v>483</v>
      </c>
    </row>
    <row r="4661" spans="1:6" ht="14.25" customHeight="1">
      <c r="A4661" s="286" t="s">
        <v>834</v>
      </c>
      <c r="B4661" s="286">
        <v>2023</v>
      </c>
      <c r="C4661" s="286" t="s">
        <v>821</v>
      </c>
      <c r="D4661" s="286" t="s">
        <v>931</v>
      </c>
      <c r="E4661" s="286" t="s">
        <v>1408</v>
      </c>
      <c r="F4661" s="113" t="s">
        <v>915</v>
      </c>
    </row>
    <row r="4662" spans="1:6" ht="14.25" customHeight="1">
      <c r="A4662" s="286" t="s">
        <v>834</v>
      </c>
      <c r="B4662" s="286">
        <v>2023</v>
      </c>
      <c r="C4662" s="286" t="s">
        <v>821</v>
      </c>
      <c r="D4662" s="286" t="s">
        <v>931</v>
      </c>
      <c r="E4662" s="287">
        <v>406</v>
      </c>
      <c r="F4662" s="113" t="s">
        <v>783</v>
      </c>
    </row>
    <row r="4663" spans="1:6" ht="14.25" customHeight="1">
      <c r="A4663" s="286" t="s">
        <v>834</v>
      </c>
      <c r="B4663" s="286">
        <v>2023</v>
      </c>
      <c r="C4663" s="286" t="s">
        <v>821</v>
      </c>
      <c r="D4663" s="286" t="s">
        <v>931</v>
      </c>
      <c r="E4663" s="286" t="s">
        <v>1409</v>
      </c>
      <c r="F4663" s="113" t="s">
        <v>922</v>
      </c>
    </row>
    <row r="4664" spans="1:6" ht="14.25" customHeight="1">
      <c r="A4664" s="286" t="s">
        <v>834</v>
      </c>
      <c r="B4664" s="286">
        <v>2023</v>
      </c>
      <c r="C4664" s="286" t="s">
        <v>821</v>
      </c>
      <c r="D4664" s="286" t="s">
        <v>931</v>
      </c>
      <c r="E4664" s="286" t="s">
        <v>1372</v>
      </c>
      <c r="F4664" s="113" t="s">
        <v>922</v>
      </c>
    </row>
    <row r="4665" spans="1:6" ht="14.25" customHeight="1">
      <c r="A4665" s="286" t="s">
        <v>834</v>
      </c>
      <c r="B4665" s="286">
        <v>2023</v>
      </c>
      <c r="C4665" s="286" t="s">
        <v>821</v>
      </c>
      <c r="D4665" s="286" t="s">
        <v>931</v>
      </c>
      <c r="E4665" s="286" t="s">
        <v>1373</v>
      </c>
      <c r="F4665" s="113" t="s">
        <v>922</v>
      </c>
    </row>
    <row r="4666" spans="1:6" ht="14.25" customHeight="1">
      <c r="A4666" s="286" t="s">
        <v>834</v>
      </c>
      <c r="B4666" s="286">
        <v>2023</v>
      </c>
      <c r="C4666" s="286" t="s">
        <v>821</v>
      </c>
      <c r="D4666" s="286" t="s">
        <v>931</v>
      </c>
      <c r="E4666" s="287">
        <v>810</v>
      </c>
      <c r="F4666" s="113" t="s">
        <v>935</v>
      </c>
    </row>
    <row r="4667" spans="1:6" ht="14.25" customHeight="1">
      <c r="A4667" s="286" t="s">
        <v>834</v>
      </c>
      <c r="B4667" s="286">
        <v>2023</v>
      </c>
      <c r="C4667" s="286" t="s">
        <v>821</v>
      </c>
      <c r="D4667" s="286" t="s">
        <v>931</v>
      </c>
      <c r="E4667" s="286" t="s">
        <v>1410</v>
      </c>
      <c r="F4667" s="113" t="s">
        <v>935</v>
      </c>
    </row>
    <row r="4668" spans="1:6" ht="14.25" customHeight="1">
      <c r="A4668" s="286" t="s">
        <v>834</v>
      </c>
      <c r="B4668" s="286">
        <v>2023</v>
      </c>
      <c r="C4668" s="286" t="s">
        <v>821</v>
      </c>
      <c r="D4668" s="286" t="s">
        <v>931</v>
      </c>
      <c r="E4668" s="286" t="s">
        <v>1058</v>
      </c>
      <c r="F4668" s="113" t="s">
        <v>935</v>
      </c>
    </row>
    <row r="4669" spans="1:6" ht="14.25" customHeight="1">
      <c r="A4669" s="286" t="s">
        <v>834</v>
      </c>
      <c r="B4669" s="286">
        <v>2023</v>
      </c>
      <c r="C4669" s="286" t="s">
        <v>821</v>
      </c>
      <c r="D4669" s="286" t="s">
        <v>931</v>
      </c>
      <c r="E4669" s="286" t="s">
        <v>2</v>
      </c>
      <c r="F4669" s="113" t="s">
        <v>935</v>
      </c>
    </row>
    <row r="4670" spans="1:6" ht="14.25" customHeight="1">
      <c r="A4670" s="286" t="s">
        <v>834</v>
      </c>
      <c r="B4670" s="286">
        <v>2023</v>
      </c>
      <c r="C4670" s="286" t="s">
        <v>821</v>
      </c>
      <c r="D4670" s="286" t="s">
        <v>976</v>
      </c>
      <c r="E4670" s="286" t="s">
        <v>1040</v>
      </c>
      <c r="F4670" s="113" t="s">
        <v>906</v>
      </c>
    </row>
    <row r="4671" spans="1:6" ht="14.25" customHeight="1">
      <c r="A4671" s="286" t="s">
        <v>834</v>
      </c>
      <c r="B4671" s="286">
        <v>2023</v>
      </c>
      <c r="C4671" s="286" t="s">
        <v>821</v>
      </c>
      <c r="D4671" s="286" t="s">
        <v>976</v>
      </c>
      <c r="E4671" s="286" t="s">
        <v>953</v>
      </c>
      <c r="F4671" s="113" t="s">
        <v>906</v>
      </c>
    </row>
    <row r="4672" spans="1:6" ht="14.25" customHeight="1">
      <c r="A4672" s="286" t="s">
        <v>834</v>
      </c>
      <c r="B4672" s="286">
        <v>2023</v>
      </c>
      <c r="C4672" s="286" t="s">
        <v>821</v>
      </c>
      <c r="D4672" s="286" t="s">
        <v>976</v>
      </c>
      <c r="E4672" s="286" t="s">
        <v>2</v>
      </c>
      <c r="F4672" s="113" t="s">
        <v>909</v>
      </c>
    </row>
    <row r="4673" spans="1:6" ht="14.25" customHeight="1">
      <c r="A4673" s="286" t="s">
        <v>834</v>
      </c>
      <c r="B4673" s="286">
        <v>2023</v>
      </c>
      <c r="C4673" s="286" t="s">
        <v>821</v>
      </c>
      <c r="D4673" s="286" t="s">
        <v>976</v>
      </c>
      <c r="E4673" s="286" t="s">
        <v>971</v>
      </c>
      <c r="F4673" s="113" t="s">
        <v>909</v>
      </c>
    </row>
    <row r="4674" spans="1:6" ht="14.25" customHeight="1">
      <c r="A4674" s="286" t="s">
        <v>834</v>
      </c>
      <c r="B4674" s="286">
        <v>2023</v>
      </c>
      <c r="C4674" s="286" t="s">
        <v>821</v>
      </c>
      <c r="D4674" s="286" t="s">
        <v>976</v>
      </c>
      <c r="E4674" s="286" t="s">
        <v>1170</v>
      </c>
      <c r="F4674" s="113" t="s">
        <v>909</v>
      </c>
    </row>
    <row r="4675" spans="1:6" ht="14.25" customHeight="1">
      <c r="A4675" s="286" t="s">
        <v>834</v>
      </c>
      <c r="B4675" s="286">
        <v>2023</v>
      </c>
      <c r="C4675" s="286" t="s">
        <v>821</v>
      </c>
      <c r="D4675" s="286" t="s">
        <v>976</v>
      </c>
      <c r="E4675" s="286" t="s">
        <v>1102</v>
      </c>
      <c r="F4675" s="113" t="s">
        <v>909</v>
      </c>
    </row>
    <row r="4676" spans="1:6" ht="14.25" customHeight="1">
      <c r="A4676" s="286" t="s">
        <v>834</v>
      </c>
      <c r="B4676" s="286">
        <v>2023</v>
      </c>
      <c r="C4676" s="286" t="s">
        <v>821</v>
      </c>
      <c r="D4676" s="286" t="s">
        <v>976</v>
      </c>
      <c r="E4676" s="286" t="s">
        <v>1096</v>
      </c>
      <c r="F4676" s="113" t="s">
        <v>909</v>
      </c>
    </row>
    <row r="4677" spans="1:6" ht="14.25" customHeight="1">
      <c r="A4677" s="286" t="s">
        <v>834</v>
      </c>
      <c r="B4677" s="286">
        <v>2023</v>
      </c>
      <c r="C4677" s="286" t="s">
        <v>821</v>
      </c>
      <c r="D4677" s="286" t="s">
        <v>976</v>
      </c>
      <c r="E4677" s="286" t="s">
        <v>1096</v>
      </c>
      <c r="F4677" s="113" t="s">
        <v>909</v>
      </c>
    </row>
    <row r="4678" spans="1:6" ht="14.25" customHeight="1">
      <c r="A4678" s="286" t="s">
        <v>834</v>
      </c>
      <c r="B4678" s="286">
        <v>2023</v>
      </c>
      <c r="C4678" s="286" t="s">
        <v>821</v>
      </c>
      <c r="D4678" s="286" t="s">
        <v>976</v>
      </c>
      <c r="E4678" s="286" t="s">
        <v>939</v>
      </c>
      <c r="F4678" s="113" t="s">
        <v>909</v>
      </c>
    </row>
    <row r="4679" spans="1:6" ht="14.25" customHeight="1">
      <c r="A4679" s="286" t="s">
        <v>834</v>
      </c>
      <c r="B4679" s="286">
        <v>2023</v>
      </c>
      <c r="C4679" s="286" t="s">
        <v>821</v>
      </c>
      <c r="D4679" s="286" t="s">
        <v>976</v>
      </c>
      <c r="E4679" s="113" t="s">
        <v>2</v>
      </c>
      <c r="F4679" s="113" t="s">
        <v>663</v>
      </c>
    </row>
    <row r="4680" spans="1:6" ht="14.25" customHeight="1">
      <c r="A4680" s="286" t="s">
        <v>834</v>
      </c>
      <c r="B4680" s="286">
        <v>2023</v>
      </c>
      <c r="C4680" s="286" t="s">
        <v>821</v>
      </c>
      <c r="D4680" s="286" t="s">
        <v>976</v>
      </c>
      <c r="E4680" s="286" t="s">
        <v>1411</v>
      </c>
      <c r="F4680" s="113" t="s">
        <v>913</v>
      </c>
    </row>
    <row r="4681" spans="1:6" ht="14.25" customHeight="1">
      <c r="A4681" s="286" t="s">
        <v>834</v>
      </c>
      <c r="B4681" s="286">
        <v>2023</v>
      </c>
      <c r="C4681" s="286" t="s">
        <v>821</v>
      </c>
      <c r="D4681" s="286" t="s">
        <v>976</v>
      </c>
      <c r="E4681" s="286" t="s">
        <v>982</v>
      </c>
      <c r="F4681" s="113" t="s">
        <v>663</v>
      </c>
    </row>
    <row r="4682" spans="1:6" ht="14.25" customHeight="1">
      <c r="A4682" s="286" t="s">
        <v>834</v>
      </c>
      <c r="B4682" s="286">
        <v>2023</v>
      </c>
      <c r="C4682" s="286" t="s">
        <v>821</v>
      </c>
      <c r="D4682" s="286" t="s">
        <v>976</v>
      </c>
      <c r="E4682" s="286" t="s">
        <v>961</v>
      </c>
      <c r="F4682" s="113" t="s">
        <v>663</v>
      </c>
    </row>
    <row r="4683" spans="1:6" ht="14.25" customHeight="1">
      <c r="A4683" s="286" t="s">
        <v>834</v>
      </c>
      <c r="B4683" s="286">
        <v>2023</v>
      </c>
      <c r="C4683" s="286" t="s">
        <v>821</v>
      </c>
      <c r="D4683" s="286" t="s">
        <v>976</v>
      </c>
      <c r="E4683" s="113" t="s">
        <v>2</v>
      </c>
      <c r="F4683" s="113" t="s">
        <v>918</v>
      </c>
    </row>
    <row r="4684" spans="1:6" ht="14.25" customHeight="1">
      <c r="A4684" s="286" t="s">
        <v>834</v>
      </c>
      <c r="B4684" s="286">
        <v>2023</v>
      </c>
      <c r="C4684" s="286" t="s">
        <v>821</v>
      </c>
      <c r="D4684" s="286" t="s">
        <v>976</v>
      </c>
      <c r="E4684" s="286" t="s">
        <v>2</v>
      </c>
      <c r="F4684" s="113" t="s">
        <v>917</v>
      </c>
    </row>
    <row r="4685" spans="1:6" ht="14.25" customHeight="1">
      <c r="A4685" s="286" t="s">
        <v>834</v>
      </c>
      <c r="B4685" s="286">
        <v>2023</v>
      </c>
      <c r="C4685" s="286" t="s">
        <v>821</v>
      </c>
      <c r="D4685" s="286" t="s">
        <v>976</v>
      </c>
      <c r="E4685" s="286" t="s">
        <v>2</v>
      </c>
      <c r="F4685" s="113" t="s">
        <v>917</v>
      </c>
    </row>
    <row r="4686" spans="1:6" ht="14.25" customHeight="1">
      <c r="A4686" s="286" t="s">
        <v>834</v>
      </c>
      <c r="B4686" s="286">
        <v>2023</v>
      </c>
      <c r="C4686" s="286" t="s">
        <v>821</v>
      </c>
      <c r="D4686" s="286" t="s">
        <v>976</v>
      </c>
      <c r="E4686" s="286" t="s">
        <v>2</v>
      </c>
      <c r="F4686" s="113" t="s">
        <v>917</v>
      </c>
    </row>
    <row r="4687" spans="1:6" ht="14.25" customHeight="1">
      <c r="A4687" s="286" t="s">
        <v>834</v>
      </c>
      <c r="B4687" s="286">
        <v>2023</v>
      </c>
      <c r="C4687" s="286" t="s">
        <v>821</v>
      </c>
      <c r="D4687" s="286" t="s">
        <v>1033</v>
      </c>
      <c r="E4687" s="286" t="s">
        <v>941</v>
      </c>
      <c r="F4687" s="113" t="s">
        <v>663</v>
      </c>
    </row>
    <row r="4688" spans="1:6" ht="14.25" customHeight="1">
      <c r="A4688" s="286" t="s">
        <v>834</v>
      </c>
      <c r="B4688" s="286">
        <v>2023</v>
      </c>
      <c r="C4688" s="286" t="s">
        <v>821</v>
      </c>
      <c r="D4688" s="286" t="s">
        <v>216</v>
      </c>
      <c r="E4688" s="286" t="s">
        <v>1375</v>
      </c>
      <c r="F4688" s="113" t="s">
        <v>906</v>
      </c>
    </row>
    <row r="4689" spans="1:6" ht="14.25" customHeight="1">
      <c r="A4689" s="286" t="s">
        <v>834</v>
      </c>
      <c r="B4689" s="286">
        <v>2023</v>
      </c>
      <c r="C4689" s="286" t="s">
        <v>821</v>
      </c>
      <c r="D4689" s="286" t="s">
        <v>216</v>
      </c>
      <c r="E4689" s="286" t="s">
        <v>2</v>
      </c>
      <c r="F4689" s="113" t="s">
        <v>913</v>
      </c>
    </row>
    <row r="4690" spans="1:6" ht="14.25" customHeight="1">
      <c r="A4690" s="286" t="s">
        <v>834</v>
      </c>
      <c r="B4690" s="286">
        <v>2023</v>
      </c>
      <c r="C4690" s="286" t="s">
        <v>821</v>
      </c>
      <c r="D4690" s="286" t="s">
        <v>216</v>
      </c>
      <c r="E4690" s="286" t="s">
        <v>2</v>
      </c>
      <c r="F4690" s="113" t="s">
        <v>913</v>
      </c>
    </row>
    <row r="4691" spans="1:6" ht="14.25" customHeight="1">
      <c r="A4691" s="286" t="s">
        <v>834</v>
      </c>
      <c r="B4691" s="286">
        <v>2023</v>
      </c>
      <c r="C4691" s="286" t="s">
        <v>821</v>
      </c>
      <c r="D4691" s="286" t="s">
        <v>216</v>
      </c>
      <c r="E4691" s="286" t="s">
        <v>1058</v>
      </c>
      <c r="F4691" s="113" t="s">
        <v>913</v>
      </c>
    </row>
    <row r="4692" spans="1:6" ht="14.25" customHeight="1">
      <c r="A4692" s="286" t="s">
        <v>834</v>
      </c>
      <c r="B4692" s="286">
        <v>2023</v>
      </c>
      <c r="C4692" s="286" t="s">
        <v>821</v>
      </c>
      <c r="D4692" s="286" t="s">
        <v>216</v>
      </c>
      <c r="E4692" s="286" t="s">
        <v>1058</v>
      </c>
      <c r="F4692" s="113" t="s">
        <v>913</v>
      </c>
    </row>
    <row r="4693" spans="1:6" ht="14.25" customHeight="1">
      <c r="A4693" s="286" t="s">
        <v>834</v>
      </c>
      <c r="B4693" s="286">
        <v>2023</v>
      </c>
      <c r="C4693" s="286" t="s">
        <v>821</v>
      </c>
      <c r="D4693" s="286" t="s">
        <v>216</v>
      </c>
      <c r="E4693" s="286" t="s">
        <v>2</v>
      </c>
      <c r="F4693" s="113" t="s">
        <v>663</v>
      </c>
    </row>
    <row r="4694" spans="1:6" ht="14.25" customHeight="1">
      <c r="A4694" s="286" t="s">
        <v>834</v>
      </c>
      <c r="B4694" s="286">
        <v>2023</v>
      </c>
      <c r="C4694" s="286" t="s">
        <v>821</v>
      </c>
      <c r="D4694" s="286" t="s">
        <v>216</v>
      </c>
      <c r="E4694" s="287">
        <v>428</v>
      </c>
      <c r="F4694" s="113" t="s">
        <v>918</v>
      </c>
    </row>
    <row r="4695" spans="1:6" ht="14.25" customHeight="1">
      <c r="A4695" s="286" t="s">
        <v>834</v>
      </c>
      <c r="B4695" s="286">
        <v>2023</v>
      </c>
      <c r="C4695" s="286" t="s">
        <v>821</v>
      </c>
      <c r="D4695" s="286" t="s">
        <v>216</v>
      </c>
      <c r="E4695" s="286" t="s">
        <v>1376</v>
      </c>
      <c r="F4695" s="113" t="s">
        <v>783</v>
      </c>
    </row>
    <row r="4696" spans="1:6" ht="14.25" customHeight="1">
      <c r="A4696" s="286" t="s">
        <v>834</v>
      </c>
      <c r="B4696" s="286">
        <v>2023</v>
      </c>
      <c r="C4696" s="286" t="s">
        <v>821</v>
      </c>
      <c r="D4696" s="286" t="s">
        <v>216</v>
      </c>
      <c r="E4696" s="286" t="s">
        <v>1412</v>
      </c>
      <c r="F4696" s="113" t="s">
        <v>922</v>
      </c>
    </row>
    <row r="4697" spans="1:6" ht="14.25" customHeight="1">
      <c r="A4697" s="286" t="s">
        <v>834</v>
      </c>
      <c r="B4697" s="286">
        <v>2023</v>
      </c>
      <c r="C4697" s="286" t="s">
        <v>88</v>
      </c>
      <c r="D4697" s="286" t="s">
        <v>969</v>
      </c>
      <c r="E4697" s="286" t="s">
        <v>1041</v>
      </c>
      <c r="F4697" s="113" t="s">
        <v>906</v>
      </c>
    </row>
    <row r="4698" spans="1:6" ht="14.25" customHeight="1">
      <c r="A4698" s="286" t="s">
        <v>834</v>
      </c>
      <c r="B4698" s="286">
        <v>2023</v>
      </c>
      <c r="C4698" s="286" t="s">
        <v>88</v>
      </c>
      <c r="D4698" s="286" t="s">
        <v>969</v>
      </c>
      <c r="E4698" s="286" t="s">
        <v>2</v>
      </c>
      <c r="F4698" s="113" t="s">
        <v>906</v>
      </c>
    </row>
    <row r="4699" spans="1:6" ht="14.25" customHeight="1">
      <c r="A4699" s="286" t="s">
        <v>834</v>
      </c>
      <c r="B4699" s="286">
        <v>2023</v>
      </c>
      <c r="C4699" s="286" t="s">
        <v>88</v>
      </c>
      <c r="D4699" s="286" t="s">
        <v>969</v>
      </c>
      <c r="E4699" s="286" t="s">
        <v>2</v>
      </c>
      <c r="F4699" s="113" t="s">
        <v>906</v>
      </c>
    </row>
    <row r="4700" spans="1:6" ht="14.25" customHeight="1">
      <c r="A4700" s="286" t="s">
        <v>834</v>
      </c>
      <c r="B4700" s="286">
        <v>2023</v>
      </c>
      <c r="C4700" s="286" t="s">
        <v>88</v>
      </c>
      <c r="D4700" s="286" t="s">
        <v>969</v>
      </c>
      <c r="E4700" s="287">
        <v>214</v>
      </c>
      <c r="F4700" s="113" t="s">
        <v>909</v>
      </c>
    </row>
    <row r="4701" spans="1:6" ht="14.25" customHeight="1">
      <c r="A4701" s="286" t="s">
        <v>834</v>
      </c>
      <c r="B4701" s="286">
        <v>2023</v>
      </c>
      <c r="C4701" s="286" t="s">
        <v>88</v>
      </c>
      <c r="D4701" s="286" t="s">
        <v>969</v>
      </c>
      <c r="E4701" s="286" t="s">
        <v>1378</v>
      </c>
      <c r="F4701" s="113" t="s">
        <v>909</v>
      </c>
    </row>
    <row r="4702" spans="1:6" ht="14.25" customHeight="1">
      <c r="A4702" s="286" t="s">
        <v>834</v>
      </c>
      <c r="B4702" s="286">
        <v>2023</v>
      </c>
      <c r="C4702" s="286" t="s">
        <v>88</v>
      </c>
      <c r="D4702" s="286" t="s">
        <v>969</v>
      </c>
      <c r="E4702" s="286" t="s">
        <v>1377</v>
      </c>
      <c r="F4702" s="113" t="s">
        <v>483</v>
      </c>
    </row>
    <row r="4703" spans="1:6" ht="14.25" customHeight="1">
      <c r="A4703" s="286" t="s">
        <v>834</v>
      </c>
      <c r="B4703" s="286">
        <v>2023</v>
      </c>
      <c r="C4703" s="286" t="s">
        <v>88</v>
      </c>
      <c r="D4703" s="286" t="s">
        <v>969</v>
      </c>
      <c r="E4703" s="286" t="s">
        <v>1378</v>
      </c>
      <c r="F4703" s="113" t="s">
        <v>663</v>
      </c>
    </row>
    <row r="4704" spans="1:6" ht="14.25" customHeight="1">
      <c r="A4704" s="286" t="s">
        <v>834</v>
      </c>
      <c r="B4704" s="286">
        <v>2023</v>
      </c>
      <c r="C4704" s="286" t="s">
        <v>88</v>
      </c>
      <c r="D4704" s="286" t="s">
        <v>969</v>
      </c>
      <c r="E4704" s="287">
        <v>102</v>
      </c>
      <c r="F4704" s="113" t="s">
        <v>906</v>
      </c>
    </row>
    <row r="4705" spans="1:6" ht="14.25" customHeight="1">
      <c r="A4705" s="286" t="s">
        <v>834</v>
      </c>
      <c r="B4705" s="286">
        <v>2023</v>
      </c>
      <c r="C4705" s="286" t="s">
        <v>88</v>
      </c>
      <c r="D4705" s="286" t="s">
        <v>969</v>
      </c>
      <c r="E4705" s="286" t="s">
        <v>1413</v>
      </c>
      <c r="F4705" s="113" t="s">
        <v>915</v>
      </c>
    </row>
    <row r="4706" spans="1:6" ht="14.25" customHeight="1">
      <c r="A4706" s="286" t="s">
        <v>834</v>
      </c>
      <c r="B4706" s="286">
        <v>2023</v>
      </c>
      <c r="C4706" s="286" t="s">
        <v>88</v>
      </c>
      <c r="D4706" s="286" t="s">
        <v>969</v>
      </c>
      <c r="E4706" s="286" t="s">
        <v>1379</v>
      </c>
      <c r="F4706" s="113" t="s">
        <v>783</v>
      </c>
    </row>
    <row r="4707" spans="1:6" ht="14.25" customHeight="1">
      <c r="A4707" s="286" t="s">
        <v>834</v>
      </c>
      <c r="B4707" s="286">
        <v>2023</v>
      </c>
      <c r="C4707" s="286" t="s">
        <v>88</v>
      </c>
      <c r="D4707" s="286" t="s">
        <v>969</v>
      </c>
      <c r="E4707" s="286" t="s">
        <v>1380</v>
      </c>
      <c r="F4707" s="113" t="s">
        <v>922</v>
      </c>
    </row>
    <row r="4708" spans="1:6" ht="14.25" customHeight="1">
      <c r="A4708" s="286" t="s">
        <v>834</v>
      </c>
      <c r="B4708" s="286">
        <v>2023</v>
      </c>
      <c r="C4708" s="286" t="s">
        <v>88</v>
      </c>
      <c r="D4708" s="286" t="s">
        <v>969</v>
      </c>
      <c r="E4708" s="286" t="s">
        <v>1381</v>
      </c>
      <c r="F4708" s="113" t="s">
        <v>922</v>
      </c>
    </row>
    <row r="4709" spans="1:6" ht="14.25" customHeight="1">
      <c r="A4709" s="286" t="s">
        <v>834</v>
      </c>
      <c r="B4709" s="286">
        <v>2023</v>
      </c>
      <c r="C4709" s="286" t="s">
        <v>88</v>
      </c>
      <c r="D4709" s="286" t="s">
        <v>969</v>
      </c>
      <c r="E4709" s="286" t="s">
        <v>989</v>
      </c>
      <c r="F4709" s="113" t="s">
        <v>935</v>
      </c>
    </row>
    <row r="4710" spans="1:6" ht="14.25" customHeight="1">
      <c r="A4710" s="286" t="s">
        <v>834</v>
      </c>
      <c r="B4710" s="286">
        <v>2023</v>
      </c>
      <c r="C4710" s="286" t="s">
        <v>88</v>
      </c>
      <c r="D4710" s="286" t="s">
        <v>969</v>
      </c>
      <c r="E4710" s="286" t="s">
        <v>1382</v>
      </c>
      <c r="F4710" s="113" t="s">
        <v>935</v>
      </c>
    </row>
    <row r="4711" spans="1:6" ht="14.25" customHeight="1">
      <c r="A4711" s="286" t="s">
        <v>834</v>
      </c>
      <c r="B4711" s="286">
        <v>2023</v>
      </c>
      <c r="C4711" s="286" t="s">
        <v>88</v>
      </c>
      <c r="D4711" s="286" t="s">
        <v>988</v>
      </c>
      <c r="E4711" s="286" t="s">
        <v>1383</v>
      </c>
      <c r="F4711" s="113" t="s">
        <v>906</v>
      </c>
    </row>
    <row r="4712" spans="1:6" ht="14.25" customHeight="1">
      <c r="A4712" s="286" t="s">
        <v>834</v>
      </c>
      <c r="B4712" s="286">
        <v>2023</v>
      </c>
      <c r="C4712" s="286" t="s">
        <v>88</v>
      </c>
      <c r="D4712" s="286" t="s">
        <v>988</v>
      </c>
      <c r="E4712" s="287">
        <v>414</v>
      </c>
      <c r="F4712" s="113" t="s">
        <v>917</v>
      </c>
    </row>
    <row r="4713" spans="1:6" ht="14.25" customHeight="1">
      <c r="A4713" s="286" t="s">
        <v>834</v>
      </c>
      <c r="B4713" s="286">
        <v>2023</v>
      </c>
      <c r="C4713" s="286" t="s">
        <v>88</v>
      </c>
      <c r="D4713" s="286" t="s">
        <v>966</v>
      </c>
      <c r="E4713" s="286" t="s">
        <v>1040</v>
      </c>
      <c r="F4713" s="113" t="s">
        <v>913</v>
      </c>
    </row>
    <row r="4714" spans="1:6" ht="14.25" customHeight="1">
      <c r="A4714" s="286" t="s">
        <v>834</v>
      </c>
      <c r="B4714" s="286">
        <v>2023</v>
      </c>
      <c r="C4714" s="286" t="s">
        <v>859</v>
      </c>
      <c r="D4714" s="286" t="s">
        <v>999</v>
      </c>
      <c r="E4714" s="287">
        <v>202</v>
      </c>
      <c r="F4714" s="113" t="s">
        <v>909</v>
      </c>
    </row>
    <row r="4715" spans="1:6" ht="14.25" customHeight="1">
      <c r="A4715" s="286" t="s">
        <v>834</v>
      </c>
      <c r="B4715" s="286">
        <v>2023</v>
      </c>
      <c r="C4715" s="286" t="s">
        <v>859</v>
      </c>
      <c r="D4715" s="286" t="s">
        <v>999</v>
      </c>
      <c r="E4715" s="286" t="s">
        <v>1011</v>
      </c>
      <c r="F4715" s="113" t="s">
        <v>913</v>
      </c>
    </row>
    <row r="4716" spans="1:6" ht="14.25" customHeight="1">
      <c r="A4716" s="286" t="s">
        <v>834</v>
      </c>
      <c r="B4716" s="286">
        <v>2023</v>
      </c>
      <c r="C4716" s="286" t="s">
        <v>859</v>
      </c>
      <c r="D4716" s="286" t="s">
        <v>999</v>
      </c>
      <c r="E4716" s="286" t="s">
        <v>1081</v>
      </c>
      <c r="F4716" s="113" t="s">
        <v>913</v>
      </c>
    </row>
    <row r="4717" spans="1:6" ht="14.25" customHeight="1">
      <c r="A4717" s="286" t="s">
        <v>834</v>
      </c>
      <c r="B4717" s="286">
        <v>2023</v>
      </c>
      <c r="C4717" s="286" t="s">
        <v>859</v>
      </c>
      <c r="D4717" s="286" t="s">
        <v>999</v>
      </c>
      <c r="E4717" s="286" t="s">
        <v>1023</v>
      </c>
      <c r="F4717" s="113" t="s">
        <v>935</v>
      </c>
    </row>
    <row r="4718" spans="1:6" ht="14.25" customHeight="1">
      <c r="A4718" s="286" t="s">
        <v>834</v>
      </c>
      <c r="B4718" s="286">
        <v>2023</v>
      </c>
      <c r="C4718" s="286" t="s">
        <v>859</v>
      </c>
      <c r="D4718" s="286" t="s">
        <v>999</v>
      </c>
      <c r="E4718" s="286" t="s">
        <v>990</v>
      </c>
      <c r="F4718" s="113" t="s">
        <v>935</v>
      </c>
    </row>
    <row r="4719" spans="1:6" ht="14.25" customHeight="1">
      <c r="A4719" s="286" t="s">
        <v>834</v>
      </c>
      <c r="B4719" s="286">
        <v>2023</v>
      </c>
      <c r="C4719" s="286" t="s">
        <v>859</v>
      </c>
      <c r="D4719" s="286" t="s">
        <v>1005</v>
      </c>
      <c r="E4719" s="287">
        <v>106</v>
      </c>
      <c r="F4719" s="113" t="s">
        <v>906</v>
      </c>
    </row>
    <row r="4720" spans="1:6" ht="14.25" customHeight="1">
      <c r="A4720" s="286" t="s">
        <v>834</v>
      </c>
      <c r="B4720" s="286">
        <v>2023</v>
      </c>
      <c r="C4720" s="286" t="s">
        <v>859</v>
      </c>
      <c r="D4720" s="286" t="s">
        <v>1005</v>
      </c>
      <c r="E4720" s="286" t="s">
        <v>1020</v>
      </c>
      <c r="F4720" s="113" t="s">
        <v>909</v>
      </c>
    </row>
    <row r="4721" spans="1:6" ht="14.25" customHeight="1">
      <c r="A4721" s="286" t="s">
        <v>834</v>
      </c>
      <c r="B4721" s="286">
        <v>2023</v>
      </c>
      <c r="C4721" s="286" t="s">
        <v>859</v>
      </c>
      <c r="D4721" s="286" t="s">
        <v>1005</v>
      </c>
      <c r="E4721" s="286" t="s">
        <v>1170</v>
      </c>
      <c r="F4721" s="113" t="s">
        <v>909</v>
      </c>
    </row>
    <row r="4722" spans="1:6" ht="14.25" customHeight="1">
      <c r="A4722" s="286" t="s">
        <v>834</v>
      </c>
      <c r="B4722" s="286">
        <v>2023</v>
      </c>
      <c r="C4722" s="286" t="s">
        <v>859</v>
      </c>
      <c r="D4722" s="286" t="s">
        <v>1005</v>
      </c>
      <c r="E4722" s="286" t="s">
        <v>1102</v>
      </c>
      <c r="F4722" s="113" t="s">
        <v>909</v>
      </c>
    </row>
    <row r="4723" spans="1:6" ht="14.25" customHeight="1">
      <c r="A4723" s="286" t="s">
        <v>834</v>
      </c>
      <c r="B4723" s="286">
        <v>2023</v>
      </c>
      <c r="C4723" s="286" t="s">
        <v>859</v>
      </c>
      <c r="D4723" s="286" t="s">
        <v>1005</v>
      </c>
      <c r="E4723" s="286" t="s">
        <v>1052</v>
      </c>
      <c r="F4723" s="113" t="s">
        <v>909</v>
      </c>
    </row>
    <row r="4724" spans="1:6" ht="14.25" customHeight="1">
      <c r="A4724" s="286" t="s">
        <v>834</v>
      </c>
      <c r="B4724" s="286">
        <v>2023</v>
      </c>
      <c r="C4724" s="286" t="s">
        <v>859</v>
      </c>
      <c r="D4724" s="286" t="s">
        <v>1005</v>
      </c>
      <c r="E4724" s="286" t="s">
        <v>1020</v>
      </c>
      <c r="F4724" s="113" t="s">
        <v>483</v>
      </c>
    </row>
    <row r="4725" spans="1:6" ht="14.25" customHeight="1">
      <c r="A4725" s="286" t="s">
        <v>834</v>
      </c>
      <c r="B4725" s="286">
        <v>2023</v>
      </c>
      <c r="C4725" s="286" t="s">
        <v>859</v>
      </c>
      <c r="D4725" s="286" t="s">
        <v>1005</v>
      </c>
      <c r="E4725" s="286" t="s">
        <v>939</v>
      </c>
      <c r="F4725" s="113" t="s">
        <v>483</v>
      </c>
    </row>
    <row r="4726" spans="1:6" ht="14.25" customHeight="1">
      <c r="A4726" s="286" t="s">
        <v>834</v>
      </c>
      <c r="B4726" s="286">
        <v>2023</v>
      </c>
      <c r="C4726" s="286" t="s">
        <v>859</v>
      </c>
      <c r="D4726" s="286" t="s">
        <v>1005</v>
      </c>
      <c r="E4726" s="287">
        <v>318</v>
      </c>
      <c r="F4726" s="113" t="s">
        <v>663</v>
      </c>
    </row>
    <row r="4727" spans="1:6" ht="14.25" customHeight="1">
      <c r="A4727" s="286" t="s">
        <v>834</v>
      </c>
      <c r="B4727" s="286">
        <v>2023</v>
      </c>
      <c r="C4727" s="286" t="s">
        <v>859</v>
      </c>
      <c r="D4727" s="286" t="s">
        <v>1005</v>
      </c>
      <c r="E4727" s="286" t="s">
        <v>2</v>
      </c>
      <c r="F4727" s="284" t="s">
        <v>1144</v>
      </c>
    </row>
    <row r="4728" spans="1:6" ht="14.25" customHeight="1">
      <c r="A4728" s="286" t="s">
        <v>834</v>
      </c>
      <c r="B4728" s="286">
        <v>2023</v>
      </c>
      <c r="C4728" s="286" t="s">
        <v>859</v>
      </c>
      <c r="D4728" s="286" t="s">
        <v>1005</v>
      </c>
      <c r="E4728" s="286" t="s">
        <v>2</v>
      </c>
      <c r="F4728" s="284" t="s">
        <v>1144</v>
      </c>
    </row>
    <row r="4729" spans="1:6" ht="14.25" customHeight="1">
      <c r="A4729" s="286" t="s">
        <v>834</v>
      </c>
      <c r="B4729" s="286">
        <v>2023</v>
      </c>
      <c r="C4729" s="286" t="s">
        <v>859</v>
      </c>
      <c r="D4729" s="286" t="s">
        <v>1005</v>
      </c>
      <c r="E4729" s="286" t="s">
        <v>2</v>
      </c>
      <c r="F4729" s="284" t="s">
        <v>1144</v>
      </c>
    </row>
    <row r="4730" spans="1:6" ht="14.25" customHeight="1">
      <c r="A4730" s="286" t="s">
        <v>834</v>
      </c>
      <c r="B4730" s="286">
        <v>2023</v>
      </c>
      <c r="C4730" s="286" t="s">
        <v>859</v>
      </c>
      <c r="D4730" s="286" t="s">
        <v>1005</v>
      </c>
      <c r="E4730" s="286" t="s">
        <v>2</v>
      </c>
      <c r="F4730" s="284" t="s">
        <v>1144</v>
      </c>
    </row>
    <row r="4731" spans="1:6" ht="14.25" customHeight="1">
      <c r="A4731" s="286" t="s">
        <v>834</v>
      </c>
      <c r="B4731" s="286">
        <v>2023</v>
      </c>
      <c r="C4731" s="286" t="s">
        <v>859</v>
      </c>
      <c r="D4731" s="286" t="s">
        <v>1005</v>
      </c>
      <c r="E4731" s="286" t="s">
        <v>2</v>
      </c>
      <c r="F4731" s="284" t="s">
        <v>1144</v>
      </c>
    </row>
    <row r="4732" spans="1:6" ht="14.25" customHeight="1">
      <c r="A4732" s="286" t="s">
        <v>834</v>
      </c>
      <c r="B4732" s="286">
        <v>2023</v>
      </c>
      <c r="C4732" s="286" t="s">
        <v>859</v>
      </c>
      <c r="D4732" s="286" t="s">
        <v>1005</v>
      </c>
      <c r="E4732" s="286" t="s">
        <v>2</v>
      </c>
      <c r="F4732" s="284" t="s">
        <v>1144</v>
      </c>
    </row>
    <row r="4733" spans="1:6" ht="14.25" customHeight="1">
      <c r="A4733" s="286" t="s">
        <v>834</v>
      </c>
      <c r="B4733" s="286">
        <v>2023</v>
      </c>
      <c r="C4733" s="286" t="s">
        <v>859</v>
      </c>
      <c r="D4733" s="286" t="s">
        <v>1005</v>
      </c>
      <c r="E4733" s="286" t="s">
        <v>2</v>
      </c>
      <c r="F4733" s="284" t="s">
        <v>1144</v>
      </c>
    </row>
    <row r="4734" spans="1:6" ht="14.25" customHeight="1">
      <c r="A4734" s="286" t="s">
        <v>834</v>
      </c>
      <c r="B4734" s="286">
        <v>2023</v>
      </c>
      <c r="C4734" s="286" t="s">
        <v>859</v>
      </c>
      <c r="D4734" s="286" t="s">
        <v>1005</v>
      </c>
      <c r="E4734" s="286" t="s">
        <v>2</v>
      </c>
      <c r="F4734" s="284" t="s">
        <v>1144</v>
      </c>
    </row>
    <row r="4735" spans="1:6" ht="14.25" customHeight="1">
      <c r="A4735" s="286" t="s">
        <v>834</v>
      </c>
      <c r="B4735" s="286">
        <v>2023</v>
      </c>
      <c r="C4735" s="286" t="s">
        <v>859</v>
      </c>
      <c r="D4735" s="286" t="s">
        <v>1005</v>
      </c>
      <c r="E4735" s="286" t="s">
        <v>2</v>
      </c>
      <c r="F4735" s="284" t="s">
        <v>1144</v>
      </c>
    </row>
    <row r="4736" spans="1:6" ht="14.25" customHeight="1">
      <c r="A4736" s="286" t="s">
        <v>834</v>
      </c>
      <c r="B4736" s="286">
        <v>2023</v>
      </c>
      <c r="C4736" s="286" t="s">
        <v>859</v>
      </c>
      <c r="D4736" s="286" t="s">
        <v>1005</v>
      </c>
      <c r="E4736" s="286" t="s">
        <v>2</v>
      </c>
      <c r="F4736" s="284" t="s">
        <v>1144</v>
      </c>
    </row>
    <row r="4737" spans="1:6" ht="14.25" customHeight="1">
      <c r="A4737" s="286" t="s">
        <v>834</v>
      </c>
      <c r="B4737" s="286">
        <v>2023</v>
      </c>
      <c r="C4737" s="286" t="s">
        <v>859</v>
      </c>
      <c r="D4737" s="286" t="s">
        <v>1005</v>
      </c>
      <c r="E4737" s="286" t="s">
        <v>2</v>
      </c>
      <c r="F4737" s="284" t="s">
        <v>1144</v>
      </c>
    </row>
    <row r="4738" spans="1:6" ht="14.25" customHeight="1">
      <c r="A4738" s="286" t="s">
        <v>834</v>
      </c>
      <c r="B4738" s="286">
        <v>2023</v>
      </c>
      <c r="C4738" s="286" t="s">
        <v>859</v>
      </c>
      <c r="D4738" s="286" t="s">
        <v>1005</v>
      </c>
      <c r="E4738" s="286" t="s">
        <v>2</v>
      </c>
      <c r="F4738" s="284" t="s">
        <v>1144</v>
      </c>
    </row>
    <row r="4739" spans="1:6" ht="14.25" customHeight="1">
      <c r="A4739" s="286" t="s">
        <v>834</v>
      </c>
      <c r="B4739" s="286">
        <v>2023</v>
      </c>
      <c r="C4739" s="286" t="s">
        <v>859</v>
      </c>
      <c r="D4739" s="286" t="s">
        <v>1005</v>
      </c>
      <c r="E4739" s="286" t="s">
        <v>2</v>
      </c>
      <c r="F4739" s="284" t="s">
        <v>1144</v>
      </c>
    </row>
    <row r="4740" spans="1:6" ht="14.25" customHeight="1">
      <c r="A4740" s="286" t="s">
        <v>834</v>
      </c>
      <c r="B4740" s="286">
        <v>2023</v>
      </c>
      <c r="C4740" s="286" t="s">
        <v>859</v>
      </c>
      <c r="D4740" s="286" t="s">
        <v>1005</v>
      </c>
      <c r="E4740" s="286" t="s">
        <v>2</v>
      </c>
      <c r="F4740" s="284" t="s">
        <v>1144</v>
      </c>
    </row>
    <row r="4741" spans="1:6" ht="14.25" customHeight="1">
      <c r="A4741" s="286" t="s">
        <v>834</v>
      </c>
      <c r="B4741" s="286">
        <v>2023</v>
      </c>
      <c r="C4741" s="286" t="s">
        <v>859</v>
      </c>
      <c r="D4741" s="286" t="s">
        <v>1005</v>
      </c>
      <c r="E4741" s="286" t="s">
        <v>2</v>
      </c>
      <c r="F4741" s="284" t="s">
        <v>1144</v>
      </c>
    </row>
    <row r="4742" spans="1:6" ht="14.25" customHeight="1">
      <c r="A4742" s="286" t="s">
        <v>834</v>
      </c>
      <c r="B4742" s="286">
        <v>2023</v>
      </c>
      <c r="C4742" s="286" t="s">
        <v>859</v>
      </c>
      <c r="D4742" s="286" t="s">
        <v>1005</v>
      </c>
      <c r="E4742" s="286" t="s">
        <v>2</v>
      </c>
      <c r="F4742" s="284" t="s">
        <v>1144</v>
      </c>
    </row>
    <row r="4743" spans="1:6" ht="14.25" customHeight="1">
      <c r="A4743" s="286" t="s">
        <v>834</v>
      </c>
      <c r="B4743" s="286">
        <v>2023</v>
      </c>
      <c r="C4743" s="286" t="s">
        <v>859</v>
      </c>
      <c r="D4743" s="286" t="s">
        <v>1005</v>
      </c>
      <c r="E4743" s="286" t="s">
        <v>1414</v>
      </c>
      <c r="F4743" s="284" t="s">
        <v>1144</v>
      </c>
    </row>
    <row r="4744" spans="1:6" ht="14.25" customHeight="1">
      <c r="A4744" s="286" t="s">
        <v>834</v>
      </c>
      <c r="B4744" s="286">
        <v>2023</v>
      </c>
      <c r="C4744" s="286" t="s">
        <v>859</v>
      </c>
      <c r="D4744" s="286" t="s">
        <v>1000</v>
      </c>
      <c r="E4744" s="287">
        <v>106</v>
      </c>
      <c r="F4744" s="113" t="s">
        <v>906</v>
      </c>
    </row>
    <row r="4745" spans="1:6" ht="14.25" customHeight="1">
      <c r="A4745" s="286" t="s">
        <v>834</v>
      </c>
      <c r="B4745" s="286">
        <v>2023</v>
      </c>
      <c r="C4745" s="286" t="s">
        <v>859</v>
      </c>
      <c r="D4745" s="286" t="s">
        <v>1000</v>
      </c>
      <c r="E4745" s="287">
        <v>107</v>
      </c>
      <c r="F4745" s="113" t="s">
        <v>906</v>
      </c>
    </row>
    <row r="4746" spans="1:6" ht="14.25" customHeight="1">
      <c r="A4746" s="286" t="s">
        <v>834</v>
      </c>
      <c r="B4746" s="286">
        <v>2023</v>
      </c>
      <c r="C4746" s="286" t="s">
        <v>859</v>
      </c>
      <c r="D4746" s="286" t="s">
        <v>1000</v>
      </c>
      <c r="E4746" s="286" t="s">
        <v>971</v>
      </c>
      <c r="F4746" s="113" t="s">
        <v>909</v>
      </c>
    </row>
    <row r="4747" spans="1:6" ht="14.25" customHeight="1">
      <c r="A4747" s="286" t="s">
        <v>834</v>
      </c>
      <c r="B4747" s="286">
        <v>2023</v>
      </c>
      <c r="C4747" s="286" t="s">
        <v>859</v>
      </c>
      <c r="D4747" s="286" t="s">
        <v>1000</v>
      </c>
      <c r="E4747" s="286" t="s">
        <v>1214</v>
      </c>
      <c r="F4747" s="113" t="s">
        <v>909</v>
      </c>
    </row>
    <row r="4748" spans="1:6" ht="14.25" customHeight="1">
      <c r="A4748" s="286" t="s">
        <v>834</v>
      </c>
      <c r="B4748" s="286">
        <v>2023</v>
      </c>
      <c r="C4748" s="286" t="s">
        <v>859</v>
      </c>
      <c r="D4748" s="286" t="s">
        <v>1000</v>
      </c>
      <c r="E4748" s="286" t="s">
        <v>939</v>
      </c>
      <c r="F4748" s="113" t="s">
        <v>909</v>
      </c>
    </row>
    <row r="4749" spans="1:6" ht="14.25" customHeight="1">
      <c r="A4749" s="286" t="s">
        <v>834</v>
      </c>
      <c r="B4749" s="286">
        <v>2023</v>
      </c>
      <c r="C4749" s="286" t="s">
        <v>859</v>
      </c>
      <c r="D4749" s="286" t="s">
        <v>1000</v>
      </c>
      <c r="E4749" s="286" t="s">
        <v>1124</v>
      </c>
      <c r="F4749" s="113" t="s">
        <v>483</v>
      </c>
    </row>
    <row r="4750" spans="1:6" ht="14.25" customHeight="1">
      <c r="A4750" s="286" t="s">
        <v>834</v>
      </c>
      <c r="B4750" s="286">
        <v>2023</v>
      </c>
      <c r="C4750" s="286" t="s">
        <v>859</v>
      </c>
      <c r="D4750" s="286" t="s">
        <v>1000</v>
      </c>
      <c r="E4750" s="286" t="s">
        <v>1384</v>
      </c>
      <c r="F4750" s="113" t="s">
        <v>663</v>
      </c>
    </row>
    <row r="4751" spans="1:6" ht="14.25" customHeight="1">
      <c r="A4751" s="286" t="s">
        <v>834</v>
      </c>
      <c r="B4751" s="286">
        <v>2023</v>
      </c>
      <c r="C4751" s="286" t="s">
        <v>859</v>
      </c>
      <c r="D4751" s="286" t="s">
        <v>1000</v>
      </c>
      <c r="E4751" s="287">
        <v>321</v>
      </c>
      <c r="F4751" s="113" t="s">
        <v>663</v>
      </c>
    </row>
    <row r="4752" spans="1:6" ht="14.25" customHeight="1">
      <c r="A4752" s="286" t="s">
        <v>834</v>
      </c>
      <c r="B4752" s="286">
        <v>2023</v>
      </c>
      <c r="C4752" s="286" t="s">
        <v>859</v>
      </c>
      <c r="D4752" s="286" t="s">
        <v>1000</v>
      </c>
      <c r="E4752" s="286" t="s">
        <v>994</v>
      </c>
      <c r="F4752" s="113" t="s">
        <v>663</v>
      </c>
    </row>
    <row r="4753" spans="1:6" ht="14.25" customHeight="1">
      <c r="A4753" s="286" t="s">
        <v>834</v>
      </c>
      <c r="B4753" s="286">
        <v>2023</v>
      </c>
      <c r="C4753" s="286" t="s">
        <v>859</v>
      </c>
      <c r="D4753" s="286" t="s">
        <v>1000</v>
      </c>
      <c r="E4753" s="286" t="s">
        <v>941</v>
      </c>
      <c r="F4753" s="113" t="s">
        <v>663</v>
      </c>
    </row>
    <row r="4754" spans="1:6" ht="14.25" customHeight="1">
      <c r="A4754" s="286" t="s">
        <v>834</v>
      </c>
      <c r="B4754" s="286">
        <v>2023</v>
      </c>
      <c r="C4754" s="286" t="s">
        <v>859</v>
      </c>
      <c r="D4754" s="286" t="s">
        <v>1000</v>
      </c>
      <c r="E4754" s="287">
        <v>401</v>
      </c>
      <c r="F4754" s="113" t="s">
        <v>918</v>
      </c>
    </row>
    <row r="4755" spans="1:6" ht="14.25" customHeight="1">
      <c r="A4755" s="286" t="s">
        <v>834</v>
      </c>
      <c r="B4755" s="286">
        <v>2023</v>
      </c>
      <c r="C4755" s="286" t="s">
        <v>859</v>
      </c>
      <c r="D4755" s="286" t="s">
        <v>1000</v>
      </c>
      <c r="E4755" s="287">
        <v>408</v>
      </c>
      <c r="F4755" s="113" t="s">
        <v>783</v>
      </c>
    </row>
    <row r="4756" spans="1:6" ht="14.25" customHeight="1">
      <c r="A4756" s="286" t="s">
        <v>834</v>
      </c>
      <c r="B4756" s="286">
        <v>2023</v>
      </c>
      <c r="C4756" s="286" t="s">
        <v>859</v>
      </c>
      <c r="D4756" s="286" t="s">
        <v>1000</v>
      </c>
      <c r="E4756" s="286" t="s">
        <v>2</v>
      </c>
      <c r="F4756" s="284" t="s">
        <v>1144</v>
      </c>
    </row>
    <row r="4757" spans="1:6" ht="14.25" customHeight="1">
      <c r="A4757" s="286" t="s">
        <v>834</v>
      </c>
      <c r="B4757" s="286">
        <v>2023</v>
      </c>
      <c r="C4757" s="286" t="s">
        <v>859</v>
      </c>
      <c r="D4757" s="286" t="s">
        <v>1000</v>
      </c>
      <c r="E4757" s="286" t="s">
        <v>2</v>
      </c>
      <c r="F4757" s="284" t="s">
        <v>1144</v>
      </c>
    </row>
    <row r="4758" spans="1:6" ht="14.25" customHeight="1">
      <c r="A4758" s="286" t="s">
        <v>834</v>
      </c>
      <c r="B4758" s="286">
        <v>2023</v>
      </c>
      <c r="C4758" s="286" t="s">
        <v>859</v>
      </c>
      <c r="D4758" s="286" t="s">
        <v>1000</v>
      </c>
      <c r="E4758" s="286" t="s">
        <v>2</v>
      </c>
      <c r="F4758" s="284" t="s">
        <v>1144</v>
      </c>
    </row>
    <row r="4759" spans="1:6" ht="14.25" customHeight="1">
      <c r="A4759" s="286" t="s">
        <v>834</v>
      </c>
      <c r="B4759" s="286">
        <v>2023</v>
      </c>
      <c r="C4759" s="286" t="s">
        <v>859</v>
      </c>
      <c r="D4759" s="286" t="s">
        <v>1000</v>
      </c>
      <c r="E4759" s="286" t="s">
        <v>2</v>
      </c>
      <c r="F4759" s="284" t="s">
        <v>1144</v>
      </c>
    </row>
    <row r="4760" spans="1:6" ht="14.25" customHeight="1">
      <c r="A4760" s="286" t="s">
        <v>834</v>
      </c>
      <c r="B4760" s="286">
        <v>2023</v>
      </c>
      <c r="C4760" s="286" t="s">
        <v>859</v>
      </c>
      <c r="D4760" s="286" t="s">
        <v>1000</v>
      </c>
      <c r="E4760" s="286" t="s">
        <v>2</v>
      </c>
      <c r="F4760" s="284" t="s">
        <v>1144</v>
      </c>
    </row>
    <row r="4761" spans="1:6" ht="14.25" customHeight="1">
      <c r="A4761" s="286" t="s">
        <v>834</v>
      </c>
      <c r="B4761" s="286">
        <v>2023</v>
      </c>
      <c r="C4761" s="286" t="s">
        <v>859</v>
      </c>
      <c r="D4761" s="286" t="s">
        <v>1000</v>
      </c>
      <c r="E4761" s="286" t="s">
        <v>2</v>
      </c>
      <c r="F4761" s="284" t="s">
        <v>1144</v>
      </c>
    </row>
    <row r="4762" spans="1:6" ht="14.25" customHeight="1">
      <c r="A4762" s="286" t="s">
        <v>834</v>
      </c>
      <c r="B4762" s="286">
        <v>2023</v>
      </c>
      <c r="C4762" s="286" t="s">
        <v>859</v>
      </c>
      <c r="D4762" s="286" t="s">
        <v>1000</v>
      </c>
      <c r="E4762" s="286" t="s">
        <v>2</v>
      </c>
      <c r="F4762" s="284" t="s">
        <v>1144</v>
      </c>
    </row>
    <row r="4763" spans="1:6" ht="14.25" customHeight="1">
      <c r="A4763" s="286" t="s">
        <v>834</v>
      </c>
      <c r="B4763" s="286">
        <v>2023</v>
      </c>
      <c r="C4763" s="286" t="s">
        <v>859</v>
      </c>
      <c r="D4763" s="286" t="s">
        <v>1000</v>
      </c>
      <c r="E4763" s="286" t="s">
        <v>2</v>
      </c>
      <c r="F4763" s="284" t="s">
        <v>1144</v>
      </c>
    </row>
    <row r="4764" spans="1:6" ht="14.25" customHeight="1">
      <c r="A4764" s="286" t="s">
        <v>834</v>
      </c>
      <c r="B4764" s="286">
        <v>2023</v>
      </c>
      <c r="C4764" s="286" t="s">
        <v>859</v>
      </c>
      <c r="D4764" s="286" t="s">
        <v>1000</v>
      </c>
      <c r="E4764" s="286" t="s">
        <v>2</v>
      </c>
      <c r="F4764" s="284" t="s">
        <v>1144</v>
      </c>
    </row>
    <row r="4765" spans="1:6" ht="14.25" customHeight="1">
      <c r="A4765" s="286" t="s">
        <v>834</v>
      </c>
      <c r="B4765" s="286">
        <v>2023</v>
      </c>
      <c r="C4765" s="286" t="s">
        <v>859</v>
      </c>
      <c r="D4765" s="286" t="s">
        <v>1000</v>
      </c>
      <c r="E4765" s="286" t="s">
        <v>2</v>
      </c>
      <c r="F4765" s="284" t="s">
        <v>1144</v>
      </c>
    </row>
    <row r="4766" spans="1:6" ht="14.25" customHeight="1">
      <c r="A4766" s="286" t="s">
        <v>834</v>
      </c>
      <c r="B4766" s="286">
        <v>2023</v>
      </c>
      <c r="C4766" s="286" t="s">
        <v>859</v>
      </c>
      <c r="D4766" s="286" t="s">
        <v>1000</v>
      </c>
      <c r="E4766" s="286" t="s">
        <v>2</v>
      </c>
      <c r="F4766" s="284" t="s">
        <v>1144</v>
      </c>
    </row>
    <row r="4767" spans="1:6" ht="14.25" customHeight="1">
      <c r="A4767" s="286" t="s">
        <v>834</v>
      </c>
      <c r="B4767" s="286">
        <v>2023</v>
      </c>
      <c r="C4767" s="286" t="s">
        <v>859</v>
      </c>
      <c r="D4767" s="286" t="s">
        <v>1000</v>
      </c>
      <c r="E4767" s="286" t="s">
        <v>2</v>
      </c>
      <c r="F4767" s="284" t="s">
        <v>1144</v>
      </c>
    </row>
    <row r="4768" spans="1:6" ht="14.25" customHeight="1">
      <c r="A4768" s="286" t="s">
        <v>834</v>
      </c>
      <c r="B4768" s="286">
        <v>2023</v>
      </c>
      <c r="C4768" s="286" t="s">
        <v>859</v>
      </c>
      <c r="D4768" s="286" t="s">
        <v>1000</v>
      </c>
      <c r="E4768" s="286" t="s">
        <v>2</v>
      </c>
      <c r="F4768" s="284" t="s">
        <v>1144</v>
      </c>
    </row>
    <row r="4769" spans="1:6" ht="14.25" customHeight="1">
      <c r="A4769" s="286" t="s">
        <v>834</v>
      </c>
      <c r="B4769" s="286">
        <v>2023</v>
      </c>
      <c r="C4769" s="286" t="s">
        <v>859</v>
      </c>
      <c r="D4769" s="286" t="s">
        <v>1000</v>
      </c>
      <c r="E4769" s="286" t="s">
        <v>2</v>
      </c>
      <c r="F4769" s="284" t="s">
        <v>1144</v>
      </c>
    </row>
    <row r="4770" spans="1:6" ht="14.25" customHeight="1">
      <c r="A4770" s="286" t="s">
        <v>834</v>
      </c>
      <c r="B4770" s="286">
        <v>2023</v>
      </c>
      <c r="C4770" s="286" t="s">
        <v>859</v>
      </c>
      <c r="D4770" s="286" t="s">
        <v>1000</v>
      </c>
      <c r="E4770" s="286" t="s">
        <v>2</v>
      </c>
      <c r="F4770" s="284" t="s">
        <v>1144</v>
      </c>
    </row>
    <row r="4771" spans="1:6" ht="14.25" customHeight="1">
      <c r="A4771" s="286" t="s">
        <v>834</v>
      </c>
      <c r="B4771" s="286">
        <v>2023</v>
      </c>
      <c r="C4771" s="286" t="s">
        <v>859</v>
      </c>
      <c r="D4771" s="286" t="s">
        <v>1000</v>
      </c>
      <c r="E4771" s="286" t="s">
        <v>2</v>
      </c>
      <c r="F4771" s="284" t="s">
        <v>1144</v>
      </c>
    </row>
    <row r="4772" spans="1:6" ht="14.25" customHeight="1">
      <c r="A4772" s="286" t="s">
        <v>834</v>
      </c>
      <c r="B4772" s="286">
        <v>2023</v>
      </c>
      <c r="C4772" s="286" t="s">
        <v>859</v>
      </c>
      <c r="D4772" s="286" t="s">
        <v>1000</v>
      </c>
      <c r="E4772" s="286" t="s">
        <v>2</v>
      </c>
      <c r="F4772" s="284" t="s">
        <v>1144</v>
      </c>
    </row>
    <row r="4773" spans="1:6" ht="14.25" customHeight="1">
      <c r="A4773" s="286" t="s">
        <v>834</v>
      </c>
      <c r="B4773" s="286">
        <v>2023</v>
      </c>
      <c r="C4773" s="286" t="s">
        <v>859</v>
      </c>
      <c r="D4773" s="286" t="s">
        <v>1000</v>
      </c>
      <c r="E4773" s="286" t="s">
        <v>2</v>
      </c>
      <c r="F4773" s="284" t="s">
        <v>1144</v>
      </c>
    </row>
    <row r="4774" spans="1:6" ht="14.25" customHeight="1">
      <c r="A4774" s="286" t="s">
        <v>834</v>
      </c>
      <c r="B4774" s="286">
        <v>2023</v>
      </c>
      <c r="C4774" s="286" t="s">
        <v>859</v>
      </c>
      <c r="D4774" s="286" t="s">
        <v>1000</v>
      </c>
      <c r="E4774" s="286" t="s">
        <v>2</v>
      </c>
      <c r="F4774" s="284" t="s">
        <v>1144</v>
      </c>
    </row>
    <row r="4775" spans="1:6" ht="14.25" customHeight="1">
      <c r="A4775" s="286" t="s">
        <v>834</v>
      </c>
      <c r="B4775" s="286">
        <v>2023</v>
      </c>
      <c r="C4775" s="286" t="s">
        <v>859</v>
      </c>
      <c r="D4775" s="286" t="s">
        <v>1000</v>
      </c>
      <c r="E4775" s="286" t="s">
        <v>2</v>
      </c>
      <c r="F4775" s="284" t="s">
        <v>1144</v>
      </c>
    </row>
    <row r="4776" spans="1:6" ht="14.25" customHeight="1">
      <c r="A4776" s="286" t="s">
        <v>834</v>
      </c>
      <c r="B4776" s="286">
        <v>2023</v>
      </c>
      <c r="C4776" s="286" t="s">
        <v>859</v>
      </c>
      <c r="D4776" s="286" t="s">
        <v>1000</v>
      </c>
      <c r="E4776" s="286" t="s">
        <v>2</v>
      </c>
      <c r="F4776" s="284" t="s">
        <v>1144</v>
      </c>
    </row>
    <row r="4777" spans="1:6" ht="14.25" customHeight="1">
      <c r="A4777" s="286" t="s">
        <v>834</v>
      </c>
      <c r="B4777" s="286">
        <v>2023</v>
      </c>
      <c r="C4777" s="286" t="s">
        <v>859</v>
      </c>
      <c r="D4777" s="286" t="s">
        <v>1000</v>
      </c>
      <c r="E4777" s="286" t="s">
        <v>2</v>
      </c>
      <c r="F4777" s="284" t="s">
        <v>1144</v>
      </c>
    </row>
    <row r="4778" spans="1:6" ht="14.25" customHeight="1">
      <c r="A4778" s="286" t="s">
        <v>834</v>
      </c>
      <c r="B4778" s="286">
        <v>2023</v>
      </c>
      <c r="C4778" s="286" t="s">
        <v>859</v>
      </c>
      <c r="D4778" s="286" t="s">
        <v>1000</v>
      </c>
      <c r="E4778" s="286" t="s">
        <v>2</v>
      </c>
      <c r="F4778" s="284" t="s">
        <v>1144</v>
      </c>
    </row>
    <row r="4779" spans="1:6" ht="14.25" customHeight="1">
      <c r="A4779" s="286" t="s">
        <v>834</v>
      </c>
      <c r="B4779" s="286">
        <v>2023</v>
      </c>
      <c r="C4779" s="286" t="s">
        <v>859</v>
      </c>
      <c r="D4779" s="286" t="s">
        <v>1000</v>
      </c>
      <c r="E4779" s="286" t="s">
        <v>2</v>
      </c>
      <c r="F4779" s="284" t="s">
        <v>1144</v>
      </c>
    </row>
    <row r="4780" spans="1:6" ht="14.25" customHeight="1">
      <c r="A4780" s="286" t="s">
        <v>834</v>
      </c>
      <c r="B4780" s="286">
        <v>2023</v>
      </c>
      <c r="C4780" s="286" t="s">
        <v>859</v>
      </c>
      <c r="D4780" s="286" t="s">
        <v>1000</v>
      </c>
      <c r="E4780" s="286" t="s">
        <v>2</v>
      </c>
      <c r="F4780" s="284" t="s">
        <v>1144</v>
      </c>
    </row>
    <row r="4781" spans="1:6" ht="14.25" customHeight="1">
      <c r="A4781" s="286" t="s">
        <v>834</v>
      </c>
      <c r="B4781" s="286">
        <v>2023</v>
      </c>
      <c r="C4781" s="286" t="s">
        <v>859</v>
      </c>
      <c r="D4781" s="286" t="s">
        <v>1000</v>
      </c>
      <c r="E4781" s="286" t="s">
        <v>2</v>
      </c>
      <c r="F4781" s="284" t="s">
        <v>1144</v>
      </c>
    </row>
    <row r="4782" spans="1:6" ht="14.25" customHeight="1">
      <c r="A4782" s="286" t="s">
        <v>834</v>
      </c>
      <c r="B4782" s="286">
        <v>2023</v>
      </c>
      <c r="C4782" s="286" t="s">
        <v>859</v>
      </c>
      <c r="D4782" s="286" t="s">
        <v>1000</v>
      </c>
      <c r="E4782" s="286" t="s">
        <v>2</v>
      </c>
      <c r="F4782" s="284" t="s">
        <v>1144</v>
      </c>
    </row>
    <row r="4783" spans="1:6" ht="14.25" customHeight="1">
      <c r="A4783" s="286" t="s">
        <v>834</v>
      </c>
      <c r="B4783" s="286">
        <v>2023</v>
      </c>
      <c r="C4783" s="286" t="s">
        <v>859</v>
      </c>
      <c r="D4783" s="286" t="s">
        <v>1000</v>
      </c>
      <c r="E4783" s="286" t="s">
        <v>2</v>
      </c>
      <c r="F4783" s="284" t="s">
        <v>1144</v>
      </c>
    </row>
    <row r="4784" spans="1:6" ht="14.25" customHeight="1">
      <c r="A4784" s="286" t="s">
        <v>834</v>
      </c>
      <c r="B4784" s="286">
        <v>2023</v>
      </c>
      <c r="C4784" s="286" t="s">
        <v>859</v>
      </c>
      <c r="D4784" s="286" t="s">
        <v>1000</v>
      </c>
      <c r="E4784" s="286" t="s">
        <v>2</v>
      </c>
      <c r="F4784" s="284" t="s">
        <v>1144</v>
      </c>
    </row>
    <row r="4785" spans="1:6" ht="14.25" customHeight="1">
      <c r="A4785" s="286" t="s">
        <v>834</v>
      </c>
      <c r="B4785" s="286">
        <v>2023</v>
      </c>
      <c r="C4785" s="286" t="s">
        <v>859</v>
      </c>
      <c r="D4785" s="286" t="s">
        <v>1000</v>
      </c>
      <c r="E4785" s="286" t="s">
        <v>2</v>
      </c>
      <c r="F4785" s="284" t="s">
        <v>1144</v>
      </c>
    </row>
    <row r="4786" spans="1:6" ht="14.25" customHeight="1">
      <c r="A4786" s="286" t="s">
        <v>834</v>
      </c>
      <c r="B4786" s="286">
        <v>2023</v>
      </c>
      <c r="C4786" s="286" t="s">
        <v>859</v>
      </c>
      <c r="D4786" s="286" t="s">
        <v>998</v>
      </c>
      <c r="E4786" s="287">
        <v>214</v>
      </c>
      <c r="F4786" s="113" t="s">
        <v>909</v>
      </c>
    </row>
    <row r="4787" spans="1:6" ht="14.25" customHeight="1">
      <c r="A4787" s="286" t="s">
        <v>834</v>
      </c>
      <c r="B4787" s="286">
        <v>2023</v>
      </c>
      <c r="C4787" s="286" t="s">
        <v>859</v>
      </c>
      <c r="D4787" s="286" t="s">
        <v>998</v>
      </c>
      <c r="E4787" s="287">
        <v>712</v>
      </c>
      <c r="F4787" s="113" t="s">
        <v>922</v>
      </c>
    </row>
    <row r="4788" spans="1:6" ht="14.25" customHeight="1">
      <c r="A4788" s="286" t="s">
        <v>834</v>
      </c>
      <c r="B4788" s="286">
        <v>2023</v>
      </c>
      <c r="C4788" s="286" t="s">
        <v>859</v>
      </c>
      <c r="D4788" s="286" t="s">
        <v>1208</v>
      </c>
      <c r="E4788" s="286" t="s">
        <v>1170</v>
      </c>
      <c r="F4788" s="113" t="s">
        <v>909</v>
      </c>
    </row>
    <row r="4789" spans="1:6" ht="14.25" customHeight="1">
      <c r="A4789" s="286" t="s">
        <v>834</v>
      </c>
      <c r="B4789" s="286">
        <v>2023</v>
      </c>
      <c r="C4789" s="286" t="s">
        <v>859</v>
      </c>
      <c r="D4789" s="286" t="s">
        <v>1208</v>
      </c>
      <c r="E4789" s="286" t="s">
        <v>946</v>
      </c>
      <c r="F4789" s="286" t="s">
        <v>1385</v>
      </c>
    </row>
    <row r="4790" spans="1:6" ht="14.25" customHeight="1">
      <c r="A4790" s="286" t="s">
        <v>834</v>
      </c>
      <c r="B4790" s="286">
        <v>2023</v>
      </c>
      <c r="C4790" s="286" t="s">
        <v>859</v>
      </c>
      <c r="D4790" s="286" t="s">
        <v>1208</v>
      </c>
      <c r="E4790" s="287">
        <v>714</v>
      </c>
      <c r="F4790" s="113" t="s">
        <v>922</v>
      </c>
    </row>
    <row r="4791" spans="1:6" ht="14.25" customHeight="1">
      <c r="A4791" s="286" t="s">
        <v>834</v>
      </c>
      <c r="B4791" s="286">
        <v>2023</v>
      </c>
      <c r="C4791" s="286" t="s">
        <v>859</v>
      </c>
      <c r="D4791" s="286" t="s">
        <v>1208</v>
      </c>
      <c r="E4791" s="286" t="s">
        <v>1019</v>
      </c>
      <c r="F4791" s="113" t="s">
        <v>922</v>
      </c>
    </row>
    <row r="4792" spans="1:6" ht="14.25" customHeight="1">
      <c r="A4792" s="286" t="s">
        <v>834</v>
      </c>
      <c r="B4792" s="286">
        <v>2023</v>
      </c>
      <c r="C4792" s="286" t="s">
        <v>1024</v>
      </c>
      <c r="D4792" s="286" t="s">
        <v>1025</v>
      </c>
      <c r="E4792" s="286" t="s">
        <v>1415</v>
      </c>
      <c r="F4792" s="113" t="s">
        <v>906</v>
      </c>
    </row>
    <row r="4793" spans="1:6" ht="14.25" customHeight="1">
      <c r="A4793" s="286" t="s">
        <v>834</v>
      </c>
      <c r="B4793" s="286">
        <v>2023</v>
      </c>
      <c r="C4793" s="286" t="s">
        <v>1024</v>
      </c>
      <c r="D4793" s="286" t="s">
        <v>1025</v>
      </c>
      <c r="E4793" s="286" t="s">
        <v>1386</v>
      </c>
      <c r="F4793" s="113" t="s">
        <v>483</v>
      </c>
    </row>
    <row r="4794" spans="1:6" ht="14.25" customHeight="1">
      <c r="A4794" s="286" t="s">
        <v>834</v>
      </c>
      <c r="B4794" s="286">
        <v>2023</v>
      </c>
      <c r="C4794" s="286" t="s">
        <v>1024</v>
      </c>
      <c r="D4794" s="286" t="s">
        <v>1025</v>
      </c>
      <c r="E4794" s="286" t="s">
        <v>1416</v>
      </c>
      <c r="F4794" s="113" t="s">
        <v>663</v>
      </c>
    </row>
    <row r="4795" spans="1:6" ht="14.25" customHeight="1">
      <c r="A4795" s="286" t="s">
        <v>834</v>
      </c>
      <c r="B4795" s="286">
        <v>2023</v>
      </c>
      <c r="C4795" s="286" t="s">
        <v>1024</v>
      </c>
      <c r="D4795" s="286" t="s">
        <v>1025</v>
      </c>
      <c r="E4795" s="286" t="s">
        <v>1387</v>
      </c>
      <c r="F4795" s="113" t="s">
        <v>783</v>
      </c>
    </row>
    <row r="4796" spans="1:6" ht="14.25" customHeight="1">
      <c r="A4796" s="286" t="s">
        <v>834</v>
      </c>
      <c r="B4796" s="286">
        <v>2023</v>
      </c>
      <c r="C4796" s="286" t="s">
        <v>1024</v>
      </c>
      <c r="D4796" s="286" t="s">
        <v>1025</v>
      </c>
      <c r="E4796" s="286" t="s">
        <v>1388</v>
      </c>
      <c r="F4796" s="113" t="s">
        <v>935</v>
      </c>
    </row>
    <row r="4797" spans="1:6" ht="14.25" customHeight="1">
      <c r="A4797" s="286" t="s">
        <v>834</v>
      </c>
      <c r="B4797" s="286">
        <v>2023</v>
      </c>
      <c r="C4797" s="286" t="s">
        <v>1024</v>
      </c>
      <c r="D4797" s="286" t="s">
        <v>1025</v>
      </c>
      <c r="E4797" s="286" t="s">
        <v>1388</v>
      </c>
      <c r="F4797" s="113" t="s">
        <v>935</v>
      </c>
    </row>
    <row r="4798" spans="1:6" ht="14.25" customHeight="1">
      <c r="A4798" s="286" t="s">
        <v>834</v>
      </c>
      <c r="B4798" s="286">
        <v>2023</v>
      </c>
      <c r="C4798" s="286" t="s">
        <v>1024</v>
      </c>
      <c r="D4798" s="286" t="s">
        <v>1025</v>
      </c>
      <c r="E4798" s="287">
        <v>701</v>
      </c>
      <c r="F4798" s="113" t="s">
        <v>922</v>
      </c>
    </row>
    <row r="4799" spans="1:6" ht="14.25" customHeight="1">
      <c r="A4799" s="286" t="s">
        <v>834</v>
      </c>
      <c r="B4799" s="286">
        <v>2023</v>
      </c>
      <c r="C4799" s="286" t="s">
        <v>1024</v>
      </c>
      <c r="D4799" s="286" t="s">
        <v>1027</v>
      </c>
      <c r="E4799" s="286" t="s">
        <v>1041</v>
      </c>
      <c r="F4799" s="113" t="s">
        <v>906</v>
      </c>
    </row>
    <row r="4800" spans="1:6" ht="14.25" customHeight="1">
      <c r="A4800" s="286" t="s">
        <v>834</v>
      </c>
      <c r="B4800" s="286">
        <v>2023</v>
      </c>
      <c r="C4800" s="286" t="s">
        <v>1024</v>
      </c>
      <c r="D4800" s="286" t="s">
        <v>1027</v>
      </c>
      <c r="E4800" s="286" t="s">
        <v>2</v>
      </c>
      <c r="F4800" s="113" t="s">
        <v>913</v>
      </c>
    </row>
    <row r="4801" spans="1:6" ht="14.25" customHeight="1">
      <c r="A4801" s="286" t="s">
        <v>834</v>
      </c>
      <c r="B4801" s="286">
        <v>2023</v>
      </c>
      <c r="C4801" s="286" t="s">
        <v>1024</v>
      </c>
      <c r="D4801" s="286" t="s">
        <v>1027</v>
      </c>
      <c r="E4801" s="286" t="s">
        <v>1088</v>
      </c>
      <c r="F4801" s="113" t="s">
        <v>915</v>
      </c>
    </row>
    <row r="4802" spans="1:6" ht="14.25" customHeight="1">
      <c r="A4802" s="286" t="s">
        <v>834</v>
      </c>
      <c r="B4802" s="286">
        <v>2023</v>
      </c>
      <c r="C4802" s="286" t="s">
        <v>1024</v>
      </c>
      <c r="D4802" s="286" t="s">
        <v>1027</v>
      </c>
      <c r="E4802" s="286" t="s">
        <v>1389</v>
      </c>
      <c r="F4802" s="113" t="s">
        <v>918</v>
      </c>
    </row>
    <row r="4803" spans="1:6" ht="14.25" customHeight="1">
      <c r="A4803" s="286" t="s">
        <v>834</v>
      </c>
      <c r="B4803" s="286">
        <v>2023</v>
      </c>
      <c r="C4803" s="286" t="s">
        <v>1024</v>
      </c>
      <c r="D4803" s="286" t="s">
        <v>1027</v>
      </c>
      <c r="E4803" s="286" t="s">
        <v>1389</v>
      </c>
      <c r="F4803" s="113" t="s">
        <v>918</v>
      </c>
    </row>
    <row r="4804" spans="1:6" ht="14.25" customHeight="1">
      <c r="A4804" s="286" t="s">
        <v>834</v>
      </c>
      <c r="B4804" s="286">
        <v>2023</v>
      </c>
      <c r="C4804" s="286" t="s">
        <v>1024</v>
      </c>
      <c r="D4804" s="286" t="s">
        <v>1027</v>
      </c>
      <c r="E4804" s="286" t="s">
        <v>1389</v>
      </c>
      <c r="F4804" s="113" t="s">
        <v>918</v>
      </c>
    </row>
    <row r="4805" spans="1:6" ht="14.25" customHeight="1">
      <c r="A4805" s="286" t="s">
        <v>834</v>
      </c>
      <c r="B4805" s="286">
        <v>2023</v>
      </c>
      <c r="C4805" s="286" t="s">
        <v>1024</v>
      </c>
      <c r="D4805" s="286" t="s">
        <v>1027</v>
      </c>
      <c r="E4805" s="286" t="s">
        <v>1389</v>
      </c>
      <c r="F4805" s="113" t="s">
        <v>918</v>
      </c>
    </row>
    <row r="4806" spans="1:6" ht="14.25" customHeight="1">
      <c r="A4806" s="286" t="s">
        <v>834</v>
      </c>
      <c r="B4806" s="286">
        <v>2023</v>
      </c>
      <c r="C4806" s="286" t="s">
        <v>1024</v>
      </c>
      <c r="D4806" s="286" t="s">
        <v>1027</v>
      </c>
      <c r="E4806" s="286" t="s">
        <v>1389</v>
      </c>
      <c r="F4806" s="113" t="s">
        <v>918</v>
      </c>
    </row>
    <row r="4807" spans="1:6" ht="14.25" customHeight="1">
      <c r="A4807" s="286" t="s">
        <v>834</v>
      </c>
      <c r="B4807" s="286">
        <v>2023</v>
      </c>
      <c r="C4807" s="286" t="s">
        <v>1024</v>
      </c>
      <c r="D4807" s="286" t="s">
        <v>1027</v>
      </c>
      <c r="E4807" s="286" t="s">
        <v>1389</v>
      </c>
      <c r="F4807" s="113" t="s">
        <v>918</v>
      </c>
    </row>
    <row r="4808" spans="1:6" ht="14.25" customHeight="1">
      <c r="A4808" s="286" t="s">
        <v>834</v>
      </c>
      <c r="B4808" s="286">
        <v>2023</v>
      </c>
      <c r="C4808" s="286" t="s">
        <v>1024</v>
      </c>
      <c r="D4808" s="286" t="s">
        <v>1027</v>
      </c>
      <c r="E4808" s="286" t="s">
        <v>1389</v>
      </c>
      <c r="F4808" s="113" t="s">
        <v>918</v>
      </c>
    </row>
    <row r="4809" spans="1:6" ht="14.25" customHeight="1">
      <c r="A4809" s="286" t="s">
        <v>834</v>
      </c>
      <c r="B4809" s="286">
        <v>2023</v>
      </c>
      <c r="C4809" s="286" t="s">
        <v>1024</v>
      </c>
      <c r="D4809" s="286" t="s">
        <v>1027</v>
      </c>
      <c r="E4809" s="286" t="s">
        <v>1389</v>
      </c>
      <c r="F4809" s="113" t="s">
        <v>918</v>
      </c>
    </row>
    <row r="4810" spans="1:6" ht="14.25" customHeight="1">
      <c r="A4810" s="286" t="s">
        <v>834</v>
      </c>
      <c r="B4810" s="286">
        <v>2023</v>
      </c>
      <c r="C4810" s="286" t="s">
        <v>1024</v>
      </c>
      <c r="D4810" s="286" t="s">
        <v>1027</v>
      </c>
      <c r="E4810" s="286" t="s">
        <v>1389</v>
      </c>
      <c r="F4810" s="113" t="s">
        <v>918</v>
      </c>
    </row>
    <row r="4811" spans="1:6" ht="14.25" customHeight="1">
      <c r="A4811" s="286" t="s">
        <v>834</v>
      </c>
      <c r="B4811" s="286">
        <v>2023</v>
      </c>
      <c r="C4811" s="286" t="s">
        <v>1024</v>
      </c>
      <c r="D4811" s="286" t="s">
        <v>1027</v>
      </c>
      <c r="E4811" s="286" t="s">
        <v>1389</v>
      </c>
      <c r="F4811" s="113" t="s">
        <v>918</v>
      </c>
    </row>
    <row r="4812" spans="1:6" ht="14.25" customHeight="1">
      <c r="A4812" s="286" t="s">
        <v>834</v>
      </c>
      <c r="B4812" s="286">
        <v>2023</v>
      </c>
      <c r="C4812" s="286" t="s">
        <v>1024</v>
      </c>
      <c r="D4812" s="286" t="s">
        <v>1027</v>
      </c>
      <c r="E4812" s="286" t="s">
        <v>1389</v>
      </c>
      <c r="F4812" s="113" t="s">
        <v>918</v>
      </c>
    </row>
    <row r="4813" spans="1:6" ht="14.25" customHeight="1">
      <c r="A4813" s="286" t="s">
        <v>834</v>
      </c>
      <c r="B4813" s="286">
        <v>2023</v>
      </c>
      <c r="C4813" s="286" t="s">
        <v>1024</v>
      </c>
      <c r="D4813" s="286" t="s">
        <v>1027</v>
      </c>
      <c r="E4813" s="286" t="s">
        <v>1389</v>
      </c>
      <c r="F4813" s="113" t="s">
        <v>918</v>
      </c>
    </row>
    <row r="4814" spans="1:6" ht="14.25" customHeight="1">
      <c r="A4814" s="286" t="s">
        <v>834</v>
      </c>
      <c r="B4814" s="286">
        <v>2023</v>
      </c>
      <c r="C4814" s="286" t="s">
        <v>1024</v>
      </c>
      <c r="D4814" s="286" t="s">
        <v>1027</v>
      </c>
      <c r="E4814" s="286" t="s">
        <v>1389</v>
      </c>
      <c r="F4814" s="113" t="s">
        <v>918</v>
      </c>
    </row>
    <row r="4815" spans="1:6" ht="14.25" customHeight="1">
      <c r="A4815" s="286" t="s">
        <v>834</v>
      </c>
      <c r="B4815" s="286">
        <v>2023</v>
      </c>
      <c r="C4815" s="286" t="s">
        <v>1024</v>
      </c>
      <c r="D4815" s="286" t="s">
        <v>1027</v>
      </c>
      <c r="E4815" s="286" t="s">
        <v>1389</v>
      </c>
      <c r="F4815" s="113" t="s">
        <v>918</v>
      </c>
    </row>
    <row r="4816" spans="1:6" ht="14.25" customHeight="1">
      <c r="A4816" s="286" t="s">
        <v>834</v>
      </c>
      <c r="B4816" s="286">
        <v>2023</v>
      </c>
      <c r="C4816" s="286" t="s">
        <v>1024</v>
      </c>
      <c r="D4816" s="286" t="s">
        <v>1027</v>
      </c>
      <c r="E4816" s="286" t="s">
        <v>1389</v>
      </c>
      <c r="F4816" s="113" t="s">
        <v>918</v>
      </c>
    </row>
    <row r="4817" spans="1:6" ht="14.25" customHeight="1">
      <c r="A4817" s="286" t="s">
        <v>834</v>
      </c>
      <c r="B4817" s="286">
        <v>2023</v>
      </c>
      <c r="C4817" s="286" t="s">
        <v>1024</v>
      </c>
      <c r="D4817" s="286" t="s">
        <v>1027</v>
      </c>
      <c r="E4817" s="286" t="s">
        <v>1389</v>
      </c>
      <c r="F4817" s="113" t="s">
        <v>918</v>
      </c>
    </row>
    <row r="4818" spans="1:6" ht="14.25" customHeight="1">
      <c r="A4818" s="286" t="s">
        <v>834</v>
      </c>
      <c r="B4818" s="286">
        <v>2023</v>
      </c>
      <c r="C4818" s="286" t="s">
        <v>1024</v>
      </c>
      <c r="D4818" s="286" t="s">
        <v>1027</v>
      </c>
      <c r="E4818" s="286" t="s">
        <v>1389</v>
      </c>
      <c r="F4818" s="113" t="s">
        <v>918</v>
      </c>
    </row>
    <row r="4819" spans="1:6" ht="14.25" customHeight="1">
      <c r="A4819" s="286" t="s">
        <v>834</v>
      </c>
      <c r="B4819" s="286">
        <v>2023</v>
      </c>
      <c r="C4819" s="286" t="s">
        <v>1024</v>
      </c>
      <c r="D4819" s="286" t="s">
        <v>1027</v>
      </c>
      <c r="E4819" s="286" t="s">
        <v>1389</v>
      </c>
      <c r="F4819" s="113" t="s">
        <v>918</v>
      </c>
    </row>
    <row r="4820" spans="1:6" ht="14.25" customHeight="1">
      <c r="A4820" s="286" t="s">
        <v>834</v>
      </c>
      <c r="B4820" s="286">
        <v>2023</v>
      </c>
      <c r="C4820" s="286" t="s">
        <v>1024</v>
      </c>
      <c r="D4820" s="286" t="s">
        <v>1027</v>
      </c>
      <c r="E4820" s="286" t="s">
        <v>1390</v>
      </c>
      <c r="F4820" s="113" t="s">
        <v>918</v>
      </c>
    </row>
    <row r="4821" spans="1:6" ht="14.25" customHeight="1">
      <c r="A4821" s="286" t="s">
        <v>834</v>
      </c>
      <c r="B4821" s="286">
        <v>2023</v>
      </c>
      <c r="C4821" s="286" t="s">
        <v>1024</v>
      </c>
      <c r="D4821" s="286" t="s">
        <v>1027</v>
      </c>
      <c r="E4821" s="286" t="s">
        <v>951</v>
      </c>
      <c r="F4821" s="113" t="s">
        <v>917</v>
      </c>
    </row>
    <row r="4822" spans="1:6" ht="14.25" customHeight="1">
      <c r="A4822" s="286" t="s">
        <v>834</v>
      </c>
      <c r="B4822" s="286">
        <v>2023</v>
      </c>
      <c r="C4822" s="286" t="s">
        <v>1024</v>
      </c>
      <c r="D4822" s="286" t="s">
        <v>1027</v>
      </c>
      <c r="E4822" s="286" t="s">
        <v>1392</v>
      </c>
      <c r="F4822" s="113" t="s">
        <v>917</v>
      </c>
    </row>
    <row r="4823" spans="1:6" ht="14.25" customHeight="1">
      <c r="A4823" s="286" t="s">
        <v>834</v>
      </c>
      <c r="B4823" s="286">
        <v>2023</v>
      </c>
      <c r="C4823" s="286" t="s">
        <v>1024</v>
      </c>
      <c r="D4823" s="286" t="s">
        <v>1027</v>
      </c>
      <c r="E4823" s="286" t="s">
        <v>949</v>
      </c>
      <c r="F4823" s="286" t="s">
        <v>924</v>
      </c>
    </row>
    <row r="4824" spans="1:6" ht="14.25" customHeight="1">
      <c r="A4824" s="286" t="s">
        <v>834</v>
      </c>
      <c r="B4824" s="286">
        <v>2023</v>
      </c>
      <c r="C4824" s="286" t="s">
        <v>1024</v>
      </c>
      <c r="D4824" s="286" t="s">
        <v>1027</v>
      </c>
      <c r="E4824" s="286" t="s">
        <v>1393</v>
      </c>
      <c r="F4824" s="286" t="s">
        <v>924</v>
      </c>
    </row>
    <row r="4825" spans="1:6" ht="14.25" customHeight="1">
      <c r="A4825" s="286" t="s">
        <v>834</v>
      </c>
      <c r="B4825" s="286">
        <v>2023</v>
      </c>
      <c r="C4825" s="286" t="s">
        <v>1024</v>
      </c>
      <c r="D4825" s="286" t="s">
        <v>1027</v>
      </c>
      <c r="E4825" s="286" t="s">
        <v>1190</v>
      </c>
      <c r="F4825" s="286" t="s">
        <v>924</v>
      </c>
    </row>
    <row r="4826" spans="1:6" ht="14.25" customHeight="1">
      <c r="A4826" s="286" t="s">
        <v>834</v>
      </c>
      <c r="B4826" s="286">
        <v>2023</v>
      </c>
      <c r="C4826" s="286" t="s">
        <v>1024</v>
      </c>
      <c r="D4826" s="286" t="s">
        <v>1027</v>
      </c>
      <c r="E4826" s="286" t="s">
        <v>1167</v>
      </c>
      <c r="F4826" s="286" t="s">
        <v>924</v>
      </c>
    </row>
    <row r="4827" spans="1:6" ht="14.25" customHeight="1">
      <c r="A4827" s="286" t="s">
        <v>834</v>
      </c>
      <c r="B4827" s="286">
        <v>2023</v>
      </c>
      <c r="C4827" s="286" t="s">
        <v>1024</v>
      </c>
      <c r="D4827" s="286" t="s">
        <v>1027</v>
      </c>
      <c r="E4827" s="286" t="s">
        <v>1394</v>
      </c>
      <c r="F4827" s="113" t="s">
        <v>922</v>
      </c>
    </row>
    <row r="4828" spans="1:6" ht="14.25" customHeight="1">
      <c r="A4828" s="286" t="s">
        <v>834</v>
      </c>
      <c r="B4828" s="286">
        <v>2023</v>
      </c>
      <c r="C4828" s="286" t="s">
        <v>1024</v>
      </c>
      <c r="D4828" s="286" t="s">
        <v>1026</v>
      </c>
      <c r="E4828" s="286" t="s">
        <v>1395</v>
      </c>
      <c r="F4828" s="113" t="s">
        <v>909</v>
      </c>
    </row>
    <row r="4829" spans="1:6" ht="14.25" customHeight="1">
      <c r="A4829" s="286" t="s">
        <v>830</v>
      </c>
      <c r="B4829" s="286">
        <v>2026</v>
      </c>
      <c r="C4829" s="286" t="s">
        <v>821</v>
      </c>
      <c r="D4829" s="288" t="s">
        <v>934</v>
      </c>
      <c r="E4829" s="289" t="s">
        <v>991</v>
      </c>
      <c r="F4829" s="289" t="s">
        <v>906</v>
      </c>
    </row>
    <row r="4830" spans="1:6" ht="14.25" customHeight="1">
      <c r="A4830" s="286" t="s">
        <v>830</v>
      </c>
      <c r="B4830" s="286">
        <v>2026</v>
      </c>
      <c r="C4830" s="286" t="s">
        <v>821</v>
      </c>
      <c r="D4830" s="290" t="s">
        <v>934</v>
      </c>
      <c r="E4830" s="290" t="s">
        <v>2</v>
      </c>
      <c r="F4830" s="289" t="s">
        <v>918</v>
      </c>
    </row>
    <row r="4831" spans="1:6" ht="14.25" customHeight="1">
      <c r="A4831" s="286" t="s">
        <v>830</v>
      </c>
      <c r="B4831" s="286">
        <v>2026</v>
      </c>
      <c r="C4831" s="286" t="s">
        <v>821</v>
      </c>
      <c r="D4831" s="290" t="s">
        <v>976</v>
      </c>
      <c r="E4831" s="290" t="s">
        <v>937</v>
      </c>
      <c r="F4831" s="289" t="s">
        <v>917</v>
      </c>
    </row>
    <row r="4832" spans="1:6" ht="14.25" customHeight="1">
      <c r="A4832" s="286" t="s">
        <v>830</v>
      </c>
      <c r="B4832" s="286">
        <v>2026</v>
      </c>
      <c r="C4832" s="286" t="s">
        <v>821</v>
      </c>
      <c r="D4832" s="290" t="s">
        <v>934</v>
      </c>
      <c r="E4832" s="290" t="s">
        <v>944</v>
      </c>
      <c r="F4832" s="289" t="s">
        <v>915</v>
      </c>
    </row>
    <row r="4833" spans="1:6" ht="14.25" customHeight="1">
      <c r="A4833" s="286" t="s">
        <v>830</v>
      </c>
      <c r="B4833" s="286">
        <v>2026</v>
      </c>
      <c r="C4833" s="286" t="s">
        <v>821</v>
      </c>
      <c r="D4833" s="290" t="s">
        <v>934</v>
      </c>
      <c r="E4833" s="290" t="s">
        <v>970</v>
      </c>
      <c r="F4833" s="289" t="s">
        <v>915</v>
      </c>
    </row>
    <row r="4834" spans="1:6" ht="14.25" customHeight="1">
      <c r="A4834" s="286" t="s">
        <v>830</v>
      </c>
      <c r="B4834" s="286">
        <v>2026</v>
      </c>
      <c r="C4834" s="286" t="s">
        <v>821</v>
      </c>
      <c r="D4834" s="290" t="s">
        <v>934</v>
      </c>
      <c r="E4834" s="290" t="s">
        <v>939</v>
      </c>
      <c r="F4834" s="289" t="s">
        <v>909</v>
      </c>
    </row>
    <row r="4835" spans="1:6" ht="14.25" customHeight="1">
      <c r="A4835" s="286" t="s">
        <v>830</v>
      </c>
      <c r="B4835" s="286">
        <v>2026</v>
      </c>
      <c r="C4835" s="286" t="s">
        <v>821</v>
      </c>
      <c r="D4835" s="290" t="s">
        <v>132</v>
      </c>
      <c r="E4835" s="290" t="s">
        <v>944</v>
      </c>
      <c r="F4835" s="289" t="s">
        <v>783</v>
      </c>
    </row>
    <row r="4836" spans="1:6" ht="14.25" customHeight="1">
      <c r="A4836" s="286" t="s">
        <v>830</v>
      </c>
      <c r="B4836" s="286">
        <v>2026</v>
      </c>
      <c r="C4836" s="286" t="s">
        <v>821</v>
      </c>
      <c r="D4836" s="290" t="s">
        <v>934</v>
      </c>
      <c r="E4836" s="290" t="s">
        <v>2</v>
      </c>
      <c r="F4836" s="289" t="s">
        <v>783</v>
      </c>
    </row>
    <row r="4837" spans="1:6" ht="14.25" customHeight="1">
      <c r="A4837" s="286" t="s">
        <v>830</v>
      </c>
      <c r="B4837" s="286">
        <v>2026</v>
      </c>
      <c r="C4837" s="286" t="s">
        <v>821</v>
      </c>
      <c r="D4837" s="290" t="s">
        <v>934</v>
      </c>
      <c r="E4837" s="288" t="s">
        <v>2</v>
      </c>
      <c r="F4837" s="289" t="s">
        <v>920</v>
      </c>
    </row>
    <row r="4838" spans="1:6" ht="14.25" customHeight="1">
      <c r="A4838" s="286" t="s">
        <v>830</v>
      </c>
      <c r="B4838" s="286">
        <v>2026</v>
      </c>
      <c r="C4838" s="286" t="s">
        <v>821</v>
      </c>
      <c r="D4838" s="291" t="s">
        <v>934</v>
      </c>
      <c r="E4838" s="289" t="s">
        <v>992</v>
      </c>
      <c r="F4838" s="289" t="s">
        <v>922</v>
      </c>
    </row>
    <row r="4839" spans="1:6" ht="14.25" customHeight="1">
      <c r="A4839" s="286" t="s">
        <v>830</v>
      </c>
      <c r="B4839" s="286">
        <v>2026</v>
      </c>
      <c r="C4839" s="286" t="s">
        <v>821</v>
      </c>
      <c r="D4839" s="292" t="s">
        <v>934</v>
      </c>
      <c r="E4839" s="289" t="s">
        <v>944</v>
      </c>
      <c r="F4839" s="289" t="s">
        <v>915</v>
      </c>
    </row>
    <row r="4840" spans="1:6" ht="14.25" customHeight="1">
      <c r="A4840" s="286" t="s">
        <v>830</v>
      </c>
      <c r="B4840" s="286">
        <v>2026</v>
      </c>
      <c r="C4840" s="286" t="s">
        <v>821</v>
      </c>
      <c r="D4840" s="292" t="s">
        <v>934</v>
      </c>
      <c r="E4840" s="289" t="s">
        <v>970</v>
      </c>
      <c r="F4840" s="289" t="s">
        <v>915</v>
      </c>
    </row>
    <row r="4841" spans="1:6" ht="14.25" customHeight="1">
      <c r="A4841" s="286" t="s">
        <v>830</v>
      </c>
      <c r="B4841" s="286">
        <v>2026</v>
      </c>
      <c r="C4841" s="286" t="s">
        <v>821</v>
      </c>
      <c r="D4841" s="291" t="s">
        <v>934</v>
      </c>
      <c r="E4841" s="288" t="s">
        <v>970</v>
      </c>
      <c r="F4841" s="289" t="s">
        <v>915</v>
      </c>
    </row>
    <row r="4842" spans="1:6" ht="14.25" customHeight="1">
      <c r="A4842" s="286" t="s">
        <v>830</v>
      </c>
      <c r="B4842" s="286">
        <v>2026</v>
      </c>
      <c r="C4842" s="286" t="s">
        <v>821</v>
      </c>
      <c r="D4842" s="290" t="s">
        <v>934</v>
      </c>
      <c r="E4842" s="290" t="s">
        <v>1167</v>
      </c>
      <c r="F4842" s="289" t="s">
        <v>920</v>
      </c>
    </row>
    <row r="4843" spans="1:6" ht="14.25" customHeight="1">
      <c r="A4843" s="286" t="s">
        <v>830</v>
      </c>
      <c r="B4843" s="286">
        <v>2026</v>
      </c>
      <c r="C4843" s="286" t="s">
        <v>821</v>
      </c>
      <c r="D4843" s="290" t="s">
        <v>132</v>
      </c>
      <c r="E4843" s="288" t="s">
        <v>954</v>
      </c>
      <c r="F4843" s="289" t="s">
        <v>906</v>
      </c>
    </row>
    <row r="4844" spans="1:6" ht="14.25" customHeight="1">
      <c r="A4844" s="286" t="s">
        <v>830</v>
      </c>
      <c r="B4844" s="286">
        <v>2026</v>
      </c>
      <c r="C4844" s="286" t="s">
        <v>821</v>
      </c>
      <c r="D4844" s="290" t="s">
        <v>934</v>
      </c>
      <c r="E4844" s="290" t="s">
        <v>2</v>
      </c>
      <c r="F4844" s="289" t="s">
        <v>915</v>
      </c>
    </row>
    <row r="4845" spans="1:6" ht="14.25" customHeight="1">
      <c r="A4845" s="286" t="s">
        <v>830</v>
      </c>
      <c r="B4845" s="286">
        <v>2026</v>
      </c>
      <c r="C4845" s="286" t="s">
        <v>821</v>
      </c>
      <c r="D4845" s="290" t="s">
        <v>934</v>
      </c>
      <c r="E4845" s="290" t="s">
        <v>1087</v>
      </c>
      <c r="F4845" s="289" t="s">
        <v>663</v>
      </c>
    </row>
    <row r="4846" spans="1:6" ht="14.25" customHeight="1">
      <c r="A4846" s="286" t="s">
        <v>830</v>
      </c>
      <c r="B4846" s="286">
        <v>2026</v>
      </c>
      <c r="C4846" s="286" t="s">
        <v>821</v>
      </c>
      <c r="D4846" s="290" t="s">
        <v>132</v>
      </c>
      <c r="E4846" s="290" t="s">
        <v>1023</v>
      </c>
      <c r="F4846" s="289" t="s">
        <v>920</v>
      </c>
    </row>
    <row r="4847" spans="1:6" ht="14.25" customHeight="1">
      <c r="A4847" s="286" t="s">
        <v>830</v>
      </c>
      <c r="B4847" s="286">
        <v>2026</v>
      </c>
      <c r="C4847" s="286" t="s">
        <v>821</v>
      </c>
      <c r="D4847" s="290" t="s">
        <v>934</v>
      </c>
      <c r="E4847" s="290" t="s">
        <v>952</v>
      </c>
      <c r="F4847" s="289" t="s">
        <v>906</v>
      </c>
    </row>
    <row r="4848" spans="1:6" ht="14.25" customHeight="1">
      <c r="A4848" s="286" t="s">
        <v>830</v>
      </c>
      <c r="B4848" s="286">
        <v>2026</v>
      </c>
      <c r="C4848" s="286" t="s">
        <v>821</v>
      </c>
      <c r="D4848" s="290" t="s">
        <v>934</v>
      </c>
      <c r="E4848" s="290" t="s">
        <v>991</v>
      </c>
      <c r="F4848" s="289" t="s">
        <v>906</v>
      </c>
    </row>
    <row r="4849" spans="1:6" ht="14.25" customHeight="1">
      <c r="A4849" s="286" t="s">
        <v>830</v>
      </c>
      <c r="B4849" s="286">
        <v>2026</v>
      </c>
      <c r="C4849" s="286" t="s">
        <v>821</v>
      </c>
      <c r="D4849" s="290" t="s">
        <v>934</v>
      </c>
      <c r="E4849" s="290" t="s">
        <v>986</v>
      </c>
      <c r="F4849" s="289" t="s">
        <v>906</v>
      </c>
    </row>
    <row r="4850" spans="1:6" ht="14.25" customHeight="1">
      <c r="A4850" s="286" t="s">
        <v>830</v>
      </c>
      <c r="B4850" s="286">
        <v>2026</v>
      </c>
      <c r="C4850" s="286" t="s">
        <v>821</v>
      </c>
      <c r="D4850" s="290" t="s">
        <v>976</v>
      </c>
      <c r="E4850" s="290" t="s">
        <v>1041</v>
      </c>
      <c r="F4850" s="289" t="s">
        <v>906</v>
      </c>
    </row>
    <row r="4851" spans="1:6" ht="14.25" customHeight="1">
      <c r="A4851" s="286" t="s">
        <v>830</v>
      </c>
      <c r="B4851" s="286">
        <v>2026</v>
      </c>
      <c r="C4851" s="286" t="s">
        <v>821</v>
      </c>
      <c r="D4851" s="290" t="s">
        <v>1033</v>
      </c>
      <c r="E4851" s="290" t="s">
        <v>957</v>
      </c>
      <c r="F4851" s="289" t="s">
        <v>924</v>
      </c>
    </row>
    <row r="4852" spans="1:6" ht="14.25" customHeight="1">
      <c r="A4852" s="286" t="s">
        <v>830</v>
      </c>
      <c r="B4852" s="286">
        <v>2026</v>
      </c>
      <c r="C4852" s="286" t="s">
        <v>821</v>
      </c>
      <c r="D4852" s="290" t="s">
        <v>934</v>
      </c>
      <c r="E4852" s="290" t="s">
        <v>982</v>
      </c>
      <c r="F4852" s="289" t="s">
        <v>663</v>
      </c>
    </row>
    <row r="4853" spans="1:6" ht="14.25" customHeight="1">
      <c r="A4853" s="286" t="s">
        <v>830</v>
      </c>
      <c r="B4853" s="286">
        <v>2026</v>
      </c>
      <c r="C4853" s="286" t="s">
        <v>821</v>
      </c>
      <c r="D4853" s="290" t="s">
        <v>976</v>
      </c>
      <c r="E4853" s="290" t="s">
        <v>953</v>
      </c>
      <c r="F4853" s="289" t="s">
        <v>906</v>
      </c>
    </row>
    <row r="4854" spans="1:6" ht="14.25" customHeight="1">
      <c r="A4854" s="286" t="s">
        <v>830</v>
      </c>
      <c r="B4854" s="286">
        <v>2026</v>
      </c>
      <c r="C4854" s="286" t="s">
        <v>821</v>
      </c>
      <c r="D4854" s="290" t="s">
        <v>934</v>
      </c>
      <c r="E4854" s="290" t="s">
        <v>944</v>
      </c>
      <c r="F4854" s="289" t="s">
        <v>906</v>
      </c>
    </row>
    <row r="4855" spans="1:6" ht="14.25" customHeight="1">
      <c r="A4855" s="286" t="s">
        <v>830</v>
      </c>
      <c r="B4855" s="286">
        <v>2026</v>
      </c>
      <c r="C4855" s="286" t="s">
        <v>821</v>
      </c>
      <c r="D4855" s="290" t="s">
        <v>934</v>
      </c>
      <c r="E4855" s="290" t="s">
        <v>937</v>
      </c>
      <c r="F4855" s="289" t="s">
        <v>917</v>
      </c>
    </row>
    <row r="4856" spans="1:6" ht="14.25" customHeight="1">
      <c r="A4856" s="286" t="s">
        <v>830</v>
      </c>
      <c r="B4856" s="286">
        <v>2026</v>
      </c>
      <c r="C4856" s="286" t="s">
        <v>821</v>
      </c>
      <c r="D4856" s="290" t="s">
        <v>1033</v>
      </c>
      <c r="E4856" s="290" t="s">
        <v>2</v>
      </c>
      <c r="F4856" s="289" t="s">
        <v>483</v>
      </c>
    </row>
    <row r="4857" spans="1:6" ht="14.25" customHeight="1">
      <c r="A4857" s="286" t="s">
        <v>830</v>
      </c>
      <c r="B4857" s="286">
        <v>2026</v>
      </c>
      <c r="C4857" s="286" t="s">
        <v>821</v>
      </c>
      <c r="D4857" s="290" t="s">
        <v>132</v>
      </c>
      <c r="E4857" s="290" t="s">
        <v>986</v>
      </c>
      <c r="F4857" s="289" t="s">
        <v>906</v>
      </c>
    </row>
    <row r="4858" spans="1:6" ht="14.25" customHeight="1">
      <c r="A4858" s="286" t="s">
        <v>830</v>
      </c>
      <c r="B4858" s="286">
        <v>2026</v>
      </c>
      <c r="C4858" s="286" t="s">
        <v>821</v>
      </c>
      <c r="D4858" s="290" t="s">
        <v>934</v>
      </c>
      <c r="E4858" s="290" t="s">
        <v>1052</v>
      </c>
      <c r="F4858" s="289" t="s">
        <v>909</v>
      </c>
    </row>
    <row r="4859" spans="1:6" ht="14.25" customHeight="1">
      <c r="A4859" s="286" t="s">
        <v>830</v>
      </c>
      <c r="B4859" s="286">
        <v>2026</v>
      </c>
      <c r="C4859" s="286" t="s">
        <v>821</v>
      </c>
      <c r="D4859" s="290" t="s">
        <v>931</v>
      </c>
      <c r="E4859" s="290" t="s">
        <v>944</v>
      </c>
      <c r="F4859" s="289" t="s">
        <v>783</v>
      </c>
    </row>
    <row r="4860" spans="1:6" ht="14.25" customHeight="1">
      <c r="A4860" s="286" t="s">
        <v>830</v>
      </c>
      <c r="B4860" s="286">
        <v>2026</v>
      </c>
      <c r="C4860" s="286" t="s">
        <v>821</v>
      </c>
      <c r="D4860" s="290" t="s">
        <v>934</v>
      </c>
      <c r="E4860" s="290" t="s">
        <v>944</v>
      </c>
      <c r="F4860" s="289" t="s">
        <v>663</v>
      </c>
    </row>
    <row r="4861" spans="1:6" ht="14.25" customHeight="1">
      <c r="A4861" s="286" t="s">
        <v>830</v>
      </c>
      <c r="B4861" s="286">
        <v>2026</v>
      </c>
      <c r="C4861" s="286" t="s">
        <v>821</v>
      </c>
      <c r="D4861" s="290" t="s">
        <v>216</v>
      </c>
      <c r="E4861" s="290" t="s">
        <v>2</v>
      </c>
      <c r="F4861" s="289" t="s">
        <v>663</v>
      </c>
    </row>
    <row r="4862" spans="1:6" ht="14.25" customHeight="1">
      <c r="A4862" s="286" t="s">
        <v>830</v>
      </c>
      <c r="B4862" s="286">
        <v>2026</v>
      </c>
      <c r="C4862" s="286" t="s">
        <v>821</v>
      </c>
      <c r="D4862" s="290" t="s">
        <v>216</v>
      </c>
      <c r="E4862" s="290" t="s">
        <v>2</v>
      </c>
      <c r="F4862" s="289" t="s">
        <v>663</v>
      </c>
    </row>
    <row r="4863" spans="1:6" ht="14.25" customHeight="1">
      <c r="A4863" s="286" t="s">
        <v>830</v>
      </c>
      <c r="B4863" s="286">
        <v>2026</v>
      </c>
      <c r="C4863" s="286" t="s">
        <v>821</v>
      </c>
      <c r="D4863" s="290" t="s">
        <v>934</v>
      </c>
      <c r="E4863" s="288" t="s">
        <v>944</v>
      </c>
      <c r="F4863" s="289" t="s">
        <v>906</v>
      </c>
    </row>
    <row r="4864" spans="1:6" ht="14.25" customHeight="1">
      <c r="A4864" s="286" t="s">
        <v>830</v>
      </c>
      <c r="B4864" s="286">
        <v>2026</v>
      </c>
      <c r="C4864" s="286" t="s">
        <v>821</v>
      </c>
      <c r="D4864" s="290" t="s">
        <v>934</v>
      </c>
      <c r="E4864" s="288" t="s">
        <v>953</v>
      </c>
      <c r="F4864" s="289" t="s">
        <v>906</v>
      </c>
    </row>
    <row r="4865" spans="1:6" ht="14.25" customHeight="1">
      <c r="A4865" s="286" t="s">
        <v>830</v>
      </c>
      <c r="B4865" s="286">
        <v>2026</v>
      </c>
      <c r="C4865" s="286" t="s">
        <v>821</v>
      </c>
      <c r="D4865" s="290" t="s">
        <v>931</v>
      </c>
      <c r="E4865" s="290" t="s">
        <v>944</v>
      </c>
      <c r="F4865" s="289" t="s">
        <v>783</v>
      </c>
    </row>
    <row r="4866" spans="1:6" ht="14.25" customHeight="1">
      <c r="A4866" s="286" t="s">
        <v>830</v>
      </c>
      <c r="B4866" s="286">
        <v>2026</v>
      </c>
      <c r="C4866" s="286" t="s">
        <v>821</v>
      </c>
      <c r="D4866" s="290" t="s">
        <v>216</v>
      </c>
      <c r="E4866" s="290" t="s">
        <v>944</v>
      </c>
      <c r="F4866" s="289" t="s">
        <v>783</v>
      </c>
    </row>
    <row r="4867" spans="1:6" ht="14.25" customHeight="1">
      <c r="A4867" s="286" t="s">
        <v>830</v>
      </c>
      <c r="B4867" s="286">
        <v>2026</v>
      </c>
      <c r="C4867" s="286" t="s">
        <v>821</v>
      </c>
      <c r="D4867" s="290" t="s">
        <v>216</v>
      </c>
      <c r="E4867" s="290" t="s">
        <v>944</v>
      </c>
      <c r="F4867" s="289" t="s">
        <v>920</v>
      </c>
    </row>
    <row r="4868" spans="1:6" ht="14.25" customHeight="1">
      <c r="A4868" s="286" t="s">
        <v>830</v>
      </c>
      <c r="B4868" s="286">
        <v>2026</v>
      </c>
      <c r="C4868" s="286" t="s">
        <v>821</v>
      </c>
      <c r="D4868" s="290" t="s">
        <v>216</v>
      </c>
      <c r="E4868" s="290" t="s">
        <v>944</v>
      </c>
      <c r="F4868" s="289" t="s">
        <v>915</v>
      </c>
    </row>
    <row r="4869" spans="1:6" ht="14.25" customHeight="1">
      <c r="A4869" s="286" t="s">
        <v>830</v>
      </c>
      <c r="B4869" s="286">
        <v>2026</v>
      </c>
      <c r="C4869" s="286" t="s">
        <v>821</v>
      </c>
      <c r="D4869" s="290" t="s">
        <v>934</v>
      </c>
      <c r="E4869" s="290" t="s">
        <v>1060</v>
      </c>
      <c r="F4869" s="289" t="s">
        <v>922</v>
      </c>
    </row>
    <row r="4870" spans="1:6" ht="14.25" customHeight="1">
      <c r="A4870" s="286" t="s">
        <v>830</v>
      </c>
      <c r="B4870" s="286">
        <v>2026</v>
      </c>
      <c r="C4870" s="286" t="s">
        <v>821</v>
      </c>
      <c r="D4870" s="290" t="s">
        <v>976</v>
      </c>
      <c r="E4870" s="290" t="s">
        <v>944</v>
      </c>
      <c r="F4870" s="289" t="s">
        <v>922</v>
      </c>
    </row>
    <row r="4871" spans="1:6" ht="14.25" customHeight="1">
      <c r="A4871" s="286" t="s">
        <v>830</v>
      </c>
      <c r="B4871" s="286">
        <v>2026</v>
      </c>
      <c r="C4871" s="286" t="s">
        <v>821</v>
      </c>
      <c r="D4871" s="290" t="s">
        <v>934</v>
      </c>
      <c r="E4871" s="290" t="s">
        <v>2</v>
      </c>
      <c r="F4871" s="289" t="s">
        <v>920</v>
      </c>
    </row>
    <row r="4872" spans="1:6" ht="14.25" customHeight="1">
      <c r="A4872" s="286" t="s">
        <v>830</v>
      </c>
      <c r="B4872" s="286">
        <v>2026</v>
      </c>
      <c r="C4872" s="286" t="s">
        <v>821</v>
      </c>
      <c r="D4872" s="290" t="s">
        <v>132</v>
      </c>
      <c r="E4872" s="290" t="s">
        <v>957</v>
      </c>
      <c r="F4872" s="289" t="s">
        <v>924</v>
      </c>
    </row>
    <row r="4873" spans="1:6" ht="14.25" customHeight="1">
      <c r="A4873" s="286" t="s">
        <v>830</v>
      </c>
      <c r="B4873" s="286">
        <v>2026</v>
      </c>
      <c r="C4873" s="286" t="s">
        <v>821</v>
      </c>
      <c r="D4873" s="290" t="s">
        <v>934</v>
      </c>
      <c r="E4873" s="290" t="s">
        <v>2</v>
      </c>
      <c r="F4873" s="289" t="s">
        <v>918</v>
      </c>
    </row>
    <row r="4874" spans="1:6" ht="14.25" customHeight="1">
      <c r="A4874" s="286" t="s">
        <v>830</v>
      </c>
      <c r="B4874" s="286">
        <v>2026</v>
      </c>
      <c r="C4874" s="286" t="s">
        <v>821</v>
      </c>
      <c r="D4874" s="290" t="s">
        <v>976</v>
      </c>
      <c r="E4874" s="290" t="s">
        <v>991</v>
      </c>
      <c r="F4874" s="289" t="s">
        <v>906</v>
      </c>
    </row>
    <row r="4875" spans="1:6" ht="14.25" customHeight="1">
      <c r="A4875" s="286" t="s">
        <v>830</v>
      </c>
      <c r="B4875" s="286">
        <v>2026</v>
      </c>
      <c r="C4875" s="286" t="s">
        <v>821</v>
      </c>
      <c r="D4875" s="290" t="s">
        <v>934</v>
      </c>
      <c r="E4875" s="290" t="s">
        <v>1041</v>
      </c>
      <c r="F4875" s="289" t="s">
        <v>906</v>
      </c>
    </row>
    <row r="4876" spans="1:6" ht="14.25" customHeight="1">
      <c r="A4876" s="286" t="s">
        <v>830</v>
      </c>
      <c r="B4876" s="286">
        <v>2026</v>
      </c>
      <c r="C4876" s="286" t="s">
        <v>821</v>
      </c>
      <c r="D4876" s="290" t="s">
        <v>934</v>
      </c>
      <c r="E4876" s="290" t="s">
        <v>939</v>
      </c>
      <c r="F4876" s="289" t="s">
        <v>909</v>
      </c>
    </row>
    <row r="4877" spans="1:6" ht="14.25" customHeight="1">
      <c r="A4877" s="286" t="s">
        <v>830</v>
      </c>
      <c r="B4877" s="286">
        <v>2026</v>
      </c>
      <c r="C4877" s="286" t="s">
        <v>821</v>
      </c>
      <c r="D4877" s="290" t="s">
        <v>934</v>
      </c>
      <c r="E4877" s="290" t="s">
        <v>1092</v>
      </c>
      <c r="F4877" s="289" t="s">
        <v>911</v>
      </c>
    </row>
    <row r="4878" spans="1:6" ht="14.25" customHeight="1">
      <c r="A4878" s="286" t="s">
        <v>830</v>
      </c>
      <c r="B4878" s="286">
        <v>2026</v>
      </c>
      <c r="C4878" s="286" t="s">
        <v>821</v>
      </c>
      <c r="D4878" s="290" t="s">
        <v>934</v>
      </c>
      <c r="E4878" s="290" t="s">
        <v>2</v>
      </c>
      <c r="F4878" s="289" t="s">
        <v>911</v>
      </c>
    </row>
    <row r="4879" spans="1:6" ht="14.25" customHeight="1">
      <c r="A4879" s="286" t="s">
        <v>830</v>
      </c>
      <c r="B4879" s="286">
        <v>2026</v>
      </c>
      <c r="C4879" s="286" t="s">
        <v>821</v>
      </c>
      <c r="D4879" s="290" t="s">
        <v>976</v>
      </c>
      <c r="E4879" s="290" t="s">
        <v>955</v>
      </c>
      <c r="F4879" s="289" t="s">
        <v>922</v>
      </c>
    </row>
    <row r="4880" spans="1:6" ht="14.25" customHeight="1">
      <c r="A4880" s="286" t="s">
        <v>830</v>
      </c>
      <c r="B4880" s="286">
        <v>2026</v>
      </c>
      <c r="C4880" s="286" t="s">
        <v>821</v>
      </c>
      <c r="D4880" s="290" t="s">
        <v>934</v>
      </c>
      <c r="E4880" s="290" t="s">
        <v>944</v>
      </c>
      <c r="F4880" s="289" t="s">
        <v>915</v>
      </c>
    </row>
    <row r="4881" spans="1:6" ht="14.25" customHeight="1">
      <c r="A4881" s="286" t="s">
        <v>830</v>
      </c>
      <c r="B4881" s="286">
        <v>2026</v>
      </c>
      <c r="C4881" s="286" t="s">
        <v>821</v>
      </c>
      <c r="D4881" s="290" t="s">
        <v>976</v>
      </c>
      <c r="E4881" s="290" t="s">
        <v>991</v>
      </c>
      <c r="F4881" s="289" t="s">
        <v>906</v>
      </c>
    </row>
    <row r="4882" spans="1:6" ht="14.25" customHeight="1">
      <c r="A4882" s="286" t="s">
        <v>830</v>
      </c>
      <c r="B4882" s="286">
        <v>2026</v>
      </c>
      <c r="C4882" s="286" t="s">
        <v>821</v>
      </c>
      <c r="D4882" s="290" t="s">
        <v>931</v>
      </c>
      <c r="E4882" s="290" t="s">
        <v>943</v>
      </c>
      <c r="F4882" s="289" t="s">
        <v>917</v>
      </c>
    </row>
    <row r="4883" spans="1:6" ht="14.25" customHeight="1">
      <c r="A4883" s="286" t="s">
        <v>830</v>
      </c>
      <c r="B4883" s="286">
        <v>2026</v>
      </c>
      <c r="C4883" s="286" t="s">
        <v>821</v>
      </c>
      <c r="D4883" s="290" t="s">
        <v>934</v>
      </c>
      <c r="E4883" s="290" t="s">
        <v>957</v>
      </c>
      <c r="F4883" s="289" t="s">
        <v>924</v>
      </c>
    </row>
    <row r="4884" spans="1:6" ht="14.25" customHeight="1">
      <c r="A4884" s="286" t="s">
        <v>830</v>
      </c>
      <c r="B4884" s="286">
        <v>2026</v>
      </c>
      <c r="C4884" s="286" t="s">
        <v>821</v>
      </c>
      <c r="D4884" s="290" t="s">
        <v>931</v>
      </c>
      <c r="E4884" s="290" t="s">
        <v>1022</v>
      </c>
      <c r="F4884" s="289" t="s">
        <v>783</v>
      </c>
    </row>
    <row r="4885" spans="1:6" ht="14.25" customHeight="1">
      <c r="A4885" s="286" t="s">
        <v>830</v>
      </c>
      <c r="B4885" s="286">
        <v>2026</v>
      </c>
      <c r="C4885" s="286" t="s">
        <v>821</v>
      </c>
      <c r="D4885" s="290" t="s">
        <v>976</v>
      </c>
      <c r="E4885" s="290" t="s">
        <v>1104</v>
      </c>
      <c r="F4885" s="289" t="s">
        <v>922</v>
      </c>
    </row>
    <row r="4886" spans="1:6" ht="14.25" customHeight="1">
      <c r="A4886" s="286" t="s">
        <v>830</v>
      </c>
      <c r="B4886" s="286">
        <v>2026</v>
      </c>
      <c r="C4886" s="286" t="s">
        <v>821</v>
      </c>
      <c r="D4886" s="290" t="s">
        <v>934</v>
      </c>
      <c r="E4886" s="290" t="s">
        <v>940</v>
      </c>
      <c r="F4886" s="289" t="s">
        <v>922</v>
      </c>
    </row>
    <row r="4887" spans="1:6" ht="14.25" customHeight="1">
      <c r="A4887" s="286" t="s">
        <v>830</v>
      </c>
      <c r="B4887" s="286">
        <v>2026</v>
      </c>
      <c r="C4887" s="286" t="s">
        <v>821</v>
      </c>
      <c r="D4887" s="290" t="s">
        <v>934</v>
      </c>
      <c r="E4887" s="290" t="s">
        <v>1125</v>
      </c>
      <c r="F4887" s="289" t="s">
        <v>483</v>
      </c>
    </row>
    <row r="4888" spans="1:6" ht="14.25" customHeight="1">
      <c r="A4888" s="286" t="s">
        <v>830</v>
      </c>
      <c r="B4888" s="286">
        <v>2026</v>
      </c>
      <c r="C4888" s="286" t="s">
        <v>821</v>
      </c>
      <c r="D4888" s="290" t="s">
        <v>934</v>
      </c>
      <c r="E4888" s="290" t="s">
        <v>2</v>
      </c>
      <c r="F4888" s="289" t="s">
        <v>483</v>
      </c>
    </row>
    <row r="4889" spans="1:6" ht="14.25" customHeight="1">
      <c r="A4889" s="286" t="s">
        <v>830</v>
      </c>
      <c r="B4889" s="286">
        <v>2026</v>
      </c>
      <c r="C4889" s="286" t="s">
        <v>88</v>
      </c>
      <c r="D4889" s="293" t="s">
        <v>966</v>
      </c>
      <c r="E4889" s="290" t="s">
        <v>965</v>
      </c>
      <c r="F4889" s="289" t="s">
        <v>911</v>
      </c>
    </row>
    <row r="4890" spans="1:6" ht="14.25" customHeight="1">
      <c r="A4890" s="286" t="s">
        <v>830</v>
      </c>
      <c r="B4890" s="286">
        <v>2026</v>
      </c>
      <c r="C4890" s="286" t="s">
        <v>88</v>
      </c>
      <c r="D4890" s="294" t="s">
        <v>959</v>
      </c>
      <c r="E4890" s="290" t="s">
        <v>1038</v>
      </c>
      <c r="F4890" s="289" t="s">
        <v>918</v>
      </c>
    </row>
    <row r="4891" spans="1:6" ht="14.25" customHeight="1">
      <c r="A4891" s="286" t="s">
        <v>830</v>
      </c>
      <c r="B4891" s="286">
        <v>2026</v>
      </c>
      <c r="C4891" s="286" t="s">
        <v>88</v>
      </c>
      <c r="D4891" s="293" t="s">
        <v>966</v>
      </c>
      <c r="E4891" s="290" t="s">
        <v>945</v>
      </c>
      <c r="F4891" s="289" t="s">
        <v>917</v>
      </c>
    </row>
    <row r="4892" spans="1:6" ht="14.25" customHeight="1">
      <c r="A4892" s="286" t="s">
        <v>830</v>
      </c>
      <c r="B4892" s="286">
        <v>2026</v>
      </c>
      <c r="C4892" s="286" t="s">
        <v>88</v>
      </c>
      <c r="D4892" s="293" t="s">
        <v>969</v>
      </c>
      <c r="E4892" s="290" t="s">
        <v>1072</v>
      </c>
      <c r="F4892" s="289" t="s">
        <v>915</v>
      </c>
    </row>
    <row r="4893" spans="1:6" ht="14.25" customHeight="1">
      <c r="A4893" s="286" t="s">
        <v>830</v>
      </c>
      <c r="B4893" s="286">
        <v>2026</v>
      </c>
      <c r="C4893" s="286" t="s">
        <v>88</v>
      </c>
      <c r="D4893" s="293" t="s">
        <v>966</v>
      </c>
      <c r="E4893" s="290" t="s">
        <v>1020</v>
      </c>
      <c r="F4893" s="289" t="s">
        <v>909</v>
      </c>
    </row>
    <row r="4894" spans="1:6" ht="14.25" customHeight="1">
      <c r="A4894" s="286" t="s">
        <v>830</v>
      </c>
      <c r="B4894" s="286">
        <v>2026</v>
      </c>
      <c r="C4894" s="286" t="s">
        <v>88</v>
      </c>
      <c r="D4894" s="293" t="s">
        <v>956</v>
      </c>
      <c r="E4894" s="290" t="s">
        <v>939</v>
      </c>
      <c r="F4894" s="289" t="s">
        <v>909</v>
      </c>
    </row>
    <row r="4895" spans="1:6" ht="14.25" customHeight="1">
      <c r="A4895" s="286" t="s">
        <v>830</v>
      </c>
      <c r="B4895" s="286">
        <v>2026</v>
      </c>
      <c r="C4895" s="286" t="s">
        <v>88</v>
      </c>
      <c r="D4895" s="294" t="s">
        <v>959</v>
      </c>
      <c r="E4895" s="290" t="s">
        <v>1036</v>
      </c>
      <c r="F4895" s="289" t="s">
        <v>906</v>
      </c>
    </row>
    <row r="4896" spans="1:6" ht="14.25" customHeight="1">
      <c r="A4896" s="286" t="s">
        <v>830</v>
      </c>
      <c r="B4896" s="286">
        <v>2026</v>
      </c>
      <c r="C4896" s="286" t="s">
        <v>88</v>
      </c>
      <c r="D4896" s="293" t="s">
        <v>966</v>
      </c>
      <c r="E4896" s="290" t="s">
        <v>1014</v>
      </c>
      <c r="F4896" s="289" t="s">
        <v>906</v>
      </c>
    </row>
    <row r="4897" spans="1:6" ht="14.25" customHeight="1">
      <c r="A4897" s="286" t="s">
        <v>830</v>
      </c>
      <c r="B4897" s="286">
        <v>2026</v>
      </c>
      <c r="C4897" s="286" t="s">
        <v>88</v>
      </c>
      <c r="D4897" s="288" t="s">
        <v>969</v>
      </c>
      <c r="E4897" s="288" t="s">
        <v>1041</v>
      </c>
      <c r="F4897" s="289" t="s">
        <v>906</v>
      </c>
    </row>
    <row r="4898" spans="1:6" ht="14.25" customHeight="1">
      <c r="A4898" s="286" t="s">
        <v>830</v>
      </c>
      <c r="B4898" s="286">
        <v>2026</v>
      </c>
      <c r="C4898" s="286" t="s">
        <v>88</v>
      </c>
      <c r="D4898" s="293" t="s">
        <v>966</v>
      </c>
      <c r="E4898" s="290" t="s">
        <v>936</v>
      </c>
      <c r="F4898" s="289" t="s">
        <v>783</v>
      </c>
    </row>
    <row r="4899" spans="1:6" ht="14.25" customHeight="1">
      <c r="A4899" s="286" t="s">
        <v>830</v>
      </c>
      <c r="B4899" s="286">
        <v>2026</v>
      </c>
      <c r="C4899" s="286" t="s">
        <v>88</v>
      </c>
      <c r="D4899" s="288" t="s">
        <v>956</v>
      </c>
      <c r="E4899" s="289" t="s">
        <v>950</v>
      </c>
      <c r="F4899" s="289" t="s">
        <v>783</v>
      </c>
    </row>
    <row r="4900" spans="1:6" ht="14.25" customHeight="1">
      <c r="A4900" s="286" t="s">
        <v>830</v>
      </c>
      <c r="B4900" s="286">
        <v>2026</v>
      </c>
      <c r="C4900" s="286" t="s">
        <v>88</v>
      </c>
      <c r="D4900" s="293" t="s">
        <v>969</v>
      </c>
      <c r="E4900" s="290" t="s">
        <v>941</v>
      </c>
      <c r="F4900" s="289" t="s">
        <v>663</v>
      </c>
    </row>
    <row r="4901" spans="1:6" ht="14.25" customHeight="1">
      <c r="A4901" s="286" t="s">
        <v>830</v>
      </c>
      <c r="B4901" s="286">
        <v>2026</v>
      </c>
      <c r="C4901" s="286" t="s">
        <v>88</v>
      </c>
      <c r="D4901" s="293" t="s">
        <v>966</v>
      </c>
      <c r="E4901" s="290" t="s">
        <v>2</v>
      </c>
      <c r="F4901" s="289" t="s">
        <v>915</v>
      </c>
    </row>
    <row r="4902" spans="1:6" ht="14.25" customHeight="1">
      <c r="A4902" s="286" t="s">
        <v>830</v>
      </c>
      <c r="B4902" s="286">
        <v>2026</v>
      </c>
      <c r="C4902" s="286" t="s">
        <v>88</v>
      </c>
      <c r="D4902" s="293" t="s">
        <v>956</v>
      </c>
      <c r="E4902" s="290" t="s">
        <v>1128</v>
      </c>
      <c r="F4902" s="289" t="s">
        <v>483</v>
      </c>
    </row>
    <row r="4903" spans="1:6" ht="14.25" customHeight="1">
      <c r="A4903" s="286" t="s">
        <v>830</v>
      </c>
      <c r="B4903" s="286">
        <v>2026</v>
      </c>
      <c r="C4903" s="286" t="s">
        <v>88</v>
      </c>
      <c r="D4903" s="293" t="s">
        <v>966</v>
      </c>
      <c r="E4903" s="290" t="s">
        <v>1218</v>
      </c>
      <c r="F4903" s="289" t="s">
        <v>483</v>
      </c>
    </row>
    <row r="4904" spans="1:6" ht="14.25" customHeight="1">
      <c r="A4904" s="286" t="s">
        <v>830</v>
      </c>
      <c r="B4904" s="286">
        <v>2026</v>
      </c>
      <c r="C4904" s="286" t="s">
        <v>88</v>
      </c>
      <c r="D4904" s="293" t="s">
        <v>969</v>
      </c>
      <c r="E4904" s="290" t="s">
        <v>1100</v>
      </c>
      <c r="F4904" s="289" t="s">
        <v>920</v>
      </c>
    </row>
    <row r="4905" spans="1:6" ht="14.25" customHeight="1">
      <c r="A4905" s="286" t="s">
        <v>830</v>
      </c>
      <c r="B4905" s="286">
        <v>2026</v>
      </c>
      <c r="C4905" s="286" t="s">
        <v>88</v>
      </c>
      <c r="D4905" s="294" t="s">
        <v>959</v>
      </c>
      <c r="E4905" s="290" t="s">
        <v>973</v>
      </c>
      <c r="F4905" s="289" t="s">
        <v>917</v>
      </c>
    </row>
    <row r="4906" spans="1:6" ht="14.25" customHeight="1">
      <c r="A4906" s="286" t="s">
        <v>830</v>
      </c>
      <c r="B4906" s="286">
        <v>2026</v>
      </c>
      <c r="C4906" s="286" t="s">
        <v>88</v>
      </c>
      <c r="D4906" s="294" t="s">
        <v>959</v>
      </c>
      <c r="E4906" s="290" t="s">
        <v>951</v>
      </c>
      <c r="F4906" s="289" t="s">
        <v>917</v>
      </c>
    </row>
    <row r="4907" spans="1:6" ht="14.25" customHeight="1">
      <c r="A4907" s="286" t="s">
        <v>830</v>
      </c>
      <c r="B4907" s="286">
        <v>2026</v>
      </c>
      <c r="C4907" s="286" t="s">
        <v>88</v>
      </c>
      <c r="D4907" s="294" t="s">
        <v>959</v>
      </c>
      <c r="E4907" s="290" t="s">
        <v>950</v>
      </c>
      <c r="F4907" s="289" t="s">
        <v>783</v>
      </c>
    </row>
    <row r="4908" spans="1:6" ht="14.25" customHeight="1">
      <c r="A4908" s="286" t="s">
        <v>830</v>
      </c>
      <c r="B4908" s="286">
        <v>2026</v>
      </c>
      <c r="C4908" s="286" t="s">
        <v>88</v>
      </c>
      <c r="D4908" s="293" t="s">
        <v>969</v>
      </c>
      <c r="E4908" s="290" t="s">
        <v>1187</v>
      </c>
      <c r="F4908" s="289" t="s">
        <v>783</v>
      </c>
    </row>
    <row r="4909" spans="1:6" ht="14.25" customHeight="1">
      <c r="A4909" s="286" t="s">
        <v>830</v>
      </c>
      <c r="B4909" s="286">
        <v>2026</v>
      </c>
      <c r="C4909" s="286" t="s">
        <v>88</v>
      </c>
      <c r="D4909" s="294" t="s">
        <v>959</v>
      </c>
      <c r="E4909" s="290" t="s">
        <v>1061</v>
      </c>
      <c r="F4909" s="289" t="s">
        <v>783</v>
      </c>
    </row>
    <row r="4910" spans="1:6" ht="14.25" customHeight="1">
      <c r="A4910" s="286" t="s">
        <v>830</v>
      </c>
      <c r="B4910" s="286">
        <v>2026</v>
      </c>
      <c r="C4910" s="286" t="s">
        <v>88</v>
      </c>
      <c r="D4910" s="293" t="s">
        <v>959</v>
      </c>
      <c r="E4910" s="290" t="s">
        <v>948</v>
      </c>
      <c r="F4910" s="289" t="s">
        <v>922</v>
      </c>
    </row>
    <row r="4911" spans="1:6" ht="14.25" customHeight="1">
      <c r="A4911" s="286" t="s">
        <v>830</v>
      </c>
      <c r="B4911" s="286">
        <v>2026</v>
      </c>
      <c r="C4911" s="286" t="s">
        <v>88</v>
      </c>
      <c r="D4911" s="293" t="s">
        <v>959</v>
      </c>
      <c r="E4911" s="290" t="s">
        <v>940</v>
      </c>
      <c r="F4911" s="289" t="s">
        <v>922</v>
      </c>
    </row>
    <row r="4912" spans="1:6" ht="14.25" customHeight="1">
      <c r="A4912" s="286" t="s">
        <v>830</v>
      </c>
      <c r="B4912" s="286">
        <v>2026</v>
      </c>
      <c r="C4912" s="286" t="s">
        <v>88</v>
      </c>
      <c r="D4912" s="293" t="s">
        <v>959</v>
      </c>
      <c r="E4912" s="290" t="s">
        <v>1044</v>
      </c>
      <c r="F4912" s="289" t="s">
        <v>922</v>
      </c>
    </row>
    <row r="4913" spans="1:6" ht="14.25" customHeight="1">
      <c r="A4913" s="286" t="s">
        <v>830</v>
      </c>
      <c r="B4913" s="286">
        <v>2026</v>
      </c>
      <c r="C4913" s="286" t="s">
        <v>88</v>
      </c>
      <c r="D4913" s="290" t="s">
        <v>959</v>
      </c>
      <c r="E4913" s="290" t="s">
        <v>1059</v>
      </c>
      <c r="F4913" s="289" t="s">
        <v>922</v>
      </c>
    </row>
    <row r="4914" spans="1:6" ht="14.25" customHeight="1">
      <c r="A4914" s="286" t="s">
        <v>830</v>
      </c>
      <c r="B4914" s="286">
        <v>2026</v>
      </c>
      <c r="C4914" s="286" t="s">
        <v>88</v>
      </c>
      <c r="D4914" s="293" t="s">
        <v>959</v>
      </c>
      <c r="E4914" s="290" t="s">
        <v>1045</v>
      </c>
      <c r="F4914" s="289" t="s">
        <v>922</v>
      </c>
    </row>
    <row r="4915" spans="1:6" ht="14.25" customHeight="1">
      <c r="A4915" s="286" t="s">
        <v>830</v>
      </c>
      <c r="B4915" s="286">
        <v>2026</v>
      </c>
      <c r="C4915" s="286" t="s">
        <v>88</v>
      </c>
      <c r="D4915" s="293" t="s">
        <v>959</v>
      </c>
      <c r="E4915" s="290" t="s">
        <v>1060</v>
      </c>
      <c r="F4915" s="289" t="s">
        <v>922</v>
      </c>
    </row>
    <row r="4916" spans="1:6" ht="14.25" customHeight="1">
      <c r="A4916" s="286" t="s">
        <v>830</v>
      </c>
      <c r="B4916" s="286">
        <v>2026</v>
      </c>
      <c r="C4916" s="286" t="s">
        <v>88</v>
      </c>
      <c r="D4916" s="293" t="s">
        <v>966</v>
      </c>
      <c r="E4916" s="290" t="s">
        <v>1023</v>
      </c>
      <c r="F4916" s="289" t="s">
        <v>920</v>
      </c>
    </row>
    <row r="4917" spans="1:6" ht="14.25" customHeight="1">
      <c r="A4917" s="286" t="s">
        <v>830</v>
      </c>
      <c r="B4917" s="286">
        <v>2026</v>
      </c>
      <c r="C4917" s="286" t="s">
        <v>88</v>
      </c>
      <c r="D4917" s="293" t="s">
        <v>969</v>
      </c>
      <c r="E4917" s="290" t="s">
        <v>991</v>
      </c>
      <c r="F4917" s="289" t="s">
        <v>906</v>
      </c>
    </row>
    <row r="4918" spans="1:6" ht="14.25" customHeight="1">
      <c r="A4918" s="286" t="s">
        <v>830</v>
      </c>
      <c r="B4918" s="286">
        <v>2026</v>
      </c>
      <c r="C4918" s="286" t="s">
        <v>88</v>
      </c>
      <c r="D4918" s="293" t="s">
        <v>969</v>
      </c>
      <c r="E4918" s="290" t="s">
        <v>932</v>
      </c>
      <c r="F4918" s="289" t="s">
        <v>663</v>
      </c>
    </row>
    <row r="4919" spans="1:6" ht="14.25" customHeight="1">
      <c r="A4919" s="286" t="s">
        <v>830</v>
      </c>
      <c r="B4919" s="286">
        <v>2026</v>
      </c>
      <c r="C4919" s="286" t="s">
        <v>88</v>
      </c>
      <c r="D4919" s="293" t="s">
        <v>969</v>
      </c>
      <c r="E4919" s="290" t="s">
        <v>941</v>
      </c>
      <c r="F4919" s="289" t="s">
        <v>663</v>
      </c>
    </row>
    <row r="4920" spans="1:6" ht="14.25" customHeight="1">
      <c r="A4920" s="286" t="s">
        <v>830</v>
      </c>
      <c r="B4920" s="286">
        <v>2026</v>
      </c>
      <c r="C4920" s="286" t="s">
        <v>88</v>
      </c>
      <c r="D4920" s="293" t="s">
        <v>969</v>
      </c>
      <c r="E4920" s="290" t="s">
        <v>951</v>
      </c>
      <c r="F4920" s="289" t="s">
        <v>917</v>
      </c>
    </row>
    <row r="4921" spans="1:6" ht="14.25" customHeight="1">
      <c r="A4921" s="286" t="s">
        <v>830</v>
      </c>
      <c r="B4921" s="286">
        <v>2026</v>
      </c>
      <c r="C4921" s="286" t="s">
        <v>88</v>
      </c>
      <c r="D4921" s="293" t="s">
        <v>969</v>
      </c>
      <c r="E4921" s="290" t="s">
        <v>1187</v>
      </c>
      <c r="F4921" s="289" t="s">
        <v>783</v>
      </c>
    </row>
    <row r="4922" spans="1:6" ht="14.25" customHeight="1">
      <c r="A4922" s="286" t="s">
        <v>830</v>
      </c>
      <c r="B4922" s="286">
        <v>2026</v>
      </c>
      <c r="C4922" s="286" t="s">
        <v>88</v>
      </c>
      <c r="D4922" s="293" t="s">
        <v>988</v>
      </c>
      <c r="E4922" s="290" t="s">
        <v>981</v>
      </c>
      <c r="F4922" s="289" t="s">
        <v>906</v>
      </c>
    </row>
    <row r="4923" spans="1:6" ht="14.25" customHeight="1">
      <c r="A4923" s="286" t="s">
        <v>830</v>
      </c>
      <c r="B4923" s="286">
        <v>2026</v>
      </c>
      <c r="C4923" s="286" t="s">
        <v>88</v>
      </c>
      <c r="D4923" s="295" t="s">
        <v>966</v>
      </c>
      <c r="E4923" s="288" t="s">
        <v>1127</v>
      </c>
      <c r="F4923" s="289" t="s">
        <v>483</v>
      </c>
    </row>
    <row r="4924" spans="1:6" ht="14.25" customHeight="1">
      <c r="A4924" s="286" t="s">
        <v>830</v>
      </c>
      <c r="B4924" s="286">
        <v>2026</v>
      </c>
      <c r="C4924" s="286" t="s">
        <v>88</v>
      </c>
      <c r="D4924" s="293" t="s">
        <v>959</v>
      </c>
      <c r="E4924" s="290" t="s">
        <v>947</v>
      </c>
      <c r="F4924" s="289" t="s">
        <v>913</v>
      </c>
    </row>
    <row r="4925" spans="1:6" ht="14.25" customHeight="1">
      <c r="A4925" s="286" t="s">
        <v>830</v>
      </c>
      <c r="B4925" s="286">
        <v>2026</v>
      </c>
      <c r="C4925" s="286" t="s">
        <v>88</v>
      </c>
      <c r="D4925" s="293" t="s">
        <v>959</v>
      </c>
      <c r="E4925" s="290" t="s">
        <v>1008</v>
      </c>
      <c r="F4925" s="289" t="s">
        <v>913</v>
      </c>
    </row>
    <row r="4926" spans="1:6" ht="14.25" customHeight="1">
      <c r="A4926" s="286" t="s">
        <v>830</v>
      </c>
      <c r="B4926" s="286">
        <v>2026</v>
      </c>
      <c r="C4926" s="286" t="s">
        <v>88</v>
      </c>
      <c r="D4926" s="293" t="s">
        <v>966</v>
      </c>
      <c r="E4926" s="290" t="s">
        <v>951</v>
      </c>
      <c r="F4926" s="289" t="s">
        <v>917</v>
      </c>
    </row>
    <row r="4927" spans="1:6" ht="14.25" customHeight="1">
      <c r="A4927" s="286" t="s">
        <v>830</v>
      </c>
      <c r="B4927" s="286">
        <v>2026</v>
      </c>
      <c r="C4927" s="286" t="s">
        <v>88</v>
      </c>
      <c r="D4927" s="293" t="s">
        <v>966</v>
      </c>
      <c r="E4927" s="290" t="s">
        <v>1028</v>
      </c>
      <c r="F4927" s="289" t="s">
        <v>906</v>
      </c>
    </row>
    <row r="4928" spans="1:6" ht="14.25" customHeight="1">
      <c r="A4928" s="286" t="s">
        <v>830</v>
      </c>
      <c r="B4928" s="286">
        <v>2026</v>
      </c>
      <c r="C4928" s="286" t="s">
        <v>88</v>
      </c>
      <c r="D4928" s="293" t="s">
        <v>959</v>
      </c>
      <c r="E4928" s="290" t="s">
        <v>2</v>
      </c>
      <c r="F4928" s="289" t="s">
        <v>922</v>
      </c>
    </row>
    <row r="4929" spans="1:6" ht="14.25" customHeight="1">
      <c r="A4929" s="286" t="s">
        <v>830</v>
      </c>
      <c r="B4929" s="286">
        <v>2026</v>
      </c>
      <c r="C4929" s="286" t="s">
        <v>88</v>
      </c>
      <c r="D4929" s="293" t="s">
        <v>969</v>
      </c>
      <c r="E4929" s="290" t="s">
        <v>1034</v>
      </c>
      <c r="F4929" s="289" t="s">
        <v>922</v>
      </c>
    </row>
    <row r="4930" spans="1:6" ht="14.25" customHeight="1">
      <c r="A4930" s="286" t="s">
        <v>830</v>
      </c>
      <c r="B4930" s="286">
        <v>2026</v>
      </c>
      <c r="C4930" s="286" t="s">
        <v>88</v>
      </c>
      <c r="D4930" s="293" t="s">
        <v>969</v>
      </c>
      <c r="E4930" s="290" t="s">
        <v>951</v>
      </c>
      <c r="F4930" s="289" t="s">
        <v>917</v>
      </c>
    </row>
    <row r="4931" spans="1:6" ht="14.25" customHeight="1">
      <c r="A4931" s="286" t="s">
        <v>830</v>
      </c>
      <c r="B4931" s="286">
        <v>2026</v>
      </c>
      <c r="C4931" s="286" t="s">
        <v>88</v>
      </c>
      <c r="D4931" s="293" t="s">
        <v>966</v>
      </c>
      <c r="E4931" s="290" t="s">
        <v>951</v>
      </c>
      <c r="F4931" s="289" t="s">
        <v>917</v>
      </c>
    </row>
    <row r="4932" spans="1:6" ht="14.25" customHeight="1">
      <c r="A4932" s="286" t="s">
        <v>830</v>
      </c>
      <c r="B4932" s="286">
        <v>2026</v>
      </c>
      <c r="C4932" s="286" t="s">
        <v>88</v>
      </c>
      <c r="D4932" s="293" t="s">
        <v>959</v>
      </c>
      <c r="E4932" s="290" t="s">
        <v>1079</v>
      </c>
      <c r="F4932" s="289" t="s">
        <v>915</v>
      </c>
    </row>
    <row r="4933" spans="1:6" ht="14.25" customHeight="1">
      <c r="A4933" s="286" t="s">
        <v>830</v>
      </c>
      <c r="B4933" s="286">
        <v>2026</v>
      </c>
      <c r="C4933" s="286" t="s">
        <v>88</v>
      </c>
      <c r="D4933" s="293" t="s">
        <v>969</v>
      </c>
      <c r="E4933" s="290" t="s">
        <v>950</v>
      </c>
      <c r="F4933" s="289" t="s">
        <v>783</v>
      </c>
    </row>
    <row r="4934" spans="1:6" ht="14.25" customHeight="1">
      <c r="A4934" s="286" t="s">
        <v>830</v>
      </c>
      <c r="B4934" s="286">
        <v>2026</v>
      </c>
      <c r="C4934" s="286" t="s">
        <v>88</v>
      </c>
      <c r="D4934" s="293" t="s">
        <v>969</v>
      </c>
      <c r="E4934" s="290" t="s">
        <v>932</v>
      </c>
      <c r="F4934" s="289" t="s">
        <v>663</v>
      </c>
    </row>
    <row r="4935" spans="1:6" ht="14.25" customHeight="1">
      <c r="A4935" s="286" t="s">
        <v>830</v>
      </c>
      <c r="B4935" s="286">
        <v>2026</v>
      </c>
      <c r="C4935" s="286" t="s">
        <v>88</v>
      </c>
      <c r="D4935" s="293" t="s">
        <v>966</v>
      </c>
      <c r="E4935" s="290" t="s">
        <v>944</v>
      </c>
      <c r="F4935" s="289" t="s">
        <v>663</v>
      </c>
    </row>
    <row r="4936" spans="1:6" ht="14.25" customHeight="1">
      <c r="A4936" s="286" t="s">
        <v>830</v>
      </c>
      <c r="B4936" s="286">
        <v>2026</v>
      </c>
      <c r="C4936" s="286" t="s">
        <v>88</v>
      </c>
      <c r="D4936" s="293" t="s">
        <v>959</v>
      </c>
      <c r="E4936" s="290" t="s">
        <v>1036</v>
      </c>
      <c r="F4936" s="289" t="s">
        <v>906</v>
      </c>
    </row>
    <row r="4937" spans="1:6" ht="14.25" customHeight="1">
      <c r="A4937" s="286" t="s">
        <v>830</v>
      </c>
      <c r="B4937" s="286">
        <v>2026</v>
      </c>
      <c r="C4937" s="286" t="s">
        <v>88</v>
      </c>
      <c r="D4937" s="293" t="s">
        <v>959</v>
      </c>
      <c r="E4937" s="290" t="s">
        <v>981</v>
      </c>
      <c r="F4937" s="289" t="s">
        <v>906</v>
      </c>
    </row>
    <row r="4938" spans="1:6" ht="14.25" customHeight="1">
      <c r="A4938" s="286" t="s">
        <v>830</v>
      </c>
      <c r="B4938" s="286">
        <v>2026</v>
      </c>
      <c r="C4938" s="286" t="s">
        <v>88</v>
      </c>
      <c r="D4938" s="293" t="s">
        <v>969</v>
      </c>
      <c r="E4938" s="290" t="s">
        <v>1417</v>
      </c>
      <c r="F4938" s="289" t="s">
        <v>920</v>
      </c>
    </row>
    <row r="4939" spans="1:6" ht="14.25" customHeight="1">
      <c r="A4939" s="286" t="s">
        <v>830</v>
      </c>
      <c r="B4939" s="286">
        <v>2026</v>
      </c>
      <c r="C4939" s="286" t="s">
        <v>88</v>
      </c>
      <c r="D4939" s="293" t="s">
        <v>959</v>
      </c>
      <c r="E4939" s="290" t="s">
        <v>953</v>
      </c>
      <c r="F4939" s="289" t="s">
        <v>906</v>
      </c>
    </row>
    <row r="4940" spans="1:6" ht="14.25" customHeight="1">
      <c r="A4940" s="286" t="s">
        <v>830</v>
      </c>
      <c r="B4940" s="286">
        <v>2026</v>
      </c>
      <c r="C4940" s="286" t="s">
        <v>88</v>
      </c>
      <c r="D4940" s="293" t="s">
        <v>966</v>
      </c>
      <c r="E4940" s="290" t="s">
        <v>1001</v>
      </c>
      <c r="F4940" s="289" t="s">
        <v>783</v>
      </c>
    </row>
    <row r="4941" spans="1:6" ht="14.25" customHeight="1">
      <c r="A4941" s="286" t="s">
        <v>830</v>
      </c>
      <c r="B4941" s="286">
        <v>2026</v>
      </c>
      <c r="C4941" s="286" t="s">
        <v>88</v>
      </c>
      <c r="D4941" s="293" t="s">
        <v>988</v>
      </c>
      <c r="E4941" s="290" t="s">
        <v>1068</v>
      </c>
      <c r="F4941" s="289" t="s">
        <v>922</v>
      </c>
    </row>
    <row r="4942" spans="1:6" ht="14.25" customHeight="1">
      <c r="A4942" s="286" t="s">
        <v>830</v>
      </c>
      <c r="B4942" s="286">
        <v>2026</v>
      </c>
      <c r="C4942" s="286" t="s">
        <v>88</v>
      </c>
      <c r="D4942" s="293" t="s">
        <v>988</v>
      </c>
      <c r="E4942" s="290" t="s">
        <v>1113</v>
      </c>
      <c r="F4942" s="289" t="s">
        <v>922</v>
      </c>
    </row>
    <row r="4943" spans="1:6" ht="14.25" customHeight="1">
      <c r="A4943" s="286" t="s">
        <v>830</v>
      </c>
      <c r="B4943" s="286">
        <v>2026</v>
      </c>
      <c r="C4943" s="286" t="s">
        <v>88</v>
      </c>
      <c r="D4943" s="293" t="s">
        <v>959</v>
      </c>
      <c r="E4943" s="290" t="s">
        <v>1094</v>
      </c>
      <c r="F4943" s="289" t="s">
        <v>918</v>
      </c>
    </row>
    <row r="4944" spans="1:6" ht="14.25" customHeight="1">
      <c r="A4944" s="286" t="s">
        <v>830</v>
      </c>
      <c r="B4944" s="286">
        <v>2026</v>
      </c>
      <c r="C4944" s="286" t="s">
        <v>88</v>
      </c>
      <c r="D4944" s="293" t="s">
        <v>958</v>
      </c>
      <c r="E4944" s="290" t="s">
        <v>944</v>
      </c>
      <c r="F4944" s="289" t="s">
        <v>920</v>
      </c>
    </row>
    <row r="4945" spans="1:6" ht="14.25" customHeight="1">
      <c r="A4945" s="286" t="s">
        <v>830</v>
      </c>
      <c r="B4945" s="286">
        <v>2026</v>
      </c>
      <c r="C4945" s="286" t="s">
        <v>88</v>
      </c>
      <c r="D4945" s="293" t="s">
        <v>969</v>
      </c>
      <c r="E4945" s="290" t="s">
        <v>943</v>
      </c>
      <c r="F4945" s="289" t="s">
        <v>917</v>
      </c>
    </row>
    <row r="4946" spans="1:6" ht="14.25" customHeight="1">
      <c r="A4946" s="286" t="s">
        <v>830</v>
      </c>
      <c r="B4946" s="286">
        <v>2026</v>
      </c>
      <c r="C4946" s="286" t="s">
        <v>88</v>
      </c>
      <c r="D4946" s="293" t="s">
        <v>969</v>
      </c>
      <c r="E4946" s="290" t="s">
        <v>1095</v>
      </c>
      <c r="F4946" s="289" t="s">
        <v>924</v>
      </c>
    </row>
    <row r="4947" spans="1:6" ht="14.25" customHeight="1">
      <c r="A4947" s="286" t="s">
        <v>830</v>
      </c>
      <c r="B4947" s="286">
        <v>2026</v>
      </c>
      <c r="C4947" s="286" t="s">
        <v>88</v>
      </c>
      <c r="D4947" s="293" t="s">
        <v>959</v>
      </c>
      <c r="E4947" s="290" t="s">
        <v>1115</v>
      </c>
      <c r="F4947" s="289" t="s">
        <v>911</v>
      </c>
    </row>
    <row r="4948" spans="1:6" ht="14.25" customHeight="1">
      <c r="A4948" s="286" t="s">
        <v>830</v>
      </c>
      <c r="B4948" s="286">
        <v>2026</v>
      </c>
      <c r="C4948" s="286" t="s">
        <v>88</v>
      </c>
      <c r="D4948" s="293" t="s">
        <v>959</v>
      </c>
      <c r="E4948" s="290" t="s">
        <v>970</v>
      </c>
      <c r="F4948" s="289" t="s">
        <v>915</v>
      </c>
    </row>
    <row r="4949" spans="1:6" ht="14.25" customHeight="1">
      <c r="A4949" s="286" t="s">
        <v>830</v>
      </c>
      <c r="B4949" s="286">
        <v>2026</v>
      </c>
      <c r="C4949" s="286" t="s">
        <v>88</v>
      </c>
      <c r="D4949" s="293" t="s">
        <v>959</v>
      </c>
      <c r="E4949" s="290" t="s">
        <v>986</v>
      </c>
      <c r="F4949" s="289" t="s">
        <v>906</v>
      </c>
    </row>
    <row r="4950" spans="1:6" ht="14.25" customHeight="1">
      <c r="A4950" s="286" t="s">
        <v>830</v>
      </c>
      <c r="B4950" s="286">
        <v>2026</v>
      </c>
      <c r="C4950" s="286" t="s">
        <v>88</v>
      </c>
      <c r="D4950" s="293" t="s">
        <v>966</v>
      </c>
      <c r="E4950" s="290" t="s">
        <v>981</v>
      </c>
      <c r="F4950" s="289" t="s">
        <v>906</v>
      </c>
    </row>
    <row r="4951" spans="1:6" ht="14.25" customHeight="1">
      <c r="A4951" s="286" t="s">
        <v>830</v>
      </c>
      <c r="B4951" s="286">
        <v>2026</v>
      </c>
      <c r="C4951" s="286" t="s">
        <v>88</v>
      </c>
      <c r="D4951" s="293" t="s">
        <v>959</v>
      </c>
      <c r="E4951" s="290" t="s">
        <v>1068</v>
      </c>
      <c r="F4951" s="289" t="s">
        <v>922</v>
      </c>
    </row>
    <row r="4952" spans="1:6" ht="14.25" customHeight="1">
      <c r="A4952" s="286" t="s">
        <v>830</v>
      </c>
      <c r="B4952" s="286">
        <v>2026</v>
      </c>
      <c r="C4952" s="286" t="s">
        <v>88</v>
      </c>
      <c r="D4952" s="290" t="s">
        <v>988</v>
      </c>
      <c r="E4952" s="290" t="s">
        <v>1068</v>
      </c>
      <c r="F4952" s="289" t="s">
        <v>922</v>
      </c>
    </row>
    <row r="4953" spans="1:6" ht="14.25" customHeight="1">
      <c r="A4953" s="286" t="s">
        <v>830</v>
      </c>
      <c r="B4953" s="286">
        <v>2026</v>
      </c>
      <c r="C4953" s="286" t="s">
        <v>88</v>
      </c>
      <c r="D4953" s="293" t="s">
        <v>959</v>
      </c>
      <c r="E4953" s="290" t="s">
        <v>948</v>
      </c>
      <c r="F4953" s="289" t="s">
        <v>922</v>
      </c>
    </row>
    <row r="4954" spans="1:6" ht="14.25" customHeight="1">
      <c r="A4954" s="286" t="s">
        <v>830</v>
      </c>
      <c r="B4954" s="286">
        <v>2026</v>
      </c>
      <c r="C4954" s="286" t="s">
        <v>88</v>
      </c>
      <c r="D4954" s="293" t="s">
        <v>959</v>
      </c>
      <c r="E4954" s="290" t="s">
        <v>955</v>
      </c>
      <c r="F4954" s="289" t="s">
        <v>922</v>
      </c>
    </row>
    <row r="4955" spans="1:6" ht="14.25" customHeight="1">
      <c r="A4955" s="286" t="s">
        <v>830</v>
      </c>
      <c r="B4955" s="286">
        <v>2026</v>
      </c>
      <c r="C4955" s="286" t="s">
        <v>88</v>
      </c>
      <c r="D4955" s="293" t="s">
        <v>966</v>
      </c>
      <c r="E4955" s="290" t="s">
        <v>1064</v>
      </c>
      <c r="F4955" s="289" t="s">
        <v>922</v>
      </c>
    </row>
    <row r="4956" spans="1:6" ht="14.25" customHeight="1">
      <c r="A4956" s="286" t="s">
        <v>830</v>
      </c>
      <c r="B4956" s="286">
        <v>2026</v>
      </c>
      <c r="C4956" s="286" t="s">
        <v>88</v>
      </c>
      <c r="D4956" s="293" t="s">
        <v>959</v>
      </c>
      <c r="E4956" s="290" t="s">
        <v>1044</v>
      </c>
      <c r="F4956" s="289" t="s">
        <v>922</v>
      </c>
    </row>
    <row r="4957" spans="1:6" ht="14.25" customHeight="1">
      <c r="A4957" s="286" t="s">
        <v>830</v>
      </c>
      <c r="B4957" s="286">
        <v>2026</v>
      </c>
      <c r="C4957" s="286" t="s">
        <v>88</v>
      </c>
      <c r="D4957" s="293" t="s">
        <v>959</v>
      </c>
      <c r="E4957" s="290" t="s">
        <v>1034</v>
      </c>
      <c r="F4957" s="289" t="s">
        <v>922</v>
      </c>
    </row>
    <row r="4958" spans="1:6" ht="14.25" customHeight="1">
      <c r="A4958" s="286" t="s">
        <v>830</v>
      </c>
      <c r="B4958" s="286">
        <v>2026</v>
      </c>
      <c r="C4958" s="286" t="s">
        <v>88</v>
      </c>
      <c r="D4958" s="290" t="s">
        <v>959</v>
      </c>
      <c r="E4958" s="290" t="s">
        <v>1019</v>
      </c>
      <c r="F4958" s="289" t="s">
        <v>922</v>
      </c>
    </row>
    <row r="4959" spans="1:6" ht="14.25" customHeight="1">
      <c r="A4959" s="286" t="s">
        <v>830</v>
      </c>
      <c r="B4959" s="286">
        <v>2026</v>
      </c>
      <c r="C4959" s="286" t="s">
        <v>88</v>
      </c>
      <c r="D4959" s="293" t="s">
        <v>969</v>
      </c>
      <c r="E4959" s="290" t="s">
        <v>1060</v>
      </c>
      <c r="F4959" s="289" t="s">
        <v>922</v>
      </c>
    </row>
    <row r="4960" spans="1:6" ht="14.25" customHeight="1">
      <c r="A4960" s="286" t="s">
        <v>830</v>
      </c>
      <c r="B4960" s="286">
        <v>2026</v>
      </c>
      <c r="C4960" s="286" t="s">
        <v>88</v>
      </c>
      <c r="D4960" s="293" t="s">
        <v>966</v>
      </c>
      <c r="E4960" s="290" t="s">
        <v>1041</v>
      </c>
      <c r="F4960" s="289" t="s">
        <v>906</v>
      </c>
    </row>
    <row r="4961" spans="1:6" ht="14.25" customHeight="1">
      <c r="A4961" s="286" t="s">
        <v>830</v>
      </c>
      <c r="B4961" s="286">
        <v>2026</v>
      </c>
      <c r="C4961" s="286" t="s">
        <v>88</v>
      </c>
      <c r="D4961" s="293" t="s">
        <v>969</v>
      </c>
      <c r="E4961" s="290" t="s">
        <v>1094</v>
      </c>
      <c r="F4961" s="289" t="s">
        <v>918</v>
      </c>
    </row>
    <row r="4962" spans="1:6" ht="14.25" customHeight="1">
      <c r="A4962" s="286" t="s">
        <v>830</v>
      </c>
      <c r="B4962" s="286">
        <v>2026</v>
      </c>
      <c r="C4962" s="286" t="s">
        <v>88</v>
      </c>
      <c r="D4962" s="293" t="s">
        <v>969</v>
      </c>
      <c r="E4962" s="290" t="s">
        <v>2</v>
      </c>
      <c r="F4962" s="289" t="s">
        <v>917</v>
      </c>
    </row>
    <row r="4963" spans="1:6" ht="14.25" customHeight="1">
      <c r="A4963" s="286" t="s">
        <v>830</v>
      </c>
      <c r="B4963" s="286">
        <v>2026</v>
      </c>
      <c r="C4963" s="286" t="s">
        <v>88</v>
      </c>
      <c r="D4963" s="290" t="s">
        <v>969</v>
      </c>
      <c r="E4963" s="290" t="s">
        <v>2</v>
      </c>
      <c r="F4963" s="289" t="s">
        <v>917</v>
      </c>
    </row>
    <row r="4964" spans="1:6" ht="14.25" customHeight="1">
      <c r="A4964" s="286" t="s">
        <v>830</v>
      </c>
      <c r="B4964" s="286">
        <v>2026</v>
      </c>
      <c r="C4964" s="286" t="s">
        <v>88</v>
      </c>
      <c r="D4964" s="293" t="s">
        <v>966</v>
      </c>
      <c r="E4964" s="290" t="s">
        <v>1061</v>
      </c>
      <c r="F4964" s="289" t="s">
        <v>783</v>
      </c>
    </row>
    <row r="4965" spans="1:6" ht="14.25" customHeight="1">
      <c r="A4965" s="286" t="s">
        <v>830</v>
      </c>
      <c r="B4965" s="286">
        <v>2026</v>
      </c>
      <c r="C4965" s="286" t="s">
        <v>88</v>
      </c>
      <c r="D4965" s="290" t="s">
        <v>966</v>
      </c>
      <c r="E4965" s="290" t="s">
        <v>1112</v>
      </c>
      <c r="F4965" s="289" t="s">
        <v>918</v>
      </c>
    </row>
    <row r="4966" spans="1:6" ht="14.25" customHeight="1">
      <c r="A4966" s="286" t="s">
        <v>830</v>
      </c>
      <c r="B4966" s="286">
        <v>2026</v>
      </c>
      <c r="C4966" s="286" t="s">
        <v>88</v>
      </c>
      <c r="D4966" s="293" t="s">
        <v>966</v>
      </c>
      <c r="E4966" s="290" t="s">
        <v>1418</v>
      </c>
      <c r="F4966" s="289" t="s">
        <v>922</v>
      </c>
    </row>
    <row r="4967" spans="1:6" ht="14.25" customHeight="1">
      <c r="A4967" s="286" t="s">
        <v>830</v>
      </c>
      <c r="B4967" s="286">
        <v>2026</v>
      </c>
      <c r="C4967" s="286" t="s">
        <v>88</v>
      </c>
      <c r="D4967" s="293" t="s">
        <v>959</v>
      </c>
      <c r="E4967" s="290" t="s">
        <v>940</v>
      </c>
      <c r="F4967" s="289" t="s">
        <v>922</v>
      </c>
    </row>
    <row r="4968" spans="1:6" ht="14.25" customHeight="1">
      <c r="A4968" s="286" t="s">
        <v>830</v>
      </c>
      <c r="B4968" s="286">
        <v>2026</v>
      </c>
      <c r="C4968" s="286" t="s">
        <v>88</v>
      </c>
      <c r="D4968" s="293" t="s">
        <v>959</v>
      </c>
      <c r="E4968" s="290" t="s">
        <v>1063</v>
      </c>
      <c r="F4968" s="289" t="s">
        <v>922</v>
      </c>
    </row>
    <row r="4969" spans="1:6" ht="14.25" customHeight="1">
      <c r="A4969" s="286" t="s">
        <v>830</v>
      </c>
      <c r="B4969" s="286">
        <v>2026</v>
      </c>
      <c r="C4969" s="286" t="s">
        <v>88</v>
      </c>
      <c r="D4969" s="293" t="s">
        <v>959</v>
      </c>
      <c r="E4969" s="290" t="s">
        <v>973</v>
      </c>
      <c r="F4969" s="289" t="s">
        <v>917</v>
      </c>
    </row>
    <row r="4970" spans="1:6" ht="14.25" customHeight="1">
      <c r="A4970" s="286" t="s">
        <v>830</v>
      </c>
      <c r="B4970" s="286">
        <v>2026</v>
      </c>
      <c r="C4970" s="286" t="s">
        <v>859</v>
      </c>
      <c r="D4970" s="290" t="s">
        <v>1419</v>
      </c>
      <c r="E4970" s="290" t="s">
        <v>1051</v>
      </c>
      <c r="F4970" s="289" t="s">
        <v>924</v>
      </c>
    </row>
    <row r="4971" spans="1:6" ht="14.25" customHeight="1">
      <c r="A4971" s="286" t="s">
        <v>830</v>
      </c>
      <c r="B4971" s="286">
        <v>2026</v>
      </c>
      <c r="C4971" s="286" t="s">
        <v>859</v>
      </c>
      <c r="D4971" s="290" t="s">
        <v>1000</v>
      </c>
      <c r="E4971" s="290" t="s">
        <v>945</v>
      </c>
      <c r="F4971" s="289" t="s">
        <v>917</v>
      </c>
    </row>
    <row r="4972" spans="1:6" ht="14.25" customHeight="1">
      <c r="A4972" s="286" t="s">
        <v>830</v>
      </c>
      <c r="B4972" s="286">
        <v>2026</v>
      </c>
      <c r="C4972" s="286" t="s">
        <v>859</v>
      </c>
      <c r="D4972" s="290" t="s">
        <v>1005</v>
      </c>
      <c r="E4972" s="290" t="s">
        <v>1087</v>
      </c>
      <c r="F4972" s="289" t="s">
        <v>663</v>
      </c>
    </row>
    <row r="4973" spans="1:6" ht="14.25" customHeight="1">
      <c r="A4973" s="286" t="s">
        <v>830</v>
      </c>
      <c r="B4973" s="286">
        <v>2026</v>
      </c>
      <c r="C4973" s="286" t="s">
        <v>859</v>
      </c>
      <c r="D4973" s="290" t="s">
        <v>1000</v>
      </c>
      <c r="E4973" s="290" t="s">
        <v>1092</v>
      </c>
      <c r="F4973" s="289" t="s">
        <v>911</v>
      </c>
    </row>
    <row r="4974" spans="1:6" ht="14.25" customHeight="1">
      <c r="A4974" s="286" t="s">
        <v>830</v>
      </c>
      <c r="B4974" s="286">
        <v>2026</v>
      </c>
      <c r="C4974" s="286" t="s">
        <v>859</v>
      </c>
      <c r="D4974" s="290" t="s">
        <v>1000</v>
      </c>
      <c r="E4974" s="290" t="s">
        <v>991</v>
      </c>
      <c r="F4974" s="289" t="s">
        <v>906</v>
      </c>
    </row>
    <row r="4975" spans="1:6" ht="14.25" customHeight="1">
      <c r="A4975" s="286" t="s">
        <v>830</v>
      </c>
      <c r="B4975" s="286">
        <v>2026</v>
      </c>
      <c r="C4975" s="286" t="s">
        <v>859</v>
      </c>
      <c r="D4975" s="290" t="s">
        <v>1000</v>
      </c>
      <c r="E4975" s="290" t="s">
        <v>970</v>
      </c>
      <c r="F4975" s="289" t="s">
        <v>915</v>
      </c>
    </row>
    <row r="4976" spans="1:6" ht="14.25" customHeight="1">
      <c r="A4976" s="286" t="s">
        <v>830</v>
      </c>
      <c r="B4976" s="286">
        <v>2026</v>
      </c>
      <c r="C4976" s="286" t="s">
        <v>859</v>
      </c>
      <c r="D4976" s="290" t="s">
        <v>1082</v>
      </c>
      <c r="E4976" s="290" t="s">
        <v>1112</v>
      </c>
      <c r="F4976" s="289" t="s">
        <v>918</v>
      </c>
    </row>
    <row r="4977" spans="1:6" ht="14.25" customHeight="1">
      <c r="A4977" s="286" t="s">
        <v>830</v>
      </c>
      <c r="B4977" s="286">
        <v>2026</v>
      </c>
      <c r="C4977" s="286" t="s">
        <v>872</v>
      </c>
      <c r="D4977" s="290" t="s">
        <v>1013</v>
      </c>
      <c r="E4977" s="296" t="s">
        <v>1038</v>
      </c>
      <c r="F4977" s="289" t="s">
        <v>918</v>
      </c>
    </row>
    <row r="4978" spans="1:6" ht="14.25" customHeight="1">
      <c r="A4978" s="286" t="s">
        <v>830</v>
      </c>
      <c r="B4978" s="286">
        <v>2026</v>
      </c>
      <c r="C4978" s="286" t="s">
        <v>872</v>
      </c>
      <c r="D4978" s="290" t="s">
        <v>1012</v>
      </c>
      <c r="E4978" s="296" t="s">
        <v>1112</v>
      </c>
      <c r="F4978" s="289" t="s">
        <v>918</v>
      </c>
    </row>
    <row r="4979" spans="1:6" ht="14.25" customHeight="1">
      <c r="A4979" s="286" t="s">
        <v>830</v>
      </c>
      <c r="B4979" s="286">
        <v>2026</v>
      </c>
      <c r="C4979" s="286" t="s">
        <v>872</v>
      </c>
      <c r="D4979" s="290" t="s">
        <v>1420</v>
      </c>
      <c r="E4979" s="296" t="s">
        <v>1113</v>
      </c>
      <c r="F4979" s="289" t="s">
        <v>922</v>
      </c>
    </row>
    <row r="4980" spans="1:6" ht="14.25" customHeight="1">
      <c r="A4980" s="286" t="s">
        <v>830</v>
      </c>
      <c r="B4980" s="286">
        <v>2026</v>
      </c>
      <c r="C4980" s="286" t="s">
        <v>872</v>
      </c>
      <c r="D4980" s="290" t="s">
        <v>1420</v>
      </c>
      <c r="E4980" s="296" t="s">
        <v>1068</v>
      </c>
      <c r="F4980" s="289" t="s">
        <v>922</v>
      </c>
    </row>
    <row r="4981" spans="1:6" ht="14.25" customHeight="1">
      <c r="A4981" s="286" t="s">
        <v>830</v>
      </c>
      <c r="B4981" s="286">
        <v>2026</v>
      </c>
      <c r="C4981" s="286" t="s">
        <v>872</v>
      </c>
      <c r="D4981" s="290" t="s">
        <v>1013</v>
      </c>
      <c r="E4981" s="296" t="s">
        <v>1016</v>
      </c>
      <c r="F4981" s="289" t="s">
        <v>783</v>
      </c>
    </row>
    <row r="4982" spans="1:6" ht="14.25" customHeight="1">
      <c r="A4982" s="286" t="s">
        <v>830</v>
      </c>
      <c r="B4982" s="286">
        <v>2026</v>
      </c>
      <c r="C4982" s="286" t="s">
        <v>872</v>
      </c>
      <c r="D4982" s="290" t="s">
        <v>1013</v>
      </c>
      <c r="E4982" s="296" t="s">
        <v>1128</v>
      </c>
      <c r="F4982" s="289" t="s">
        <v>483</v>
      </c>
    </row>
    <row r="4983" spans="1:6" ht="14.25" customHeight="1">
      <c r="A4983" s="286" t="s">
        <v>830</v>
      </c>
      <c r="B4983" s="286">
        <v>2026</v>
      </c>
      <c r="C4983" s="286" t="s">
        <v>872</v>
      </c>
      <c r="D4983" s="290" t="s">
        <v>1013</v>
      </c>
      <c r="E4983" s="296" t="s">
        <v>997</v>
      </c>
      <c r="F4983" s="289" t="s">
        <v>920</v>
      </c>
    </row>
    <row r="4984" spans="1:6" ht="14.25" customHeight="1">
      <c r="A4984" s="286" t="s">
        <v>830</v>
      </c>
      <c r="B4984" s="286">
        <v>2026</v>
      </c>
      <c r="C4984" s="286" t="s">
        <v>872</v>
      </c>
      <c r="D4984" s="290" t="s">
        <v>1013</v>
      </c>
      <c r="E4984" s="296" t="s">
        <v>1078</v>
      </c>
      <c r="F4984" s="289" t="s">
        <v>915</v>
      </c>
    </row>
    <row r="4985" spans="1:6" ht="14.25" customHeight="1">
      <c r="A4985" s="286" t="s">
        <v>830</v>
      </c>
      <c r="B4985" s="286">
        <v>2026</v>
      </c>
      <c r="C4985" s="286" t="s">
        <v>872</v>
      </c>
      <c r="D4985" s="290" t="s">
        <v>1013</v>
      </c>
      <c r="E4985" s="296" t="s">
        <v>1041</v>
      </c>
      <c r="F4985" s="289" t="s">
        <v>906</v>
      </c>
    </row>
    <row r="4986" spans="1:6" ht="14.25" customHeight="1">
      <c r="A4986" s="286" t="s">
        <v>830</v>
      </c>
      <c r="B4986" s="286">
        <v>2026</v>
      </c>
      <c r="C4986" s="286" t="s">
        <v>872</v>
      </c>
      <c r="D4986" s="290" t="s">
        <v>1013</v>
      </c>
      <c r="E4986" s="296" t="s">
        <v>997</v>
      </c>
      <c r="F4986" s="289" t="s">
        <v>920</v>
      </c>
    </row>
    <row r="4987" spans="1:6" ht="14.25" customHeight="1">
      <c r="A4987" s="286" t="s">
        <v>830</v>
      </c>
      <c r="B4987" s="286">
        <v>2026</v>
      </c>
      <c r="C4987" s="286" t="s">
        <v>1024</v>
      </c>
      <c r="D4987" s="290" t="s">
        <v>1025</v>
      </c>
      <c r="E4987" s="290" t="s">
        <v>953</v>
      </c>
      <c r="F4987" s="289" t="s">
        <v>906</v>
      </c>
    </row>
    <row r="4988" spans="1:6" ht="14.25" customHeight="1">
      <c r="A4988" s="286" t="s">
        <v>830</v>
      </c>
      <c r="B4988" s="286">
        <v>2026</v>
      </c>
      <c r="C4988" s="286" t="s">
        <v>1024</v>
      </c>
      <c r="D4988" s="290" t="s">
        <v>1025</v>
      </c>
      <c r="E4988" s="290" t="s">
        <v>944</v>
      </c>
      <c r="F4988" s="289" t="s">
        <v>906</v>
      </c>
    </row>
    <row r="4989" spans="1:6" ht="14.25" customHeight="1">
      <c r="A4989" s="286" t="s">
        <v>830</v>
      </c>
      <c r="B4989" s="286">
        <v>2026</v>
      </c>
      <c r="C4989" s="286" t="s">
        <v>1024</v>
      </c>
      <c r="D4989" s="290" t="s">
        <v>1025</v>
      </c>
      <c r="E4989" s="290" t="s">
        <v>944</v>
      </c>
      <c r="F4989" s="289" t="s">
        <v>906</v>
      </c>
    </row>
    <row r="4990" spans="1:6" ht="14.25" customHeight="1">
      <c r="A4990" s="286" t="s">
        <v>830</v>
      </c>
      <c r="B4990" s="286">
        <v>2026</v>
      </c>
      <c r="C4990" s="286" t="s">
        <v>1024</v>
      </c>
      <c r="D4990" s="290" t="s">
        <v>1025</v>
      </c>
      <c r="E4990" s="290" t="s">
        <v>944</v>
      </c>
      <c r="F4990" s="289" t="s">
        <v>918</v>
      </c>
    </row>
    <row r="4991" spans="1:6" ht="14.25" customHeight="1">
      <c r="A4991" s="286" t="s">
        <v>830</v>
      </c>
      <c r="B4991" s="286">
        <v>2026</v>
      </c>
      <c r="C4991" s="286" t="s">
        <v>1024</v>
      </c>
      <c r="D4991" s="290" t="s">
        <v>1027</v>
      </c>
      <c r="E4991" s="290" t="s">
        <v>1023</v>
      </c>
      <c r="F4991" s="289" t="s">
        <v>920</v>
      </c>
    </row>
    <row r="4992" spans="1:6" ht="14.25" customHeight="1">
      <c r="A4992" s="286" t="s">
        <v>830</v>
      </c>
      <c r="B4992" s="286">
        <v>2026</v>
      </c>
      <c r="C4992" s="286" t="s">
        <v>1024</v>
      </c>
      <c r="D4992" s="290" t="s">
        <v>1027</v>
      </c>
      <c r="E4992" s="290" t="s">
        <v>954</v>
      </c>
      <c r="F4992" s="289" t="s">
        <v>906</v>
      </c>
    </row>
    <row r="4993" spans="1:6" ht="14.25" customHeight="1">
      <c r="A4993" s="286" t="s">
        <v>830</v>
      </c>
      <c r="B4993" s="286">
        <v>2026</v>
      </c>
      <c r="C4993" s="286" t="s">
        <v>1024</v>
      </c>
      <c r="D4993" s="290" t="s">
        <v>1027</v>
      </c>
      <c r="E4993" s="290" t="s">
        <v>953</v>
      </c>
      <c r="F4993" s="289" t="s">
        <v>906</v>
      </c>
    </row>
    <row r="4994" spans="1:6" ht="14.25" customHeight="1">
      <c r="A4994" s="286" t="s">
        <v>830</v>
      </c>
      <c r="B4994" s="286">
        <v>2026</v>
      </c>
      <c r="C4994" s="286" t="s">
        <v>1024</v>
      </c>
      <c r="D4994" s="290" t="s">
        <v>1421</v>
      </c>
      <c r="E4994" s="290" t="s">
        <v>991</v>
      </c>
      <c r="F4994" s="289" t="s">
        <v>906</v>
      </c>
    </row>
    <row r="4995" spans="1:6" ht="14.25" customHeight="1">
      <c r="A4995" s="286" t="s">
        <v>830</v>
      </c>
      <c r="B4995" s="286">
        <v>2026</v>
      </c>
      <c r="C4995" s="286" t="s">
        <v>1024</v>
      </c>
      <c r="D4995" s="290" t="s">
        <v>1027</v>
      </c>
      <c r="E4995" s="290" t="s">
        <v>1422</v>
      </c>
      <c r="F4995" s="289" t="s">
        <v>663</v>
      </c>
    </row>
    <row r="4996" spans="1:6" ht="14.25" customHeight="1">
      <c r="A4996" s="286" t="s">
        <v>830</v>
      </c>
      <c r="B4996" s="286">
        <v>2026</v>
      </c>
      <c r="C4996" s="286" t="s">
        <v>1024</v>
      </c>
      <c r="D4996" s="289" t="s">
        <v>1055</v>
      </c>
      <c r="E4996" s="289" t="s">
        <v>932</v>
      </c>
      <c r="F4996" s="289" t="s">
        <v>663</v>
      </c>
    </row>
    <row r="4997" spans="1:6" ht="14.25" customHeight="1">
      <c r="A4997" s="286" t="s">
        <v>830</v>
      </c>
      <c r="B4997" s="286">
        <v>2026</v>
      </c>
      <c r="C4997" s="286" t="s">
        <v>1024</v>
      </c>
      <c r="D4997" s="288" t="s">
        <v>1025</v>
      </c>
      <c r="E4997" s="288" t="s">
        <v>944</v>
      </c>
      <c r="F4997" s="289" t="s">
        <v>917</v>
      </c>
    </row>
    <row r="4998" spans="1:6" ht="14.25" customHeight="1">
      <c r="A4998" s="286" t="s">
        <v>830</v>
      </c>
      <c r="B4998" s="286">
        <v>2026</v>
      </c>
      <c r="C4998" s="286" t="s">
        <v>1024</v>
      </c>
      <c r="D4998" s="290" t="s">
        <v>1026</v>
      </c>
      <c r="E4998" s="290" t="s">
        <v>1034</v>
      </c>
      <c r="F4998" s="289" t="s">
        <v>922</v>
      </c>
    </row>
    <row r="4999" spans="1:6" ht="14.25" customHeight="1">
      <c r="A4999" s="286" t="s">
        <v>830</v>
      </c>
      <c r="B4999" s="286">
        <v>2026</v>
      </c>
      <c r="C4999" s="286" t="s">
        <v>1024</v>
      </c>
      <c r="D4999" s="290" t="s">
        <v>1027</v>
      </c>
      <c r="E4999" s="290" t="s">
        <v>944</v>
      </c>
      <c r="F4999" s="289" t="s">
        <v>922</v>
      </c>
    </row>
    <row r="5000" spans="1:6" ht="14.25" customHeight="1">
      <c r="A5000" s="286" t="s">
        <v>830</v>
      </c>
      <c r="B5000" s="286">
        <v>2026</v>
      </c>
      <c r="C5000" s="286" t="s">
        <v>1024</v>
      </c>
      <c r="D5000" s="290" t="s">
        <v>1025</v>
      </c>
      <c r="E5000" s="290" t="s">
        <v>1125</v>
      </c>
      <c r="F5000" s="289" t="s">
        <v>483</v>
      </c>
    </row>
    <row r="5001" spans="1:6" ht="14.25" customHeight="1">
      <c r="A5001" s="12" t="s">
        <v>831</v>
      </c>
      <c r="B5001" s="12">
        <v>2026</v>
      </c>
      <c r="C5001" s="12" t="s">
        <v>821</v>
      </c>
      <c r="D5001" s="297" t="s">
        <v>976</v>
      </c>
      <c r="E5001" s="280" t="s">
        <v>2</v>
      </c>
      <c r="F5001" s="280" t="s">
        <v>920</v>
      </c>
    </row>
    <row r="5002" spans="1:6" ht="14.25" customHeight="1">
      <c r="A5002" s="12" t="s">
        <v>831</v>
      </c>
      <c r="B5002" s="12">
        <v>2026</v>
      </c>
      <c r="C5002" s="12" t="s">
        <v>821</v>
      </c>
      <c r="D5002" s="298" t="s">
        <v>132</v>
      </c>
      <c r="E5002" s="298" t="s">
        <v>954</v>
      </c>
      <c r="F5002" s="280" t="s">
        <v>906</v>
      </c>
    </row>
    <row r="5003" spans="1:6" ht="14.25" customHeight="1">
      <c r="A5003" s="12" t="s">
        <v>831</v>
      </c>
      <c r="B5003" s="12">
        <v>2026</v>
      </c>
      <c r="C5003" s="12" t="s">
        <v>821</v>
      </c>
      <c r="D5003" s="299" t="s">
        <v>934</v>
      </c>
      <c r="E5003" s="298" t="s">
        <v>940</v>
      </c>
      <c r="F5003" s="280" t="s">
        <v>922</v>
      </c>
    </row>
    <row r="5004" spans="1:6" ht="14.25" customHeight="1">
      <c r="A5004" s="12" t="s">
        <v>831</v>
      </c>
      <c r="B5004" s="12">
        <v>2026</v>
      </c>
      <c r="C5004" s="12" t="s">
        <v>821</v>
      </c>
      <c r="D5004" s="298" t="s">
        <v>934</v>
      </c>
      <c r="E5004" s="298" t="s">
        <v>953</v>
      </c>
      <c r="F5004" s="280" t="s">
        <v>906</v>
      </c>
    </row>
    <row r="5005" spans="1:6" ht="14.25" customHeight="1">
      <c r="A5005" s="12" t="s">
        <v>831</v>
      </c>
      <c r="B5005" s="12">
        <v>2026</v>
      </c>
      <c r="C5005" s="12" t="s">
        <v>821</v>
      </c>
      <c r="D5005" s="299" t="s">
        <v>931</v>
      </c>
      <c r="E5005" s="298" t="s">
        <v>953</v>
      </c>
      <c r="F5005" s="280" t="s">
        <v>906</v>
      </c>
    </row>
    <row r="5006" spans="1:6" ht="14.25" customHeight="1">
      <c r="A5006" s="12" t="s">
        <v>831</v>
      </c>
      <c r="B5006" s="12">
        <v>2026</v>
      </c>
      <c r="C5006" s="12" t="s">
        <v>821</v>
      </c>
      <c r="D5006" s="299" t="s">
        <v>934</v>
      </c>
      <c r="E5006" s="298" t="s">
        <v>953</v>
      </c>
      <c r="F5006" s="280" t="s">
        <v>906</v>
      </c>
    </row>
    <row r="5007" spans="1:6" ht="14.25" customHeight="1">
      <c r="A5007" s="12" t="s">
        <v>831</v>
      </c>
      <c r="B5007" s="12">
        <v>2026</v>
      </c>
      <c r="C5007" s="12" t="s">
        <v>821</v>
      </c>
      <c r="D5007" s="298" t="s">
        <v>976</v>
      </c>
      <c r="E5007" s="298" t="s">
        <v>994</v>
      </c>
      <c r="F5007" s="280" t="s">
        <v>663</v>
      </c>
    </row>
    <row r="5008" spans="1:6" ht="14.25" customHeight="1">
      <c r="A5008" s="12" t="s">
        <v>831</v>
      </c>
      <c r="B5008" s="12">
        <v>2026</v>
      </c>
      <c r="C5008" s="12" t="s">
        <v>821</v>
      </c>
      <c r="D5008" s="298" t="s">
        <v>934</v>
      </c>
      <c r="E5008" s="298" t="s">
        <v>994</v>
      </c>
      <c r="F5008" s="280" t="s">
        <v>663</v>
      </c>
    </row>
    <row r="5009" spans="1:6" ht="14.25" customHeight="1">
      <c r="A5009" s="12" t="s">
        <v>831</v>
      </c>
      <c r="B5009" s="12">
        <v>2026</v>
      </c>
      <c r="C5009" s="12" t="s">
        <v>821</v>
      </c>
      <c r="D5009" s="299" t="s">
        <v>934</v>
      </c>
      <c r="E5009" s="297" t="s">
        <v>970</v>
      </c>
      <c r="F5009" s="280" t="s">
        <v>915</v>
      </c>
    </row>
    <row r="5010" spans="1:6" ht="14.25" customHeight="1">
      <c r="A5010" s="12" t="s">
        <v>831</v>
      </c>
      <c r="B5010" s="12">
        <v>2026</v>
      </c>
      <c r="C5010" s="12" t="s">
        <v>821</v>
      </c>
      <c r="D5010" s="300" t="s">
        <v>934</v>
      </c>
      <c r="E5010" s="280" t="s">
        <v>2</v>
      </c>
      <c r="F5010" s="280" t="s">
        <v>924</v>
      </c>
    </row>
    <row r="5011" spans="1:6" ht="14.25" customHeight="1">
      <c r="A5011" s="12" t="s">
        <v>831</v>
      </c>
      <c r="B5011" s="12">
        <v>2026</v>
      </c>
      <c r="C5011" s="12" t="s">
        <v>821</v>
      </c>
      <c r="D5011" s="301" t="s">
        <v>1033</v>
      </c>
      <c r="E5011" s="280" t="s">
        <v>961</v>
      </c>
      <c r="F5011" s="280" t="s">
        <v>663</v>
      </c>
    </row>
    <row r="5012" spans="1:6" ht="14.25" customHeight="1">
      <c r="A5012" s="12" t="s">
        <v>831</v>
      </c>
      <c r="B5012" s="12">
        <v>2026</v>
      </c>
      <c r="C5012" s="12" t="s">
        <v>821</v>
      </c>
      <c r="D5012" s="301" t="s">
        <v>1033</v>
      </c>
      <c r="E5012" s="280" t="s">
        <v>1023</v>
      </c>
      <c r="F5012" s="280" t="s">
        <v>920</v>
      </c>
    </row>
    <row r="5013" spans="1:6" ht="14.25" customHeight="1">
      <c r="A5013" s="12" t="s">
        <v>831</v>
      </c>
      <c r="B5013" s="12">
        <v>2026</v>
      </c>
      <c r="C5013" s="12" t="s">
        <v>821</v>
      </c>
      <c r="D5013" s="300" t="s">
        <v>934</v>
      </c>
      <c r="E5013" s="297" t="s">
        <v>1062</v>
      </c>
      <c r="F5013" s="280" t="s">
        <v>922</v>
      </c>
    </row>
    <row r="5014" spans="1:6" ht="14.25" customHeight="1">
      <c r="A5014" s="12" t="s">
        <v>831</v>
      </c>
      <c r="B5014" s="12">
        <v>2026</v>
      </c>
      <c r="C5014" s="12" t="s">
        <v>821</v>
      </c>
      <c r="D5014" s="298" t="s">
        <v>934</v>
      </c>
      <c r="E5014" s="298" t="s">
        <v>1083</v>
      </c>
      <c r="F5014" s="280" t="s">
        <v>783</v>
      </c>
    </row>
    <row r="5015" spans="1:6" ht="14.25" customHeight="1">
      <c r="A5015" s="12" t="s">
        <v>831</v>
      </c>
      <c r="B5015" s="12">
        <v>2026</v>
      </c>
      <c r="C5015" s="12" t="s">
        <v>821</v>
      </c>
      <c r="D5015" s="299" t="s">
        <v>976</v>
      </c>
      <c r="E5015" s="297" t="s">
        <v>2</v>
      </c>
      <c r="F5015" s="280" t="s">
        <v>920</v>
      </c>
    </row>
    <row r="5016" spans="1:6" ht="14.25" customHeight="1">
      <c r="A5016" s="12" t="s">
        <v>831</v>
      </c>
      <c r="B5016" s="12">
        <v>2026</v>
      </c>
      <c r="C5016" s="12" t="s">
        <v>821</v>
      </c>
      <c r="D5016" s="299" t="s">
        <v>934</v>
      </c>
      <c r="E5016" s="298" t="s">
        <v>1190</v>
      </c>
      <c r="F5016" s="280" t="s">
        <v>911</v>
      </c>
    </row>
    <row r="5017" spans="1:6" ht="14.25" customHeight="1">
      <c r="A5017" s="12" t="s">
        <v>831</v>
      </c>
      <c r="B5017" s="12">
        <v>2026</v>
      </c>
      <c r="C5017" s="12" t="s">
        <v>821</v>
      </c>
      <c r="D5017" s="299" t="s">
        <v>934</v>
      </c>
      <c r="E5017" s="298" t="s">
        <v>1393</v>
      </c>
      <c r="F5017" s="280" t="s">
        <v>911</v>
      </c>
    </row>
    <row r="5018" spans="1:6" ht="14.25" customHeight="1">
      <c r="A5018" s="12" t="s">
        <v>831</v>
      </c>
      <c r="B5018" s="12">
        <v>2026</v>
      </c>
      <c r="C5018" s="12" t="s">
        <v>821</v>
      </c>
      <c r="D5018" s="298" t="s">
        <v>931</v>
      </c>
      <c r="E5018" s="298" t="s">
        <v>950</v>
      </c>
      <c r="F5018" s="280" t="s">
        <v>783</v>
      </c>
    </row>
    <row r="5019" spans="1:6" ht="14.25" customHeight="1">
      <c r="A5019" s="12" t="s">
        <v>831</v>
      </c>
      <c r="B5019" s="12">
        <v>2026</v>
      </c>
      <c r="C5019" s="12" t="s">
        <v>821</v>
      </c>
      <c r="D5019" s="298" t="s">
        <v>934</v>
      </c>
      <c r="E5019" s="298" t="s">
        <v>1014</v>
      </c>
      <c r="F5019" s="280" t="s">
        <v>906</v>
      </c>
    </row>
    <row r="5020" spans="1:6" ht="14.25" customHeight="1">
      <c r="A5020" s="12" t="s">
        <v>831</v>
      </c>
      <c r="B5020" s="12">
        <v>2026</v>
      </c>
      <c r="C5020" s="12" t="s">
        <v>821</v>
      </c>
      <c r="D5020" s="299" t="s">
        <v>934</v>
      </c>
      <c r="E5020" s="298" t="s">
        <v>970</v>
      </c>
      <c r="F5020" s="280" t="s">
        <v>915</v>
      </c>
    </row>
    <row r="5021" spans="1:6" ht="14.25" customHeight="1">
      <c r="A5021" s="12" t="s">
        <v>831</v>
      </c>
      <c r="B5021" s="12">
        <v>2026</v>
      </c>
      <c r="C5021" s="12" t="s">
        <v>821</v>
      </c>
      <c r="D5021" s="299" t="s">
        <v>976</v>
      </c>
      <c r="E5021" s="298" t="s">
        <v>990</v>
      </c>
      <c r="F5021" s="280" t="s">
        <v>920</v>
      </c>
    </row>
    <row r="5022" spans="1:6" ht="14.25" customHeight="1">
      <c r="A5022" s="12" t="s">
        <v>831</v>
      </c>
      <c r="B5022" s="12">
        <v>2026</v>
      </c>
      <c r="C5022" s="12" t="s">
        <v>821</v>
      </c>
      <c r="D5022" s="298" t="s">
        <v>931</v>
      </c>
      <c r="E5022" s="298" t="s">
        <v>1112</v>
      </c>
      <c r="F5022" s="280" t="s">
        <v>918</v>
      </c>
    </row>
    <row r="5023" spans="1:6" ht="14.25" customHeight="1">
      <c r="A5023" s="12" t="s">
        <v>831</v>
      </c>
      <c r="B5023" s="12">
        <v>2026</v>
      </c>
      <c r="C5023" s="12" t="s">
        <v>821</v>
      </c>
      <c r="D5023" s="299" t="s">
        <v>934</v>
      </c>
      <c r="E5023" s="298" t="s">
        <v>1423</v>
      </c>
      <c r="F5023" s="298" t="s">
        <v>574</v>
      </c>
    </row>
    <row r="5024" spans="1:6" ht="14.25" customHeight="1">
      <c r="A5024" s="12" t="s">
        <v>831</v>
      </c>
      <c r="B5024" s="12">
        <v>2026</v>
      </c>
      <c r="C5024" s="12" t="s">
        <v>821</v>
      </c>
      <c r="D5024" s="299" t="s">
        <v>976</v>
      </c>
      <c r="E5024" s="298" t="s">
        <v>952</v>
      </c>
      <c r="F5024" s="280" t="s">
        <v>906</v>
      </c>
    </row>
    <row r="5025" spans="1:6" ht="14.25" customHeight="1">
      <c r="A5025" s="12" t="s">
        <v>831</v>
      </c>
      <c r="B5025" s="12">
        <v>2026</v>
      </c>
      <c r="C5025" s="12" t="s">
        <v>821</v>
      </c>
      <c r="D5025" s="299" t="s">
        <v>976</v>
      </c>
      <c r="E5025" s="298" t="s">
        <v>1095</v>
      </c>
      <c r="F5025" s="280" t="s">
        <v>924</v>
      </c>
    </row>
    <row r="5026" spans="1:6" ht="14.25" customHeight="1">
      <c r="A5026" s="12" t="s">
        <v>831</v>
      </c>
      <c r="B5026" s="12">
        <v>2026</v>
      </c>
      <c r="C5026" s="12" t="s">
        <v>821</v>
      </c>
      <c r="D5026" s="299" t="s">
        <v>934</v>
      </c>
      <c r="E5026" s="298" t="s">
        <v>962</v>
      </c>
      <c r="F5026" s="280" t="s">
        <v>913</v>
      </c>
    </row>
    <row r="5027" spans="1:6" ht="14.25" customHeight="1">
      <c r="A5027" s="12" t="s">
        <v>831</v>
      </c>
      <c r="B5027" s="12">
        <v>2026</v>
      </c>
      <c r="C5027" s="12" t="s">
        <v>821</v>
      </c>
      <c r="D5027" s="298" t="s">
        <v>931</v>
      </c>
      <c r="E5027" s="298" t="s">
        <v>1009</v>
      </c>
      <c r="F5027" s="280" t="s">
        <v>917</v>
      </c>
    </row>
    <row r="5028" spans="1:6" ht="14.25" customHeight="1">
      <c r="A5028" s="12" t="s">
        <v>831</v>
      </c>
      <c r="B5028" s="12">
        <v>2026</v>
      </c>
      <c r="C5028" s="12" t="s">
        <v>821</v>
      </c>
      <c r="D5028" s="298" t="s">
        <v>934</v>
      </c>
      <c r="E5028" s="298" t="s">
        <v>1037</v>
      </c>
      <c r="F5028" s="280" t="s">
        <v>917</v>
      </c>
    </row>
    <row r="5029" spans="1:6" ht="14.25" customHeight="1">
      <c r="A5029" s="12" t="s">
        <v>831</v>
      </c>
      <c r="B5029" s="12">
        <v>2026</v>
      </c>
      <c r="C5029" s="12" t="s">
        <v>821</v>
      </c>
      <c r="D5029" s="298" t="s">
        <v>934</v>
      </c>
      <c r="E5029" s="298" t="s">
        <v>954</v>
      </c>
      <c r="F5029" s="280" t="s">
        <v>906</v>
      </c>
    </row>
    <row r="5030" spans="1:6" ht="14.25" customHeight="1">
      <c r="A5030" s="12" t="s">
        <v>831</v>
      </c>
      <c r="B5030" s="12">
        <v>2026</v>
      </c>
      <c r="C5030" s="12" t="s">
        <v>821</v>
      </c>
      <c r="D5030" s="298" t="s">
        <v>216</v>
      </c>
      <c r="E5030" s="298" t="s">
        <v>2</v>
      </c>
      <c r="F5030" s="280" t="s">
        <v>906</v>
      </c>
    </row>
    <row r="5031" spans="1:6" ht="14.25" customHeight="1">
      <c r="A5031" s="12" t="s">
        <v>831</v>
      </c>
      <c r="B5031" s="12">
        <v>2026</v>
      </c>
      <c r="C5031" s="12" t="s">
        <v>821</v>
      </c>
      <c r="D5031" s="298" t="s">
        <v>934</v>
      </c>
      <c r="E5031" s="298" t="s">
        <v>1424</v>
      </c>
      <c r="F5031" s="298" t="s">
        <v>574</v>
      </c>
    </row>
    <row r="5032" spans="1:6" ht="14.25" customHeight="1">
      <c r="A5032" s="12" t="s">
        <v>831</v>
      </c>
      <c r="B5032" s="12">
        <v>2026</v>
      </c>
      <c r="C5032" s="12" t="s">
        <v>821</v>
      </c>
      <c r="D5032" s="298" t="s">
        <v>216</v>
      </c>
      <c r="E5032" s="298" t="s">
        <v>1080</v>
      </c>
      <c r="F5032" s="280" t="s">
        <v>913</v>
      </c>
    </row>
    <row r="5033" spans="1:6" ht="14.25" customHeight="1">
      <c r="A5033" s="12" t="s">
        <v>831</v>
      </c>
      <c r="B5033" s="12">
        <v>2026</v>
      </c>
      <c r="C5033" s="12" t="s">
        <v>821</v>
      </c>
      <c r="D5033" s="298" t="s">
        <v>931</v>
      </c>
      <c r="E5033" s="298" t="s">
        <v>1003</v>
      </c>
      <c r="F5033" s="280" t="s">
        <v>483</v>
      </c>
    </row>
    <row r="5034" spans="1:6" ht="14.25" customHeight="1">
      <c r="A5034" s="12" t="s">
        <v>831</v>
      </c>
      <c r="B5034" s="12">
        <v>2026</v>
      </c>
      <c r="C5034" s="12" t="s">
        <v>821</v>
      </c>
      <c r="D5034" s="298" t="s">
        <v>934</v>
      </c>
      <c r="E5034" s="298" t="s">
        <v>2</v>
      </c>
      <c r="F5034" s="280" t="s">
        <v>913</v>
      </c>
    </row>
    <row r="5035" spans="1:6" ht="14.25" customHeight="1">
      <c r="A5035" s="12" t="s">
        <v>831</v>
      </c>
      <c r="B5035" s="12">
        <v>2026</v>
      </c>
      <c r="C5035" s="12" t="s">
        <v>821</v>
      </c>
      <c r="D5035" s="299" t="s">
        <v>934</v>
      </c>
      <c r="E5035" s="297" t="s">
        <v>944</v>
      </c>
      <c r="F5035" s="280" t="s">
        <v>906</v>
      </c>
    </row>
    <row r="5036" spans="1:6" ht="14.25" customHeight="1">
      <c r="A5036" s="12" t="s">
        <v>831</v>
      </c>
      <c r="B5036" s="12">
        <v>2026</v>
      </c>
      <c r="C5036" s="12" t="s">
        <v>821</v>
      </c>
      <c r="D5036" s="298" t="s">
        <v>931</v>
      </c>
      <c r="E5036" s="297" t="s">
        <v>1393</v>
      </c>
      <c r="F5036" s="280" t="s">
        <v>911</v>
      </c>
    </row>
    <row r="5037" spans="1:6" ht="14.25" customHeight="1">
      <c r="A5037" s="12" t="s">
        <v>831</v>
      </c>
      <c r="B5037" s="12">
        <v>2026</v>
      </c>
      <c r="C5037" s="12" t="s">
        <v>821</v>
      </c>
      <c r="D5037" s="298" t="s">
        <v>931</v>
      </c>
      <c r="E5037" s="298" t="s">
        <v>944</v>
      </c>
      <c r="F5037" s="280" t="s">
        <v>911</v>
      </c>
    </row>
    <row r="5038" spans="1:6" ht="14.25" customHeight="1">
      <c r="A5038" s="12" t="s">
        <v>831</v>
      </c>
      <c r="B5038" s="12">
        <v>2026</v>
      </c>
      <c r="C5038" s="12" t="s">
        <v>821</v>
      </c>
      <c r="D5038" s="298" t="s">
        <v>934</v>
      </c>
      <c r="E5038" s="298" t="s">
        <v>944</v>
      </c>
      <c r="F5038" s="280" t="s">
        <v>911</v>
      </c>
    </row>
    <row r="5039" spans="1:6" ht="14.25" customHeight="1">
      <c r="A5039" s="12" t="s">
        <v>831</v>
      </c>
      <c r="B5039" s="12">
        <v>2026</v>
      </c>
      <c r="C5039" s="12" t="s">
        <v>821</v>
      </c>
      <c r="D5039" s="298" t="s">
        <v>931</v>
      </c>
      <c r="E5039" s="298" t="s">
        <v>1393</v>
      </c>
      <c r="F5039" s="280" t="s">
        <v>911</v>
      </c>
    </row>
    <row r="5040" spans="1:6" ht="14.25" customHeight="1">
      <c r="A5040" s="12" t="s">
        <v>831</v>
      </c>
      <c r="B5040" s="12">
        <v>2026</v>
      </c>
      <c r="C5040" s="12" t="s">
        <v>821</v>
      </c>
      <c r="D5040" s="298" t="s">
        <v>934</v>
      </c>
      <c r="E5040" s="298" t="s">
        <v>1068</v>
      </c>
      <c r="F5040" s="280" t="s">
        <v>922</v>
      </c>
    </row>
    <row r="5041" spans="1:6" ht="14.25" customHeight="1">
      <c r="A5041" s="12" t="s">
        <v>831</v>
      </c>
      <c r="B5041" s="12">
        <v>2026</v>
      </c>
      <c r="C5041" s="12" t="s">
        <v>821</v>
      </c>
      <c r="D5041" s="298" t="s">
        <v>934</v>
      </c>
      <c r="E5041" s="298" t="s">
        <v>1104</v>
      </c>
      <c r="F5041" s="280" t="s">
        <v>922</v>
      </c>
    </row>
    <row r="5042" spans="1:6" ht="14.25" customHeight="1">
      <c r="A5042" s="12" t="s">
        <v>831</v>
      </c>
      <c r="B5042" s="12">
        <v>2026</v>
      </c>
      <c r="C5042" s="12" t="s">
        <v>821</v>
      </c>
      <c r="D5042" s="298" t="s">
        <v>132</v>
      </c>
      <c r="E5042" s="298" t="s">
        <v>1041</v>
      </c>
      <c r="F5042" s="280" t="s">
        <v>906</v>
      </c>
    </row>
    <row r="5043" spans="1:6" ht="14.25" customHeight="1">
      <c r="A5043" s="12" t="s">
        <v>831</v>
      </c>
      <c r="B5043" s="12">
        <v>2026</v>
      </c>
      <c r="C5043" s="12" t="s">
        <v>821</v>
      </c>
      <c r="D5043" s="298" t="s">
        <v>934</v>
      </c>
      <c r="E5043" s="298" t="s">
        <v>1125</v>
      </c>
      <c r="F5043" s="280" t="s">
        <v>483</v>
      </c>
    </row>
    <row r="5044" spans="1:6" ht="14.25" customHeight="1">
      <c r="A5044" s="12" t="s">
        <v>831</v>
      </c>
      <c r="B5044" s="12">
        <v>2026</v>
      </c>
      <c r="C5044" s="12" t="s">
        <v>821</v>
      </c>
      <c r="D5044" s="298" t="s">
        <v>934</v>
      </c>
      <c r="E5044" s="298" t="s">
        <v>1167</v>
      </c>
      <c r="F5044" s="280" t="s">
        <v>911</v>
      </c>
    </row>
    <row r="5045" spans="1:6" ht="14.25" customHeight="1">
      <c r="A5045" s="12" t="s">
        <v>831</v>
      </c>
      <c r="B5045" s="12">
        <v>2026</v>
      </c>
      <c r="C5045" s="12" t="s">
        <v>821</v>
      </c>
      <c r="D5045" s="298" t="s">
        <v>132</v>
      </c>
      <c r="E5045" s="298" t="s">
        <v>1190</v>
      </c>
      <c r="F5045" s="280" t="s">
        <v>911</v>
      </c>
    </row>
    <row r="5046" spans="1:6" ht="14.25" customHeight="1">
      <c r="A5046" s="12" t="s">
        <v>831</v>
      </c>
      <c r="B5046" s="12">
        <v>2026</v>
      </c>
      <c r="C5046" s="12" t="s">
        <v>821</v>
      </c>
      <c r="D5046" s="298" t="s">
        <v>132</v>
      </c>
      <c r="E5046" s="298" t="s">
        <v>952</v>
      </c>
      <c r="F5046" s="280" t="s">
        <v>906</v>
      </c>
    </row>
    <row r="5047" spans="1:6" ht="14.25" customHeight="1">
      <c r="A5047" s="12" t="s">
        <v>831</v>
      </c>
      <c r="B5047" s="12">
        <v>2026</v>
      </c>
      <c r="C5047" s="12" t="s">
        <v>821</v>
      </c>
      <c r="D5047" s="298" t="s">
        <v>132</v>
      </c>
      <c r="E5047" s="298" t="s">
        <v>1041</v>
      </c>
      <c r="F5047" s="280" t="s">
        <v>906</v>
      </c>
    </row>
    <row r="5048" spans="1:6" ht="14.25" customHeight="1">
      <c r="A5048" s="12" t="s">
        <v>831</v>
      </c>
      <c r="B5048" s="12">
        <v>2026</v>
      </c>
      <c r="C5048" s="12" t="s">
        <v>821</v>
      </c>
      <c r="D5048" s="298" t="s">
        <v>216</v>
      </c>
      <c r="E5048" s="298" t="s">
        <v>955</v>
      </c>
      <c r="F5048" s="280" t="s">
        <v>922</v>
      </c>
    </row>
    <row r="5049" spans="1:6" ht="14.25" customHeight="1">
      <c r="A5049" s="12" t="s">
        <v>831</v>
      </c>
      <c r="B5049" s="12">
        <v>2026</v>
      </c>
      <c r="C5049" s="12" t="s">
        <v>821</v>
      </c>
      <c r="D5049" s="298" t="s">
        <v>931</v>
      </c>
      <c r="E5049" s="298" t="s">
        <v>1060</v>
      </c>
      <c r="F5049" s="280" t="s">
        <v>922</v>
      </c>
    </row>
    <row r="5050" spans="1:6" ht="14.25" customHeight="1">
      <c r="A5050" s="12" t="s">
        <v>831</v>
      </c>
      <c r="B5050" s="12">
        <v>2026</v>
      </c>
      <c r="C5050" s="12" t="s">
        <v>821</v>
      </c>
      <c r="D5050" s="298" t="s">
        <v>216</v>
      </c>
      <c r="E5050" s="298" t="s">
        <v>2</v>
      </c>
      <c r="F5050" s="280" t="s">
        <v>783</v>
      </c>
    </row>
    <row r="5051" spans="1:6" ht="14.25" customHeight="1">
      <c r="A5051" s="12" t="s">
        <v>831</v>
      </c>
      <c r="B5051" s="12">
        <v>2026</v>
      </c>
      <c r="C5051" s="12" t="s">
        <v>821</v>
      </c>
      <c r="D5051" s="298" t="s">
        <v>976</v>
      </c>
      <c r="E5051" s="298" t="s">
        <v>1214</v>
      </c>
      <c r="F5051" s="280" t="s">
        <v>909</v>
      </c>
    </row>
    <row r="5052" spans="1:6" ht="14.25" customHeight="1">
      <c r="A5052" s="12" t="s">
        <v>831</v>
      </c>
      <c r="B5052" s="12">
        <v>2026</v>
      </c>
      <c r="C5052" s="12" t="s">
        <v>821</v>
      </c>
      <c r="D5052" s="298" t="s">
        <v>132</v>
      </c>
      <c r="E5052" s="298" t="s">
        <v>1167</v>
      </c>
      <c r="F5052" s="280" t="s">
        <v>911</v>
      </c>
    </row>
    <row r="5053" spans="1:6" ht="14.25" customHeight="1">
      <c r="A5053" s="12" t="s">
        <v>831</v>
      </c>
      <c r="B5053" s="12">
        <v>2026</v>
      </c>
      <c r="C5053" s="12" t="s">
        <v>821</v>
      </c>
      <c r="D5053" s="298" t="s">
        <v>216</v>
      </c>
      <c r="E5053" s="298" t="s">
        <v>2</v>
      </c>
      <c r="F5053" s="280" t="s">
        <v>783</v>
      </c>
    </row>
    <row r="5054" spans="1:6" ht="14.25" customHeight="1">
      <c r="A5054" s="12" t="s">
        <v>831</v>
      </c>
      <c r="B5054" s="12">
        <v>2026</v>
      </c>
      <c r="C5054" s="12" t="s">
        <v>821</v>
      </c>
      <c r="D5054" s="298" t="s">
        <v>216</v>
      </c>
      <c r="E5054" s="298" t="s">
        <v>955</v>
      </c>
      <c r="F5054" s="280" t="s">
        <v>922</v>
      </c>
    </row>
    <row r="5055" spans="1:6" ht="14.25" customHeight="1">
      <c r="A5055" s="12" t="s">
        <v>831</v>
      </c>
      <c r="B5055" s="12">
        <v>2026</v>
      </c>
      <c r="C5055" s="12" t="s">
        <v>821</v>
      </c>
      <c r="D5055" s="298" t="s">
        <v>931</v>
      </c>
      <c r="E5055" s="298" t="s">
        <v>978</v>
      </c>
      <c r="F5055" s="280" t="s">
        <v>483</v>
      </c>
    </row>
    <row r="5056" spans="1:6" ht="14.25" customHeight="1">
      <c r="A5056" s="12" t="s">
        <v>831</v>
      </c>
      <c r="B5056" s="12">
        <v>2026</v>
      </c>
      <c r="C5056" s="12" t="s">
        <v>88</v>
      </c>
      <c r="D5056" s="302" t="s">
        <v>966</v>
      </c>
      <c r="E5056" s="298" t="s">
        <v>1057</v>
      </c>
      <c r="F5056" s="280" t="s">
        <v>915</v>
      </c>
    </row>
    <row r="5057" spans="1:6" ht="14.25" customHeight="1">
      <c r="A5057" s="12" t="s">
        <v>831</v>
      </c>
      <c r="B5057" s="12">
        <v>2026</v>
      </c>
      <c r="C5057" s="12" t="s">
        <v>88</v>
      </c>
      <c r="D5057" s="302" t="s">
        <v>959</v>
      </c>
      <c r="E5057" s="298" t="s">
        <v>961</v>
      </c>
      <c r="F5057" s="280" t="s">
        <v>663</v>
      </c>
    </row>
    <row r="5058" spans="1:6" ht="14.25" customHeight="1">
      <c r="A5058" s="12" t="s">
        <v>831</v>
      </c>
      <c r="B5058" s="12">
        <v>2026</v>
      </c>
      <c r="C5058" s="12" t="s">
        <v>88</v>
      </c>
      <c r="D5058" s="302" t="s">
        <v>966</v>
      </c>
      <c r="E5058" s="298" t="s">
        <v>951</v>
      </c>
      <c r="F5058" s="280" t="s">
        <v>917</v>
      </c>
    </row>
    <row r="5059" spans="1:6" ht="14.25" customHeight="1">
      <c r="A5059" s="12" t="s">
        <v>831</v>
      </c>
      <c r="B5059" s="12">
        <v>2026</v>
      </c>
      <c r="C5059" s="12" t="s">
        <v>88</v>
      </c>
      <c r="D5059" s="302" t="s">
        <v>959</v>
      </c>
      <c r="E5059" s="298" t="s">
        <v>1036</v>
      </c>
      <c r="F5059" s="280" t="s">
        <v>906</v>
      </c>
    </row>
    <row r="5060" spans="1:6" ht="14.25" customHeight="1">
      <c r="A5060" s="12" t="s">
        <v>831</v>
      </c>
      <c r="B5060" s="12">
        <v>2026</v>
      </c>
      <c r="C5060" s="12" t="s">
        <v>88</v>
      </c>
      <c r="D5060" s="302" t="s">
        <v>959</v>
      </c>
      <c r="E5060" s="298" t="s">
        <v>930</v>
      </c>
      <c r="F5060" s="280" t="s">
        <v>906</v>
      </c>
    </row>
    <row r="5061" spans="1:6" ht="14.25" customHeight="1">
      <c r="A5061" s="12" t="s">
        <v>831</v>
      </c>
      <c r="B5061" s="12">
        <v>2026</v>
      </c>
      <c r="C5061" s="12" t="s">
        <v>88</v>
      </c>
      <c r="D5061" s="302" t="s">
        <v>959</v>
      </c>
      <c r="E5061" s="298" t="s">
        <v>1001</v>
      </c>
      <c r="F5061" s="280" t="s">
        <v>783</v>
      </c>
    </row>
    <row r="5062" spans="1:6" ht="14.25" customHeight="1">
      <c r="A5062" s="12" t="s">
        <v>831</v>
      </c>
      <c r="B5062" s="12">
        <v>2026</v>
      </c>
      <c r="C5062" s="12" t="s">
        <v>88</v>
      </c>
      <c r="D5062" s="302" t="s">
        <v>959</v>
      </c>
      <c r="E5062" s="298" t="s">
        <v>1091</v>
      </c>
      <c r="F5062" s="280" t="s">
        <v>783</v>
      </c>
    </row>
    <row r="5063" spans="1:6" ht="14.25" customHeight="1">
      <c r="A5063" s="12" t="s">
        <v>831</v>
      </c>
      <c r="B5063" s="12">
        <v>2026</v>
      </c>
      <c r="C5063" s="12" t="s">
        <v>88</v>
      </c>
      <c r="D5063" s="302" t="s">
        <v>956</v>
      </c>
      <c r="E5063" s="298" t="s">
        <v>1079</v>
      </c>
      <c r="F5063" s="280" t="s">
        <v>915</v>
      </c>
    </row>
    <row r="5064" spans="1:6" ht="14.25" customHeight="1">
      <c r="A5064" s="12" t="s">
        <v>831</v>
      </c>
      <c r="B5064" s="12">
        <v>2026</v>
      </c>
      <c r="C5064" s="12" t="s">
        <v>88</v>
      </c>
      <c r="D5064" s="297" t="s">
        <v>959</v>
      </c>
      <c r="E5064" s="297" t="s">
        <v>1068</v>
      </c>
      <c r="F5064" s="280" t="s">
        <v>922</v>
      </c>
    </row>
    <row r="5065" spans="1:6" ht="14.25" customHeight="1">
      <c r="A5065" s="12" t="s">
        <v>831</v>
      </c>
      <c r="B5065" s="12">
        <v>2026</v>
      </c>
      <c r="C5065" s="12" t="s">
        <v>88</v>
      </c>
      <c r="D5065" s="302" t="s">
        <v>988</v>
      </c>
      <c r="E5065" s="298" t="s">
        <v>940</v>
      </c>
      <c r="F5065" s="280" t="s">
        <v>922</v>
      </c>
    </row>
    <row r="5066" spans="1:6" ht="14.25" customHeight="1">
      <c r="A5066" s="12" t="s">
        <v>831</v>
      </c>
      <c r="B5066" s="12">
        <v>2026</v>
      </c>
      <c r="C5066" s="12" t="s">
        <v>88</v>
      </c>
      <c r="D5066" s="297" t="s">
        <v>959</v>
      </c>
      <c r="E5066" s="280" t="s">
        <v>1001</v>
      </c>
      <c r="F5066" s="280" t="s">
        <v>783</v>
      </c>
    </row>
    <row r="5067" spans="1:6" ht="14.25" customHeight="1">
      <c r="A5067" s="12" t="s">
        <v>831</v>
      </c>
      <c r="B5067" s="12">
        <v>2026</v>
      </c>
      <c r="C5067" s="12" t="s">
        <v>88</v>
      </c>
      <c r="D5067" s="302" t="s">
        <v>959</v>
      </c>
      <c r="E5067" s="298" t="s">
        <v>1091</v>
      </c>
      <c r="F5067" s="280" t="s">
        <v>783</v>
      </c>
    </row>
    <row r="5068" spans="1:6" ht="14.25" customHeight="1">
      <c r="A5068" s="12" t="s">
        <v>831</v>
      </c>
      <c r="B5068" s="12">
        <v>2026</v>
      </c>
      <c r="C5068" s="12" t="s">
        <v>88</v>
      </c>
      <c r="D5068" s="302" t="s">
        <v>956</v>
      </c>
      <c r="E5068" s="298" t="s">
        <v>951</v>
      </c>
      <c r="F5068" s="280" t="s">
        <v>917</v>
      </c>
    </row>
    <row r="5069" spans="1:6" ht="14.25" customHeight="1">
      <c r="A5069" s="12" t="s">
        <v>831</v>
      </c>
      <c r="B5069" s="12">
        <v>2026</v>
      </c>
      <c r="C5069" s="12" t="s">
        <v>88</v>
      </c>
      <c r="D5069" s="302" t="s">
        <v>956</v>
      </c>
      <c r="E5069" s="298" t="s">
        <v>997</v>
      </c>
      <c r="F5069" s="280" t="s">
        <v>920</v>
      </c>
    </row>
    <row r="5070" spans="1:6" ht="14.25" customHeight="1">
      <c r="A5070" s="12" t="s">
        <v>831</v>
      </c>
      <c r="B5070" s="12">
        <v>2026</v>
      </c>
      <c r="C5070" s="12" t="s">
        <v>88</v>
      </c>
      <c r="D5070" s="302" t="s">
        <v>956</v>
      </c>
      <c r="E5070" s="298" t="s">
        <v>1068</v>
      </c>
      <c r="F5070" s="280" t="s">
        <v>922</v>
      </c>
    </row>
    <row r="5071" spans="1:6" ht="14.25" customHeight="1">
      <c r="A5071" s="12" t="s">
        <v>831</v>
      </c>
      <c r="B5071" s="12">
        <v>2026</v>
      </c>
      <c r="C5071" s="12" t="s">
        <v>88</v>
      </c>
      <c r="D5071" s="302" t="s">
        <v>966</v>
      </c>
      <c r="E5071" s="298" t="s">
        <v>1062</v>
      </c>
      <c r="F5071" s="280" t="s">
        <v>922</v>
      </c>
    </row>
    <row r="5072" spans="1:6" ht="14.25" customHeight="1">
      <c r="A5072" s="12" t="s">
        <v>831</v>
      </c>
      <c r="B5072" s="12">
        <v>2026</v>
      </c>
      <c r="C5072" s="12" t="s">
        <v>88</v>
      </c>
      <c r="D5072" s="302" t="s">
        <v>959</v>
      </c>
      <c r="E5072" s="298" t="s">
        <v>964</v>
      </c>
      <c r="F5072" s="280" t="s">
        <v>913</v>
      </c>
    </row>
    <row r="5073" spans="1:6" ht="14.25" customHeight="1">
      <c r="A5073" s="12" t="s">
        <v>831</v>
      </c>
      <c r="B5073" s="12">
        <v>2026</v>
      </c>
      <c r="C5073" s="12" t="s">
        <v>88</v>
      </c>
      <c r="D5073" s="302" t="s">
        <v>959</v>
      </c>
      <c r="E5073" s="298" t="s">
        <v>1001</v>
      </c>
      <c r="F5073" s="280" t="s">
        <v>783</v>
      </c>
    </row>
    <row r="5074" spans="1:6" ht="14.25" customHeight="1">
      <c r="A5074" s="12" t="s">
        <v>831</v>
      </c>
      <c r="B5074" s="12">
        <v>2026</v>
      </c>
      <c r="C5074" s="12" t="s">
        <v>88</v>
      </c>
      <c r="D5074" s="302" t="s">
        <v>959</v>
      </c>
      <c r="E5074" s="298" t="s">
        <v>1061</v>
      </c>
      <c r="F5074" s="280" t="s">
        <v>783</v>
      </c>
    </row>
    <row r="5075" spans="1:6" ht="14.25" customHeight="1">
      <c r="A5075" s="12" t="s">
        <v>831</v>
      </c>
      <c r="B5075" s="12">
        <v>2026</v>
      </c>
      <c r="C5075" s="12" t="s">
        <v>88</v>
      </c>
      <c r="D5075" s="302" t="s">
        <v>988</v>
      </c>
      <c r="E5075" s="298" t="s">
        <v>951</v>
      </c>
      <c r="F5075" s="280" t="s">
        <v>917</v>
      </c>
    </row>
    <row r="5076" spans="1:6" ht="14.25" customHeight="1">
      <c r="A5076" s="12" t="s">
        <v>831</v>
      </c>
      <c r="B5076" s="12">
        <v>2026</v>
      </c>
      <c r="C5076" s="12" t="s">
        <v>88</v>
      </c>
      <c r="D5076" s="302" t="s">
        <v>969</v>
      </c>
      <c r="E5076" s="298" t="s">
        <v>1028</v>
      </c>
      <c r="F5076" s="280" t="s">
        <v>906</v>
      </c>
    </row>
    <row r="5077" spans="1:6" ht="14.25" customHeight="1">
      <c r="A5077" s="12" t="s">
        <v>831</v>
      </c>
      <c r="B5077" s="12">
        <v>2026</v>
      </c>
      <c r="C5077" s="12" t="s">
        <v>88</v>
      </c>
      <c r="D5077" s="302" t="s">
        <v>959</v>
      </c>
      <c r="E5077" s="298" t="s">
        <v>930</v>
      </c>
      <c r="F5077" s="280" t="s">
        <v>906</v>
      </c>
    </row>
    <row r="5078" spans="1:6" ht="14.25" customHeight="1">
      <c r="A5078" s="12" t="s">
        <v>831</v>
      </c>
      <c r="B5078" s="12">
        <v>2026</v>
      </c>
      <c r="C5078" s="12" t="s">
        <v>88</v>
      </c>
      <c r="D5078" s="302" t="s">
        <v>959</v>
      </c>
      <c r="E5078" s="298" t="s">
        <v>1041</v>
      </c>
      <c r="F5078" s="280" t="s">
        <v>906</v>
      </c>
    </row>
    <row r="5079" spans="1:6" ht="14.25" customHeight="1">
      <c r="A5079" s="12" t="s">
        <v>831</v>
      </c>
      <c r="B5079" s="12">
        <v>2026</v>
      </c>
      <c r="C5079" s="12" t="s">
        <v>88</v>
      </c>
      <c r="D5079" s="302" t="s">
        <v>959</v>
      </c>
      <c r="E5079" s="298" t="s">
        <v>996</v>
      </c>
      <c r="F5079" s="280" t="s">
        <v>924</v>
      </c>
    </row>
    <row r="5080" spans="1:6" ht="14.25" customHeight="1">
      <c r="A5080" s="12" t="s">
        <v>831</v>
      </c>
      <c r="B5080" s="12">
        <v>2026</v>
      </c>
      <c r="C5080" s="12" t="s">
        <v>88</v>
      </c>
      <c r="D5080" s="302" t="s">
        <v>959</v>
      </c>
      <c r="E5080" s="298" t="s">
        <v>1042</v>
      </c>
      <c r="F5080" s="280" t="s">
        <v>913</v>
      </c>
    </row>
    <row r="5081" spans="1:6" ht="14.25" customHeight="1">
      <c r="A5081" s="12" t="s">
        <v>831</v>
      </c>
      <c r="B5081" s="12">
        <v>2026</v>
      </c>
      <c r="C5081" s="12" t="s">
        <v>88</v>
      </c>
      <c r="D5081" s="302" t="s">
        <v>988</v>
      </c>
      <c r="E5081" s="298" t="s">
        <v>1114</v>
      </c>
      <c r="F5081" s="280" t="s">
        <v>783</v>
      </c>
    </row>
    <row r="5082" spans="1:6" ht="14.25" customHeight="1">
      <c r="A5082" s="12" t="s">
        <v>831</v>
      </c>
      <c r="B5082" s="12">
        <v>2026</v>
      </c>
      <c r="C5082" s="12" t="s">
        <v>88</v>
      </c>
      <c r="D5082" s="302" t="s">
        <v>959</v>
      </c>
      <c r="E5082" s="298" t="s">
        <v>1061</v>
      </c>
      <c r="F5082" s="280" t="s">
        <v>783</v>
      </c>
    </row>
    <row r="5083" spans="1:6" ht="14.25" customHeight="1">
      <c r="A5083" s="12" t="s">
        <v>831</v>
      </c>
      <c r="B5083" s="12">
        <v>2026</v>
      </c>
      <c r="C5083" s="12" t="s">
        <v>88</v>
      </c>
      <c r="D5083" s="302" t="s">
        <v>988</v>
      </c>
      <c r="E5083" s="298" t="s">
        <v>1003</v>
      </c>
      <c r="F5083" s="280" t="s">
        <v>483</v>
      </c>
    </row>
    <row r="5084" spans="1:6" ht="14.25" customHeight="1">
      <c r="A5084" s="12" t="s">
        <v>831</v>
      </c>
      <c r="B5084" s="12">
        <v>2026</v>
      </c>
      <c r="C5084" s="12" t="s">
        <v>88</v>
      </c>
      <c r="D5084" s="302" t="s">
        <v>959</v>
      </c>
      <c r="E5084" s="298" t="s">
        <v>1126</v>
      </c>
      <c r="F5084" s="280" t="s">
        <v>483</v>
      </c>
    </row>
    <row r="5085" spans="1:6" ht="14.25" customHeight="1">
      <c r="A5085" s="12" t="s">
        <v>831</v>
      </c>
      <c r="B5085" s="12">
        <v>2026</v>
      </c>
      <c r="C5085" s="12" t="s">
        <v>88</v>
      </c>
      <c r="D5085" s="302" t="s">
        <v>959</v>
      </c>
      <c r="E5085" s="298" t="s">
        <v>1156</v>
      </c>
      <c r="F5085" s="280" t="s">
        <v>483</v>
      </c>
    </row>
    <row r="5086" spans="1:6" ht="14.25" customHeight="1">
      <c r="A5086" s="12" t="s">
        <v>831</v>
      </c>
      <c r="B5086" s="12">
        <v>2026</v>
      </c>
      <c r="C5086" s="12" t="s">
        <v>88</v>
      </c>
      <c r="D5086" s="299" t="s">
        <v>959</v>
      </c>
      <c r="E5086" s="298" t="s">
        <v>2</v>
      </c>
      <c r="F5086" s="280" t="s">
        <v>920</v>
      </c>
    </row>
    <row r="5087" spans="1:6" ht="14.25" customHeight="1">
      <c r="A5087" s="12" t="s">
        <v>831</v>
      </c>
      <c r="B5087" s="12">
        <v>2026</v>
      </c>
      <c r="C5087" s="12" t="s">
        <v>88</v>
      </c>
      <c r="D5087" s="302" t="s">
        <v>988</v>
      </c>
      <c r="E5087" s="298" t="s">
        <v>954</v>
      </c>
      <c r="F5087" s="280" t="s">
        <v>906</v>
      </c>
    </row>
    <row r="5088" spans="1:6" ht="14.25" customHeight="1">
      <c r="A5088" s="12" t="s">
        <v>831</v>
      </c>
      <c r="B5088" s="12">
        <v>2026</v>
      </c>
      <c r="C5088" s="12" t="s">
        <v>88</v>
      </c>
      <c r="D5088" s="302" t="s">
        <v>959</v>
      </c>
      <c r="E5088" s="298" t="s">
        <v>953</v>
      </c>
      <c r="F5088" s="280" t="s">
        <v>906</v>
      </c>
    </row>
    <row r="5089" spans="1:6" ht="14.25" customHeight="1">
      <c r="A5089" s="12" t="s">
        <v>831</v>
      </c>
      <c r="B5089" s="12">
        <v>2026</v>
      </c>
      <c r="C5089" s="12" t="s">
        <v>88</v>
      </c>
      <c r="D5089" s="302" t="s">
        <v>969</v>
      </c>
      <c r="E5089" s="298" t="s">
        <v>1028</v>
      </c>
      <c r="F5089" s="280" t="s">
        <v>906</v>
      </c>
    </row>
    <row r="5090" spans="1:6" ht="14.25" customHeight="1">
      <c r="A5090" s="12" t="s">
        <v>831</v>
      </c>
      <c r="B5090" s="12">
        <v>2026</v>
      </c>
      <c r="C5090" s="12" t="s">
        <v>88</v>
      </c>
      <c r="D5090" s="303" t="s">
        <v>969</v>
      </c>
      <c r="E5090" s="297" t="s">
        <v>930</v>
      </c>
      <c r="F5090" s="280" t="s">
        <v>906</v>
      </c>
    </row>
    <row r="5091" spans="1:6" ht="14.25" customHeight="1">
      <c r="A5091" s="12" t="s">
        <v>831</v>
      </c>
      <c r="B5091" s="12">
        <v>2026</v>
      </c>
      <c r="C5091" s="12" t="s">
        <v>88</v>
      </c>
      <c r="D5091" s="302" t="s">
        <v>959</v>
      </c>
      <c r="E5091" s="298" t="s">
        <v>982</v>
      </c>
      <c r="F5091" s="280" t="s">
        <v>663</v>
      </c>
    </row>
    <row r="5092" spans="1:6" ht="14.25" customHeight="1">
      <c r="A5092" s="12" t="s">
        <v>831</v>
      </c>
      <c r="B5092" s="12">
        <v>2026</v>
      </c>
      <c r="C5092" s="12" t="s">
        <v>88</v>
      </c>
      <c r="D5092" s="302" t="s">
        <v>966</v>
      </c>
      <c r="E5092" s="298" t="s">
        <v>996</v>
      </c>
      <c r="F5092" s="280" t="s">
        <v>924</v>
      </c>
    </row>
    <row r="5093" spans="1:6" ht="14.25" customHeight="1">
      <c r="A5093" s="12" t="s">
        <v>831</v>
      </c>
      <c r="B5093" s="12">
        <v>2026</v>
      </c>
      <c r="C5093" s="12" t="s">
        <v>88</v>
      </c>
      <c r="D5093" s="302" t="s">
        <v>959</v>
      </c>
      <c r="E5093" s="298" t="s">
        <v>991</v>
      </c>
      <c r="F5093" s="280" t="s">
        <v>906</v>
      </c>
    </row>
    <row r="5094" spans="1:6" ht="14.25" customHeight="1">
      <c r="A5094" s="12" t="s">
        <v>831</v>
      </c>
      <c r="B5094" s="12">
        <v>2026</v>
      </c>
      <c r="C5094" s="12" t="s">
        <v>88</v>
      </c>
      <c r="D5094" s="302" t="s">
        <v>959</v>
      </c>
      <c r="E5094" s="298" t="s">
        <v>1036</v>
      </c>
      <c r="F5094" s="280" t="s">
        <v>906</v>
      </c>
    </row>
    <row r="5095" spans="1:6" ht="14.25" customHeight="1">
      <c r="A5095" s="12" t="s">
        <v>831</v>
      </c>
      <c r="B5095" s="12">
        <v>2026</v>
      </c>
      <c r="C5095" s="12" t="s">
        <v>88</v>
      </c>
      <c r="D5095" s="302" t="s">
        <v>969</v>
      </c>
      <c r="E5095" s="298" t="s">
        <v>989</v>
      </c>
      <c r="F5095" s="280" t="s">
        <v>920</v>
      </c>
    </row>
    <row r="5096" spans="1:6" ht="14.25" customHeight="1">
      <c r="A5096" s="12" t="s">
        <v>831</v>
      </c>
      <c r="B5096" s="12">
        <v>2026</v>
      </c>
      <c r="C5096" s="12" t="s">
        <v>88</v>
      </c>
      <c r="D5096" s="302" t="s">
        <v>959</v>
      </c>
      <c r="E5096" s="298" t="s">
        <v>1090</v>
      </c>
      <c r="F5096" s="280" t="s">
        <v>920</v>
      </c>
    </row>
    <row r="5097" spans="1:6" ht="14.25" customHeight="1">
      <c r="A5097" s="12" t="s">
        <v>831</v>
      </c>
      <c r="B5097" s="12">
        <v>2026</v>
      </c>
      <c r="C5097" s="12" t="s">
        <v>88</v>
      </c>
      <c r="D5097" s="302" t="s">
        <v>956</v>
      </c>
      <c r="E5097" s="298" t="s">
        <v>997</v>
      </c>
      <c r="F5097" s="280" t="s">
        <v>920</v>
      </c>
    </row>
    <row r="5098" spans="1:6" ht="14.25" customHeight="1">
      <c r="A5098" s="12" t="s">
        <v>831</v>
      </c>
      <c r="B5098" s="12">
        <v>2026</v>
      </c>
      <c r="C5098" s="12" t="s">
        <v>88</v>
      </c>
      <c r="D5098" s="302" t="s">
        <v>988</v>
      </c>
      <c r="E5098" s="298" t="s">
        <v>937</v>
      </c>
      <c r="F5098" s="280" t="s">
        <v>917</v>
      </c>
    </row>
    <row r="5099" spans="1:6" ht="14.25" customHeight="1">
      <c r="A5099" s="12" t="s">
        <v>831</v>
      </c>
      <c r="B5099" s="12">
        <v>2026</v>
      </c>
      <c r="C5099" s="12" t="s">
        <v>88</v>
      </c>
      <c r="D5099" s="302" t="s">
        <v>956</v>
      </c>
      <c r="E5099" s="298" t="s">
        <v>1072</v>
      </c>
      <c r="F5099" s="280" t="s">
        <v>915</v>
      </c>
    </row>
    <row r="5100" spans="1:6" ht="14.25" customHeight="1">
      <c r="A5100" s="12" t="s">
        <v>831</v>
      </c>
      <c r="B5100" s="12">
        <v>2026</v>
      </c>
      <c r="C5100" s="12" t="s">
        <v>88</v>
      </c>
      <c r="D5100" s="302" t="s">
        <v>959</v>
      </c>
      <c r="E5100" s="298" t="s">
        <v>1040</v>
      </c>
      <c r="F5100" s="280" t="s">
        <v>906</v>
      </c>
    </row>
    <row r="5101" spans="1:6" ht="14.25" customHeight="1">
      <c r="A5101" s="12" t="s">
        <v>831</v>
      </c>
      <c r="B5101" s="12">
        <v>2026</v>
      </c>
      <c r="C5101" s="12" t="s">
        <v>88</v>
      </c>
      <c r="D5101" s="302" t="s">
        <v>959</v>
      </c>
      <c r="E5101" s="298" t="s">
        <v>1068</v>
      </c>
      <c r="F5101" s="280" t="s">
        <v>922</v>
      </c>
    </row>
    <row r="5102" spans="1:6" ht="14.25" customHeight="1">
      <c r="A5102" s="12" t="s">
        <v>831</v>
      </c>
      <c r="B5102" s="12">
        <v>2026</v>
      </c>
      <c r="C5102" s="12" t="s">
        <v>88</v>
      </c>
      <c r="D5102" s="302" t="s">
        <v>959</v>
      </c>
      <c r="E5102" s="298" t="s">
        <v>948</v>
      </c>
      <c r="F5102" s="280" t="s">
        <v>922</v>
      </c>
    </row>
    <row r="5103" spans="1:6" ht="14.25" customHeight="1">
      <c r="A5103" s="12" t="s">
        <v>831</v>
      </c>
      <c r="B5103" s="12">
        <v>2026</v>
      </c>
      <c r="C5103" s="12" t="s">
        <v>88</v>
      </c>
      <c r="D5103" s="302" t="s">
        <v>959</v>
      </c>
      <c r="E5103" s="298" t="s">
        <v>955</v>
      </c>
      <c r="F5103" s="280" t="s">
        <v>922</v>
      </c>
    </row>
    <row r="5104" spans="1:6" ht="14.25" customHeight="1">
      <c r="A5104" s="12" t="s">
        <v>831</v>
      </c>
      <c r="B5104" s="12">
        <v>2026</v>
      </c>
      <c r="C5104" s="12" t="s">
        <v>88</v>
      </c>
      <c r="D5104" s="302" t="s">
        <v>988</v>
      </c>
      <c r="E5104" s="298" t="s">
        <v>940</v>
      </c>
      <c r="F5104" s="280" t="s">
        <v>922</v>
      </c>
    </row>
    <row r="5105" spans="1:6" ht="14.25" customHeight="1">
      <c r="A5105" s="12" t="s">
        <v>831</v>
      </c>
      <c r="B5105" s="12">
        <v>2026</v>
      </c>
      <c r="C5105" s="12" t="s">
        <v>88</v>
      </c>
      <c r="D5105" s="302" t="s">
        <v>959</v>
      </c>
      <c r="E5105" s="298" t="s">
        <v>1064</v>
      </c>
      <c r="F5105" s="280" t="s">
        <v>922</v>
      </c>
    </row>
    <row r="5106" spans="1:6" ht="14.25" customHeight="1">
      <c r="A5106" s="12" t="s">
        <v>831</v>
      </c>
      <c r="B5106" s="12">
        <v>2026</v>
      </c>
      <c r="C5106" s="12" t="s">
        <v>88</v>
      </c>
      <c r="D5106" s="302" t="s">
        <v>959</v>
      </c>
      <c r="E5106" s="298" t="s">
        <v>1062</v>
      </c>
      <c r="F5106" s="280" t="s">
        <v>922</v>
      </c>
    </row>
    <row r="5107" spans="1:6" ht="14.25" customHeight="1">
      <c r="A5107" s="12" t="s">
        <v>831</v>
      </c>
      <c r="B5107" s="12">
        <v>2026</v>
      </c>
      <c r="C5107" s="12" t="s">
        <v>88</v>
      </c>
      <c r="D5107" s="302" t="s">
        <v>959</v>
      </c>
      <c r="E5107" s="298" t="s">
        <v>1063</v>
      </c>
      <c r="F5107" s="280" t="s">
        <v>922</v>
      </c>
    </row>
    <row r="5108" spans="1:6" ht="14.25" customHeight="1">
      <c r="A5108" s="12" t="s">
        <v>831</v>
      </c>
      <c r="B5108" s="12">
        <v>2026</v>
      </c>
      <c r="C5108" s="12" t="s">
        <v>88</v>
      </c>
      <c r="D5108" s="302" t="s">
        <v>959</v>
      </c>
      <c r="E5108" s="298" t="s">
        <v>1104</v>
      </c>
      <c r="F5108" s="280" t="s">
        <v>922</v>
      </c>
    </row>
    <row r="5109" spans="1:6" ht="14.25" customHeight="1">
      <c r="A5109" s="12" t="s">
        <v>831</v>
      </c>
      <c r="B5109" s="12">
        <v>2026</v>
      </c>
      <c r="C5109" s="12" t="s">
        <v>88</v>
      </c>
      <c r="D5109" s="302" t="s">
        <v>969</v>
      </c>
      <c r="E5109" s="298" t="s">
        <v>951</v>
      </c>
      <c r="F5109" s="280" t="s">
        <v>917</v>
      </c>
    </row>
    <row r="5110" spans="1:6" ht="14.25" customHeight="1">
      <c r="A5110" s="12" t="s">
        <v>831</v>
      </c>
      <c r="B5110" s="12">
        <v>2026</v>
      </c>
      <c r="C5110" s="12" t="s">
        <v>88</v>
      </c>
      <c r="D5110" s="302" t="s">
        <v>959</v>
      </c>
      <c r="E5110" s="298" t="s">
        <v>1112</v>
      </c>
      <c r="F5110" s="280" t="s">
        <v>918</v>
      </c>
    </row>
    <row r="5111" spans="1:6" ht="14.25" customHeight="1">
      <c r="A5111" s="12" t="s">
        <v>831</v>
      </c>
      <c r="B5111" s="12">
        <v>2026</v>
      </c>
      <c r="C5111" s="12" t="s">
        <v>88</v>
      </c>
      <c r="D5111" s="302" t="s">
        <v>959</v>
      </c>
      <c r="E5111" s="298" t="s">
        <v>1040</v>
      </c>
      <c r="F5111" s="280" t="s">
        <v>906</v>
      </c>
    </row>
    <row r="5112" spans="1:6" ht="14.25" customHeight="1">
      <c r="A5112" s="12" t="s">
        <v>831</v>
      </c>
      <c r="B5112" s="12">
        <v>2026</v>
      </c>
      <c r="C5112" s="12" t="s">
        <v>88</v>
      </c>
      <c r="D5112" s="302" t="s">
        <v>959</v>
      </c>
      <c r="E5112" s="298" t="s">
        <v>967</v>
      </c>
      <c r="F5112" s="280" t="s">
        <v>915</v>
      </c>
    </row>
    <row r="5113" spans="1:6" ht="14.25" customHeight="1">
      <c r="A5113" s="12" t="s">
        <v>831</v>
      </c>
      <c r="B5113" s="12">
        <v>2026</v>
      </c>
      <c r="C5113" s="12" t="s">
        <v>88</v>
      </c>
      <c r="D5113" s="302" t="s">
        <v>966</v>
      </c>
      <c r="E5113" s="298" t="s">
        <v>970</v>
      </c>
      <c r="F5113" s="280" t="s">
        <v>915</v>
      </c>
    </row>
    <row r="5114" spans="1:6" ht="14.25" customHeight="1">
      <c r="A5114" s="12" t="s">
        <v>831</v>
      </c>
      <c r="B5114" s="12">
        <v>2026</v>
      </c>
      <c r="C5114" s="12" t="s">
        <v>88</v>
      </c>
      <c r="D5114" s="302" t="s">
        <v>959</v>
      </c>
      <c r="E5114" s="298" t="s">
        <v>1078</v>
      </c>
      <c r="F5114" s="280" t="s">
        <v>915</v>
      </c>
    </row>
    <row r="5115" spans="1:6" ht="14.25" customHeight="1">
      <c r="A5115" s="12" t="s">
        <v>831</v>
      </c>
      <c r="B5115" s="12">
        <v>2026</v>
      </c>
      <c r="C5115" s="12" t="s">
        <v>88</v>
      </c>
      <c r="D5115" s="302" t="s">
        <v>959</v>
      </c>
      <c r="E5115" s="298" t="s">
        <v>1106</v>
      </c>
      <c r="F5115" s="280" t="s">
        <v>915</v>
      </c>
    </row>
    <row r="5116" spans="1:6" ht="14.25" customHeight="1">
      <c r="A5116" s="12" t="s">
        <v>831</v>
      </c>
      <c r="B5116" s="12">
        <v>2026</v>
      </c>
      <c r="C5116" s="12" t="s">
        <v>88</v>
      </c>
      <c r="D5116" s="302" t="s">
        <v>969</v>
      </c>
      <c r="E5116" s="298" t="s">
        <v>932</v>
      </c>
      <c r="F5116" s="280" t="s">
        <v>663</v>
      </c>
    </row>
    <row r="5117" spans="1:6" ht="14.25" customHeight="1">
      <c r="A5117" s="12" t="s">
        <v>831</v>
      </c>
      <c r="B5117" s="12">
        <v>2026</v>
      </c>
      <c r="C5117" s="12" t="s">
        <v>88</v>
      </c>
      <c r="D5117" s="302" t="s">
        <v>959</v>
      </c>
      <c r="E5117" s="298" t="s">
        <v>1068</v>
      </c>
      <c r="F5117" s="280" t="s">
        <v>922</v>
      </c>
    </row>
    <row r="5118" spans="1:6" ht="14.25" customHeight="1">
      <c r="A5118" s="12" t="s">
        <v>831</v>
      </c>
      <c r="B5118" s="12">
        <v>2026</v>
      </c>
      <c r="C5118" s="12" t="s">
        <v>88</v>
      </c>
      <c r="D5118" s="302" t="s">
        <v>959</v>
      </c>
      <c r="E5118" s="298" t="s">
        <v>955</v>
      </c>
      <c r="F5118" s="280" t="s">
        <v>922</v>
      </c>
    </row>
    <row r="5119" spans="1:6" ht="14.25" customHeight="1">
      <c r="A5119" s="12" t="s">
        <v>831</v>
      </c>
      <c r="B5119" s="12">
        <v>2026</v>
      </c>
      <c r="C5119" s="12" t="s">
        <v>88</v>
      </c>
      <c r="D5119" s="302" t="s">
        <v>969</v>
      </c>
      <c r="E5119" s="298" t="s">
        <v>940</v>
      </c>
      <c r="F5119" s="280" t="s">
        <v>922</v>
      </c>
    </row>
    <row r="5120" spans="1:6" ht="14.25" customHeight="1">
      <c r="A5120" s="12" t="s">
        <v>831</v>
      </c>
      <c r="B5120" s="12">
        <v>2026</v>
      </c>
      <c r="C5120" s="12" t="s">
        <v>88</v>
      </c>
      <c r="D5120" s="302" t="s">
        <v>959</v>
      </c>
      <c r="E5120" s="298" t="s">
        <v>1064</v>
      </c>
      <c r="F5120" s="280" t="s">
        <v>922</v>
      </c>
    </row>
    <row r="5121" spans="1:6" ht="14.25" customHeight="1">
      <c r="A5121" s="12" t="s">
        <v>831</v>
      </c>
      <c r="B5121" s="12">
        <v>2026</v>
      </c>
      <c r="C5121" s="12" t="s">
        <v>88</v>
      </c>
      <c r="D5121" s="302" t="s">
        <v>988</v>
      </c>
      <c r="E5121" s="298" t="s">
        <v>1124</v>
      </c>
      <c r="F5121" s="280" t="s">
        <v>483</v>
      </c>
    </row>
    <row r="5122" spans="1:6" ht="14.25" customHeight="1">
      <c r="A5122" s="12" t="s">
        <v>831</v>
      </c>
      <c r="B5122" s="12">
        <v>2026</v>
      </c>
      <c r="C5122" s="12" t="s">
        <v>88</v>
      </c>
      <c r="D5122" s="302" t="s">
        <v>959</v>
      </c>
      <c r="E5122" s="298" t="s">
        <v>1040</v>
      </c>
      <c r="F5122" s="280" t="s">
        <v>906</v>
      </c>
    </row>
    <row r="5123" spans="1:6" ht="14.25" customHeight="1">
      <c r="A5123" s="12" t="s">
        <v>831</v>
      </c>
      <c r="B5123" s="12">
        <v>2026</v>
      </c>
      <c r="C5123" s="12" t="s">
        <v>88</v>
      </c>
      <c r="D5123" s="302" t="s">
        <v>969</v>
      </c>
      <c r="E5123" s="298" t="s">
        <v>1028</v>
      </c>
      <c r="F5123" s="280" t="s">
        <v>906</v>
      </c>
    </row>
    <row r="5124" spans="1:6" ht="14.25" customHeight="1">
      <c r="A5124" s="12" t="s">
        <v>831</v>
      </c>
      <c r="B5124" s="12">
        <v>2026</v>
      </c>
      <c r="C5124" s="12" t="s">
        <v>88</v>
      </c>
      <c r="D5124" s="302" t="s">
        <v>988</v>
      </c>
      <c r="E5124" s="298" t="s">
        <v>952</v>
      </c>
      <c r="F5124" s="280" t="s">
        <v>906</v>
      </c>
    </row>
    <row r="5125" spans="1:6" ht="14.25" customHeight="1">
      <c r="A5125" s="12" t="s">
        <v>831</v>
      </c>
      <c r="B5125" s="12">
        <v>2026</v>
      </c>
      <c r="C5125" s="12" t="s">
        <v>88</v>
      </c>
      <c r="D5125" s="302" t="s">
        <v>959</v>
      </c>
      <c r="E5125" s="298" t="s">
        <v>1187</v>
      </c>
      <c r="F5125" s="280" t="s">
        <v>783</v>
      </c>
    </row>
    <row r="5126" spans="1:6" ht="14.25" customHeight="1">
      <c r="A5126" s="12" t="s">
        <v>831</v>
      </c>
      <c r="B5126" s="12">
        <v>2026</v>
      </c>
      <c r="C5126" s="12" t="s">
        <v>88</v>
      </c>
      <c r="D5126" s="302" t="s">
        <v>969</v>
      </c>
      <c r="E5126" s="298" t="s">
        <v>943</v>
      </c>
      <c r="F5126" s="280" t="s">
        <v>917</v>
      </c>
    </row>
    <row r="5127" spans="1:6" ht="14.25" customHeight="1">
      <c r="A5127" s="12" t="s">
        <v>831</v>
      </c>
      <c r="B5127" s="12">
        <v>2026</v>
      </c>
      <c r="C5127" s="12" t="s">
        <v>88</v>
      </c>
      <c r="D5127" s="302" t="s">
        <v>969</v>
      </c>
      <c r="E5127" s="298" t="s">
        <v>973</v>
      </c>
      <c r="F5127" s="280" t="s">
        <v>917</v>
      </c>
    </row>
    <row r="5128" spans="1:6" ht="14.25" customHeight="1">
      <c r="A5128" s="12" t="s">
        <v>831</v>
      </c>
      <c r="B5128" s="12">
        <v>2026</v>
      </c>
      <c r="C5128" s="12" t="s">
        <v>88</v>
      </c>
      <c r="D5128" s="302" t="s">
        <v>959</v>
      </c>
      <c r="E5128" s="298" t="s">
        <v>2</v>
      </c>
      <c r="F5128" s="280" t="s">
        <v>920</v>
      </c>
    </row>
    <row r="5129" spans="1:6" ht="14.25" customHeight="1">
      <c r="A5129" s="12" t="s">
        <v>831</v>
      </c>
      <c r="B5129" s="12">
        <v>2026</v>
      </c>
      <c r="C5129" s="12" t="s">
        <v>88</v>
      </c>
      <c r="D5129" s="302" t="s">
        <v>959</v>
      </c>
      <c r="E5129" s="298" t="s">
        <v>2</v>
      </c>
      <c r="F5129" s="280" t="s">
        <v>920</v>
      </c>
    </row>
    <row r="5130" spans="1:6" ht="14.25" customHeight="1">
      <c r="A5130" s="12" t="s">
        <v>831</v>
      </c>
      <c r="B5130" s="12">
        <v>2026</v>
      </c>
      <c r="C5130" s="12" t="s">
        <v>88</v>
      </c>
      <c r="D5130" s="302" t="s">
        <v>959</v>
      </c>
      <c r="E5130" s="298" t="s">
        <v>2</v>
      </c>
      <c r="F5130" s="280" t="s">
        <v>920</v>
      </c>
    </row>
    <row r="5131" spans="1:6" ht="14.25" customHeight="1">
      <c r="A5131" s="12" t="s">
        <v>831</v>
      </c>
      <c r="B5131" s="12">
        <v>2026</v>
      </c>
      <c r="C5131" s="12" t="s">
        <v>88</v>
      </c>
      <c r="D5131" s="302" t="s">
        <v>988</v>
      </c>
      <c r="E5131" s="298" t="s">
        <v>1047</v>
      </c>
      <c r="F5131" s="280" t="s">
        <v>924</v>
      </c>
    </row>
    <row r="5132" spans="1:6" ht="14.25" customHeight="1">
      <c r="A5132" s="12" t="s">
        <v>831</v>
      </c>
      <c r="B5132" s="12">
        <v>2026</v>
      </c>
      <c r="C5132" s="12" t="s">
        <v>88</v>
      </c>
      <c r="D5132" s="302" t="s">
        <v>959</v>
      </c>
      <c r="E5132" s="298" t="s">
        <v>1095</v>
      </c>
      <c r="F5132" s="280" t="s">
        <v>924</v>
      </c>
    </row>
    <row r="5133" spans="1:6" ht="14.25" customHeight="1">
      <c r="A5133" s="12" t="s">
        <v>831</v>
      </c>
      <c r="B5133" s="12">
        <v>2026</v>
      </c>
      <c r="C5133" s="12" t="s">
        <v>88</v>
      </c>
      <c r="D5133" s="302" t="s">
        <v>966</v>
      </c>
      <c r="E5133" s="298" t="s">
        <v>995</v>
      </c>
      <c r="F5133" s="280" t="s">
        <v>924</v>
      </c>
    </row>
    <row r="5134" spans="1:6" ht="14.25" customHeight="1">
      <c r="A5134" s="12" t="s">
        <v>831</v>
      </c>
      <c r="B5134" s="12">
        <v>2026</v>
      </c>
      <c r="C5134" s="12" t="s">
        <v>88</v>
      </c>
      <c r="D5134" s="302" t="s">
        <v>959</v>
      </c>
      <c r="E5134" s="298" t="s">
        <v>1008</v>
      </c>
      <c r="F5134" s="280" t="s">
        <v>913</v>
      </c>
    </row>
    <row r="5135" spans="1:6" ht="14.25" customHeight="1">
      <c r="A5135" s="12" t="s">
        <v>831</v>
      </c>
      <c r="B5135" s="12">
        <v>2026</v>
      </c>
      <c r="C5135" s="12" t="s">
        <v>88</v>
      </c>
      <c r="D5135" s="302" t="s">
        <v>959</v>
      </c>
      <c r="E5135" s="298" t="s">
        <v>964</v>
      </c>
      <c r="F5135" s="280" t="s">
        <v>913</v>
      </c>
    </row>
    <row r="5136" spans="1:6" ht="14.25" customHeight="1">
      <c r="A5136" s="12" t="s">
        <v>831</v>
      </c>
      <c r="B5136" s="12">
        <v>2026</v>
      </c>
      <c r="C5136" s="12" t="s">
        <v>88</v>
      </c>
      <c r="D5136" s="302" t="s">
        <v>966</v>
      </c>
      <c r="E5136" s="298" t="s">
        <v>950</v>
      </c>
      <c r="F5136" s="280" t="s">
        <v>783</v>
      </c>
    </row>
    <row r="5137" spans="1:6" ht="14.25" customHeight="1">
      <c r="A5137" s="12" t="s">
        <v>831</v>
      </c>
      <c r="B5137" s="12">
        <v>2026</v>
      </c>
      <c r="C5137" s="12" t="s">
        <v>88</v>
      </c>
      <c r="D5137" s="302" t="s">
        <v>969</v>
      </c>
      <c r="E5137" s="298" t="s">
        <v>980</v>
      </c>
      <c r="F5137" s="280" t="s">
        <v>918</v>
      </c>
    </row>
    <row r="5138" spans="1:6" ht="14.25" customHeight="1">
      <c r="A5138" s="12" t="s">
        <v>831</v>
      </c>
      <c r="B5138" s="12">
        <v>2026</v>
      </c>
      <c r="C5138" s="12" t="s">
        <v>88</v>
      </c>
      <c r="D5138" s="302" t="s">
        <v>956</v>
      </c>
      <c r="E5138" s="304" t="s">
        <v>979</v>
      </c>
      <c r="F5138" s="280" t="s">
        <v>918</v>
      </c>
    </row>
    <row r="5139" spans="1:6" ht="14.25" customHeight="1">
      <c r="A5139" s="12" t="s">
        <v>831</v>
      </c>
      <c r="B5139" s="12">
        <v>2026</v>
      </c>
      <c r="C5139" s="12" t="s">
        <v>88</v>
      </c>
      <c r="D5139" s="302" t="s">
        <v>959</v>
      </c>
      <c r="E5139" s="298" t="s">
        <v>967</v>
      </c>
      <c r="F5139" s="280" t="s">
        <v>915</v>
      </c>
    </row>
    <row r="5140" spans="1:6" ht="14.25" customHeight="1">
      <c r="A5140" s="12" t="s">
        <v>831</v>
      </c>
      <c r="B5140" s="12">
        <v>2026</v>
      </c>
      <c r="C5140" s="12" t="s">
        <v>88</v>
      </c>
      <c r="D5140" s="302" t="s">
        <v>959</v>
      </c>
      <c r="E5140" s="298" t="s">
        <v>1078</v>
      </c>
      <c r="F5140" s="280" t="s">
        <v>915</v>
      </c>
    </row>
    <row r="5141" spans="1:6" ht="14.25" customHeight="1">
      <c r="A5141" s="12" t="s">
        <v>831</v>
      </c>
      <c r="B5141" s="12">
        <v>2026</v>
      </c>
      <c r="C5141" s="12" t="s">
        <v>88</v>
      </c>
      <c r="D5141" s="302" t="s">
        <v>959</v>
      </c>
      <c r="E5141" s="298" t="s">
        <v>1106</v>
      </c>
      <c r="F5141" s="280" t="s">
        <v>915</v>
      </c>
    </row>
    <row r="5142" spans="1:6" ht="14.25" customHeight="1">
      <c r="A5142" s="12" t="s">
        <v>831</v>
      </c>
      <c r="B5142" s="12">
        <v>2026</v>
      </c>
      <c r="C5142" s="12" t="s">
        <v>88</v>
      </c>
      <c r="D5142" s="302" t="s">
        <v>959</v>
      </c>
      <c r="E5142" s="298" t="s">
        <v>1009</v>
      </c>
      <c r="F5142" s="280" t="s">
        <v>917</v>
      </c>
    </row>
    <row r="5143" spans="1:6" ht="14.25" customHeight="1">
      <c r="A5143" s="12" t="s">
        <v>831</v>
      </c>
      <c r="B5143" s="12">
        <v>2026</v>
      </c>
      <c r="C5143" s="12" t="s">
        <v>88</v>
      </c>
      <c r="D5143" s="299" t="s">
        <v>969</v>
      </c>
      <c r="E5143" s="298" t="s">
        <v>952</v>
      </c>
      <c r="F5143" s="280" t="s">
        <v>906</v>
      </c>
    </row>
    <row r="5144" spans="1:6" ht="14.25" customHeight="1">
      <c r="A5144" s="12" t="s">
        <v>831</v>
      </c>
      <c r="B5144" s="12">
        <v>2026</v>
      </c>
      <c r="C5144" s="12" t="s">
        <v>88</v>
      </c>
      <c r="D5144" s="302" t="s">
        <v>1425</v>
      </c>
      <c r="E5144" s="298" t="s">
        <v>981</v>
      </c>
      <c r="F5144" s="280" t="s">
        <v>906</v>
      </c>
    </row>
    <row r="5145" spans="1:6" ht="14.25" customHeight="1">
      <c r="A5145" s="12" t="s">
        <v>831</v>
      </c>
      <c r="B5145" s="12">
        <v>2026</v>
      </c>
      <c r="C5145" s="12" t="s">
        <v>88</v>
      </c>
      <c r="D5145" s="302" t="s">
        <v>956</v>
      </c>
      <c r="E5145" s="298" t="s">
        <v>997</v>
      </c>
      <c r="F5145" s="280" t="s">
        <v>920</v>
      </c>
    </row>
    <row r="5146" spans="1:6" ht="14.25" customHeight="1">
      <c r="A5146" s="12" t="s">
        <v>831</v>
      </c>
      <c r="B5146" s="12">
        <v>2026</v>
      </c>
      <c r="C5146" s="12" t="s">
        <v>88</v>
      </c>
      <c r="D5146" s="302" t="s">
        <v>969</v>
      </c>
      <c r="E5146" s="298" t="s">
        <v>930</v>
      </c>
      <c r="F5146" s="280" t="s">
        <v>906</v>
      </c>
    </row>
    <row r="5147" spans="1:6" ht="14.25" customHeight="1">
      <c r="A5147" s="12" t="s">
        <v>831</v>
      </c>
      <c r="B5147" s="12">
        <v>2026</v>
      </c>
      <c r="C5147" s="12" t="s">
        <v>88</v>
      </c>
      <c r="D5147" s="302" t="s">
        <v>966</v>
      </c>
      <c r="E5147" s="298" t="s">
        <v>993</v>
      </c>
      <c r="F5147" s="280" t="s">
        <v>918</v>
      </c>
    </row>
    <row r="5148" spans="1:6" ht="14.25" customHeight="1">
      <c r="A5148" s="12" t="s">
        <v>831</v>
      </c>
      <c r="B5148" s="12">
        <v>2026</v>
      </c>
      <c r="C5148" s="12" t="s">
        <v>88</v>
      </c>
      <c r="D5148" s="302" t="s">
        <v>969</v>
      </c>
      <c r="E5148" s="298" t="s">
        <v>981</v>
      </c>
      <c r="F5148" s="280" t="s">
        <v>906</v>
      </c>
    </row>
    <row r="5149" spans="1:6" ht="14.25" customHeight="1">
      <c r="A5149" s="12" t="s">
        <v>831</v>
      </c>
      <c r="B5149" s="12">
        <v>2026</v>
      </c>
      <c r="C5149" s="12" t="s">
        <v>88</v>
      </c>
      <c r="D5149" s="302" t="s">
        <v>956</v>
      </c>
      <c r="E5149" s="298" t="s">
        <v>930</v>
      </c>
      <c r="F5149" s="280" t="s">
        <v>906</v>
      </c>
    </row>
    <row r="5150" spans="1:6" ht="14.25" customHeight="1">
      <c r="A5150" s="12" t="s">
        <v>831</v>
      </c>
      <c r="B5150" s="12">
        <v>2026</v>
      </c>
      <c r="C5150" s="12" t="s">
        <v>88</v>
      </c>
      <c r="D5150" s="302" t="s">
        <v>988</v>
      </c>
      <c r="E5150" s="298" t="s">
        <v>1063</v>
      </c>
      <c r="F5150" s="280" t="s">
        <v>922</v>
      </c>
    </row>
    <row r="5151" spans="1:6" ht="14.25" customHeight="1">
      <c r="A5151" s="12" t="s">
        <v>831</v>
      </c>
      <c r="B5151" s="12">
        <v>2026</v>
      </c>
      <c r="C5151" s="12" t="s">
        <v>88</v>
      </c>
      <c r="D5151" s="302" t="s">
        <v>988</v>
      </c>
      <c r="E5151" s="298" t="s">
        <v>955</v>
      </c>
      <c r="F5151" s="280" t="s">
        <v>922</v>
      </c>
    </row>
    <row r="5152" spans="1:6" ht="14.25" customHeight="1">
      <c r="A5152" s="12" t="s">
        <v>831</v>
      </c>
      <c r="B5152" s="12">
        <v>2026</v>
      </c>
      <c r="C5152" s="12" t="s">
        <v>88</v>
      </c>
      <c r="D5152" s="302" t="s">
        <v>959</v>
      </c>
      <c r="E5152" s="298" t="s">
        <v>1064</v>
      </c>
      <c r="F5152" s="280" t="s">
        <v>922</v>
      </c>
    </row>
    <row r="5153" spans="1:6" ht="14.25" customHeight="1">
      <c r="A5153" s="12" t="s">
        <v>831</v>
      </c>
      <c r="B5153" s="12">
        <v>2026</v>
      </c>
      <c r="C5153" s="12" t="s">
        <v>88</v>
      </c>
      <c r="D5153" s="302" t="s">
        <v>959</v>
      </c>
      <c r="E5153" s="298" t="s">
        <v>1059</v>
      </c>
      <c r="F5153" s="280" t="s">
        <v>922</v>
      </c>
    </row>
    <row r="5154" spans="1:6" ht="14.25" customHeight="1">
      <c r="A5154" s="12" t="s">
        <v>831</v>
      </c>
      <c r="B5154" s="12">
        <v>2026</v>
      </c>
      <c r="C5154" s="12" t="s">
        <v>88</v>
      </c>
      <c r="D5154" s="302" t="s">
        <v>959</v>
      </c>
      <c r="E5154" s="298" t="s">
        <v>1060</v>
      </c>
      <c r="F5154" s="280" t="s">
        <v>922</v>
      </c>
    </row>
    <row r="5155" spans="1:6" ht="14.25" customHeight="1">
      <c r="A5155" s="12" t="s">
        <v>831</v>
      </c>
      <c r="B5155" s="12">
        <v>2026</v>
      </c>
      <c r="C5155" s="12" t="s">
        <v>88</v>
      </c>
      <c r="D5155" s="302" t="s">
        <v>1425</v>
      </c>
      <c r="E5155" s="298" t="s">
        <v>1001</v>
      </c>
      <c r="F5155" s="280" t="s">
        <v>783</v>
      </c>
    </row>
    <row r="5156" spans="1:6" ht="14.25" customHeight="1">
      <c r="A5156" s="12" t="s">
        <v>831</v>
      </c>
      <c r="B5156" s="12">
        <v>2026</v>
      </c>
      <c r="C5156" s="12" t="s">
        <v>88</v>
      </c>
      <c r="D5156" s="302" t="s">
        <v>956</v>
      </c>
      <c r="E5156" s="298" t="s">
        <v>954</v>
      </c>
      <c r="F5156" s="280" t="s">
        <v>906</v>
      </c>
    </row>
    <row r="5157" spans="1:6" ht="14.25" customHeight="1">
      <c r="A5157" s="12" t="s">
        <v>831</v>
      </c>
      <c r="B5157" s="12">
        <v>2026</v>
      </c>
      <c r="C5157" s="12" t="s">
        <v>88</v>
      </c>
      <c r="D5157" s="302" t="s">
        <v>1425</v>
      </c>
      <c r="E5157" s="298" t="s">
        <v>1014</v>
      </c>
      <c r="F5157" s="280" t="s">
        <v>906</v>
      </c>
    </row>
    <row r="5158" spans="1:6" ht="14.25" customHeight="1">
      <c r="A5158" s="12" t="s">
        <v>831</v>
      </c>
      <c r="B5158" s="12">
        <v>2026</v>
      </c>
      <c r="C5158" s="12" t="s">
        <v>88</v>
      </c>
      <c r="D5158" s="302" t="s">
        <v>969</v>
      </c>
      <c r="E5158" s="298" t="s">
        <v>1037</v>
      </c>
      <c r="F5158" s="280" t="s">
        <v>917</v>
      </c>
    </row>
    <row r="5159" spans="1:6" ht="14.25" customHeight="1">
      <c r="A5159" s="12" t="s">
        <v>831</v>
      </c>
      <c r="B5159" s="12">
        <v>2026</v>
      </c>
      <c r="C5159" s="12" t="s">
        <v>88</v>
      </c>
      <c r="D5159" s="302" t="s">
        <v>988</v>
      </c>
      <c r="E5159" s="298" t="s">
        <v>1426</v>
      </c>
      <c r="F5159" s="280" t="s">
        <v>917</v>
      </c>
    </row>
    <row r="5160" spans="1:6" ht="14.25" customHeight="1">
      <c r="A5160" s="12" t="s">
        <v>831</v>
      </c>
      <c r="B5160" s="12">
        <v>2026</v>
      </c>
      <c r="C5160" s="12" t="s">
        <v>88</v>
      </c>
      <c r="D5160" s="299" t="s">
        <v>988</v>
      </c>
      <c r="E5160" s="298" t="s">
        <v>1059</v>
      </c>
      <c r="F5160" s="280" t="s">
        <v>922</v>
      </c>
    </row>
    <row r="5161" spans="1:6" ht="14.25" customHeight="1">
      <c r="A5161" s="12" t="s">
        <v>831</v>
      </c>
      <c r="B5161" s="12">
        <v>2026</v>
      </c>
      <c r="C5161" s="12" t="s">
        <v>88</v>
      </c>
      <c r="D5161" s="302" t="s">
        <v>966</v>
      </c>
      <c r="E5161" s="298" t="s">
        <v>985</v>
      </c>
      <c r="F5161" s="280" t="s">
        <v>918</v>
      </c>
    </row>
    <row r="5162" spans="1:6" ht="14.25" customHeight="1">
      <c r="A5162" s="12" t="s">
        <v>831</v>
      </c>
      <c r="B5162" s="12">
        <v>2026</v>
      </c>
      <c r="C5162" s="12" t="s">
        <v>88</v>
      </c>
      <c r="D5162" s="302" t="s">
        <v>1425</v>
      </c>
      <c r="E5162" s="298" t="s">
        <v>1038</v>
      </c>
      <c r="F5162" s="280" t="s">
        <v>918</v>
      </c>
    </row>
    <row r="5163" spans="1:6" ht="14.25" customHeight="1">
      <c r="A5163" s="12" t="s">
        <v>831</v>
      </c>
      <c r="B5163" s="12">
        <v>2026</v>
      </c>
      <c r="C5163" s="12" t="s">
        <v>88</v>
      </c>
      <c r="D5163" s="302" t="s">
        <v>969</v>
      </c>
      <c r="E5163" s="298" t="s">
        <v>948</v>
      </c>
      <c r="F5163" s="280" t="s">
        <v>922</v>
      </c>
    </row>
    <row r="5164" spans="1:6" ht="14.25" customHeight="1">
      <c r="A5164" s="12" t="s">
        <v>831</v>
      </c>
      <c r="B5164" s="12">
        <v>2026</v>
      </c>
      <c r="C5164" s="12" t="s">
        <v>88</v>
      </c>
      <c r="D5164" s="302" t="s">
        <v>1425</v>
      </c>
      <c r="E5164" s="298" t="s">
        <v>1064</v>
      </c>
      <c r="F5164" s="280" t="s">
        <v>922</v>
      </c>
    </row>
    <row r="5165" spans="1:6" ht="14.25" customHeight="1">
      <c r="A5165" s="12" t="s">
        <v>831</v>
      </c>
      <c r="B5165" s="12">
        <v>2026</v>
      </c>
      <c r="C5165" s="12" t="s">
        <v>88</v>
      </c>
      <c r="D5165" s="302" t="s">
        <v>969</v>
      </c>
      <c r="E5165" s="298" t="s">
        <v>1048</v>
      </c>
      <c r="F5165" s="280" t="s">
        <v>917</v>
      </c>
    </row>
    <row r="5166" spans="1:6" ht="14.25" customHeight="1">
      <c r="A5166" s="12" t="s">
        <v>831</v>
      </c>
      <c r="B5166" s="12">
        <v>2026</v>
      </c>
      <c r="C5166" s="12" t="s">
        <v>88</v>
      </c>
      <c r="D5166" s="302" t="s">
        <v>969</v>
      </c>
      <c r="E5166" s="298" t="s">
        <v>1085</v>
      </c>
      <c r="F5166" s="280" t="s">
        <v>917</v>
      </c>
    </row>
    <row r="5167" spans="1:6" ht="14.25" customHeight="1">
      <c r="A5167" s="12" t="s">
        <v>831</v>
      </c>
      <c r="B5167" s="12">
        <v>2026</v>
      </c>
      <c r="C5167" s="12" t="s">
        <v>88</v>
      </c>
      <c r="D5167" s="305" t="s">
        <v>988</v>
      </c>
      <c r="E5167" s="298" t="s">
        <v>995</v>
      </c>
      <c r="F5167" s="280" t="s">
        <v>924</v>
      </c>
    </row>
    <row r="5168" spans="1:6" ht="14.25" customHeight="1">
      <c r="A5168" s="12" t="s">
        <v>831</v>
      </c>
      <c r="B5168" s="12">
        <v>2026</v>
      </c>
      <c r="C5168" s="12" t="s">
        <v>88</v>
      </c>
      <c r="D5168" s="302" t="s">
        <v>969</v>
      </c>
      <c r="E5168" s="298" t="s">
        <v>995</v>
      </c>
      <c r="F5168" s="280" t="s">
        <v>924</v>
      </c>
    </row>
    <row r="5169" spans="1:6" ht="14.25" customHeight="1">
      <c r="A5169" s="12" t="s">
        <v>831</v>
      </c>
      <c r="B5169" s="12">
        <v>2026</v>
      </c>
      <c r="C5169" s="12" t="s">
        <v>88</v>
      </c>
      <c r="D5169" s="302" t="s">
        <v>958</v>
      </c>
      <c r="E5169" s="298" t="s">
        <v>1398</v>
      </c>
      <c r="F5169" s="280" t="s">
        <v>918</v>
      </c>
    </row>
    <row r="5170" spans="1:6" ht="14.25" customHeight="1">
      <c r="A5170" s="12" t="s">
        <v>831</v>
      </c>
      <c r="B5170" s="12">
        <v>2026</v>
      </c>
      <c r="C5170" s="12" t="s">
        <v>88</v>
      </c>
      <c r="D5170" s="302" t="s">
        <v>969</v>
      </c>
      <c r="E5170" s="298" t="s">
        <v>955</v>
      </c>
      <c r="F5170" s="280" t="s">
        <v>922</v>
      </c>
    </row>
    <row r="5171" spans="1:6" ht="14.25" customHeight="1">
      <c r="A5171" s="12" t="s">
        <v>831</v>
      </c>
      <c r="B5171" s="12">
        <v>2026</v>
      </c>
      <c r="C5171" s="12" t="s">
        <v>88</v>
      </c>
      <c r="D5171" s="305" t="s">
        <v>988</v>
      </c>
      <c r="E5171" s="298" t="s">
        <v>1063</v>
      </c>
      <c r="F5171" s="280" t="s">
        <v>922</v>
      </c>
    </row>
    <row r="5172" spans="1:6" ht="14.25" customHeight="1">
      <c r="A5172" s="12" t="s">
        <v>831</v>
      </c>
      <c r="B5172" s="12">
        <v>2026</v>
      </c>
      <c r="C5172" s="12" t="s">
        <v>88</v>
      </c>
      <c r="D5172" s="302" t="s">
        <v>969</v>
      </c>
      <c r="E5172" s="298" t="s">
        <v>992</v>
      </c>
      <c r="F5172" s="280" t="s">
        <v>922</v>
      </c>
    </row>
    <row r="5173" spans="1:6" ht="14.25" customHeight="1">
      <c r="A5173" s="12" t="s">
        <v>831</v>
      </c>
      <c r="B5173" s="12">
        <v>2026</v>
      </c>
      <c r="C5173" s="12" t="s">
        <v>88</v>
      </c>
      <c r="D5173" s="302" t="s">
        <v>959</v>
      </c>
      <c r="E5173" s="298" t="s">
        <v>992</v>
      </c>
      <c r="F5173" s="280" t="s">
        <v>922</v>
      </c>
    </row>
    <row r="5174" spans="1:6" ht="14.25" customHeight="1">
      <c r="A5174" s="12" t="s">
        <v>831</v>
      </c>
      <c r="B5174" s="12">
        <v>2026</v>
      </c>
      <c r="C5174" s="12" t="s">
        <v>88</v>
      </c>
      <c r="D5174" s="302" t="s">
        <v>988</v>
      </c>
      <c r="E5174" s="298" t="s">
        <v>961</v>
      </c>
      <c r="F5174" s="280" t="s">
        <v>663</v>
      </c>
    </row>
    <row r="5175" spans="1:6" ht="14.25" customHeight="1">
      <c r="A5175" s="12" t="s">
        <v>831</v>
      </c>
      <c r="B5175" s="12">
        <v>2026</v>
      </c>
      <c r="C5175" s="12" t="s">
        <v>88</v>
      </c>
      <c r="D5175" s="305" t="s">
        <v>959</v>
      </c>
      <c r="E5175" s="298" t="s">
        <v>1031</v>
      </c>
      <c r="F5175" s="280" t="s">
        <v>913</v>
      </c>
    </row>
    <row r="5176" spans="1:6" ht="14.25" customHeight="1">
      <c r="A5176" s="12" t="s">
        <v>831</v>
      </c>
      <c r="B5176" s="12">
        <v>2026</v>
      </c>
      <c r="C5176" s="12" t="s">
        <v>88</v>
      </c>
      <c r="D5176" s="305" t="s">
        <v>959</v>
      </c>
      <c r="E5176" s="298" t="s">
        <v>964</v>
      </c>
      <c r="F5176" s="280" t="s">
        <v>913</v>
      </c>
    </row>
    <row r="5177" spans="1:6" ht="14.25" customHeight="1">
      <c r="A5177" s="12" t="s">
        <v>831</v>
      </c>
      <c r="B5177" s="12">
        <v>2026</v>
      </c>
      <c r="C5177" s="12" t="s">
        <v>88</v>
      </c>
      <c r="D5177" s="302" t="s">
        <v>988</v>
      </c>
      <c r="E5177" s="298" t="s">
        <v>954</v>
      </c>
      <c r="F5177" s="280" t="s">
        <v>906</v>
      </c>
    </row>
    <row r="5178" spans="1:6" ht="14.25" customHeight="1">
      <c r="A5178" s="12" t="s">
        <v>831</v>
      </c>
      <c r="B5178" s="12">
        <v>2026</v>
      </c>
      <c r="C5178" s="12" t="s">
        <v>88</v>
      </c>
      <c r="D5178" s="302" t="s">
        <v>969</v>
      </c>
      <c r="E5178" s="298" t="s">
        <v>2</v>
      </c>
      <c r="F5178" s="280" t="s">
        <v>909</v>
      </c>
    </row>
    <row r="5179" spans="1:6" ht="14.25" customHeight="1">
      <c r="A5179" s="12" t="s">
        <v>831</v>
      </c>
      <c r="B5179" s="12">
        <v>2026</v>
      </c>
      <c r="C5179" s="12" t="s">
        <v>88</v>
      </c>
      <c r="D5179" s="302" t="s">
        <v>969</v>
      </c>
      <c r="E5179" s="298" t="s">
        <v>1050</v>
      </c>
      <c r="F5179" s="280" t="s">
        <v>483</v>
      </c>
    </row>
    <row r="5180" spans="1:6" ht="14.25" customHeight="1">
      <c r="A5180" s="12" t="s">
        <v>831</v>
      </c>
      <c r="B5180" s="12">
        <v>2026</v>
      </c>
      <c r="C5180" s="12" t="s">
        <v>88</v>
      </c>
      <c r="D5180" s="302" t="s">
        <v>966</v>
      </c>
      <c r="E5180" s="298" t="s">
        <v>1050</v>
      </c>
      <c r="F5180" s="280" t="s">
        <v>483</v>
      </c>
    </row>
    <row r="5181" spans="1:6" ht="14.25" customHeight="1">
      <c r="A5181" s="12" t="s">
        <v>831</v>
      </c>
      <c r="B5181" s="12">
        <v>2026</v>
      </c>
      <c r="C5181" s="12" t="s">
        <v>88</v>
      </c>
      <c r="D5181" s="302" t="s">
        <v>988</v>
      </c>
      <c r="E5181" s="298" t="s">
        <v>1087</v>
      </c>
      <c r="F5181" s="280" t="s">
        <v>663</v>
      </c>
    </row>
    <row r="5182" spans="1:6" ht="14.25" customHeight="1">
      <c r="A5182" s="12" t="s">
        <v>831</v>
      </c>
      <c r="B5182" s="12">
        <v>2026</v>
      </c>
      <c r="C5182" s="12" t="s">
        <v>88</v>
      </c>
      <c r="D5182" s="302" t="s">
        <v>969</v>
      </c>
      <c r="E5182" s="298" t="s">
        <v>1087</v>
      </c>
      <c r="F5182" s="280" t="s">
        <v>663</v>
      </c>
    </row>
    <row r="5183" spans="1:6" ht="14.25" customHeight="1">
      <c r="A5183" s="12" t="s">
        <v>831</v>
      </c>
      <c r="B5183" s="12">
        <v>2026</v>
      </c>
      <c r="C5183" s="12" t="s">
        <v>88</v>
      </c>
      <c r="D5183" s="302" t="s">
        <v>969</v>
      </c>
      <c r="E5183" s="298" t="s">
        <v>955</v>
      </c>
      <c r="F5183" s="280" t="s">
        <v>922</v>
      </c>
    </row>
    <row r="5184" spans="1:6" ht="14.25" customHeight="1">
      <c r="A5184" s="12" t="s">
        <v>831</v>
      </c>
      <c r="B5184" s="12">
        <v>2026</v>
      </c>
      <c r="C5184" s="12" t="s">
        <v>88</v>
      </c>
      <c r="D5184" s="302" t="s">
        <v>959</v>
      </c>
      <c r="E5184" s="298" t="s">
        <v>955</v>
      </c>
      <c r="F5184" s="280" t="s">
        <v>922</v>
      </c>
    </row>
    <row r="5185" spans="1:6" ht="14.25" customHeight="1">
      <c r="A5185" s="12" t="s">
        <v>831</v>
      </c>
      <c r="B5185" s="12">
        <v>2026</v>
      </c>
      <c r="C5185" s="12" t="s">
        <v>1427</v>
      </c>
      <c r="D5185" s="298" t="s">
        <v>1082</v>
      </c>
      <c r="E5185" s="298" t="s">
        <v>1095</v>
      </c>
      <c r="F5185" s="280" t="s">
        <v>924</v>
      </c>
    </row>
    <row r="5186" spans="1:6" ht="14.25" customHeight="1">
      <c r="A5186" s="12" t="s">
        <v>831</v>
      </c>
      <c r="B5186" s="12">
        <v>2026</v>
      </c>
      <c r="C5186" s="12" t="s">
        <v>1427</v>
      </c>
      <c r="D5186" s="298" t="s">
        <v>1000</v>
      </c>
      <c r="E5186" s="298" t="s">
        <v>1037</v>
      </c>
      <c r="F5186" s="280" t="s">
        <v>917</v>
      </c>
    </row>
    <row r="5187" spans="1:6" ht="14.25" customHeight="1">
      <c r="A5187" s="12" t="s">
        <v>831</v>
      </c>
      <c r="B5187" s="12">
        <v>2026</v>
      </c>
      <c r="C5187" s="12" t="s">
        <v>1427</v>
      </c>
      <c r="D5187" s="298" t="s">
        <v>1000</v>
      </c>
      <c r="E5187" s="298" t="s">
        <v>1016</v>
      </c>
      <c r="F5187" s="280" t="s">
        <v>783</v>
      </c>
    </row>
    <row r="5188" spans="1:6" ht="14.25" customHeight="1">
      <c r="A5188" s="12" t="s">
        <v>831</v>
      </c>
      <c r="B5188" s="12">
        <v>2026</v>
      </c>
      <c r="C5188" s="12" t="s">
        <v>1427</v>
      </c>
      <c r="D5188" s="298" t="s">
        <v>1000</v>
      </c>
      <c r="E5188" s="298" t="s">
        <v>991</v>
      </c>
      <c r="F5188" s="280" t="s">
        <v>906</v>
      </c>
    </row>
    <row r="5189" spans="1:6" ht="14.25" customHeight="1">
      <c r="A5189" s="12" t="s">
        <v>831</v>
      </c>
      <c r="B5189" s="12">
        <v>2026</v>
      </c>
      <c r="C5189" s="12" t="s">
        <v>1427</v>
      </c>
      <c r="D5189" s="298" t="s">
        <v>1005</v>
      </c>
      <c r="E5189" s="298" t="s">
        <v>986</v>
      </c>
      <c r="F5189" s="280" t="s">
        <v>906</v>
      </c>
    </row>
    <row r="5190" spans="1:6" ht="14.25" customHeight="1">
      <c r="A5190" s="12" t="s">
        <v>831</v>
      </c>
      <c r="B5190" s="12">
        <v>2026</v>
      </c>
      <c r="C5190" s="12" t="s">
        <v>1427</v>
      </c>
      <c r="D5190" s="298" t="s">
        <v>1000</v>
      </c>
      <c r="E5190" s="298" t="s">
        <v>952</v>
      </c>
      <c r="F5190" s="280" t="s">
        <v>906</v>
      </c>
    </row>
    <row r="5191" spans="1:6" ht="14.25" customHeight="1">
      <c r="A5191" s="12" t="s">
        <v>831</v>
      </c>
      <c r="B5191" s="12">
        <v>2026</v>
      </c>
      <c r="C5191" s="12" t="s">
        <v>1427</v>
      </c>
      <c r="D5191" s="298" t="s">
        <v>1000</v>
      </c>
      <c r="E5191" s="298" t="s">
        <v>991</v>
      </c>
      <c r="F5191" s="280" t="s">
        <v>906</v>
      </c>
    </row>
    <row r="5192" spans="1:6" ht="14.25" customHeight="1">
      <c r="A5192" s="12" t="s">
        <v>831</v>
      </c>
      <c r="B5192" s="12">
        <v>2026</v>
      </c>
      <c r="C5192" s="12" t="s">
        <v>1427</v>
      </c>
      <c r="D5192" s="298" t="s">
        <v>1000</v>
      </c>
      <c r="E5192" s="298" t="s">
        <v>1041</v>
      </c>
      <c r="F5192" s="280" t="s">
        <v>906</v>
      </c>
    </row>
    <row r="5193" spans="1:6" ht="14.25" customHeight="1">
      <c r="A5193" s="12" t="s">
        <v>831</v>
      </c>
      <c r="B5193" s="12">
        <v>2026</v>
      </c>
      <c r="C5193" s="12" t="s">
        <v>1427</v>
      </c>
      <c r="D5193" s="299" t="s">
        <v>1000</v>
      </c>
      <c r="E5193" s="298" t="s">
        <v>1051</v>
      </c>
      <c r="F5193" s="280" t="s">
        <v>924</v>
      </c>
    </row>
    <row r="5194" spans="1:6" ht="14.25" customHeight="1">
      <c r="A5194" s="12" t="s">
        <v>831</v>
      </c>
      <c r="B5194" s="12">
        <v>2026</v>
      </c>
      <c r="C5194" s="12" t="s">
        <v>1427</v>
      </c>
      <c r="D5194" s="298" t="s">
        <v>1000</v>
      </c>
      <c r="E5194" s="298" t="s">
        <v>949</v>
      </c>
      <c r="F5194" s="280" t="s">
        <v>924</v>
      </c>
    </row>
    <row r="5195" spans="1:6" ht="14.25" customHeight="1">
      <c r="A5195" s="12" t="s">
        <v>831</v>
      </c>
      <c r="B5195" s="12">
        <v>2026</v>
      </c>
      <c r="C5195" s="12" t="s">
        <v>872</v>
      </c>
      <c r="D5195" s="294" t="s">
        <v>1013</v>
      </c>
      <c r="E5195" s="306" t="s">
        <v>981</v>
      </c>
      <c r="F5195" s="280" t="s">
        <v>906</v>
      </c>
    </row>
    <row r="5196" spans="1:6" ht="14.25" customHeight="1">
      <c r="A5196" s="12" t="s">
        <v>831</v>
      </c>
      <c r="B5196" s="12">
        <v>2026</v>
      </c>
      <c r="C5196" s="12" t="s">
        <v>872</v>
      </c>
      <c r="D5196" s="298" t="s">
        <v>1013</v>
      </c>
      <c r="E5196" s="306" t="s">
        <v>930</v>
      </c>
      <c r="F5196" s="280" t="s">
        <v>906</v>
      </c>
    </row>
    <row r="5197" spans="1:6" ht="14.25" customHeight="1">
      <c r="A5197" s="12" t="s">
        <v>831</v>
      </c>
      <c r="B5197" s="12">
        <v>2026</v>
      </c>
      <c r="C5197" s="12" t="s">
        <v>872</v>
      </c>
      <c r="D5197" s="294" t="s">
        <v>1018</v>
      </c>
      <c r="E5197" s="306" t="s">
        <v>932</v>
      </c>
      <c r="F5197" s="280" t="s">
        <v>663</v>
      </c>
    </row>
    <row r="5198" spans="1:6" ht="14.25" customHeight="1">
      <c r="A5198" s="12" t="s">
        <v>831</v>
      </c>
      <c r="B5198" s="12">
        <v>2026</v>
      </c>
      <c r="C5198" s="12" t="s">
        <v>872</v>
      </c>
      <c r="D5198" s="298" t="s">
        <v>1013</v>
      </c>
      <c r="E5198" s="306" t="s">
        <v>1040</v>
      </c>
      <c r="F5198" s="280" t="s">
        <v>906</v>
      </c>
    </row>
    <row r="5199" spans="1:6" ht="14.25" customHeight="1">
      <c r="A5199" s="12" t="s">
        <v>831</v>
      </c>
      <c r="B5199" s="12">
        <v>2026</v>
      </c>
      <c r="C5199" s="12" t="s">
        <v>872</v>
      </c>
      <c r="D5199" s="298" t="s">
        <v>1013</v>
      </c>
      <c r="E5199" s="306" t="s">
        <v>993</v>
      </c>
      <c r="F5199" s="280" t="s">
        <v>918</v>
      </c>
    </row>
    <row r="5200" spans="1:6" ht="14.25" customHeight="1">
      <c r="A5200" s="12" t="s">
        <v>831</v>
      </c>
      <c r="B5200" s="12">
        <v>2026</v>
      </c>
      <c r="C5200" s="12" t="s">
        <v>872</v>
      </c>
      <c r="D5200" s="298" t="s">
        <v>1013</v>
      </c>
      <c r="E5200" s="306" t="s">
        <v>1041</v>
      </c>
      <c r="F5200" s="280" t="s">
        <v>906</v>
      </c>
    </row>
    <row r="5201" spans="1:6" ht="14.25" customHeight="1">
      <c r="A5201" s="12" t="s">
        <v>831</v>
      </c>
      <c r="B5201" s="12">
        <v>2026</v>
      </c>
      <c r="C5201" s="12" t="s">
        <v>872</v>
      </c>
      <c r="D5201" s="298" t="s">
        <v>1013</v>
      </c>
      <c r="E5201" s="306" t="s">
        <v>986</v>
      </c>
      <c r="F5201" s="280" t="s">
        <v>906</v>
      </c>
    </row>
    <row r="5202" spans="1:6" ht="14.25" customHeight="1">
      <c r="A5202" s="12" t="s">
        <v>831</v>
      </c>
      <c r="B5202" s="12">
        <v>2026</v>
      </c>
      <c r="C5202" s="12" t="s">
        <v>872</v>
      </c>
      <c r="D5202" s="298" t="s">
        <v>1013</v>
      </c>
      <c r="E5202" s="306" t="s">
        <v>952</v>
      </c>
      <c r="F5202" s="280" t="s">
        <v>906</v>
      </c>
    </row>
    <row r="5203" spans="1:6" ht="14.25" customHeight="1">
      <c r="A5203" s="12" t="s">
        <v>831</v>
      </c>
      <c r="B5203" s="12">
        <v>2026</v>
      </c>
      <c r="C5203" s="12" t="s">
        <v>872</v>
      </c>
      <c r="D5203" s="298" t="s">
        <v>1018</v>
      </c>
      <c r="E5203" s="306" t="s">
        <v>1047</v>
      </c>
      <c r="F5203" s="280" t="s">
        <v>924</v>
      </c>
    </row>
    <row r="5204" spans="1:6" ht="14.25" customHeight="1">
      <c r="A5204" s="12" t="s">
        <v>831</v>
      </c>
      <c r="B5204" s="12">
        <v>2026</v>
      </c>
      <c r="C5204" s="12" t="s">
        <v>872</v>
      </c>
      <c r="D5204" s="298" t="s">
        <v>1018</v>
      </c>
      <c r="E5204" s="306" t="s">
        <v>954</v>
      </c>
      <c r="F5204" s="280" t="s">
        <v>906</v>
      </c>
    </row>
    <row r="5205" spans="1:6" ht="14.25" customHeight="1">
      <c r="A5205" s="12" t="s">
        <v>831</v>
      </c>
      <c r="B5205" s="12">
        <v>2026</v>
      </c>
      <c r="C5205" s="12" t="s">
        <v>872</v>
      </c>
      <c r="D5205" s="298" t="s">
        <v>1018</v>
      </c>
      <c r="E5205" s="306" t="s">
        <v>1001</v>
      </c>
      <c r="F5205" s="280" t="s">
        <v>783</v>
      </c>
    </row>
    <row r="5206" spans="1:6" ht="14.25" customHeight="1">
      <c r="A5206" s="12" t="s">
        <v>831</v>
      </c>
      <c r="B5206" s="12">
        <v>2026</v>
      </c>
      <c r="C5206" s="12" t="s">
        <v>872</v>
      </c>
      <c r="D5206" s="298" t="s">
        <v>1013</v>
      </c>
      <c r="E5206" s="306" t="s">
        <v>1030</v>
      </c>
      <c r="F5206" s="280" t="s">
        <v>920</v>
      </c>
    </row>
    <row r="5207" spans="1:6" ht="14.25" customHeight="1">
      <c r="A5207" s="12" t="s">
        <v>831</v>
      </c>
      <c r="B5207" s="12">
        <v>2026</v>
      </c>
      <c r="C5207" s="12" t="s">
        <v>872</v>
      </c>
      <c r="D5207" s="298" t="s">
        <v>1018</v>
      </c>
      <c r="E5207" s="306" t="s">
        <v>961</v>
      </c>
      <c r="F5207" s="280" t="s">
        <v>663</v>
      </c>
    </row>
    <row r="5208" spans="1:6" ht="14.25" customHeight="1">
      <c r="A5208" s="12" t="s">
        <v>831</v>
      </c>
      <c r="B5208" s="12">
        <v>2026</v>
      </c>
      <c r="C5208" s="12" t="s">
        <v>872</v>
      </c>
      <c r="D5208" s="298" t="s">
        <v>1018</v>
      </c>
      <c r="E5208" s="306" t="s">
        <v>1041</v>
      </c>
      <c r="F5208" s="280" t="s">
        <v>906</v>
      </c>
    </row>
    <row r="5209" spans="1:6" ht="14.25" customHeight="1">
      <c r="A5209" s="12" t="s">
        <v>831</v>
      </c>
      <c r="B5209" s="12">
        <v>2026</v>
      </c>
      <c r="C5209" s="12" t="s">
        <v>872</v>
      </c>
      <c r="D5209" s="298" t="s">
        <v>1018</v>
      </c>
      <c r="E5209" s="306" t="s">
        <v>995</v>
      </c>
      <c r="F5209" s="280" t="s">
        <v>924</v>
      </c>
    </row>
    <row r="5210" spans="1:6" ht="14.25" customHeight="1">
      <c r="A5210" s="12" t="s">
        <v>831</v>
      </c>
      <c r="B5210" s="12">
        <v>2026</v>
      </c>
      <c r="C5210" s="12" t="s">
        <v>872</v>
      </c>
      <c r="D5210" s="294" t="s">
        <v>1015</v>
      </c>
      <c r="E5210" s="306" t="s">
        <v>1034</v>
      </c>
      <c r="F5210" s="280" t="s">
        <v>922</v>
      </c>
    </row>
    <row r="5211" spans="1:6" ht="14.25" customHeight="1">
      <c r="A5211" s="12" t="s">
        <v>831</v>
      </c>
      <c r="B5211" s="12">
        <v>2026</v>
      </c>
      <c r="C5211" s="12" t="s">
        <v>884</v>
      </c>
      <c r="D5211" s="298" t="s">
        <v>1025</v>
      </c>
      <c r="E5211" s="298" t="s">
        <v>1095</v>
      </c>
      <c r="F5211" s="280" t="s">
        <v>924</v>
      </c>
    </row>
    <row r="5212" spans="1:6" ht="14.25" customHeight="1">
      <c r="A5212" s="12" t="s">
        <v>831</v>
      </c>
      <c r="B5212" s="12">
        <v>2026</v>
      </c>
      <c r="C5212" s="12" t="s">
        <v>884</v>
      </c>
      <c r="D5212" s="298" t="s">
        <v>1025</v>
      </c>
      <c r="E5212" s="298" t="s">
        <v>1104</v>
      </c>
      <c r="F5212" s="280" t="s">
        <v>922</v>
      </c>
    </row>
    <row r="5213" spans="1:6" ht="14.25" customHeight="1">
      <c r="A5213" s="12" t="s">
        <v>831</v>
      </c>
      <c r="B5213" s="12">
        <v>2026</v>
      </c>
      <c r="C5213" s="12" t="s">
        <v>884</v>
      </c>
      <c r="D5213" s="298" t="s">
        <v>1025</v>
      </c>
      <c r="E5213" s="298" t="s">
        <v>944</v>
      </c>
      <c r="F5213" s="280" t="s">
        <v>906</v>
      </c>
    </row>
    <row r="5214" spans="1:6" ht="14.25" customHeight="1">
      <c r="A5214" s="12" t="s">
        <v>831</v>
      </c>
      <c r="B5214" s="12">
        <v>2026</v>
      </c>
      <c r="C5214" s="12" t="s">
        <v>884</v>
      </c>
      <c r="D5214" s="298" t="s">
        <v>1025</v>
      </c>
      <c r="E5214" s="298" t="s">
        <v>2</v>
      </c>
      <c r="F5214" s="280" t="s">
        <v>924</v>
      </c>
    </row>
    <row r="5215" spans="1:6" ht="14.25" customHeight="1">
      <c r="A5215" s="12" t="s">
        <v>831</v>
      </c>
      <c r="B5215" s="12">
        <v>2026</v>
      </c>
      <c r="C5215" s="12" t="s">
        <v>884</v>
      </c>
      <c r="D5215" s="298" t="s">
        <v>1025</v>
      </c>
      <c r="E5215" s="298" t="s">
        <v>944</v>
      </c>
      <c r="F5215" s="280" t="s">
        <v>906</v>
      </c>
    </row>
    <row r="5216" spans="1:6" ht="14.25" customHeight="1">
      <c r="A5216" s="12" t="s">
        <v>831</v>
      </c>
      <c r="B5216" s="12">
        <v>2026</v>
      </c>
      <c r="C5216" s="12" t="s">
        <v>884</v>
      </c>
      <c r="D5216" s="298" t="s">
        <v>1025</v>
      </c>
      <c r="E5216" s="298" t="s">
        <v>2</v>
      </c>
      <c r="F5216" s="280" t="s">
        <v>1374</v>
      </c>
    </row>
    <row r="5217" spans="1:6" ht="14.25" customHeight="1">
      <c r="A5217" s="12" t="s">
        <v>831</v>
      </c>
      <c r="B5217" s="12">
        <v>2026</v>
      </c>
      <c r="C5217" s="12" t="s">
        <v>884</v>
      </c>
      <c r="D5217" s="298" t="s">
        <v>1026</v>
      </c>
      <c r="E5217" s="298" t="s">
        <v>2</v>
      </c>
      <c r="F5217" s="280" t="s">
        <v>924</v>
      </c>
    </row>
    <row r="5218" spans="1:6" ht="14.25" customHeight="1">
      <c r="A5218" s="12" t="s">
        <v>831</v>
      </c>
      <c r="B5218" s="12">
        <v>2026</v>
      </c>
      <c r="C5218" s="12" t="s">
        <v>884</v>
      </c>
      <c r="D5218" s="298" t="s">
        <v>1025</v>
      </c>
      <c r="E5218" s="298" t="s">
        <v>1006</v>
      </c>
      <c r="F5218" s="280" t="s">
        <v>917</v>
      </c>
    </row>
  </sheetData>
  <autoFilter ref="A1:F4828" xr:uid="{2FDA29FE-CD6B-479A-B51E-84F8E528856C}"/>
  <dataValidations count="2">
    <dataValidation type="list" allowBlank="1" showInputMessage="1" showErrorMessage="1" sqref="F5001:F5022 F5024:F5030 F5032:F5055 F5057:F5218" xr:uid="{F33642E2-4943-41A1-A66F-5E36150B8E00}">
      <formula1>"1°D, 2°C, 2°D, Semi 2, UCO, 3°D, Neurologia, PED/UTI PED, 4°D, 5° UTI NEO/8°D, Maternidade, UTI Adulto, Sala da família, Semi 1"</formula1>
    </dataValidation>
    <dataValidation type="list" allowBlank="1" showInputMessage="1" showErrorMessage="1" sqref="F5056" xr:uid="{16166FCB-2DB2-43F4-BEA8-D12E07BDD4AC}">
      <formula1>"1°D, 2°C, 2°D, Semi 2, UCO, 3°D, Neurologia, PED/UTI PED, 4°D, 5° UTI NEO/8°D, Maternidade, UTI Adulto, Sala da família, Day Hospital"</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4F4A5-3D20-4144-9758-F1221861FC74}">
  <dimension ref="A2:K3195"/>
  <sheetViews>
    <sheetView workbookViewId="0">
      <pane ySplit="1" topLeftCell="A3177" activePane="bottomLeft" state="frozen"/>
      <selection pane="bottomLeft" activeCell="E3188" sqref="E3188"/>
    </sheetView>
  </sheetViews>
  <sheetFormatPr defaultRowHeight="14.25"/>
  <cols>
    <col min="2" max="2" width="11.5" customWidth="1"/>
    <col min="3" max="3" width="9.875" style="203" bestFit="1" customWidth="1"/>
    <col min="6" max="6" width="21.75" customWidth="1"/>
    <col min="7" max="7" width="23.625" customWidth="1"/>
    <col min="8" max="8" width="19.875" style="2" customWidth="1"/>
    <col min="9" max="9" width="23.125" customWidth="1"/>
    <col min="10" max="10" width="12.75" customWidth="1"/>
    <col min="11" max="11" width="12.25" customWidth="1"/>
    <col min="16" max="16" width="18.125" customWidth="1"/>
  </cols>
  <sheetData>
    <row r="2" spans="1:11" ht="33">
      <c r="A2" s="9" t="s">
        <v>0</v>
      </c>
      <c r="B2" s="10" t="s">
        <v>1</v>
      </c>
      <c r="C2" s="264" t="s">
        <v>818</v>
      </c>
      <c r="D2" s="9" t="s">
        <v>899</v>
      </c>
      <c r="E2" s="9" t="s">
        <v>1428</v>
      </c>
      <c r="F2" s="9" t="s">
        <v>2</v>
      </c>
      <c r="G2" s="9" t="s">
        <v>927</v>
      </c>
      <c r="H2" s="9" t="s">
        <v>1429</v>
      </c>
      <c r="I2" s="9" t="s">
        <v>16</v>
      </c>
      <c r="J2" s="9" t="s">
        <v>13</v>
      </c>
      <c r="K2" s="10" t="s">
        <v>1430</v>
      </c>
    </row>
    <row r="3" spans="1:11" ht="16.5">
      <c r="A3" s="204">
        <v>1</v>
      </c>
      <c r="B3" s="205">
        <v>45518</v>
      </c>
      <c r="C3" s="265" t="s">
        <v>830</v>
      </c>
      <c r="D3" s="204">
        <v>2024</v>
      </c>
      <c r="E3" s="204" t="s">
        <v>1431</v>
      </c>
      <c r="F3" s="204" t="s">
        <v>1432</v>
      </c>
      <c r="G3" s="206" t="s">
        <v>88</v>
      </c>
      <c r="H3" s="207" t="s">
        <v>1433</v>
      </c>
      <c r="I3" s="156" t="s">
        <v>26</v>
      </c>
      <c r="J3" s="204" t="s">
        <v>59</v>
      </c>
      <c r="K3" s="207"/>
    </row>
    <row r="4" spans="1:11" ht="117">
      <c r="A4" s="204">
        <v>2</v>
      </c>
      <c r="B4" s="208">
        <v>45518</v>
      </c>
      <c r="C4" s="265" t="s">
        <v>830</v>
      </c>
      <c r="D4" s="204">
        <v>2024</v>
      </c>
      <c r="E4" s="209" t="s">
        <v>1431</v>
      </c>
      <c r="F4" s="209" t="s">
        <v>1434</v>
      </c>
      <c r="G4" s="210" t="s">
        <v>88</v>
      </c>
      <c r="H4" s="211" t="s">
        <v>1435</v>
      </c>
      <c r="I4" s="156" t="s">
        <v>26</v>
      </c>
      <c r="J4" s="209" t="s">
        <v>1436</v>
      </c>
      <c r="K4" s="211" t="s">
        <v>1437</v>
      </c>
    </row>
    <row r="5" spans="1:11" ht="134.25">
      <c r="A5" s="204">
        <v>3</v>
      </c>
      <c r="B5" s="205">
        <v>45518</v>
      </c>
      <c r="C5" s="266" t="s">
        <v>830</v>
      </c>
      <c r="D5" s="204">
        <v>2024</v>
      </c>
      <c r="E5" s="204" t="s">
        <v>1431</v>
      </c>
      <c r="F5" s="204" t="s">
        <v>1438</v>
      </c>
      <c r="G5" s="212" t="s">
        <v>1439</v>
      </c>
      <c r="H5" s="207" t="s">
        <v>1440</v>
      </c>
      <c r="I5" s="156" t="s">
        <v>26</v>
      </c>
      <c r="J5" s="204" t="s">
        <v>1441</v>
      </c>
      <c r="K5" s="207" t="s">
        <v>1442</v>
      </c>
    </row>
    <row r="6" spans="1:11" ht="84">
      <c r="A6" s="204">
        <v>4</v>
      </c>
      <c r="B6" s="208">
        <v>45518</v>
      </c>
      <c r="C6" s="265" t="s">
        <v>830</v>
      </c>
      <c r="D6" s="204">
        <v>2024</v>
      </c>
      <c r="E6" s="209" t="s">
        <v>1431</v>
      </c>
      <c r="F6" s="209" t="s">
        <v>1432</v>
      </c>
      <c r="G6" s="210" t="s">
        <v>88</v>
      </c>
      <c r="H6" s="211" t="s">
        <v>1443</v>
      </c>
      <c r="I6" s="156" t="s">
        <v>26</v>
      </c>
      <c r="J6" s="209" t="s">
        <v>59</v>
      </c>
      <c r="K6" s="211" t="s">
        <v>1444</v>
      </c>
    </row>
    <row r="7" spans="1:11" ht="117">
      <c r="A7" s="204">
        <v>5</v>
      </c>
      <c r="B7" s="205">
        <v>45518</v>
      </c>
      <c r="C7" s="265" t="s">
        <v>830</v>
      </c>
      <c r="D7" s="204">
        <v>2024</v>
      </c>
      <c r="E7" s="204" t="s">
        <v>1431</v>
      </c>
      <c r="F7" s="204" t="s">
        <v>1432</v>
      </c>
      <c r="G7" s="213" t="s">
        <v>821</v>
      </c>
      <c r="H7" s="207" t="s">
        <v>1445</v>
      </c>
      <c r="I7" s="156" t="s">
        <v>26</v>
      </c>
      <c r="J7" s="204" t="s">
        <v>59</v>
      </c>
      <c r="K7" s="207" t="s">
        <v>1446</v>
      </c>
    </row>
    <row r="8" spans="1:11" ht="100.5">
      <c r="A8" s="204">
        <v>6</v>
      </c>
      <c r="B8" s="208">
        <v>45518</v>
      </c>
      <c r="C8" s="265" t="s">
        <v>830</v>
      </c>
      <c r="D8" s="204">
        <v>2024</v>
      </c>
      <c r="E8" s="209" t="s">
        <v>1431</v>
      </c>
      <c r="F8" s="209" t="s">
        <v>1432</v>
      </c>
      <c r="G8" s="213" t="s">
        <v>821</v>
      </c>
      <c r="H8" s="211" t="s">
        <v>1447</v>
      </c>
      <c r="I8" s="156" t="s">
        <v>26</v>
      </c>
      <c r="J8" s="209" t="s">
        <v>59</v>
      </c>
      <c r="K8" s="211" t="s">
        <v>1448</v>
      </c>
    </row>
    <row r="9" spans="1:11" ht="117">
      <c r="A9" s="204">
        <v>7</v>
      </c>
      <c r="B9" s="205">
        <v>45518</v>
      </c>
      <c r="C9" s="265" t="s">
        <v>830</v>
      </c>
      <c r="D9" s="204">
        <v>2024</v>
      </c>
      <c r="E9" s="204" t="s">
        <v>1431</v>
      </c>
      <c r="F9" s="204" t="s">
        <v>1449</v>
      </c>
      <c r="G9" s="206" t="s">
        <v>88</v>
      </c>
      <c r="H9" s="207" t="s">
        <v>1450</v>
      </c>
      <c r="I9" s="156" t="s">
        <v>26</v>
      </c>
      <c r="J9" s="204" t="s">
        <v>1436</v>
      </c>
      <c r="K9" s="207" t="s">
        <v>1451</v>
      </c>
    </row>
    <row r="10" spans="1:11" ht="100.5">
      <c r="A10" s="204">
        <v>8</v>
      </c>
      <c r="B10" s="208">
        <v>45518</v>
      </c>
      <c r="C10" s="265" t="s">
        <v>830</v>
      </c>
      <c r="D10" s="204">
        <v>2024</v>
      </c>
      <c r="E10" s="209" t="s">
        <v>1431</v>
      </c>
      <c r="F10" s="209" t="s">
        <v>1449</v>
      </c>
      <c r="G10" s="210" t="s">
        <v>88</v>
      </c>
      <c r="H10" s="211" t="s">
        <v>1452</v>
      </c>
      <c r="I10" s="156" t="s">
        <v>26</v>
      </c>
      <c r="J10" s="209" t="s">
        <v>1453</v>
      </c>
      <c r="K10" s="211" t="s">
        <v>1454</v>
      </c>
    </row>
    <row r="11" spans="1:11" ht="117">
      <c r="A11" s="204">
        <v>9</v>
      </c>
      <c r="B11" s="205">
        <v>45518</v>
      </c>
      <c r="C11" s="265" t="s">
        <v>830</v>
      </c>
      <c r="D11" s="204">
        <v>2024</v>
      </c>
      <c r="E11" s="204" t="s">
        <v>1431</v>
      </c>
      <c r="F11" s="204" t="s">
        <v>988</v>
      </c>
      <c r="G11" s="206" t="s">
        <v>88</v>
      </c>
      <c r="H11" s="207" t="s">
        <v>1455</v>
      </c>
      <c r="I11" s="156" t="s">
        <v>26</v>
      </c>
      <c r="J11" s="204" t="s">
        <v>1436</v>
      </c>
      <c r="K11" s="207" t="s">
        <v>1451</v>
      </c>
    </row>
    <row r="12" spans="1:11" ht="33.75">
      <c r="A12" s="204">
        <v>10</v>
      </c>
      <c r="B12" s="208">
        <v>45518</v>
      </c>
      <c r="C12" s="265" t="s">
        <v>830</v>
      </c>
      <c r="D12" s="204">
        <v>2024</v>
      </c>
      <c r="E12" s="209" t="s">
        <v>1431</v>
      </c>
      <c r="F12" s="209" t="s">
        <v>1432</v>
      </c>
      <c r="G12" s="213" t="s">
        <v>821</v>
      </c>
      <c r="H12" s="211" t="s">
        <v>1456</v>
      </c>
      <c r="I12" s="156" t="s">
        <v>26</v>
      </c>
      <c r="J12" s="209" t="s">
        <v>149</v>
      </c>
      <c r="K12" s="211"/>
    </row>
    <row r="13" spans="1:11" ht="134.25">
      <c r="A13" s="204">
        <v>11</v>
      </c>
      <c r="B13" s="205">
        <v>45518</v>
      </c>
      <c r="C13" s="265" t="s">
        <v>830</v>
      </c>
      <c r="D13" s="204">
        <v>2024</v>
      </c>
      <c r="E13" s="204" t="s">
        <v>1431</v>
      </c>
      <c r="F13" s="204" t="s">
        <v>1438</v>
      </c>
      <c r="G13" s="212" t="s">
        <v>1439</v>
      </c>
      <c r="H13" s="207" t="s">
        <v>1457</v>
      </c>
      <c r="I13" s="156" t="s">
        <v>26</v>
      </c>
      <c r="J13" s="204" t="s">
        <v>1458</v>
      </c>
      <c r="K13" s="207" t="s">
        <v>1442</v>
      </c>
    </row>
    <row r="14" spans="1:11" ht="16.5">
      <c r="A14" s="204">
        <v>12</v>
      </c>
      <c r="B14" s="208">
        <v>45519</v>
      </c>
      <c r="C14" s="265" t="s">
        <v>830</v>
      </c>
      <c r="D14" s="204">
        <v>2024</v>
      </c>
      <c r="E14" s="209" t="s">
        <v>1431</v>
      </c>
      <c r="F14" s="209" t="s">
        <v>988</v>
      </c>
      <c r="G14" s="212" t="s">
        <v>1439</v>
      </c>
      <c r="H14" s="211" t="s">
        <v>1459</v>
      </c>
      <c r="I14" s="156" t="s">
        <v>26</v>
      </c>
      <c r="J14" s="209" t="s">
        <v>452</v>
      </c>
      <c r="K14" s="211"/>
    </row>
    <row r="15" spans="1:11" ht="134.25">
      <c r="A15" s="204">
        <v>13</v>
      </c>
      <c r="B15" s="205">
        <v>45519</v>
      </c>
      <c r="C15" s="265" t="s">
        <v>830</v>
      </c>
      <c r="D15" s="204">
        <v>2024</v>
      </c>
      <c r="E15" s="204" t="s">
        <v>1431</v>
      </c>
      <c r="F15" s="204" t="s">
        <v>1432</v>
      </c>
      <c r="G15" s="214" t="s">
        <v>859</v>
      </c>
      <c r="H15" s="207" t="s">
        <v>1460</v>
      </c>
      <c r="I15" s="156" t="s">
        <v>26</v>
      </c>
      <c r="J15" s="204" t="s">
        <v>1461</v>
      </c>
      <c r="K15" s="207" t="s">
        <v>1462</v>
      </c>
    </row>
    <row r="16" spans="1:11" ht="100.5">
      <c r="A16" s="204">
        <v>14</v>
      </c>
      <c r="B16" s="208">
        <v>45519</v>
      </c>
      <c r="C16" s="265" t="s">
        <v>830</v>
      </c>
      <c r="D16" s="204">
        <v>2024</v>
      </c>
      <c r="E16" s="209" t="s">
        <v>1431</v>
      </c>
      <c r="F16" s="209" t="s">
        <v>1432</v>
      </c>
      <c r="G16" s="213" t="s">
        <v>821</v>
      </c>
      <c r="H16" s="211" t="s">
        <v>1463</v>
      </c>
      <c r="I16" s="156" t="s">
        <v>26</v>
      </c>
      <c r="J16" s="209" t="s">
        <v>1436</v>
      </c>
      <c r="K16" s="211" t="s">
        <v>1448</v>
      </c>
    </row>
    <row r="17" spans="1:11" ht="117">
      <c r="A17" s="204">
        <v>15</v>
      </c>
      <c r="B17" s="205">
        <v>45519</v>
      </c>
      <c r="C17" s="265" t="s">
        <v>830</v>
      </c>
      <c r="D17" s="204">
        <v>2024</v>
      </c>
      <c r="E17" s="204" t="s">
        <v>1431</v>
      </c>
      <c r="F17" s="204" t="s">
        <v>1432</v>
      </c>
      <c r="G17" s="213" t="s">
        <v>821</v>
      </c>
      <c r="H17" s="207" t="s">
        <v>1464</v>
      </c>
      <c r="I17" s="156" t="s">
        <v>26</v>
      </c>
      <c r="J17" s="204" t="s">
        <v>149</v>
      </c>
      <c r="K17" s="207" t="s">
        <v>1446</v>
      </c>
    </row>
    <row r="18" spans="1:11" ht="100.5">
      <c r="A18" s="204">
        <v>16</v>
      </c>
      <c r="B18" s="208">
        <v>45520</v>
      </c>
      <c r="C18" s="265" t="s">
        <v>830</v>
      </c>
      <c r="D18" s="204">
        <v>2024</v>
      </c>
      <c r="E18" s="209" t="s">
        <v>1431</v>
      </c>
      <c r="F18" s="209" t="s">
        <v>88</v>
      </c>
      <c r="G18" s="210" t="s">
        <v>88</v>
      </c>
      <c r="H18" s="211" t="s">
        <v>1465</v>
      </c>
      <c r="I18" s="156" t="s">
        <v>26</v>
      </c>
      <c r="J18" s="209" t="s">
        <v>1466</v>
      </c>
      <c r="K18" s="211" t="s">
        <v>1467</v>
      </c>
    </row>
    <row r="19" spans="1:11" ht="100.5">
      <c r="A19" s="204">
        <v>17</v>
      </c>
      <c r="B19" s="205">
        <v>45520</v>
      </c>
      <c r="C19" s="265" t="s">
        <v>830</v>
      </c>
      <c r="D19" s="204">
        <v>2024</v>
      </c>
      <c r="E19" s="204" t="s">
        <v>1431</v>
      </c>
      <c r="F19" s="204" t="s">
        <v>88</v>
      </c>
      <c r="G19" s="215" t="s">
        <v>872</v>
      </c>
      <c r="H19" s="207" t="s">
        <v>1468</v>
      </c>
      <c r="I19" s="156" t="s">
        <v>26</v>
      </c>
      <c r="J19" s="204" t="s">
        <v>1469</v>
      </c>
      <c r="K19" s="207" t="s">
        <v>1454</v>
      </c>
    </row>
    <row r="20" spans="1:11" ht="100.5">
      <c r="A20" s="204">
        <v>18</v>
      </c>
      <c r="B20" s="208">
        <v>45520</v>
      </c>
      <c r="C20" s="265" t="s">
        <v>830</v>
      </c>
      <c r="D20" s="204">
        <v>2024</v>
      </c>
      <c r="E20" s="209" t="s">
        <v>1431</v>
      </c>
      <c r="F20" s="209" t="s">
        <v>1449</v>
      </c>
      <c r="G20" s="210" t="s">
        <v>88</v>
      </c>
      <c r="H20" s="211" t="s">
        <v>1470</v>
      </c>
      <c r="I20" s="156" t="s">
        <v>26</v>
      </c>
      <c r="J20" s="209" t="s">
        <v>1471</v>
      </c>
      <c r="K20" s="211" t="s">
        <v>1472</v>
      </c>
    </row>
    <row r="21" spans="1:11" ht="100.5">
      <c r="A21" s="204">
        <v>19</v>
      </c>
      <c r="B21" s="205">
        <v>45520</v>
      </c>
      <c r="C21" s="265" t="s">
        <v>830</v>
      </c>
      <c r="D21" s="204">
        <v>2024</v>
      </c>
      <c r="E21" s="204" t="s">
        <v>1431</v>
      </c>
      <c r="F21" s="204" t="s">
        <v>1473</v>
      </c>
      <c r="G21" s="214" t="s">
        <v>859</v>
      </c>
      <c r="H21" s="207" t="s">
        <v>1474</v>
      </c>
      <c r="I21" s="156" t="s">
        <v>26</v>
      </c>
      <c r="J21" s="204" t="s">
        <v>1475</v>
      </c>
      <c r="K21" s="207" t="s">
        <v>1476</v>
      </c>
    </row>
    <row r="22" spans="1:11" ht="100.5">
      <c r="A22" s="204">
        <v>20</v>
      </c>
      <c r="B22" s="208">
        <v>45520</v>
      </c>
      <c r="C22" s="265" t="s">
        <v>830</v>
      </c>
      <c r="D22" s="204">
        <v>2024</v>
      </c>
      <c r="E22" s="209" t="s">
        <v>1431</v>
      </c>
      <c r="F22" s="209" t="s">
        <v>1449</v>
      </c>
      <c r="G22" s="210" t="s">
        <v>88</v>
      </c>
      <c r="H22" s="211" t="s">
        <v>1477</v>
      </c>
      <c r="I22" s="156" t="s">
        <v>26</v>
      </c>
      <c r="J22" s="209" t="s">
        <v>1436</v>
      </c>
      <c r="K22" s="211" t="s">
        <v>1478</v>
      </c>
    </row>
    <row r="23" spans="1:11" ht="134.25">
      <c r="A23" s="204">
        <v>21</v>
      </c>
      <c r="B23" s="205">
        <v>45523</v>
      </c>
      <c r="C23" s="265" t="s">
        <v>830</v>
      </c>
      <c r="D23" s="204">
        <v>2024</v>
      </c>
      <c r="E23" s="204" t="s">
        <v>1431</v>
      </c>
      <c r="F23" s="204" t="s">
        <v>1438</v>
      </c>
      <c r="G23" s="213" t="s">
        <v>821</v>
      </c>
      <c r="H23" s="207" t="s">
        <v>1479</v>
      </c>
      <c r="I23" s="156" t="s">
        <v>26</v>
      </c>
      <c r="J23" s="204" t="s">
        <v>1436</v>
      </c>
      <c r="K23" s="207" t="s">
        <v>1480</v>
      </c>
    </row>
    <row r="24" spans="1:11" ht="117">
      <c r="A24" s="204">
        <v>22</v>
      </c>
      <c r="B24" s="208">
        <v>45523</v>
      </c>
      <c r="C24" s="265" t="s">
        <v>830</v>
      </c>
      <c r="D24" s="204">
        <v>2024</v>
      </c>
      <c r="E24" s="209" t="s">
        <v>1431</v>
      </c>
      <c r="F24" s="209" t="s">
        <v>1432</v>
      </c>
      <c r="G24" s="213" t="s">
        <v>821</v>
      </c>
      <c r="H24" s="211" t="s">
        <v>1481</v>
      </c>
      <c r="I24" s="156" t="s">
        <v>26</v>
      </c>
      <c r="J24" s="209" t="s">
        <v>149</v>
      </c>
      <c r="K24" s="211" t="s">
        <v>1482</v>
      </c>
    </row>
    <row r="25" spans="1:11" ht="134.25">
      <c r="A25" s="204">
        <v>23</v>
      </c>
      <c r="B25" s="205">
        <v>45523</v>
      </c>
      <c r="C25" s="265" t="s">
        <v>830</v>
      </c>
      <c r="D25" s="204">
        <v>2024</v>
      </c>
      <c r="E25" s="204" t="s">
        <v>1431</v>
      </c>
      <c r="F25" s="204" t="s">
        <v>1432</v>
      </c>
      <c r="G25" s="212" t="s">
        <v>1439</v>
      </c>
      <c r="H25" s="207" t="s">
        <v>1483</v>
      </c>
      <c r="I25" s="156" t="s">
        <v>26</v>
      </c>
      <c r="J25" s="204" t="s">
        <v>1458</v>
      </c>
      <c r="K25" s="207" t="s">
        <v>1442</v>
      </c>
    </row>
    <row r="26" spans="1:11" ht="33.75">
      <c r="A26" s="204">
        <v>24</v>
      </c>
      <c r="B26" s="208">
        <v>45524</v>
      </c>
      <c r="C26" s="265" t="s">
        <v>830</v>
      </c>
      <c r="D26" s="204">
        <v>2024</v>
      </c>
      <c r="E26" s="209" t="s">
        <v>1431</v>
      </c>
      <c r="F26" s="209" t="s">
        <v>1300</v>
      </c>
      <c r="G26" s="210" t="s">
        <v>88</v>
      </c>
      <c r="H26" s="211" t="s">
        <v>1484</v>
      </c>
      <c r="I26" s="156" t="s">
        <v>26</v>
      </c>
      <c r="J26" s="209" t="s">
        <v>452</v>
      </c>
      <c r="K26" s="211"/>
    </row>
    <row r="27" spans="1:11" ht="100.5">
      <c r="A27" s="204">
        <v>25</v>
      </c>
      <c r="B27" s="205">
        <v>45524</v>
      </c>
      <c r="C27" s="265" t="s">
        <v>830</v>
      </c>
      <c r="D27" s="204">
        <v>2024</v>
      </c>
      <c r="E27" s="204" t="s">
        <v>1431</v>
      </c>
      <c r="F27" s="204" t="s">
        <v>1432</v>
      </c>
      <c r="G27" s="213" t="s">
        <v>821</v>
      </c>
      <c r="H27" s="207" t="s">
        <v>1485</v>
      </c>
      <c r="I27" s="156" t="s">
        <v>26</v>
      </c>
      <c r="J27" s="204" t="s">
        <v>59</v>
      </c>
      <c r="K27" s="207" t="s">
        <v>1486</v>
      </c>
    </row>
    <row r="28" spans="1:11" ht="100.5">
      <c r="A28" s="204">
        <v>26</v>
      </c>
      <c r="B28" s="208">
        <v>45524</v>
      </c>
      <c r="C28" s="265" t="s">
        <v>830</v>
      </c>
      <c r="D28" s="204">
        <v>2024</v>
      </c>
      <c r="E28" s="209" t="s">
        <v>1431</v>
      </c>
      <c r="F28" s="209" t="s">
        <v>1432</v>
      </c>
      <c r="G28" s="213" t="s">
        <v>821</v>
      </c>
      <c r="H28" s="211" t="s">
        <v>1487</v>
      </c>
      <c r="I28" s="156" t="s">
        <v>26</v>
      </c>
      <c r="J28" s="209" t="s">
        <v>59</v>
      </c>
      <c r="K28" s="211" t="s">
        <v>1486</v>
      </c>
    </row>
    <row r="29" spans="1:11" ht="117">
      <c r="A29" s="204">
        <v>27</v>
      </c>
      <c r="B29" s="205">
        <v>45524</v>
      </c>
      <c r="C29" s="265" t="s">
        <v>830</v>
      </c>
      <c r="D29" s="204">
        <v>2024</v>
      </c>
      <c r="E29" s="204" t="s">
        <v>1431</v>
      </c>
      <c r="F29" s="204" t="s">
        <v>1432</v>
      </c>
      <c r="G29" s="213" t="s">
        <v>821</v>
      </c>
      <c r="H29" s="207" t="s">
        <v>1488</v>
      </c>
      <c r="I29" s="156" t="s">
        <v>26</v>
      </c>
      <c r="J29" s="204" t="s">
        <v>59</v>
      </c>
      <c r="K29" s="207" t="s">
        <v>1482</v>
      </c>
    </row>
    <row r="30" spans="1:11" ht="100.5">
      <c r="A30" s="204">
        <v>28</v>
      </c>
      <c r="B30" s="208">
        <v>45524</v>
      </c>
      <c r="C30" s="265" t="s">
        <v>830</v>
      </c>
      <c r="D30" s="204">
        <v>2024</v>
      </c>
      <c r="E30" s="209" t="s">
        <v>1431</v>
      </c>
      <c r="F30" s="209" t="s">
        <v>1432</v>
      </c>
      <c r="G30" s="212" t="s">
        <v>1439</v>
      </c>
      <c r="H30" s="211" t="s">
        <v>1489</v>
      </c>
      <c r="I30" s="156" t="s">
        <v>26</v>
      </c>
      <c r="J30" s="209" t="s">
        <v>1490</v>
      </c>
      <c r="K30" s="211"/>
    </row>
    <row r="31" spans="1:11" ht="84">
      <c r="A31" s="204">
        <v>29</v>
      </c>
      <c r="B31" s="205">
        <v>45524</v>
      </c>
      <c r="C31" s="265" t="s">
        <v>830</v>
      </c>
      <c r="D31" s="204">
        <v>2024</v>
      </c>
      <c r="E31" s="204" t="s">
        <v>1431</v>
      </c>
      <c r="F31" s="204" t="s">
        <v>1491</v>
      </c>
      <c r="G31" s="206" t="s">
        <v>88</v>
      </c>
      <c r="H31" s="207" t="s">
        <v>1492</v>
      </c>
      <c r="I31" s="156" t="s">
        <v>26</v>
      </c>
      <c r="J31" s="204" t="s">
        <v>1493</v>
      </c>
      <c r="K31" s="207" t="s">
        <v>1444</v>
      </c>
    </row>
    <row r="32" spans="1:11" ht="33.75">
      <c r="A32" s="204">
        <v>30</v>
      </c>
      <c r="B32" s="208">
        <v>45524</v>
      </c>
      <c r="C32" s="265" t="s">
        <v>830</v>
      </c>
      <c r="D32" s="204">
        <v>2024</v>
      </c>
      <c r="E32" s="209" t="s">
        <v>1431</v>
      </c>
      <c r="F32" s="209" t="s">
        <v>1432</v>
      </c>
      <c r="G32" s="213" t="s">
        <v>821</v>
      </c>
      <c r="H32" s="211" t="s">
        <v>1494</v>
      </c>
      <c r="I32" s="156" t="s">
        <v>26</v>
      </c>
      <c r="J32" s="209" t="s">
        <v>59</v>
      </c>
      <c r="K32" s="211"/>
    </row>
    <row r="33" spans="1:11" ht="134.25">
      <c r="A33" s="204">
        <v>31</v>
      </c>
      <c r="B33" s="205">
        <v>45525</v>
      </c>
      <c r="C33" s="265" t="s">
        <v>830</v>
      </c>
      <c r="D33" s="204">
        <v>2024</v>
      </c>
      <c r="E33" s="204" t="s">
        <v>1431</v>
      </c>
      <c r="F33" s="204" t="s">
        <v>1495</v>
      </c>
      <c r="G33" s="214" t="s">
        <v>859</v>
      </c>
      <c r="H33" s="207" t="s">
        <v>1496</v>
      </c>
      <c r="I33" s="156" t="s">
        <v>26</v>
      </c>
      <c r="J33" s="204" t="s">
        <v>1436</v>
      </c>
      <c r="K33" s="207" t="s">
        <v>1497</v>
      </c>
    </row>
    <row r="34" spans="1:11" ht="117">
      <c r="A34" s="204">
        <v>32</v>
      </c>
      <c r="B34" s="208">
        <v>45525</v>
      </c>
      <c r="C34" s="265" t="s">
        <v>830</v>
      </c>
      <c r="D34" s="204">
        <v>2024</v>
      </c>
      <c r="E34" s="209" t="s">
        <v>1431</v>
      </c>
      <c r="F34" s="209" t="s">
        <v>1432</v>
      </c>
      <c r="G34" s="213" t="s">
        <v>821</v>
      </c>
      <c r="H34" s="211" t="s">
        <v>1498</v>
      </c>
      <c r="I34" s="156" t="s">
        <v>26</v>
      </c>
      <c r="J34" s="209" t="s">
        <v>59</v>
      </c>
      <c r="K34" s="211" t="s">
        <v>1446</v>
      </c>
    </row>
    <row r="35" spans="1:11" ht="84">
      <c r="A35" s="204">
        <v>33</v>
      </c>
      <c r="B35" s="205">
        <v>45525</v>
      </c>
      <c r="C35" s="265" t="s">
        <v>830</v>
      </c>
      <c r="D35" s="204">
        <v>2024</v>
      </c>
      <c r="E35" s="204" t="s">
        <v>1431</v>
      </c>
      <c r="F35" s="204" t="s">
        <v>988</v>
      </c>
      <c r="G35" s="206" t="s">
        <v>88</v>
      </c>
      <c r="H35" s="207" t="s">
        <v>1499</v>
      </c>
      <c r="I35" s="156" t="s">
        <v>26</v>
      </c>
      <c r="J35" s="204" t="s">
        <v>910</v>
      </c>
      <c r="K35" s="207" t="s">
        <v>1500</v>
      </c>
    </row>
    <row r="36" spans="1:11" ht="134.25">
      <c r="A36" s="204">
        <v>34</v>
      </c>
      <c r="B36" s="208">
        <v>45525</v>
      </c>
      <c r="C36" s="265" t="s">
        <v>830</v>
      </c>
      <c r="D36" s="204">
        <v>2024</v>
      </c>
      <c r="E36" s="209" t="s">
        <v>1431</v>
      </c>
      <c r="F36" s="209" t="s">
        <v>1432</v>
      </c>
      <c r="G36" s="212" t="s">
        <v>1439</v>
      </c>
      <c r="H36" s="211" t="s">
        <v>1501</v>
      </c>
      <c r="I36" s="156" t="s">
        <v>26</v>
      </c>
      <c r="J36" s="209" t="s">
        <v>59</v>
      </c>
      <c r="K36" s="211" t="s">
        <v>1502</v>
      </c>
    </row>
    <row r="37" spans="1:11" ht="84">
      <c r="A37" s="204">
        <v>35</v>
      </c>
      <c r="B37" s="205">
        <v>45526</v>
      </c>
      <c r="C37" s="265" t="s">
        <v>830</v>
      </c>
      <c r="D37" s="204">
        <v>2024</v>
      </c>
      <c r="E37" s="204" t="s">
        <v>1431</v>
      </c>
      <c r="F37" s="204" t="s">
        <v>574</v>
      </c>
      <c r="G37" s="206" t="s">
        <v>88</v>
      </c>
      <c r="H37" s="207" t="s">
        <v>1503</v>
      </c>
      <c r="I37" s="156" t="s">
        <v>26</v>
      </c>
      <c r="J37" s="204" t="s">
        <v>1436</v>
      </c>
      <c r="K37" s="207"/>
    </row>
    <row r="38" spans="1:11" ht="117">
      <c r="A38" s="204">
        <v>36</v>
      </c>
      <c r="B38" s="208">
        <v>45526</v>
      </c>
      <c r="C38" s="265" t="s">
        <v>830</v>
      </c>
      <c r="D38" s="204">
        <v>2024</v>
      </c>
      <c r="E38" s="209" t="s">
        <v>1431</v>
      </c>
      <c r="F38" s="209" t="s">
        <v>1504</v>
      </c>
      <c r="G38" s="213" t="s">
        <v>821</v>
      </c>
      <c r="H38" s="211" t="s">
        <v>1505</v>
      </c>
      <c r="I38" s="156" t="s">
        <v>26</v>
      </c>
      <c r="J38" s="209" t="s">
        <v>59</v>
      </c>
      <c r="K38" s="211" t="s">
        <v>1446</v>
      </c>
    </row>
    <row r="39" spans="1:11" ht="84">
      <c r="A39" s="204">
        <v>37</v>
      </c>
      <c r="B39" s="205">
        <v>45526</v>
      </c>
      <c r="C39" s="265" t="s">
        <v>830</v>
      </c>
      <c r="D39" s="204">
        <v>2024</v>
      </c>
      <c r="E39" s="204" t="s">
        <v>1431</v>
      </c>
      <c r="F39" s="204" t="s">
        <v>1506</v>
      </c>
      <c r="G39" s="206" t="s">
        <v>88</v>
      </c>
      <c r="H39" s="207" t="s">
        <v>1507</v>
      </c>
      <c r="I39" s="156" t="s">
        <v>26</v>
      </c>
      <c r="J39" s="204" t="s">
        <v>1436</v>
      </c>
      <c r="K39" s="207" t="s">
        <v>1500</v>
      </c>
    </row>
    <row r="40" spans="1:11" ht="117">
      <c r="A40" s="204">
        <v>38</v>
      </c>
      <c r="B40" s="208">
        <v>45526</v>
      </c>
      <c r="C40" s="265" t="s">
        <v>830</v>
      </c>
      <c r="D40" s="204">
        <v>2024</v>
      </c>
      <c r="E40" s="209" t="s">
        <v>1431</v>
      </c>
      <c r="F40" s="209" t="s">
        <v>1508</v>
      </c>
      <c r="G40" s="210" t="s">
        <v>88</v>
      </c>
      <c r="H40" s="211" t="s">
        <v>1509</v>
      </c>
      <c r="I40" s="156" t="s">
        <v>26</v>
      </c>
      <c r="J40" s="209" t="s">
        <v>1436</v>
      </c>
      <c r="K40" s="211" t="s">
        <v>1510</v>
      </c>
    </row>
    <row r="41" spans="1:11" ht="150.75">
      <c r="A41" s="204">
        <v>39</v>
      </c>
      <c r="B41" s="205">
        <v>45526</v>
      </c>
      <c r="C41" s="265" t="s">
        <v>830</v>
      </c>
      <c r="D41" s="204">
        <v>2024</v>
      </c>
      <c r="E41" s="204" t="s">
        <v>1431</v>
      </c>
      <c r="F41" s="204" t="s">
        <v>1511</v>
      </c>
      <c r="G41" s="213" t="s">
        <v>821</v>
      </c>
      <c r="H41" s="207" t="s">
        <v>1512</v>
      </c>
      <c r="I41" s="156" t="s">
        <v>26</v>
      </c>
      <c r="J41" s="204" t="s">
        <v>59</v>
      </c>
      <c r="K41" s="207" t="s">
        <v>1513</v>
      </c>
    </row>
    <row r="42" spans="1:11" ht="100.5">
      <c r="A42" s="204">
        <v>40</v>
      </c>
      <c r="B42" s="208">
        <v>45526</v>
      </c>
      <c r="C42" s="265" t="s">
        <v>830</v>
      </c>
      <c r="D42" s="204">
        <v>2024</v>
      </c>
      <c r="E42" s="209" t="s">
        <v>1431</v>
      </c>
      <c r="F42" s="209" t="s">
        <v>913</v>
      </c>
      <c r="G42" s="216" t="s">
        <v>872</v>
      </c>
      <c r="H42" s="211" t="s">
        <v>1514</v>
      </c>
      <c r="I42" s="156" t="s">
        <v>26</v>
      </c>
      <c r="J42" s="209" t="s">
        <v>1441</v>
      </c>
      <c r="K42" s="211" t="s">
        <v>1454</v>
      </c>
    </row>
    <row r="43" spans="1:11" ht="100.5">
      <c r="A43" s="204">
        <v>41</v>
      </c>
      <c r="B43" s="205">
        <v>45526</v>
      </c>
      <c r="C43" s="265" t="s">
        <v>830</v>
      </c>
      <c r="D43" s="204">
        <v>2024</v>
      </c>
      <c r="E43" s="204" t="s">
        <v>1431</v>
      </c>
      <c r="F43" s="204" t="s">
        <v>1432</v>
      </c>
      <c r="G43" s="212" t="s">
        <v>1439</v>
      </c>
      <c r="H43" s="207" t="s">
        <v>1515</v>
      </c>
      <c r="I43" s="156" t="s">
        <v>26</v>
      </c>
      <c r="J43" s="204" t="s">
        <v>59</v>
      </c>
      <c r="K43" s="207"/>
    </row>
    <row r="44" spans="1:11" ht="100.5">
      <c r="A44" s="204">
        <v>42</v>
      </c>
      <c r="B44" s="208">
        <v>45530</v>
      </c>
      <c r="C44" s="265" t="s">
        <v>830</v>
      </c>
      <c r="D44" s="204">
        <v>2024</v>
      </c>
      <c r="E44" s="209" t="s">
        <v>1431</v>
      </c>
      <c r="F44" s="209" t="s">
        <v>988</v>
      </c>
      <c r="G44" s="210" t="s">
        <v>88</v>
      </c>
      <c r="H44" s="211" t="s">
        <v>1516</v>
      </c>
      <c r="I44" s="156" t="s">
        <v>26</v>
      </c>
      <c r="J44" s="209" t="s">
        <v>1436</v>
      </c>
      <c r="K44" s="211" t="s">
        <v>1472</v>
      </c>
    </row>
    <row r="45" spans="1:11" ht="150.75">
      <c r="A45" s="204">
        <v>43</v>
      </c>
      <c r="B45" s="205">
        <v>45530</v>
      </c>
      <c r="C45" s="265" t="s">
        <v>830</v>
      </c>
      <c r="D45" s="204">
        <v>2024</v>
      </c>
      <c r="E45" s="204" t="s">
        <v>1431</v>
      </c>
      <c r="F45" s="204" t="s">
        <v>1506</v>
      </c>
      <c r="G45" s="213" t="s">
        <v>821</v>
      </c>
      <c r="H45" s="207" t="s">
        <v>1517</v>
      </c>
      <c r="I45" s="156" t="s">
        <v>26</v>
      </c>
      <c r="J45" s="204" t="s">
        <v>59</v>
      </c>
      <c r="K45" s="207" t="s">
        <v>1513</v>
      </c>
    </row>
    <row r="46" spans="1:11" ht="84">
      <c r="A46" s="204">
        <v>44</v>
      </c>
      <c r="B46" s="208">
        <v>45530</v>
      </c>
      <c r="C46" s="265" t="s">
        <v>830</v>
      </c>
      <c r="D46" s="204">
        <v>2024</v>
      </c>
      <c r="E46" s="209" t="s">
        <v>1431</v>
      </c>
      <c r="F46" s="209" t="s">
        <v>1518</v>
      </c>
      <c r="G46" s="213" t="s">
        <v>821</v>
      </c>
      <c r="H46" s="211" t="s">
        <v>1519</v>
      </c>
      <c r="I46" s="156" t="s">
        <v>26</v>
      </c>
      <c r="J46" s="209" t="s">
        <v>1493</v>
      </c>
      <c r="K46" s="211" t="s">
        <v>1444</v>
      </c>
    </row>
    <row r="47" spans="1:11" ht="117">
      <c r="A47" s="204">
        <v>45</v>
      </c>
      <c r="B47" s="205">
        <v>45530</v>
      </c>
      <c r="C47" s="265" t="s">
        <v>830</v>
      </c>
      <c r="D47" s="204">
        <v>2024</v>
      </c>
      <c r="E47" s="204" t="s">
        <v>1431</v>
      </c>
      <c r="F47" s="204" t="s">
        <v>1520</v>
      </c>
      <c r="G47" s="206" t="s">
        <v>88</v>
      </c>
      <c r="H47" s="207" t="s">
        <v>1521</v>
      </c>
      <c r="I47" s="156" t="s">
        <v>26</v>
      </c>
      <c r="J47" s="204" t="s">
        <v>1436</v>
      </c>
      <c r="K47" s="207" t="s">
        <v>1522</v>
      </c>
    </row>
    <row r="48" spans="1:11" ht="134.25">
      <c r="A48" s="204">
        <v>46</v>
      </c>
      <c r="B48" s="208">
        <v>45530</v>
      </c>
      <c r="C48" s="265" t="s">
        <v>830</v>
      </c>
      <c r="D48" s="204">
        <v>2024</v>
      </c>
      <c r="E48" s="209" t="s">
        <v>1431</v>
      </c>
      <c r="F48" s="209" t="s">
        <v>1432</v>
      </c>
      <c r="G48" s="212" t="s">
        <v>1439</v>
      </c>
      <c r="H48" s="211" t="s">
        <v>1523</v>
      </c>
      <c r="I48" s="156" t="s">
        <v>26</v>
      </c>
      <c r="J48" s="209" t="s">
        <v>59</v>
      </c>
      <c r="K48" s="211" t="s">
        <v>1502</v>
      </c>
    </row>
    <row r="49" spans="1:11" ht="100.5">
      <c r="A49" s="204">
        <v>47</v>
      </c>
      <c r="B49" s="205">
        <v>45530</v>
      </c>
      <c r="C49" s="265" t="s">
        <v>830</v>
      </c>
      <c r="D49" s="204">
        <v>2024</v>
      </c>
      <c r="E49" s="204" t="s">
        <v>1431</v>
      </c>
      <c r="F49" s="204" t="s">
        <v>924</v>
      </c>
      <c r="G49" s="206" t="s">
        <v>88</v>
      </c>
      <c r="H49" s="207" t="s">
        <v>1524</v>
      </c>
      <c r="I49" s="156" t="s">
        <v>26</v>
      </c>
      <c r="J49" s="204" t="s">
        <v>1525</v>
      </c>
      <c r="K49" s="207" t="s">
        <v>1478</v>
      </c>
    </row>
    <row r="50" spans="1:11" ht="33.75">
      <c r="A50" s="204">
        <v>48</v>
      </c>
      <c r="B50" s="208">
        <v>45531</v>
      </c>
      <c r="C50" s="265" t="s">
        <v>830</v>
      </c>
      <c r="D50" s="204">
        <v>2024</v>
      </c>
      <c r="E50" s="209" t="s">
        <v>1431</v>
      </c>
      <c r="F50" s="209" t="s">
        <v>1506</v>
      </c>
      <c r="G50" s="213" t="s">
        <v>821</v>
      </c>
      <c r="H50" s="211" t="s">
        <v>1526</v>
      </c>
      <c r="I50" s="156" t="s">
        <v>26</v>
      </c>
      <c r="J50" s="209" t="s">
        <v>59</v>
      </c>
      <c r="K50" s="211"/>
    </row>
    <row r="51" spans="1:11" ht="50.25">
      <c r="A51" s="204">
        <v>49</v>
      </c>
      <c r="B51" s="205">
        <v>45531</v>
      </c>
      <c r="C51" s="265" t="s">
        <v>830</v>
      </c>
      <c r="D51" s="204">
        <v>2024</v>
      </c>
      <c r="E51" s="204" t="s">
        <v>1431</v>
      </c>
      <c r="F51" s="204" t="s">
        <v>1506</v>
      </c>
      <c r="G51" s="206" t="s">
        <v>88</v>
      </c>
      <c r="H51" s="207" t="s">
        <v>1527</v>
      </c>
      <c r="I51" s="156" t="s">
        <v>26</v>
      </c>
      <c r="J51" s="204" t="s">
        <v>59</v>
      </c>
      <c r="K51" s="207"/>
    </row>
    <row r="52" spans="1:11" ht="100.5">
      <c r="A52" s="204">
        <v>50</v>
      </c>
      <c r="B52" s="208">
        <v>45531</v>
      </c>
      <c r="C52" s="265" t="s">
        <v>830</v>
      </c>
      <c r="D52" s="204">
        <v>2024</v>
      </c>
      <c r="E52" s="209" t="s">
        <v>1431</v>
      </c>
      <c r="F52" s="209" t="s">
        <v>1528</v>
      </c>
      <c r="G52" s="210" t="s">
        <v>88</v>
      </c>
      <c r="H52" s="211" t="s">
        <v>1529</v>
      </c>
      <c r="I52" s="156" t="s">
        <v>26</v>
      </c>
      <c r="J52" s="209" t="s">
        <v>1436</v>
      </c>
      <c r="K52" s="211" t="s">
        <v>1454</v>
      </c>
    </row>
    <row r="53" spans="1:11" ht="100.5">
      <c r="A53" s="204">
        <v>51</v>
      </c>
      <c r="B53" s="205">
        <v>45531</v>
      </c>
      <c r="C53" s="265" t="s">
        <v>830</v>
      </c>
      <c r="D53" s="204">
        <v>2024</v>
      </c>
      <c r="E53" s="204" t="s">
        <v>1431</v>
      </c>
      <c r="F53" s="204" t="s">
        <v>1511</v>
      </c>
      <c r="G53" s="214" t="s">
        <v>859</v>
      </c>
      <c r="H53" s="207" t="s">
        <v>1530</v>
      </c>
      <c r="I53" s="156" t="s">
        <v>26</v>
      </c>
      <c r="J53" s="204" t="s">
        <v>1436</v>
      </c>
      <c r="K53" s="207" t="s">
        <v>1476</v>
      </c>
    </row>
    <row r="54" spans="1:11" ht="117">
      <c r="A54" s="204">
        <v>52</v>
      </c>
      <c r="B54" s="208">
        <v>45531</v>
      </c>
      <c r="C54" s="265" t="s">
        <v>830</v>
      </c>
      <c r="D54" s="204">
        <v>2024</v>
      </c>
      <c r="E54" s="209" t="s">
        <v>1431</v>
      </c>
      <c r="F54" s="209" t="s">
        <v>1520</v>
      </c>
      <c r="G54" s="210" t="s">
        <v>88</v>
      </c>
      <c r="H54" s="211" t="s">
        <v>1531</v>
      </c>
      <c r="I54" s="156" t="s">
        <v>26</v>
      </c>
      <c r="J54" s="209" t="s">
        <v>1436</v>
      </c>
      <c r="K54" s="211" t="s">
        <v>1522</v>
      </c>
    </row>
    <row r="55" spans="1:11" ht="134.25">
      <c r="A55" s="204">
        <v>53</v>
      </c>
      <c r="B55" s="205">
        <v>45531</v>
      </c>
      <c r="C55" s="265" t="s">
        <v>830</v>
      </c>
      <c r="D55" s="204">
        <v>2024</v>
      </c>
      <c r="E55" s="204" t="s">
        <v>1431</v>
      </c>
      <c r="F55" s="204" t="s">
        <v>1511</v>
      </c>
      <c r="G55" s="214" t="s">
        <v>859</v>
      </c>
      <c r="H55" s="207" t="s">
        <v>1532</v>
      </c>
      <c r="I55" s="156" t="s">
        <v>26</v>
      </c>
      <c r="J55" s="204" t="s">
        <v>1436</v>
      </c>
      <c r="K55" s="207" t="s">
        <v>1497</v>
      </c>
    </row>
    <row r="56" spans="1:11" ht="84">
      <c r="A56" s="204">
        <v>54</v>
      </c>
      <c r="B56" s="208">
        <v>45532</v>
      </c>
      <c r="C56" s="265" t="s">
        <v>830</v>
      </c>
      <c r="D56" s="204">
        <v>2024</v>
      </c>
      <c r="E56" s="209" t="s">
        <v>1431</v>
      </c>
      <c r="F56" s="209" t="s">
        <v>1506</v>
      </c>
      <c r="G56" s="210" t="s">
        <v>88</v>
      </c>
      <c r="H56" s="211" t="s">
        <v>1533</v>
      </c>
      <c r="I56" s="156" t="s">
        <v>26</v>
      </c>
      <c r="J56" s="209" t="s">
        <v>1453</v>
      </c>
      <c r="K56" s="211" t="s">
        <v>1500</v>
      </c>
    </row>
    <row r="57" spans="1:11" ht="84">
      <c r="A57" s="204">
        <v>55</v>
      </c>
      <c r="B57" s="205">
        <v>45532</v>
      </c>
      <c r="C57" s="265" t="s">
        <v>830</v>
      </c>
      <c r="D57" s="204">
        <v>2024</v>
      </c>
      <c r="E57" s="204" t="s">
        <v>1431</v>
      </c>
      <c r="F57" s="204" t="s">
        <v>1518</v>
      </c>
      <c r="G57" s="206" t="s">
        <v>88</v>
      </c>
      <c r="H57" s="207" t="s">
        <v>1534</v>
      </c>
      <c r="I57" s="156" t="s">
        <v>26</v>
      </c>
      <c r="J57" s="204" t="s">
        <v>1493</v>
      </c>
      <c r="K57" s="207" t="s">
        <v>1444</v>
      </c>
    </row>
    <row r="58" spans="1:11" ht="84">
      <c r="A58" s="204">
        <v>56</v>
      </c>
      <c r="B58" s="208">
        <v>45532</v>
      </c>
      <c r="C58" s="265" t="s">
        <v>830</v>
      </c>
      <c r="D58" s="204">
        <v>2024</v>
      </c>
      <c r="E58" s="209" t="s">
        <v>1431</v>
      </c>
      <c r="F58" s="209" t="s">
        <v>1528</v>
      </c>
      <c r="G58" s="216" t="s">
        <v>872</v>
      </c>
      <c r="H58" s="211" t="s">
        <v>1535</v>
      </c>
      <c r="I58" s="156" t="s">
        <v>26</v>
      </c>
      <c r="J58" s="209" t="s">
        <v>1436</v>
      </c>
      <c r="K58" s="211" t="s">
        <v>1500</v>
      </c>
    </row>
    <row r="59" spans="1:11" ht="100.5">
      <c r="A59" s="204">
        <v>57</v>
      </c>
      <c r="B59" s="205">
        <v>45532</v>
      </c>
      <c r="C59" s="265" t="s">
        <v>830</v>
      </c>
      <c r="D59" s="204">
        <v>2024</v>
      </c>
      <c r="E59" s="204" t="s">
        <v>1431</v>
      </c>
      <c r="F59" s="204" t="s">
        <v>574</v>
      </c>
      <c r="G59" s="206" t="s">
        <v>88</v>
      </c>
      <c r="H59" s="207" t="s">
        <v>1536</v>
      </c>
      <c r="I59" s="156" t="s">
        <v>26</v>
      </c>
      <c r="J59" s="204" t="s">
        <v>1537</v>
      </c>
      <c r="K59" s="207" t="s">
        <v>1472</v>
      </c>
    </row>
    <row r="60" spans="1:11" ht="100.5">
      <c r="A60" s="204">
        <v>58</v>
      </c>
      <c r="B60" s="208">
        <v>45532</v>
      </c>
      <c r="C60" s="265" t="s">
        <v>830</v>
      </c>
      <c r="D60" s="204">
        <v>2024</v>
      </c>
      <c r="E60" s="209" t="s">
        <v>1431</v>
      </c>
      <c r="F60" s="209" t="s">
        <v>1432</v>
      </c>
      <c r="G60" s="213" t="s">
        <v>821</v>
      </c>
      <c r="H60" s="211" t="s">
        <v>1538</v>
      </c>
      <c r="I60" s="156" t="s">
        <v>26</v>
      </c>
      <c r="J60" s="209" t="s">
        <v>59</v>
      </c>
      <c r="K60" s="211" t="s">
        <v>1486</v>
      </c>
    </row>
    <row r="61" spans="1:11" ht="134.25">
      <c r="A61" s="204">
        <v>59</v>
      </c>
      <c r="B61" s="205">
        <v>45532</v>
      </c>
      <c r="C61" s="265" t="s">
        <v>830</v>
      </c>
      <c r="D61" s="204">
        <v>2024</v>
      </c>
      <c r="E61" s="204" t="s">
        <v>1431</v>
      </c>
      <c r="F61" s="204" t="s">
        <v>1539</v>
      </c>
      <c r="G61" s="215" t="s">
        <v>872</v>
      </c>
      <c r="H61" s="207" t="s">
        <v>1540</v>
      </c>
      <c r="I61" s="156" t="s">
        <v>26</v>
      </c>
      <c r="J61" s="204" t="s">
        <v>1541</v>
      </c>
      <c r="K61" s="207" t="s">
        <v>1497</v>
      </c>
    </row>
    <row r="62" spans="1:11" ht="150.75">
      <c r="A62" s="204">
        <v>60</v>
      </c>
      <c r="B62" s="208">
        <v>45532</v>
      </c>
      <c r="C62" s="265" t="s">
        <v>830</v>
      </c>
      <c r="D62" s="204">
        <v>2024</v>
      </c>
      <c r="E62" s="209" t="s">
        <v>1431</v>
      </c>
      <c r="F62" s="209" t="s">
        <v>1520</v>
      </c>
      <c r="G62" s="212" t="s">
        <v>1439</v>
      </c>
      <c r="H62" s="211" t="s">
        <v>1542</v>
      </c>
      <c r="I62" s="156" t="s">
        <v>26</v>
      </c>
      <c r="J62" s="209" t="s">
        <v>1543</v>
      </c>
      <c r="K62" s="211" t="s">
        <v>1544</v>
      </c>
    </row>
    <row r="63" spans="1:11" ht="84">
      <c r="A63" s="204">
        <v>61</v>
      </c>
      <c r="B63" s="205">
        <v>45533</v>
      </c>
      <c r="C63" s="265" t="s">
        <v>830</v>
      </c>
      <c r="D63" s="204">
        <v>2024</v>
      </c>
      <c r="E63" s="204" t="s">
        <v>1431</v>
      </c>
      <c r="F63" s="204" t="s">
        <v>1506</v>
      </c>
      <c r="G63" s="206" t="s">
        <v>88</v>
      </c>
      <c r="H63" s="207" t="s">
        <v>1545</v>
      </c>
      <c r="I63" s="156" t="s">
        <v>26</v>
      </c>
      <c r="J63" s="204" t="s">
        <v>1537</v>
      </c>
      <c r="K63" s="207" t="s">
        <v>1500</v>
      </c>
    </row>
    <row r="64" spans="1:11" ht="100.5">
      <c r="A64" s="204">
        <v>62</v>
      </c>
      <c r="B64" s="208">
        <v>45533</v>
      </c>
      <c r="C64" s="265" t="s">
        <v>830</v>
      </c>
      <c r="D64" s="204">
        <v>2024</v>
      </c>
      <c r="E64" s="209" t="s">
        <v>1431</v>
      </c>
      <c r="F64" s="209" t="s">
        <v>1390</v>
      </c>
      <c r="G64" s="210" t="s">
        <v>88</v>
      </c>
      <c r="H64" s="211" t="s">
        <v>1546</v>
      </c>
      <c r="I64" s="156" t="s">
        <v>26</v>
      </c>
      <c r="J64" s="209" t="s">
        <v>1436</v>
      </c>
      <c r="K64" s="211" t="s">
        <v>1478</v>
      </c>
    </row>
    <row r="65" spans="1:11" ht="66.75">
      <c r="A65" s="204">
        <v>63</v>
      </c>
      <c r="B65" s="205">
        <v>45533</v>
      </c>
      <c r="C65" s="265" t="s">
        <v>830</v>
      </c>
      <c r="D65" s="204">
        <v>2024</v>
      </c>
      <c r="E65" s="204" t="s">
        <v>1431</v>
      </c>
      <c r="F65" s="204" t="s">
        <v>574</v>
      </c>
      <c r="G65" s="206" t="s">
        <v>88</v>
      </c>
      <c r="H65" s="207" t="s">
        <v>1547</v>
      </c>
      <c r="I65" s="156" t="s">
        <v>26</v>
      </c>
      <c r="J65" s="204" t="s">
        <v>1436</v>
      </c>
      <c r="K65" s="207" t="s">
        <v>1548</v>
      </c>
    </row>
    <row r="66" spans="1:11" ht="66.75">
      <c r="A66" s="204">
        <v>64</v>
      </c>
      <c r="B66" s="208">
        <v>45533</v>
      </c>
      <c r="C66" s="265" t="s">
        <v>830</v>
      </c>
      <c r="D66" s="204">
        <v>2024</v>
      </c>
      <c r="E66" s="209" t="s">
        <v>1431</v>
      </c>
      <c r="F66" s="209" t="s">
        <v>1539</v>
      </c>
      <c r="G66" s="210" t="s">
        <v>88</v>
      </c>
      <c r="H66" s="211" t="s">
        <v>1549</v>
      </c>
      <c r="I66" s="156" t="s">
        <v>26</v>
      </c>
      <c r="J66" s="209" t="s">
        <v>1436</v>
      </c>
      <c r="K66" s="211"/>
    </row>
    <row r="67" spans="1:11" ht="134.25">
      <c r="A67" s="204">
        <v>65</v>
      </c>
      <c r="B67" s="205">
        <v>45533</v>
      </c>
      <c r="C67" s="265" t="s">
        <v>830</v>
      </c>
      <c r="D67" s="204">
        <v>2024</v>
      </c>
      <c r="E67" s="204" t="s">
        <v>1431</v>
      </c>
      <c r="F67" s="204" t="s">
        <v>1539</v>
      </c>
      <c r="G67" s="213" t="s">
        <v>821</v>
      </c>
      <c r="H67" s="207" t="s">
        <v>1550</v>
      </c>
      <c r="I67" s="156" t="s">
        <v>26</v>
      </c>
      <c r="J67" s="204" t="s">
        <v>59</v>
      </c>
      <c r="K67" s="207" t="s">
        <v>1480</v>
      </c>
    </row>
    <row r="68" spans="1:11" ht="84">
      <c r="A68" s="204">
        <v>66</v>
      </c>
      <c r="B68" s="208">
        <v>45534</v>
      </c>
      <c r="C68" s="265" t="s">
        <v>830</v>
      </c>
      <c r="D68" s="204">
        <v>2024</v>
      </c>
      <c r="E68" s="209" t="s">
        <v>1431</v>
      </c>
      <c r="F68" s="209" t="s">
        <v>1518</v>
      </c>
      <c r="G68" s="210" t="s">
        <v>88</v>
      </c>
      <c r="H68" s="211" t="s">
        <v>1551</v>
      </c>
      <c r="I68" s="156" t="s">
        <v>26</v>
      </c>
      <c r="J68" s="209" t="s">
        <v>1436</v>
      </c>
      <c r="K68" s="211" t="s">
        <v>1444</v>
      </c>
    </row>
    <row r="69" spans="1:11" ht="134.25">
      <c r="A69" s="204">
        <v>67</v>
      </c>
      <c r="B69" s="205">
        <v>45534</v>
      </c>
      <c r="C69" s="265" t="s">
        <v>830</v>
      </c>
      <c r="D69" s="204">
        <v>2024</v>
      </c>
      <c r="E69" s="204" t="s">
        <v>1431</v>
      </c>
      <c r="F69" s="204" t="s">
        <v>1539</v>
      </c>
      <c r="G69" s="215" t="s">
        <v>872</v>
      </c>
      <c r="H69" s="207" t="s">
        <v>1552</v>
      </c>
      <c r="I69" s="156" t="s">
        <v>26</v>
      </c>
      <c r="J69" s="204" t="s">
        <v>1436</v>
      </c>
      <c r="K69" s="207" t="s">
        <v>1497</v>
      </c>
    </row>
    <row r="70" spans="1:11" ht="84">
      <c r="A70" s="204">
        <v>68</v>
      </c>
      <c r="B70" s="208">
        <v>45537</v>
      </c>
      <c r="C70" s="267" t="s">
        <v>831</v>
      </c>
      <c r="D70" s="204">
        <v>2024</v>
      </c>
      <c r="E70" s="209" t="s">
        <v>1431</v>
      </c>
      <c r="F70" s="209" t="s">
        <v>1506</v>
      </c>
      <c r="G70" s="210" t="s">
        <v>88</v>
      </c>
      <c r="H70" s="211" t="s">
        <v>1553</v>
      </c>
      <c r="I70" s="156" t="s">
        <v>26</v>
      </c>
      <c r="J70" s="209" t="s">
        <v>1436</v>
      </c>
      <c r="K70" s="211" t="s">
        <v>1500</v>
      </c>
    </row>
    <row r="71" spans="1:11" ht="117">
      <c r="A71" s="204">
        <v>69</v>
      </c>
      <c r="B71" s="205">
        <v>45537</v>
      </c>
      <c r="C71" s="267" t="s">
        <v>831</v>
      </c>
      <c r="D71" s="204">
        <v>2024</v>
      </c>
      <c r="E71" s="204" t="s">
        <v>1431</v>
      </c>
      <c r="F71" s="204" t="s">
        <v>1508</v>
      </c>
      <c r="G71" s="206" t="s">
        <v>88</v>
      </c>
      <c r="H71" s="207" t="s">
        <v>1554</v>
      </c>
      <c r="I71" s="156" t="s">
        <v>26</v>
      </c>
      <c r="J71" s="204" t="s">
        <v>1436</v>
      </c>
      <c r="K71" s="207" t="s">
        <v>1510</v>
      </c>
    </row>
    <row r="72" spans="1:11" ht="134.25">
      <c r="A72" s="204">
        <v>70</v>
      </c>
      <c r="B72" s="208">
        <v>45537</v>
      </c>
      <c r="C72" s="267" t="s">
        <v>831</v>
      </c>
      <c r="D72" s="204">
        <v>2024</v>
      </c>
      <c r="E72" s="209" t="s">
        <v>1431</v>
      </c>
      <c r="F72" s="209" t="s">
        <v>1539</v>
      </c>
      <c r="G72" s="216" t="s">
        <v>872</v>
      </c>
      <c r="H72" s="211" t="s">
        <v>1555</v>
      </c>
      <c r="I72" s="156" t="s">
        <v>26</v>
      </c>
      <c r="J72" s="209" t="s">
        <v>1436</v>
      </c>
      <c r="K72" s="211" t="s">
        <v>1497</v>
      </c>
    </row>
    <row r="73" spans="1:11" ht="100.5">
      <c r="A73" s="204">
        <v>71</v>
      </c>
      <c r="B73" s="205">
        <v>45538</v>
      </c>
      <c r="C73" s="267" t="s">
        <v>831</v>
      </c>
      <c r="D73" s="204">
        <v>2024</v>
      </c>
      <c r="E73" s="204" t="s">
        <v>1431</v>
      </c>
      <c r="F73" s="204" t="s">
        <v>1436</v>
      </c>
      <c r="G73" s="213" t="s">
        <v>821</v>
      </c>
      <c r="H73" s="207" t="s">
        <v>1556</v>
      </c>
      <c r="I73" s="156" t="s">
        <v>26</v>
      </c>
      <c r="J73" s="204" t="s">
        <v>1436</v>
      </c>
      <c r="K73" s="207" t="s">
        <v>1448</v>
      </c>
    </row>
    <row r="74" spans="1:11" ht="84">
      <c r="A74" s="204">
        <v>72</v>
      </c>
      <c r="B74" s="208">
        <v>45538</v>
      </c>
      <c r="C74" s="267" t="s">
        <v>831</v>
      </c>
      <c r="D74" s="204">
        <v>2024</v>
      </c>
      <c r="E74" s="209" t="s">
        <v>1431</v>
      </c>
      <c r="F74" s="209" t="s">
        <v>1506</v>
      </c>
      <c r="G74" s="210" t="s">
        <v>88</v>
      </c>
      <c r="H74" s="211" t="s">
        <v>1557</v>
      </c>
      <c r="I74" s="156" t="s">
        <v>26</v>
      </c>
      <c r="J74" s="209" t="s">
        <v>1436</v>
      </c>
      <c r="K74" s="211" t="s">
        <v>1500</v>
      </c>
    </row>
    <row r="75" spans="1:11" ht="117">
      <c r="A75" s="204">
        <v>73</v>
      </c>
      <c r="B75" s="205">
        <v>45538</v>
      </c>
      <c r="C75" s="267" t="s">
        <v>831</v>
      </c>
      <c r="D75" s="204">
        <v>2024</v>
      </c>
      <c r="E75" s="204" t="s">
        <v>1431</v>
      </c>
      <c r="F75" s="204" t="s">
        <v>1449</v>
      </c>
      <c r="G75" s="206" t="s">
        <v>88</v>
      </c>
      <c r="H75" s="207" t="s">
        <v>1558</v>
      </c>
      <c r="I75" s="156" t="s">
        <v>26</v>
      </c>
      <c r="J75" s="204" t="s">
        <v>1436</v>
      </c>
      <c r="K75" s="207" t="s">
        <v>1559</v>
      </c>
    </row>
    <row r="76" spans="1:11" ht="100.5">
      <c r="A76" s="204">
        <v>74</v>
      </c>
      <c r="B76" s="208">
        <v>45538</v>
      </c>
      <c r="C76" s="267" t="s">
        <v>831</v>
      </c>
      <c r="D76" s="204">
        <v>2024</v>
      </c>
      <c r="E76" s="209" t="s">
        <v>1431</v>
      </c>
      <c r="F76" s="209" t="s">
        <v>1560</v>
      </c>
      <c r="G76" s="217" t="s">
        <v>859</v>
      </c>
      <c r="H76" s="211" t="s">
        <v>1561</v>
      </c>
      <c r="I76" s="156" t="s">
        <v>26</v>
      </c>
      <c r="J76" s="209" t="s">
        <v>1436</v>
      </c>
      <c r="K76" s="211" t="s">
        <v>1476</v>
      </c>
    </row>
    <row r="77" spans="1:11" ht="84">
      <c r="A77" s="204">
        <v>75</v>
      </c>
      <c r="B77" s="205">
        <v>45538</v>
      </c>
      <c r="C77" s="267" t="s">
        <v>831</v>
      </c>
      <c r="D77" s="204">
        <v>2024</v>
      </c>
      <c r="E77" s="204" t="s">
        <v>1431</v>
      </c>
      <c r="F77" s="204" t="s">
        <v>1506</v>
      </c>
      <c r="G77" s="206" t="s">
        <v>88</v>
      </c>
      <c r="H77" s="207" t="s">
        <v>1562</v>
      </c>
      <c r="I77" s="156" t="s">
        <v>26</v>
      </c>
      <c r="J77" s="204" t="s">
        <v>1436</v>
      </c>
      <c r="K77" s="207" t="s">
        <v>1500</v>
      </c>
    </row>
    <row r="78" spans="1:11" ht="84">
      <c r="A78" s="204">
        <v>76</v>
      </c>
      <c r="B78" s="208">
        <v>45538</v>
      </c>
      <c r="C78" s="267" t="s">
        <v>831</v>
      </c>
      <c r="D78" s="204">
        <v>2024</v>
      </c>
      <c r="E78" s="209" t="s">
        <v>1431</v>
      </c>
      <c r="F78" s="209" t="s">
        <v>1506</v>
      </c>
      <c r="G78" s="210" t="s">
        <v>88</v>
      </c>
      <c r="H78" s="211" t="s">
        <v>1563</v>
      </c>
      <c r="I78" s="156" t="s">
        <v>26</v>
      </c>
      <c r="J78" s="209" t="s">
        <v>1436</v>
      </c>
      <c r="K78" s="211" t="s">
        <v>1500</v>
      </c>
    </row>
    <row r="79" spans="1:11" ht="134.25">
      <c r="A79" s="204">
        <v>77</v>
      </c>
      <c r="B79" s="205">
        <v>45538</v>
      </c>
      <c r="C79" s="267" t="s">
        <v>831</v>
      </c>
      <c r="D79" s="204">
        <v>2024</v>
      </c>
      <c r="E79" s="204" t="s">
        <v>1431</v>
      </c>
      <c r="F79" s="204" t="s">
        <v>216</v>
      </c>
      <c r="G79" s="215" t="s">
        <v>872</v>
      </c>
      <c r="H79" s="207" t="s">
        <v>1564</v>
      </c>
      <c r="I79" s="156" t="s">
        <v>26</v>
      </c>
      <c r="J79" s="204" t="s">
        <v>1436</v>
      </c>
      <c r="K79" s="207" t="s">
        <v>1497</v>
      </c>
    </row>
    <row r="80" spans="1:11" ht="66.75">
      <c r="A80" s="204">
        <v>78</v>
      </c>
      <c r="B80" s="208">
        <v>45538</v>
      </c>
      <c r="C80" s="267" t="s">
        <v>831</v>
      </c>
      <c r="D80" s="204">
        <v>2024</v>
      </c>
      <c r="E80" s="209" t="s">
        <v>1431</v>
      </c>
      <c r="F80" s="209" t="s">
        <v>1449</v>
      </c>
      <c r="G80" s="210" t="s">
        <v>88</v>
      </c>
      <c r="H80" s="211" t="s">
        <v>1565</v>
      </c>
      <c r="I80" s="156" t="s">
        <v>26</v>
      </c>
      <c r="J80" s="209" t="s">
        <v>1436</v>
      </c>
      <c r="K80" s="211" t="s">
        <v>1548</v>
      </c>
    </row>
    <row r="81" spans="1:11" ht="100.5">
      <c r="A81" s="204">
        <v>79</v>
      </c>
      <c r="B81" s="205">
        <v>45538</v>
      </c>
      <c r="C81" s="267" t="s">
        <v>831</v>
      </c>
      <c r="D81" s="204">
        <v>2024</v>
      </c>
      <c r="E81" s="204" t="s">
        <v>1431</v>
      </c>
      <c r="F81" s="204" t="s">
        <v>1566</v>
      </c>
      <c r="G81" s="215" t="s">
        <v>872</v>
      </c>
      <c r="H81" s="207" t="s">
        <v>1567</v>
      </c>
      <c r="I81" s="156" t="s">
        <v>26</v>
      </c>
      <c r="J81" s="204" t="s">
        <v>1436</v>
      </c>
      <c r="K81" s="207" t="s">
        <v>1454</v>
      </c>
    </row>
    <row r="82" spans="1:11" ht="50.25">
      <c r="A82" s="204">
        <v>80</v>
      </c>
      <c r="B82" s="208">
        <v>45539</v>
      </c>
      <c r="C82" s="267" t="s">
        <v>831</v>
      </c>
      <c r="D82" s="204">
        <v>2024</v>
      </c>
      <c r="E82" s="209" t="s">
        <v>1431</v>
      </c>
      <c r="F82" s="209" t="s">
        <v>574</v>
      </c>
      <c r="G82" s="213" t="s">
        <v>821</v>
      </c>
      <c r="H82" s="211" t="s">
        <v>1568</v>
      </c>
      <c r="I82" s="156" t="s">
        <v>26</v>
      </c>
      <c r="J82" s="209" t="s">
        <v>149</v>
      </c>
      <c r="K82" s="211"/>
    </row>
    <row r="83" spans="1:11" ht="84">
      <c r="A83" s="204">
        <v>81</v>
      </c>
      <c r="B83" s="205">
        <v>45539</v>
      </c>
      <c r="C83" s="267" t="s">
        <v>831</v>
      </c>
      <c r="D83" s="204">
        <v>2024</v>
      </c>
      <c r="E83" s="204" t="s">
        <v>1431</v>
      </c>
      <c r="F83" s="204" t="s">
        <v>377</v>
      </c>
      <c r="G83" s="206" t="s">
        <v>88</v>
      </c>
      <c r="H83" s="207" t="s">
        <v>1569</v>
      </c>
      <c r="I83" s="156" t="s">
        <v>26</v>
      </c>
      <c r="J83" s="204" t="s">
        <v>76</v>
      </c>
      <c r="K83" s="207" t="s">
        <v>1500</v>
      </c>
    </row>
    <row r="84" spans="1:11" ht="134.25">
      <c r="A84" s="204">
        <v>82</v>
      </c>
      <c r="B84" s="208">
        <v>45539</v>
      </c>
      <c r="C84" s="267" t="s">
        <v>831</v>
      </c>
      <c r="D84" s="204">
        <v>2024</v>
      </c>
      <c r="E84" s="209" t="s">
        <v>1431</v>
      </c>
      <c r="F84" s="209" t="s">
        <v>1539</v>
      </c>
      <c r="G84" s="216" t="s">
        <v>872</v>
      </c>
      <c r="H84" s="211" t="s">
        <v>1570</v>
      </c>
      <c r="I84" s="156" t="s">
        <v>26</v>
      </c>
      <c r="J84" s="209" t="s">
        <v>1571</v>
      </c>
      <c r="K84" s="211" t="s">
        <v>1497</v>
      </c>
    </row>
    <row r="85" spans="1:11" ht="100.5">
      <c r="A85" s="204">
        <v>83</v>
      </c>
      <c r="B85" s="205">
        <v>45539</v>
      </c>
      <c r="C85" s="267" t="s">
        <v>831</v>
      </c>
      <c r="D85" s="204">
        <v>2024</v>
      </c>
      <c r="E85" s="204" t="s">
        <v>1431</v>
      </c>
      <c r="F85" s="204" t="s">
        <v>1572</v>
      </c>
      <c r="G85" s="214" t="s">
        <v>859</v>
      </c>
      <c r="H85" s="207" t="s">
        <v>1573</v>
      </c>
      <c r="I85" s="156" t="s">
        <v>26</v>
      </c>
      <c r="J85" s="204" t="s">
        <v>1574</v>
      </c>
      <c r="K85" s="207" t="s">
        <v>1476</v>
      </c>
    </row>
    <row r="86" spans="1:11" ht="84">
      <c r="A86" s="204">
        <v>84</v>
      </c>
      <c r="B86" s="208">
        <v>45539</v>
      </c>
      <c r="C86" s="267" t="s">
        <v>831</v>
      </c>
      <c r="D86" s="204">
        <v>2024</v>
      </c>
      <c r="E86" s="209" t="s">
        <v>1431</v>
      </c>
      <c r="F86" s="209" t="s">
        <v>1539</v>
      </c>
      <c r="G86" s="216" t="s">
        <v>872</v>
      </c>
      <c r="H86" s="211" t="s">
        <v>1575</v>
      </c>
      <c r="I86" s="156" t="s">
        <v>26</v>
      </c>
      <c r="J86" s="209" t="s">
        <v>1541</v>
      </c>
      <c r="K86" s="211"/>
    </row>
    <row r="87" spans="1:11" ht="50.25">
      <c r="A87" s="204">
        <v>85</v>
      </c>
      <c r="B87" s="205">
        <v>45539</v>
      </c>
      <c r="C87" s="267" t="s">
        <v>831</v>
      </c>
      <c r="D87" s="204">
        <v>2024</v>
      </c>
      <c r="E87" s="204" t="s">
        <v>1431</v>
      </c>
      <c r="F87" s="204" t="s">
        <v>1539</v>
      </c>
      <c r="G87" s="215" t="s">
        <v>872</v>
      </c>
      <c r="H87" s="207" t="s">
        <v>1576</v>
      </c>
      <c r="I87" s="156" t="s">
        <v>26</v>
      </c>
      <c r="J87" s="204" t="s">
        <v>1541</v>
      </c>
      <c r="K87" s="207"/>
    </row>
    <row r="88" spans="1:11" ht="50.25">
      <c r="A88" s="204">
        <v>86</v>
      </c>
      <c r="B88" s="208">
        <v>45539</v>
      </c>
      <c r="C88" s="267" t="s">
        <v>831</v>
      </c>
      <c r="D88" s="204">
        <v>2024</v>
      </c>
      <c r="E88" s="209" t="s">
        <v>1431</v>
      </c>
      <c r="F88" s="209" t="s">
        <v>1539</v>
      </c>
      <c r="G88" s="216" t="s">
        <v>872</v>
      </c>
      <c r="H88" s="211" t="s">
        <v>1577</v>
      </c>
      <c r="I88" s="156" t="s">
        <v>26</v>
      </c>
      <c r="J88" s="209" t="s">
        <v>1578</v>
      </c>
      <c r="K88" s="211"/>
    </row>
    <row r="89" spans="1:11" ht="134.25">
      <c r="A89" s="204">
        <v>87</v>
      </c>
      <c r="B89" s="205">
        <v>45540</v>
      </c>
      <c r="C89" s="267" t="s">
        <v>831</v>
      </c>
      <c r="D89" s="204">
        <v>2024</v>
      </c>
      <c r="E89" s="204" t="s">
        <v>1431</v>
      </c>
      <c r="F89" s="204" t="s">
        <v>1518</v>
      </c>
      <c r="G89" s="212" t="s">
        <v>1439</v>
      </c>
      <c r="H89" s="207" t="s">
        <v>1579</v>
      </c>
      <c r="I89" s="156" t="s">
        <v>26</v>
      </c>
      <c r="J89" s="204" t="s">
        <v>1493</v>
      </c>
      <c r="K89" s="207" t="s">
        <v>1442</v>
      </c>
    </row>
    <row r="90" spans="1:11" ht="100.5">
      <c r="A90" s="204">
        <v>88</v>
      </c>
      <c r="B90" s="208">
        <v>45540</v>
      </c>
      <c r="C90" s="267" t="s">
        <v>831</v>
      </c>
      <c r="D90" s="204">
        <v>2024</v>
      </c>
      <c r="E90" s="209" t="s">
        <v>1431</v>
      </c>
      <c r="F90" s="209" t="s">
        <v>1580</v>
      </c>
      <c r="G90" s="212" t="s">
        <v>1439</v>
      </c>
      <c r="H90" s="211" t="s">
        <v>1581</v>
      </c>
      <c r="I90" s="156" t="s">
        <v>26</v>
      </c>
      <c r="J90" s="209" t="s">
        <v>1436</v>
      </c>
      <c r="K90" s="211" t="s">
        <v>1582</v>
      </c>
    </row>
    <row r="91" spans="1:11" ht="134.25">
      <c r="A91" s="204">
        <v>89</v>
      </c>
      <c r="B91" s="205">
        <v>45540</v>
      </c>
      <c r="C91" s="267" t="s">
        <v>831</v>
      </c>
      <c r="D91" s="204">
        <v>2024</v>
      </c>
      <c r="E91" s="204" t="s">
        <v>1431</v>
      </c>
      <c r="F91" s="204" t="s">
        <v>1572</v>
      </c>
      <c r="G91" s="215" t="s">
        <v>872</v>
      </c>
      <c r="H91" s="207" t="s">
        <v>1583</v>
      </c>
      <c r="I91" s="156" t="s">
        <v>26</v>
      </c>
      <c r="J91" s="204" t="s">
        <v>1436</v>
      </c>
      <c r="K91" s="207" t="s">
        <v>1497</v>
      </c>
    </row>
    <row r="92" spans="1:11" ht="50.25">
      <c r="A92" s="204">
        <v>90</v>
      </c>
      <c r="B92" s="208">
        <v>45540</v>
      </c>
      <c r="C92" s="267" t="s">
        <v>831</v>
      </c>
      <c r="D92" s="204">
        <v>2024</v>
      </c>
      <c r="E92" s="209" t="s">
        <v>1431</v>
      </c>
      <c r="F92" s="209" t="s">
        <v>1584</v>
      </c>
      <c r="G92" s="213" t="s">
        <v>821</v>
      </c>
      <c r="H92" s="211" t="s">
        <v>1585</v>
      </c>
      <c r="I92" s="156" t="s">
        <v>26</v>
      </c>
      <c r="J92" s="209" t="s">
        <v>1436</v>
      </c>
      <c r="K92" s="211"/>
    </row>
    <row r="93" spans="1:11" ht="100.5">
      <c r="A93" s="204">
        <v>91</v>
      </c>
      <c r="B93" s="205">
        <v>45541</v>
      </c>
      <c r="C93" s="267" t="s">
        <v>831</v>
      </c>
      <c r="D93" s="204">
        <v>2024</v>
      </c>
      <c r="E93" s="204" t="s">
        <v>1431</v>
      </c>
      <c r="F93" s="204" t="s">
        <v>1586</v>
      </c>
      <c r="G93" s="206" t="s">
        <v>88</v>
      </c>
      <c r="H93" s="207" t="s">
        <v>1587</v>
      </c>
      <c r="I93" s="156" t="s">
        <v>26</v>
      </c>
      <c r="J93" s="204" t="s">
        <v>1588</v>
      </c>
      <c r="K93" s="207" t="s">
        <v>1478</v>
      </c>
    </row>
    <row r="94" spans="1:11" ht="117">
      <c r="A94" s="204">
        <v>92</v>
      </c>
      <c r="B94" s="208">
        <v>45541</v>
      </c>
      <c r="C94" s="267" t="s">
        <v>831</v>
      </c>
      <c r="D94" s="204">
        <v>2024</v>
      </c>
      <c r="E94" s="209" t="s">
        <v>1431</v>
      </c>
      <c r="F94" s="209" t="s">
        <v>1449</v>
      </c>
      <c r="G94" s="210" t="s">
        <v>88</v>
      </c>
      <c r="H94" s="211" t="s">
        <v>1589</v>
      </c>
      <c r="I94" s="156" t="s">
        <v>26</v>
      </c>
      <c r="J94" s="209" t="s">
        <v>1436</v>
      </c>
      <c r="K94" s="211" t="s">
        <v>1559</v>
      </c>
    </row>
    <row r="95" spans="1:11" ht="66.75">
      <c r="A95" s="204">
        <v>93</v>
      </c>
      <c r="B95" s="205">
        <v>45541</v>
      </c>
      <c r="C95" s="267" t="s">
        <v>831</v>
      </c>
      <c r="D95" s="204">
        <v>2024</v>
      </c>
      <c r="E95" s="204" t="s">
        <v>1431</v>
      </c>
      <c r="F95" s="204" t="s">
        <v>1449</v>
      </c>
      <c r="G95" s="206" t="s">
        <v>88</v>
      </c>
      <c r="H95" s="207" t="s">
        <v>1590</v>
      </c>
      <c r="I95" s="156" t="s">
        <v>26</v>
      </c>
      <c r="J95" s="204" t="s">
        <v>1436</v>
      </c>
      <c r="K95" s="207" t="s">
        <v>1548</v>
      </c>
    </row>
    <row r="96" spans="1:11" ht="100.5">
      <c r="A96" s="204">
        <v>94</v>
      </c>
      <c r="B96" s="208">
        <v>45541</v>
      </c>
      <c r="C96" s="267" t="s">
        <v>831</v>
      </c>
      <c r="D96" s="204">
        <v>2024</v>
      </c>
      <c r="E96" s="209" t="s">
        <v>1431</v>
      </c>
      <c r="F96" s="209" t="s">
        <v>1560</v>
      </c>
      <c r="G96" s="210" t="s">
        <v>88</v>
      </c>
      <c r="H96" s="211" t="s">
        <v>1591</v>
      </c>
      <c r="I96" s="156" t="s">
        <v>26</v>
      </c>
      <c r="J96" s="209" t="s">
        <v>1436</v>
      </c>
      <c r="K96" s="211"/>
    </row>
    <row r="97" spans="1:11" ht="84">
      <c r="A97" s="204">
        <v>95</v>
      </c>
      <c r="B97" s="205">
        <v>45544</v>
      </c>
      <c r="C97" s="267" t="s">
        <v>831</v>
      </c>
      <c r="D97" s="204">
        <v>2024</v>
      </c>
      <c r="E97" s="204" t="s">
        <v>1431</v>
      </c>
      <c r="F97" s="204" t="s">
        <v>1506</v>
      </c>
      <c r="G97" s="206" t="s">
        <v>88</v>
      </c>
      <c r="H97" s="207" t="s">
        <v>1592</v>
      </c>
      <c r="I97" s="156" t="s">
        <v>26</v>
      </c>
      <c r="J97" s="204" t="s">
        <v>1436</v>
      </c>
      <c r="K97" s="207" t="s">
        <v>1500</v>
      </c>
    </row>
    <row r="98" spans="1:11" ht="117">
      <c r="A98" s="204">
        <v>96</v>
      </c>
      <c r="B98" s="208">
        <v>45544</v>
      </c>
      <c r="C98" s="267" t="s">
        <v>831</v>
      </c>
      <c r="D98" s="204">
        <v>2024</v>
      </c>
      <c r="E98" s="209" t="s">
        <v>1431</v>
      </c>
      <c r="F98" s="209" t="s">
        <v>1449</v>
      </c>
      <c r="G98" s="210" t="s">
        <v>88</v>
      </c>
      <c r="H98" s="211" t="s">
        <v>1593</v>
      </c>
      <c r="I98" s="156" t="s">
        <v>26</v>
      </c>
      <c r="J98" s="209" t="s">
        <v>1436</v>
      </c>
      <c r="K98" s="211" t="s">
        <v>1451</v>
      </c>
    </row>
    <row r="99" spans="1:11" ht="117">
      <c r="A99" s="204">
        <v>97</v>
      </c>
      <c r="B99" s="205">
        <v>45544</v>
      </c>
      <c r="C99" s="267" t="s">
        <v>831</v>
      </c>
      <c r="D99" s="204">
        <v>2024</v>
      </c>
      <c r="E99" s="204" t="s">
        <v>1431</v>
      </c>
      <c r="F99" s="204" t="s">
        <v>1449</v>
      </c>
      <c r="G99" s="206" t="s">
        <v>88</v>
      </c>
      <c r="H99" s="207" t="s">
        <v>1594</v>
      </c>
      <c r="I99" s="156" t="s">
        <v>26</v>
      </c>
      <c r="J99" s="204" t="s">
        <v>1436</v>
      </c>
      <c r="K99" s="207" t="s">
        <v>1437</v>
      </c>
    </row>
    <row r="100" spans="1:11" ht="117">
      <c r="A100" s="204">
        <v>98</v>
      </c>
      <c r="B100" s="208">
        <v>45544</v>
      </c>
      <c r="C100" s="267" t="s">
        <v>831</v>
      </c>
      <c r="D100" s="204">
        <v>2024</v>
      </c>
      <c r="E100" s="209" t="s">
        <v>1431</v>
      </c>
      <c r="F100" s="209" t="s">
        <v>1506</v>
      </c>
      <c r="G100" s="210" t="s">
        <v>88</v>
      </c>
      <c r="H100" s="211" t="s">
        <v>1595</v>
      </c>
      <c r="I100" s="156" t="s">
        <v>26</v>
      </c>
      <c r="J100" s="209" t="s">
        <v>1436</v>
      </c>
      <c r="K100" s="211" t="s">
        <v>1451</v>
      </c>
    </row>
    <row r="101" spans="1:11" ht="84">
      <c r="A101" s="204">
        <v>99</v>
      </c>
      <c r="B101" s="205">
        <v>45544</v>
      </c>
      <c r="C101" s="267" t="s">
        <v>831</v>
      </c>
      <c r="D101" s="204">
        <v>2024</v>
      </c>
      <c r="E101" s="204" t="s">
        <v>1431</v>
      </c>
      <c r="F101" s="204" t="s">
        <v>1518</v>
      </c>
      <c r="G101" s="213" t="s">
        <v>821</v>
      </c>
      <c r="H101" s="207" t="s">
        <v>1596</v>
      </c>
      <c r="I101" s="156" t="s">
        <v>26</v>
      </c>
      <c r="J101" s="204" t="s">
        <v>1436</v>
      </c>
      <c r="K101" s="207" t="s">
        <v>1444</v>
      </c>
    </row>
    <row r="102" spans="1:11" ht="117">
      <c r="A102" s="204">
        <v>100</v>
      </c>
      <c r="B102" s="208">
        <v>45545</v>
      </c>
      <c r="C102" s="267" t="s">
        <v>831</v>
      </c>
      <c r="D102" s="204">
        <v>2024</v>
      </c>
      <c r="E102" s="209" t="s">
        <v>1431</v>
      </c>
      <c r="F102" s="209" t="s">
        <v>1449</v>
      </c>
      <c r="G102" s="210" t="s">
        <v>88</v>
      </c>
      <c r="H102" s="211" t="s">
        <v>1597</v>
      </c>
      <c r="I102" s="156" t="s">
        <v>26</v>
      </c>
      <c r="J102" s="209" t="s">
        <v>1436</v>
      </c>
      <c r="K102" s="211" t="s">
        <v>1451</v>
      </c>
    </row>
    <row r="103" spans="1:11" ht="66.75">
      <c r="A103" s="204">
        <v>101</v>
      </c>
      <c r="B103" s="205">
        <v>45545</v>
      </c>
      <c r="C103" s="267" t="s">
        <v>831</v>
      </c>
      <c r="D103" s="204">
        <v>2024</v>
      </c>
      <c r="E103" s="204" t="s">
        <v>1431</v>
      </c>
      <c r="F103" s="204" t="s">
        <v>1449</v>
      </c>
      <c r="G103" s="206" t="s">
        <v>88</v>
      </c>
      <c r="H103" s="207" t="s">
        <v>1598</v>
      </c>
      <c r="I103" s="156" t="s">
        <v>26</v>
      </c>
      <c r="J103" s="204" t="s">
        <v>1436</v>
      </c>
      <c r="K103" s="207" t="s">
        <v>1548</v>
      </c>
    </row>
    <row r="104" spans="1:11" ht="117">
      <c r="A104" s="204">
        <v>102</v>
      </c>
      <c r="B104" s="208">
        <v>45546</v>
      </c>
      <c r="C104" s="267" t="s">
        <v>831</v>
      </c>
      <c r="D104" s="204">
        <v>2024</v>
      </c>
      <c r="E104" s="209" t="s">
        <v>1431</v>
      </c>
      <c r="F104" s="209" t="s">
        <v>1225</v>
      </c>
      <c r="G104" s="210" t="s">
        <v>88</v>
      </c>
      <c r="H104" s="211" t="s">
        <v>1599</v>
      </c>
      <c r="I104" s="156" t="s">
        <v>26</v>
      </c>
      <c r="J104" s="209" t="s">
        <v>1436</v>
      </c>
      <c r="K104" s="211" t="s">
        <v>1451</v>
      </c>
    </row>
    <row r="105" spans="1:11" ht="134.25">
      <c r="A105" s="204">
        <v>103</v>
      </c>
      <c r="B105" s="205">
        <v>45546</v>
      </c>
      <c r="C105" s="267" t="s">
        <v>831</v>
      </c>
      <c r="D105" s="204">
        <v>2024</v>
      </c>
      <c r="E105" s="204" t="s">
        <v>1431</v>
      </c>
      <c r="F105" s="204" t="s">
        <v>216</v>
      </c>
      <c r="G105" s="213" t="s">
        <v>821</v>
      </c>
      <c r="H105" s="207" t="s">
        <v>1600</v>
      </c>
      <c r="I105" s="156" t="s">
        <v>26</v>
      </c>
      <c r="J105" s="204" t="s">
        <v>1436</v>
      </c>
      <c r="K105" s="207" t="s">
        <v>1601</v>
      </c>
    </row>
    <row r="106" spans="1:11" ht="117">
      <c r="A106" s="204">
        <v>104</v>
      </c>
      <c r="B106" s="208">
        <v>45546</v>
      </c>
      <c r="C106" s="267" t="s">
        <v>831</v>
      </c>
      <c r="D106" s="204">
        <v>2024</v>
      </c>
      <c r="E106" s="209" t="s">
        <v>1431</v>
      </c>
      <c r="F106" s="209" t="s">
        <v>1449</v>
      </c>
      <c r="G106" s="210" t="s">
        <v>88</v>
      </c>
      <c r="H106" s="211" t="s">
        <v>1602</v>
      </c>
      <c r="I106" s="156" t="s">
        <v>26</v>
      </c>
      <c r="J106" s="209" t="s">
        <v>1436</v>
      </c>
      <c r="K106" s="211" t="s">
        <v>1451</v>
      </c>
    </row>
    <row r="107" spans="1:11" ht="134.25">
      <c r="A107" s="204">
        <v>105</v>
      </c>
      <c r="B107" s="205">
        <v>45546</v>
      </c>
      <c r="C107" s="267" t="s">
        <v>831</v>
      </c>
      <c r="D107" s="204">
        <v>2024</v>
      </c>
      <c r="E107" s="204" t="s">
        <v>1431</v>
      </c>
      <c r="F107" s="204" t="s">
        <v>1539</v>
      </c>
      <c r="G107" s="215" t="s">
        <v>872</v>
      </c>
      <c r="H107" s="207" t="s">
        <v>1603</v>
      </c>
      <c r="I107" s="156" t="s">
        <v>26</v>
      </c>
      <c r="J107" s="204" t="s">
        <v>1436</v>
      </c>
      <c r="K107" s="207" t="s">
        <v>1497</v>
      </c>
    </row>
    <row r="108" spans="1:11" ht="84">
      <c r="A108" s="204">
        <v>106</v>
      </c>
      <c r="B108" s="208">
        <v>45546</v>
      </c>
      <c r="C108" s="267" t="s">
        <v>831</v>
      </c>
      <c r="D108" s="204">
        <v>2024</v>
      </c>
      <c r="E108" s="209" t="s">
        <v>1431</v>
      </c>
      <c r="F108" s="209" t="s">
        <v>1436</v>
      </c>
      <c r="G108" s="217" t="s">
        <v>859</v>
      </c>
      <c r="H108" s="211" t="s">
        <v>1604</v>
      </c>
      <c r="I108" s="156" t="s">
        <v>26</v>
      </c>
      <c r="J108" s="209" t="s">
        <v>1436</v>
      </c>
      <c r="K108" s="211" t="s">
        <v>1605</v>
      </c>
    </row>
    <row r="109" spans="1:11" ht="150.75">
      <c r="A109" s="204">
        <v>107</v>
      </c>
      <c r="B109" s="205">
        <v>45547</v>
      </c>
      <c r="C109" s="267" t="s">
        <v>831</v>
      </c>
      <c r="D109" s="204">
        <v>2024</v>
      </c>
      <c r="E109" s="204" t="s">
        <v>1431</v>
      </c>
      <c r="F109" s="204" t="s">
        <v>21</v>
      </c>
      <c r="G109" s="213" t="s">
        <v>821</v>
      </c>
      <c r="H109" s="207" t="s">
        <v>1606</v>
      </c>
      <c r="I109" s="156" t="s">
        <v>26</v>
      </c>
      <c r="J109" s="204" t="s">
        <v>1436</v>
      </c>
      <c r="K109" s="207" t="s">
        <v>1513</v>
      </c>
    </row>
    <row r="110" spans="1:11" ht="117">
      <c r="A110" s="204">
        <v>108</v>
      </c>
      <c r="B110" s="208">
        <v>45547</v>
      </c>
      <c r="C110" s="267" t="s">
        <v>831</v>
      </c>
      <c r="D110" s="204">
        <v>2024</v>
      </c>
      <c r="E110" s="209" t="s">
        <v>1431</v>
      </c>
      <c r="F110" s="209" t="s">
        <v>21</v>
      </c>
      <c r="G110" s="213" t="s">
        <v>821</v>
      </c>
      <c r="H110" s="211" t="s">
        <v>1607</v>
      </c>
      <c r="I110" s="156" t="s">
        <v>26</v>
      </c>
      <c r="J110" s="209" t="s">
        <v>1436</v>
      </c>
      <c r="K110" s="211" t="s">
        <v>1482</v>
      </c>
    </row>
    <row r="111" spans="1:11" ht="134.25">
      <c r="A111" s="204">
        <v>109</v>
      </c>
      <c r="B111" s="205">
        <v>45547</v>
      </c>
      <c r="C111" s="267" t="s">
        <v>831</v>
      </c>
      <c r="D111" s="204">
        <v>2024</v>
      </c>
      <c r="E111" s="204" t="s">
        <v>1431</v>
      </c>
      <c r="F111" s="204" t="s">
        <v>1608</v>
      </c>
      <c r="G111" s="212" t="s">
        <v>1439</v>
      </c>
      <c r="H111" s="207" t="s">
        <v>1609</v>
      </c>
      <c r="I111" s="156" t="s">
        <v>26</v>
      </c>
      <c r="J111" s="204" t="s">
        <v>1436</v>
      </c>
      <c r="K111" s="207" t="s">
        <v>1442</v>
      </c>
    </row>
    <row r="112" spans="1:11" ht="100.5">
      <c r="A112" s="204">
        <v>110</v>
      </c>
      <c r="B112" s="208">
        <v>45548</v>
      </c>
      <c r="C112" s="267" t="s">
        <v>831</v>
      </c>
      <c r="D112" s="204">
        <v>2024</v>
      </c>
      <c r="E112" s="209" t="s">
        <v>1431</v>
      </c>
      <c r="F112" s="209" t="s">
        <v>1580</v>
      </c>
      <c r="G112" s="212" t="s">
        <v>1439</v>
      </c>
      <c r="H112" s="211" t="s">
        <v>1610</v>
      </c>
      <c r="I112" s="156" t="s">
        <v>26</v>
      </c>
      <c r="J112" s="209" t="s">
        <v>1436</v>
      </c>
      <c r="K112" s="211" t="s">
        <v>1582</v>
      </c>
    </row>
    <row r="113" spans="1:11" ht="100.5">
      <c r="A113" s="204">
        <v>111</v>
      </c>
      <c r="B113" s="205">
        <v>45548</v>
      </c>
      <c r="C113" s="267" t="s">
        <v>831</v>
      </c>
      <c r="D113" s="204">
        <v>2024</v>
      </c>
      <c r="E113" s="204" t="s">
        <v>1431</v>
      </c>
      <c r="F113" s="204" t="s">
        <v>1539</v>
      </c>
      <c r="G113" s="206" t="s">
        <v>88</v>
      </c>
      <c r="H113" s="207" t="s">
        <v>1611</v>
      </c>
      <c r="I113" s="156" t="s">
        <v>26</v>
      </c>
      <c r="J113" s="204" t="s">
        <v>1436</v>
      </c>
      <c r="K113" s="207" t="s">
        <v>1478</v>
      </c>
    </row>
    <row r="114" spans="1:11" ht="100.5">
      <c r="A114" s="204">
        <v>112</v>
      </c>
      <c r="B114" s="208">
        <v>45548</v>
      </c>
      <c r="C114" s="267" t="s">
        <v>831</v>
      </c>
      <c r="D114" s="204">
        <v>2024</v>
      </c>
      <c r="E114" s="209" t="s">
        <v>1431</v>
      </c>
      <c r="F114" s="209" t="s">
        <v>1436</v>
      </c>
      <c r="G114" s="210" t="s">
        <v>88</v>
      </c>
      <c r="H114" s="211" t="s">
        <v>1612</v>
      </c>
      <c r="I114" s="156" t="s">
        <v>26</v>
      </c>
      <c r="J114" s="209" t="s">
        <v>1436</v>
      </c>
      <c r="K114" s="211" t="s">
        <v>1454</v>
      </c>
    </row>
    <row r="115" spans="1:11" ht="100.5">
      <c r="A115" s="204">
        <v>113</v>
      </c>
      <c r="B115" s="205">
        <v>45548</v>
      </c>
      <c r="C115" s="267" t="s">
        <v>831</v>
      </c>
      <c r="D115" s="204">
        <v>2024</v>
      </c>
      <c r="E115" s="204" t="s">
        <v>1431</v>
      </c>
      <c r="F115" s="204" t="s">
        <v>1539</v>
      </c>
      <c r="G115" s="206" t="s">
        <v>88</v>
      </c>
      <c r="H115" s="207" t="s">
        <v>1613</v>
      </c>
      <c r="I115" s="156" t="s">
        <v>26</v>
      </c>
      <c r="J115" s="204" t="s">
        <v>1436</v>
      </c>
      <c r="K115" s="207" t="s">
        <v>1478</v>
      </c>
    </row>
    <row r="116" spans="1:11" ht="100.5">
      <c r="A116" s="204">
        <v>114</v>
      </c>
      <c r="B116" s="208">
        <v>45185</v>
      </c>
      <c r="C116" s="267" t="s">
        <v>831</v>
      </c>
      <c r="D116" s="204">
        <v>2024</v>
      </c>
      <c r="E116" s="209" t="s">
        <v>1431</v>
      </c>
      <c r="F116" s="209" t="s">
        <v>1580</v>
      </c>
      <c r="G116" s="212" t="s">
        <v>1439</v>
      </c>
      <c r="H116" s="211" t="s">
        <v>1614</v>
      </c>
      <c r="I116" s="156" t="s">
        <v>26</v>
      </c>
      <c r="J116" s="209" t="s">
        <v>1436</v>
      </c>
      <c r="K116" s="211" t="s">
        <v>1582</v>
      </c>
    </row>
    <row r="117" spans="1:11" ht="84">
      <c r="A117" s="204">
        <v>115</v>
      </c>
      <c r="B117" s="205">
        <v>45185</v>
      </c>
      <c r="C117" s="267" t="s">
        <v>831</v>
      </c>
      <c r="D117" s="204">
        <v>2024</v>
      </c>
      <c r="E117" s="204" t="s">
        <v>1431</v>
      </c>
      <c r="F117" s="204" t="s">
        <v>1506</v>
      </c>
      <c r="G117" s="206" t="s">
        <v>88</v>
      </c>
      <c r="H117" s="207" t="s">
        <v>1615</v>
      </c>
      <c r="I117" s="156" t="s">
        <v>26</v>
      </c>
      <c r="J117" s="204" t="s">
        <v>1436</v>
      </c>
      <c r="K117" s="207" t="s">
        <v>1500</v>
      </c>
    </row>
    <row r="118" spans="1:11" ht="66.75">
      <c r="A118" s="204">
        <v>116</v>
      </c>
      <c r="B118" s="208">
        <v>45185</v>
      </c>
      <c r="C118" s="267" t="s">
        <v>831</v>
      </c>
      <c r="D118" s="204">
        <v>2024</v>
      </c>
      <c r="E118" s="209" t="s">
        <v>1431</v>
      </c>
      <c r="F118" s="209" t="s">
        <v>21</v>
      </c>
      <c r="G118" s="213" t="s">
        <v>821</v>
      </c>
      <c r="H118" s="211" t="s">
        <v>1616</v>
      </c>
      <c r="I118" s="156" t="s">
        <v>26</v>
      </c>
      <c r="J118" s="209" t="s">
        <v>1436</v>
      </c>
      <c r="K118" s="211"/>
    </row>
    <row r="119" spans="1:11" ht="100.5">
      <c r="A119" s="204">
        <v>117</v>
      </c>
      <c r="B119" s="205">
        <v>45185</v>
      </c>
      <c r="C119" s="267" t="s">
        <v>831</v>
      </c>
      <c r="D119" s="204">
        <v>2024</v>
      </c>
      <c r="E119" s="204" t="s">
        <v>1431</v>
      </c>
      <c r="F119" s="204" t="s">
        <v>1449</v>
      </c>
      <c r="G119" s="206" t="s">
        <v>88</v>
      </c>
      <c r="H119" s="207" t="s">
        <v>1617</v>
      </c>
      <c r="I119" s="156" t="s">
        <v>26</v>
      </c>
      <c r="J119" s="204" t="s">
        <v>1436</v>
      </c>
      <c r="K119" s="207" t="s">
        <v>1478</v>
      </c>
    </row>
    <row r="120" spans="1:11" ht="33.75">
      <c r="A120" s="204">
        <v>118</v>
      </c>
      <c r="B120" s="208">
        <v>45185</v>
      </c>
      <c r="C120" s="267" t="s">
        <v>831</v>
      </c>
      <c r="D120" s="204">
        <v>2024</v>
      </c>
      <c r="E120" s="209" t="s">
        <v>1431</v>
      </c>
      <c r="F120" s="209" t="s">
        <v>1449</v>
      </c>
      <c r="G120" s="210" t="s">
        <v>88</v>
      </c>
      <c r="H120" s="211" t="s">
        <v>1618</v>
      </c>
      <c r="I120" s="156" t="s">
        <v>26</v>
      </c>
      <c r="J120" s="209" t="s">
        <v>1436</v>
      </c>
      <c r="K120" s="211"/>
    </row>
    <row r="121" spans="1:11" ht="66.75">
      <c r="A121" s="204">
        <v>119</v>
      </c>
      <c r="B121" s="205">
        <v>45185</v>
      </c>
      <c r="C121" s="267" t="s">
        <v>831</v>
      </c>
      <c r="D121" s="204">
        <v>2024</v>
      </c>
      <c r="E121" s="204" t="s">
        <v>1431</v>
      </c>
      <c r="F121" s="204" t="s">
        <v>1449</v>
      </c>
      <c r="G121" s="206" t="s">
        <v>88</v>
      </c>
      <c r="H121" s="207" t="s">
        <v>1619</v>
      </c>
      <c r="I121" s="156" t="s">
        <v>26</v>
      </c>
      <c r="J121" s="204" t="s">
        <v>1436</v>
      </c>
      <c r="K121" s="207" t="s">
        <v>1548</v>
      </c>
    </row>
    <row r="122" spans="1:11" ht="50.25">
      <c r="A122" s="204">
        <v>120</v>
      </c>
      <c r="B122" s="208">
        <v>45185</v>
      </c>
      <c r="C122" s="267" t="s">
        <v>831</v>
      </c>
      <c r="D122" s="204">
        <v>2024</v>
      </c>
      <c r="E122" s="209" t="s">
        <v>1431</v>
      </c>
      <c r="F122" s="209" t="s">
        <v>1158</v>
      </c>
      <c r="G122" s="210" t="s">
        <v>88</v>
      </c>
      <c r="H122" s="211" t="s">
        <v>1620</v>
      </c>
      <c r="I122" s="156" t="s">
        <v>26</v>
      </c>
      <c r="J122" s="209" t="s">
        <v>1436</v>
      </c>
      <c r="K122" s="211"/>
    </row>
    <row r="123" spans="1:11" ht="66.75">
      <c r="A123" s="204">
        <v>121</v>
      </c>
      <c r="B123" s="205">
        <v>45552</v>
      </c>
      <c r="C123" s="267" t="s">
        <v>831</v>
      </c>
      <c r="D123" s="204">
        <v>2024</v>
      </c>
      <c r="E123" s="204" t="s">
        <v>1431</v>
      </c>
      <c r="F123" s="204" t="s">
        <v>1449</v>
      </c>
      <c r="G123" s="206" t="s">
        <v>88</v>
      </c>
      <c r="H123" s="207" t="s">
        <v>1621</v>
      </c>
      <c r="I123" s="156" t="s">
        <v>26</v>
      </c>
      <c r="J123" s="204" t="s">
        <v>1436</v>
      </c>
      <c r="K123" s="207" t="s">
        <v>1548</v>
      </c>
    </row>
    <row r="124" spans="1:11" ht="117">
      <c r="A124" s="204">
        <v>122</v>
      </c>
      <c r="B124" s="208">
        <v>45552</v>
      </c>
      <c r="C124" s="267" t="s">
        <v>831</v>
      </c>
      <c r="D124" s="204">
        <v>2024</v>
      </c>
      <c r="E124" s="209" t="s">
        <v>1431</v>
      </c>
      <c r="F124" s="209" t="s">
        <v>1436</v>
      </c>
      <c r="G124" s="210" t="s">
        <v>88</v>
      </c>
      <c r="H124" s="211" t="s">
        <v>1622</v>
      </c>
      <c r="I124" s="156" t="s">
        <v>26</v>
      </c>
      <c r="J124" s="209" t="s">
        <v>1436</v>
      </c>
      <c r="K124" s="211" t="s">
        <v>1437</v>
      </c>
    </row>
    <row r="125" spans="1:11" ht="33.75">
      <c r="A125" s="204">
        <v>123</v>
      </c>
      <c r="B125" s="205">
        <v>45552</v>
      </c>
      <c r="C125" s="267" t="s">
        <v>831</v>
      </c>
      <c r="D125" s="204">
        <v>2024</v>
      </c>
      <c r="E125" s="204" t="s">
        <v>1431</v>
      </c>
      <c r="F125" s="204" t="s">
        <v>1436</v>
      </c>
      <c r="G125" s="206" t="s">
        <v>88</v>
      </c>
      <c r="H125" s="207" t="s">
        <v>1623</v>
      </c>
      <c r="I125" s="156" t="s">
        <v>26</v>
      </c>
      <c r="J125" s="204" t="s">
        <v>1436</v>
      </c>
      <c r="K125" s="207"/>
    </row>
    <row r="126" spans="1:11" ht="117">
      <c r="A126" s="204">
        <v>124</v>
      </c>
      <c r="B126" s="208">
        <v>45553</v>
      </c>
      <c r="C126" s="267" t="s">
        <v>831</v>
      </c>
      <c r="D126" s="204">
        <v>2024</v>
      </c>
      <c r="E126" s="209" t="s">
        <v>1431</v>
      </c>
      <c r="F126" s="209" t="s">
        <v>1158</v>
      </c>
      <c r="G126" s="210" t="s">
        <v>88</v>
      </c>
      <c r="H126" s="211" t="s">
        <v>1624</v>
      </c>
      <c r="I126" s="156" t="s">
        <v>26</v>
      </c>
      <c r="J126" s="209" t="s">
        <v>1436</v>
      </c>
      <c r="K126" s="211" t="s">
        <v>1522</v>
      </c>
    </row>
    <row r="127" spans="1:11" ht="100.5">
      <c r="A127" s="204">
        <v>125</v>
      </c>
      <c r="B127" s="205">
        <v>45553</v>
      </c>
      <c r="C127" s="267" t="s">
        <v>831</v>
      </c>
      <c r="D127" s="204">
        <v>2024</v>
      </c>
      <c r="E127" s="204" t="s">
        <v>1431</v>
      </c>
      <c r="F127" s="204" t="s">
        <v>1449</v>
      </c>
      <c r="G127" s="206" t="s">
        <v>88</v>
      </c>
      <c r="H127" s="207" t="s">
        <v>1625</v>
      </c>
      <c r="I127" s="156" t="s">
        <v>26</v>
      </c>
      <c r="J127" s="204" t="s">
        <v>1436</v>
      </c>
      <c r="K127" s="207" t="s">
        <v>1478</v>
      </c>
    </row>
    <row r="128" spans="1:11" ht="117">
      <c r="A128" s="204">
        <v>126</v>
      </c>
      <c r="B128" s="208">
        <v>45553</v>
      </c>
      <c r="C128" s="267" t="s">
        <v>831</v>
      </c>
      <c r="D128" s="204">
        <v>2024</v>
      </c>
      <c r="E128" s="209" t="s">
        <v>1431</v>
      </c>
      <c r="F128" s="209" t="s">
        <v>1449</v>
      </c>
      <c r="G128" s="210" t="s">
        <v>88</v>
      </c>
      <c r="H128" s="211" t="s">
        <v>1626</v>
      </c>
      <c r="I128" s="156" t="s">
        <v>26</v>
      </c>
      <c r="J128" s="209" t="s">
        <v>1436</v>
      </c>
      <c r="K128" s="211" t="s">
        <v>1451</v>
      </c>
    </row>
    <row r="129" spans="1:11" ht="134.25">
      <c r="A129" s="204">
        <v>127</v>
      </c>
      <c r="B129" s="205">
        <v>45553</v>
      </c>
      <c r="C129" s="267" t="s">
        <v>831</v>
      </c>
      <c r="D129" s="204">
        <v>2024</v>
      </c>
      <c r="E129" s="204" t="s">
        <v>1431</v>
      </c>
      <c r="F129" s="204" t="s">
        <v>1539</v>
      </c>
      <c r="G129" s="215" t="s">
        <v>872</v>
      </c>
      <c r="H129" s="207" t="s">
        <v>1627</v>
      </c>
      <c r="I129" s="156" t="s">
        <v>26</v>
      </c>
      <c r="J129" s="204" t="s">
        <v>1436</v>
      </c>
      <c r="K129" s="207" t="s">
        <v>1497</v>
      </c>
    </row>
    <row r="130" spans="1:11" ht="100.5">
      <c r="A130" s="204">
        <v>128</v>
      </c>
      <c r="B130" s="208">
        <v>45554</v>
      </c>
      <c r="C130" s="267" t="s">
        <v>831</v>
      </c>
      <c r="D130" s="204">
        <v>2024</v>
      </c>
      <c r="E130" s="209" t="s">
        <v>1431</v>
      </c>
      <c r="F130" s="209" t="s">
        <v>574</v>
      </c>
      <c r="G130" s="210" t="s">
        <v>88</v>
      </c>
      <c r="H130" s="211" t="s">
        <v>1628</v>
      </c>
      <c r="I130" s="156" t="s">
        <v>26</v>
      </c>
      <c r="J130" s="209" t="s">
        <v>1436</v>
      </c>
      <c r="K130" s="211" t="s">
        <v>1472</v>
      </c>
    </row>
    <row r="131" spans="1:11" ht="117">
      <c r="A131" s="204">
        <v>129</v>
      </c>
      <c r="B131" s="205">
        <v>45554</v>
      </c>
      <c r="C131" s="267" t="s">
        <v>831</v>
      </c>
      <c r="D131" s="204">
        <v>2024</v>
      </c>
      <c r="E131" s="204" t="s">
        <v>1431</v>
      </c>
      <c r="F131" s="204" t="s">
        <v>1449</v>
      </c>
      <c r="G131" s="206" t="s">
        <v>88</v>
      </c>
      <c r="H131" s="207" t="s">
        <v>1629</v>
      </c>
      <c r="I131" s="156" t="s">
        <v>26</v>
      </c>
      <c r="J131" s="204" t="s">
        <v>1436</v>
      </c>
      <c r="K131" s="207" t="s">
        <v>1451</v>
      </c>
    </row>
    <row r="132" spans="1:11" ht="134.25">
      <c r="A132" s="204">
        <v>130</v>
      </c>
      <c r="B132" s="208">
        <v>45554</v>
      </c>
      <c r="C132" s="267" t="s">
        <v>831</v>
      </c>
      <c r="D132" s="204">
        <v>2024</v>
      </c>
      <c r="E132" s="209" t="s">
        <v>1431</v>
      </c>
      <c r="F132" s="209" t="s">
        <v>1539</v>
      </c>
      <c r="G132" s="216" t="s">
        <v>872</v>
      </c>
      <c r="H132" s="211" t="s">
        <v>1630</v>
      </c>
      <c r="I132" s="156" t="s">
        <v>26</v>
      </c>
      <c r="J132" s="209" t="s">
        <v>1436</v>
      </c>
      <c r="K132" s="211" t="s">
        <v>1497</v>
      </c>
    </row>
    <row r="133" spans="1:11" ht="150.75">
      <c r="A133" s="204">
        <v>131</v>
      </c>
      <c r="B133" s="205">
        <v>45555</v>
      </c>
      <c r="C133" s="267" t="s">
        <v>831</v>
      </c>
      <c r="D133" s="204">
        <v>2024</v>
      </c>
      <c r="E133" s="204" t="s">
        <v>1431</v>
      </c>
      <c r="F133" s="204" t="s">
        <v>216</v>
      </c>
      <c r="G133" s="213" t="s">
        <v>821</v>
      </c>
      <c r="H133" s="207" t="s">
        <v>1631</v>
      </c>
      <c r="I133" s="156" t="s">
        <v>26</v>
      </c>
      <c r="J133" s="204" t="s">
        <v>1436</v>
      </c>
      <c r="K133" s="207" t="s">
        <v>1513</v>
      </c>
    </row>
    <row r="134" spans="1:11" ht="84">
      <c r="A134" s="204">
        <v>132</v>
      </c>
      <c r="B134" s="208">
        <v>45555</v>
      </c>
      <c r="C134" s="267" t="s">
        <v>831</v>
      </c>
      <c r="D134" s="204">
        <v>2024</v>
      </c>
      <c r="E134" s="209" t="s">
        <v>1431</v>
      </c>
      <c r="F134" s="209" t="s">
        <v>1518</v>
      </c>
      <c r="G134" s="213" t="s">
        <v>821</v>
      </c>
      <c r="H134" s="211" t="s">
        <v>1632</v>
      </c>
      <c r="I134" s="156" t="s">
        <v>26</v>
      </c>
      <c r="J134" s="209" t="s">
        <v>1436</v>
      </c>
      <c r="K134" s="211" t="s">
        <v>1444</v>
      </c>
    </row>
    <row r="135" spans="1:11" ht="66.75">
      <c r="A135" s="204">
        <v>133</v>
      </c>
      <c r="B135" s="205">
        <v>45555</v>
      </c>
      <c r="C135" s="267" t="s">
        <v>831</v>
      </c>
      <c r="D135" s="204">
        <v>2024</v>
      </c>
      <c r="E135" s="204" t="s">
        <v>1431</v>
      </c>
      <c r="F135" s="204" t="s">
        <v>1449</v>
      </c>
      <c r="G135" s="206" t="s">
        <v>88</v>
      </c>
      <c r="H135" s="207" t="s">
        <v>1633</v>
      </c>
      <c r="I135" s="156" t="s">
        <v>26</v>
      </c>
      <c r="J135" s="204" t="s">
        <v>1436</v>
      </c>
      <c r="K135" s="207" t="s">
        <v>1548</v>
      </c>
    </row>
    <row r="136" spans="1:11" ht="117">
      <c r="A136" s="204">
        <v>134</v>
      </c>
      <c r="B136" s="208">
        <v>45555</v>
      </c>
      <c r="C136" s="267" t="s">
        <v>831</v>
      </c>
      <c r="D136" s="204">
        <v>2024</v>
      </c>
      <c r="E136" s="209" t="s">
        <v>1431</v>
      </c>
      <c r="F136" s="209" t="s">
        <v>1449</v>
      </c>
      <c r="G136" s="210" t="s">
        <v>88</v>
      </c>
      <c r="H136" s="211" t="s">
        <v>1634</v>
      </c>
      <c r="I136" s="156" t="s">
        <v>26</v>
      </c>
      <c r="J136" s="209" t="s">
        <v>1436</v>
      </c>
      <c r="K136" s="211" t="s">
        <v>1451</v>
      </c>
    </row>
    <row r="137" spans="1:11" ht="117">
      <c r="A137" s="204">
        <v>135</v>
      </c>
      <c r="B137" s="205">
        <v>45558</v>
      </c>
      <c r="C137" s="267" t="s">
        <v>831</v>
      </c>
      <c r="D137" s="204">
        <v>2024</v>
      </c>
      <c r="E137" s="204" t="s">
        <v>1431</v>
      </c>
      <c r="F137" s="204" t="s">
        <v>216</v>
      </c>
      <c r="G137" s="213" t="s">
        <v>821</v>
      </c>
      <c r="H137" s="207" t="s">
        <v>1635</v>
      </c>
      <c r="I137" s="156" t="s">
        <v>26</v>
      </c>
      <c r="J137" s="204" t="s">
        <v>1436</v>
      </c>
      <c r="K137" s="207" t="s">
        <v>1446</v>
      </c>
    </row>
    <row r="138" spans="1:11" ht="150.75">
      <c r="A138" s="204">
        <v>136</v>
      </c>
      <c r="B138" s="208">
        <v>45558</v>
      </c>
      <c r="C138" s="267" t="s">
        <v>831</v>
      </c>
      <c r="D138" s="204">
        <v>2024</v>
      </c>
      <c r="E138" s="209" t="s">
        <v>1431</v>
      </c>
      <c r="F138" s="209" t="s">
        <v>21</v>
      </c>
      <c r="G138" s="213" t="s">
        <v>821</v>
      </c>
      <c r="H138" s="211" t="s">
        <v>1636</v>
      </c>
      <c r="I138" s="156" t="s">
        <v>26</v>
      </c>
      <c r="J138" s="209" t="s">
        <v>1436</v>
      </c>
      <c r="K138" s="211" t="s">
        <v>1513</v>
      </c>
    </row>
    <row r="139" spans="1:11" ht="117">
      <c r="A139" s="204">
        <v>137</v>
      </c>
      <c r="B139" s="205">
        <v>45558</v>
      </c>
      <c r="C139" s="267" t="s">
        <v>831</v>
      </c>
      <c r="D139" s="204">
        <v>2024</v>
      </c>
      <c r="E139" s="204" t="s">
        <v>1431</v>
      </c>
      <c r="F139" s="204" t="s">
        <v>1449</v>
      </c>
      <c r="G139" s="206" t="s">
        <v>88</v>
      </c>
      <c r="H139" s="207" t="s">
        <v>1637</v>
      </c>
      <c r="I139" s="156" t="s">
        <v>26</v>
      </c>
      <c r="J139" s="204" t="s">
        <v>1436</v>
      </c>
      <c r="K139" s="207" t="s">
        <v>1451</v>
      </c>
    </row>
    <row r="140" spans="1:11" ht="100.5">
      <c r="A140" s="204">
        <v>138</v>
      </c>
      <c r="B140" s="208">
        <v>45558</v>
      </c>
      <c r="C140" s="267" t="s">
        <v>831</v>
      </c>
      <c r="D140" s="204">
        <v>2024</v>
      </c>
      <c r="E140" s="209" t="s">
        <v>1431</v>
      </c>
      <c r="F140" s="209" t="s">
        <v>1436</v>
      </c>
      <c r="G140" s="210" t="s">
        <v>88</v>
      </c>
      <c r="H140" s="211" t="s">
        <v>1638</v>
      </c>
      <c r="I140" s="156" t="s">
        <v>26</v>
      </c>
      <c r="J140" s="209" t="s">
        <v>1436</v>
      </c>
      <c r="K140" s="211" t="s">
        <v>1454</v>
      </c>
    </row>
    <row r="141" spans="1:11" ht="117">
      <c r="A141" s="204">
        <v>139</v>
      </c>
      <c r="B141" s="205">
        <v>45558</v>
      </c>
      <c r="C141" s="267" t="s">
        <v>831</v>
      </c>
      <c r="D141" s="204">
        <v>2024</v>
      </c>
      <c r="E141" s="204" t="s">
        <v>1431</v>
      </c>
      <c r="F141" s="204" t="s">
        <v>1539</v>
      </c>
      <c r="G141" s="206" t="s">
        <v>88</v>
      </c>
      <c r="H141" s="207" t="s">
        <v>1639</v>
      </c>
      <c r="I141" s="156" t="s">
        <v>26</v>
      </c>
      <c r="J141" s="204" t="s">
        <v>1436</v>
      </c>
      <c r="K141" s="207" t="s">
        <v>1522</v>
      </c>
    </row>
    <row r="142" spans="1:11" ht="100.5">
      <c r="A142" s="204">
        <v>140</v>
      </c>
      <c r="B142" s="208">
        <v>45558</v>
      </c>
      <c r="C142" s="267" t="s">
        <v>831</v>
      </c>
      <c r="D142" s="204">
        <v>2024</v>
      </c>
      <c r="E142" s="209" t="s">
        <v>1431</v>
      </c>
      <c r="F142" s="209" t="s">
        <v>1506</v>
      </c>
      <c r="G142" s="210" t="s">
        <v>88</v>
      </c>
      <c r="H142" s="211" t="s">
        <v>1640</v>
      </c>
      <c r="I142" s="156" t="s">
        <v>26</v>
      </c>
      <c r="J142" s="209" t="s">
        <v>1436</v>
      </c>
      <c r="K142" s="211" t="s">
        <v>1500</v>
      </c>
    </row>
    <row r="143" spans="1:11" ht="66.75">
      <c r="A143" s="204">
        <v>141</v>
      </c>
      <c r="B143" s="205">
        <v>45558</v>
      </c>
      <c r="C143" s="267" t="s">
        <v>831</v>
      </c>
      <c r="D143" s="204">
        <v>2024</v>
      </c>
      <c r="E143" s="204" t="s">
        <v>1431</v>
      </c>
      <c r="F143" s="204" t="s">
        <v>1580</v>
      </c>
      <c r="G143" s="206" t="s">
        <v>88</v>
      </c>
      <c r="H143" s="207" t="s">
        <v>1641</v>
      </c>
      <c r="I143" s="156" t="s">
        <v>26</v>
      </c>
      <c r="J143" s="204" t="s">
        <v>1436</v>
      </c>
      <c r="K143" s="207"/>
    </row>
    <row r="144" spans="1:11" ht="100.5">
      <c r="A144" s="204">
        <v>142</v>
      </c>
      <c r="B144" s="208">
        <v>45559</v>
      </c>
      <c r="C144" s="267" t="s">
        <v>831</v>
      </c>
      <c r="D144" s="204">
        <v>2024</v>
      </c>
      <c r="E144" s="209" t="s">
        <v>1431</v>
      </c>
      <c r="F144" s="209" t="s">
        <v>1436</v>
      </c>
      <c r="G144" s="210" t="s">
        <v>88</v>
      </c>
      <c r="H144" s="211" t="s">
        <v>1642</v>
      </c>
      <c r="I144" s="156" t="s">
        <v>26</v>
      </c>
      <c r="J144" s="209" t="s">
        <v>1436</v>
      </c>
      <c r="K144" s="211" t="s">
        <v>1500</v>
      </c>
    </row>
    <row r="145" spans="1:11" ht="117">
      <c r="A145" s="204">
        <v>143</v>
      </c>
      <c r="B145" s="205">
        <v>45559</v>
      </c>
      <c r="C145" s="267" t="s">
        <v>831</v>
      </c>
      <c r="D145" s="204">
        <v>2024</v>
      </c>
      <c r="E145" s="204" t="s">
        <v>1431</v>
      </c>
      <c r="F145" s="204" t="s">
        <v>1449</v>
      </c>
      <c r="G145" s="206" t="s">
        <v>88</v>
      </c>
      <c r="H145" s="207" t="s">
        <v>1643</v>
      </c>
      <c r="I145" s="156" t="s">
        <v>26</v>
      </c>
      <c r="J145" s="204" t="s">
        <v>1436</v>
      </c>
      <c r="K145" s="207" t="s">
        <v>1451</v>
      </c>
    </row>
    <row r="146" spans="1:11" ht="117">
      <c r="A146" s="204">
        <v>144</v>
      </c>
      <c r="B146" s="208">
        <v>45559</v>
      </c>
      <c r="C146" s="267" t="s">
        <v>831</v>
      </c>
      <c r="D146" s="204">
        <v>2024</v>
      </c>
      <c r="E146" s="209" t="s">
        <v>1431</v>
      </c>
      <c r="F146" s="209" t="s">
        <v>216</v>
      </c>
      <c r="G146" s="213" t="s">
        <v>821</v>
      </c>
      <c r="H146" s="211" t="s">
        <v>1635</v>
      </c>
      <c r="I146" s="156" t="s">
        <v>26</v>
      </c>
      <c r="J146" s="209" t="s">
        <v>1436</v>
      </c>
      <c r="K146" s="211" t="s">
        <v>1446</v>
      </c>
    </row>
    <row r="147" spans="1:11" ht="134.25">
      <c r="A147" s="204">
        <v>145</v>
      </c>
      <c r="B147" s="205">
        <v>45560</v>
      </c>
      <c r="C147" s="267" t="s">
        <v>831</v>
      </c>
      <c r="D147" s="204">
        <v>2024</v>
      </c>
      <c r="E147" s="204" t="s">
        <v>1431</v>
      </c>
      <c r="F147" s="204" t="s">
        <v>1608</v>
      </c>
      <c r="G147" s="212" t="s">
        <v>1439</v>
      </c>
      <c r="H147" s="207" t="s">
        <v>1644</v>
      </c>
      <c r="I147" s="156" t="s">
        <v>26</v>
      </c>
      <c r="J147" s="204" t="s">
        <v>1436</v>
      </c>
      <c r="K147" s="207" t="s">
        <v>1442</v>
      </c>
    </row>
    <row r="148" spans="1:11" ht="50.25">
      <c r="A148" s="204">
        <v>146</v>
      </c>
      <c r="B148" s="208">
        <v>45560</v>
      </c>
      <c r="C148" s="267" t="s">
        <v>831</v>
      </c>
      <c r="D148" s="204">
        <v>2024</v>
      </c>
      <c r="E148" s="209" t="s">
        <v>1431</v>
      </c>
      <c r="F148" s="209" t="s">
        <v>1436</v>
      </c>
      <c r="G148" s="210" t="s">
        <v>88</v>
      </c>
      <c r="H148" s="211" t="s">
        <v>1645</v>
      </c>
      <c r="I148" s="156" t="s">
        <v>26</v>
      </c>
      <c r="J148" s="209" t="s">
        <v>1436</v>
      </c>
      <c r="K148" s="211"/>
    </row>
    <row r="149" spans="1:11" ht="100.5">
      <c r="A149" s="204">
        <v>147</v>
      </c>
      <c r="B149" s="205">
        <v>45560</v>
      </c>
      <c r="C149" s="267" t="s">
        <v>831</v>
      </c>
      <c r="D149" s="204">
        <v>2024</v>
      </c>
      <c r="E149" s="204" t="s">
        <v>1431</v>
      </c>
      <c r="F149" s="204" t="s">
        <v>1436</v>
      </c>
      <c r="G149" s="206" t="s">
        <v>88</v>
      </c>
      <c r="H149" s="207" t="s">
        <v>1646</v>
      </c>
      <c r="I149" s="156" t="s">
        <v>26</v>
      </c>
      <c r="J149" s="204" t="s">
        <v>1436</v>
      </c>
      <c r="K149" s="207" t="s">
        <v>1472</v>
      </c>
    </row>
    <row r="150" spans="1:11" ht="84">
      <c r="A150" s="204">
        <v>148</v>
      </c>
      <c r="B150" s="208">
        <v>45560</v>
      </c>
      <c r="C150" s="267" t="s">
        <v>831</v>
      </c>
      <c r="D150" s="204">
        <v>2024</v>
      </c>
      <c r="E150" s="209" t="s">
        <v>1431</v>
      </c>
      <c r="F150" s="209" t="s">
        <v>1566</v>
      </c>
      <c r="G150" s="210" t="s">
        <v>88</v>
      </c>
      <c r="H150" s="211" t="s">
        <v>1647</v>
      </c>
      <c r="I150" s="156" t="s">
        <v>26</v>
      </c>
      <c r="J150" s="209" t="s">
        <v>1436</v>
      </c>
      <c r="K150" s="211" t="s">
        <v>1500</v>
      </c>
    </row>
    <row r="151" spans="1:11" ht="117">
      <c r="A151" s="204">
        <v>149</v>
      </c>
      <c r="B151" s="205">
        <v>45560</v>
      </c>
      <c r="C151" s="267" t="s">
        <v>831</v>
      </c>
      <c r="D151" s="204">
        <v>2024</v>
      </c>
      <c r="E151" s="204" t="s">
        <v>1431</v>
      </c>
      <c r="F151" s="204" t="s">
        <v>1539</v>
      </c>
      <c r="G151" s="206" t="s">
        <v>88</v>
      </c>
      <c r="H151" s="207" t="s">
        <v>1648</v>
      </c>
      <c r="I151" s="156" t="s">
        <v>26</v>
      </c>
      <c r="J151" s="204" t="s">
        <v>1436</v>
      </c>
      <c r="K151" s="207" t="s">
        <v>1451</v>
      </c>
    </row>
    <row r="152" spans="1:11" ht="134.25">
      <c r="A152" s="204">
        <v>150</v>
      </c>
      <c r="B152" s="208">
        <v>45560</v>
      </c>
      <c r="C152" s="267" t="s">
        <v>831</v>
      </c>
      <c r="D152" s="204">
        <v>2024</v>
      </c>
      <c r="E152" s="209" t="s">
        <v>1431</v>
      </c>
      <c r="F152" s="209" t="s">
        <v>1539</v>
      </c>
      <c r="G152" s="216" t="s">
        <v>872</v>
      </c>
      <c r="H152" s="211" t="s">
        <v>1649</v>
      </c>
      <c r="I152" s="156" t="s">
        <v>26</v>
      </c>
      <c r="J152" s="209" t="s">
        <v>1436</v>
      </c>
      <c r="K152" s="211" t="s">
        <v>1497</v>
      </c>
    </row>
    <row r="153" spans="1:11" ht="50.25">
      <c r="A153" s="204">
        <v>151</v>
      </c>
      <c r="B153" s="205">
        <v>45561</v>
      </c>
      <c r="C153" s="267" t="s">
        <v>831</v>
      </c>
      <c r="D153" s="204">
        <v>2024</v>
      </c>
      <c r="E153" s="204" t="s">
        <v>1431</v>
      </c>
      <c r="F153" s="204" t="s">
        <v>1436</v>
      </c>
      <c r="G153" s="206" t="s">
        <v>88</v>
      </c>
      <c r="H153" s="207" t="s">
        <v>1645</v>
      </c>
      <c r="I153" s="156" t="s">
        <v>26</v>
      </c>
      <c r="J153" s="204" t="s">
        <v>1436</v>
      </c>
      <c r="K153" s="207"/>
    </row>
    <row r="154" spans="1:11" ht="134.25">
      <c r="A154" s="204">
        <v>152</v>
      </c>
      <c r="B154" s="208">
        <v>45561</v>
      </c>
      <c r="C154" s="267" t="s">
        <v>831</v>
      </c>
      <c r="D154" s="204">
        <v>2024</v>
      </c>
      <c r="E154" s="209" t="s">
        <v>1431</v>
      </c>
      <c r="F154" s="209" t="s">
        <v>216</v>
      </c>
      <c r="G154" s="213" t="s">
        <v>821</v>
      </c>
      <c r="H154" s="211" t="s">
        <v>1650</v>
      </c>
      <c r="I154" s="156" t="s">
        <v>26</v>
      </c>
      <c r="J154" s="209" t="s">
        <v>1436</v>
      </c>
      <c r="K154" s="211" t="s">
        <v>1601</v>
      </c>
    </row>
    <row r="155" spans="1:11" ht="117">
      <c r="A155" s="204">
        <v>153</v>
      </c>
      <c r="B155" s="205">
        <v>45561</v>
      </c>
      <c r="C155" s="267" t="s">
        <v>831</v>
      </c>
      <c r="D155" s="204">
        <v>2024</v>
      </c>
      <c r="E155" s="204" t="s">
        <v>1431</v>
      </c>
      <c r="F155" s="204" t="s">
        <v>1449</v>
      </c>
      <c r="G155" s="206" t="s">
        <v>88</v>
      </c>
      <c r="H155" s="207" t="s">
        <v>1651</v>
      </c>
      <c r="I155" s="156" t="s">
        <v>26</v>
      </c>
      <c r="J155" s="204" t="s">
        <v>1436</v>
      </c>
      <c r="K155" s="207" t="s">
        <v>1451</v>
      </c>
    </row>
    <row r="156" spans="1:11" ht="100.5">
      <c r="A156" s="204">
        <v>154</v>
      </c>
      <c r="B156" s="208">
        <v>45561</v>
      </c>
      <c r="C156" s="267" t="s">
        <v>831</v>
      </c>
      <c r="D156" s="204">
        <v>2024</v>
      </c>
      <c r="E156" s="209" t="s">
        <v>1431</v>
      </c>
      <c r="F156" s="209" t="s">
        <v>1436</v>
      </c>
      <c r="G156" s="210" t="s">
        <v>88</v>
      </c>
      <c r="H156" s="211" t="s">
        <v>1652</v>
      </c>
      <c r="I156" s="156" t="s">
        <v>26</v>
      </c>
      <c r="J156" s="209" t="s">
        <v>1436</v>
      </c>
      <c r="K156" s="211" t="s">
        <v>1454</v>
      </c>
    </row>
    <row r="157" spans="1:11" ht="117">
      <c r="A157" s="204">
        <v>155</v>
      </c>
      <c r="B157" s="205">
        <v>45561</v>
      </c>
      <c r="C157" s="267" t="s">
        <v>831</v>
      </c>
      <c r="D157" s="204">
        <v>2024</v>
      </c>
      <c r="E157" s="204" t="s">
        <v>1431</v>
      </c>
      <c r="F157" s="204" t="s">
        <v>1518</v>
      </c>
      <c r="G157" s="206" t="s">
        <v>88</v>
      </c>
      <c r="H157" s="207" t="s">
        <v>1653</v>
      </c>
      <c r="I157" s="156" t="s">
        <v>26</v>
      </c>
      <c r="J157" s="204" t="s">
        <v>1436</v>
      </c>
      <c r="K157" s="207" t="s">
        <v>1451</v>
      </c>
    </row>
    <row r="158" spans="1:11" ht="134.25">
      <c r="A158" s="204">
        <v>156</v>
      </c>
      <c r="B158" s="208">
        <v>45561</v>
      </c>
      <c r="C158" s="267" t="s">
        <v>831</v>
      </c>
      <c r="D158" s="204">
        <v>2024</v>
      </c>
      <c r="E158" s="209" t="s">
        <v>1431</v>
      </c>
      <c r="F158" s="209" t="s">
        <v>1539</v>
      </c>
      <c r="G158" s="216" t="s">
        <v>872</v>
      </c>
      <c r="H158" s="211" t="s">
        <v>1654</v>
      </c>
      <c r="I158" s="156" t="s">
        <v>26</v>
      </c>
      <c r="J158" s="209" t="s">
        <v>1436</v>
      </c>
      <c r="K158" s="211" t="s">
        <v>1497</v>
      </c>
    </row>
    <row r="159" spans="1:11" ht="84">
      <c r="A159" s="204">
        <v>157</v>
      </c>
      <c r="B159" s="205">
        <v>45561</v>
      </c>
      <c r="C159" s="267" t="s">
        <v>831</v>
      </c>
      <c r="D159" s="204">
        <v>2024</v>
      </c>
      <c r="E159" s="204" t="s">
        <v>1431</v>
      </c>
      <c r="F159" s="204" t="s">
        <v>1566</v>
      </c>
      <c r="G159" s="215" t="s">
        <v>872</v>
      </c>
      <c r="H159" s="207" t="s">
        <v>1655</v>
      </c>
      <c r="I159" s="156" t="s">
        <v>26</v>
      </c>
      <c r="J159" s="204" t="s">
        <v>1436</v>
      </c>
      <c r="K159" s="207" t="s">
        <v>1500</v>
      </c>
    </row>
    <row r="160" spans="1:11" ht="66.75">
      <c r="A160" s="204">
        <v>158</v>
      </c>
      <c r="B160" s="208">
        <v>45562</v>
      </c>
      <c r="C160" s="267" t="s">
        <v>831</v>
      </c>
      <c r="D160" s="204">
        <v>2024</v>
      </c>
      <c r="E160" s="209" t="s">
        <v>1431</v>
      </c>
      <c r="F160" s="209" t="s">
        <v>1436</v>
      </c>
      <c r="G160" s="210" t="s">
        <v>88</v>
      </c>
      <c r="H160" s="211" t="s">
        <v>1656</v>
      </c>
      <c r="I160" s="156" t="s">
        <v>26</v>
      </c>
      <c r="J160" s="209" t="s">
        <v>1436</v>
      </c>
      <c r="K160" s="211"/>
    </row>
    <row r="161" spans="1:11" ht="84">
      <c r="A161" s="204">
        <v>159</v>
      </c>
      <c r="B161" s="205">
        <v>45562</v>
      </c>
      <c r="C161" s="267" t="s">
        <v>831</v>
      </c>
      <c r="D161" s="204">
        <v>2024</v>
      </c>
      <c r="E161" s="204" t="s">
        <v>1431</v>
      </c>
      <c r="F161" s="204" t="s">
        <v>1584</v>
      </c>
      <c r="G161" s="206" t="s">
        <v>88</v>
      </c>
      <c r="H161" s="207" t="s">
        <v>1657</v>
      </c>
      <c r="I161" s="156" t="s">
        <v>26</v>
      </c>
      <c r="J161" s="204" t="s">
        <v>1436</v>
      </c>
      <c r="K161" s="207" t="s">
        <v>1500</v>
      </c>
    </row>
    <row r="162" spans="1:11" ht="134.25">
      <c r="A162" s="204">
        <v>160</v>
      </c>
      <c r="B162" s="208">
        <v>45562</v>
      </c>
      <c r="C162" s="267" t="s">
        <v>831</v>
      </c>
      <c r="D162" s="204">
        <v>2024</v>
      </c>
      <c r="E162" s="209" t="s">
        <v>1431</v>
      </c>
      <c r="F162" s="209" t="s">
        <v>216</v>
      </c>
      <c r="G162" s="213" t="s">
        <v>821</v>
      </c>
      <c r="H162" s="211" t="s">
        <v>1658</v>
      </c>
      <c r="I162" s="156" t="s">
        <v>26</v>
      </c>
      <c r="J162" s="209" t="s">
        <v>1436</v>
      </c>
      <c r="K162" s="211" t="s">
        <v>1601</v>
      </c>
    </row>
    <row r="163" spans="1:11" ht="134.25">
      <c r="A163" s="204">
        <v>161</v>
      </c>
      <c r="B163" s="205">
        <v>45562</v>
      </c>
      <c r="C163" s="267" t="s">
        <v>831</v>
      </c>
      <c r="D163" s="204">
        <v>2024</v>
      </c>
      <c r="E163" s="204" t="s">
        <v>1431</v>
      </c>
      <c r="F163" s="204" t="s">
        <v>216</v>
      </c>
      <c r="G163" s="213" t="s">
        <v>821</v>
      </c>
      <c r="H163" s="207" t="s">
        <v>1659</v>
      </c>
      <c r="I163" s="156" t="s">
        <v>26</v>
      </c>
      <c r="J163" s="204" t="s">
        <v>1436</v>
      </c>
      <c r="K163" s="207" t="s">
        <v>1601</v>
      </c>
    </row>
    <row r="164" spans="1:11" ht="134.25">
      <c r="A164" s="204">
        <v>162</v>
      </c>
      <c r="B164" s="208">
        <v>45562</v>
      </c>
      <c r="C164" s="267" t="s">
        <v>831</v>
      </c>
      <c r="D164" s="204">
        <v>2024</v>
      </c>
      <c r="E164" s="209" t="s">
        <v>1431</v>
      </c>
      <c r="F164" s="209" t="s">
        <v>1608</v>
      </c>
      <c r="G164" s="212" t="s">
        <v>1439</v>
      </c>
      <c r="H164" s="211" t="s">
        <v>1660</v>
      </c>
      <c r="I164" s="156" t="s">
        <v>26</v>
      </c>
      <c r="J164" s="209" t="s">
        <v>1436</v>
      </c>
      <c r="K164" s="211" t="s">
        <v>1442</v>
      </c>
    </row>
    <row r="165" spans="1:11" ht="134.25">
      <c r="A165" s="204">
        <v>163</v>
      </c>
      <c r="B165" s="205">
        <v>45565</v>
      </c>
      <c r="C165" s="267" t="s">
        <v>831</v>
      </c>
      <c r="D165" s="204">
        <v>2024</v>
      </c>
      <c r="E165" s="204" t="s">
        <v>1431</v>
      </c>
      <c r="F165" s="204" t="s">
        <v>216</v>
      </c>
      <c r="G165" s="213" t="s">
        <v>821</v>
      </c>
      <c r="H165" s="207" t="s">
        <v>1658</v>
      </c>
      <c r="I165" s="156" t="s">
        <v>26</v>
      </c>
      <c r="J165" s="204" t="s">
        <v>1436</v>
      </c>
      <c r="K165" s="207" t="s">
        <v>1601</v>
      </c>
    </row>
    <row r="166" spans="1:11" ht="84">
      <c r="A166" s="204">
        <v>164</v>
      </c>
      <c r="B166" s="208">
        <v>45565</v>
      </c>
      <c r="C166" s="267" t="s">
        <v>831</v>
      </c>
      <c r="D166" s="204">
        <v>2024</v>
      </c>
      <c r="E166" s="209" t="s">
        <v>1431</v>
      </c>
      <c r="F166" s="209" t="s">
        <v>1506</v>
      </c>
      <c r="G166" s="210" t="s">
        <v>88</v>
      </c>
      <c r="H166" s="211" t="s">
        <v>1661</v>
      </c>
      <c r="I166" s="156" t="s">
        <v>26</v>
      </c>
      <c r="J166" s="209" t="s">
        <v>1436</v>
      </c>
      <c r="K166" s="211" t="s">
        <v>1500</v>
      </c>
    </row>
    <row r="167" spans="1:11" ht="117">
      <c r="A167" s="204">
        <v>165</v>
      </c>
      <c r="B167" s="205">
        <v>45565</v>
      </c>
      <c r="C167" s="267" t="s">
        <v>831</v>
      </c>
      <c r="D167" s="204">
        <v>2024</v>
      </c>
      <c r="E167" s="204" t="s">
        <v>1431</v>
      </c>
      <c r="F167" s="204" t="s">
        <v>1449</v>
      </c>
      <c r="G167" s="206" t="s">
        <v>88</v>
      </c>
      <c r="H167" s="207" t="s">
        <v>1662</v>
      </c>
      <c r="I167" s="156" t="s">
        <v>26</v>
      </c>
      <c r="J167" s="204" t="s">
        <v>1436</v>
      </c>
      <c r="K167" s="207" t="s">
        <v>1451</v>
      </c>
    </row>
    <row r="168" spans="1:11" ht="84">
      <c r="A168" s="204">
        <v>166</v>
      </c>
      <c r="B168" s="208">
        <v>45565</v>
      </c>
      <c r="C168" s="267" t="s">
        <v>831</v>
      </c>
      <c r="D168" s="204">
        <v>2024</v>
      </c>
      <c r="E168" s="209" t="s">
        <v>1431</v>
      </c>
      <c r="F168" s="209" t="s">
        <v>216</v>
      </c>
      <c r="G168" s="213" t="s">
        <v>821</v>
      </c>
      <c r="H168" s="211" t="s">
        <v>1663</v>
      </c>
      <c r="I168" s="156" t="s">
        <v>26</v>
      </c>
      <c r="J168" s="209" t="s">
        <v>1436</v>
      </c>
      <c r="K168" s="211"/>
    </row>
    <row r="169" spans="1:11" ht="134.25">
      <c r="A169" s="204">
        <v>167</v>
      </c>
      <c r="B169" s="205">
        <v>45565</v>
      </c>
      <c r="C169" s="267" t="s">
        <v>831</v>
      </c>
      <c r="D169" s="204">
        <v>2024</v>
      </c>
      <c r="E169" s="204" t="s">
        <v>1431</v>
      </c>
      <c r="F169" s="204" t="s">
        <v>1158</v>
      </c>
      <c r="G169" s="206" t="s">
        <v>88</v>
      </c>
      <c r="H169" s="207" t="s">
        <v>1664</v>
      </c>
      <c r="I169" s="156" t="s">
        <v>26</v>
      </c>
      <c r="J169" s="204" t="s">
        <v>1436</v>
      </c>
      <c r="K169" s="207" t="s">
        <v>1522</v>
      </c>
    </row>
    <row r="170" spans="1:11" ht="134.25">
      <c r="A170" s="204">
        <v>168</v>
      </c>
      <c r="B170" s="208">
        <v>45566</v>
      </c>
      <c r="C170" s="267" t="s">
        <v>832</v>
      </c>
      <c r="D170" s="204">
        <v>2024</v>
      </c>
      <c r="E170" s="209" t="s">
        <v>1431</v>
      </c>
      <c r="F170" s="209" t="s">
        <v>1608</v>
      </c>
      <c r="G170" s="212" t="s">
        <v>1439</v>
      </c>
      <c r="H170" s="211" t="s">
        <v>1665</v>
      </c>
      <c r="I170" s="156" t="s">
        <v>26</v>
      </c>
      <c r="J170" s="209" t="s">
        <v>1436</v>
      </c>
      <c r="K170" s="211" t="s">
        <v>1442</v>
      </c>
    </row>
    <row r="171" spans="1:11" ht="100.5">
      <c r="A171" s="204">
        <v>169</v>
      </c>
      <c r="B171" s="205">
        <v>45566</v>
      </c>
      <c r="C171" s="267" t="s">
        <v>832</v>
      </c>
      <c r="D171" s="204">
        <v>2024</v>
      </c>
      <c r="E171" s="204" t="s">
        <v>1431</v>
      </c>
      <c r="F171" s="204" t="s">
        <v>574</v>
      </c>
      <c r="G171" s="206" t="s">
        <v>88</v>
      </c>
      <c r="H171" s="207" t="s">
        <v>1666</v>
      </c>
      <c r="I171" s="156" t="s">
        <v>26</v>
      </c>
      <c r="J171" s="204" t="s">
        <v>1436</v>
      </c>
      <c r="K171" s="207" t="s">
        <v>1472</v>
      </c>
    </row>
    <row r="172" spans="1:11" ht="84">
      <c r="A172" s="204">
        <v>170</v>
      </c>
      <c r="B172" s="208">
        <v>45566</v>
      </c>
      <c r="C172" s="267" t="s">
        <v>832</v>
      </c>
      <c r="D172" s="204">
        <v>2024</v>
      </c>
      <c r="E172" s="209" t="s">
        <v>1431</v>
      </c>
      <c r="F172" s="209" t="s">
        <v>1506</v>
      </c>
      <c r="G172" s="210" t="s">
        <v>88</v>
      </c>
      <c r="H172" s="211" t="s">
        <v>1667</v>
      </c>
      <c r="I172" s="156" t="s">
        <v>26</v>
      </c>
      <c r="J172" s="209" t="s">
        <v>1436</v>
      </c>
      <c r="K172" s="211" t="s">
        <v>1500</v>
      </c>
    </row>
    <row r="173" spans="1:11" ht="84">
      <c r="A173" s="204">
        <v>171</v>
      </c>
      <c r="B173" s="205">
        <v>45566</v>
      </c>
      <c r="C173" s="267" t="s">
        <v>832</v>
      </c>
      <c r="D173" s="204">
        <v>2024</v>
      </c>
      <c r="E173" s="204" t="s">
        <v>1431</v>
      </c>
      <c r="F173" s="204" t="s">
        <v>1436</v>
      </c>
      <c r="G173" s="206" t="s">
        <v>88</v>
      </c>
      <c r="H173" s="207" t="s">
        <v>1668</v>
      </c>
      <c r="I173" s="156" t="s">
        <v>26</v>
      </c>
      <c r="J173" s="204" t="s">
        <v>1436</v>
      </c>
      <c r="K173" s="207"/>
    </row>
    <row r="174" spans="1:11" ht="134.25">
      <c r="A174" s="204">
        <v>172</v>
      </c>
      <c r="B174" s="208">
        <v>45566</v>
      </c>
      <c r="C174" s="267" t="s">
        <v>832</v>
      </c>
      <c r="D174" s="204">
        <v>2024</v>
      </c>
      <c r="E174" s="209" t="s">
        <v>1431</v>
      </c>
      <c r="F174" s="209" t="s">
        <v>1436</v>
      </c>
      <c r="G174" s="213" t="s">
        <v>821</v>
      </c>
      <c r="H174" s="211" t="s">
        <v>1669</v>
      </c>
      <c r="I174" s="156" t="s">
        <v>26</v>
      </c>
      <c r="J174" s="209" t="s">
        <v>1436</v>
      </c>
      <c r="K174" s="211" t="s">
        <v>1601</v>
      </c>
    </row>
    <row r="175" spans="1:11" ht="117">
      <c r="A175" s="204">
        <v>173</v>
      </c>
      <c r="B175" s="205">
        <v>45566</v>
      </c>
      <c r="C175" s="267" t="s">
        <v>832</v>
      </c>
      <c r="D175" s="204">
        <v>2024</v>
      </c>
      <c r="E175" s="204" t="s">
        <v>1431</v>
      </c>
      <c r="F175" s="204" t="s">
        <v>1436</v>
      </c>
      <c r="G175" s="206" t="s">
        <v>88</v>
      </c>
      <c r="H175" s="207" t="s">
        <v>1670</v>
      </c>
      <c r="I175" s="156" t="s">
        <v>26</v>
      </c>
      <c r="J175" s="204" t="s">
        <v>1436</v>
      </c>
      <c r="K175" s="207" t="s">
        <v>1522</v>
      </c>
    </row>
    <row r="176" spans="1:11" ht="100.5">
      <c r="A176" s="204">
        <v>174</v>
      </c>
      <c r="B176" s="208">
        <v>45566</v>
      </c>
      <c r="C176" s="267" t="s">
        <v>832</v>
      </c>
      <c r="D176" s="204">
        <v>2024</v>
      </c>
      <c r="E176" s="209" t="s">
        <v>1431</v>
      </c>
      <c r="F176" s="209" t="s">
        <v>1506</v>
      </c>
      <c r="G176" s="210" t="s">
        <v>88</v>
      </c>
      <c r="H176" s="211" t="s">
        <v>1671</v>
      </c>
      <c r="I176" s="156" t="s">
        <v>26</v>
      </c>
      <c r="J176" s="209" t="s">
        <v>1436</v>
      </c>
      <c r="K176" s="211" t="s">
        <v>1467</v>
      </c>
    </row>
    <row r="177" spans="1:11" ht="117">
      <c r="A177" s="204">
        <v>175</v>
      </c>
      <c r="B177" s="205">
        <v>45566</v>
      </c>
      <c r="C177" s="267" t="s">
        <v>832</v>
      </c>
      <c r="D177" s="204">
        <v>2024</v>
      </c>
      <c r="E177" s="204" t="s">
        <v>1431</v>
      </c>
      <c r="F177" s="204" t="s">
        <v>1449</v>
      </c>
      <c r="G177" s="206" t="s">
        <v>88</v>
      </c>
      <c r="H177" s="207" t="s">
        <v>1672</v>
      </c>
      <c r="I177" s="156" t="s">
        <v>26</v>
      </c>
      <c r="J177" s="204" t="s">
        <v>1436</v>
      </c>
      <c r="K177" s="207" t="s">
        <v>1451</v>
      </c>
    </row>
    <row r="178" spans="1:11" ht="33.75">
      <c r="A178" s="204">
        <v>176</v>
      </c>
      <c r="B178" s="208">
        <v>45566</v>
      </c>
      <c r="C178" s="267" t="s">
        <v>832</v>
      </c>
      <c r="D178" s="204">
        <v>2024</v>
      </c>
      <c r="E178" s="209" t="s">
        <v>1431</v>
      </c>
      <c r="F178" s="209" t="s">
        <v>574</v>
      </c>
      <c r="G178" s="210" t="s">
        <v>88</v>
      </c>
      <c r="H178" s="211" t="s">
        <v>1673</v>
      </c>
      <c r="I178" s="156" t="s">
        <v>26</v>
      </c>
      <c r="J178" s="209" t="s">
        <v>1436</v>
      </c>
      <c r="K178" s="211"/>
    </row>
    <row r="179" spans="1:11" ht="16.5">
      <c r="A179" s="204">
        <v>177</v>
      </c>
      <c r="B179" s="205">
        <v>45566</v>
      </c>
      <c r="C179" s="267" t="s">
        <v>832</v>
      </c>
      <c r="D179" s="204">
        <v>2024</v>
      </c>
      <c r="E179" s="204" t="s">
        <v>1431</v>
      </c>
      <c r="F179" s="204" t="s">
        <v>1449</v>
      </c>
      <c r="G179" s="206" t="s">
        <v>88</v>
      </c>
      <c r="H179" s="207" t="s">
        <v>1674</v>
      </c>
      <c r="I179" s="156" t="s">
        <v>26</v>
      </c>
      <c r="J179" s="204" t="s">
        <v>1436</v>
      </c>
      <c r="K179" s="207"/>
    </row>
    <row r="180" spans="1:11" ht="117">
      <c r="A180" s="204">
        <v>178</v>
      </c>
      <c r="B180" s="208">
        <v>45566</v>
      </c>
      <c r="C180" s="267" t="s">
        <v>832</v>
      </c>
      <c r="D180" s="204">
        <v>2024</v>
      </c>
      <c r="E180" s="209" t="s">
        <v>1431</v>
      </c>
      <c r="F180" s="209" t="s">
        <v>1449</v>
      </c>
      <c r="G180" s="210" t="s">
        <v>88</v>
      </c>
      <c r="H180" s="211" t="s">
        <v>1675</v>
      </c>
      <c r="I180" s="156" t="s">
        <v>26</v>
      </c>
      <c r="J180" s="209" t="s">
        <v>1436</v>
      </c>
      <c r="K180" s="211" t="s">
        <v>1559</v>
      </c>
    </row>
    <row r="181" spans="1:11" ht="134.25">
      <c r="A181" s="204">
        <v>179</v>
      </c>
      <c r="B181" s="205">
        <v>45567</v>
      </c>
      <c r="C181" s="267" t="s">
        <v>832</v>
      </c>
      <c r="D181" s="204">
        <v>2024</v>
      </c>
      <c r="E181" s="204" t="s">
        <v>1431</v>
      </c>
      <c r="F181" s="204" t="s">
        <v>1608</v>
      </c>
      <c r="G181" s="212" t="s">
        <v>1439</v>
      </c>
      <c r="H181" s="207" t="s">
        <v>1676</v>
      </c>
      <c r="I181" s="156" t="s">
        <v>26</v>
      </c>
      <c r="J181" s="204" t="s">
        <v>1436</v>
      </c>
      <c r="K181" s="207" t="s">
        <v>1442</v>
      </c>
    </row>
    <row r="182" spans="1:11" ht="100.5">
      <c r="A182" s="204">
        <v>180</v>
      </c>
      <c r="B182" s="208">
        <v>45567</v>
      </c>
      <c r="C182" s="267" t="s">
        <v>832</v>
      </c>
      <c r="D182" s="204">
        <v>2024</v>
      </c>
      <c r="E182" s="209" t="s">
        <v>1431</v>
      </c>
      <c r="F182" s="209" t="s">
        <v>574</v>
      </c>
      <c r="G182" s="210" t="s">
        <v>88</v>
      </c>
      <c r="H182" s="211" t="s">
        <v>1677</v>
      </c>
      <c r="I182" s="156" t="s">
        <v>26</v>
      </c>
      <c r="J182" s="209" t="s">
        <v>1436</v>
      </c>
      <c r="K182" s="211" t="s">
        <v>1472</v>
      </c>
    </row>
    <row r="183" spans="1:11" ht="117">
      <c r="A183" s="204">
        <v>181</v>
      </c>
      <c r="B183" s="205">
        <v>45567</v>
      </c>
      <c r="C183" s="267" t="s">
        <v>832</v>
      </c>
      <c r="D183" s="204">
        <v>2024</v>
      </c>
      <c r="E183" s="204" t="s">
        <v>1431</v>
      </c>
      <c r="F183" s="204" t="s">
        <v>1436</v>
      </c>
      <c r="G183" s="206" t="s">
        <v>88</v>
      </c>
      <c r="H183" s="207" t="s">
        <v>1678</v>
      </c>
      <c r="I183" s="156" t="s">
        <v>26</v>
      </c>
      <c r="J183" s="204" t="s">
        <v>1436</v>
      </c>
      <c r="K183" s="207" t="s">
        <v>1522</v>
      </c>
    </row>
    <row r="184" spans="1:11" ht="66.75">
      <c r="A184" s="204">
        <v>182</v>
      </c>
      <c r="B184" s="208">
        <v>45567</v>
      </c>
      <c r="C184" s="267" t="s">
        <v>832</v>
      </c>
      <c r="D184" s="204">
        <v>2024</v>
      </c>
      <c r="E184" s="209" t="s">
        <v>1431</v>
      </c>
      <c r="F184" s="209" t="s">
        <v>1539</v>
      </c>
      <c r="G184" s="210" t="s">
        <v>88</v>
      </c>
      <c r="H184" s="211" t="s">
        <v>1679</v>
      </c>
      <c r="I184" s="156" t="s">
        <v>26</v>
      </c>
      <c r="J184" s="209" t="s">
        <v>1436</v>
      </c>
      <c r="K184" s="211"/>
    </row>
    <row r="185" spans="1:11" ht="117">
      <c r="A185" s="204">
        <v>183</v>
      </c>
      <c r="B185" s="205">
        <v>45567</v>
      </c>
      <c r="C185" s="267" t="s">
        <v>832</v>
      </c>
      <c r="D185" s="204">
        <v>2024</v>
      </c>
      <c r="E185" s="204" t="s">
        <v>1431</v>
      </c>
      <c r="F185" s="204" t="s">
        <v>1449</v>
      </c>
      <c r="G185" s="206" t="s">
        <v>88</v>
      </c>
      <c r="H185" s="207" t="s">
        <v>1680</v>
      </c>
      <c r="I185" s="156" t="s">
        <v>26</v>
      </c>
      <c r="J185" s="204" t="s">
        <v>1436</v>
      </c>
      <c r="K185" s="207" t="s">
        <v>1451</v>
      </c>
    </row>
    <row r="186" spans="1:11" ht="66.75">
      <c r="A186" s="204">
        <v>184</v>
      </c>
      <c r="B186" s="208">
        <v>45567</v>
      </c>
      <c r="C186" s="267" t="s">
        <v>832</v>
      </c>
      <c r="D186" s="204">
        <v>2024</v>
      </c>
      <c r="E186" s="209" t="s">
        <v>1431</v>
      </c>
      <c r="F186" s="209" t="s">
        <v>1449</v>
      </c>
      <c r="G186" s="210" t="s">
        <v>88</v>
      </c>
      <c r="H186" s="211" t="s">
        <v>1681</v>
      </c>
      <c r="I186" s="156" t="s">
        <v>26</v>
      </c>
      <c r="J186" s="209" t="s">
        <v>1436</v>
      </c>
      <c r="K186" s="211" t="s">
        <v>1548</v>
      </c>
    </row>
    <row r="187" spans="1:11" ht="117">
      <c r="A187" s="204">
        <v>185</v>
      </c>
      <c r="B187" s="205">
        <v>45568</v>
      </c>
      <c r="C187" s="267" t="s">
        <v>832</v>
      </c>
      <c r="D187" s="204">
        <v>2024</v>
      </c>
      <c r="E187" s="204" t="s">
        <v>1431</v>
      </c>
      <c r="F187" s="204" t="s">
        <v>1449</v>
      </c>
      <c r="G187" s="206" t="s">
        <v>88</v>
      </c>
      <c r="H187" s="207" t="s">
        <v>1682</v>
      </c>
      <c r="I187" s="156" t="s">
        <v>26</v>
      </c>
      <c r="J187" s="204" t="s">
        <v>1436</v>
      </c>
      <c r="K187" s="207" t="s">
        <v>1451</v>
      </c>
    </row>
    <row r="188" spans="1:11" ht="66.75">
      <c r="A188" s="204">
        <v>186</v>
      </c>
      <c r="B188" s="208">
        <v>45568</v>
      </c>
      <c r="C188" s="267" t="s">
        <v>832</v>
      </c>
      <c r="D188" s="204">
        <v>2024</v>
      </c>
      <c r="E188" s="209" t="s">
        <v>1431</v>
      </c>
      <c r="F188" s="209" t="s">
        <v>1436</v>
      </c>
      <c r="G188" s="217" t="s">
        <v>859</v>
      </c>
      <c r="H188" s="211" t="s">
        <v>1683</v>
      </c>
      <c r="I188" s="156" t="s">
        <v>26</v>
      </c>
      <c r="J188" s="209" t="s">
        <v>1436</v>
      </c>
      <c r="K188" s="211"/>
    </row>
    <row r="189" spans="1:11" ht="66.75">
      <c r="A189" s="204">
        <v>187</v>
      </c>
      <c r="B189" s="205">
        <v>45569</v>
      </c>
      <c r="C189" s="267" t="s">
        <v>832</v>
      </c>
      <c r="D189" s="204">
        <v>2024</v>
      </c>
      <c r="E189" s="204" t="s">
        <v>1431</v>
      </c>
      <c r="F189" s="204" t="s">
        <v>1449</v>
      </c>
      <c r="G189" s="206" t="s">
        <v>88</v>
      </c>
      <c r="H189" s="207" t="s">
        <v>1684</v>
      </c>
      <c r="I189" s="156" t="s">
        <v>26</v>
      </c>
      <c r="J189" s="204" t="s">
        <v>1436</v>
      </c>
      <c r="K189" s="207" t="s">
        <v>1548</v>
      </c>
    </row>
    <row r="190" spans="1:11" ht="117">
      <c r="A190" s="204">
        <v>188</v>
      </c>
      <c r="B190" s="208">
        <v>45569</v>
      </c>
      <c r="C190" s="267" t="s">
        <v>832</v>
      </c>
      <c r="D190" s="204">
        <v>2024</v>
      </c>
      <c r="E190" s="209" t="s">
        <v>1431</v>
      </c>
      <c r="F190" s="209" t="s">
        <v>1449</v>
      </c>
      <c r="G190" s="210" t="s">
        <v>88</v>
      </c>
      <c r="H190" s="211" t="s">
        <v>1685</v>
      </c>
      <c r="I190" s="156" t="s">
        <v>26</v>
      </c>
      <c r="J190" s="209" t="s">
        <v>1436</v>
      </c>
      <c r="K190" s="211" t="s">
        <v>1451</v>
      </c>
    </row>
    <row r="191" spans="1:11" ht="50.25">
      <c r="A191" s="204">
        <v>189</v>
      </c>
      <c r="B191" s="205">
        <v>45569</v>
      </c>
      <c r="C191" s="267" t="s">
        <v>832</v>
      </c>
      <c r="D191" s="204">
        <v>2024</v>
      </c>
      <c r="E191" s="204" t="s">
        <v>1431</v>
      </c>
      <c r="F191" s="204" t="s">
        <v>21</v>
      </c>
      <c r="G191" s="213" t="s">
        <v>821</v>
      </c>
      <c r="H191" s="207" t="s">
        <v>1686</v>
      </c>
      <c r="I191" s="156" t="s">
        <v>26</v>
      </c>
      <c r="J191" s="204" t="s">
        <v>1436</v>
      </c>
      <c r="K191" s="207"/>
    </row>
    <row r="192" spans="1:11" ht="84">
      <c r="A192" s="204">
        <v>190</v>
      </c>
      <c r="B192" s="208">
        <v>45569</v>
      </c>
      <c r="C192" s="267" t="s">
        <v>832</v>
      </c>
      <c r="D192" s="204">
        <v>2024</v>
      </c>
      <c r="E192" s="209" t="s">
        <v>1431</v>
      </c>
      <c r="F192" s="209" t="s">
        <v>1518</v>
      </c>
      <c r="G192" s="210" t="s">
        <v>88</v>
      </c>
      <c r="H192" s="211" t="s">
        <v>1687</v>
      </c>
      <c r="I192" s="156" t="s">
        <v>26</v>
      </c>
      <c r="J192" s="209" t="s">
        <v>1436</v>
      </c>
      <c r="K192" s="211" t="s">
        <v>1444</v>
      </c>
    </row>
    <row r="193" spans="1:11" ht="150.75">
      <c r="A193" s="204">
        <v>191</v>
      </c>
      <c r="B193" s="205">
        <v>45569</v>
      </c>
      <c r="C193" s="267" t="s">
        <v>832</v>
      </c>
      <c r="D193" s="204">
        <v>2024</v>
      </c>
      <c r="E193" s="204" t="s">
        <v>1431</v>
      </c>
      <c r="F193" s="204" t="s">
        <v>21</v>
      </c>
      <c r="G193" s="213" t="s">
        <v>821</v>
      </c>
      <c r="H193" s="207" t="s">
        <v>1688</v>
      </c>
      <c r="I193" s="156" t="s">
        <v>26</v>
      </c>
      <c r="J193" s="204" t="s">
        <v>1436</v>
      </c>
      <c r="K193" s="207" t="s">
        <v>1513</v>
      </c>
    </row>
    <row r="194" spans="1:11" ht="16.5">
      <c r="A194" s="204">
        <v>192</v>
      </c>
      <c r="B194" s="208">
        <v>45572</v>
      </c>
      <c r="C194" s="267" t="s">
        <v>832</v>
      </c>
      <c r="D194" s="204">
        <v>2024</v>
      </c>
      <c r="E194" s="209" t="s">
        <v>1431</v>
      </c>
      <c r="F194" s="209" t="s">
        <v>1436</v>
      </c>
      <c r="G194" s="210" t="s">
        <v>88</v>
      </c>
      <c r="H194" s="211" t="s">
        <v>1689</v>
      </c>
      <c r="I194" s="156" t="s">
        <v>26</v>
      </c>
      <c r="J194" s="209" t="s">
        <v>1436</v>
      </c>
      <c r="K194" s="211"/>
    </row>
    <row r="195" spans="1:11" ht="100.5">
      <c r="A195" s="204">
        <v>193</v>
      </c>
      <c r="B195" s="205">
        <v>45572</v>
      </c>
      <c r="C195" s="267" t="s">
        <v>832</v>
      </c>
      <c r="D195" s="204">
        <v>2024</v>
      </c>
      <c r="E195" s="204" t="s">
        <v>1431</v>
      </c>
      <c r="F195" s="204" t="s">
        <v>1506</v>
      </c>
      <c r="G195" s="206" t="s">
        <v>88</v>
      </c>
      <c r="H195" s="207" t="s">
        <v>1690</v>
      </c>
      <c r="I195" s="156" t="s">
        <v>26</v>
      </c>
      <c r="J195" s="204" t="s">
        <v>1436</v>
      </c>
      <c r="K195" s="207" t="s">
        <v>1467</v>
      </c>
    </row>
    <row r="196" spans="1:11" ht="33.75">
      <c r="A196" s="204">
        <v>194</v>
      </c>
      <c r="B196" s="208">
        <v>45572</v>
      </c>
      <c r="C196" s="267" t="s">
        <v>832</v>
      </c>
      <c r="D196" s="204">
        <v>2024</v>
      </c>
      <c r="E196" s="209" t="s">
        <v>1431</v>
      </c>
      <c r="F196" s="209" t="s">
        <v>1449</v>
      </c>
      <c r="G196" s="210" t="s">
        <v>88</v>
      </c>
      <c r="H196" s="211" t="s">
        <v>1691</v>
      </c>
      <c r="I196" s="156" t="s">
        <v>26</v>
      </c>
      <c r="J196" s="209" t="s">
        <v>1436</v>
      </c>
      <c r="K196" s="211"/>
    </row>
    <row r="197" spans="1:11" ht="117">
      <c r="A197" s="204">
        <v>195</v>
      </c>
      <c r="B197" s="205">
        <v>45572</v>
      </c>
      <c r="C197" s="267" t="s">
        <v>832</v>
      </c>
      <c r="D197" s="204">
        <v>2024</v>
      </c>
      <c r="E197" s="204" t="s">
        <v>1431</v>
      </c>
      <c r="F197" s="204" t="s">
        <v>1449</v>
      </c>
      <c r="G197" s="206" t="s">
        <v>88</v>
      </c>
      <c r="H197" s="207" t="s">
        <v>1692</v>
      </c>
      <c r="I197" s="156" t="s">
        <v>26</v>
      </c>
      <c r="J197" s="204" t="s">
        <v>1436</v>
      </c>
      <c r="K197" s="207" t="s">
        <v>1451</v>
      </c>
    </row>
    <row r="198" spans="1:11" ht="100.5">
      <c r="A198" s="204">
        <v>196</v>
      </c>
      <c r="B198" s="208">
        <v>45572</v>
      </c>
      <c r="C198" s="267" t="s">
        <v>832</v>
      </c>
      <c r="D198" s="204">
        <v>2024</v>
      </c>
      <c r="E198" s="209" t="s">
        <v>1431</v>
      </c>
      <c r="F198" s="209" t="s">
        <v>1436</v>
      </c>
      <c r="G198" s="213" t="s">
        <v>821</v>
      </c>
      <c r="H198" s="211" t="s">
        <v>1693</v>
      </c>
      <c r="I198" s="156" t="s">
        <v>26</v>
      </c>
      <c r="J198" s="209" t="s">
        <v>1436</v>
      </c>
      <c r="K198" s="211" t="s">
        <v>1448</v>
      </c>
    </row>
    <row r="199" spans="1:11" ht="50.25">
      <c r="A199" s="204">
        <v>197</v>
      </c>
      <c r="B199" s="205">
        <v>45572</v>
      </c>
      <c r="C199" s="267" t="s">
        <v>832</v>
      </c>
      <c r="D199" s="204">
        <v>2024</v>
      </c>
      <c r="E199" s="204" t="s">
        <v>1431</v>
      </c>
      <c r="F199" s="204" t="s">
        <v>1539</v>
      </c>
      <c r="G199" s="206" t="s">
        <v>88</v>
      </c>
      <c r="H199" s="207" t="s">
        <v>1694</v>
      </c>
      <c r="I199" s="156" t="s">
        <v>26</v>
      </c>
      <c r="J199" s="204" t="s">
        <v>1436</v>
      </c>
      <c r="K199" s="207"/>
    </row>
    <row r="200" spans="1:11" ht="117">
      <c r="A200" s="204">
        <v>198</v>
      </c>
      <c r="B200" s="208">
        <v>45573</v>
      </c>
      <c r="C200" s="267" t="s">
        <v>832</v>
      </c>
      <c r="D200" s="204">
        <v>2024</v>
      </c>
      <c r="E200" s="209" t="s">
        <v>1431</v>
      </c>
      <c r="F200" s="209" t="s">
        <v>1506</v>
      </c>
      <c r="G200" s="210" t="s">
        <v>88</v>
      </c>
      <c r="H200" s="211" t="s">
        <v>1695</v>
      </c>
      <c r="I200" s="156" t="s">
        <v>26</v>
      </c>
      <c r="J200" s="209" t="s">
        <v>1436</v>
      </c>
      <c r="K200" s="211" t="s">
        <v>1500</v>
      </c>
    </row>
    <row r="201" spans="1:11" ht="134.25">
      <c r="A201" s="204">
        <v>199</v>
      </c>
      <c r="B201" s="205">
        <v>45573</v>
      </c>
      <c r="C201" s="267" t="s">
        <v>832</v>
      </c>
      <c r="D201" s="204">
        <v>2024</v>
      </c>
      <c r="E201" s="204" t="s">
        <v>1431</v>
      </c>
      <c r="F201" s="204" t="s">
        <v>1608</v>
      </c>
      <c r="G201" s="212" t="s">
        <v>1439</v>
      </c>
      <c r="H201" s="207" t="s">
        <v>1696</v>
      </c>
      <c r="I201" s="156" t="s">
        <v>26</v>
      </c>
      <c r="J201" s="204" t="s">
        <v>1436</v>
      </c>
      <c r="K201" s="207" t="s">
        <v>1442</v>
      </c>
    </row>
    <row r="202" spans="1:11" ht="117">
      <c r="A202" s="204">
        <v>200</v>
      </c>
      <c r="B202" s="208">
        <v>45573</v>
      </c>
      <c r="C202" s="267" t="s">
        <v>832</v>
      </c>
      <c r="D202" s="204">
        <v>2024</v>
      </c>
      <c r="E202" s="209" t="s">
        <v>1431</v>
      </c>
      <c r="F202" s="209" t="s">
        <v>1504</v>
      </c>
      <c r="G202" s="213" t="s">
        <v>821</v>
      </c>
      <c r="H202" s="211" t="s">
        <v>1697</v>
      </c>
      <c r="I202" s="156" t="s">
        <v>26</v>
      </c>
      <c r="J202" s="209" t="s">
        <v>1436</v>
      </c>
      <c r="K202" s="211" t="s">
        <v>1446</v>
      </c>
    </row>
    <row r="203" spans="1:11" ht="100.5">
      <c r="A203" s="204">
        <v>201</v>
      </c>
      <c r="B203" s="205">
        <v>45573</v>
      </c>
      <c r="C203" s="267" t="s">
        <v>832</v>
      </c>
      <c r="D203" s="204">
        <v>2024</v>
      </c>
      <c r="E203" s="204" t="s">
        <v>1431</v>
      </c>
      <c r="F203" s="204" t="s">
        <v>1449</v>
      </c>
      <c r="G203" s="206" t="s">
        <v>88</v>
      </c>
      <c r="H203" s="207" t="s">
        <v>1698</v>
      </c>
      <c r="I203" s="156" t="s">
        <v>26</v>
      </c>
      <c r="J203" s="204" t="s">
        <v>1436</v>
      </c>
      <c r="K203" s="207" t="s">
        <v>1478</v>
      </c>
    </row>
    <row r="204" spans="1:11" ht="84">
      <c r="A204" s="204">
        <v>202</v>
      </c>
      <c r="B204" s="208">
        <v>45573</v>
      </c>
      <c r="C204" s="267" t="s">
        <v>832</v>
      </c>
      <c r="D204" s="204">
        <v>2024</v>
      </c>
      <c r="E204" s="209" t="s">
        <v>1431</v>
      </c>
      <c r="F204" s="209" t="s">
        <v>1506</v>
      </c>
      <c r="G204" s="210" t="s">
        <v>88</v>
      </c>
      <c r="H204" s="211" t="s">
        <v>1699</v>
      </c>
      <c r="I204" s="156" t="s">
        <v>26</v>
      </c>
      <c r="J204" s="209" t="s">
        <v>1436</v>
      </c>
      <c r="K204" s="211" t="s">
        <v>1500</v>
      </c>
    </row>
    <row r="205" spans="1:11" ht="33.75">
      <c r="A205" s="204">
        <v>203</v>
      </c>
      <c r="B205" s="205">
        <v>45573</v>
      </c>
      <c r="C205" s="267" t="s">
        <v>832</v>
      </c>
      <c r="D205" s="204">
        <v>2024</v>
      </c>
      <c r="E205" s="204" t="s">
        <v>1431</v>
      </c>
      <c r="F205" s="204" t="s">
        <v>1449</v>
      </c>
      <c r="G205" s="206" t="s">
        <v>88</v>
      </c>
      <c r="H205" s="207" t="s">
        <v>1700</v>
      </c>
      <c r="I205" s="156" t="s">
        <v>26</v>
      </c>
      <c r="J205" s="204" t="s">
        <v>1436</v>
      </c>
      <c r="K205" s="207"/>
    </row>
    <row r="206" spans="1:11" ht="134.25">
      <c r="A206" s="204">
        <v>204</v>
      </c>
      <c r="B206" s="208">
        <v>45573</v>
      </c>
      <c r="C206" s="267" t="s">
        <v>832</v>
      </c>
      <c r="D206" s="204">
        <v>2024</v>
      </c>
      <c r="E206" s="209" t="s">
        <v>1431</v>
      </c>
      <c r="F206" s="209" t="s">
        <v>1539</v>
      </c>
      <c r="G206" s="216" t="s">
        <v>872</v>
      </c>
      <c r="H206" s="211" t="s">
        <v>1701</v>
      </c>
      <c r="I206" s="156" t="s">
        <v>26</v>
      </c>
      <c r="J206" s="209" t="s">
        <v>1436</v>
      </c>
      <c r="K206" s="211" t="s">
        <v>1497</v>
      </c>
    </row>
    <row r="207" spans="1:11" ht="100.5">
      <c r="A207" s="204">
        <v>205</v>
      </c>
      <c r="B207" s="205">
        <v>45574</v>
      </c>
      <c r="C207" s="267" t="s">
        <v>832</v>
      </c>
      <c r="D207" s="204">
        <v>2024</v>
      </c>
      <c r="E207" s="204" t="s">
        <v>1431</v>
      </c>
      <c r="F207" s="204" t="s">
        <v>1506</v>
      </c>
      <c r="G207" s="206" t="s">
        <v>88</v>
      </c>
      <c r="H207" s="207" t="s">
        <v>1702</v>
      </c>
      <c r="I207" s="156" t="s">
        <v>26</v>
      </c>
      <c r="J207" s="204" t="s">
        <v>1436</v>
      </c>
      <c r="K207" s="207" t="s">
        <v>1467</v>
      </c>
    </row>
    <row r="208" spans="1:11" ht="117">
      <c r="A208" s="204">
        <v>206</v>
      </c>
      <c r="B208" s="208">
        <v>45574</v>
      </c>
      <c r="C208" s="267" t="s">
        <v>832</v>
      </c>
      <c r="D208" s="204">
        <v>2024</v>
      </c>
      <c r="E208" s="209" t="s">
        <v>1431</v>
      </c>
      <c r="F208" s="209" t="s">
        <v>1436</v>
      </c>
      <c r="G208" s="210" t="s">
        <v>88</v>
      </c>
      <c r="H208" s="211" t="s">
        <v>1703</v>
      </c>
      <c r="I208" s="156" t="s">
        <v>26</v>
      </c>
      <c r="J208" s="209" t="s">
        <v>1436</v>
      </c>
      <c r="K208" s="211"/>
    </row>
    <row r="209" spans="1:11" ht="84">
      <c r="A209" s="204">
        <v>207</v>
      </c>
      <c r="B209" s="205">
        <v>45575</v>
      </c>
      <c r="C209" s="267" t="s">
        <v>832</v>
      </c>
      <c r="D209" s="204">
        <v>2024</v>
      </c>
      <c r="E209" s="204" t="s">
        <v>1431</v>
      </c>
      <c r="F209" s="204" t="s">
        <v>1508</v>
      </c>
      <c r="G209" s="206" t="s">
        <v>88</v>
      </c>
      <c r="H209" s="207" t="s">
        <v>1704</v>
      </c>
      <c r="I209" s="156" t="s">
        <v>26</v>
      </c>
      <c r="J209" s="204" t="s">
        <v>1436</v>
      </c>
      <c r="K209" s="207"/>
    </row>
    <row r="210" spans="1:11" ht="84">
      <c r="A210" s="204">
        <v>208</v>
      </c>
      <c r="B210" s="208">
        <v>45575</v>
      </c>
      <c r="C210" s="267" t="s">
        <v>832</v>
      </c>
      <c r="D210" s="204">
        <v>2024</v>
      </c>
      <c r="E210" s="209" t="s">
        <v>1431</v>
      </c>
      <c r="F210" s="209" t="s">
        <v>574</v>
      </c>
      <c r="G210" s="210" t="s">
        <v>88</v>
      </c>
      <c r="H210" s="211" t="s">
        <v>1705</v>
      </c>
      <c r="I210" s="156" t="s">
        <v>26</v>
      </c>
      <c r="J210" s="209" t="s">
        <v>1436</v>
      </c>
      <c r="K210" s="211"/>
    </row>
    <row r="211" spans="1:11" ht="33.75">
      <c r="A211" s="204">
        <v>209</v>
      </c>
      <c r="B211" s="205">
        <v>45575</v>
      </c>
      <c r="C211" s="267" t="s">
        <v>832</v>
      </c>
      <c r="D211" s="204">
        <v>2024</v>
      </c>
      <c r="E211" s="204" t="s">
        <v>1431</v>
      </c>
      <c r="F211" s="204" t="s">
        <v>1506</v>
      </c>
      <c r="G211" s="206" t="s">
        <v>88</v>
      </c>
      <c r="H211" s="207" t="s">
        <v>1706</v>
      </c>
      <c r="I211" s="156" t="s">
        <v>26</v>
      </c>
      <c r="J211" s="204" t="s">
        <v>1436</v>
      </c>
      <c r="K211" s="207"/>
    </row>
    <row r="212" spans="1:11" ht="33.75">
      <c r="A212" s="204">
        <v>210</v>
      </c>
      <c r="B212" s="208">
        <v>45575</v>
      </c>
      <c r="C212" s="267" t="s">
        <v>832</v>
      </c>
      <c r="D212" s="204">
        <v>2024</v>
      </c>
      <c r="E212" s="209" t="s">
        <v>1431</v>
      </c>
      <c r="F212" s="209" t="s">
        <v>1506</v>
      </c>
      <c r="G212" s="210" t="s">
        <v>88</v>
      </c>
      <c r="H212" s="211" t="s">
        <v>1707</v>
      </c>
      <c r="I212" s="156" t="s">
        <v>26</v>
      </c>
      <c r="J212" s="209" t="s">
        <v>1436</v>
      </c>
      <c r="K212" s="211"/>
    </row>
    <row r="213" spans="1:11" ht="84">
      <c r="A213" s="204">
        <v>211</v>
      </c>
      <c r="B213" s="205">
        <v>45575</v>
      </c>
      <c r="C213" s="267" t="s">
        <v>832</v>
      </c>
      <c r="D213" s="204">
        <v>2024</v>
      </c>
      <c r="E213" s="204" t="s">
        <v>1431</v>
      </c>
      <c r="F213" s="204" t="s">
        <v>1506</v>
      </c>
      <c r="G213" s="206" t="s">
        <v>88</v>
      </c>
      <c r="H213" s="207" t="s">
        <v>1708</v>
      </c>
      <c r="I213" s="156" t="s">
        <v>26</v>
      </c>
      <c r="J213" s="204" t="s">
        <v>1436</v>
      </c>
      <c r="K213" s="207" t="s">
        <v>1500</v>
      </c>
    </row>
    <row r="214" spans="1:11" ht="33.75">
      <c r="A214" s="204">
        <v>212</v>
      </c>
      <c r="B214" s="208">
        <v>45575</v>
      </c>
      <c r="C214" s="267" t="s">
        <v>832</v>
      </c>
      <c r="D214" s="204">
        <v>2024</v>
      </c>
      <c r="E214" s="209" t="s">
        <v>1431</v>
      </c>
      <c r="F214" s="209" t="s">
        <v>1449</v>
      </c>
      <c r="G214" s="210" t="s">
        <v>88</v>
      </c>
      <c r="H214" s="211" t="s">
        <v>1709</v>
      </c>
      <c r="I214" s="156" t="s">
        <v>26</v>
      </c>
      <c r="J214" s="209" t="s">
        <v>1436</v>
      </c>
      <c r="K214" s="211"/>
    </row>
    <row r="215" spans="1:11" ht="50.25">
      <c r="A215" s="204">
        <v>213</v>
      </c>
      <c r="B215" s="205">
        <v>45576</v>
      </c>
      <c r="C215" s="267" t="s">
        <v>832</v>
      </c>
      <c r="D215" s="204">
        <v>2024</v>
      </c>
      <c r="E215" s="204" t="s">
        <v>1431</v>
      </c>
      <c r="F215" s="204" t="s">
        <v>1506</v>
      </c>
      <c r="G215" s="206" t="s">
        <v>88</v>
      </c>
      <c r="H215" s="207" t="s">
        <v>1710</v>
      </c>
      <c r="I215" s="156" t="s">
        <v>26</v>
      </c>
      <c r="J215" s="204" t="s">
        <v>1436</v>
      </c>
      <c r="K215" s="207"/>
    </row>
    <row r="216" spans="1:11" ht="117">
      <c r="A216" s="204">
        <v>214</v>
      </c>
      <c r="B216" s="208">
        <v>45576</v>
      </c>
      <c r="C216" s="267" t="s">
        <v>832</v>
      </c>
      <c r="D216" s="204">
        <v>2024</v>
      </c>
      <c r="E216" s="209" t="s">
        <v>1431</v>
      </c>
      <c r="F216" s="209" t="s">
        <v>1449</v>
      </c>
      <c r="G216" s="210" t="s">
        <v>88</v>
      </c>
      <c r="H216" s="211" t="s">
        <v>1711</v>
      </c>
      <c r="I216" s="156" t="s">
        <v>26</v>
      </c>
      <c r="J216" s="209" t="s">
        <v>1436</v>
      </c>
      <c r="K216" s="211" t="s">
        <v>1451</v>
      </c>
    </row>
    <row r="217" spans="1:11" ht="100.5">
      <c r="A217" s="204">
        <v>215</v>
      </c>
      <c r="B217" s="205">
        <v>45576</v>
      </c>
      <c r="C217" s="267" t="s">
        <v>832</v>
      </c>
      <c r="D217" s="204">
        <v>2024</v>
      </c>
      <c r="E217" s="204" t="s">
        <v>1431</v>
      </c>
      <c r="F217" s="204" t="s">
        <v>1506</v>
      </c>
      <c r="G217" s="206" t="s">
        <v>88</v>
      </c>
      <c r="H217" s="207" t="s">
        <v>1712</v>
      </c>
      <c r="I217" s="156" t="s">
        <v>26</v>
      </c>
      <c r="J217" s="204" t="s">
        <v>1436</v>
      </c>
      <c r="K217" s="207" t="s">
        <v>1467</v>
      </c>
    </row>
    <row r="218" spans="1:11" ht="100.5">
      <c r="A218" s="204">
        <v>216</v>
      </c>
      <c r="B218" s="208">
        <v>45576</v>
      </c>
      <c r="C218" s="267" t="s">
        <v>832</v>
      </c>
      <c r="D218" s="204">
        <v>2024</v>
      </c>
      <c r="E218" s="209" t="s">
        <v>1431</v>
      </c>
      <c r="F218" s="209" t="s">
        <v>1506</v>
      </c>
      <c r="G218" s="210" t="s">
        <v>88</v>
      </c>
      <c r="H218" s="211" t="s">
        <v>1713</v>
      </c>
      <c r="I218" s="156" t="s">
        <v>26</v>
      </c>
      <c r="J218" s="209" t="s">
        <v>1436</v>
      </c>
      <c r="K218" s="211" t="s">
        <v>1467</v>
      </c>
    </row>
    <row r="219" spans="1:11" ht="66.75">
      <c r="A219" s="204">
        <v>217</v>
      </c>
      <c r="B219" s="205">
        <v>45576</v>
      </c>
      <c r="C219" s="267" t="s">
        <v>832</v>
      </c>
      <c r="D219" s="204">
        <v>2024</v>
      </c>
      <c r="E219" s="204" t="s">
        <v>1431</v>
      </c>
      <c r="F219" s="204" t="s">
        <v>1560</v>
      </c>
      <c r="G219" s="214" t="s">
        <v>859</v>
      </c>
      <c r="H219" s="207" t="s">
        <v>1714</v>
      </c>
      <c r="I219" s="156" t="s">
        <v>26</v>
      </c>
      <c r="J219" s="204" t="s">
        <v>1436</v>
      </c>
      <c r="K219" s="207"/>
    </row>
    <row r="220" spans="1:11" ht="84">
      <c r="A220" s="204">
        <v>218</v>
      </c>
      <c r="B220" s="208">
        <v>45579</v>
      </c>
      <c r="C220" s="267" t="s">
        <v>832</v>
      </c>
      <c r="D220" s="204">
        <v>2024</v>
      </c>
      <c r="E220" s="209" t="s">
        <v>1431</v>
      </c>
      <c r="F220" s="209" t="s">
        <v>1506</v>
      </c>
      <c r="G220" s="210" t="s">
        <v>88</v>
      </c>
      <c r="H220" s="211" t="s">
        <v>1715</v>
      </c>
      <c r="I220" s="156" t="s">
        <v>26</v>
      </c>
      <c r="J220" s="209" t="s">
        <v>1436</v>
      </c>
      <c r="K220" s="211" t="s">
        <v>1500</v>
      </c>
    </row>
    <row r="221" spans="1:11" ht="100.5">
      <c r="A221" s="204">
        <v>219</v>
      </c>
      <c r="B221" s="205">
        <v>45579</v>
      </c>
      <c r="C221" s="267" t="s">
        <v>832</v>
      </c>
      <c r="D221" s="204">
        <v>2024</v>
      </c>
      <c r="E221" s="204" t="s">
        <v>1431</v>
      </c>
      <c r="F221" s="204" t="s">
        <v>216</v>
      </c>
      <c r="G221" s="215" t="s">
        <v>872</v>
      </c>
      <c r="H221" s="207" t="s">
        <v>1716</v>
      </c>
      <c r="I221" s="156" t="s">
        <v>26</v>
      </c>
      <c r="J221" s="204" t="s">
        <v>1436</v>
      </c>
      <c r="K221" s="207"/>
    </row>
    <row r="222" spans="1:11" ht="117">
      <c r="A222" s="204">
        <v>220</v>
      </c>
      <c r="B222" s="208">
        <v>45579</v>
      </c>
      <c r="C222" s="267" t="s">
        <v>832</v>
      </c>
      <c r="D222" s="204">
        <v>2024</v>
      </c>
      <c r="E222" s="209" t="s">
        <v>1431</v>
      </c>
      <c r="F222" s="209" t="s">
        <v>1436</v>
      </c>
      <c r="G222" s="210" t="s">
        <v>88</v>
      </c>
      <c r="H222" s="211" t="s">
        <v>1717</v>
      </c>
      <c r="I222" s="156" t="s">
        <v>26</v>
      </c>
      <c r="J222" s="209" t="s">
        <v>1436</v>
      </c>
      <c r="K222" s="211" t="s">
        <v>1522</v>
      </c>
    </row>
    <row r="223" spans="1:11" ht="50.25">
      <c r="A223" s="204">
        <v>221</v>
      </c>
      <c r="B223" s="205">
        <v>45579</v>
      </c>
      <c r="C223" s="267" t="s">
        <v>832</v>
      </c>
      <c r="D223" s="204">
        <v>2024</v>
      </c>
      <c r="E223" s="204" t="s">
        <v>1431</v>
      </c>
      <c r="F223" s="204" t="s">
        <v>1436</v>
      </c>
      <c r="G223" s="206" t="s">
        <v>88</v>
      </c>
      <c r="H223" s="207" t="s">
        <v>1718</v>
      </c>
      <c r="I223" s="156" t="s">
        <v>26</v>
      </c>
      <c r="J223" s="204" t="s">
        <v>1436</v>
      </c>
      <c r="K223" s="207"/>
    </row>
    <row r="224" spans="1:11" ht="117">
      <c r="A224" s="204">
        <v>222</v>
      </c>
      <c r="B224" s="208">
        <v>45579</v>
      </c>
      <c r="C224" s="267" t="s">
        <v>832</v>
      </c>
      <c r="D224" s="204">
        <v>2024</v>
      </c>
      <c r="E224" s="209" t="s">
        <v>1431</v>
      </c>
      <c r="F224" s="209" t="s">
        <v>1449</v>
      </c>
      <c r="G224" s="210" t="s">
        <v>88</v>
      </c>
      <c r="H224" s="211" t="s">
        <v>1719</v>
      </c>
      <c r="I224" s="156" t="s">
        <v>26</v>
      </c>
      <c r="J224" s="209" t="s">
        <v>1436</v>
      </c>
      <c r="K224" s="211" t="s">
        <v>1451</v>
      </c>
    </row>
    <row r="225" spans="1:11" ht="117">
      <c r="A225" s="204">
        <v>223</v>
      </c>
      <c r="B225" s="205">
        <v>45579</v>
      </c>
      <c r="C225" s="267" t="s">
        <v>832</v>
      </c>
      <c r="D225" s="204">
        <v>2024</v>
      </c>
      <c r="E225" s="204" t="s">
        <v>1431</v>
      </c>
      <c r="F225" s="204" t="s">
        <v>1449</v>
      </c>
      <c r="G225" s="206" t="s">
        <v>88</v>
      </c>
      <c r="H225" s="207" t="s">
        <v>1720</v>
      </c>
      <c r="I225" s="156" t="s">
        <v>26</v>
      </c>
      <c r="J225" s="204" t="s">
        <v>1436</v>
      </c>
      <c r="K225" s="207" t="s">
        <v>1451</v>
      </c>
    </row>
    <row r="226" spans="1:11" ht="66.75">
      <c r="A226" s="204">
        <v>224</v>
      </c>
      <c r="B226" s="208">
        <v>45579</v>
      </c>
      <c r="C226" s="267" t="s">
        <v>832</v>
      </c>
      <c r="D226" s="204">
        <v>2024</v>
      </c>
      <c r="E226" s="209" t="s">
        <v>1431</v>
      </c>
      <c r="F226" s="209" t="s">
        <v>1449</v>
      </c>
      <c r="G226" s="210" t="s">
        <v>88</v>
      </c>
      <c r="H226" s="211" t="s">
        <v>1721</v>
      </c>
      <c r="I226" s="156" t="s">
        <v>26</v>
      </c>
      <c r="J226" s="209" t="s">
        <v>1436</v>
      </c>
      <c r="K226" s="211"/>
    </row>
    <row r="227" spans="1:11" ht="84">
      <c r="A227" s="204">
        <v>225</v>
      </c>
      <c r="B227" s="205">
        <v>45579</v>
      </c>
      <c r="C227" s="267" t="s">
        <v>832</v>
      </c>
      <c r="D227" s="204">
        <v>2024</v>
      </c>
      <c r="E227" s="204" t="s">
        <v>1431</v>
      </c>
      <c r="F227" s="204" t="s">
        <v>1506</v>
      </c>
      <c r="G227" s="206" t="s">
        <v>88</v>
      </c>
      <c r="H227" s="207" t="s">
        <v>1722</v>
      </c>
      <c r="I227" s="156" t="s">
        <v>26</v>
      </c>
      <c r="J227" s="204" t="s">
        <v>1436</v>
      </c>
      <c r="K227" s="207" t="s">
        <v>1500</v>
      </c>
    </row>
    <row r="228" spans="1:11" ht="100.5">
      <c r="A228" s="204">
        <v>226</v>
      </c>
      <c r="B228" s="208">
        <v>45579</v>
      </c>
      <c r="C228" s="267" t="s">
        <v>832</v>
      </c>
      <c r="D228" s="204">
        <v>2024</v>
      </c>
      <c r="E228" s="209" t="s">
        <v>1431</v>
      </c>
      <c r="F228" s="209" t="s">
        <v>1506</v>
      </c>
      <c r="G228" s="210" t="s">
        <v>88</v>
      </c>
      <c r="H228" s="211" t="s">
        <v>1723</v>
      </c>
      <c r="I228" s="156" t="s">
        <v>26</v>
      </c>
      <c r="J228" s="209" t="s">
        <v>1436</v>
      </c>
      <c r="K228" s="211" t="s">
        <v>1467</v>
      </c>
    </row>
    <row r="229" spans="1:11" ht="50.25">
      <c r="A229" s="204">
        <v>227</v>
      </c>
      <c r="B229" s="205">
        <v>45579</v>
      </c>
      <c r="C229" s="267" t="s">
        <v>832</v>
      </c>
      <c r="D229" s="204">
        <v>2024</v>
      </c>
      <c r="E229" s="204" t="s">
        <v>1431</v>
      </c>
      <c r="F229" s="204" t="s">
        <v>1436</v>
      </c>
      <c r="G229" s="206" t="s">
        <v>88</v>
      </c>
      <c r="H229" s="207" t="s">
        <v>1724</v>
      </c>
      <c r="I229" s="156" t="s">
        <v>26</v>
      </c>
      <c r="J229" s="204" t="s">
        <v>1436</v>
      </c>
      <c r="K229" s="207"/>
    </row>
    <row r="230" spans="1:11" ht="66.75">
      <c r="A230" s="204">
        <v>228</v>
      </c>
      <c r="B230" s="208">
        <v>45580</v>
      </c>
      <c r="C230" s="267" t="s">
        <v>832</v>
      </c>
      <c r="D230" s="204">
        <v>2024</v>
      </c>
      <c r="E230" s="209" t="s">
        <v>1431</v>
      </c>
      <c r="F230" s="209" t="s">
        <v>1225</v>
      </c>
      <c r="G230" s="217" t="s">
        <v>859</v>
      </c>
      <c r="H230" s="211" t="s">
        <v>1725</v>
      </c>
      <c r="I230" s="156" t="s">
        <v>26</v>
      </c>
      <c r="J230" s="209" t="s">
        <v>1436</v>
      </c>
      <c r="K230" s="211"/>
    </row>
    <row r="231" spans="1:11" ht="100.5">
      <c r="A231" s="204">
        <v>229</v>
      </c>
      <c r="B231" s="205">
        <v>45580</v>
      </c>
      <c r="C231" s="267" t="s">
        <v>832</v>
      </c>
      <c r="D231" s="204">
        <v>2024</v>
      </c>
      <c r="E231" s="204" t="s">
        <v>1431</v>
      </c>
      <c r="F231" s="204" t="s">
        <v>574</v>
      </c>
      <c r="G231" s="206" t="s">
        <v>88</v>
      </c>
      <c r="H231" s="207" t="s">
        <v>1726</v>
      </c>
      <c r="I231" s="156" t="s">
        <v>26</v>
      </c>
      <c r="J231" s="204" t="s">
        <v>1436</v>
      </c>
      <c r="K231" s="207" t="s">
        <v>1472</v>
      </c>
    </row>
    <row r="232" spans="1:11" ht="33.75">
      <c r="A232" s="204">
        <v>230</v>
      </c>
      <c r="B232" s="208">
        <v>45580</v>
      </c>
      <c r="C232" s="267" t="s">
        <v>832</v>
      </c>
      <c r="D232" s="204">
        <v>2024</v>
      </c>
      <c r="E232" s="209" t="s">
        <v>1431</v>
      </c>
      <c r="F232" s="209" t="s">
        <v>1506</v>
      </c>
      <c r="G232" s="210" t="s">
        <v>88</v>
      </c>
      <c r="H232" s="211" t="s">
        <v>1727</v>
      </c>
      <c r="I232" s="156" t="s">
        <v>26</v>
      </c>
      <c r="J232" s="209" t="s">
        <v>1436</v>
      </c>
      <c r="K232" s="211"/>
    </row>
    <row r="233" spans="1:11" ht="66.75">
      <c r="A233" s="204">
        <v>231</v>
      </c>
      <c r="B233" s="205">
        <v>45581</v>
      </c>
      <c r="C233" s="267" t="s">
        <v>832</v>
      </c>
      <c r="D233" s="204">
        <v>2024</v>
      </c>
      <c r="E233" s="204" t="s">
        <v>1431</v>
      </c>
      <c r="F233" s="204" t="s">
        <v>1449</v>
      </c>
      <c r="G233" s="206" t="s">
        <v>88</v>
      </c>
      <c r="H233" s="207" t="s">
        <v>1728</v>
      </c>
      <c r="I233" s="156" t="s">
        <v>26</v>
      </c>
      <c r="J233" s="204" t="s">
        <v>1436</v>
      </c>
      <c r="K233" s="207"/>
    </row>
    <row r="234" spans="1:11" ht="134.25">
      <c r="A234" s="204">
        <v>232</v>
      </c>
      <c r="B234" s="208">
        <v>45581</v>
      </c>
      <c r="C234" s="267" t="s">
        <v>832</v>
      </c>
      <c r="D234" s="204">
        <v>2024</v>
      </c>
      <c r="E234" s="209" t="s">
        <v>1431</v>
      </c>
      <c r="F234" s="209" t="s">
        <v>1608</v>
      </c>
      <c r="G234" s="212" t="s">
        <v>1439</v>
      </c>
      <c r="H234" s="211" t="s">
        <v>1729</v>
      </c>
      <c r="I234" s="156" t="s">
        <v>26</v>
      </c>
      <c r="J234" s="209" t="s">
        <v>1436</v>
      </c>
      <c r="K234" s="211" t="s">
        <v>1442</v>
      </c>
    </row>
    <row r="235" spans="1:11" ht="100.5">
      <c r="A235" s="204">
        <v>233</v>
      </c>
      <c r="B235" s="205">
        <v>45581</v>
      </c>
      <c r="C235" s="267" t="s">
        <v>832</v>
      </c>
      <c r="D235" s="204">
        <v>2024</v>
      </c>
      <c r="E235" s="204" t="s">
        <v>1431</v>
      </c>
      <c r="F235" s="204" t="s">
        <v>1504</v>
      </c>
      <c r="G235" s="206" t="s">
        <v>88</v>
      </c>
      <c r="H235" s="207" t="s">
        <v>1730</v>
      </c>
      <c r="I235" s="156" t="s">
        <v>26</v>
      </c>
      <c r="J235" s="204" t="s">
        <v>1436</v>
      </c>
      <c r="K235" s="207" t="s">
        <v>1472</v>
      </c>
    </row>
    <row r="236" spans="1:11" ht="66.75">
      <c r="A236" s="204">
        <v>234</v>
      </c>
      <c r="B236" s="208">
        <v>45581</v>
      </c>
      <c r="C236" s="267" t="s">
        <v>832</v>
      </c>
      <c r="D236" s="204">
        <v>2024</v>
      </c>
      <c r="E236" s="209" t="s">
        <v>1431</v>
      </c>
      <c r="F236" s="209" t="s">
        <v>1566</v>
      </c>
      <c r="G236" s="210" t="s">
        <v>88</v>
      </c>
      <c r="H236" s="211" t="s">
        <v>1731</v>
      </c>
      <c r="I236" s="156" t="s">
        <v>26</v>
      </c>
      <c r="J236" s="209" t="s">
        <v>1436</v>
      </c>
      <c r="K236" s="211"/>
    </row>
    <row r="237" spans="1:11" ht="117">
      <c r="A237" s="204">
        <v>235</v>
      </c>
      <c r="B237" s="205">
        <v>45582</v>
      </c>
      <c r="C237" s="267" t="s">
        <v>832</v>
      </c>
      <c r="D237" s="204">
        <v>2024</v>
      </c>
      <c r="E237" s="204" t="s">
        <v>1431</v>
      </c>
      <c r="F237" s="204" t="s">
        <v>21</v>
      </c>
      <c r="G237" s="213" t="s">
        <v>821</v>
      </c>
      <c r="H237" s="207" t="s">
        <v>1732</v>
      </c>
      <c r="I237" s="156" t="s">
        <v>26</v>
      </c>
      <c r="J237" s="204" t="s">
        <v>1436</v>
      </c>
      <c r="K237" s="207" t="s">
        <v>1482</v>
      </c>
    </row>
    <row r="238" spans="1:11" ht="84">
      <c r="A238" s="204">
        <v>236</v>
      </c>
      <c r="B238" s="208">
        <v>45582</v>
      </c>
      <c r="C238" s="267" t="s">
        <v>832</v>
      </c>
      <c r="D238" s="204">
        <v>2024</v>
      </c>
      <c r="E238" s="209" t="s">
        <v>1431</v>
      </c>
      <c r="F238" s="209" t="s">
        <v>1436</v>
      </c>
      <c r="G238" s="216" t="s">
        <v>872</v>
      </c>
      <c r="H238" s="211" t="s">
        <v>1733</v>
      </c>
      <c r="I238" s="156" t="s">
        <v>26</v>
      </c>
      <c r="J238" s="209" t="s">
        <v>1436</v>
      </c>
      <c r="K238" s="211" t="s">
        <v>1500</v>
      </c>
    </row>
    <row r="239" spans="1:11" ht="84">
      <c r="A239" s="204">
        <v>237</v>
      </c>
      <c r="B239" s="205">
        <v>45582</v>
      </c>
      <c r="C239" s="267" t="s">
        <v>832</v>
      </c>
      <c r="D239" s="204">
        <v>2024</v>
      </c>
      <c r="E239" s="204" t="s">
        <v>1431</v>
      </c>
      <c r="F239" s="204" t="s">
        <v>1566</v>
      </c>
      <c r="G239" s="215" t="s">
        <v>872</v>
      </c>
      <c r="H239" s="207" t="s">
        <v>1734</v>
      </c>
      <c r="I239" s="156" t="s">
        <v>26</v>
      </c>
      <c r="J239" s="204" t="s">
        <v>1436</v>
      </c>
      <c r="K239" s="207" t="s">
        <v>1500</v>
      </c>
    </row>
    <row r="240" spans="1:11" ht="100.5">
      <c r="A240" s="204">
        <v>238</v>
      </c>
      <c r="B240" s="208">
        <v>45582</v>
      </c>
      <c r="C240" s="267" t="s">
        <v>832</v>
      </c>
      <c r="D240" s="204">
        <v>2024</v>
      </c>
      <c r="E240" s="209" t="s">
        <v>1431</v>
      </c>
      <c r="F240" s="209" t="s">
        <v>1436</v>
      </c>
      <c r="G240" s="210" t="s">
        <v>88</v>
      </c>
      <c r="H240" s="211" t="s">
        <v>1735</v>
      </c>
      <c r="I240" s="156" t="s">
        <v>26</v>
      </c>
      <c r="J240" s="209" t="s">
        <v>1436</v>
      </c>
      <c r="K240" s="211" t="s">
        <v>1472</v>
      </c>
    </row>
    <row r="241" spans="1:11" ht="33.75">
      <c r="A241" s="204">
        <v>239</v>
      </c>
      <c r="B241" s="205">
        <v>45582</v>
      </c>
      <c r="C241" s="267" t="s">
        <v>832</v>
      </c>
      <c r="D241" s="204">
        <v>2024</v>
      </c>
      <c r="E241" s="204" t="s">
        <v>1431</v>
      </c>
      <c r="F241" s="204" t="s">
        <v>1158</v>
      </c>
      <c r="G241" s="212" t="s">
        <v>1439</v>
      </c>
      <c r="H241" s="207" t="s">
        <v>1736</v>
      </c>
      <c r="I241" s="156" t="s">
        <v>26</v>
      </c>
      <c r="J241" s="204" t="s">
        <v>1436</v>
      </c>
      <c r="K241" s="207"/>
    </row>
    <row r="242" spans="1:11" ht="100.5">
      <c r="A242" s="204">
        <v>240</v>
      </c>
      <c r="B242" s="208">
        <v>45583</v>
      </c>
      <c r="C242" s="267" t="s">
        <v>832</v>
      </c>
      <c r="D242" s="204">
        <v>2024</v>
      </c>
      <c r="E242" s="209" t="s">
        <v>1431</v>
      </c>
      <c r="F242" s="209" t="s">
        <v>1584</v>
      </c>
      <c r="G242" s="213" t="s">
        <v>821</v>
      </c>
      <c r="H242" s="211" t="s">
        <v>1737</v>
      </c>
      <c r="I242" s="156" t="s">
        <v>26</v>
      </c>
      <c r="J242" s="209" t="s">
        <v>1436</v>
      </c>
      <c r="K242" s="211" t="s">
        <v>1448</v>
      </c>
    </row>
    <row r="243" spans="1:11" ht="117">
      <c r="A243" s="204">
        <v>241</v>
      </c>
      <c r="B243" s="205">
        <v>45583</v>
      </c>
      <c r="C243" s="267" t="s">
        <v>832</v>
      </c>
      <c r="D243" s="204">
        <v>2024</v>
      </c>
      <c r="E243" s="204" t="s">
        <v>1431</v>
      </c>
      <c r="F243" s="204" t="s">
        <v>1506</v>
      </c>
      <c r="G243" s="206" t="s">
        <v>88</v>
      </c>
      <c r="H243" s="207" t="s">
        <v>1738</v>
      </c>
      <c r="I243" s="156" t="s">
        <v>26</v>
      </c>
      <c r="J243" s="204" t="s">
        <v>1436</v>
      </c>
      <c r="K243" s="207" t="s">
        <v>1500</v>
      </c>
    </row>
    <row r="244" spans="1:11" ht="84">
      <c r="A244" s="204">
        <v>242</v>
      </c>
      <c r="B244" s="208">
        <v>45583</v>
      </c>
      <c r="C244" s="267" t="s">
        <v>832</v>
      </c>
      <c r="D244" s="204">
        <v>2024</v>
      </c>
      <c r="E244" s="209" t="s">
        <v>1431</v>
      </c>
      <c r="F244" s="209" t="s">
        <v>1506</v>
      </c>
      <c r="G244" s="210" t="s">
        <v>88</v>
      </c>
      <c r="H244" s="211" t="s">
        <v>1739</v>
      </c>
      <c r="I244" s="156" t="s">
        <v>26</v>
      </c>
      <c r="J244" s="209" t="s">
        <v>1436</v>
      </c>
      <c r="K244" s="211" t="s">
        <v>1500</v>
      </c>
    </row>
    <row r="245" spans="1:11" ht="84">
      <c r="A245" s="204">
        <v>243</v>
      </c>
      <c r="B245" s="205">
        <v>45583</v>
      </c>
      <c r="C245" s="267" t="s">
        <v>832</v>
      </c>
      <c r="D245" s="204">
        <v>2024</v>
      </c>
      <c r="E245" s="204" t="s">
        <v>1431</v>
      </c>
      <c r="F245" s="204" t="s">
        <v>1436</v>
      </c>
      <c r="G245" s="206" t="s">
        <v>88</v>
      </c>
      <c r="H245" s="207" t="s">
        <v>1740</v>
      </c>
      <c r="I245" s="156" t="s">
        <v>26</v>
      </c>
      <c r="J245" s="204" t="s">
        <v>1436</v>
      </c>
      <c r="K245" s="207" t="s">
        <v>1500</v>
      </c>
    </row>
    <row r="246" spans="1:11" ht="100.5">
      <c r="A246" s="204">
        <v>244</v>
      </c>
      <c r="B246" s="208">
        <v>45583</v>
      </c>
      <c r="C246" s="267" t="s">
        <v>832</v>
      </c>
      <c r="D246" s="204">
        <v>2024</v>
      </c>
      <c r="E246" s="209" t="s">
        <v>1431</v>
      </c>
      <c r="F246" s="209" t="s">
        <v>1436</v>
      </c>
      <c r="G246" s="217" t="s">
        <v>859</v>
      </c>
      <c r="H246" s="211" t="s">
        <v>1741</v>
      </c>
      <c r="I246" s="156" t="s">
        <v>26</v>
      </c>
      <c r="J246" s="209" t="s">
        <v>1436</v>
      </c>
      <c r="K246" s="211" t="s">
        <v>1476</v>
      </c>
    </row>
    <row r="247" spans="1:11" ht="117">
      <c r="A247" s="204">
        <v>245</v>
      </c>
      <c r="B247" s="205">
        <v>45583</v>
      </c>
      <c r="C247" s="267" t="s">
        <v>832</v>
      </c>
      <c r="D247" s="204">
        <v>2024</v>
      </c>
      <c r="E247" s="204" t="s">
        <v>1431</v>
      </c>
      <c r="F247" s="204" t="s">
        <v>1504</v>
      </c>
      <c r="G247" s="206" t="s">
        <v>88</v>
      </c>
      <c r="H247" s="207" t="s">
        <v>1742</v>
      </c>
      <c r="I247" s="156" t="s">
        <v>26</v>
      </c>
      <c r="J247" s="204" t="s">
        <v>1743</v>
      </c>
      <c r="K247" s="207" t="s">
        <v>1446</v>
      </c>
    </row>
    <row r="248" spans="1:11" ht="100.5">
      <c r="A248" s="204">
        <v>246</v>
      </c>
      <c r="B248" s="208">
        <v>45583</v>
      </c>
      <c r="C248" s="267" t="s">
        <v>832</v>
      </c>
      <c r="D248" s="204">
        <v>2024</v>
      </c>
      <c r="E248" s="209" t="s">
        <v>1431</v>
      </c>
      <c r="F248" s="209" t="s">
        <v>1449</v>
      </c>
      <c r="G248" s="210" t="s">
        <v>88</v>
      </c>
      <c r="H248" s="211" t="s">
        <v>1744</v>
      </c>
      <c r="I248" s="156" t="s">
        <v>26</v>
      </c>
      <c r="J248" s="209" t="s">
        <v>1436</v>
      </c>
      <c r="K248" s="211"/>
    </row>
    <row r="249" spans="1:11" ht="117">
      <c r="A249" s="204">
        <v>247</v>
      </c>
      <c r="B249" s="205">
        <v>45583</v>
      </c>
      <c r="C249" s="267" t="s">
        <v>832</v>
      </c>
      <c r="D249" s="204">
        <v>2024</v>
      </c>
      <c r="E249" s="204" t="s">
        <v>1431</v>
      </c>
      <c r="F249" s="204" t="s">
        <v>1449</v>
      </c>
      <c r="G249" s="206" t="s">
        <v>88</v>
      </c>
      <c r="H249" s="207" t="s">
        <v>1745</v>
      </c>
      <c r="I249" s="156" t="s">
        <v>26</v>
      </c>
      <c r="J249" s="204" t="s">
        <v>1436</v>
      </c>
      <c r="K249" s="207" t="s">
        <v>1451</v>
      </c>
    </row>
    <row r="250" spans="1:11" ht="84">
      <c r="A250" s="204">
        <v>248</v>
      </c>
      <c r="B250" s="208">
        <v>45586</v>
      </c>
      <c r="C250" s="267" t="s">
        <v>832</v>
      </c>
      <c r="D250" s="204">
        <v>2024</v>
      </c>
      <c r="E250" s="209" t="s">
        <v>1431</v>
      </c>
      <c r="F250" s="209" t="s">
        <v>1506</v>
      </c>
      <c r="G250" s="210" t="s">
        <v>88</v>
      </c>
      <c r="H250" s="211" t="s">
        <v>1746</v>
      </c>
      <c r="I250" s="156" t="s">
        <v>26</v>
      </c>
      <c r="J250" s="209" t="s">
        <v>1436</v>
      </c>
      <c r="K250" s="211" t="s">
        <v>1500</v>
      </c>
    </row>
    <row r="251" spans="1:11" ht="84">
      <c r="A251" s="204">
        <v>249</v>
      </c>
      <c r="B251" s="205">
        <v>45586</v>
      </c>
      <c r="C251" s="267" t="s">
        <v>832</v>
      </c>
      <c r="D251" s="204">
        <v>2024</v>
      </c>
      <c r="E251" s="204" t="s">
        <v>1431</v>
      </c>
      <c r="F251" s="204" t="s">
        <v>1506</v>
      </c>
      <c r="G251" s="206" t="s">
        <v>88</v>
      </c>
      <c r="H251" s="207" t="s">
        <v>1747</v>
      </c>
      <c r="I251" s="156" t="s">
        <v>26</v>
      </c>
      <c r="J251" s="204" t="s">
        <v>1436</v>
      </c>
      <c r="K251" s="207" t="s">
        <v>1500</v>
      </c>
    </row>
    <row r="252" spans="1:11" ht="100.5">
      <c r="A252" s="204">
        <v>250</v>
      </c>
      <c r="B252" s="208">
        <v>45586</v>
      </c>
      <c r="C252" s="267" t="s">
        <v>832</v>
      </c>
      <c r="D252" s="204">
        <v>2024</v>
      </c>
      <c r="E252" s="209" t="s">
        <v>1431</v>
      </c>
      <c r="F252" s="209" t="s">
        <v>1436</v>
      </c>
      <c r="G252" s="213" t="s">
        <v>821</v>
      </c>
      <c r="H252" s="211" t="s">
        <v>1748</v>
      </c>
      <c r="I252" s="156" t="s">
        <v>26</v>
      </c>
      <c r="J252" s="209" t="s">
        <v>1436</v>
      </c>
      <c r="K252" s="211" t="s">
        <v>1448</v>
      </c>
    </row>
    <row r="253" spans="1:11" ht="100.5">
      <c r="A253" s="204">
        <v>251</v>
      </c>
      <c r="B253" s="205">
        <v>45586</v>
      </c>
      <c r="C253" s="267" t="s">
        <v>832</v>
      </c>
      <c r="D253" s="204">
        <v>2024</v>
      </c>
      <c r="E253" s="204" t="s">
        <v>1431</v>
      </c>
      <c r="F253" s="204" t="s">
        <v>1449</v>
      </c>
      <c r="G253" s="206" t="s">
        <v>88</v>
      </c>
      <c r="H253" s="207" t="s">
        <v>1749</v>
      </c>
      <c r="I253" s="156" t="s">
        <v>26</v>
      </c>
      <c r="J253" s="204" t="s">
        <v>1436</v>
      </c>
      <c r="K253" s="207" t="s">
        <v>1478</v>
      </c>
    </row>
    <row r="254" spans="1:11" ht="100.5">
      <c r="A254" s="204">
        <v>252</v>
      </c>
      <c r="B254" s="208">
        <v>45586</v>
      </c>
      <c r="C254" s="267" t="s">
        <v>832</v>
      </c>
      <c r="D254" s="204">
        <v>2024</v>
      </c>
      <c r="E254" s="209" t="s">
        <v>1431</v>
      </c>
      <c r="F254" s="209" t="s">
        <v>1580</v>
      </c>
      <c r="G254" s="212" t="s">
        <v>1439</v>
      </c>
      <c r="H254" s="211" t="s">
        <v>1750</v>
      </c>
      <c r="I254" s="156" t="s">
        <v>26</v>
      </c>
      <c r="J254" s="209" t="s">
        <v>1436</v>
      </c>
      <c r="K254" s="211" t="s">
        <v>1582</v>
      </c>
    </row>
    <row r="255" spans="1:11" ht="84">
      <c r="A255" s="204">
        <v>253</v>
      </c>
      <c r="B255" s="205">
        <v>45587</v>
      </c>
      <c r="C255" s="267" t="s">
        <v>832</v>
      </c>
      <c r="D255" s="204">
        <v>2024</v>
      </c>
      <c r="E255" s="204" t="s">
        <v>1431</v>
      </c>
      <c r="F255" s="204" t="s">
        <v>1506</v>
      </c>
      <c r="G255" s="206" t="s">
        <v>88</v>
      </c>
      <c r="H255" s="207" t="s">
        <v>1751</v>
      </c>
      <c r="I255" s="156" t="s">
        <v>26</v>
      </c>
      <c r="J255" s="204" t="s">
        <v>1436</v>
      </c>
      <c r="K255" s="207" t="s">
        <v>1500</v>
      </c>
    </row>
    <row r="256" spans="1:11" ht="117">
      <c r="A256" s="204">
        <v>254</v>
      </c>
      <c r="B256" s="208">
        <v>45587</v>
      </c>
      <c r="C256" s="267" t="s">
        <v>832</v>
      </c>
      <c r="D256" s="204">
        <v>2024</v>
      </c>
      <c r="E256" s="209" t="s">
        <v>1431</v>
      </c>
      <c r="F256" s="209" t="s">
        <v>1436</v>
      </c>
      <c r="G256" s="210" t="s">
        <v>88</v>
      </c>
      <c r="H256" s="211" t="s">
        <v>1752</v>
      </c>
      <c r="I256" s="156" t="s">
        <v>26</v>
      </c>
      <c r="J256" s="209" t="s">
        <v>1436</v>
      </c>
      <c r="K256" s="211" t="s">
        <v>1522</v>
      </c>
    </row>
    <row r="257" spans="1:11" ht="117">
      <c r="A257" s="204">
        <v>255</v>
      </c>
      <c r="B257" s="205">
        <v>45587</v>
      </c>
      <c r="C257" s="267" t="s">
        <v>832</v>
      </c>
      <c r="D257" s="204">
        <v>2024</v>
      </c>
      <c r="E257" s="204" t="s">
        <v>1431</v>
      </c>
      <c r="F257" s="204" t="s">
        <v>1449</v>
      </c>
      <c r="G257" s="206" t="s">
        <v>88</v>
      </c>
      <c r="H257" s="207" t="s">
        <v>1753</v>
      </c>
      <c r="I257" s="156" t="s">
        <v>26</v>
      </c>
      <c r="J257" s="204" t="s">
        <v>1436</v>
      </c>
      <c r="K257" s="207" t="s">
        <v>1559</v>
      </c>
    </row>
    <row r="258" spans="1:11" ht="66.75">
      <c r="A258" s="204">
        <v>256</v>
      </c>
      <c r="B258" s="208">
        <v>45587</v>
      </c>
      <c r="C258" s="267" t="s">
        <v>832</v>
      </c>
      <c r="D258" s="204">
        <v>2024</v>
      </c>
      <c r="E258" s="209" t="s">
        <v>1431</v>
      </c>
      <c r="F258" s="209" t="s">
        <v>574</v>
      </c>
      <c r="G258" s="210" t="s">
        <v>88</v>
      </c>
      <c r="H258" s="211" t="s">
        <v>1754</v>
      </c>
      <c r="I258" s="156" t="s">
        <v>26</v>
      </c>
      <c r="J258" s="209" t="s">
        <v>1436</v>
      </c>
      <c r="K258" s="211" t="s">
        <v>1548</v>
      </c>
    </row>
    <row r="259" spans="1:11" ht="117">
      <c r="A259" s="204">
        <v>257</v>
      </c>
      <c r="B259" s="205">
        <v>45587</v>
      </c>
      <c r="C259" s="267" t="s">
        <v>832</v>
      </c>
      <c r="D259" s="204">
        <v>2024</v>
      </c>
      <c r="E259" s="204" t="s">
        <v>1431</v>
      </c>
      <c r="F259" s="204" t="s">
        <v>1449</v>
      </c>
      <c r="G259" s="206" t="s">
        <v>88</v>
      </c>
      <c r="H259" s="207" t="s">
        <v>1755</v>
      </c>
      <c r="I259" s="156" t="s">
        <v>26</v>
      </c>
      <c r="J259" s="204" t="s">
        <v>1436</v>
      </c>
      <c r="K259" s="207" t="s">
        <v>1451</v>
      </c>
    </row>
    <row r="260" spans="1:11" ht="234">
      <c r="A260" s="204">
        <v>258</v>
      </c>
      <c r="B260" s="208">
        <v>45587</v>
      </c>
      <c r="C260" s="267" t="s">
        <v>832</v>
      </c>
      <c r="D260" s="204">
        <v>2024</v>
      </c>
      <c r="E260" s="209" t="s">
        <v>1431</v>
      </c>
      <c r="F260" s="209" t="s">
        <v>1225</v>
      </c>
      <c r="G260" s="217" t="s">
        <v>859</v>
      </c>
      <c r="H260" s="211" t="s">
        <v>1756</v>
      </c>
      <c r="I260" s="156" t="s">
        <v>26</v>
      </c>
      <c r="J260" s="209" t="s">
        <v>1436</v>
      </c>
      <c r="K260" s="211"/>
    </row>
    <row r="261" spans="1:11" ht="100.5">
      <c r="A261" s="204">
        <v>259</v>
      </c>
      <c r="B261" s="205">
        <v>45587</v>
      </c>
      <c r="C261" s="267" t="s">
        <v>832</v>
      </c>
      <c r="D261" s="204">
        <v>2024</v>
      </c>
      <c r="E261" s="204" t="s">
        <v>1431</v>
      </c>
      <c r="F261" s="204" t="s">
        <v>1436</v>
      </c>
      <c r="G261" s="206" t="s">
        <v>88</v>
      </c>
      <c r="H261" s="207" t="s">
        <v>1757</v>
      </c>
      <c r="I261" s="156" t="s">
        <v>26</v>
      </c>
      <c r="J261" s="204" t="s">
        <v>1436</v>
      </c>
      <c r="K261" s="207" t="s">
        <v>1472</v>
      </c>
    </row>
    <row r="262" spans="1:11" ht="150.75">
      <c r="A262" s="204">
        <v>260</v>
      </c>
      <c r="B262" s="208">
        <v>45588</v>
      </c>
      <c r="C262" s="267" t="s">
        <v>832</v>
      </c>
      <c r="D262" s="204">
        <v>2024</v>
      </c>
      <c r="E262" s="209" t="s">
        <v>1431</v>
      </c>
      <c r="F262" s="209" t="s">
        <v>1518</v>
      </c>
      <c r="G262" s="210" t="s">
        <v>88</v>
      </c>
      <c r="H262" s="211" t="s">
        <v>1758</v>
      </c>
      <c r="I262" s="156" t="s">
        <v>26</v>
      </c>
      <c r="J262" s="209" t="s">
        <v>1436</v>
      </c>
      <c r="K262" s="211" t="s">
        <v>1444</v>
      </c>
    </row>
    <row r="263" spans="1:11" ht="150.75">
      <c r="A263" s="204">
        <v>261</v>
      </c>
      <c r="B263" s="205">
        <v>45588</v>
      </c>
      <c r="C263" s="267" t="s">
        <v>832</v>
      </c>
      <c r="D263" s="204">
        <v>2024</v>
      </c>
      <c r="E263" s="204" t="s">
        <v>1431</v>
      </c>
      <c r="F263" s="204" t="s">
        <v>21</v>
      </c>
      <c r="G263" s="213" t="s">
        <v>821</v>
      </c>
      <c r="H263" s="207" t="s">
        <v>1759</v>
      </c>
      <c r="I263" s="156" t="s">
        <v>26</v>
      </c>
      <c r="J263" s="204" t="s">
        <v>1436</v>
      </c>
      <c r="K263" s="207" t="s">
        <v>1513</v>
      </c>
    </row>
    <row r="264" spans="1:11" ht="66.75">
      <c r="A264" s="204">
        <v>262</v>
      </c>
      <c r="B264" s="208">
        <v>45588</v>
      </c>
      <c r="C264" s="267" t="s">
        <v>832</v>
      </c>
      <c r="D264" s="204">
        <v>2024</v>
      </c>
      <c r="E264" s="209" t="s">
        <v>1431</v>
      </c>
      <c r="F264" s="209" t="s">
        <v>1436</v>
      </c>
      <c r="G264" s="210" t="s">
        <v>88</v>
      </c>
      <c r="H264" s="211" t="s">
        <v>1760</v>
      </c>
      <c r="I264" s="156" t="s">
        <v>26</v>
      </c>
      <c r="J264" s="209" t="s">
        <v>1436</v>
      </c>
      <c r="K264" s="211"/>
    </row>
    <row r="265" spans="1:11" ht="100.5">
      <c r="A265" s="204">
        <v>263</v>
      </c>
      <c r="B265" s="205">
        <v>45588</v>
      </c>
      <c r="C265" s="267" t="s">
        <v>832</v>
      </c>
      <c r="D265" s="204">
        <v>2024</v>
      </c>
      <c r="E265" s="204" t="s">
        <v>1431</v>
      </c>
      <c r="F265" s="204" t="s">
        <v>1436</v>
      </c>
      <c r="G265" s="206" t="s">
        <v>88</v>
      </c>
      <c r="H265" s="207" t="s">
        <v>1761</v>
      </c>
      <c r="I265" s="156" t="s">
        <v>26</v>
      </c>
      <c r="J265" s="204" t="s">
        <v>1436</v>
      </c>
      <c r="K265" s="207" t="s">
        <v>1472</v>
      </c>
    </row>
    <row r="266" spans="1:11" ht="117">
      <c r="A266" s="204">
        <v>264</v>
      </c>
      <c r="B266" s="208">
        <v>45589</v>
      </c>
      <c r="C266" s="267" t="s">
        <v>832</v>
      </c>
      <c r="D266" s="204">
        <v>2024</v>
      </c>
      <c r="E266" s="209" t="s">
        <v>1431</v>
      </c>
      <c r="F266" s="209" t="s">
        <v>1506</v>
      </c>
      <c r="G266" s="210" t="s">
        <v>88</v>
      </c>
      <c r="H266" s="211" t="s">
        <v>1762</v>
      </c>
      <c r="I266" s="156" t="s">
        <v>26</v>
      </c>
      <c r="J266" s="209" t="s">
        <v>1436</v>
      </c>
      <c r="K266" s="211" t="s">
        <v>1500</v>
      </c>
    </row>
    <row r="267" spans="1:11" ht="84">
      <c r="A267" s="204">
        <v>265</v>
      </c>
      <c r="B267" s="205">
        <v>45589</v>
      </c>
      <c r="C267" s="267" t="s">
        <v>832</v>
      </c>
      <c r="D267" s="204">
        <v>2024</v>
      </c>
      <c r="E267" s="204" t="s">
        <v>1431</v>
      </c>
      <c r="F267" s="204" t="s">
        <v>1506</v>
      </c>
      <c r="G267" s="206" t="s">
        <v>88</v>
      </c>
      <c r="H267" s="207" t="s">
        <v>1763</v>
      </c>
      <c r="I267" s="156" t="s">
        <v>26</v>
      </c>
      <c r="J267" s="204" t="s">
        <v>1436</v>
      </c>
      <c r="K267" s="207" t="s">
        <v>1500</v>
      </c>
    </row>
    <row r="268" spans="1:11" ht="117">
      <c r="A268" s="204">
        <v>266</v>
      </c>
      <c r="B268" s="208">
        <v>45589</v>
      </c>
      <c r="C268" s="267" t="s">
        <v>832</v>
      </c>
      <c r="D268" s="204">
        <v>2024</v>
      </c>
      <c r="E268" s="209" t="s">
        <v>1431</v>
      </c>
      <c r="F268" s="209" t="s">
        <v>1449</v>
      </c>
      <c r="G268" s="210" t="s">
        <v>88</v>
      </c>
      <c r="H268" s="211" t="s">
        <v>1764</v>
      </c>
      <c r="I268" s="156" t="s">
        <v>26</v>
      </c>
      <c r="J268" s="209" t="s">
        <v>1436</v>
      </c>
      <c r="K268" s="211" t="s">
        <v>1451</v>
      </c>
    </row>
    <row r="269" spans="1:11" ht="16.5">
      <c r="A269" s="204">
        <v>267</v>
      </c>
      <c r="B269" s="205">
        <v>45589</v>
      </c>
      <c r="C269" s="267" t="s">
        <v>832</v>
      </c>
      <c r="D269" s="204">
        <v>2024</v>
      </c>
      <c r="E269" s="204" t="s">
        <v>1431</v>
      </c>
      <c r="F269" s="204" t="s">
        <v>1436</v>
      </c>
      <c r="G269" s="206" t="s">
        <v>88</v>
      </c>
      <c r="H269" s="207" t="s">
        <v>1765</v>
      </c>
      <c r="I269" s="156" t="s">
        <v>26</v>
      </c>
      <c r="J269" s="204" t="s">
        <v>1436</v>
      </c>
      <c r="K269" s="207"/>
    </row>
    <row r="270" spans="1:11" ht="33.75">
      <c r="A270" s="204">
        <v>268</v>
      </c>
      <c r="B270" s="208">
        <v>45589</v>
      </c>
      <c r="C270" s="267" t="s">
        <v>832</v>
      </c>
      <c r="D270" s="204">
        <v>2024</v>
      </c>
      <c r="E270" s="209" t="s">
        <v>1431</v>
      </c>
      <c r="F270" s="209" t="s">
        <v>1436</v>
      </c>
      <c r="G270" s="217" t="s">
        <v>859</v>
      </c>
      <c r="H270" s="211" t="s">
        <v>1766</v>
      </c>
      <c r="I270" s="156" t="s">
        <v>26</v>
      </c>
      <c r="J270" s="209" t="s">
        <v>1436</v>
      </c>
      <c r="K270" s="211"/>
    </row>
    <row r="271" spans="1:11" ht="33.75">
      <c r="A271" s="204">
        <v>269</v>
      </c>
      <c r="B271" s="205">
        <v>45589</v>
      </c>
      <c r="C271" s="267" t="s">
        <v>832</v>
      </c>
      <c r="D271" s="204">
        <v>2024</v>
      </c>
      <c r="E271" s="204" t="s">
        <v>1431</v>
      </c>
      <c r="F271" s="204" t="s">
        <v>1436</v>
      </c>
      <c r="G271" s="213" t="s">
        <v>821</v>
      </c>
      <c r="H271" s="207" t="s">
        <v>1767</v>
      </c>
      <c r="I271" s="156" t="s">
        <v>26</v>
      </c>
      <c r="J271" s="204" t="s">
        <v>1436</v>
      </c>
      <c r="K271" s="207"/>
    </row>
    <row r="272" spans="1:11" ht="117">
      <c r="A272" s="204">
        <v>270</v>
      </c>
      <c r="B272" s="208">
        <v>45589</v>
      </c>
      <c r="C272" s="267" t="s">
        <v>832</v>
      </c>
      <c r="D272" s="204">
        <v>2024</v>
      </c>
      <c r="E272" s="209" t="s">
        <v>1431</v>
      </c>
      <c r="F272" s="209" t="s">
        <v>574</v>
      </c>
      <c r="G272" s="210" t="s">
        <v>88</v>
      </c>
      <c r="H272" s="211" t="s">
        <v>1768</v>
      </c>
      <c r="I272" s="156" t="s">
        <v>26</v>
      </c>
      <c r="J272" s="209" t="s">
        <v>1436</v>
      </c>
      <c r="K272" s="211" t="s">
        <v>1472</v>
      </c>
    </row>
    <row r="273" spans="1:11" ht="117">
      <c r="A273" s="204">
        <v>271</v>
      </c>
      <c r="B273" s="205">
        <v>45590</v>
      </c>
      <c r="C273" s="267" t="s">
        <v>832</v>
      </c>
      <c r="D273" s="204">
        <v>2024</v>
      </c>
      <c r="E273" s="204" t="s">
        <v>1431</v>
      </c>
      <c r="F273" s="204" t="s">
        <v>1508</v>
      </c>
      <c r="G273" s="206" t="s">
        <v>88</v>
      </c>
      <c r="H273" s="207" t="s">
        <v>1769</v>
      </c>
      <c r="I273" s="156" t="s">
        <v>26</v>
      </c>
      <c r="J273" s="204" t="s">
        <v>1436</v>
      </c>
      <c r="K273" s="207" t="s">
        <v>1510</v>
      </c>
    </row>
    <row r="274" spans="1:11" ht="150.75">
      <c r="A274" s="204">
        <v>272</v>
      </c>
      <c r="B274" s="208">
        <v>45590</v>
      </c>
      <c r="C274" s="267" t="s">
        <v>832</v>
      </c>
      <c r="D274" s="204">
        <v>2024</v>
      </c>
      <c r="E274" s="209" t="s">
        <v>1431</v>
      </c>
      <c r="F274" s="209" t="s">
        <v>1436</v>
      </c>
      <c r="G274" s="213" t="s">
        <v>821</v>
      </c>
      <c r="H274" s="211" t="s">
        <v>1770</v>
      </c>
      <c r="I274" s="156" t="s">
        <v>26</v>
      </c>
      <c r="J274" s="209" t="s">
        <v>1436</v>
      </c>
      <c r="K274" s="211" t="s">
        <v>1513</v>
      </c>
    </row>
    <row r="275" spans="1:11" ht="150.75">
      <c r="A275" s="204">
        <v>273</v>
      </c>
      <c r="B275" s="205">
        <v>45590</v>
      </c>
      <c r="C275" s="267" t="s">
        <v>832</v>
      </c>
      <c r="D275" s="204">
        <v>2024</v>
      </c>
      <c r="E275" s="204" t="s">
        <v>1431</v>
      </c>
      <c r="F275" s="204" t="s">
        <v>1436</v>
      </c>
      <c r="G275" s="213" t="s">
        <v>821</v>
      </c>
      <c r="H275" s="207" t="s">
        <v>1771</v>
      </c>
      <c r="I275" s="156" t="s">
        <v>26</v>
      </c>
      <c r="J275" s="204" t="s">
        <v>1436</v>
      </c>
      <c r="K275" s="207" t="s">
        <v>1513</v>
      </c>
    </row>
    <row r="276" spans="1:11" ht="33.75">
      <c r="A276" s="204">
        <v>274</v>
      </c>
      <c r="B276" s="208">
        <v>45590</v>
      </c>
      <c r="C276" s="267" t="s">
        <v>832</v>
      </c>
      <c r="D276" s="204">
        <v>2024</v>
      </c>
      <c r="E276" s="209" t="s">
        <v>1431</v>
      </c>
      <c r="F276" s="209" t="s">
        <v>1449</v>
      </c>
      <c r="G276" s="210" t="s">
        <v>88</v>
      </c>
      <c r="H276" s="211" t="s">
        <v>1772</v>
      </c>
      <c r="I276" s="156" t="s">
        <v>26</v>
      </c>
      <c r="J276" s="209" t="s">
        <v>1436</v>
      </c>
      <c r="K276" s="211"/>
    </row>
    <row r="277" spans="1:11" ht="117">
      <c r="A277" s="204">
        <v>275</v>
      </c>
      <c r="B277" s="205">
        <v>45590</v>
      </c>
      <c r="C277" s="267" t="s">
        <v>832</v>
      </c>
      <c r="D277" s="204">
        <v>2024</v>
      </c>
      <c r="E277" s="204" t="s">
        <v>1431</v>
      </c>
      <c r="F277" s="204" t="s">
        <v>1449</v>
      </c>
      <c r="G277" s="206" t="s">
        <v>88</v>
      </c>
      <c r="H277" s="207" t="s">
        <v>1773</v>
      </c>
      <c r="I277" s="156" t="s">
        <v>26</v>
      </c>
      <c r="J277" s="204" t="s">
        <v>1436</v>
      </c>
      <c r="K277" s="207" t="s">
        <v>1451</v>
      </c>
    </row>
    <row r="278" spans="1:11" ht="134.25">
      <c r="A278" s="204">
        <v>276</v>
      </c>
      <c r="B278" s="208">
        <v>45590</v>
      </c>
      <c r="C278" s="267" t="s">
        <v>832</v>
      </c>
      <c r="D278" s="204">
        <v>2024</v>
      </c>
      <c r="E278" s="209" t="s">
        <v>1431</v>
      </c>
      <c r="F278" s="209" t="s">
        <v>216</v>
      </c>
      <c r="G278" s="213" t="s">
        <v>821</v>
      </c>
      <c r="H278" s="211" t="s">
        <v>1774</v>
      </c>
      <c r="I278" s="156" t="s">
        <v>26</v>
      </c>
      <c r="J278" s="209" t="s">
        <v>1436</v>
      </c>
      <c r="K278" s="211" t="s">
        <v>1601</v>
      </c>
    </row>
    <row r="279" spans="1:11" ht="33.75">
      <c r="A279" s="204">
        <v>277</v>
      </c>
      <c r="B279" s="205">
        <v>45590</v>
      </c>
      <c r="C279" s="267" t="s">
        <v>832</v>
      </c>
      <c r="D279" s="204">
        <v>2024</v>
      </c>
      <c r="E279" s="204" t="s">
        <v>1431</v>
      </c>
      <c r="F279" s="204" t="s">
        <v>1539</v>
      </c>
      <c r="G279" s="213" t="s">
        <v>821</v>
      </c>
      <c r="H279" s="207" t="s">
        <v>1775</v>
      </c>
      <c r="I279" s="156" t="s">
        <v>26</v>
      </c>
      <c r="J279" s="204" t="s">
        <v>1436</v>
      </c>
      <c r="K279" s="207"/>
    </row>
    <row r="280" spans="1:11" ht="117">
      <c r="A280" s="204">
        <v>278</v>
      </c>
      <c r="B280" s="208">
        <v>45590</v>
      </c>
      <c r="C280" s="267" t="s">
        <v>832</v>
      </c>
      <c r="D280" s="204">
        <v>2024</v>
      </c>
      <c r="E280" s="209" t="s">
        <v>1431</v>
      </c>
      <c r="F280" s="209" t="s">
        <v>1560</v>
      </c>
      <c r="G280" s="210" t="s">
        <v>88</v>
      </c>
      <c r="H280" s="211" t="s">
        <v>1776</v>
      </c>
      <c r="I280" s="156" t="s">
        <v>26</v>
      </c>
      <c r="J280" s="209" t="s">
        <v>1436</v>
      </c>
      <c r="K280" s="211" t="s">
        <v>1437</v>
      </c>
    </row>
    <row r="281" spans="1:11" ht="134.25">
      <c r="A281" s="204">
        <v>279</v>
      </c>
      <c r="B281" s="205">
        <v>45593</v>
      </c>
      <c r="C281" s="267" t="s">
        <v>832</v>
      </c>
      <c r="D281" s="204">
        <v>2024</v>
      </c>
      <c r="E281" s="204" t="s">
        <v>1431</v>
      </c>
      <c r="F281" s="204" t="s">
        <v>1608</v>
      </c>
      <c r="G281" s="212" t="s">
        <v>1439</v>
      </c>
      <c r="H281" s="207" t="s">
        <v>1777</v>
      </c>
      <c r="I281" s="156" t="s">
        <v>26</v>
      </c>
      <c r="J281" s="204" t="s">
        <v>1436</v>
      </c>
      <c r="K281" s="207" t="s">
        <v>1442</v>
      </c>
    </row>
    <row r="282" spans="1:11" ht="66.75">
      <c r="A282" s="204">
        <v>280</v>
      </c>
      <c r="B282" s="208">
        <v>45593</v>
      </c>
      <c r="C282" s="267" t="s">
        <v>832</v>
      </c>
      <c r="D282" s="204">
        <v>2024</v>
      </c>
      <c r="E282" s="209" t="s">
        <v>1431</v>
      </c>
      <c r="F282" s="209" t="s">
        <v>1580</v>
      </c>
      <c r="G282" s="212" t="s">
        <v>1439</v>
      </c>
      <c r="H282" s="211" t="s">
        <v>1778</v>
      </c>
      <c r="I282" s="156" t="s">
        <v>26</v>
      </c>
      <c r="J282" s="209" t="s">
        <v>1436</v>
      </c>
      <c r="K282" s="211"/>
    </row>
    <row r="283" spans="1:11" ht="100.5">
      <c r="A283" s="204">
        <v>281</v>
      </c>
      <c r="B283" s="205">
        <v>45593</v>
      </c>
      <c r="C283" s="267" t="s">
        <v>832</v>
      </c>
      <c r="D283" s="204">
        <v>2024</v>
      </c>
      <c r="E283" s="204" t="s">
        <v>1431</v>
      </c>
      <c r="F283" s="204" t="s">
        <v>1560</v>
      </c>
      <c r="G283" s="206" t="s">
        <v>88</v>
      </c>
      <c r="H283" s="207" t="s">
        <v>1779</v>
      </c>
      <c r="I283" s="156" t="s">
        <v>26</v>
      </c>
      <c r="J283" s="204" t="s">
        <v>1436</v>
      </c>
      <c r="K283" s="207"/>
    </row>
    <row r="284" spans="1:11" ht="84">
      <c r="A284" s="204">
        <v>282</v>
      </c>
      <c r="B284" s="208">
        <v>45593</v>
      </c>
      <c r="C284" s="267" t="s">
        <v>832</v>
      </c>
      <c r="D284" s="204">
        <v>2024</v>
      </c>
      <c r="E284" s="209" t="s">
        <v>1431</v>
      </c>
      <c r="F284" s="209" t="s">
        <v>1506</v>
      </c>
      <c r="G284" s="210" t="s">
        <v>88</v>
      </c>
      <c r="H284" s="211" t="s">
        <v>1780</v>
      </c>
      <c r="I284" s="156" t="s">
        <v>26</v>
      </c>
      <c r="J284" s="209" t="s">
        <v>1436</v>
      </c>
      <c r="K284" s="211" t="s">
        <v>1500</v>
      </c>
    </row>
    <row r="285" spans="1:11" ht="150.75">
      <c r="A285" s="204">
        <v>283</v>
      </c>
      <c r="B285" s="205">
        <v>45593</v>
      </c>
      <c r="C285" s="267" t="s">
        <v>832</v>
      </c>
      <c r="D285" s="204">
        <v>2024</v>
      </c>
      <c r="E285" s="204" t="s">
        <v>1431</v>
      </c>
      <c r="F285" s="204" t="s">
        <v>1436</v>
      </c>
      <c r="G285" s="213" t="s">
        <v>821</v>
      </c>
      <c r="H285" s="207" t="s">
        <v>1781</v>
      </c>
      <c r="I285" s="156" t="s">
        <v>26</v>
      </c>
      <c r="J285" s="204" t="s">
        <v>1436</v>
      </c>
      <c r="K285" s="207" t="s">
        <v>1513</v>
      </c>
    </row>
    <row r="286" spans="1:11" ht="100.5">
      <c r="A286" s="204">
        <v>284</v>
      </c>
      <c r="B286" s="208">
        <v>45593</v>
      </c>
      <c r="C286" s="267" t="s">
        <v>832</v>
      </c>
      <c r="D286" s="204">
        <v>2024</v>
      </c>
      <c r="E286" s="209" t="s">
        <v>1431</v>
      </c>
      <c r="F286" s="209" t="s">
        <v>1584</v>
      </c>
      <c r="G286" s="213" t="s">
        <v>821</v>
      </c>
      <c r="H286" s="211" t="s">
        <v>1782</v>
      </c>
      <c r="I286" s="156" t="s">
        <v>26</v>
      </c>
      <c r="J286" s="209" t="s">
        <v>1436</v>
      </c>
      <c r="K286" s="211" t="s">
        <v>1448</v>
      </c>
    </row>
    <row r="287" spans="1:11" ht="150.75">
      <c r="A287" s="204">
        <v>285</v>
      </c>
      <c r="B287" s="205">
        <v>45593</v>
      </c>
      <c r="C287" s="267" t="s">
        <v>832</v>
      </c>
      <c r="D287" s="204">
        <v>2024</v>
      </c>
      <c r="E287" s="204" t="s">
        <v>1431</v>
      </c>
      <c r="F287" s="204" t="s">
        <v>1584</v>
      </c>
      <c r="G287" s="213" t="s">
        <v>821</v>
      </c>
      <c r="H287" s="207" t="s">
        <v>1783</v>
      </c>
      <c r="I287" s="156" t="s">
        <v>26</v>
      </c>
      <c r="J287" s="204" t="s">
        <v>1436</v>
      </c>
      <c r="K287" s="207" t="s">
        <v>1513</v>
      </c>
    </row>
    <row r="288" spans="1:11" ht="117">
      <c r="A288" s="204">
        <v>286</v>
      </c>
      <c r="B288" s="208">
        <v>45593</v>
      </c>
      <c r="C288" s="267" t="s">
        <v>832</v>
      </c>
      <c r="D288" s="204">
        <v>2024</v>
      </c>
      <c r="E288" s="209" t="s">
        <v>1431</v>
      </c>
      <c r="F288" s="209" t="s">
        <v>1449</v>
      </c>
      <c r="G288" s="210" t="s">
        <v>88</v>
      </c>
      <c r="H288" s="211" t="s">
        <v>1784</v>
      </c>
      <c r="I288" s="156" t="s">
        <v>26</v>
      </c>
      <c r="J288" s="209" t="s">
        <v>1436</v>
      </c>
      <c r="K288" s="211" t="s">
        <v>1451</v>
      </c>
    </row>
    <row r="289" spans="1:11" ht="117">
      <c r="A289" s="204">
        <v>287</v>
      </c>
      <c r="B289" s="205">
        <v>45594</v>
      </c>
      <c r="C289" s="267" t="s">
        <v>832</v>
      </c>
      <c r="D289" s="204">
        <v>2024</v>
      </c>
      <c r="E289" s="204" t="s">
        <v>1431</v>
      </c>
      <c r="F289" s="204" t="s">
        <v>1518</v>
      </c>
      <c r="G289" s="206" t="s">
        <v>88</v>
      </c>
      <c r="H289" s="207" t="s">
        <v>1785</v>
      </c>
      <c r="I289" s="156" t="s">
        <v>26</v>
      </c>
      <c r="J289" s="204" t="s">
        <v>1436</v>
      </c>
      <c r="K289" s="207" t="s">
        <v>1451</v>
      </c>
    </row>
    <row r="290" spans="1:11" ht="84">
      <c r="A290" s="204">
        <v>288</v>
      </c>
      <c r="B290" s="208">
        <v>45594</v>
      </c>
      <c r="C290" s="267" t="s">
        <v>832</v>
      </c>
      <c r="D290" s="204">
        <v>2024</v>
      </c>
      <c r="E290" s="209" t="s">
        <v>1431</v>
      </c>
      <c r="F290" s="209" t="s">
        <v>1506</v>
      </c>
      <c r="G290" s="210" t="s">
        <v>88</v>
      </c>
      <c r="H290" s="211" t="s">
        <v>1786</v>
      </c>
      <c r="I290" s="156" t="s">
        <v>26</v>
      </c>
      <c r="J290" s="209" t="s">
        <v>1436</v>
      </c>
      <c r="K290" s="211" t="s">
        <v>1500</v>
      </c>
    </row>
    <row r="291" spans="1:11" ht="84">
      <c r="A291" s="204">
        <v>289</v>
      </c>
      <c r="B291" s="205">
        <v>45594</v>
      </c>
      <c r="C291" s="267" t="s">
        <v>832</v>
      </c>
      <c r="D291" s="204">
        <v>2024</v>
      </c>
      <c r="E291" s="204" t="s">
        <v>1431</v>
      </c>
      <c r="F291" s="204" t="s">
        <v>1506</v>
      </c>
      <c r="G291" s="206" t="s">
        <v>88</v>
      </c>
      <c r="H291" s="207" t="s">
        <v>1787</v>
      </c>
      <c r="I291" s="156" t="s">
        <v>26</v>
      </c>
      <c r="J291" s="204" t="s">
        <v>1436</v>
      </c>
      <c r="K291" s="207" t="s">
        <v>1500</v>
      </c>
    </row>
    <row r="292" spans="1:11" ht="117">
      <c r="A292" s="204">
        <v>290</v>
      </c>
      <c r="B292" s="208">
        <v>45594</v>
      </c>
      <c r="C292" s="267" t="s">
        <v>832</v>
      </c>
      <c r="D292" s="204">
        <v>2024</v>
      </c>
      <c r="E292" s="209" t="s">
        <v>1431</v>
      </c>
      <c r="F292" s="209" t="s">
        <v>1436</v>
      </c>
      <c r="G292" s="210" t="s">
        <v>88</v>
      </c>
      <c r="H292" s="211" t="s">
        <v>1788</v>
      </c>
      <c r="I292" s="156" t="s">
        <v>26</v>
      </c>
      <c r="J292" s="209" t="s">
        <v>1436</v>
      </c>
      <c r="K292" s="211" t="s">
        <v>1522</v>
      </c>
    </row>
    <row r="293" spans="1:11" ht="33.75">
      <c r="A293" s="204">
        <v>291</v>
      </c>
      <c r="B293" s="205">
        <v>45594</v>
      </c>
      <c r="C293" s="267" t="s">
        <v>832</v>
      </c>
      <c r="D293" s="204">
        <v>2024</v>
      </c>
      <c r="E293" s="204" t="s">
        <v>1431</v>
      </c>
      <c r="F293" s="204" t="s">
        <v>1506</v>
      </c>
      <c r="G293" s="206" t="s">
        <v>88</v>
      </c>
      <c r="H293" s="207" t="s">
        <v>1789</v>
      </c>
      <c r="I293" s="156" t="s">
        <v>26</v>
      </c>
      <c r="J293" s="204" t="s">
        <v>1436</v>
      </c>
      <c r="K293" s="207"/>
    </row>
    <row r="294" spans="1:11" ht="150.75">
      <c r="A294" s="204">
        <v>292</v>
      </c>
      <c r="B294" s="208">
        <v>45594</v>
      </c>
      <c r="C294" s="267" t="s">
        <v>832</v>
      </c>
      <c r="D294" s="204">
        <v>2024</v>
      </c>
      <c r="E294" s="209" t="s">
        <v>1431</v>
      </c>
      <c r="F294" s="209" t="s">
        <v>1436</v>
      </c>
      <c r="G294" s="213" t="s">
        <v>821</v>
      </c>
      <c r="H294" s="211" t="s">
        <v>1790</v>
      </c>
      <c r="I294" s="156" t="s">
        <v>26</v>
      </c>
      <c r="J294" s="209" t="s">
        <v>1436</v>
      </c>
      <c r="K294" s="211" t="s">
        <v>1513</v>
      </c>
    </row>
    <row r="295" spans="1:11" ht="84">
      <c r="A295" s="204">
        <v>293</v>
      </c>
      <c r="B295" s="205">
        <v>45594</v>
      </c>
      <c r="C295" s="267" t="s">
        <v>832</v>
      </c>
      <c r="D295" s="204">
        <v>2024</v>
      </c>
      <c r="E295" s="204" t="s">
        <v>1431</v>
      </c>
      <c r="F295" s="204" t="s">
        <v>1506</v>
      </c>
      <c r="G295" s="206" t="s">
        <v>88</v>
      </c>
      <c r="H295" s="207" t="s">
        <v>1791</v>
      </c>
      <c r="I295" s="156" t="s">
        <v>26</v>
      </c>
      <c r="J295" s="204" t="s">
        <v>1436</v>
      </c>
      <c r="K295" s="207" t="s">
        <v>1500</v>
      </c>
    </row>
    <row r="296" spans="1:11" ht="134.25">
      <c r="A296" s="204">
        <v>294</v>
      </c>
      <c r="B296" s="208">
        <v>45595</v>
      </c>
      <c r="C296" s="267" t="s">
        <v>832</v>
      </c>
      <c r="D296" s="204">
        <v>2024</v>
      </c>
      <c r="E296" s="209" t="s">
        <v>1431</v>
      </c>
      <c r="F296" s="209" t="s">
        <v>216</v>
      </c>
      <c r="G296" s="213" t="s">
        <v>821</v>
      </c>
      <c r="H296" s="211" t="s">
        <v>1792</v>
      </c>
      <c r="I296" s="156" t="s">
        <v>26</v>
      </c>
      <c r="J296" s="209" t="s">
        <v>1436</v>
      </c>
      <c r="K296" s="211" t="s">
        <v>1601</v>
      </c>
    </row>
    <row r="297" spans="1:11" ht="84">
      <c r="A297" s="204">
        <v>295</v>
      </c>
      <c r="B297" s="205">
        <v>45595</v>
      </c>
      <c r="C297" s="267" t="s">
        <v>832</v>
      </c>
      <c r="D297" s="204">
        <v>2024</v>
      </c>
      <c r="E297" s="204" t="s">
        <v>1431</v>
      </c>
      <c r="F297" s="204" t="s">
        <v>1506</v>
      </c>
      <c r="G297" s="206" t="s">
        <v>88</v>
      </c>
      <c r="H297" s="207" t="s">
        <v>1793</v>
      </c>
      <c r="I297" s="156" t="s">
        <v>26</v>
      </c>
      <c r="J297" s="204" t="s">
        <v>1436</v>
      </c>
      <c r="K297" s="207" t="s">
        <v>1500</v>
      </c>
    </row>
    <row r="298" spans="1:11" ht="150.75">
      <c r="A298" s="204">
        <v>296</v>
      </c>
      <c r="B298" s="208">
        <v>45595</v>
      </c>
      <c r="C298" s="267" t="s">
        <v>832</v>
      </c>
      <c r="D298" s="204">
        <v>2024</v>
      </c>
      <c r="E298" s="209" t="s">
        <v>1431</v>
      </c>
      <c r="F298" s="209" t="s">
        <v>21</v>
      </c>
      <c r="G298" s="213" t="s">
        <v>821</v>
      </c>
      <c r="H298" s="211" t="s">
        <v>1794</v>
      </c>
      <c r="I298" s="156" t="s">
        <v>26</v>
      </c>
      <c r="J298" s="209" t="s">
        <v>1436</v>
      </c>
      <c r="K298" s="211" t="s">
        <v>1513</v>
      </c>
    </row>
    <row r="299" spans="1:11" ht="66.75">
      <c r="A299" s="204">
        <v>297</v>
      </c>
      <c r="B299" s="205">
        <v>45595</v>
      </c>
      <c r="C299" s="267" t="s">
        <v>832</v>
      </c>
      <c r="D299" s="204">
        <v>2024</v>
      </c>
      <c r="E299" s="204" t="s">
        <v>1431</v>
      </c>
      <c r="F299" s="204" t="s">
        <v>1449</v>
      </c>
      <c r="G299" s="206" t="s">
        <v>88</v>
      </c>
      <c r="H299" s="207" t="s">
        <v>1795</v>
      </c>
      <c r="I299" s="156" t="s">
        <v>26</v>
      </c>
      <c r="J299" s="204" t="s">
        <v>1436</v>
      </c>
      <c r="K299" s="207" t="s">
        <v>1548</v>
      </c>
    </row>
    <row r="300" spans="1:11" ht="50.25">
      <c r="A300" s="204">
        <v>298</v>
      </c>
      <c r="B300" s="208">
        <v>45595</v>
      </c>
      <c r="C300" s="267" t="s">
        <v>832</v>
      </c>
      <c r="D300" s="204">
        <v>2024</v>
      </c>
      <c r="E300" s="209" t="s">
        <v>1431</v>
      </c>
      <c r="F300" s="209" t="s">
        <v>1449</v>
      </c>
      <c r="G300" s="210" t="s">
        <v>88</v>
      </c>
      <c r="H300" s="211" t="s">
        <v>1796</v>
      </c>
      <c r="I300" s="156" t="s">
        <v>26</v>
      </c>
      <c r="J300" s="209" t="s">
        <v>1436</v>
      </c>
      <c r="K300" s="211"/>
    </row>
    <row r="301" spans="1:11" ht="100.5">
      <c r="A301" s="204">
        <v>299</v>
      </c>
      <c r="B301" s="205">
        <v>45595</v>
      </c>
      <c r="C301" s="267" t="s">
        <v>832</v>
      </c>
      <c r="D301" s="204">
        <v>2024</v>
      </c>
      <c r="E301" s="204" t="s">
        <v>1431</v>
      </c>
      <c r="F301" s="204" t="s">
        <v>1506</v>
      </c>
      <c r="G301" s="206" t="s">
        <v>88</v>
      </c>
      <c r="H301" s="207" t="s">
        <v>1797</v>
      </c>
      <c r="I301" s="156" t="s">
        <v>26</v>
      </c>
      <c r="J301" s="204" t="s">
        <v>1436</v>
      </c>
      <c r="K301" s="207" t="s">
        <v>1500</v>
      </c>
    </row>
    <row r="302" spans="1:11" ht="150.75">
      <c r="A302" s="204">
        <v>300</v>
      </c>
      <c r="B302" s="208">
        <v>45595</v>
      </c>
      <c r="C302" s="267" t="s">
        <v>832</v>
      </c>
      <c r="D302" s="204">
        <v>2024</v>
      </c>
      <c r="E302" s="209" t="s">
        <v>1431</v>
      </c>
      <c r="F302" s="209" t="s">
        <v>1436</v>
      </c>
      <c r="G302" s="213" t="s">
        <v>821</v>
      </c>
      <c r="H302" s="211" t="s">
        <v>1798</v>
      </c>
      <c r="I302" s="156" t="s">
        <v>26</v>
      </c>
      <c r="J302" s="209" t="s">
        <v>1436</v>
      </c>
      <c r="K302" s="211" t="s">
        <v>1513</v>
      </c>
    </row>
    <row r="303" spans="1:11" ht="100.5">
      <c r="A303" s="204">
        <v>301</v>
      </c>
      <c r="B303" s="205">
        <v>45596</v>
      </c>
      <c r="C303" s="267" t="s">
        <v>832</v>
      </c>
      <c r="D303" s="204">
        <v>2024</v>
      </c>
      <c r="E303" s="204" t="s">
        <v>1431</v>
      </c>
      <c r="F303" s="204" t="s">
        <v>574</v>
      </c>
      <c r="G303" s="206" t="s">
        <v>88</v>
      </c>
      <c r="H303" s="207" t="s">
        <v>1799</v>
      </c>
      <c r="I303" s="156" t="s">
        <v>26</v>
      </c>
      <c r="J303" s="204" t="s">
        <v>1436</v>
      </c>
      <c r="K303" s="207" t="s">
        <v>1472</v>
      </c>
    </row>
    <row r="304" spans="1:11" ht="84">
      <c r="A304" s="204">
        <v>302</v>
      </c>
      <c r="B304" s="208">
        <v>45596</v>
      </c>
      <c r="C304" s="267" t="s">
        <v>832</v>
      </c>
      <c r="D304" s="204">
        <v>2024</v>
      </c>
      <c r="E304" s="209" t="s">
        <v>1431</v>
      </c>
      <c r="F304" s="209" t="s">
        <v>1518</v>
      </c>
      <c r="G304" s="210" t="s">
        <v>88</v>
      </c>
      <c r="H304" s="211" t="s">
        <v>1800</v>
      </c>
      <c r="I304" s="156" t="s">
        <v>26</v>
      </c>
      <c r="J304" s="209" t="s">
        <v>1436</v>
      </c>
      <c r="K304" s="211" t="s">
        <v>1444</v>
      </c>
    </row>
    <row r="305" spans="1:11" ht="117">
      <c r="A305" s="204">
        <v>303</v>
      </c>
      <c r="B305" s="205">
        <v>45596</v>
      </c>
      <c r="C305" s="267" t="s">
        <v>832</v>
      </c>
      <c r="D305" s="204">
        <v>2024</v>
      </c>
      <c r="E305" s="204" t="s">
        <v>1431</v>
      </c>
      <c r="F305" s="204" t="s">
        <v>21</v>
      </c>
      <c r="G305" s="213" t="s">
        <v>821</v>
      </c>
      <c r="H305" s="207" t="s">
        <v>1801</v>
      </c>
      <c r="I305" s="156" t="s">
        <v>26</v>
      </c>
      <c r="J305" s="204" t="s">
        <v>1436</v>
      </c>
      <c r="K305" s="207" t="s">
        <v>1446</v>
      </c>
    </row>
    <row r="306" spans="1:11" ht="33.75">
      <c r="A306" s="204">
        <v>304</v>
      </c>
      <c r="B306" s="208">
        <v>45596</v>
      </c>
      <c r="C306" s="267" t="s">
        <v>832</v>
      </c>
      <c r="D306" s="204">
        <v>2024</v>
      </c>
      <c r="E306" s="209" t="s">
        <v>1431</v>
      </c>
      <c r="F306" s="209" t="s">
        <v>1449</v>
      </c>
      <c r="G306" s="210" t="s">
        <v>88</v>
      </c>
      <c r="H306" s="211" t="s">
        <v>1802</v>
      </c>
      <c r="I306" s="156" t="s">
        <v>26</v>
      </c>
      <c r="J306" s="209" t="s">
        <v>1436</v>
      </c>
      <c r="K306" s="211"/>
    </row>
    <row r="307" spans="1:11" ht="117">
      <c r="A307" s="204">
        <v>305</v>
      </c>
      <c r="B307" s="205">
        <v>45596</v>
      </c>
      <c r="C307" s="267" t="s">
        <v>832</v>
      </c>
      <c r="D307" s="204">
        <v>2024</v>
      </c>
      <c r="E307" s="204" t="s">
        <v>1431</v>
      </c>
      <c r="F307" s="204" t="s">
        <v>1539</v>
      </c>
      <c r="G307" s="206" t="s">
        <v>88</v>
      </c>
      <c r="H307" s="207" t="s">
        <v>1803</v>
      </c>
      <c r="I307" s="156" t="s">
        <v>26</v>
      </c>
      <c r="J307" s="204" t="s">
        <v>1436</v>
      </c>
      <c r="K307" s="207" t="s">
        <v>1451</v>
      </c>
    </row>
    <row r="308" spans="1:11" ht="33.75">
      <c r="A308" s="204">
        <v>306</v>
      </c>
      <c r="B308" s="208">
        <v>45596</v>
      </c>
      <c r="C308" s="267" t="s">
        <v>832</v>
      </c>
      <c r="D308" s="204">
        <v>2024</v>
      </c>
      <c r="E308" s="209" t="s">
        <v>1431</v>
      </c>
      <c r="F308" s="209" t="s">
        <v>1449</v>
      </c>
      <c r="G308" s="210" t="s">
        <v>88</v>
      </c>
      <c r="H308" s="211" t="s">
        <v>1804</v>
      </c>
      <c r="I308" s="156" t="s">
        <v>26</v>
      </c>
      <c r="J308" s="209" t="s">
        <v>1436</v>
      </c>
      <c r="K308" s="211"/>
    </row>
    <row r="309" spans="1:11" ht="117">
      <c r="A309" s="204">
        <v>307</v>
      </c>
      <c r="B309" s="205">
        <v>45596</v>
      </c>
      <c r="C309" s="267" t="s">
        <v>832</v>
      </c>
      <c r="D309" s="204">
        <v>2024</v>
      </c>
      <c r="E309" s="204" t="s">
        <v>1431</v>
      </c>
      <c r="F309" s="204" t="s">
        <v>216</v>
      </c>
      <c r="G309" s="206" t="s">
        <v>88</v>
      </c>
      <c r="H309" s="207" t="s">
        <v>1805</v>
      </c>
      <c r="I309" s="156" t="s">
        <v>26</v>
      </c>
      <c r="J309" s="204" t="s">
        <v>1436</v>
      </c>
      <c r="K309" s="207" t="s">
        <v>1451</v>
      </c>
    </row>
    <row r="310" spans="1:11" ht="84">
      <c r="A310" s="204">
        <v>308</v>
      </c>
      <c r="B310" s="208">
        <v>45597</v>
      </c>
      <c r="C310" s="267" t="s">
        <v>833</v>
      </c>
      <c r="D310" s="204">
        <v>2024</v>
      </c>
      <c r="E310" s="209" t="s">
        <v>1431</v>
      </c>
      <c r="F310" s="209" t="s">
        <v>1560</v>
      </c>
      <c r="G310" s="217" t="s">
        <v>859</v>
      </c>
      <c r="H310" s="211" t="s">
        <v>1806</v>
      </c>
      <c r="I310" s="156" t="s">
        <v>26</v>
      </c>
      <c r="J310" s="209" t="s">
        <v>1436</v>
      </c>
      <c r="K310" s="211"/>
    </row>
    <row r="311" spans="1:11" ht="84">
      <c r="A311" s="204">
        <v>309</v>
      </c>
      <c r="B311" s="205">
        <v>45597</v>
      </c>
      <c r="C311" s="267" t="s">
        <v>833</v>
      </c>
      <c r="D311" s="204">
        <v>2024</v>
      </c>
      <c r="E311" s="204" t="s">
        <v>1431</v>
      </c>
      <c r="F311" s="204" t="s">
        <v>1518</v>
      </c>
      <c r="G311" s="206" t="s">
        <v>88</v>
      </c>
      <c r="H311" s="207" t="s">
        <v>1807</v>
      </c>
      <c r="I311" s="156" t="s">
        <v>26</v>
      </c>
      <c r="J311" s="204" t="s">
        <v>1436</v>
      </c>
      <c r="K311" s="207" t="s">
        <v>1444</v>
      </c>
    </row>
    <row r="312" spans="1:11" ht="16.5">
      <c r="A312" s="204">
        <v>310</v>
      </c>
      <c r="B312" s="208">
        <v>45597</v>
      </c>
      <c r="C312" s="267" t="s">
        <v>833</v>
      </c>
      <c r="D312" s="204">
        <v>2024</v>
      </c>
      <c r="E312" s="209" t="s">
        <v>1431</v>
      </c>
      <c r="F312" s="209" t="s">
        <v>216</v>
      </c>
      <c r="G312" s="216" t="s">
        <v>872</v>
      </c>
      <c r="H312" s="211" t="s">
        <v>1808</v>
      </c>
      <c r="I312" s="156" t="s">
        <v>26</v>
      </c>
      <c r="J312" s="209" t="s">
        <v>1436</v>
      </c>
      <c r="K312" s="211"/>
    </row>
    <row r="313" spans="1:11" ht="33.75">
      <c r="A313" s="204">
        <v>311</v>
      </c>
      <c r="B313" s="205">
        <v>45597</v>
      </c>
      <c r="C313" s="267" t="s">
        <v>833</v>
      </c>
      <c r="D313" s="204">
        <v>2024</v>
      </c>
      <c r="E313" s="204" t="s">
        <v>1431</v>
      </c>
      <c r="F313" s="204" t="s">
        <v>1539</v>
      </c>
      <c r="G313" s="215" t="s">
        <v>872</v>
      </c>
      <c r="H313" s="207" t="s">
        <v>1809</v>
      </c>
      <c r="I313" s="156" t="s">
        <v>26</v>
      </c>
      <c r="J313" s="204" t="s">
        <v>1436</v>
      </c>
      <c r="K313" s="207"/>
    </row>
    <row r="314" spans="1:11" ht="84">
      <c r="A314" s="204">
        <v>312</v>
      </c>
      <c r="B314" s="208">
        <v>45600</v>
      </c>
      <c r="C314" s="267" t="s">
        <v>833</v>
      </c>
      <c r="D314" s="204">
        <v>2024</v>
      </c>
      <c r="E314" s="209" t="s">
        <v>1431</v>
      </c>
      <c r="F314" s="209" t="s">
        <v>1506</v>
      </c>
      <c r="G314" s="210" t="s">
        <v>88</v>
      </c>
      <c r="H314" s="211" t="s">
        <v>1810</v>
      </c>
      <c r="I314" s="156" t="s">
        <v>26</v>
      </c>
      <c r="J314" s="209" t="s">
        <v>1436</v>
      </c>
      <c r="K314" s="211" t="s">
        <v>1500</v>
      </c>
    </row>
    <row r="315" spans="1:11" ht="150.75">
      <c r="A315" s="204">
        <v>313</v>
      </c>
      <c r="B315" s="205">
        <v>45600</v>
      </c>
      <c r="C315" s="267" t="s">
        <v>833</v>
      </c>
      <c r="D315" s="204">
        <v>2024</v>
      </c>
      <c r="E315" s="204" t="s">
        <v>1431</v>
      </c>
      <c r="F315" s="204" t="s">
        <v>216</v>
      </c>
      <c r="G315" s="213" t="s">
        <v>821</v>
      </c>
      <c r="H315" s="207" t="s">
        <v>1811</v>
      </c>
      <c r="I315" s="156" t="s">
        <v>26</v>
      </c>
      <c r="J315" s="204" t="s">
        <v>1436</v>
      </c>
      <c r="K315" s="207" t="s">
        <v>1513</v>
      </c>
    </row>
    <row r="316" spans="1:11" ht="50.25">
      <c r="A316" s="204">
        <v>314</v>
      </c>
      <c r="B316" s="208">
        <v>45600</v>
      </c>
      <c r="C316" s="267" t="s">
        <v>833</v>
      </c>
      <c r="D316" s="204">
        <v>2024</v>
      </c>
      <c r="E316" s="209" t="s">
        <v>1431</v>
      </c>
      <c r="F316" s="209" t="s">
        <v>1506</v>
      </c>
      <c r="G316" s="210" t="s">
        <v>88</v>
      </c>
      <c r="H316" s="211" t="s">
        <v>1812</v>
      </c>
      <c r="I316" s="156" t="s">
        <v>26</v>
      </c>
      <c r="J316" s="209" t="s">
        <v>1436</v>
      </c>
      <c r="K316" s="211"/>
    </row>
    <row r="317" spans="1:11" ht="100.5">
      <c r="A317" s="204">
        <v>315</v>
      </c>
      <c r="B317" s="205">
        <v>45600</v>
      </c>
      <c r="C317" s="267" t="s">
        <v>833</v>
      </c>
      <c r="D317" s="204">
        <v>2024</v>
      </c>
      <c r="E317" s="204" t="s">
        <v>1431</v>
      </c>
      <c r="F317" s="204" t="s">
        <v>1506</v>
      </c>
      <c r="G317" s="206" t="s">
        <v>88</v>
      </c>
      <c r="H317" s="207" t="s">
        <v>1813</v>
      </c>
      <c r="I317" s="156" t="s">
        <v>26</v>
      </c>
      <c r="J317" s="204" t="s">
        <v>1436</v>
      </c>
      <c r="K317" s="207" t="s">
        <v>1467</v>
      </c>
    </row>
    <row r="318" spans="1:11" ht="33.75">
      <c r="A318" s="204">
        <v>316</v>
      </c>
      <c r="B318" s="208">
        <v>45600</v>
      </c>
      <c r="C318" s="267" t="s">
        <v>833</v>
      </c>
      <c r="D318" s="204">
        <v>2024</v>
      </c>
      <c r="E318" s="209" t="s">
        <v>1431</v>
      </c>
      <c r="F318" s="209" t="s">
        <v>1506</v>
      </c>
      <c r="G318" s="210" t="s">
        <v>88</v>
      </c>
      <c r="H318" s="211" t="s">
        <v>1814</v>
      </c>
      <c r="I318" s="156" t="s">
        <v>26</v>
      </c>
      <c r="J318" s="209" t="s">
        <v>1436</v>
      </c>
      <c r="K318" s="211"/>
    </row>
    <row r="319" spans="1:11" ht="100.5">
      <c r="A319" s="204">
        <v>317</v>
      </c>
      <c r="B319" s="205">
        <v>45600</v>
      </c>
      <c r="C319" s="267" t="s">
        <v>833</v>
      </c>
      <c r="D319" s="204">
        <v>2024</v>
      </c>
      <c r="E319" s="204" t="s">
        <v>1431</v>
      </c>
      <c r="F319" s="204" t="s">
        <v>1506</v>
      </c>
      <c r="G319" s="206" t="s">
        <v>88</v>
      </c>
      <c r="H319" s="207" t="s">
        <v>1815</v>
      </c>
      <c r="I319" s="156" t="s">
        <v>26</v>
      </c>
      <c r="J319" s="204" t="s">
        <v>1436</v>
      </c>
      <c r="K319" s="207" t="s">
        <v>1467</v>
      </c>
    </row>
    <row r="320" spans="1:11" ht="100.5">
      <c r="A320" s="204">
        <v>318</v>
      </c>
      <c r="B320" s="208">
        <v>45600</v>
      </c>
      <c r="C320" s="267" t="s">
        <v>833</v>
      </c>
      <c r="D320" s="204">
        <v>2024</v>
      </c>
      <c r="E320" s="209" t="s">
        <v>1431</v>
      </c>
      <c r="F320" s="209" t="s">
        <v>574</v>
      </c>
      <c r="G320" s="210" t="s">
        <v>88</v>
      </c>
      <c r="H320" s="211" t="s">
        <v>1816</v>
      </c>
      <c r="I320" s="156" t="s">
        <v>26</v>
      </c>
      <c r="J320" s="209" t="s">
        <v>1436</v>
      </c>
      <c r="K320" s="211" t="s">
        <v>1472</v>
      </c>
    </row>
    <row r="321" spans="1:11" ht="66.75">
      <c r="A321" s="204">
        <v>319</v>
      </c>
      <c r="B321" s="205">
        <v>45601</v>
      </c>
      <c r="C321" s="267" t="s">
        <v>833</v>
      </c>
      <c r="D321" s="204">
        <v>2024</v>
      </c>
      <c r="E321" s="204" t="s">
        <v>1431</v>
      </c>
      <c r="F321" s="204" t="s">
        <v>1449</v>
      </c>
      <c r="G321" s="206" t="s">
        <v>88</v>
      </c>
      <c r="H321" s="207" t="s">
        <v>1817</v>
      </c>
      <c r="I321" s="156" t="s">
        <v>26</v>
      </c>
      <c r="J321" s="204" t="s">
        <v>1436</v>
      </c>
      <c r="K321" s="207" t="s">
        <v>1548</v>
      </c>
    </row>
    <row r="322" spans="1:11" ht="33.75">
      <c r="A322" s="204">
        <v>320</v>
      </c>
      <c r="B322" s="208">
        <v>45601</v>
      </c>
      <c r="C322" s="267" t="s">
        <v>833</v>
      </c>
      <c r="D322" s="204">
        <v>2024</v>
      </c>
      <c r="E322" s="209" t="s">
        <v>1431</v>
      </c>
      <c r="F322" s="209" t="s">
        <v>1436</v>
      </c>
      <c r="G322" s="210" t="s">
        <v>88</v>
      </c>
      <c r="H322" s="211" t="s">
        <v>1818</v>
      </c>
      <c r="I322" s="156" t="s">
        <v>26</v>
      </c>
      <c r="J322" s="209" t="s">
        <v>1436</v>
      </c>
      <c r="K322" s="211"/>
    </row>
    <row r="323" spans="1:11" ht="84">
      <c r="A323" s="204">
        <v>321</v>
      </c>
      <c r="B323" s="205">
        <v>45601</v>
      </c>
      <c r="C323" s="267" t="s">
        <v>833</v>
      </c>
      <c r="D323" s="204">
        <v>2024</v>
      </c>
      <c r="E323" s="204" t="s">
        <v>1431</v>
      </c>
      <c r="F323" s="204" t="s">
        <v>1506</v>
      </c>
      <c r="G323" s="206" t="s">
        <v>88</v>
      </c>
      <c r="H323" s="207" t="s">
        <v>1819</v>
      </c>
      <c r="I323" s="156" t="s">
        <v>26</v>
      </c>
      <c r="J323" s="204" t="s">
        <v>1436</v>
      </c>
      <c r="K323" s="207" t="s">
        <v>1500</v>
      </c>
    </row>
    <row r="324" spans="1:11" ht="33.75">
      <c r="A324" s="204">
        <v>322</v>
      </c>
      <c r="B324" s="208">
        <v>45601</v>
      </c>
      <c r="C324" s="267" t="s">
        <v>833</v>
      </c>
      <c r="D324" s="204">
        <v>2024</v>
      </c>
      <c r="E324" s="209" t="s">
        <v>1431</v>
      </c>
      <c r="F324" s="209" t="s">
        <v>1584</v>
      </c>
      <c r="G324" s="213" t="s">
        <v>821</v>
      </c>
      <c r="H324" s="211" t="s">
        <v>1820</v>
      </c>
      <c r="I324" s="156" t="s">
        <v>26</v>
      </c>
      <c r="J324" s="209" t="s">
        <v>1436</v>
      </c>
      <c r="K324" s="211"/>
    </row>
    <row r="325" spans="1:11" ht="84">
      <c r="A325" s="204">
        <v>323</v>
      </c>
      <c r="B325" s="205">
        <v>45602</v>
      </c>
      <c r="C325" s="267" t="s">
        <v>833</v>
      </c>
      <c r="D325" s="204">
        <v>2024</v>
      </c>
      <c r="E325" s="204" t="s">
        <v>1431</v>
      </c>
      <c r="F325" s="204" t="s">
        <v>1518</v>
      </c>
      <c r="G325" s="206" t="s">
        <v>88</v>
      </c>
      <c r="H325" s="207" t="s">
        <v>1821</v>
      </c>
      <c r="I325" s="156" t="s">
        <v>26</v>
      </c>
      <c r="J325" s="204" t="s">
        <v>1436</v>
      </c>
      <c r="K325" s="207" t="s">
        <v>1444</v>
      </c>
    </row>
    <row r="326" spans="1:11" ht="84">
      <c r="A326" s="204">
        <v>324</v>
      </c>
      <c r="B326" s="208">
        <v>45602</v>
      </c>
      <c r="C326" s="267" t="s">
        <v>833</v>
      </c>
      <c r="D326" s="204">
        <v>2024</v>
      </c>
      <c r="E326" s="209" t="s">
        <v>1431</v>
      </c>
      <c r="F326" s="209" t="s">
        <v>1518</v>
      </c>
      <c r="G326" s="210" t="s">
        <v>88</v>
      </c>
      <c r="H326" s="211" t="s">
        <v>1822</v>
      </c>
      <c r="I326" s="156" t="s">
        <v>26</v>
      </c>
      <c r="J326" s="209" t="s">
        <v>1436</v>
      </c>
      <c r="K326" s="211" t="s">
        <v>1444</v>
      </c>
    </row>
    <row r="327" spans="1:11" ht="134.25">
      <c r="A327" s="204">
        <v>325</v>
      </c>
      <c r="B327" s="205">
        <v>45602</v>
      </c>
      <c r="C327" s="267" t="s">
        <v>833</v>
      </c>
      <c r="D327" s="204">
        <v>2024</v>
      </c>
      <c r="E327" s="204" t="s">
        <v>1431</v>
      </c>
      <c r="F327" s="204" t="s">
        <v>216</v>
      </c>
      <c r="G327" s="213" t="s">
        <v>821</v>
      </c>
      <c r="H327" s="207" t="s">
        <v>1823</v>
      </c>
      <c r="I327" s="156" t="s">
        <v>26</v>
      </c>
      <c r="J327" s="204" t="s">
        <v>1436</v>
      </c>
      <c r="K327" s="207" t="s">
        <v>1601</v>
      </c>
    </row>
    <row r="328" spans="1:11" ht="66.75">
      <c r="A328" s="204">
        <v>326</v>
      </c>
      <c r="B328" s="208">
        <v>45602</v>
      </c>
      <c r="C328" s="267" t="s">
        <v>833</v>
      </c>
      <c r="D328" s="204">
        <v>2024</v>
      </c>
      <c r="E328" s="209" t="s">
        <v>1431</v>
      </c>
      <c r="F328" s="209" t="s">
        <v>1436</v>
      </c>
      <c r="G328" s="210" t="s">
        <v>88</v>
      </c>
      <c r="H328" s="211" t="s">
        <v>1824</v>
      </c>
      <c r="I328" s="156" t="s">
        <v>26</v>
      </c>
      <c r="J328" s="209" t="s">
        <v>1436</v>
      </c>
      <c r="K328" s="211"/>
    </row>
    <row r="329" spans="1:11" ht="66.75">
      <c r="A329" s="204">
        <v>327</v>
      </c>
      <c r="B329" s="205">
        <v>45602</v>
      </c>
      <c r="C329" s="267" t="s">
        <v>833</v>
      </c>
      <c r="D329" s="204">
        <v>2024</v>
      </c>
      <c r="E329" s="204" t="s">
        <v>1431</v>
      </c>
      <c r="F329" s="204" t="s">
        <v>1449</v>
      </c>
      <c r="G329" s="206" t="s">
        <v>88</v>
      </c>
      <c r="H329" s="207" t="s">
        <v>1825</v>
      </c>
      <c r="I329" s="156" t="s">
        <v>26</v>
      </c>
      <c r="J329" s="204" t="s">
        <v>1436</v>
      </c>
      <c r="K329" s="207" t="s">
        <v>1548</v>
      </c>
    </row>
    <row r="330" spans="1:11" ht="117">
      <c r="A330" s="204">
        <v>328</v>
      </c>
      <c r="B330" s="208">
        <v>45602</v>
      </c>
      <c r="C330" s="267" t="s">
        <v>833</v>
      </c>
      <c r="D330" s="204">
        <v>2024</v>
      </c>
      <c r="E330" s="209" t="s">
        <v>1431</v>
      </c>
      <c r="F330" s="209" t="s">
        <v>1449</v>
      </c>
      <c r="G330" s="210" t="s">
        <v>88</v>
      </c>
      <c r="H330" s="211" t="s">
        <v>1826</v>
      </c>
      <c r="I330" s="156" t="s">
        <v>26</v>
      </c>
      <c r="J330" s="209" t="s">
        <v>1436</v>
      </c>
      <c r="K330" s="211" t="s">
        <v>1437</v>
      </c>
    </row>
    <row r="331" spans="1:11" ht="84">
      <c r="A331" s="204">
        <v>329</v>
      </c>
      <c r="B331" s="205">
        <v>45602</v>
      </c>
      <c r="C331" s="267" t="s">
        <v>833</v>
      </c>
      <c r="D331" s="204">
        <v>2024</v>
      </c>
      <c r="E331" s="204" t="s">
        <v>1431</v>
      </c>
      <c r="F331" s="204" t="s">
        <v>1560</v>
      </c>
      <c r="G331" s="214" t="s">
        <v>859</v>
      </c>
      <c r="H331" s="207" t="s">
        <v>1827</v>
      </c>
      <c r="I331" s="156" t="s">
        <v>26</v>
      </c>
      <c r="J331" s="204" t="s">
        <v>1828</v>
      </c>
      <c r="K331" s="207"/>
    </row>
    <row r="332" spans="1:11" ht="134.25">
      <c r="A332" s="204">
        <v>330</v>
      </c>
      <c r="B332" s="208">
        <v>45604</v>
      </c>
      <c r="C332" s="267" t="s">
        <v>833</v>
      </c>
      <c r="D332" s="204">
        <v>2024</v>
      </c>
      <c r="E332" s="209" t="s">
        <v>1431</v>
      </c>
      <c r="F332" s="209" t="s">
        <v>21</v>
      </c>
      <c r="G332" s="213" t="s">
        <v>821</v>
      </c>
      <c r="H332" s="211" t="s">
        <v>1829</v>
      </c>
      <c r="I332" s="156" t="s">
        <v>26</v>
      </c>
      <c r="J332" s="209" t="s">
        <v>1436</v>
      </c>
      <c r="K332" s="211" t="s">
        <v>1446</v>
      </c>
    </row>
    <row r="333" spans="1:11" ht="117">
      <c r="A333" s="204">
        <v>331</v>
      </c>
      <c r="B333" s="205">
        <v>45604</v>
      </c>
      <c r="C333" s="267" t="s">
        <v>833</v>
      </c>
      <c r="D333" s="204">
        <v>2024</v>
      </c>
      <c r="E333" s="204" t="s">
        <v>1431</v>
      </c>
      <c r="F333" s="204" t="s">
        <v>1449</v>
      </c>
      <c r="G333" s="206" t="s">
        <v>88</v>
      </c>
      <c r="H333" s="207" t="s">
        <v>1830</v>
      </c>
      <c r="I333" s="156" t="s">
        <v>26</v>
      </c>
      <c r="J333" s="204" t="s">
        <v>1436</v>
      </c>
      <c r="K333" s="207" t="s">
        <v>1559</v>
      </c>
    </row>
    <row r="334" spans="1:11" ht="16.5">
      <c r="A334" s="204">
        <v>332</v>
      </c>
      <c r="B334" s="208">
        <v>45604</v>
      </c>
      <c r="C334" s="267" t="s">
        <v>833</v>
      </c>
      <c r="D334" s="204">
        <v>2024</v>
      </c>
      <c r="E334" s="209" t="s">
        <v>1431</v>
      </c>
      <c r="F334" s="209" t="s">
        <v>1584</v>
      </c>
      <c r="G334" s="213" t="s">
        <v>821</v>
      </c>
      <c r="H334" s="211" t="s">
        <v>1831</v>
      </c>
      <c r="I334" s="156" t="s">
        <v>26</v>
      </c>
      <c r="J334" s="209" t="s">
        <v>1436</v>
      </c>
      <c r="K334" s="211"/>
    </row>
    <row r="335" spans="1:11" ht="117">
      <c r="A335" s="204">
        <v>333</v>
      </c>
      <c r="B335" s="205">
        <v>45607</v>
      </c>
      <c r="C335" s="267" t="s">
        <v>833</v>
      </c>
      <c r="D335" s="204">
        <v>2024</v>
      </c>
      <c r="E335" s="204" t="s">
        <v>1431</v>
      </c>
      <c r="F335" s="204" t="s">
        <v>1436</v>
      </c>
      <c r="G335" s="206" t="s">
        <v>88</v>
      </c>
      <c r="H335" s="207" t="s">
        <v>1832</v>
      </c>
      <c r="I335" s="156" t="s">
        <v>26</v>
      </c>
      <c r="J335" s="204" t="s">
        <v>1436</v>
      </c>
      <c r="K335" s="207" t="s">
        <v>1522</v>
      </c>
    </row>
    <row r="336" spans="1:11" ht="100.5">
      <c r="A336" s="204">
        <v>334</v>
      </c>
      <c r="B336" s="208">
        <v>45607</v>
      </c>
      <c r="C336" s="267" t="s">
        <v>833</v>
      </c>
      <c r="D336" s="204">
        <v>2024</v>
      </c>
      <c r="E336" s="209" t="s">
        <v>1431</v>
      </c>
      <c r="F336" s="209" t="s">
        <v>1506</v>
      </c>
      <c r="G336" s="210" t="s">
        <v>88</v>
      </c>
      <c r="H336" s="211" t="s">
        <v>1833</v>
      </c>
      <c r="I336" s="156" t="s">
        <v>26</v>
      </c>
      <c r="J336" s="209" t="s">
        <v>1436</v>
      </c>
      <c r="K336" s="211" t="s">
        <v>1472</v>
      </c>
    </row>
    <row r="337" spans="1:11" ht="16.5">
      <c r="A337" s="204">
        <v>335</v>
      </c>
      <c r="B337" s="205">
        <v>45607</v>
      </c>
      <c r="C337" s="267" t="s">
        <v>833</v>
      </c>
      <c r="D337" s="204">
        <v>2024</v>
      </c>
      <c r="E337" s="204" t="s">
        <v>1431</v>
      </c>
      <c r="F337" s="204" t="s">
        <v>1436</v>
      </c>
      <c r="G337" s="206" t="s">
        <v>88</v>
      </c>
      <c r="H337" s="207" t="s">
        <v>1834</v>
      </c>
      <c r="I337" s="156" t="s">
        <v>26</v>
      </c>
      <c r="J337" s="204" t="s">
        <v>1436</v>
      </c>
      <c r="K337" s="207"/>
    </row>
    <row r="338" spans="1:11" ht="100.5">
      <c r="A338" s="204">
        <v>336</v>
      </c>
      <c r="B338" s="208">
        <v>45607</v>
      </c>
      <c r="C338" s="267" t="s">
        <v>833</v>
      </c>
      <c r="D338" s="204">
        <v>2024</v>
      </c>
      <c r="E338" s="209" t="s">
        <v>1431</v>
      </c>
      <c r="F338" s="209" t="s">
        <v>21</v>
      </c>
      <c r="G338" s="210" t="s">
        <v>88</v>
      </c>
      <c r="H338" s="211" t="s">
        <v>1835</v>
      </c>
      <c r="I338" s="156" t="s">
        <v>26</v>
      </c>
      <c r="J338" s="209" t="s">
        <v>1436</v>
      </c>
      <c r="K338" s="211" t="s">
        <v>1454</v>
      </c>
    </row>
    <row r="339" spans="1:11" ht="100.5">
      <c r="A339" s="204">
        <v>337</v>
      </c>
      <c r="B339" s="205">
        <v>45607</v>
      </c>
      <c r="C339" s="267" t="s">
        <v>833</v>
      </c>
      <c r="D339" s="204">
        <v>2024</v>
      </c>
      <c r="E339" s="204" t="s">
        <v>1431</v>
      </c>
      <c r="F339" s="204" t="s">
        <v>1449</v>
      </c>
      <c r="G339" s="206" t="s">
        <v>88</v>
      </c>
      <c r="H339" s="207" t="s">
        <v>1836</v>
      </c>
      <c r="I339" s="156" t="s">
        <v>26</v>
      </c>
      <c r="J339" s="204" t="s">
        <v>1436</v>
      </c>
      <c r="K339" s="207" t="s">
        <v>1478</v>
      </c>
    </row>
    <row r="340" spans="1:11" ht="33.75">
      <c r="A340" s="204">
        <v>338</v>
      </c>
      <c r="B340" s="208">
        <v>45607</v>
      </c>
      <c r="C340" s="267" t="s">
        <v>833</v>
      </c>
      <c r="D340" s="204">
        <v>2024</v>
      </c>
      <c r="E340" s="209" t="s">
        <v>1431</v>
      </c>
      <c r="F340" s="209" t="s">
        <v>1449</v>
      </c>
      <c r="G340" s="210" t="s">
        <v>88</v>
      </c>
      <c r="H340" s="211" t="s">
        <v>1837</v>
      </c>
      <c r="I340" s="156" t="s">
        <v>26</v>
      </c>
      <c r="J340" s="209" t="s">
        <v>1436</v>
      </c>
      <c r="K340" s="211"/>
    </row>
    <row r="341" spans="1:11" ht="117">
      <c r="A341" s="204">
        <v>339</v>
      </c>
      <c r="B341" s="205">
        <v>45607</v>
      </c>
      <c r="C341" s="267" t="s">
        <v>833</v>
      </c>
      <c r="D341" s="204">
        <v>2024</v>
      </c>
      <c r="E341" s="204" t="s">
        <v>1431</v>
      </c>
      <c r="F341" s="204" t="s">
        <v>1449</v>
      </c>
      <c r="G341" s="206" t="s">
        <v>88</v>
      </c>
      <c r="H341" s="207" t="s">
        <v>1838</v>
      </c>
      <c r="I341" s="156" t="s">
        <v>26</v>
      </c>
      <c r="J341" s="204" t="s">
        <v>1436</v>
      </c>
      <c r="K341" s="207" t="s">
        <v>1451</v>
      </c>
    </row>
    <row r="342" spans="1:11" ht="66.75">
      <c r="A342" s="204">
        <v>340</v>
      </c>
      <c r="B342" s="208">
        <v>45607</v>
      </c>
      <c r="C342" s="267" t="s">
        <v>833</v>
      </c>
      <c r="D342" s="204">
        <v>2024</v>
      </c>
      <c r="E342" s="209" t="s">
        <v>1431</v>
      </c>
      <c r="F342" s="209" t="s">
        <v>1158</v>
      </c>
      <c r="G342" s="210" t="s">
        <v>88</v>
      </c>
      <c r="H342" s="211" t="s">
        <v>1839</v>
      </c>
      <c r="I342" s="156" t="s">
        <v>26</v>
      </c>
      <c r="J342" s="209" t="s">
        <v>1436</v>
      </c>
      <c r="K342" s="211"/>
    </row>
    <row r="343" spans="1:11" ht="150.75">
      <c r="A343" s="204">
        <v>341</v>
      </c>
      <c r="B343" s="205">
        <v>45608</v>
      </c>
      <c r="C343" s="267" t="s">
        <v>833</v>
      </c>
      <c r="D343" s="204">
        <v>2024</v>
      </c>
      <c r="E343" s="204" t="s">
        <v>1431</v>
      </c>
      <c r="F343" s="204" t="s">
        <v>21</v>
      </c>
      <c r="G343" s="213" t="s">
        <v>821</v>
      </c>
      <c r="H343" s="207" t="s">
        <v>1840</v>
      </c>
      <c r="I343" s="156" t="s">
        <v>26</v>
      </c>
      <c r="J343" s="204" t="s">
        <v>1436</v>
      </c>
      <c r="K343" s="207" t="s">
        <v>1513</v>
      </c>
    </row>
    <row r="344" spans="1:11" ht="117">
      <c r="A344" s="204">
        <v>342</v>
      </c>
      <c r="B344" s="208">
        <v>45608</v>
      </c>
      <c r="C344" s="267" t="s">
        <v>833</v>
      </c>
      <c r="D344" s="204">
        <v>2024</v>
      </c>
      <c r="E344" s="209" t="s">
        <v>1431</v>
      </c>
      <c r="F344" s="209" t="s">
        <v>1560</v>
      </c>
      <c r="G344" s="217" t="s">
        <v>859</v>
      </c>
      <c r="H344" s="211" t="s">
        <v>1841</v>
      </c>
      <c r="I344" s="156" t="s">
        <v>26</v>
      </c>
      <c r="J344" s="209" t="s">
        <v>1436</v>
      </c>
      <c r="K344" s="211" t="s">
        <v>1559</v>
      </c>
    </row>
    <row r="345" spans="1:11" ht="66.75">
      <c r="A345" s="204">
        <v>343</v>
      </c>
      <c r="B345" s="205">
        <v>45608</v>
      </c>
      <c r="C345" s="267" t="s">
        <v>833</v>
      </c>
      <c r="D345" s="204">
        <v>2024</v>
      </c>
      <c r="E345" s="204" t="s">
        <v>1431</v>
      </c>
      <c r="F345" s="204" t="s">
        <v>1436</v>
      </c>
      <c r="G345" s="206" t="s">
        <v>88</v>
      </c>
      <c r="H345" s="207" t="s">
        <v>1842</v>
      </c>
      <c r="I345" s="156" t="s">
        <v>26</v>
      </c>
      <c r="J345" s="204" t="s">
        <v>1436</v>
      </c>
      <c r="K345" s="207"/>
    </row>
    <row r="346" spans="1:11" ht="84">
      <c r="A346" s="204">
        <v>344</v>
      </c>
      <c r="B346" s="208">
        <v>45608</v>
      </c>
      <c r="C346" s="267" t="s">
        <v>833</v>
      </c>
      <c r="D346" s="204">
        <v>2024</v>
      </c>
      <c r="E346" s="209" t="s">
        <v>1431</v>
      </c>
      <c r="F346" s="209" t="s">
        <v>1158</v>
      </c>
      <c r="G346" s="210" t="s">
        <v>88</v>
      </c>
      <c r="H346" s="211" t="s">
        <v>1843</v>
      </c>
      <c r="I346" s="156" t="s">
        <v>26</v>
      </c>
      <c r="J346" s="209" t="s">
        <v>1436</v>
      </c>
      <c r="K346" s="211" t="s">
        <v>1500</v>
      </c>
    </row>
    <row r="347" spans="1:11" ht="84">
      <c r="A347" s="204">
        <v>345</v>
      </c>
      <c r="B347" s="205">
        <v>45608</v>
      </c>
      <c r="C347" s="267" t="s">
        <v>833</v>
      </c>
      <c r="D347" s="204">
        <v>2024</v>
      </c>
      <c r="E347" s="204" t="s">
        <v>1431</v>
      </c>
      <c r="F347" s="204" t="s">
        <v>1539</v>
      </c>
      <c r="G347" s="215" t="s">
        <v>872</v>
      </c>
      <c r="H347" s="207" t="s">
        <v>1844</v>
      </c>
      <c r="I347" s="156" t="s">
        <v>26</v>
      </c>
      <c r="J347" s="204" t="s">
        <v>1436</v>
      </c>
      <c r="K347" s="207"/>
    </row>
    <row r="348" spans="1:11" ht="84">
      <c r="A348" s="204">
        <v>346</v>
      </c>
      <c r="B348" s="208">
        <v>45608</v>
      </c>
      <c r="C348" s="267" t="s">
        <v>833</v>
      </c>
      <c r="D348" s="204">
        <v>2024</v>
      </c>
      <c r="E348" s="209" t="s">
        <v>1431</v>
      </c>
      <c r="F348" s="209" t="s">
        <v>1506</v>
      </c>
      <c r="G348" s="210" t="s">
        <v>88</v>
      </c>
      <c r="H348" s="211" t="s">
        <v>1845</v>
      </c>
      <c r="I348" s="156" t="s">
        <v>26</v>
      </c>
      <c r="J348" s="209" t="s">
        <v>1436</v>
      </c>
      <c r="K348" s="211" t="s">
        <v>1500</v>
      </c>
    </row>
    <row r="349" spans="1:11" ht="117">
      <c r="A349" s="204">
        <v>347</v>
      </c>
      <c r="B349" s="205">
        <v>45609</v>
      </c>
      <c r="C349" s="267" t="s">
        <v>833</v>
      </c>
      <c r="D349" s="204">
        <v>2024</v>
      </c>
      <c r="E349" s="204" t="s">
        <v>1431</v>
      </c>
      <c r="F349" s="204" t="s">
        <v>1436</v>
      </c>
      <c r="G349" s="206" t="s">
        <v>88</v>
      </c>
      <c r="H349" s="207" t="s">
        <v>1846</v>
      </c>
      <c r="I349" s="156" t="s">
        <v>26</v>
      </c>
      <c r="J349" s="204" t="s">
        <v>1436</v>
      </c>
      <c r="K349" s="207" t="s">
        <v>1522</v>
      </c>
    </row>
    <row r="350" spans="1:11" ht="100.5">
      <c r="A350" s="204">
        <v>348</v>
      </c>
      <c r="B350" s="208">
        <v>45609</v>
      </c>
      <c r="C350" s="267" t="s">
        <v>833</v>
      </c>
      <c r="D350" s="204">
        <v>2024</v>
      </c>
      <c r="E350" s="209" t="s">
        <v>1431</v>
      </c>
      <c r="F350" s="209" t="s">
        <v>21</v>
      </c>
      <c r="G350" s="210" t="s">
        <v>88</v>
      </c>
      <c r="H350" s="211" t="s">
        <v>1847</v>
      </c>
      <c r="I350" s="156" t="s">
        <v>26</v>
      </c>
      <c r="J350" s="209" t="s">
        <v>1436</v>
      </c>
      <c r="K350" s="211" t="s">
        <v>1454</v>
      </c>
    </row>
    <row r="351" spans="1:11" ht="33.75">
      <c r="A351" s="204">
        <v>349</v>
      </c>
      <c r="B351" s="205">
        <v>45610</v>
      </c>
      <c r="C351" s="267" t="s">
        <v>833</v>
      </c>
      <c r="D351" s="204">
        <v>2024</v>
      </c>
      <c r="E351" s="204" t="s">
        <v>1431</v>
      </c>
      <c r="F351" s="204" t="s">
        <v>1539</v>
      </c>
      <c r="G351" s="206" t="s">
        <v>88</v>
      </c>
      <c r="H351" s="207" t="s">
        <v>1848</v>
      </c>
      <c r="I351" s="156" t="s">
        <v>26</v>
      </c>
      <c r="J351" s="204" t="s">
        <v>1436</v>
      </c>
      <c r="K351" s="207"/>
    </row>
    <row r="352" spans="1:11" ht="50.25">
      <c r="A352" s="204">
        <v>350</v>
      </c>
      <c r="B352" s="208">
        <v>45614</v>
      </c>
      <c r="C352" s="267" t="s">
        <v>833</v>
      </c>
      <c r="D352" s="204">
        <v>2024</v>
      </c>
      <c r="E352" s="209" t="s">
        <v>1431</v>
      </c>
      <c r="F352" s="209" t="s">
        <v>21</v>
      </c>
      <c r="G352" s="213" t="s">
        <v>821</v>
      </c>
      <c r="H352" s="211" t="s">
        <v>1849</v>
      </c>
      <c r="I352" s="156" t="s">
        <v>26</v>
      </c>
      <c r="J352" s="209" t="s">
        <v>1436</v>
      </c>
      <c r="K352" s="211"/>
    </row>
    <row r="353" spans="1:11" ht="84">
      <c r="A353" s="204">
        <v>351</v>
      </c>
      <c r="B353" s="205">
        <v>45614</v>
      </c>
      <c r="C353" s="267" t="s">
        <v>833</v>
      </c>
      <c r="D353" s="204">
        <v>2024</v>
      </c>
      <c r="E353" s="204" t="s">
        <v>1431</v>
      </c>
      <c r="F353" s="204" t="s">
        <v>1506</v>
      </c>
      <c r="G353" s="206" t="s">
        <v>88</v>
      </c>
      <c r="H353" s="207" t="s">
        <v>1850</v>
      </c>
      <c r="I353" s="156" t="s">
        <v>26</v>
      </c>
      <c r="J353" s="204" t="s">
        <v>1436</v>
      </c>
      <c r="K353" s="207" t="s">
        <v>1500</v>
      </c>
    </row>
    <row r="354" spans="1:11" ht="84">
      <c r="A354" s="204">
        <v>352</v>
      </c>
      <c r="B354" s="208">
        <v>45614</v>
      </c>
      <c r="C354" s="267" t="s">
        <v>833</v>
      </c>
      <c r="D354" s="204">
        <v>2024</v>
      </c>
      <c r="E354" s="209" t="s">
        <v>1431</v>
      </c>
      <c r="F354" s="209" t="s">
        <v>1506</v>
      </c>
      <c r="G354" s="210" t="s">
        <v>88</v>
      </c>
      <c r="H354" s="211" t="s">
        <v>1851</v>
      </c>
      <c r="I354" s="156" t="s">
        <v>26</v>
      </c>
      <c r="J354" s="209" t="s">
        <v>1436</v>
      </c>
      <c r="K354" s="211" t="s">
        <v>1500</v>
      </c>
    </row>
    <row r="355" spans="1:11" ht="117">
      <c r="A355" s="204">
        <v>353</v>
      </c>
      <c r="B355" s="205">
        <v>45614</v>
      </c>
      <c r="C355" s="267" t="s">
        <v>833</v>
      </c>
      <c r="D355" s="204">
        <v>2024</v>
      </c>
      <c r="E355" s="204" t="s">
        <v>1431</v>
      </c>
      <c r="F355" s="204" t="s">
        <v>1504</v>
      </c>
      <c r="G355" s="206" t="s">
        <v>88</v>
      </c>
      <c r="H355" s="207" t="s">
        <v>1852</v>
      </c>
      <c r="I355" s="156" t="s">
        <v>26</v>
      </c>
      <c r="J355" s="204" t="s">
        <v>1743</v>
      </c>
      <c r="K355" s="207" t="s">
        <v>1451</v>
      </c>
    </row>
    <row r="356" spans="1:11" ht="33.75">
      <c r="A356" s="204">
        <v>354</v>
      </c>
      <c r="B356" s="208">
        <v>45614</v>
      </c>
      <c r="C356" s="267" t="s">
        <v>833</v>
      </c>
      <c r="D356" s="204">
        <v>2024</v>
      </c>
      <c r="E356" s="209" t="s">
        <v>1431</v>
      </c>
      <c r="F356" s="209" t="s">
        <v>1449</v>
      </c>
      <c r="G356" s="210" t="s">
        <v>88</v>
      </c>
      <c r="H356" s="211" t="s">
        <v>1853</v>
      </c>
      <c r="I356" s="156" t="s">
        <v>26</v>
      </c>
      <c r="J356" s="209" t="s">
        <v>1436</v>
      </c>
      <c r="K356" s="211"/>
    </row>
    <row r="357" spans="1:11" ht="117">
      <c r="A357" s="204">
        <v>355</v>
      </c>
      <c r="B357" s="205">
        <v>45614</v>
      </c>
      <c r="C357" s="267" t="s">
        <v>833</v>
      </c>
      <c r="D357" s="204">
        <v>2024</v>
      </c>
      <c r="E357" s="204" t="s">
        <v>1431</v>
      </c>
      <c r="F357" s="204" t="s">
        <v>1449</v>
      </c>
      <c r="G357" s="206" t="s">
        <v>88</v>
      </c>
      <c r="H357" s="207" t="s">
        <v>1854</v>
      </c>
      <c r="I357" s="156" t="s">
        <v>26</v>
      </c>
      <c r="J357" s="204" t="s">
        <v>1436</v>
      </c>
      <c r="K357" s="207" t="s">
        <v>1559</v>
      </c>
    </row>
    <row r="358" spans="1:11" ht="33.75">
      <c r="A358" s="204">
        <v>356</v>
      </c>
      <c r="B358" s="208">
        <v>45615</v>
      </c>
      <c r="C358" s="267" t="s">
        <v>833</v>
      </c>
      <c r="D358" s="204">
        <v>2024</v>
      </c>
      <c r="E358" s="209" t="s">
        <v>1431</v>
      </c>
      <c r="F358" s="209" t="s">
        <v>1436</v>
      </c>
      <c r="G358" s="210" t="s">
        <v>88</v>
      </c>
      <c r="H358" s="211" t="s">
        <v>1855</v>
      </c>
      <c r="I358" s="156" t="s">
        <v>26</v>
      </c>
      <c r="J358" s="209" t="s">
        <v>1436</v>
      </c>
      <c r="K358" s="211"/>
    </row>
    <row r="359" spans="1:11" ht="117">
      <c r="A359" s="204">
        <v>357</v>
      </c>
      <c r="B359" s="205">
        <v>45615</v>
      </c>
      <c r="C359" s="267" t="s">
        <v>833</v>
      </c>
      <c r="D359" s="204">
        <v>2024</v>
      </c>
      <c r="E359" s="204" t="s">
        <v>1431</v>
      </c>
      <c r="F359" s="204" t="s">
        <v>1436</v>
      </c>
      <c r="G359" s="206" t="s">
        <v>88</v>
      </c>
      <c r="H359" s="207" t="s">
        <v>1856</v>
      </c>
      <c r="I359" s="156" t="s">
        <v>26</v>
      </c>
      <c r="J359" s="204" t="s">
        <v>1436</v>
      </c>
      <c r="K359" s="207" t="s">
        <v>1451</v>
      </c>
    </row>
    <row r="360" spans="1:11" ht="150.75">
      <c r="A360" s="204">
        <v>358</v>
      </c>
      <c r="B360" s="208">
        <v>45617</v>
      </c>
      <c r="C360" s="267" t="s">
        <v>833</v>
      </c>
      <c r="D360" s="204">
        <v>2024</v>
      </c>
      <c r="E360" s="209" t="s">
        <v>1431</v>
      </c>
      <c r="F360" s="209" t="s">
        <v>21</v>
      </c>
      <c r="G360" s="213" t="s">
        <v>821</v>
      </c>
      <c r="H360" s="211" t="s">
        <v>1857</v>
      </c>
      <c r="I360" s="156" t="s">
        <v>26</v>
      </c>
      <c r="J360" s="209" t="s">
        <v>1436</v>
      </c>
      <c r="K360" s="211" t="s">
        <v>1513</v>
      </c>
    </row>
    <row r="361" spans="1:11" ht="100.5">
      <c r="A361" s="204">
        <v>359</v>
      </c>
      <c r="B361" s="205">
        <v>45617</v>
      </c>
      <c r="C361" s="267" t="s">
        <v>833</v>
      </c>
      <c r="D361" s="204">
        <v>2024</v>
      </c>
      <c r="E361" s="204" t="s">
        <v>1431</v>
      </c>
      <c r="F361" s="204" t="s">
        <v>1518</v>
      </c>
      <c r="G361" s="206" t="s">
        <v>88</v>
      </c>
      <c r="H361" s="207" t="s">
        <v>1858</v>
      </c>
      <c r="I361" s="156" t="s">
        <v>26</v>
      </c>
      <c r="J361" s="204" t="s">
        <v>1436</v>
      </c>
      <c r="K361" s="207" t="s">
        <v>1472</v>
      </c>
    </row>
    <row r="362" spans="1:11" ht="134.25">
      <c r="A362" s="204">
        <v>360</v>
      </c>
      <c r="B362" s="208">
        <v>45617</v>
      </c>
      <c r="C362" s="267" t="s">
        <v>833</v>
      </c>
      <c r="D362" s="204">
        <v>2024</v>
      </c>
      <c r="E362" s="209" t="s">
        <v>1431</v>
      </c>
      <c r="F362" s="209" t="s">
        <v>216</v>
      </c>
      <c r="G362" s="213" t="s">
        <v>821</v>
      </c>
      <c r="H362" s="211" t="s">
        <v>1859</v>
      </c>
      <c r="I362" s="156" t="s">
        <v>26</v>
      </c>
      <c r="J362" s="209" t="s">
        <v>1436</v>
      </c>
      <c r="K362" s="211" t="s">
        <v>1601</v>
      </c>
    </row>
    <row r="363" spans="1:11" ht="100.5">
      <c r="A363" s="204">
        <v>361</v>
      </c>
      <c r="B363" s="205">
        <v>45617</v>
      </c>
      <c r="C363" s="267" t="s">
        <v>833</v>
      </c>
      <c r="D363" s="204">
        <v>2024</v>
      </c>
      <c r="E363" s="204" t="s">
        <v>1431</v>
      </c>
      <c r="F363" s="204" t="s">
        <v>1584</v>
      </c>
      <c r="G363" s="213" t="s">
        <v>821</v>
      </c>
      <c r="H363" s="207" t="s">
        <v>1860</v>
      </c>
      <c r="I363" s="156" t="s">
        <v>26</v>
      </c>
      <c r="J363" s="204" t="s">
        <v>1436</v>
      </c>
      <c r="K363" s="207" t="s">
        <v>1448</v>
      </c>
    </row>
    <row r="364" spans="1:11" ht="117">
      <c r="A364" s="204">
        <v>362</v>
      </c>
      <c r="B364" s="208">
        <v>45617</v>
      </c>
      <c r="C364" s="267" t="s">
        <v>833</v>
      </c>
      <c r="D364" s="204">
        <v>2024</v>
      </c>
      <c r="E364" s="209" t="s">
        <v>1431</v>
      </c>
      <c r="F364" s="209" t="s">
        <v>1508</v>
      </c>
      <c r="G364" s="210" t="s">
        <v>88</v>
      </c>
      <c r="H364" s="211" t="s">
        <v>1861</v>
      </c>
      <c r="I364" s="156" t="s">
        <v>26</v>
      </c>
      <c r="J364" s="209" t="s">
        <v>1436</v>
      </c>
      <c r="K364" s="211" t="s">
        <v>1559</v>
      </c>
    </row>
    <row r="365" spans="1:11" ht="50.25">
      <c r="A365" s="204">
        <v>363</v>
      </c>
      <c r="B365" s="205">
        <v>45617</v>
      </c>
      <c r="C365" s="267" t="s">
        <v>833</v>
      </c>
      <c r="D365" s="204">
        <v>2024</v>
      </c>
      <c r="E365" s="204" t="s">
        <v>1431</v>
      </c>
      <c r="F365" s="204" t="s">
        <v>1539</v>
      </c>
      <c r="G365" s="215" t="s">
        <v>872</v>
      </c>
      <c r="H365" s="207" t="s">
        <v>1862</v>
      </c>
      <c r="I365" s="156" t="s">
        <v>26</v>
      </c>
      <c r="J365" s="204" t="s">
        <v>1436</v>
      </c>
      <c r="K365" s="207"/>
    </row>
    <row r="366" spans="1:11" ht="100.5">
      <c r="A366" s="204">
        <v>364</v>
      </c>
      <c r="B366" s="208">
        <v>45618</v>
      </c>
      <c r="C366" s="267" t="s">
        <v>833</v>
      </c>
      <c r="D366" s="204">
        <v>2024</v>
      </c>
      <c r="E366" s="209" t="s">
        <v>1431</v>
      </c>
      <c r="F366" s="209" t="s">
        <v>574</v>
      </c>
      <c r="G366" s="210" t="s">
        <v>88</v>
      </c>
      <c r="H366" s="211" t="s">
        <v>1863</v>
      </c>
      <c r="I366" s="156" t="s">
        <v>26</v>
      </c>
      <c r="J366" s="209" t="s">
        <v>1436</v>
      </c>
      <c r="K366" s="211" t="s">
        <v>1472</v>
      </c>
    </row>
    <row r="367" spans="1:11" ht="117">
      <c r="A367" s="204">
        <v>365</v>
      </c>
      <c r="B367" s="205">
        <v>45618</v>
      </c>
      <c r="C367" s="267" t="s">
        <v>833</v>
      </c>
      <c r="D367" s="204">
        <v>2024</v>
      </c>
      <c r="E367" s="204" t="s">
        <v>1431</v>
      </c>
      <c r="F367" s="204" t="s">
        <v>1436</v>
      </c>
      <c r="G367" s="206" t="s">
        <v>88</v>
      </c>
      <c r="H367" s="207" t="s">
        <v>1864</v>
      </c>
      <c r="I367" s="156" t="s">
        <v>26</v>
      </c>
      <c r="J367" s="204" t="s">
        <v>1436</v>
      </c>
      <c r="K367" s="207" t="s">
        <v>1522</v>
      </c>
    </row>
    <row r="368" spans="1:11" ht="100.5">
      <c r="A368" s="204">
        <v>366</v>
      </c>
      <c r="B368" s="208">
        <v>45618</v>
      </c>
      <c r="C368" s="267" t="s">
        <v>833</v>
      </c>
      <c r="D368" s="204">
        <v>2024</v>
      </c>
      <c r="E368" s="209" t="s">
        <v>1431</v>
      </c>
      <c r="F368" s="209" t="s">
        <v>1539</v>
      </c>
      <c r="G368" s="210" t="s">
        <v>88</v>
      </c>
      <c r="H368" s="211" t="s">
        <v>1865</v>
      </c>
      <c r="I368" s="156" t="s">
        <v>26</v>
      </c>
      <c r="J368" s="209" t="s">
        <v>1436</v>
      </c>
      <c r="K368" s="211" t="s">
        <v>1467</v>
      </c>
    </row>
    <row r="369" spans="1:11" ht="66.75">
      <c r="A369" s="204">
        <v>367</v>
      </c>
      <c r="B369" s="205">
        <v>45618</v>
      </c>
      <c r="C369" s="267" t="s">
        <v>833</v>
      </c>
      <c r="D369" s="204">
        <v>2024</v>
      </c>
      <c r="E369" s="204" t="s">
        <v>1431</v>
      </c>
      <c r="F369" s="204" t="s">
        <v>1449</v>
      </c>
      <c r="G369" s="206" t="s">
        <v>88</v>
      </c>
      <c r="H369" s="207" t="s">
        <v>1866</v>
      </c>
      <c r="I369" s="156" t="s">
        <v>26</v>
      </c>
      <c r="J369" s="204" t="s">
        <v>1436</v>
      </c>
      <c r="K369" s="207" t="s">
        <v>1548</v>
      </c>
    </row>
    <row r="370" spans="1:11" ht="117">
      <c r="A370" s="204">
        <v>368</v>
      </c>
      <c r="B370" s="208">
        <v>45618</v>
      </c>
      <c r="C370" s="267" t="s">
        <v>833</v>
      </c>
      <c r="D370" s="204">
        <v>2024</v>
      </c>
      <c r="E370" s="209" t="s">
        <v>1431</v>
      </c>
      <c r="F370" s="209" t="s">
        <v>1518</v>
      </c>
      <c r="G370" s="210" t="s">
        <v>88</v>
      </c>
      <c r="H370" s="211" t="s">
        <v>1867</v>
      </c>
      <c r="I370" s="156" t="s">
        <v>26</v>
      </c>
      <c r="J370" s="209" t="s">
        <v>1436</v>
      </c>
      <c r="K370" s="211" t="s">
        <v>1559</v>
      </c>
    </row>
    <row r="371" spans="1:11" ht="33.75">
      <c r="A371" s="204">
        <v>369</v>
      </c>
      <c r="B371" s="205">
        <v>45618</v>
      </c>
      <c r="C371" s="267" t="s">
        <v>833</v>
      </c>
      <c r="D371" s="204">
        <v>2024</v>
      </c>
      <c r="E371" s="204" t="s">
        <v>1431</v>
      </c>
      <c r="F371" s="204" t="s">
        <v>1436</v>
      </c>
      <c r="G371" s="214" t="s">
        <v>859</v>
      </c>
      <c r="H371" s="207" t="s">
        <v>1868</v>
      </c>
      <c r="I371" s="156" t="s">
        <v>26</v>
      </c>
      <c r="J371" s="204" t="s">
        <v>1436</v>
      </c>
      <c r="K371" s="207"/>
    </row>
    <row r="372" spans="1:11" ht="16.5">
      <c r="A372" s="204">
        <v>370</v>
      </c>
      <c r="B372" s="208">
        <v>45618</v>
      </c>
      <c r="C372" s="267" t="s">
        <v>833</v>
      </c>
      <c r="D372" s="204">
        <v>2024</v>
      </c>
      <c r="E372" s="209" t="s">
        <v>1431</v>
      </c>
      <c r="F372" s="209" t="s">
        <v>1506</v>
      </c>
      <c r="G372" s="210" t="s">
        <v>88</v>
      </c>
      <c r="H372" s="211" t="s">
        <v>1869</v>
      </c>
      <c r="I372" s="156" t="s">
        <v>26</v>
      </c>
      <c r="J372" s="209" t="s">
        <v>1436</v>
      </c>
      <c r="K372" s="211"/>
    </row>
    <row r="373" spans="1:11" ht="66.75">
      <c r="A373" s="204">
        <v>371</v>
      </c>
      <c r="B373" s="205">
        <v>45621</v>
      </c>
      <c r="C373" s="267" t="s">
        <v>833</v>
      </c>
      <c r="D373" s="204">
        <v>2024</v>
      </c>
      <c r="E373" s="204" t="s">
        <v>1431</v>
      </c>
      <c r="F373" s="204" t="s">
        <v>1506</v>
      </c>
      <c r="G373" s="206" t="s">
        <v>88</v>
      </c>
      <c r="H373" s="207" t="s">
        <v>1870</v>
      </c>
      <c r="I373" s="156" t="s">
        <v>26</v>
      </c>
      <c r="J373" s="204" t="s">
        <v>1436</v>
      </c>
      <c r="K373" s="207"/>
    </row>
    <row r="374" spans="1:11" ht="100.5">
      <c r="A374" s="204">
        <v>372</v>
      </c>
      <c r="B374" s="208">
        <v>45621</v>
      </c>
      <c r="C374" s="267" t="s">
        <v>833</v>
      </c>
      <c r="D374" s="204">
        <v>2024</v>
      </c>
      <c r="E374" s="209" t="s">
        <v>1431</v>
      </c>
      <c r="F374" s="209" t="s">
        <v>1539</v>
      </c>
      <c r="G374" s="210" t="s">
        <v>88</v>
      </c>
      <c r="H374" s="211" t="s">
        <v>1871</v>
      </c>
      <c r="I374" s="156" t="s">
        <v>26</v>
      </c>
      <c r="J374" s="209" t="s">
        <v>1436</v>
      </c>
      <c r="K374" s="211" t="s">
        <v>1467</v>
      </c>
    </row>
    <row r="375" spans="1:11" ht="33.75">
      <c r="A375" s="204">
        <v>373</v>
      </c>
      <c r="B375" s="205">
        <v>45622</v>
      </c>
      <c r="C375" s="267" t="s">
        <v>833</v>
      </c>
      <c r="D375" s="204">
        <v>2024</v>
      </c>
      <c r="E375" s="204" t="s">
        <v>1431</v>
      </c>
      <c r="F375" s="204" t="s">
        <v>1584</v>
      </c>
      <c r="G375" s="213" t="s">
        <v>821</v>
      </c>
      <c r="H375" s="207" t="s">
        <v>1872</v>
      </c>
      <c r="I375" s="156" t="s">
        <v>26</v>
      </c>
      <c r="J375" s="204" t="s">
        <v>1436</v>
      </c>
      <c r="K375" s="207"/>
    </row>
    <row r="376" spans="1:11" ht="84">
      <c r="A376" s="204">
        <v>374</v>
      </c>
      <c r="B376" s="208">
        <v>45622</v>
      </c>
      <c r="C376" s="267" t="s">
        <v>833</v>
      </c>
      <c r="D376" s="204">
        <v>2024</v>
      </c>
      <c r="E376" s="209" t="s">
        <v>1431</v>
      </c>
      <c r="F376" s="209" t="s">
        <v>1580</v>
      </c>
      <c r="G376" s="210" t="s">
        <v>88</v>
      </c>
      <c r="H376" s="211" t="s">
        <v>1873</v>
      </c>
      <c r="I376" s="156" t="s">
        <v>26</v>
      </c>
      <c r="J376" s="209" t="s">
        <v>1436</v>
      </c>
      <c r="K376" s="211" t="s">
        <v>1500</v>
      </c>
    </row>
    <row r="377" spans="1:11" ht="33.75">
      <c r="A377" s="204">
        <v>375</v>
      </c>
      <c r="B377" s="205">
        <v>45622</v>
      </c>
      <c r="C377" s="267" t="s">
        <v>833</v>
      </c>
      <c r="D377" s="204">
        <v>2024</v>
      </c>
      <c r="E377" s="204" t="s">
        <v>1431</v>
      </c>
      <c r="F377" s="204" t="s">
        <v>1506</v>
      </c>
      <c r="G377" s="206" t="s">
        <v>88</v>
      </c>
      <c r="H377" s="207" t="s">
        <v>1874</v>
      </c>
      <c r="I377" s="156" t="s">
        <v>26</v>
      </c>
      <c r="J377" s="204" t="s">
        <v>1436</v>
      </c>
      <c r="K377" s="207"/>
    </row>
    <row r="378" spans="1:11" ht="66.75">
      <c r="A378" s="204">
        <v>376</v>
      </c>
      <c r="B378" s="208">
        <v>45623</v>
      </c>
      <c r="C378" s="267" t="s">
        <v>833</v>
      </c>
      <c r="D378" s="204">
        <v>2024</v>
      </c>
      <c r="E378" s="209" t="s">
        <v>1431</v>
      </c>
      <c r="F378" s="209" t="s">
        <v>1436</v>
      </c>
      <c r="G378" s="210" t="s">
        <v>88</v>
      </c>
      <c r="H378" s="211" t="s">
        <v>1875</v>
      </c>
      <c r="I378" s="156" t="s">
        <v>26</v>
      </c>
      <c r="J378" s="209" t="s">
        <v>1436</v>
      </c>
      <c r="K378" s="211"/>
    </row>
    <row r="379" spans="1:11" ht="33.75">
      <c r="A379" s="204">
        <v>377</v>
      </c>
      <c r="B379" s="205">
        <v>45623</v>
      </c>
      <c r="C379" s="267" t="s">
        <v>833</v>
      </c>
      <c r="D379" s="204">
        <v>2024</v>
      </c>
      <c r="E379" s="204" t="s">
        <v>1431</v>
      </c>
      <c r="F379" s="204" t="s">
        <v>1436</v>
      </c>
      <c r="G379" s="206" t="s">
        <v>88</v>
      </c>
      <c r="H379" s="207" t="s">
        <v>1876</v>
      </c>
      <c r="I379" s="156" t="s">
        <v>26</v>
      </c>
      <c r="J379" s="204" t="s">
        <v>1436</v>
      </c>
      <c r="K379" s="207"/>
    </row>
    <row r="380" spans="1:11" ht="100.5">
      <c r="A380" s="204">
        <v>378</v>
      </c>
      <c r="B380" s="208">
        <v>45623</v>
      </c>
      <c r="C380" s="267" t="s">
        <v>833</v>
      </c>
      <c r="D380" s="204">
        <v>2024</v>
      </c>
      <c r="E380" s="209" t="s">
        <v>1431</v>
      </c>
      <c r="F380" s="209" t="s">
        <v>1449</v>
      </c>
      <c r="G380" s="210" t="s">
        <v>88</v>
      </c>
      <c r="H380" s="211" t="s">
        <v>1877</v>
      </c>
      <c r="I380" s="156" t="s">
        <v>26</v>
      </c>
      <c r="J380" s="209" t="s">
        <v>1436</v>
      </c>
      <c r="K380" s="211" t="s">
        <v>1478</v>
      </c>
    </row>
    <row r="381" spans="1:11" ht="16.5">
      <c r="A381" s="204">
        <v>379</v>
      </c>
      <c r="B381" s="205">
        <v>45623</v>
      </c>
      <c r="C381" s="267" t="s">
        <v>833</v>
      </c>
      <c r="D381" s="204">
        <v>2024</v>
      </c>
      <c r="E381" s="204" t="s">
        <v>1431</v>
      </c>
      <c r="F381" s="204" t="s">
        <v>1436</v>
      </c>
      <c r="G381" s="206" t="s">
        <v>88</v>
      </c>
      <c r="H381" s="207" t="s">
        <v>1878</v>
      </c>
      <c r="I381" s="156" t="s">
        <v>26</v>
      </c>
      <c r="J381" s="204" t="s">
        <v>1436</v>
      </c>
      <c r="K381" s="207"/>
    </row>
    <row r="382" spans="1:11" ht="150.75">
      <c r="A382" s="204">
        <v>380</v>
      </c>
      <c r="B382" s="208">
        <v>45623</v>
      </c>
      <c r="C382" s="267" t="s">
        <v>833</v>
      </c>
      <c r="D382" s="204">
        <v>2024</v>
      </c>
      <c r="E382" s="209" t="s">
        <v>1431</v>
      </c>
      <c r="F382" s="209" t="s">
        <v>1436</v>
      </c>
      <c r="G382" s="213" t="s">
        <v>821</v>
      </c>
      <c r="H382" s="211" t="s">
        <v>1879</v>
      </c>
      <c r="I382" s="156" t="s">
        <v>26</v>
      </c>
      <c r="J382" s="209" t="s">
        <v>1436</v>
      </c>
      <c r="K382" s="211" t="s">
        <v>1513</v>
      </c>
    </row>
    <row r="383" spans="1:11" ht="100.5">
      <c r="A383" s="204">
        <v>381</v>
      </c>
      <c r="B383" s="205">
        <v>45623</v>
      </c>
      <c r="C383" s="267" t="s">
        <v>833</v>
      </c>
      <c r="D383" s="204">
        <v>2024</v>
      </c>
      <c r="E383" s="204" t="s">
        <v>1431</v>
      </c>
      <c r="F383" s="204" t="s">
        <v>1566</v>
      </c>
      <c r="G383" s="214" t="s">
        <v>859</v>
      </c>
      <c r="H383" s="207" t="s">
        <v>1880</v>
      </c>
      <c r="I383" s="156" t="s">
        <v>26</v>
      </c>
      <c r="J383" s="204" t="s">
        <v>1436</v>
      </c>
      <c r="K383" s="207" t="s">
        <v>1476</v>
      </c>
    </row>
    <row r="384" spans="1:11" ht="33.75">
      <c r="A384" s="204">
        <v>382</v>
      </c>
      <c r="B384" s="208">
        <v>45624</v>
      </c>
      <c r="C384" s="267" t="s">
        <v>833</v>
      </c>
      <c r="D384" s="204">
        <v>2024</v>
      </c>
      <c r="E384" s="209" t="s">
        <v>1431</v>
      </c>
      <c r="F384" s="209" t="s">
        <v>1436</v>
      </c>
      <c r="G384" s="217" t="s">
        <v>859</v>
      </c>
      <c r="H384" s="211" t="s">
        <v>1881</v>
      </c>
      <c r="I384" s="156" t="s">
        <v>26</v>
      </c>
      <c r="J384" s="209" t="s">
        <v>1436</v>
      </c>
      <c r="K384" s="211"/>
    </row>
    <row r="385" spans="1:11" ht="84">
      <c r="A385" s="204">
        <v>383</v>
      </c>
      <c r="B385" s="205">
        <v>45624</v>
      </c>
      <c r="C385" s="267" t="s">
        <v>833</v>
      </c>
      <c r="D385" s="204">
        <v>2024</v>
      </c>
      <c r="E385" s="204" t="s">
        <v>1431</v>
      </c>
      <c r="F385" s="204" t="s">
        <v>1506</v>
      </c>
      <c r="G385" s="206" t="s">
        <v>88</v>
      </c>
      <c r="H385" s="207" t="s">
        <v>1882</v>
      </c>
      <c r="I385" s="156" t="s">
        <v>26</v>
      </c>
      <c r="J385" s="204" t="s">
        <v>1436</v>
      </c>
      <c r="K385" s="207" t="s">
        <v>1500</v>
      </c>
    </row>
    <row r="386" spans="1:11" ht="134.25">
      <c r="A386" s="204">
        <v>384</v>
      </c>
      <c r="B386" s="208">
        <v>45624</v>
      </c>
      <c r="C386" s="267" t="s">
        <v>833</v>
      </c>
      <c r="D386" s="204">
        <v>2024</v>
      </c>
      <c r="E386" s="209" t="s">
        <v>1431</v>
      </c>
      <c r="F386" s="209" t="s">
        <v>216</v>
      </c>
      <c r="G386" s="213" t="s">
        <v>821</v>
      </c>
      <c r="H386" s="211" t="s">
        <v>1883</v>
      </c>
      <c r="I386" s="156" t="s">
        <v>26</v>
      </c>
      <c r="J386" s="209" t="s">
        <v>1436</v>
      </c>
      <c r="K386" s="211" t="s">
        <v>1601</v>
      </c>
    </row>
    <row r="387" spans="1:11" ht="100.5">
      <c r="A387" s="204">
        <v>385</v>
      </c>
      <c r="B387" s="205">
        <v>45624</v>
      </c>
      <c r="C387" s="267" t="s">
        <v>833</v>
      </c>
      <c r="D387" s="204">
        <v>2024</v>
      </c>
      <c r="E387" s="204" t="s">
        <v>1431</v>
      </c>
      <c r="F387" s="204" t="s">
        <v>1584</v>
      </c>
      <c r="G387" s="213" t="s">
        <v>821</v>
      </c>
      <c r="H387" s="207" t="s">
        <v>1884</v>
      </c>
      <c r="I387" s="156" t="s">
        <v>26</v>
      </c>
      <c r="J387" s="204" t="s">
        <v>1436</v>
      </c>
      <c r="K387" s="207" t="s">
        <v>1448</v>
      </c>
    </row>
    <row r="388" spans="1:11" ht="117">
      <c r="A388" s="204">
        <v>386</v>
      </c>
      <c r="B388" s="208">
        <v>45625</v>
      </c>
      <c r="C388" s="267" t="s">
        <v>833</v>
      </c>
      <c r="D388" s="204">
        <v>2024</v>
      </c>
      <c r="E388" s="209" t="s">
        <v>1431</v>
      </c>
      <c r="F388" s="209" t="s">
        <v>1449</v>
      </c>
      <c r="G388" s="210" t="s">
        <v>88</v>
      </c>
      <c r="H388" s="211" t="s">
        <v>1885</v>
      </c>
      <c r="I388" s="156" t="s">
        <v>26</v>
      </c>
      <c r="J388" s="209" t="s">
        <v>1436</v>
      </c>
      <c r="K388" s="211" t="s">
        <v>1437</v>
      </c>
    </row>
    <row r="389" spans="1:11" ht="100.5">
      <c r="A389" s="204">
        <v>387</v>
      </c>
      <c r="B389" s="205">
        <v>45625</v>
      </c>
      <c r="C389" s="267" t="s">
        <v>833</v>
      </c>
      <c r="D389" s="204">
        <v>2024</v>
      </c>
      <c r="E389" s="204" t="s">
        <v>1431</v>
      </c>
      <c r="F389" s="204" t="s">
        <v>1436</v>
      </c>
      <c r="G389" s="206" t="s">
        <v>88</v>
      </c>
      <c r="H389" s="207" t="s">
        <v>1886</v>
      </c>
      <c r="I389" s="156" t="s">
        <v>26</v>
      </c>
      <c r="J389" s="204" t="s">
        <v>1436</v>
      </c>
      <c r="K389" s="207" t="s">
        <v>1454</v>
      </c>
    </row>
    <row r="390" spans="1:11" ht="117">
      <c r="A390" s="204">
        <v>388</v>
      </c>
      <c r="B390" s="208">
        <v>45625</v>
      </c>
      <c r="C390" s="267" t="s">
        <v>833</v>
      </c>
      <c r="D390" s="204">
        <v>2024</v>
      </c>
      <c r="E390" s="209" t="s">
        <v>1431</v>
      </c>
      <c r="F390" s="209" t="s">
        <v>1449</v>
      </c>
      <c r="G390" s="210" t="s">
        <v>88</v>
      </c>
      <c r="H390" s="211" t="s">
        <v>1887</v>
      </c>
      <c r="I390" s="156" t="s">
        <v>26</v>
      </c>
      <c r="J390" s="209" t="s">
        <v>1436</v>
      </c>
      <c r="K390" s="211" t="s">
        <v>1451</v>
      </c>
    </row>
    <row r="391" spans="1:11" ht="84">
      <c r="A391" s="204">
        <v>389</v>
      </c>
      <c r="B391" s="205">
        <v>45628</v>
      </c>
      <c r="C391" s="265" t="s">
        <v>834</v>
      </c>
      <c r="D391" s="204">
        <v>2024</v>
      </c>
      <c r="E391" s="204" t="s">
        <v>1431</v>
      </c>
      <c r="F391" s="204" t="s">
        <v>1506</v>
      </c>
      <c r="G391" s="206" t="s">
        <v>88</v>
      </c>
      <c r="H391" s="207" t="s">
        <v>1888</v>
      </c>
      <c r="I391" s="156" t="s">
        <v>26</v>
      </c>
      <c r="J391" s="204" t="s">
        <v>1436</v>
      </c>
      <c r="K391" s="207" t="s">
        <v>1500</v>
      </c>
    </row>
    <row r="392" spans="1:11" ht="100.5">
      <c r="A392" s="204">
        <v>390</v>
      </c>
      <c r="B392" s="208">
        <v>45628</v>
      </c>
      <c r="C392" s="265" t="s">
        <v>834</v>
      </c>
      <c r="D392" s="204">
        <v>2024</v>
      </c>
      <c r="E392" s="209" t="s">
        <v>1431</v>
      </c>
      <c r="F392" s="209" t="s">
        <v>1449</v>
      </c>
      <c r="G392" s="210" t="s">
        <v>88</v>
      </c>
      <c r="H392" s="211" t="s">
        <v>1889</v>
      </c>
      <c r="I392" s="156" t="s">
        <v>26</v>
      </c>
      <c r="J392" s="209" t="s">
        <v>1436</v>
      </c>
      <c r="K392" s="211" t="s">
        <v>1472</v>
      </c>
    </row>
    <row r="393" spans="1:11" ht="84">
      <c r="A393" s="204">
        <v>391</v>
      </c>
      <c r="B393" s="205">
        <v>45628</v>
      </c>
      <c r="C393" s="265" t="s">
        <v>834</v>
      </c>
      <c r="D393" s="204">
        <v>2024</v>
      </c>
      <c r="E393" s="204" t="s">
        <v>1431</v>
      </c>
      <c r="F393" s="204" t="s">
        <v>1518</v>
      </c>
      <c r="G393" s="206" t="s">
        <v>88</v>
      </c>
      <c r="H393" s="207" t="s">
        <v>1890</v>
      </c>
      <c r="I393" s="156" t="s">
        <v>26</v>
      </c>
      <c r="J393" s="204" t="s">
        <v>1891</v>
      </c>
      <c r="K393" s="207" t="s">
        <v>1444</v>
      </c>
    </row>
    <row r="394" spans="1:11" ht="84">
      <c r="A394" s="204">
        <v>392</v>
      </c>
      <c r="B394" s="208">
        <v>45628</v>
      </c>
      <c r="C394" s="265" t="s">
        <v>834</v>
      </c>
      <c r="D394" s="204">
        <v>2024</v>
      </c>
      <c r="E394" s="209" t="s">
        <v>1431</v>
      </c>
      <c r="F394" s="209" t="s">
        <v>1518</v>
      </c>
      <c r="G394" s="210" t="s">
        <v>88</v>
      </c>
      <c r="H394" s="211" t="s">
        <v>1892</v>
      </c>
      <c r="I394" s="156" t="s">
        <v>26</v>
      </c>
      <c r="J394" s="209" t="s">
        <v>1891</v>
      </c>
      <c r="K394" s="211" t="s">
        <v>1444</v>
      </c>
    </row>
    <row r="395" spans="1:11" ht="16.5">
      <c r="A395" s="204">
        <v>393</v>
      </c>
      <c r="B395" s="205">
        <v>45628</v>
      </c>
      <c r="C395" s="265" t="s">
        <v>834</v>
      </c>
      <c r="D395" s="204">
        <v>2024</v>
      </c>
      <c r="E395" s="204" t="s">
        <v>1431</v>
      </c>
      <c r="F395" s="204" t="s">
        <v>1449</v>
      </c>
      <c r="G395" s="206" t="s">
        <v>88</v>
      </c>
      <c r="H395" s="207" t="s">
        <v>1893</v>
      </c>
      <c r="I395" s="156" t="s">
        <v>26</v>
      </c>
      <c r="J395" s="204" t="s">
        <v>1436</v>
      </c>
      <c r="K395" s="207"/>
    </row>
    <row r="396" spans="1:11" ht="33.75">
      <c r="A396" s="204">
        <v>394</v>
      </c>
      <c r="B396" s="208">
        <v>45628</v>
      </c>
      <c r="C396" s="265" t="s">
        <v>834</v>
      </c>
      <c r="D396" s="204">
        <v>2024</v>
      </c>
      <c r="E396" s="209" t="s">
        <v>1431</v>
      </c>
      <c r="F396" s="209" t="s">
        <v>1449</v>
      </c>
      <c r="G396" s="210" t="s">
        <v>88</v>
      </c>
      <c r="H396" s="211" t="s">
        <v>1894</v>
      </c>
      <c r="I396" s="156" t="s">
        <v>26</v>
      </c>
      <c r="J396" s="209" t="s">
        <v>1436</v>
      </c>
      <c r="K396" s="211"/>
    </row>
    <row r="397" spans="1:11" ht="33.75">
      <c r="A397" s="204">
        <v>395</v>
      </c>
      <c r="B397" s="205">
        <v>45628</v>
      </c>
      <c r="C397" s="265" t="s">
        <v>834</v>
      </c>
      <c r="D397" s="204">
        <v>2024</v>
      </c>
      <c r="E397" s="204" t="s">
        <v>1431</v>
      </c>
      <c r="F397" s="204" t="s">
        <v>1449</v>
      </c>
      <c r="G397" s="206" t="s">
        <v>88</v>
      </c>
      <c r="H397" s="207" t="s">
        <v>1895</v>
      </c>
      <c r="I397" s="156" t="s">
        <v>26</v>
      </c>
      <c r="J397" s="204" t="s">
        <v>1436</v>
      </c>
      <c r="K397" s="207"/>
    </row>
    <row r="398" spans="1:11" ht="33.75">
      <c r="A398" s="204">
        <v>396</v>
      </c>
      <c r="B398" s="208">
        <v>45628</v>
      </c>
      <c r="C398" s="265" t="s">
        <v>834</v>
      </c>
      <c r="D398" s="204">
        <v>2024</v>
      </c>
      <c r="E398" s="209" t="s">
        <v>1431</v>
      </c>
      <c r="F398" s="209" t="s">
        <v>1449</v>
      </c>
      <c r="G398" s="210" t="s">
        <v>88</v>
      </c>
      <c r="H398" s="211" t="s">
        <v>1896</v>
      </c>
      <c r="I398" s="156" t="s">
        <v>26</v>
      </c>
      <c r="J398" s="209" t="s">
        <v>1436</v>
      </c>
      <c r="K398" s="211"/>
    </row>
    <row r="399" spans="1:11" ht="84">
      <c r="A399" s="204">
        <v>397</v>
      </c>
      <c r="B399" s="205">
        <v>45628</v>
      </c>
      <c r="C399" s="265" t="s">
        <v>834</v>
      </c>
      <c r="D399" s="204">
        <v>2024</v>
      </c>
      <c r="E399" s="204" t="s">
        <v>1431</v>
      </c>
      <c r="F399" s="204" t="s">
        <v>1506</v>
      </c>
      <c r="G399" s="206" t="s">
        <v>88</v>
      </c>
      <c r="H399" s="207" t="s">
        <v>1897</v>
      </c>
      <c r="I399" s="156" t="s">
        <v>26</v>
      </c>
      <c r="J399" s="204" t="s">
        <v>1436</v>
      </c>
      <c r="K399" s="207" t="s">
        <v>1500</v>
      </c>
    </row>
    <row r="400" spans="1:11" ht="33.75">
      <c r="A400" s="204">
        <v>398</v>
      </c>
      <c r="B400" s="208">
        <v>45629</v>
      </c>
      <c r="C400" s="265" t="s">
        <v>834</v>
      </c>
      <c r="D400" s="204">
        <v>2024</v>
      </c>
      <c r="E400" s="209" t="s">
        <v>1431</v>
      </c>
      <c r="F400" s="209" t="s">
        <v>21</v>
      </c>
      <c r="G400" s="213" t="s">
        <v>821</v>
      </c>
      <c r="H400" s="211" t="s">
        <v>1898</v>
      </c>
      <c r="I400" s="156" t="s">
        <v>26</v>
      </c>
      <c r="J400" s="209" t="s">
        <v>1899</v>
      </c>
      <c r="K400" s="211"/>
    </row>
    <row r="401" spans="1:11" ht="100.5">
      <c r="A401" s="204">
        <v>399</v>
      </c>
      <c r="B401" s="205">
        <v>45629</v>
      </c>
      <c r="C401" s="265" t="s">
        <v>834</v>
      </c>
      <c r="D401" s="204">
        <v>2024</v>
      </c>
      <c r="E401" s="204" t="s">
        <v>1431</v>
      </c>
      <c r="F401" s="204" t="s">
        <v>1518</v>
      </c>
      <c r="G401" s="206" t="s">
        <v>88</v>
      </c>
      <c r="H401" s="207" t="s">
        <v>1900</v>
      </c>
      <c r="I401" s="156" t="s">
        <v>26</v>
      </c>
      <c r="J401" s="204" t="s">
        <v>1891</v>
      </c>
      <c r="K401" s="207" t="s">
        <v>1472</v>
      </c>
    </row>
    <row r="402" spans="1:11" ht="33.75">
      <c r="A402" s="204">
        <v>400</v>
      </c>
      <c r="B402" s="208">
        <v>45629</v>
      </c>
      <c r="C402" s="265" t="s">
        <v>834</v>
      </c>
      <c r="D402" s="204">
        <v>2024</v>
      </c>
      <c r="E402" s="209" t="s">
        <v>1431</v>
      </c>
      <c r="F402" s="209" t="s">
        <v>1584</v>
      </c>
      <c r="G402" s="210" t="s">
        <v>88</v>
      </c>
      <c r="H402" s="211" t="s">
        <v>1901</v>
      </c>
      <c r="I402" s="156" t="s">
        <v>26</v>
      </c>
      <c r="J402" s="209" t="s">
        <v>1902</v>
      </c>
      <c r="K402" s="211"/>
    </row>
    <row r="403" spans="1:11" ht="33.75">
      <c r="A403" s="204">
        <v>401</v>
      </c>
      <c r="B403" s="205">
        <v>45629</v>
      </c>
      <c r="C403" s="265" t="s">
        <v>834</v>
      </c>
      <c r="D403" s="204">
        <v>2024</v>
      </c>
      <c r="E403" s="204" t="s">
        <v>1431</v>
      </c>
      <c r="F403" s="204" t="s">
        <v>1506</v>
      </c>
      <c r="G403" s="206" t="s">
        <v>88</v>
      </c>
      <c r="H403" s="207" t="s">
        <v>1903</v>
      </c>
      <c r="I403" s="156" t="s">
        <v>26</v>
      </c>
      <c r="J403" s="204" t="s">
        <v>1904</v>
      </c>
      <c r="K403" s="207"/>
    </row>
    <row r="404" spans="1:11" ht="100.5">
      <c r="A404" s="204">
        <v>402</v>
      </c>
      <c r="B404" s="208">
        <v>45629</v>
      </c>
      <c r="C404" s="265" t="s">
        <v>834</v>
      </c>
      <c r="D404" s="204">
        <v>2024</v>
      </c>
      <c r="E404" s="209" t="s">
        <v>1431</v>
      </c>
      <c r="F404" s="209" t="s">
        <v>1158</v>
      </c>
      <c r="G404" s="210" t="s">
        <v>88</v>
      </c>
      <c r="H404" s="211" t="s">
        <v>1905</v>
      </c>
      <c r="I404" s="156" t="s">
        <v>26</v>
      </c>
      <c r="J404" s="209" t="s">
        <v>1436</v>
      </c>
      <c r="K404" s="211" t="s">
        <v>1454</v>
      </c>
    </row>
    <row r="405" spans="1:11" ht="150.75">
      <c r="A405" s="204">
        <v>403</v>
      </c>
      <c r="B405" s="205">
        <v>45629</v>
      </c>
      <c r="C405" s="265" t="s">
        <v>834</v>
      </c>
      <c r="D405" s="204">
        <v>2024</v>
      </c>
      <c r="E405" s="204" t="s">
        <v>1431</v>
      </c>
      <c r="F405" s="204" t="s">
        <v>21</v>
      </c>
      <c r="G405" s="213" t="s">
        <v>821</v>
      </c>
      <c r="H405" s="207" t="s">
        <v>1906</v>
      </c>
      <c r="I405" s="156" t="s">
        <v>26</v>
      </c>
      <c r="J405" s="204" t="s">
        <v>1907</v>
      </c>
      <c r="K405" s="207" t="s">
        <v>1513</v>
      </c>
    </row>
    <row r="406" spans="1:11" ht="117">
      <c r="A406" s="204">
        <v>404</v>
      </c>
      <c r="B406" s="208">
        <v>45630</v>
      </c>
      <c r="C406" s="265" t="s">
        <v>834</v>
      </c>
      <c r="D406" s="204">
        <v>2024</v>
      </c>
      <c r="E406" s="209" t="s">
        <v>1431</v>
      </c>
      <c r="F406" s="209" t="s">
        <v>1584</v>
      </c>
      <c r="G406" s="213" t="s">
        <v>821</v>
      </c>
      <c r="H406" s="211" t="s">
        <v>1908</v>
      </c>
      <c r="I406" s="156" t="s">
        <v>26</v>
      </c>
      <c r="J406" s="209" t="s">
        <v>1902</v>
      </c>
      <c r="K406" s="211" t="s">
        <v>1446</v>
      </c>
    </row>
    <row r="407" spans="1:11" ht="50.25">
      <c r="A407" s="204">
        <v>405</v>
      </c>
      <c r="B407" s="205">
        <v>45630</v>
      </c>
      <c r="C407" s="265" t="s">
        <v>834</v>
      </c>
      <c r="D407" s="204">
        <v>2024</v>
      </c>
      <c r="E407" s="204" t="s">
        <v>1431</v>
      </c>
      <c r="F407" s="204" t="s">
        <v>1506</v>
      </c>
      <c r="G407" s="206" t="s">
        <v>88</v>
      </c>
      <c r="H407" s="207" t="s">
        <v>1909</v>
      </c>
      <c r="I407" s="156" t="s">
        <v>26</v>
      </c>
      <c r="J407" s="204" t="s">
        <v>1436</v>
      </c>
      <c r="K407" s="207"/>
    </row>
    <row r="408" spans="1:11" ht="100.5">
      <c r="A408" s="204">
        <v>406</v>
      </c>
      <c r="B408" s="208">
        <v>45630</v>
      </c>
      <c r="C408" s="265" t="s">
        <v>834</v>
      </c>
      <c r="D408" s="204">
        <v>2024</v>
      </c>
      <c r="E408" s="209" t="s">
        <v>1431</v>
      </c>
      <c r="F408" s="209" t="s">
        <v>1584</v>
      </c>
      <c r="G408" s="213" t="s">
        <v>821</v>
      </c>
      <c r="H408" s="211" t="s">
        <v>1910</v>
      </c>
      <c r="I408" s="156" t="s">
        <v>26</v>
      </c>
      <c r="J408" s="209" t="s">
        <v>1902</v>
      </c>
      <c r="K408" s="211" t="s">
        <v>1448</v>
      </c>
    </row>
    <row r="409" spans="1:11" ht="117">
      <c r="A409" s="204">
        <v>407</v>
      </c>
      <c r="B409" s="205">
        <v>45630</v>
      </c>
      <c r="C409" s="265" t="s">
        <v>834</v>
      </c>
      <c r="D409" s="204">
        <v>2024</v>
      </c>
      <c r="E409" s="204" t="s">
        <v>1431</v>
      </c>
      <c r="F409" s="204" t="s">
        <v>1436</v>
      </c>
      <c r="G409" s="206" t="s">
        <v>88</v>
      </c>
      <c r="H409" s="207" t="s">
        <v>1911</v>
      </c>
      <c r="I409" s="156" t="s">
        <v>26</v>
      </c>
      <c r="J409" s="204" t="s">
        <v>1436</v>
      </c>
      <c r="K409" s="207" t="s">
        <v>1522</v>
      </c>
    </row>
    <row r="410" spans="1:11" ht="100.5">
      <c r="A410" s="204">
        <v>408</v>
      </c>
      <c r="B410" s="208">
        <v>45630</v>
      </c>
      <c r="C410" s="265" t="s">
        <v>834</v>
      </c>
      <c r="D410" s="204">
        <v>2024</v>
      </c>
      <c r="E410" s="209" t="s">
        <v>1431</v>
      </c>
      <c r="F410" s="209" t="s">
        <v>1449</v>
      </c>
      <c r="G410" s="210" t="s">
        <v>88</v>
      </c>
      <c r="H410" s="211" t="s">
        <v>1912</v>
      </c>
      <c r="I410" s="156" t="s">
        <v>26</v>
      </c>
      <c r="J410" s="209" t="s">
        <v>1436</v>
      </c>
      <c r="K410" s="211" t="s">
        <v>1478</v>
      </c>
    </row>
    <row r="411" spans="1:11" ht="50.25">
      <c r="A411" s="204">
        <v>409</v>
      </c>
      <c r="B411" s="205">
        <v>45631</v>
      </c>
      <c r="C411" s="265" t="s">
        <v>834</v>
      </c>
      <c r="D411" s="204">
        <v>2024</v>
      </c>
      <c r="E411" s="204" t="s">
        <v>1431</v>
      </c>
      <c r="F411" s="204" t="s">
        <v>216</v>
      </c>
      <c r="G411" s="213" t="s">
        <v>821</v>
      </c>
      <c r="H411" s="207" t="s">
        <v>1913</v>
      </c>
      <c r="I411" s="156" t="s">
        <v>26</v>
      </c>
      <c r="J411" s="204" t="s">
        <v>492</v>
      </c>
      <c r="K411" s="207"/>
    </row>
    <row r="412" spans="1:11" ht="100.5">
      <c r="A412" s="204">
        <v>410</v>
      </c>
      <c r="B412" s="208">
        <v>45631</v>
      </c>
      <c r="C412" s="265" t="s">
        <v>834</v>
      </c>
      <c r="D412" s="204">
        <v>2024</v>
      </c>
      <c r="E412" s="209" t="s">
        <v>1431</v>
      </c>
      <c r="F412" s="209" t="s">
        <v>1584</v>
      </c>
      <c r="G412" s="213" t="s">
        <v>821</v>
      </c>
      <c r="H412" s="211" t="s">
        <v>1914</v>
      </c>
      <c r="I412" s="156" t="s">
        <v>26</v>
      </c>
      <c r="J412" s="209" t="s">
        <v>1902</v>
      </c>
      <c r="K412" s="211" t="s">
        <v>1448</v>
      </c>
    </row>
    <row r="413" spans="1:11" ht="50.25">
      <c r="A413" s="204">
        <v>411</v>
      </c>
      <c r="B413" s="205">
        <v>45631</v>
      </c>
      <c r="C413" s="265" t="s">
        <v>834</v>
      </c>
      <c r="D413" s="204">
        <v>2024</v>
      </c>
      <c r="E413" s="204" t="s">
        <v>1431</v>
      </c>
      <c r="F413" s="204" t="s">
        <v>1436</v>
      </c>
      <c r="G413" s="214" t="s">
        <v>859</v>
      </c>
      <c r="H413" s="207" t="s">
        <v>1915</v>
      </c>
      <c r="I413" s="156" t="s">
        <v>26</v>
      </c>
      <c r="J413" s="204" t="s">
        <v>1916</v>
      </c>
      <c r="K413" s="207"/>
    </row>
    <row r="414" spans="1:11" ht="117">
      <c r="A414" s="204">
        <v>412</v>
      </c>
      <c r="B414" s="208">
        <v>45631</v>
      </c>
      <c r="C414" s="265" t="s">
        <v>834</v>
      </c>
      <c r="D414" s="204">
        <v>2024</v>
      </c>
      <c r="E414" s="209" t="s">
        <v>1431</v>
      </c>
      <c r="F414" s="209" t="s">
        <v>1539</v>
      </c>
      <c r="G414" s="210" t="s">
        <v>88</v>
      </c>
      <c r="H414" s="211" t="s">
        <v>1917</v>
      </c>
      <c r="I414" s="156" t="s">
        <v>26</v>
      </c>
      <c r="J414" s="209" t="s">
        <v>1436</v>
      </c>
      <c r="K414" s="211" t="s">
        <v>1451</v>
      </c>
    </row>
    <row r="415" spans="1:11" ht="33.75">
      <c r="A415" s="204">
        <v>413</v>
      </c>
      <c r="B415" s="205">
        <v>45632</v>
      </c>
      <c r="C415" s="265" t="s">
        <v>834</v>
      </c>
      <c r="D415" s="204">
        <v>2024</v>
      </c>
      <c r="E415" s="204" t="s">
        <v>1431</v>
      </c>
      <c r="F415" s="204" t="s">
        <v>1436</v>
      </c>
      <c r="G415" s="214" t="s">
        <v>859</v>
      </c>
      <c r="H415" s="207" t="s">
        <v>1918</v>
      </c>
      <c r="I415" s="156" t="s">
        <v>26</v>
      </c>
      <c r="J415" s="204" t="s">
        <v>1436</v>
      </c>
      <c r="K415" s="207"/>
    </row>
    <row r="416" spans="1:11" ht="50.25">
      <c r="A416" s="204">
        <v>414</v>
      </c>
      <c r="B416" s="208">
        <v>45632</v>
      </c>
      <c r="C416" s="265" t="s">
        <v>834</v>
      </c>
      <c r="D416" s="204">
        <v>2024</v>
      </c>
      <c r="E416" s="209" t="s">
        <v>1431</v>
      </c>
      <c r="F416" s="209" t="s">
        <v>1506</v>
      </c>
      <c r="G416" s="210" t="s">
        <v>88</v>
      </c>
      <c r="H416" s="211" t="s">
        <v>1919</v>
      </c>
      <c r="I416" s="156" t="s">
        <v>26</v>
      </c>
      <c r="J416" s="209" t="s">
        <v>1436</v>
      </c>
      <c r="K416" s="211"/>
    </row>
    <row r="417" spans="1:11" ht="84">
      <c r="A417" s="204">
        <v>415</v>
      </c>
      <c r="B417" s="205">
        <v>45632</v>
      </c>
      <c r="C417" s="265" t="s">
        <v>834</v>
      </c>
      <c r="D417" s="204">
        <v>2024</v>
      </c>
      <c r="E417" s="204" t="s">
        <v>1431</v>
      </c>
      <c r="F417" s="204" t="s">
        <v>1506</v>
      </c>
      <c r="G417" s="206" t="s">
        <v>88</v>
      </c>
      <c r="H417" s="207" t="s">
        <v>1920</v>
      </c>
      <c r="I417" s="156" t="s">
        <v>26</v>
      </c>
      <c r="J417" s="204" t="s">
        <v>1436</v>
      </c>
      <c r="K417" s="207" t="s">
        <v>1500</v>
      </c>
    </row>
    <row r="418" spans="1:11" ht="33.75">
      <c r="A418" s="204">
        <v>416</v>
      </c>
      <c r="B418" s="208">
        <v>45632</v>
      </c>
      <c r="C418" s="265" t="s">
        <v>834</v>
      </c>
      <c r="D418" s="204">
        <v>2024</v>
      </c>
      <c r="E418" s="209" t="s">
        <v>1431</v>
      </c>
      <c r="F418" s="209" t="s">
        <v>1506</v>
      </c>
      <c r="G418" s="210" t="s">
        <v>88</v>
      </c>
      <c r="H418" s="211" t="s">
        <v>1921</v>
      </c>
      <c r="I418" s="156" t="s">
        <v>26</v>
      </c>
      <c r="J418" s="209" t="s">
        <v>1436</v>
      </c>
      <c r="K418" s="211"/>
    </row>
    <row r="419" spans="1:11" ht="84">
      <c r="A419" s="204">
        <v>417</v>
      </c>
      <c r="B419" s="205">
        <v>45632</v>
      </c>
      <c r="C419" s="265" t="s">
        <v>834</v>
      </c>
      <c r="D419" s="204">
        <v>2024</v>
      </c>
      <c r="E419" s="204" t="s">
        <v>1431</v>
      </c>
      <c r="F419" s="204" t="s">
        <v>1506</v>
      </c>
      <c r="G419" s="206" t="s">
        <v>88</v>
      </c>
      <c r="H419" s="207" t="s">
        <v>1922</v>
      </c>
      <c r="I419" s="156" t="s">
        <v>26</v>
      </c>
      <c r="J419" s="204" t="s">
        <v>1436</v>
      </c>
      <c r="K419" s="207" t="s">
        <v>1500</v>
      </c>
    </row>
    <row r="420" spans="1:11" ht="33.75">
      <c r="A420" s="204">
        <v>418</v>
      </c>
      <c r="B420" s="208">
        <v>45632</v>
      </c>
      <c r="C420" s="265" t="s">
        <v>834</v>
      </c>
      <c r="D420" s="204">
        <v>2024</v>
      </c>
      <c r="E420" s="209" t="s">
        <v>1431</v>
      </c>
      <c r="F420" s="209" t="s">
        <v>1506</v>
      </c>
      <c r="G420" s="210" t="s">
        <v>88</v>
      </c>
      <c r="H420" s="211" t="s">
        <v>1923</v>
      </c>
      <c r="I420" s="156" t="s">
        <v>26</v>
      </c>
      <c r="J420" s="209" t="s">
        <v>1436</v>
      </c>
      <c r="K420" s="211"/>
    </row>
    <row r="421" spans="1:11" ht="50.25">
      <c r="A421" s="204">
        <v>419</v>
      </c>
      <c r="B421" s="205">
        <v>45632</v>
      </c>
      <c r="C421" s="265" t="s">
        <v>834</v>
      </c>
      <c r="D421" s="204">
        <v>2024</v>
      </c>
      <c r="E421" s="204" t="s">
        <v>1431</v>
      </c>
      <c r="F421" s="204" t="s">
        <v>1449</v>
      </c>
      <c r="G421" s="206" t="s">
        <v>88</v>
      </c>
      <c r="H421" s="207" t="s">
        <v>1924</v>
      </c>
      <c r="I421" s="156" t="s">
        <v>26</v>
      </c>
      <c r="J421" s="204" t="s">
        <v>1436</v>
      </c>
      <c r="K421" s="207"/>
    </row>
    <row r="422" spans="1:11" ht="134.25">
      <c r="A422" s="204">
        <v>420</v>
      </c>
      <c r="B422" s="208">
        <v>45632</v>
      </c>
      <c r="C422" s="265" t="s">
        <v>834</v>
      </c>
      <c r="D422" s="204">
        <v>2024</v>
      </c>
      <c r="E422" s="209" t="s">
        <v>1431</v>
      </c>
      <c r="F422" s="209" t="s">
        <v>1539</v>
      </c>
      <c r="G422" s="217" t="s">
        <v>859</v>
      </c>
      <c r="H422" s="211" t="s">
        <v>1925</v>
      </c>
      <c r="I422" s="156" t="s">
        <v>26</v>
      </c>
      <c r="J422" s="209" t="s">
        <v>1436</v>
      </c>
      <c r="K422" s="211" t="s">
        <v>1497</v>
      </c>
    </row>
    <row r="423" spans="1:11" ht="84">
      <c r="A423" s="204">
        <v>421</v>
      </c>
      <c r="B423" s="205">
        <v>45632</v>
      </c>
      <c r="C423" s="265" t="s">
        <v>834</v>
      </c>
      <c r="D423" s="204">
        <v>2024</v>
      </c>
      <c r="E423" s="204" t="s">
        <v>1431</v>
      </c>
      <c r="F423" s="204" t="s">
        <v>1225</v>
      </c>
      <c r="G423" s="214" t="s">
        <v>859</v>
      </c>
      <c r="H423" s="207" t="s">
        <v>1926</v>
      </c>
      <c r="I423" s="156" t="s">
        <v>26</v>
      </c>
      <c r="J423" s="204" t="s">
        <v>1436</v>
      </c>
      <c r="K423" s="207"/>
    </row>
    <row r="424" spans="1:11" ht="16.5">
      <c r="A424" s="204">
        <v>422</v>
      </c>
      <c r="B424" s="208">
        <v>45635</v>
      </c>
      <c r="C424" s="265" t="s">
        <v>834</v>
      </c>
      <c r="D424" s="204">
        <v>2024</v>
      </c>
      <c r="E424" s="209" t="s">
        <v>1431</v>
      </c>
      <c r="F424" s="209" t="s">
        <v>216</v>
      </c>
      <c r="G424" s="213" t="s">
        <v>821</v>
      </c>
      <c r="H424" s="211" t="s">
        <v>1927</v>
      </c>
      <c r="I424" s="156" t="s">
        <v>26</v>
      </c>
      <c r="J424" s="209" t="s">
        <v>1436</v>
      </c>
      <c r="K424" s="211"/>
    </row>
    <row r="425" spans="1:11" ht="117">
      <c r="A425" s="204">
        <v>423</v>
      </c>
      <c r="B425" s="205">
        <v>45635</v>
      </c>
      <c r="C425" s="265" t="s">
        <v>834</v>
      </c>
      <c r="D425" s="204">
        <v>2024</v>
      </c>
      <c r="E425" s="204" t="s">
        <v>1431</v>
      </c>
      <c r="F425" s="204" t="s">
        <v>1158</v>
      </c>
      <c r="G425" s="206" t="s">
        <v>88</v>
      </c>
      <c r="H425" s="207" t="s">
        <v>1928</v>
      </c>
      <c r="I425" s="156" t="s">
        <v>26</v>
      </c>
      <c r="J425" s="204" t="s">
        <v>1436</v>
      </c>
      <c r="K425" s="207" t="s">
        <v>1522</v>
      </c>
    </row>
    <row r="426" spans="1:11" ht="117">
      <c r="A426" s="204">
        <v>424</v>
      </c>
      <c r="B426" s="208">
        <v>45635</v>
      </c>
      <c r="C426" s="265" t="s">
        <v>834</v>
      </c>
      <c r="D426" s="204">
        <v>2024</v>
      </c>
      <c r="E426" s="209" t="s">
        <v>1431</v>
      </c>
      <c r="F426" s="209" t="s">
        <v>1449</v>
      </c>
      <c r="G426" s="210" t="s">
        <v>88</v>
      </c>
      <c r="H426" s="211" t="s">
        <v>1929</v>
      </c>
      <c r="I426" s="156" t="s">
        <v>26</v>
      </c>
      <c r="J426" s="209" t="s">
        <v>1436</v>
      </c>
      <c r="K426" s="211" t="s">
        <v>1437</v>
      </c>
    </row>
    <row r="427" spans="1:11" ht="100.5">
      <c r="A427" s="204">
        <v>425</v>
      </c>
      <c r="B427" s="205">
        <v>45635</v>
      </c>
      <c r="C427" s="265" t="s">
        <v>834</v>
      </c>
      <c r="D427" s="204">
        <v>2024</v>
      </c>
      <c r="E427" s="204" t="s">
        <v>1431</v>
      </c>
      <c r="F427" s="204" t="s">
        <v>1449</v>
      </c>
      <c r="G427" s="206" t="s">
        <v>88</v>
      </c>
      <c r="H427" s="207" t="s">
        <v>1930</v>
      </c>
      <c r="I427" s="156" t="s">
        <v>26</v>
      </c>
      <c r="J427" s="204" t="s">
        <v>1436</v>
      </c>
      <c r="K427" s="207" t="s">
        <v>1478</v>
      </c>
    </row>
    <row r="428" spans="1:11" ht="100.5">
      <c r="A428" s="204">
        <v>426</v>
      </c>
      <c r="B428" s="208">
        <v>45635</v>
      </c>
      <c r="C428" s="265" t="s">
        <v>834</v>
      </c>
      <c r="D428" s="204">
        <v>2024</v>
      </c>
      <c r="E428" s="209" t="s">
        <v>1431</v>
      </c>
      <c r="F428" s="209" t="s">
        <v>1449</v>
      </c>
      <c r="G428" s="210" t="s">
        <v>88</v>
      </c>
      <c r="H428" s="211" t="s">
        <v>1931</v>
      </c>
      <c r="I428" s="156" t="s">
        <v>26</v>
      </c>
      <c r="J428" s="209" t="s">
        <v>1436</v>
      </c>
      <c r="K428" s="211" t="s">
        <v>1478</v>
      </c>
    </row>
    <row r="429" spans="1:11" ht="117">
      <c r="A429" s="204">
        <v>427</v>
      </c>
      <c r="B429" s="205">
        <v>45635</v>
      </c>
      <c r="C429" s="265" t="s">
        <v>834</v>
      </c>
      <c r="D429" s="204">
        <v>2024</v>
      </c>
      <c r="E429" s="204" t="s">
        <v>1431</v>
      </c>
      <c r="F429" s="204" t="s">
        <v>1506</v>
      </c>
      <c r="G429" s="206" t="s">
        <v>88</v>
      </c>
      <c r="H429" s="207" t="s">
        <v>1932</v>
      </c>
      <c r="I429" s="156" t="s">
        <v>26</v>
      </c>
      <c r="J429" s="204" t="s">
        <v>1436</v>
      </c>
      <c r="K429" s="207" t="s">
        <v>1500</v>
      </c>
    </row>
    <row r="430" spans="1:11" ht="84">
      <c r="A430" s="204">
        <v>428</v>
      </c>
      <c r="B430" s="208">
        <v>45635</v>
      </c>
      <c r="C430" s="265" t="s">
        <v>834</v>
      </c>
      <c r="D430" s="204">
        <v>2024</v>
      </c>
      <c r="E430" s="209" t="s">
        <v>1431</v>
      </c>
      <c r="F430" s="209" t="s">
        <v>1506</v>
      </c>
      <c r="G430" s="210" t="s">
        <v>88</v>
      </c>
      <c r="H430" s="211" t="s">
        <v>1933</v>
      </c>
      <c r="I430" s="156" t="s">
        <v>26</v>
      </c>
      <c r="J430" s="209" t="s">
        <v>1436</v>
      </c>
      <c r="K430" s="211" t="s">
        <v>1500</v>
      </c>
    </row>
    <row r="431" spans="1:11" ht="117">
      <c r="A431" s="204">
        <v>429</v>
      </c>
      <c r="B431" s="205">
        <v>45635</v>
      </c>
      <c r="C431" s="265" t="s">
        <v>834</v>
      </c>
      <c r="D431" s="204">
        <v>2024</v>
      </c>
      <c r="E431" s="204" t="s">
        <v>1431</v>
      </c>
      <c r="F431" s="204" t="s">
        <v>1518</v>
      </c>
      <c r="G431" s="206" t="s">
        <v>88</v>
      </c>
      <c r="H431" s="207" t="s">
        <v>1934</v>
      </c>
      <c r="I431" s="156" t="s">
        <v>26</v>
      </c>
      <c r="J431" s="204" t="s">
        <v>1902</v>
      </c>
      <c r="K431" s="207" t="s">
        <v>1451</v>
      </c>
    </row>
    <row r="432" spans="1:11" ht="84">
      <c r="A432" s="204">
        <v>430</v>
      </c>
      <c r="B432" s="208">
        <v>45635</v>
      </c>
      <c r="C432" s="265" t="s">
        <v>834</v>
      </c>
      <c r="D432" s="204">
        <v>2024</v>
      </c>
      <c r="E432" s="209" t="s">
        <v>1431</v>
      </c>
      <c r="F432" s="209" t="s">
        <v>1580</v>
      </c>
      <c r="G432" s="210" t="s">
        <v>88</v>
      </c>
      <c r="H432" s="211" t="s">
        <v>1935</v>
      </c>
      <c r="I432" s="156" t="s">
        <v>26</v>
      </c>
      <c r="J432" s="209" t="s">
        <v>1436</v>
      </c>
      <c r="K432" s="211" t="s">
        <v>1500</v>
      </c>
    </row>
    <row r="433" spans="1:11" ht="33.75">
      <c r="A433" s="204">
        <v>431</v>
      </c>
      <c r="B433" s="205">
        <v>45636</v>
      </c>
      <c r="C433" s="265" t="s">
        <v>834</v>
      </c>
      <c r="D433" s="204">
        <v>2024</v>
      </c>
      <c r="E433" s="204" t="s">
        <v>1431</v>
      </c>
      <c r="F433" s="204" t="s">
        <v>1158</v>
      </c>
      <c r="G433" s="213" t="s">
        <v>821</v>
      </c>
      <c r="H433" s="207" t="s">
        <v>1936</v>
      </c>
      <c r="I433" s="156" t="s">
        <v>26</v>
      </c>
      <c r="J433" s="204" t="s">
        <v>1436</v>
      </c>
      <c r="K433" s="207"/>
    </row>
    <row r="434" spans="1:11" ht="117">
      <c r="A434" s="204">
        <v>432</v>
      </c>
      <c r="B434" s="208">
        <v>45636</v>
      </c>
      <c r="C434" s="265" t="s">
        <v>834</v>
      </c>
      <c r="D434" s="204">
        <v>2024</v>
      </c>
      <c r="E434" s="209" t="s">
        <v>1431</v>
      </c>
      <c r="F434" s="209" t="s">
        <v>1539</v>
      </c>
      <c r="G434" s="210" t="s">
        <v>88</v>
      </c>
      <c r="H434" s="211" t="s">
        <v>1937</v>
      </c>
      <c r="I434" s="156" t="s">
        <v>26</v>
      </c>
      <c r="J434" s="209" t="s">
        <v>1938</v>
      </c>
      <c r="K434" s="211" t="s">
        <v>1437</v>
      </c>
    </row>
    <row r="435" spans="1:11" ht="117">
      <c r="A435" s="204">
        <v>433</v>
      </c>
      <c r="B435" s="205">
        <v>45636</v>
      </c>
      <c r="C435" s="265" t="s">
        <v>834</v>
      </c>
      <c r="D435" s="204">
        <v>2024</v>
      </c>
      <c r="E435" s="204" t="s">
        <v>1431</v>
      </c>
      <c r="F435" s="204" t="s">
        <v>1449</v>
      </c>
      <c r="G435" s="206" t="s">
        <v>88</v>
      </c>
      <c r="H435" s="207" t="s">
        <v>1753</v>
      </c>
      <c r="I435" s="156" t="s">
        <v>26</v>
      </c>
      <c r="J435" s="204" t="s">
        <v>1939</v>
      </c>
      <c r="K435" s="207" t="s">
        <v>1559</v>
      </c>
    </row>
    <row r="436" spans="1:11" ht="117">
      <c r="A436" s="204">
        <v>434</v>
      </c>
      <c r="B436" s="208">
        <v>45637</v>
      </c>
      <c r="C436" s="265" t="s">
        <v>834</v>
      </c>
      <c r="D436" s="204">
        <v>2024</v>
      </c>
      <c r="E436" s="209" t="s">
        <v>1431</v>
      </c>
      <c r="F436" s="209" t="s">
        <v>216</v>
      </c>
      <c r="G436" s="213" t="s">
        <v>821</v>
      </c>
      <c r="H436" s="211" t="s">
        <v>1940</v>
      </c>
      <c r="I436" s="156" t="s">
        <v>26</v>
      </c>
      <c r="J436" s="209" t="s">
        <v>492</v>
      </c>
      <c r="K436" s="211" t="s">
        <v>1446</v>
      </c>
    </row>
    <row r="437" spans="1:11" ht="84">
      <c r="A437" s="204">
        <v>435</v>
      </c>
      <c r="B437" s="205">
        <v>45637</v>
      </c>
      <c r="C437" s="265" t="s">
        <v>834</v>
      </c>
      <c r="D437" s="204">
        <v>2024</v>
      </c>
      <c r="E437" s="204" t="s">
        <v>1431</v>
      </c>
      <c r="F437" s="204" t="s">
        <v>1506</v>
      </c>
      <c r="G437" s="206" t="s">
        <v>88</v>
      </c>
      <c r="H437" s="207" t="s">
        <v>1941</v>
      </c>
      <c r="I437" s="156" t="s">
        <v>26</v>
      </c>
      <c r="J437" s="204" t="s">
        <v>1436</v>
      </c>
      <c r="K437" s="207" t="s">
        <v>1500</v>
      </c>
    </row>
    <row r="438" spans="1:11" ht="117">
      <c r="A438" s="204">
        <v>436</v>
      </c>
      <c r="B438" s="208">
        <v>45637</v>
      </c>
      <c r="C438" s="265" t="s">
        <v>834</v>
      </c>
      <c r="D438" s="204">
        <v>2024</v>
      </c>
      <c r="E438" s="209" t="s">
        <v>1431</v>
      </c>
      <c r="F438" s="209" t="s">
        <v>1506</v>
      </c>
      <c r="G438" s="210" t="s">
        <v>88</v>
      </c>
      <c r="H438" s="211" t="s">
        <v>1942</v>
      </c>
      <c r="I438" s="156" t="s">
        <v>26</v>
      </c>
      <c r="J438" s="209" t="s">
        <v>1436</v>
      </c>
      <c r="K438" s="211" t="s">
        <v>1510</v>
      </c>
    </row>
    <row r="439" spans="1:11" ht="50.25">
      <c r="A439" s="204">
        <v>437</v>
      </c>
      <c r="B439" s="205">
        <v>45637</v>
      </c>
      <c r="C439" s="265" t="s">
        <v>834</v>
      </c>
      <c r="D439" s="204">
        <v>2024</v>
      </c>
      <c r="E439" s="204" t="s">
        <v>1431</v>
      </c>
      <c r="F439" s="204" t="s">
        <v>1449</v>
      </c>
      <c r="G439" s="206" t="s">
        <v>88</v>
      </c>
      <c r="H439" s="207" t="s">
        <v>1943</v>
      </c>
      <c r="I439" s="156" t="s">
        <v>26</v>
      </c>
      <c r="J439" s="204" t="s">
        <v>1436</v>
      </c>
      <c r="K439" s="207"/>
    </row>
    <row r="440" spans="1:11" ht="100.5">
      <c r="A440" s="204">
        <v>438</v>
      </c>
      <c r="B440" s="208">
        <v>45637</v>
      </c>
      <c r="C440" s="265" t="s">
        <v>834</v>
      </c>
      <c r="D440" s="204">
        <v>2024</v>
      </c>
      <c r="E440" s="209" t="s">
        <v>1431</v>
      </c>
      <c r="F440" s="209" t="s">
        <v>1449</v>
      </c>
      <c r="G440" s="210" t="s">
        <v>88</v>
      </c>
      <c r="H440" s="211" t="s">
        <v>1944</v>
      </c>
      <c r="I440" s="156" t="s">
        <v>26</v>
      </c>
      <c r="J440" s="209" t="s">
        <v>1436</v>
      </c>
      <c r="K440" s="211" t="s">
        <v>1472</v>
      </c>
    </row>
    <row r="441" spans="1:11" ht="16.5">
      <c r="A441" s="204">
        <v>439</v>
      </c>
      <c r="B441" s="205">
        <v>45637</v>
      </c>
      <c r="C441" s="265" t="s">
        <v>834</v>
      </c>
      <c r="D441" s="204">
        <v>2024</v>
      </c>
      <c r="E441" s="204" t="s">
        <v>1431</v>
      </c>
      <c r="F441" s="204" t="s">
        <v>1449</v>
      </c>
      <c r="G441" s="206" t="s">
        <v>88</v>
      </c>
      <c r="H441" s="207" t="s">
        <v>1945</v>
      </c>
      <c r="I441" s="156" t="s">
        <v>26</v>
      </c>
      <c r="J441" s="204" t="s">
        <v>1436</v>
      </c>
      <c r="K441" s="207"/>
    </row>
    <row r="442" spans="1:11" ht="100.5">
      <c r="A442" s="204">
        <v>440</v>
      </c>
      <c r="B442" s="208">
        <v>45637</v>
      </c>
      <c r="C442" s="265" t="s">
        <v>834</v>
      </c>
      <c r="D442" s="204">
        <v>2024</v>
      </c>
      <c r="E442" s="209" t="s">
        <v>1431</v>
      </c>
      <c r="F442" s="209" t="s">
        <v>1449</v>
      </c>
      <c r="G442" s="210" t="s">
        <v>88</v>
      </c>
      <c r="H442" s="211" t="s">
        <v>1946</v>
      </c>
      <c r="I442" s="156" t="s">
        <v>26</v>
      </c>
      <c r="J442" s="209" t="s">
        <v>1436</v>
      </c>
      <c r="K442" s="211" t="s">
        <v>1454</v>
      </c>
    </row>
    <row r="443" spans="1:11" ht="117">
      <c r="A443" s="204">
        <v>441</v>
      </c>
      <c r="B443" s="205">
        <v>45637</v>
      </c>
      <c r="C443" s="265" t="s">
        <v>834</v>
      </c>
      <c r="D443" s="204">
        <v>2024</v>
      </c>
      <c r="E443" s="204" t="s">
        <v>1431</v>
      </c>
      <c r="F443" s="204" t="s">
        <v>1436</v>
      </c>
      <c r="G443" s="206" t="s">
        <v>88</v>
      </c>
      <c r="H443" s="207" t="s">
        <v>1947</v>
      </c>
      <c r="I443" s="156" t="s">
        <v>26</v>
      </c>
      <c r="J443" s="204" t="s">
        <v>1436</v>
      </c>
      <c r="K443" s="207" t="s">
        <v>1451</v>
      </c>
    </row>
    <row r="444" spans="1:11" ht="150.75">
      <c r="A444" s="204">
        <v>442</v>
      </c>
      <c r="B444" s="208">
        <v>45638</v>
      </c>
      <c r="C444" s="265" t="s">
        <v>834</v>
      </c>
      <c r="D444" s="204">
        <v>2024</v>
      </c>
      <c r="E444" s="209" t="s">
        <v>1431</v>
      </c>
      <c r="F444" s="209" t="s">
        <v>1506</v>
      </c>
      <c r="G444" s="213" t="s">
        <v>821</v>
      </c>
      <c r="H444" s="211" t="s">
        <v>1948</v>
      </c>
      <c r="I444" s="156" t="s">
        <v>26</v>
      </c>
      <c r="J444" s="209" t="s">
        <v>1436</v>
      </c>
      <c r="K444" s="211" t="s">
        <v>1513</v>
      </c>
    </row>
    <row r="445" spans="1:11" ht="100.5">
      <c r="A445" s="204">
        <v>443</v>
      </c>
      <c r="B445" s="205">
        <v>45638</v>
      </c>
      <c r="C445" s="265" t="s">
        <v>834</v>
      </c>
      <c r="D445" s="204">
        <v>2024</v>
      </c>
      <c r="E445" s="204" t="s">
        <v>1431</v>
      </c>
      <c r="F445" s="204" t="s">
        <v>1506</v>
      </c>
      <c r="G445" s="206" t="s">
        <v>88</v>
      </c>
      <c r="H445" s="207" t="s">
        <v>1949</v>
      </c>
      <c r="I445" s="156" t="s">
        <v>26</v>
      </c>
      <c r="J445" s="204" t="s">
        <v>1436</v>
      </c>
      <c r="K445" s="207" t="s">
        <v>1472</v>
      </c>
    </row>
    <row r="446" spans="1:11" ht="100.5">
      <c r="A446" s="204">
        <v>444</v>
      </c>
      <c r="B446" s="208">
        <v>45638</v>
      </c>
      <c r="C446" s="265" t="s">
        <v>834</v>
      </c>
      <c r="D446" s="204">
        <v>2024</v>
      </c>
      <c r="E446" s="209" t="s">
        <v>1431</v>
      </c>
      <c r="F446" s="209" t="s">
        <v>574</v>
      </c>
      <c r="G446" s="210" t="s">
        <v>88</v>
      </c>
      <c r="H446" s="211" t="s">
        <v>1950</v>
      </c>
      <c r="I446" s="156" t="s">
        <v>26</v>
      </c>
      <c r="J446" s="209" t="s">
        <v>1436</v>
      </c>
      <c r="K446" s="211" t="s">
        <v>1454</v>
      </c>
    </row>
    <row r="447" spans="1:11" ht="50.25">
      <c r="A447" s="204">
        <v>445</v>
      </c>
      <c r="B447" s="205">
        <v>45638</v>
      </c>
      <c r="C447" s="265" t="s">
        <v>834</v>
      </c>
      <c r="D447" s="204">
        <v>2024</v>
      </c>
      <c r="E447" s="204" t="s">
        <v>1431</v>
      </c>
      <c r="F447" s="204" t="s">
        <v>1436</v>
      </c>
      <c r="G447" s="206" t="s">
        <v>88</v>
      </c>
      <c r="H447" s="207" t="s">
        <v>1951</v>
      </c>
      <c r="I447" s="156" t="s">
        <v>26</v>
      </c>
      <c r="J447" s="204" t="s">
        <v>1436</v>
      </c>
      <c r="K447" s="207"/>
    </row>
    <row r="448" spans="1:11" ht="84">
      <c r="A448" s="204">
        <v>446</v>
      </c>
      <c r="B448" s="208">
        <v>45638</v>
      </c>
      <c r="C448" s="265" t="s">
        <v>834</v>
      </c>
      <c r="D448" s="204">
        <v>2024</v>
      </c>
      <c r="E448" s="209" t="s">
        <v>1431</v>
      </c>
      <c r="F448" s="209" t="s">
        <v>1506</v>
      </c>
      <c r="G448" s="210" t="s">
        <v>88</v>
      </c>
      <c r="H448" s="211" t="s">
        <v>1952</v>
      </c>
      <c r="I448" s="156" t="s">
        <v>26</v>
      </c>
      <c r="J448" s="209" t="s">
        <v>1436</v>
      </c>
      <c r="K448" s="211" t="s">
        <v>1500</v>
      </c>
    </row>
    <row r="449" spans="1:11" ht="100.5">
      <c r="A449" s="204">
        <v>447</v>
      </c>
      <c r="B449" s="205">
        <v>45638</v>
      </c>
      <c r="C449" s="265" t="s">
        <v>834</v>
      </c>
      <c r="D449" s="204">
        <v>2024</v>
      </c>
      <c r="E449" s="204" t="s">
        <v>1431</v>
      </c>
      <c r="F449" s="204" t="s">
        <v>1584</v>
      </c>
      <c r="G449" s="213" t="s">
        <v>821</v>
      </c>
      <c r="H449" s="207" t="s">
        <v>1953</v>
      </c>
      <c r="I449" s="156" t="s">
        <v>26</v>
      </c>
      <c r="J449" s="204" t="s">
        <v>1436</v>
      </c>
      <c r="K449" s="207" t="s">
        <v>1448</v>
      </c>
    </row>
    <row r="450" spans="1:11" ht="117">
      <c r="A450" s="204">
        <v>448</v>
      </c>
      <c r="B450" s="208">
        <v>45639</v>
      </c>
      <c r="C450" s="265" t="s">
        <v>834</v>
      </c>
      <c r="D450" s="204">
        <v>2024</v>
      </c>
      <c r="E450" s="209" t="s">
        <v>1431</v>
      </c>
      <c r="F450" s="209" t="s">
        <v>1506</v>
      </c>
      <c r="G450" s="210" t="s">
        <v>88</v>
      </c>
      <c r="H450" s="211" t="s">
        <v>1954</v>
      </c>
      <c r="I450" s="156" t="s">
        <v>26</v>
      </c>
      <c r="J450" s="209" t="s">
        <v>1436</v>
      </c>
      <c r="K450" s="211" t="s">
        <v>1451</v>
      </c>
    </row>
    <row r="451" spans="1:11" ht="100.5">
      <c r="A451" s="204">
        <v>449</v>
      </c>
      <c r="B451" s="205">
        <v>45639</v>
      </c>
      <c r="C451" s="265" t="s">
        <v>834</v>
      </c>
      <c r="D451" s="204">
        <v>2024</v>
      </c>
      <c r="E451" s="204" t="s">
        <v>1431</v>
      </c>
      <c r="F451" s="204" t="s">
        <v>1518</v>
      </c>
      <c r="G451" s="206" t="s">
        <v>88</v>
      </c>
      <c r="H451" s="207" t="s">
        <v>1955</v>
      </c>
      <c r="I451" s="156" t="s">
        <v>26</v>
      </c>
      <c r="J451" s="204" t="s">
        <v>1436</v>
      </c>
      <c r="K451" s="207" t="s">
        <v>1472</v>
      </c>
    </row>
    <row r="452" spans="1:11" ht="100.5">
      <c r="A452" s="204">
        <v>450</v>
      </c>
      <c r="B452" s="208">
        <v>45639</v>
      </c>
      <c r="C452" s="265" t="s">
        <v>834</v>
      </c>
      <c r="D452" s="204">
        <v>2024</v>
      </c>
      <c r="E452" s="209" t="s">
        <v>1431</v>
      </c>
      <c r="F452" s="209" t="s">
        <v>1584</v>
      </c>
      <c r="G452" s="213" t="s">
        <v>821</v>
      </c>
      <c r="H452" s="211" t="s">
        <v>1956</v>
      </c>
      <c r="I452" s="156" t="s">
        <v>26</v>
      </c>
      <c r="J452" s="209" t="s">
        <v>1436</v>
      </c>
      <c r="K452" s="211" t="s">
        <v>1448</v>
      </c>
    </row>
    <row r="453" spans="1:11" ht="100.5">
      <c r="A453" s="204">
        <v>451</v>
      </c>
      <c r="B453" s="205">
        <v>45639</v>
      </c>
      <c r="C453" s="265" t="s">
        <v>834</v>
      </c>
      <c r="D453" s="204">
        <v>2024</v>
      </c>
      <c r="E453" s="204" t="s">
        <v>1431</v>
      </c>
      <c r="F453" s="204" t="s">
        <v>1449</v>
      </c>
      <c r="G453" s="206" t="s">
        <v>88</v>
      </c>
      <c r="H453" s="207" t="s">
        <v>1957</v>
      </c>
      <c r="I453" s="156" t="s">
        <v>26</v>
      </c>
      <c r="J453" s="204" t="s">
        <v>1436</v>
      </c>
      <c r="K453" s="207" t="s">
        <v>1454</v>
      </c>
    </row>
    <row r="454" spans="1:11" ht="117">
      <c r="A454" s="204">
        <v>452</v>
      </c>
      <c r="B454" s="208">
        <v>45639</v>
      </c>
      <c r="C454" s="265" t="s">
        <v>834</v>
      </c>
      <c r="D454" s="204">
        <v>2024</v>
      </c>
      <c r="E454" s="209" t="s">
        <v>1431</v>
      </c>
      <c r="F454" s="209" t="s">
        <v>1449</v>
      </c>
      <c r="G454" s="210" t="s">
        <v>88</v>
      </c>
      <c r="H454" s="211" t="s">
        <v>1958</v>
      </c>
      <c r="I454" s="156" t="s">
        <v>26</v>
      </c>
      <c r="J454" s="209" t="s">
        <v>1436</v>
      </c>
      <c r="K454" s="211" t="s">
        <v>1451</v>
      </c>
    </row>
    <row r="455" spans="1:11" ht="117">
      <c r="A455" s="204">
        <v>453</v>
      </c>
      <c r="B455" s="205">
        <v>45649</v>
      </c>
      <c r="C455" s="265" t="s">
        <v>834</v>
      </c>
      <c r="D455" s="204">
        <v>2024</v>
      </c>
      <c r="E455" s="204" t="s">
        <v>1431</v>
      </c>
      <c r="F455" s="204" t="s">
        <v>1508</v>
      </c>
      <c r="G455" s="206" t="s">
        <v>88</v>
      </c>
      <c r="H455" s="207" t="s">
        <v>1959</v>
      </c>
      <c r="I455" s="156" t="s">
        <v>26</v>
      </c>
      <c r="J455" s="204" t="s">
        <v>1436</v>
      </c>
      <c r="K455" s="207" t="s">
        <v>1510</v>
      </c>
    </row>
    <row r="456" spans="1:11" ht="50.25">
      <c r="A456" s="204">
        <v>454</v>
      </c>
      <c r="B456" s="208">
        <v>45649</v>
      </c>
      <c r="C456" s="265" t="s">
        <v>834</v>
      </c>
      <c r="D456" s="204">
        <v>2024</v>
      </c>
      <c r="E456" s="209" t="s">
        <v>1431</v>
      </c>
      <c r="F456" s="209" t="s">
        <v>1436</v>
      </c>
      <c r="G456" s="210" t="s">
        <v>88</v>
      </c>
      <c r="H456" s="211" t="s">
        <v>1960</v>
      </c>
      <c r="I456" s="156" t="s">
        <v>26</v>
      </c>
      <c r="J456" s="209" t="s">
        <v>1436</v>
      </c>
      <c r="K456" s="211"/>
    </row>
    <row r="457" spans="1:11" ht="117">
      <c r="A457" s="204">
        <v>455</v>
      </c>
      <c r="B457" s="205">
        <v>45649</v>
      </c>
      <c r="C457" s="265" t="s">
        <v>834</v>
      </c>
      <c r="D457" s="204">
        <v>2024</v>
      </c>
      <c r="E457" s="204" t="s">
        <v>1431</v>
      </c>
      <c r="F457" s="204" t="s">
        <v>1566</v>
      </c>
      <c r="G457" s="206" t="s">
        <v>88</v>
      </c>
      <c r="H457" s="207" t="s">
        <v>1961</v>
      </c>
      <c r="I457" s="156" t="s">
        <v>26</v>
      </c>
      <c r="J457" s="204" t="s">
        <v>1436</v>
      </c>
      <c r="K457" s="207" t="s">
        <v>1437</v>
      </c>
    </row>
    <row r="458" spans="1:11" ht="50.25">
      <c r="A458" s="204">
        <v>456</v>
      </c>
      <c r="B458" s="208">
        <v>45649</v>
      </c>
      <c r="C458" s="265" t="s">
        <v>834</v>
      </c>
      <c r="D458" s="204">
        <v>2024</v>
      </c>
      <c r="E458" s="209" t="s">
        <v>1431</v>
      </c>
      <c r="F458" s="209" t="s">
        <v>1449</v>
      </c>
      <c r="G458" s="210" t="s">
        <v>88</v>
      </c>
      <c r="H458" s="211" t="s">
        <v>1962</v>
      </c>
      <c r="I458" s="156" t="s">
        <v>26</v>
      </c>
      <c r="J458" s="209" t="s">
        <v>1436</v>
      </c>
      <c r="K458" s="211"/>
    </row>
    <row r="459" spans="1:11" ht="33.75">
      <c r="A459" s="204">
        <v>457</v>
      </c>
      <c r="B459" s="205">
        <v>45649</v>
      </c>
      <c r="C459" s="265" t="s">
        <v>834</v>
      </c>
      <c r="D459" s="204">
        <v>2024</v>
      </c>
      <c r="E459" s="204" t="s">
        <v>1431</v>
      </c>
      <c r="F459" s="204" t="s">
        <v>1449</v>
      </c>
      <c r="G459" s="206" t="s">
        <v>88</v>
      </c>
      <c r="H459" s="207" t="s">
        <v>1963</v>
      </c>
      <c r="I459" s="156" t="s">
        <v>26</v>
      </c>
      <c r="J459" s="204" t="s">
        <v>1436</v>
      </c>
      <c r="K459" s="207"/>
    </row>
    <row r="460" spans="1:11" ht="100.5">
      <c r="A460" s="204">
        <v>458</v>
      </c>
      <c r="B460" s="208">
        <v>45649</v>
      </c>
      <c r="C460" s="265" t="s">
        <v>834</v>
      </c>
      <c r="D460" s="204">
        <v>2024</v>
      </c>
      <c r="E460" s="209" t="s">
        <v>1431</v>
      </c>
      <c r="F460" s="209" t="s">
        <v>21</v>
      </c>
      <c r="G460" s="210" t="s">
        <v>88</v>
      </c>
      <c r="H460" s="211" t="s">
        <v>1964</v>
      </c>
      <c r="I460" s="156" t="s">
        <v>26</v>
      </c>
      <c r="J460" s="209" t="s">
        <v>1436</v>
      </c>
      <c r="K460" s="211" t="s">
        <v>1454</v>
      </c>
    </row>
    <row r="461" spans="1:11" ht="84">
      <c r="A461" s="204">
        <v>459</v>
      </c>
      <c r="B461" s="205">
        <v>45650</v>
      </c>
      <c r="C461" s="265" t="s">
        <v>834</v>
      </c>
      <c r="D461" s="204">
        <v>2024</v>
      </c>
      <c r="E461" s="204" t="s">
        <v>1431</v>
      </c>
      <c r="F461" s="204" t="s">
        <v>1506</v>
      </c>
      <c r="G461" s="206" t="s">
        <v>88</v>
      </c>
      <c r="H461" s="207" t="s">
        <v>1965</v>
      </c>
      <c r="I461" s="156" t="s">
        <v>26</v>
      </c>
      <c r="J461" s="204" t="s">
        <v>1436</v>
      </c>
      <c r="K461" s="207" t="s">
        <v>1500</v>
      </c>
    </row>
    <row r="462" spans="1:11" ht="117">
      <c r="A462" s="204">
        <v>460</v>
      </c>
      <c r="B462" s="208">
        <v>45650</v>
      </c>
      <c r="C462" s="265" t="s">
        <v>834</v>
      </c>
      <c r="D462" s="204">
        <v>2024</v>
      </c>
      <c r="E462" s="209" t="s">
        <v>1431</v>
      </c>
      <c r="F462" s="209" t="s">
        <v>1508</v>
      </c>
      <c r="G462" s="210" t="s">
        <v>88</v>
      </c>
      <c r="H462" s="211" t="s">
        <v>1966</v>
      </c>
      <c r="I462" s="156" t="s">
        <v>26</v>
      </c>
      <c r="J462" s="209" t="s">
        <v>1436</v>
      </c>
      <c r="K462" s="211" t="s">
        <v>1510</v>
      </c>
    </row>
    <row r="463" spans="1:11" ht="16.5">
      <c r="A463" s="204">
        <v>461</v>
      </c>
      <c r="B463" s="205">
        <v>45650</v>
      </c>
      <c r="C463" s="265" t="s">
        <v>834</v>
      </c>
      <c r="D463" s="204">
        <v>2024</v>
      </c>
      <c r="E463" s="204" t="s">
        <v>1431</v>
      </c>
      <c r="F463" s="204" t="s">
        <v>1518</v>
      </c>
      <c r="G463" s="206" t="s">
        <v>88</v>
      </c>
      <c r="H463" s="207" t="s">
        <v>1967</v>
      </c>
      <c r="I463" s="156" t="s">
        <v>26</v>
      </c>
      <c r="J463" s="204" t="s">
        <v>1436</v>
      </c>
      <c r="K463" s="207"/>
    </row>
    <row r="464" spans="1:11" ht="84">
      <c r="A464" s="204">
        <v>462</v>
      </c>
      <c r="B464" s="208">
        <v>45652</v>
      </c>
      <c r="C464" s="265" t="s">
        <v>834</v>
      </c>
      <c r="D464" s="204">
        <v>2024</v>
      </c>
      <c r="E464" s="209" t="s">
        <v>1431</v>
      </c>
      <c r="F464" s="209" t="s">
        <v>1506</v>
      </c>
      <c r="G464" s="210" t="s">
        <v>88</v>
      </c>
      <c r="H464" s="211" t="s">
        <v>1968</v>
      </c>
      <c r="I464" s="156" t="s">
        <v>26</v>
      </c>
      <c r="J464" s="209" t="s">
        <v>1436</v>
      </c>
      <c r="K464" s="211" t="s">
        <v>1500</v>
      </c>
    </row>
    <row r="465" spans="1:11" ht="84">
      <c r="A465" s="204">
        <v>463</v>
      </c>
      <c r="B465" s="205">
        <v>45653</v>
      </c>
      <c r="C465" s="265" t="s">
        <v>834</v>
      </c>
      <c r="D465" s="204">
        <v>2024</v>
      </c>
      <c r="E465" s="204" t="s">
        <v>1431</v>
      </c>
      <c r="F465" s="204" t="s">
        <v>1158</v>
      </c>
      <c r="G465" s="206" t="s">
        <v>88</v>
      </c>
      <c r="H465" s="207" t="s">
        <v>1969</v>
      </c>
      <c r="I465" s="156" t="s">
        <v>26</v>
      </c>
      <c r="J465" s="204" t="s">
        <v>1970</v>
      </c>
      <c r="K465" s="207"/>
    </row>
    <row r="466" spans="1:11" ht="100.5">
      <c r="A466" s="204">
        <v>464</v>
      </c>
      <c r="B466" s="208">
        <v>45656</v>
      </c>
      <c r="C466" s="265" t="s">
        <v>834</v>
      </c>
      <c r="D466" s="204">
        <v>2024</v>
      </c>
      <c r="E466" s="209" t="s">
        <v>1431</v>
      </c>
      <c r="F466" s="209" t="s">
        <v>1436</v>
      </c>
      <c r="G466" s="210" t="s">
        <v>88</v>
      </c>
      <c r="H466" s="211" t="s">
        <v>1971</v>
      </c>
      <c r="I466" s="156" t="s">
        <v>26</v>
      </c>
      <c r="J466" s="209" t="s">
        <v>1436</v>
      </c>
      <c r="K466" s="211" t="s">
        <v>1467</v>
      </c>
    </row>
    <row r="467" spans="1:11" ht="33.75">
      <c r="A467" s="204">
        <v>465</v>
      </c>
      <c r="B467" s="205">
        <v>45656</v>
      </c>
      <c r="C467" s="265" t="s">
        <v>834</v>
      </c>
      <c r="D467" s="204">
        <v>2024</v>
      </c>
      <c r="E467" s="204" t="s">
        <v>1431</v>
      </c>
      <c r="F467" s="204" t="s">
        <v>1158</v>
      </c>
      <c r="G467" s="206" t="s">
        <v>88</v>
      </c>
      <c r="H467" s="207" t="s">
        <v>1972</v>
      </c>
      <c r="I467" s="156" t="s">
        <v>26</v>
      </c>
      <c r="J467" s="204" t="s">
        <v>1436</v>
      </c>
      <c r="K467" s="207"/>
    </row>
    <row r="468" spans="1:11" ht="84">
      <c r="A468" s="204">
        <v>466</v>
      </c>
      <c r="B468" s="208">
        <v>45656</v>
      </c>
      <c r="C468" s="265" t="s">
        <v>834</v>
      </c>
      <c r="D468" s="204">
        <v>2024</v>
      </c>
      <c r="E468" s="209" t="s">
        <v>1431</v>
      </c>
      <c r="F468" s="209" t="s">
        <v>1518</v>
      </c>
      <c r="G468" s="210" t="s">
        <v>88</v>
      </c>
      <c r="H468" s="211" t="s">
        <v>1973</v>
      </c>
      <c r="I468" s="156" t="s">
        <v>26</v>
      </c>
      <c r="J468" s="209" t="s">
        <v>1436</v>
      </c>
      <c r="K468" s="211" t="s">
        <v>1444</v>
      </c>
    </row>
    <row r="469" spans="1:11" ht="84">
      <c r="A469" s="204">
        <v>467</v>
      </c>
      <c r="B469" s="205">
        <v>45656</v>
      </c>
      <c r="C469" s="265" t="s">
        <v>834</v>
      </c>
      <c r="D469" s="204">
        <v>2024</v>
      </c>
      <c r="E469" s="204" t="s">
        <v>1431</v>
      </c>
      <c r="F469" s="204" t="s">
        <v>1506</v>
      </c>
      <c r="G469" s="206" t="s">
        <v>88</v>
      </c>
      <c r="H469" s="207" t="s">
        <v>1974</v>
      </c>
      <c r="I469" s="156" t="s">
        <v>26</v>
      </c>
      <c r="J469" s="204" t="s">
        <v>1436</v>
      </c>
      <c r="K469" s="207" t="s">
        <v>1500</v>
      </c>
    </row>
    <row r="470" spans="1:11" ht="117">
      <c r="A470" s="204">
        <v>468</v>
      </c>
      <c r="B470" s="208">
        <v>45656</v>
      </c>
      <c r="C470" s="265" t="s">
        <v>834</v>
      </c>
      <c r="D470" s="204">
        <v>2024</v>
      </c>
      <c r="E470" s="209" t="s">
        <v>1431</v>
      </c>
      <c r="F470" s="209" t="s">
        <v>1449</v>
      </c>
      <c r="G470" s="210" t="s">
        <v>88</v>
      </c>
      <c r="H470" s="211" t="s">
        <v>1975</v>
      </c>
      <c r="I470" s="156" t="s">
        <v>26</v>
      </c>
      <c r="J470" s="209" t="s">
        <v>1436</v>
      </c>
      <c r="K470" s="211" t="s">
        <v>1559</v>
      </c>
    </row>
    <row r="471" spans="1:11" ht="50.25">
      <c r="A471" s="204">
        <v>469</v>
      </c>
      <c r="B471" s="205">
        <v>45657</v>
      </c>
      <c r="C471" s="265" t="s">
        <v>834</v>
      </c>
      <c r="D471" s="204">
        <v>2024</v>
      </c>
      <c r="E471" s="204" t="s">
        <v>1431</v>
      </c>
      <c r="F471" s="204" t="s">
        <v>1518</v>
      </c>
      <c r="G471" s="213" t="s">
        <v>821</v>
      </c>
      <c r="H471" s="207" t="s">
        <v>1976</v>
      </c>
      <c r="I471" s="156" t="s">
        <v>26</v>
      </c>
      <c r="J471" s="204" t="s">
        <v>1436</v>
      </c>
      <c r="K471" s="207"/>
    </row>
    <row r="472" spans="1:11" ht="100.5">
      <c r="A472" s="204">
        <v>470</v>
      </c>
      <c r="B472" s="208">
        <v>45657</v>
      </c>
      <c r="C472" s="265" t="s">
        <v>834</v>
      </c>
      <c r="D472" s="204">
        <v>2024</v>
      </c>
      <c r="E472" s="209" t="s">
        <v>1431</v>
      </c>
      <c r="F472" s="209" t="s">
        <v>1506</v>
      </c>
      <c r="G472" s="210" t="s">
        <v>88</v>
      </c>
      <c r="H472" s="211" t="s">
        <v>1977</v>
      </c>
      <c r="I472" s="156" t="s">
        <v>26</v>
      </c>
      <c r="J472" s="209" t="s">
        <v>1436</v>
      </c>
      <c r="K472" s="211" t="s">
        <v>1472</v>
      </c>
    </row>
    <row r="473" spans="1:11" ht="100.5">
      <c r="A473" s="204">
        <v>471</v>
      </c>
      <c r="B473" s="205">
        <v>45657</v>
      </c>
      <c r="C473" s="265" t="s">
        <v>834</v>
      </c>
      <c r="D473" s="204">
        <v>2024</v>
      </c>
      <c r="E473" s="204" t="s">
        <v>1431</v>
      </c>
      <c r="F473" s="204" t="s">
        <v>1449</v>
      </c>
      <c r="G473" s="206" t="s">
        <v>88</v>
      </c>
      <c r="H473" s="207" t="s">
        <v>1978</v>
      </c>
      <c r="I473" s="156" t="s">
        <v>26</v>
      </c>
      <c r="J473" s="204" t="s">
        <v>1436</v>
      </c>
      <c r="K473" s="207" t="s">
        <v>1478</v>
      </c>
    </row>
    <row r="474" spans="1:11" ht="117">
      <c r="A474" s="204">
        <v>472</v>
      </c>
      <c r="B474" s="208">
        <v>45657</v>
      </c>
      <c r="C474" s="265" t="s">
        <v>834</v>
      </c>
      <c r="D474" s="204">
        <v>2024</v>
      </c>
      <c r="E474" s="209" t="s">
        <v>1431</v>
      </c>
      <c r="F474" s="209" t="s">
        <v>1539</v>
      </c>
      <c r="G474" s="210" t="s">
        <v>88</v>
      </c>
      <c r="H474" s="211" t="s">
        <v>1979</v>
      </c>
      <c r="I474" s="156" t="s">
        <v>26</v>
      </c>
      <c r="J474" s="209" t="s">
        <v>1436</v>
      </c>
      <c r="K474" s="211" t="s">
        <v>1451</v>
      </c>
    </row>
    <row r="475" spans="1:11" ht="117">
      <c r="A475" s="204">
        <v>473</v>
      </c>
      <c r="B475" s="205">
        <v>45657</v>
      </c>
      <c r="C475" s="265" t="s">
        <v>834</v>
      </c>
      <c r="D475" s="204">
        <v>2025</v>
      </c>
      <c r="E475" s="204" t="s">
        <v>1431</v>
      </c>
      <c r="F475" s="204" t="s">
        <v>1449</v>
      </c>
      <c r="G475" s="206" t="s">
        <v>88</v>
      </c>
      <c r="H475" s="207" t="s">
        <v>1980</v>
      </c>
      <c r="I475" s="156" t="s">
        <v>26</v>
      </c>
      <c r="J475" s="204" t="s">
        <v>1436</v>
      </c>
      <c r="K475" s="207" t="s">
        <v>1451</v>
      </c>
    </row>
    <row r="476" spans="1:11" ht="134.25">
      <c r="A476" s="204">
        <v>474</v>
      </c>
      <c r="B476" s="208">
        <v>45659</v>
      </c>
      <c r="C476" s="267" t="s">
        <v>823</v>
      </c>
      <c r="D476" s="204">
        <v>2025</v>
      </c>
      <c r="E476" s="209" t="s">
        <v>1431</v>
      </c>
      <c r="F476" s="209" t="s">
        <v>216</v>
      </c>
      <c r="G476" s="213" t="s">
        <v>821</v>
      </c>
      <c r="H476" s="211" t="s">
        <v>1981</v>
      </c>
      <c r="I476" s="156" t="s">
        <v>26</v>
      </c>
      <c r="J476" s="209" t="s">
        <v>1938</v>
      </c>
      <c r="K476" s="211" t="s">
        <v>1601</v>
      </c>
    </row>
    <row r="477" spans="1:11" ht="50.25">
      <c r="A477" s="204">
        <v>475</v>
      </c>
      <c r="B477" s="205">
        <v>45659</v>
      </c>
      <c r="C477" s="267" t="s">
        <v>823</v>
      </c>
      <c r="D477" s="204">
        <v>2025</v>
      </c>
      <c r="E477" s="204" t="s">
        <v>1431</v>
      </c>
      <c r="F477" s="204" t="s">
        <v>1436</v>
      </c>
      <c r="G477" s="206" t="s">
        <v>88</v>
      </c>
      <c r="H477" s="207" t="s">
        <v>1982</v>
      </c>
      <c r="I477" s="156" t="s">
        <v>26</v>
      </c>
      <c r="J477" s="204" t="s">
        <v>1436</v>
      </c>
      <c r="K477" s="207"/>
    </row>
    <row r="478" spans="1:11" ht="117">
      <c r="A478" s="204">
        <v>476</v>
      </c>
      <c r="B478" s="208">
        <v>45659</v>
      </c>
      <c r="C478" s="267" t="s">
        <v>823</v>
      </c>
      <c r="D478" s="204">
        <v>2025</v>
      </c>
      <c r="E478" s="209" t="s">
        <v>1431</v>
      </c>
      <c r="F478" s="209" t="s">
        <v>1449</v>
      </c>
      <c r="G478" s="210" t="s">
        <v>88</v>
      </c>
      <c r="H478" s="211" t="s">
        <v>1983</v>
      </c>
      <c r="I478" s="156" t="s">
        <v>26</v>
      </c>
      <c r="J478" s="209" t="s">
        <v>1436</v>
      </c>
      <c r="K478" s="211" t="s">
        <v>1559</v>
      </c>
    </row>
    <row r="479" spans="1:11" ht="117">
      <c r="A479" s="204">
        <v>477</v>
      </c>
      <c r="B479" s="205">
        <v>45659</v>
      </c>
      <c r="C479" s="267" t="s">
        <v>823</v>
      </c>
      <c r="D479" s="204">
        <v>2025</v>
      </c>
      <c r="E479" s="204" t="s">
        <v>1431</v>
      </c>
      <c r="F479" s="204" t="s">
        <v>1506</v>
      </c>
      <c r="G479" s="206" t="s">
        <v>88</v>
      </c>
      <c r="H479" s="207" t="s">
        <v>1984</v>
      </c>
      <c r="I479" s="156" t="s">
        <v>26</v>
      </c>
      <c r="J479" s="204" t="s">
        <v>1436</v>
      </c>
      <c r="K479" s="207" t="s">
        <v>1451</v>
      </c>
    </row>
    <row r="480" spans="1:11" ht="100.5">
      <c r="A480" s="204">
        <v>478</v>
      </c>
      <c r="B480" s="208">
        <v>45660</v>
      </c>
      <c r="C480" s="267" t="s">
        <v>823</v>
      </c>
      <c r="D480" s="204">
        <v>2025</v>
      </c>
      <c r="E480" s="209" t="s">
        <v>1431</v>
      </c>
      <c r="F480" s="209" t="s">
        <v>1539</v>
      </c>
      <c r="G480" s="210" t="s">
        <v>88</v>
      </c>
      <c r="H480" s="211" t="s">
        <v>1985</v>
      </c>
      <c r="I480" s="156" t="s">
        <v>26</v>
      </c>
      <c r="J480" s="209" t="s">
        <v>1436</v>
      </c>
      <c r="K480" s="211" t="s">
        <v>1467</v>
      </c>
    </row>
    <row r="481" spans="1:11" ht="134.25">
      <c r="A481" s="204">
        <v>479</v>
      </c>
      <c r="B481" s="205">
        <v>45660</v>
      </c>
      <c r="C481" s="267" t="s">
        <v>823</v>
      </c>
      <c r="D481" s="204">
        <v>2025</v>
      </c>
      <c r="E481" s="204" t="s">
        <v>1431</v>
      </c>
      <c r="F481" s="204" t="s">
        <v>1449</v>
      </c>
      <c r="G481" s="206" t="s">
        <v>88</v>
      </c>
      <c r="H481" s="207" t="s">
        <v>1986</v>
      </c>
      <c r="I481" s="156" t="s">
        <v>26</v>
      </c>
      <c r="J481" s="204" t="s">
        <v>1436</v>
      </c>
      <c r="K481" s="207" t="s">
        <v>1472</v>
      </c>
    </row>
    <row r="482" spans="1:11" ht="117">
      <c r="A482" s="204">
        <v>480</v>
      </c>
      <c r="B482" s="208">
        <v>45663</v>
      </c>
      <c r="C482" s="267" t="s">
        <v>823</v>
      </c>
      <c r="D482" s="204">
        <v>2025</v>
      </c>
      <c r="E482" s="209" t="s">
        <v>1431</v>
      </c>
      <c r="F482" s="209" t="s">
        <v>21</v>
      </c>
      <c r="G482" s="213" t="s">
        <v>821</v>
      </c>
      <c r="H482" s="211" t="s">
        <v>1987</v>
      </c>
      <c r="I482" s="156" t="s">
        <v>26</v>
      </c>
      <c r="J482" s="209" t="s">
        <v>149</v>
      </c>
      <c r="K482" s="211" t="s">
        <v>1482</v>
      </c>
    </row>
    <row r="483" spans="1:11" ht="100.5">
      <c r="A483" s="204">
        <v>481</v>
      </c>
      <c r="B483" s="205">
        <v>45663</v>
      </c>
      <c r="C483" s="267" t="s">
        <v>823</v>
      </c>
      <c r="D483" s="204">
        <v>2025</v>
      </c>
      <c r="E483" s="204" t="s">
        <v>1431</v>
      </c>
      <c r="F483" s="204" t="s">
        <v>1506</v>
      </c>
      <c r="G483" s="206" t="s">
        <v>88</v>
      </c>
      <c r="H483" s="207" t="s">
        <v>1988</v>
      </c>
      <c r="I483" s="156" t="s">
        <v>26</v>
      </c>
      <c r="J483" s="204" t="s">
        <v>1436</v>
      </c>
      <c r="K483" s="207" t="s">
        <v>1500</v>
      </c>
    </row>
    <row r="484" spans="1:11" ht="117">
      <c r="A484" s="204">
        <v>482</v>
      </c>
      <c r="B484" s="208">
        <v>45663</v>
      </c>
      <c r="C484" s="267" t="s">
        <v>823</v>
      </c>
      <c r="D484" s="204">
        <v>2025</v>
      </c>
      <c r="E484" s="209" t="s">
        <v>1431</v>
      </c>
      <c r="F484" s="209" t="s">
        <v>1506</v>
      </c>
      <c r="G484" s="210" t="s">
        <v>88</v>
      </c>
      <c r="H484" s="211" t="s">
        <v>1989</v>
      </c>
      <c r="I484" s="156" t="s">
        <v>26</v>
      </c>
      <c r="J484" s="209" t="s">
        <v>1436</v>
      </c>
      <c r="K484" s="211"/>
    </row>
    <row r="485" spans="1:11" ht="117">
      <c r="A485" s="204">
        <v>483</v>
      </c>
      <c r="B485" s="205">
        <v>45663</v>
      </c>
      <c r="C485" s="267" t="s">
        <v>823</v>
      </c>
      <c r="D485" s="204">
        <v>2025</v>
      </c>
      <c r="E485" s="204" t="s">
        <v>1431</v>
      </c>
      <c r="F485" s="204" t="s">
        <v>1506</v>
      </c>
      <c r="G485" s="206" t="s">
        <v>88</v>
      </c>
      <c r="H485" s="207" t="s">
        <v>1990</v>
      </c>
      <c r="I485" s="156" t="s">
        <v>26</v>
      </c>
      <c r="J485" s="204" t="s">
        <v>1436</v>
      </c>
      <c r="K485" s="207" t="s">
        <v>1500</v>
      </c>
    </row>
    <row r="486" spans="1:11" ht="216.75">
      <c r="A486" s="204">
        <v>484</v>
      </c>
      <c r="B486" s="208">
        <v>45663</v>
      </c>
      <c r="C486" s="267" t="s">
        <v>823</v>
      </c>
      <c r="D486" s="204">
        <v>2025</v>
      </c>
      <c r="E486" s="209" t="s">
        <v>1431</v>
      </c>
      <c r="F486" s="209" t="s">
        <v>1506</v>
      </c>
      <c r="G486" s="210" t="s">
        <v>88</v>
      </c>
      <c r="H486" s="211" t="s">
        <v>1991</v>
      </c>
      <c r="I486" s="156" t="s">
        <v>26</v>
      </c>
      <c r="J486" s="209" t="s">
        <v>1436</v>
      </c>
      <c r="K486" s="211" t="s">
        <v>1500</v>
      </c>
    </row>
    <row r="487" spans="1:11" ht="134.25">
      <c r="A487" s="204">
        <v>485</v>
      </c>
      <c r="B487" s="205">
        <v>45663</v>
      </c>
      <c r="C487" s="267" t="s">
        <v>823</v>
      </c>
      <c r="D487" s="204">
        <v>2025</v>
      </c>
      <c r="E487" s="204" t="s">
        <v>1431</v>
      </c>
      <c r="F487" s="204" t="s">
        <v>1506</v>
      </c>
      <c r="G487" s="206" t="s">
        <v>88</v>
      </c>
      <c r="H487" s="207" t="s">
        <v>1992</v>
      </c>
      <c r="I487" s="156" t="s">
        <v>26</v>
      </c>
      <c r="J487" s="204" t="s">
        <v>1436</v>
      </c>
      <c r="K487" s="207"/>
    </row>
    <row r="488" spans="1:11" ht="168">
      <c r="A488" s="204">
        <v>486</v>
      </c>
      <c r="B488" s="208">
        <v>45663</v>
      </c>
      <c r="C488" s="267" t="s">
        <v>823</v>
      </c>
      <c r="D488" s="204">
        <v>2025</v>
      </c>
      <c r="E488" s="209" t="s">
        <v>1431</v>
      </c>
      <c r="F488" s="209" t="s">
        <v>1506</v>
      </c>
      <c r="G488" s="210" t="s">
        <v>88</v>
      </c>
      <c r="H488" s="211" t="s">
        <v>1993</v>
      </c>
      <c r="I488" s="156" t="s">
        <v>26</v>
      </c>
      <c r="J488" s="209" t="s">
        <v>1436</v>
      </c>
      <c r="K488" s="211"/>
    </row>
    <row r="489" spans="1:11" ht="100.5">
      <c r="A489" s="204">
        <v>487</v>
      </c>
      <c r="B489" s="205">
        <v>45663</v>
      </c>
      <c r="C489" s="267" t="s">
        <v>823</v>
      </c>
      <c r="D489" s="204">
        <v>2025</v>
      </c>
      <c r="E489" s="204" t="s">
        <v>1431</v>
      </c>
      <c r="F489" s="204" t="s">
        <v>1506</v>
      </c>
      <c r="G489" s="206" t="s">
        <v>88</v>
      </c>
      <c r="H489" s="207" t="s">
        <v>1994</v>
      </c>
      <c r="I489" s="156" t="s">
        <v>26</v>
      </c>
      <c r="J489" s="204" t="s">
        <v>1436</v>
      </c>
      <c r="K489" s="207" t="s">
        <v>1500</v>
      </c>
    </row>
    <row r="490" spans="1:11" ht="33.75">
      <c r="A490" s="204">
        <v>488</v>
      </c>
      <c r="B490" s="208">
        <v>45664</v>
      </c>
      <c r="C490" s="267" t="s">
        <v>823</v>
      </c>
      <c r="D490" s="204">
        <v>2025</v>
      </c>
      <c r="E490" s="209" t="s">
        <v>1431</v>
      </c>
      <c r="F490" s="209" t="s">
        <v>1436</v>
      </c>
      <c r="G490" s="213" t="s">
        <v>821</v>
      </c>
      <c r="H490" s="211" t="s">
        <v>1995</v>
      </c>
      <c r="I490" s="156" t="s">
        <v>26</v>
      </c>
      <c r="J490" s="209" t="s">
        <v>1996</v>
      </c>
      <c r="K490" s="211"/>
    </row>
    <row r="491" spans="1:11" ht="50.25">
      <c r="A491" s="204">
        <v>489</v>
      </c>
      <c r="B491" s="205">
        <v>45664</v>
      </c>
      <c r="C491" s="267" t="s">
        <v>823</v>
      </c>
      <c r="D491" s="204">
        <v>2025</v>
      </c>
      <c r="E491" s="204" t="s">
        <v>1431</v>
      </c>
      <c r="F491" s="204" t="s">
        <v>1436</v>
      </c>
      <c r="G491" s="206" t="s">
        <v>88</v>
      </c>
      <c r="H491" s="207" t="s">
        <v>1997</v>
      </c>
      <c r="I491" s="156" t="s">
        <v>26</v>
      </c>
      <c r="J491" s="204" t="s">
        <v>1998</v>
      </c>
      <c r="K491" s="207"/>
    </row>
    <row r="492" spans="1:11" ht="66.75">
      <c r="A492" s="204">
        <v>490</v>
      </c>
      <c r="B492" s="208">
        <v>45664</v>
      </c>
      <c r="C492" s="267" t="s">
        <v>823</v>
      </c>
      <c r="D492" s="204">
        <v>2025</v>
      </c>
      <c r="E492" s="209" t="s">
        <v>1431</v>
      </c>
      <c r="F492" s="209" t="s">
        <v>1449</v>
      </c>
      <c r="G492" s="210" t="s">
        <v>88</v>
      </c>
      <c r="H492" s="211" t="s">
        <v>1999</v>
      </c>
      <c r="I492" s="156" t="s">
        <v>26</v>
      </c>
      <c r="J492" s="209" t="s">
        <v>1436</v>
      </c>
      <c r="K492" s="211" t="s">
        <v>1548</v>
      </c>
    </row>
    <row r="493" spans="1:11" ht="117">
      <c r="A493" s="204">
        <v>491</v>
      </c>
      <c r="B493" s="205">
        <v>45664</v>
      </c>
      <c r="C493" s="267" t="s">
        <v>823</v>
      </c>
      <c r="D493" s="204">
        <v>2025</v>
      </c>
      <c r="E493" s="204" t="s">
        <v>1431</v>
      </c>
      <c r="F493" s="204" t="s">
        <v>1449</v>
      </c>
      <c r="G493" s="206" t="s">
        <v>88</v>
      </c>
      <c r="H493" s="207" t="s">
        <v>2000</v>
      </c>
      <c r="I493" s="156" t="s">
        <v>26</v>
      </c>
      <c r="J493" s="204" t="s">
        <v>1436</v>
      </c>
      <c r="K493" s="207" t="s">
        <v>1437</v>
      </c>
    </row>
    <row r="494" spans="1:11" ht="100.5">
      <c r="A494" s="204">
        <v>492</v>
      </c>
      <c r="B494" s="208">
        <v>45665</v>
      </c>
      <c r="C494" s="267" t="s">
        <v>823</v>
      </c>
      <c r="D494" s="204">
        <v>2025</v>
      </c>
      <c r="E494" s="209" t="s">
        <v>1431</v>
      </c>
      <c r="F494" s="209" t="s">
        <v>1584</v>
      </c>
      <c r="G494" s="210" t="s">
        <v>88</v>
      </c>
      <c r="H494" s="211" t="s">
        <v>2001</v>
      </c>
      <c r="I494" s="156" t="s">
        <v>26</v>
      </c>
      <c r="J494" s="209" t="s">
        <v>1436</v>
      </c>
      <c r="K494" s="211" t="s">
        <v>1472</v>
      </c>
    </row>
    <row r="495" spans="1:11" ht="66.75">
      <c r="A495" s="204">
        <v>493</v>
      </c>
      <c r="B495" s="205">
        <v>45665</v>
      </c>
      <c r="C495" s="267" t="s">
        <v>823</v>
      </c>
      <c r="D495" s="204">
        <v>2025</v>
      </c>
      <c r="E495" s="204" t="s">
        <v>1431</v>
      </c>
      <c r="F495" s="204" t="s">
        <v>1449</v>
      </c>
      <c r="G495" s="206" t="s">
        <v>88</v>
      </c>
      <c r="H495" s="207" t="s">
        <v>2002</v>
      </c>
      <c r="I495" s="156" t="s">
        <v>26</v>
      </c>
      <c r="J495" s="204" t="s">
        <v>1436</v>
      </c>
      <c r="K495" s="207" t="s">
        <v>1548</v>
      </c>
    </row>
    <row r="496" spans="1:11" ht="50.25">
      <c r="A496" s="204">
        <v>494</v>
      </c>
      <c r="B496" s="208">
        <v>45665</v>
      </c>
      <c r="C496" s="267" t="s">
        <v>823</v>
      </c>
      <c r="D496" s="204">
        <v>2025</v>
      </c>
      <c r="E496" s="209" t="s">
        <v>1431</v>
      </c>
      <c r="F496" s="209" t="s">
        <v>216</v>
      </c>
      <c r="G496" s="213" t="s">
        <v>821</v>
      </c>
      <c r="H496" s="211" t="s">
        <v>2003</v>
      </c>
      <c r="I496" s="156" t="s">
        <v>26</v>
      </c>
      <c r="J496" s="209" t="s">
        <v>2004</v>
      </c>
      <c r="K496" s="211"/>
    </row>
    <row r="497" spans="1:11" ht="200.25">
      <c r="A497" s="204">
        <v>495</v>
      </c>
      <c r="B497" s="205">
        <v>45665</v>
      </c>
      <c r="C497" s="267" t="s">
        <v>823</v>
      </c>
      <c r="D497" s="204">
        <v>2025</v>
      </c>
      <c r="E497" s="204" t="s">
        <v>1431</v>
      </c>
      <c r="F497" s="204" t="s">
        <v>1506</v>
      </c>
      <c r="G497" s="206" t="s">
        <v>88</v>
      </c>
      <c r="H497" s="207" t="s">
        <v>2005</v>
      </c>
      <c r="I497" s="156" t="s">
        <v>26</v>
      </c>
      <c r="J497" s="204" t="s">
        <v>1436</v>
      </c>
      <c r="K497" s="207"/>
    </row>
    <row r="498" spans="1:11" ht="134.25">
      <c r="A498" s="204">
        <v>496</v>
      </c>
      <c r="B498" s="208">
        <v>45665</v>
      </c>
      <c r="C498" s="267" t="s">
        <v>823</v>
      </c>
      <c r="D498" s="204">
        <v>2025</v>
      </c>
      <c r="E498" s="209" t="s">
        <v>1431</v>
      </c>
      <c r="F498" s="209" t="s">
        <v>1506</v>
      </c>
      <c r="G498" s="210" t="s">
        <v>88</v>
      </c>
      <c r="H498" s="211" t="s">
        <v>2006</v>
      </c>
      <c r="I498" s="156" t="s">
        <v>26</v>
      </c>
      <c r="J498" s="209" t="s">
        <v>1436</v>
      </c>
      <c r="K498" s="211" t="s">
        <v>1500</v>
      </c>
    </row>
    <row r="499" spans="1:11" ht="100.5">
      <c r="A499" s="204">
        <v>497</v>
      </c>
      <c r="B499" s="205">
        <v>45665</v>
      </c>
      <c r="C499" s="267" t="s">
        <v>823</v>
      </c>
      <c r="D499" s="204">
        <v>2025</v>
      </c>
      <c r="E499" s="204" t="s">
        <v>1431</v>
      </c>
      <c r="F499" s="204" t="s">
        <v>1506</v>
      </c>
      <c r="G499" s="206" t="s">
        <v>88</v>
      </c>
      <c r="H499" s="207" t="s">
        <v>2007</v>
      </c>
      <c r="I499" s="156" t="s">
        <v>26</v>
      </c>
      <c r="J499" s="204" t="s">
        <v>1904</v>
      </c>
      <c r="K499" s="207" t="s">
        <v>1500</v>
      </c>
    </row>
    <row r="500" spans="1:11" ht="100.5">
      <c r="A500" s="204">
        <v>498</v>
      </c>
      <c r="B500" s="208">
        <v>45665</v>
      </c>
      <c r="C500" s="267" t="s">
        <v>823</v>
      </c>
      <c r="D500" s="204">
        <v>2025</v>
      </c>
      <c r="E500" s="209" t="s">
        <v>1431</v>
      </c>
      <c r="F500" s="209" t="s">
        <v>574</v>
      </c>
      <c r="G500" s="210" t="s">
        <v>88</v>
      </c>
      <c r="H500" s="211" t="s">
        <v>2008</v>
      </c>
      <c r="I500" s="156" t="s">
        <v>26</v>
      </c>
      <c r="J500" s="209" t="s">
        <v>1436</v>
      </c>
      <c r="K500" s="211" t="s">
        <v>1472</v>
      </c>
    </row>
    <row r="501" spans="1:11" ht="100.5">
      <c r="A501" s="204">
        <v>499</v>
      </c>
      <c r="B501" s="205">
        <v>45665</v>
      </c>
      <c r="C501" s="267" t="s">
        <v>823</v>
      </c>
      <c r="D501" s="204">
        <v>2025</v>
      </c>
      <c r="E501" s="204" t="s">
        <v>1431</v>
      </c>
      <c r="F501" s="204" t="s">
        <v>1584</v>
      </c>
      <c r="G501" s="213" t="s">
        <v>821</v>
      </c>
      <c r="H501" s="207" t="s">
        <v>2009</v>
      </c>
      <c r="I501" s="156" t="s">
        <v>26</v>
      </c>
      <c r="J501" s="204" t="s">
        <v>1996</v>
      </c>
      <c r="K501" s="207" t="s">
        <v>1448</v>
      </c>
    </row>
    <row r="502" spans="1:11" ht="100.5">
      <c r="A502" s="204">
        <v>500</v>
      </c>
      <c r="B502" s="208">
        <v>45665</v>
      </c>
      <c r="C502" s="267" t="s">
        <v>823</v>
      </c>
      <c r="D502" s="204">
        <v>2025</v>
      </c>
      <c r="E502" s="209" t="s">
        <v>1431</v>
      </c>
      <c r="F502" s="209" t="s">
        <v>1584</v>
      </c>
      <c r="G502" s="213" t="s">
        <v>821</v>
      </c>
      <c r="H502" s="211" t="s">
        <v>2010</v>
      </c>
      <c r="I502" s="156" t="s">
        <v>26</v>
      </c>
      <c r="J502" s="209" t="s">
        <v>1996</v>
      </c>
      <c r="K502" s="211" t="s">
        <v>1448</v>
      </c>
    </row>
    <row r="503" spans="1:11" ht="100.5">
      <c r="A503" s="204">
        <v>501</v>
      </c>
      <c r="B503" s="205">
        <v>45666</v>
      </c>
      <c r="C503" s="267" t="s">
        <v>823</v>
      </c>
      <c r="D503" s="204">
        <v>2025</v>
      </c>
      <c r="E503" s="204" t="s">
        <v>1431</v>
      </c>
      <c r="F503" s="204" t="s">
        <v>1584</v>
      </c>
      <c r="G503" s="213" t="s">
        <v>821</v>
      </c>
      <c r="H503" s="207" t="s">
        <v>2011</v>
      </c>
      <c r="I503" s="156" t="s">
        <v>26</v>
      </c>
      <c r="J503" s="204" t="s">
        <v>1996</v>
      </c>
      <c r="K503" s="207" t="s">
        <v>1448</v>
      </c>
    </row>
    <row r="504" spans="1:11" ht="84">
      <c r="A504" s="204">
        <v>502</v>
      </c>
      <c r="B504" s="208">
        <v>45666</v>
      </c>
      <c r="C504" s="267" t="s">
        <v>823</v>
      </c>
      <c r="D504" s="204">
        <v>2025</v>
      </c>
      <c r="E504" s="209" t="s">
        <v>1431</v>
      </c>
      <c r="F504" s="209" t="s">
        <v>1506</v>
      </c>
      <c r="G504" s="210" t="s">
        <v>88</v>
      </c>
      <c r="H504" s="211" t="s">
        <v>2012</v>
      </c>
      <c r="I504" s="156" t="s">
        <v>26</v>
      </c>
      <c r="J504" s="209" t="s">
        <v>1436</v>
      </c>
      <c r="K504" s="211" t="s">
        <v>1500</v>
      </c>
    </row>
    <row r="505" spans="1:11" ht="84">
      <c r="A505" s="204">
        <v>503</v>
      </c>
      <c r="B505" s="205">
        <v>45666</v>
      </c>
      <c r="C505" s="267" t="s">
        <v>823</v>
      </c>
      <c r="D505" s="204">
        <v>2025</v>
      </c>
      <c r="E505" s="204" t="s">
        <v>1431</v>
      </c>
      <c r="F505" s="204" t="s">
        <v>1506</v>
      </c>
      <c r="G505" s="206" t="s">
        <v>88</v>
      </c>
      <c r="H505" s="207" t="s">
        <v>2013</v>
      </c>
      <c r="I505" s="156" t="s">
        <v>26</v>
      </c>
      <c r="J505" s="204" t="s">
        <v>1436</v>
      </c>
      <c r="K505" s="207" t="s">
        <v>1500</v>
      </c>
    </row>
    <row r="506" spans="1:11" ht="117">
      <c r="A506" s="204">
        <v>504</v>
      </c>
      <c r="B506" s="208">
        <v>45666</v>
      </c>
      <c r="C506" s="267" t="s">
        <v>823</v>
      </c>
      <c r="D506" s="204">
        <v>2025</v>
      </c>
      <c r="E506" s="209" t="s">
        <v>1431</v>
      </c>
      <c r="F506" s="209" t="s">
        <v>1506</v>
      </c>
      <c r="G506" s="210" t="s">
        <v>88</v>
      </c>
      <c r="H506" s="211" t="s">
        <v>2014</v>
      </c>
      <c r="I506" s="156" t="s">
        <v>26</v>
      </c>
      <c r="J506" s="209" t="s">
        <v>1436</v>
      </c>
      <c r="K506" s="211" t="s">
        <v>1451</v>
      </c>
    </row>
    <row r="507" spans="1:11" ht="100.5">
      <c r="A507" s="204">
        <v>505</v>
      </c>
      <c r="B507" s="205">
        <v>45666</v>
      </c>
      <c r="C507" s="267" t="s">
        <v>823</v>
      </c>
      <c r="D507" s="204">
        <v>2025</v>
      </c>
      <c r="E507" s="204" t="s">
        <v>1431</v>
      </c>
      <c r="F507" s="204" t="s">
        <v>1584</v>
      </c>
      <c r="G507" s="213" t="s">
        <v>821</v>
      </c>
      <c r="H507" s="207" t="s">
        <v>2015</v>
      </c>
      <c r="I507" s="156" t="s">
        <v>26</v>
      </c>
      <c r="J507" s="204" t="s">
        <v>1996</v>
      </c>
      <c r="K507" s="207" t="s">
        <v>1448</v>
      </c>
    </row>
    <row r="508" spans="1:11" ht="100.5">
      <c r="A508" s="204">
        <v>506</v>
      </c>
      <c r="B508" s="208">
        <v>45666</v>
      </c>
      <c r="C508" s="267" t="s">
        <v>823</v>
      </c>
      <c r="D508" s="204">
        <v>2025</v>
      </c>
      <c r="E508" s="209" t="s">
        <v>1431</v>
      </c>
      <c r="F508" s="209" t="s">
        <v>1539</v>
      </c>
      <c r="G508" s="210" t="s">
        <v>88</v>
      </c>
      <c r="H508" s="211" t="s">
        <v>2016</v>
      </c>
      <c r="I508" s="156" t="s">
        <v>26</v>
      </c>
      <c r="J508" s="209" t="s">
        <v>1436</v>
      </c>
      <c r="K508" s="211" t="s">
        <v>1454</v>
      </c>
    </row>
    <row r="509" spans="1:11" ht="33.75">
      <c r="A509" s="204">
        <v>507</v>
      </c>
      <c r="B509" s="205">
        <v>45666</v>
      </c>
      <c r="C509" s="267" t="s">
        <v>823</v>
      </c>
      <c r="D509" s="204">
        <v>2025</v>
      </c>
      <c r="E509" s="204" t="s">
        <v>1431</v>
      </c>
      <c r="F509" s="204" t="s">
        <v>1436</v>
      </c>
      <c r="G509" s="206" t="s">
        <v>88</v>
      </c>
      <c r="H509" s="207" t="s">
        <v>2017</v>
      </c>
      <c r="I509" s="156" t="s">
        <v>26</v>
      </c>
      <c r="J509" s="204" t="s">
        <v>1436</v>
      </c>
      <c r="K509" s="207"/>
    </row>
    <row r="510" spans="1:11" ht="117">
      <c r="A510" s="204">
        <v>508</v>
      </c>
      <c r="B510" s="208">
        <v>45666</v>
      </c>
      <c r="C510" s="267" t="s">
        <v>823</v>
      </c>
      <c r="D510" s="204">
        <v>2025</v>
      </c>
      <c r="E510" s="209" t="s">
        <v>1431</v>
      </c>
      <c r="F510" s="209" t="s">
        <v>1539</v>
      </c>
      <c r="G510" s="210" t="s">
        <v>88</v>
      </c>
      <c r="H510" s="211" t="s">
        <v>2018</v>
      </c>
      <c r="I510" s="156" t="s">
        <v>26</v>
      </c>
      <c r="J510" s="209" t="s">
        <v>1436</v>
      </c>
      <c r="K510" s="211" t="s">
        <v>1451</v>
      </c>
    </row>
    <row r="511" spans="1:11" ht="84">
      <c r="A511" s="204">
        <v>509</v>
      </c>
      <c r="B511" s="205">
        <v>45666</v>
      </c>
      <c r="C511" s="267" t="s">
        <v>823</v>
      </c>
      <c r="D511" s="204">
        <v>2025</v>
      </c>
      <c r="E511" s="204" t="s">
        <v>1431</v>
      </c>
      <c r="F511" s="204" t="s">
        <v>1506</v>
      </c>
      <c r="G511" s="206" t="s">
        <v>88</v>
      </c>
      <c r="H511" s="207" t="s">
        <v>2019</v>
      </c>
      <c r="I511" s="156" t="s">
        <v>26</v>
      </c>
      <c r="J511" s="204" t="s">
        <v>1436</v>
      </c>
      <c r="K511" s="207" t="s">
        <v>1500</v>
      </c>
    </row>
    <row r="512" spans="1:11" ht="150.75">
      <c r="A512" s="204">
        <v>510</v>
      </c>
      <c r="B512" s="208">
        <v>45667</v>
      </c>
      <c r="C512" s="267" t="s">
        <v>823</v>
      </c>
      <c r="D512" s="204">
        <v>2025</v>
      </c>
      <c r="E512" s="209" t="s">
        <v>1431</v>
      </c>
      <c r="F512" s="209" t="s">
        <v>21</v>
      </c>
      <c r="G512" s="213" t="s">
        <v>821</v>
      </c>
      <c r="H512" s="211" t="s">
        <v>2020</v>
      </c>
      <c r="I512" s="156" t="s">
        <v>26</v>
      </c>
      <c r="J512" s="209" t="s">
        <v>149</v>
      </c>
      <c r="K512" s="211" t="s">
        <v>1513</v>
      </c>
    </row>
    <row r="513" spans="1:11" ht="150.75">
      <c r="A513" s="204">
        <v>511</v>
      </c>
      <c r="B513" s="205">
        <v>45667</v>
      </c>
      <c r="C513" s="267" t="s">
        <v>823</v>
      </c>
      <c r="D513" s="204">
        <v>2025</v>
      </c>
      <c r="E513" s="204" t="s">
        <v>1431</v>
      </c>
      <c r="F513" s="204" t="s">
        <v>21</v>
      </c>
      <c r="G513" s="213" t="s">
        <v>821</v>
      </c>
      <c r="H513" s="207" t="s">
        <v>2021</v>
      </c>
      <c r="I513" s="156" t="s">
        <v>26</v>
      </c>
      <c r="J513" s="204" t="s">
        <v>149</v>
      </c>
      <c r="K513" s="207" t="s">
        <v>1513</v>
      </c>
    </row>
    <row r="514" spans="1:11" ht="50.25">
      <c r="A514" s="204">
        <v>512</v>
      </c>
      <c r="B514" s="208">
        <v>45667</v>
      </c>
      <c r="C514" s="267" t="s">
        <v>823</v>
      </c>
      <c r="D514" s="204">
        <v>2025</v>
      </c>
      <c r="E514" s="209" t="s">
        <v>1431</v>
      </c>
      <c r="F514" s="209" t="s">
        <v>1506</v>
      </c>
      <c r="G514" s="210" t="s">
        <v>88</v>
      </c>
      <c r="H514" s="211" t="s">
        <v>2022</v>
      </c>
      <c r="I514" s="156" t="s">
        <v>26</v>
      </c>
      <c r="J514" s="209" t="s">
        <v>1436</v>
      </c>
      <c r="K514" s="211"/>
    </row>
    <row r="515" spans="1:11" ht="84">
      <c r="A515" s="204">
        <v>513</v>
      </c>
      <c r="B515" s="205">
        <v>45667</v>
      </c>
      <c r="C515" s="267" t="s">
        <v>823</v>
      </c>
      <c r="D515" s="204">
        <v>2025</v>
      </c>
      <c r="E515" s="204" t="s">
        <v>1431</v>
      </c>
      <c r="F515" s="204" t="s">
        <v>1506</v>
      </c>
      <c r="G515" s="206" t="s">
        <v>88</v>
      </c>
      <c r="H515" s="207" t="s">
        <v>2023</v>
      </c>
      <c r="I515" s="156" t="s">
        <v>26</v>
      </c>
      <c r="J515" s="204" t="s">
        <v>1436</v>
      </c>
      <c r="K515" s="207" t="s">
        <v>1500</v>
      </c>
    </row>
    <row r="516" spans="1:11" ht="33.75">
      <c r="A516" s="204">
        <v>514</v>
      </c>
      <c r="B516" s="208">
        <v>45667</v>
      </c>
      <c r="C516" s="267" t="s">
        <v>823</v>
      </c>
      <c r="D516" s="204">
        <v>2025</v>
      </c>
      <c r="E516" s="209" t="s">
        <v>1431</v>
      </c>
      <c r="F516" s="209" t="s">
        <v>1449</v>
      </c>
      <c r="G516" s="210" t="s">
        <v>88</v>
      </c>
      <c r="H516" s="211" t="s">
        <v>2024</v>
      </c>
      <c r="I516" s="156" t="s">
        <v>26</v>
      </c>
      <c r="J516" s="209" t="s">
        <v>1436</v>
      </c>
      <c r="K516" s="211"/>
    </row>
    <row r="517" spans="1:11" ht="117">
      <c r="A517" s="204">
        <v>515</v>
      </c>
      <c r="B517" s="205">
        <v>45667</v>
      </c>
      <c r="C517" s="267" t="s">
        <v>823</v>
      </c>
      <c r="D517" s="204">
        <v>2025</v>
      </c>
      <c r="E517" s="204" t="s">
        <v>1431</v>
      </c>
      <c r="F517" s="204" t="s">
        <v>1449</v>
      </c>
      <c r="G517" s="206" t="s">
        <v>88</v>
      </c>
      <c r="H517" s="207" t="s">
        <v>2025</v>
      </c>
      <c r="I517" s="156" t="s">
        <v>26</v>
      </c>
      <c r="J517" s="204" t="s">
        <v>1436</v>
      </c>
      <c r="K517" s="207" t="s">
        <v>1451</v>
      </c>
    </row>
    <row r="518" spans="1:11" ht="33.75">
      <c r="A518" s="204">
        <v>516</v>
      </c>
      <c r="B518" s="208">
        <v>45667</v>
      </c>
      <c r="C518" s="267" t="s">
        <v>823</v>
      </c>
      <c r="D518" s="204">
        <v>2025</v>
      </c>
      <c r="E518" s="209" t="s">
        <v>1431</v>
      </c>
      <c r="F518" s="209" t="s">
        <v>21</v>
      </c>
      <c r="G518" s="213" t="s">
        <v>821</v>
      </c>
      <c r="H518" s="211" t="s">
        <v>2026</v>
      </c>
      <c r="I518" s="156" t="s">
        <v>26</v>
      </c>
      <c r="J518" s="209" t="s">
        <v>1436</v>
      </c>
      <c r="K518" s="211"/>
    </row>
    <row r="519" spans="1:11" ht="84">
      <c r="A519" s="204">
        <v>517</v>
      </c>
      <c r="B519" s="205">
        <v>45667</v>
      </c>
      <c r="C519" s="267" t="s">
        <v>823</v>
      </c>
      <c r="D519" s="204">
        <v>2025</v>
      </c>
      <c r="E519" s="204" t="s">
        <v>1431</v>
      </c>
      <c r="F519" s="204" t="s">
        <v>1506</v>
      </c>
      <c r="G519" s="206" t="s">
        <v>88</v>
      </c>
      <c r="H519" s="207" t="s">
        <v>2027</v>
      </c>
      <c r="I519" s="156" t="s">
        <v>26</v>
      </c>
      <c r="J519" s="204" t="s">
        <v>1436</v>
      </c>
      <c r="K519" s="207" t="s">
        <v>1500</v>
      </c>
    </row>
    <row r="520" spans="1:11" ht="100.5">
      <c r="A520" s="204">
        <v>518</v>
      </c>
      <c r="B520" s="208">
        <v>45667</v>
      </c>
      <c r="C520" s="267" t="s">
        <v>823</v>
      </c>
      <c r="D520" s="204">
        <v>2025</v>
      </c>
      <c r="E520" s="209" t="s">
        <v>1431</v>
      </c>
      <c r="F520" s="209" t="s">
        <v>1584</v>
      </c>
      <c r="G520" s="213" t="s">
        <v>821</v>
      </c>
      <c r="H520" s="211" t="s">
        <v>2028</v>
      </c>
      <c r="I520" s="156" t="s">
        <v>26</v>
      </c>
      <c r="J520" s="209" t="s">
        <v>1996</v>
      </c>
      <c r="K520" s="211" t="s">
        <v>1448</v>
      </c>
    </row>
    <row r="521" spans="1:11" ht="100.5">
      <c r="A521" s="204">
        <v>519</v>
      </c>
      <c r="B521" s="205">
        <v>45667</v>
      </c>
      <c r="C521" s="267" t="s">
        <v>823</v>
      </c>
      <c r="D521" s="204">
        <v>2025</v>
      </c>
      <c r="E521" s="204" t="s">
        <v>1431</v>
      </c>
      <c r="F521" s="204" t="s">
        <v>1436</v>
      </c>
      <c r="G521" s="214" t="s">
        <v>859</v>
      </c>
      <c r="H521" s="207" t="s">
        <v>2029</v>
      </c>
      <c r="I521" s="156" t="s">
        <v>26</v>
      </c>
      <c r="J521" s="204" t="s">
        <v>1828</v>
      </c>
      <c r="K521" s="207" t="s">
        <v>1476</v>
      </c>
    </row>
    <row r="522" spans="1:11" ht="50.25">
      <c r="A522" s="204">
        <v>520</v>
      </c>
      <c r="B522" s="208">
        <v>45670</v>
      </c>
      <c r="C522" s="267" t="s">
        <v>823</v>
      </c>
      <c r="D522" s="204">
        <v>2025</v>
      </c>
      <c r="E522" s="209" t="s">
        <v>1431</v>
      </c>
      <c r="F522" s="209" t="s">
        <v>1506</v>
      </c>
      <c r="G522" s="210" t="s">
        <v>88</v>
      </c>
      <c r="H522" s="211" t="s">
        <v>2030</v>
      </c>
      <c r="I522" s="156" t="s">
        <v>26</v>
      </c>
      <c r="J522" s="209" t="s">
        <v>1436</v>
      </c>
      <c r="K522" s="211"/>
    </row>
    <row r="523" spans="1:11" ht="33.75">
      <c r="A523" s="204">
        <v>521</v>
      </c>
      <c r="B523" s="205">
        <v>45670</v>
      </c>
      <c r="C523" s="267" t="s">
        <v>823</v>
      </c>
      <c r="D523" s="204">
        <v>2025</v>
      </c>
      <c r="E523" s="204" t="s">
        <v>1431</v>
      </c>
      <c r="F523" s="204" t="s">
        <v>1539</v>
      </c>
      <c r="G523" s="206" t="s">
        <v>88</v>
      </c>
      <c r="H523" s="207" t="s">
        <v>2031</v>
      </c>
      <c r="I523" s="156" t="s">
        <v>26</v>
      </c>
      <c r="J523" s="204" t="s">
        <v>1436</v>
      </c>
      <c r="K523" s="207"/>
    </row>
    <row r="524" spans="1:11" ht="16.5">
      <c r="A524" s="204">
        <v>522</v>
      </c>
      <c r="B524" s="208">
        <v>45670</v>
      </c>
      <c r="C524" s="267" t="s">
        <v>823</v>
      </c>
      <c r="D524" s="204">
        <v>2025</v>
      </c>
      <c r="E524" s="209" t="s">
        <v>1431</v>
      </c>
      <c r="F524" s="209" t="s">
        <v>1584</v>
      </c>
      <c r="G524" s="213" t="s">
        <v>821</v>
      </c>
      <c r="H524" s="211" t="s">
        <v>2032</v>
      </c>
      <c r="I524" s="156" t="s">
        <v>26</v>
      </c>
      <c r="J524" s="209" t="s">
        <v>1996</v>
      </c>
      <c r="K524" s="211"/>
    </row>
    <row r="525" spans="1:11" ht="50.25">
      <c r="A525" s="204">
        <v>523</v>
      </c>
      <c r="B525" s="205">
        <v>45670</v>
      </c>
      <c r="C525" s="267" t="s">
        <v>823</v>
      </c>
      <c r="D525" s="204">
        <v>2025</v>
      </c>
      <c r="E525" s="204" t="s">
        <v>1431</v>
      </c>
      <c r="F525" s="204" t="s">
        <v>1449</v>
      </c>
      <c r="G525" s="206" t="s">
        <v>88</v>
      </c>
      <c r="H525" s="207" t="s">
        <v>2033</v>
      </c>
      <c r="I525" s="156" t="s">
        <v>26</v>
      </c>
      <c r="J525" s="204" t="s">
        <v>1436</v>
      </c>
      <c r="K525" s="207"/>
    </row>
    <row r="526" spans="1:11" ht="84">
      <c r="A526" s="204">
        <v>524</v>
      </c>
      <c r="B526" s="208">
        <v>45670</v>
      </c>
      <c r="C526" s="267" t="s">
        <v>823</v>
      </c>
      <c r="D526" s="204">
        <v>2025</v>
      </c>
      <c r="E526" s="209" t="s">
        <v>1431</v>
      </c>
      <c r="F526" s="209" t="s">
        <v>1506</v>
      </c>
      <c r="G526" s="210" t="s">
        <v>88</v>
      </c>
      <c r="H526" s="211" t="s">
        <v>2034</v>
      </c>
      <c r="I526" s="156" t="s">
        <v>26</v>
      </c>
      <c r="J526" s="209" t="s">
        <v>1436</v>
      </c>
      <c r="K526" s="211" t="s">
        <v>1500</v>
      </c>
    </row>
    <row r="527" spans="1:11" ht="84">
      <c r="A527" s="204">
        <v>525</v>
      </c>
      <c r="B527" s="205">
        <v>45671</v>
      </c>
      <c r="C527" s="267" t="s">
        <v>823</v>
      </c>
      <c r="D527" s="204">
        <v>2025</v>
      </c>
      <c r="E527" s="204" t="s">
        <v>1431</v>
      </c>
      <c r="F527" s="204" t="s">
        <v>1506</v>
      </c>
      <c r="G527" s="206" t="s">
        <v>88</v>
      </c>
      <c r="H527" s="207" t="s">
        <v>2035</v>
      </c>
      <c r="I527" s="156" t="s">
        <v>26</v>
      </c>
      <c r="J527" s="204" t="s">
        <v>1436</v>
      </c>
      <c r="K527" s="207" t="s">
        <v>1500</v>
      </c>
    </row>
    <row r="528" spans="1:11" ht="117">
      <c r="A528" s="204">
        <v>526</v>
      </c>
      <c r="B528" s="208">
        <v>45671</v>
      </c>
      <c r="C528" s="267" t="s">
        <v>823</v>
      </c>
      <c r="D528" s="204">
        <v>2025</v>
      </c>
      <c r="E528" s="209" t="s">
        <v>1431</v>
      </c>
      <c r="F528" s="209" t="s">
        <v>1506</v>
      </c>
      <c r="G528" s="210" t="s">
        <v>88</v>
      </c>
      <c r="H528" s="211" t="s">
        <v>2036</v>
      </c>
      <c r="I528" s="156" t="s">
        <v>26</v>
      </c>
      <c r="J528" s="209" t="s">
        <v>1436</v>
      </c>
      <c r="K528" s="211" t="s">
        <v>1451</v>
      </c>
    </row>
    <row r="529" spans="1:11" ht="50.25">
      <c r="A529" s="204">
        <v>527</v>
      </c>
      <c r="B529" s="205">
        <v>45671</v>
      </c>
      <c r="C529" s="267" t="s">
        <v>823</v>
      </c>
      <c r="D529" s="204">
        <v>2025</v>
      </c>
      <c r="E529" s="204" t="s">
        <v>1431</v>
      </c>
      <c r="F529" s="204" t="s">
        <v>1506</v>
      </c>
      <c r="G529" s="206" t="s">
        <v>88</v>
      </c>
      <c r="H529" s="207" t="s">
        <v>2037</v>
      </c>
      <c r="I529" s="156" t="s">
        <v>26</v>
      </c>
      <c r="J529" s="204" t="s">
        <v>1436</v>
      </c>
      <c r="K529" s="207"/>
    </row>
    <row r="530" spans="1:11" ht="84">
      <c r="A530" s="204">
        <v>528</v>
      </c>
      <c r="B530" s="208">
        <v>45671</v>
      </c>
      <c r="C530" s="267" t="s">
        <v>823</v>
      </c>
      <c r="D530" s="204">
        <v>2025</v>
      </c>
      <c r="E530" s="209" t="s">
        <v>1431</v>
      </c>
      <c r="F530" s="209" t="s">
        <v>1506</v>
      </c>
      <c r="G530" s="210" t="s">
        <v>88</v>
      </c>
      <c r="H530" s="211" t="s">
        <v>2038</v>
      </c>
      <c r="I530" s="156" t="s">
        <v>26</v>
      </c>
      <c r="J530" s="209" t="s">
        <v>1436</v>
      </c>
      <c r="K530" s="211" t="s">
        <v>1500</v>
      </c>
    </row>
    <row r="531" spans="1:11" ht="100.5">
      <c r="A531" s="204">
        <v>529</v>
      </c>
      <c r="B531" s="205">
        <v>45671</v>
      </c>
      <c r="C531" s="267" t="s">
        <v>823</v>
      </c>
      <c r="D531" s="204">
        <v>2025</v>
      </c>
      <c r="E531" s="204" t="s">
        <v>1431</v>
      </c>
      <c r="F531" s="204" t="s">
        <v>1539</v>
      </c>
      <c r="G531" s="206" t="s">
        <v>88</v>
      </c>
      <c r="H531" s="207" t="s">
        <v>2039</v>
      </c>
      <c r="I531" s="156" t="s">
        <v>26</v>
      </c>
      <c r="J531" s="204" t="s">
        <v>1436</v>
      </c>
      <c r="K531" s="207" t="s">
        <v>1467</v>
      </c>
    </row>
    <row r="532" spans="1:11" ht="66.75">
      <c r="A532" s="204">
        <v>530</v>
      </c>
      <c r="B532" s="208">
        <v>45671</v>
      </c>
      <c r="C532" s="267" t="s">
        <v>823</v>
      </c>
      <c r="D532" s="204">
        <v>2025</v>
      </c>
      <c r="E532" s="209" t="s">
        <v>1431</v>
      </c>
      <c r="F532" s="209" t="s">
        <v>1539</v>
      </c>
      <c r="G532" s="210" t="s">
        <v>88</v>
      </c>
      <c r="H532" s="211" t="s">
        <v>2040</v>
      </c>
      <c r="I532" s="156" t="s">
        <v>26</v>
      </c>
      <c r="J532" s="209" t="s">
        <v>1436</v>
      </c>
      <c r="K532" s="211" t="s">
        <v>1548</v>
      </c>
    </row>
    <row r="533" spans="1:11" ht="50.25">
      <c r="A533" s="204">
        <v>531</v>
      </c>
      <c r="B533" s="205">
        <v>45672</v>
      </c>
      <c r="C533" s="267" t="s">
        <v>823</v>
      </c>
      <c r="D533" s="204">
        <v>2025</v>
      </c>
      <c r="E533" s="204" t="s">
        <v>1431</v>
      </c>
      <c r="F533" s="204" t="s">
        <v>1580</v>
      </c>
      <c r="G533" s="213" t="s">
        <v>821</v>
      </c>
      <c r="H533" s="207" t="s">
        <v>2041</v>
      </c>
      <c r="I533" s="156" t="s">
        <v>26</v>
      </c>
      <c r="J533" s="204" t="s">
        <v>1996</v>
      </c>
      <c r="K533" s="207"/>
    </row>
    <row r="534" spans="1:11" ht="117">
      <c r="A534" s="204">
        <v>532</v>
      </c>
      <c r="B534" s="208">
        <v>45672</v>
      </c>
      <c r="C534" s="267" t="s">
        <v>823</v>
      </c>
      <c r="D534" s="204">
        <v>2025</v>
      </c>
      <c r="E534" s="209" t="s">
        <v>1431</v>
      </c>
      <c r="F534" s="209" t="s">
        <v>1225</v>
      </c>
      <c r="G534" s="210" t="s">
        <v>88</v>
      </c>
      <c r="H534" s="211" t="s">
        <v>2042</v>
      </c>
      <c r="I534" s="156" t="s">
        <v>26</v>
      </c>
      <c r="J534" s="209" t="s">
        <v>1436</v>
      </c>
      <c r="K534" s="211" t="s">
        <v>1451</v>
      </c>
    </row>
    <row r="535" spans="1:11" ht="117">
      <c r="A535" s="204">
        <v>533</v>
      </c>
      <c r="B535" s="205">
        <v>45672</v>
      </c>
      <c r="C535" s="267" t="s">
        <v>823</v>
      </c>
      <c r="D535" s="204">
        <v>2025</v>
      </c>
      <c r="E535" s="204" t="s">
        <v>1431</v>
      </c>
      <c r="F535" s="204" t="s">
        <v>1449</v>
      </c>
      <c r="G535" s="206" t="s">
        <v>88</v>
      </c>
      <c r="H535" s="207" t="s">
        <v>2043</v>
      </c>
      <c r="I535" s="156" t="s">
        <v>26</v>
      </c>
      <c r="J535" s="204" t="s">
        <v>1436</v>
      </c>
      <c r="K535" s="207" t="s">
        <v>1451</v>
      </c>
    </row>
    <row r="536" spans="1:11" ht="66.75">
      <c r="A536" s="204">
        <v>534</v>
      </c>
      <c r="B536" s="208">
        <v>45672</v>
      </c>
      <c r="C536" s="267" t="s">
        <v>823</v>
      </c>
      <c r="D536" s="204">
        <v>2025</v>
      </c>
      <c r="E536" s="209" t="s">
        <v>1431</v>
      </c>
      <c r="F536" s="209" t="s">
        <v>1584</v>
      </c>
      <c r="G536" s="213" t="s">
        <v>821</v>
      </c>
      <c r="H536" s="211" t="s">
        <v>2044</v>
      </c>
      <c r="I536" s="156" t="s">
        <v>26</v>
      </c>
      <c r="J536" s="209" t="s">
        <v>1996</v>
      </c>
      <c r="K536" s="211"/>
    </row>
    <row r="537" spans="1:11" ht="100.5">
      <c r="A537" s="204">
        <v>535</v>
      </c>
      <c r="B537" s="205">
        <v>45672</v>
      </c>
      <c r="C537" s="267" t="s">
        <v>823</v>
      </c>
      <c r="D537" s="204">
        <v>2025</v>
      </c>
      <c r="E537" s="204" t="s">
        <v>1431</v>
      </c>
      <c r="F537" s="204" t="s">
        <v>1584</v>
      </c>
      <c r="G537" s="213" t="s">
        <v>821</v>
      </c>
      <c r="H537" s="207" t="s">
        <v>2045</v>
      </c>
      <c r="I537" s="156" t="s">
        <v>26</v>
      </c>
      <c r="J537" s="204" t="s">
        <v>1996</v>
      </c>
      <c r="K537" s="207" t="s">
        <v>1448</v>
      </c>
    </row>
    <row r="538" spans="1:11" ht="100.5">
      <c r="A538" s="204">
        <v>536</v>
      </c>
      <c r="B538" s="208">
        <v>45672</v>
      </c>
      <c r="C538" s="267" t="s">
        <v>823</v>
      </c>
      <c r="D538" s="204">
        <v>2025</v>
      </c>
      <c r="E538" s="209" t="s">
        <v>1431</v>
      </c>
      <c r="F538" s="209" t="s">
        <v>1506</v>
      </c>
      <c r="G538" s="210" t="s">
        <v>88</v>
      </c>
      <c r="H538" s="211" t="s">
        <v>2046</v>
      </c>
      <c r="I538" s="156" t="s">
        <v>26</v>
      </c>
      <c r="J538" s="209" t="s">
        <v>1436</v>
      </c>
      <c r="K538" s="211" t="s">
        <v>1500</v>
      </c>
    </row>
    <row r="539" spans="1:11" ht="117">
      <c r="A539" s="204">
        <v>537</v>
      </c>
      <c r="B539" s="205">
        <v>45672</v>
      </c>
      <c r="C539" s="267" t="s">
        <v>823</v>
      </c>
      <c r="D539" s="204">
        <v>2025</v>
      </c>
      <c r="E539" s="204" t="s">
        <v>1431</v>
      </c>
      <c r="F539" s="204" t="s">
        <v>1584</v>
      </c>
      <c r="G539" s="213" t="s">
        <v>821</v>
      </c>
      <c r="H539" s="207" t="s">
        <v>2047</v>
      </c>
      <c r="I539" s="156" t="s">
        <v>26</v>
      </c>
      <c r="J539" s="204" t="s">
        <v>1996</v>
      </c>
      <c r="K539" s="207" t="s">
        <v>1448</v>
      </c>
    </row>
    <row r="540" spans="1:11" ht="33.75">
      <c r="A540" s="204">
        <v>538</v>
      </c>
      <c r="B540" s="208">
        <v>45673</v>
      </c>
      <c r="C540" s="267" t="s">
        <v>823</v>
      </c>
      <c r="D540" s="204">
        <v>2025</v>
      </c>
      <c r="E540" s="209" t="s">
        <v>1431</v>
      </c>
      <c r="F540" s="209" t="s">
        <v>1506</v>
      </c>
      <c r="G540" s="210" t="s">
        <v>88</v>
      </c>
      <c r="H540" s="211" t="s">
        <v>2048</v>
      </c>
      <c r="I540" s="156" t="s">
        <v>26</v>
      </c>
      <c r="J540" s="209" t="s">
        <v>1436</v>
      </c>
      <c r="K540" s="211"/>
    </row>
    <row r="541" spans="1:11" ht="100.5">
      <c r="A541" s="204">
        <v>539</v>
      </c>
      <c r="B541" s="205">
        <v>45673</v>
      </c>
      <c r="C541" s="267" t="s">
        <v>823</v>
      </c>
      <c r="D541" s="204">
        <v>2025</v>
      </c>
      <c r="E541" s="204" t="s">
        <v>1431</v>
      </c>
      <c r="F541" s="204" t="s">
        <v>1580</v>
      </c>
      <c r="G541" s="214" t="s">
        <v>859</v>
      </c>
      <c r="H541" s="207" t="s">
        <v>2049</v>
      </c>
      <c r="I541" s="156" t="s">
        <v>26</v>
      </c>
      <c r="J541" s="204" t="s">
        <v>1828</v>
      </c>
      <c r="K541" s="207" t="s">
        <v>1476</v>
      </c>
    </row>
    <row r="542" spans="1:11" ht="318">
      <c r="A542" s="204">
        <v>540</v>
      </c>
      <c r="B542" s="208">
        <v>45673</v>
      </c>
      <c r="C542" s="267" t="s">
        <v>823</v>
      </c>
      <c r="D542" s="204">
        <v>2025</v>
      </c>
      <c r="E542" s="209" t="s">
        <v>1431</v>
      </c>
      <c r="F542" s="209" t="s">
        <v>1449</v>
      </c>
      <c r="G542" s="210" t="s">
        <v>88</v>
      </c>
      <c r="H542" s="211" t="s">
        <v>2050</v>
      </c>
      <c r="I542" s="156" t="s">
        <v>26</v>
      </c>
      <c r="J542" s="209" t="s">
        <v>1436</v>
      </c>
      <c r="K542" s="211" t="s">
        <v>1451</v>
      </c>
    </row>
    <row r="543" spans="1:11" ht="84">
      <c r="A543" s="204">
        <v>541</v>
      </c>
      <c r="B543" s="205">
        <v>45673</v>
      </c>
      <c r="C543" s="267" t="s">
        <v>823</v>
      </c>
      <c r="D543" s="204">
        <v>2025</v>
      </c>
      <c r="E543" s="204" t="s">
        <v>1431</v>
      </c>
      <c r="F543" s="204" t="s">
        <v>1566</v>
      </c>
      <c r="G543" s="206" t="s">
        <v>88</v>
      </c>
      <c r="H543" s="207" t="s">
        <v>2051</v>
      </c>
      <c r="I543" s="156" t="s">
        <v>26</v>
      </c>
      <c r="J543" s="204" t="s">
        <v>1436</v>
      </c>
      <c r="K543" s="207" t="s">
        <v>1500</v>
      </c>
    </row>
    <row r="544" spans="1:11" ht="100.5">
      <c r="A544" s="204">
        <v>542</v>
      </c>
      <c r="B544" s="208">
        <v>45674</v>
      </c>
      <c r="C544" s="267" t="s">
        <v>823</v>
      </c>
      <c r="D544" s="204">
        <v>2025</v>
      </c>
      <c r="E544" s="209" t="s">
        <v>1431</v>
      </c>
      <c r="F544" s="209" t="s">
        <v>1225</v>
      </c>
      <c r="G544" s="217" t="s">
        <v>859</v>
      </c>
      <c r="H544" s="211" t="s">
        <v>2052</v>
      </c>
      <c r="I544" s="156" t="s">
        <v>26</v>
      </c>
      <c r="J544" s="209" t="s">
        <v>1436</v>
      </c>
      <c r="K544" s="211"/>
    </row>
    <row r="545" spans="1:11" ht="183.75">
      <c r="A545" s="204">
        <v>543</v>
      </c>
      <c r="B545" s="205">
        <v>45674</v>
      </c>
      <c r="C545" s="267" t="s">
        <v>823</v>
      </c>
      <c r="D545" s="204">
        <v>2025</v>
      </c>
      <c r="E545" s="204" t="s">
        <v>1431</v>
      </c>
      <c r="F545" s="204" t="s">
        <v>1608</v>
      </c>
      <c r="G545" s="212" t="s">
        <v>1439</v>
      </c>
      <c r="H545" s="207" t="s">
        <v>2053</v>
      </c>
      <c r="I545" s="156" t="s">
        <v>26</v>
      </c>
      <c r="J545" s="204" t="s">
        <v>2054</v>
      </c>
      <c r="K545" s="207" t="s">
        <v>1442</v>
      </c>
    </row>
    <row r="546" spans="1:11" ht="183.75">
      <c r="A546" s="204">
        <v>544</v>
      </c>
      <c r="B546" s="208">
        <v>45674</v>
      </c>
      <c r="C546" s="267" t="s">
        <v>823</v>
      </c>
      <c r="D546" s="204">
        <v>2025</v>
      </c>
      <c r="E546" s="209" t="s">
        <v>1431</v>
      </c>
      <c r="F546" s="209" t="s">
        <v>1608</v>
      </c>
      <c r="G546" s="212" t="s">
        <v>1439</v>
      </c>
      <c r="H546" s="211" t="s">
        <v>2055</v>
      </c>
      <c r="I546" s="156" t="s">
        <v>26</v>
      </c>
      <c r="J546" s="209" t="s">
        <v>2056</v>
      </c>
      <c r="K546" s="211" t="s">
        <v>1442</v>
      </c>
    </row>
    <row r="547" spans="1:11" ht="84">
      <c r="A547" s="204">
        <v>545</v>
      </c>
      <c r="B547" s="205">
        <v>45674</v>
      </c>
      <c r="C547" s="267" t="s">
        <v>823</v>
      </c>
      <c r="D547" s="204">
        <v>2025</v>
      </c>
      <c r="E547" s="204" t="s">
        <v>1431</v>
      </c>
      <c r="F547" s="204" t="s">
        <v>1506</v>
      </c>
      <c r="G547" s="206" t="s">
        <v>88</v>
      </c>
      <c r="H547" s="207" t="s">
        <v>2057</v>
      </c>
      <c r="I547" s="156" t="s">
        <v>26</v>
      </c>
      <c r="J547" s="204" t="s">
        <v>1436</v>
      </c>
      <c r="K547" s="207" t="s">
        <v>1500</v>
      </c>
    </row>
    <row r="548" spans="1:11" ht="66.75">
      <c r="A548" s="204">
        <v>546</v>
      </c>
      <c r="B548" s="208">
        <v>45674</v>
      </c>
      <c r="C548" s="267" t="s">
        <v>823</v>
      </c>
      <c r="D548" s="204">
        <v>2025</v>
      </c>
      <c r="E548" s="209" t="s">
        <v>1431</v>
      </c>
      <c r="F548" s="209" t="s">
        <v>216</v>
      </c>
      <c r="G548" s="213" t="s">
        <v>821</v>
      </c>
      <c r="H548" s="211" t="s">
        <v>2058</v>
      </c>
      <c r="I548" s="156" t="s">
        <v>26</v>
      </c>
      <c r="J548" s="209" t="s">
        <v>492</v>
      </c>
      <c r="K548" s="211"/>
    </row>
    <row r="549" spans="1:11" ht="100.5">
      <c r="A549" s="204">
        <v>547</v>
      </c>
      <c r="B549" s="205">
        <v>45674</v>
      </c>
      <c r="C549" s="267" t="s">
        <v>823</v>
      </c>
      <c r="D549" s="204">
        <v>2025</v>
      </c>
      <c r="E549" s="204" t="s">
        <v>1431</v>
      </c>
      <c r="F549" s="204" t="s">
        <v>21</v>
      </c>
      <c r="G549" s="206" t="s">
        <v>88</v>
      </c>
      <c r="H549" s="207" t="s">
        <v>2059</v>
      </c>
      <c r="I549" s="156" t="s">
        <v>26</v>
      </c>
      <c r="J549" s="204" t="s">
        <v>1436</v>
      </c>
      <c r="K549" s="207" t="s">
        <v>1454</v>
      </c>
    </row>
    <row r="550" spans="1:11" ht="134.25">
      <c r="A550" s="204">
        <v>548</v>
      </c>
      <c r="B550" s="208">
        <v>45677</v>
      </c>
      <c r="C550" s="267" t="s">
        <v>823</v>
      </c>
      <c r="D550" s="204">
        <v>2025</v>
      </c>
      <c r="E550" s="209" t="s">
        <v>1431</v>
      </c>
      <c r="F550" s="209" t="s">
        <v>21</v>
      </c>
      <c r="G550" s="213" t="s">
        <v>821</v>
      </c>
      <c r="H550" s="211" t="s">
        <v>2060</v>
      </c>
      <c r="I550" s="156" t="s">
        <v>26</v>
      </c>
      <c r="J550" s="209" t="s">
        <v>1436</v>
      </c>
      <c r="K550" s="211" t="s">
        <v>1601</v>
      </c>
    </row>
    <row r="551" spans="1:11" ht="150.75">
      <c r="A551" s="204">
        <v>549</v>
      </c>
      <c r="B551" s="205">
        <v>45677</v>
      </c>
      <c r="C551" s="267" t="s">
        <v>823</v>
      </c>
      <c r="D551" s="204">
        <v>2025</v>
      </c>
      <c r="E551" s="204" t="s">
        <v>1431</v>
      </c>
      <c r="F551" s="204" t="s">
        <v>21</v>
      </c>
      <c r="G551" s="213" t="s">
        <v>821</v>
      </c>
      <c r="H551" s="207" t="s">
        <v>2061</v>
      </c>
      <c r="I551" s="156" t="s">
        <v>26</v>
      </c>
      <c r="J551" s="204" t="s">
        <v>1436</v>
      </c>
      <c r="K551" s="207" t="s">
        <v>1513</v>
      </c>
    </row>
    <row r="552" spans="1:11" ht="33.75">
      <c r="A552" s="204">
        <v>550</v>
      </c>
      <c r="B552" s="208">
        <v>45677</v>
      </c>
      <c r="C552" s="267" t="s">
        <v>823</v>
      </c>
      <c r="D552" s="204">
        <v>2025</v>
      </c>
      <c r="E552" s="209" t="s">
        <v>1431</v>
      </c>
      <c r="F552" s="209" t="s">
        <v>1584</v>
      </c>
      <c r="G552" s="213" t="s">
        <v>821</v>
      </c>
      <c r="H552" s="211" t="s">
        <v>2062</v>
      </c>
      <c r="I552" s="156" t="s">
        <v>26</v>
      </c>
      <c r="J552" s="209" t="s">
        <v>1436</v>
      </c>
      <c r="K552" s="211"/>
    </row>
    <row r="553" spans="1:11" ht="117">
      <c r="A553" s="204">
        <v>551</v>
      </c>
      <c r="B553" s="205">
        <v>45677</v>
      </c>
      <c r="C553" s="267" t="s">
        <v>823</v>
      </c>
      <c r="D553" s="204">
        <v>2025</v>
      </c>
      <c r="E553" s="204" t="s">
        <v>1431</v>
      </c>
      <c r="F553" s="204" t="s">
        <v>1449</v>
      </c>
      <c r="G553" s="206" t="s">
        <v>88</v>
      </c>
      <c r="H553" s="207" t="s">
        <v>2063</v>
      </c>
      <c r="I553" s="156" t="s">
        <v>26</v>
      </c>
      <c r="J553" s="204" t="s">
        <v>1436</v>
      </c>
      <c r="K553" s="207" t="s">
        <v>1451</v>
      </c>
    </row>
    <row r="554" spans="1:11" ht="150.75">
      <c r="A554" s="204">
        <v>552</v>
      </c>
      <c r="B554" s="208">
        <v>45677</v>
      </c>
      <c r="C554" s="267" t="s">
        <v>823</v>
      </c>
      <c r="D554" s="204">
        <v>2025</v>
      </c>
      <c r="E554" s="209" t="s">
        <v>1431</v>
      </c>
      <c r="F554" s="209" t="s">
        <v>21</v>
      </c>
      <c r="G554" s="213" t="s">
        <v>821</v>
      </c>
      <c r="H554" s="211" t="s">
        <v>2064</v>
      </c>
      <c r="I554" s="156" t="s">
        <v>26</v>
      </c>
      <c r="J554" s="209" t="s">
        <v>1436</v>
      </c>
      <c r="K554" s="211" t="s">
        <v>1513</v>
      </c>
    </row>
    <row r="555" spans="1:11" ht="33.75">
      <c r="A555" s="204">
        <v>553</v>
      </c>
      <c r="B555" s="205">
        <v>45677</v>
      </c>
      <c r="C555" s="267" t="s">
        <v>823</v>
      </c>
      <c r="D555" s="204">
        <v>2025</v>
      </c>
      <c r="E555" s="204" t="s">
        <v>1431</v>
      </c>
      <c r="F555" s="204" t="s">
        <v>1584</v>
      </c>
      <c r="G555" s="213" t="s">
        <v>821</v>
      </c>
      <c r="H555" s="207" t="s">
        <v>2065</v>
      </c>
      <c r="I555" s="156" t="s">
        <v>26</v>
      </c>
      <c r="J555" s="204" t="s">
        <v>1436</v>
      </c>
      <c r="K555" s="207"/>
    </row>
    <row r="556" spans="1:11" ht="100.5">
      <c r="A556" s="204">
        <v>554</v>
      </c>
      <c r="B556" s="208">
        <v>45677</v>
      </c>
      <c r="C556" s="267" t="s">
        <v>823</v>
      </c>
      <c r="D556" s="204">
        <v>2025</v>
      </c>
      <c r="E556" s="209" t="s">
        <v>1431</v>
      </c>
      <c r="F556" s="209" t="s">
        <v>1584</v>
      </c>
      <c r="G556" s="213" t="s">
        <v>821</v>
      </c>
      <c r="H556" s="211" t="s">
        <v>2066</v>
      </c>
      <c r="I556" s="156" t="s">
        <v>26</v>
      </c>
      <c r="J556" s="209" t="s">
        <v>1436</v>
      </c>
      <c r="K556" s="211" t="s">
        <v>1448</v>
      </c>
    </row>
    <row r="557" spans="1:11" ht="100.5">
      <c r="A557" s="204">
        <v>555</v>
      </c>
      <c r="B557" s="205">
        <v>45677</v>
      </c>
      <c r="C557" s="267" t="s">
        <v>823</v>
      </c>
      <c r="D557" s="204">
        <v>2025</v>
      </c>
      <c r="E557" s="204" t="s">
        <v>1431</v>
      </c>
      <c r="F557" s="204" t="s">
        <v>1436</v>
      </c>
      <c r="G557" s="206" t="s">
        <v>88</v>
      </c>
      <c r="H557" s="207" t="s">
        <v>2067</v>
      </c>
      <c r="I557" s="156" t="s">
        <v>26</v>
      </c>
      <c r="J557" s="204" t="s">
        <v>1436</v>
      </c>
      <c r="K557" s="207" t="s">
        <v>1454</v>
      </c>
    </row>
    <row r="558" spans="1:11" ht="33.75">
      <c r="A558" s="204">
        <v>556</v>
      </c>
      <c r="B558" s="208">
        <v>45677</v>
      </c>
      <c r="C558" s="267" t="s">
        <v>823</v>
      </c>
      <c r="D558" s="204">
        <v>2025</v>
      </c>
      <c r="E558" s="209" t="s">
        <v>1431</v>
      </c>
      <c r="F558" s="209" t="s">
        <v>1436</v>
      </c>
      <c r="G558" s="210" t="s">
        <v>88</v>
      </c>
      <c r="H558" s="211" t="s">
        <v>2068</v>
      </c>
      <c r="I558" s="156" t="s">
        <v>26</v>
      </c>
      <c r="J558" s="209" t="s">
        <v>1436</v>
      </c>
      <c r="K558" s="211"/>
    </row>
    <row r="559" spans="1:11" ht="134.25">
      <c r="A559" s="204">
        <v>557</v>
      </c>
      <c r="B559" s="205">
        <v>45677</v>
      </c>
      <c r="C559" s="267" t="s">
        <v>823</v>
      </c>
      <c r="D559" s="204">
        <v>2025</v>
      </c>
      <c r="E559" s="204" t="s">
        <v>1431</v>
      </c>
      <c r="F559" s="204" t="s">
        <v>1608</v>
      </c>
      <c r="G559" s="212" t="s">
        <v>1439</v>
      </c>
      <c r="H559" s="207" t="s">
        <v>2069</v>
      </c>
      <c r="I559" s="156" t="s">
        <v>26</v>
      </c>
      <c r="J559" s="204" t="s">
        <v>2070</v>
      </c>
      <c r="K559" s="207" t="s">
        <v>1442</v>
      </c>
    </row>
    <row r="560" spans="1:11" ht="100.5">
      <c r="A560" s="204">
        <v>558</v>
      </c>
      <c r="B560" s="208">
        <v>45678</v>
      </c>
      <c r="C560" s="267" t="s">
        <v>823</v>
      </c>
      <c r="D560" s="204">
        <v>2025</v>
      </c>
      <c r="E560" s="209" t="s">
        <v>1431</v>
      </c>
      <c r="F560" s="209" t="s">
        <v>1449</v>
      </c>
      <c r="G560" s="210" t="s">
        <v>88</v>
      </c>
      <c r="H560" s="211" t="s">
        <v>2071</v>
      </c>
      <c r="I560" s="156" t="s">
        <v>26</v>
      </c>
      <c r="J560" s="209" t="s">
        <v>1436</v>
      </c>
      <c r="K560" s="211" t="s">
        <v>1454</v>
      </c>
    </row>
    <row r="561" spans="1:11" ht="16.5">
      <c r="A561" s="204">
        <v>559</v>
      </c>
      <c r="B561" s="205">
        <v>45678</v>
      </c>
      <c r="C561" s="267" t="s">
        <v>823</v>
      </c>
      <c r="D561" s="204">
        <v>2025</v>
      </c>
      <c r="E561" s="204" t="s">
        <v>1431</v>
      </c>
      <c r="F561" s="204" t="s">
        <v>216</v>
      </c>
      <c r="G561" s="213" t="s">
        <v>821</v>
      </c>
      <c r="H561" s="207" t="s">
        <v>2072</v>
      </c>
      <c r="I561" s="156" t="s">
        <v>26</v>
      </c>
      <c r="J561" s="204" t="s">
        <v>1436</v>
      </c>
      <c r="K561" s="207"/>
    </row>
    <row r="562" spans="1:11" ht="100.5">
      <c r="A562" s="204">
        <v>560</v>
      </c>
      <c r="B562" s="208">
        <v>45678</v>
      </c>
      <c r="C562" s="267" t="s">
        <v>823</v>
      </c>
      <c r="D562" s="204">
        <v>2025</v>
      </c>
      <c r="E562" s="209" t="s">
        <v>1431</v>
      </c>
      <c r="F562" s="209" t="s">
        <v>1436</v>
      </c>
      <c r="G562" s="210" t="s">
        <v>88</v>
      </c>
      <c r="H562" s="211" t="s">
        <v>2073</v>
      </c>
      <c r="I562" s="156" t="s">
        <v>26</v>
      </c>
      <c r="J562" s="209" t="s">
        <v>1436</v>
      </c>
      <c r="K562" s="211" t="s">
        <v>1472</v>
      </c>
    </row>
    <row r="563" spans="1:11" ht="100.5">
      <c r="A563" s="204">
        <v>561</v>
      </c>
      <c r="B563" s="205">
        <v>45678</v>
      </c>
      <c r="C563" s="267" t="s">
        <v>823</v>
      </c>
      <c r="D563" s="204">
        <v>2025</v>
      </c>
      <c r="E563" s="204" t="s">
        <v>1431</v>
      </c>
      <c r="F563" s="204" t="s">
        <v>1584</v>
      </c>
      <c r="G563" s="213" t="s">
        <v>821</v>
      </c>
      <c r="H563" s="207" t="s">
        <v>2074</v>
      </c>
      <c r="I563" s="156" t="s">
        <v>26</v>
      </c>
      <c r="J563" s="204" t="s">
        <v>1436</v>
      </c>
      <c r="K563" s="207" t="s">
        <v>1448</v>
      </c>
    </row>
    <row r="564" spans="1:11" ht="100.5">
      <c r="A564" s="204">
        <v>562</v>
      </c>
      <c r="B564" s="208">
        <v>45678</v>
      </c>
      <c r="C564" s="267" t="s">
        <v>823</v>
      </c>
      <c r="D564" s="204">
        <v>2025</v>
      </c>
      <c r="E564" s="209" t="s">
        <v>1431</v>
      </c>
      <c r="F564" s="209" t="s">
        <v>1449</v>
      </c>
      <c r="G564" s="210" t="s">
        <v>88</v>
      </c>
      <c r="H564" s="211" t="s">
        <v>2075</v>
      </c>
      <c r="I564" s="156" t="s">
        <v>26</v>
      </c>
      <c r="J564" s="209" t="s">
        <v>1436</v>
      </c>
      <c r="K564" s="211" t="s">
        <v>1478</v>
      </c>
    </row>
    <row r="565" spans="1:11" ht="100.5">
      <c r="A565" s="204">
        <v>563</v>
      </c>
      <c r="B565" s="205">
        <v>45678</v>
      </c>
      <c r="C565" s="267" t="s">
        <v>823</v>
      </c>
      <c r="D565" s="204">
        <v>2025</v>
      </c>
      <c r="E565" s="204" t="s">
        <v>1431</v>
      </c>
      <c r="F565" s="204" t="s">
        <v>1436</v>
      </c>
      <c r="G565" s="206" t="s">
        <v>88</v>
      </c>
      <c r="H565" s="207" t="s">
        <v>2076</v>
      </c>
      <c r="I565" s="156" t="s">
        <v>26</v>
      </c>
      <c r="J565" s="204" t="s">
        <v>1436</v>
      </c>
      <c r="K565" s="207" t="s">
        <v>1454</v>
      </c>
    </row>
    <row r="566" spans="1:11" ht="84">
      <c r="A566" s="204">
        <v>564</v>
      </c>
      <c r="B566" s="208">
        <v>45679</v>
      </c>
      <c r="C566" s="267" t="s">
        <v>823</v>
      </c>
      <c r="D566" s="204">
        <v>2025</v>
      </c>
      <c r="E566" s="209" t="s">
        <v>1431</v>
      </c>
      <c r="F566" s="209" t="s">
        <v>1449</v>
      </c>
      <c r="G566" s="210" t="s">
        <v>88</v>
      </c>
      <c r="H566" s="211" t="s">
        <v>2077</v>
      </c>
      <c r="I566" s="156" t="s">
        <v>26</v>
      </c>
      <c r="J566" s="209" t="s">
        <v>1436</v>
      </c>
      <c r="K566" s="211" t="s">
        <v>1444</v>
      </c>
    </row>
    <row r="567" spans="1:11" ht="33.75">
      <c r="A567" s="204">
        <v>565</v>
      </c>
      <c r="B567" s="205">
        <v>45679</v>
      </c>
      <c r="C567" s="267" t="s">
        <v>823</v>
      </c>
      <c r="D567" s="204">
        <v>2025</v>
      </c>
      <c r="E567" s="204" t="s">
        <v>1431</v>
      </c>
      <c r="F567" s="204" t="s">
        <v>1436</v>
      </c>
      <c r="G567" s="206" t="s">
        <v>88</v>
      </c>
      <c r="H567" s="207" t="s">
        <v>2078</v>
      </c>
      <c r="I567" s="156" t="s">
        <v>26</v>
      </c>
      <c r="J567" s="204" t="s">
        <v>1436</v>
      </c>
      <c r="K567" s="207"/>
    </row>
    <row r="568" spans="1:11" ht="84">
      <c r="A568" s="204">
        <v>566</v>
      </c>
      <c r="B568" s="208">
        <v>45679</v>
      </c>
      <c r="C568" s="267" t="s">
        <v>823</v>
      </c>
      <c r="D568" s="204">
        <v>2025</v>
      </c>
      <c r="E568" s="209" t="s">
        <v>1431</v>
      </c>
      <c r="F568" s="209" t="s">
        <v>1449</v>
      </c>
      <c r="G568" s="210" t="s">
        <v>88</v>
      </c>
      <c r="H568" s="211" t="s">
        <v>2079</v>
      </c>
      <c r="I568" s="156" t="s">
        <v>26</v>
      </c>
      <c r="J568" s="209" t="s">
        <v>1436</v>
      </c>
      <c r="K568" s="211" t="s">
        <v>1500</v>
      </c>
    </row>
    <row r="569" spans="1:11" ht="84">
      <c r="A569" s="204">
        <v>567</v>
      </c>
      <c r="B569" s="205">
        <v>45679</v>
      </c>
      <c r="C569" s="267" t="s">
        <v>823</v>
      </c>
      <c r="D569" s="204">
        <v>2025</v>
      </c>
      <c r="E569" s="204" t="s">
        <v>1431</v>
      </c>
      <c r="F569" s="204" t="s">
        <v>1506</v>
      </c>
      <c r="G569" s="206" t="s">
        <v>88</v>
      </c>
      <c r="H569" s="207" t="s">
        <v>2080</v>
      </c>
      <c r="I569" s="156" t="s">
        <v>26</v>
      </c>
      <c r="J569" s="204" t="s">
        <v>1436</v>
      </c>
      <c r="K569" s="207" t="s">
        <v>1500</v>
      </c>
    </row>
    <row r="570" spans="1:11" ht="100.5">
      <c r="A570" s="204">
        <v>568</v>
      </c>
      <c r="B570" s="208">
        <v>45679</v>
      </c>
      <c r="C570" s="267" t="s">
        <v>823</v>
      </c>
      <c r="D570" s="204">
        <v>2025</v>
      </c>
      <c r="E570" s="209" t="s">
        <v>1431</v>
      </c>
      <c r="F570" s="209" t="s">
        <v>1584</v>
      </c>
      <c r="G570" s="213" t="s">
        <v>821</v>
      </c>
      <c r="H570" s="211" t="s">
        <v>2081</v>
      </c>
      <c r="I570" s="156" t="s">
        <v>26</v>
      </c>
      <c r="J570" s="209" t="s">
        <v>1436</v>
      </c>
      <c r="K570" s="211" t="s">
        <v>1448</v>
      </c>
    </row>
    <row r="571" spans="1:11" ht="33.75">
      <c r="A571" s="204">
        <v>569</v>
      </c>
      <c r="B571" s="205">
        <v>45679</v>
      </c>
      <c r="C571" s="267" t="s">
        <v>823</v>
      </c>
      <c r="D571" s="204">
        <v>2025</v>
      </c>
      <c r="E571" s="204" t="s">
        <v>1431</v>
      </c>
      <c r="F571" s="204" t="s">
        <v>21</v>
      </c>
      <c r="G571" s="206" t="s">
        <v>88</v>
      </c>
      <c r="H571" s="207" t="s">
        <v>2082</v>
      </c>
      <c r="I571" s="156" t="s">
        <v>26</v>
      </c>
      <c r="J571" s="204" t="s">
        <v>1436</v>
      </c>
      <c r="K571" s="207"/>
    </row>
    <row r="572" spans="1:11" ht="100.5">
      <c r="A572" s="204">
        <v>570</v>
      </c>
      <c r="B572" s="208">
        <v>45679</v>
      </c>
      <c r="C572" s="267" t="s">
        <v>823</v>
      </c>
      <c r="D572" s="204">
        <v>2025</v>
      </c>
      <c r="E572" s="209" t="s">
        <v>1431</v>
      </c>
      <c r="F572" s="209" t="s">
        <v>1539</v>
      </c>
      <c r="G572" s="210" t="s">
        <v>88</v>
      </c>
      <c r="H572" s="211" t="s">
        <v>2083</v>
      </c>
      <c r="I572" s="156" t="s">
        <v>26</v>
      </c>
      <c r="J572" s="209" t="s">
        <v>1436</v>
      </c>
      <c r="K572" s="211" t="s">
        <v>1467</v>
      </c>
    </row>
    <row r="573" spans="1:11" ht="100.5">
      <c r="A573" s="204">
        <v>571</v>
      </c>
      <c r="B573" s="205">
        <v>45679</v>
      </c>
      <c r="C573" s="267" t="s">
        <v>823</v>
      </c>
      <c r="D573" s="204">
        <v>2025</v>
      </c>
      <c r="E573" s="204" t="s">
        <v>1431</v>
      </c>
      <c r="F573" s="204" t="s">
        <v>574</v>
      </c>
      <c r="G573" s="206" t="s">
        <v>88</v>
      </c>
      <c r="H573" s="207" t="s">
        <v>2084</v>
      </c>
      <c r="I573" s="156" t="s">
        <v>26</v>
      </c>
      <c r="J573" s="204" t="s">
        <v>1436</v>
      </c>
      <c r="K573" s="207" t="s">
        <v>1472</v>
      </c>
    </row>
    <row r="574" spans="1:11" ht="100.5">
      <c r="A574" s="204">
        <v>572</v>
      </c>
      <c r="B574" s="208">
        <v>45679</v>
      </c>
      <c r="C574" s="267" t="s">
        <v>823</v>
      </c>
      <c r="D574" s="204">
        <v>2025</v>
      </c>
      <c r="E574" s="209" t="s">
        <v>1431</v>
      </c>
      <c r="F574" s="209" t="s">
        <v>1436</v>
      </c>
      <c r="G574" s="210" t="s">
        <v>88</v>
      </c>
      <c r="H574" s="211" t="s">
        <v>2085</v>
      </c>
      <c r="I574" s="156" t="s">
        <v>26</v>
      </c>
      <c r="J574" s="209" t="s">
        <v>1436</v>
      </c>
      <c r="K574" s="211" t="s">
        <v>1454</v>
      </c>
    </row>
    <row r="575" spans="1:11" ht="33.75">
      <c r="A575" s="204">
        <v>573</v>
      </c>
      <c r="B575" s="205">
        <v>45679</v>
      </c>
      <c r="C575" s="267" t="s">
        <v>823</v>
      </c>
      <c r="D575" s="204">
        <v>2025</v>
      </c>
      <c r="E575" s="204" t="s">
        <v>1431</v>
      </c>
      <c r="F575" s="204" t="s">
        <v>1449</v>
      </c>
      <c r="G575" s="206" t="s">
        <v>88</v>
      </c>
      <c r="H575" s="207" t="s">
        <v>2086</v>
      </c>
      <c r="I575" s="156" t="s">
        <v>26</v>
      </c>
      <c r="J575" s="204" t="s">
        <v>1436</v>
      </c>
      <c r="K575" s="207"/>
    </row>
    <row r="576" spans="1:11" ht="117">
      <c r="A576" s="204">
        <v>574</v>
      </c>
      <c r="B576" s="208">
        <v>45680</v>
      </c>
      <c r="C576" s="267" t="s">
        <v>823</v>
      </c>
      <c r="D576" s="204">
        <v>2025</v>
      </c>
      <c r="E576" s="209" t="s">
        <v>1431</v>
      </c>
      <c r="F576" s="209" t="s">
        <v>21</v>
      </c>
      <c r="G576" s="213" t="s">
        <v>821</v>
      </c>
      <c r="H576" s="211" t="s">
        <v>2087</v>
      </c>
      <c r="I576" s="156" t="s">
        <v>26</v>
      </c>
      <c r="J576" s="209" t="s">
        <v>1436</v>
      </c>
      <c r="K576" s="211" t="s">
        <v>1482</v>
      </c>
    </row>
    <row r="577" spans="1:11" ht="33.75">
      <c r="A577" s="204">
        <v>575</v>
      </c>
      <c r="B577" s="205">
        <v>45680</v>
      </c>
      <c r="C577" s="267" t="s">
        <v>823</v>
      </c>
      <c r="D577" s="204">
        <v>2025</v>
      </c>
      <c r="E577" s="204" t="s">
        <v>1431</v>
      </c>
      <c r="F577" s="204" t="s">
        <v>1506</v>
      </c>
      <c r="G577" s="206" t="s">
        <v>88</v>
      </c>
      <c r="H577" s="207" t="s">
        <v>2088</v>
      </c>
      <c r="I577" s="156" t="s">
        <v>26</v>
      </c>
      <c r="J577" s="204" t="s">
        <v>1436</v>
      </c>
      <c r="K577" s="207"/>
    </row>
    <row r="578" spans="1:11" ht="50.25">
      <c r="A578" s="204">
        <v>576</v>
      </c>
      <c r="B578" s="208">
        <v>45680</v>
      </c>
      <c r="C578" s="267" t="s">
        <v>823</v>
      </c>
      <c r="D578" s="204">
        <v>2025</v>
      </c>
      <c r="E578" s="209" t="s">
        <v>1431</v>
      </c>
      <c r="F578" s="209" t="s">
        <v>1449</v>
      </c>
      <c r="G578" s="210" t="s">
        <v>88</v>
      </c>
      <c r="H578" s="211" t="s">
        <v>2089</v>
      </c>
      <c r="I578" s="156" t="s">
        <v>26</v>
      </c>
      <c r="J578" s="209" t="s">
        <v>1436</v>
      </c>
      <c r="K578" s="211"/>
    </row>
    <row r="579" spans="1:11" ht="50.25">
      <c r="A579" s="204">
        <v>577</v>
      </c>
      <c r="B579" s="205">
        <v>45681</v>
      </c>
      <c r="C579" s="267" t="s">
        <v>823</v>
      </c>
      <c r="D579" s="204">
        <v>2025</v>
      </c>
      <c r="E579" s="204" t="s">
        <v>1431</v>
      </c>
      <c r="F579" s="204" t="s">
        <v>1506</v>
      </c>
      <c r="G579" s="206" t="s">
        <v>88</v>
      </c>
      <c r="H579" s="207" t="s">
        <v>2090</v>
      </c>
      <c r="I579" s="156" t="s">
        <v>26</v>
      </c>
      <c r="J579" s="204" t="s">
        <v>1436</v>
      </c>
      <c r="K579" s="207"/>
    </row>
    <row r="580" spans="1:11" ht="50.25">
      <c r="A580" s="204">
        <v>578</v>
      </c>
      <c r="B580" s="208">
        <v>45681</v>
      </c>
      <c r="C580" s="267" t="s">
        <v>823</v>
      </c>
      <c r="D580" s="204">
        <v>2025</v>
      </c>
      <c r="E580" s="209" t="s">
        <v>1431</v>
      </c>
      <c r="F580" s="209" t="s">
        <v>1506</v>
      </c>
      <c r="G580" s="210" t="s">
        <v>88</v>
      </c>
      <c r="H580" s="211" t="s">
        <v>2091</v>
      </c>
      <c r="I580" s="156" t="s">
        <v>26</v>
      </c>
      <c r="J580" s="209" t="s">
        <v>1436</v>
      </c>
      <c r="K580" s="211"/>
    </row>
    <row r="581" spans="1:11" ht="117">
      <c r="A581" s="204">
        <v>579</v>
      </c>
      <c r="B581" s="205">
        <v>45681</v>
      </c>
      <c r="C581" s="267" t="s">
        <v>823</v>
      </c>
      <c r="D581" s="204">
        <v>2025</v>
      </c>
      <c r="E581" s="204" t="s">
        <v>1431</v>
      </c>
      <c r="F581" s="204" t="s">
        <v>1436</v>
      </c>
      <c r="G581" s="206" t="s">
        <v>88</v>
      </c>
      <c r="H581" s="207" t="s">
        <v>2092</v>
      </c>
      <c r="I581" s="156" t="s">
        <v>26</v>
      </c>
      <c r="J581" s="204" t="s">
        <v>1436</v>
      </c>
      <c r="K581" s="207" t="s">
        <v>1510</v>
      </c>
    </row>
    <row r="582" spans="1:11" ht="117">
      <c r="A582" s="204">
        <v>580</v>
      </c>
      <c r="B582" s="208">
        <v>45681</v>
      </c>
      <c r="C582" s="267" t="s">
        <v>823</v>
      </c>
      <c r="D582" s="204">
        <v>2025</v>
      </c>
      <c r="E582" s="209" t="s">
        <v>1431</v>
      </c>
      <c r="F582" s="209" t="s">
        <v>1449</v>
      </c>
      <c r="G582" s="210" t="s">
        <v>88</v>
      </c>
      <c r="H582" s="211" t="s">
        <v>2093</v>
      </c>
      <c r="I582" s="156" t="s">
        <v>26</v>
      </c>
      <c r="J582" s="209" t="s">
        <v>1436</v>
      </c>
      <c r="K582" s="211" t="s">
        <v>1451</v>
      </c>
    </row>
    <row r="583" spans="1:11" ht="117">
      <c r="A583" s="204">
        <v>581</v>
      </c>
      <c r="B583" s="205">
        <v>45681</v>
      </c>
      <c r="C583" s="267" t="s">
        <v>823</v>
      </c>
      <c r="D583" s="204">
        <v>2025</v>
      </c>
      <c r="E583" s="204" t="s">
        <v>1431</v>
      </c>
      <c r="F583" s="204" t="s">
        <v>1449</v>
      </c>
      <c r="G583" s="206" t="s">
        <v>88</v>
      </c>
      <c r="H583" s="207" t="s">
        <v>2094</v>
      </c>
      <c r="I583" s="156" t="s">
        <v>26</v>
      </c>
      <c r="J583" s="204" t="s">
        <v>1436</v>
      </c>
      <c r="K583" s="207" t="s">
        <v>1451</v>
      </c>
    </row>
    <row r="584" spans="1:11" ht="100.5">
      <c r="A584" s="204">
        <v>582</v>
      </c>
      <c r="B584" s="208">
        <v>45681</v>
      </c>
      <c r="C584" s="267" t="s">
        <v>823</v>
      </c>
      <c r="D584" s="204">
        <v>2025</v>
      </c>
      <c r="E584" s="209" t="s">
        <v>1431</v>
      </c>
      <c r="F584" s="209" t="s">
        <v>1436</v>
      </c>
      <c r="G584" s="210" t="s">
        <v>88</v>
      </c>
      <c r="H584" s="211" t="s">
        <v>2095</v>
      </c>
      <c r="I584" s="156" t="s">
        <v>26</v>
      </c>
      <c r="J584" s="209" t="s">
        <v>1436</v>
      </c>
      <c r="K584" s="211" t="s">
        <v>1454</v>
      </c>
    </row>
    <row r="585" spans="1:11" ht="84">
      <c r="A585" s="204">
        <v>583</v>
      </c>
      <c r="B585" s="205">
        <v>45684</v>
      </c>
      <c r="C585" s="267" t="s">
        <v>823</v>
      </c>
      <c r="D585" s="204">
        <v>2025</v>
      </c>
      <c r="E585" s="204" t="s">
        <v>1431</v>
      </c>
      <c r="F585" s="204" t="s">
        <v>1506</v>
      </c>
      <c r="G585" s="206" t="s">
        <v>88</v>
      </c>
      <c r="H585" s="207" t="s">
        <v>2096</v>
      </c>
      <c r="I585" s="156" t="s">
        <v>26</v>
      </c>
      <c r="J585" s="204" t="s">
        <v>1436</v>
      </c>
      <c r="K585" s="207" t="s">
        <v>1500</v>
      </c>
    </row>
    <row r="586" spans="1:11" ht="84">
      <c r="A586" s="204">
        <v>584</v>
      </c>
      <c r="B586" s="208">
        <v>45684</v>
      </c>
      <c r="C586" s="267" t="s">
        <v>823</v>
      </c>
      <c r="D586" s="204">
        <v>2025</v>
      </c>
      <c r="E586" s="209" t="s">
        <v>1431</v>
      </c>
      <c r="F586" s="209" t="s">
        <v>1506</v>
      </c>
      <c r="G586" s="210" t="s">
        <v>88</v>
      </c>
      <c r="H586" s="211" t="s">
        <v>2097</v>
      </c>
      <c r="I586" s="156" t="s">
        <v>26</v>
      </c>
      <c r="J586" s="209" t="s">
        <v>1436</v>
      </c>
      <c r="K586" s="211" t="s">
        <v>1500</v>
      </c>
    </row>
    <row r="587" spans="1:11" ht="84">
      <c r="A587" s="204">
        <v>585</v>
      </c>
      <c r="B587" s="205">
        <v>45684</v>
      </c>
      <c r="C587" s="267" t="s">
        <v>823</v>
      </c>
      <c r="D587" s="204">
        <v>2025</v>
      </c>
      <c r="E587" s="204" t="s">
        <v>1431</v>
      </c>
      <c r="F587" s="204" t="s">
        <v>1506</v>
      </c>
      <c r="G587" s="206" t="s">
        <v>88</v>
      </c>
      <c r="H587" s="207" t="s">
        <v>2098</v>
      </c>
      <c r="I587" s="156" t="s">
        <v>26</v>
      </c>
      <c r="J587" s="204" t="s">
        <v>1436</v>
      </c>
      <c r="K587" s="207" t="s">
        <v>1500</v>
      </c>
    </row>
    <row r="588" spans="1:11" ht="150.75">
      <c r="A588" s="204">
        <v>586</v>
      </c>
      <c r="B588" s="208">
        <v>45684</v>
      </c>
      <c r="C588" s="267" t="s">
        <v>823</v>
      </c>
      <c r="D588" s="204">
        <v>2025</v>
      </c>
      <c r="E588" s="209" t="s">
        <v>1431</v>
      </c>
      <c r="F588" s="209" t="s">
        <v>21</v>
      </c>
      <c r="G588" s="213" t="s">
        <v>821</v>
      </c>
      <c r="H588" s="211" t="s">
        <v>2099</v>
      </c>
      <c r="I588" s="156" t="s">
        <v>26</v>
      </c>
      <c r="J588" s="209" t="s">
        <v>1436</v>
      </c>
      <c r="K588" s="211" t="s">
        <v>1513</v>
      </c>
    </row>
    <row r="589" spans="1:11" ht="84">
      <c r="A589" s="204">
        <v>587</v>
      </c>
      <c r="B589" s="205">
        <v>45684</v>
      </c>
      <c r="C589" s="267" t="s">
        <v>823</v>
      </c>
      <c r="D589" s="204">
        <v>2025</v>
      </c>
      <c r="E589" s="204" t="s">
        <v>1431</v>
      </c>
      <c r="F589" s="204" t="s">
        <v>1506</v>
      </c>
      <c r="G589" s="206" t="s">
        <v>88</v>
      </c>
      <c r="H589" s="207" t="s">
        <v>2100</v>
      </c>
      <c r="I589" s="156" t="s">
        <v>26</v>
      </c>
      <c r="J589" s="204" t="s">
        <v>1436</v>
      </c>
      <c r="K589" s="207" t="s">
        <v>1500</v>
      </c>
    </row>
    <row r="590" spans="1:11" ht="117">
      <c r="A590" s="204">
        <v>588</v>
      </c>
      <c r="B590" s="208">
        <v>45684</v>
      </c>
      <c r="C590" s="267" t="s">
        <v>823</v>
      </c>
      <c r="D590" s="204">
        <v>2025</v>
      </c>
      <c r="E590" s="209" t="s">
        <v>1431</v>
      </c>
      <c r="F590" s="209" t="s">
        <v>1504</v>
      </c>
      <c r="G590" s="210" t="s">
        <v>88</v>
      </c>
      <c r="H590" s="211" t="s">
        <v>2101</v>
      </c>
      <c r="I590" s="156" t="s">
        <v>26</v>
      </c>
      <c r="J590" s="209" t="s">
        <v>1436</v>
      </c>
      <c r="K590" s="211" t="s">
        <v>1446</v>
      </c>
    </row>
    <row r="591" spans="1:11" ht="84">
      <c r="A591" s="204">
        <v>589</v>
      </c>
      <c r="B591" s="205">
        <v>45684</v>
      </c>
      <c r="C591" s="267" t="s">
        <v>823</v>
      </c>
      <c r="D591" s="204">
        <v>2025</v>
      </c>
      <c r="E591" s="204" t="s">
        <v>1431</v>
      </c>
      <c r="F591" s="204" t="s">
        <v>1518</v>
      </c>
      <c r="G591" s="206" t="s">
        <v>88</v>
      </c>
      <c r="H591" s="207" t="s">
        <v>2102</v>
      </c>
      <c r="I591" s="156" t="s">
        <v>26</v>
      </c>
      <c r="J591" s="204" t="s">
        <v>1436</v>
      </c>
      <c r="K591" s="207" t="s">
        <v>1500</v>
      </c>
    </row>
    <row r="592" spans="1:11" ht="66.75">
      <c r="A592" s="204">
        <v>590</v>
      </c>
      <c r="B592" s="208">
        <v>45684</v>
      </c>
      <c r="C592" s="267" t="s">
        <v>823</v>
      </c>
      <c r="D592" s="204">
        <v>2025</v>
      </c>
      <c r="E592" s="209" t="s">
        <v>1431</v>
      </c>
      <c r="F592" s="209" t="s">
        <v>1449</v>
      </c>
      <c r="G592" s="210" t="s">
        <v>88</v>
      </c>
      <c r="H592" s="211" t="s">
        <v>2103</v>
      </c>
      <c r="I592" s="156" t="s">
        <v>26</v>
      </c>
      <c r="J592" s="209" t="s">
        <v>1436</v>
      </c>
      <c r="K592" s="211" t="s">
        <v>1548</v>
      </c>
    </row>
    <row r="593" spans="1:11" ht="100.5">
      <c r="A593" s="204">
        <v>591</v>
      </c>
      <c r="B593" s="205">
        <v>45684</v>
      </c>
      <c r="C593" s="267" t="s">
        <v>823</v>
      </c>
      <c r="D593" s="204">
        <v>2025</v>
      </c>
      <c r="E593" s="204" t="s">
        <v>1431</v>
      </c>
      <c r="F593" s="204" t="s">
        <v>1436</v>
      </c>
      <c r="G593" s="206" t="s">
        <v>88</v>
      </c>
      <c r="H593" s="207" t="s">
        <v>2067</v>
      </c>
      <c r="I593" s="156" t="s">
        <v>26</v>
      </c>
      <c r="J593" s="204" t="s">
        <v>1436</v>
      </c>
      <c r="K593" s="207" t="s">
        <v>1454</v>
      </c>
    </row>
    <row r="594" spans="1:11" ht="84">
      <c r="A594" s="204">
        <v>592</v>
      </c>
      <c r="B594" s="208">
        <v>45684</v>
      </c>
      <c r="C594" s="267" t="s">
        <v>823</v>
      </c>
      <c r="D594" s="204">
        <v>2025</v>
      </c>
      <c r="E594" s="209" t="s">
        <v>1431</v>
      </c>
      <c r="F594" s="209" t="s">
        <v>1506</v>
      </c>
      <c r="G594" s="210" t="s">
        <v>88</v>
      </c>
      <c r="H594" s="211" t="s">
        <v>2104</v>
      </c>
      <c r="I594" s="156" t="s">
        <v>26</v>
      </c>
      <c r="J594" s="209" t="s">
        <v>1436</v>
      </c>
      <c r="K594" s="211" t="s">
        <v>1500</v>
      </c>
    </row>
    <row r="595" spans="1:11" ht="100.5">
      <c r="A595" s="204">
        <v>593</v>
      </c>
      <c r="B595" s="205">
        <v>45685</v>
      </c>
      <c r="C595" s="267" t="s">
        <v>823</v>
      </c>
      <c r="D595" s="204">
        <v>2025</v>
      </c>
      <c r="E595" s="204" t="s">
        <v>1431</v>
      </c>
      <c r="F595" s="204" t="s">
        <v>1504</v>
      </c>
      <c r="G595" s="206" t="s">
        <v>88</v>
      </c>
      <c r="H595" s="207" t="s">
        <v>2105</v>
      </c>
      <c r="I595" s="156" t="s">
        <v>26</v>
      </c>
      <c r="J595" s="204" t="s">
        <v>1436</v>
      </c>
      <c r="K595" s="207" t="s">
        <v>1472</v>
      </c>
    </row>
    <row r="596" spans="1:11" ht="84">
      <c r="A596" s="204">
        <v>594</v>
      </c>
      <c r="B596" s="208">
        <v>45685</v>
      </c>
      <c r="C596" s="267" t="s">
        <v>823</v>
      </c>
      <c r="D596" s="204">
        <v>2025</v>
      </c>
      <c r="E596" s="209" t="s">
        <v>1431</v>
      </c>
      <c r="F596" s="209" t="s">
        <v>1506</v>
      </c>
      <c r="G596" s="210" t="s">
        <v>88</v>
      </c>
      <c r="H596" s="211" t="s">
        <v>2106</v>
      </c>
      <c r="I596" s="156" t="s">
        <v>26</v>
      </c>
      <c r="J596" s="209" t="s">
        <v>1436</v>
      </c>
      <c r="K596" s="211" t="s">
        <v>1500</v>
      </c>
    </row>
    <row r="597" spans="1:11" ht="100.5">
      <c r="A597" s="204">
        <v>595</v>
      </c>
      <c r="B597" s="205">
        <v>45685</v>
      </c>
      <c r="C597" s="267" t="s">
        <v>823</v>
      </c>
      <c r="D597" s="204">
        <v>2025</v>
      </c>
      <c r="E597" s="204" t="s">
        <v>1431</v>
      </c>
      <c r="F597" s="204" t="s">
        <v>1584</v>
      </c>
      <c r="G597" s="213" t="s">
        <v>821</v>
      </c>
      <c r="H597" s="207" t="s">
        <v>2107</v>
      </c>
      <c r="I597" s="156" t="s">
        <v>26</v>
      </c>
      <c r="J597" s="204" t="s">
        <v>1436</v>
      </c>
      <c r="K597" s="207" t="s">
        <v>1448</v>
      </c>
    </row>
    <row r="598" spans="1:11" ht="33.75">
      <c r="A598" s="204">
        <v>596</v>
      </c>
      <c r="B598" s="208">
        <v>45685</v>
      </c>
      <c r="C598" s="267" t="s">
        <v>823</v>
      </c>
      <c r="D598" s="204">
        <v>2025</v>
      </c>
      <c r="E598" s="209" t="s">
        <v>1431</v>
      </c>
      <c r="F598" s="209" t="s">
        <v>1449</v>
      </c>
      <c r="G598" s="210" t="s">
        <v>88</v>
      </c>
      <c r="H598" s="211" t="s">
        <v>2108</v>
      </c>
      <c r="I598" s="156" t="s">
        <v>26</v>
      </c>
      <c r="J598" s="209" t="s">
        <v>1436</v>
      </c>
      <c r="K598" s="211"/>
    </row>
    <row r="599" spans="1:11" ht="100.5">
      <c r="A599" s="204">
        <v>597</v>
      </c>
      <c r="B599" s="205">
        <v>45686</v>
      </c>
      <c r="C599" s="267" t="s">
        <v>823</v>
      </c>
      <c r="D599" s="204">
        <v>2025</v>
      </c>
      <c r="E599" s="204" t="s">
        <v>1431</v>
      </c>
      <c r="F599" s="204" t="s">
        <v>1506</v>
      </c>
      <c r="G599" s="206" t="s">
        <v>88</v>
      </c>
      <c r="H599" s="207" t="s">
        <v>2109</v>
      </c>
      <c r="I599" s="156" t="s">
        <v>26</v>
      </c>
      <c r="J599" s="204" t="s">
        <v>1436</v>
      </c>
      <c r="K599" s="207" t="s">
        <v>1500</v>
      </c>
    </row>
    <row r="600" spans="1:11" ht="84">
      <c r="A600" s="204">
        <v>598</v>
      </c>
      <c r="B600" s="208">
        <v>45686</v>
      </c>
      <c r="C600" s="267" t="s">
        <v>823</v>
      </c>
      <c r="D600" s="204">
        <v>2025</v>
      </c>
      <c r="E600" s="209" t="s">
        <v>1431</v>
      </c>
      <c r="F600" s="209" t="s">
        <v>1506</v>
      </c>
      <c r="G600" s="210" t="s">
        <v>88</v>
      </c>
      <c r="H600" s="211" t="s">
        <v>2110</v>
      </c>
      <c r="I600" s="156" t="s">
        <v>26</v>
      </c>
      <c r="J600" s="209" t="s">
        <v>1436</v>
      </c>
      <c r="K600" s="211" t="s">
        <v>1500</v>
      </c>
    </row>
    <row r="601" spans="1:11" ht="84">
      <c r="A601" s="204">
        <v>599</v>
      </c>
      <c r="B601" s="205">
        <v>45686</v>
      </c>
      <c r="C601" s="267" t="s">
        <v>823</v>
      </c>
      <c r="D601" s="204">
        <v>2025</v>
      </c>
      <c r="E601" s="204" t="s">
        <v>1431</v>
      </c>
      <c r="F601" s="204" t="s">
        <v>1506</v>
      </c>
      <c r="G601" s="206" t="s">
        <v>88</v>
      </c>
      <c r="H601" s="207" t="s">
        <v>2111</v>
      </c>
      <c r="I601" s="156" t="s">
        <v>26</v>
      </c>
      <c r="J601" s="204" t="s">
        <v>1436</v>
      </c>
      <c r="K601" s="207" t="s">
        <v>1500</v>
      </c>
    </row>
    <row r="602" spans="1:11" ht="117">
      <c r="A602" s="204">
        <v>600</v>
      </c>
      <c r="B602" s="208">
        <v>45686</v>
      </c>
      <c r="C602" s="267" t="s">
        <v>823</v>
      </c>
      <c r="D602" s="204">
        <v>2025</v>
      </c>
      <c r="E602" s="209" t="s">
        <v>1431</v>
      </c>
      <c r="F602" s="209" t="s">
        <v>21</v>
      </c>
      <c r="G602" s="213" t="s">
        <v>821</v>
      </c>
      <c r="H602" s="211" t="s">
        <v>2112</v>
      </c>
      <c r="I602" s="156" t="s">
        <v>26</v>
      </c>
      <c r="J602" s="209" t="s">
        <v>1436</v>
      </c>
      <c r="K602" s="211" t="s">
        <v>1482</v>
      </c>
    </row>
    <row r="603" spans="1:11" ht="117">
      <c r="A603" s="204">
        <v>601</v>
      </c>
      <c r="B603" s="205">
        <v>45686</v>
      </c>
      <c r="C603" s="267" t="s">
        <v>823</v>
      </c>
      <c r="D603" s="204">
        <v>2025</v>
      </c>
      <c r="E603" s="204" t="s">
        <v>1431</v>
      </c>
      <c r="F603" s="204" t="s">
        <v>216</v>
      </c>
      <c r="G603" s="213" t="s">
        <v>821</v>
      </c>
      <c r="H603" s="207" t="s">
        <v>2113</v>
      </c>
      <c r="I603" s="156" t="s">
        <v>26</v>
      </c>
      <c r="J603" s="204" t="s">
        <v>1436</v>
      </c>
      <c r="K603" s="207" t="s">
        <v>1446</v>
      </c>
    </row>
    <row r="604" spans="1:11" ht="50.25">
      <c r="A604" s="204">
        <v>602</v>
      </c>
      <c r="B604" s="208">
        <v>45686</v>
      </c>
      <c r="C604" s="267" t="s">
        <v>823</v>
      </c>
      <c r="D604" s="204">
        <v>2025</v>
      </c>
      <c r="E604" s="209" t="s">
        <v>1431</v>
      </c>
      <c r="F604" s="209" t="s">
        <v>1449</v>
      </c>
      <c r="G604" s="210" t="s">
        <v>88</v>
      </c>
      <c r="H604" s="211" t="s">
        <v>2114</v>
      </c>
      <c r="I604" s="156" t="s">
        <v>26</v>
      </c>
      <c r="J604" s="209" t="s">
        <v>1436</v>
      </c>
      <c r="K604" s="211"/>
    </row>
    <row r="605" spans="1:11" ht="117">
      <c r="A605" s="204">
        <v>603</v>
      </c>
      <c r="B605" s="205">
        <v>45686</v>
      </c>
      <c r="C605" s="267" t="s">
        <v>823</v>
      </c>
      <c r="D605" s="204">
        <v>2025</v>
      </c>
      <c r="E605" s="204" t="s">
        <v>1431</v>
      </c>
      <c r="F605" s="204" t="s">
        <v>21</v>
      </c>
      <c r="G605" s="206" t="s">
        <v>88</v>
      </c>
      <c r="H605" s="207" t="s">
        <v>2115</v>
      </c>
      <c r="I605" s="156" t="s">
        <v>26</v>
      </c>
      <c r="J605" s="204" t="s">
        <v>1436</v>
      </c>
      <c r="K605" s="207" t="s">
        <v>1451</v>
      </c>
    </row>
    <row r="606" spans="1:11" ht="84">
      <c r="A606" s="204">
        <v>604</v>
      </c>
      <c r="B606" s="208">
        <v>45686</v>
      </c>
      <c r="C606" s="267" t="s">
        <v>823</v>
      </c>
      <c r="D606" s="204">
        <v>2025</v>
      </c>
      <c r="E606" s="209" t="s">
        <v>1431</v>
      </c>
      <c r="F606" s="209" t="s">
        <v>1225</v>
      </c>
      <c r="G606" s="210" t="s">
        <v>88</v>
      </c>
      <c r="H606" s="211" t="s">
        <v>2116</v>
      </c>
      <c r="I606" s="156" t="s">
        <v>26</v>
      </c>
      <c r="J606" s="209" t="s">
        <v>1436</v>
      </c>
      <c r="K606" s="211"/>
    </row>
    <row r="607" spans="1:11" ht="150.75">
      <c r="A607" s="204">
        <v>605</v>
      </c>
      <c r="B607" s="205">
        <v>45686</v>
      </c>
      <c r="C607" s="267" t="s">
        <v>823</v>
      </c>
      <c r="D607" s="204">
        <v>2025</v>
      </c>
      <c r="E607" s="204" t="s">
        <v>1431</v>
      </c>
      <c r="F607" s="204" t="s">
        <v>216</v>
      </c>
      <c r="G607" s="213" t="s">
        <v>821</v>
      </c>
      <c r="H607" s="207" t="s">
        <v>2117</v>
      </c>
      <c r="I607" s="156" t="s">
        <v>26</v>
      </c>
      <c r="J607" s="204" t="s">
        <v>1436</v>
      </c>
      <c r="K607" s="207" t="s">
        <v>1513</v>
      </c>
    </row>
    <row r="608" spans="1:11" ht="84">
      <c r="A608" s="204">
        <v>606</v>
      </c>
      <c r="B608" s="208">
        <v>45687</v>
      </c>
      <c r="C608" s="267" t="s">
        <v>823</v>
      </c>
      <c r="D608" s="204">
        <v>2025</v>
      </c>
      <c r="E608" s="209" t="s">
        <v>1431</v>
      </c>
      <c r="F608" s="209" t="s">
        <v>1506</v>
      </c>
      <c r="G608" s="210" t="s">
        <v>88</v>
      </c>
      <c r="H608" s="211" t="s">
        <v>2118</v>
      </c>
      <c r="I608" s="156" t="s">
        <v>26</v>
      </c>
      <c r="J608" s="209" t="s">
        <v>1436</v>
      </c>
      <c r="K608" s="211" t="s">
        <v>1500</v>
      </c>
    </row>
    <row r="609" spans="1:11" ht="100.5">
      <c r="A609" s="204">
        <v>607</v>
      </c>
      <c r="B609" s="205">
        <v>45687</v>
      </c>
      <c r="C609" s="267" t="s">
        <v>823</v>
      </c>
      <c r="D609" s="204">
        <v>2025</v>
      </c>
      <c r="E609" s="204" t="s">
        <v>1431</v>
      </c>
      <c r="F609" s="204" t="s">
        <v>574</v>
      </c>
      <c r="G609" s="206" t="s">
        <v>88</v>
      </c>
      <c r="H609" s="207" t="s">
        <v>2119</v>
      </c>
      <c r="I609" s="156" t="s">
        <v>26</v>
      </c>
      <c r="J609" s="204" t="s">
        <v>1436</v>
      </c>
      <c r="K609" s="207" t="s">
        <v>1472</v>
      </c>
    </row>
    <row r="610" spans="1:11" ht="100.5">
      <c r="A610" s="204">
        <v>608</v>
      </c>
      <c r="B610" s="208">
        <v>45687</v>
      </c>
      <c r="C610" s="267" t="s">
        <v>823</v>
      </c>
      <c r="D610" s="204">
        <v>2025</v>
      </c>
      <c r="E610" s="209" t="s">
        <v>1431</v>
      </c>
      <c r="F610" s="209" t="s">
        <v>574</v>
      </c>
      <c r="G610" s="210" t="s">
        <v>88</v>
      </c>
      <c r="H610" s="211" t="s">
        <v>2120</v>
      </c>
      <c r="I610" s="156" t="s">
        <v>26</v>
      </c>
      <c r="J610" s="209" t="s">
        <v>1436</v>
      </c>
      <c r="K610" s="211" t="s">
        <v>1472</v>
      </c>
    </row>
    <row r="611" spans="1:11" ht="84">
      <c r="A611" s="204">
        <v>609</v>
      </c>
      <c r="B611" s="205">
        <v>45688</v>
      </c>
      <c r="C611" s="267" t="s">
        <v>823</v>
      </c>
      <c r="D611" s="204">
        <v>2025</v>
      </c>
      <c r="E611" s="204" t="s">
        <v>1431</v>
      </c>
      <c r="F611" s="204" t="s">
        <v>1566</v>
      </c>
      <c r="G611" s="206" t="s">
        <v>88</v>
      </c>
      <c r="H611" s="207" t="s">
        <v>2121</v>
      </c>
      <c r="I611" s="156" t="s">
        <v>26</v>
      </c>
      <c r="J611" s="204" t="s">
        <v>1436</v>
      </c>
      <c r="K611" s="207" t="s">
        <v>1500</v>
      </c>
    </row>
    <row r="612" spans="1:11" ht="84">
      <c r="A612" s="204">
        <v>610</v>
      </c>
      <c r="B612" s="208">
        <v>45688</v>
      </c>
      <c r="C612" s="267" t="s">
        <v>823</v>
      </c>
      <c r="D612" s="204">
        <v>2025</v>
      </c>
      <c r="E612" s="209" t="s">
        <v>1431</v>
      </c>
      <c r="F612" s="209" t="s">
        <v>1506</v>
      </c>
      <c r="G612" s="210" t="s">
        <v>88</v>
      </c>
      <c r="H612" s="211" t="s">
        <v>2122</v>
      </c>
      <c r="I612" s="156" t="s">
        <v>26</v>
      </c>
      <c r="J612" s="209" t="s">
        <v>1436</v>
      </c>
      <c r="K612" s="211" t="s">
        <v>1500</v>
      </c>
    </row>
    <row r="613" spans="1:11" ht="100.5">
      <c r="A613" s="204">
        <v>611</v>
      </c>
      <c r="B613" s="205">
        <v>45691</v>
      </c>
      <c r="C613" s="265" t="s">
        <v>824</v>
      </c>
      <c r="D613" s="204">
        <v>2025</v>
      </c>
      <c r="E613" s="204" t="s">
        <v>1431</v>
      </c>
      <c r="F613" s="204" t="s">
        <v>1584</v>
      </c>
      <c r="G613" s="213" t="s">
        <v>821</v>
      </c>
      <c r="H613" s="207" t="s">
        <v>2123</v>
      </c>
      <c r="I613" s="156" t="s">
        <v>26</v>
      </c>
      <c r="J613" s="204" t="s">
        <v>1436</v>
      </c>
      <c r="K613" s="207" t="s">
        <v>1448</v>
      </c>
    </row>
    <row r="614" spans="1:11" ht="33.75">
      <c r="A614" s="204">
        <v>612</v>
      </c>
      <c r="B614" s="208">
        <v>45691</v>
      </c>
      <c r="C614" s="265" t="s">
        <v>824</v>
      </c>
      <c r="D614" s="204">
        <v>2025</v>
      </c>
      <c r="E614" s="209" t="s">
        <v>1431</v>
      </c>
      <c r="F614" s="209" t="s">
        <v>1436</v>
      </c>
      <c r="G614" s="213" t="s">
        <v>821</v>
      </c>
      <c r="H614" s="211" t="s">
        <v>2124</v>
      </c>
      <c r="I614" s="156" t="s">
        <v>26</v>
      </c>
      <c r="J614" s="209" t="s">
        <v>1436</v>
      </c>
      <c r="K614" s="211"/>
    </row>
    <row r="615" spans="1:11" ht="117">
      <c r="A615" s="204">
        <v>613</v>
      </c>
      <c r="B615" s="205">
        <v>45691</v>
      </c>
      <c r="C615" s="265" t="s">
        <v>824</v>
      </c>
      <c r="D615" s="204">
        <v>2025</v>
      </c>
      <c r="E615" s="204" t="s">
        <v>1431</v>
      </c>
      <c r="F615" s="204" t="s">
        <v>21</v>
      </c>
      <c r="G615" s="213" t="s">
        <v>821</v>
      </c>
      <c r="H615" s="207" t="s">
        <v>2125</v>
      </c>
      <c r="I615" s="156" t="s">
        <v>26</v>
      </c>
      <c r="J615" s="204" t="s">
        <v>1436</v>
      </c>
      <c r="K615" s="207" t="s">
        <v>1482</v>
      </c>
    </row>
    <row r="616" spans="1:11" ht="16.5">
      <c r="A616" s="204">
        <v>614</v>
      </c>
      <c r="B616" s="208">
        <v>45691</v>
      </c>
      <c r="C616" s="265" t="s">
        <v>824</v>
      </c>
      <c r="D616" s="204">
        <v>2025</v>
      </c>
      <c r="E616" s="209" t="s">
        <v>1431</v>
      </c>
      <c r="F616" s="209" t="s">
        <v>216</v>
      </c>
      <c r="G616" s="213" t="s">
        <v>821</v>
      </c>
      <c r="H616" s="211" t="s">
        <v>2126</v>
      </c>
      <c r="I616" s="156" t="s">
        <v>26</v>
      </c>
      <c r="J616" s="209" t="s">
        <v>1436</v>
      </c>
      <c r="K616" s="211"/>
    </row>
    <row r="617" spans="1:11" ht="84">
      <c r="A617" s="204">
        <v>615</v>
      </c>
      <c r="B617" s="205">
        <v>45691</v>
      </c>
      <c r="C617" s="265" t="s">
        <v>824</v>
      </c>
      <c r="D617" s="204">
        <v>2025</v>
      </c>
      <c r="E617" s="204" t="s">
        <v>1431</v>
      </c>
      <c r="F617" s="204" t="s">
        <v>1506</v>
      </c>
      <c r="G617" s="206" t="s">
        <v>88</v>
      </c>
      <c r="H617" s="207" t="s">
        <v>2127</v>
      </c>
      <c r="I617" s="156" t="s">
        <v>26</v>
      </c>
      <c r="J617" s="204" t="s">
        <v>1436</v>
      </c>
      <c r="K617" s="207" t="s">
        <v>1500</v>
      </c>
    </row>
    <row r="618" spans="1:11" ht="50.25">
      <c r="A618" s="204">
        <v>616</v>
      </c>
      <c r="B618" s="208">
        <v>45691</v>
      </c>
      <c r="C618" s="265" t="s">
        <v>824</v>
      </c>
      <c r="D618" s="204">
        <v>2025</v>
      </c>
      <c r="E618" s="209" t="s">
        <v>1431</v>
      </c>
      <c r="F618" s="209" t="s">
        <v>1436</v>
      </c>
      <c r="G618" s="210" t="s">
        <v>88</v>
      </c>
      <c r="H618" s="211" t="s">
        <v>2128</v>
      </c>
      <c r="I618" s="156" t="s">
        <v>26</v>
      </c>
      <c r="J618" s="209" t="s">
        <v>1436</v>
      </c>
      <c r="K618" s="211"/>
    </row>
    <row r="619" spans="1:11" ht="100.5">
      <c r="A619" s="204">
        <v>617</v>
      </c>
      <c r="B619" s="205">
        <v>45691</v>
      </c>
      <c r="C619" s="265" t="s">
        <v>824</v>
      </c>
      <c r="D619" s="204">
        <v>2025</v>
      </c>
      <c r="E619" s="204" t="s">
        <v>1431</v>
      </c>
      <c r="F619" s="204" t="s">
        <v>1436</v>
      </c>
      <c r="G619" s="206" t="s">
        <v>88</v>
      </c>
      <c r="H619" s="207" t="s">
        <v>2129</v>
      </c>
      <c r="I619" s="156" t="s">
        <v>26</v>
      </c>
      <c r="J619" s="204" t="s">
        <v>1436</v>
      </c>
      <c r="K619" s="207" t="s">
        <v>1454</v>
      </c>
    </row>
    <row r="620" spans="1:11" ht="84">
      <c r="A620" s="204">
        <v>618</v>
      </c>
      <c r="B620" s="208">
        <v>45691</v>
      </c>
      <c r="C620" s="265" t="s">
        <v>824</v>
      </c>
      <c r="D620" s="204">
        <v>2025</v>
      </c>
      <c r="E620" s="209" t="s">
        <v>1431</v>
      </c>
      <c r="F620" s="209" t="s">
        <v>1506</v>
      </c>
      <c r="G620" s="210" t="s">
        <v>88</v>
      </c>
      <c r="H620" s="211" t="s">
        <v>2130</v>
      </c>
      <c r="I620" s="156" t="s">
        <v>26</v>
      </c>
      <c r="J620" s="209" t="s">
        <v>1436</v>
      </c>
      <c r="K620" s="211" t="s">
        <v>1500</v>
      </c>
    </row>
    <row r="621" spans="1:11" ht="84">
      <c r="A621" s="204">
        <v>619</v>
      </c>
      <c r="B621" s="205">
        <v>45691</v>
      </c>
      <c r="C621" s="265" t="s">
        <v>824</v>
      </c>
      <c r="D621" s="204">
        <v>2025</v>
      </c>
      <c r="E621" s="204" t="s">
        <v>1431</v>
      </c>
      <c r="F621" s="204" t="s">
        <v>1506</v>
      </c>
      <c r="G621" s="206" t="s">
        <v>88</v>
      </c>
      <c r="H621" s="207" t="s">
        <v>2131</v>
      </c>
      <c r="I621" s="156" t="s">
        <v>26</v>
      </c>
      <c r="J621" s="204" t="s">
        <v>1436</v>
      </c>
      <c r="K621" s="207" t="s">
        <v>1500</v>
      </c>
    </row>
    <row r="622" spans="1:11" ht="84">
      <c r="A622" s="204">
        <v>620</v>
      </c>
      <c r="B622" s="208">
        <v>45691</v>
      </c>
      <c r="C622" s="265" t="s">
        <v>824</v>
      </c>
      <c r="D622" s="204">
        <v>2025</v>
      </c>
      <c r="E622" s="209" t="s">
        <v>1431</v>
      </c>
      <c r="F622" s="209" t="s">
        <v>1506</v>
      </c>
      <c r="G622" s="210" t="s">
        <v>88</v>
      </c>
      <c r="H622" s="211" t="s">
        <v>2132</v>
      </c>
      <c r="I622" s="156" t="s">
        <v>26</v>
      </c>
      <c r="J622" s="209" t="s">
        <v>1436</v>
      </c>
      <c r="K622" s="211" t="s">
        <v>1500</v>
      </c>
    </row>
    <row r="623" spans="1:11" ht="50.25">
      <c r="A623" s="204">
        <v>621</v>
      </c>
      <c r="B623" s="205">
        <v>45691</v>
      </c>
      <c r="C623" s="265" t="s">
        <v>824</v>
      </c>
      <c r="D623" s="204">
        <v>2025</v>
      </c>
      <c r="E623" s="204" t="s">
        <v>1431</v>
      </c>
      <c r="F623" s="204" t="s">
        <v>1436</v>
      </c>
      <c r="G623" s="206" t="s">
        <v>88</v>
      </c>
      <c r="H623" s="207" t="s">
        <v>2133</v>
      </c>
      <c r="I623" s="156" t="s">
        <v>26</v>
      </c>
      <c r="J623" s="204" t="s">
        <v>1436</v>
      </c>
      <c r="K623" s="207"/>
    </row>
    <row r="624" spans="1:11" ht="50.25">
      <c r="A624" s="204">
        <v>622</v>
      </c>
      <c r="B624" s="208">
        <v>45691</v>
      </c>
      <c r="C624" s="265" t="s">
        <v>824</v>
      </c>
      <c r="D624" s="204">
        <v>2025</v>
      </c>
      <c r="E624" s="209" t="s">
        <v>1431</v>
      </c>
      <c r="F624" s="209" t="s">
        <v>1449</v>
      </c>
      <c r="G624" s="210" t="s">
        <v>88</v>
      </c>
      <c r="H624" s="211" t="s">
        <v>2134</v>
      </c>
      <c r="I624" s="156" t="s">
        <v>26</v>
      </c>
      <c r="J624" s="209" t="s">
        <v>1436</v>
      </c>
      <c r="K624" s="211"/>
    </row>
    <row r="625" spans="1:11" ht="100.5">
      <c r="A625" s="204">
        <v>623</v>
      </c>
      <c r="B625" s="205">
        <v>45692</v>
      </c>
      <c r="C625" s="265" t="s">
        <v>824</v>
      </c>
      <c r="D625" s="204">
        <v>2025</v>
      </c>
      <c r="E625" s="204" t="s">
        <v>1431</v>
      </c>
      <c r="F625" s="204" t="s">
        <v>574</v>
      </c>
      <c r="G625" s="206" t="s">
        <v>88</v>
      </c>
      <c r="H625" s="207" t="s">
        <v>2135</v>
      </c>
      <c r="I625" s="156" t="s">
        <v>26</v>
      </c>
      <c r="J625" s="204" t="s">
        <v>1436</v>
      </c>
      <c r="K625" s="207" t="s">
        <v>1472</v>
      </c>
    </row>
    <row r="626" spans="1:11" ht="117">
      <c r="A626" s="204">
        <v>624</v>
      </c>
      <c r="B626" s="208">
        <v>45692</v>
      </c>
      <c r="C626" s="265" t="s">
        <v>824</v>
      </c>
      <c r="D626" s="204">
        <v>2025</v>
      </c>
      <c r="E626" s="209" t="s">
        <v>1431</v>
      </c>
      <c r="F626" s="209" t="s">
        <v>1449</v>
      </c>
      <c r="G626" s="210" t="s">
        <v>88</v>
      </c>
      <c r="H626" s="211" t="s">
        <v>2136</v>
      </c>
      <c r="I626" s="156" t="s">
        <v>26</v>
      </c>
      <c r="J626" s="209" t="s">
        <v>1436</v>
      </c>
      <c r="K626" s="211" t="s">
        <v>1451</v>
      </c>
    </row>
    <row r="627" spans="1:11" ht="33.75">
      <c r="A627" s="204">
        <v>625</v>
      </c>
      <c r="B627" s="205">
        <v>45692</v>
      </c>
      <c r="C627" s="265" t="s">
        <v>824</v>
      </c>
      <c r="D627" s="204">
        <v>2025</v>
      </c>
      <c r="E627" s="204" t="s">
        <v>1431</v>
      </c>
      <c r="F627" s="204" t="s">
        <v>1436</v>
      </c>
      <c r="G627" s="206" t="s">
        <v>88</v>
      </c>
      <c r="H627" s="207" t="s">
        <v>2137</v>
      </c>
      <c r="I627" s="156" t="s">
        <v>26</v>
      </c>
      <c r="J627" s="204" t="s">
        <v>1436</v>
      </c>
      <c r="K627" s="207"/>
    </row>
    <row r="628" spans="1:11" ht="117">
      <c r="A628" s="204">
        <v>626</v>
      </c>
      <c r="B628" s="208">
        <v>45692</v>
      </c>
      <c r="C628" s="265" t="s">
        <v>824</v>
      </c>
      <c r="D628" s="204">
        <v>2025</v>
      </c>
      <c r="E628" s="209" t="s">
        <v>1431</v>
      </c>
      <c r="F628" s="209" t="s">
        <v>1449</v>
      </c>
      <c r="G628" s="210" t="s">
        <v>88</v>
      </c>
      <c r="H628" s="211" t="s">
        <v>2138</v>
      </c>
      <c r="I628" s="156" t="s">
        <v>26</v>
      </c>
      <c r="J628" s="209" t="s">
        <v>1436</v>
      </c>
      <c r="K628" s="211" t="s">
        <v>1451</v>
      </c>
    </row>
    <row r="629" spans="1:11" ht="50.25">
      <c r="A629" s="204">
        <v>627</v>
      </c>
      <c r="B629" s="205">
        <v>45693</v>
      </c>
      <c r="C629" s="265" t="s">
        <v>824</v>
      </c>
      <c r="D629" s="204">
        <v>2025</v>
      </c>
      <c r="E629" s="204" t="s">
        <v>1431</v>
      </c>
      <c r="F629" s="204" t="s">
        <v>1560</v>
      </c>
      <c r="G629" s="214" t="s">
        <v>859</v>
      </c>
      <c r="H629" s="207" t="s">
        <v>2139</v>
      </c>
      <c r="I629" s="156" t="s">
        <v>26</v>
      </c>
      <c r="J629" s="204" t="s">
        <v>2140</v>
      </c>
      <c r="K629" s="207"/>
    </row>
    <row r="630" spans="1:11" ht="84">
      <c r="A630" s="204">
        <v>628</v>
      </c>
      <c r="B630" s="208">
        <v>45693</v>
      </c>
      <c r="C630" s="265" t="s">
        <v>824</v>
      </c>
      <c r="D630" s="204">
        <v>2025</v>
      </c>
      <c r="E630" s="209" t="s">
        <v>1431</v>
      </c>
      <c r="F630" s="209" t="s">
        <v>1506</v>
      </c>
      <c r="G630" s="210" t="s">
        <v>88</v>
      </c>
      <c r="H630" s="211" t="s">
        <v>2141</v>
      </c>
      <c r="I630" s="156" t="s">
        <v>26</v>
      </c>
      <c r="J630" s="209" t="s">
        <v>1436</v>
      </c>
      <c r="K630" s="211" t="s">
        <v>1500</v>
      </c>
    </row>
    <row r="631" spans="1:11" ht="117">
      <c r="A631" s="204">
        <v>629</v>
      </c>
      <c r="B631" s="205">
        <v>45693</v>
      </c>
      <c r="C631" s="265" t="s">
        <v>824</v>
      </c>
      <c r="D631" s="204">
        <v>2025</v>
      </c>
      <c r="E631" s="204" t="s">
        <v>1431</v>
      </c>
      <c r="F631" s="204" t="s">
        <v>1449</v>
      </c>
      <c r="G631" s="206" t="s">
        <v>88</v>
      </c>
      <c r="H631" s="207" t="s">
        <v>2142</v>
      </c>
      <c r="I631" s="156" t="s">
        <v>26</v>
      </c>
      <c r="J631" s="204" t="s">
        <v>1436</v>
      </c>
      <c r="K631" s="207" t="s">
        <v>1451</v>
      </c>
    </row>
    <row r="632" spans="1:11" ht="50.25">
      <c r="A632" s="204">
        <v>630</v>
      </c>
      <c r="B632" s="208">
        <v>45694</v>
      </c>
      <c r="C632" s="265" t="s">
        <v>824</v>
      </c>
      <c r="D632" s="204">
        <v>2025</v>
      </c>
      <c r="E632" s="209" t="s">
        <v>1431</v>
      </c>
      <c r="F632" s="209" t="s">
        <v>1436</v>
      </c>
      <c r="G632" s="212" t="s">
        <v>1439</v>
      </c>
      <c r="H632" s="211" t="s">
        <v>2143</v>
      </c>
      <c r="I632" s="156" t="s">
        <v>26</v>
      </c>
      <c r="J632" s="209" t="s">
        <v>1436</v>
      </c>
      <c r="K632" s="211"/>
    </row>
    <row r="633" spans="1:11" ht="66.75">
      <c r="A633" s="204">
        <v>631</v>
      </c>
      <c r="B633" s="205">
        <v>45694</v>
      </c>
      <c r="C633" s="265" t="s">
        <v>824</v>
      </c>
      <c r="D633" s="204">
        <v>2025</v>
      </c>
      <c r="E633" s="204" t="s">
        <v>1431</v>
      </c>
      <c r="F633" s="204" t="s">
        <v>1506</v>
      </c>
      <c r="G633" s="206" t="s">
        <v>88</v>
      </c>
      <c r="H633" s="207" t="s">
        <v>2144</v>
      </c>
      <c r="I633" s="156" t="s">
        <v>26</v>
      </c>
      <c r="J633" s="204" t="s">
        <v>1436</v>
      </c>
      <c r="K633" s="207"/>
    </row>
    <row r="634" spans="1:11" ht="33.75">
      <c r="A634" s="204">
        <v>632</v>
      </c>
      <c r="B634" s="208">
        <v>45694</v>
      </c>
      <c r="C634" s="265" t="s">
        <v>824</v>
      </c>
      <c r="D634" s="204">
        <v>2025</v>
      </c>
      <c r="E634" s="209" t="s">
        <v>1431</v>
      </c>
      <c r="F634" s="209" t="s">
        <v>1539</v>
      </c>
      <c r="G634" s="210" t="s">
        <v>88</v>
      </c>
      <c r="H634" s="211" t="s">
        <v>2145</v>
      </c>
      <c r="I634" s="156" t="s">
        <v>26</v>
      </c>
      <c r="J634" s="209" t="s">
        <v>1436</v>
      </c>
      <c r="K634" s="211"/>
    </row>
    <row r="635" spans="1:11" ht="50.25">
      <c r="A635" s="204">
        <v>633</v>
      </c>
      <c r="B635" s="205">
        <v>45694</v>
      </c>
      <c r="C635" s="265" t="s">
        <v>824</v>
      </c>
      <c r="D635" s="204">
        <v>2025</v>
      </c>
      <c r="E635" s="204" t="s">
        <v>1431</v>
      </c>
      <c r="F635" s="204" t="s">
        <v>1449</v>
      </c>
      <c r="G635" s="206" t="s">
        <v>88</v>
      </c>
      <c r="H635" s="207" t="s">
        <v>2146</v>
      </c>
      <c r="I635" s="156" t="s">
        <v>26</v>
      </c>
      <c r="J635" s="204" t="s">
        <v>1436</v>
      </c>
      <c r="K635" s="207"/>
    </row>
    <row r="636" spans="1:11" ht="117">
      <c r="A636" s="204">
        <v>634</v>
      </c>
      <c r="B636" s="208">
        <v>45694</v>
      </c>
      <c r="C636" s="265" t="s">
        <v>824</v>
      </c>
      <c r="D636" s="204">
        <v>2025</v>
      </c>
      <c r="E636" s="209" t="s">
        <v>1431</v>
      </c>
      <c r="F636" s="209" t="s">
        <v>1436</v>
      </c>
      <c r="G636" s="210" t="s">
        <v>88</v>
      </c>
      <c r="H636" s="211" t="s">
        <v>2147</v>
      </c>
      <c r="I636" s="156" t="s">
        <v>26</v>
      </c>
      <c r="J636" s="209" t="s">
        <v>1436</v>
      </c>
      <c r="K636" s="211" t="s">
        <v>1451</v>
      </c>
    </row>
    <row r="637" spans="1:11" ht="33.75">
      <c r="A637" s="204">
        <v>635</v>
      </c>
      <c r="B637" s="205">
        <v>45694</v>
      </c>
      <c r="C637" s="265" t="s">
        <v>824</v>
      </c>
      <c r="D637" s="204">
        <v>2025</v>
      </c>
      <c r="E637" s="204" t="s">
        <v>1431</v>
      </c>
      <c r="F637" s="204" t="s">
        <v>1449</v>
      </c>
      <c r="G637" s="206" t="s">
        <v>88</v>
      </c>
      <c r="H637" s="207" t="s">
        <v>2148</v>
      </c>
      <c r="I637" s="156" t="s">
        <v>26</v>
      </c>
      <c r="J637" s="204" t="s">
        <v>1436</v>
      </c>
      <c r="K637" s="207"/>
    </row>
    <row r="638" spans="1:11" ht="84">
      <c r="A638" s="204">
        <v>636</v>
      </c>
      <c r="B638" s="208">
        <v>45698</v>
      </c>
      <c r="C638" s="265" t="s">
        <v>824</v>
      </c>
      <c r="D638" s="204">
        <v>2025</v>
      </c>
      <c r="E638" s="209" t="s">
        <v>1431</v>
      </c>
      <c r="F638" s="209" t="s">
        <v>1506</v>
      </c>
      <c r="G638" s="210" t="s">
        <v>88</v>
      </c>
      <c r="H638" s="211" t="s">
        <v>2149</v>
      </c>
      <c r="I638" s="156" t="s">
        <v>26</v>
      </c>
      <c r="J638" s="209" t="s">
        <v>2150</v>
      </c>
      <c r="K638" s="211" t="s">
        <v>1500</v>
      </c>
    </row>
    <row r="639" spans="1:11" ht="100.5">
      <c r="A639" s="204">
        <v>637</v>
      </c>
      <c r="B639" s="205">
        <v>45698</v>
      </c>
      <c r="C639" s="265" t="s">
        <v>824</v>
      </c>
      <c r="D639" s="204">
        <v>2025</v>
      </c>
      <c r="E639" s="204" t="s">
        <v>1431</v>
      </c>
      <c r="F639" s="204" t="s">
        <v>1584</v>
      </c>
      <c r="G639" s="213" t="s">
        <v>821</v>
      </c>
      <c r="H639" s="207" t="s">
        <v>2151</v>
      </c>
      <c r="I639" s="156" t="s">
        <v>26</v>
      </c>
      <c r="J639" s="204" t="s">
        <v>1436</v>
      </c>
      <c r="K639" s="207" t="s">
        <v>1448</v>
      </c>
    </row>
    <row r="640" spans="1:11" ht="117">
      <c r="A640" s="204">
        <v>638</v>
      </c>
      <c r="B640" s="208">
        <v>45698</v>
      </c>
      <c r="C640" s="265" t="s">
        <v>824</v>
      </c>
      <c r="D640" s="204">
        <v>2025</v>
      </c>
      <c r="E640" s="209" t="s">
        <v>1431</v>
      </c>
      <c r="F640" s="209" t="s">
        <v>1539</v>
      </c>
      <c r="G640" s="210" t="s">
        <v>88</v>
      </c>
      <c r="H640" s="211" t="s">
        <v>2152</v>
      </c>
      <c r="I640" s="156" t="s">
        <v>26</v>
      </c>
      <c r="J640" s="209" t="s">
        <v>1436</v>
      </c>
      <c r="K640" s="211" t="s">
        <v>1472</v>
      </c>
    </row>
    <row r="641" spans="1:11" ht="33.75">
      <c r="A641" s="204">
        <v>639</v>
      </c>
      <c r="B641" s="205">
        <v>45699</v>
      </c>
      <c r="C641" s="265" t="s">
        <v>824</v>
      </c>
      <c r="D641" s="204">
        <v>2025</v>
      </c>
      <c r="E641" s="204" t="s">
        <v>1431</v>
      </c>
      <c r="F641" s="204" t="s">
        <v>1436</v>
      </c>
      <c r="G641" s="206" t="s">
        <v>88</v>
      </c>
      <c r="H641" s="207" t="s">
        <v>2153</v>
      </c>
      <c r="I641" s="156" t="s">
        <v>26</v>
      </c>
      <c r="J641" s="204" t="s">
        <v>1436</v>
      </c>
      <c r="K641" s="207"/>
    </row>
    <row r="642" spans="1:11" ht="134.25">
      <c r="A642" s="204">
        <v>640</v>
      </c>
      <c r="B642" s="208">
        <v>45699</v>
      </c>
      <c r="C642" s="265" t="s">
        <v>824</v>
      </c>
      <c r="D642" s="204">
        <v>2025</v>
      </c>
      <c r="E642" s="209" t="s">
        <v>1431</v>
      </c>
      <c r="F642" s="209" t="s">
        <v>216</v>
      </c>
      <c r="G642" s="213" t="s">
        <v>821</v>
      </c>
      <c r="H642" s="211" t="s">
        <v>2154</v>
      </c>
      <c r="I642" s="156" t="s">
        <v>26</v>
      </c>
      <c r="J642" s="209" t="s">
        <v>492</v>
      </c>
      <c r="K642" s="211" t="s">
        <v>1601</v>
      </c>
    </row>
    <row r="643" spans="1:11" ht="16.5">
      <c r="A643" s="204">
        <v>641</v>
      </c>
      <c r="B643" s="205">
        <v>45699</v>
      </c>
      <c r="C643" s="265" t="s">
        <v>824</v>
      </c>
      <c r="D643" s="204">
        <v>2025</v>
      </c>
      <c r="E643" s="204" t="s">
        <v>1431</v>
      </c>
      <c r="F643" s="204" t="s">
        <v>1436</v>
      </c>
      <c r="G643" s="213" t="s">
        <v>821</v>
      </c>
      <c r="H643" s="207" t="s">
        <v>2155</v>
      </c>
      <c r="I643" s="156" t="s">
        <v>26</v>
      </c>
      <c r="J643" s="204" t="s">
        <v>1436</v>
      </c>
      <c r="K643" s="207"/>
    </row>
    <row r="644" spans="1:11" ht="117">
      <c r="A644" s="204">
        <v>642</v>
      </c>
      <c r="B644" s="208">
        <v>45700</v>
      </c>
      <c r="C644" s="265" t="s">
        <v>824</v>
      </c>
      <c r="D644" s="204">
        <v>2025</v>
      </c>
      <c r="E644" s="209" t="s">
        <v>1431</v>
      </c>
      <c r="F644" s="209" t="s">
        <v>21</v>
      </c>
      <c r="G644" s="213" t="s">
        <v>821</v>
      </c>
      <c r="H644" s="211" t="s">
        <v>2156</v>
      </c>
      <c r="I644" s="156" t="s">
        <v>26</v>
      </c>
      <c r="J644" s="209" t="s">
        <v>1436</v>
      </c>
      <c r="K644" s="211" t="s">
        <v>1482</v>
      </c>
    </row>
    <row r="645" spans="1:11" ht="50.25">
      <c r="A645" s="204">
        <v>643</v>
      </c>
      <c r="B645" s="205">
        <v>45700</v>
      </c>
      <c r="C645" s="265" t="s">
        <v>824</v>
      </c>
      <c r="D645" s="204">
        <v>2025</v>
      </c>
      <c r="E645" s="204" t="s">
        <v>1431</v>
      </c>
      <c r="F645" s="204" t="s">
        <v>1584</v>
      </c>
      <c r="G645" s="213" t="s">
        <v>821</v>
      </c>
      <c r="H645" s="207" t="s">
        <v>2157</v>
      </c>
      <c r="I645" s="156" t="s">
        <v>26</v>
      </c>
      <c r="J645" s="204" t="s">
        <v>1436</v>
      </c>
      <c r="K645" s="207"/>
    </row>
    <row r="646" spans="1:11" ht="66.75">
      <c r="A646" s="204">
        <v>644</v>
      </c>
      <c r="B646" s="208">
        <v>45701</v>
      </c>
      <c r="C646" s="265" t="s">
        <v>824</v>
      </c>
      <c r="D646" s="204">
        <v>2025</v>
      </c>
      <c r="E646" s="209" t="s">
        <v>1431</v>
      </c>
      <c r="F646" s="209" t="s">
        <v>1436</v>
      </c>
      <c r="G646" s="210" t="s">
        <v>88</v>
      </c>
      <c r="H646" s="211" t="s">
        <v>2158</v>
      </c>
      <c r="I646" s="156" t="s">
        <v>26</v>
      </c>
      <c r="J646" s="209" t="s">
        <v>1436</v>
      </c>
      <c r="K646" s="211"/>
    </row>
    <row r="647" spans="1:11" ht="33.75">
      <c r="A647" s="204">
        <v>645</v>
      </c>
      <c r="B647" s="205">
        <v>45701</v>
      </c>
      <c r="C647" s="265" t="s">
        <v>824</v>
      </c>
      <c r="D647" s="204">
        <v>2025</v>
      </c>
      <c r="E647" s="204" t="s">
        <v>1431</v>
      </c>
      <c r="F647" s="204" t="s">
        <v>1584</v>
      </c>
      <c r="G647" s="213" t="s">
        <v>821</v>
      </c>
      <c r="H647" s="207" t="s">
        <v>2159</v>
      </c>
      <c r="I647" s="156" t="s">
        <v>26</v>
      </c>
      <c r="J647" s="204" t="s">
        <v>1436</v>
      </c>
      <c r="K647" s="207"/>
    </row>
    <row r="648" spans="1:11" ht="50.25">
      <c r="A648" s="204">
        <v>646</v>
      </c>
      <c r="B648" s="208">
        <v>45701</v>
      </c>
      <c r="C648" s="265" t="s">
        <v>824</v>
      </c>
      <c r="D648" s="204">
        <v>2025</v>
      </c>
      <c r="E648" s="209" t="s">
        <v>1431</v>
      </c>
      <c r="F648" s="209" t="s">
        <v>1436</v>
      </c>
      <c r="G648" s="217" t="s">
        <v>859</v>
      </c>
      <c r="H648" s="211" t="s">
        <v>2160</v>
      </c>
      <c r="I648" s="156" t="s">
        <v>26</v>
      </c>
      <c r="J648" s="209" t="s">
        <v>1436</v>
      </c>
      <c r="K648" s="211"/>
    </row>
    <row r="649" spans="1:11" ht="33.75">
      <c r="A649" s="204">
        <v>647</v>
      </c>
      <c r="B649" s="205">
        <v>45702</v>
      </c>
      <c r="C649" s="265" t="s">
        <v>824</v>
      </c>
      <c r="D649" s="204">
        <v>2025</v>
      </c>
      <c r="E649" s="204" t="s">
        <v>1431</v>
      </c>
      <c r="F649" s="204" t="s">
        <v>1436</v>
      </c>
      <c r="G649" s="214" t="s">
        <v>859</v>
      </c>
      <c r="H649" s="207" t="s">
        <v>2161</v>
      </c>
      <c r="I649" s="156" t="s">
        <v>26</v>
      </c>
      <c r="J649" s="204" t="s">
        <v>1436</v>
      </c>
      <c r="K649" s="207"/>
    </row>
    <row r="650" spans="1:11" ht="16.5">
      <c r="A650" s="204">
        <v>648</v>
      </c>
      <c r="B650" s="208">
        <v>45702</v>
      </c>
      <c r="C650" s="265" t="s">
        <v>824</v>
      </c>
      <c r="D650" s="204">
        <v>2025</v>
      </c>
      <c r="E650" s="209" t="s">
        <v>1431</v>
      </c>
      <c r="F650" s="209" t="s">
        <v>1436</v>
      </c>
      <c r="G650" s="213" t="s">
        <v>821</v>
      </c>
      <c r="H650" s="211" t="s">
        <v>2162</v>
      </c>
      <c r="I650" s="156" t="s">
        <v>26</v>
      </c>
      <c r="J650" s="209" t="s">
        <v>1436</v>
      </c>
      <c r="K650" s="211"/>
    </row>
    <row r="651" spans="1:11" ht="117">
      <c r="A651" s="204">
        <v>649</v>
      </c>
      <c r="B651" s="205">
        <v>45702</v>
      </c>
      <c r="C651" s="265" t="s">
        <v>824</v>
      </c>
      <c r="D651" s="204">
        <v>2025</v>
      </c>
      <c r="E651" s="204" t="s">
        <v>1431</v>
      </c>
      <c r="F651" s="204" t="s">
        <v>21</v>
      </c>
      <c r="G651" s="213" t="s">
        <v>821</v>
      </c>
      <c r="H651" s="207" t="s">
        <v>2163</v>
      </c>
      <c r="I651" s="156" t="s">
        <v>26</v>
      </c>
      <c r="J651" s="204" t="s">
        <v>1436</v>
      </c>
      <c r="K651" s="207" t="s">
        <v>1482</v>
      </c>
    </row>
    <row r="652" spans="1:11" ht="100.5">
      <c r="A652" s="204">
        <v>650</v>
      </c>
      <c r="B652" s="208">
        <v>45702</v>
      </c>
      <c r="C652" s="265" t="s">
        <v>824</v>
      </c>
      <c r="D652" s="204">
        <v>2025</v>
      </c>
      <c r="E652" s="209" t="s">
        <v>1431</v>
      </c>
      <c r="F652" s="209" t="s">
        <v>1436</v>
      </c>
      <c r="G652" s="213" t="s">
        <v>821</v>
      </c>
      <c r="H652" s="211" t="s">
        <v>2164</v>
      </c>
      <c r="I652" s="156" t="s">
        <v>26</v>
      </c>
      <c r="J652" s="209" t="s">
        <v>1436</v>
      </c>
      <c r="K652" s="211" t="s">
        <v>1448</v>
      </c>
    </row>
    <row r="653" spans="1:11" ht="100.5">
      <c r="A653" s="204">
        <v>651</v>
      </c>
      <c r="B653" s="205">
        <v>45702</v>
      </c>
      <c r="C653" s="265" t="s">
        <v>824</v>
      </c>
      <c r="D653" s="204">
        <v>2025</v>
      </c>
      <c r="E653" s="204" t="s">
        <v>1431</v>
      </c>
      <c r="F653" s="204" t="s">
        <v>21</v>
      </c>
      <c r="G653" s="213" t="s">
        <v>821</v>
      </c>
      <c r="H653" s="207" t="s">
        <v>2165</v>
      </c>
      <c r="I653" s="156" t="s">
        <v>26</v>
      </c>
      <c r="J653" s="204" t="s">
        <v>1436</v>
      </c>
      <c r="K653" s="207" t="s">
        <v>1448</v>
      </c>
    </row>
    <row r="654" spans="1:11" ht="117">
      <c r="A654" s="204">
        <v>652</v>
      </c>
      <c r="B654" s="208">
        <v>45702</v>
      </c>
      <c r="C654" s="265" t="s">
        <v>824</v>
      </c>
      <c r="D654" s="204">
        <v>2025</v>
      </c>
      <c r="E654" s="209" t="s">
        <v>1431</v>
      </c>
      <c r="F654" s="209" t="s">
        <v>21</v>
      </c>
      <c r="G654" s="213" t="s">
        <v>821</v>
      </c>
      <c r="H654" s="211" t="s">
        <v>2166</v>
      </c>
      <c r="I654" s="156" t="s">
        <v>26</v>
      </c>
      <c r="J654" s="209" t="s">
        <v>1436</v>
      </c>
      <c r="K654" s="211" t="s">
        <v>1482</v>
      </c>
    </row>
    <row r="655" spans="1:11" ht="117">
      <c r="A655" s="204">
        <v>653</v>
      </c>
      <c r="B655" s="205">
        <v>45702</v>
      </c>
      <c r="C655" s="265" t="s">
        <v>824</v>
      </c>
      <c r="D655" s="204">
        <v>2025</v>
      </c>
      <c r="E655" s="204" t="s">
        <v>1431</v>
      </c>
      <c r="F655" s="204" t="s">
        <v>21</v>
      </c>
      <c r="G655" s="213" t="s">
        <v>821</v>
      </c>
      <c r="H655" s="207" t="s">
        <v>2167</v>
      </c>
      <c r="I655" s="156" t="s">
        <v>26</v>
      </c>
      <c r="J655" s="204" t="s">
        <v>1436</v>
      </c>
      <c r="K655" s="207" t="s">
        <v>1482</v>
      </c>
    </row>
    <row r="656" spans="1:11" ht="117">
      <c r="A656" s="204">
        <v>654</v>
      </c>
      <c r="B656" s="208">
        <v>45705</v>
      </c>
      <c r="C656" s="265" t="s">
        <v>824</v>
      </c>
      <c r="D656" s="204">
        <v>2025</v>
      </c>
      <c r="E656" s="209" t="s">
        <v>1431</v>
      </c>
      <c r="F656" s="209" t="s">
        <v>21</v>
      </c>
      <c r="G656" s="213" t="s">
        <v>821</v>
      </c>
      <c r="H656" s="211" t="s">
        <v>2168</v>
      </c>
      <c r="I656" s="156" t="s">
        <v>26</v>
      </c>
      <c r="J656" s="209" t="s">
        <v>1436</v>
      </c>
      <c r="K656" s="211" t="s">
        <v>1482</v>
      </c>
    </row>
    <row r="657" spans="1:11" ht="33.75">
      <c r="A657" s="204">
        <v>655</v>
      </c>
      <c r="B657" s="205">
        <v>45705</v>
      </c>
      <c r="C657" s="265" t="s">
        <v>824</v>
      </c>
      <c r="D657" s="204">
        <v>2025</v>
      </c>
      <c r="E657" s="204" t="s">
        <v>1431</v>
      </c>
      <c r="F657" s="204" t="s">
        <v>1436</v>
      </c>
      <c r="G657" s="213" t="s">
        <v>821</v>
      </c>
      <c r="H657" s="207" t="s">
        <v>2169</v>
      </c>
      <c r="I657" s="156" t="s">
        <v>26</v>
      </c>
      <c r="J657" s="204" t="s">
        <v>1436</v>
      </c>
      <c r="K657" s="207"/>
    </row>
    <row r="658" spans="1:11" ht="100.5">
      <c r="A658" s="204">
        <v>656</v>
      </c>
      <c r="B658" s="208">
        <v>45705</v>
      </c>
      <c r="C658" s="265" t="s">
        <v>824</v>
      </c>
      <c r="D658" s="204">
        <v>2025</v>
      </c>
      <c r="E658" s="209" t="s">
        <v>1431</v>
      </c>
      <c r="F658" s="209" t="s">
        <v>1580</v>
      </c>
      <c r="G658" s="212" t="s">
        <v>1439</v>
      </c>
      <c r="H658" s="211" t="s">
        <v>2170</v>
      </c>
      <c r="I658" s="156" t="s">
        <v>26</v>
      </c>
      <c r="J658" s="209" t="s">
        <v>1436</v>
      </c>
      <c r="K658" s="211" t="s">
        <v>1582</v>
      </c>
    </row>
    <row r="659" spans="1:11" ht="84">
      <c r="A659" s="204">
        <v>657</v>
      </c>
      <c r="B659" s="205">
        <v>45705</v>
      </c>
      <c r="C659" s="265" t="s">
        <v>824</v>
      </c>
      <c r="D659" s="204">
        <v>2025</v>
      </c>
      <c r="E659" s="204" t="s">
        <v>1431</v>
      </c>
      <c r="F659" s="204" t="s">
        <v>1506</v>
      </c>
      <c r="G659" s="206" t="s">
        <v>88</v>
      </c>
      <c r="H659" s="207" t="s">
        <v>2171</v>
      </c>
      <c r="I659" s="156" t="s">
        <v>26</v>
      </c>
      <c r="J659" s="204" t="s">
        <v>1436</v>
      </c>
      <c r="K659" s="207" t="s">
        <v>1500</v>
      </c>
    </row>
    <row r="660" spans="1:11" ht="117">
      <c r="A660" s="204">
        <v>658</v>
      </c>
      <c r="B660" s="208">
        <v>45706</v>
      </c>
      <c r="C660" s="265" t="s">
        <v>824</v>
      </c>
      <c r="D660" s="204">
        <v>2025</v>
      </c>
      <c r="E660" s="209" t="s">
        <v>1431</v>
      </c>
      <c r="F660" s="209" t="s">
        <v>21</v>
      </c>
      <c r="G660" s="213" t="s">
        <v>821</v>
      </c>
      <c r="H660" s="211" t="s">
        <v>2168</v>
      </c>
      <c r="I660" s="156" t="s">
        <v>26</v>
      </c>
      <c r="J660" s="209" t="s">
        <v>1436</v>
      </c>
      <c r="K660" s="211" t="s">
        <v>1482</v>
      </c>
    </row>
    <row r="661" spans="1:11" ht="84">
      <c r="A661" s="204">
        <v>659</v>
      </c>
      <c r="B661" s="205">
        <v>45706</v>
      </c>
      <c r="C661" s="265" t="s">
        <v>824</v>
      </c>
      <c r="D661" s="204">
        <v>2025</v>
      </c>
      <c r="E661" s="204" t="s">
        <v>1431</v>
      </c>
      <c r="F661" s="204" t="s">
        <v>1436</v>
      </c>
      <c r="G661" s="206" t="s">
        <v>88</v>
      </c>
      <c r="H661" s="207" t="s">
        <v>2172</v>
      </c>
      <c r="I661" s="156" t="s">
        <v>26</v>
      </c>
      <c r="J661" s="204" t="s">
        <v>1436</v>
      </c>
      <c r="K661" s="207" t="s">
        <v>1605</v>
      </c>
    </row>
    <row r="662" spans="1:11" ht="84">
      <c r="A662" s="204">
        <v>660</v>
      </c>
      <c r="B662" s="208">
        <v>45706</v>
      </c>
      <c r="C662" s="265" t="s">
        <v>824</v>
      </c>
      <c r="D662" s="204">
        <v>2025</v>
      </c>
      <c r="E662" s="209" t="s">
        <v>1431</v>
      </c>
      <c r="F662" s="209" t="s">
        <v>1506</v>
      </c>
      <c r="G662" s="210" t="s">
        <v>88</v>
      </c>
      <c r="H662" s="211" t="s">
        <v>2173</v>
      </c>
      <c r="I662" s="156" t="s">
        <v>26</v>
      </c>
      <c r="J662" s="209" t="s">
        <v>1436</v>
      </c>
      <c r="K662" s="211" t="s">
        <v>1500</v>
      </c>
    </row>
    <row r="663" spans="1:11" ht="33.75">
      <c r="A663" s="204">
        <v>661</v>
      </c>
      <c r="B663" s="205">
        <v>45706</v>
      </c>
      <c r="C663" s="265" t="s">
        <v>824</v>
      </c>
      <c r="D663" s="204">
        <v>2025</v>
      </c>
      <c r="E663" s="204" t="s">
        <v>1431</v>
      </c>
      <c r="F663" s="204" t="s">
        <v>1436</v>
      </c>
      <c r="G663" s="206" t="s">
        <v>88</v>
      </c>
      <c r="H663" s="207" t="s">
        <v>2174</v>
      </c>
      <c r="I663" s="156" t="s">
        <v>26</v>
      </c>
      <c r="J663" s="204" t="s">
        <v>1436</v>
      </c>
      <c r="K663" s="207"/>
    </row>
    <row r="664" spans="1:11" ht="84">
      <c r="A664" s="204">
        <v>662</v>
      </c>
      <c r="B664" s="208">
        <v>45707</v>
      </c>
      <c r="C664" s="265" t="s">
        <v>824</v>
      </c>
      <c r="D664" s="204">
        <v>2025</v>
      </c>
      <c r="E664" s="209" t="s">
        <v>1431</v>
      </c>
      <c r="F664" s="209" t="s">
        <v>1566</v>
      </c>
      <c r="G664" s="216" t="s">
        <v>872</v>
      </c>
      <c r="H664" s="211" t="s">
        <v>2175</v>
      </c>
      <c r="I664" s="156" t="s">
        <v>26</v>
      </c>
      <c r="J664" s="209" t="s">
        <v>1436</v>
      </c>
      <c r="K664" s="211" t="s">
        <v>1500</v>
      </c>
    </row>
    <row r="665" spans="1:11" ht="33.75">
      <c r="A665" s="204">
        <v>663</v>
      </c>
      <c r="B665" s="205">
        <v>45707</v>
      </c>
      <c r="C665" s="265" t="s">
        <v>824</v>
      </c>
      <c r="D665" s="204">
        <v>2025</v>
      </c>
      <c r="E665" s="204" t="s">
        <v>1431</v>
      </c>
      <c r="F665" s="204" t="s">
        <v>1225</v>
      </c>
      <c r="G665" s="214" t="s">
        <v>859</v>
      </c>
      <c r="H665" s="207" t="s">
        <v>2176</v>
      </c>
      <c r="I665" s="156" t="s">
        <v>26</v>
      </c>
      <c r="J665" s="204" t="s">
        <v>1436</v>
      </c>
      <c r="K665" s="207"/>
    </row>
    <row r="666" spans="1:11" ht="66.75">
      <c r="A666" s="204">
        <v>664</v>
      </c>
      <c r="B666" s="208">
        <v>45707</v>
      </c>
      <c r="C666" s="265" t="s">
        <v>824</v>
      </c>
      <c r="D666" s="204">
        <v>2025</v>
      </c>
      <c r="E666" s="209" t="s">
        <v>1431</v>
      </c>
      <c r="F666" s="209" t="s">
        <v>1539</v>
      </c>
      <c r="G666" s="210" t="s">
        <v>88</v>
      </c>
      <c r="H666" s="211" t="s">
        <v>2177</v>
      </c>
      <c r="I666" s="156" t="s">
        <v>26</v>
      </c>
      <c r="J666" s="209" t="s">
        <v>1436</v>
      </c>
      <c r="K666" s="211"/>
    </row>
    <row r="667" spans="1:11" ht="33.75">
      <c r="A667" s="204">
        <v>665</v>
      </c>
      <c r="B667" s="205">
        <v>45707</v>
      </c>
      <c r="C667" s="265" t="s">
        <v>824</v>
      </c>
      <c r="D667" s="204">
        <v>2025</v>
      </c>
      <c r="E667" s="204" t="s">
        <v>1431</v>
      </c>
      <c r="F667" s="204" t="s">
        <v>1158</v>
      </c>
      <c r="G667" s="213" t="s">
        <v>821</v>
      </c>
      <c r="H667" s="207" t="s">
        <v>2178</v>
      </c>
      <c r="I667" s="156" t="s">
        <v>26</v>
      </c>
      <c r="J667" s="204" t="s">
        <v>1436</v>
      </c>
      <c r="K667" s="207"/>
    </row>
    <row r="668" spans="1:11" ht="66.75">
      <c r="A668" s="204">
        <v>666</v>
      </c>
      <c r="B668" s="208">
        <v>45708</v>
      </c>
      <c r="C668" s="265" t="s">
        <v>824</v>
      </c>
      <c r="D668" s="204">
        <v>2025</v>
      </c>
      <c r="E668" s="209" t="s">
        <v>1431</v>
      </c>
      <c r="F668" s="209" t="s">
        <v>21</v>
      </c>
      <c r="G668" s="213" t="s">
        <v>821</v>
      </c>
      <c r="H668" s="211" t="s">
        <v>2179</v>
      </c>
      <c r="I668" s="156" t="s">
        <v>26</v>
      </c>
      <c r="J668" s="209" t="s">
        <v>1436</v>
      </c>
      <c r="K668" s="211"/>
    </row>
    <row r="669" spans="1:11" ht="117">
      <c r="A669" s="204">
        <v>667</v>
      </c>
      <c r="B669" s="205">
        <v>45708</v>
      </c>
      <c r="C669" s="265" t="s">
        <v>824</v>
      </c>
      <c r="D669" s="204">
        <v>2025</v>
      </c>
      <c r="E669" s="204" t="s">
        <v>1431</v>
      </c>
      <c r="F669" s="204" t="s">
        <v>21</v>
      </c>
      <c r="G669" s="213" t="s">
        <v>821</v>
      </c>
      <c r="H669" s="207" t="s">
        <v>2180</v>
      </c>
      <c r="I669" s="156" t="s">
        <v>26</v>
      </c>
      <c r="J669" s="204" t="s">
        <v>1436</v>
      </c>
      <c r="K669" s="207" t="s">
        <v>1446</v>
      </c>
    </row>
    <row r="670" spans="1:11" ht="33.75">
      <c r="A670" s="204">
        <v>668</v>
      </c>
      <c r="B670" s="208">
        <v>45708</v>
      </c>
      <c r="C670" s="265" t="s">
        <v>824</v>
      </c>
      <c r="D670" s="204">
        <v>2025</v>
      </c>
      <c r="E670" s="209" t="s">
        <v>1431</v>
      </c>
      <c r="F670" s="209" t="s">
        <v>21</v>
      </c>
      <c r="G670" s="213" t="s">
        <v>821</v>
      </c>
      <c r="H670" s="211" t="s">
        <v>2181</v>
      </c>
      <c r="I670" s="156" t="s">
        <v>26</v>
      </c>
      <c r="J670" s="209" t="s">
        <v>1436</v>
      </c>
      <c r="K670" s="211"/>
    </row>
    <row r="671" spans="1:11" ht="84">
      <c r="A671" s="204">
        <v>669</v>
      </c>
      <c r="B671" s="205">
        <v>45708</v>
      </c>
      <c r="C671" s="265" t="s">
        <v>824</v>
      </c>
      <c r="D671" s="204">
        <v>2025</v>
      </c>
      <c r="E671" s="204" t="s">
        <v>1431</v>
      </c>
      <c r="F671" s="204" t="s">
        <v>1436</v>
      </c>
      <c r="G671" s="206" t="s">
        <v>88</v>
      </c>
      <c r="H671" s="207" t="s">
        <v>2182</v>
      </c>
      <c r="I671" s="156" t="s">
        <v>26</v>
      </c>
      <c r="J671" s="204" t="s">
        <v>1436</v>
      </c>
      <c r="K671" s="207" t="s">
        <v>1500</v>
      </c>
    </row>
    <row r="672" spans="1:11" ht="117">
      <c r="A672" s="204">
        <v>670</v>
      </c>
      <c r="B672" s="208">
        <v>45709</v>
      </c>
      <c r="C672" s="265" t="s">
        <v>824</v>
      </c>
      <c r="D672" s="204">
        <v>2025</v>
      </c>
      <c r="E672" s="209" t="s">
        <v>1431</v>
      </c>
      <c r="F672" s="209" t="s">
        <v>21</v>
      </c>
      <c r="G672" s="213" t="s">
        <v>821</v>
      </c>
      <c r="H672" s="211" t="s">
        <v>2183</v>
      </c>
      <c r="I672" s="156" t="s">
        <v>26</v>
      </c>
      <c r="J672" s="209" t="s">
        <v>1436</v>
      </c>
      <c r="K672" s="211" t="s">
        <v>1482</v>
      </c>
    </row>
    <row r="673" spans="1:11" ht="117">
      <c r="A673" s="204">
        <v>671</v>
      </c>
      <c r="B673" s="205">
        <v>45709</v>
      </c>
      <c r="C673" s="265" t="s">
        <v>824</v>
      </c>
      <c r="D673" s="204">
        <v>2025</v>
      </c>
      <c r="E673" s="204" t="s">
        <v>1431</v>
      </c>
      <c r="F673" s="204" t="s">
        <v>21</v>
      </c>
      <c r="G673" s="213" t="s">
        <v>821</v>
      </c>
      <c r="H673" s="207" t="s">
        <v>2184</v>
      </c>
      <c r="I673" s="156" t="s">
        <v>26</v>
      </c>
      <c r="J673" s="204" t="s">
        <v>1436</v>
      </c>
      <c r="K673" s="207" t="s">
        <v>1482</v>
      </c>
    </row>
    <row r="674" spans="1:11" ht="117">
      <c r="A674" s="204">
        <v>672</v>
      </c>
      <c r="B674" s="208">
        <v>45709</v>
      </c>
      <c r="C674" s="265" t="s">
        <v>824</v>
      </c>
      <c r="D674" s="204">
        <v>2025</v>
      </c>
      <c r="E674" s="209" t="s">
        <v>1431</v>
      </c>
      <c r="F674" s="209" t="s">
        <v>21</v>
      </c>
      <c r="G674" s="213" t="s">
        <v>821</v>
      </c>
      <c r="H674" s="211" t="s">
        <v>2185</v>
      </c>
      <c r="I674" s="156" t="s">
        <v>26</v>
      </c>
      <c r="J674" s="209" t="s">
        <v>1436</v>
      </c>
      <c r="K674" s="211" t="s">
        <v>1482</v>
      </c>
    </row>
    <row r="675" spans="1:11" ht="117">
      <c r="A675" s="204">
        <v>673</v>
      </c>
      <c r="B675" s="205">
        <v>45709</v>
      </c>
      <c r="C675" s="265" t="s">
        <v>824</v>
      </c>
      <c r="D675" s="204">
        <v>2025</v>
      </c>
      <c r="E675" s="204" t="s">
        <v>1431</v>
      </c>
      <c r="F675" s="204" t="s">
        <v>21</v>
      </c>
      <c r="G675" s="213" t="s">
        <v>821</v>
      </c>
      <c r="H675" s="207" t="s">
        <v>2180</v>
      </c>
      <c r="I675" s="156" t="s">
        <v>26</v>
      </c>
      <c r="J675" s="204" t="s">
        <v>1436</v>
      </c>
      <c r="K675" s="207" t="s">
        <v>1446</v>
      </c>
    </row>
    <row r="676" spans="1:11" ht="117">
      <c r="A676" s="204">
        <v>674</v>
      </c>
      <c r="B676" s="208">
        <v>45709</v>
      </c>
      <c r="C676" s="265" t="s">
        <v>824</v>
      </c>
      <c r="D676" s="204">
        <v>2025</v>
      </c>
      <c r="E676" s="209" t="s">
        <v>1431</v>
      </c>
      <c r="F676" s="209" t="s">
        <v>21</v>
      </c>
      <c r="G676" s="213" t="s">
        <v>821</v>
      </c>
      <c r="H676" s="211" t="s">
        <v>2186</v>
      </c>
      <c r="I676" s="156" t="s">
        <v>26</v>
      </c>
      <c r="J676" s="209" t="s">
        <v>1436</v>
      </c>
      <c r="K676" s="211" t="s">
        <v>1482</v>
      </c>
    </row>
    <row r="677" spans="1:11" ht="117">
      <c r="A677" s="204">
        <v>675</v>
      </c>
      <c r="B677" s="205">
        <v>45712</v>
      </c>
      <c r="C677" s="265" t="s">
        <v>824</v>
      </c>
      <c r="D677" s="204">
        <v>2025</v>
      </c>
      <c r="E677" s="204" t="s">
        <v>1431</v>
      </c>
      <c r="F677" s="204" t="s">
        <v>21</v>
      </c>
      <c r="G677" s="213" t="s">
        <v>821</v>
      </c>
      <c r="H677" s="207" t="s">
        <v>2187</v>
      </c>
      <c r="I677" s="156" t="s">
        <v>26</v>
      </c>
      <c r="J677" s="204" t="s">
        <v>1436</v>
      </c>
      <c r="K677" s="207" t="s">
        <v>1482</v>
      </c>
    </row>
    <row r="678" spans="1:11" ht="117">
      <c r="A678" s="204">
        <v>676</v>
      </c>
      <c r="B678" s="208">
        <v>45712</v>
      </c>
      <c r="C678" s="265" t="s">
        <v>824</v>
      </c>
      <c r="D678" s="204">
        <v>2025</v>
      </c>
      <c r="E678" s="209" t="s">
        <v>1431</v>
      </c>
      <c r="F678" s="209" t="s">
        <v>21</v>
      </c>
      <c r="G678" s="213" t="s">
        <v>821</v>
      </c>
      <c r="H678" s="211" t="s">
        <v>2188</v>
      </c>
      <c r="I678" s="156" t="s">
        <v>26</v>
      </c>
      <c r="J678" s="209" t="s">
        <v>1436</v>
      </c>
      <c r="K678" s="211" t="s">
        <v>1482</v>
      </c>
    </row>
    <row r="679" spans="1:11" ht="117">
      <c r="A679" s="204">
        <v>677</v>
      </c>
      <c r="B679" s="205">
        <v>45712</v>
      </c>
      <c r="C679" s="265" t="s">
        <v>824</v>
      </c>
      <c r="D679" s="204">
        <v>2025</v>
      </c>
      <c r="E679" s="204" t="s">
        <v>1431</v>
      </c>
      <c r="F679" s="204" t="s">
        <v>21</v>
      </c>
      <c r="G679" s="213" t="s">
        <v>821</v>
      </c>
      <c r="H679" s="207" t="s">
        <v>2189</v>
      </c>
      <c r="I679" s="156" t="s">
        <v>26</v>
      </c>
      <c r="J679" s="204" t="s">
        <v>1436</v>
      </c>
      <c r="K679" s="207" t="s">
        <v>1482</v>
      </c>
    </row>
    <row r="680" spans="1:11" ht="50.25">
      <c r="A680" s="204">
        <v>678</v>
      </c>
      <c r="B680" s="208">
        <v>45712</v>
      </c>
      <c r="C680" s="265" t="s">
        <v>824</v>
      </c>
      <c r="D680" s="204">
        <v>2025</v>
      </c>
      <c r="E680" s="209" t="s">
        <v>1431</v>
      </c>
      <c r="F680" s="209" t="s">
        <v>21</v>
      </c>
      <c r="G680" s="213" t="s">
        <v>821</v>
      </c>
      <c r="H680" s="211" t="s">
        <v>2190</v>
      </c>
      <c r="I680" s="156" t="s">
        <v>26</v>
      </c>
      <c r="J680" s="209" t="s">
        <v>1436</v>
      </c>
      <c r="K680" s="211"/>
    </row>
    <row r="681" spans="1:11" ht="100.5">
      <c r="A681" s="204">
        <v>679</v>
      </c>
      <c r="B681" s="205">
        <v>45712</v>
      </c>
      <c r="C681" s="265" t="s">
        <v>824</v>
      </c>
      <c r="D681" s="204">
        <v>2025</v>
      </c>
      <c r="E681" s="204" t="s">
        <v>1431</v>
      </c>
      <c r="F681" s="204" t="s">
        <v>1580</v>
      </c>
      <c r="G681" s="214" t="s">
        <v>859</v>
      </c>
      <c r="H681" s="207" t="s">
        <v>2191</v>
      </c>
      <c r="I681" s="156" t="s">
        <v>26</v>
      </c>
      <c r="J681" s="204" t="s">
        <v>1436</v>
      </c>
      <c r="K681" s="207" t="s">
        <v>1476</v>
      </c>
    </row>
    <row r="682" spans="1:11" ht="117">
      <c r="A682" s="204">
        <v>680</v>
      </c>
      <c r="B682" s="208">
        <v>45712</v>
      </c>
      <c r="C682" s="265" t="s">
        <v>824</v>
      </c>
      <c r="D682" s="204">
        <v>2025</v>
      </c>
      <c r="E682" s="209" t="s">
        <v>1431</v>
      </c>
      <c r="F682" s="209" t="s">
        <v>2192</v>
      </c>
      <c r="G682" s="217" t="s">
        <v>859</v>
      </c>
      <c r="H682" s="211" t="s">
        <v>2193</v>
      </c>
      <c r="I682" s="156" t="s">
        <v>26</v>
      </c>
      <c r="J682" s="209" t="s">
        <v>1436</v>
      </c>
      <c r="K682" s="211"/>
    </row>
    <row r="683" spans="1:11" ht="117">
      <c r="A683" s="204">
        <v>681</v>
      </c>
      <c r="B683" s="205">
        <v>45713</v>
      </c>
      <c r="C683" s="265" t="s">
        <v>824</v>
      </c>
      <c r="D683" s="204">
        <v>2025</v>
      </c>
      <c r="E683" s="204" t="s">
        <v>1431</v>
      </c>
      <c r="F683" s="204" t="s">
        <v>21</v>
      </c>
      <c r="G683" s="213" t="s">
        <v>821</v>
      </c>
      <c r="H683" s="207" t="s">
        <v>2194</v>
      </c>
      <c r="I683" s="156" t="s">
        <v>26</v>
      </c>
      <c r="J683" s="204" t="s">
        <v>1436</v>
      </c>
      <c r="K683" s="207" t="s">
        <v>1482</v>
      </c>
    </row>
    <row r="684" spans="1:11" ht="33.75">
      <c r="A684" s="204">
        <v>682</v>
      </c>
      <c r="B684" s="208">
        <v>45713</v>
      </c>
      <c r="C684" s="265" t="s">
        <v>824</v>
      </c>
      <c r="D684" s="204">
        <v>2025</v>
      </c>
      <c r="E684" s="209" t="s">
        <v>1431</v>
      </c>
      <c r="F684" s="209" t="s">
        <v>21</v>
      </c>
      <c r="G684" s="213" t="s">
        <v>821</v>
      </c>
      <c r="H684" s="211" t="s">
        <v>2195</v>
      </c>
      <c r="I684" s="156" t="s">
        <v>26</v>
      </c>
      <c r="J684" s="209" t="s">
        <v>1436</v>
      </c>
      <c r="K684" s="211"/>
    </row>
    <row r="685" spans="1:11" ht="117">
      <c r="A685" s="204">
        <v>683</v>
      </c>
      <c r="B685" s="205">
        <v>45713</v>
      </c>
      <c r="C685" s="265" t="s">
        <v>824</v>
      </c>
      <c r="D685" s="204">
        <v>2025</v>
      </c>
      <c r="E685" s="204" t="s">
        <v>1431</v>
      </c>
      <c r="F685" s="204" t="s">
        <v>21</v>
      </c>
      <c r="G685" s="213" t="s">
        <v>821</v>
      </c>
      <c r="H685" s="207" t="s">
        <v>2196</v>
      </c>
      <c r="I685" s="156" t="s">
        <v>26</v>
      </c>
      <c r="J685" s="204" t="s">
        <v>1436</v>
      </c>
      <c r="K685" s="207" t="s">
        <v>1482</v>
      </c>
    </row>
    <row r="686" spans="1:11" ht="33.75">
      <c r="A686" s="204">
        <v>684</v>
      </c>
      <c r="B686" s="208">
        <v>45713</v>
      </c>
      <c r="C686" s="265" t="s">
        <v>824</v>
      </c>
      <c r="D686" s="204">
        <v>2025</v>
      </c>
      <c r="E686" s="209" t="s">
        <v>2197</v>
      </c>
      <c r="F686" s="209" t="s">
        <v>1436</v>
      </c>
      <c r="G686" s="213" t="s">
        <v>821</v>
      </c>
      <c r="H686" s="211" t="s">
        <v>2198</v>
      </c>
      <c r="I686" s="156" t="s">
        <v>26</v>
      </c>
      <c r="J686" s="209" t="s">
        <v>1436</v>
      </c>
      <c r="K686" s="211"/>
    </row>
    <row r="687" spans="1:11" ht="33.75">
      <c r="A687" s="204">
        <v>685</v>
      </c>
      <c r="B687" s="205">
        <v>45713</v>
      </c>
      <c r="C687" s="265" t="s">
        <v>824</v>
      </c>
      <c r="D687" s="204">
        <v>2025</v>
      </c>
      <c r="E687" s="204" t="s">
        <v>1431</v>
      </c>
      <c r="F687" s="204" t="s">
        <v>1436</v>
      </c>
      <c r="G687" s="213" t="s">
        <v>821</v>
      </c>
      <c r="H687" s="207" t="s">
        <v>2199</v>
      </c>
      <c r="I687" s="156" t="s">
        <v>26</v>
      </c>
      <c r="J687" s="204" t="s">
        <v>1436</v>
      </c>
      <c r="K687" s="207"/>
    </row>
    <row r="688" spans="1:11" ht="117">
      <c r="A688" s="204">
        <v>686</v>
      </c>
      <c r="B688" s="208">
        <v>45713</v>
      </c>
      <c r="C688" s="265" t="s">
        <v>824</v>
      </c>
      <c r="D688" s="204">
        <v>2025</v>
      </c>
      <c r="E688" s="209" t="s">
        <v>1431</v>
      </c>
      <c r="F688" s="209" t="s">
        <v>1518</v>
      </c>
      <c r="G688" s="210" t="s">
        <v>88</v>
      </c>
      <c r="H688" s="211" t="s">
        <v>2200</v>
      </c>
      <c r="I688" s="156" t="s">
        <v>26</v>
      </c>
      <c r="J688" s="209" t="s">
        <v>59</v>
      </c>
      <c r="K688" s="211" t="s">
        <v>1437</v>
      </c>
    </row>
    <row r="689" spans="1:11" ht="117">
      <c r="A689" s="204">
        <v>687</v>
      </c>
      <c r="B689" s="205">
        <v>45714</v>
      </c>
      <c r="C689" s="265" t="s">
        <v>824</v>
      </c>
      <c r="D689" s="204">
        <v>2025</v>
      </c>
      <c r="E689" s="204" t="s">
        <v>1431</v>
      </c>
      <c r="F689" s="204" t="s">
        <v>21</v>
      </c>
      <c r="G689" s="213" t="s">
        <v>821</v>
      </c>
      <c r="H689" s="207" t="s">
        <v>2201</v>
      </c>
      <c r="I689" s="156" t="s">
        <v>26</v>
      </c>
      <c r="J689" s="204" t="s">
        <v>1436</v>
      </c>
      <c r="K689" s="207" t="s">
        <v>1482</v>
      </c>
    </row>
    <row r="690" spans="1:11" ht="84">
      <c r="A690" s="204">
        <v>688</v>
      </c>
      <c r="B690" s="208">
        <v>45714</v>
      </c>
      <c r="C690" s="265" t="s">
        <v>824</v>
      </c>
      <c r="D690" s="204">
        <v>2025</v>
      </c>
      <c r="E690" s="209" t="s">
        <v>1431</v>
      </c>
      <c r="F690" s="209" t="s">
        <v>216</v>
      </c>
      <c r="G690" s="213" t="s">
        <v>821</v>
      </c>
      <c r="H690" s="211" t="s">
        <v>2202</v>
      </c>
      <c r="I690" s="156" t="s">
        <v>26</v>
      </c>
      <c r="J690" s="209" t="s">
        <v>1436</v>
      </c>
      <c r="K690" s="211"/>
    </row>
    <row r="691" spans="1:11" ht="50.25">
      <c r="A691" s="204">
        <v>689</v>
      </c>
      <c r="B691" s="205">
        <v>45714</v>
      </c>
      <c r="C691" s="265" t="s">
        <v>824</v>
      </c>
      <c r="D691" s="204">
        <v>2025</v>
      </c>
      <c r="E691" s="204" t="s">
        <v>1431</v>
      </c>
      <c r="F691" s="204" t="s">
        <v>21</v>
      </c>
      <c r="G691" s="213" t="s">
        <v>821</v>
      </c>
      <c r="H691" s="207" t="s">
        <v>2203</v>
      </c>
      <c r="I691" s="156" t="s">
        <v>26</v>
      </c>
      <c r="J691" s="204" t="s">
        <v>1436</v>
      </c>
      <c r="K691" s="207"/>
    </row>
    <row r="692" spans="1:11" ht="100.5">
      <c r="A692" s="204">
        <v>690</v>
      </c>
      <c r="B692" s="208">
        <v>45714</v>
      </c>
      <c r="C692" s="265" t="s">
        <v>824</v>
      </c>
      <c r="D692" s="204">
        <v>2025</v>
      </c>
      <c r="E692" s="209" t="s">
        <v>1431</v>
      </c>
      <c r="F692" s="209" t="s">
        <v>1518</v>
      </c>
      <c r="G692" s="210" t="s">
        <v>88</v>
      </c>
      <c r="H692" s="211" t="s">
        <v>2204</v>
      </c>
      <c r="I692" s="156" t="s">
        <v>26</v>
      </c>
      <c r="J692" s="209" t="s">
        <v>1436</v>
      </c>
      <c r="K692" s="211" t="s">
        <v>1472</v>
      </c>
    </row>
    <row r="693" spans="1:11" ht="50.25">
      <c r="A693" s="204">
        <v>691</v>
      </c>
      <c r="B693" s="205">
        <v>45714</v>
      </c>
      <c r="C693" s="265" t="s">
        <v>824</v>
      </c>
      <c r="D693" s="204">
        <v>2025</v>
      </c>
      <c r="E693" s="204" t="s">
        <v>1431</v>
      </c>
      <c r="F693" s="204" t="s">
        <v>1225</v>
      </c>
      <c r="G693" s="214" t="s">
        <v>859</v>
      </c>
      <c r="H693" s="207" t="s">
        <v>2205</v>
      </c>
      <c r="I693" s="156" t="s">
        <v>26</v>
      </c>
      <c r="J693" s="204" t="s">
        <v>1436</v>
      </c>
      <c r="K693" s="207"/>
    </row>
    <row r="694" spans="1:11" ht="117">
      <c r="A694" s="204">
        <v>692</v>
      </c>
      <c r="B694" s="208">
        <v>45715</v>
      </c>
      <c r="C694" s="265" t="s">
        <v>824</v>
      </c>
      <c r="D694" s="204">
        <v>2025</v>
      </c>
      <c r="E694" s="209" t="s">
        <v>1431</v>
      </c>
      <c r="F694" s="209" t="s">
        <v>216</v>
      </c>
      <c r="G694" s="213" t="s">
        <v>821</v>
      </c>
      <c r="H694" s="211" t="s">
        <v>2206</v>
      </c>
      <c r="I694" s="156" t="s">
        <v>26</v>
      </c>
      <c r="J694" s="209" t="s">
        <v>1436</v>
      </c>
      <c r="K694" s="211" t="s">
        <v>1446</v>
      </c>
    </row>
    <row r="695" spans="1:11" ht="134.25">
      <c r="A695" s="204">
        <v>693</v>
      </c>
      <c r="B695" s="205">
        <v>45715</v>
      </c>
      <c r="C695" s="265" t="s">
        <v>824</v>
      </c>
      <c r="D695" s="204">
        <v>2025</v>
      </c>
      <c r="E695" s="204" t="s">
        <v>1431</v>
      </c>
      <c r="F695" s="204" t="s">
        <v>1436</v>
      </c>
      <c r="G695" s="212" t="s">
        <v>1439</v>
      </c>
      <c r="H695" s="207" t="s">
        <v>2207</v>
      </c>
      <c r="I695" s="156" t="s">
        <v>26</v>
      </c>
      <c r="J695" s="204" t="s">
        <v>1436</v>
      </c>
      <c r="K695" s="207" t="s">
        <v>1442</v>
      </c>
    </row>
    <row r="696" spans="1:11" ht="50.25">
      <c r="A696" s="204">
        <v>694</v>
      </c>
      <c r="B696" s="208">
        <v>45721</v>
      </c>
      <c r="C696" s="267" t="s">
        <v>825</v>
      </c>
      <c r="D696" s="204">
        <v>2025</v>
      </c>
      <c r="E696" s="209" t="s">
        <v>1431</v>
      </c>
      <c r="F696" s="209" t="s">
        <v>1276</v>
      </c>
      <c r="G696" s="217" t="s">
        <v>859</v>
      </c>
      <c r="H696" s="211" t="s">
        <v>2208</v>
      </c>
      <c r="I696" s="156" t="s">
        <v>26</v>
      </c>
      <c r="J696" s="209" t="s">
        <v>1436</v>
      </c>
      <c r="K696" s="211"/>
    </row>
    <row r="697" spans="1:11" ht="150.75">
      <c r="A697" s="204">
        <v>695</v>
      </c>
      <c r="B697" s="205">
        <v>45721</v>
      </c>
      <c r="C697" s="267" t="s">
        <v>825</v>
      </c>
      <c r="D697" s="204">
        <v>2025</v>
      </c>
      <c r="E697" s="204" t="s">
        <v>1431</v>
      </c>
      <c r="F697" s="204" t="s">
        <v>2192</v>
      </c>
      <c r="G697" s="213" t="s">
        <v>821</v>
      </c>
      <c r="H697" s="207" t="s">
        <v>2209</v>
      </c>
      <c r="I697" s="156" t="s">
        <v>26</v>
      </c>
      <c r="J697" s="204" t="s">
        <v>1436</v>
      </c>
      <c r="K697" s="207" t="s">
        <v>1513</v>
      </c>
    </row>
    <row r="698" spans="1:11" ht="100.5">
      <c r="A698" s="204">
        <v>696</v>
      </c>
      <c r="B698" s="208">
        <v>45721</v>
      </c>
      <c r="C698" s="267" t="s">
        <v>825</v>
      </c>
      <c r="D698" s="204">
        <v>2025</v>
      </c>
      <c r="E698" s="209" t="s">
        <v>1431</v>
      </c>
      <c r="F698" s="209" t="s">
        <v>1584</v>
      </c>
      <c r="G698" s="213" t="s">
        <v>821</v>
      </c>
      <c r="H698" s="211" t="s">
        <v>2210</v>
      </c>
      <c r="I698" s="156" t="s">
        <v>26</v>
      </c>
      <c r="J698" s="209" t="s">
        <v>1436</v>
      </c>
      <c r="K698" s="211" t="s">
        <v>1486</v>
      </c>
    </row>
    <row r="699" spans="1:11" ht="150.75">
      <c r="A699" s="204">
        <v>697</v>
      </c>
      <c r="B699" s="205">
        <v>45722</v>
      </c>
      <c r="C699" s="267" t="s">
        <v>825</v>
      </c>
      <c r="D699" s="204">
        <v>2025</v>
      </c>
      <c r="E699" s="204" t="s">
        <v>1431</v>
      </c>
      <c r="F699" s="204" t="s">
        <v>21</v>
      </c>
      <c r="G699" s="213" t="s">
        <v>821</v>
      </c>
      <c r="H699" s="207" t="s">
        <v>2211</v>
      </c>
      <c r="I699" s="156" t="s">
        <v>26</v>
      </c>
      <c r="J699" s="204" t="s">
        <v>1436</v>
      </c>
      <c r="K699" s="207" t="s">
        <v>1513</v>
      </c>
    </row>
    <row r="700" spans="1:11" ht="66.75">
      <c r="A700" s="204">
        <v>698</v>
      </c>
      <c r="B700" s="208">
        <v>45723</v>
      </c>
      <c r="C700" s="267" t="s">
        <v>825</v>
      </c>
      <c r="D700" s="204">
        <v>2025</v>
      </c>
      <c r="E700" s="209" t="s">
        <v>1431</v>
      </c>
      <c r="F700" s="209" t="s">
        <v>988</v>
      </c>
      <c r="G700" s="210" t="s">
        <v>88</v>
      </c>
      <c r="H700" s="211" t="s">
        <v>2212</v>
      </c>
      <c r="I700" s="156" t="s">
        <v>26</v>
      </c>
      <c r="J700" s="209" t="s">
        <v>1436</v>
      </c>
      <c r="K700" s="211"/>
    </row>
    <row r="701" spans="1:11" ht="50.25">
      <c r="A701" s="204">
        <v>699</v>
      </c>
      <c r="B701" s="205">
        <v>45733</v>
      </c>
      <c r="C701" s="267" t="s">
        <v>825</v>
      </c>
      <c r="D701" s="204">
        <v>2025</v>
      </c>
      <c r="E701" s="204" t="s">
        <v>1431</v>
      </c>
      <c r="F701" s="204" t="s">
        <v>1225</v>
      </c>
      <c r="G701" s="214" t="s">
        <v>859</v>
      </c>
      <c r="H701" s="207" t="s">
        <v>2213</v>
      </c>
      <c r="I701" s="156" t="s">
        <v>26</v>
      </c>
      <c r="J701" s="204" t="s">
        <v>1436</v>
      </c>
      <c r="K701" s="207"/>
    </row>
    <row r="702" spans="1:11" ht="100.5">
      <c r="A702" s="204">
        <v>700</v>
      </c>
      <c r="B702" s="208">
        <v>45733</v>
      </c>
      <c r="C702" s="267" t="s">
        <v>825</v>
      </c>
      <c r="D702" s="204">
        <v>2025</v>
      </c>
      <c r="E702" s="209" t="s">
        <v>1431</v>
      </c>
      <c r="F702" s="209" t="s">
        <v>1506</v>
      </c>
      <c r="G702" s="210" t="s">
        <v>88</v>
      </c>
      <c r="H702" s="211" t="s">
        <v>2214</v>
      </c>
      <c r="I702" s="156" t="s">
        <v>26</v>
      </c>
      <c r="J702" s="209" t="s">
        <v>1436</v>
      </c>
      <c r="K702" s="211" t="s">
        <v>1500</v>
      </c>
    </row>
    <row r="703" spans="1:11" ht="84">
      <c r="A703" s="204">
        <v>701</v>
      </c>
      <c r="B703" s="205">
        <v>45733</v>
      </c>
      <c r="C703" s="267" t="s">
        <v>825</v>
      </c>
      <c r="D703" s="204">
        <v>2025</v>
      </c>
      <c r="E703" s="204" t="s">
        <v>1431</v>
      </c>
      <c r="F703" s="204" t="s">
        <v>1506</v>
      </c>
      <c r="G703" s="206" t="s">
        <v>88</v>
      </c>
      <c r="H703" s="207" t="s">
        <v>2215</v>
      </c>
      <c r="I703" s="156" t="s">
        <v>26</v>
      </c>
      <c r="J703" s="204" t="s">
        <v>1436</v>
      </c>
      <c r="K703" s="207" t="s">
        <v>1500</v>
      </c>
    </row>
    <row r="704" spans="1:11" ht="117">
      <c r="A704" s="204">
        <v>702</v>
      </c>
      <c r="B704" s="208">
        <v>45734</v>
      </c>
      <c r="C704" s="267" t="s">
        <v>825</v>
      </c>
      <c r="D704" s="204">
        <v>2025</v>
      </c>
      <c r="E704" s="209" t="s">
        <v>1431</v>
      </c>
      <c r="F704" s="209" t="s">
        <v>216</v>
      </c>
      <c r="G704" s="213" t="s">
        <v>821</v>
      </c>
      <c r="H704" s="211" t="s">
        <v>1505</v>
      </c>
      <c r="I704" s="156" t="s">
        <v>26</v>
      </c>
      <c r="J704" s="209" t="s">
        <v>492</v>
      </c>
      <c r="K704" s="211" t="s">
        <v>1446</v>
      </c>
    </row>
    <row r="705" spans="1:11" ht="33.75">
      <c r="A705" s="204">
        <v>703</v>
      </c>
      <c r="B705" s="205">
        <v>45735</v>
      </c>
      <c r="C705" s="267" t="s">
        <v>825</v>
      </c>
      <c r="D705" s="204">
        <v>2025</v>
      </c>
      <c r="E705" s="204" t="s">
        <v>1431</v>
      </c>
      <c r="F705" s="204" t="s">
        <v>2192</v>
      </c>
      <c r="G705" s="214" t="s">
        <v>859</v>
      </c>
      <c r="H705" s="207" t="s">
        <v>2216</v>
      </c>
      <c r="I705" s="156" t="s">
        <v>26</v>
      </c>
      <c r="J705" s="204" t="s">
        <v>1436</v>
      </c>
      <c r="K705" s="207"/>
    </row>
    <row r="706" spans="1:11" ht="100.5">
      <c r="A706" s="204">
        <v>704</v>
      </c>
      <c r="B706" s="208">
        <v>45735</v>
      </c>
      <c r="C706" s="267" t="s">
        <v>825</v>
      </c>
      <c r="D706" s="204">
        <v>2025</v>
      </c>
      <c r="E706" s="209" t="s">
        <v>1431</v>
      </c>
      <c r="F706" s="209" t="s">
        <v>2192</v>
      </c>
      <c r="G706" s="217" t="s">
        <v>859</v>
      </c>
      <c r="H706" s="211" t="s">
        <v>2217</v>
      </c>
      <c r="I706" s="156" t="s">
        <v>26</v>
      </c>
      <c r="J706" s="209" t="s">
        <v>1436</v>
      </c>
      <c r="K706" s="211"/>
    </row>
    <row r="707" spans="1:11" ht="134.25">
      <c r="A707" s="204">
        <v>705</v>
      </c>
      <c r="B707" s="205">
        <v>45735</v>
      </c>
      <c r="C707" s="267" t="s">
        <v>825</v>
      </c>
      <c r="D707" s="204">
        <v>2025</v>
      </c>
      <c r="E707" s="204" t="s">
        <v>1431</v>
      </c>
      <c r="F707" s="204" t="s">
        <v>2218</v>
      </c>
      <c r="G707" s="212" t="s">
        <v>1439</v>
      </c>
      <c r="H707" s="207" t="s">
        <v>2219</v>
      </c>
      <c r="I707" s="156" t="s">
        <v>26</v>
      </c>
      <c r="J707" s="204" t="s">
        <v>1436</v>
      </c>
      <c r="K707" s="207" t="s">
        <v>1442</v>
      </c>
    </row>
    <row r="708" spans="1:11" ht="16.5">
      <c r="A708" s="204">
        <v>706</v>
      </c>
      <c r="B708" s="208">
        <v>45735</v>
      </c>
      <c r="C708" s="267" t="s">
        <v>825</v>
      </c>
      <c r="D708" s="204">
        <v>2025</v>
      </c>
      <c r="E708" s="209" t="s">
        <v>1431</v>
      </c>
      <c r="F708" s="209" t="s">
        <v>1584</v>
      </c>
      <c r="G708" s="213" t="s">
        <v>821</v>
      </c>
      <c r="H708" s="211" t="s">
        <v>2220</v>
      </c>
      <c r="I708" s="156" t="s">
        <v>26</v>
      </c>
      <c r="J708" s="209" t="s">
        <v>1436</v>
      </c>
      <c r="K708" s="211"/>
    </row>
    <row r="709" spans="1:11" ht="50.25">
      <c r="A709" s="204">
        <v>707</v>
      </c>
      <c r="B709" s="205">
        <v>45735</v>
      </c>
      <c r="C709" s="267" t="s">
        <v>825</v>
      </c>
      <c r="D709" s="204">
        <v>2025</v>
      </c>
      <c r="E709" s="204" t="s">
        <v>1431</v>
      </c>
      <c r="F709" s="204" t="s">
        <v>2192</v>
      </c>
      <c r="G709" s="214" t="s">
        <v>859</v>
      </c>
      <c r="H709" s="207" t="s">
        <v>2221</v>
      </c>
      <c r="I709" s="156" t="s">
        <v>26</v>
      </c>
      <c r="J709" s="204" t="s">
        <v>1436</v>
      </c>
      <c r="K709" s="207"/>
    </row>
    <row r="710" spans="1:11" ht="100.5">
      <c r="A710" s="204">
        <v>708</v>
      </c>
      <c r="B710" s="208">
        <v>45737</v>
      </c>
      <c r="C710" s="267" t="s">
        <v>825</v>
      </c>
      <c r="D710" s="204">
        <v>2025</v>
      </c>
      <c r="E710" s="209" t="s">
        <v>1431</v>
      </c>
      <c r="F710" s="209" t="s">
        <v>1560</v>
      </c>
      <c r="G710" s="217" t="s">
        <v>859</v>
      </c>
      <c r="H710" s="211" t="s">
        <v>2222</v>
      </c>
      <c r="I710" s="156" t="s">
        <v>26</v>
      </c>
      <c r="J710" s="209" t="s">
        <v>1436</v>
      </c>
      <c r="K710" s="211" t="s">
        <v>1476</v>
      </c>
    </row>
    <row r="711" spans="1:11" ht="100.5">
      <c r="A711" s="204">
        <v>709</v>
      </c>
      <c r="B711" s="205">
        <v>45737</v>
      </c>
      <c r="C711" s="267" t="s">
        <v>825</v>
      </c>
      <c r="D711" s="204">
        <v>2025</v>
      </c>
      <c r="E711" s="204" t="s">
        <v>1431</v>
      </c>
      <c r="F711" s="204" t="s">
        <v>1584</v>
      </c>
      <c r="G711" s="213" t="s">
        <v>821</v>
      </c>
      <c r="H711" s="207" t="s">
        <v>2223</v>
      </c>
      <c r="I711" s="156" t="s">
        <v>26</v>
      </c>
      <c r="J711" s="204" t="s">
        <v>1436</v>
      </c>
      <c r="K711" s="207" t="s">
        <v>1448</v>
      </c>
    </row>
    <row r="712" spans="1:11" ht="84">
      <c r="A712" s="204">
        <v>710</v>
      </c>
      <c r="B712" s="208">
        <v>45737</v>
      </c>
      <c r="C712" s="267" t="s">
        <v>825</v>
      </c>
      <c r="D712" s="204">
        <v>2025</v>
      </c>
      <c r="E712" s="209" t="s">
        <v>2224</v>
      </c>
      <c r="F712" s="209" t="s">
        <v>1560</v>
      </c>
      <c r="G712" s="217" t="s">
        <v>859</v>
      </c>
      <c r="H712" s="211" t="s">
        <v>2225</v>
      </c>
      <c r="I712" s="156" t="s">
        <v>26</v>
      </c>
      <c r="J712" s="209" t="s">
        <v>1436</v>
      </c>
      <c r="K712" s="211"/>
    </row>
    <row r="713" spans="1:11" ht="117">
      <c r="A713" s="204">
        <v>711</v>
      </c>
      <c r="B713" s="205">
        <v>45737</v>
      </c>
      <c r="C713" s="267" t="s">
        <v>825</v>
      </c>
      <c r="D713" s="204">
        <v>2025</v>
      </c>
      <c r="E713" s="204" t="s">
        <v>1431</v>
      </c>
      <c r="F713" s="204" t="s">
        <v>1436</v>
      </c>
      <c r="G713" s="206" t="s">
        <v>88</v>
      </c>
      <c r="H713" s="207" t="s">
        <v>2226</v>
      </c>
      <c r="I713" s="156" t="s">
        <v>26</v>
      </c>
      <c r="J713" s="204" t="s">
        <v>1436</v>
      </c>
      <c r="K713" s="207" t="s">
        <v>1510</v>
      </c>
    </row>
    <row r="714" spans="1:11" ht="134.25">
      <c r="A714" s="204">
        <v>712</v>
      </c>
      <c r="B714" s="208">
        <v>45743</v>
      </c>
      <c r="C714" s="267" t="s">
        <v>825</v>
      </c>
      <c r="D714" s="204">
        <v>2025</v>
      </c>
      <c r="E714" s="209" t="s">
        <v>1431</v>
      </c>
      <c r="F714" s="209" t="s">
        <v>2218</v>
      </c>
      <c r="G714" s="212" t="s">
        <v>1439</v>
      </c>
      <c r="H714" s="211" t="s">
        <v>2227</v>
      </c>
      <c r="I714" s="156" t="s">
        <v>26</v>
      </c>
      <c r="J714" s="209" t="s">
        <v>1436</v>
      </c>
      <c r="K714" s="211" t="s">
        <v>1442</v>
      </c>
    </row>
    <row r="715" spans="1:11" ht="117">
      <c r="A715" s="204">
        <v>713</v>
      </c>
      <c r="B715" s="205">
        <v>45743</v>
      </c>
      <c r="C715" s="267" t="s">
        <v>825</v>
      </c>
      <c r="D715" s="204">
        <v>2025</v>
      </c>
      <c r="E715" s="204" t="s">
        <v>1431</v>
      </c>
      <c r="F715" s="204" t="s">
        <v>216</v>
      </c>
      <c r="G715" s="213" t="s">
        <v>821</v>
      </c>
      <c r="H715" s="207" t="s">
        <v>2228</v>
      </c>
      <c r="I715" s="156" t="s">
        <v>26</v>
      </c>
      <c r="J715" s="204" t="s">
        <v>1436</v>
      </c>
      <c r="K715" s="207" t="s">
        <v>1446</v>
      </c>
    </row>
    <row r="716" spans="1:11" ht="150.75">
      <c r="A716" s="204">
        <v>714</v>
      </c>
      <c r="B716" s="208">
        <v>45743</v>
      </c>
      <c r="C716" s="267" t="s">
        <v>825</v>
      </c>
      <c r="D716" s="204">
        <v>2025</v>
      </c>
      <c r="E716" s="209" t="s">
        <v>1431</v>
      </c>
      <c r="F716" s="209" t="s">
        <v>21</v>
      </c>
      <c r="G716" s="213" t="s">
        <v>821</v>
      </c>
      <c r="H716" s="211" t="s">
        <v>2229</v>
      </c>
      <c r="I716" s="156" t="s">
        <v>26</v>
      </c>
      <c r="J716" s="209" t="s">
        <v>1436</v>
      </c>
      <c r="K716" s="211" t="s">
        <v>1513</v>
      </c>
    </row>
    <row r="717" spans="1:11" ht="134.25">
      <c r="A717" s="204">
        <v>715</v>
      </c>
      <c r="B717" s="205">
        <v>45747</v>
      </c>
      <c r="C717" s="267" t="s">
        <v>825</v>
      </c>
      <c r="D717" s="204">
        <v>2025</v>
      </c>
      <c r="E717" s="204" t="s">
        <v>1431</v>
      </c>
      <c r="F717" s="204" t="s">
        <v>216</v>
      </c>
      <c r="G717" s="213" t="s">
        <v>821</v>
      </c>
      <c r="H717" s="207" t="s">
        <v>2230</v>
      </c>
      <c r="I717" s="156" t="s">
        <v>26</v>
      </c>
      <c r="J717" s="204" t="s">
        <v>1436</v>
      </c>
      <c r="K717" s="207" t="s">
        <v>1601</v>
      </c>
    </row>
    <row r="718" spans="1:11" ht="84">
      <c r="A718" s="204">
        <v>716</v>
      </c>
      <c r="B718" s="208">
        <v>45747</v>
      </c>
      <c r="C718" s="267" t="s">
        <v>825</v>
      </c>
      <c r="D718" s="204">
        <v>2025</v>
      </c>
      <c r="E718" s="209" t="s">
        <v>1431</v>
      </c>
      <c r="F718" s="209" t="s">
        <v>1473</v>
      </c>
      <c r="G718" s="217" t="s">
        <v>859</v>
      </c>
      <c r="H718" s="211" t="s">
        <v>2231</v>
      </c>
      <c r="I718" s="156" t="s">
        <v>26</v>
      </c>
      <c r="J718" s="209" t="s">
        <v>1436</v>
      </c>
      <c r="K718" s="211"/>
    </row>
    <row r="719" spans="1:11" ht="84">
      <c r="A719" s="204">
        <v>717</v>
      </c>
      <c r="B719" s="205">
        <v>45748</v>
      </c>
      <c r="C719" s="265" t="s">
        <v>826</v>
      </c>
      <c r="D719" s="204">
        <v>2025</v>
      </c>
      <c r="E719" s="204" t="s">
        <v>1431</v>
      </c>
      <c r="F719" s="204" t="s">
        <v>377</v>
      </c>
      <c r="G719" s="206" t="s">
        <v>88</v>
      </c>
      <c r="H719" s="207" t="s">
        <v>2232</v>
      </c>
      <c r="I719" s="156" t="s">
        <v>26</v>
      </c>
      <c r="J719" s="204" t="s">
        <v>1436</v>
      </c>
      <c r="K719" s="207" t="s">
        <v>1500</v>
      </c>
    </row>
    <row r="720" spans="1:11" ht="84">
      <c r="A720" s="204">
        <v>718</v>
      </c>
      <c r="B720" s="208">
        <v>45748</v>
      </c>
      <c r="C720" s="265" t="s">
        <v>826</v>
      </c>
      <c r="D720" s="204">
        <v>2025</v>
      </c>
      <c r="E720" s="209" t="s">
        <v>1431</v>
      </c>
      <c r="F720" s="209" t="s">
        <v>377</v>
      </c>
      <c r="G720" s="210" t="s">
        <v>88</v>
      </c>
      <c r="H720" s="211" t="s">
        <v>2233</v>
      </c>
      <c r="I720" s="156" t="s">
        <v>26</v>
      </c>
      <c r="J720" s="209" t="s">
        <v>1436</v>
      </c>
      <c r="K720" s="211" t="s">
        <v>1500</v>
      </c>
    </row>
    <row r="721" spans="1:11" ht="50.25">
      <c r="A721" s="204">
        <v>719</v>
      </c>
      <c r="B721" s="205">
        <v>45748</v>
      </c>
      <c r="C721" s="265" t="s">
        <v>826</v>
      </c>
      <c r="D721" s="204">
        <v>2025</v>
      </c>
      <c r="E721" s="204" t="s">
        <v>1431</v>
      </c>
      <c r="F721" s="204" t="s">
        <v>97</v>
      </c>
      <c r="G721" s="213" t="s">
        <v>821</v>
      </c>
      <c r="H721" s="207" t="s">
        <v>2234</v>
      </c>
      <c r="I721" s="156" t="s">
        <v>26</v>
      </c>
      <c r="J721" s="204" t="s">
        <v>1436</v>
      </c>
      <c r="K721" s="207"/>
    </row>
    <row r="722" spans="1:11" ht="117">
      <c r="A722" s="204">
        <v>720</v>
      </c>
      <c r="B722" s="208">
        <v>45750</v>
      </c>
      <c r="C722" s="265" t="s">
        <v>826</v>
      </c>
      <c r="D722" s="204">
        <v>2025</v>
      </c>
      <c r="E722" s="209" t="s">
        <v>1431</v>
      </c>
      <c r="F722" s="209" t="s">
        <v>21</v>
      </c>
      <c r="G722" s="213" t="s">
        <v>821</v>
      </c>
      <c r="H722" s="211" t="s">
        <v>2235</v>
      </c>
      <c r="I722" s="156" t="s">
        <v>26</v>
      </c>
      <c r="J722" s="209" t="s">
        <v>1436</v>
      </c>
      <c r="K722" s="211" t="s">
        <v>1482</v>
      </c>
    </row>
    <row r="723" spans="1:11" ht="117">
      <c r="A723" s="204">
        <v>721</v>
      </c>
      <c r="B723" s="205">
        <v>45743</v>
      </c>
      <c r="C723" s="265" t="s">
        <v>826</v>
      </c>
      <c r="D723" s="204">
        <v>2025</v>
      </c>
      <c r="E723" s="204" t="s">
        <v>1431</v>
      </c>
      <c r="F723" s="204" t="s">
        <v>216</v>
      </c>
      <c r="G723" s="213" t="s">
        <v>821</v>
      </c>
      <c r="H723" s="207" t="s">
        <v>2228</v>
      </c>
      <c r="I723" s="156" t="s">
        <v>26</v>
      </c>
      <c r="J723" s="204" t="s">
        <v>1436</v>
      </c>
      <c r="K723" s="207" t="s">
        <v>1446</v>
      </c>
    </row>
    <row r="724" spans="1:11" ht="150.75">
      <c r="A724" s="204">
        <v>722</v>
      </c>
      <c r="B724" s="208">
        <v>45743</v>
      </c>
      <c r="C724" s="265" t="s">
        <v>826</v>
      </c>
      <c r="D724" s="204">
        <v>2025</v>
      </c>
      <c r="E724" s="209" t="s">
        <v>1431</v>
      </c>
      <c r="F724" s="209" t="s">
        <v>21</v>
      </c>
      <c r="G724" s="213" t="s">
        <v>821</v>
      </c>
      <c r="H724" s="211" t="s">
        <v>2229</v>
      </c>
      <c r="I724" s="156" t="s">
        <v>26</v>
      </c>
      <c r="J724" s="209" t="s">
        <v>1436</v>
      </c>
      <c r="K724" s="211" t="s">
        <v>1513</v>
      </c>
    </row>
    <row r="725" spans="1:11" ht="84">
      <c r="A725" s="204">
        <v>723</v>
      </c>
      <c r="B725" s="205">
        <v>45747</v>
      </c>
      <c r="C725" s="265" t="s">
        <v>826</v>
      </c>
      <c r="D725" s="204">
        <v>2025</v>
      </c>
      <c r="E725" s="204" t="s">
        <v>1431</v>
      </c>
      <c r="F725" s="204" t="s">
        <v>1473</v>
      </c>
      <c r="G725" s="214" t="s">
        <v>859</v>
      </c>
      <c r="H725" s="207" t="s">
        <v>2231</v>
      </c>
      <c r="I725" s="156" t="s">
        <v>26</v>
      </c>
      <c r="J725" s="204" t="s">
        <v>1436</v>
      </c>
      <c r="K725" s="207"/>
    </row>
    <row r="726" spans="1:11" ht="100.5">
      <c r="A726" s="204">
        <v>724</v>
      </c>
      <c r="B726" s="208">
        <v>45751</v>
      </c>
      <c r="C726" s="265" t="s">
        <v>826</v>
      </c>
      <c r="D726" s="204">
        <v>2025</v>
      </c>
      <c r="E726" s="209" t="s">
        <v>1431</v>
      </c>
      <c r="F726" s="209" t="s">
        <v>1584</v>
      </c>
      <c r="G726" s="213" t="s">
        <v>821</v>
      </c>
      <c r="H726" s="211" t="s">
        <v>2236</v>
      </c>
      <c r="I726" s="156" t="s">
        <v>26</v>
      </c>
      <c r="J726" s="209" t="s">
        <v>910</v>
      </c>
      <c r="K726" s="211" t="s">
        <v>1448</v>
      </c>
    </row>
    <row r="727" spans="1:11" ht="84">
      <c r="A727" s="204">
        <v>725</v>
      </c>
      <c r="B727" s="205">
        <v>45751</v>
      </c>
      <c r="C727" s="265" t="s">
        <v>826</v>
      </c>
      <c r="D727" s="204">
        <v>2025</v>
      </c>
      <c r="E727" s="204" t="s">
        <v>2224</v>
      </c>
      <c r="F727" s="204" t="s">
        <v>1560</v>
      </c>
      <c r="G727" s="214" t="s">
        <v>859</v>
      </c>
      <c r="H727" s="207" t="s">
        <v>2237</v>
      </c>
      <c r="I727" s="156" t="s">
        <v>26</v>
      </c>
      <c r="J727" s="204" t="s">
        <v>1436</v>
      </c>
      <c r="K727" s="207"/>
    </row>
    <row r="728" spans="1:11" ht="117">
      <c r="A728" s="204">
        <v>726</v>
      </c>
      <c r="B728" s="208">
        <v>45751</v>
      </c>
      <c r="C728" s="265" t="s">
        <v>826</v>
      </c>
      <c r="D728" s="204">
        <v>2025</v>
      </c>
      <c r="E728" s="209" t="s">
        <v>1431</v>
      </c>
      <c r="F728" s="209" t="s">
        <v>216</v>
      </c>
      <c r="G728" s="213" t="s">
        <v>821</v>
      </c>
      <c r="H728" s="211" t="s">
        <v>2238</v>
      </c>
      <c r="I728" s="156" t="s">
        <v>26</v>
      </c>
      <c r="J728" s="209" t="s">
        <v>1436</v>
      </c>
      <c r="K728" s="211" t="s">
        <v>1446</v>
      </c>
    </row>
    <row r="729" spans="1:11" ht="50.25">
      <c r="A729" s="204">
        <v>727</v>
      </c>
      <c r="B729" s="205">
        <v>45751</v>
      </c>
      <c r="C729" s="265" t="s">
        <v>826</v>
      </c>
      <c r="D729" s="204">
        <v>2025</v>
      </c>
      <c r="E729" s="204" t="s">
        <v>1431</v>
      </c>
      <c r="F729" s="204" t="s">
        <v>21</v>
      </c>
      <c r="G729" s="213" t="s">
        <v>821</v>
      </c>
      <c r="H729" s="207" t="s">
        <v>2239</v>
      </c>
      <c r="I729" s="156" t="s">
        <v>26</v>
      </c>
      <c r="J729" s="204" t="s">
        <v>1436</v>
      </c>
      <c r="K729" s="207"/>
    </row>
    <row r="730" spans="1:11" ht="117">
      <c r="A730" s="204">
        <v>728</v>
      </c>
      <c r="B730" s="208">
        <v>45751</v>
      </c>
      <c r="C730" s="265" t="s">
        <v>826</v>
      </c>
      <c r="D730" s="204">
        <v>2025</v>
      </c>
      <c r="E730" s="209" t="s">
        <v>1431</v>
      </c>
      <c r="F730" s="209" t="s">
        <v>21</v>
      </c>
      <c r="G730" s="213" t="s">
        <v>821</v>
      </c>
      <c r="H730" s="211" t="s">
        <v>2240</v>
      </c>
      <c r="I730" s="156" t="s">
        <v>26</v>
      </c>
      <c r="J730" s="209" t="s">
        <v>1436</v>
      </c>
      <c r="K730" s="211" t="s">
        <v>1482</v>
      </c>
    </row>
    <row r="731" spans="1:11" ht="50.25">
      <c r="A731" s="204">
        <v>729</v>
      </c>
      <c r="B731" s="205">
        <v>45751</v>
      </c>
      <c r="C731" s="265" t="s">
        <v>826</v>
      </c>
      <c r="D731" s="204">
        <v>2025</v>
      </c>
      <c r="E731" s="204" t="s">
        <v>1431</v>
      </c>
      <c r="F731" s="204" t="s">
        <v>21</v>
      </c>
      <c r="G731" s="213" t="s">
        <v>821</v>
      </c>
      <c r="H731" s="207" t="s">
        <v>2241</v>
      </c>
      <c r="I731" s="156" t="s">
        <v>26</v>
      </c>
      <c r="J731" s="204" t="s">
        <v>1436</v>
      </c>
      <c r="K731" s="207"/>
    </row>
    <row r="732" spans="1:11" ht="150.75">
      <c r="A732" s="204">
        <v>730</v>
      </c>
      <c r="B732" s="208">
        <v>45754</v>
      </c>
      <c r="C732" s="265" t="s">
        <v>826</v>
      </c>
      <c r="D732" s="204">
        <v>2025</v>
      </c>
      <c r="E732" s="209" t="s">
        <v>1431</v>
      </c>
      <c r="F732" s="209" t="s">
        <v>21</v>
      </c>
      <c r="G732" s="213" t="s">
        <v>821</v>
      </c>
      <c r="H732" s="211" t="s">
        <v>2242</v>
      </c>
      <c r="I732" s="156" t="s">
        <v>26</v>
      </c>
      <c r="J732" s="209" t="s">
        <v>1436</v>
      </c>
      <c r="K732" s="211" t="s">
        <v>1513</v>
      </c>
    </row>
    <row r="733" spans="1:11" ht="50.25">
      <c r="A733" s="204">
        <v>731</v>
      </c>
      <c r="B733" s="205">
        <v>45754</v>
      </c>
      <c r="C733" s="265" t="s">
        <v>826</v>
      </c>
      <c r="D733" s="204">
        <v>2025</v>
      </c>
      <c r="E733" s="204" t="s">
        <v>1431</v>
      </c>
      <c r="F733" s="204" t="s">
        <v>21</v>
      </c>
      <c r="G733" s="213" t="s">
        <v>821</v>
      </c>
      <c r="H733" s="207" t="s">
        <v>2243</v>
      </c>
      <c r="I733" s="156" t="s">
        <v>26</v>
      </c>
      <c r="J733" s="204" t="s">
        <v>1436</v>
      </c>
      <c r="K733" s="207"/>
    </row>
    <row r="734" spans="1:11" ht="50.25">
      <c r="A734" s="204">
        <v>732</v>
      </c>
      <c r="B734" s="208">
        <v>45754</v>
      </c>
      <c r="C734" s="265" t="s">
        <v>826</v>
      </c>
      <c r="D734" s="204">
        <v>2025</v>
      </c>
      <c r="E734" s="209" t="s">
        <v>1431</v>
      </c>
      <c r="F734" s="209" t="s">
        <v>2244</v>
      </c>
      <c r="G734" s="217" t="s">
        <v>859</v>
      </c>
      <c r="H734" s="211" t="s">
        <v>2245</v>
      </c>
      <c r="I734" s="156" t="s">
        <v>26</v>
      </c>
      <c r="J734" s="209" t="s">
        <v>1436</v>
      </c>
      <c r="K734" s="211"/>
    </row>
    <row r="735" spans="1:11" ht="84">
      <c r="A735" s="204">
        <v>733</v>
      </c>
      <c r="B735" s="205">
        <v>45754</v>
      </c>
      <c r="C735" s="265" t="s">
        <v>826</v>
      </c>
      <c r="D735" s="204">
        <v>2025</v>
      </c>
      <c r="E735" s="204" t="s">
        <v>1431</v>
      </c>
      <c r="F735" s="204" t="s">
        <v>1518</v>
      </c>
      <c r="G735" s="206" t="s">
        <v>88</v>
      </c>
      <c r="H735" s="207" t="s">
        <v>2246</v>
      </c>
      <c r="I735" s="156" t="s">
        <v>26</v>
      </c>
      <c r="J735" s="204" t="s">
        <v>1436</v>
      </c>
      <c r="K735" s="207" t="s">
        <v>1444</v>
      </c>
    </row>
    <row r="736" spans="1:11" ht="50.25">
      <c r="A736" s="204">
        <v>734</v>
      </c>
      <c r="B736" s="208">
        <v>45755</v>
      </c>
      <c r="C736" s="265" t="s">
        <v>826</v>
      </c>
      <c r="D736" s="204">
        <v>2025</v>
      </c>
      <c r="E736" s="209" t="s">
        <v>1431</v>
      </c>
      <c r="F736" s="209" t="s">
        <v>21</v>
      </c>
      <c r="G736" s="213" t="s">
        <v>821</v>
      </c>
      <c r="H736" s="211" t="s">
        <v>2247</v>
      </c>
      <c r="I736" s="156" t="s">
        <v>26</v>
      </c>
      <c r="J736" s="209" t="s">
        <v>1436</v>
      </c>
      <c r="K736" s="211"/>
    </row>
    <row r="737" spans="1:11" ht="50.25">
      <c r="A737" s="204">
        <v>735</v>
      </c>
      <c r="B737" s="205">
        <v>45755</v>
      </c>
      <c r="C737" s="265" t="s">
        <v>826</v>
      </c>
      <c r="D737" s="204">
        <v>2025</v>
      </c>
      <c r="E737" s="204" t="s">
        <v>1431</v>
      </c>
      <c r="F737" s="204" t="s">
        <v>1473</v>
      </c>
      <c r="G737" s="214" t="s">
        <v>859</v>
      </c>
      <c r="H737" s="207" t="s">
        <v>2248</v>
      </c>
      <c r="I737" s="156" t="s">
        <v>26</v>
      </c>
      <c r="J737" s="204" t="s">
        <v>1436</v>
      </c>
      <c r="K737" s="207"/>
    </row>
    <row r="738" spans="1:11" ht="84">
      <c r="A738" s="204">
        <v>736</v>
      </c>
      <c r="B738" s="208">
        <v>45755</v>
      </c>
      <c r="C738" s="265" t="s">
        <v>826</v>
      </c>
      <c r="D738" s="204">
        <v>2025</v>
      </c>
      <c r="E738" s="209" t="s">
        <v>1431</v>
      </c>
      <c r="F738" s="209" t="s">
        <v>1506</v>
      </c>
      <c r="G738" s="210" t="s">
        <v>88</v>
      </c>
      <c r="H738" s="211" t="s">
        <v>2249</v>
      </c>
      <c r="I738" s="156" t="s">
        <v>26</v>
      </c>
      <c r="J738" s="209" t="s">
        <v>1436</v>
      </c>
      <c r="K738" s="211" t="s">
        <v>1500</v>
      </c>
    </row>
    <row r="739" spans="1:11" ht="50.25">
      <c r="A739" s="204">
        <v>737</v>
      </c>
      <c r="B739" s="205">
        <v>45755</v>
      </c>
      <c r="C739" s="265" t="s">
        <v>826</v>
      </c>
      <c r="D739" s="204">
        <v>2025</v>
      </c>
      <c r="E739" s="204" t="s">
        <v>1431</v>
      </c>
      <c r="F739" s="204" t="s">
        <v>1518</v>
      </c>
      <c r="G739" s="206" t="s">
        <v>88</v>
      </c>
      <c r="H739" s="207" t="s">
        <v>2250</v>
      </c>
      <c r="I739" s="156" t="s">
        <v>26</v>
      </c>
      <c r="J739" s="204" t="s">
        <v>1436</v>
      </c>
      <c r="K739" s="207"/>
    </row>
    <row r="740" spans="1:11" ht="33.75">
      <c r="A740" s="204">
        <v>738</v>
      </c>
      <c r="B740" s="208">
        <v>45755</v>
      </c>
      <c r="C740" s="265" t="s">
        <v>826</v>
      </c>
      <c r="D740" s="204">
        <v>2025</v>
      </c>
      <c r="E740" s="209" t="s">
        <v>1431</v>
      </c>
      <c r="F740" s="209" t="s">
        <v>2192</v>
      </c>
      <c r="G740" s="217" t="s">
        <v>859</v>
      </c>
      <c r="H740" s="211" t="s">
        <v>2251</v>
      </c>
      <c r="I740" s="156" t="s">
        <v>26</v>
      </c>
      <c r="J740" s="209" t="s">
        <v>923</v>
      </c>
      <c r="K740" s="211"/>
    </row>
    <row r="741" spans="1:11" ht="150.75">
      <c r="A741" s="204">
        <v>739</v>
      </c>
      <c r="B741" s="205">
        <v>45756</v>
      </c>
      <c r="C741" s="265" t="s">
        <v>826</v>
      </c>
      <c r="D741" s="204">
        <v>2025</v>
      </c>
      <c r="E741" s="204" t="s">
        <v>2252</v>
      </c>
      <c r="F741" s="204" t="s">
        <v>21</v>
      </c>
      <c r="G741" s="213" t="s">
        <v>821</v>
      </c>
      <c r="H741" s="207" t="s">
        <v>2253</v>
      </c>
      <c r="I741" s="156" t="s">
        <v>26</v>
      </c>
      <c r="J741" s="204" t="s">
        <v>1436</v>
      </c>
      <c r="K741" s="207" t="s">
        <v>1513</v>
      </c>
    </row>
    <row r="742" spans="1:11" ht="150.75">
      <c r="A742" s="204">
        <v>740</v>
      </c>
      <c r="B742" s="208">
        <v>45757</v>
      </c>
      <c r="C742" s="265" t="s">
        <v>826</v>
      </c>
      <c r="D742" s="204">
        <v>2025</v>
      </c>
      <c r="E742" s="209" t="s">
        <v>2252</v>
      </c>
      <c r="F742" s="209" t="s">
        <v>21</v>
      </c>
      <c r="G742" s="213" t="s">
        <v>821</v>
      </c>
      <c r="H742" s="211" t="s">
        <v>2254</v>
      </c>
      <c r="I742" s="156" t="s">
        <v>26</v>
      </c>
      <c r="J742" s="209" t="s">
        <v>1436</v>
      </c>
      <c r="K742" s="211" t="s">
        <v>1513</v>
      </c>
    </row>
    <row r="743" spans="1:11" ht="84">
      <c r="A743" s="204">
        <v>741</v>
      </c>
      <c r="B743" s="205">
        <v>45757</v>
      </c>
      <c r="C743" s="265" t="s">
        <v>826</v>
      </c>
      <c r="D743" s="204">
        <v>2025</v>
      </c>
      <c r="E743" s="204" t="s">
        <v>1431</v>
      </c>
      <c r="F743" s="204" t="s">
        <v>1518</v>
      </c>
      <c r="G743" s="206" t="s">
        <v>88</v>
      </c>
      <c r="H743" s="207" t="s">
        <v>2255</v>
      </c>
      <c r="I743" s="156" t="s">
        <v>26</v>
      </c>
      <c r="J743" s="204" t="s">
        <v>1436</v>
      </c>
      <c r="K743" s="207" t="s">
        <v>1444</v>
      </c>
    </row>
    <row r="744" spans="1:11" ht="150.75">
      <c r="A744" s="204">
        <v>742</v>
      </c>
      <c r="B744" s="208">
        <v>45758</v>
      </c>
      <c r="C744" s="265" t="s">
        <v>826</v>
      </c>
      <c r="D744" s="204">
        <v>2025</v>
      </c>
      <c r="E744" s="209" t="s">
        <v>1431</v>
      </c>
      <c r="F744" s="209" t="s">
        <v>21</v>
      </c>
      <c r="G744" s="213" t="s">
        <v>821</v>
      </c>
      <c r="H744" s="211" t="s">
        <v>2256</v>
      </c>
      <c r="I744" s="156" t="s">
        <v>26</v>
      </c>
      <c r="J744" s="209" t="s">
        <v>1436</v>
      </c>
      <c r="K744" s="211" t="s">
        <v>1513</v>
      </c>
    </row>
    <row r="745" spans="1:11" ht="84">
      <c r="A745" s="204">
        <v>743</v>
      </c>
      <c r="B745" s="205">
        <v>45758</v>
      </c>
      <c r="C745" s="265" t="s">
        <v>826</v>
      </c>
      <c r="D745" s="204">
        <v>2025</v>
      </c>
      <c r="E745" s="204" t="s">
        <v>1431</v>
      </c>
      <c r="F745" s="204" t="s">
        <v>1225</v>
      </c>
      <c r="G745" s="214" t="s">
        <v>859</v>
      </c>
      <c r="H745" s="207" t="s">
        <v>2257</v>
      </c>
      <c r="I745" s="156" t="s">
        <v>26</v>
      </c>
      <c r="J745" s="204" t="s">
        <v>1436</v>
      </c>
      <c r="K745" s="207" t="s">
        <v>1605</v>
      </c>
    </row>
    <row r="746" spans="1:11" ht="66.75">
      <c r="A746" s="204">
        <v>744</v>
      </c>
      <c r="B746" s="208">
        <v>45758</v>
      </c>
      <c r="C746" s="265" t="s">
        <v>826</v>
      </c>
      <c r="D746" s="204">
        <v>2025</v>
      </c>
      <c r="E746" s="209" t="s">
        <v>1431</v>
      </c>
      <c r="F746" s="209" t="s">
        <v>216</v>
      </c>
      <c r="G746" s="213" t="s">
        <v>821</v>
      </c>
      <c r="H746" s="211" t="s">
        <v>2258</v>
      </c>
      <c r="I746" s="156" t="s">
        <v>26</v>
      </c>
      <c r="J746" s="209" t="s">
        <v>1588</v>
      </c>
      <c r="K746" s="211"/>
    </row>
    <row r="747" spans="1:11" ht="150.75">
      <c r="A747" s="204">
        <v>745</v>
      </c>
      <c r="B747" s="205">
        <v>45761</v>
      </c>
      <c r="C747" s="265" t="s">
        <v>826</v>
      </c>
      <c r="D747" s="204">
        <v>2025</v>
      </c>
      <c r="E747" s="204" t="s">
        <v>1431</v>
      </c>
      <c r="F747" s="204" t="s">
        <v>21</v>
      </c>
      <c r="G747" s="213" t="s">
        <v>821</v>
      </c>
      <c r="H747" s="207" t="s">
        <v>2259</v>
      </c>
      <c r="I747" s="156" t="s">
        <v>26</v>
      </c>
      <c r="J747" s="204" t="s">
        <v>149</v>
      </c>
      <c r="K747" s="207" t="s">
        <v>1513</v>
      </c>
    </row>
    <row r="748" spans="1:11" ht="84">
      <c r="A748" s="204">
        <v>746</v>
      </c>
      <c r="B748" s="208">
        <v>45761</v>
      </c>
      <c r="C748" s="265" t="s">
        <v>826</v>
      </c>
      <c r="D748" s="204">
        <v>2025</v>
      </c>
      <c r="E748" s="209" t="s">
        <v>1431</v>
      </c>
      <c r="F748" s="209" t="s">
        <v>1506</v>
      </c>
      <c r="G748" s="210" t="s">
        <v>88</v>
      </c>
      <c r="H748" s="211" t="s">
        <v>2260</v>
      </c>
      <c r="I748" s="156" t="s">
        <v>26</v>
      </c>
      <c r="J748" s="209" t="s">
        <v>1904</v>
      </c>
      <c r="K748" s="211" t="s">
        <v>1500</v>
      </c>
    </row>
    <row r="749" spans="1:11" ht="100.5">
      <c r="A749" s="204">
        <v>747</v>
      </c>
      <c r="B749" s="205">
        <v>45761</v>
      </c>
      <c r="C749" s="265" t="s">
        <v>826</v>
      </c>
      <c r="D749" s="204">
        <v>2025</v>
      </c>
      <c r="E749" s="204" t="s">
        <v>1431</v>
      </c>
      <c r="F749" s="204" t="s">
        <v>1518</v>
      </c>
      <c r="G749" s="206" t="s">
        <v>88</v>
      </c>
      <c r="H749" s="207" t="s">
        <v>2261</v>
      </c>
      <c r="I749" s="156" t="s">
        <v>26</v>
      </c>
      <c r="J749" s="204" t="s">
        <v>1493</v>
      </c>
      <c r="K749" s="207" t="s">
        <v>1467</v>
      </c>
    </row>
    <row r="750" spans="1:11" ht="50.25">
      <c r="A750" s="204">
        <v>748</v>
      </c>
      <c r="B750" s="208">
        <v>45762</v>
      </c>
      <c r="C750" s="265" t="s">
        <v>826</v>
      </c>
      <c r="D750" s="204">
        <v>2025</v>
      </c>
      <c r="E750" s="209" t="s">
        <v>1431</v>
      </c>
      <c r="F750" s="209" t="s">
        <v>216</v>
      </c>
      <c r="G750" s="213" t="s">
        <v>821</v>
      </c>
      <c r="H750" s="211" t="s">
        <v>2262</v>
      </c>
      <c r="I750" s="156" t="s">
        <v>26</v>
      </c>
      <c r="J750" s="209" t="s">
        <v>1436</v>
      </c>
      <c r="K750" s="211"/>
    </row>
    <row r="751" spans="1:11" ht="50.25">
      <c r="A751" s="204">
        <v>749</v>
      </c>
      <c r="B751" s="205">
        <v>45762</v>
      </c>
      <c r="C751" s="265" t="s">
        <v>826</v>
      </c>
      <c r="D751" s="204">
        <v>2025</v>
      </c>
      <c r="E751" s="204" t="s">
        <v>1431</v>
      </c>
      <c r="F751" s="204" t="s">
        <v>216</v>
      </c>
      <c r="G751" s="213" t="s">
        <v>821</v>
      </c>
      <c r="H751" s="207" t="s">
        <v>2263</v>
      </c>
      <c r="I751" s="156" t="s">
        <v>26</v>
      </c>
      <c r="J751" s="204" t="s">
        <v>1436</v>
      </c>
      <c r="K751" s="207"/>
    </row>
    <row r="752" spans="1:11" ht="33.75">
      <c r="A752" s="204">
        <v>750</v>
      </c>
      <c r="B752" s="208">
        <v>45763</v>
      </c>
      <c r="C752" s="265" t="s">
        <v>826</v>
      </c>
      <c r="D752" s="204">
        <v>2025</v>
      </c>
      <c r="E752" s="209" t="s">
        <v>1431</v>
      </c>
      <c r="F752" s="209" t="s">
        <v>216</v>
      </c>
      <c r="G752" s="213" t="s">
        <v>821</v>
      </c>
      <c r="H752" s="211" t="s">
        <v>2264</v>
      </c>
      <c r="I752" s="156" t="s">
        <v>26</v>
      </c>
      <c r="J752" s="209" t="s">
        <v>1436</v>
      </c>
      <c r="K752" s="211"/>
    </row>
    <row r="753" spans="1:11" ht="50.25">
      <c r="A753" s="204">
        <v>751</v>
      </c>
      <c r="B753" s="205">
        <v>45763</v>
      </c>
      <c r="C753" s="265" t="s">
        <v>826</v>
      </c>
      <c r="D753" s="204">
        <v>2025</v>
      </c>
      <c r="E753" s="204" t="s">
        <v>1431</v>
      </c>
      <c r="F753" s="204" t="s">
        <v>1539</v>
      </c>
      <c r="G753" s="214" t="s">
        <v>859</v>
      </c>
      <c r="H753" s="207" t="s">
        <v>2265</v>
      </c>
      <c r="I753" s="156" t="s">
        <v>26</v>
      </c>
      <c r="J753" s="204" t="s">
        <v>1436</v>
      </c>
      <c r="K753" s="207"/>
    </row>
    <row r="754" spans="1:11" ht="100.5">
      <c r="A754" s="204">
        <v>752</v>
      </c>
      <c r="B754" s="208">
        <v>45764</v>
      </c>
      <c r="C754" s="265" t="s">
        <v>826</v>
      </c>
      <c r="D754" s="204">
        <v>2025</v>
      </c>
      <c r="E754" s="209" t="s">
        <v>1431</v>
      </c>
      <c r="F754" s="209" t="s">
        <v>1506</v>
      </c>
      <c r="G754" s="210" t="s">
        <v>88</v>
      </c>
      <c r="H754" s="211" t="s">
        <v>2266</v>
      </c>
      <c r="I754" s="156" t="s">
        <v>26</v>
      </c>
      <c r="J754" s="209" t="s">
        <v>1436</v>
      </c>
      <c r="K754" s="211" t="s">
        <v>1500</v>
      </c>
    </row>
    <row r="755" spans="1:11" ht="84">
      <c r="A755" s="204">
        <v>753</v>
      </c>
      <c r="B755" s="205">
        <v>45769</v>
      </c>
      <c r="C755" s="265" t="s">
        <v>826</v>
      </c>
      <c r="D755" s="204">
        <v>2025</v>
      </c>
      <c r="E755" s="204" t="s">
        <v>1431</v>
      </c>
      <c r="F755" s="204" t="s">
        <v>1506</v>
      </c>
      <c r="G755" s="206" t="s">
        <v>88</v>
      </c>
      <c r="H755" s="207" t="s">
        <v>2267</v>
      </c>
      <c r="I755" s="156" t="s">
        <v>26</v>
      </c>
      <c r="J755" s="204" t="s">
        <v>1904</v>
      </c>
      <c r="K755" s="207" t="s">
        <v>1500</v>
      </c>
    </row>
    <row r="756" spans="1:11" ht="66.75">
      <c r="A756" s="204">
        <v>754</v>
      </c>
      <c r="B756" s="208">
        <v>45769</v>
      </c>
      <c r="C756" s="265" t="s">
        <v>826</v>
      </c>
      <c r="D756" s="204">
        <v>2025</v>
      </c>
      <c r="E756" s="209" t="s">
        <v>1431</v>
      </c>
      <c r="F756" s="209" t="s">
        <v>1506</v>
      </c>
      <c r="G756" s="210" t="s">
        <v>88</v>
      </c>
      <c r="H756" s="211" t="s">
        <v>2268</v>
      </c>
      <c r="I756" s="156" t="s">
        <v>26</v>
      </c>
      <c r="J756" s="209" t="s">
        <v>1436</v>
      </c>
      <c r="K756" s="211"/>
    </row>
    <row r="757" spans="1:11" ht="33.75">
      <c r="A757" s="204">
        <v>755</v>
      </c>
      <c r="B757" s="205">
        <v>45769</v>
      </c>
      <c r="C757" s="265" t="s">
        <v>826</v>
      </c>
      <c r="D757" s="204">
        <v>2025</v>
      </c>
      <c r="E757" s="204" t="s">
        <v>1431</v>
      </c>
      <c r="F757" s="204" t="s">
        <v>216</v>
      </c>
      <c r="G757" s="213" t="s">
        <v>821</v>
      </c>
      <c r="H757" s="207" t="s">
        <v>2269</v>
      </c>
      <c r="I757" s="156" t="s">
        <v>26</v>
      </c>
      <c r="J757" s="204" t="s">
        <v>1436</v>
      </c>
      <c r="K757" s="207"/>
    </row>
    <row r="758" spans="1:11" ht="33.75">
      <c r="A758" s="204">
        <v>756</v>
      </c>
      <c r="B758" s="208">
        <v>45769</v>
      </c>
      <c r="C758" s="265" t="s">
        <v>826</v>
      </c>
      <c r="D758" s="204">
        <v>2025</v>
      </c>
      <c r="E758" s="209" t="s">
        <v>1431</v>
      </c>
      <c r="F758" s="209" t="s">
        <v>21</v>
      </c>
      <c r="G758" s="213" t="s">
        <v>821</v>
      </c>
      <c r="H758" s="211" t="s">
        <v>2270</v>
      </c>
      <c r="I758" s="156" t="s">
        <v>26</v>
      </c>
      <c r="J758" s="209" t="s">
        <v>1436</v>
      </c>
      <c r="K758" s="211"/>
    </row>
    <row r="759" spans="1:11" ht="134.25">
      <c r="A759" s="204">
        <v>757</v>
      </c>
      <c r="B759" s="205">
        <v>45769</v>
      </c>
      <c r="C759" s="265" t="s">
        <v>826</v>
      </c>
      <c r="D759" s="204">
        <v>2025</v>
      </c>
      <c r="E759" s="204" t="s">
        <v>1431</v>
      </c>
      <c r="F759" s="204" t="s">
        <v>21</v>
      </c>
      <c r="G759" s="213" t="s">
        <v>821</v>
      </c>
      <c r="H759" s="207" t="s">
        <v>2271</v>
      </c>
      <c r="I759" s="156" t="s">
        <v>26</v>
      </c>
      <c r="J759" s="204" t="s">
        <v>1436</v>
      </c>
      <c r="K759" s="207" t="s">
        <v>1601</v>
      </c>
    </row>
    <row r="760" spans="1:11" ht="100.5">
      <c r="A760" s="204">
        <v>758</v>
      </c>
      <c r="B760" s="208">
        <v>45769</v>
      </c>
      <c r="C760" s="265" t="s">
        <v>826</v>
      </c>
      <c r="D760" s="204">
        <v>2025</v>
      </c>
      <c r="E760" s="209" t="s">
        <v>1431</v>
      </c>
      <c r="F760" s="209" t="s">
        <v>1566</v>
      </c>
      <c r="G760" s="216" t="s">
        <v>872</v>
      </c>
      <c r="H760" s="211" t="s">
        <v>2272</v>
      </c>
      <c r="I760" s="156" t="s">
        <v>26</v>
      </c>
      <c r="J760" s="209" t="s">
        <v>1436</v>
      </c>
      <c r="K760" s="211" t="s">
        <v>1472</v>
      </c>
    </row>
    <row r="761" spans="1:11" ht="84">
      <c r="A761" s="204">
        <v>759</v>
      </c>
      <c r="B761" s="205">
        <v>45769</v>
      </c>
      <c r="C761" s="265" t="s">
        <v>826</v>
      </c>
      <c r="D761" s="204">
        <v>2025</v>
      </c>
      <c r="E761" s="204" t="s">
        <v>1431</v>
      </c>
      <c r="F761" s="204" t="s">
        <v>988</v>
      </c>
      <c r="G761" s="206" t="s">
        <v>88</v>
      </c>
      <c r="H761" s="207" t="s">
        <v>2273</v>
      </c>
      <c r="I761" s="156" t="s">
        <v>26</v>
      </c>
      <c r="J761" s="204" t="s">
        <v>1436</v>
      </c>
      <c r="K761" s="207"/>
    </row>
    <row r="762" spans="1:11" ht="84">
      <c r="A762" s="204">
        <v>760</v>
      </c>
      <c r="B762" s="208">
        <v>45769</v>
      </c>
      <c r="C762" s="265" t="s">
        <v>826</v>
      </c>
      <c r="D762" s="204">
        <v>2025</v>
      </c>
      <c r="E762" s="209" t="s">
        <v>1431</v>
      </c>
      <c r="F762" s="209" t="s">
        <v>1539</v>
      </c>
      <c r="G762" s="217" t="s">
        <v>859</v>
      </c>
      <c r="H762" s="211" t="s">
        <v>2274</v>
      </c>
      <c r="I762" s="156" t="s">
        <v>26</v>
      </c>
      <c r="J762" s="209" t="s">
        <v>1436</v>
      </c>
      <c r="K762" s="211"/>
    </row>
    <row r="763" spans="1:11" ht="33.75">
      <c r="A763" s="204">
        <v>761</v>
      </c>
      <c r="B763" s="205">
        <v>45769</v>
      </c>
      <c r="C763" s="265" t="s">
        <v>826</v>
      </c>
      <c r="D763" s="204">
        <v>2025</v>
      </c>
      <c r="E763" s="204" t="s">
        <v>1431</v>
      </c>
      <c r="F763" s="204" t="s">
        <v>21</v>
      </c>
      <c r="G763" s="213" t="s">
        <v>821</v>
      </c>
      <c r="H763" s="207" t="s">
        <v>2275</v>
      </c>
      <c r="I763" s="156" t="s">
        <v>26</v>
      </c>
      <c r="J763" s="204" t="s">
        <v>1436</v>
      </c>
      <c r="K763" s="207"/>
    </row>
    <row r="764" spans="1:11" ht="66.75">
      <c r="A764" s="204">
        <v>762</v>
      </c>
      <c r="B764" s="208">
        <v>45770</v>
      </c>
      <c r="C764" s="265" t="s">
        <v>826</v>
      </c>
      <c r="D764" s="204">
        <v>2025</v>
      </c>
      <c r="E764" s="209" t="s">
        <v>1431</v>
      </c>
      <c r="F764" s="209" t="s">
        <v>216</v>
      </c>
      <c r="G764" s="213" t="s">
        <v>821</v>
      </c>
      <c r="H764" s="211" t="s">
        <v>2276</v>
      </c>
      <c r="I764" s="156" t="s">
        <v>26</v>
      </c>
      <c r="J764" s="209" t="s">
        <v>1436</v>
      </c>
      <c r="K764" s="211"/>
    </row>
    <row r="765" spans="1:11" ht="50.25">
      <c r="A765" s="204">
        <v>763</v>
      </c>
      <c r="B765" s="205">
        <v>45770</v>
      </c>
      <c r="C765" s="265" t="s">
        <v>826</v>
      </c>
      <c r="D765" s="204">
        <v>2025</v>
      </c>
      <c r="E765" s="204" t="s">
        <v>1431</v>
      </c>
      <c r="F765" s="204" t="s">
        <v>216</v>
      </c>
      <c r="G765" s="213" t="s">
        <v>821</v>
      </c>
      <c r="H765" s="207" t="s">
        <v>2277</v>
      </c>
      <c r="I765" s="156" t="s">
        <v>26</v>
      </c>
      <c r="J765" s="204" t="s">
        <v>1436</v>
      </c>
      <c r="K765" s="207"/>
    </row>
    <row r="766" spans="1:11" ht="134.25">
      <c r="A766" s="204">
        <v>764</v>
      </c>
      <c r="B766" s="208">
        <v>45770</v>
      </c>
      <c r="C766" s="265" t="s">
        <v>826</v>
      </c>
      <c r="D766" s="204">
        <v>2025</v>
      </c>
      <c r="E766" s="209" t="s">
        <v>1431</v>
      </c>
      <c r="F766" s="209" t="s">
        <v>216</v>
      </c>
      <c r="G766" s="213" t="s">
        <v>821</v>
      </c>
      <c r="H766" s="211" t="s">
        <v>2278</v>
      </c>
      <c r="I766" s="156" t="s">
        <v>26</v>
      </c>
      <c r="J766" s="209" t="s">
        <v>1436</v>
      </c>
      <c r="K766" s="211" t="s">
        <v>1601</v>
      </c>
    </row>
    <row r="767" spans="1:11" ht="117">
      <c r="A767" s="204">
        <v>765</v>
      </c>
      <c r="B767" s="205">
        <v>45771</v>
      </c>
      <c r="C767" s="265" t="s">
        <v>826</v>
      </c>
      <c r="D767" s="204">
        <v>2025</v>
      </c>
      <c r="E767" s="204" t="s">
        <v>1431</v>
      </c>
      <c r="F767" s="204" t="s">
        <v>21</v>
      </c>
      <c r="G767" s="213" t="s">
        <v>821</v>
      </c>
      <c r="H767" s="207" t="s">
        <v>2279</v>
      </c>
      <c r="I767" s="156" t="s">
        <v>26</v>
      </c>
      <c r="J767" s="204" t="s">
        <v>149</v>
      </c>
      <c r="K767" s="207" t="s">
        <v>1482</v>
      </c>
    </row>
    <row r="768" spans="1:11" ht="100.5">
      <c r="A768" s="204">
        <v>766</v>
      </c>
      <c r="B768" s="208">
        <v>45771</v>
      </c>
      <c r="C768" s="265" t="s">
        <v>826</v>
      </c>
      <c r="D768" s="204">
        <v>2025</v>
      </c>
      <c r="E768" s="209" t="s">
        <v>1431</v>
      </c>
      <c r="F768" s="209" t="s">
        <v>1225</v>
      </c>
      <c r="G768" s="217" t="s">
        <v>859</v>
      </c>
      <c r="H768" s="211" t="s">
        <v>2280</v>
      </c>
      <c r="I768" s="156" t="s">
        <v>26</v>
      </c>
      <c r="J768" s="209" t="s">
        <v>1436</v>
      </c>
      <c r="K768" s="211" t="s">
        <v>1476</v>
      </c>
    </row>
    <row r="769" spans="1:11" ht="84">
      <c r="A769" s="204">
        <v>767</v>
      </c>
      <c r="B769" s="205">
        <v>45771</v>
      </c>
      <c r="C769" s="265" t="s">
        <v>826</v>
      </c>
      <c r="D769" s="204">
        <v>2025</v>
      </c>
      <c r="E769" s="204" t="s">
        <v>1431</v>
      </c>
      <c r="F769" s="204" t="s">
        <v>1518</v>
      </c>
      <c r="G769" s="206" t="s">
        <v>88</v>
      </c>
      <c r="H769" s="207" t="s">
        <v>2281</v>
      </c>
      <c r="I769" s="156" t="s">
        <v>26</v>
      </c>
      <c r="J769" s="204" t="s">
        <v>1436</v>
      </c>
      <c r="K769" s="207" t="s">
        <v>1444</v>
      </c>
    </row>
    <row r="770" spans="1:11" ht="66.75">
      <c r="A770" s="204">
        <v>768</v>
      </c>
      <c r="B770" s="208">
        <v>45748</v>
      </c>
      <c r="C770" s="265" t="s">
        <v>826</v>
      </c>
      <c r="D770" s="204">
        <v>2025</v>
      </c>
      <c r="E770" s="209" t="s">
        <v>1431</v>
      </c>
      <c r="F770" s="209" t="s">
        <v>1436</v>
      </c>
      <c r="G770" s="212" t="s">
        <v>1439</v>
      </c>
      <c r="H770" s="211" t="s">
        <v>2282</v>
      </c>
      <c r="I770" s="156" t="s">
        <v>26</v>
      </c>
      <c r="J770" s="209" t="s">
        <v>1436</v>
      </c>
      <c r="K770" s="211"/>
    </row>
    <row r="771" spans="1:11" ht="150.75">
      <c r="A771" s="204">
        <v>769</v>
      </c>
      <c r="B771" s="205">
        <v>45771</v>
      </c>
      <c r="C771" s="265" t="s">
        <v>826</v>
      </c>
      <c r="D771" s="204">
        <v>2025</v>
      </c>
      <c r="E771" s="204" t="s">
        <v>1431</v>
      </c>
      <c r="F771" s="204" t="s">
        <v>21</v>
      </c>
      <c r="G771" s="213" t="s">
        <v>821</v>
      </c>
      <c r="H771" s="207" t="s">
        <v>2283</v>
      </c>
      <c r="I771" s="156" t="s">
        <v>26</v>
      </c>
      <c r="J771" s="204" t="s">
        <v>1436</v>
      </c>
      <c r="K771" s="207" t="s">
        <v>1513</v>
      </c>
    </row>
    <row r="772" spans="1:11" ht="100.5">
      <c r="A772" s="204">
        <v>770</v>
      </c>
      <c r="B772" s="208">
        <v>45771</v>
      </c>
      <c r="C772" s="265" t="s">
        <v>826</v>
      </c>
      <c r="D772" s="204">
        <v>2025</v>
      </c>
      <c r="E772" s="209" t="s">
        <v>1431</v>
      </c>
      <c r="F772" s="209" t="s">
        <v>1566</v>
      </c>
      <c r="G772" s="210" t="s">
        <v>88</v>
      </c>
      <c r="H772" s="211" t="s">
        <v>2284</v>
      </c>
      <c r="I772" s="156" t="s">
        <v>26</v>
      </c>
      <c r="J772" s="209" t="s">
        <v>1436</v>
      </c>
      <c r="K772" s="211" t="s">
        <v>1454</v>
      </c>
    </row>
    <row r="773" spans="1:11" ht="50.25">
      <c r="A773" s="204">
        <v>771</v>
      </c>
      <c r="B773" s="205">
        <v>45772</v>
      </c>
      <c r="C773" s="265" t="s">
        <v>826</v>
      </c>
      <c r="D773" s="204">
        <v>2025</v>
      </c>
      <c r="E773" s="204" t="s">
        <v>1431</v>
      </c>
      <c r="F773" s="204" t="s">
        <v>1225</v>
      </c>
      <c r="G773" s="214" t="s">
        <v>859</v>
      </c>
      <c r="H773" s="207" t="s">
        <v>2285</v>
      </c>
      <c r="I773" s="156" t="s">
        <v>26</v>
      </c>
      <c r="J773" s="204" t="s">
        <v>1436</v>
      </c>
      <c r="K773" s="207"/>
    </row>
    <row r="774" spans="1:11" ht="50.25">
      <c r="A774" s="204">
        <v>772</v>
      </c>
      <c r="B774" s="208">
        <v>45772</v>
      </c>
      <c r="C774" s="265" t="s">
        <v>826</v>
      </c>
      <c r="D774" s="204">
        <v>2025</v>
      </c>
      <c r="E774" s="209" t="s">
        <v>1431</v>
      </c>
      <c r="F774" s="209" t="s">
        <v>2192</v>
      </c>
      <c r="G774" s="213" t="s">
        <v>821</v>
      </c>
      <c r="H774" s="211" t="s">
        <v>2286</v>
      </c>
      <c r="I774" s="156" t="s">
        <v>26</v>
      </c>
      <c r="J774" s="209" t="s">
        <v>1436</v>
      </c>
      <c r="K774" s="211"/>
    </row>
    <row r="775" spans="1:11" ht="134.25">
      <c r="A775" s="204">
        <v>773</v>
      </c>
      <c r="B775" s="205">
        <v>45775</v>
      </c>
      <c r="C775" s="265" t="s">
        <v>826</v>
      </c>
      <c r="D775" s="204">
        <v>2025</v>
      </c>
      <c r="E775" s="204" t="s">
        <v>1431</v>
      </c>
      <c r="F775" s="204" t="s">
        <v>2287</v>
      </c>
      <c r="G775" s="212" t="s">
        <v>1439</v>
      </c>
      <c r="H775" s="207" t="s">
        <v>2288</v>
      </c>
      <c r="I775" s="156" t="s">
        <v>26</v>
      </c>
      <c r="J775" s="204" t="s">
        <v>1436</v>
      </c>
      <c r="K775" s="207" t="s">
        <v>1442</v>
      </c>
    </row>
    <row r="776" spans="1:11" ht="84">
      <c r="A776" s="204">
        <v>774</v>
      </c>
      <c r="B776" s="208">
        <v>45775</v>
      </c>
      <c r="C776" s="265" t="s">
        <v>826</v>
      </c>
      <c r="D776" s="204">
        <v>2025</v>
      </c>
      <c r="E776" s="209" t="s">
        <v>1431</v>
      </c>
      <c r="F776" s="209" t="s">
        <v>1506</v>
      </c>
      <c r="G776" s="217" t="s">
        <v>859</v>
      </c>
      <c r="H776" s="211" t="s">
        <v>2289</v>
      </c>
      <c r="I776" s="156" t="s">
        <v>26</v>
      </c>
      <c r="J776" s="209" t="s">
        <v>1436</v>
      </c>
      <c r="K776" s="211"/>
    </row>
    <row r="777" spans="1:11" ht="50.25">
      <c r="A777" s="204">
        <v>775</v>
      </c>
      <c r="B777" s="205">
        <v>45775</v>
      </c>
      <c r="C777" s="265" t="s">
        <v>826</v>
      </c>
      <c r="D777" s="204">
        <v>2025</v>
      </c>
      <c r="E777" s="204" t="s">
        <v>1431</v>
      </c>
      <c r="F777" s="204" t="s">
        <v>1518</v>
      </c>
      <c r="G777" s="206" t="s">
        <v>88</v>
      </c>
      <c r="H777" s="207" t="s">
        <v>2290</v>
      </c>
      <c r="I777" s="156" t="s">
        <v>26</v>
      </c>
      <c r="J777" s="204" t="s">
        <v>1436</v>
      </c>
      <c r="K777" s="207"/>
    </row>
    <row r="778" spans="1:11" ht="50.25">
      <c r="A778" s="204">
        <v>776</v>
      </c>
      <c r="B778" s="208">
        <v>45775</v>
      </c>
      <c r="C778" s="265" t="s">
        <v>826</v>
      </c>
      <c r="D778" s="204">
        <v>2025</v>
      </c>
      <c r="E778" s="209" t="s">
        <v>1431</v>
      </c>
      <c r="F778" s="209" t="s">
        <v>988</v>
      </c>
      <c r="G778" s="210" t="s">
        <v>88</v>
      </c>
      <c r="H778" s="211" t="s">
        <v>2291</v>
      </c>
      <c r="I778" s="156" t="s">
        <v>26</v>
      </c>
      <c r="J778" s="209" t="s">
        <v>1436</v>
      </c>
      <c r="K778" s="211"/>
    </row>
    <row r="779" spans="1:11" ht="50.25">
      <c r="A779" s="204">
        <v>777</v>
      </c>
      <c r="B779" s="205">
        <v>45779</v>
      </c>
      <c r="C779" s="265" t="s">
        <v>826</v>
      </c>
      <c r="D779" s="204">
        <v>2025</v>
      </c>
      <c r="E779" s="204" t="s">
        <v>1431</v>
      </c>
      <c r="F779" s="204" t="s">
        <v>216</v>
      </c>
      <c r="G779" s="213" t="s">
        <v>821</v>
      </c>
      <c r="H779" s="207" t="s">
        <v>2292</v>
      </c>
      <c r="I779" s="156" t="s">
        <v>26</v>
      </c>
      <c r="J779" s="204" t="s">
        <v>1436</v>
      </c>
      <c r="K779" s="207"/>
    </row>
    <row r="780" spans="1:11" ht="134.25">
      <c r="A780" s="204">
        <v>778</v>
      </c>
      <c r="B780" s="208">
        <v>45779</v>
      </c>
      <c r="C780" s="265" t="s">
        <v>826</v>
      </c>
      <c r="D780" s="204">
        <v>2025</v>
      </c>
      <c r="E780" s="209" t="s">
        <v>1431</v>
      </c>
      <c r="F780" s="209" t="s">
        <v>216</v>
      </c>
      <c r="G780" s="213" t="s">
        <v>821</v>
      </c>
      <c r="H780" s="211" t="s">
        <v>2293</v>
      </c>
      <c r="I780" s="156" t="s">
        <v>26</v>
      </c>
      <c r="J780" s="209" t="s">
        <v>1436</v>
      </c>
      <c r="K780" s="211" t="s">
        <v>1601</v>
      </c>
    </row>
    <row r="781" spans="1:11" ht="33.75">
      <c r="A781" s="204">
        <v>779</v>
      </c>
      <c r="B781" s="205">
        <v>45779</v>
      </c>
      <c r="C781" s="265" t="s">
        <v>826</v>
      </c>
      <c r="D781" s="204">
        <v>2025</v>
      </c>
      <c r="E781" s="204" t="s">
        <v>1431</v>
      </c>
      <c r="F781" s="204" t="s">
        <v>21</v>
      </c>
      <c r="G781" s="213" t="s">
        <v>821</v>
      </c>
      <c r="H781" s="207" t="s">
        <v>2294</v>
      </c>
      <c r="I781" s="156" t="s">
        <v>26</v>
      </c>
      <c r="J781" s="204" t="s">
        <v>1436</v>
      </c>
      <c r="K781" s="207"/>
    </row>
    <row r="782" spans="1:11" ht="84">
      <c r="A782" s="204">
        <v>780</v>
      </c>
      <c r="B782" s="208">
        <v>45779</v>
      </c>
      <c r="C782" s="265" t="s">
        <v>826</v>
      </c>
      <c r="D782" s="204">
        <v>2025</v>
      </c>
      <c r="E782" s="209" t="s">
        <v>1431</v>
      </c>
      <c r="F782" s="209" t="s">
        <v>1518</v>
      </c>
      <c r="G782" s="210" t="s">
        <v>88</v>
      </c>
      <c r="H782" s="211" t="s">
        <v>2295</v>
      </c>
      <c r="I782" s="156" t="s">
        <v>26</v>
      </c>
      <c r="J782" s="209" t="s">
        <v>1436</v>
      </c>
      <c r="K782" s="211" t="s">
        <v>1444</v>
      </c>
    </row>
    <row r="783" spans="1:11" ht="50.25">
      <c r="A783" s="204">
        <v>781</v>
      </c>
      <c r="B783" s="205">
        <v>45782</v>
      </c>
      <c r="C783" s="265" t="s">
        <v>827</v>
      </c>
      <c r="D783" s="204">
        <v>2025</v>
      </c>
      <c r="E783" s="204" t="s">
        <v>1431</v>
      </c>
      <c r="F783" s="204" t="s">
        <v>21</v>
      </c>
      <c r="G783" s="213" t="s">
        <v>821</v>
      </c>
      <c r="H783" s="207" t="s">
        <v>2296</v>
      </c>
      <c r="I783" s="156" t="s">
        <v>26</v>
      </c>
      <c r="J783" s="204" t="s">
        <v>149</v>
      </c>
      <c r="K783" s="207"/>
    </row>
    <row r="784" spans="1:11" ht="117">
      <c r="A784" s="204">
        <v>782</v>
      </c>
      <c r="B784" s="208">
        <v>45782</v>
      </c>
      <c r="C784" s="265" t="s">
        <v>827</v>
      </c>
      <c r="D784" s="204">
        <v>2025</v>
      </c>
      <c r="E784" s="209" t="s">
        <v>1431</v>
      </c>
      <c r="F784" s="209" t="s">
        <v>21</v>
      </c>
      <c r="G784" s="213" t="s">
        <v>821</v>
      </c>
      <c r="H784" s="211" t="s">
        <v>2297</v>
      </c>
      <c r="I784" s="156" t="s">
        <v>26</v>
      </c>
      <c r="J784" s="209" t="s">
        <v>149</v>
      </c>
      <c r="K784" s="211" t="s">
        <v>1482</v>
      </c>
    </row>
    <row r="785" spans="1:11" ht="33.75">
      <c r="A785" s="204">
        <v>783</v>
      </c>
      <c r="B785" s="205">
        <v>45782</v>
      </c>
      <c r="C785" s="265" t="s">
        <v>827</v>
      </c>
      <c r="D785" s="204">
        <v>2025</v>
      </c>
      <c r="E785" s="204" t="s">
        <v>1431</v>
      </c>
      <c r="F785" s="204" t="s">
        <v>2287</v>
      </c>
      <c r="G785" s="214" t="s">
        <v>859</v>
      </c>
      <c r="H785" s="207" t="s">
        <v>2298</v>
      </c>
      <c r="I785" s="156" t="s">
        <v>26</v>
      </c>
      <c r="J785" s="204" t="s">
        <v>2299</v>
      </c>
      <c r="K785" s="207"/>
    </row>
    <row r="786" spans="1:11" ht="100.5">
      <c r="A786" s="204">
        <v>784</v>
      </c>
      <c r="B786" s="208">
        <v>45782</v>
      </c>
      <c r="C786" s="265" t="s">
        <v>827</v>
      </c>
      <c r="D786" s="204">
        <v>2025</v>
      </c>
      <c r="E786" s="209" t="s">
        <v>1431</v>
      </c>
      <c r="F786" s="209" t="s">
        <v>574</v>
      </c>
      <c r="G786" s="210" t="s">
        <v>88</v>
      </c>
      <c r="H786" s="211" t="s">
        <v>2300</v>
      </c>
      <c r="I786" s="156" t="s">
        <v>26</v>
      </c>
      <c r="J786" s="209" t="s">
        <v>492</v>
      </c>
      <c r="K786" s="211" t="s">
        <v>1472</v>
      </c>
    </row>
    <row r="787" spans="1:11" ht="50.25">
      <c r="A787" s="204">
        <v>785</v>
      </c>
      <c r="B787" s="205">
        <v>45782</v>
      </c>
      <c r="C787" s="265" t="s">
        <v>827</v>
      </c>
      <c r="D787" s="204">
        <v>2025</v>
      </c>
      <c r="E787" s="204" t="s">
        <v>1431</v>
      </c>
      <c r="F787" s="204" t="s">
        <v>574</v>
      </c>
      <c r="G787" s="206" t="s">
        <v>88</v>
      </c>
      <c r="H787" s="207" t="s">
        <v>2301</v>
      </c>
      <c r="I787" s="156" t="s">
        <v>26</v>
      </c>
      <c r="J787" s="204" t="s">
        <v>492</v>
      </c>
      <c r="K787" s="207"/>
    </row>
    <row r="788" spans="1:11" ht="66.75">
      <c r="A788" s="204">
        <v>786</v>
      </c>
      <c r="B788" s="208">
        <v>45784</v>
      </c>
      <c r="C788" s="265" t="s">
        <v>827</v>
      </c>
      <c r="D788" s="204">
        <v>2025</v>
      </c>
      <c r="E788" s="209" t="s">
        <v>1431</v>
      </c>
      <c r="F788" s="209" t="s">
        <v>21</v>
      </c>
      <c r="G788" s="213" t="s">
        <v>821</v>
      </c>
      <c r="H788" s="211" t="s">
        <v>2302</v>
      </c>
      <c r="I788" s="156" t="s">
        <v>26</v>
      </c>
      <c r="J788" s="209" t="s">
        <v>149</v>
      </c>
      <c r="K788" s="211"/>
    </row>
    <row r="789" spans="1:11" ht="134.25">
      <c r="A789" s="204">
        <v>787</v>
      </c>
      <c r="B789" s="205">
        <v>45784</v>
      </c>
      <c r="C789" s="265" t="s">
        <v>827</v>
      </c>
      <c r="D789" s="204">
        <v>2025</v>
      </c>
      <c r="E789" s="204" t="s">
        <v>1431</v>
      </c>
      <c r="F789" s="204" t="s">
        <v>216</v>
      </c>
      <c r="G789" s="213" t="s">
        <v>821</v>
      </c>
      <c r="H789" s="207" t="s">
        <v>2303</v>
      </c>
      <c r="I789" s="156" t="s">
        <v>26</v>
      </c>
      <c r="J789" s="204" t="s">
        <v>492</v>
      </c>
      <c r="K789" s="207" t="s">
        <v>1601</v>
      </c>
    </row>
    <row r="790" spans="1:11" ht="66.75">
      <c r="A790" s="204">
        <v>788</v>
      </c>
      <c r="B790" s="208">
        <v>45784</v>
      </c>
      <c r="C790" s="265" t="s">
        <v>827</v>
      </c>
      <c r="D790" s="204">
        <v>2025</v>
      </c>
      <c r="E790" s="209" t="s">
        <v>1431</v>
      </c>
      <c r="F790" s="209" t="s">
        <v>21</v>
      </c>
      <c r="G790" s="213" t="s">
        <v>821</v>
      </c>
      <c r="H790" s="211" t="s">
        <v>2304</v>
      </c>
      <c r="I790" s="156" t="s">
        <v>26</v>
      </c>
      <c r="J790" s="209" t="s">
        <v>149</v>
      </c>
      <c r="K790" s="211"/>
    </row>
    <row r="791" spans="1:11" ht="117">
      <c r="A791" s="204">
        <v>789</v>
      </c>
      <c r="B791" s="205">
        <v>45785</v>
      </c>
      <c r="C791" s="265" t="s">
        <v>827</v>
      </c>
      <c r="D791" s="204">
        <v>2025</v>
      </c>
      <c r="E791" s="204" t="s">
        <v>1431</v>
      </c>
      <c r="F791" s="204" t="s">
        <v>21</v>
      </c>
      <c r="G791" s="213" t="s">
        <v>821</v>
      </c>
      <c r="H791" s="207" t="s">
        <v>2305</v>
      </c>
      <c r="I791" s="156" t="s">
        <v>26</v>
      </c>
      <c r="J791" s="204" t="s">
        <v>1436</v>
      </c>
      <c r="K791" s="207" t="s">
        <v>1482</v>
      </c>
    </row>
    <row r="792" spans="1:11" ht="50.25">
      <c r="A792" s="204">
        <v>790</v>
      </c>
      <c r="B792" s="208">
        <v>45785</v>
      </c>
      <c r="C792" s="265" t="s">
        <v>827</v>
      </c>
      <c r="D792" s="204">
        <v>2025</v>
      </c>
      <c r="E792" s="209" t="s">
        <v>1431</v>
      </c>
      <c r="F792" s="209" t="s">
        <v>21</v>
      </c>
      <c r="G792" s="213" t="s">
        <v>821</v>
      </c>
      <c r="H792" s="211" t="s">
        <v>2306</v>
      </c>
      <c r="I792" s="156" t="s">
        <v>26</v>
      </c>
      <c r="J792" s="209" t="s">
        <v>1436</v>
      </c>
      <c r="K792" s="211"/>
    </row>
    <row r="793" spans="1:11" ht="84">
      <c r="A793" s="204">
        <v>791</v>
      </c>
      <c r="B793" s="205">
        <v>45785</v>
      </c>
      <c r="C793" s="265" t="s">
        <v>827</v>
      </c>
      <c r="D793" s="204">
        <v>2025</v>
      </c>
      <c r="E793" s="204" t="s">
        <v>1431</v>
      </c>
      <c r="F793" s="204" t="s">
        <v>988</v>
      </c>
      <c r="G793" s="206" t="s">
        <v>88</v>
      </c>
      <c r="H793" s="207" t="s">
        <v>2307</v>
      </c>
      <c r="I793" s="156" t="s">
        <v>26</v>
      </c>
      <c r="J793" s="204" t="s">
        <v>1436</v>
      </c>
      <c r="K793" s="207" t="s">
        <v>1500</v>
      </c>
    </row>
    <row r="794" spans="1:11" ht="117">
      <c r="A794" s="204">
        <v>792</v>
      </c>
      <c r="B794" s="208">
        <v>45785</v>
      </c>
      <c r="C794" s="265" t="s">
        <v>827</v>
      </c>
      <c r="D794" s="204">
        <v>2025</v>
      </c>
      <c r="E794" s="209" t="s">
        <v>1431</v>
      </c>
      <c r="F794" s="209" t="s">
        <v>988</v>
      </c>
      <c r="G794" s="210" t="s">
        <v>88</v>
      </c>
      <c r="H794" s="211" t="s">
        <v>2308</v>
      </c>
      <c r="I794" s="156" t="s">
        <v>26</v>
      </c>
      <c r="J794" s="209" t="s">
        <v>1436</v>
      </c>
      <c r="K794" s="211" t="s">
        <v>1510</v>
      </c>
    </row>
    <row r="795" spans="1:11" ht="33.75">
      <c r="A795" s="204">
        <v>793</v>
      </c>
      <c r="B795" s="205">
        <v>45785</v>
      </c>
      <c r="C795" s="265" t="s">
        <v>827</v>
      </c>
      <c r="D795" s="204">
        <v>2025</v>
      </c>
      <c r="E795" s="204" t="s">
        <v>1431</v>
      </c>
      <c r="F795" s="204" t="s">
        <v>1518</v>
      </c>
      <c r="G795" s="206" t="s">
        <v>88</v>
      </c>
      <c r="H795" s="207" t="s">
        <v>2309</v>
      </c>
      <c r="I795" s="156" t="s">
        <v>26</v>
      </c>
      <c r="J795" s="204" t="s">
        <v>1436</v>
      </c>
      <c r="K795" s="207"/>
    </row>
    <row r="796" spans="1:11" ht="117">
      <c r="A796" s="204">
        <v>794</v>
      </c>
      <c r="B796" s="208">
        <v>45785</v>
      </c>
      <c r="C796" s="265" t="s">
        <v>827</v>
      </c>
      <c r="D796" s="204">
        <v>2025</v>
      </c>
      <c r="E796" s="209" t="s">
        <v>1431</v>
      </c>
      <c r="F796" s="209" t="s">
        <v>1225</v>
      </c>
      <c r="G796" s="217" t="s">
        <v>859</v>
      </c>
      <c r="H796" s="211" t="s">
        <v>2310</v>
      </c>
      <c r="I796" s="156" t="s">
        <v>26</v>
      </c>
      <c r="J796" s="209" t="s">
        <v>1436</v>
      </c>
      <c r="K796" s="211" t="s">
        <v>1451</v>
      </c>
    </row>
    <row r="797" spans="1:11" ht="117">
      <c r="A797" s="204">
        <v>795</v>
      </c>
      <c r="B797" s="205">
        <v>45786</v>
      </c>
      <c r="C797" s="265" t="s">
        <v>827</v>
      </c>
      <c r="D797" s="204">
        <v>2025</v>
      </c>
      <c r="E797" s="204" t="s">
        <v>1431</v>
      </c>
      <c r="F797" s="204" t="s">
        <v>21</v>
      </c>
      <c r="G797" s="213" t="s">
        <v>821</v>
      </c>
      <c r="H797" s="207" t="s">
        <v>2311</v>
      </c>
      <c r="I797" s="156" t="s">
        <v>26</v>
      </c>
      <c r="J797" s="204" t="s">
        <v>1436</v>
      </c>
      <c r="K797" s="207" t="s">
        <v>1482</v>
      </c>
    </row>
    <row r="798" spans="1:11" ht="16.5">
      <c r="A798" s="204">
        <v>796</v>
      </c>
      <c r="B798" s="208">
        <v>45778</v>
      </c>
      <c r="C798" s="265" t="s">
        <v>827</v>
      </c>
      <c r="D798" s="204">
        <v>2025</v>
      </c>
      <c r="E798" s="209" t="s">
        <v>1431</v>
      </c>
      <c r="F798" s="209" t="s">
        <v>1436</v>
      </c>
      <c r="G798" s="212" t="s">
        <v>1439</v>
      </c>
      <c r="H798" s="211" t="s">
        <v>2312</v>
      </c>
      <c r="I798" s="156" t="s">
        <v>26</v>
      </c>
      <c r="J798" s="209" t="s">
        <v>1436</v>
      </c>
      <c r="K798" s="211"/>
    </row>
    <row r="799" spans="1:11" ht="33.75">
      <c r="A799" s="204">
        <v>797</v>
      </c>
      <c r="B799" s="205">
        <v>45786</v>
      </c>
      <c r="C799" s="265" t="s">
        <v>827</v>
      </c>
      <c r="D799" s="204">
        <v>2025</v>
      </c>
      <c r="E799" s="204" t="s">
        <v>1431</v>
      </c>
      <c r="F799" s="204" t="s">
        <v>21</v>
      </c>
      <c r="G799" s="213" t="s">
        <v>821</v>
      </c>
      <c r="H799" s="207" t="s">
        <v>2313</v>
      </c>
      <c r="I799" s="156" t="s">
        <v>26</v>
      </c>
      <c r="J799" s="204" t="s">
        <v>1436</v>
      </c>
      <c r="K799" s="207"/>
    </row>
    <row r="800" spans="1:11" ht="66.75">
      <c r="A800" s="204">
        <v>798</v>
      </c>
      <c r="B800" s="208">
        <v>45786</v>
      </c>
      <c r="C800" s="265" t="s">
        <v>827</v>
      </c>
      <c r="D800" s="204">
        <v>2025</v>
      </c>
      <c r="E800" s="209" t="s">
        <v>1431</v>
      </c>
      <c r="F800" s="209" t="s">
        <v>21</v>
      </c>
      <c r="G800" s="213" t="s">
        <v>821</v>
      </c>
      <c r="H800" s="211" t="s">
        <v>2314</v>
      </c>
      <c r="I800" s="156" t="s">
        <v>26</v>
      </c>
      <c r="J800" s="209" t="s">
        <v>1436</v>
      </c>
      <c r="K800" s="211"/>
    </row>
    <row r="801" spans="1:11" ht="134.25">
      <c r="A801" s="204">
        <v>799</v>
      </c>
      <c r="B801" s="205">
        <v>45786</v>
      </c>
      <c r="C801" s="265" t="s">
        <v>827</v>
      </c>
      <c r="D801" s="204">
        <v>2025</v>
      </c>
      <c r="E801" s="204" t="s">
        <v>1431</v>
      </c>
      <c r="F801" s="204" t="s">
        <v>1539</v>
      </c>
      <c r="G801" s="214" t="s">
        <v>859</v>
      </c>
      <c r="H801" s="207" t="s">
        <v>2315</v>
      </c>
      <c r="I801" s="156" t="s">
        <v>26</v>
      </c>
      <c r="J801" s="204" t="s">
        <v>1436</v>
      </c>
      <c r="K801" s="207" t="s">
        <v>1497</v>
      </c>
    </row>
    <row r="802" spans="1:11" ht="66.75">
      <c r="A802" s="204">
        <v>800</v>
      </c>
      <c r="B802" s="208">
        <v>45789</v>
      </c>
      <c r="C802" s="265" t="s">
        <v>827</v>
      </c>
      <c r="D802" s="204">
        <v>2025</v>
      </c>
      <c r="E802" s="209" t="s">
        <v>1431</v>
      </c>
      <c r="F802" s="209" t="s">
        <v>2244</v>
      </c>
      <c r="G802" s="217" t="s">
        <v>859</v>
      </c>
      <c r="H802" s="211" t="s">
        <v>2316</v>
      </c>
      <c r="I802" s="156" t="s">
        <v>26</v>
      </c>
      <c r="J802" s="209" t="s">
        <v>1436</v>
      </c>
      <c r="K802" s="211"/>
    </row>
    <row r="803" spans="1:11" ht="50.25">
      <c r="A803" s="204">
        <v>801</v>
      </c>
      <c r="B803" s="205">
        <v>45789</v>
      </c>
      <c r="C803" s="265" t="s">
        <v>827</v>
      </c>
      <c r="D803" s="204">
        <v>2025</v>
      </c>
      <c r="E803" s="204" t="s">
        <v>1431</v>
      </c>
      <c r="F803" s="204" t="s">
        <v>1506</v>
      </c>
      <c r="G803" s="213" t="s">
        <v>821</v>
      </c>
      <c r="H803" s="207" t="s">
        <v>2317</v>
      </c>
      <c r="I803" s="156" t="s">
        <v>26</v>
      </c>
      <c r="J803" s="204" t="s">
        <v>2318</v>
      </c>
      <c r="K803" s="207"/>
    </row>
    <row r="804" spans="1:11" ht="100.5">
      <c r="A804" s="204">
        <v>802</v>
      </c>
      <c r="B804" s="208">
        <v>45789</v>
      </c>
      <c r="C804" s="265" t="s">
        <v>827</v>
      </c>
      <c r="D804" s="204">
        <v>2025</v>
      </c>
      <c r="E804" s="209" t="s">
        <v>1431</v>
      </c>
      <c r="F804" s="209" t="s">
        <v>1506</v>
      </c>
      <c r="G804" s="210" t="s">
        <v>88</v>
      </c>
      <c r="H804" s="211" t="s">
        <v>2319</v>
      </c>
      <c r="I804" s="156" t="s">
        <v>26</v>
      </c>
      <c r="J804" s="209" t="s">
        <v>1436</v>
      </c>
      <c r="K804" s="211" t="s">
        <v>1454</v>
      </c>
    </row>
    <row r="805" spans="1:11" ht="50.25">
      <c r="A805" s="204">
        <v>803</v>
      </c>
      <c r="B805" s="205">
        <v>45789</v>
      </c>
      <c r="C805" s="265" t="s">
        <v>827</v>
      </c>
      <c r="D805" s="204">
        <v>2025</v>
      </c>
      <c r="E805" s="204" t="s">
        <v>1431</v>
      </c>
      <c r="F805" s="204" t="s">
        <v>1506</v>
      </c>
      <c r="G805" s="213" t="s">
        <v>821</v>
      </c>
      <c r="H805" s="207" t="s">
        <v>2320</v>
      </c>
      <c r="I805" s="156" t="s">
        <v>26</v>
      </c>
      <c r="J805" s="204" t="s">
        <v>2321</v>
      </c>
      <c r="K805" s="207"/>
    </row>
    <row r="806" spans="1:11" ht="150.75">
      <c r="A806" s="204">
        <v>804</v>
      </c>
      <c r="B806" s="208">
        <v>45789</v>
      </c>
      <c r="C806" s="265" t="s">
        <v>827</v>
      </c>
      <c r="D806" s="204">
        <v>2025</v>
      </c>
      <c r="E806" s="209" t="s">
        <v>1431</v>
      </c>
      <c r="F806" s="209" t="s">
        <v>1518</v>
      </c>
      <c r="G806" s="213" t="s">
        <v>821</v>
      </c>
      <c r="H806" s="211" t="s">
        <v>2322</v>
      </c>
      <c r="I806" s="156" t="s">
        <v>26</v>
      </c>
      <c r="J806" s="209" t="s">
        <v>2318</v>
      </c>
      <c r="K806" s="211" t="s">
        <v>1513</v>
      </c>
    </row>
    <row r="807" spans="1:11" ht="100.5">
      <c r="A807" s="204">
        <v>805</v>
      </c>
      <c r="B807" s="205">
        <v>45789</v>
      </c>
      <c r="C807" s="265" t="s">
        <v>827</v>
      </c>
      <c r="D807" s="204">
        <v>2025</v>
      </c>
      <c r="E807" s="204" t="s">
        <v>1431</v>
      </c>
      <c r="F807" s="204" t="s">
        <v>574</v>
      </c>
      <c r="G807" s="206" t="s">
        <v>88</v>
      </c>
      <c r="H807" s="207" t="s">
        <v>2323</v>
      </c>
      <c r="I807" s="156" t="s">
        <v>26</v>
      </c>
      <c r="J807" s="204" t="s">
        <v>2318</v>
      </c>
      <c r="K807" s="207" t="s">
        <v>1472</v>
      </c>
    </row>
    <row r="808" spans="1:11" ht="50.25">
      <c r="A808" s="204">
        <v>806</v>
      </c>
      <c r="B808" s="208">
        <v>45789</v>
      </c>
      <c r="C808" s="265" t="s">
        <v>827</v>
      </c>
      <c r="D808" s="204">
        <v>2025</v>
      </c>
      <c r="E808" s="209" t="s">
        <v>1431</v>
      </c>
      <c r="F808" s="209" t="s">
        <v>988</v>
      </c>
      <c r="G808" s="210" t="s">
        <v>88</v>
      </c>
      <c r="H808" s="211" t="s">
        <v>2324</v>
      </c>
      <c r="I808" s="156" t="s">
        <v>26</v>
      </c>
      <c r="J808" s="209" t="s">
        <v>1436</v>
      </c>
      <c r="K808" s="211"/>
    </row>
    <row r="809" spans="1:11" ht="134.25">
      <c r="A809" s="204">
        <v>807</v>
      </c>
      <c r="B809" s="205">
        <v>45790</v>
      </c>
      <c r="C809" s="265" t="s">
        <v>827</v>
      </c>
      <c r="D809" s="204">
        <v>2025</v>
      </c>
      <c r="E809" s="204" t="s">
        <v>1431</v>
      </c>
      <c r="F809" s="204" t="s">
        <v>1608</v>
      </c>
      <c r="G809" s="212" t="s">
        <v>1439</v>
      </c>
      <c r="H809" s="207" t="s">
        <v>2325</v>
      </c>
      <c r="I809" s="156" t="s">
        <v>26</v>
      </c>
      <c r="J809" s="204" t="s">
        <v>1436</v>
      </c>
      <c r="K809" s="207" t="s">
        <v>1442</v>
      </c>
    </row>
    <row r="810" spans="1:11" ht="134.25">
      <c r="A810" s="204">
        <v>808</v>
      </c>
      <c r="B810" s="208">
        <v>45790</v>
      </c>
      <c r="C810" s="265" t="s">
        <v>827</v>
      </c>
      <c r="D810" s="204">
        <v>2025</v>
      </c>
      <c r="E810" s="209" t="s">
        <v>1431</v>
      </c>
      <c r="F810" s="209" t="s">
        <v>216</v>
      </c>
      <c r="G810" s="213" t="s">
        <v>821</v>
      </c>
      <c r="H810" s="211" t="s">
        <v>2326</v>
      </c>
      <c r="I810" s="156" t="s">
        <v>26</v>
      </c>
      <c r="J810" s="209" t="s">
        <v>2327</v>
      </c>
      <c r="K810" s="211" t="s">
        <v>1601</v>
      </c>
    </row>
    <row r="811" spans="1:11" ht="50.25">
      <c r="A811" s="204">
        <v>809</v>
      </c>
      <c r="B811" s="205">
        <v>45790</v>
      </c>
      <c r="C811" s="265" t="s">
        <v>827</v>
      </c>
      <c r="D811" s="204">
        <v>2025</v>
      </c>
      <c r="E811" s="204" t="s">
        <v>1431</v>
      </c>
      <c r="F811" s="204" t="s">
        <v>21</v>
      </c>
      <c r="G811" s="213" t="s">
        <v>821</v>
      </c>
      <c r="H811" s="207" t="s">
        <v>2328</v>
      </c>
      <c r="I811" s="156" t="s">
        <v>26</v>
      </c>
      <c r="J811" s="204" t="s">
        <v>149</v>
      </c>
      <c r="K811" s="207"/>
    </row>
    <row r="812" spans="1:11" ht="150.75">
      <c r="A812" s="204">
        <v>810</v>
      </c>
      <c r="B812" s="208">
        <v>45790</v>
      </c>
      <c r="C812" s="265" t="s">
        <v>827</v>
      </c>
      <c r="D812" s="204">
        <v>2025</v>
      </c>
      <c r="E812" s="209" t="s">
        <v>1431</v>
      </c>
      <c r="F812" s="209" t="s">
        <v>2329</v>
      </c>
      <c r="G812" s="213" t="s">
        <v>821</v>
      </c>
      <c r="H812" s="211" t="s">
        <v>2330</v>
      </c>
      <c r="I812" s="156" t="s">
        <v>26</v>
      </c>
      <c r="J812" s="209" t="s">
        <v>1436</v>
      </c>
      <c r="K812" s="211" t="s">
        <v>1513</v>
      </c>
    </row>
    <row r="813" spans="1:11" ht="100.5">
      <c r="A813" s="204">
        <v>811</v>
      </c>
      <c r="B813" s="205">
        <v>45790</v>
      </c>
      <c r="C813" s="265" t="s">
        <v>827</v>
      </c>
      <c r="D813" s="204">
        <v>2025</v>
      </c>
      <c r="E813" s="204" t="s">
        <v>1431</v>
      </c>
      <c r="F813" s="204" t="s">
        <v>1584</v>
      </c>
      <c r="G813" s="213" t="s">
        <v>821</v>
      </c>
      <c r="H813" s="207" t="s">
        <v>2331</v>
      </c>
      <c r="I813" s="156" t="s">
        <v>26</v>
      </c>
      <c r="J813" s="204" t="s">
        <v>1436</v>
      </c>
      <c r="K813" s="207" t="s">
        <v>1448</v>
      </c>
    </row>
    <row r="814" spans="1:11" ht="50.25">
      <c r="A814" s="204">
        <v>812</v>
      </c>
      <c r="B814" s="208">
        <v>45792</v>
      </c>
      <c r="C814" s="265" t="s">
        <v>827</v>
      </c>
      <c r="D814" s="204">
        <v>2025</v>
      </c>
      <c r="E814" s="209" t="s">
        <v>1431</v>
      </c>
      <c r="F814" s="209" t="s">
        <v>1225</v>
      </c>
      <c r="G814" s="217" t="s">
        <v>859</v>
      </c>
      <c r="H814" s="211" t="s">
        <v>2332</v>
      </c>
      <c r="I814" s="156" t="s">
        <v>26</v>
      </c>
      <c r="J814" s="209" t="s">
        <v>1436</v>
      </c>
      <c r="K814" s="211"/>
    </row>
    <row r="815" spans="1:11" ht="16.5">
      <c r="A815" s="204">
        <v>813</v>
      </c>
      <c r="B815" s="205">
        <v>45792</v>
      </c>
      <c r="C815" s="265" t="s">
        <v>827</v>
      </c>
      <c r="D815" s="204">
        <v>2025</v>
      </c>
      <c r="E815" s="204" t="s">
        <v>1431</v>
      </c>
      <c r="F815" s="204" t="s">
        <v>574</v>
      </c>
      <c r="G815" s="206" t="s">
        <v>88</v>
      </c>
      <c r="H815" s="207" t="s">
        <v>2333</v>
      </c>
      <c r="I815" s="156" t="s">
        <v>26</v>
      </c>
      <c r="J815" s="204" t="s">
        <v>1436</v>
      </c>
      <c r="K815" s="207"/>
    </row>
    <row r="816" spans="1:11" ht="16.5">
      <c r="A816" s="204">
        <v>814</v>
      </c>
      <c r="B816" s="208">
        <v>45792</v>
      </c>
      <c r="C816" s="265" t="s">
        <v>827</v>
      </c>
      <c r="D816" s="204">
        <v>2025</v>
      </c>
      <c r="E816" s="209" t="s">
        <v>1431</v>
      </c>
      <c r="F816" s="209" t="s">
        <v>2244</v>
      </c>
      <c r="G816" s="217" t="s">
        <v>859</v>
      </c>
      <c r="H816" s="211" t="s">
        <v>2334</v>
      </c>
      <c r="I816" s="156" t="s">
        <v>26</v>
      </c>
      <c r="J816" s="209" t="s">
        <v>1436</v>
      </c>
      <c r="K816" s="211"/>
    </row>
    <row r="817" spans="1:11" ht="50.25">
      <c r="A817" s="204">
        <v>815</v>
      </c>
      <c r="B817" s="205">
        <v>45792</v>
      </c>
      <c r="C817" s="265" t="s">
        <v>827</v>
      </c>
      <c r="D817" s="204">
        <v>2025</v>
      </c>
      <c r="E817" s="204" t="s">
        <v>1431</v>
      </c>
      <c r="F817" s="204" t="s">
        <v>216</v>
      </c>
      <c r="G817" s="213" t="s">
        <v>821</v>
      </c>
      <c r="H817" s="207" t="s">
        <v>2335</v>
      </c>
      <c r="I817" s="156" t="s">
        <v>26</v>
      </c>
      <c r="J817" s="204" t="s">
        <v>1436</v>
      </c>
      <c r="K817" s="207"/>
    </row>
    <row r="818" spans="1:11" ht="117">
      <c r="A818" s="204">
        <v>816</v>
      </c>
      <c r="B818" s="208">
        <v>45792</v>
      </c>
      <c r="C818" s="265" t="s">
        <v>827</v>
      </c>
      <c r="D818" s="204">
        <v>2025</v>
      </c>
      <c r="E818" s="209" t="s">
        <v>1431</v>
      </c>
      <c r="F818" s="209" t="s">
        <v>1436</v>
      </c>
      <c r="G818" s="210" t="s">
        <v>88</v>
      </c>
      <c r="H818" s="211" t="s">
        <v>2336</v>
      </c>
      <c r="I818" s="156" t="s">
        <v>26</v>
      </c>
      <c r="J818" s="209" t="s">
        <v>1436</v>
      </c>
      <c r="K818" s="211" t="s">
        <v>1522</v>
      </c>
    </row>
    <row r="819" spans="1:11" ht="33.75">
      <c r="A819" s="204">
        <v>817</v>
      </c>
      <c r="B819" s="205">
        <v>45793</v>
      </c>
      <c r="C819" s="265" t="s">
        <v>827</v>
      </c>
      <c r="D819" s="204">
        <v>2025</v>
      </c>
      <c r="E819" s="204" t="s">
        <v>1431</v>
      </c>
      <c r="F819" s="204" t="s">
        <v>21</v>
      </c>
      <c r="G819" s="213" t="s">
        <v>821</v>
      </c>
      <c r="H819" s="207" t="s">
        <v>2337</v>
      </c>
      <c r="I819" s="156" t="s">
        <v>26</v>
      </c>
      <c r="J819" s="204" t="s">
        <v>1436</v>
      </c>
      <c r="K819" s="207"/>
    </row>
    <row r="820" spans="1:11" ht="117">
      <c r="A820" s="204">
        <v>818</v>
      </c>
      <c r="B820" s="208">
        <v>45793</v>
      </c>
      <c r="C820" s="265" t="s">
        <v>827</v>
      </c>
      <c r="D820" s="204">
        <v>2025</v>
      </c>
      <c r="E820" s="209" t="s">
        <v>1431</v>
      </c>
      <c r="F820" s="209" t="s">
        <v>2338</v>
      </c>
      <c r="G820" s="210" t="s">
        <v>88</v>
      </c>
      <c r="H820" s="211" t="s">
        <v>2339</v>
      </c>
      <c r="I820" s="156" t="s">
        <v>26</v>
      </c>
      <c r="J820" s="209" t="s">
        <v>1436</v>
      </c>
      <c r="K820" s="211" t="s">
        <v>1510</v>
      </c>
    </row>
    <row r="821" spans="1:11" ht="33.75">
      <c r="A821" s="204">
        <v>819</v>
      </c>
      <c r="B821" s="205">
        <v>45793</v>
      </c>
      <c r="C821" s="265" t="s">
        <v>827</v>
      </c>
      <c r="D821" s="204">
        <v>2025</v>
      </c>
      <c r="E821" s="204" t="s">
        <v>1431</v>
      </c>
      <c r="F821" s="204" t="s">
        <v>1539</v>
      </c>
      <c r="G821" s="206" t="s">
        <v>88</v>
      </c>
      <c r="H821" s="207" t="s">
        <v>2340</v>
      </c>
      <c r="I821" s="156" t="s">
        <v>26</v>
      </c>
      <c r="J821" s="204" t="s">
        <v>1541</v>
      </c>
      <c r="K821" s="207"/>
    </row>
    <row r="822" spans="1:11" ht="50.25">
      <c r="A822" s="204">
        <v>820</v>
      </c>
      <c r="B822" s="208">
        <v>45793</v>
      </c>
      <c r="C822" s="265" t="s">
        <v>827</v>
      </c>
      <c r="D822" s="204">
        <v>2025</v>
      </c>
      <c r="E822" s="209" t="s">
        <v>1431</v>
      </c>
      <c r="F822" s="209" t="s">
        <v>1449</v>
      </c>
      <c r="G822" s="210" t="s">
        <v>88</v>
      </c>
      <c r="H822" s="211" t="s">
        <v>2341</v>
      </c>
      <c r="I822" s="156" t="s">
        <v>26</v>
      </c>
      <c r="J822" s="209" t="s">
        <v>1436</v>
      </c>
      <c r="K822" s="211"/>
    </row>
    <row r="823" spans="1:11" ht="84">
      <c r="A823" s="204">
        <v>821</v>
      </c>
      <c r="B823" s="205">
        <v>45793</v>
      </c>
      <c r="C823" s="265" t="s">
        <v>827</v>
      </c>
      <c r="D823" s="204">
        <v>2025</v>
      </c>
      <c r="E823" s="204" t="s">
        <v>1431</v>
      </c>
      <c r="F823" s="204" t="s">
        <v>1436</v>
      </c>
      <c r="G823" s="206" t="s">
        <v>88</v>
      </c>
      <c r="H823" s="207" t="s">
        <v>2342</v>
      </c>
      <c r="I823" s="156" t="s">
        <v>26</v>
      </c>
      <c r="J823" s="204" t="s">
        <v>1436</v>
      </c>
      <c r="K823" s="207" t="s">
        <v>1444</v>
      </c>
    </row>
    <row r="824" spans="1:11" ht="84">
      <c r="A824" s="204">
        <v>822</v>
      </c>
      <c r="B824" s="208">
        <v>45796</v>
      </c>
      <c r="C824" s="265" t="s">
        <v>827</v>
      </c>
      <c r="D824" s="204">
        <v>2025</v>
      </c>
      <c r="E824" s="209" t="s">
        <v>1431</v>
      </c>
      <c r="F824" s="209" t="s">
        <v>1506</v>
      </c>
      <c r="G824" s="210" t="s">
        <v>88</v>
      </c>
      <c r="H824" s="211" t="s">
        <v>2343</v>
      </c>
      <c r="I824" s="156" t="s">
        <v>26</v>
      </c>
      <c r="J824" s="209" t="s">
        <v>1436</v>
      </c>
      <c r="K824" s="211" t="s">
        <v>1500</v>
      </c>
    </row>
    <row r="825" spans="1:11" ht="84">
      <c r="A825" s="204">
        <v>823</v>
      </c>
      <c r="B825" s="205">
        <v>45796</v>
      </c>
      <c r="C825" s="265" t="s">
        <v>827</v>
      </c>
      <c r="D825" s="204">
        <v>2025</v>
      </c>
      <c r="E825" s="204" t="s">
        <v>1431</v>
      </c>
      <c r="F825" s="204" t="s">
        <v>1518</v>
      </c>
      <c r="G825" s="206" t="s">
        <v>88</v>
      </c>
      <c r="H825" s="207" t="s">
        <v>2344</v>
      </c>
      <c r="I825" s="156" t="s">
        <v>26</v>
      </c>
      <c r="J825" s="204" t="s">
        <v>1436</v>
      </c>
      <c r="K825" s="207" t="s">
        <v>1444</v>
      </c>
    </row>
    <row r="826" spans="1:11" ht="33.75">
      <c r="A826" s="204">
        <v>824</v>
      </c>
      <c r="B826" s="208">
        <v>45796</v>
      </c>
      <c r="C826" s="265" t="s">
        <v>827</v>
      </c>
      <c r="D826" s="204">
        <v>2025</v>
      </c>
      <c r="E826" s="209" t="s">
        <v>1431</v>
      </c>
      <c r="F826" s="209" t="s">
        <v>21</v>
      </c>
      <c r="G826" s="213" t="s">
        <v>821</v>
      </c>
      <c r="H826" s="211" t="s">
        <v>2345</v>
      </c>
      <c r="I826" s="156" t="s">
        <v>26</v>
      </c>
      <c r="J826" s="209" t="s">
        <v>2318</v>
      </c>
      <c r="K826" s="211"/>
    </row>
    <row r="827" spans="1:11" ht="84">
      <c r="A827" s="204">
        <v>825</v>
      </c>
      <c r="B827" s="205">
        <v>45796</v>
      </c>
      <c r="C827" s="265" t="s">
        <v>827</v>
      </c>
      <c r="D827" s="204">
        <v>2025</v>
      </c>
      <c r="E827" s="204" t="s">
        <v>1431</v>
      </c>
      <c r="F827" s="204" t="s">
        <v>988</v>
      </c>
      <c r="G827" s="206" t="s">
        <v>88</v>
      </c>
      <c r="H827" s="207" t="s">
        <v>2346</v>
      </c>
      <c r="I827" s="156" t="s">
        <v>26</v>
      </c>
      <c r="J827" s="204" t="s">
        <v>1436</v>
      </c>
      <c r="K827" s="207" t="s">
        <v>1500</v>
      </c>
    </row>
    <row r="828" spans="1:11" ht="100.5">
      <c r="A828" s="204">
        <v>826</v>
      </c>
      <c r="B828" s="208">
        <v>45796</v>
      </c>
      <c r="C828" s="265" t="s">
        <v>827</v>
      </c>
      <c r="D828" s="204">
        <v>2025</v>
      </c>
      <c r="E828" s="209" t="s">
        <v>1431</v>
      </c>
      <c r="F828" s="209" t="s">
        <v>2347</v>
      </c>
      <c r="G828" s="210" t="s">
        <v>88</v>
      </c>
      <c r="H828" s="211" t="s">
        <v>2348</v>
      </c>
      <c r="I828" s="156" t="s">
        <v>26</v>
      </c>
      <c r="J828" s="209" t="s">
        <v>1436</v>
      </c>
      <c r="K828" s="211"/>
    </row>
    <row r="829" spans="1:11" ht="50.25">
      <c r="A829" s="204">
        <v>827</v>
      </c>
      <c r="B829" s="205">
        <v>45796</v>
      </c>
      <c r="C829" s="265" t="s">
        <v>827</v>
      </c>
      <c r="D829" s="204">
        <v>2025</v>
      </c>
      <c r="E829" s="204" t="s">
        <v>1431</v>
      </c>
      <c r="F829" s="204" t="s">
        <v>574</v>
      </c>
      <c r="G829" s="214" t="s">
        <v>859</v>
      </c>
      <c r="H829" s="207" t="s">
        <v>2349</v>
      </c>
      <c r="I829" s="156" t="s">
        <v>26</v>
      </c>
      <c r="J829" s="204" t="s">
        <v>1436</v>
      </c>
      <c r="K829" s="207"/>
    </row>
    <row r="830" spans="1:11" ht="84">
      <c r="A830" s="204">
        <v>828</v>
      </c>
      <c r="B830" s="208">
        <v>45798</v>
      </c>
      <c r="C830" s="265" t="s">
        <v>827</v>
      </c>
      <c r="D830" s="204">
        <v>2025</v>
      </c>
      <c r="E830" s="209" t="s">
        <v>1431</v>
      </c>
      <c r="F830" s="209" t="s">
        <v>1518</v>
      </c>
      <c r="G830" s="210" t="s">
        <v>88</v>
      </c>
      <c r="H830" s="211" t="s">
        <v>2350</v>
      </c>
      <c r="I830" s="156" t="s">
        <v>26</v>
      </c>
      <c r="J830" s="209" t="s">
        <v>1436</v>
      </c>
      <c r="K830" s="211" t="s">
        <v>1444</v>
      </c>
    </row>
    <row r="831" spans="1:11" ht="134.25">
      <c r="A831" s="204">
        <v>829</v>
      </c>
      <c r="B831" s="205">
        <v>45798</v>
      </c>
      <c r="C831" s="265" t="s">
        <v>827</v>
      </c>
      <c r="D831" s="204">
        <v>2025</v>
      </c>
      <c r="E831" s="204" t="s">
        <v>1431</v>
      </c>
      <c r="F831" s="204" t="s">
        <v>216</v>
      </c>
      <c r="G831" s="213" t="s">
        <v>821</v>
      </c>
      <c r="H831" s="207" t="s">
        <v>2326</v>
      </c>
      <c r="I831" s="156" t="s">
        <v>26</v>
      </c>
      <c r="J831" s="204" t="s">
        <v>2318</v>
      </c>
      <c r="K831" s="207" t="s">
        <v>1601</v>
      </c>
    </row>
    <row r="832" spans="1:11" ht="33.75">
      <c r="A832" s="204">
        <v>830</v>
      </c>
      <c r="B832" s="208">
        <v>45798</v>
      </c>
      <c r="C832" s="265" t="s">
        <v>827</v>
      </c>
      <c r="D832" s="204">
        <v>2025</v>
      </c>
      <c r="E832" s="209" t="s">
        <v>1431</v>
      </c>
      <c r="F832" s="209" t="s">
        <v>1436</v>
      </c>
      <c r="G832" s="213" t="s">
        <v>821</v>
      </c>
      <c r="H832" s="211" t="s">
        <v>2351</v>
      </c>
      <c r="I832" s="156" t="s">
        <v>26</v>
      </c>
      <c r="J832" s="209" t="s">
        <v>1436</v>
      </c>
      <c r="K832" s="211"/>
    </row>
    <row r="833" spans="1:11" ht="33.75">
      <c r="A833" s="204">
        <v>831</v>
      </c>
      <c r="B833" s="205">
        <v>45798</v>
      </c>
      <c r="C833" s="265" t="s">
        <v>827</v>
      </c>
      <c r="D833" s="204">
        <v>2025</v>
      </c>
      <c r="E833" s="204" t="s">
        <v>1431</v>
      </c>
      <c r="F833" s="204" t="s">
        <v>2224</v>
      </c>
      <c r="G833" s="206" t="s">
        <v>88</v>
      </c>
      <c r="H833" s="207" t="s">
        <v>2352</v>
      </c>
      <c r="I833" s="156" t="s">
        <v>26</v>
      </c>
      <c r="J833" s="204" t="s">
        <v>1436</v>
      </c>
      <c r="K833" s="207"/>
    </row>
    <row r="834" spans="1:11" ht="33.75">
      <c r="A834" s="204">
        <v>832</v>
      </c>
      <c r="B834" s="208">
        <v>45798</v>
      </c>
      <c r="C834" s="265" t="s">
        <v>827</v>
      </c>
      <c r="D834" s="204">
        <v>2025</v>
      </c>
      <c r="E834" s="209" t="s">
        <v>1431</v>
      </c>
      <c r="F834" s="209" t="s">
        <v>216</v>
      </c>
      <c r="G834" s="213" t="s">
        <v>821</v>
      </c>
      <c r="H834" s="211" t="s">
        <v>2353</v>
      </c>
      <c r="I834" s="156" t="s">
        <v>26</v>
      </c>
      <c r="J834" s="209" t="s">
        <v>1436</v>
      </c>
      <c r="K834" s="211"/>
    </row>
    <row r="835" spans="1:11" ht="100.5">
      <c r="A835" s="204">
        <v>833</v>
      </c>
      <c r="B835" s="205">
        <v>45799</v>
      </c>
      <c r="C835" s="265" t="s">
        <v>827</v>
      </c>
      <c r="D835" s="204">
        <v>2025</v>
      </c>
      <c r="E835" s="204" t="s">
        <v>1431</v>
      </c>
      <c r="F835" s="204" t="s">
        <v>574</v>
      </c>
      <c r="G835" s="206" t="s">
        <v>88</v>
      </c>
      <c r="H835" s="207" t="s">
        <v>2354</v>
      </c>
      <c r="I835" s="156" t="s">
        <v>26</v>
      </c>
      <c r="J835" s="204" t="s">
        <v>1436</v>
      </c>
      <c r="K835" s="207" t="s">
        <v>1472</v>
      </c>
    </row>
    <row r="836" spans="1:11" ht="100.5">
      <c r="A836" s="204">
        <v>834</v>
      </c>
      <c r="B836" s="208">
        <v>45799</v>
      </c>
      <c r="C836" s="265" t="s">
        <v>827</v>
      </c>
      <c r="D836" s="204">
        <v>2025</v>
      </c>
      <c r="E836" s="209" t="s">
        <v>1431</v>
      </c>
      <c r="F836" s="209" t="s">
        <v>1225</v>
      </c>
      <c r="G836" s="217" t="s">
        <v>859</v>
      </c>
      <c r="H836" s="211" t="s">
        <v>2355</v>
      </c>
      <c r="I836" s="156" t="s">
        <v>26</v>
      </c>
      <c r="J836" s="209" t="s">
        <v>1436</v>
      </c>
      <c r="K836" s="211" t="s">
        <v>1476</v>
      </c>
    </row>
    <row r="837" spans="1:11" ht="50.25">
      <c r="A837" s="204">
        <v>835</v>
      </c>
      <c r="B837" s="205">
        <v>45799</v>
      </c>
      <c r="C837" s="265" t="s">
        <v>827</v>
      </c>
      <c r="D837" s="204">
        <v>2025</v>
      </c>
      <c r="E837" s="204" t="s">
        <v>1431</v>
      </c>
      <c r="F837" s="204" t="s">
        <v>2224</v>
      </c>
      <c r="G837" s="213" t="s">
        <v>821</v>
      </c>
      <c r="H837" s="207" t="s">
        <v>2356</v>
      </c>
      <c r="I837" s="156" t="s">
        <v>26</v>
      </c>
      <c r="J837" s="204" t="s">
        <v>1436</v>
      </c>
      <c r="K837" s="207"/>
    </row>
    <row r="838" spans="1:11" ht="100.5">
      <c r="A838" s="204">
        <v>836</v>
      </c>
      <c r="B838" s="208">
        <v>45800</v>
      </c>
      <c r="C838" s="265" t="s">
        <v>827</v>
      </c>
      <c r="D838" s="204">
        <v>2025</v>
      </c>
      <c r="E838" s="209" t="s">
        <v>1431</v>
      </c>
      <c r="F838" s="209" t="s">
        <v>574</v>
      </c>
      <c r="G838" s="210" t="s">
        <v>88</v>
      </c>
      <c r="H838" s="211" t="s">
        <v>2357</v>
      </c>
      <c r="I838" s="156" t="s">
        <v>26</v>
      </c>
      <c r="J838" s="209" t="s">
        <v>1436</v>
      </c>
      <c r="K838" s="211" t="s">
        <v>1472</v>
      </c>
    </row>
    <row r="839" spans="1:11" ht="150.75">
      <c r="A839" s="204">
        <v>837</v>
      </c>
      <c r="B839" s="205">
        <v>45800</v>
      </c>
      <c r="C839" s="265" t="s">
        <v>827</v>
      </c>
      <c r="D839" s="204">
        <v>2025</v>
      </c>
      <c r="E839" s="204" t="s">
        <v>1431</v>
      </c>
      <c r="F839" s="204" t="s">
        <v>21</v>
      </c>
      <c r="G839" s="213" t="s">
        <v>821</v>
      </c>
      <c r="H839" s="207" t="s">
        <v>2358</v>
      </c>
      <c r="I839" s="156" t="s">
        <v>26</v>
      </c>
      <c r="J839" s="204" t="s">
        <v>1436</v>
      </c>
      <c r="K839" s="207" t="s">
        <v>1513</v>
      </c>
    </row>
    <row r="840" spans="1:11" ht="117">
      <c r="A840" s="204">
        <v>838</v>
      </c>
      <c r="B840" s="208">
        <v>45800</v>
      </c>
      <c r="C840" s="265" t="s">
        <v>827</v>
      </c>
      <c r="D840" s="204">
        <v>2025</v>
      </c>
      <c r="E840" s="209" t="s">
        <v>1431</v>
      </c>
      <c r="F840" s="209" t="s">
        <v>1539</v>
      </c>
      <c r="G840" s="210" t="s">
        <v>88</v>
      </c>
      <c r="H840" s="211" t="s">
        <v>2359</v>
      </c>
      <c r="I840" s="156" t="s">
        <v>26</v>
      </c>
      <c r="J840" s="209" t="s">
        <v>1436</v>
      </c>
      <c r="K840" s="211" t="s">
        <v>1451</v>
      </c>
    </row>
    <row r="841" spans="1:11" ht="66.75">
      <c r="A841" s="204">
        <v>839</v>
      </c>
      <c r="B841" s="205">
        <v>45803</v>
      </c>
      <c r="C841" s="265" t="s">
        <v>827</v>
      </c>
      <c r="D841" s="204">
        <v>2025</v>
      </c>
      <c r="E841" s="204" t="s">
        <v>1431</v>
      </c>
      <c r="F841" s="204" t="s">
        <v>2224</v>
      </c>
      <c r="G841" s="214" t="s">
        <v>859</v>
      </c>
      <c r="H841" s="207" t="s">
        <v>2360</v>
      </c>
      <c r="I841" s="156" t="s">
        <v>26</v>
      </c>
      <c r="J841" s="204" t="s">
        <v>1436</v>
      </c>
      <c r="K841" s="207"/>
    </row>
    <row r="842" spans="1:11" ht="150.75">
      <c r="A842" s="204">
        <v>840</v>
      </c>
      <c r="B842" s="208">
        <v>45803</v>
      </c>
      <c r="C842" s="265" t="s">
        <v>827</v>
      </c>
      <c r="D842" s="204">
        <v>2025</v>
      </c>
      <c r="E842" s="209" t="s">
        <v>1431</v>
      </c>
      <c r="F842" s="209" t="s">
        <v>21</v>
      </c>
      <c r="G842" s="213" t="s">
        <v>821</v>
      </c>
      <c r="H842" s="211" t="s">
        <v>2361</v>
      </c>
      <c r="I842" s="156" t="s">
        <v>26</v>
      </c>
      <c r="J842" s="209" t="s">
        <v>1436</v>
      </c>
      <c r="K842" s="211" t="s">
        <v>1513</v>
      </c>
    </row>
    <row r="843" spans="1:11" ht="33.75">
      <c r="A843" s="204">
        <v>841</v>
      </c>
      <c r="B843" s="205">
        <v>45803</v>
      </c>
      <c r="C843" s="265" t="s">
        <v>827</v>
      </c>
      <c r="D843" s="204">
        <v>2025</v>
      </c>
      <c r="E843" s="204" t="s">
        <v>1431</v>
      </c>
      <c r="F843" s="204" t="s">
        <v>216</v>
      </c>
      <c r="G843" s="213" t="s">
        <v>821</v>
      </c>
      <c r="H843" s="207" t="s">
        <v>2362</v>
      </c>
      <c r="I843" s="156" t="s">
        <v>26</v>
      </c>
      <c r="J843" s="204" t="s">
        <v>492</v>
      </c>
      <c r="K843" s="207"/>
    </row>
    <row r="844" spans="1:11" ht="117">
      <c r="A844" s="204">
        <v>842</v>
      </c>
      <c r="B844" s="208">
        <v>45803</v>
      </c>
      <c r="C844" s="265" t="s">
        <v>827</v>
      </c>
      <c r="D844" s="204">
        <v>2025</v>
      </c>
      <c r="E844" s="209" t="s">
        <v>1431</v>
      </c>
      <c r="F844" s="209" t="s">
        <v>1225</v>
      </c>
      <c r="G844" s="217" t="s">
        <v>859</v>
      </c>
      <c r="H844" s="211" t="s">
        <v>2363</v>
      </c>
      <c r="I844" s="156" t="s">
        <v>26</v>
      </c>
      <c r="J844" s="209" t="s">
        <v>1436</v>
      </c>
      <c r="K844" s="211" t="s">
        <v>1451</v>
      </c>
    </row>
    <row r="845" spans="1:11" ht="117">
      <c r="A845" s="204">
        <v>843</v>
      </c>
      <c r="B845" s="205">
        <v>45804</v>
      </c>
      <c r="C845" s="265" t="s">
        <v>827</v>
      </c>
      <c r="D845" s="204">
        <v>2025</v>
      </c>
      <c r="E845" s="204" t="s">
        <v>1431</v>
      </c>
      <c r="F845" s="204" t="s">
        <v>574</v>
      </c>
      <c r="G845" s="213" t="s">
        <v>821</v>
      </c>
      <c r="H845" s="207" t="s">
        <v>2364</v>
      </c>
      <c r="I845" s="156" t="s">
        <v>26</v>
      </c>
      <c r="J845" s="204" t="s">
        <v>1436</v>
      </c>
      <c r="K845" s="207" t="s">
        <v>1446</v>
      </c>
    </row>
    <row r="846" spans="1:11" ht="33.75">
      <c r="A846" s="204">
        <v>844</v>
      </c>
      <c r="B846" s="208">
        <v>45804</v>
      </c>
      <c r="C846" s="265" t="s">
        <v>827</v>
      </c>
      <c r="D846" s="204">
        <v>2025</v>
      </c>
      <c r="E846" s="209" t="s">
        <v>1431</v>
      </c>
      <c r="F846" s="209" t="s">
        <v>1539</v>
      </c>
      <c r="G846" s="213" t="s">
        <v>821</v>
      </c>
      <c r="H846" s="211" t="s">
        <v>2365</v>
      </c>
      <c r="I846" s="156" t="s">
        <v>26</v>
      </c>
      <c r="J846" s="209" t="s">
        <v>1436</v>
      </c>
      <c r="K846" s="211"/>
    </row>
    <row r="847" spans="1:11" ht="150.75">
      <c r="A847" s="204">
        <v>845</v>
      </c>
      <c r="B847" s="205">
        <v>45804</v>
      </c>
      <c r="C847" s="265" t="s">
        <v>827</v>
      </c>
      <c r="D847" s="204">
        <v>2025</v>
      </c>
      <c r="E847" s="204" t="s">
        <v>1431</v>
      </c>
      <c r="F847" s="204" t="s">
        <v>2366</v>
      </c>
      <c r="G847" s="213" t="s">
        <v>821</v>
      </c>
      <c r="H847" s="207" t="s">
        <v>2367</v>
      </c>
      <c r="I847" s="156" t="s">
        <v>26</v>
      </c>
      <c r="J847" s="204" t="s">
        <v>1436</v>
      </c>
      <c r="K847" s="207" t="s">
        <v>1513</v>
      </c>
    </row>
    <row r="848" spans="1:11" ht="16.5">
      <c r="A848" s="204">
        <v>846</v>
      </c>
      <c r="B848" s="208">
        <v>45804</v>
      </c>
      <c r="C848" s="265" t="s">
        <v>827</v>
      </c>
      <c r="D848" s="204">
        <v>2025</v>
      </c>
      <c r="E848" s="209" t="s">
        <v>1431</v>
      </c>
      <c r="F848" s="209" t="s">
        <v>574</v>
      </c>
      <c r="G848" s="213" t="s">
        <v>821</v>
      </c>
      <c r="H848" s="211" t="s">
        <v>2368</v>
      </c>
      <c r="I848" s="156" t="s">
        <v>26</v>
      </c>
      <c r="J848" s="209" t="s">
        <v>1436</v>
      </c>
      <c r="K848" s="211"/>
    </row>
    <row r="849" spans="1:11" ht="117">
      <c r="A849" s="204">
        <v>847</v>
      </c>
      <c r="B849" s="205">
        <v>45804</v>
      </c>
      <c r="C849" s="265" t="s">
        <v>827</v>
      </c>
      <c r="D849" s="204">
        <v>2025</v>
      </c>
      <c r="E849" s="204" t="s">
        <v>1431</v>
      </c>
      <c r="F849" s="204" t="s">
        <v>216</v>
      </c>
      <c r="G849" s="213" t="s">
        <v>821</v>
      </c>
      <c r="H849" s="207" t="s">
        <v>2369</v>
      </c>
      <c r="I849" s="156" t="s">
        <v>26</v>
      </c>
      <c r="J849" s="204" t="s">
        <v>1436</v>
      </c>
      <c r="K849" s="207" t="s">
        <v>1446</v>
      </c>
    </row>
    <row r="850" spans="1:11" ht="134.25">
      <c r="A850" s="204">
        <v>848</v>
      </c>
      <c r="B850" s="208">
        <v>45804</v>
      </c>
      <c r="C850" s="265" t="s">
        <v>827</v>
      </c>
      <c r="D850" s="204">
        <v>2025</v>
      </c>
      <c r="E850" s="209" t="s">
        <v>1431</v>
      </c>
      <c r="F850" s="209" t="s">
        <v>216</v>
      </c>
      <c r="G850" s="213" t="s">
        <v>821</v>
      </c>
      <c r="H850" s="211" t="s">
        <v>2370</v>
      </c>
      <c r="I850" s="156" t="s">
        <v>26</v>
      </c>
      <c r="J850" s="209" t="s">
        <v>1436</v>
      </c>
      <c r="K850" s="211" t="s">
        <v>1601</v>
      </c>
    </row>
    <row r="851" spans="1:11" ht="33.75">
      <c r="A851" s="204">
        <v>849</v>
      </c>
      <c r="B851" s="205">
        <v>45805</v>
      </c>
      <c r="C851" s="265" t="s">
        <v>827</v>
      </c>
      <c r="D851" s="204">
        <v>2025</v>
      </c>
      <c r="E851" s="204" t="s">
        <v>1431</v>
      </c>
      <c r="F851" s="204" t="s">
        <v>21</v>
      </c>
      <c r="G851" s="213" t="s">
        <v>821</v>
      </c>
      <c r="H851" s="207" t="s">
        <v>2371</v>
      </c>
      <c r="I851" s="156" t="s">
        <v>26</v>
      </c>
      <c r="J851" s="204" t="s">
        <v>1436</v>
      </c>
      <c r="K851" s="207"/>
    </row>
    <row r="852" spans="1:11" ht="50.25">
      <c r="A852" s="204">
        <v>850</v>
      </c>
      <c r="B852" s="208">
        <v>45805</v>
      </c>
      <c r="C852" s="265" t="s">
        <v>827</v>
      </c>
      <c r="D852" s="204">
        <v>2025</v>
      </c>
      <c r="E852" s="209" t="s">
        <v>1431</v>
      </c>
      <c r="F852" s="209" t="s">
        <v>1225</v>
      </c>
      <c r="G852" s="210" t="s">
        <v>88</v>
      </c>
      <c r="H852" s="211" t="s">
        <v>2372</v>
      </c>
      <c r="I852" s="156" t="s">
        <v>26</v>
      </c>
      <c r="J852" s="209" t="s">
        <v>1436</v>
      </c>
      <c r="K852" s="211"/>
    </row>
    <row r="853" spans="1:11" ht="117">
      <c r="A853" s="204">
        <v>851</v>
      </c>
      <c r="B853" s="205">
        <v>45805</v>
      </c>
      <c r="C853" s="265" t="s">
        <v>827</v>
      </c>
      <c r="D853" s="204">
        <v>2025</v>
      </c>
      <c r="E853" s="204" t="s">
        <v>1431</v>
      </c>
      <c r="F853" s="204" t="s">
        <v>1566</v>
      </c>
      <c r="G853" s="206" t="s">
        <v>88</v>
      </c>
      <c r="H853" s="207" t="s">
        <v>2373</v>
      </c>
      <c r="I853" s="156" t="s">
        <v>26</v>
      </c>
      <c r="J853" s="204" t="s">
        <v>1436</v>
      </c>
      <c r="K853" s="207" t="s">
        <v>1451</v>
      </c>
    </row>
    <row r="854" spans="1:11" ht="33.75">
      <c r="A854" s="204">
        <v>852</v>
      </c>
      <c r="B854" s="208">
        <v>45805</v>
      </c>
      <c r="C854" s="265" t="s">
        <v>827</v>
      </c>
      <c r="D854" s="204">
        <v>2025</v>
      </c>
      <c r="E854" s="209" t="s">
        <v>1431</v>
      </c>
      <c r="F854" s="209" t="s">
        <v>216</v>
      </c>
      <c r="G854" s="213" t="s">
        <v>821</v>
      </c>
      <c r="H854" s="211" t="s">
        <v>2374</v>
      </c>
      <c r="I854" s="156" t="s">
        <v>26</v>
      </c>
      <c r="J854" s="209" t="s">
        <v>1436</v>
      </c>
      <c r="K854" s="211"/>
    </row>
    <row r="855" spans="1:11" ht="50.25">
      <c r="A855" s="204">
        <v>853</v>
      </c>
      <c r="B855" s="205">
        <v>45806</v>
      </c>
      <c r="C855" s="265" t="s">
        <v>827</v>
      </c>
      <c r="D855" s="204">
        <v>2025</v>
      </c>
      <c r="E855" s="204" t="s">
        <v>1431</v>
      </c>
      <c r="F855" s="204" t="s">
        <v>216</v>
      </c>
      <c r="G855" s="213" t="s">
        <v>821</v>
      </c>
      <c r="H855" s="207" t="s">
        <v>2375</v>
      </c>
      <c r="I855" s="156" t="s">
        <v>26</v>
      </c>
      <c r="J855" s="204" t="s">
        <v>1436</v>
      </c>
      <c r="K855" s="207"/>
    </row>
    <row r="856" spans="1:11" ht="33.75">
      <c r="A856" s="204">
        <v>854</v>
      </c>
      <c r="B856" s="208">
        <v>45806</v>
      </c>
      <c r="C856" s="265" t="s">
        <v>827</v>
      </c>
      <c r="D856" s="204">
        <v>2025</v>
      </c>
      <c r="E856" s="209" t="s">
        <v>1431</v>
      </c>
      <c r="F856" s="209" t="s">
        <v>988</v>
      </c>
      <c r="G856" s="210" t="s">
        <v>88</v>
      </c>
      <c r="H856" s="211" t="s">
        <v>2376</v>
      </c>
      <c r="I856" s="156" t="s">
        <v>26</v>
      </c>
      <c r="J856" s="209" t="s">
        <v>1436</v>
      </c>
      <c r="K856" s="211"/>
    </row>
    <row r="857" spans="1:11" ht="33.75">
      <c r="A857" s="204">
        <v>855</v>
      </c>
      <c r="B857" s="205">
        <v>45806</v>
      </c>
      <c r="C857" s="265" t="s">
        <v>827</v>
      </c>
      <c r="D857" s="204">
        <v>2025</v>
      </c>
      <c r="E857" s="204" t="s">
        <v>1431</v>
      </c>
      <c r="F857" s="204" t="s">
        <v>1436</v>
      </c>
      <c r="G857" s="213" t="s">
        <v>821</v>
      </c>
      <c r="H857" s="207" t="s">
        <v>2377</v>
      </c>
      <c r="I857" s="156" t="s">
        <v>26</v>
      </c>
      <c r="J857" s="204" t="s">
        <v>1436</v>
      </c>
      <c r="K857" s="207"/>
    </row>
    <row r="858" spans="1:11" ht="117">
      <c r="A858" s="204">
        <v>856</v>
      </c>
      <c r="B858" s="208">
        <v>45806</v>
      </c>
      <c r="C858" s="265" t="s">
        <v>827</v>
      </c>
      <c r="D858" s="204">
        <v>2025</v>
      </c>
      <c r="E858" s="209" t="s">
        <v>1431</v>
      </c>
      <c r="F858" s="209" t="s">
        <v>1566</v>
      </c>
      <c r="G858" s="210" t="s">
        <v>88</v>
      </c>
      <c r="H858" s="211" t="s">
        <v>2378</v>
      </c>
      <c r="I858" s="156" t="s">
        <v>26</v>
      </c>
      <c r="J858" s="209" t="s">
        <v>1436</v>
      </c>
      <c r="K858" s="211" t="s">
        <v>1451</v>
      </c>
    </row>
    <row r="859" spans="1:11" ht="84">
      <c r="A859" s="204">
        <v>857</v>
      </c>
      <c r="B859" s="205">
        <v>45806</v>
      </c>
      <c r="C859" s="265" t="s">
        <v>827</v>
      </c>
      <c r="D859" s="204">
        <v>2025</v>
      </c>
      <c r="E859" s="204" t="s">
        <v>1431</v>
      </c>
      <c r="F859" s="204" t="s">
        <v>1560</v>
      </c>
      <c r="G859" s="214" t="s">
        <v>859</v>
      </c>
      <c r="H859" s="207" t="s">
        <v>2379</v>
      </c>
      <c r="I859" s="156" t="s">
        <v>26</v>
      </c>
      <c r="J859" s="204" t="s">
        <v>1436</v>
      </c>
      <c r="K859" s="207"/>
    </row>
    <row r="860" spans="1:11" ht="150.75">
      <c r="A860" s="204">
        <v>858</v>
      </c>
      <c r="B860" s="208">
        <v>45838</v>
      </c>
      <c r="C860" s="267" t="s">
        <v>828</v>
      </c>
      <c r="D860" s="204">
        <v>2025</v>
      </c>
      <c r="E860" s="209" t="s">
        <v>1431</v>
      </c>
      <c r="F860" s="209" t="s">
        <v>21</v>
      </c>
      <c r="G860" s="213" t="s">
        <v>821</v>
      </c>
      <c r="H860" s="211" t="s">
        <v>2380</v>
      </c>
      <c r="I860" s="156" t="s">
        <v>26</v>
      </c>
      <c r="J860" s="209" t="s">
        <v>149</v>
      </c>
      <c r="K860" s="211" t="s">
        <v>1513</v>
      </c>
    </row>
    <row r="861" spans="1:11" ht="117">
      <c r="A861" s="204">
        <v>859</v>
      </c>
      <c r="B861" s="205">
        <v>45838</v>
      </c>
      <c r="C861" s="267" t="s">
        <v>828</v>
      </c>
      <c r="D861" s="204">
        <v>2025</v>
      </c>
      <c r="E861" s="204" t="s">
        <v>1431</v>
      </c>
      <c r="F861" s="204" t="s">
        <v>1434</v>
      </c>
      <c r="G861" s="206" t="s">
        <v>88</v>
      </c>
      <c r="H861" s="207" t="s">
        <v>2381</v>
      </c>
      <c r="I861" s="156" t="s">
        <v>26</v>
      </c>
      <c r="J861" s="204" t="s">
        <v>2382</v>
      </c>
      <c r="K861" s="207" t="s">
        <v>1437</v>
      </c>
    </row>
    <row r="862" spans="1:11" ht="84">
      <c r="A862" s="204">
        <v>860</v>
      </c>
      <c r="B862" s="208">
        <v>45838</v>
      </c>
      <c r="C862" s="267" t="s">
        <v>828</v>
      </c>
      <c r="D862" s="204">
        <v>2025</v>
      </c>
      <c r="E862" s="209" t="s">
        <v>1431</v>
      </c>
      <c r="F862" s="209" t="s">
        <v>2383</v>
      </c>
      <c r="G862" s="210" t="s">
        <v>88</v>
      </c>
      <c r="H862" s="211" t="s">
        <v>2384</v>
      </c>
      <c r="I862" s="156" t="s">
        <v>26</v>
      </c>
      <c r="J862" s="209" t="s">
        <v>1904</v>
      </c>
      <c r="K862" s="211" t="s">
        <v>1500</v>
      </c>
    </row>
    <row r="863" spans="1:11" ht="150.75">
      <c r="A863" s="204">
        <v>861</v>
      </c>
      <c r="B863" s="205">
        <v>45838</v>
      </c>
      <c r="C863" s="267" t="s">
        <v>828</v>
      </c>
      <c r="D863" s="204">
        <v>2025</v>
      </c>
      <c r="E863" s="204" t="s">
        <v>1431</v>
      </c>
      <c r="F863" s="204" t="s">
        <v>21</v>
      </c>
      <c r="G863" s="213" t="s">
        <v>821</v>
      </c>
      <c r="H863" s="207" t="s">
        <v>2385</v>
      </c>
      <c r="I863" s="156" t="s">
        <v>26</v>
      </c>
      <c r="J863" s="204" t="s">
        <v>1436</v>
      </c>
      <c r="K863" s="207" t="s">
        <v>1513</v>
      </c>
    </row>
    <row r="864" spans="1:11" ht="117">
      <c r="A864" s="204">
        <v>862</v>
      </c>
      <c r="B864" s="208">
        <v>45838</v>
      </c>
      <c r="C864" s="267" t="s">
        <v>828</v>
      </c>
      <c r="D864" s="204">
        <v>2025</v>
      </c>
      <c r="E864" s="209" t="s">
        <v>1431</v>
      </c>
      <c r="F864" s="209" t="s">
        <v>988</v>
      </c>
      <c r="G864" s="210" t="s">
        <v>88</v>
      </c>
      <c r="H864" s="211" t="s">
        <v>2386</v>
      </c>
      <c r="I864" s="156" t="s">
        <v>26</v>
      </c>
      <c r="J864" s="209" t="s">
        <v>1436</v>
      </c>
      <c r="K864" s="211" t="s">
        <v>1559</v>
      </c>
    </row>
    <row r="865" spans="1:11" ht="134.25">
      <c r="A865" s="204">
        <v>863</v>
      </c>
      <c r="B865" s="205">
        <v>45839</v>
      </c>
      <c r="C865" s="267" t="s">
        <v>828</v>
      </c>
      <c r="D865" s="204">
        <v>2025</v>
      </c>
      <c r="E865" s="204" t="s">
        <v>1431</v>
      </c>
      <c r="F865" s="204" t="s">
        <v>216</v>
      </c>
      <c r="G865" s="213" t="s">
        <v>821</v>
      </c>
      <c r="H865" s="207" t="s">
        <v>2387</v>
      </c>
      <c r="I865" s="156" t="s">
        <v>26</v>
      </c>
      <c r="J865" s="204" t="s">
        <v>1436</v>
      </c>
      <c r="K865" s="207" t="s">
        <v>1601</v>
      </c>
    </row>
    <row r="866" spans="1:11" ht="33.75">
      <c r="A866" s="204">
        <v>864</v>
      </c>
      <c r="B866" s="208">
        <v>45839</v>
      </c>
      <c r="C866" s="267" t="s">
        <v>828</v>
      </c>
      <c r="D866" s="204">
        <v>2025</v>
      </c>
      <c r="E866" s="209" t="s">
        <v>1431</v>
      </c>
      <c r="F866" s="209" t="s">
        <v>216</v>
      </c>
      <c r="G866" s="213" t="s">
        <v>821</v>
      </c>
      <c r="H866" s="211" t="s">
        <v>2388</v>
      </c>
      <c r="I866" s="156" t="s">
        <v>26</v>
      </c>
      <c r="J866" s="209" t="s">
        <v>1436</v>
      </c>
      <c r="K866" s="211"/>
    </row>
    <row r="867" spans="1:11" ht="150.75">
      <c r="A867" s="204">
        <v>865</v>
      </c>
      <c r="B867" s="205">
        <v>45839</v>
      </c>
      <c r="C867" s="267" t="s">
        <v>828</v>
      </c>
      <c r="D867" s="204">
        <v>2025</v>
      </c>
      <c r="E867" s="204" t="s">
        <v>1431</v>
      </c>
      <c r="F867" s="204" t="s">
        <v>21</v>
      </c>
      <c r="G867" s="213" t="s">
        <v>821</v>
      </c>
      <c r="H867" s="207" t="s">
        <v>2389</v>
      </c>
      <c r="I867" s="156" t="s">
        <v>26</v>
      </c>
      <c r="J867" s="204" t="s">
        <v>1436</v>
      </c>
      <c r="K867" s="207" t="s">
        <v>1513</v>
      </c>
    </row>
    <row r="868" spans="1:11" ht="100.5">
      <c r="A868" s="204">
        <v>866</v>
      </c>
      <c r="B868" s="208">
        <v>45840</v>
      </c>
      <c r="C868" s="267" t="s">
        <v>828</v>
      </c>
      <c r="D868" s="204">
        <v>2025</v>
      </c>
      <c r="E868" s="209" t="s">
        <v>1431</v>
      </c>
      <c r="F868" s="209" t="s">
        <v>2390</v>
      </c>
      <c r="G868" s="217" t="s">
        <v>859</v>
      </c>
      <c r="H868" s="211" t="s">
        <v>2391</v>
      </c>
      <c r="I868" s="156" t="s">
        <v>26</v>
      </c>
      <c r="J868" s="209" t="s">
        <v>1436</v>
      </c>
      <c r="K868" s="211" t="s">
        <v>1476</v>
      </c>
    </row>
    <row r="869" spans="1:11" ht="100.5">
      <c r="A869" s="204">
        <v>867</v>
      </c>
      <c r="B869" s="205">
        <v>45840</v>
      </c>
      <c r="C869" s="267" t="s">
        <v>828</v>
      </c>
      <c r="D869" s="204">
        <v>2025</v>
      </c>
      <c r="E869" s="204" t="s">
        <v>1431</v>
      </c>
      <c r="F869" s="204" t="s">
        <v>574</v>
      </c>
      <c r="G869" s="206" t="s">
        <v>88</v>
      </c>
      <c r="H869" s="207" t="s">
        <v>2392</v>
      </c>
      <c r="I869" s="156" t="s">
        <v>26</v>
      </c>
      <c r="J869" s="204" t="s">
        <v>1436</v>
      </c>
      <c r="K869" s="207" t="s">
        <v>1472</v>
      </c>
    </row>
    <row r="870" spans="1:11" ht="84">
      <c r="A870" s="204">
        <v>868</v>
      </c>
      <c r="B870" s="208">
        <v>45840</v>
      </c>
      <c r="C870" s="267" t="s">
        <v>828</v>
      </c>
      <c r="D870" s="204">
        <v>2025</v>
      </c>
      <c r="E870" s="209" t="s">
        <v>1431</v>
      </c>
      <c r="F870" s="209" t="s">
        <v>1506</v>
      </c>
      <c r="G870" s="210" t="s">
        <v>88</v>
      </c>
      <c r="H870" s="211" t="s">
        <v>2393</v>
      </c>
      <c r="I870" s="156" t="s">
        <v>26</v>
      </c>
      <c r="J870" s="209" t="s">
        <v>1436</v>
      </c>
      <c r="K870" s="211" t="s">
        <v>1500</v>
      </c>
    </row>
    <row r="871" spans="1:11" ht="84">
      <c r="A871" s="204">
        <v>869</v>
      </c>
      <c r="B871" s="205">
        <v>45840</v>
      </c>
      <c r="C871" s="267" t="s">
        <v>828</v>
      </c>
      <c r="D871" s="204">
        <v>2025</v>
      </c>
      <c r="E871" s="204" t="s">
        <v>1431</v>
      </c>
      <c r="F871" s="204" t="s">
        <v>1506</v>
      </c>
      <c r="G871" s="206" t="s">
        <v>88</v>
      </c>
      <c r="H871" s="207" t="s">
        <v>2394</v>
      </c>
      <c r="I871" s="156" t="s">
        <v>26</v>
      </c>
      <c r="J871" s="204" t="s">
        <v>1436</v>
      </c>
      <c r="K871" s="207" t="s">
        <v>1500</v>
      </c>
    </row>
    <row r="872" spans="1:11" ht="33.75">
      <c r="A872" s="204">
        <v>870</v>
      </c>
      <c r="B872" s="208">
        <v>45840</v>
      </c>
      <c r="C872" s="267" t="s">
        <v>828</v>
      </c>
      <c r="D872" s="204">
        <v>2025</v>
      </c>
      <c r="E872" s="209" t="s">
        <v>1431</v>
      </c>
      <c r="F872" s="209" t="s">
        <v>216</v>
      </c>
      <c r="G872" s="213" t="s">
        <v>821</v>
      </c>
      <c r="H872" s="211" t="s">
        <v>2395</v>
      </c>
      <c r="I872" s="156" t="s">
        <v>26</v>
      </c>
      <c r="J872" s="209" t="s">
        <v>1436</v>
      </c>
      <c r="K872" s="211"/>
    </row>
    <row r="873" spans="1:11" ht="150.75">
      <c r="A873" s="204">
        <v>871</v>
      </c>
      <c r="B873" s="205">
        <v>45840</v>
      </c>
      <c r="C873" s="267" t="s">
        <v>828</v>
      </c>
      <c r="D873" s="204">
        <v>2025</v>
      </c>
      <c r="E873" s="204" t="s">
        <v>1431</v>
      </c>
      <c r="F873" s="204" t="s">
        <v>21</v>
      </c>
      <c r="G873" s="213" t="s">
        <v>821</v>
      </c>
      <c r="H873" s="207" t="s">
        <v>2396</v>
      </c>
      <c r="I873" s="156" t="s">
        <v>26</v>
      </c>
      <c r="J873" s="204" t="s">
        <v>1436</v>
      </c>
      <c r="K873" s="207" t="s">
        <v>1513</v>
      </c>
    </row>
    <row r="874" spans="1:11" ht="84">
      <c r="A874" s="204">
        <v>872</v>
      </c>
      <c r="B874" s="208">
        <v>45840</v>
      </c>
      <c r="C874" s="267" t="s">
        <v>828</v>
      </c>
      <c r="D874" s="204">
        <v>2025</v>
      </c>
      <c r="E874" s="209" t="s">
        <v>1431</v>
      </c>
      <c r="F874" s="209" t="s">
        <v>1506</v>
      </c>
      <c r="G874" s="210" t="s">
        <v>88</v>
      </c>
      <c r="H874" s="211" t="s">
        <v>2397</v>
      </c>
      <c r="I874" s="156" t="s">
        <v>26</v>
      </c>
      <c r="J874" s="209" t="s">
        <v>1436</v>
      </c>
      <c r="K874" s="211" t="s">
        <v>1500</v>
      </c>
    </row>
    <row r="875" spans="1:11" ht="100.5">
      <c r="A875" s="204">
        <v>873</v>
      </c>
      <c r="B875" s="205">
        <v>45840</v>
      </c>
      <c r="C875" s="267" t="s">
        <v>828</v>
      </c>
      <c r="D875" s="204">
        <v>2025</v>
      </c>
      <c r="E875" s="204" t="s">
        <v>1431</v>
      </c>
      <c r="F875" s="204" t="s">
        <v>1225</v>
      </c>
      <c r="G875" s="214" t="s">
        <v>859</v>
      </c>
      <c r="H875" s="207" t="s">
        <v>2398</v>
      </c>
      <c r="I875" s="156" t="s">
        <v>26</v>
      </c>
      <c r="J875" s="204" t="s">
        <v>1436</v>
      </c>
      <c r="K875" s="207" t="s">
        <v>1476</v>
      </c>
    </row>
    <row r="876" spans="1:11" ht="33.75">
      <c r="A876" s="204">
        <v>874</v>
      </c>
      <c r="B876" s="208">
        <v>45840</v>
      </c>
      <c r="C876" s="267" t="s">
        <v>828</v>
      </c>
      <c r="D876" s="204">
        <v>2025</v>
      </c>
      <c r="E876" s="209" t="s">
        <v>1431</v>
      </c>
      <c r="F876" s="209" t="s">
        <v>1506</v>
      </c>
      <c r="G876" s="210" t="s">
        <v>88</v>
      </c>
      <c r="H876" s="211" t="s">
        <v>2399</v>
      </c>
      <c r="I876" s="156" t="s">
        <v>26</v>
      </c>
      <c r="J876" s="209" t="s">
        <v>1436</v>
      </c>
      <c r="K876" s="211"/>
    </row>
    <row r="877" spans="1:11" ht="84">
      <c r="A877" s="204">
        <v>875</v>
      </c>
      <c r="B877" s="205">
        <v>45840</v>
      </c>
      <c r="C877" s="267" t="s">
        <v>828</v>
      </c>
      <c r="D877" s="204">
        <v>2025</v>
      </c>
      <c r="E877" s="204" t="s">
        <v>1431</v>
      </c>
      <c r="F877" s="204" t="s">
        <v>1506</v>
      </c>
      <c r="G877" s="206" t="s">
        <v>88</v>
      </c>
      <c r="H877" s="207" t="s">
        <v>2400</v>
      </c>
      <c r="I877" s="156" t="s">
        <v>26</v>
      </c>
      <c r="J877" s="204" t="s">
        <v>1436</v>
      </c>
      <c r="K877" s="207" t="s">
        <v>1500</v>
      </c>
    </row>
    <row r="878" spans="1:11" ht="50.25">
      <c r="A878" s="204">
        <v>876</v>
      </c>
      <c r="B878" s="208">
        <v>45818</v>
      </c>
      <c r="C878" s="267" t="s">
        <v>828</v>
      </c>
      <c r="D878" s="204">
        <v>2025</v>
      </c>
      <c r="E878" s="209" t="s">
        <v>1431</v>
      </c>
      <c r="F878" s="209" t="s">
        <v>21</v>
      </c>
      <c r="G878" s="213" t="s">
        <v>821</v>
      </c>
      <c r="H878" s="211" t="s">
        <v>2401</v>
      </c>
      <c r="I878" s="156" t="s">
        <v>26</v>
      </c>
      <c r="J878" s="209" t="s">
        <v>1436</v>
      </c>
      <c r="K878" s="211"/>
    </row>
    <row r="879" spans="1:11" ht="50.25">
      <c r="A879" s="204">
        <v>877</v>
      </c>
      <c r="B879" s="205">
        <v>45818</v>
      </c>
      <c r="C879" s="267" t="s">
        <v>828</v>
      </c>
      <c r="D879" s="204">
        <v>2025</v>
      </c>
      <c r="E879" s="204" t="s">
        <v>1431</v>
      </c>
      <c r="F879" s="204" t="s">
        <v>216</v>
      </c>
      <c r="G879" s="213" t="s">
        <v>821</v>
      </c>
      <c r="H879" s="207" t="s">
        <v>2402</v>
      </c>
      <c r="I879" s="156" t="s">
        <v>26</v>
      </c>
      <c r="J879" s="204" t="s">
        <v>1436</v>
      </c>
      <c r="K879" s="207"/>
    </row>
    <row r="880" spans="1:11" ht="150.75">
      <c r="A880" s="204">
        <v>878</v>
      </c>
      <c r="B880" s="208">
        <v>45819</v>
      </c>
      <c r="C880" s="267" t="s">
        <v>828</v>
      </c>
      <c r="D880" s="204">
        <v>2025</v>
      </c>
      <c r="E880" s="209" t="s">
        <v>1431</v>
      </c>
      <c r="F880" s="209" t="s">
        <v>216</v>
      </c>
      <c r="G880" s="213" t="s">
        <v>821</v>
      </c>
      <c r="H880" s="211" t="s">
        <v>2403</v>
      </c>
      <c r="I880" s="156" t="s">
        <v>26</v>
      </c>
      <c r="J880" s="209" t="s">
        <v>1436</v>
      </c>
      <c r="K880" s="211" t="s">
        <v>1513</v>
      </c>
    </row>
    <row r="881" spans="1:11" ht="50.25">
      <c r="A881" s="204">
        <v>879</v>
      </c>
      <c r="B881" s="205">
        <v>45819</v>
      </c>
      <c r="C881" s="267" t="s">
        <v>828</v>
      </c>
      <c r="D881" s="204">
        <v>2025</v>
      </c>
      <c r="E881" s="204" t="s">
        <v>1431</v>
      </c>
      <c r="F881" s="204" t="s">
        <v>2244</v>
      </c>
      <c r="G881" s="214" t="s">
        <v>859</v>
      </c>
      <c r="H881" s="207" t="s">
        <v>2404</v>
      </c>
      <c r="I881" s="156" t="s">
        <v>26</v>
      </c>
      <c r="J881" s="204" t="s">
        <v>1436</v>
      </c>
      <c r="K881" s="207"/>
    </row>
    <row r="882" spans="1:11" ht="33.75">
      <c r="A882" s="204">
        <v>880</v>
      </c>
      <c r="B882" s="208">
        <v>45820</v>
      </c>
      <c r="C882" s="267" t="s">
        <v>828</v>
      </c>
      <c r="D882" s="204">
        <v>2025</v>
      </c>
      <c r="E882" s="209" t="s">
        <v>1431</v>
      </c>
      <c r="F882" s="209" t="s">
        <v>216</v>
      </c>
      <c r="G882" s="213" t="s">
        <v>821</v>
      </c>
      <c r="H882" s="211" t="s">
        <v>2405</v>
      </c>
      <c r="I882" s="156" t="s">
        <v>26</v>
      </c>
      <c r="J882" s="209" t="s">
        <v>1436</v>
      </c>
      <c r="K882" s="211"/>
    </row>
    <row r="883" spans="1:11" ht="50.25">
      <c r="A883" s="204">
        <v>881</v>
      </c>
      <c r="B883" s="205">
        <v>45820</v>
      </c>
      <c r="C883" s="267" t="s">
        <v>828</v>
      </c>
      <c r="D883" s="204">
        <v>2025</v>
      </c>
      <c r="E883" s="204" t="s">
        <v>2252</v>
      </c>
      <c r="F883" s="204" t="s">
        <v>216</v>
      </c>
      <c r="G883" s="213" t="s">
        <v>821</v>
      </c>
      <c r="H883" s="207" t="s">
        <v>2406</v>
      </c>
      <c r="I883" s="156" t="s">
        <v>26</v>
      </c>
      <c r="J883" s="204" t="s">
        <v>1436</v>
      </c>
      <c r="K883" s="207"/>
    </row>
    <row r="884" spans="1:11" ht="50.25">
      <c r="A884" s="204">
        <v>882</v>
      </c>
      <c r="B884" s="208">
        <v>45820</v>
      </c>
      <c r="C884" s="267" t="s">
        <v>828</v>
      </c>
      <c r="D884" s="204">
        <v>2025</v>
      </c>
      <c r="E884" s="209" t="s">
        <v>1431</v>
      </c>
      <c r="F884" s="209" t="s">
        <v>216</v>
      </c>
      <c r="G884" s="213" t="s">
        <v>821</v>
      </c>
      <c r="H884" s="211" t="s">
        <v>2407</v>
      </c>
      <c r="I884" s="156" t="s">
        <v>26</v>
      </c>
      <c r="J884" s="209" t="s">
        <v>1436</v>
      </c>
      <c r="K884" s="211"/>
    </row>
    <row r="885" spans="1:11" ht="16.5">
      <c r="A885" s="204">
        <v>883</v>
      </c>
      <c r="B885" s="205">
        <v>45820</v>
      </c>
      <c r="C885" s="267" t="s">
        <v>828</v>
      </c>
      <c r="D885" s="204">
        <v>2025</v>
      </c>
      <c r="E885" s="204" t="s">
        <v>1431</v>
      </c>
      <c r="F885" s="204" t="s">
        <v>21</v>
      </c>
      <c r="G885" s="213" t="s">
        <v>821</v>
      </c>
      <c r="H885" s="207" t="s">
        <v>2408</v>
      </c>
      <c r="I885" s="156" t="s">
        <v>26</v>
      </c>
      <c r="J885" s="204" t="s">
        <v>1436</v>
      </c>
      <c r="K885" s="207"/>
    </row>
    <row r="886" spans="1:11" ht="33.75">
      <c r="A886" s="204">
        <v>884</v>
      </c>
      <c r="B886" s="208">
        <v>45820</v>
      </c>
      <c r="C886" s="267" t="s">
        <v>828</v>
      </c>
      <c r="D886" s="204">
        <v>2025</v>
      </c>
      <c r="E886" s="209" t="s">
        <v>1431</v>
      </c>
      <c r="F886" s="209" t="s">
        <v>1436</v>
      </c>
      <c r="G886" s="210" t="s">
        <v>88</v>
      </c>
      <c r="H886" s="211" t="s">
        <v>2409</v>
      </c>
      <c r="I886" s="156" t="s">
        <v>26</v>
      </c>
      <c r="J886" s="209" t="s">
        <v>1436</v>
      </c>
      <c r="K886" s="211"/>
    </row>
    <row r="887" spans="1:11" ht="134.25">
      <c r="A887" s="204">
        <v>885</v>
      </c>
      <c r="B887" s="205">
        <v>45820</v>
      </c>
      <c r="C887" s="267" t="s">
        <v>828</v>
      </c>
      <c r="D887" s="204">
        <v>2025</v>
      </c>
      <c r="E887" s="204" t="s">
        <v>1431</v>
      </c>
      <c r="F887" s="204" t="s">
        <v>2244</v>
      </c>
      <c r="G887" s="214" t="s">
        <v>859</v>
      </c>
      <c r="H887" s="207" t="s">
        <v>2410</v>
      </c>
      <c r="I887" s="156" t="s">
        <v>26</v>
      </c>
      <c r="J887" s="204" t="s">
        <v>1436</v>
      </c>
      <c r="K887" s="207" t="s">
        <v>1497</v>
      </c>
    </row>
    <row r="888" spans="1:11" ht="66.75">
      <c r="A888" s="204">
        <v>886</v>
      </c>
      <c r="B888" s="208">
        <v>45820</v>
      </c>
      <c r="C888" s="267" t="s">
        <v>828</v>
      </c>
      <c r="D888" s="204">
        <v>2025</v>
      </c>
      <c r="E888" s="209" t="s">
        <v>1431</v>
      </c>
      <c r="F888" s="209" t="s">
        <v>1225</v>
      </c>
      <c r="G888" s="217" t="s">
        <v>859</v>
      </c>
      <c r="H888" s="211" t="s">
        <v>2411</v>
      </c>
      <c r="I888" s="156" t="s">
        <v>26</v>
      </c>
      <c r="J888" s="209" t="s">
        <v>1436</v>
      </c>
      <c r="K888" s="211"/>
    </row>
    <row r="889" spans="1:11" ht="100.5">
      <c r="A889" s="204">
        <v>887</v>
      </c>
      <c r="B889" s="205">
        <v>45821</v>
      </c>
      <c r="C889" s="267" t="s">
        <v>828</v>
      </c>
      <c r="D889" s="204">
        <v>2025</v>
      </c>
      <c r="E889" s="204" t="s">
        <v>1431</v>
      </c>
      <c r="F889" s="204" t="s">
        <v>1432</v>
      </c>
      <c r="G889" s="213" t="s">
        <v>821</v>
      </c>
      <c r="H889" s="207" t="s">
        <v>2412</v>
      </c>
      <c r="I889" s="156" t="s">
        <v>26</v>
      </c>
      <c r="J889" s="204" t="s">
        <v>1436</v>
      </c>
      <c r="K889" s="207"/>
    </row>
    <row r="890" spans="1:11" ht="117">
      <c r="A890" s="204">
        <v>888</v>
      </c>
      <c r="B890" s="208">
        <v>45821</v>
      </c>
      <c r="C890" s="267" t="s">
        <v>828</v>
      </c>
      <c r="D890" s="204">
        <v>2025</v>
      </c>
      <c r="E890" s="209" t="s">
        <v>1431</v>
      </c>
      <c r="F890" s="209" t="s">
        <v>2192</v>
      </c>
      <c r="G890" s="217" t="s">
        <v>859</v>
      </c>
      <c r="H890" s="211" t="s">
        <v>2413</v>
      </c>
      <c r="I890" s="156" t="s">
        <v>26</v>
      </c>
      <c r="J890" s="209" t="s">
        <v>1436</v>
      </c>
      <c r="K890" s="211" t="s">
        <v>1462</v>
      </c>
    </row>
    <row r="891" spans="1:11" ht="100.5">
      <c r="A891" s="204">
        <v>889</v>
      </c>
      <c r="B891" s="205">
        <v>45821</v>
      </c>
      <c r="C891" s="267" t="s">
        <v>828</v>
      </c>
      <c r="D891" s="204">
        <v>2025</v>
      </c>
      <c r="E891" s="204" t="s">
        <v>1431</v>
      </c>
      <c r="F891" s="204" t="s">
        <v>988</v>
      </c>
      <c r="G891" s="206" t="s">
        <v>88</v>
      </c>
      <c r="H891" s="207" t="s">
        <v>2414</v>
      </c>
      <c r="I891" s="156" t="s">
        <v>26</v>
      </c>
      <c r="J891" s="204" t="s">
        <v>1436</v>
      </c>
      <c r="K891" s="207" t="s">
        <v>1454</v>
      </c>
    </row>
    <row r="892" spans="1:11" ht="134.25">
      <c r="A892" s="204">
        <v>890</v>
      </c>
      <c r="B892" s="208">
        <v>45824</v>
      </c>
      <c r="C892" s="267" t="s">
        <v>828</v>
      </c>
      <c r="D892" s="204">
        <v>2025</v>
      </c>
      <c r="E892" s="209" t="s">
        <v>2252</v>
      </c>
      <c r="F892" s="209" t="s">
        <v>216</v>
      </c>
      <c r="G892" s="213" t="s">
        <v>821</v>
      </c>
      <c r="H892" s="211" t="s">
        <v>2415</v>
      </c>
      <c r="I892" s="156" t="s">
        <v>26</v>
      </c>
      <c r="J892" s="209" t="s">
        <v>1436</v>
      </c>
      <c r="K892" s="211" t="s">
        <v>1601</v>
      </c>
    </row>
    <row r="893" spans="1:11" ht="100.5">
      <c r="A893" s="204">
        <v>891</v>
      </c>
      <c r="B893" s="205">
        <v>45824</v>
      </c>
      <c r="C893" s="267" t="s">
        <v>828</v>
      </c>
      <c r="D893" s="204">
        <v>2025</v>
      </c>
      <c r="E893" s="204" t="s">
        <v>1431</v>
      </c>
      <c r="F893" s="204" t="s">
        <v>1584</v>
      </c>
      <c r="G893" s="213" t="s">
        <v>821</v>
      </c>
      <c r="H893" s="207" t="s">
        <v>2416</v>
      </c>
      <c r="I893" s="156" t="s">
        <v>26</v>
      </c>
      <c r="J893" s="204" t="s">
        <v>1436</v>
      </c>
      <c r="K893" s="207" t="s">
        <v>1448</v>
      </c>
    </row>
    <row r="894" spans="1:11" ht="134.25">
      <c r="A894" s="204">
        <v>892</v>
      </c>
      <c r="B894" s="208">
        <v>45824</v>
      </c>
      <c r="C894" s="267" t="s">
        <v>828</v>
      </c>
      <c r="D894" s="204">
        <v>2025</v>
      </c>
      <c r="E894" s="209" t="s">
        <v>1431</v>
      </c>
      <c r="F894" s="209" t="s">
        <v>1539</v>
      </c>
      <c r="G894" s="217" t="s">
        <v>859</v>
      </c>
      <c r="H894" s="211" t="s">
        <v>2417</v>
      </c>
      <c r="I894" s="156" t="s">
        <v>26</v>
      </c>
      <c r="J894" s="209" t="s">
        <v>1436</v>
      </c>
      <c r="K894" s="211" t="s">
        <v>1497</v>
      </c>
    </row>
    <row r="895" spans="1:11" ht="117">
      <c r="A895" s="204">
        <v>893</v>
      </c>
      <c r="B895" s="205">
        <v>45824</v>
      </c>
      <c r="C895" s="267" t="s">
        <v>828</v>
      </c>
      <c r="D895" s="204">
        <v>2025</v>
      </c>
      <c r="E895" s="204" t="s">
        <v>1431</v>
      </c>
      <c r="F895" s="204" t="s">
        <v>21</v>
      </c>
      <c r="G895" s="213" t="s">
        <v>821</v>
      </c>
      <c r="H895" s="207" t="s">
        <v>2418</v>
      </c>
      <c r="I895" s="156" t="s">
        <v>26</v>
      </c>
      <c r="J895" s="204" t="s">
        <v>1436</v>
      </c>
      <c r="K895" s="207" t="s">
        <v>1482</v>
      </c>
    </row>
    <row r="896" spans="1:11" ht="66.75">
      <c r="A896" s="204">
        <v>894</v>
      </c>
      <c r="B896" s="208">
        <v>45825</v>
      </c>
      <c r="C896" s="267" t="s">
        <v>828</v>
      </c>
      <c r="D896" s="204">
        <v>2025</v>
      </c>
      <c r="E896" s="209" t="s">
        <v>1431</v>
      </c>
      <c r="F896" s="209" t="s">
        <v>21</v>
      </c>
      <c r="G896" s="213" t="s">
        <v>821</v>
      </c>
      <c r="H896" s="211" t="s">
        <v>2419</v>
      </c>
      <c r="I896" s="156" t="s">
        <v>26</v>
      </c>
      <c r="J896" s="209" t="s">
        <v>1436</v>
      </c>
      <c r="K896" s="211"/>
    </row>
    <row r="897" spans="1:11" ht="50.25">
      <c r="A897" s="204">
        <v>895</v>
      </c>
      <c r="B897" s="205">
        <v>45825</v>
      </c>
      <c r="C897" s="267" t="s">
        <v>828</v>
      </c>
      <c r="D897" s="204">
        <v>2025</v>
      </c>
      <c r="E897" s="204" t="s">
        <v>1431</v>
      </c>
      <c r="F897" s="204" t="s">
        <v>1560</v>
      </c>
      <c r="G897" s="213" t="s">
        <v>821</v>
      </c>
      <c r="H897" s="207" t="s">
        <v>2420</v>
      </c>
      <c r="I897" s="156" t="s">
        <v>26</v>
      </c>
      <c r="J897" s="204" t="s">
        <v>1436</v>
      </c>
      <c r="K897" s="207"/>
    </row>
    <row r="898" spans="1:11" ht="50.25">
      <c r="A898" s="204">
        <v>896</v>
      </c>
      <c r="B898" s="208">
        <v>45825</v>
      </c>
      <c r="C898" s="267" t="s">
        <v>828</v>
      </c>
      <c r="D898" s="204">
        <v>2025</v>
      </c>
      <c r="E898" s="209" t="s">
        <v>1431</v>
      </c>
      <c r="F898" s="209" t="s">
        <v>21</v>
      </c>
      <c r="G898" s="213" t="s">
        <v>821</v>
      </c>
      <c r="H898" s="211" t="s">
        <v>2421</v>
      </c>
      <c r="I898" s="156" t="s">
        <v>26</v>
      </c>
      <c r="J898" s="209" t="s">
        <v>1436</v>
      </c>
      <c r="K898" s="211"/>
    </row>
    <row r="899" spans="1:11" ht="150.75">
      <c r="A899" s="204">
        <v>897</v>
      </c>
      <c r="B899" s="205">
        <v>45825</v>
      </c>
      <c r="C899" s="267" t="s">
        <v>828</v>
      </c>
      <c r="D899" s="204">
        <v>2025</v>
      </c>
      <c r="E899" s="204" t="s">
        <v>1431</v>
      </c>
      <c r="F899" s="204" t="s">
        <v>21</v>
      </c>
      <c r="G899" s="213" t="s">
        <v>821</v>
      </c>
      <c r="H899" s="207" t="s">
        <v>2422</v>
      </c>
      <c r="I899" s="156" t="s">
        <v>26</v>
      </c>
      <c r="J899" s="204" t="s">
        <v>1436</v>
      </c>
      <c r="K899" s="207" t="s">
        <v>1513</v>
      </c>
    </row>
    <row r="900" spans="1:11" ht="66.75">
      <c r="A900" s="204">
        <v>898</v>
      </c>
      <c r="B900" s="208">
        <v>45825</v>
      </c>
      <c r="C900" s="267" t="s">
        <v>828</v>
      </c>
      <c r="D900" s="204">
        <v>2025</v>
      </c>
      <c r="E900" s="209" t="s">
        <v>1431</v>
      </c>
      <c r="F900" s="209" t="s">
        <v>2423</v>
      </c>
      <c r="G900" s="213" t="s">
        <v>821</v>
      </c>
      <c r="H900" s="211" t="s">
        <v>2424</v>
      </c>
      <c r="I900" s="156" t="s">
        <v>26</v>
      </c>
      <c r="J900" s="209" t="s">
        <v>1436</v>
      </c>
      <c r="K900" s="211"/>
    </row>
    <row r="901" spans="1:11" ht="50.25">
      <c r="A901" s="204">
        <v>899</v>
      </c>
      <c r="B901" s="205">
        <v>45825</v>
      </c>
      <c r="C901" s="267" t="s">
        <v>828</v>
      </c>
      <c r="D901" s="204">
        <v>2025</v>
      </c>
      <c r="E901" s="204" t="s">
        <v>1431</v>
      </c>
      <c r="F901" s="204" t="s">
        <v>1518</v>
      </c>
      <c r="G901" s="206" t="s">
        <v>88</v>
      </c>
      <c r="H901" s="207" t="s">
        <v>2425</v>
      </c>
      <c r="I901" s="156" t="s">
        <v>26</v>
      </c>
      <c r="J901" s="204" t="s">
        <v>1436</v>
      </c>
      <c r="K901" s="207"/>
    </row>
    <row r="902" spans="1:11" ht="150.75">
      <c r="A902" s="204">
        <v>900</v>
      </c>
      <c r="B902" s="208">
        <v>45825</v>
      </c>
      <c r="C902" s="267" t="s">
        <v>828</v>
      </c>
      <c r="D902" s="204">
        <v>2025</v>
      </c>
      <c r="E902" s="209" t="s">
        <v>1431</v>
      </c>
      <c r="F902" s="209" t="s">
        <v>216</v>
      </c>
      <c r="G902" s="213" t="s">
        <v>821</v>
      </c>
      <c r="H902" s="211" t="s">
        <v>2426</v>
      </c>
      <c r="I902" s="156" t="s">
        <v>26</v>
      </c>
      <c r="J902" s="209" t="s">
        <v>1436</v>
      </c>
      <c r="K902" s="211" t="s">
        <v>1513</v>
      </c>
    </row>
    <row r="903" spans="1:11" ht="134.25">
      <c r="A903" s="204">
        <v>901</v>
      </c>
      <c r="B903" s="205">
        <v>45825</v>
      </c>
      <c r="C903" s="267" t="s">
        <v>828</v>
      </c>
      <c r="D903" s="204">
        <v>2025</v>
      </c>
      <c r="E903" s="204" t="s">
        <v>1431</v>
      </c>
      <c r="F903" s="204" t="s">
        <v>21</v>
      </c>
      <c r="G903" s="213" t="s">
        <v>821</v>
      </c>
      <c r="H903" s="207" t="s">
        <v>2427</v>
      </c>
      <c r="I903" s="156" t="s">
        <v>26</v>
      </c>
      <c r="J903" s="204" t="s">
        <v>1436</v>
      </c>
      <c r="K903" s="207" t="s">
        <v>1601</v>
      </c>
    </row>
    <row r="904" spans="1:11" ht="134.25">
      <c r="A904" s="204">
        <v>902</v>
      </c>
      <c r="B904" s="208">
        <v>45825</v>
      </c>
      <c r="C904" s="267" t="s">
        <v>828</v>
      </c>
      <c r="D904" s="204">
        <v>2025</v>
      </c>
      <c r="E904" s="209" t="s">
        <v>1431</v>
      </c>
      <c r="F904" s="209" t="s">
        <v>1436</v>
      </c>
      <c r="G904" s="212" t="s">
        <v>1439</v>
      </c>
      <c r="H904" s="211" t="s">
        <v>2428</v>
      </c>
      <c r="I904" s="156" t="s">
        <v>26</v>
      </c>
      <c r="J904" s="209" t="s">
        <v>1436</v>
      </c>
      <c r="K904" s="211" t="s">
        <v>1442</v>
      </c>
    </row>
    <row r="905" spans="1:11" ht="50.25">
      <c r="A905" s="204">
        <v>903</v>
      </c>
      <c r="B905" s="205">
        <v>45825</v>
      </c>
      <c r="C905" s="267" t="s">
        <v>828</v>
      </c>
      <c r="D905" s="204">
        <v>2025</v>
      </c>
      <c r="E905" s="204" t="s">
        <v>1431</v>
      </c>
      <c r="F905" s="204" t="s">
        <v>1508</v>
      </c>
      <c r="G905" s="206" t="s">
        <v>88</v>
      </c>
      <c r="H905" s="207" t="s">
        <v>2429</v>
      </c>
      <c r="I905" s="156" t="s">
        <v>26</v>
      </c>
      <c r="J905" s="204" t="s">
        <v>1436</v>
      </c>
      <c r="K905" s="207"/>
    </row>
    <row r="906" spans="1:11" ht="33.75">
      <c r="A906" s="204">
        <v>904</v>
      </c>
      <c r="B906" s="208">
        <v>45825</v>
      </c>
      <c r="C906" s="267" t="s">
        <v>828</v>
      </c>
      <c r="D906" s="204">
        <v>2025</v>
      </c>
      <c r="E906" s="209" t="s">
        <v>2252</v>
      </c>
      <c r="F906" s="209" t="s">
        <v>216</v>
      </c>
      <c r="G906" s="213" t="s">
        <v>821</v>
      </c>
      <c r="H906" s="211" t="s">
        <v>2430</v>
      </c>
      <c r="I906" s="156" t="s">
        <v>26</v>
      </c>
      <c r="J906" s="209" t="s">
        <v>1436</v>
      </c>
      <c r="K906" s="211"/>
    </row>
    <row r="907" spans="1:11" ht="33.75">
      <c r="A907" s="204">
        <v>905</v>
      </c>
      <c r="B907" s="205">
        <v>45825</v>
      </c>
      <c r="C907" s="267" t="s">
        <v>828</v>
      </c>
      <c r="D907" s="204">
        <v>2025</v>
      </c>
      <c r="E907" s="204" t="s">
        <v>1431</v>
      </c>
      <c r="F907" s="204" t="s">
        <v>216</v>
      </c>
      <c r="G907" s="213" t="s">
        <v>821</v>
      </c>
      <c r="H907" s="207" t="s">
        <v>2431</v>
      </c>
      <c r="I907" s="156" t="s">
        <v>26</v>
      </c>
      <c r="J907" s="204" t="s">
        <v>1436</v>
      </c>
      <c r="K907" s="207"/>
    </row>
    <row r="908" spans="1:11" ht="150.75">
      <c r="A908" s="204">
        <v>906</v>
      </c>
      <c r="B908" s="208">
        <v>45826</v>
      </c>
      <c r="C908" s="267" t="s">
        <v>828</v>
      </c>
      <c r="D908" s="204">
        <v>2025</v>
      </c>
      <c r="E908" s="209" t="s">
        <v>1431</v>
      </c>
      <c r="F908" s="209" t="s">
        <v>21</v>
      </c>
      <c r="G908" s="213" t="s">
        <v>821</v>
      </c>
      <c r="H908" s="211" t="s">
        <v>2432</v>
      </c>
      <c r="I908" s="156" t="s">
        <v>26</v>
      </c>
      <c r="J908" s="209" t="s">
        <v>1436</v>
      </c>
      <c r="K908" s="211" t="s">
        <v>1513</v>
      </c>
    </row>
    <row r="909" spans="1:11" ht="100.5">
      <c r="A909" s="204">
        <v>907</v>
      </c>
      <c r="B909" s="205">
        <v>45826</v>
      </c>
      <c r="C909" s="267" t="s">
        <v>828</v>
      </c>
      <c r="D909" s="204">
        <v>2025</v>
      </c>
      <c r="E909" s="204" t="s">
        <v>1431</v>
      </c>
      <c r="F909" s="204" t="s">
        <v>1504</v>
      </c>
      <c r="G909" s="206" t="s">
        <v>88</v>
      </c>
      <c r="H909" s="207" t="s">
        <v>2433</v>
      </c>
      <c r="I909" s="156" t="s">
        <v>26</v>
      </c>
      <c r="J909" s="204" t="s">
        <v>1436</v>
      </c>
      <c r="K909" s="207" t="s">
        <v>1472</v>
      </c>
    </row>
    <row r="910" spans="1:11" ht="100.5">
      <c r="A910" s="204">
        <v>908</v>
      </c>
      <c r="B910" s="208">
        <v>45826</v>
      </c>
      <c r="C910" s="267" t="s">
        <v>828</v>
      </c>
      <c r="D910" s="204">
        <v>2025</v>
      </c>
      <c r="E910" s="209" t="s">
        <v>1431</v>
      </c>
      <c r="F910" s="209" t="s">
        <v>2434</v>
      </c>
      <c r="G910" s="216" t="s">
        <v>872</v>
      </c>
      <c r="H910" s="211" t="s">
        <v>2435</v>
      </c>
      <c r="I910" s="156" t="s">
        <v>26</v>
      </c>
      <c r="J910" s="209" t="s">
        <v>1436</v>
      </c>
      <c r="K910" s="211" t="s">
        <v>1472</v>
      </c>
    </row>
    <row r="911" spans="1:11" ht="100.5">
      <c r="A911" s="204">
        <v>909</v>
      </c>
      <c r="B911" s="205">
        <v>45826</v>
      </c>
      <c r="C911" s="267" t="s">
        <v>828</v>
      </c>
      <c r="D911" s="204">
        <v>2025</v>
      </c>
      <c r="E911" s="204" t="s">
        <v>1431</v>
      </c>
      <c r="F911" s="204" t="s">
        <v>1225</v>
      </c>
      <c r="G911" s="214" t="s">
        <v>859</v>
      </c>
      <c r="H911" s="207" t="s">
        <v>2436</v>
      </c>
      <c r="I911" s="156" t="s">
        <v>26</v>
      </c>
      <c r="J911" s="204" t="s">
        <v>1436</v>
      </c>
      <c r="K911" s="207" t="s">
        <v>1476</v>
      </c>
    </row>
    <row r="912" spans="1:11" ht="100.5">
      <c r="A912" s="204">
        <v>910</v>
      </c>
      <c r="B912" s="208">
        <v>45826</v>
      </c>
      <c r="C912" s="267" t="s">
        <v>828</v>
      </c>
      <c r="D912" s="204">
        <v>2025</v>
      </c>
      <c r="E912" s="209" t="s">
        <v>1431</v>
      </c>
      <c r="F912" s="209" t="s">
        <v>2437</v>
      </c>
      <c r="G912" s="217" t="s">
        <v>859</v>
      </c>
      <c r="H912" s="211" t="s">
        <v>2438</v>
      </c>
      <c r="I912" s="156" t="s">
        <v>26</v>
      </c>
      <c r="J912" s="209" t="s">
        <v>1436</v>
      </c>
      <c r="K912" s="211"/>
    </row>
    <row r="913" spans="1:11" ht="134.25">
      <c r="A913" s="204">
        <v>911</v>
      </c>
      <c r="B913" s="205">
        <v>45828</v>
      </c>
      <c r="C913" s="267" t="s">
        <v>828</v>
      </c>
      <c r="D913" s="204">
        <v>2025</v>
      </c>
      <c r="E913" s="204" t="s">
        <v>2252</v>
      </c>
      <c r="F913" s="204" t="s">
        <v>216</v>
      </c>
      <c r="G913" s="213" t="s">
        <v>821</v>
      </c>
      <c r="H913" s="207" t="s">
        <v>2439</v>
      </c>
      <c r="I913" s="156" t="s">
        <v>26</v>
      </c>
      <c r="J913" s="204" t="s">
        <v>1436</v>
      </c>
      <c r="K913" s="207" t="s">
        <v>1601</v>
      </c>
    </row>
    <row r="914" spans="1:11" ht="84">
      <c r="A914" s="204">
        <v>912</v>
      </c>
      <c r="B914" s="208">
        <v>45828</v>
      </c>
      <c r="C914" s="267" t="s">
        <v>828</v>
      </c>
      <c r="D914" s="204">
        <v>2025</v>
      </c>
      <c r="E914" s="209" t="s">
        <v>1431</v>
      </c>
      <c r="F914" s="209" t="s">
        <v>1506</v>
      </c>
      <c r="G914" s="210" t="s">
        <v>88</v>
      </c>
      <c r="H914" s="211" t="s">
        <v>2440</v>
      </c>
      <c r="I914" s="156" t="s">
        <v>26</v>
      </c>
      <c r="J914" s="209" t="s">
        <v>1436</v>
      </c>
      <c r="K914" s="211" t="s">
        <v>1500</v>
      </c>
    </row>
    <row r="915" spans="1:11" ht="84">
      <c r="A915" s="204">
        <v>913</v>
      </c>
      <c r="B915" s="205">
        <v>45828</v>
      </c>
      <c r="C915" s="267" t="s">
        <v>828</v>
      </c>
      <c r="D915" s="204">
        <v>2025</v>
      </c>
      <c r="E915" s="204" t="s">
        <v>1431</v>
      </c>
      <c r="F915" s="204" t="s">
        <v>2441</v>
      </c>
      <c r="G915" s="206" t="s">
        <v>88</v>
      </c>
      <c r="H915" s="207" t="s">
        <v>2442</v>
      </c>
      <c r="I915" s="156" t="s">
        <v>26</v>
      </c>
      <c r="J915" s="204" t="s">
        <v>1436</v>
      </c>
      <c r="K915" s="207"/>
    </row>
    <row r="916" spans="1:11" ht="33.75">
      <c r="A916" s="204">
        <v>914</v>
      </c>
      <c r="B916" s="208">
        <v>45828</v>
      </c>
      <c r="C916" s="267" t="s">
        <v>828</v>
      </c>
      <c r="D916" s="204">
        <v>2025</v>
      </c>
      <c r="E916" s="209" t="s">
        <v>1431</v>
      </c>
      <c r="F916" s="209" t="s">
        <v>1506</v>
      </c>
      <c r="G916" s="210" t="s">
        <v>88</v>
      </c>
      <c r="H916" s="211" t="s">
        <v>2443</v>
      </c>
      <c r="I916" s="156" t="s">
        <v>26</v>
      </c>
      <c r="J916" s="209" t="s">
        <v>1436</v>
      </c>
      <c r="K916" s="211"/>
    </row>
    <row r="917" spans="1:11" ht="50.25">
      <c r="A917" s="204">
        <v>915</v>
      </c>
      <c r="B917" s="205">
        <v>45831</v>
      </c>
      <c r="C917" s="267" t="s">
        <v>828</v>
      </c>
      <c r="D917" s="204">
        <v>2025</v>
      </c>
      <c r="E917" s="204" t="s">
        <v>1431</v>
      </c>
      <c r="F917" s="204" t="s">
        <v>988</v>
      </c>
      <c r="G917" s="206" t="s">
        <v>88</v>
      </c>
      <c r="H917" s="207" t="s">
        <v>2444</v>
      </c>
      <c r="I917" s="156" t="s">
        <v>26</v>
      </c>
      <c r="J917" s="204" t="s">
        <v>1436</v>
      </c>
      <c r="K917" s="207"/>
    </row>
    <row r="918" spans="1:11" ht="33.75">
      <c r="A918" s="204">
        <v>916</v>
      </c>
      <c r="B918" s="208">
        <v>45831</v>
      </c>
      <c r="C918" s="267" t="s">
        <v>828</v>
      </c>
      <c r="D918" s="204">
        <v>2025</v>
      </c>
      <c r="E918" s="209" t="s">
        <v>1431</v>
      </c>
      <c r="F918" s="209" t="s">
        <v>1436</v>
      </c>
      <c r="G918" s="217" t="s">
        <v>859</v>
      </c>
      <c r="H918" s="211" t="s">
        <v>2445</v>
      </c>
      <c r="I918" s="156" t="s">
        <v>26</v>
      </c>
      <c r="J918" s="209" t="s">
        <v>1436</v>
      </c>
      <c r="K918" s="211"/>
    </row>
    <row r="919" spans="1:11" ht="33.75">
      <c r="A919" s="204">
        <v>917</v>
      </c>
      <c r="B919" s="205">
        <v>45831</v>
      </c>
      <c r="C919" s="267" t="s">
        <v>828</v>
      </c>
      <c r="D919" s="204">
        <v>2025</v>
      </c>
      <c r="E919" s="204" t="s">
        <v>1431</v>
      </c>
      <c r="F919" s="204" t="s">
        <v>1436</v>
      </c>
      <c r="G919" s="206" t="s">
        <v>88</v>
      </c>
      <c r="H919" s="207" t="s">
        <v>2446</v>
      </c>
      <c r="I919" s="156" t="s">
        <v>26</v>
      </c>
      <c r="J919" s="204" t="s">
        <v>1436</v>
      </c>
      <c r="K919" s="207"/>
    </row>
    <row r="920" spans="1:11" ht="50.25">
      <c r="A920" s="204">
        <v>918</v>
      </c>
      <c r="B920" s="208">
        <v>45831</v>
      </c>
      <c r="C920" s="267" t="s">
        <v>828</v>
      </c>
      <c r="D920" s="204">
        <v>2025</v>
      </c>
      <c r="E920" s="209" t="s">
        <v>1431</v>
      </c>
      <c r="F920" s="209" t="s">
        <v>1436</v>
      </c>
      <c r="G920" s="217" t="s">
        <v>859</v>
      </c>
      <c r="H920" s="211" t="s">
        <v>2447</v>
      </c>
      <c r="I920" s="156" t="s">
        <v>26</v>
      </c>
      <c r="J920" s="209" t="s">
        <v>1436</v>
      </c>
      <c r="K920" s="211"/>
    </row>
    <row r="921" spans="1:11" ht="66.75">
      <c r="A921" s="204">
        <v>919</v>
      </c>
      <c r="B921" s="205">
        <v>45831</v>
      </c>
      <c r="C921" s="267" t="s">
        <v>828</v>
      </c>
      <c r="D921" s="204">
        <v>2025</v>
      </c>
      <c r="E921" s="204" t="s">
        <v>1431</v>
      </c>
      <c r="F921" s="204" t="s">
        <v>1436</v>
      </c>
      <c r="G921" s="214" t="s">
        <v>859</v>
      </c>
      <c r="H921" s="207" t="s">
        <v>2448</v>
      </c>
      <c r="I921" s="156" t="s">
        <v>26</v>
      </c>
      <c r="J921" s="204" t="s">
        <v>1436</v>
      </c>
      <c r="K921" s="207"/>
    </row>
    <row r="922" spans="1:11" ht="117">
      <c r="A922" s="204">
        <v>920</v>
      </c>
      <c r="B922" s="208">
        <v>45831</v>
      </c>
      <c r="C922" s="267" t="s">
        <v>828</v>
      </c>
      <c r="D922" s="204">
        <v>2025</v>
      </c>
      <c r="E922" s="209" t="s">
        <v>1431</v>
      </c>
      <c r="F922" s="209" t="s">
        <v>21</v>
      </c>
      <c r="G922" s="213" t="s">
        <v>821</v>
      </c>
      <c r="H922" s="211" t="s">
        <v>2449</v>
      </c>
      <c r="I922" s="156" t="s">
        <v>26</v>
      </c>
      <c r="J922" s="209" t="s">
        <v>1436</v>
      </c>
      <c r="K922" s="211" t="s">
        <v>1482</v>
      </c>
    </row>
    <row r="923" spans="1:11" ht="100.5">
      <c r="A923" s="204">
        <v>921</v>
      </c>
      <c r="B923" s="205">
        <v>45834</v>
      </c>
      <c r="C923" s="267" t="s">
        <v>828</v>
      </c>
      <c r="D923" s="204">
        <v>2025</v>
      </c>
      <c r="E923" s="204" t="s">
        <v>1431</v>
      </c>
      <c r="F923" s="204" t="s">
        <v>21</v>
      </c>
      <c r="G923" s="213" t="s">
        <v>821</v>
      </c>
      <c r="H923" s="207" t="s">
        <v>2450</v>
      </c>
      <c r="I923" s="156" t="s">
        <v>26</v>
      </c>
      <c r="J923" s="204" t="s">
        <v>1436</v>
      </c>
      <c r="K923" s="207" t="s">
        <v>1448</v>
      </c>
    </row>
    <row r="924" spans="1:11" ht="33.75">
      <c r="A924" s="204">
        <v>922</v>
      </c>
      <c r="B924" s="208">
        <v>45834</v>
      </c>
      <c r="C924" s="267" t="s">
        <v>828</v>
      </c>
      <c r="D924" s="204">
        <v>2025</v>
      </c>
      <c r="E924" s="209" t="s">
        <v>1431</v>
      </c>
      <c r="F924" s="209" t="s">
        <v>2244</v>
      </c>
      <c r="G924" s="217" t="s">
        <v>859</v>
      </c>
      <c r="H924" s="211" t="s">
        <v>2451</v>
      </c>
      <c r="I924" s="156" t="s">
        <v>26</v>
      </c>
      <c r="J924" s="209" t="s">
        <v>1436</v>
      </c>
      <c r="K924" s="211"/>
    </row>
    <row r="925" spans="1:11" ht="33.75">
      <c r="A925" s="204">
        <v>923</v>
      </c>
      <c r="B925" s="205">
        <v>45834</v>
      </c>
      <c r="C925" s="267" t="s">
        <v>828</v>
      </c>
      <c r="D925" s="204">
        <v>2025</v>
      </c>
      <c r="E925" s="204" t="s">
        <v>1431</v>
      </c>
      <c r="F925" s="204" t="s">
        <v>1158</v>
      </c>
      <c r="G925" s="214" t="s">
        <v>859</v>
      </c>
      <c r="H925" s="207" t="s">
        <v>2452</v>
      </c>
      <c r="I925" s="156" t="s">
        <v>26</v>
      </c>
      <c r="J925" s="204" t="s">
        <v>1436</v>
      </c>
      <c r="K925" s="207"/>
    </row>
    <row r="926" spans="1:11" ht="16.5">
      <c r="A926" s="204">
        <v>924</v>
      </c>
      <c r="B926" s="208">
        <v>45834</v>
      </c>
      <c r="C926" s="267" t="s">
        <v>828</v>
      </c>
      <c r="D926" s="204">
        <v>2025</v>
      </c>
      <c r="E926" s="209" t="s">
        <v>1431</v>
      </c>
      <c r="F926" s="209" t="s">
        <v>1539</v>
      </c>
      <c r="G926" s="210" t="s">
        <v>88</v>
      </c>
      <c r="H926" s="211" t="s">
        <v>2453</v>
      </c>
      <c r="I926" s="156" t="s">
        <v>26</v>
      </c>
      <c r="J926" s="209" t="s">
        <v>1436</v>
      </c>
      <c r="K926" s="211"/>
    </row>
    <row r="927" spans="1:11" ht="134.25">
      <c r="A927" s="204">
        <v>925</v>
      </c>
      <c r="B927" s="205">
        <v>45834</v>
      </c>
      <c r="C927" s="267" t="s">
        <v>828</v>
      </c>
      <c r="D927" s="204">
        <v>2025</v>
      </c>
      <c r="E927" s="204" t="s">
        <v>1431</v>
      </c>
      <c r="F927" s="204" t="s">
        <v>216</v>
      </c>
      <c r="G927" s="213" t="s">
        <v>821</v>
      </c>
      <c r="H927" s="207" t="s">
        <v>2454</v>
      </c>
      <c r="I927" s="156" t="s">
        <v>26</v>
      </c>
      <c r="J927" s="204" t="s">
        <v>1436</v>
      </c>
      <c r="K927" s="207" t="s">
        <v>1601</v>
      </c>
    </row>
    <row r="928" spans="1:11" ht="100.5">
      <c r="A928" s="204">
        <v>926</v>
      </c>
      <c r="B928" s="208">
        <v>45834</v>
      </c>
      <c r="C928" s="267" t="s">
        <v>828</v>
      </c>
      <c r="D928" s="204">
        <v>2025</v>
      </c>
      <c r="E928" s="209" t="s">
        <v>1431</v>
      </c>
      <c r="F928" s="209" t="s">
        <v>21</v>
      </c>
      <c r="G928" s="213" t="s">
        <v>821</v>
      </c>
      <c r="H928" s="211" t="s">
        <v>2455</v>
      </c>
      <c r="I928" s="156" t="s">
        <v>26</v>
      </c>
      <c r="J928" s="209" t="s">
        <v>1436</v>
      </c>
      <c r="K928" s="211" t="s">
        <v>1448</v>
      </c>
    </row>
    <row r="929" spans="1:11" ht="150.75">
      <c r="A929" s="204">
        <v>927</v>
      </c>
      <c r="B929" s="205">
        <v>45834</v>
      </c>
      <c r="C929" s="267" t="s">
        <v>828</v>
      </c>
      <c r="D929" s="204">
        <v>2025</v>
      </c>
      <c r="E929" s="204" t="s">
        <v>1431</v>
      </c>
      <c r="F929" s="204" t="s">
        <v>21</v>
      </c>
      <c r="G929" s="213" t="s">
        <v>821</v>
      </c>
      <c r="H929" s="207" t="s">
        <v>2456</v>
      </c>
      <c r="I929" s="156" t="s">
        <v>26</v>
      </c>
      <c r="J929" s="204" t="s">
        <v>1436</v>
      </c>
      <c r="K929" s="207" t="s">
        <v>1513</v>
      </c>
    </row>
    <row r="930" spans="1:11" ht="16.5">
      <c r="A930" s="204">
        <v>928</v>
      </c>
      <c r="B930" s="208">
        <v>45834</v>
      </c>
      <c r="C930" s="267" t="s">
        <v>828</v>
      </c>
      <c r="D930" s="204">
        <v>2025</v>
      </c>
      <c r="E930" s="209" t="s">
        <v>1431</v>
      </c>
      <c r="F930" s="209" t="s">
        <v>1436</v>
      </c>
      <c r="G930" s="210" t="s">
        <v>88</v>
      </c>
      <c r="H930" s="211" t="s">
        <v>2457</v>
      </c>
      <c r="I930" s="156" t="s">
        <v>26</v>
      </c>
      <c r="J930" s="209" t="s">
        <v>1436</v>
      </c>
      <c r="K930" s="211"/>
    </row>
    <row r="931" spans="1:11" ht="33.75">
      <c r="A931" s="204">
        <v>929</v>
      </c>
      <c r="B931" s="205">
        <v>45835</v>
      </c>
      <c r="C931" s="267" t="s">
        <v>828</v>
      </c>
      <c r="D931" s="204">
        <v>2025</v>
      </c>
      <c r="E931" s="204" t="s">
        <v>1431</v>
      </c>
      <c r="F931" s="204" t="s">
        <v>1432</v>
      </c>
      <c r="G931" s="213" t="s">
        <v>821</v>
      </c>
      <c r="H931" s="207" t="s">
        <v>2458</v>
      </c>
      <c r="I931" s="156" t="s">
        <v>26</v>
      </c>
      <c r="J931" s="204" t="s">
        <v>1436</v>
      </c>
      <c r="K931" s="207"/>
    </row>
    <row r="932" spans="1:11" ht="134.25">
      <c r="A932" s="204">
        <v>930</v>
      </c>
      <c r="B932" s="208">
        <v>45835</v>
      </c>
      <c r="C932" s="267" t="s">
        <v>828</v>
      </c>
      <c r="D932" s="204">
        <v>2025</v>
      </c>
      <c r="E932" s="209" t="s">
        <v>1431</v>
      </c>
      <c r="F932" s="209" t="s">
        <v>216</v>
      </c>
      <c r="G932" s="213" t="s">
        <v>821</v>
      </c>
      <c r="H932" s="211" t="s">
        <v>2459</v>
      </c>
      <c r="I932" s="156" t="s">
        <v>26</v>
      </c>
      <c r="J932" s="209" t="s">
        <v>1436</v>
      </c>
      <c r="K932" s="211" t="s">
        <v>1601</v>
      </c>
    </row>
    <row r="933" spans="1:11" ht="84">
      <c r="A933" s="204">
        <v>931</v>
      </c>
      <c r="B933" s="205">
        <v>45835</v>
      </c>
      <c r="C933" s="267" t="s">
        <v>828</v>
      </c>
      <c r="D933" s="204">
        <v>2025</v>
      </c>
      <c r="E933" s="204" t="s">
        <v>1431</v>
      </c>
      <c r="F933" s="204" t="s">
        <v>988</v>
      </c>
      <c r="G933" s="206" t="s">
        <v>88</v>
      </c>
      <c r="H933" s="207" t="s">
        <v>2460</v>
      </c>
      <c r="I933" s="156" t="s">
        <v>26</v>
      </c>
      <c r="J933" s="204" t="s">
        <v>1436</v>
      </c>
      <c r="K933" s="207"/>
    </row>
    <row r="934" spans="1:11" ht="100.5">
      <c r="A934" s="204">
        <v>932</v>
      </c>
      <c r="B934" s="208">
        <v>45835</v>
      </c>
      <c r="C934" s="267" t="s">
        <v>828</v>
      </c>
      <c r="D934" s="204">
        <v>2025</v>
      </c>
      <c r="E934" s="209" t="s">
        <v>1431</v>
      </c>
      <c r="F934" s="209" t="s">
        <v>988</v>
      </c>
      <c r="G934" s="210" t="s">
        <v>88</v>
      </c>
      <c r="H934" s="211" t="s">
        <v>2461</v>
      </c>
      <c r="I934" s="156" t="s">
        <v>26</v>
      </c>
      <c r="J934" s="209" t="s">
        <v>1436</v>
      </c>
      <c r="K934" s="211" t="s">
        <v>1472</v>
      </c>
    </row>
    <row r="935" spans="1:11" ht="16.5">
      <c r="A935" s="204">
        <v>933</v>
      </c>
      <c r="B935" s="205">
        <v>45835</v>
      </c>
      <c r="C935" s="267" t="s">
        <v>828</v>
      </c>
      <c r="D935" s="204">
        <v>2025</v>
      </c>
      <c r="E935" s="204" t="s">
        <v>1431</v>
      </c>
      <c r="F935" s="204" t="s">
        <v>216</v>
      </c>
      <c r="G935" s="213" t="s">
        <v>821</v>
      </c>
      <c r="H935" s="207" t="s">
        <v>2462</v>
      </c>
      <c r="I935" s="156" t="s">
        <v>26</v>
      </c>
      <c r="J935" s="204" t="s">
        <v>1436</v>
      </c>
      <c r="K935" s="207"/>
    </row>
    <row r="936" spans="1:11" ht="150.75">
      <c r="A936" s="204">
        <v>934</v>
      </c>
      <c r="B936" s="208">
        <v>45838</v>
      </c>
      <c r="C936" s="267" t="s">
        <v>828</v>
      </c>
      <c r="D936" s="204">
        <v>2025</v>
      </c>
      <c r="E936" s="209" t="s">
        <v>1431</v>
      </c>
      <c r="F936" s="209" t="s">
        <v>2244</v>
      </c>
      <c r="G936" s="213" t="s">
        <v>821</v>
      </c>
      <c r="H936" s="211" t="s">
        <v>2380</v>
      </c>
      <c r="I936" s="156" t="s">
        <v>26</v>
      </c>
      <c r="J936" s="209" t="s">
        <v>1436</v>
      </c>
      <c r="K936" s="211" t="s">
        <v>1513</v>
      </c>
    </row>
    <row r="937" spans="1:11" ht="117">
      <c r="A937" s="204">
        <v>935</v>
      </c>
      <c r="B937" s="205">
        <v>45838</v>
      </c>
      <c r="C937" s="267" t="s">
        <v>828</v>
      </c>
      <c r="D937" s="204">
        <v>2025</v>
      </c>
      <c r="E937" s="204" t="s">
        <v>1431</v>
      </c>
      <c r="F937" s="204" t="s">
        <v>1434</v>
      </c>
      <c r="G937" s="206" t="s">
        <v>88</v>
      </c>
      <c r="H937" s="207" t="s">
        <v>2381</v>
      </c>
      <c r="I937" s="156" t="s">
        <v>26</v>
      </c>
      <c r="J937" s="204" t="s">
        <v>1436</v>
      </c>
      <c r="K937" s="207" t="s">
        <v>1437</v>
      </c>
    </row>
    <row r="938" spans="1:11" ht="84">
      <c r="A938" s="204">
        <v>936</v>
      </c>
      <c r="B938" s="208">
        <v>45838</v>
      </c>
      <c r="C938" s="267" t="s">
        <v>828</v>
      </c>
      <c r="D938" s="204">
        <v>2025</v>
      </c>
      <c r="E938" s="209" t="s">
        <v>1431</v>
      </c>
      <c r="F938" s="209" t="s">
        <v>2383</v>
      </c>
      <c r="G938" s="210" t="s">
        <v>88</v>
      </c>
      <c r="H938" s="211" t="s">
        <v>2384</v>
      </c>
      <c r="I938" s="156" t="s">
        <v>26</v>
      </c>
      <c r="J938" s="209" t="s">
        <v>1436</v>
      </c>
      <c r="K938" s="211" t="s">
        <v>1500</v>
      </c>
    </row>
    <row r="939" spans="1:11" ht="150.75">
      <c r="A939" s="204">
        <v>937</v>
      </c>
      <c r="B939" s="205">
        <v>45838</v>
      </c>
      <c r="C939" s="267" t="s">
        <v>828</v>
      </c>
      <c r="D939" s="204">
        <v>2025</v>
      </c>
      <c r="E939" s="204" t="s">
        <v>1431</v>
      </c>
      <c r="F939" s="204" t="s">
        <v>21</v>
      </c>
      <c r="G939" s="213" t="s">
        <v>821</v>
      </c>
      <c r="H939" s="207" t="s">
        <v>2385</v>
      </c>
      <c r="I939" s="156" t="s">
        <v>26</v>
      </c>
      <c r="J939" s="204" t="s">
        <v>1436</v>
      </c>
      <c r="K939" s="207" t="s">
        <v>1513</v>
      </c>
    </row>
    <row r="940" spans="1:11" ht="117">
      <c r="A940" s="204">
        <v>938</v>
      </c>
      <c r="B940" s="208">
        <v>45838</v>
      </c>
      <c r="C940" s="267" t="s">
        <v>828</v>
      </c>
      <c r="D940" s="204">
        <v>2025</v>
      </c>
      <c r="E940" s="209" t="s">
        <v>1431</v>
      </c>
      <c r="F940" s="209" t="s">
        <v>988</v>
      </c>
      <c r="G940" s="210" t="s">
        <v>88</v>
      </c>
      <c r="H940" s="211" t="s">
        <v>2386</v>
      </c>
      <c r="I940" s="156" t="s">
        <v>26</v>
      </c>
      <c r="J940" s="209" t="s">
        <v>1436</v>
      </c>
      <c r="K940" s="211" t="s">
        <v>1559</v>
      </c>
    </row>
    <row r="941" spans="1:11" ht="134.25">
      <c r="A941" s="204">
        <v>939</v>
      </c>
      <c r="B941" s="205">
        <v>45839</v>
      </c>
      <c r="C941" s="267" t="s">
        <v>828</v>
      </c>
      <c r="D941" s="204">
        <v>2025</v>
      </c>
      <c r="E941" s="204" t="s">
        <v>1431</v>
      </c>
      <c r="F941" s="204" t="s">
        <v>216</v>
      </c>
      <c r="G941" s="213" t="s">
        <v>821</v>
      </c>
      <c r="H941" s="207" t="s">
        <v>2387</v>
      </c>
      <c r="I941" s="156" t="s">
        <v>26</v>
      </c>
      <c r="J941" s="204" t="s">
        <v>1436</v>
      </c>
      <c r="K941" s="207" t="s">
        <v>1601</v>
      </c>
    </row>
    <row r="942" spans="1:11" ht="33.75">
      <c r="A942" s="204">
        <v>940</v>
      </c>
      <c r="B942" s="208">
        <v>45839</v>
      </c>
      <c r="C942" s="267" t="s">
        <v>828</v>
      </c>
      <c r="D942" s="204">
        <v>2025</v>
      </c>
      <c r="E942" s="209" t="s">
        <v>1431</v>
      </c>
      <c r="F942" s="209" t="s">
        <v>216</v>
      </c>
      <c r="G942" s="213" t="s">
        <v>821</v>
      </c>
      <c r="H942" s="211" t="s">
        <v>2388</v>
      </c>
      <c r="I942" s="156" t="s">
        <v>26</v>
      </c>
      <c r="J942" s="209" t="s">
        <v>1436</v>
      </c>
      <c r="K942" s="211"/>
    </row>
    <row r="943" spans="1:11" ht="150.75">
      <c r="A943" s="204">
        <v>941</v>
      </c>
      <c r="B943" s="205">
        <v>45839</v>
      </c>
      <c r="C943" s="267" t="s">
        <v>828</v>
      </c>
      <c r="D943" s="204">
        <v>2025</v>
      </c>
      <c r="E943" s="204" t="s">
        <v>1431</v>
      </c>
      <c r="F943" s="204" t="s">
        <v>21</v>
      </c>
      <c r="G943" s="213" t="s">
        <v>821</v>
      </c>
      <c r="H943" s="207" t="s">
        <v>2389</v>
      </c>
      <c r="I943" s="156" t="s">
        <v>26</v>
      </c>
      <c r="J943" s="204" t="s">
        <v>1436</v>
      </c>
      <c r="K943" s="207" t="s">
        <v>1513</v>
      </c>
    </row>
    <row r="944" spans="1:11" ht="100.5">
      <c r="A944" s="204">
        <v>942</v>
      </c>
      <c r="B944" s="208">
        <v>45840</v>
      </c>
      <c r="C944" s="267" t="s">
        <v>828</v>
      </c>
      <c r="D944" s="204">
        <v>2025</v>
      </c>
      <c r="E944" s="209" t="s">
        <v>1431</v>
      </c>
      <c r="F944" s="209" t="s">
        <v>2390</v>
      </c>
      <c r="G944" s="217" t="s">
        <v>859</v>
      </c>
      <c r="H944" s="211" t="s">
        <v>2391</v>
      </c>
      <c r="I944" s="156" t="s">
        <v>26</v>
      </c>
      <c r="J944" s="209" t="s">
        <v>1436</v>
      </c>
      <c r="K944" s="211" t="s">
        <v>1476</v>
      </c>
    </row>
    <row r="945" spans="1:11" ht="100.5">
      <c r="A945" s="204">
        <v>943</v>
      </c>
      <c r="B945" s="205">
        <v>45840</v>
      </c>
      <c r="C945" s="267" t="s">
        <v>828</v>
      </c>
      <c r="D945" s="204">
        <v>2025</v>
      </c>
      <c r="E945" s="204" t="s">
        <v>1431</v>
      </c>
      <c r="F945" s="204" t="s">
        <v>574</v>
      </c>
      <c r="G945" s="206" t="s">
        <v>88</v>
      </c>
      <c r="H945" s="207" t="s">
        <v>2392</v>
      </c>
      <c r="I945" s="156" t="s">
        <v>26</v>
      </c>
      <c r="J945" s="204" t="s">
        <v>1436</v>
      </c>
      <c r="K945" s="207" t="s">
        <v>1472</v>
      </c>
    </row>
    <row r="946" spans="1:11" ht="84">
      <c r="A946" s="204">
        <v>944</v>
      </c>
      <c r="B946" s="208">
        <v>45840</v>
      </c>
      <c r="C946" s="267" t="s">
        <v>828</v>
      </c>
      <c r="D946" s="204">
        <v>2025</v>
      </c>
      <c r="E946" s="209" t="s">
        <v>1431</v>
      </c>
      <c r="F946" s="209" t="s">
        <v>1506</v>
      </c>
      <c r="G946" s="210" t="s">
        <v>88</v>
      </c>
      <c r="H946" s="211" t="s">
        <v>2393</v>
      </c>
      <c r="I946" s="156" t="s">
        <v>26</v>
      </c>
      <c r="J946" s="209" t="s">
        <v>1436</v>
      </c>
      <c r="K946" s="211" t="s">
        <v>1500</v>
      </c>
    </row>
    <row r="947" spans="1:11" ht="84">
      <c r="A947" s="204">
        <v>945</v>
      </c>
      <c r="B947" s="205">
        <v>45840</v>
      </c>
      <c r="C947" s="267" t="s">
        <v>828</v>
      </c>
      <c r="D947" s="204">
        <v>2025</v>
      </c>
      <c r="E947" s="204" t="s">
        <v>1431</v>
      </c>
      <c r="F947" s="204" t="s">
        <v>1506</v>
      </c>
      <c r="G947" s="206" t="s">
        <v>88</v>
      </c>
      <c r="H947" s="207" t="s">
        <v>2394</v>
      </c>
      <c r="I947" s="156" t="s">
        <v>26</v>
      </c>
      <c r="J947" s="204" t="s">
        <v>1436</v>
      </c>
      <c r="K947" s="207" t="s">
        <v>1500</v>
      </c>
    </row>
    <row r="948" spans="1:11" ht="33.75">
      <c r="A948" s="204">
        <v>946</v>
      </c>
      <c r="B948" s="208">
        <v>45840</v>
      </c>
      <c r="C948" s="267" t="s">
        <v>828</v>
      </c>
      <c r="D948" s="204">
        <v>2025</v>
      </c>
      <c r="E948" s="209" t="s">
        <v>1431</v>
      </c>
      <c r="F948" s="209" t="s">
        <v>216</v>
      </c>
      <c r="G948" s="213" t="s">
        <v>821</v>
      </c>
      <c r="H948" s="211" t="s">
        <v>2395</v>
      </c>
      <c r="I948" s="156" t="s">
        <v>26</v>
      </c>
      <c r="J948" s="209" t="s">
        <v>1436</v>
      </c>
      <c r="K948" s="211"/>
    </row>
    <row r="949" spans="1:11" ht="150.75">
      <c r="A949" s="204">
        <v>947</v>
      </c>
      <c r="B949" s="205">
        <v>45840</v>
      </c>
      <c r="C949" s="267" t="s">
        <v>828</v>
      </c>
      <c r="D949" s="204">
        <v>2025</v>
      </c>
      <c r="E949" s="204" t="s">
        <v>1431</v>
      </c>
      <c r="F949" s="204" t="s">
        <v>21</v>
      </c>
      <c r="G949" s="213" t="s">
        <v>821</v>
      </c>
      <c r="H949" s="207" t="s">
        <v>2396</v>
      </c>
      <c r="I949" s="156" t="s">
        <v>26</v>
      </c>
      <c r="J949" s="204" t="s">
        <v>1436</v>
      </c>
      <c r="K949" s="207" t="s">
        <v>1513</v>
      </c>
    </row>
    <row r="950" spans="1:11" ht="84">
      <c r="A950" s="204">
        <v>948</v>
      </c>
      <c r="B950" s="208">
        <v>45840</v>
      </c>
      <c r="C950" s="267" t="s">
        <v>828</v>
      </c>
      <c r="D950" s="204">
        <v>2025</v>
      </c>
      <c r="E950" s="209" t="s">
        <v>1431</v>
      </c>
      <c r="F950" s="209" t="s">
        <v>1506</v>
      </c>
      <c r="G950" s="210" t="s">
        <v>88</v>
      </c>
      <c r="H950" s="211" t="s">
        <v>2397</v>
      </c>
      <c r="I950" s="156" t="s">
        <v>26</v>
      </c>
      <c r="J950" s="209" t="s">
        <v>1436</v>
      </c>
      <c r="K950" s="211" t="s">
        <v>1500</v>
      </c>
    </row>
    <row r="951" spans="1:11" ht="100.5">
      <c r="A951" s="204">
        <v>949</v>
      </c>
      <c r="B951" s="205">
        <v>45840</v>
      </c>
      <c r="C951" s="267" t="s">
        <v>828</v>
      </c>
      <c r="D951" s="204">
        <v>2025</v>
      </c>
      <c r="E951" s="204" t="s">
        <v>1431</v>
      </c>
      <c r="F951" s="204" t="s">
        <v>1225</v>
      </c>
      <c r="G951" s="214" t="s">
        <v>859</v>
      </c>
      <c r="H951" s="207" t="s">
        <v>2398</v>
      </c>
      <c r="I951" s="156" t="s">
        <v>26</v>
      </c>
      <c r="J951" s="204" t="s">
        <v>1436</v>
      </c>
      <c r="K951" s="207" t="s">
        <v>1476</v>
      </c>
    </row>
    <row r="952" spans="1:11" ht="33.75">
      <c r="A952" s="204">
        <v>950</v>
      </c>
      <c r="B952" s="208">
        <v>45840</v>
      </c>
      <c r="C952" s="267" t="s">
        <v>828</v>
      </c>
      <c r="D952" s="204">
        <v>2025</v>
      </c>
      <c r="E952" s="209" t="s">
        <v>1431</v>
      </c>
      <c r="F952" s="209" t="s">
        <v>1506</v>
      </c>
      <c r="G952" s="210" t="s">
        <v>88</v>
      </c>
      <c r="H952" s="211" t="s">
        <v>2399</v>
      </c>
      <c r="I952" s="156" t="s">
        <v>26</v>
      </c>
      <c r="J952" s="209" t="s">
        <v>1436</v>
      </c>
      <c r="K952" s="211"/>
    </row>
    <row r="953" spans="1:11" ht="150.75">
      <c r="A953" s="204">
        <v>951</v>
      </c>
      <c r="B953" s="205">
        <v>45838</v>
      </c>
      <c r="C953" s="265" t="s">
        <v>829</v>
      </c>
      <c r="D953" s="204">
        <v>2025</v>
      </c>
      <c r="E953" s="204" t="s">
        <v>1431</v>
      </c>
      <c r="F953" s="204" t="s">
        <v>21</v>
      </c>
      <c r="G953" s="213" t="s">
        <v>821</v>
      </c>
      <c r="H953" s="207" t="s">
        <v>2380</v>
      </c>
      <c r="I953" s="156" t="s">
        <v>26</v>
      </c>
      <c r="J953" s="204" t="s">
        <v>1436</v>
      </c>
      <c r="K953" s="207" t="s">
        <v>1513</v>
      </c>
    </row>
    <row r="954" spans="1:11" ht="117">
      <c r="A954" s="204">
        <v>952</v>
      </c>
      <c r="B954" s="208">
        <v>45838</v>
      </c>
      <c r="C954" s="265" t="s">
        <v>829</v>
      </c>
      <c r="D954" s="204">
        <v>2025</v>
      </c>
      <c r="E954" s="209" t="s">
        <v>1431</v>
      </c>
      <c r="F954" s="209" t="s">
        <v>1434</v>
      </c>
      <c r="G954" s="210" t="s">
        <v>88</v>
      </c>
      <c r="H954" s="211" t="s">
        <v>2381</v>
      </c>
      <c r="I954" s="156" t="s">
        <v>26</v>
      </c>
      <c r="J954" s="209" t="s">
        <v>1436</v>
      </c>
      <c r="K954" s="211" t="s">
        <v>1437</v>
      </c>
    </row>
    <row r="955" spans="1:11" ht="84">
      <c r="A955" s="204">
        <v>953</v>
      </c>
      <c r="B955" s="205">
        <v>45838</v>
      </c>
      <c r="C955" s="265" t="s">
        <v>829</v>
      </c>
      <c r="D955" s="204">
        <v>2025</v>
      </c>
      <c r="E955" s="204" t="s">
        <v>1431</v>
      </c>
      <c r="F955" s="204" t="s">
        <v>2383</v>
      </c>
      <c r="G955" s="206" t="s">
        <v>88</v>
      </c>
      <c r="H955" s="207" t="s">
        <v>2384</v>
      </c>
      <c r="I955" s="156" t="s">
        <v>26</v>
      </c>
      <c r="J955" s="204" t="s">
        <v>1436</v>
      </c>
      <c r="K955" s="207" t="s">
        <v>1500</v>
      </c>
    </row>
    <row r="956" spans="1:11" ht="150.75">
      <c r="A956" s="204">
        <v>954</v>
      </c>
      <c r="B956" s="208">
        <v>45838</v>
      </c>
      <c r="C956" s="265" t="s">
        <v>829</v>
      </c>
      <c r="D956" s="204">
        <v>2025</v>
      </c>
      <c r="E956" s="209" t="s">
        <v>1431</v>
      </c>
      <c r="F956" s="209" t="s">
        <v>21</v>
      </c>
      <c r="G956" s="213" t="s">
        <v>821</v>
      </c>
      <c r="H956" s="211" t="s">
        <v>2385</v>
      </c>
      <c r="I956" s="156" t="s">
        <v>26</v>
      </c>
      <c r="J956" s="209" t="s">
        <v>1436</v>
      </c>
      <c r="K956" s="211" t="s">
        <v>1513</v>
      </c>
    </row>
    <row r="957" spans="1:11" ht="117">
      <c r="A957" s="204">
        <v>955</v>
      </c>
      <c r="B957" s="205">
        <v>45838</v>
      </c>
      <c r="C957" s="265" t="s">
        <v>829</v>
      </c>
      <c r="D957" s="204">
        <v>2025</v>
      </c>
      <c r="E957" s="204" t="s">
        <v>1431</v>
      </c>
      <c r="F957" s="204" t="s">
        <v>988</v>
      </c>
      <c r="G957" s="206" t="s">
        <v>88</v>
      </c>
      <c r="H957" s="207" t="s">
        <v>2386</v>
      </c>
      <c r="I957" s="156" t="s">
        <v>26</v>
      </c>
      <c r="J957" s="204" t="s">
        <v>1436</v>
      </c>
      <c r="K957" s="207" t="s">
        <v>1559</v>
      </c>
    </row>
    <row r="958" spans="1:11" ht="134.25">
      <c r="A958" s="204">
        <v>956</v>
      </c>
      <c r="B958" s="208">
        <v>45839</v>
      </c>
      <c r="C958" s="265" t="s">
        <v>829</v>
      </c>
      <c r="D958" s="204">
        <v>2025</v>
      </c>
      <c r="E958" s="209" t="s">
        <v>1431</v>
      </c>
      <c r="F958" s="209" t="s">
        <v>216</v>
      </c>
      <c r="G958" s="213" t="s">
        <v>821</v>
      </c>
      <c r="H958" s="211" t="s">
        <v>2387</v>
      </c>
      <c r="I958" s="156" t="s">
        <v>26</v>
      </c>
      <c r="J958" s="209" t="s">
        <v>1436</v>
      </c>
      <c r="K958" s="211" t="s">
        <v>1601</v>
      </c>
    </row>
    <row r="959" spans="1:11" ht="33.75">
      <c r="A959" s="204">
        <v>957</v>
      </c>
      <c r="B959" s="205">
        <v>45839</v>
      </c>
      <c r="C959" s="265" t="s">
        <v>829</v>
      </c>
      <c r="D959" s="204">
        <v>2025</v>
      </c>
      <c r="E959" s="204" t="s">
        <v>1431</v>
      </c>
      <c r="F959" s="204" t="s">
        <v>216</v>
      </c>
      <c r="G959" s="213" t="s">
        <v>821</v>
      </c>
      <c r="H959" s="207" t="s">
        <v>2388</v>
      </c>
      <c r="I959" s="156" t="s">
        <v>26</v>
      </c>
      <c r="J959" s="204" t="s">
        <v>1436</v>
      </c>
      <c r="K959" s="207"/>
    </row>
    <row r="960" spans="1:11" ht="150.75">
      <c r="A960" s="204">
        <v>958</v>
      </c>
      <c r="B960" s="208">
        <v>45839</v>
      </c>
      <c r="C960" s="265" t="s">
        <v>829</v>
      </c>
      <c r="D960" s="204">
        <v>2025</v>
      </c>
      <c r="E960" s="209" t="s">
        <v>1431</v>
      </c>
      <c r="F960" s="209" t="s">
        <v>21</v>
      </c>
      <c r="G960" s="213" t="s">
        <v>821</v>
      </c>
      <c r="H960" s="211" t="s">
        <v>2389</v>
      </c>
      <c r="I960" s="156" t="s">
        <v>26</v>
      </c>
      <c r="J960" s="209" t="s">
        <v>1436</v>
      </c>
      <c r="K960" s="211" t="s">
        <v>1513</v>
      </c>
    </row>
    <row r="961" spans="1:11" ht="100.5">
      <c r="A961" s="204">
        <v>959</v>
      </c>
      <c r="B961" s="205">
        <v>45840</v>
      </c>
      <c r="C961" s="265" t="s">
        <v>829</v>
      </c>
      <c r="D961" s="204">
        <v>2025</v>
      </c>
      <c r="E961" s="204" t="s">
        <v>1431</v>
      </c>
      <c r="F961" s="204" t="s">
        <v>2390</v>
      </c>
      <c r="G961" s="214" t="s">
        <v>859</v>
      </c>
      <c r="H961" s="207" t="s">
        <v>2391</v>
      </c>
      <c r="I961" s="156" t="s">
        <v>26</v>
      </c>
      <c r="J961" s="204" t="s">
        <v>1436</v>
      </c>
      <c r="K961" s="207" t="s">
        <v>1476</v>
      </c>
    </row>
    <row r="962" spans="1:11" ht="100.5">
      <c r="A962" s="204">
        <v>960</v>
      </c>
      <c r="B962" s="208">
        <v>45840</v>
      </c>
      <c r="C962" s="265" t="s">
        <v>829</v>
      </c>
      <c r="D962" s="204">
        <v>2025</v>
      </c>
      <c r="E962" s="209" t="s">
        <v>1431</v>
      </c>
      <c r="F962" s="209" t="s">
        <v>574</v>
      </c>
      <c r="G962" s="210" t="s">
        <v>88</v>
      </c>
      <c r="H962" s="211" t="s">
        <v>2392</v>
      </c>
      <c r="I962" s="156" t="s">
        <v>26</v>
      </c>
      <c r="J962" s="209" t="s">
        <v>1436</v>
      </c>
      <c r="K962" s="211" t="s">
        <v>1472</v>
      </c>
    </row>
    <row r="963" spans="1:11" ht="84">
      <c r="A963" s="204">
        <v>961</v>
      </c>
      <c r="B963" s="205">
        <v>45840</v>
      </c>
      <c r="C963" s="265" t="s">
        <v>829</v>
      </c>
      <c r="D963" s="204">
        <v>2025</v>
      </c>
      <c r="E963" s="204" t="s">
        <v>1431</v>
      </c>
      <c r="F963" s="204" t="s">
        <v>1506</v>
      </c>
      <c r="G963" s="206" t="s">
        <v>88</v>
      </c>
      <c r="H963" s="207" t="s">
        <v>2393</v>
      </c>
      <c r="I963" s="156" t="s">
        <v>26</v>
      </c>
      <c r="J963" s="204" t="s">
        <v>1436</v>
      </c>
      <c r="K963" s="207" t="s">
        <v>1500</v>
      </c>
    </row>
    <row r="964" spans="1:11" ht="84">
      <c r="A964" s="204">
        <v>962</v>
      </c>
      <c r="B964" s="208">
        <v>45840</v>
      </c>
      <c r="C964" s="265" t="s">
        <v>829</v>
      </c>
      <c r="D964" s="204">
        <v>2025</v>
      </c>
      <c r="E964" s="209" t="s">
        <v>1431</v>
      </c>
      <c r="F964" s="209" t="s">
        <v>1506</v>
      </c>
      <c r="G964" s="210" t="s">
        <v>88</v>
      </c>
      <c r="H964" s="211" t="s">
        <v>2394</v>
      </c>
      <c r="I964" s="156" t="s">
        <v>26</v>
      </c>
      <c r="J964" s="209" t="s">
        <v>1436</v>
      </c>
      <c r="K964" s="211" t="s">
        <v>1500</v>
      </c>
    </row>
    <row r="965" spans="1:11" ht="33.75">
      <c r="A965" s="204">
        <v>963</v>
      </c>
      <c r="B965" s="205">
        <v>45840</v>
      </c>
      <c r="C965" s="265" t="s">
        <v>829</v>
      </c>
      <c r="D965" s="204">
        <v>2025</v>
      </c>
      <c r="E965" s="204" t="s">
        <v>1431</v>
      </c>
      <c r="F965" s="204" t="s">
        <v>216</v>
      </c>
      <c r="G965" s="213" t="s">
        <v>821</v>
      </c>
      <c r="H965" s="207" t="s">
        <v>2395</v>
      </c>
      <c r="I965" s="156" t="s">
        <v>26</v>
      </c>
      <c r="J965" s="204" t="s">
        <v>1436</v>
      </c>
      <c r="K965" s="207"/>
    </row>
    <row r="966" spans="1:11" ht="150.75">
      <c r="A966" s="204">
        <v>964</v>
      </c>
      <c r="B966" s="208">
        <v>45840</v>
      </c>
      <c r="C966" s="265" t="s">
        <v>829</v>
      </c>
      <c r="D966" s="204">
        <v>2025</v>
      </c>
      <c r="E966" s="209" t="s">
        <v>1431</v>
      </c>
      <c r="F966" s="209" t="s">
        <v>21</v>
      </c>
      <c r="G966" s="213" t="s">
        <v>821</v>
      </c>
      <c r="H966" s="211" t="s">
        <v>2396</v>
      </c>
      <c r="I966" s="156" t="s">
        <v>26</v>
      </c>
      <c r="J966" s="209" t="s">
        <v>1436</v>
      </c>
      <c r="K966" s="211" t="s">
        <v>1513</v>
      </c>
    </row>
    <row r="967" spans="1:11" ht="84">
      <c r="A967" s="204">
        <v>965</v>
      </c>
      <c r="B967" s="205">
        <v>45840</v>
      </c>
      <c r="C967" s="265" t="s">
        <v>829</v>
      </c>
      <c r="D967" s="204">
        <v>2025</v>
      </c>
      <c r="E967" s="204" t="s">
        <v>1431</v>
      </c>
      <c r="F967" s="204" t="s">
        <v>1506</v>
      </c>
      <c r="G967" s="206" t="s">
        <v>88</v>
      </c>
      <c r="H967" s="207" t="s">
        <v>2397</v>
      </c>
      <c r="I967" s="156" t="s">
        <v>26</v>
      </c>
      <c r="J967" s="204" t="s">
        <v>1436</v>
      </c>
      <c r="K967" s="207" t="s">
        <v>1500</v>
      </c>
    </row>
    <row r="968" spans="1:11" ht="100.5">
      <c r="A968" s="204">
        <v>966</v>
      </c>
      <c r="B968" s="208">
        <v>45840</v>
      </c>
      <c r="C968" s="265" t="s">
        <v>829</v>
      </c>
      <c r="D968" s="204">
        <v>2025</v>
      </c>
      <c r="E968" s="209" t="s">
        <v>1431</v>
      </c>
      <c r="F968" s="209" t="s">
        <v>1225</v>
      </c>
      <c r="G968" s="217" t="s">
        <v>859</v>
      </c>
      <c r="H968" s="211" t="s">
        <v>2398</v>
      </c>
      <c r="I968" s="156" t="s">
        <v>26</v>
      </c>
      <c r="J968" s="209" t="s">
        <v>1436</v>
      </c>
      <c r="K968" s="211" t="s">
        <v>1476</v>
      </c>
    </row>
    <row r="969" spans="1:11" ht="33.75">
      <c r="A969" s="204">
        <v>967</v>
      </c>
      <c r="B969" s="205">
        <v>45840</v>
      </c>
      <c r="C969" s="265" t="s">
        <v>829</v>
      </c>
      <c r="D969" s="204">
        <v>2025</v>
      </c>
      <c r="E969" s="204" t="s">
        <v>1431</v>
      </c>
      <c r="F969" s="204" t="s">
        <v>1506</v>
      </c>
      <c r="G969" s="206" t="s">
        <v>88</v>
      </c>
      <c r="H969" s="207" t="s">
        <v>2399</v>
      </c>
      <c r="I969" s="156" t="s">
        <v>26</v>
      </c>
      <c r="J969" s="204" t="s">
        <v>1436</v>
      </c>
      <c r="K969" s="207"/>
    </row>
    <row r="970" spans="1:11" ht="84">
      <c r="A970" s="204">
        <v>968</v>
      </c>
      <c r="B970" s="208">
        <v>45840</v>
      </c>
      <c r="C970" s="265" t="s">
        <v>829</v>
      </c>
      <c r="D970" s="204">
        <v>2025</v>
      </c>
      <c r="E970" s="209" t="s">
        <v>1431</v>
      </c>
      <c r="F970" s="209" t="s">
        <v>1506</v>
      </c>
      <c r="G970" s="210" t="s">
        <v>88</v>
      </c>
      <c r="H970" s="211" t="s">
        <v>2400</v>
      </c>
      <c r="I970" s="156" t="s">
        <v>26</v>
      </c>
      <c r="J970" s="209" t="s">
        <v>1436</v>
      </c>
      <c r="K970" s="211" t="s">
        <v>1500</v>
      </c>
    </row>
    <row r="971" spans="1:11" ht="50.25">
      <c r="A971" s="204">
        <v>969</v>
      </c>
      <c r="B971" s="205">
        <v>45841</v>
      </c>
      <c r="C971" s="265" t="s">
        <v>829</v>
      </c>
      <c r="D971" s="204">
        <v>2025</v>
      </c>
      <c r="E971" s="204" t="s">
        <v>1431</v>
      </c>
      <c r="F971" s="204" t="s">
        <v>1225</v>
      </c>
      <c r="G971" s="214" t="s">
        <v>859</v>
      </c>
      <c r="H971" s="207" t="s">
        <v>2463</v>
      </c>
      <c r="I971" s="156" t="s">
        <v>26</v>
      </c>
      <c r="J971" s="204" t="s">
        <v>1436</v>
      </c>
      <c r="K971" s="207"/>
    </row>
    <row r="972" spans="1:11" ht="50.25">
      <c r="A972" s="204">
        <v>970</v>
      </c>
      <c r="B972" s="208">
        <v>45841</v>
      </c>
      <c r="C972" s="265" t="s">
        <v>829</v>
      </c>
      <c r="D972" s="204">
        <v>2025</v>
      </c>
      <c r="E972" s="209" t="s">
        <v>2252</v>
      </c>
      <c r="F972" s="209" t="s">
        <v>216</v>
      </c>
      <c r="G972" s="213" t="s">
        <v>821</v>
      </c>
      <c r="H972" s="211" t="s">
        <v>2464</v>
      </c>
      <c r="I972" s="156" t="s">
        <v>26</v>
      </c>
      <c r="J972" s="209" t="s">
        <v>1436</v>
      </c>
      <c r="K972" s="211"/>
    </row>
    <row r="973" spans="1:11" ht="134.25">
      <c r="A973" s="204">
        <v>971</v>
      </c>
      <c r="B973" s="205">
        <v>45841</v>
      </c>
      <c r="C973" s="265" t="s">
        <v>829</v>
      </c>
      <c r="D973" s="204">
        <v>2025</v>
      </c>
      <c r="E973" s="204" t="s">
        <v>1431</v>
      </c>
      <c r="F973" s="204" t="s">
        <v>216</v>
      </c>
      <c r="G973" s="213" t="s">
        <v>821</v>
      </c>
      <c r="H973" s="207" t="s">
        <v>2465</v>
      </c>
      <c r="I973" s="156" t="s">
        <v>26</v>
      </c>
      <c r="J973" s="204" t="s">
        <v>1436</v>
      </c>
      <c r="K973" s="207" t="s">
        <v>1601</v>
      </c>
    </row>
    <row r="974" spans="1:11" ht="100.5">
      <c r="A974" s="204">
        <v>972</v>
      </c>
      <c r="B974" s="208">
        <v>45841</v>
      </c>
      <c r="C974" s="265" t="s">
        <v>829</v>
      </c>
      <c r="D974" s="204">
        <v>2025</v>
      </c>
      <c r="E974" s="209" t="s">
        <v>1431</v>
      </c>
      <c r="F974" s="209" t="s">
        <v>21</v>
      </c>
      <c r="G974" s="213" t="s">
        <v>821</v>
      </c>
      <c r="H974" s="211" t="s">
        <v>2466</v>
      </c>
      <c r="I974" s="156" t="s">
        <v>26</v>
      </c>
      <c r="J974" s="209" t="s">
        <v>1436</v>
      </c>
      <c r="K974" s="211" t="s">
        <v>1448</v>
      </c>
    </row>
    <row r="975" spans="1:11" ht="33.75">
      <c r="A975" s="204">
        <v>973</v>
      </c>
      <c r="B975" s="205">
        <v>45841</v>
      </c>
      <c r="C975" s="265" t="s">
        <v>829</v>
      </c>
      <c r="D975" s="204">
        <v>2025</v>
      </c>
      <c r="E975" s="204" t="s">
        <v>1431</v>
      </c>
      <c r="F975" s="204" t="s">
        <v>21</v>
      </c>
      <c r="G975" s="213" t="s">
        <v>821</v>
      </c>
      <c r="H975" s="207" t="s">
        <v>2467</v>
      </c>
      <c r="I975" s="156" t="s">
        <v>26</v>
      </c>
      <c r="J975" s="204" t="s">
        <v>1436</v>
      </c>
      <c r="K975" s="207"/>
    </row>
    <row r="976" spans="1:11" ht="66.75">
      <c r="A976" s="204">
        <v>974</v>
      </c>
      <c r="B976" s="208">
        <v>45841</v>
      </c>
      <c r="C976" s="265" t="s">
        <v>829</v>
      </c>
      <c r="D976" s="204">
        <v>2025</v>
      </c>
      <c r="E976" s="209" t="s">
        <v>1431</v>
      </c>
      <c r="F976" s="209" t="s">
        <v>2468</v>
      </c>
      <c r="G976" s="217" t="s">
        <v>859</v>
      </c>
      <c r="H976" s="211" t="s">
        <v>2469</v>
      </c>
      <c r="I976" s="156" t="s">
        <v>26</v>
      </c>
      <c r="J976" s="209" t="s">
        <v>1436</v>
      </c>
      <c r="K976" s="211"/>
    </row>
    <row r="977" spans="1:11" ht="84">
      <c r="A977" s="204">
        <v>975</v>
      </c>
      <c r="B977" s="205">
        <v>45842</v>
      </c>
      <c r="C977" s="265" t="s">
        <v>829</v>
      </c>
      <c r="D977" s="204">
        <v>2025</v>
      </c>
      <c r="E977" s="204" t="s">
        <v>1431</v>
      </c>
      <c r="F977" s="204" t="s">
        <v>988</v>
      </c>
      <c r="G977" s="206" t="s">
        <v>88</v>
      </c>
      <c r="H977" s="207" t="s">
        <v>2470</v>
      </c>
      <c r="I977" s="156" t="s">
        <v>26</v>
      </c>
      <c r="J977" s="204" t="s">
        <v>1436</v>
      </c>
      <c r="K977" s="207" t="s">
        <v>1500</v>
      </c>
    </row>
    <row r="978" spans="1:11" ht="134.25">
      <c r="A978" s="204">
        <v>976</v>
      </c>
      <c r="B978" s="208">
        <v>45845</v>
      </c>
      <c r="C978" s="265" t="s">
        <v>829</v>
      </c>
      <c r="D978" s="204">
        <v>2025</v>
      </c>
      <c r="E978" s="209" t="s">
        <v>1431</v>
      </c>
      <c r="F978" s="209" t="s">
        <v>2192</v>
      </c>
      <c r="G978" s="213" t="s">
        <v>821</v>
      </c>
      <c r="H978" s="211" t="s">
        <v>2471</v>
      </c>
      <c r="I978" s="156" t="s">
        <v>26</v>
      </c>
      <c r="J978" s="209" t="s">
        <v>1436</v>
      </c>
      <c r="K978" s="211" t="s">
        <v>1480</v>
      </c>
    </row>
    <row r="979" spans="1:11" ht="100.5">
      <c r="A979" s="204">
        <v>977</v>
      </c>
      <c r="B979" s="205">
        <v>45845</v>
      </c>
      <c r="C979" s="265" t="s">
        <v>829</v>
      </c>
      <c r="D979" s="204">
        <v>2025</v>
      </c>
      <c r="E979" s="204" t="s">
        <v>1431</v>
      </c>
      <c r="F979" s="204" t="s">
        <v>574</v>
      </c>
      <c r="G979" s="206" t="s">
        <v>88</v>
      </c>
      <c r="H979" s="207" t="s">
        <v>2472</v>
      </c>
      <c r="I979" s="156" t="s">
        <v>26</v>
      </c>
      <c r="J979" s="204" t="s">
        <v>1436</v>
      </c>
      <c r="K979" s="207" t="s">
        <v>1472</v>
      </c>
    </row>
    <row r="980" spans="1:11" ht="84">
      <c r="A980" s="204">
        <v>978</v>
      </c>
      <c r="B980" s="208">
        <v>45845</v>
      </c>
      <c r="C980" s="265" t="s">
        <v>829</v>
      </c>
      <c r="D980" s="204">
        <v>2025</v>
      </c>
      <c r="E980" s="209" t="s">
        <v>1431</v>
      </c>
      <c r="F980" s="209" t="s">
        <v>1518</v>
      </c>
      <c r="G980" s="210" t="s">
        <v>88</v>
      </c>
      <c r="H980" s="211" t="s">
        <v>2473</v>
      </c>
      <c r="I980" s="156" t="s">
        <v>26</v>
      </c>
      <c r="J980" s="209" t="s">
        <v>1436</v>
      </c>
      <c r="K980" s="211" t="s">
        <v>1444</v>
      </c>
    </row>
    <row r="981" spans="1:11" ht="100.5">
      <c r="A981" s="204">
        <v>979</v>
      </c>
      <c r="B981" s="205">
        <v>45846</v>
      </c>
      <c r="C981" s="265" t="s">
        <v>829</v>
      </c>
      <c r="D981" s="204">
        <v>2025</v>
      </c>
      <c r="E981" s="204" t="s">
        <v>1431</v>
      </c>
      <c r="F981" s="204" t="s">
        <v>1584</v>
      </c>
      <c r="G981" s="213" t="s">
        <v>821</v>
      </c>
      <c r="H981" s="207" t="s">
        <v>2474</v>
      </c>
      <c r="I981" s="156" t="s">
        <v>26</v>
      </c>
      <c r="J981" s="204" t="s">
        <v>1436</v>
      </c>
      <c r="K981" s="207" t="s">
        <v>1448</v>
      </c>
    </row>
    <row r="982" spans="1:11" ht="84">
      <c r="A982" s="204">
        <v>980</v>
      </c>
      <c r="B982" s="208">
        <v>45846</v>
      </c>
      <c r="C982" s="265" t="s">
        <v>829</v>
      </c>
      <c r="D982" s="204">
        <v>2025</v>
      </c>
      <c r="E982" s="209" t="s">
        <v>1431</v>
      </c>
      <c r="F982" s="209" t="s">
        <v>1518</v>
      </c>
      <c r="G982" s="210" t="s">
        <v>88</v>
      </c>
      <c r="H982" s="211" t="s">
        <v>2475</v>
      </c>
      <c r="I982" s="156" t="s">
        <v>26</v>
      </c>
      <c r="J982" s="209" t="s">
        <v>1436</v>
      </c>
      <c r="K982" s="211" t="s">
        <v>1444</v>
      </c>
    </row>
    <row r="983" spans="1:11" ht="33.75">
      <c r="A983" s="204">
        <v>981</v>
      </c>
      <c r="B983" s="205">
        <v>45846</v>
      </c>
      <c r="C983" s="265" t="s">
        <v>829</v>
      </c>
      <c r="D983" s="204">
        <v>2025</v>
      </c>
      <c r="E983" s="204" t="s">
        <v>1431</v>
      </c>
      <c r="F983" s="204" t="s">
        <v>21</v>
      </c>
      <c r="G983" s="213" t="s">
        <v>821</v>
      </c>
      <c r="H983" s="207" t="s">
        <v>2476</v>
      </c>
      <c r="I983" s="156" t="s">
        <v>26</v>
      </c>
      <c r="J983" s="204" t="s">
        <v>1436</v>
      </c>
      <c r="K983" s="207"/>
    </row>
    <row r="984" spans="1:11" ht="150.75">
      <c r="A984" s="204">
        <v>982</v>
      </c>
      <c r="B984" s="208">
        <v>45846</v>
      </c>
      <c r="C984" s="265" t="s">
        <v>829</v>
      </c>
      <c r="D984" s="204">
        <v>2025</v>
      </c>
      <c r="E984" s="209" t="s">
        <v>1431</v>
      </c>
      <c r="F984" s="209" t="s">
        <v>21</v>
      </c>
      <c r="G984" s="213" t="s">
        <v>821</v>
      </c>
      <c r="H984" s="211" t="s">
        <v>2477</v>
      </c>
      <c r="I984" s="156" t="s">
        <v>26</v>
      </c>
      <c r="J984" s="209" t="s">
        <v>1436</v>
      </c>
      <c r="K984" s="211" t="s">
        <v>1513</v>
      </c>
    </row>
    <row r="985" spans="1:11" ht="100.5">
      <c r="A985" s="204">
        <v>983</v>
      </c>
      <c r="B985" s="205">
        <v>45846</v>
      </c>
      <c r="C985" s="265" t="s">
        <v>829</v>
      </c>
      <c r="D985" s="204">
        <v>2025</v>
      </c>
      <c r="E985" s="204" t="s">
        <v>1431</v>
      </c>
      <c r="F985" s="204" t="s">
        <v>21</v>
      </c>
      <c r="G985" s="213" t="s">
        <v>821</v>
      </c>
      <c r="H985" s="207" t="s">
        <v>2478</v>
      </c>
      <c r="I985" s="156" t="s">
        <v>26</v>
      </c>
      <c r="J985" s="204" t="s">
        <v>1436</v>
      </c>
      <c r="K985" s="207" t="s">
        <v>1448</v>
      </c>
    </row>
    <row r="986" spans="1:11" ht="134.25">
      <c r="A986" s="204">
        <v>984</v>
      </c>
      <c r="B986" s="208">
        <v>45846</v>
      </c>
      <c r="C986" s="265" t="s">
        <v>829</v>
      </c>
      <c r="D986" s="204">
        <v>2025</v>
      </c>
      <c r="E986" s="209" t="s">
        <v>1431</v>
      </c>
      <c r="F986" s="209" t="s">
        <v>1580</v>
      </c>
      <c r="G986" s="212" t="s">
        <v>1439</v>
      </c>
      <c r="H986" s="211" t="s">
        <v>2479</v>
      </c>
      <c r="I986" s="156" t="s">
        <v>26</v>
      </c>
      <c r="J986" s="209" t="s">
        <v>1436</v>
      </c>
      <c r="K986" s="211" t="s">
        <v>1442</v>
      </c>
    </row>
    <row r="987" spans="1:11" ht="50.25">
      <c r="A987" s="204">
        <v>985</v>
      </c>
      <c r="B987" s="205">
        <v>45846</v>
      </c>
      <c r="C987" s="265" t="s">
        <v>829</v>
      </c>
      <c r="D987" s="204">
        <v>2025</v>
      </c>
      <c r="E987" s="204" t="s">
        <v>1431</v>
      </c>
      <c r="F987" s="204" t="s">
        <v>216</v>
      </c>
      <c r="G987" s="213" t="s">
        <v>821</v>
      </c>
      <c r="H987" s="207" t="s">
        <v>2480</v>
      </c>
      <c r="I987" s="156" t="s">
        <v>26</v>
      </c>
      <c r="J987" s="204" t="s">
        <v>1436</v>
      </c>
      <c r="K987" s="207"/>
    </row>
    <row r="988" spans="1:11" ht="50.25">
      <c r="A988" s="204">
        <v>986</v>
      </c>
      <c r="B988" s="208">
        <v>45847</v>
      </c>
      <c r="C988" s="265" t="s">
        <v>829</v>
      </c>
      <c r="D988" s="204">
        <v>2025</v>
      </c>
      <c r="E988" s="209" t="s">
        <v>1431</v>
      </c>
      <c r="F988" s="209" t="s">
        <v>216</v>
      </c>
      <c r="G988" s="213" t="s">
        <v>821</v>
      </c>
      <c r="H988" s="211" t="s">
        <v>2481</v>
      </c>
      <c r="I988" s="156" t="s">
        <v>26</v>
      </c>
      <c r="J988" s="209" t="s">
        <v>1436</v>
      </c>
      <c r="K988" s="211"/>
    </row>
    <row r="989" spans="1:11" ht="33.75">
      <c r="A989" s="204">
        <v>987</v>
      </c>
      <c r="B989" s="205">
        <v>45847</v>
      </c>
      <c r="C989" s="265" t="s">
        <v>829</v>
      </c>
      <c r="D989" s="204">
        <v>2025</v>
      </c>
      <c r="E989" s="204" t="s">
        <v>2252</v>
      </c>
      <c r="F989" s="204" t="s">
        <v>216</v>
      </c>
      <c r="G989" s="213" t="s">
        <v>821</v>
      </c>
      <c r="H989" s="207" t="s">
        <v>2482</v>
      </c>
      <c r="I989" s="156" t="s">
        <v>26</v>
      </c>
      <c r="J989" s="204" t="s">
        <v>1436</v>
      </c>
      <c r="K989" s="207"/>
    </row>
    <row r="990" spans="1:11" ht="84">
      <c r="A990" s="204">
        <v>988</v>
      </c>
      <c r="B990" s="208">
        <v>45849</v>
      </c>
      <c r="C990" s="265" t="s">
        <v>829</v>
      </c>
      <c r="D990" s="204">
        <v>2025</v>
      </c>
      <c r="E990" s="209" t="s">
        <v>1431</v>
      </c>
      <c r="F990" s="209" t="s">
        <v>1506</v>
      </c>
      <c r="G990" s="210" t="s">
        <v>88</v>
      </c>
      <c r="H990" s="211" t="s">
        <v>2483</v>
      </c>
      <c r="I990" s="156" t="s">
        <v>26</v>
      </c>
      <c r="J990" s="209" t="s">
        <v>1436</v>
      </c>
      <c r="K990" s="211" t="s">
        <v>1500</v>
      </c>
    </row>
    <row r="991" spans="1:11" ht="84">
      <c r="A991" s="204">
        <v>989</v>
      </c>
      <c r="B991" s="205">
        <v>45849</v>
      </c>
      <c r="C991" s="265" t="s">
        <v>829</v>
      </c>
      <c r="D991" s="204">
        <v>2025</v>
      </c>
      <c r="E991" s="204" t="s">
        <v>1431</v>
      </c>
      <c r="F991" s="204" t="s">
        <v>1506</v>
      </c>
      <c r="G991" s="206" t="s">
        <v>88</v>
      </c>
      <c r="H991" s="207" t="s">
        <v>2484</v>
      </c>
      <c r="I991" s="156" t="s">
        <v>26</v>
      </c>
      <c r="J991" s="204" t="s">
        <v>1436</v>
      </c>
      <c r="K991" s="207" t="s">
        <v>1500</v>
      </c>
    </row>
    <row r="992" spans="1:11" ht="50.25">
      <c r="A992" s="204">
        <v>990</v>
      </c>
      <c r="B992" s="208">
        <v>45850</v>
      </c>
      <c r="C992" s="265" t="s">
        <v>829</v>
      </c>
      <c r="D992" s="204">
        <v>2025</v>
      </c>
      <c r="E992" s="209" t="s">
        <v>1431</v>
      </c>
      <c r="F992" s="209" t="s">
        <v>1506</v>
      </c>
      <c r="G992" s="210" t="s">
        <v>88</v>
      </c>
      <c r="H992" s="211" t="s">
        <v>2485</v>
      </c>
      <c r="I992" s="156" t="s">
        <v>26</v>
      </c>
      <c r="J992" s="209" t="s">
        <v>1436</v>
      </c>
      <c r="K992" s="211"/>
    </row>
    <row r="993" spans="1:11" ht="33.75">
      <c r="A993" s="204">
        <v>991</v>
      </c>
      <c r="B993" s="205">
        <v>45850</v>
      </c>
      <c r="C993" s="265" t="s">
        <v>829</v>
      </c>
      <c r="D993" s="204">
        <v>2025</v>
      </c>
      <c r="E993" s="204" t="s">
        <v>2252</v>
      </c>
      <c r="F993" s="204" t="s">
        <v>216</v>
      </c>
      <c r="G993" s="213" t="s">
        <v>821</v>
      </c>
      <c r="H993" s="207" t="s">
        <v>2486</v>
      </c>
      <c r="I993" s="156" t="s">
        <v>26</v>
      </c>
      <c r="J993" s="204" t="s">
        <v>1436</v>
      </c>
      <c r="K993" s="207"/>
    </row>
    <row r="994" spans="1:11" ht="50.25">
      <c r="A994" s="204">
        <v>992</v>
      </c>
      <c r="B994" s="208">
        <v>45853</v>
      </c>
      <c r="C994" s="265" t="s">
        <v>829</v>
      </c>
      <c r="D994" s="204">
        <v>2025</v>
      </c>
      <c r="E994" s="209" t="s">
        <v>1431</v>
      </c>
      <c r="F994" s="209" t="s">
        <v>1580</v>
      </c>
      <c r="G994" s="212" t="s">
        <v>1439</v>
      </c>
      <c r="H994" s="211" t="s">
        <v>2487</v>
      </c>
      <c r="I994" s="156" t="s">
        <v>26</v>
      </c>
      <c r="J994" s="209" t="s">
        <v>1436</v>
      </c>
      <c r="K994" s="211"/>
    </row>
    <row r="995" spans="1:11" ht="66.75">
      <c r="A995" s="204">
        <v>993</v>
      </c>
      <c r="B995" s="205">
        <v>45853</v>
      </c>
      <c r="C995" s="265" t="s">
        <v>829</v>
      </c>
      <c r="D995" s="204">
        <v>2025</v>
      </c>
      <c r="E995" s="204" t="s">
        <v>1431</v>
      </c>
      <c r="F995" s="204" t="s">
        <v>21</v>
      </c>
      <c r="G995" s="213" t="s">
        <v>821</v>
      </c>
      <c r="H995" s="207" t="s">
        <v>2488</v>
      </c>
      <c r="I995" s="156" t="s">
        <v>26</v>
      </c>
      <c r="J995" s="204" t="s">
        <v>1436</v>
      </c>
      <c r="K995" s="207"/>
    </row>
    <row r="996" spans="1:11" ht="117">
      <c r="A996" s="204">
        <v>994</v>
      </c>
      <c r="B996" s="208">
        <v>45853</v>
      </c>
      <c r="C996" s="265" t="s">
        <v>829</v>
      </c>
      <c r="D996" s="204">
        <v>2025</v>
      </c>
      <c r="E996" s="209" t="s">
        <v>1431</v>
      </c>
      <c r="F996" s="209" t="s">
        <v>1225</v>
      </c>
      <c r="G996" s="217" t="s">
        <v>859</v>
      </c>
      <c r="H996" s="211" t="s">
        <v>2489</v>
      </c>
      <c r="I996" s="156" t="s">
        <v>26</v>
      </c>
      <c r="J996" s="209" t="s">
        <v>1436</v>
      </c>
      <c r="K996" s="211" t="s">
        <v>1451</v>
      </c>
    </row>
    <row r="997" spans="1:11" ht="100.5">
      <c r="A997" s="204">
        <v>995</v>
      </c>
      <c r="B997" s="205">
        <v>45853</v>
      </c>
      <c r="C997" s="265" t="s">
        <v>829</v>
      </c>
      <c r="D997" s="204">
        <v>2025</v>
      </c>
      <c r="E997" s="204" t="s">
        <v>1431</v>
      </c>
      <c r="F997" s="204" t="s">
        <v>324</v>
      </c>
      <c r="G997" s="214" t="s">
        <v>859</v>
      </c>
      <c r="H997" s="207" t="s">
        <v>2490</v>
      </c>
      <c r="I997" s="156" t="s">
        <v>26</v>
      </c>
      <c r="J997" s="204" t="s">
        <v>1436</v>
      </c>
      <c r="K997" s="207"/>
    </row>
    <row r="998" spans="1:11" ht="117">
      <c r="A998" s="204">
        <v>996</v>
      </c>
      <c r="B998" s="208">
        <v>45853</v>
      </c>
      <c r="C998" s="265" t="s">
        <v>829</v>
      </c>
      <c r="D998" s="204">
        <v>2025</v>
      </c>
      <c r="E998" s="209" t="s">
        <v>1431</v>
      </c>
      <c r="F998" s="209" t="s">
        <v>1225</v>
      </c>
      <c r="G998" s="217" t="s">
        <v>859</v>
      </c>
      <c r="H998" s="211" t="s">
        <v>2491</v>
      </c>
      <c r="I998" s="156" t="s">
        <v>26</v>
      </c>
      <c r="J998" s="209" t="s">
        <v>1436</v>
      </c>
      <c r="K998" s="211" t="s">
        <v>1451</v>
      </c>
    </row>
    <row r="999" spans="1:11" ht="117">
      <c r="A999" s="204">
        <v>997</v>
      </c>
      <c r="B999" s="205">
        <v>45854</v>
      </c>
      <c r="C999" s="265" t="s">
        <v>829</v>
      </c>
      <c r="D999" s="204">
        <v>2025</v>
      </c>
      <c r="E999" s="204" t="s">
        <v>1431</v>
      </c>
      <c r="F999" s="204" t="s">
        <v>574</v>
      </c>
      <c r="G999" s="206" t="s">
        <v>88</v>
      </c>
      <c r="H999" s="207" t="s">
        <v>2492</v>
      </c>
      <c r="I999" s="156" t="s">
        <v>26</v>
      </c>
      <c r="J999" s="204" t="s">
        <v>1436</v>
      </c>
      <c r="K999" s="207" t="s">
        <v>1522</v>
      </c>
    </row>
    <row r="1000" spans="1:11" ht="117">
      <c r="A1000" s="204">
        <v>998</v>
      </c>
      <c r="B1000" s="208">
        <v>45854</v>
      </c>
      <c r="C1000" s="265" t="s">
        <v>829</v>
      </c>
      <c r="D1000" s="204">
        <v>2025</v>
      </c>
      <c r="E1000" s="209" t="s">
        <v>1431</v>
      </c>
      <c r="F1000" s="209" t="s">
        <v>21</v>
      </c>
      <c r="G1000" s="213" t="s">
        <v>821</v>
      </c>
      <c r="H1000" s="211" t="s">
        <v>2493</v>
      </c>
      <c r="I1000" s="156" t="s">
        <v>26</v>
      </c>
      <c r="J1000" s="209" t="s">
        <v>1436</v>
      </c>
      <c r="K1000" s="211" t="s">
        <v>1482</v>
      </c>
    </row>
    <row r="1001" spans="1:11" ht="150.75">
      <c r="A1001" s="204">
        <v>999</v>
      </c>
      <c r="B1001" s="205">
        <v>45854</v>
      </c>
      <c r="C1001" s="265" t="s">
        <v>829</v>
      </c>
      <c r="D1001" s="204">
        <v>2025</v>
      </c>
      <c r="E1001" s="204" t="s">
        <v>1431</v>
      </c>
      <c r="F1001" s="204" t="s">
        <v>21</v>
      </c>
      <c r="G1001" s="213" t="s">
        <v>821</v>
      </c>
      <c r="H1001" s="207" t="s">
        <v>2494</v>
      </c>
      <c r="I1001" s="156" t="s">
        <v>26</v>
      </c>
      <c r="J1001" s="204" t="s">
        <v>1436</v>
      </c>
      <c r="K1001" s="207" t="s">
        <v>1513</v>
      </c>
    </row>
    <row r="1002" spans="1:11" ht="50.25">
      <c r="A1002" s="204">
        <v>1000</v>
      </c>
      <c r="B1002" s="208">
        <v>45854</v>
      </c>
      <c r="C1002" s="265" t="s">
        <v>829</v>
      </c>
      <c r="D1002" s="204">
        <v>2025</v>
      </c>
      <c r="E1002" s="209" t="s">
        <v>1431</v>
      </c>
      <c r="F1002" s="209" t="s">
        <v>1225</v>
      </c>
      <c r="G1002" s="217" t="s">
        <v>859</v>
      </c>
      <c r="H1002" s="211" t="s">
        <v>2495</v>
      </c>
      <c r="I1002" s="156" t="s">
        <v>26</v>
      </c>
      <c r="J1002" s="209" t="s">
        <v>1436</v>
      </c>
      <c r="K1002" s="211"/>
    </row>
    <row r="1003" spans="1:11" ht="50.25">
      <c r="A1003" s="204">
        <v>1001</v>
      </c>
      <c r="B1003" s="205">
        <v>45854</v>
      </c>
      <c r="C1003" s="265" t="s">
        <v>829</v>
      </c>
      <c r="D1003" s="204">
        <v>2025</v>
      </c>
      <c r="E1003" s="204" t="s">
        <v>1431</v>
      </c>
      <c r="F1003" s="204" t="s">
        <v>1580</v>
      </c>
      <c r="G1003" s="212" t="s">
        <v>1439</v>
      </c>
      <c r="H1003" s="207" t="s">
        <v>2496</v>
      </c>
      <c r="I1003" s="156" t="s">
        <v>26</v>
      </c>
      <c r="J1003" s="204" t="s">
        <v>1436</v>
      </c>
      <c r="K1003" s="207"/>
    </row>
    <row r="1004" spans="1:11" ht="100.5">
      <c r="A1004" s="204">
        <v>1002</v>
      </c>
      <c r="B1004" s="208">
        <v>45854</v>
      </c>
      <c r="C1004" s="265" t="s">
        <v>829</v>
      </c>
      <c r="D1004" s="204">
        <v>2025</v>
      </c>
      <c r="E1004" s="209" t="s">
        <v>1431</v>
      </c>
      <c r="F1004" s="209" t="s">
        <v>1506</v>
      </c>
      <c r="G1004" s="210" t="s">
        <v>88</v>
      </c>
      <c r="H1004" s="211" t="s">
        <v>2497</v>
      </c>
      <c r="I1004" s="156" t="s">
        <v>26</v>
      </c>
      <c r="J1004" s="209" t="s">
        <v>1436</v>
      </c>
      <c r="K1004" s="211" t="s">
        <v>1472</v>
      </c>
    </row>
    <row r="1005" spans="1:11" ht="50.25">
      <c r="A1005" s="204">
        <v>1003</v>
      </c>
      <c r="B1005" s="205">
        <v>45854</v>
      </c>
      <c r="C1005" s="265" t="s">
        <v>829</v>
      </c>
      <c r="D1005" s="204">
        <v>2025</v>
      </c>
      <c r="E1005" s="204" t="s">
        <v>1431</v>
      </c>
      <c r="F1005" s="204" t="s">
        <v>216</v>
      </c>
      <c r="G1005" s="213" t="s">
        <v>821</v>
      </c>
      <c r="H1005" s="207" t="s">
        <v>2498</v>
      </c>
      <c r="I1005" s="156" t="s">
        <v>26</v>
      </c>
      <c r="J1005" s="204" t="s">
        <v>1436</v>
      </c>
      <c r="K1005" s="207"/>
    </row>
    <row r="1006" spans="1:11" ht="150.75">
      <c r="A1006" s="204">
        <v>1004</v>
      </c>
      <c r="B1006" s="208">
        <v>45854</v>
      </c>
      <c r="C1006" s="265" t="s">
        <v>829</v>
      </c>
      <c r="D1006" s="204">
        <v>2025</v>
      </c>
      <c r="E1006" s="209" t="s">
        <v>1431</v>
      </c>
      <c r="F1006" s="209" t="s">
        <v>21</v>
      </c>
      <c r="G1006" s="213" t="s">
        <v>821</v>
      </c>
      <c r="H1006" s="211" t="s">
        <v>2499</v>
      </c>
      <c r="I1006" s="156" t="s">
        <v>26</v>
      </c>
      <c r="J1006" s="209" t="s">
        <v>1436</v>
      </c>
      <c r="K1006" s="211" t="s">
        <v>1513</v>
      </c>
    </row>
    <row r="1007" spans="1:11" ht="50.25">
      <c r="A1007" s="204">
        <v>1005</v>
      </c>
      <c r="B1007" s="205">
        <v>45855</v>
      </c>
      <c r="C1007" s="265" t="s">
        <v>829</v>
      </c>
      <c r="D1007" s="204">
        <v>2025</v>
      </c>
      <c r="E1007" s="204" t="s">
        <v>1431</v>
      </c>
      <c r="F1007" s="204" t="s">
        <v>1580</v>
      </c>
      <c r="G1007" s="212" t="s">
        <v>1439</v>
      </c>
      <c r="H1007" s="207" t="s">
        <v>2500</v>
      </c>
      <c r="I1007" s="156" t="s">
        <v>26</v>
      </c>
      <c r="J1007" s="204" t="s">
        <v>2501</v>
      </c>
      <c r="K1007" s="207"/>
    </row>
    <row r="1008" spans="1:11" ht="33.75">
      <c r="A1008" s="204">
        <v>1006</v>
      </c>
      <c r="B1008" s="208">
        <v>45856</v>
      </c>
      <c r="C1008" s="265" t="s">
        <v>829</v>
      </c>
      <c r="D1008" s="204">
        <v>2025</v>
      </c>
      <c r="E1008" s="209" t="s">
        <v>1431</v>
      </c>
      <c r="F1008" s="209" t="s">
        <v>21</v>
      </c>
      <c r="G1008" s="213" t="s">
        <v>821</v>
      </c>
      <c r="H1008" s="211" t="s">
        <v>2502</v>
      </c>
      <c r="I1008" s="156" t="s">
        <v>26</v>
      </c>
      <c r="J1008" s="209" t="s">
        <v>1436</v>
      </c>
      <c r="K1008" s="211"/>
    </row>
    <row r="1009" spans="1:11" ht="50.25">
      <c r="A1009" s="204">
        <v>1007</v>
      </c>
      <c r="B1009" s="205">
        <v>45859</v>
      </c>
      <c r="C1009" s="265" t="s">
        <v>829</v>
      </c>
      <c r="D1009" s="204">
        <v>2025</v>
      </c>
      <c r="E1009" s="204" t="s">
        <v>1431</v>
      </c>
      <c r="F1009" s="204" t="s">
        <v>21</v>
      </c>
      <c r="G1009" s="213" t="s">
        <v>821</v>
      </c>
      <c r="H1009" s="207" t="s">
        <v>2503</v>
      </c>
      <c r="I1009" s="156" t="s">
        <v>26</v>
      </c>
      <c r="J1009" s="204" t="s">
        <v>1436</v>
      </c>
      <c r="K1009" s="207"/>
    </row>
    <row r="1010" spans="1:11" ht="84">
      <c r="A1010" s="204">
        <v>1008</v>
      </c>
      <c r="B1010" s="208">
        <v>45860</v>
      </c>
      <c r="C1010" s="265" t="s">
        <v>829</v>
      </c>
      <c r="D1010" s="204">
        <v>2025</v>
      </c>
      <c r="E1010" s="209" t="s">
        <v>1431</v>
      </c>
      <c r="F1010" s="209" t="s">
        <v>988</v>
      </c>
      <c r="G1010" s="210" t="s">
        <v>88</v>
      </c>
      <c r="H1010" s="211" t="s">
        <v>2504</v>
      </c>
      <c r="I1010" s="156" t="s">
        <v>26</v>
      </c>
      <c r="J1010" s="209" t="s">
        <v>1436</v>
      </c>
      <c r="K1010" s="211" t="s">
        <v>1500</v>
      </c>
    </row>
    <row r="1011" spans="1:11" ht="84">
      <c r="A1011" s="204">
        <v>1009</v>
      </c>
      <c r="B1011" s="205">
        <v>45860</v>
      </c>
      <c r="C1011" s="265" t="s">
        <v>829</v>
      </c>
      <c r="D1011" s="204">
        <v>2025</v>
      </c>
      <c r="E1011" s="204" t="s">
        <v>1431</v>
      </c>
      <c r="F1011" s="204" t="s">
        <v>988</v>
      </c>
      <c r="G1011" s="206" t="s">
        <v>88</v>
      </c>
      <c r="H1011" s="207" t="s">
        <v>2505</v>
      </c>
      <c r="I1011" s="156" t="s">
        <v>26</v>
      </c>
      <c r="J1011" s="204" t="s">
        <v>1436</v>
      </c>
      <c r="K1011" s="207"/>
    </row>
    <row r="1012" spans="1:11" ht="117">
      <c r="A1012" s="204">
        <v>1010</v>
      </c>
      <c r="B1012" s="208">
        <v>45860</v>
      </c>
      <c r="C1012" s="265" t="s">
        <v>829</v>
      </c>
      <c r="D1012" s="204">
        <v>2025</v>
      </c>
      <c r="E1012" s="209" t="s">
        <v>1431</v>
      </c>
      <c r="F1012" s="209" t="s">
        <v>1434</v>
      </c>
      <c r="G1012" s="210" t="s">
        <v>88</v>
      </c>
      <c r="H1012" s="211" t="s">
        <v>2506</v>
      </c>
      <c r="I1012" s="156" t="s">
        <v>26</v>
      </c>
      <c r="J1012" s="209" t="s">
        <v>1436</v>
      </c>
      <c r="K1012" s="211" t="s">
        <v>1437</v>
      </c>
    </row>
    <row r="1013" spans="1:11" ht="150.75">
      <c r="A1013" s="204">
        <v>1011</v>
      </c>
      <c r="B1013" s="205">
        <v>45861</v>
      </c>
      <c r="C1013" s="265" t="s">
        <v>829</v>
      </c>
      <c r="D1013" s="204">
        <v>2025</v>
      </c>
      <c r="E1013" s="204" t="s">
        <v>2224</v>
      </c>
      <c r="F1013" s="204" t="s">
        <v>21</v>
      </c>
      <c r="G1013" s="213" t="s">
        <v>821</v>
      </c>
      <c r="H1013" s="207" t="s">
        <v>2507</v>
      </c>
      <c r="I1013" s="156" t="s">
        <v>26</v>
      </c>
      <c r="J1013" s="204" t="s">
        <v>1436</v>
      </c>
      <c r="K1013" s="207" t="s">
        <v>1513</v>
      </c>
    </row>
    <row r="1014" spans="1:11" ht="50.25">
      <c r="A1014" s="204">
        <v>1012</v>
      </c>
      <c r="B1014" s="208">
        <v>45862</v>
      </c>
      <c r="C1014" s="265" t="s">
        <v>829</v>
      </c>
      <c r="D1014" s="204">
        <v>2025</v>
      </c>
      <c r="E1014" s="209" t="s">
        <v>1431</v>
      </c>
      <c r="F1014" s="209" t="s">
        <v>2508</v>
      </c>
      <c r="G1014" s="213" t="s">
        <v>821</v>
      </c>
      <c r="H1014" s="211" t="s">
        <v>2509</v>
      </c>
      <c r="I1014" s="156" t="s">
        <v>26</v>
      </c>
      <c r="J1014" s="209" t="s">
        <v>1436</v>
      </c>
      <c r="K1014" s="211"/>
    </row>
    <row r="1015" spans="1:11" ht="100.5">
      <c r="A1015" s="204">
        <v>1013</v>
      </c>
      <c r="B1015" s="205">
        <v>45862</v>
      </c>
      <c r="C1015" s="265" t="s">
        <v>829</v>
      </c>
      <c r="D1015" s="204">
        <v>2025</v>
      </c>
      <c r="E1015" s="204" t="s">
        <v>1431</v>
      </c>
      <c r="F1015" s="204" t="s">
        <v>1560</v>
      </c>
      <c r="G1015" s="214" t="s">
        <v>859</v>
      </c>
      <c r="H1015" s="207" t="s">
        <v>2510</v>
      </c>
      <c r="I1015" s="156" t="s">
        <v>26</v>
      </c>
      <c r="J1015" s="204" t="s">
        <v>1436</v>
      </c>
      <c r="K1015" s="207" t="s">
        <v>1476</v>
      </c>
    </row>
    <row r="1016" spans="1:11" ht="84">
      <c r="A1016" s="204">
        <v>1014</v>
      </c>
      <c r="B1016" s="208">
        <v>45862</v>
      </c>
      <c r="C1016" s="265" t="s">
        <v>829</v>
      </c>
      <c r="D1016" s="204">
        <v>2025</v>
      </c>
      <c r="E1016" s="209" t="s">
        <v>1431</v>
      </c>
      <c r="F1016" s="209" t="s">
        <v>1518</v>
      </c>
      <c r="G1016" s="210" t="s">
        <v>88</v>
      </c>
      <c r="H1016" s="211" t="s">
        <v>2511</v>
      </c>
      <c r="I1016" s="156" t="s">
        <v>26</v>
      </c>
      <c r="J1016" s="209" t="s">
        <v>1436</v>
      </c>
      <c r="K1016" s="211" t="s">
        <v>1444</v>
      </c>
    </row>
    <row r="1017" spans="1:11" ht="150.75">
      <c r="A1017" s="204">
        <v>1015</v>
      </c>
      <c r="B1017" s="205">
        <v>45862</v>
      </c>
      <c r="C1017" s="265" t="s">
        <v>829</v>
      </c>
      <c r="D1017" s="204">
        <v>2025</v>
      </c>
      <c r="E1017" s="204" t="s">
        <v>1431</v>
      </c>
      <c r="F1017" s="204" t="s">
        <v>21</v>
      </c>
      <c r="G1017" s="213" t="s">
        <v>821</v>
      </c>
      <c r="H1017" s="207" t="s">
        <v>2512</v>
      </c>
      <c r="I1017" s="156" t="s">
        <v>26</v>
      </c>
      <c r="J1017" s="204" t="s">
        <v>1436</v>
      </c>
      <c r="K1017" s="207" t="s">
        <v>1513</v>
      </c>
    </row>
    <row r="1018" spans="1:11" ht="84">
      <c r="A1018" s="204">
        <v>1016</v>
      </c>
      <c r="B1018" s="208">
        <v>45862</v>
      </c>
      <c r="C1018" s="265" t="s">
        <v>829</v>
      </c>
      <c r="D1018" s="204">
        <v>2025</v>
      </c>
      <c r="E1018" s="209" t="s">
        <v>1431</v>
      </c>
      <c r="F1018" s="209" t="s">
        <v>1518</v>
      </c>
      <c r="G1018" s="210" t="s">
        <v>88</v>
      </c>
      <c r="H1018" s="211" t="s">
        <v>2513</v>
      </c>
      <c r="I1018" s="156" t="s">
        <v>26</v>
      </c>
      <c r="J1018" s="209" t="s">
        <v>1436</v>
      </c>
      <c r="K1018" s="211" t="s">
        <v>1444</v>
      </c>
    </row>
    <row r="1019" spans="1:11" ht="100.5">
      <c r="A1019" s="204">
        <v>1017</v>
      </c>
      <c r="B1019" s="205">
        <v>45862</v>
      </c>
      <c r="C1019" s="265" t="s">
        <v>829</v>
      </c>
      <c r="D1019" s="204">
        <v>2025</v>
      </c>
      <c r="E1019" s="204" t="s">
        <v>1431</v>
      </c>
      <c r="F1019" s="204" t="s">
        <v>1225</v>
      </c>
      <c r="G1019" s="214" t="s">
        <v>859</v>
      </c>
      <c r="H1019" s="207" t="s">
        <v>2514</v>
      </c>
      <c r="I1019" s="156" t="s">
        <v>26</v>
      </c>
      <c r="J1019" s="204" t="s">
        <v>1436</v>
      </c>
      <c r="K1019" s="207" t="s">
        <v>1476</v>
      </c>
    </row>
    <row r="1020" spans="1:11" ht="134.25">
      <c r="A1020" s="204">
        <v>1018</v>
      </c>
      <c r="B1020" s="208">
        <v>45862</v>
      </c>
      <c r="C1020" s="265" t="s">
        <v>829</v>
      </c>
      <c r="D1020" s="204">
        <v>2025</v>
      </c>
      <c r="E1020" s="209" t="s">
        <v>1431</v>
      </c>
      <c r="F1020" s="209" t="s">
        <v>1608</v>
      </c>
      <c r="G1020" s="212" t="s">
        <v>1439</v>
      </c>
      <c r="H1020" s="211" t="s">
        <v>2515</v>
      </c>
      <c r="I1020" s="156" t="s">
        <v>26</v>
      </c>
      <c r="J1020" s="209" t="s">
        <v>1436</v>
      </c>
      <c r="K1020" s="211" t="s">
        <v>1442</v>
      </c>
    </row>
    <row r="1021" spans="1:11" ht="50.25">
      <c r="A1021" s="204">
        <v>1019</v>
      </c>
      <c r="B1021" s="205">
        <v>45862</v>
      </c>
      <c r="C1021" s="265" t="s">
        <v>829</v>
      </c>
      <c r="D1021" s="204">
        <v>2025</v>
      </c>
      <c r="E1021" s="204" t="s">
        <v>2224</v>
      </c>
      <c r="F1021" s="204" t="s">
        <v>216</v>
      </c>
      <c r="G1021" s="213" t="s">
        <v>821</v>
      </c>
      <c r="H1021" s="207" t="s">
        <v>2516</v>
      </c>
      <c r="I1021" s="156" t="s">
        <v>26</v>
      </c>
      <c r="J1021" s="204" t="s">
        <v>1436</v>
      </c>
      <c r="K1021" s="207"/>
    </row>
    <row r="1022" spans="1:11" ht="33.75">
      <c r="A1022" s="204">
        <v>1020</v>
      </c>
      <c r="B1022" s="208">
        <v>45862</v>
      </c>
      <c r="C1022" s="265" t="s">
        <v>829</v>
      </c>
      <c r="D1022" s="204">
        <v>2025</v>
      </c>
      <c r="E1022" s="209" t="s">
        <v>1431</v>
      </c>
      <c r="F1022" s="209" t="s">
        <v>216</v>
      </c>
      <c r="G1022" s="213" t="s">
        <v>821</v>
      </c>
      <c r="H1022" s="211" t="s">
        <v>2517</v>
      </c>
      <c r="I1022" s="156" t="s">
        <v>26</v>
      </c>
      <c r="J1022" s="209" t="s">
        <v>1436</v>
      </c>
      <c r="K1022" s="211"/>
    </row>
    <row r="1023" spans="1:11" ht="150.75">
      <c r="A1023" s="204">
        <v>1021</v>
      </c>
      <c r="B1023" s="205">
        <v>45863</v>
      </c>
      <c r="C1023" s="265" t="s">
        <v>829</v>
      </c>
      <c r="D1023" s="204">
        <v>2025</v>
      </c>
      <c r="E1023" s="204" t="s">
        <v>1431</v>
      </c>
      <c r="F1023" s="204" t="s">
        <v>2192</v>
      </c>
      <c r="G1023" s="213" t="s">
        <v>821</v>
      </c>
      <c r="H1023" s="207" t="s">
        <v>2518</v>
      </c>
      <c r="I1023" s="156" t="s">
        <v>26</v>
      </c>
      <c r="J1023" s="204" t="s">
        <v>59</v>
      </c>
      <c r="K1023" s="207" t="s">
        <v>1513</v>
      </c>
    </row>
    <row r="1024" spans="1:11" ht="84">
      <c r="A1024" s="204">
        <v>1022</v>
      </c>
      <c r="B1024" s="208">
        <v>45863</v>
      </c>
      <c r="C1024" s="265" t="s">
        <v>829</v>
      </c>
      <c r="D1024" s="204">
        <v>2025</v>
      </c>
      <c r="E1024" s="209" t="s">
        <v>1431</v>
      </c>
      <c r="F1024" s="209" t="s">
        <v>2519</v>
      </c>
      <c r="G1024" s="210" t="s">
        <v>88</v>
      </c>
      <c r="H1024" s="211" t="s">
        <v>2520</v>
      </c>
      <c r="I1024" s="156" t="s">
        <v>26</v>
      </c>
      <c r="J1024" s="209" t="s">
        <v>1436</v>
      </c>
      <c r="K1024" s="211"/>
    </row>
    <row r="1025" spans="1:11" ht="66.75">
      <c r="A1025" s="204">
        <v>1023</v>
      </c>
      <c r="B1025" s="205">
        <v>45863</v>
      </c>
      <c r="C1025" s="265" t="s">
        <v>829</v>
      </c>
      <c r="D1025" s="204">
        <v>2025</v>
      </c>
      <c r="E1025" s="204" t="s">
        <v>1431</v>
      </c>
      <c r="F1025" s="204" t="s">
        <v>1518</v>
      </c>
      <c r="G1025" s="206" t="s">
        <v>88</v>
      </c>
      <c r="H1025" s="207" t="s">
        <v>2521</v>
      </c>
      <c r="I1025" s="156" t="s">
        <v>26</v>
      </c>
      <c r="J1025" s="204" t="s">
        <v>1493</v>
      </c>
      <c r="K1025" s="207"/>
    </row>
    <row r="1026" spans="1:11" ht="33.75">
      <c r="A1026" s="204">
        <v>1024</v>
      </c>
      <c r="B1026" s="208">
        <v>45863</v>
      </c>
      <c r="C1026" s="265" t="s">
        <v>829</v>
      </c>
      <c r="D1026" s="204">
        <v>2025</v>
      </c>
      <c r="E1026" s="209" t="s">
        <v>1431</v>
      </c>
      <c r="F1026" s="209" t="s">
        <v>21</v>
      </c>
      <c r="G1026" s="213" t="s">
        <v>821</v>
      </c>
      <c r="H1026" s="211" t="s">
        <v>2522</v>
      </c>
      <c r="I1026" s="156" t="s">
        <v>26</v>
      </c>
      <c r="J1026" s="209" t="s">
        <v>1436</v>
      </c>
      <c r="K1026" s="211"/>
    </row>
    <row r="1027" spans="1:11" ht="50.25">
      <c r="A1027" s="204">
        <v>1025</v>
      </c>
      <c r="B1027" s="205">
        <v>45863</v>
      </c>
      <c r="C1027" s="265" t="s">
        <v>829</v>
      </c>
      <c r="D1027" s="204">
        <v>2025</v>
      </c>
      <c r="E1027" s="204" t="s">
        <v>1431</v>
      </c>
      <c r="F1027" s="204" t="s">
        <v>21</v>
      </c>
      <c r="G1027" s="213" t="s">
        <v>821</v>
      </c>
      <c r="H1027" s="207" t="s">
        <v>2523</v>
      </c>
      <c r="I1027" s="156" t="s">
        <v>26</v>
      </c>
      <c r="J1027" s="204" t="s">
        <v>59</v>
      </c>
      <c r="K1027" s="207"/>
    </row>
    <row r="1028" spans="1:11" ht="84">
      <c r="A1028" s="204">
        <v>1026</v>
      </c>
      <c r="B1028" s="208">
        <v>45863</v>
      </c>
      <c r="C1028" s="265" t="s">
        <v>829</v>
      </c>
      <c r="D1028" s="204">
        <v>2025</v>
      </c>
      <c r="E1028" s="209" t="s">
        <v>1431</v>
      </c>
      <c r="F1028" s="209" t="s">
        <v>1225</v>
      </c>
      <c r="G1028" s="217" t="s">
        <v>859</v>
      </c>
      <c r="H1028" s="211" t="s">
        <v>2524</v>
      </c>
      <c r="I1028" s="156" t="s">
        <v>26</v>
      </c>
      <c r="J1028" s="209" t="s">
        <v>2525</v>
      </c>
      <c r="K1028" s="211"/>
    </row>
    <row r="1029" spans="1:11" ht="50.25">
      <c r="A1029" s="204">
        <v>1027</v>
      </c>
      <c r="B1029" s="205">
        <v>45866</v>
      </c>
      <c r="C1029" s="265" t="s">
        <v>829</v>
      </c>
      <c r="D1029" s="204">
        <v>2025</v>
      </c>
      <c r="E1029" s="204" t="s">
        <v>1431</v>
      </c>
      <c r="F1029" s="204" t="s">
        <v>21</v>
      </c>
      <c r="G1029" s="213" t="s">
        <v>821</v>
      </c>
      <c r="H1029" s="207" t="s">
        <v>2526</v>
      </c>
      <c r="I1029" s="156" t="s">
        <v>26</v>
      </c>
      <c r="J1029" s="204" t="s">
        <v>1436</v>
      </c>
      <c r="K1029" s="207"/>
    </row>
    <row r="1030" spans="1:11" ht="50.25">
      <c r="A1030" s="204">
        <v>1028</v>
      </c>
      <c r="B1030" s="208">
        <v>45866</v>
      </c>
      <c r="C1030" s="265" t="s">
        <v>829</v>
      </c>
      <c r="D1030" s="204">
        <v>2025</v>
      </c>
      <c r="E1030" s="209" t="s">
        <v>1431</v>
      </c>
      <c r="F1030" s="209" t="s">
        <v>1436</v>
      </c>
      <c r="G1030" s="217" t="s">
        <v>859</v>
      </c>
      <c r="H1030" s="211" t="s">
        <v>2527</v>
      </c>
      <c r="I1030" s="156" t="s">
        <v>26</v>
      </c>
      <c r="J1030" s="209" t="s">
        <v>1436</v>
      </c>
      <c r="K1030" s="211"/>
    </row>
    <row r="1031" spans="1:11" ht="134.25">
      <c r="A1031" s="204">
        <v>1029</v>
      </c>
      <c r="B1031" s="205">
        <v>45866</v>
      </c>
      <c r="C1031" s="265" t="s">
        <v>829</v>
      </c>
      <c r="D1031" s="204">
        <v>2025</v>
      </c>
      <c r="E1031" s="204" t="s">
        <v>1431</v>
      </c>
      <c r="F1031" s="204" t="s">
        <v>1580</v>
      </c>
      <c r="G1031" s="212" t="s">
        <v>1439</v>
      </c>
      <c r="H1031" s="207" t="s">
        <v>2528</v>
      </c>
      <c r="I1031" s="156" t="s">
        <v>26</v>
      </c>
      <c r="J1031" s="204" t="s">
        <v>1436</v>
      </c>
      <c r="K1031" s="207" t="s">
        <v>1442</v>
      </c>
    </row>
    <row r="1032" spans="1:11" ht="66.75">
      <c r="A1032" s="204">
        <v>1030</v>
      </c>
      <c r="B1032" s="208">
        <v>45866</v>
      </c>
      <c r="C1032" s="265" t="s">
        <v>829</v>
      </c>
      <c r="D1032" s="204">
        <v>2025</v>
      </c>
      <c r="E1032" s="209" t="s">
        <v>1431</v>
      </c>
      <c r="F1032" s="209" t="s">
        <v>988</v>
      </c>
      <c r="G1032" s="210" t="s">
        <v>88</v>
      </c>
      <c r="H1032" s="211" t="s">
        <v>2529</v>
      </c>
      <c r="I1032" s="156" t="s">
        <v>26</v>
      </c>
      <c r="J1032" s="209" t="s">
        <v>1436</v>
      </c>
      <c r="K1032" s="211"/>
    </row>
    <row r="1033" spans="1:11" ht="84">
      <c r="A1033" s="204">
        <v>1031</v>
      </c>
      <c r="B1033" s="205">
        <v>45866</v>
      </c>
      <c r="C1033" s="265" t="s">
        <v>829</v>
      </c>
      <c r="D1033" s="204">
        <v>2025</v>
      </c>
      <c r="E1033" s="204" t="s">
        <v>1431</v>
      </c>
      <c r="F1033" s="204" t="s">
        <v>2530</v>
      </c>
      <c r="G1033" s="206" t="s">
        <v>88</v>
      </c>
      <c r="H1033" s="207" t="s">
        <v>2531</v>
      </c>
      <c r="I1033" s="156" t="s">
        <v>26</v>
      </c>
      <c r="J1033" s="204" t="s">
        <v>1436</v>
      </c>
      <c r="K1033" s="207" t="s">
        <v>1605</v>
      </c>
    </row>
    <row r="1034" spans="1:11" ht="134.25">
      <c r="A1034" s="204">
        <v>1032</v>
      </c>
      <c r="B1034" s="208">
        <v>45866</v>
      </c>
      <c r="C1034" s="265" t="s">
        <v>829</v>
      </c>
      <c r="D1034" s="204">
        <v>2025</v>
      </c>
      <c r="E1034" s="209" t="s">
        <v>1431</v>
      </c>
      <c r="F1034" s="209" t="s">
        <v>1580</v>
      </c>
      <c r="G1034" s="212" t="s">
        <v>1439</v>
      </c>
      <c r="H1034" s="211" t="s">
        <v>2532</v>
      </c>
      <c r="I1034" s="156" t="s">
        <v>26</v>
      </c>
      <c r="J1034" s="209" t="s">
        <v>1436</v>
      </c>
      <c r="K1034" s="211" t="s">
        <v>1442</v>
      </c>
    </row>
    <row r="1035" spans="1:11" ht="33.75">
      <c r="A1035" s="204">
        <v>1033</v>
      </c>
      <c r="B1035" s="205">
        <v>45866</v>
      </c>
      <c r="C1035" s="265" t="s">
        <v>829</v>
      </c>
      <c r="D1035" s="204">
        <v>2025</v>
      </c>
      <c r="E1035" s="204" t="s">
        <v>1431</v>
      </c>
      <c r="F1035" s="204" t="s">
        <v>216</v>
      </c>
      <c r="G1035" s="213" t="s">
        <v>821</v>
      </c>
      <c r="H1035" s="207" t="s">
        <v>2533</v>
      </c>
      <c r="I1035" s="156" t="s">
        <v>26</v>
      </c>
      <c r="J1035" s="204" t="s">
        <v>1436</v>
      </c>
      <c r="K1035" s="207"/>
    </row>
    <row r="1036" spans="1:11" ht="50.25">
      <c r="A1036" s="204">
        <v>1034</v>
      </c>
      <c r="B1036" s="208">
        <v>45866</v>
      </c>
      <c r="C1036" s="265" t="s">
        <v>829</v>
      </c>
      <c r="D1036" s="204">
        <v>2025</v>
      </c>
      <c r="E1036" s="209" t="s">
        <v>1431</v>
      </c>
      <c r="F1036" s="209" t="s">
        <v>216</v>
      </c>
      <c r="G1036" s="213" t="s">
        <v>821</v>
      </c>
      <c r="H1036" s="211" t="s">
        <v>2534</v>
      </c>
      <c r="I1036" s="156" t="s">
        <v>26</v>
      </c>
      <c r="J1036" s="209" t="s">
        <v>1436</v>
      </c>
      <c r="K1036" s="211"/>
    </row>
    <row r="1037" spans="1:11" ht="100.5">
      <c r="A1037" s="204">
        <v>1035</v>
      </c>
      <c r="B1037" s="205">
        <v>45866</v>
      </c>
      <c r="C1037" s="265" t="s">
        <v>829</v>
      </c>
      <c r="D1037" s="204">
        <v>2025</v>
      </c>
      <c r="E1037" s="204" t="s">
        <v>1431</v>
      </c>
      <c r="F1037" s="204" t="s">
        <v>2535</v>
      </c>
      <c r="G1037" s="206" t="s">
        <v>88</v>
      </c>
      <c r="H1037" s="207" t="s">
        <v>2536</v>
      </c>
      <c r="I1037" s="156" t="s">
        <v>26</v>
      </c>
      <c r="J1037" s="204" t="s">
        <v>1436</v>
      </c>
      <c r="K1037" s="207" t="s">
        <v>1472</v>
      </c>
    </row>
    <row r="1038" spans="1:11" ht="150.75">
      <c r="A1038" s="204">
        <v>1036</v>
      </c>
      <c r="B1038" s="208">
        <v>45866</v>
      </c>
      <c r="C1038" s="265" t="s">
        <v>829</v>
      </c>
      <c r="D1038" s="204">
        <v>2025</v>
      </c>
      <c r="E1038" s="209" t="s">
        <v>1431</v>
      </c>
      <c r="F1038" s="209" t="s">
        <v>216</v>
      </c>
      <c r="G1038" s="213" t="s">
        <v>821</v>
      </c>
      <c r="H1038" s="211" t="s">
        <v>2537</v>
      </c>
      <c r="I1038" s="156" t="s">
        <v>26</v>
      </c>
      <c r="J1038" s="209" t="s">
        <v>1436</v>
      </c>
      <c r="K1038" s="211" t="s">
        <v>1513</v>
      </c>
    </row>
    <row r="1039" spans="1:11" ht="66.75">
      <c r="A1039" s="204">
        <v>1037</v>
      </c>
      <c r="B1039" s="205">
        <v>45867</v>
      </c>
      <c r="C1039" s="265" t="s">
        <v>829</v>
      </c>
      <c r="D1039" s="204">
        <v>2025</v>
      </c>
      <c r="E1039" s="204" t="s">
        <v>1431</v>
      </c>
      <c r="F1039" s="204" t="s">
        <v>216</v>
      </c>
      <c r="G1039" s="213" t="s">
        <v>821</v>
      </c>
      <c r="H1039" s="207" t="s">
        <v>2538</v>
      </c>
      <c r="I1039" s="156" t="s">
        <v>26</v>
      </c>
      <c r="J1039" s="204" t="s">
        <v>1436</v>
      </c>
      <c r="K1039" s="207"/>
    </row>
    <row r="1040" spans="1:11" ht="150.75">
      <c r="A1040" s="204">
        <v>1038</v>
      </c>
      <c r="B1040" s="208">
        <v>45867</v>
      </c>
      <c r="C1040" s="265" t="s">
        <v>829</v>
      </c>
      <c r="D1040" s="204">
        <v>2025</v>
      </c>
      <c r="E1040" s="209" t="s">
        <v>1431</v>
      </c>
      <c r="F1040" s="209" t="s">
        <v>21</v>
      </c>
      <c r="G1040" s="213" t="s">
        <v>821</v>
      </c>
      <c r="H1040" s="211" t="s">
        <v>2539</v>
      </c>
      <c r="I1040" s="156" t="s">
        <v>26</v>
      </c>
      <c r="J1040" s="209" t="s">
        <v>1436</v>
      </c>
      <c r="K1040" s="211" t="s">
        <v>1513</v>
      </c>
    </row>
    <row r="1041" spans="1:11" ht="100.5">
      <c r="A1041" s="204">
        <v>1039</v>
      </c>
      <c r="B1041" s="205">
        <v>45867</v>
      </c>
      <c r="C1041" s="265" t="s">
        <v>829</v>
      </c>
      <c r="D1041" s="204">
        <v>2025</v>
      </c>
      <c r="E1041" s="204" t="s">
        <v>1431</v>
      </c>
      <c r="F1041" s="204" t="s">
        <v>1566</v>
      </c>
      <c r="G1041" s="214" t="s">
        <v>859</v>
      </c>
      <c r="H1041" s="207" t="s">
        <v>2540</v>
      </c>
      <c r="I1041" s="156" t="s">
        <v>26</v>
      </c>
      <c r="J1041" s="204" t="s">
        <v>1436</v>
      </c>
      <c r="K1041" s="207" t="s">
        <v>1476</v>
      </c>
    </row>
    <row r="1042" spans="1:11" ht="100.5">
      <c r="A1042" s="204">
        <v>1040</v>
      </c>
      <c r="B1042" s="208">
        <v>45867</v>
      </c>
      <c r="C1042" s="265" t="s">
        <v>829</v>
      </c>
      <c r="D1042" s="204">
        <v>2025</v>
      </c>
      <c r="E1042" s="209" t="s">
        <v>1431</v>
      </c>
      <c r="F1042" s="209" t="s">
        <v>2541</v>
      </c>
      <c r="G1042" s="212" t="s">
        <v>1439</v>
      </c>
      <c r="H1042" s="211" t="s">
        <v>2542</v>
      </c>
      <c r="I1042" s="156" t="s">
        <v>26</v>
      </c>
      <c r="J1042" s="209" t="s">
        <v>1436</v>
      </c>
      <c r="K1042" s="211" t="s">
        <v>1582</v>
      </c>
    </row>
    <row r="1043" spans="1:11" ht="150.75">
      <c r="A1043" s="204">
        <v>1041</v>
      </c>
      <c r="B1043" s="205">
        <v>45867</v>
      </c>
      <c r="C1043" s="265" t="s">
        <v>829</v>
      </c>
      <c r="D1043" s="204">
        <v>2025</v>
      </c>
      <c r="E1043" s="204" t="s">
        <v>1431</v>
      </c>
      <c r="F1043" s="204" t="s">
        <v>21</v>
      </c>
      <c r="G1043" s="213" t="s">
        <v>821</v>
      </c>
      <c r="H1043" s="207" t="s">
        <v>2543</v>
      </c>
      <c r="I1043" s="156" t="s">
        <v>26</v>
      </c>
      <c r="J1043" s="204" t="s">
        <v>1436</v>
      </c>
      <c r="K1043" s="207" t="s">
        <v>1513</v>
      </c>
    </row>
    <row r="1044" spans="1:11" ht="50.25">
      <c r="A1044" s="204">
        <v>1042</v>
      </c>
      <c r="B1044" s="208">
        <v>45867</v>
      </c>
      <c r="C1044" s="265" t="s">
        <v>829</v>
      </c>
      <c r="D1044" s="204">
        <v>2025</v>
      </c>
      <c r="E1044" s="209" t="s">
        <v>1431</v>
      </c>
      <c r="F1044" s="209" t="s">
        <v>988</v>
      </c>
      <c r="G1044" s="210" t="s">
        <v>88</v>
      </c>
      <c r="H1044" s="211" t="s">
        <v>2544</v>
      </c>
      <c r="I1044" s="156" t="s">
        <v>26</v>
      </c>
      <c r="J1044" s="209" t="s">
        <v>1436</v>
      </c>
      <c r="K1044" s="211"/>
    </row>
    <row r="1045" spans="1:11" ht="150.75">
      <c r="A1045" s="204">
        <v>1043</v>
      </c>
      <c r="B1045" s="205">
        <v>45867</v>
      </c>
      <c r="C1045" s="265" t="s">
        <v>829</v>
      </c>
      <c r="D1045" s="204">
        <v>2025</v>
      </c>
      <c r="E1045" s="204" t="s">
        <v>2224</v>
      </c>
      <c r="F1045" s="204" t="s">
        <v>21</v>
      </c>
      <c r="G1045" s="213" t="s">
        <v>821</v>
      </c>
      <c r="H1045" s="207" t="s">
        <v>2545</v>
      </c>
      <c r="I1045" s="156" t="s">
        <v>26</v>
      </c>
      <c r="J1045" s="204" t="s">
        <v>1436</v>
      </c>
      <c r="K1045" s="207" t="s">
        <v>1513</v>
      </c>
    </row>
    <row r="1046" spans="1:11" ht="134.25">
      <c r="A1046" s="204">
        <v>1044</v>
      </c>
      <c r="B1046" s="208">
        <v>45868</v>
      </c>
      <c r="C1046" s="265" t="s">
        <v>829</v>
      </c>
      <c r="D1046" s="204">
        <v>2025</v>
      </c>
      <c r="E1046" s="209" t="s">
        <v>1431</v>
      </c>
      <c r="F1046" s="209" t="s">
        <v>1436</v>
      </c>
      <c r="G1046" s="212" t="s">
        <v>1439</v>
      </c>
      <c r="H1046" s="211" t="s">
        <v>2546</v>
      </c>
      <c r="I1046" s="156" t="s">
        <v>26</v>
      </c>
      <c r="J1046" s="209" t="s">
        <v>1436</v>
      </c>
      <c r="K1046" s="211" t="s">
        <v>1442</v>
      </c>
    </row>
    <row r="1047" spans="1:11" ht="134.25">
      <c r="A1047" s="204">
        <v>1045</v>
      </c>
      <c r="B1047" s="205">
        <v>45868</v>
      </c>
      <c r="C1047" s="265" t="s">
        <v>829</v>
      </c>
      <c r="D1047" s="204">
        <v>2025</v>
      </c>
      <c r="E1047" s="204" t="s">
        <v>1431</v>
      </c>
      <c r="F1047" s="204" t="s">
        <v>216</v>
      </c>
      <c r="G1047" s="213" t="s">
        <v>821</v>
      </c>
      <c r="H1047" s="207" t="s">
        <v>2547</v>
      </c>
      <c r="I1047" s="156" t="s">
        <v>26</v>
      </c>
      <c r="J1047" s="204" t="s">
        <v>1436</v>
      </c>
      <c r="K1047" s="207" t="s">
        <v>1601</v>
      </c>
    </row>
    <row r="1048" spans="1:11" ht="100.5">
      <c r="A1048" s="204">
        <v>1046</v>
      </c>
      <c r="B1048" s="208">
        <v>45868</v>
      </c>
      <c r="C1048" s="265" t="s">
        <v>829</v>
      </c>
      <c r="D1048" s="204">
        <v>2025</v>
      </c>
      <c r="E1048" s="209" t="s">
        <v>1431</v>
      </c>
      <c r="F1048" s="209" t="s">
        <v>21</v>
      </c>
      <c r="G1048" s="213" t="s">
        <v>821</v>
      </c>
      <c r="H1048" s="211" t="s">
        <v>2548</v>
      </c>
      <c r="I1048" s="156" t="s">
        <v>26</v>
      </c>
      <c r="J1048" s="209" t="s">
        <v>1436</v>
      </c>
      <c r="K1048" s="211" t="s">
        <v>1448</v>
      </c>
    </row>
    <row r="1049" spans="1:11" ht="134.25">
      <c r="A1049" s="204">
        <v>1047</v>
      </c>
      <c r="B1049" s="205">
        <v>45869</v>
      </c>
      <c r="C1049" s="265" t="s">
        <v>829</v>
      </c>
      <c r="D1049" s="204">
        <v>2025</v>
      </c>
      <c r="E1049" s="204" t="s">
        <v>1431</v>
      </c>
      <c r="F1049" s="204" t="s">
        <v>988</v>
      </c>
      <c r="G1049" s="206" t="s">
        <v>88</v>
      </c>
      <c r="H1049" s="207" t="s">
        <v>2549</v>
      </c>
      <c r="I1049" s="156" t="s">
        <v>26</v>
      </c>
      <c r="J1049" s="204" t="s">
        <v>1436</v>
      </c>
      <c r="K1049" s="207"/>
    </row>
    <row r="1050" spans="1:11" ht="134.25">
      <c r="A1050" s="204">
        <v>1048</v>
      </c>
      <c r="B1050" s="208">
        <v>45869</v>
      </c>
      <c r="C1050" s="265" t="s">
        <v>829</v>
      </c>
      <c r="D1050" s="204">
        <v>2025</v>
      </c>
      <c r="E1050" s="209" t="s">
        <v>1431</v>
      </c>
      <c r="F1050" s="209" t="s">
        <v>1566</v>
      </c>
      <c r="G1050" s="217" t="s">
        <v>859</v>
      </c>
      <c r="H1050" s="211" t="s">
        <v>2550</v>
      </c>
      <c r="I1050" s="156" t="s">
        <v>26</v>
      </c>
      <c r="J1050" s="209" t="s">
        <v>1436</v>
      </c>
      <c r="K1050" s="211"/>
    </row>
    <row r="1051" spans="1:11" ht="33.75">
      <c r="A1051" s="204">
        <v>1049</v>
      </c>
      <c r="B1051" s="205">
        <v>45869</v>
      </c>
      <c r="C1051" s="265" t="s">
        <v>829</v>
      </c>
      <c r="D1051" s="204">
        <v>2025</v>
      </c>
      <c r="E1051" s="204" t="s">
        <v>1431</v>
      </c>
      <c r="F1051" s="204" t="s">
        <v>1506</v>
      </c>
      <c r="G1051" s="206" t="s">
        <v>88</v>
      </c>
      <c r="H1051" s="207" t="s">
        <v>2551</v>
      </c>
      <c r="I1051" s="156" t="s">
        <v>26</v>
      </c>
      <c r="J1051" s="204" t="s">
        <v>1436</v>
      </c>
      <c r="K1051" s="207"/>
    </row>
    <row r="1052" spans="1:11" ht="33.75">
      <c r="A1052" s="204">
        <v>1050</v>
      </c>
      <c r="B1052" s="208">
        <v>45869</v>
      </c>
      <c r="C1052" s="265" t="s">
        <v>829</v>
      </c>
      <c r="D1052" s="204">
        <v>2025</v>
      </c>
      <c r="E1052" s="209" t="s">
        <v>1431</v>
      </c>
      <c r="F1052" s="209" t="s">
        <v>21</v>
      </c>
      <c r="G1052" s="213" t="s">
        <v>821</v>
      </c>
      <c r="H1052" s="211" t="s">
        <v>2552</v>
      </c>
      <c r="I1052" s="156" t="s">
        <v>26</v>
      </c>
      <c r="J1052" s="209" t="s">
        <v>1436</v>
      </c>
      <c r="K1052" s="211"/>
    </row>
    <row r="1053" spans="1:11" ht="150.75">
      <c r="A1053" s="204">
        <v>1051</v>
      </c>
      <c r="B1053" s="205">
        <v>45869</v>
      </c>
      <c r="C1053" s="265" t="s">
        <v>829</v>
      </c>
      <c r="D1053" s="204">
        <v>2025</v>
      </c>
      <c r="E1053" s="204" t="s">
        <v>1431</v>
      </c>
      <c r="F1053" s="204" t="s">
        <v>21</v>
      </c>
      <c r="G1053" s="213" t="s">
        <v>821</v>
      </c>
      <c r="H1053" s="207" t="s">
        <v>2553</v>
      </c>
      <c r="I1053" s="156" t="s">
        <v>26</v>
      </c>
      <c r="J1053" s="204" t="s">
        <v>1436</v>
      </c>
      <c r="K1053" s="207" t="s">
        <v>1513</v>
      </c>
    </row>
    <row r="1054" spans="1:11" ht="84">
      <c r="A1054" s="204">
        <v>1052</v>
      </c>
      <c r="B1054" s="208">
        <v>45869</v>
      </c>
      <c r="C1054" s="265" t="s">
        <v>829</v>
      </c>
      <c r="D1054" s="204">
        <v>2025</v>
      </c>
      <c r="E1054" s="209" t="s">
        <v>1431</v>
      </c>
      <c r="F1054" s="209" t="s">
        <v>216</v>
      </c>
      <c r="G1054" s="213" t="s">
        <v>821</v>
      </c>
      <c r="H1054" s="211" t="s">
        <v>2554</v>
      </c>
      <c r="I1054" s="156" t="s">
        <v>26</v>
      </c>
      <c r="J1054" s="209" t="s">
        <v>492</v>
      </c>
      <c r="K1054" s="211"/>
    </row>
    <row r="1055" spans="1:11" ht="100.5">
      <c r="A1055" s="204">
        <v>1053</v>
      </c>
      <c r="B1055" s="205">
        <v>45839</v>
      </c>
      <c r="C1055" s="265" t="s">
        <v>829</v>
      </c>
      <c r="D1055" s="204">
        <v>2025</v>
      </c>
      <c r="E1055" s="204" t="s">
        <v>2224</v>
      </c>
      <c r="F1055" s="204" t="s">
        <v>2555</v>
      </c>
      <c r="G1055" s="214" t="s">
        <v>859</v>
      </c>
      <c r="H1055" s="207" t="s">
        <v>2556</v>
      </c>
      <c r="I1055" s="156" t="s">
        <v>26</v>
      </c>
      <c r="J1055" s="204" t="s">
        <v>1436</v>
      </c>
      <c r="K1055" s="207" t="s">
        <v>1476</v>
      </c>
    </row>
    <row r="1056" spans="1:11" ht="134.25">
      <c r="A1056" s="204">
        <v>1054</v>
      </c>
      <c r="B1056" s="208">
        <v>45839</v>
      </c>
      <c r="C1056" s="265" t="s">
        <v>829</v>
      </c>
      <c r="D1056" s="204">
        <v>2025</v>
      </c>
      <c r="E1056" s="209" t="s">
        <v>2224</v>
      </c>
      <c r="F1056" s="209" t="s">
        <v>216</v>
      </c>
      <c r="G1056" s="213" t="s">
        <v>821</v>
      </c>
      <c r="H1056" s="211" t="s">
        <v>2557</v>
      </c>
      <c r="I1056" s="156" t="s">
        <v>26</v>
      </c>
      <c r="J1056" s="209" t="s">
        <v>1436</v>
      </c>
      <c r="K1056" s="211" t="s">
        <v>1601</v>
      </c>
    </row>
    <row r="1057" spans="1:11" ht="150.75">
      <c r="A1057" s="204">
        <v>1055</v>
      </c>
      <c r="B1057" s="205">
        <v>45870</v>
      </c>
      <c r="C1057" s="265" t="s">
        <v>830</v>
      </c>
      <c r="D1057" s="204">
        <v>2025</v>
      </c>
      <c r="E1057" s="204" t="s">
        <v>1431</v>
      </c>
      <c r="F1057" s="204" t="s">
        <v>21</v>
      </c>
      <c r="G1057" s="213" t="s">
        <v>821</v>
      </c>
      <c r="H1057" s="207" t="s">
        <v>2558</v>
      </c>
      <c r="I1057" s="156" t="s">
        <v>26</v>
      </c>
      <c r="J1057" s="204" t="s">
        <v>149</v>
      </c>
      <c r="K1057" s="207" t="s">
        <v>1513</v>
      </c>
    </row>
    <row r="1058" spans="1:11" ht="84">
      <c r="A1058" s="204">
        <v>1056</v>
      </c>
      <c r="B1058" s="208">
        <v>45870</v>
      </c>
      <c r="C1058" s="265" t="s">
        <v>830</v>
      </c>
      <c r="D1058" s="204">
        <v>2025</v>
      </c>
      <c r="E1058" s="209" t="s">
        <v>1431</v>
      </c>
      <c r="F1058" s="209" t="s">
        <v>1506</v>
      </c>
      <c r="G1058" s="210" t="s">
        <v>88</v>
      </c>
      <c r="H1058" s="211" t="s">
        <v>2559</v>
      </c>
      <c r="I1058" s="156" t="s">
        <v>26</v>
      </c>
      <c r="J1058" s="209" t="s">
        <v>2560</v>
      </c>
      <c r="K1058" s="211" t="s">
        <v>1500</v>
      </c>
    </row>
    <row r="1059" spans="1:11" ht="84">
      <c r="A1059" s="204">
        <v>1057</v>
      </c>
      <c r="B1059" s="205">
        <v>45870</v>
      </c>
      <c r="C1059" s="265" t="s">
        <v>830</v>
      </c>
      <c r="D1059" s="204">
        <v>2025</v>
      </c>
      <c r="E1059" s="204" t="s">
        <v>1431</v>
      </c>
      <c r="F1059" s="204" t="s">
        <v>988</v>
      </c>
      <c r="G1059" s="206" t="s">
        <v>88</v>
      </c>
      <c r="H1059" s="207" t="s">
        <v>2561</v>
      </c>
      <c r="I1059" s="156" t="s">
        <v>26</v>
      </c>
      <c r="J1059" s="204" t="s">
        <v>2560</v>
      </c>
      <c r="K1059" s="207"/>
    </row>
    <row r="1060" spans="1:11" ht="16.5">
      <c r="A1060" s="204">
        <v>1058</v>
      </c>
      <c r="B1060" s="208">
        <v>45870</v>
      </c>
      <c r="C1060" s="265" t="s">
        <v>830</v>
      </c>
      <c r="D1060" s="204">
        <v>2025</v>
      </c>
      <c r="E1060" s="209" t="s">
        <v>1431</v>
      </c>
      <c r="F1060" s="209" t="s">
        <v>2562</v>
      </c>
      <c r="G1060" s="213" t="s">
        <v>821</v>
      </c>
      <c r="H1060" s="211" t="s">
        <v>2563</v>
      </c>
      <c r="I1060" s="156" t="s">
        <v>26</v>
      </c>
      <c r="J1060" s="209" t="s">
        <v>2564</v>
      </c>
      <c r="K1060" s="211"/>
    </row>
    <row r="1061" spans="1:11" ht="50.25">
      <c r="A1061" s="204">
        <v>1059</v>
      </c>
      <c r="B1061" s="205">
        <v>45870</v>
      </c>
      <c r="C1061" s="265" t="s">
        <v>830</v>
      </c>
      <c r="D1061" s="204">
        <v>2025</v>
      </c>
      <c r="E1061" s="204" t="s">
        <v>1431</v>
      </c>
      <c r="F1061" s="204" t="s">
        <v>21</v>
      </c>
      <c r="G1061" s="213" t="s">
        <v>821</v>
      </c>
      <c r="H1061" s="207" t="s">
        <v>2565</v>
      </c>
      <c r="I1061" s="156" t="s">
        <v>26</v>
      </c>
      <c r="J1061" s="204" t="s">
        <v>149</v>
      </c>
      <c r="K1061" s="207"/>
    </row>
    <row r="1062" spans="1:11" ht="150.75">
      <c r="A1062" s="204">
        <v>1060</v>
      </c>
      <c r="B1062" s="208">
        <v>45870</v>
      </c>
      <c r="C1062" s="265" t="s">
        <v>830</v>
      </c>
      <c r="D1062" s="204">
        <v>2025</v>
      </c>
      <c r="E1062" s="209" t="s">
        <v>1431</v>
      </c>
      <c r="F1062" s="209" t="s">
        <v>21</v>
      </c>
      <c r="G1062" s="213" t="s">
        <v>821</v>
      </c>
      <c r="H1062" s="211" t="s">
        <v>2566</v>
      </c>
      <c r="I1062" s="156" t="s">
        <v>26</v>
      </c>
      <c r="J1062" s="209" t="s">
        <v>149</v>
      </c>
      <c r="K1062" s="211" t="s">
        <v>1513</v>
      </c>
    </row>
    <row r="1063" spans="1:11" ht="50.25">
      <c r="A1063" s="204">
        <v>1061</v>
      </c>
      <c r="B1063" s="205">
        <v>45870</v>
      </c>
      <c r="C1063" s="265" t="s">
        <v>830</v>
      </c>
      <c r="D1063" s="204">
        <v>2025</v>
      </c>
      <c r="E1063" s="204" t="s">
        <v>2224</v>
      </c>
      <c r="F1063" s="204" t="s">
        <v>2555</v>
      </c>
      <c r="G1063" s="214" t="s">
        <v>859</v>
      </c>
      <c r="H1063" s="207" t="s">
        <v>2567</v>
      </c>
      <c r="I1063" s="156" t="s">
        <v>26</v>
      </c>
      <c r="J1063" s="204" t="s">
        <v>2568</v>
      </c>
      <c r="K1063" s="207"/>
    </row>
    <row r="1064" spans="1:11" ht="150.75">
      <c r="A1064" s="204">
        <v>1062</v>
      </c>
      <c r="B1064" s="208">
        <v>45870</v>
      </c>
      <c r="C1064" s="265" t="s">
        <v>830</v>
      </c>
      <c r="D1064" s="204">
        <v>2025</v>
      </c>
      <c r="E1064" s="209" t="s">
        <v>2224</v>
      </c>
      <c r="F1064" s="209" t="s">
        <v>21</v>
      </c>
      <c r="G1064" s="213" t="s">
        <v>821</v>
      </c>
      <c r="H1064" s="211" t="s">
        <v>2569</v>
      </c>
      <c r="I1064" s="156" t="s">
        <v>26</v>
      </c>
      <c r="J1064" s="209" t="s">
        <v>149</v>
      </c>
      <c r="K1064" s="211" t="s">
        <v>1513</v>
      </c>
    </row>
    <row r="1065" spans="1:11" ht="50.25">
      <c r="A1065" s="204">
        <v>1063</v>
      </c>
      <c r="B1065" s="205">
        <v>45870</v>
      </c>
      <c r="C1065" s="265" t="s">
        <v>830</v>
      </c>
      <c r="D1065" s="204">
        <v>2025</v>
      </c>
      <c r="E1065" s="204" t="s">
        <v>2224</v>
      </c>
      <c r="F1065" s="204" t="s">
        <v>21</v>
      </c>
      <c r="G1065" s="213" t="s">
        <v>821</v>
      </c>
      <c r="H1065" s="207" t="s">
        <v>2570</v>
      </c>
      <c r="I1065" s="156" t="s">
        <v>26</v>
      </c>
      <c r="J1065" s="204" t="s">
        <v>149</v>
      </c>
      <c r="K1065" s="207"/>
    </row>
    <row r="1066" spans="1:11" ht="66.75">
      <c r="A1066" s="204">
        <v>1064</v>
      </c>
      <c r="B1066" s="208">
        <v>45870</v>
      </c>
      <c r="C1066" s="265" t="s">
        <v>830</v>
      </c>
      <c r="D1066" s="204">
        <v>2025</v>
      </c>
      <c r="E1066" s="209" t="s">
        <v>1431</v>
      </c>
      <c r="F1066" s="209" t="s">
        <v>2555</v>
      </c>
      <c r="G1066" s="217" t="s">
        <v>859</v>
      </c>
      <c r="H1066" s="211" t="s">
        <v>2571</v>
      </c>
      <c r="I1066" s="156" t="s">
        <v>26</v>
      </c>
      <c r="J1066" s="209" t="s">
        <v>2572</v>
      </c>
      <c r="K1066" s="211"/>
    </row>
    <row r="1067" spans="1:11" ht="150.75">
      <c r="A1067" s="204">
        <v>1065</v>
      </c>
      <c r="B1067" s="205">
        <v>45873</v>
      </c>
      <c r="C1067" s="265" t="s">
        <v>830</v>
      </c>
      <c r="D1067" s="204">
        <v>2025</v>
      </c>
      <c r="E1067" s="204" t="s">
        <v>1431</v>
      </c>
      <c r="F1067" s="204" t="s">
        <v>21</v>
      </c>
      <c r="G1067" s="213" t="s">
        <v>821</v>
      </c>
      <c r="H1067" s="207" t="s">
        <v>2573</v>
      </c>
      <c r="I1067" s="156" t="s">
        <v>26</v>
      </c>
      <c r="J1067" s="204" t="s">
        <v>149</v>
      </c>
      <c r="K1067" s="207" t="s">
        <v>1513</v>
      </c>
    </row>
    <row r="1068" spans="1:11" ht="66.75">
      <c r="A1068" s="204">
        <v>1066</v>
      </c>
      <c r="B1068" s="208">
        <v>45873</v>
      </c>
      <c r="C1068" s="265" t="s">
        <v>830</v>
      </c>
      <c r="D1068" s="204">
        <v>2025</v>
      </c>
      <c r="E1068" s="209" t="s">
        <v>1431</v>
      </c>
      <c r="F1068" s="209" t="s">
        <v>2574</v>
      </c>
      <c r="G1068" s="210" t="s">
        <v>88</v>
      </c>
      <c r="H1068" s="211" t="s">
        <v>2575</v>
      </c>
      <c r="I1068" s="156" t="s">
        <v>26</v>
      </c>
      <c r="J1068" s="209" t="s">
        <v>2576</v>
      </c>
      <c r="K1068" s="211"/>
    </row>
    <row r="1069" spans="1:11" ht="50.25">
      <c r="A1069" s="204">
        <v>1067</v>
      </c>
      <c r="B1069" s="205">
        <v>45873</v>
      </c>
      <c r="C1069" s="265" t="s">
        <v>830</v>
      </c>
      <c r="D1069" s="204">
        <v>2025</v>
      </c>
      <c r="E1069" s="204" t="s">
        <v>1431</v>
      </c>
      <c r="F1069" s="204" t="s">
        <v>1506</v>
      </c>
      <c r="G1069" s="206" t="s">
        <v>88</v>
      </c>
      <c r="H1069" s="207" t="s">
        <v>2577</v>
      </c>
      <c r="I1069" s="156" t="s">
        <v>26</v>
      </c>
      <c r="J1069" s="204" t="s">
        <v>1904</v>
      </c>
      <c r="K1069" s="207"/>
    </row>
    <row r="1070" spans="1:11" ht="84">
      <c r="A1070" s="204">
        <v>1068</v>
      </c>
      <c r="B1070" s="208">
        <v>45873</v>
      </c>
      <c r="C1070" s="265" t="s">
        <v>830</v>
      </c>
      <c r="D1070" s="204">
        <v>2025</v>
      </c>
      <c r="E1070" s="209" t="s">
        <v>1431</v>
      </c>
      <c r="F1070" s="209" t="s">
        <v>1506</v>
      </c>
      <c r="G1070" s="210" t="s">
        <v>88</v>
      </c>
      <c r="H1070" s="211" t="s">
        <v>2578</v>
      </c>
      <c r="I1070" s="156" t="s">
        <v>26</v>
      </c>
      <c r="J1070" s="209" t="s">
        <v>1904</v>
      </c>
      <c r="K1070" s="211" t="s">
        <v>1500</v>
      </c>
    </row>
    <row r="1071" spans="1:11" ht="66.75">
      <c r="A1071" s="204">
        <v>1069</v>
      </c>
      <c r="B1071" s="205">
        <v>45873</v>
      </c>
      <c r="C1071" s="265" t="s">
        <v>830</v>
      </c>
      <c r="D1071" s="204">
        <v>2025</v>
      </c>
      <c r="E1071" s="204" t="s">
        <v>1431</v>
      </c>
      <c r="F1071" s="204" t="s">
        <v>1518</v>
      </c>
      <c r="G1071" s="206" t="s">
        <v>88</v>
      </c>
      <c r="H1071" s="207" t="s">
        <v>2579</v>
      </c>
      <c r="I1071" s="156" t="s">
        <v>26</v>
      </c>
      <c r="J1071" s="204" t="s">
        <v>1493</v>
      </c>
      <c r="K1071" s="207"/>
    </row>
    <row r="1072" spans="1:11" ht="50.25">
      <c r="A1072" s="204">
        <v>1070</v>
      </c>
      <c r="B1072" s="208">
        <v>45873</v>
      </c>
      <c r="C1072" s="265" t="s">
        <v>830</v>
      </c>
      <c r="D1072" s="204">
        <v>2025</v>
      </c>
      <c r="E1072" s="209" t="s">
        <v>2224</v>
      </c>
      <c r="F1072" s="209" t="s">
        <v>21</v>
      </c>
      <c r="G1072" s="213" t="s">
        <v>821</v>
      </c>
      <c r="H1072" s="211" t="s">
        <v>2580</v>
      </c>
      <c r="I1072" s="156" t="s">
        <v>26</v>
      </c>
      <c r="J1072" s="209" t="s">
        <v>149</v>
      </c>
      <c r="K1072" s="211"/>
    </row>
    <row r="1073" spans="1:11" ht="33.75">
      <c r="A1073" s="204">
        <v>1071</v>
      </c>
      <c r="B1073" s="205">
        <v>45874</v>
      </c>
      <c r="C1073" s="265" t="s">
        <v>830</v>
      </c>
      <c r="D1073" s="204">
        <v>2025</v>
      </c>
      <c r="E1073" s="204" t="s">
        <v>1431</v>
      </c>
      <c r="F1073" s="204" t="s">
        <v>216</v>
      </c>
      <c r="G1073" s="213" t="s">
        <v>821</v>
      </c>
      <c r="H1073" s="207" t="s">
        <v>2581</v>
      </c>
      <c r="I1073" s="156" t="s">
        <v>26</v>
      </c>
      <c r="J1073" s="204" t="s">
        <v>492</v>
      </c>
      <c r="K1073" s="207"/>
    </row>
    <row r="1074" spans="1:11" ht="100.5">
      <c r="A1074" s="204">
        <v>1072</v>
      </c>
      <c r="B1074" s="208">
        <v>45874</v>
      </c>
      <c r="C1074" s="265" t="s">
        <v>830</v>
      </c>
      <c r="D1074" s="204">
        <v>2025</v>
      </c>
      <c r="E1074" s="209" t="s">
        <v>1431</v>
      </c>
      <c r="F1074" s="209" t="s">
        <v>574</v>
      </c>
      <c r="G1074" s="210" t="s">
        <v>88</v>
      </c>
      <c r="H1074" s="211" t="s">
        <v>2582</v>
      </c>
      <c r="I1074" s="156" t="s">
        <v>26</v>
      </c>
      <c r="J1074" s="209" t="s">
        <v>912</v>
      </c>
      <c r="K1074" s="211" t="s">
        <v>1472</v>
      </c>
    </row>
    <row r="1075" spans="1:11" ht="66.75">
      <c r="A1075" s="204">
        <v>1073</v>
      </c>
      <c r="B1075" s="205">
        <v>45874</v>
      </c>
      <c r="C1075" s="265" t="s">
        <v>830</v>
      </c>
      <c r="D1075" s="204">
        <v>2025</v>
      </c>
      <c r="E1075" s="204" t="s">
        <v>2224</v>
      </c>
      <c r="F1075" s="204" t="s">
        <v>21</v>
      </c>
      <c r="G1075" s="213" t="s">
        <v>821</v>
      </c>
      <c r="H1075" s="207" t="s">
        <v>2583</v>
      </c>
      <c r="I1075" s="156" t="s">
        <v>26</v>
      </c>
      <c r="J1075" s="204" t="s">
        <v>149</v>
      </c>
      <c r="K1075" s="207"/>
    </row>
    <row r="1076" spans="1:11" ht="33.75">
      <c r="A1076" s="204">
        <v>1074</v>
      </c>
      <c r="B1076" s="208">
        <v>45874</v>
      </c>
      <c r="C1076" s="265" t="s">
        <v>830</v>
      </c>
      <c r="D1076" s="204">
        <v>2025</v>
      </c>
      <c r="E1076" s="209" t="s">
        <v>1431</v>
      </c>
      <c r="F1076" s="209" t="s">
        <v>216</v>
      </c>
      <c r="G1076" s="213" t="s">
        <v>821</v>
      </c>
      <c r="H1076" s="211" t="s">
        <v>2584</v>
      </c>
      <c r="I1076" s="156" t="s">
        <v>26</v>
      </c>
      <c r="J1076" s="209" t="s">
        <v>492</v>
      </c>
      <c r="K1076" s="211"/>
    </row>
    <row r="1077" spans="1:11" ht="33.75">
      <c r="A1077" s="204">
        <v>1075</v>
      </c>
      <c r="B1077" s="205">
        <v>45875</v>
      </c>
      <c r="C1077" s="265" t="s">
        <v>830</v>
      </c>
      <c r="D1077" s="204">
        <v>2025</v>
      </c>
      <c r="E1077" s="204" t="s">
        <v>1431</v>
      </c>
      <c r="F1077" s="204" t="s">
        <v>2585</v>
      </c>
      <c r="G1077" s="206" t="s">
        <v>88</v>
      </c>
      <c r="H1077" s="207" t="s">
        <v>2586</v>
      </c>
      <c r="I1077" s="156" t="s">
        <v>26</v>
      </c>
      <c r="J1077" s="204" t="s">
        <v>452</v>
      </c>
      <c r="K1077" s="207"/>
    </row>
    <row r="1078" spans="1:11" ht="84">
      <c r="A1078" s="204">
        <v>1076</v>
      </c>
      <c r="B1078" s="208">
        <v>45875</v>
      </c>
      <c r="C1078" s="265" t="s">
        <v>830</v>
      </c>
      <c r="D1078" s="204">
        <v>2025</v>
      </c>
      <c r="E1078" s="209" t="s">
        <v>1431</v>
      </c>
      <c r="F1078" s="209" t="s">
        <v>1506</v>
      </c>
      <c r="G1078" s="210" t="s">
        <v>88</v>
      </c>
      <c r="H1078" s="211" t="s">
        <v>2587</v>
      </c>
      <c r="I1078" s="156" t="s">
        <v>26</v>
      </c>
      <c r="J1078" s="209" t="s">
        <v>1904</v>
      </c>
      <c r="K1078" s="211" t="s">
        <v>1500</v>
      </c>
    </row>
    <row r="1079" spans="1:11" ht="50.25">
      <c r="A1079" s="204">
        <v>1077</v>
      </c>
      <c r="B1079" s="205">
        <v>45875</v>
      </c>
      <c r="C1079" s="265" t="s">
        <v>830</v>
      </c>
      <c r="D1079" s="204">
        <v>2025</v>
      </c>
      <c r="E1079" s="204" t="s">
        <v>1431</v>
      </c>
      <c r="F1079" s="204" t="s">
        <v>216</v>
      </c>
      <c r="G1079" s="213" t="s">
        <v>821</v>
      </c>
      <c r="H1079" s="207" t="s">
        <v>2588</v>
      </c>
      <c r="I1079" s="156" t="s">
        <v>26</v>
      </c>
      <c r="J1079" s="204" t="s">
        <v>492</v>
      </c>
      <c r="K1079" s="207"/>
    </row>
    <row r="1080" spans="1:11" ht="117">
      <c r="A1080" s="204">
        <v>1078</v>
      </c>
      <c r="B1080" s="208">
        <v>45875</v>
      </c>
      <c r="C1080" s="265" t="s">
        <v>830</v>
      </c>
      <c r="D1080" s="204">
        <v>2025</v>
      </c>
      <c r="E1080" s="209" t="s">
        <v>1431</v>
      </c>
      <c r="F1080" s="209" t="s">
        <v>2585</v>
      </c>
      <c r="G1080" s="210" t="s">
        <v>88</v>
      </c>
      <c r="H1080" s="211" t="s">
        <v>2589</v>
      </c>
      <c r="I1080" s="156" t="s">
        <v>26</v>
      </c>
      <c r="J1080" s="209" t="s">
        <v>452</v>
      </c>
      <c r="K1080" s="211" t="s">
        <v>1522</v>
      </c>
    </row>
    <row r="1081" spans="1:11" ht="100.5">
      <c r="A1081" s="204">
        <v>1079</v>
      </c>
      <c r="B1081" s="205">
        <v>45875</v>
      </c>
      <c r="C1081" s="265" t="s">
        <v>830</v>
      </c>
      <c r="D1081" s="204">
        <v>2025</v>
      </c>
      <c r="E1081" s="204" t="s">
        <v>1431</v>
      </c>
      <c r="F1081" s="204" t="s">
        <v>1566</v>
      </c>
      <c r="G1081" s="206" t="s">
        <v>88</v>
      </c>
      <c r="H1081" s="207" t="s">
        <v>2590</v>
      </c>
      <c r="I1081" s="156" t="s">
        <v>26</v>
      </c>
      <c r="J1081" s="204" t="s">
        <v>1453</v>
      </c>
      <c r="K1081" s="207" t="s">
        <v>1478</v>
      </c>
    </row>
    <row r="1082" spans="1:11" ht="117">
      <c r="A1082" s="204">
        <v>1080</v>
      </c>
      <c r="B1082" s="208">
        <v>45875</v>
      </c>
      <c r="C1082" s="265" t="s">
        <v>830</v>
      </c>
      <c r="D1082" s="204">
        <v>2025</v>
      </c>
      <c r="E1082" s="209" t="s">
        <v>2224</v>
      </c>
      <c r="F1082" s="209" t="s">
        <v>2591</v>
      </c>
      <c r="G1082" s="210" t="s">
        <v>88</v>
      </c>
      <c r="H1082" s="211" t="s">
        <v>2592</v>
      </c>
      <c r="I1082" s="156" t="s">
        <v>26</v>
      </c>
      <c r="J1082" s="209" t="s">
        <v>2593</v>
      </c>
      <c r="K1082" s="211" t="s">
        <v>1559</v>
      </c>
    </row>
    <row r="1083" spans="1:11" ht="84">
      <c r="A1083" s="204">
        <v>1081</v>
      </c>
      <c r="B1083" s="205">
        <v>45875</v>
      </c>
      <c r="C1083" s="265" t="s">
        <v>830</v>
      </c>
      <c r="D1083" s="204">
        <v>2025</v>
      </c>
      <c r="E1083" s="204" t="s">
        <v>1431</v>
      </c>
      <c r="F1083" s="204" t="s">
        <v>1390</v>
      </c>
      <c r="G1083" s="206" t="s">
        <v>88</v>
      </c>
      <c r="H1083" s="207" t="s">
        <v>2594</v>
      </c>
      <c r="I1083" s="156" t="s">
        <v>26</v>
      </c>
      <c r="J1083" s="204" t="s">
        <v>492</v>
      </c>
      <c r="K1083" s="207"/>
    </row>
    <row r="1084" spans="1:11" ht="100.5">
      <c r="A1084" s="204">
        <v>1082</v>
      </c>
      <c r="B1084" s="208">
        <v>45876</v>
      </c>
      <c r="C1084" s="265" t="s">
        <v>830</v>
      </c>
      <c r="D1084" s="204">
        <v>2025</v>
      </c>
      <c r="E1084" s="209" t="s">
        <v>1431</v>
      </c>
      <c r="F1084" s="209" t="s">
        <v>2595</v>
      </c>
      <c r="G1084" s="210" t="s">
        <v>88</v>
      </c>
      <c r="H1084" s="211" t="s">
        <v>2596</v>
      </c>
      <c r="I1084" s="156" t="s">
        <v>26</v>
      </c>
      <c r="J1084" s="209" t="s">
        <v>578</v>
      </c>
      <c r="K1084" s="211" t="s">
        <v>1472</v>
      </c>
    </row>
    <row r="1085" spans="1:11" ht="100.5">
      <c r="A1085" s="204">
        <v>1083</v>
      </c>
      <c r="B1085" s="205">
        <v>45876</v>
      </c>
      <c r="C1085" s="265" t="s">
        <v>830</v>
      </c>
      <c r="D1085" s="204">
        <v>2025</v>
      </c>
      <c r="E1085" s="204" t="s">
        <v>1431</v>
      </c>
      <c r="F1085" s="204" t="s">
        <v>2595</v>
      </c>
      <c r="G1085" s="206" t="s">
        <v>88</v>
      </c>
      <c r="H1085" s="207" t="s">
        <v>2597</v>
      </c>
      <c r="I1085" s="156" t="s">
        <v>26</v>
      </c>
      <c r="J1085" s="204" t="s">
        <v>492</v>
      </c>
      <c r="K1085" s="207" t="s">
        <v>1472</v>
      </c>
    </row>
    <row r="1086" spans="1:11" ht="100.5">
      <c r="A1086" s="204">
        <v>1084</v>
      </c>
      <c r="B1086" s="208">
        <v>45876</v>
      </c>
      <c r="C1086" s="265" t="s">
        <v>830</v>
      </c>
      <c r="D1086" s="204">
        <v>2025</v>
      </c>
      <c r="E1086" s="209" t="s">
        <v>1431</v>
      </c>
      <c r="F1086" s="209" t="s">
        <v>1560</v>
      </c>
      <c r="G1086" s="217" t="s">
        <v>859</v>
      </c>
      <c r="H1086" s="211" t="s">
        <v>2598</v>
      </c>
      <c r="I1086" s="156" t="s">
        <v>26</v>
      </c>
      <c r="J1086" s="209" t="s">
        <v>2599</v>
      </c>
      <c r="K1086" s="211" t="s">
        <v>1476</v>
      </c>
    </row>
    <row r="1087" spans="1:11" ht="16.5">
      <c r="A1087" s="204">
        <v>1085</v>
      </c>
      <c r="B1087" s="205">
        <v>45876</v>
      </c>
      <c r="C1087" s="265" t="s">
        <v>830</v>
      </c>
      <c r="D1087" s="204">
        <v>2025</v>
      </c>
      <c r="E1087" s="204" t="s">
        <v>1431</v>
      </c>
      <c r="F1087" s="204" t="s">
        <v>2244</v>
      </c>
      <c r="G1087" s="212" t="s">
        <v>1439</v>
      </c>
      <c r="H1087" s="207" t="s">
        <v>2600</v>
      </c>
      <c r="I1087" s="156" t="s">
        <v>26</v>
      </c>
      <c r="J1087" s="204" t="s">
        <v>916</v>
      </c>
      <c r="K1087" s="207"/>
    </row>
    <row r="1088" spans="1:11" ht="84">
      <c r="A1088" s="204">
        <v>1086</v>
      </c>
      <c r="B1088" s="208">
        <v>45876</v>
      </c>
      <c r="C1088" s="265" t="s">
        <v>830</v>
      </c>
      <c r="D1088" s="204">
        <v>2025</v>
      </c>
      <c r="E1088" s="209" t="s">
        <v>1431</v>
      </c>
      <c r="F1088" s="209" t="s">
        <v>2244</v>
      </c>
      <c r="G1088" s="217" t="s">
        <v>859</v>
      </c>
      <c r="H1088" s="211" t="s">
        <v>2601</v>
      </c>
      <c r="I1088" s="156" t="s">
        <v>26</v>
      </c>
      <c r="J1088" s="209" t="s">
        <v>1998</v>
      </c>
      <c r="K1088" s="211"/>
    </row>
    <row r="1089" spans="1:11" ht="50.25">
      <c r="A1089" s="204">
        <v>1087</v>
      </c>
      <c r="B1089" s="205">
        <v>45876</v>
      </c>
      <c r="C1089" s="265" t="s">
        <v>830</v>
      </c>
      <c r="D1089" s="204">
        <v>2025</v>
      </c>
      <c r="E1089" s="204" t="s">
        <v>1431</v>
      </c>
      <c r="F1089" s="204" t="s">
        <v>2244</v>
      </c>
      <c r="G1089" s="214" t="s">
        <v>859</v>
      </c>
      <c r="H1089" s="207" t="s">
        <v>2602</v>
      </c>
      <c r="I1089" s="156" t="s">
        <v>26</v>
      </c>
      <c r="J1089" s="204" t="s">
        <v>923</v>
      </c>
      <c r="K1089" s="207"/>
    </row>
    <row r="1090" spans="1:11" ht="84">
      <c r="A1090" s="204">
        <v>1088</v>
      </c>
      <c r="B1090" s="208">
        <v>45876</v>
      </c>
      <c r="C1090" s="265" t="s">
        <v>830</v>
      </c>
      <c r="D1090" s="204">
        <v>2025</v>
      </c>
      <c r="E1090" s="209" t="s">
        <v>1431</v>
      </c>
      <c r="F1090" s="209" t="s">
        <v>1506</v>
      </c>
      <c r="G1090" s="210" t="s">
        <v>88</v>
      </c>
      <c r="H1090" s="211" t="s">
        <v>2603</v>
      </c>
      <c r="I1090" s="156" t="s">
        <v>26</v>
      </c>
      <c r="J1090" s="209" t="s">
        <v>1904</v>
      </c>
      <c r="K1090" s="211" t="s">
        <v>1500</v>
      </c>
    </row>
    <row r="1091" spans="1:11" ht="117">
      <c r="A1091" s="204">
        <v>1089</v>
      </c>
      <c r="B1091" s="205">
        <v>45876</v>
      </c>
      <c r="C1091" s="265" t="s">
        <v>830</v>
      </c>
      <c r="D1091" s="204">
        <v>2025</v>
      </c>
      <c r="E1091" s="204" t="s">
        <v>1431</v>
      </c>
      <c r="F1091" s="204" t="s">
        <v>216</v>
      </c>
      <c r="G1091" s="213" t="s">
        <v>821</v>
      </c>
      <c r="H1091" s="207" t="s">
        <v>2604</v>
      </c>
      <c r="I1091" s="156" t="s">
        <v>26</v>
      </c>
      <c r="J1091" s="204" t="s">
        <v>492</v>
      </c>
      <c r="K1091" s="207" t="s">
        <v>1446</v>
      </c>
    </row>
    <row r="1092" spans="1:11" ht="33.75">
      <c r="A1092" s="204">
        <v>1090</v>
      </c>
      <c r="B1092" s="208">
        <v>45876</v>
      </c>
      <c r="C1092" s="265" t="s">
        <v>830</v>
      </c>
      <c r="D1092" s="204">
        <v>2025</v>
      </c>
      <c r="E1092" s="209" t="s">
        <v>1431</v>
      </c>
      <c r="F1092" s="209" t="s">
        <v>216</v>
      </c>
      <c r="G1092" s="213" t="s">
        <v>821</v>
      </c>
      <c r="H1092" s="211" t="s">
        <v>2605</v>
      </c>
      <c r="I1092" s="156" t="s">
        <v>26</v>
      </c>
      <c r="J1092" s="209" t="s">
        <v>492</v>
      </c>
      <c r="K1092" s="211"/>
    </row>
    <row r="1093" spans="1:11" ht="33.75">
      <c r="A1093" s="204">
        <v>1091</v>
      </c>
      <c r="B1093" s="205">
        <v>45876</v>
      </c>
      <c r="C1093" s="265" t="s">
        <v>830</v>
      </c>
      <c r="D1093" s="204">
        <v>2025</v>
      </c>
      <c r="E1093" s="204" t="s">
        <v>1431</v>
      </c>
      <c r="F1093" s="204" t="s">
        <v>216</v>
      </c>
      <c r="G1093" s="213" t="s">
        <v>821</v>
      </c>
      <c r="H1093" s="207" t="s">
        <v>2606</v>
      </c>
      <c r="I1093" s="156" t="s">
        <v>26</v>
      </c>
      <c r="J1093" s="204" t="s">
        <v>492</v>
      </c>
      <c r="K1093" s="207"/>
    </row>
    <row r="1094" spans="1:11" ht="50.25">
      <c r="A1094" s="204">
        <v>1092</v>
      </c>
      <c r="B1094" s="208">
        <v>45876</v>
      </c>
      <c r="C1094" s="265" t="s">
        <v>830</v>
      </c>
      <c r="D1094" s="204">
        <v>2025</v>
      </c>
      <c r="E1094" s="209" t="s">
        <v>1431</v>
      </c>
      <c r="F1094" s="209" t="s">
        <v>216</v>
      </c>
      <c r="G1094" s="213" t="s">
        <v>821</v>
      </c>
      <c r="H1094" s="211" t="s">
        <v>2607</v>
      </c>
      <c r="I1094" s="156" t="s">
        <v>26</v>
      </c>
      <c r="J1094" s="209" t="s">
        <v>492</v>
      </c>
      <c r="K1094" s="211"/>
    </row>
    <row r="1095" spans="1:11" ht="50.25">
      <c r="A1095" s="204">
        <v>1093</v>
      </c>
      <c r="B1095" s="205">
        <v>45876</v>
      </c>
      <c r="C1095" s="265" t="s">
        <v>830</v>
      </c>
      <c r="D1095" s="204">
        <v>2025</v>
      </c>
      <c r="E1095" s="204" t="s">
        <v>1431</v>
      </c>
      <c r="F1095" s="204" t="s">
        <v>216</v>
      </c>
      <c r="G1095" s="213" t="s">
        <v>821</v>
      </c>
      <c r="H1095" s="207" t="s">
        <v>2608</v>
      </c>
      <c r="I1095" s="156" t="s">
        <v>26</v>
      </c>
      <c r="J1095" s="204" t="s">
        <v>492</v>
      </c>
      <c r="K1095" s="207"/>
    </row>
    <row r="1096" spans="1:11" ht="50.25">
      <c r="A1096" s="204">
        <v>1094</v>
      </c>
      <c r="B1096" s="208">
        <v>45876</v>
      </c>
      <c r="C1096" s="265" t="s">
        <v>830</v>
      </c>
      <c r="D1096" s="204">
        <v>2025</v>
      </c>
      <c r="E1096" s="209" t="s">
        <v>1431</v>
      </c>
      <c r="F1096" s="209" t="s">
        <v>1225</v>
      </c>
      <c r="G1096" s="217" t="s">
        <v>859</v>
      </c>
      <c r="H1096" s="211" t="s">
        <v>2609</v>
      </c>
      <c r="I1096" s="156" t="s">
        <v>26</v>
      </c>
      <c r="J1096" s="209" t="s">
        <v>925</v>
      </c>
      <c r="K1096" s="211"/>
    </row>
    <row r="1097" spans="1:11" ht="33.75">
      <c r="A1097" s="204">
        <v>1095</v>
      </c>
      <c r="B1097" s="205">
        <v>45876</v>
      </c>
      <c r="C1097" s="265" t="s">
        <v>830</v>
      </c>
      <c r="D1097" s="204">
        <v>2025</v>
      </c>
      <c r="E1097" s="204" t="s">
        <v>1431</v>
      </c>
      <c r="F1097" s="204" t="s">
        <v>2591</v>
      </c>
      <c r="G1097" s="206" t="s">
        <v>88</v>
      </c>
      <c r="H1097" s="207" t="s">
        <v>2610</v>
      </c>
      <c r="I1097" s="156" t="s">
        <v>26</v>
      </c>
      <c r="J1097" s="204" t="s">
        <v>2593</v>
      </c>
      <c r="K1097" s="207"/>
    </row>
    <row r="1098" spans="1:11" ht="117">
      <c r="A1098" s="204">
        <v>1096</v>
      </c>
      <c r="B1098" s="208">
        <v>45876</v>
      </c>
      <c r="C1098" s="265" t="s">
        <v>830</v>
      </c>
      <c r="D1098" s="204">
        <v>2025</v>
      </c>
      <c r="E1098" s="209" t="s">
        <v>1431</v>
      </c>
      <c r="F1098" s="209" t="s">
        <v>2591</v>
      </c>
      <c r="G1098" s="210" t="s">
        <v>88</v>
      </c>
      <c r="H1098" s="211" t="s">
        <v>2611</v>
      </c>
      <c r="I1098" s="156" t="s">
        <v>26</v>
      </c>
      <c r="J1098" s="209" t="s">
        <v>2593</v>
      </c>
      <c r="K1098" s="211" t="s">
        <v>1510</v>
      </c>
    </row>
    <row r="1099" spans="1:11" ht="117">
      <c r="A1099" s="204">
        <v>1097</v>
      </c>
      <c r="B1099" s="205">
        <v>45876</v>
      </c>
      <c r="C1099" s="265" t="s">
        <v>830</v>
      </c>
      <c r="D1099" s="204">
        <v>2025</v>
      </c>
      <c r="E1099" s="204" t="s">
        <v>1431</v>
      </c>
      <c r="F1099" s="204" t="s">
        <v>2591</v>
      </c>
      <c r="G1099" s="206" t="s">
        <v>88</v>
      </c>
      <c r="H1099" s="207" t="s">
        <v>2612</v>
      </c>
      <c r="I1099" s="156" t="s">
        <v>26</v>
      </c>
      <c r="J1099" s="204" t="s">
        <v>2593</v>
      </c>
      <c r="K1099" s="207" t="s">
        <v>1522</v>
      </c>
    </row>
    <row r="1100" spans="1:11" ht="84">
      <c r="A1100" s="204">
        <v>1098</v>
      </c>
      <c r="B1100" s="208">
        <v>45876</v>
      </c>
      <c r="C1100" s="265" t="s">
        <v>830</v>
      </c>
      <c r="D1100" s="204">
        <v>2025</v>
      </c>
      <c r="E1100" s="209" t="s">
        <v>2224</v>
      </c>
      <c r="F1100" s="209" t="s">
        <v>2613</v>
      </c>
      <c r="G1100" s="210" t="s">
        <v>88</v>
      </c>
      <c r="H1100" s="211" t="s">
        <v>2614</v>
      </c>
      <c r="I1100" s="156" t="s">
        <v>26</v>
      </c>
      <c r="J1100" s="209" t="s">
        <v>2568</v>
      </c>
      <c r="K1100" s="211"/>
    </row>
    <row r="1101" spans="1:11" ht="50.25">
      <c r="A1101" s="204">
        <v>1099</v>
      </c>
      <c r="B1101" s="205">
        <v>45876</v>
      </c>
      <c r="C1101" s="265" t="s">
        <v>830</v>
      </c>
      <c r="D1101" s="204">
        <v>2025</v>
      </c>
      <c r="E1101" s="204" t="s">
        <v>1431</v>
      </c>
      <c r="F1101" s="204" t="s">
        <v>1436</v>
      </c>
      <c r="G1101" s="215" t="s">
        <v>872</v>
      </c>
      <c r="H1101" s="207" t="s">
        <v>2615</v>
      </c>
      <c r="I1101" s="156" t="s">
        <v>26</v>
      </c>
      <c r="J1101" s="204" t="s">
        <v>912</v>
      </c>
      <c r="K1101" s="207"/>
    </row>
    <row r="1102" spans="1:11" ht="33.75">
      <c r="A1102" s="204">
        <v>1100</v>
      </c>
      <c r="B1102" s="208">
        <v>45876</v>
      </c>
      <c r="C1102" s="265" t="s">
        <v>830</v>
      </c>
      <c r="D1102" s="204">
        <v>2025</v>
      </c>
      <c r="E1102" s="209" t="s">
        <v>2224</v>
      </c>
      <c r="F1102" s="209" t="s">
        <v>216</v>
      </c>
      <c r="G1102" s="213" t="s">
        <v>821</v>
      </c>
      <c r="H1102" s="211" t="s">
        <v>2616</v>
      </c>
      <c r="I1102" s="156" t="s">
        <v>26</v>
      </c>
      <c r="J1102" s="209" t="s">
        <v>492</v>
      </c>
      <c r="K1102" s="211"/>
    </row>
    <row r="1103" spans="1:11" ht="117">
      <c r="A1103" s="204">
        <v>1101</v>
      </c>
      <c r="B1103" s="205">
        <v>45876</v>
      </c>
      <c r="C1103" s="265" t="s">
        <v>830</v>
      </c>
      <c r="D1103" s="204">
        <v>2025</v>
      </c>
      <c r="E1103" s="204" t="s">
        <v>2224</v>
      </c>
      <c r="F1103" s="204" t="s">
        <v>2591</v>
      </c>
      <c r="G1103" s="206" t="s">
        <v>88</v>
      </c>
      <c r="H1103" s="207" t="s">
        <v>2617</v>
      </c>
      <c r="I1103" s="156" t="s">
        <v>26</v>
      </c>
      <c r="J1103" s="204" t="s">
        <v>2593</v>
      </c>
      <c r="K1103" s="207" t="s">
        <v>1462</v>
      </c>
    </row>
    <row r="1104" spans="1:11" ht="33.75">
      <c r="A1104" s="204">
        <v>1102</v>
      </c>
      <c r="B1104" s="208">
        <v>45877</v>
      </c>
      <c r="C1104" s="265" t="s">
        <v>830</v>
      </c>
      <c r="D1104" s="204">
        <v>2025</v>
      </c>
      <c r="E1104" s="209" t="s">
        <v>1431</v>
      </c>
      <c r="F1104" s="209" t="s">
        <v>21</v>
      </c>
      <c r="G1104" s="213" t="s">
        <v>821</v>
      </c>
      <c r="H1104" s="211" t="s">
        <v>2618</v>
      </c>
      <c r="I1104" s="156" t="s">
        <v>26</v>
      </c>
      <c r="J1104" s="209" t="s">
        <v>149</v>
      </c>
      <c r="K1104" s="211"/>
    </row>
    <row r="1105" spans="1:11" ht="50.25">
      <c r="A1105" s="204">
        <v>1103</v>
      </c>
      <c r="B1105" s="205">
        <v>45877</v>
      </c>
      <c r="C1105" s="265" t="s">
        <v>830</v>
      </c>
      <c r="D1105" s="204">
        <v>2025</v>
      </c>
      <c r="E1105" s="204" t="s">
        <v>1431</v>
      </c>
      <c r="F1105" s="204" t="s">
        <v>1225</v>
      </c>
      <c r="G1105" s="214" t="s">
        <v>859</v>
      </c>
      <c r="H1105" s="207" t="s">
        <v>2619</v>
      </c>
      <c r="I1105" s="156" t="s">
        <v>26</v>
      </c>
      <c r="J1105" s="204" t="s">
        <v>925</v>
      </c>
      <c r="K1105" s="207"/>
    </row>
    <row r="1106" spans="1:11" ht="66.75">
      <c r="A1106" s="204">
        <v>1104</v>
      </c>
      <c r="B1106" s="208">
        <v>45877</v>
      </c>
      <c r="C1106" s="265" t="s">
        <v>830</v>
      </c>
      <c r="D1106" s="204">
        <v>2025</v>
      </c>
      <c r="E1106" s="209" t="s">
        <v>1431</v>
      </c>
      <c r="F1106" s="209" t="s">
        <v>2620</v>
      </c>
      <c r="G1106" s="212" t="s">
        <v>1439</v>
      </c>
      <c r="H1106" s="211" t="s">
        <v>2621</v>
      </c>
      <c r="I1106" s="156" t="s">
        <v>26</v>
      </c>
      <c r="J1106" s="209" t="s">
        <v>1543</v>
      </c>
      <c r="K1106" s="211"/>
    </row>
    <row r="1107" spans="1:11" ht="84">
      <c r="A1107" s="204">
        <v>1105</v>
      </c>
      <c r="B1107" s="205">
        <v>45877</v>
      </c>
      <c r="C1107" s="265" t="s">
        <v>830</v>
      </c>
      <c r="D1107" s="204">
        <v>2025</v>
      </c>
      <c r="E1107" s="204" t="s">
        <v>1431</v>
      </c>
      <c r="F1107" s="204" t="s">
        <v>988</v>
      </c>
      <c r="G1107" s="206" t="s">
        <v>88</v>
      </c>
      <c r="H1107" s="207" t="s">
        <v>2622</v>
      </c>
      <c r="I1107" s="156" t="s">
        <v>26</v>
      </c>
      <c r="J1107" s="204" t="s">
        <v>916</v>
      </c>
      <c r="K1107" s="207"/>
    </row>
    <row r="1108" spans="1:11" ht="84">
      <c r="A1108" s="204">
        <v>1106</v>
      </c>
      <c r="B1108" s="208">
        <v>45877</v>
      </c>
      <c r="C1108" s="265" t="s">
        <v>830</v>
      </c>
      <c r="D1108" s="204">
        <v>2025</v>
      </c>
      <c r="E1108" s="209" t="s">
        <v>1431</v>
      </c>
      <c r="F1108" s="209" t="s">
        <v>1506</v>
      </c>
      <c r="G1108" s="210" t="s">
        <v>88</v>
      </c>
      <c r="H1108" s="211" t="s">
        <v>2623</v>
      </c>
      <c r="I1108" s="156" t="s">
        <v>26</v>
      </c>
      <c r="J1108" s="209" t="s">
        <v>2624</v>
      </c>
      <c r="K1108" s="211" t="s">
        <v>1500</v>
      </c>
    </row>
    <row r="1109" spans="1:11" ht="84">
      <c r="A1109" s="204">
        <v>1107</v>
      </c>
      <c r="B1109" s="205">
        <v>45877</v>
      </c>
      <c r="C1109" s="265" t="s">
        <v>830</v>
      </c>
      <c r="D1109" s="204">
        <v>2025</v>
      </c>
      <c r="E1109" s="204" t="s">
        <v>1431</v>
      </c>
      <c r="F1109" s="204" t="s">
        <v>1518</v>
      </c>
      <c r="G1109" s="206" t="s">
        <v>88</v>
      </c>
      <c r="H1109" s="207" t="s">
        <v>2625</v>
      </c>
      <c r="I1109" s="156" t="s">
        <v>26</v>
      </c>
      <c r="J1109" s="204" t="s">
        <v>910</v>
      </c>
      <c r="K1109" s="207" t="s">
        <v>1444</v>
      </c>
    </row>
    <row r="1110" spans="1:11" ht="33.75">
      <c r="A1110" s="204">
        <v>1108</v>
      </c>
      <c r="B1110" s="208">
        <v>45877</v>
      </c>
      <c r="C1110" s="265" t="s">
        <v>830</v>
      </c>
      <c r="D1110" s="204">
        <v>2025</v>
      </c>
      <c r="E1110" s="209" t="s">
        <v>1431</v>
      </c>
      <c r="F1110" s="209" t="s">
        <v>216</v>
      </c>
      <c r="G1110" s="213" t="s">
        <v>821</v>
      </c>
      <c r="H1110" s="211" t="s">
        <v>2626</v>
      </c>
      <c r="I1110" s="156" t="s">
        <v>26</v>
      </c>
      <c r="J1110" s="209" t="s">
        <v>492</v>
      </c>
      <c r="K1110" s="211"/>
    </row>
    <row r="1111" spans="1:11" ht="50.25">
      <c r="A1111" s="204">
        <v>1109</v>
      </c>
      <c r="B1111" s="205">
        <v>45877</v>
      </c>
      <c r="C1111" s="265" t="s">
        <v>830</v>
      </c>
      <c r="D1111" s="204">
        <v>2025</v>
      </c>
      <c r="E1111" s="204" t="s">
        <v>1431</v>
      </c>
      <c r="F1111" s="204" t="s">
        <v>216</v>
      </c>
      <c r="G1111" s="213" t="s">
        <v>821</v>
      </c>
      <c r="H1111" s="207" t="s">
        <v>2627</v>
      </c>
      <c r="I1111" s="156" t="s">
        <v>26</v>
      </c>
      <c r="J1111" s="204" t="s">
        <v>492</v>
      </c>
      <c r="K1111" s="207"/>
    </row>
    <row r="1112" spans="1:11" ht="100.5">
      <c r="A1112" s="204">
        <v>1110</v>
      </c>
      <c r="B1112" s="208">
        <v>45877</v>
      </c>
      <c r="C1112" s="265" t="s">
        <v>830</v>
      </c>
      <c r="D1112" s="204">
        <v>2025</v>
      </c>
      <c r="E1112" s="209" t="s">
        <v>1431</v>
      </c>
      <c r="F1112" s="209" t="s">
        <v>1566</v>
      </c>
      <c r="G1112" s="210" t="s">
        <v>88</v>
      </c>
      <c r="H1112" s="211" t="s">
        <v>2628</v>
      </c>
      <c r="I1112" s="156" t="s">
        <v>26</v>
      </c>
      <c r="J1112" s="209" t="s">
        <v>1588</v>
      </c>
      <c r="K1112" s="211" t="s">
        <v>1478</v>
      </c>
    </row>
    <row r="1113" spans="1:11" ht="100.5">
      <c r="A1113" s="204">
        <v>1111</v>
      </c>
      <c r="B1113" s="205">
        <v>45877</v>
      </c>
      <c r="C1113" s="265" t="s">
        <v>830</v>
      </c>
      <c r="D1113" s="204">
        <v>2025</v>
      </c>
      <c r="E1113" s="204" t="s">
        <v>1431</v>
      </c>
      <c r="F1113" s="204" t="s">
        <v>1566</v>
      </c>
      <c r="G1113" s="206" t="s">
        <v>88</v>
      </c>
      <c r="H1113" s="207" t="s">
        <v>2629</v>
      </c>
      <c r="I1113" s="156" t="s">
        <v>26</v>
      </c>
      <c r="J1113" s="204" t="s">
        <v>1588</v>
      </c>
      <c r="K1113" s="207" t="s">
        <v>1454</v>
      </c>
    </row>
    <row r="1114" spans="1:11" ht="84">
      <c r="A1114" s="204">
        <v>1112</v>
      </c>
      <c r="B1114" s="208">
        <v>45877</v>
      </c>
      <c r="C1114" s="265" t="s">
        <v>830</v>
      </c>
      <c r="D1114" s="204">
        <v>2025</v>
      </c>
      <c r="E1114" s="209" t="s">
        <v>1431</v>
      </c>
      <c r="F1114" s="209" t="s">
        <v>1566</v>
      </c>
      <c r="G1114" s="210" t="s">
        <v>88</v>
      </c>
      <c r="H1114" s="211" t="s">
        <v>2630</v>
      </c>
      <c r="I1114" s="156" t="s">
        <v>26</v>
      </c>
      <c r="J1114" s="209" t="s">
        <v>1588</v>
      </c>
      <c r="K1114" s="211" t="s">
        <v>1500</v>
      </c>
    </row>
    <row r="1115" spans="1:11" ht="100.5">
      <c r="A1115" s="204">
        <v>1113</v>
      </c>
      <c r="B1115" s="205">
        <v>45877</v>
      </c>
      <c r="C1115" s="265" t="s">
        <v>830</v>
      </c>
      <c r="D1115" s="204">
        <v>2025</v>
      </c>
      <c r="E1115" s="204" t="s">
        <v>1431</v>
      </c>
      <c r="F1115" s="204" t="s">
        <v>1566</v>
      </c>
      <c r="G1115" s="206" t="s">
        <v>88</v>
      </c>
      <c r="H1115" s="207" t="s">
        <v>2631</v>
      </c>
      <c r="I1115" s="156" t="s">
        <v>26</v>
      </c>
      <c r="J1115" s="204" t="s">
        <v>1588</v>
      </c>
      <c r="K1115" s="207" t="s">
        <v>1472</v>
      </c>
    </row>
    <row r="1116" spans="1:11" ht="16.5">
      <c r="A1116" s="204">
        <v>1114</v>
      </c>
      <c r="B1116" s="208">
        <v>45880</v>
      </c>
      <c r="C1116" s="265" t="s">
        <v>830</v>
      </c>
      <c r="D1116" s="204">
        <v>2025</v>
      </c>
      <c r="E1116" s="209" t="s">
        <v>1431</v>
      </c>
      <c r="F1116" s="209" t="s">
        <v>21</v>
      </c>
      <c r="G1116" s="213" t="s">
        <v>821</v>
      </c>
      <c r="H1116" s="211" t="s">
        <v>2632</v>
      </c>
      <c r="I1116" s="156" t="s">
        <v>26</v>
      </c>
      <c r="J1116" s="209" t="s">
        <v>149</v>
      </c>
      <c r="K1116" s="211"/>
    </row>
    <row r="1117" spans="1:11" ht="66.75">
      <c r="A1117" s="204">
        <v>1115</v>
      </c>
      <c r="B1117" s="205">
        <v>45880</v>
      </c>
      <c r="C1117" s="265" t="s">
        <v>830</v>
      </c>
      <c r="D1117" s="204">
        <v>2025</v>
      </c>
      <c r="E1117" s="204" t="s">
        <v>1431</v>
      </c>
      <c r="F1117" s="204" t="s">
        <v>1506</v>
      </c>
      <c r="G1117" s="206" t="s">
        <v>88</v>
      </c>
      <c r="H1117" s="207" t="s">
        <v>2633</v>
      </c>
      <c r="I1117" s="156" t="s">
        <v>26</v>
      </c>
      <c r="J1117" s="204" t="s">
        <v>1904</v>
      </c>
      <c r="K1117" s="207"/>
    </row>
    <row r="1118" spans="1:11" ht="134.25">
      <c r="A1118" s="204">
        <v>1116</v>
      </c>
      <c r="B1118" s="208">
        <v>45880</v>
      </c>
      <c r="C1118" s="265" t="s">
        <v>830</v>
      </c>
      <c r="D1118" s="204">
        <v>2025</v>
      </c>
      <c r="E1118" s="209" t="s">
        <v>1431</v>
      </c>
      <c r="F1118" s="209" t="s">
        <v>216</v>
      </c>
      <c r="G1118" s="213" t="s">
        <v>821</v>
      </c>
      <c r="H1118" s="211" t="s">
        <v>2634</v>
      </c>
      <c r="I1118" s="156" t="s">
        <v>26</v>
      </c>
      <c r="J1118" s="209" t="s">
        <v>492</v>
      </c>
      <c r="K1118" s="211" t="s">
        <v>1601</v>
      </c>
    </row>
    <row r="1119" spans="1:11" ht="117">
      <c r="A1119" s="204">
        <v>1117</v>
      </c>
      <c r="B1119" s="205">
        <v>45880</v>
      </c>
      <c r="C1119" s="265" t="s">
        <v>830</v>
      </c>
      <c r="D1119" s="204">
        <v>2025</v>
      </c>
      <c r="E1119" s="204" t="s">
        <v>1431</v>
      </c>
      <c r="F1119" s="204" t="s">
        <v>2591</v>
      </c>
      <c r="G1119" s="206" t="s">
        <v>88</v>
      </c>
      <c r="H1119" s="207" t="s">
        <v>2635</v>
      </c>
      <c r="I1119" s="156" t="s">
        <v>26</v>
      </c>
      <c r="J1119" s="204" t="s">
        <v>1543</v>
      </c>
      <c r="K1119" s="207" t="s">
        <v>1522</v>
      </c>
    </row>
    <row r="1120" spans="1:11" ht="33.75">
      <c r="A1120" s="204">
        <v>1118</v>
      </c>
      <c r="B1120" s="208">
        <v>45880</v>
      </c>
      <c r="C1120" s="265" t="s">
        <v>830</v>
      </c>
      <c r="D1120" s="204">
        <v>2025</v>
      </c>
      <c r="E1120" s="209" t="s">
        <v>1431</v>
      </c>
      <c r="F1120" s="209" t="s">
        <v>2591</v>
      </c>
      <c r="G1120" s="210" t="s">
        <v>88</v>
      </c>
      <c r="H1120" s="211" t="s">
        <v>2636</v>
      </c>
      <c r="I1120" s="156" t="s">
        <v>26</v>
      </c>
      <c r="J1120" s="209" t="s">
        <v>2593</v>
      </c>
      <c r="K1120" s="211"/>
    </row>
    <row r="1121" spans="1:11" ht="117">
      <c r="A1121" s="204">
        <v>1119</v>
      </c>
      <c r="B1121" s="205">
        <v>45880</v>
      </c>
      <c r="C1121" s="265" t="s">
        <v>830</v>
      </c>
      <c r="D1121" s="204">
        <v>2025</v>
      </c>
      <c r="E1121" s="204" t="s">
        <v>1431</v>
      </c>
      <c r="F1121" s="204" t="s">
        <v>2591</v>
      </c>
      <c r="G1121" s="206" t="s">
        <v>88</v>
      </c>
      <c r="H1121" s="207" t="s">
        <v>2637</v>
      </c>
      <c r="I1121" s="156" t="s">
        <v>26</v>
      </c>
      <c r="J1121" s="204" t="s">
        <v>2593</v>
      </c>
      <c r="K1121" s="207" t="s">
        <v>1510</v>
      </c>
    </row>
    <row r="1122" spans="1:11" ht="117">
      <c r="A1122" s="204">
        <v>1120</v>
      </c>
      <c r="B1122" s="208">
        <v>45880</v>
      </c>
      <c r="C1122" s="265" t="s">
        <v>830</v>
      </c>
      <c r="D1122" s="204">
        <v>2025</v>
      </c>
      <c r="E1122" s="209" t="s">
        <v>1431</v>
      </c>
      <c r="F1122" s="209" t="s">
        <v>2591</v>
      </c>
      <c r="G1122" s="210" t="s">
        <v>88</v>
      </c>
      <c r="H1122" s="211" t="s">
        <v>2638</v>
      </c>
      <c r="I1122" s="156" t="s">
        <v>26</v>
      </c>
      <c r="J1122" s="209" t="s">
        <v>2593</v>
      </c>
      <c r="K1122" s="211" t="s">
        <v>1510</v>
      </c>
    </row>
    <row r="1123" spans="1:11" ht="33.75">
      <c r="A1123" s="204">
        <v>1121</v>
      </c>
      <c r="B1123" s="205">
        <v>45880</v>
      </c>
      <c r="C1123" s="265" t="s">
        <v>830</v>
      </c>
      <c r="D1123" s="204">
        <v>2025</v>
      </c>
      <c r="E1123" s="204" t="s">
        <v>1431</v>
      </c>
      <c r="F1123" s="204" t="s">
        <v>1566</v>
      </c>
      <c r="G1123" s="206" t="s">
        <v>88</v>
      </c>
      <c r="H1123" s="207" t="s">
        <v>2639</v>
      </c>
      <c r="I1123" s="156" t="s">
        <v>26</v>
      </c>
      <c r="J1123" s="204" t="s">
        <v>2640</v>
      </c>
      <c r="K1123" s="207"/>
    </row>
    <row r="1124" spans="1:11" ht="100.5">
      <c r="A1124" s="204">
        <v>1122</v>
      </c>
      <c r="B1124" s="208">
        <v>45880</v>
      </c>
      <c r="C1124" s="265" t="s">
        <v>830</v>
      </c>
      <c r="D1124" s="204">
        <v>2025</v>
      </c>
      <c r="E1124" s="209" t="s">
        <v>1431</v>
      </c>
      <c r="F1124" s="209" t="s">
        <v>1566</v>
      </c>
      <c r="G1124" s="210" t="s">
        <v>88</v>
      </c>
      <c r="H1124" s="211" t="s">
        <v>1964</v>
      </c>
      <c r="I1124" s="156" t="s">
        <v>26</v>
      </c>
      <c r="J1124" s="209" t="s">
        <v>2640</v>
      </c>
      <c r="K1124" s="211" t="s">
        <v>1454</v>
      </c>
    </row>
    <row r="1125" spans="1:11" ht="66.75">
      <c r="A1125" s="204">
        <v>1123</v>
      </c>
      <c r="B1125" s="205">
        <v>45880</v>
      </c>
      <c r="C1125" s="265" t="s">
        <v>830</v>
      </c>
      <c r="D1125" s="204">
        <v>2025</v>
      </c>
      <c r="E1125" s="204" t="s">
        <v>1431</v>
      </c>
      <c r="F1125" s="204" t="s">
        <v>2613</v>
      </c>
      <c r="G1125" s="206" t="s">
        <v>88</v>
      </c>
      <c r="H1125" s="207" t="s">
        <v>2641</v>
      </c>
      <c r="I1125" s="156" t="s">
        <v>26</v>
      </c>
      <c r="J1125" s="204" t="s">
        <v>2568</v>
      </c>
      <c r="K1125" s="207" t="s">
        <v>1548</v>
      </c>
    </row>
    <row r="1126" spans="1:11" ht="100.5">
      <c r="A1126" s="204">
        <v>1124</v>
      </c>
      <c r="B1126" s="208">
        <v>45881</v>
      </c>
      <c r="C1126" s="265" t="s">
        <v>830</v>
      </c>
      <c r="D1126" s="204">
        <v>2025</v>
      </c>
      <c r="E1126" s="209" t="s">
        <v>1431</v>
      </c>
      <c r="F1126" s="209" t="s">
        <v>2585</v>
      </c>
      <c r="G1126" s="210" t="s">
        <v>88</v>
      </c>
      <c r="H1126" s="211" t="s">
        <v>2642</v>
      </c>
      <c r="I1126" s="156" t="s">
        <v>26</v>
      </c>
      <c r="J1126" s="209" t="s">
        <v>452</v>
      </c>
      <c r="K1126" s="211" t="s">
        <v>1486</v>
      </c>
    </row>
    <row r="1127" spans="1:11" ht="100.5">
      <c r="A1127" s="204">
        <v>1125</v>
      </c>
      <c r="B1127" s="205">
        <v>45881</v>
      </c>
      <c r="C1127" s="265" t="s">
        <v>830</v>
      </c>
      <c r="D1127" s="204">
        <v>2025</v>
      </c>
      <c r="E1127" s="204" t="s">
        <v>1431</v>
      </c>
      <c r="F1127" s="204" t="s">
        <v>574</v>
      </c>
      <c r="G1127" s="206" t="s">
        <v>88</v>
      </c>
      <c r="H1127" s="207" t="s">
        <v>2643</v>
      </c>
      <c r="I1127" s="156" t="s">
        <v>26</v>
      </c>
      <c r="J1127" s="204" t="s">
        <v>578</v>
      </c>
      <c r="K1127" s="207" t="s">
        <v>1472</v>
      </c>
    </row>
    <row r="1128" spans="1:11" ht="117">
      <c r="A1128" s="204">
        <v>1126</v>
      </c>
      <c r="B1128" s="208">
        <v>45881</v>
      </c>
      <c r="C1128" s="265" t="s">
        <v>830</v>
      </c>
      <c r="D1128" s="204">
        <v>2025</v>
      </c>
      <c r="E1128" s="209" t="s">
        <v>1431</v>
      </c>
      <c r="F1128" s="209" t="s">
        <v>2644</v>
      </c>
      <c r="G1128" s="213" t="s">
        <v>821</v>
      </c>
      <c r="H1128" s="211" t="s">
        <v>2645</v>
      </c>
      <c r="I1128" s="156" t="s">
        <v>26</v>
      </c>
      <c r="J1128" s="209" t="s">
        <v>1543</v>
      </c>
      <c r="K1128" s="211"/>
    </row>
    <row r="1129" spans="1:11" ht="150.75">
      <c r="A1129" s="204">
        <v>1127</v>
      </c>
      <c r="B1129" s="205">
        <v>45881</v>
      </c>
      <c r="C1129" s="265" t="s">
        <v>830</v>
      </c>
      <c r="D1129" s="204">
        <v>2025</v>
      </c>
      <c r="E1129" s="204" t="s">
        <v>1431</v>
      </c>
      <c r="F1129" s="204" t="s">
        <v>1390</v>
      </c>
      <c r="G1129" s="206" t="s">
        <v>88</v>
      </c>
      <c r="H1129" s="207" t="s">
        <v>2646</v>
      </c>
      <c r="I1129" s="156" t="s">
        <v>26</v>
      </c>
      <c r="J1129" s="204" t="s">
        <v>2624</v>
      </c>
      <c r="K1129" s="207"/>
    </row>
    <row r="1130" spans="1:11" ht="50.25">
      <c r="A1130" s="204">
        <v>1128</v>
      </c>
      <c r="B1130" s="208">
        <v>45881</v>
      </c>
      <c r="C1130" s="265" t="s">
        <v>830</v>
      </c>
      <c r="D1130" s="204">
        <v>2025</v>
      </c>
      <c r="E1130" s="209" t="s">
        <v>1431</v>
      </c>
      <c r="F1130" s="209" t="s">
        <v>2244</v>
      </c>
      <c r="G1130" s="217" t="s">
        <v>859</v>
      </c>
      <c r="H1130" s="211" t="s">
        <v>2647</v>
      </c>
      <c r="I1130" s="156" t="s">
        <v>26</v>
      </c>
      <c r="J1130" s="209" t="s">
        <v>1904</v>
      </c>
      <c r="K1130" s="211"/>
    </row>
    <row r="1131" spans="1:11" ht="50.25">
      <c r="A1131" s="204">
        <v>1129</v>
      </c>
      <c r="B1131" s="205">
        <v>45881</v>
      </c>
      <c r="C1131" s="265" t="s">
        <v>830</v>
      </c>
      <c r="D1131" s="204">
        <v>2025</v>
      </c>
      <c r="E1131" s="204" t="s">
        <v>1431</v>
      </c>
      <c r="F1131" s="204" t="s">
        <v>216</v>
      </c>
      <c r="G1131" s="213" t="s">
        <v>821</v>
      </c>
      <c r="H1131" s="207" t="s">
        <v>2648</v>
      </c>
      <c r="I1131" s="156" t="s">
        <v>26</v>
      </c>
      <c r="J1131" s="204" t="s">
        <v>492</v>
      </c>
      <c r="K1131" s="207"/>
    </row>
    <row r="1132" spans="1:11" ht="50.25">
      <c r="A1132" s="204">
        <v>1130</v>
      </c>
      <c r="B1132" s="208">
        <v>45881</v>
      </c>
      <c r="C1132" s="265" t="s">
        <v>830</v>
      </c>
      <c r="D1132" s="204">
        <v>2025</v>
      </c>
      <c r="E1132" s="209" t="s">
        <v>1431</v>
      </c>
      <c r="F1132" s="209" t="s">
        <v>216</v>
      </c>
      <c r="G1132" s="213" t="s">
        <v>821</v>
      </c>
      <c r="H1132" s="211" t="s">
        <v>2649</v>
      </c>
      <c r="I1132" s="156" t="s">
        <v>26</v>
      </c>
      <c r="J1132" s="209" t="s">
        <v>492</v>
      </c>
      <c r="K1132" s="211"/>
    </row>
    <row r="1133" spans="1:11" ht="100.5">
      <c r="A1133" s="204">
        <v>1131</v>
      </c>
      <c r="B1133" s="205">
        <v>45881</v>
      </c>
      <c r="C1133" s="265" t="s">
        <v>830</v>
      </c>
      <c r="D1133" s="204">
        <v>2025</v>
      </c>
      <c r="E1133" s="204" t="s">
        <v>1431</v>
      </c>
      <c r="F1133" s="204" t="s">
        <v>2591</v>
      </c>
      <c r="G1133" s="214" t="s">
        <v>859</v>
      </c>
      <c r="H1133" s="207" t="s">
        <v>2650</v>
      </c>
      <c r="I1133" s="156" t="s">
        <v>26</v>
      </c>
      <c r="J1133" s="204" t="s">
        <v>925</v>
      </c>
      <c r="K1133" s="207" t="s">
        <v>1476</v>
      </c>
    </row>
    <row r="1134" spans="1:11" ht="117">
      <c r="A1134" s="204">
        <v>1132</v>
      </c>
      <c r="B1134" s="208">
        <v>45881</v>
      </c>
      <c r="C1134" s="265" t="s">
        <v>830</v>
      </c>
      <c r="D1134" s="204">
        <v>2025</v>
      </c>
      <c r="E1134" s="209" t="s">
        <v>1431</v>
      </c>
      <c r="F1134" s="209" t="s">
        <v>2591</v>
      </c>
      <c r="G1134" s="210" t="s">
        <v>88</v>
      </c>
      <c r="H1134" s="211" t="s">
        <v>2651</v>
      </c>
      <c r="I1134" s="156" t="s">
        <v>26</v>
      </c>
      <c r="J1134" s="209" t="s">
        <v>2593</v>
      </c>
      <c r="K1134" s="211" t="s">
        <v>1510</v>
      </c>
    </row>
    <row r="1135" spans="1:11" ht="50.25">
      <c r="A1135" s="204">
        <v>1133</v>
      </c>
      <c r="B1135" s="205">
        <v>45881</v>
      </c>
      <c r="C1135" s="265" t="s">
        <v>830</v>
      </c>
      <c r="D1135" s="204">
        <v>2025</v>
      </c>
      <c r="E1135" s="204" t="s">
        <v>1431</v>
      </c>
      <c r="F1135" s="204" t="s">
        <v>1566</v>
      </c>
      <c r="G1135" s="206" t="s">
        <v>88</v>
      </c>
      <c r="H1135" s="207" t="s">
        <v>2652</v>
      </c>
      <c r="I1135" s="156" t="s">
        <v>26</v>
      </c>
      <c r="J1135" s="204" t="s">
        <v>1453</v>
      </c>
      <c r="K1135" s="207"/>
    </row>
    <row r="1136" spans="1:11" ht="50.25">
      <c r="A1136" s="204">
        <v>1134</v>
      </c>
      <c r="B1136" s="208">
        <v>45881</v>
      </c>
      <c r="C1136" s="265" t="s">
        <v>830</v>
      </c>
      <c r="D1136" s="204">
        <v>2025</v>
      </c>
      <c r="E1136" s="209" t="s">
        <v>1431</v>
      </c>
      <c r="F1136" s="209" t="s">
        <v>21</v>
      </c>
      <c r="G1136" s="213" t="s">
        <v>821</v>
      </c>
      <c r="H1136" s="211" t="s">
        <v>2653</v>
      </c>
      <c r="I1136" s="156" t="s">
        <v>26</v>
      </c>
      <c r="J1136" s="209" t="s">
        <v>468</v>
      </c>
      <c r="K1136" s="211"/>
    </row>
    <row r="1137" spans="1:11" ht="33.75">
      <c r="A1137" s="204">
        <v>1135</v>
      </c>
      <c r="B1137" s="205">
        <v>45881</v>
      </c>
      <c r="C1137" s="265" t="s">
        <v>830</v>
      </c>
      <c r="D1137" s="204">
        <v>2025</v>
      </c>
      <c r="E1137" s="204" t="s">
        <v>1431</v>
      </c>
      <c r="F1137" s="204" t="s">
        <v>2613</v>
      </c>
      <c r="G1137" s="214" t="s">
        <v>859</v>
      </c>
      <c r="H1137" s="207" t="s">
        <v>2654</v>
      </c>
      <c r="I1137" s="156" t="s">
        <v>26</v>
      </c>
      <c r="J1137" s="204" t="s">
        <v>2568</v>
      </c>
      <c r="K1137" s="207"/>
    </row>
    <row r="1138" spans="1:11" ht="134.25">
      <c r="A1138" s="204">
        <v>1136</v>
      </c>
      <c r="B1138" s="208">
        <v>45881</v>
      </c>
      <c r="C1138" s="265" t="s">
        <v>830</v>
      </c>
      <c r="D1138" s="204">
        <v>2025</v>
      </c>
      <c r="E1138" s="209" t="s">
        <v>1431</v>
      </c>
      <c r="F1138" s="209" t="s">
        <v>2591</v>
      </c>
      <c r="G1138" s="217" t="s">
        <v>859</v>
      </c>
      <c r="H1138" s="211" t="s">
        <v>2655</v>
      </c>
      <c r="I1138" s="156" t="s">
        <v>26</v>
      </c>
      <c r="J1138" s="209" t="s">
        <v>2593</v>
      </c>
      <c r="K1138" s="211" t="s">
        <v>1476</v>
      </c>
    </row>
    <row r="1139" spans="1:11" ht="100.5">
      <c r="A1139" s="204">
        <v>1137</v>
      </c>
      <c r="B1139" s="205">
        <v>45881</v>
      </c>
      <c r="C1139" s="265" t="s">
        <v>830</v>
      </c>
      <c r="D1139" s="204">
        <v>2025</v>
      </c>
      <c r="E1139" s="204" t="s">
        <v>1431</v>
      </c>
      <c r="F1139" s="204" t="s">
        <v>2591</v>
      </c>
      <c r="G1139" s="214" t="s">
        <v>859</v>
      </c>
      <c r="H1139" s="207" t="s">
        <v>2656</v>
      </c>
      <c r="I1139" s="156" t="s">
        <v>26</v>
      </c>
      <c r="J1139" s="204" t="s">
        <v>2593</v>
      </c>
      <c r="K1139" s="207" t="s">
        <v>1476</v>
      </c>
    </row>
    <row r="1140" spans="1:11" ht="84">
      <c r="A1140" s="204">
        <v>1138</v>
      </c>
      <c r="B1140" s="208">
        <v>45881</v>
      </c>
      <c r="C1140" s="265" t="s">
        <v>830</v>
      </c>
      <c r="D1140" s="204">
        <v>2025</v>
      </c>
      <c r="E1140" s="209" t="s">
        <v>1431</v>
      </c>
      <c r="F1140" s="209" t="s">
        <v>2591</v>
      </c>
      <c r="G1140" s="210" t="s">
        <v>88</v>
      </c>
      <c r="H1140" s="211" t="s">
        <v>2657</v>
      </c>
      <c r="I1140" s="156" t="s">
        <v>26</v>
      </c>
      <c r="J1140" s="209" t="s">
        <v>2593</v>
      </c>
      <c r="K1140" s="211" t="s">
        <v>1500</v>
      </c>
    </row>
    <row r="1141" spans="1:11" ht="50.25">
      <c r="A1141" s="204">
        <v>1139</v>
      </c>
      <c r="B1141" s="205">
        <v>45882</v>
      </c>
      <c r="C1141" s="265" t="s">
        <v>830</v>
      </c>
      <c r="D1141" s="204">
        <v>2025</v>
      </c>
      <c r="E1141" s="204" t="s">
        <v>1431</v>
      </c>
      <c r="F1141" s="204" t="s">
        <v>216</v>
      </c>
      <c r="G1141" s="213" t="s">
        <v>821</v>
      </c>
      <c r="H1141" s="207" t="s">
        <v>2658</v>
      </c>
      <c r="I1141" s="156" t="s">
        <v>26</v>
      </c>
      <c r="J1141" s="204" t="s">
        <v>492</v>
      </c>
      <c r="K1141" s="207"/>
    </row>
    <row r="1142" spans="1:11" ht="16.5">
      <c r="A1142" s="204">
        <v>1140</v>
      </c>
      <c r="B1142" s="208">
        <v>45882</v>
      </c>
      <c r="C1142" s="265" t="s">
        <v>830</v>
      </c>
      <c r="D1142" s="204">
        <v>2025</v>
      </c>
      <c r="E1142" s="209" t="s">
        <v>1431</v>
      </c>
      <c r="F1142" s="209" t="s">
        <v>216</v>
      </c>
      <c r="G1142" s="213" t="s">
        <v>821</v>
      </c>
      <c r="H1142" s="211" t="s">
        <v>2659</v>
      </c>
      <c r="I1142" s="156" t="s">
        <v>26</v>
      </c>
      <c r="J1142" s="209" t="s">
        <v>492</v>
      </c>
      <c r="K1142" s="211"/>
    </row>
    <row r="1143" spans="1:11" ht="134.25">
      <c r="A1143" s="204">
        <v>1141</v>
      </c>
      <c r="B1143" s="205">
        <v>45882</v>
      </c>
      <c r="C1143" s="265" t="s">
        <v>830</v>
      </c>
      <c r="D1143" s="204">
        <v>2025</v>
      </c>
      <c r="E1143" s="204" t="s">
        <v>1431</v>
      </c>
      <c r="F1143" s="204" t="s">
        <v>2591</v>
      </c>
      <c r="G1143" s="214" t="s">
        <v>859</v>
      </c>
      <c r="H1143" s="207" t="s">
        <v>2660</v>
      </c>
      <c r="I1143" s="156" t="s">
        <v>26</v>
      </c>
      <c r="J1143" s="204" t="s">
        <v>578</v>
      </c>
      <c r="K1143" s="207" t="s">
        <v>1497</v>
      </c>
    </row>
    <row r="1144" spans="1:11" ht="33.75">
      <c r="A1144" s="204">
        <v>1142</v>
      </c>
      <c r="B1144" s="208">
        <v>45882</v>
      </c>
      <c r="C1144" s="265" t="s">
        <v>830</v>
      </c>
      <c r="D1144" s="204">
        <v>2025</v>
      </c>
      <c r="E1144" s="209" t="s">
        <v>1431</v>
      </c>
      <c r="F1144" s="209" t="s">
        <v>2591</v>
      </c>
      <c r="G1144" s="217" t="s">
        <v>859</v>
      </c>
      <c r="H1144" s="211" t="s">
        <v>2661</v>
      </c>
      <c r="I1144" s="156" t="s">
        <v>26</v>
      </c>
      <c r="J1144" s="209" t="s">
        <v>2593</v>
      </c>
      <c r="K1144" s="211"/>
    </row>
    <row r="1145" spans="1:11" ht="117">
      <c r="A1145" s="204">
        <v>1143</v>
      </c>
      <c r="B1145" s="205">
        <v>45882</v>
      </c>
      <c r="C1145" s="265" t="s">
        <v>830</v>
      </c>
      <c r="D1145" s="204">
        <v>2025</v>
      </c>
      <c r="E1145" s="204" t="s">
        <v>1431</v>
      </c>
      <c r="F1145" s="204" t="s">
        <v>2591</v>
      </c>
      <c r="G1145" s="206" t="s">
        <v>88</v>
      </c>
      <c r="H1145" s="207" t="s">
        <v>2662</v>
      </c>
      <c r="I1145" s="156" t="s">
        <v>26</v>
      </c>
      <c r="J1145" s="204" t="s">
        <v>2593</v>
      </c>
      <c r="K1145" s="207" t="s">
        <v>1522</v>
      </c>
    </row>
    <row r="1146" spans="1:11" ht="100.5">
      <c r="A1146" s="204">
        <v>1144</v>
      </c>
      <c r="B1146" s="208">
        <v>45883</v>
      </c>
      <c r="C1146" s="265" t="s">
        <v>830</v>
      </c>
      <c r="D1146" s="204">
        <v>2025</v>
      </c>
      <c r="E1146" s="209" t="s">
        <v>1431</v>
      </c>
      <c r="F1146" s="209" t="s">
        <v>1566</v>
      </c>
      <c r="G1146" s="210" t="s">
        <v>88</v>
      </c>
      <c r="H1146" s="211" t="s">
        <v>2663</v>
      </c>
      <c r="I1146" s="156" t="s">
        <v>26</v>
      </c>
      <c r="J1146" s="209" t="s">
        <v>2640</v>
      </c>
      <c r="K1146" s="211" t="s">
        <v>1454</v>
      </c>
    </row>
    <row r="1147" spans="1:11" ht="84">
      <c r="A1147" s="204">
        <v>1145</v>
      </c>
      <c r="B1147" s="205">
        <v>45883</v>
      </c>
      <c r="C1147" s="265" t="s">
        <v>830</v>
      </c>
      <c r="D1147" s="204">
        <v>2025</v>
      </c>
      <c r="E1147" s="204" t="s">
        <v>1431</v>
      </c>
      <c r="F1147" s="204" t="s">
        <v>1566</v>
      </c>
      <c r="G1147" s="206" t="s">
        <v>88</v>
      </c>
      <c r="H1147" s="207" t="s">
        <v>2664</v>
      </c>
      <c r="I1147" s="156" t="s">
        <v>26</v>
      </c>
      <c r="J1147" s="204" t="s">
        <v>2640</v>
      </c>
      <c r="K1147" s="207" t="s">
        <v>1444</v>
      </c>
    </row>
    <row r="1148" spans="1:11" ht="33.75">
      <c r="A1148" s="204">
        <v>1146</v>
      </c>
      <c r="B1148" s="208">
        <v>45883</v>
      </c>
      <c r="C1148" s="265" t="s">
        <v>830</v>
      </c>
      <c r="D1148" s="204">
        <v>2025</v>
      </c>
      <c r="E1148" s="209" t="s">
        <v>1431</v>
      </c>
      <c r="F1148" s="209" t="s">
        <v>1566</v>
      </c>
      <c r="G1148" s="210" t="s">
        <v>88</v>
      </c>
      <c r="H1148" s="211" t="s">
        <v>2665</v>
      </c>
      <c r="I1148" s="156" t="s">
        <v>26</v>
      </c>
      <c r="J1148" s="209" t="s">
        <v>2640</v>
      </c>
      <c r="K1148" s="211"/>
    </row>
    <row r="1149" spans="1:11" ht="66.75">
      <c r="A1149" s="204">
        <v>1147</v>
      </c>
      <c r="B1149" s="205">
        <v>45883</v>
      </c>
      <c r="C1149" s="265" t="s">
        <v>830</v>
      </c>
      <c r="D1149" s="204">
        <v>2025</v>
      </c>
      <c r="E1149" s="204" t="s">
        <v>1431</v>
      </c>
      <c r="F1149" s="204" t="s">
        <v>216</v>
      </c>
      <c r="G1149" s="213" t="s">
        <v>821</v>
      </c>
      <c r="H1149" s="207" t="s">
        <v>2666</v>
      </c>
      <c r="I1149" s="156" t="s">
        <v>26</v>
      </c>
      <c r="J1149" s="204" t="s">
        <v>492</v>
      </c>
      <c r="K1149" s="207"/>
    </row>
    <row r="1150" spans="1:11" ht="66.75">
      <c r="A1150" s="204">
        <v>1148</v>
      </c>
      <c r="B1150" s="208">
        <v>45883</v>
      </c>
      <c r="C1150" s="265" t="s">
        <v>830</v>
      </c>
      <c r="D1150" s="204">
        <v>2025</v>
      </c>
      <c r="E1150" s="209" t="s">
        <v>1431</v>
      </c>
      <c r="F1150" s="209" t="s">
        <v>2591</v>
      </c>
      <c r="G1150" s="210" t="s">
        <v>88</v>
      </c>
      <c r="H1150" s="211" t="s">
        <v>2667</v>
      </c>
      <c r="I1150" s="156" t="s">
        <v>26</v>
      </c>
      <c r="J1150" s="209" t="s">
        <v>2593</v>
      </c>
      <c r="K1150" s="211"/>
    </row>
    <row r="1151" spans="1:11" ht="100.5">
      <c r="A1151" s="204">
        <v>1149</v>
      </c>
      <c r="B1151" s="205">
        <v>45883</v>
      </c>
      <c r="C1151" s="265" t="s">
        <v>830</v>
      </c>
      <c r="D1151" s="204">
        <v>2025</v>
      </c>
      <c r="E1151" s="204" t="s">
        <v>1431</v>
      </c>
      <c r="F1151" s="204" t="s">
        <v>2591</v>
      </c>
      <c r="G1151" s="206" t="s">
        <v>88</v>
      </c>
      <c r="H1151" s="207" t="s">
        <v>2668</v>
      </c>
      <c r="I1151" s="156" t="s">
        <v>26</v>
      </c>
      <c r="J1151" s="204" t="s">
        <v>2593</v>
      </c>
      <c r="K1151" s="207" t="s">
        <v>1500</v>
      </c>
    </row>
    <row r="1152" spans="1:11" ht="100.5">
      <c r="A1152" s="204">
        <v>1150</v>
      </c>
      <c r="B1152" s="208">
        <v>45884</v>
      </c>
      <c r="C1152" s="265" t="s">
        <v>830</v>
      </c>
      <c r="D1152" s="204">
        <v>2025</v>
      </c>
      <c r="E1152" s="209" t="s">
        <v>1431</v>
      </c>
      <c r="F1152" s="209" t="s">
        <v>2595</v>
      </c>
      <c r="G1152" s="210" t="s">
        <v>88</v>
      </c>
      <c r="H1152" s="211" t="s">
        <v>2669</v>
      </c>
      <c r="I1152" s="156" t="s">
        <v>26</v>
      </c>
      <c r="J1152" s="209" t="s">
        <v>578</v>
      </c>
      <c r="K1152" s="211" t="s">
        <v>1472</v>
      </c>
    </row>
    <row r="1153" spans="1:11" ht="33.75">
      <c r="A1153" s="204">
        <v>1151</v>
      </c>
      <c r="B1153" s="205">
        <v>45884</v>
      </c>
      <c r="C1153" s="265" t="s">
        <v>830</v>
      </c>
      <c r="D1153" s="204">
        <v>2025</v>
      </c>
      <c r="E1153" s="204" t="s">
        <v>1431</v>
      </c>
      <c r="F1153" s="204" t="s">
        <v>21</v>
      </c>
      <c r="G1153" s="213" t="s">
        <v>821</v>
      </c>
      <c r="H1153" s="207" t="s">
        <v>2670</v>
      </c>
      <c r="I1153" s="156" t="s">
        <v>26</v>
      </c>
      <c r="J1153" s="204" t="s">
        <v>149</v>
      </c>
      <c r="K1153" s="207"/>
    </row>
    <row r="1154" spans="1:11" ht="66.75">
      <c r="A1154" s="204">
        <v>1152</v>
      </c>
      <c r="B1154" s="208">
        <v>45884</v>
      </c>
      <c r="C1154" s="265" t="s">
        <v>830</v>
      </c>
      <c r="D1154" s="204">
        <v>2025</v>
      </c>
      <c r="E1154" s="209" t="s">
        <v>1431</v>
      </c>
      <c r="F1154" s="209" t="s">
        <v>1225</v>
      </c>
      <c r="G1154" s="217" t="s">
        <v>859</v>
      </c>
      <c r="H1154" s="211" t="s">
        <v>2671</v>
      </c>
      <c r="I1154" s="156" t="s">
        <v>26</v>
      </c>
      <c r="J1154" s="209" t="s">
        <v>925</v>
      </c>
      <c r="K1154" s="211"/>
    </row>
    <row r="1155" spans="1:11" ht="84">
      <c r="A1155" s="204">
        <v>1153</v>
      </c>
      <c r="B1155" s="205">
        <v>45884</v>
      </c>
      <c r="C1155" s="265" t="s">
        <v>830</v>
      </c>
      <c r="D1155" s="204">
        <v>2025</v>
      </c>
      <c r="E1155" s="204" t="s">
        <v>1431</v>
      </c>
      <c r="F1155" s="204" t="s">
        <v>1506</v>
      </c>
      <c r="G1155" s="206" t="s">
        <v>88</v>
      </c>
      <c r="H1155" s="207" t="s">
        <v>2672</v>
      </c>
      <c r="I1155" s="156" t="s">
        <v>26</v>
      </c>
      <c r="J1155" s="204" t="s">
        <v>1904</v>
      </c>
      <c r="K1155" s="207" t="s">
        <v>1500</v>
      </c>
    </row>
    <row r="1156" spans="1:11" ht="134.25">
      <c r="A1156" s="204">
        <v>1154</v>
      </c>
      <c r="B1156" s="208">
        <v>45884</v>
      </c>
      <c r="C1156" s="265" t="s">
        <v>830</v>
      </c>
      <c r="D1156" s="204">
        <v>2025</v>
      </c>
      <c r="E1156" s="209" t="s">
        <v>1431</v>
      </c>
      <c r="F1156" s="209" t="s">
        <v>216</v>
      </c>
      <c r="G1156" s="213" t="s">
        <v>821</v>
      </c>
      <c r="H1156" s="211" t="s">
        <v>2673</v>
      </c>
      <c r="I1156" s="156" t="s">
        <v>26</v>
      </c>
      <c r="J1156" s="209" t="s">
        <v>492</v>
      </c>
      <c r="K1156" s="211" t="s">
        <v>1601</v>
      </c>
    </row>
    <row r="1157" spans="1:11" ht="33.75">
      <c r="A1157" s="204">
        <v>1155</v>
      </c>
      <c r="B1157" s="205">
        <v>45884</v>
      </c>
      <c r="C1157" s="265" t="s">
        <v>830</v>
      </c>
      <c r="D1157" s="204">
        <v>2025</v>
      </c>
      <c r="E1157" s="204" t="s">
        <v>1431</v>
      </c>
      <c r="F1157" s="204" t="s">
        <v>216</v>
      </c>
      <c r="G1157" s="213" t="s">
        <v>821</v>
      </c>
      <c r="H1157" s="207" t="s">
        <v>2674</v>
      </c>
      <c r="I1157" s="156" t="s">
        <v>26</v>
      </c>
      <c r="J1157" s="204" t="s">
        <v>492</v>
      </c>
      <c r="K1157" s="207"/>
    </row>
    <row r="1158" spans="1:11" ht="33.75">
      <c r="A1158" s="204">
        <v>1156</v>
      </c>
      <c r="B1158" s="208">
        <v>45884</v>
      </c>
      <c r="C1158" s="265" t="s">
        <v>830</v>
      </c>
      <c r="D1158" s="204">
        <v>2025</v>
      </c>
      <c r="E1158" s="209" t="s">
        <v>1431</v>
      </c>
      <c r="F1158" s="209" t="s">
        <v>1566</v>
      </c>
      <c r="G1158" s="210" t="s">
        <v>88</v>
      </c>
      <c r="H1158" s="211" t="s">
        <v>2675</v>
      </c>
      <c r="I1158" s="156" t="s">
        <v>26</v>
      </c>
      <c r="J1158" s="209" t="s">
        <v>1588</v>
      </c>
      <c r="K1158" s="211"/>
    </row>
    <row r="1159" spans="1:11" ht="66.75">
      <c r="A1159" s="204">
        <v>1157</v>
      </c>
      <c r="B1159" s="205">
        <v>45884</v>
      </c>
      <c r="C1159" s="265" t="s">
        <v>830</v>
      </c>
      <c r="D1159" s="204">
        <v>2025</v>
      </c>
      <c r="E1159" s="204" t="s">
        <v>1431</v>
      </c>
      <c r="F1159" s="204" t="s">
        <v>1566</v>
      </c>
      <c r="G1159" s="206" t="s">
        <v>88</v>
      </c>
      <c r="H1159" s="207" t="s">
        <v>2676</v>
      </c>
      <c r="I1159" s="156" t="s">
        <v>26</v>
      </c>
      <c r="J1159" s="204" t="s">
        <v>1588</v>
      </c>
      <c r="K1159" s="207"/>
    </row>
    <row r="1160" spans="1:11" ht="66.75">
      <c r="A1160" s="204">
        <v>1158</v>
      </c>
      <c r="B1160" s="208">
        <v>45884</v>
      </c>
      <c r="C1160" s="265" t="s">
        <v>830</v>
      </c>
      <c r="D1160" s="204">
        <v>2025</v>
      </c>
      <c r="E1160" s="209" t="s">
        <v>1431</v>
      </c>
      <c r="F1160" s="209" t="s">
        <v>2677</v>
      </c>
      <c r="G1160" s="212" t="s">
        <v>1439</v>
      </c>
      <c r="H1160" s="211" t="s">
        <v>2678</v>
      </c>
      <c r="I1160" s="156" t="s">
        <v>26</v>
      </c>
      <c r="J1160" s="209" t="s">
        <v>910</v>
      </c>
      <c r="K1160" s="211"/>
    </row>
    <row r="1161" spans="1:11" ht="33.75">
      <c r="A1161" s="204">
        <v>1159</v>
      </c>
      <c r="B1161" s="205">
        <v>45887</v>
      </c>
      <c r="C1161" s="265" t="s">
        <v>830</v>
      </c>
      <c r="D1161" s="204">
        <v>2025</v>
      </c>
      <c r="E1161" s="204" t="s">
        <v>1431</v>
      </c>
      <c r="F1161" s="204" t="s">
        <v>21</v>
      </c>
      <c r="G1161" s="213" t="s">
        <v>821</v>
      </c>
      <c r="H1161" s="207" t="s">
        <v>2679</v>
      </c>
      <c r="I1161" s="156" t="s">
        <v>26</v>
      </c>
      <c r="J1161" s="204" t="s">
        <v>149</v>
      </c>
      <c r="K1161" s="207"/>
    </row>
    <row r="1162" spans="1:11" ht="33.75">
      <c r="A1162" s="204">
        <v>1160</v>
      </c>
      <c r="B1162" s="208">
        <v>45887</v>
      </c>
      <c r="C1162" s="265" t="s">
        <v>830</v>
      </c>
      <c r="D1162" s="204">
        <v>2025</v>
      </c>
      <c r="E1162" s="209" t="s">
        <v>1431</v>
      </c>
      <c r="F1162" s="209" t="s">
        <v>2244</v>
      </c>
      <c r="G1162" s="217" t="s">
        <v>859</v>
      </c>
      <c r="H1162" s="211" t="s">
        <v>2680</v>
      </c>
      <c r="I1162" s="156" t="s">
        <v>26</v>
      </c>
      <c r="J1162" s="209" t="s">
        <v>923</v>
      </c>
      <c r="K1162" s="211"/>
    </row>
    <row r="1163" spans="1:11" ht="84">
      <c r="A1163" s="204">
        <v>1161</v>
      </c>
      <c r="B1163" s="205">
        <v>45887</v>
      </c>
      <c r="C1163" s="265" t="s">
        <v>830</v>
      </c>
      <c r="D1163" s="204">
        <v>2025</v>
      </c>
      <c r="E1163" s="204" t="s">
        <v>1431</v>
      </c>
      <c r="F1163" s="204" t="s">
        <v>1506</v>
      </c>
      <c r="G1163" s="206" t="s">
        <v>88</v>
      </c>
      <c r="H1163" s="207" t="s">
        <v>2681</v>
      </c>
      <c r="I1163" s="156" t="s">
        <v>26</v>
      </c>
      <c r="J1163" s="204" t="s">
        <v>1904</v>
      </c>
      <c r="K1163" s="207"/>
    </row>
    <row r="1164" spans="1:11" ht="84">
      <c r="A1164" s="204">
        <v>1162</v>
      </c>
      <c r="B1164" s="208">
        <v>45887</v>
      </c>
      <c r="C1164" s="265" t="s">
        <v>830</v>
      </c>
      <c r="D1164" s="204">
        <v>2025</v>
      </c>
      <c r="E1164" s="209" t="s">
        <v>1431</v>
      </c>
      <c r="F1164" s="209" t="s">
        <v>1506</v>
      </c>
      <c r="G1164" s="210" t="s">
        <v>88</v>
      </c>
      <c r="H1164" s="211" t="s">
        <v>2682</v>
      </c>
      <c r="I1164" s="156" t="s">
        <v>26</v>
      </c>
      <c r="J1164" s="209" t="s">
        <v>1904</v>
      </c>
      <c r="K1164" s="211" t="s">
        <v>1500</v>
      </c>
    </row>
    <row r="1165" spans="1:11" ht="50.25">
      <c r="A1165" s="204">
        <v>1163</v>
      </c>
      <c r="B1165" s="205">
        <v>45887</v>
      </c>
      <c r="C1165" s="265" t="s">
        <v>830</v>
      </c>
      <c r="D1165" s="204">
        <v>2025</v>
      </c>
      <c r="E1165" s="204" t="s">
        <v>1431</v>
      </c>
      <c r="F1165" s="204" t="s">
        <v>1506</v>
      </c>
      <c r="G1165" s="206" t="s">
        <v>88</v>
      </c>
      <c r="H1165" s="207" t="s">
        <v>2683</v>
      </c>
      <c r="I1165" s="156" t="s">
        <v>26</v>
      </c>
      <c r="J1165" s="204" t="s">
        <v>1904</v>
      </c>
      <c r="K1165" s="207"/>
    </row>
    <row r="1166" spans="1:11" ht="117">
      <c r="A1166" s="204">
        <v>1164</v>
      </c>
      <c r="B1166" s="208">
        <v>45887</v>
      </c>
      <c r="C1166" s="265" t="s">
        <v>830</v>
      </c>
      <c r="D1166" s="204">
        <v>2025</v>
      </c>
      <c r="E1166" s="209" t="s">
        <v>1431</v>
      </c>
      <c r="F1166" s="209" t="s">
        <v>1506</v>
      </c>
      <c r="G1166" s="210" t="s">
        <v>88</v>
      </c>
      <c r="H1166" s="211" t="s">
        <v>2684</v>
      </c>
      <c r="I1166" s="156" t="s">
        <v>26</v>
      </c>
      <c r="J1166" s="209" t="s">
        <v>1904</v>
      </c>
      <c r="K1166" s="211" t="s">
        <v>1500</v>
      </c>
    </row>
    <row r="1167" spans="1:11" ht="50.25">
      <c r="A1167" s="204">
        <v>1165</v>
      </c>
      <c r="B1167" s="205">
        <v>45887</v>
      </c>
      <c r="C1167" s="265" t="s">
        <v>830</v>
      </c>
      <c r="D1167" s="204">
        <v>2025</v>
      </c>
      <c r="E1167" s="204" t="s">
        <v>1431</v>
      </c>
      <c r="F1167" s="204" t="s">
        <v>216</v>
      </c>
      <c r="G1167" s="213" t="s">
        <v>821</v>
      </c>
      <c r="H1167" s="207" t="s">
        <v>2685</v>
      </c>
      <c r="I1167" s="156" t="s">
        <v>26</v>
      </c>
      <c r="J1167" s="204" t="s">
        <v>492</v>
      </c>
      <c r="K1167" s="207"/>
    </row>
    <row r="1168" spans="1:11" ht="50.25">
      <c r="A1168" s="204">
        <v>1166</v>
      </c>
      <c r="B1168" s="208">
        <v>45887</v>
      </c>
      <c r="C1168" s="265" t="s">
        <v>830</v>
      </c>
      <c r="D1168" s="204">
        <v>2025</v>
      </c>
      <c r="E1168" s="209" t="s">
        <v>1431</v>
      </c>
      <c r="F1168" s="209" t="s">
        <v>21</v>
      </c>
      <c r="G1168" s="213" t="s">
        <v>821</v>
      </c>
      <c r="H1168" s="211" t="s">
        <v>2686</v>
      </c>
      <c r="I1168" s="156" t="s">
        <v>26</v>
      </c>
      <c r="J1168" s="209" t="s">
        <v>149</v>
      </c>
      <c r="K1168" s="211"/>
    </row>
    <row r="1169" spans="1:11" ht="100.5">
      <c r="A1169" s="204">
        <v>1167</v>
      </c>
      <c r="B1169" s="205">
        <v>45887</v>
      </c>
      <c r="C1169" s="265" t="s">
        <v>830</v>
      </c>
      <c r="D1169" s="204">
        <v>2025</v>
      </c>
      <c r="E1169" s="204" t="s">
        <v>1431</v>
      </c>
      <c r="F1169" s="204" t="s">
        <v>1508</v>
      </c>
      <c r="G1169" s="206" t="s">
        <v>88</v>
      </c>
      <c r="H1169" s="207" t="s">
        <v>2687</v>
      </c>
      <c r="I1169" s="156" t="s">
        <v>26</v>
      </c>
      <c r="J1169" s="204" t="s">
        <v>2688</v>
      </c>
      <c r="K1169" s="207" t="s">
        <v>1472</v>
      </c>
    </row>
    <row r="1170" spans="1:11" ht="100.5">
      <c r="A1170" s="204">
        <v>1168</v>
      </c>
      <c r="B1170" s="208">
        <v>45887</v>
      </c>
      <c r="C1170" s="265" t="s">
        <v>830</v>
      </c>
      <c r="D1170" s="204">
        <v>2025</v>
      </c>
      <c r="E1170" s="209" t="s">
        <v>1431</v>
      </c>
      <c r="F1170" s="209" t="s">
        <v>2591</v>
      </c>
      <c r="G1170" s="217" t="s">
        <v>859</v>
      </c>
      <c r="H1170" s="211" t="s">
        <v>2689</v>
      </c>
      <c r="I1170" s="156" t="s">
        <v>26</v>
      </c>
      <c r="J1170" s="209" t="s">
        <v>2593</v>
      </c>
      <c r="K1170" s="211" t="s">
        <v>1476</v>
      </c>
    </row>
    <row r="1171" spans="1:11" ht="66.75">
      <c r="A1171" s="204">
        <v>1169</v>
      </c>
      <c r="B1171" s="205">
        <v>45887</v>
      </c>
      <c r="C1171" s="265" t="s">
        <v>830</v>
      </c>
      <c r="D1171" s="204">
        <v>2025</v>
      </c>
      <c r="E1171" s="204" t="s">
        <v>2224</v>
      </c>
      <c r="F1171" s="204" t="s">
        <v>21</v>
      </c>
      <c r="G1171" s="213" t="s">
        <v>821</v>
      </c>
      <c r="H1171" s="207" t="s">
        <v>2690</v>
      </c>
      <c r="I1171" s="156" t="s">
        <v>26</v>
      </c>
      <c r="J1171" s="204" t="s">
        <v>468</v>
      </c>
      <c r="K1171" s="207"/>
    </row>
    <row r="1172" spans="1:11" ht="100.5">
      <c r="A1172" s="204">
        <v>1170</v>
      </c>
      <c r="B1172" s="208">
        <v>45887</v>
      </c>
      <c r="C1172" s="265" t="s">
        <v>830</v>
      </c>
      <c r="D1172" s="204">
        <v>2025</v>
      </c>
      <c r="E1172" s="209" t="s">
        <v>2224</v>
      </c>
      <c r="F1172" s="209" t="s">
        <v>2591</v>
      </c>
      <c r="G1172" s="210" t="s">
        <v>88</v>
      </c>
      <c r="H1172" s="211" t="s">
        <v>2691</v>
      </c>
      <c r="I1172" s="156" t="s">
        <v>26</v>
      </c>
      <c r="J1172" s="209" t="s">
        <v>2593</v>
      </c>
      <c r="K1172" s="211" t="s">
        <v>1472</v>
      </c>
    </row>
    <row r="1173" spans="1:11" ht="100.5">
      <c r="A1173" s="204">
        <v>1171</v>
      </c>
      <c r="B1173" s="205">
        <v>45887</v>
      </c>
      <c r="C1173" s="265" t="s">
        <v>830</v>
      </c>
      <c r="D1173" s="204">
        <v>2025</v>
      </c>
      <c r="E1173" s="204" t="s">
        <v>1431</v>
      </c>
      <c r="F1173" s="204" t="s">
        <v>2591</v>
      </c>
      <c r="G1173" s="214" t="s">
        <v>859</v>
      </c>
      <c r="H1173" s="207" t="s">
        <v>2692</v>
      </c>
      <c r="I1173" s="156" t="s">
        <v>26</v>
      </c>
      <c r="J1173" s="204" t="s">
        <v>2593</v>
      </c>
      <c r="K1173" s="207" t="s">
        <v>1476</v>
      </c>
    </row>
    <row r="1174" spans="1:11" ht="100.5">
      <c r="A1174" s="204">
        <v>1172</v>
      </c>
      <c r="B1174" s="208">
        <v>45887</v>
      </c>
      <c r="C1174" s="265" t="s">
        <v>830</v>
      </c>
      <c r="D1174" s="204">
        <v>2025</v>
      </c>
      <c r="E1174" s="209" t="s">
        <v>1431</v>
      </c>
      <c r="F1174" s="209" t="s">
        <v>2591</v>
      </c>
      <c r="G1174" s="217" t="s">
        <v>859</v>
      </c>
      <c r="H1174" s="211" t="s">
        <v>2693</v>
      </c>
      <c r="I1174" s="156" t="s">
        <v>26</v>
      </c>
      <c r="J1174" s="209" t="s">
        <v>2593</v>
      </c>
      <c r="K1174" s="211" t="s">
        <v>1476</v>
      </c>
    </row>
    <row r="1175" spans="1:11" ht="100.5">
      <c r="A1175" s="204">
        <v>1173</v>
      </c>
      <c r="B1175" s="205">
        <v>45887</v>
      </c>
      <c r="C1175" s="265" t="s">
        <v>830</v>
      </c>
      <c r="D1175" s="204">
        <v>2025</v>
      </c>
      <c r="E1175" s="204" t="s">
        <v>1431</v>
      </c>
      <c r="F1175" s="204" t="s">
        <v>2591</v>
      </c>
      <c r="G1175" s="213" t="s">
        <v>821</v>
      </c>
      <c r="H1175" s="207" t="s">
        <v>2694</v>
      </c>
      <c r="I1175" s="156" t="s">
        <v>26</v>
      </c>
      <c r="J1175" s="204" t="s">
        <v>2593</v>
      </c>
      <c r="K1175" s="207" t="s">
        <v>1448</v>
      </c>
    </row>
    <row r="1176" spans="1:11" ht="84">
      <c r="A1176" s="204">
        <v>1174</v>
      </c>
      <c r="B1176" s="208">
        <v>45887</v>
      </c>
      <c r="C1176" s="265" t="s">
        <v>830</v>
      </c>
      <c r="D1176" s="204">
        <v>2025</v>
      </c>
      <c r="E1176" s="209" t="s">
        <v>1431</v>
      </c>
      <c r="F1176" s="209" t="s">
        <v>2591</v>
      </c>
      <c r="G1176" s="210" t="s">
        <v>88</v>
      </c>
      <c r="H1176" s="211" t="s">
        <v>2695</v>
      </c>
      <c r="I1176" s="156" t="s">
        <v>26</v>
      </c>
      <c r="J1176" s="209" t="s">
        <v>2593</v>
      </c>
      <c r="K1176" s="211"/>
    </row>
    <row r="1177" spans="1:11" ht="100.5">
      <c r="A1177" s="204">
        <v>1175</v>
      </c>
      <c r="B1177" s="205">
        <v>45887</v>
      </c>
      <c r="C1177" s="265" t="s">
        <v>830</v>
      </c>
      <c r="D1177" s="204">
        <v>2025</v>
      </c>
      <c r="E1177" s="204" t="s">
        <v>1431</v>
      </c>
      <c r="F1177" s="204" t="s">
        <v>1566</v>
      </c>
      <c r="G1177" s="206" t="s">
        <v>88</v>
      </c>
      <c r="H1177" s="207" t="s">
        <v>2696</v>
      </c>
      <c r="I1177" s="156" t="s">
        <v>26</v>
      </c>
      <c r="J1177" s="204" t="s">
        <v>1588</v>
      </c>
      <c r="K1177" s="207" t="s">
        <v>1454</v>
      </c>
    </row>
    <row r="1178" spans="1:11" ht="84">
      <c r="A1178" s="204">
        <v>1176</v>
      </c>
      <c r="B1178" s="208">
        <v>45887</v>
      </c>
      <c r="C1178" s="265" t="s">
        <v>830</v>
      </c>
      <c r="D1178" s="204">
        <v>2025</v>
      </c>
      <c r="E1178" s="209" t="s">
        <v>1431</v>
      </c>
      <c r="F1178" s="209" t="s">
        <v>1566</v>
      </c>
      <c r="G1178" s="210" t="s">
        <v>88</v>
      </c>
      <c r="H1178" s="211" t="s">
        <v>2697</v>
      </c>
      <c r="I1178" s="156" t="s">
        <v>26</v>
      </c>
      <c r="J1178" s="209" t="s">
        <v>1588</v>
      </c>
      <c r="K1178" s="211" t="s">
        <v>1500</v>
      </c>
    </row>
    <row r="1179" spans="1:11" ht="66.75">
      <c r="A1179" s="204">
        <v>1177</v>
      </c>
      <c r="B1179" s="205">
        <v>45887</v>
      </c>
      <c r="C1179" s="265" t="s">
        <v>830</v>
      </c>
      <c r="D1179" s="204">
        <v>2025</v>
      </c>
      <c r="E1179" s="204" t="s">
        <v>1431</v>
      </c>
      <c r="F1179" s="204" t="s">
        <v>1566</v>
      </c>
      <c r="G1179" s="206" t="s">
        <v>88</v>
      </c>
      <c r="H1179" s="207" t="s">
        <v>2698</v>
      </c>
      <c r="I1179" s="156" t="s">
        <v>26</v>
      </c>
      <c r="J1179" s="204" t="s">
        <v>1588</v>
      </c>
      <c r="K1179" s="207" t="s">
        <v>1548</v>
      </c>
    </row>
    <row r="1180" spans="1:11" ht="84">
      <c r="A1180" s="204">
        <v>1178</v>
      </c>
      <c r="B1180" s="208">
        <v>45888</v>
      </c>
      <c r="C1180" s="265" t="s">
        <v>830</v>
      </c>
      <c r="D1180" s="204">
        <v>2025</v>
      </c>
      <c r="E1180" s="209" t="s">
        <v>1431</v>
      </c>
      <c r="F1180" s="209" t="s">
        <v>1511</v>
      </c>
      <c r="G1180" s="210" t="s">
        <v>88</v>
      </c>
      <c r="H1180" s="211" t="s">
        <v>2699</v>
      </c>
      <c r="I1180" s="156" t="s">
        <v>26</v>
      </c>
      <c r="J1180" s="209" t="s">
        <v>2700</v>
      </c>
      <c r="K1180" s="211" t="s">
        <v>1500</v>
      </c>
    </row>
    <row r="1181" spans="1:11" ht="66.75">
      <c r="A1181" s="204">
        <v>1179</v>
      </c>
      <c r="B1181" s="205">
        <v>45888</v>
      </c>
      <c r="C1181" s="265" t="s">
        <v>830</v>
      </c>
      <c r="D1181" s="204">
        <v>2025</v>
      </c>
      <c r="E1181" s="204" t="s">
        <v>1431</v>
      </c>
      <c r="F1181" s="204" t="s">
        <v>216</v>
      </c>
      <c r="G1181" s="213" t="s">
        <v>821</v>
      </c>
      <c r="H1181" s="207" t="s">
        <v>2701</v>
      </c>
      <c r="I1181" s="156" t="s">
        <v>26</v>
      </c>
      <c r="J1181" s="204" t="s">
        <v>923</v>
      </c>
      <c r="K1181" s="207"/>
    </row>
    <row r="1182" spans="1:11" ht="100.5">
      <c r="A1182" s="204">
        <v>1180</v>
      </c>
      <c r="B1182" s="208">
        <v>45888</v>
      </c>
      <c r="C1182" s="265" t="s">
        <v>830</v>
      </c>
      <c r="D1182" s="204">
        <v>2025</v>
      </c>
      <c r="E1182" s="209" t="s">
        <v>1431</v>
      </c>
      <c r="F1182" s="209" t="s">
        <v>1566</v>
      </c>
      <c r="G1182" s="210" t="s">
        <v>88</v>
      </c>
      <c r="H1182" s="211" t="s">
        <v>2702</v>
      </c>
      <c r="I1182" s="156" t="s">
        <v>26</v>
      </c>
      <c r="J1182" s="209" t="s">
        <v>1453</v>
      </c>
      <c r="K1182" s="211" t="s">
        <v>1478</v>
      </c>
    </row>
    <row r="1183" spans="1:11" ht="84">
      <c r="A1183" s="204">
        <v>1181</v>
      </c>
      <c r="B1183" s="205">
        <v>45888</v>
      </c>
      <c r="C1183" s="265" t="s">
        <v>830</v>
      </c>
      <c r="D1183" s="204">
        <v>2025</v>
      </c>
      <c r="E1183" s="204" t="s">
        <v>1431</v>
      </c>
      <c r="F1183" s="204" t="s">
        <v>1566</v>
      </c>
      <c r="G1183" s="206" t="s">
        <v>88</v>
      </c>
      <c r="H1183" s="207" t="s">
        <v>2703</v>
      </c>
      <c r="I1183" s="156" t="s">
        <v>26</v>
      </c>
      <c r="J1183" s="204" t="s">
        <v>1453</v>
      </c>
      <c r="K1183" s="207" t="s">
        <v>1500</v>
      </c>
    </row>
    <row r="1184" spans="1:11" ht="134.25">
      <c r="A1184" s="204">
        <v>1182</v>
      </c>
      <c r="B1184" s="208">
        <v>45888</v>
      </c>
      <c r="C1184" s="265" t="s">
        <v>830</v>
      </c>
      <c r="D1184" s="204">
        <v>2025</v>
      </c>
      <c r="E1184" s="209" t="s">
        <v>1431</v>
      </c>
      <c r="F1184" s="209" t="s">
        <v>1608</v>
      </c>
      <c r="G1184" s="212" t="s">
        <v>1439</v>
      </c>
      <c r="H1184" s="211" t="s">
        <v>2704</v>
      </c>
      <c r="I1184" s="156" t="s">
        <v>26</v>
      </c>
      <c r="J1184" s="209" t="s">
        <v>921</v>
      </c>
      <c r="K1184" s="211" t="s">
        <v>1442</v>
      </c>
    </row>
    <row r="1185" spans="1:11" ht="134.25">
      <c r="A1185" s="204">
        <v>1183</v>
      </c>
      <c r="B1185" s="205">
        <v>45888</v>
      </c>
      <c r="C1185" s="265" t="s">
        <v>830</v>
      </c>
      <c r="D1185" s="204">
        <v>2025</v>
      </c>
      <c r="E1185" s="204" t="s">
        <v>1431</v>
      </c>
      <c r="F1185" s="204" t="s">
        <v>1608</v>
      </c>
      <c r="G1185" s="212" t="s">
        <v>1439</v>
      </c>
      <c r="H1185" s="207" t="s">
        <v>2705</v>
      </c>
      <c r="I1185" s="156" t="s">
        <v>26</v>
      </c>
      <c r="J1185" s="204" t="s">
        <v>1493</v>
      </c>
      <c r="K1185" s="207" t="s">
        <v>1442</v>
      </c>
    </row>
    <row r="1186" spans="1:11" ht="134.25">
      <c r="A1186" s="204">
        <v>1184</v>
      </c>
      <c r="B1186" s="208">
        <v>45888</v>
      </c>
      <c r="C1186" s="265" t="s">
        <v>830</v>
      </c>
      <c r="D1186" s="204">
        <v>2025</v>
      </c>
      <c r="E1186" s="209" t="s">
        <v>1431</v>
      </c>
      <c r="F1186" s="209" t="s">
        <v>1608</v>
      </c>
      <c r="G1186" s="212" t="s">
        <v>1439</v>
      </c>
      <c r="H1186" s="211" t="s">
        <v>2706</v>
      </c>
      <c r="I1186" s="156" t="s">
        <v>26</v>
      </c>
      <c r="J1186" s="209" t="s">
        <v>158</v>
      </c>
      <c r="K1186" s="211" t="s">
        <v>1442</v>
      </c>
    </row>
    <row r="1187" spans="1:11" ht="33.75">
      <c r="A1187" s="204">
        <v>1185</v>
      </c>
      <c r="B1187" s="205">
        <v>45889</v>
      </c>
      <c r="C1187" s="265" t="s">
        <v>830</v>
      </c>
      <c r="D1187" s="204">
        <v>2025</v>
      </c>
      <c r="E1187" s="204" t="s">
        <v>1431</v>
      </c>
      <c r="F1187" s="204" t="s">
        <v>2244</v>
      </c>
      <c r="G1187" s="214" t="s">
        <v>859</v>
      </c>
      <c r="H1187" s="207" t="s">
        <v>2680</v>
      </c>
      <c r="I1187" s="156" t="s">
        <v>26</v>
      </c>
      <c r="J1187" s="204" t="s">
        <v>923</v>
      </c>
      <c r="K1187" s="207"/>
    </row>
    <row r="1188" spans="1:11" ht="66.75">
      <c r="A1188" s="204">
        <v>1186</v>
      </c>
      <c r="B1188" s="208">
        <v>45889</v>
      </c>
      <c r="C1188" s="265" t="s">
        <v>830</v>
      </c>
      <c r="D1188" s="204">
        <v>2025</v>
      </c>
      <c r="E1188" s="209" t="s">
        <v>1431</v>
      </c>
      <c r="F1188" s="209" t="s">
        <v>216</v>
      </c>
      <c r="G1188" s="213" t="s">
        <v>821</v>
      </c>
      <c r="H1188" s="211" t="s">
        <v>2707</v>
      </c>
      <c r="I1188" s="156" t="s">
        <v>26</v>
      </c>
      <c r="J1188" s="209" t="s">
        <v>492</v>
      </c>
      <c r="K1188" s="211"/>
    </row>
    <row r="1189" spans="1:11" ht="150.75">
      <c r="A1189" s="204">
        <v>1187</v>
      </c>
      <c r="B1189" s="205">
        <v>45889</v>
      </c>
      <c r="C1189" s="265" t="s">
        <v>830</v>
      </c>
      <c r="D1189" s="204">
        <v>2025</v>
      </c>
      <c r="E1189" s="204" t="s">
        <v>1431</v>
      </c>
      <c r="F1189" s="204" t="s">
        <v>21</v>
      </c>
      <c r="G1189" s="213" t="s">
        <v>821</v>
      </c>
      <c r="H1189" s="207" t="s">
        <v>2708</v>
      </c>
      <c r="I1189" s="156" t="s">
        <v>26</v>
      </c>
      <c r="J1189" s="204" t="s">
        <v>468</v>
      </c>
      <c r="K1189" s="207" t="s">
        <v>1513</v>
      </c>
    </row>
    <row r="1190" spans="1:11" ht="50.25">
      <c r="A1190" s="204">
        <v>1188</v>
      </c>
      <c r="B1190" s="208">
        <v>45889</v>
      </c>
      <c r="C1190" s="265" t="s">
        <v>830</v>
      </c>
      <c r="D1190" s="204">
        <v>2025</v>
      </c>
      <c r="E1190" s="209" t="s">
        <v>1431</v>
      </c>
      <c r="F1190" s="209" t="s">
        <v>2591</v>
      </c>
      <c r="G1190" s="210" t="s">
        <v>88</v>
      </c>
      <c r="H1190" s="211" t="s">
        <v>2709</v>
      </c>
      <c r="I1190" s="156" t="s">
        <v>26</v>
      </c>
      <c r="J1190" s="209" t="s">
        <v>2593</v>
      </c>
      <c r="K1190" s="211"/>
    </row>
    <row r="1191" spans="1:11" ht="66.75">
      <c r="A1191" s="204">
        <v>1189</v>
      </c>
      <c r="B1191" s="205">
        <v>45889</v>
      </c>
      <c r="C1191" s="265" t="s">
        <v>830</v>
      </c>
      <c r="D1191" s="204">
        <v>2025</v>
      </c>
      <c r="E1191" s="204" t="s">
        <v>1431</v>
      </c>
      <c r="F1191" s="204" t="s">
        <v>2591</v>
      </c>
      <c r="G1191" s="206" t="s">
        <v>88</v>
      </c>
      <c r="H1191" s="207" t="s">
        <v>2710</v>
      </c>
      <c r="I1191" s="156" t="s">
        <v>26</v>
      </c>
      <c r="J1191" s="204" t="s">
        <v>2593</v>
      </c>
      <c r="K1191" s="207"/>
    </row>
    <row r="1192" spans="1:11" ht="134.25">
      <c r="A1192" s="204">
        <v>1190</v>
      </c>
      <c r="B1192" s="208">
        <v>45889</v>
      </c>
      <c r="C1192" s="265" t="s">
        <v>830</v>
      </c>
      <c r="D1192" s="204">
        <v>2025</v>
      </c>
      <c r="E1192" s="209" t="s">
        <v>1431</v>
      </c>
      <c r="F1192" s="209" t="s">
        <v>2591</v>
      </c>
      <c r="G1192" s="212" t="s">
        <v>1439</v>
      </c>
      <c r="H1192" s="211" t="s">
        <v>2711</v>
      </c>
      <c r="I1192" s="156" t="s">
        <v>26</v>
      </c>
      <c r="J1192" s="209" t="s">
        <v>2593</v>
      </c>
      <c r="K1192" s="211" t="s">
        <v>1442</v>
      </c>
    </row>
    <row r="1193" spans="1:11" ht="100.5">
      <c r="A1193" s="204">
        <v>1191</v>
      </c>
      <c r="B1193" s="205">
        <v>45889</v>
      </c>
      <c r="C1193" s="265" t="s">
        <v>830</v>
      </c>
      <c r="D1193" s="204">
        <v>2025</v>
      </c>
      <c r="E1193" s="204" t="s">
        <v>1431</v>
      </c>
      <c r="F1193" s="204" t="s">
        <v>1566</v>
      </c>
      <c r="G1193" s="206" t="s">
        <v>88</v>
      </c>
      <c r="H1193" s="207" t="s">
        <v>2712</v>
      </c>
      <c r="I1193" s="156" t="s">
        <v>26</v>
      </c>
      <c r="J1193" s="204" t="s">
        <v>1453</v>
      </c>
      <c r="K1193" s="207" t="s">
        <v>1478</v>
      </c>
    </row>
    <row r="1194" spans="1:11" ht="84">
      <c r="A1194" s="204">
        <v>1192</v>
      </c>
      <c r="B1194" s="208">
        <v>45889</v>
      </c>
      <c r="C1194" s="265" t="s">
        <v>830</v>
      </c>
      <c r="D1194" s="204">
        <v>2025</v>
      </c>
      <c r="E1194" s="209" t="s">
        <v>1431</v>
      </c>
      <c r="F1194" s="209" t="s">
        <v>1566</v>
      </c>
      <c r="G1194" s="210" t="s">
        <v>88</v>
      </c>
      <c r="H1194" s="211" t="s">
        <v>2713</v>
      </c>
      <c r="I1194" s="156" t="s">
        <v>26</v>
      </c>
      <c r="J1194" s="209" t="s">
        <v>1453</v>
      </c>
      <c r="K1194" s="211"/>
    </row>
    <row r="1195" spans="1:11" ht="100.5">
      <c r="A1195" s="204">
        <v>1193</v>
      </c>
      <c r="B1195" s="205">
        <v>45889</v>
      </c>
      <c r="C1195" s="265" t="s">
        <v>830</v>
      </c>
      <c r="D1195" s="204">
        <v>2025</v>
      </c>
      <c r="E1195" s="204" t="s">
        <v>1431</v>
      </c>
      <c r="F1195" s="204" t="s">
        <v>1566</v>
      </c>
      <c r="G1195" s="206" t="s">
        <v>88</v>
      </c>
      <c r="H1195" s="207" t="s">
        <v>2714</v>
      </c>
      <c r="I1195" s="156" t="s">
        <v>26</v>
      </c>
      <c r="J1195" s="204" t="s">
        <v>1453</v>
      </c>
      <c r="K1195" s="207" t="s">
        <v>1454</v>
      </c>
    </row>
    <row r="1196" spans="1:11" ht="117">
      <c r="A1196" s="204">
        <v>1194</v>
      </c>
      <c r="B1196" s="208">
        <v>45889</v>
      </c>
      <c r="C1196" s="265" t="s">
        <v>830</v>
      </c>
      <c r="D1196" s="204">
        <v>2025</v>
      </c>
      <c r="E1196" s="209" t="s">
        <v>1431</v>
      </c>
      <c r="F1196" s="209" t="s">
        <v>1566</v>
      </c>
      <c r="G1196" s="210" t="s">
        <v>88</v>
      </c>
      <c r="H1196" s="211" t="s">
        <v>2715</v>
      </c>
      <c r="I1196" s="156" t="s">
        <v>26</v>
      </c>
      <c r="J1196" s="209" t="s">
        <v>1453</v>
      </c>
      <c r="K1196" s="211" t="s">
        <v>1451</v>
      </c>
    </row>
    <row r="1197" spans="1:11" ht="33.75">
      <c r="A1197" s="204">
        <v>1195</v>
      </c>
      <c r="B1197" s="205">
        <v>45890</v>
      </c>
      <c r="C1197" s="265" t="s">
        <v>830</v>
      </c>
      <c r="D1197" s="204">
        <v>2025</v>
      </c>
      <c r="E1197" s="204" t="s">
        <v>1431</v>
      </c>
      <c r="F1197" s="204" t="s">
        <v>21</v>
      </c>
      <c r="G1197" s="213" t="s">
        <v>821</v>
      </c>
      <c r="H1197" s="207" t="s">
        <v>2716</v>
      </c>
      <c r="I1197" s="156" t="s">
        <v>26</v>
      </c>
      <c r="J1197" s="204" t="s">
        <v>149</v>
      </c>
      <c r="K1197" s="207"/>
    </row>
    <row r="1198" spans="1:11" ht="134.25">
      <c r="A1198" s="204">
        <v>1196</v>
      </c>
      <c r="B1198" s="208">
        <v>45890</v>
      </c>
      <c r="C1198" s="265" t="s">
        <v>830</v>
      </c>
      <c r="D1198" s="204">
        <v>2025</v>
      </c>
      <c r="E1198" s="209" t="s">
        <v>1431</v>
      </c>
      <c r="F1198" s="209" t="s">
        <v>1608</v>
      </c>
      <c r="G1198" s="212" t="s">
        <v>1439</v>
      </c>
      <c r="H1198" s="211" t="s">
        <v>2717</v>
      </c>
      <c r="I1198" s="156" t="s">
        <v>26</v>
      </c>
      <c r="J1198" s="209" t="s">
        <v>1458</v>
      </c>
      <c r="K1198" s="211" t="s">
        <v>1442</v>
      </c>
    </row>
    <row r="1199" spans="1:11" ht="33.75">
      <c r="A1199" s="204">
        <v>1197</v>
      </c>
      <c r="B1199" s="205">
        <v>45890</v>
      </c>
      <c r="C1199" s="265" t="s">
        <v>830</v>
      </c>
      <c r="D1199" s="204">
        <v>2025</v>
      </c>
      <c r="E1199" s="204" t="s">
        <v>1431</v>
      </c>
      <c r="F1199" s="204" t="s">
        <v>216</v>
      </c>
      <c r="G1199" s="213" t="s">
        <v>821</v>
      </c>
      <c r="H1199" s="207" t="s">
        <v>2718</v>
      </c>
      <c r="I1199" s="156" t="s">
        <v>26</v>
      </c>
      <c r="J1199" s="204" t="s">
        <v>492</v>
      </c>
      <c r="K1199" s="207"/>
    </row>
    <row r="1200" spans="1:11" ht="50.25">
      <c r="A1200" s="204">
        <v>1198</v>
      </c>
      <c r="B1200" s="208">
        <v>45890</v>
      </c>
      <c r="C1200" s="265" t="s">
        <v>830</v>
      </c>
      <c r="D1200" s="204">
        <v>2025</v>
      </c>
      <c r="E1200" s="209" t="s">
        <v>1431</v>
      </c>
      <c r="F1200" s="209" t="s">
        <v>216</v>
      </c>
      <c r="G1200" s="213" t="s">
        <v>821</v>
      </c>
      <c r="H1200" s="211" t="s">
        <v>2719</v>
      </c>
      <c r="I1200" s="156" t="s">
        <v>26</v>
      </c>
      <c r="J1200" s="209" t="s">
        <v>492</v>
      </c>
      <c r="K1200" s="211"/>
    </row>
    <row r="1201" spans="1:11" ht="50.25">
      <c r="A1201" s="204">
        <v>1199</v>
      </c>
      <c r="B1201" s="205">
        <v>45890</v>
      </c>
      <c r="C1201" s="265" t="s">
        <v>830</v>
      </c>
      <c r="D1201" s="204">
        <v>2025</v>
      </c>
      <c r="E1201" s="204" t="s">
        <v>1431</v>
      </c>
      <c r="F1201" s="204" t="s">
        <v>21</v>
      </c>
      <c r="G1201" s="213" t="s">
        <v>821</v>
      </c>
      <c r="H1201" s="207" t="s">
        <v>2720</v>
      </c>
      <c r="I1201" s="156" t="s">
        <v>26</v>
      </c>
      <c r="J1201" s="204" t="s">
        <v>468</v>
      </c>
      <c r="K1201" s="207"/>
    </row>
    <row r="1202" spans="1:11" ht="117">
      <c r="A1202" s="204">
        <v>1200</v>
      </c>
      <c r="B1202" s="208">
        <v>45890</v>
      </c>
      <c r="C1202" s="265" t="s">
        <v>830</v>
      </c>
      <c r="D1202" s="204">
        <v>2025</v>
      </c>
      <c r="E1202" s="209" t="s">
        <v>1431</v>
      </c>
      <c r="F1202" s="209" t="s">
        <v>21</v>
      </c>
      <c r="G1202" s="213" t="s">
        <v>821</v>
      </c>
      <c r="H1202" s="211" t="s">
        <v>2721</v>
      </c>
      <c r="I1202" s="156" t="s">
        <v>26</v>
      </c>
      <c r="J1202" s="209" t="s">
        <v>149</v>
      </c>
      <c r="K1202" s="211" t="s">
        <v>1482</v>
      </c>
    </row>
    <row r="1203" spans="1:11" ht="84">
      <c r="A1203" s="204">
        <v>1201</v>
      </c>
      <c r="B1203" s="205">
        <v>45890</v>
      </c>
      <c r="C1203" s="265" t="s">
        <v>830</v>
      </c>
      <c r="D1203" s="204">
        <v>2025</v>
      </c>
      <c r="E1203" s="204" t="s">
        <v>1431</v>
      </c>
      <c r="F1203" s="204" t="s">
        <v>1566</v>
      </c>
      <c r="G1203" s="206" t="s">
        <v>88</v>
      </c>
      <c r="H1203" s="207" t="s">
        <v>2722</v>
      </c>
      <c r="I1203" s="156" t="s">
        <v>26</v>
      </c>
      <c r="J1203" s="204" t="s">
        <v>1453</v>
      </c>
      <c r="K1203" s="207" t="s">
        <v>1500</v>
      </c>
    </row>
    <row r="1204" spans="1:11" ht="33.75">
      <c r="A1204" s="204">
        <v>1202</v>
      </c>
      <c r="B1204" s="208">
        <v>45890</v>
      </c>
      <c r="C1204" s="265" t="s">
        <v>830</v>
      </c>
      <c r="D1204" s="204">
        <v>2025</v>
      </c>
      <c r="E1204" s="209" t="s">
        <v>1431</v>
      </c>
      <c r="F1204" s="209" t="s">
        <v>1225</v>
      </c>
      <c r="G1204" s="217" t="s">
        <v>859</v>
      </c>
      <c r="H1204" s="211" t="s">
        <v>2723</v>
      </c>
      <c r="I1204" s="156" t="s">
        <v>26</v>
      </c>
      <c r="J1204" s="209" t="s">
        <v>925</v>
      </c>
      <c r="K1204" s="211"/>
    </row>
    <row r="1205" spans="1:11" ht="66.75">
      <c r="A1205" s="204">
        <v>1203</v>
      </c>
      <c r="B1205" s="205">
        <v>45890</v>
      </c>
      <c r="C1205" s="265" t="s">
        <v>830</v>
      </c>
      <c r="D1205" s="204">
        <v>2025</v>
      </c>
      <c r="E1205" s="204" t="s">
        <v>1431</v>
      </c>
      <c r="F1205" s="204" t="s">
        <v>1225</v>
      </c>
      <c r="G1205" s="214" t="s">
        <v>859</v>
      </c>
      <c r="H1205" s="207" t="s">
        <v>2724</v>
      </c>
      <c r="I1205" s="156" t="s">
        <v>26</v>
      </c>
      <c r="J1205" s="204" t="s">
        <v>925</v>
      </c>
      <c r="K1205" s="207"/>
    </row>
    <row r="1206" spans="1:11" ht="84">
      <c r="A1206" s="204">
        <v>1204</v>
      </c>
      <c r="B1206" s="208">
        <v>45890</v>
      </c>
      <c r="C1206" s="265" t="s">
        <v>830</v>
      </c>
      <c r="D1206" s="204">
        <v>2025</v>
      </c>
      <c r="E1206" s="209" t="s">
        <v>2224</v>
      </c>
      <c r="F1206" s="209" t="s">
        <v>21</v>
      </c>
      <c r="G1206" s="213" t="s">
        <v>821</v>
      </c>
      <c r="H1206" s="211" t="s">
        <v>2725</v>
      </c>
      <c r="I1206" s="156" t="s">
        <v>26</v>
      </c>
      <c r="J1206" s="209" t="s">
        <v>149</v>
      </c>
      <c r="K1206" s="211"/>
    </row>
    <row r="1207" spans="1:11" ht="100.5">
      <c r="A1207" s="204">
        <v>1205</v>
      </c>
      <c r="B1207" s="205">
        <v>45890</v>
      </c>
      <c r="C1207" s="265" t="s">
        <v>830</v>
      </c>
      <c r="D1207" s="204">
        <v>2025</v>
      </c>
      <c r="E1207" s="204" t="s">
        <v>1431</v>
      </c>
      <c r="F1207" s="204" t="s">
        <v>2591</v>
      </c>
      <c r="G1207" s="206" t="s">
        <v>88</v>
      </c>
      <c r="H1207" s="207" t="s">
        <v>2726</v>
      </c>
      <c r="I1207" s="156" t="s">
        <v>26</v>
      </c>
      <c r="J1207" s="204" t="s">
        <v>2593</v>
      </c>
      <c r="K1207" s="207" t="s">
        <v>1472</v>
      </c>
    </row>
    <row r="1208" spans="1:11" ht="50.25">
      <c r="A1208" s="204">
        <v>1206</v>
      </c>
      <c r="B1208" s="208">
        <v>45890</v>
      </c>
      <c r="C1208" s="265" t="s">
        <v>830</v>
      </c>
      <c r="D1208" s="204">
        <v>2025</v>
      </c>
      <c r="E1208" s="209" t="s">
        <v>2224</v>
      </c>
      <c r="F1208" s="209" t="s">
        <v>2591</v>
      </c>
      <c r="G1208" s="213" t="s">
        <v>821</v>
      </c>
      <c r="H1208" s="211" t="s">
        <v>2727</v>
      </c>
      <c r="I1208" s="156" t="s">
        <v>26</v>
      </c>
      <c r="J1208" s="209" t="s">
        <v>2593</v>
      </c>
      <c r="K1208" s="211"/>
    </row>
    <row r="1209" spans="1:11" ht="134.25">
      <c r="A1209" s="204">
        <v>1207</v>
      </c>
      <c r="B1209" s="205">
        <v>45891</v>
      </c>
      <c r="C1209" s="265" t="s">
        <v>830</v>
      </c>
      <c r="D1209" s="204">
        <v>2025</v>
      </c>
      <c r="E1209" s="204" t="s">
        <v>1431</v>
      </c>
      <c r="F1209" s="204" t="s">
        <v>1608</v>
      </c>
      <c r="G1209" s="212" t="s">
        <v>1439</v>
      </c>
      <c r="H1209" s="207" t="s">
        <v>2728</v>
      </c>
      <c r="I1209" s="156" t="s">
        <v>26</v>
      </c>
      <c r="J1209" s="204" t="s">
        <v>1458</v>
      </c>
      <c r="K1209" s="207" t="s">
        <v>1442</v>
      </c>
    </row>
    <row r="1210" spans="1:11" ht="50.25">
      <c r="A1210" s="204">
        <v>1208</v>
      </c>
      <c r="B1210" s="208">
        <v>45891</v>
      </c>
      <c r="C1210" s="265" t="s">
        <v>830</v>
      </c>
      <c r="D1210" s="204">
        <v>2025</v>
      </c>
      <c r="E1210" s="209" t="s">
        <v>1431</v>
      </c>
      <c r="F1210" s="209" t="s">
        <v>1506</v>
      </c>
      <c r="G1210" s="210" t="s">
        <v>88</v>
      </c>
      <c r="H1210" s="211" t="s">
        <v>2729</v>
      </c>
      <c r="I1210" s="156" t="s">
        <v>26</v>
      </c>
      <c r="J1210" s="209" t="s">
        <v>1904</v>
      </c>
      <c r="K1210" s="211"/>
    </row>
    <row r="1211" spans="1:11" ht="50.25">
      <c r="A1211" s="204">
        <v>1209</v>
      </c>
      <c r="B1211" s="205">
        <v>45891</v>
      </c>
      <c r="C1211" s="265" t="s">
        <v>830</v>
      </c>
      <c r="D1211" s="204">
        <v>2025</v>
      </c>
      <c r="E1211" s="204" t="s">
        <v>1431</v>
      </c>
      <c r="F1211" s="204" t="s">
        <v>1506</v>
      </c>
      <c r="G1211" s="206" t="s">
        <v>88</v>
      </c>
      <c r="H1211" s="207" t="s">
        <v>2730</v>
      </c>
      <c r="I1211" s="156" t="s">
        <v>26</v>
      </c>
      <c r="J1211" s="204" t="s">
        <v>1904</v>
      </c>
      <c r="K1211" s="207"/>
    </row>
    <row r="1212" spans="1:11" ht="100.5">
      <c r="A1212" s="204">
        <v>1210</v>
      </c>
      <c r="B1212" s="208">
        <v>45891</v>
      </c>
      <c r="C1212" s="265" t="s">
        <v>830</v>
      </c>
      <c r="D1212" s="204">
        <v>2025</v>
      </c>
      <c r="E1212" s="209" t="s">
        <v>1431</v>
      </c>
      <c r="F1212" s="209" t="s">
        <v>1566</v>
      </c>
      <c r="G1212" s="210" t="s">
        <v>88</v>
      </c>
      <c r="H1212" s="211" t="s">
        <v>2731</v>
      </c>
      <c r="I1212" s="156" t="s">
        <v>26</v>
      </c>
      <c r="J1212" s="209" t="s">
        <v>1588</v>
      </c>
      <c r="K1212" s="211" t="s">
        <v>1467</v>
      </c>
    </row>
    <row r="1213" spans="1:11" ht="50.25">
      <c r="A1213" s="204">
        <v>1211</v>
      </c>
      <c r="B1213" s="205">
        <v>45891</v>
      </c>
      <c r="C1213" s="265" t="s">
        <v>830</v>
      </c>
      <c r="D1213" s="204">
        <v>2025</v>
      </c>
      <c r="E1213" s="204" t="s">
        <v>2224</v>
      </c>
      <c r="F1213" s="204" t="s">
        <v>2613</v>
      </c>
      <c r="G1213" s="206" t="s">
        <v>88</v>
      </c>
      <c r="H1213" s="207" t="s">
        <v>2732</v>
      </c>
      <c r="I1213" s="156" t="s">
        <v>26</v>
      </c>
      <c r="J1213" s="204" t="s">
        <v>2568</v>
      </c>
      <c r="K1213" s="207"/>
    </row>
    <row r="1214" spans="1:11" ht="50.25">
      <c r="A1214" s="204">
        <v>1212</v>
      </c>
      <c r="B1214" s="208">
        <v>45891</v>
      </c>
      <c r="C1214" s="265" t="s">
        <v>830</v>
      </c>
      <c r="D1214" s="204">
        <v>2025</v>
      </c>
      <c r="E1214" s="209" t="s">
        <v>2224</v>
      </c>
      <c r="F1214" s="209" t="s">
        <v>21</v>
      </c>
      <c r="G1214" s="213" t="s">
        <v>821</v>
      </c>
      <c r="H1214" s="211" t="s">
        <v>2733</v>
      </c>
      <c r="I1214" s="156" t="s">
        <v>26</v>
      </c>
      <c r="J1214" s="209" t="s">
        <v>468</v>
      </c>
      <c r="K1214" s="211"/>
    </row>
    <row r="1215" spans="1:11" ht="100.5">
      <c r="A1215" s="204">
        <v>1213</v>
      </c>
      <c r="B1215" s="205">
        <v>45891</v>
      </c>
      <c r="C1215" s="265" t="s">
        <v>830</v>
      </c>
      <c r="D1215" s="204">
        <v>2025</v>
      </c>
      <c r="E1215" s="204" t="s">
        <v>2224</v>
      </c>
      <c r="F1215" s="204" t="s">
        <v>73</v>
      </c>
      <c r="G1215" s="214" t="s">
        <v>859</v>
      </c>
      <c r="H1215" s="207" t="s">
        <v>2734</v>
      </c>
      <c r="I1215" s="156" t="s">
        <v>26</v>
      </c>
      <c r="J1215" s="204" t="s">
        <v>2735</v>
      </c>
      <c r="K1215" s="207" t="s">
        <v>1486</v>
      </c>
    </row>
    <row r="1216" spans="1:11" ht="117">
      <c r="A1216" s="204">
        <v>1214</v>
      </c>
      <c r="B1216" s="208">
        <v>45891</v>
      </c>
      <c r="C1216" s="265" t="s">
        <v>830</v>
      </c>
      <c r="D1216" s="204">
        <v>2025</v>
      </c>
      <c r="E1216" s="209" t="s">
        <v>1431</v>
      </c>
      <c r="F1216" s="209" t="s">
        <v>1566</v>
      </c>
      <c r="G1216" s="210" t="s">
        <v>88</v>
      </c>
      <c r="H1216" s="211" t="s">
        <v>2736</v>
      </c>
      <c r="I1216" s="156" t="s">
        <v>26</v>
      </c>
      <c r="J1216" s="209" t="s">
        <v>1588</v>
      </c>
      <c r="K1216" s="211" t="s">
        <v>1559</v>
      </c>
    </row>
    <row r="1217" spans="1:11" ht="117">
      <c r="A1217" s="204">
        <v>1215</v>
      </c>
      <c r="B1217" s="205">
        <v>45891</v>
      </c>
      <c r="C1217" s="265" t="s">
        <v>830</v>
      </c>
      <c r="D1217" s="204">
        <v>2025</v>
      </c>
      <c r="E1217" s="204" t="s">
        <v>1431</v>
      </c>
      <c r="F1217" s="204" t="s">
        <v>1566</v>
      </c>
      <c r="G1217" s="206" t="s">
        <v>88</v>
      </c>
      <c r="H1217" s="207" t="s">
        <v>2737</v>
      </c>
      <c r="I1217" s="156" t="s">
        <v>26</v>
      </c>
      <c r="J1217" s="204" t="s">
        <v>1588</v>
      </c>
      <c r="K1217" s="207" t="s">
        <v>1451</v>
      </c>
    </row>
    <row r="1218" spans="1:11" ht="134.25">
      <c r="A1218" s="204">
        <v>1216</v>
      </c>
      <c r="B1218" s="208">
        <v>45891</v>
      </c>
      <c r="C1218" s="265" t="s">
        <v>830</v>
      </c>
      <c r="D1218" s="204">
        <v>2025</v>
      </c>
      <c r="E1218" s="209" t="s">
        <v>1431</v>
      </c>
      <c r="F1218" s="209" t="s">
        <v>2591</v>
      </c>
      <c r="G1218" s="213" t="s">
        <v>821</v>
      </c>
      <c r="H1218" s="211" t="s">
        <v>2738</v>
      </c>
      <c r="I1218" s="156" t="s">
        <v>26</v>
      </c>
      <c r="J1218" s="209" t="s">
        <v>2739</v>
      </c>
      <c r="K1218" s="211"/>
    </row>
    <row r="1219" spans="1:11" ht="117">
      <c r="A1219" s="204">
        <v>1217</v>
      </c>
      <c r="B1219" s="205">
        <v>45891</v>
      </c>
      <c r="C1219" s="265" t="s">
        <v>830</v>
      </c>
      <c r="D1219" s="204">
        <v>2025</v>
      </c>
      <c r="E1219" s="204" t="s">
        <v>1431</v>
      </c>
      <c r="F1219" s="204" t="s">
        <v>2591</v>
      </c>
      <c r="G1219" s="206" t="s">
        <v>88</v>
      </c>
      <c r="H1219" s="207" t="s">
        <v>2740</v>
      </c>
      <c r="I1219" s="156" t="s">
        <v>26</v>
      </c>
      <c r="J1219" s="204" t="s">
        <v>2739</v>
      </c>
      <c r="K1219" s="207" t="s">
        <v>1510</v>
      </c>
    </row>
    <row r="1220" spans="1:11" ht="66.75">
      <c r="A1220" s="204">
        <v>1218</v>
      </c>
      <c r="B1220" s="208">
        <v>45894</v>
      </c>
      <c r="C1220" s="265" t="s">
        <v>830</v>
      </c>
      <c r="D1220" s="204">
        <v>2025</v>
      </c>
      <c r="E1220" s="209" t="s">
        <v>1431</v>
      </c>
      <c r="F1220" s="209" t="s">
        <v>1506</v>
      </c>
      <c r="G1220" s="210" t="s">
        <v>88</v>
      </c>
      <c r="H1220" s="211" t="s">
        <v>2741</v>
      </c>
      <c r="I1220" s="156" t="s">
        <v>26</v>
      </c>
      <c r="J1220" s="209" t="s">
        <v>1904</v>
      </c>
      <c r="K1220" s="211"/>
    </row>
    <row r="1221" spans="1:11" ht="16.5">
      <c r="A1221" s="204">
        <v>1219</v>
      </c>
      <c r="B1221" s="205">
        <v>45894</v>
      </c>
      <c r="C1221" s="265" t="s">
        <v>830</v>
      </c>
      <c r="D1221" s="204">
        <v>2025</v>
      </c>
      <c r="E1221" s="204" t="s">
        <v>1431</v>
      </c>
      <c r="F1221" s="204" t="s">
        <v>216</v>
      </c>
      <c r="G1221" s="213" t="s">
        <v>821</v>
      </c>
      <c r="H1221" s="207" t="s">
        <v>2742</v>
      </c>
      <c r="I1221" s="156" t="s">
        <v>26</v>
      </c>
      <c r="J1221" s="204" t="s">
        <v>492</v>
      </c>
      <c r="K1221" s="207"/>
    </row>
    <row r="1222" spans="1:11" ht="134.25">
      <c r="A1222" s="204">
        <v>1220</v>
      </c>
      <c r="B1222" s="208">
        <v>45894</v>
      </c>
      <c r="C1222" s="265" t="s">
        <v>830</v>
      </c>
      <c r="D1222" s="204">
        <v>2025</v>
      </c>
      <c r="E1222" s="209" t="s">
        <v>1431</v>
      </c>
      <c r="F1222" s="209" t="s">
        <v>216</v>
      </c>
      <c r="G1222" s="213" t="s">
        <v>821</v>
      </c>
      <c r="H1222" s="211" t="s">
        <v>2743</v>
      </c>
      <c r="I1222" s="156" t="s">
        <v>26</v>
      </c>
      <c r="J1222" s="209" t="s">
        <v>492</v>
      </c>
      <c r="K1222" s="211" t="s">
        <v>1601</v>
      </c>
    </row>
    <row r="1223" spans="1:11" ht="33.75">
      <c r="A1223" s="204">
        <v>1221</v>
      </c>
      <c r="B1223" s="205">
        <v>45894</v>
      </c>
      <c r="C1223" s="265" t="s">
        <v>830</v>
      </c>
      <c r="D1223" s="204">
        <v>2025</v>
      </c>
      <c r="E1223" s="204" t="s">
        <v>1431</v>
      </c>
      <c r="F1223" s="204" t="s">
        <v>21</v>
      </c>
      <c r="G1223" s="213" t="s">
        <v>821</v>
      </c>
      <c r="H1223" s="207" t="s">
        <v>2744</v>
      </c>
      <c r="I1223" s="156" t="s">
        <v>26</v>
      </c>
      <c r="J1223" s="204" t="s">
        <v>468</v>
      </c>
      <c r="K1223" s="207"/>
    </row>
    <row r="1224" spans="1:11" ht="84">
      <c r="A1224" s="204">
        <v>1222</v>
      </c>
      <c r="B1224" s="208">
        <v>45894</v>
      </c>
      <c r="C1224" s="265" t="s">
        <v>830</v>
      </c>
      <c r="D1224" s="204">
        <v>2025</v>
      </c>
      <c r="E1224" s="209" t="s">
        <v>1431</v>
      </c>
      <c r="F1224" s="209" t="s">
        <v>2591</v>
      </c>
      <c r="G1224" s="210" t="s">
        <v>88</v>
      </c>
      <c r="H1224" s="211" t="s">
        <v>2745</v>
      </c>
      <c r="I1224" s="156" t="s">
        <v>26</v>
      </c>
      <c r="J1224" s="209" t="s">
        <v>2593</v>
      </c>
      <c r="K1224" s="211" t="s">
        <v>1444</v>
      </c>
    </row>
    <row r="1225" spans="1:11" ht="117">
      <c r="A1225" s="204">
        <v>1223</v>
      </c>
      <c r="B1225" s="205">
        <v>45894</v>
      </c>
      <c r="C1225" s="265" t="s">
        <v>830</v>
      </c>
      <c r="D1225" s="204">
        <v>2025</v>
      </c>
      <c r="E1225" s="204" t="s">
        <v>1431</v>
      </c>
      <c r="F1225" s="204" t="s">
        <v>1566</v>
      </c>
      <c r="G1225" s="206" t="s">
        <v>88</v>
      </c>
      <c r="H1225" s="207" t="s">
        <v>2746</v>
      </c>
      <c r="I1225" s="156" t="s">
        <v>26</v>
      </c>
      <c r="J1225" s="204" t="s">
        <v>1588</v>
      </c>
      <c r="K1225" s="207" t="s">
        <v>1559</v>
      </c>
    </row>
    <row r="1226" spans="1:11" ht="100.5">
      <c r="A1226" s="204">
        <v>1224</v>
      </c>
      <c r="B1226" s="208">
        <v>45894</v>
      </c>
      <c r="C1226" s="265" t="s">
        <v>830</v>
      </c>
      <c r="D1226" s="204">
        <v>2025</v>
      </c>
      <c r="E1226" s="209" t="s">
        <v>1431</v>
      </c>
      <c r="F1226" s="209" t="s">
        <v>1566</v>
      </c>
      <c r="G1226" s="210" t="s">
        <v>88</v>
      </c>
      <c r="H1226" s="211" t="s">
        <v>2747</v>
      </c>
      <c r="I1226" s="156" t="s">
        <v>26</v>
      </c>
      <c r="J1226" s="209" t="s">
        <v>1588</v>
      </c>
      <c r="K1226" s="211" t="s">
        <v>1478</v>
      </c>
    </row>
    <row r="1227" spans="1:11" ht="84">
      <c r="A1227" s="204">
        <v>1225</v>
      </c>
      <c r="B1227" s="205">
        <v>45894</v>
      </c>
      <c r="C1227" s="265" t="s">
        <v>830</v>
      </c>
      <c r="D1227" s="204">
        <v>2025</v>
      </c>
      <c r="E1227" s="204" t="s">
        <v>1431</v>
      </c>
      <c r="F1227" s="204" t="s">
        <v>1566</v>
      </c>
      <c r="G1227" s="206" t="s">
        <v>88</v>
      </c>
      <c r="H1227" s="207" t="s">
        <v>2748</v>
      </c>
      <c r="I1227" s="156" t="s">
        <v>26</v>
      </c>
      <c r="J1227" s="204" t="s">
        <v>1588</v>
      </c>
      <c r="K1227" s="207" t="s">
        <v>1548</v>
      </c>
    </row>
    <row r="1228" spans="1:11" ht="117">
      <c r="A1228" s="204">
        <v>1226</v>
      </c>
      <c r="B1228" s="208">
        <v>45894</v>
      </c>
      <c r="C1228" s="265" t="s">
        <v>830</v>
      </c>
      <c r="D1228" s="204">
        <v>2025</v>
      </c>
      <c r="E1228" s="209" t="s">
        <v>1431</v>
      </c>
      <c r="F1228" s="209" t="s">
        <v>1566</v>
      </c>
      <c r="G1228" s="210" t="s">
        <v>88</v>
      </c>
      <c r="H1228" s="211" t="s">
        <v>2749</v>
      </c>
      <c r="I1228" s="156" t="s">
        <v>26</v>
      </c>
      <c r="J1228" s="209" t="s">
        <v>1588</v>
      </c>
      <c r="K1228" s="211"/>
    </row>
    <row r="1229" spans="1:11" ht="100.5">
      <c r="A1229" s="204">
        <v>1227</v>
      </c>
      <c r="B1229" s="205">
        <v>45894</v>
      </c>
      <c r="C1229" s="265" t="s">
        <v>830</v>
      </c>
      <c r="D1229" s="204">
        <v>2025</v>
      </c>
      <c r="E1229" s="204" t="s">
        <v>1431</v>
      </c>
      <c r="F1229" s="204" t="s">
        <v>1566</v>
      </c>
      <c r="G1229" s="206" t="s">
        <v>88</v>
      </c>
      <c r="H1229" s="207" t="s">
        <v>2750</v>
      </c>
      <c r="I1229" s="156" t="s">
        <v>26</v>
      </c>
      <c r="J1229" s="204" t="s">
        <v>1588</v>
      </c>
      <c r="K1229" s="207" t="s">
        <v>1500</v>
      </c>
    </row>
    <row r="1230" spans="1:11" ht="84">
      <c r="A1230" s="204">
        <v>1228</v>
      </c>
      <c r="B1230" s="208">
        <v>45894</v>
      </c>
      <c r="C1230" s="265" t="s">
        <v>830</v>
      </c>
      <c r="D1230" s="204">
        <v>2025</v>
      </c>
      <c r="E1230" s="209" t="s">
        <v>1431</v>
      </c>
      <c r="F1230" s="209" t="s">
        <v>1566</v>
      </c>
      <c r="G1230" s="210" t="s">
        <v>88</v>
      </c>
      <c r="H1230" s="211" t="s">
        <v>2751</v>
      </c>
      <c r="I1230" s="156" t="s">
        <v>26</v>
      </c>
      <c r="J1230" s="209" t="s">
        <v>1588</v>
      </c>
      <c r="K1230" s="211" t="s">
        <v>1500</v>
      </c>
    </row>
    <row r="1231" spans="1:11" ht="84">
      <c r="A1231" s="204">
        <v>1229</v>
      </c>
      <c r="B1231" s="205">
        <v>45894</v>
      </c>
      <c r="C1231" s="265" t="s">
        <v>830</v>
      </c>
      <c r="D1231" s="204">
        <v>2025</v>
      </c>
      <c r="E1231" s="204" t="s">
        <v>1431</v>
      </c>
      <c r="F1231" s="204" t="s">
        <v>1566</v>
      </c>
      <c r="G1231" s="206" t="s">
        <v>88</v>
      </c>
      <c r="H1231" s="207" t="s">
        <v>2752</v>
      </c>
      <c r="I1231" s="156" t="s">
        <v>26</v>
      </c>
      <c r="J1231" s="204" t="s">
        <v>1588</v>
      </c>
      <c r="K1231" s="207" t="s">
        <v>1500</v>
      </c>
    </row>
    <row r="1232" spans="1:11" ht="100.5">
      <c r="A1232" s="204">
        <v>1230</v>
      </c>
      <c r="B1232" s="208">
        <v>45894</v>
      </c>
      <c r="C1232" s="265" t="s">
        <v>830</v>
      </c>
      <c r="D1232" s="204">
        <v>2025</v>
      </c>
      <c r="E1232" s="209" t="s">
        <v>1431</v>
      </c>
      <c r="F1232" s="209" t="s">
        <v>1566</v>
      </c>
      <c r="G1232" s="210" t="s">
        <v>88</v>
      </c>
      <c r="H1232" s="211" t="s">
        <v>2753</v>
      </c>
      <c r="I1232" s="156" t="s">
        <v>26</v>
      </c>
      <c r="J1232" s="209" t="s">
        <v>1588</v>
      </c>
      <c r="K1232" s="211" t="s">
        <v>1454</v>
      </c>
    </row>
    <row r="1233" spans="1:11" ht="117">
      <c r="A1233" s="204">
        <v>1231</v>
      </c>
      <c r="B1233" s="205">
        <v>45894</v>
      </c>
      <c r="C1233" s="265" t="s">
        <v>830</v>
      </c>
      <c r="D1233" s="204">
        <v>2025</v>
      </c>
      <c r="E1233" s="204" t="s">
        <v>1431</v>
      </c>
      <c r="F1233" s="204" t="s">
        <v>1566</v>
      </c>
      <c r="G1233" s="206" t="s">
        <v>88</v>
      </c>
      <c r="H1233" s="207" t="s">
        <v>2754</v>
      </c>
      <c r="I1233" s="156" t="s">
        <v>26</v>
      </c>
      <c r="J1233" s="204" t="s">
        <v>1588</v>
      </c>
      <c r="K1233" s="207" t="s">
        <v>1559</v>
      </c>
    </row>
    <row r="1234" spans="1:11" ht="150.75">
      <c r="A1234" s="204">
        <v>1232</v>
      </c>
      <c r="B1234" s="208">
        <v>45894</v>
      </c>
      <c r="C1234" s="265" t="s">
        <v>830</v>
      </c>
      <c r="D1234" s="204">
        <v>2025</v>
      </c>
      <c r="E1234" s="209" t="s">
        <v>1431</v>
      </c>
      <c r="F1234" s="209" t="s">
        <v>1566</v>
      </c>
      <c r="G1234" s="210" t="s">
        <v>88</v>
      </c>
      <c r="H1234" s="211" t="s">
        <v>2755</v>
      </c>
      <c r="I1234" s="156" t="s">
        <v>26</v>
      </c>
      <c r="J1234" s="209" t="s">
        <v>1588</v>
      </c>
      <c r="K1234" s="211" t="s">
        <v>1548</v>
      </c>
    </row>
    <row r="1235" spans="1:11" ht="134.25">
      <c r="A1235" s="204">
        <v>1233</v>
      </c>
      <c r="B1235" s="205">
        <v>45894</v>
      </c>
      <c r="C1235" s="265" t="s">
        <v>830</v>
      </c>
      <c r="D1235" s="204">
        <v>2025</v>
      </c>
      <c r="E1235" s="204" t="s">
        <v>1431</v>
      </c>
      <c r="F1235" s="204" t="s">
        <v>1608</v>
      </c>
      <c r="G1235" s="212" t="s">
        <v>1439</v>
      </c>
      <c r="H1235" s="207" t="s">
        <v>2756</v>
      </c>
      <c r="I1235" s="156" t="s">
        <v>26</v>
      </c>
      <c r="J1235" s="204" t="s">
        <v>578</v>
      </c>
      <c r="K1235" s="207" t="s">
        <v>1442</v>
      </c>
    </row>
    <row r="1236" spans="1:11" ht="134.25">
      <c r="A1236" s="204">
        <v>1234</v>
      </c>
      <c r="B1236" s="208">
        <v>45894</v>
      </c>
      <c r="C1236" s="265" t="s">
        <v>830</v>
      </c>
      <c r="D1236" s="204">
        <v>2025</v>
      </c>
      <c r="E1236" s="209" t="s">
        <v>1431</v>
      </c>
      <c r="F1236" s="209" t="s">
        <v>1608</v>
      </c>
      <c r="G1236" s="212" t="s">
        <v>1439</v>
      </c>
      <c r="H1236" s="211" t="s">
        <v>2757</v>
      </c>
      <c r="I1236" s="156" t="s">
        <v>26</v>
      </c>
      <c r="J1236" s="209" t="s">
        <v>925</v>
      </c>
      <c r="K1236" s="211" t="s">
        <v>1442</v>
      </c>
    </row>
    <row r="1237" spans="1:11" ht="117">
      <c r="A1237" s="204">
        <v>1235</v>
      </c>
      <c r="B1237" s="205">
        <v>45894</v>
      </c>
      <c r="C1237" s="265" t="s">
        <v>830</v>
      </c>
      <c r="D1237" s="204">
        <v>2025</v>
      </c>
      <c r="E1237" s="204" t="s">
        <v>1431</v>
      </c>
      <c r="F1237" s="204" t="s">
        <v>1566</v>
      </c>
      <c r="G1237" s="206" t="s">
        <v>88</v>
      </c>
      <c r="H1237" s="207" t="s">
        <v>2758</v>
      </c>
      <c r="I1237" s="156" t="s">
        <v>26</v>
      </c>
      <c r="J1237" s="204" t="s">
        <v>1588</v>
      </c>
      <c r="K1237" s="207" t="s">
        <v>1559</v>
      </c>
    </row>
    <row r="1238" spans="1:11" ht="117">
      <c r="A1238" s="204">
        <v>1236</v>
      </c>
      <c r="B1238" s="208">
        <v>45894</v>
      </c>
      <c r="C1238" s="265" t="s">
        <v>830</v>
      </c>
      <c r="D1238" s="204">
        <v>2025</v>
      </c>
      <c r="E1238" s="209" t="s">
        <v>1431</v>
      </c>
      <c r="F1238" s="209" t="s">
        <v>1566</v>
      </c>
      <c r="G1238" s="210" t="s">
        <v>88</v>
      </c>
      <c r="H1238" s="211" t="s">
        <v>2759</v>
      </c>
      <c r="I1238" s="156" t="s">
        <v>26</v>
      </c>
      <c r="J1238" s="209" t="s">
        <v>1588</v>
      </c>
      <c r="K1238" s="211" t="s">
        <v>1559</v>
      </c>
    </row>
    <row r="1239" spans="1:11" ht="117">
      <c r="A1239" s="204">
        <v>1237</v>
      </c>
      <c r="B1239" s="205">
        <v>45894</v>
      </c>
      <c r="C1239" s="265" t="s">
        <v>830</v>
      </c>
      <c r="D1239" s="204">
        <v>2025</v>
      </c>
      <c r="E1239" s="204" t="s">
        <v>1431</v>
      </c>
      <c r="F1239" s="204" t="s">
        <v>1566</v>
      </c>
      <c r="G1239" s="206" t="s">
        <v>88</v>
      </c>
      <c r="H1239" s="207" t="s">
        <v>2760</v>
      </c>
      <c r="I1239" s="156" t="s">
        <v>26</v>
      </c>
      <c r="J1239" s="204" t="s">
        <v>1588</v>
      </c>
      <c r="K1239" s="207" t="s">
        <v>1559</v>
      </c>
    </row>
    <row r="1240" spans="1:11" ht="100.5">
      <c r="A1240" s="204">
        <v>1238</v>
      </c>
      <c r="B1240" s="208">
        <v>45894</v>
      </c>
      <c r="C1240" s="265" t="s">
        <v>830</v>
      </c>
      <c r="D1240" s="204">
        <v>2025</v>
      </c>
      <c r="E1240" s="209" t="s">
        <v>1431</v>
      </c>
      <c r="F1240" s="209" t="s">
        <v>2591</v>
      </c>
      <c r="G1240" s="210" t="s">
        <v>88</v>
      </c>
      <c r="H1240" s="211" t="s">
        <v>2761</v>
      </c>
      <c r="I1240" s="156" t="s">
        <v>26</v>
      </c>
      <c r="J1240" s="209" t="s">
        <v>2593</v>
      </c>
      <c r="K1240" s="211" t="s">
        <v>1454</v>
      </c>
    </row>
    <row r="1241" spans="1:11" ht="117">
      <c r="A1241" s="204">
        <v>1239</v>
      </c>
      <c r="B1241" s="205">
        <v>45894</v>
      </c>
      <c r="C1241" s="265" t="s">
        <v>830</v>
      </c>
      <c r="D1241" s="204">
        <v>2025</v>
      </c>
      <c r="E1241" s="204" t="s">
        <v>1431</v>
      </c>
      <c r="F1241" s="204" t="s">
        <v>2591</v>
      </c>
      <c r="G1241" s="206" t="s">
        <v>88</v>
      </c>
      <c r="H1241" s="207" t="s">
        <v>2762</v>
      </c>
      <c r="I1241" s="156" t="s">
        <v>26</v>
      </c>
      <c r="J1241" s="204" t="s">
        <v>2593</v>
      </c>
      <c r="K1241" s="207" t="s">
        <v>1510</v>
      </c>
    </row>
    <row r="1242" spans="1:11" ht="100.5">
      <c r="A1242" s="204">
        <v>1240</v>
      </c>
      <c r="B1242" s="208">
        <v>45894</v>
      </c>
      <c r="C1242" s="265" t="s">
        <v>830</v>
      </c>
      <c r="D1242" s="204">
        <v>2025</v>
      </c>
      <c r="E1242" s="209" t="s">
        <v>1431</v>
      </c>
      <c r="F1242" s="209" t="s">
        <v>2591</v>
      </c>
      <c r="G1242" s="217" t="s">
        <v>859</v>
      </c>
      <c r="H1242" s="211" t="s">
        <v>2763</v>
      </c>
      <c r="I1242" s="156" t="s">
        <v>26</v>
      </c>
      <c r="J1242" s="209" t="s">
        <v>2593</v>
      </c>
      <c r="K1242" s="211"/>
    </row>
    <row r="1243" spans="1:11" ht="84">
      <c r="A1243" s="204">
        <v>1241</v>
      </c>
      <c r="B1243" s="205">
        <v>45894</v>
      </c>
      <c r="C1243" s="265" t="s">
        <v>830</v>
      </c>
      <c r="D1243" s="204">
        <v>2025</v>
      </c>
      <c r="E1243" s="204" t="s">
        <v>1431</v>
      </c>
      <c r="F1243" s="204" t="s">
        <v>2591</v>
      </c>
      <c r="G1243" s="206" t="s">
        <v>88</v>
      </c>
      <c r="H1243" s="207" t="s">
        <v>2764</v>
      </c>
      <c r="I1243" s="156" t="s">
        <v>26</v>
      </c>
      <c r="J1243" s="204" t="s">
        <v>2593</v>
      </c>
      <c r="K1243" s="207" t="s">
        <v>1500</v>
      </c>
    </row>
    <row r="1244" spans="1:11" ht="100.5">
      <c r="A1244" s="204">
        <v>1242</v>
      </c>
      <c r="B1244" s="208">
        <v>45894</v>
      </c>
      <c r="C1244" s="265" t="s">
        <v>830</v>
      </c>
      <c r="D1244" s="204">
        <v>2025</v>
      </c>
      <c r="E1244" s="209" t="s">
        <v>1431</v>
      </c>
      <c r="F1244" s="209" t="s">
        <v>2591</v>
      </c>
      <c r="G1244" s="210" t="s">
        <v>88</v>
      </c>
      <c r="H1244" s="211" t="s">
        <v>2765</v>
      </c>
      <c r="I1244" s="156" t="s">
        <v>26</v>
      </c>
      <c r="J1244" s="209" t="s">
        <v>2593</v>
      </c>
      <c r="K1244" s="211" t="s">
        <v>1472</v>
      </c>
    </row>
    <row r="1245" spans="1:11" ht="100.5">
      <c r="A1245" s="204">
        <v>1243</v>
      </c>
      <c r="B1245" s="205">
        <v>45894</v>
      </c>
      <c r="C1245" s="265" t="s">
        <v>830</v>
      </c>
      <c r="D1245" s="204">
        <v>2025</v>
      </c>
      <c r="E1245" s="204" t="s">
        <v>1431</v>
      </c>
      <c r="F1245" s="204" t="s">
        <v>2591</v>
      </c>
      <c r="G1245" s="206" t="s">
        <v>88</v>
      </c>
      <c r="H1245" s="207" t="s">
        <v>2766</v>
      </c>
      <c r="I1245" s="156" t="s">
        <v>26</v>
      </c>
      <c r="J1245" s="204" t="s">
        <v>2593</v>
      </c>
      <c r="K1245" s="207" t="s">
        <v>1454</v>
      </c>
    </row>
    <row r="1246" spans="1:11" ht="117">
      <c r="A1246" s="204">
        <v>1244</v>
      </c>
      <c r="B1246" s="208">
        <v>45894</v>
      </c>
      <c r="C1246" s="265" t="s">
        <v>830</v>
      </c>
      <c r="D1246" s="204">
        <v>2025</v>
      </c>
      <c r="E1246" s="209" t="s">
        <v>1431</v>
      </c>
      <c r="F1246" s="209" t="s">
        <v>2591</v>
      </c>
      <c r="G1246" s="210" t="s">
        <v>88</v>
      </c>
      <c r="H1246" s="211" t="s">
        <v>2767</v>
      </c>
      <c r="I1246" s="156" t="s">
        <v>26</v>
      </c>
      <c r="J1246" s="209" t="s">
        <v>2593</v>
      </c>
      <c r="K1246" s="211" t="s">
        <v>1437</v>
      </c>
    </row>
    <row r="1247" spans="1:11" ht="84">
      <c r="A1247" s="204">
        <v>1245</v>
      </c>
      <c r="B1247" s="205">
        <v>45894</v>
      </c>
      <c r="C1247" s="265" t="s">
        <v>830</v>
      </c>
      <c r="D1247" s="204">
        <v>2025</v>
      </c>
      <c r="E1247" s="204" t="s">
        <v>1431</v>
      </c>
      <c r="F1247" s="204" t="s">
        <v>2591</v>
      </c>
      <c r="G1247" s="206" t="s">
        <v>88</v>
      </c>
      <c r="H1247" s="207" t="s">
        <v>2768</v>
      </c>
      <c r="I1247" s="156" t="s">
        <v>26</v>
      </c>
      <c r="J1247" s="204" t="s">
        <v>2593</v>
      </c>
      <c r="K1247" s="207" t="s">
        <v>1500</v>
      </c>
    </row>
    <row r="1248" spans="1:11" ht="33.75">
      <c r="A1248" s="204">
        <v>1246</v>
      </c>
      <c r="B1248" s="208">
        <v>45895</v>
      </c>
      <c r="C1248" s="265" t="s">
        <v>830</v>
      </c>
      <c r="D1248" s="204">
        <v>2025</v>
      </c>
      <c r="E1248" s="209" t="s">
        <v>1431</v>
      </c>
      <c r="F1248" s="209" t="s">
        <v>216</v>
      </c>
      <c r="G1248" s="213" t="s">
        <v>821</v>
      </c>
      <c r="H1248" s="211" t="s">
        <v>2769</v>
      </c>
      <c r="I1248" s="156" t="s">
        <v>26</v>
      </c>
      <c r="J1248" s="209" t="s">
        <v>492</v>
      </c>
      <c r="K1248" s="211"/>
    </row>
    <row r="1249" spans="1:11" ht="50.25">
      <c r="A1249" s="204">
        <v>1247</v>
      </c>
      <c r="B1249" s="205">
        <v>45895</v>
      </c>
      <c r="C1249" s="265" t="s">
        <v>830</v>
      </c>
      <c r="D1249" s="204">
        <v>2025</v>
      </c>
      <c r="E1249" s="204" t="s">
        <v>1431</v>
      </c>
      <c r="F1249" s="204" t="s">
        <v>216</v>
      </c>
      <c r="G1249" s="213" t="s">
        <v>821</v>
      </c>
      <c r="H1249" s="207" t="s">
        <v>2770</v>
      </c>
      <c r="I1249" s="156" t="s">
        <v>26</v>
      </c>
      <c r="J1249" s="204" t="s">
        <v>492</v>
      </c>
      <c r="K1249" s="207"/>
    </row>
    <row r="1250" spans="1:11" ht="117">
      <c r="A1250" s="204">
        <v>1248</v>
      </c>
      <c r="B1250" s="208">
        <v>45895</v>
      </c>
      <c r="C1250" s="265" t="s">
        <v>830</v>
      </c>
      <c r="D1250" s="204">
        <v>2025</v>
      </c>
      <c r="E1250" s="209" t="s">
        <v>1431</v>
      </c>
      <c r="F1250" s="209" t="s">
        <v>1566</v>
      </c>
      <c r="G1250" s="210" t="s">
        <v>88</v>
      </c>
      <c r="H1250" s="211" t="s">
        <v>2771</v>
      </c>
      <c r="I1250" s="156" t="s">
        <v>26</v>
      </c>
      <c r="J1250" s="209" t="s">
        <v>1453</v>
      </c>
      <c r="K1250" s="211" t="s">
        <v>1559</v>
      </c>
    </row>
    <row r="1251" spans="1:11" ht="117">
      <c r="A1251" s="204">
        <v>1249</v>
      </c>
      <c r="B1251" s="205">
        <v>45895</v>
      </c>
      <c r="C1251" s="265" t="s">
        <v>830</v>
      </c>
      <c r="D1251" s="204">
        <v>2025</v>
      </c>
      <c r="E1251" s="204" t="s">
        <v>1431</v>
      </c>
      <c r="F1251" s="204" t="s">
        <v>1566</v>
      </c>
      <c r="G1251" s="206" t="s">
        <v>88</v>
      </c>
      <c r="H1251" s="207" t="s">
        <v>2772</v>
      </c>
      <c r="I1251" s="156" t="s">
        <v>26</v>
      </c>
      <c r="J1251" s="204" t="s">
        <v>1453</v>
      </c>
      <c r="K1251" s="207" t="s">
        <v>1451</v>
      </c>
    </row>
    <row r="1252" spans="1:11" ht="84">
      <c r="A1252" s="204">
        <v>1250</v>
      </c>
      <c r="B1252" s="208">
        <v>45895</v>
      </c>
      <c r="C1252" s="265" t="s">
        <v>830</v>
      </c>
      <c r="D1252" s="204">
        <v>2025</v>
      </c>
      <c r="E1252" s="209" t="s">
        <v>1431</v>
      </c>
      <c r="F1252" s="209" t="s">
        <v>1566</v>
      </c>
      <c r="G1252" s="210" t="s">
        <v>88</v>
      </c>
      <c r="H1252" s="211" t="s">
        <v>2773</v>
      </c>
      <c r="I1252" s="156" t="s">
        <v>26</v>
      </c>
      <c r="J1252" s="209" t="s">
        <v>1453</v>
      </c>
      <c r="K1252" s="211" t="s">
        <v>1500</v>
      </c>
    </row>
    <row r="1253" spans="1:11" ht="117">
      <c r="A1253" s="204">
        <v>1251</v>
      </c>
      <c r="B1253" s="205">
        <v>45895</v>
      </c>
      <c r="C1253" s="265" t="s">
        <v>830</v>
      </c>
      <c r="D1253" s="204">
        <v>2025</v>
      </c>
      <c r="E1253" s="204" t="s">
        <v>1431</v>
      </c>
      <c r="F1253" s="204" t="s">
        <v>2591</v>
      </c>
      <c r="G1253" s="214" t="s">
        <v>859</v>
      </c>
      <c r="H1253" s="207" t="s">
        <v>2774</v>
      </c>
      <c r="I1253" s="156" t="s">
        <v>26</v>
      </c>
      <c r="J1253" s="204" t="s">
        <v>2593</v>
      </c>
      <c r="K1253" s="207" t="s">
        <v>1476</v>
      </c>
    </row>
    <row r="1254" spans="1:11" ht="117">
      <c r="A1254" s="204">
        <v>1252</v>
      </c>
      <c r="B1254" s="208">
        <v>45895</v>
      </c>
      <c r="C1254" s="265" t="s">
        <v>830</v>
      </c>
      <c r="D1254" s="204">
        <v>2025</v>
      </c>
      <c r="E1254" s="209" t="s">
        <v>1431</v>
      </c>
      <c r="F1254" s="209" t="s">
        <v>2591</v>
      </c>
      <c r="G1254" s="210" t="s">
        <v>88</v>
      </c>
      <c r="H1254" s="218" t="s">
        <v>2775</v>
      </c>
      <c r="I1254" s="156" t="s">
        <v>26</v>
      </c>
      <c r="J1254" s="209" t="s">
        <v>2593</v>
      </c>
      <c r="K1254" s="211" t="s">
        <v>1510</v>
      </c>
    </row>
    <row r="1255" spans="1:11" ht="117">
      <c r="A1255" s="204">
        <v>1253</v>
      </c>
      <c r="B1255" s="205">
        <v>45895</v>
      </c>
      <c r="C1255" s="265" t="s">
        <v>830</v>
      </c>
      <c r="D1255" s="204">
        <v>2025</v>
      </c>
      <c r="E1255" s="204" t="s">
        <v>2224</v>
      </c>
      <c r="F1255" s="204" t="s">
        <v>2591</v>
      </c>
      <c r="G1255" s="206" t="s">
        <v>88</v>
      </c>
      <c r="H1255" s="207" t="s">
        <v>2776</v>
      </c>
      <c r="I1255" s="156" t="s">
        <v>26</v>
      </c>
      <c r="J1255" s="204" t="s">
        <v>2593</v>
      </c>
      <c r="K1255" s="207" t="s">
        <v>1500</v>
      </c>
    </row>
    <row r="1256" spans="1:11" ht="84">
      <c r="A1256" s="204">
        <v>1254</v>
      </c>
      <c r="B1256" s="208">
        <v>45895</v>
      </c>
      <c r="C1256" s="265" t="s">
        <v>830</v>
      </c>
      <c r="D1256" s="204">
        <v>2025</v>
      </c>
      <c r="E1256" s="209" t="s">
        <v>2224</v>
      </c>
      <c r="F1256" s="209" t="s">
        <v>1566</v>
      </c>
      <c r="G1256" s="210" t="s">
        <v>88</v>
      </c>
      <c r="H1256" s="211" t="s">
        <v>2777</v>
      </c>
      <c r="I1256" s="156" t="s">
        <v>26</v>
      </c>
      <c r="J1256" s="209" t="s">
        <v>2593</v>
      </c>
      <c r="K1256" s="211"/>
    </row>
    <row r="1257" spans="1:11" ht="33.75">
      <c r="A1257" s="204">
        <v>1255</v>
      </c>
      <c r="B1257" s="205">
        <v>45895</v>
      </c>
      <c r="C1257" s="265" t="s">
        <v>830</v>
      </c>
      <c r="D1257" s="204">
        <v>2025</v>
      </c>
      <c r="E1257" s="204" t="s">
        <v>1431</v>
      </c>
      <c r="F1257" s="204" t="s">
        <v>1566</v>
      </c>
      <c r="G1257" s="206" t="s">
        <v>88</v>
      </c>
      <c r="H1257" s="207" t="s">
        <v>2778</v>
      </c>
      <c r="I1257" s="156" t="s">
        <v>26</v>
      </c>
      <c r="J1257" s="204" t="s">
        <v>1453</v>
      </c>
      <c r="K1257" s="207"/>
    </row>
    <row r="1258" spans="1:11" ht="150.75">
      <c r="A1258" s="204">
        <v>1256</v>
      </c>
      <c r="B1258" s="208">
        <v>45896</v>
      </c>
      <c r="C1258" s="265" t="s">
        <v>830</v>
      </c>
      <c r="D1258" s="204">
        <v>2025</v>
      </c>
      <c r="E1258" s="209" t="s">
        <v>1431</v>
      </c>
      <c r="F1258" s="209" t="s">
        <v>21</v>
      </c>
      <c r="G1258" s="213" t="s">
        <v>821</v>
      </c>
      <c r="H1258" s="211" t="s">
        <v>2779</v>
      </c>
      <c r="I1258" s="156" t="s">
        <v>26</v>
      </c>
      <c r="J1258" s="209" t="s">
        <v>149</v>
      </c>
      <c r="K1258" s="211" t="s">
        <v>1513</v>
      </c>
    </row>
    <row r="1259" spans="1:11" ht="33.75">
      <c r="A1259" s="204">
        <v>1257</v>
      </c>
      <c r="B1259" s="205">
        <v>45896</v>
      </c>
      <c r="C1259" s="265" t="s">
        <v>830</v>
      </c>
      <c r="D1259" s="204">
        <v>2025</v>
      </c>
      <c r="E1259" s="204" t="s">
        <v>1431</v>
      </c>
      <c r="F1259" s="204" t="s">
        <v>21</v>
      </c>
      <c r="G1259" s="213" t="s">
        <v>821</v>
      </c>
      <c r="H1259" s="207" t="s">
        <v>2780</v>
      </c>
      <c r="I1259" s="156" t="s">
        <v>26</v>
      </c>
      <c r="J1259" s="204" t="s">
        <v>149</v>
      </c>
      <c r="K1259" s="207"/>
    </row>
    <row r="1260" spans="1:11" ht="66.75">
      <c r="A1260" s="204">
        <v>1258</v>
      </c>
      <c r="B1260" s="208">
        <v>45896</v>
      </c>
      <c r="C1260" s="265" t="s">
        <v>830</v>
      </c>
      <c r="D1260" s="204">
        <v>2025</v>
      </c>
      <c r="E1260" s="209" t="s">
        <v>1431</v>
      </c>
      <c r="F1260" s="209" t="s">
        <v>1539</v>
      </c>
      <c r="G1260" s="210" t="s">
        <v>88</v>
      </c>
      <c r="H1260" s="211" t="s">
        <v>2781</v>
      </c>
      <c r="I1260" s="156" t="s">
        <v>26</v>
      </c>
      <c r="J1260" s="209" t="s">
        <v>1541</v>
      </c>
      <c r="K1260" s="211"/>
    </row>
    <row r="1261" spans="1:11" ht="134.25">
      <c r="A1261" s="204">
        <v>1259</v>
      </c>
      <c r="B1261" s="205">
        <v>45896</v>
      </c>
      <c r="C1261" s="265" t="s">
        <v>830</v>
      </c>
      <c r="D1261" s="204">
        <v>2025</v>
      </c>
      <c r="E1261" s="204" t="s">
        <v>1431</v>
      </c>
      <c r="F1261" s="204" t="s">
        <v>21</v>
      </c>
      <c r="G1261" s="213" t="s">
        <v>821</v>
      </c>
      <c r="H1261" s="207" t="s">
        <v>2782</v>
      </c>
      <c r="I1261" s="156" t="s">
        <v>26</v>
      </c>
      <c r="J1261" s="204" t="s">
        <v>149</v>
      </c>
      <c r="K1261" s="207" t="s">
        <v>1601</v>
      </c>
    </row>
    <row r="1262" spans="1:11" ht="84">
      <c r="A1262" s="204">
        <v>1260</v>
      </c>
      <c r="B1262" s="208">
        <v>45896</v>
      </c>
      <c r="C1262" s="265" t="s">
        <v>830</v>
      </c>
      <c r="D1262" s="204">
        <v>2025</v>
      </c>
      <c r="E1262" s="209" t="s">
        <v>1431</v>
      </c>
      <c r="F1262" s="209" t="s">
        <v>2591</v>
      </c>
      <c r="G1262" s="210" t="s">
        <v>88</v>
      </c>
      <c r="H1262" s="211" t="s">
        <v>2783</v>
      </c>
      <c r="I1262" s="156" t="s">
        <v>26</v>
      </c>
      <c r="J1262" s="209" t="s">
        <v>2593</v>
      </c>
      <c r="K1262" s="211"/>
    </row>
    <row r="1263" spans="1:11" ht="134.25">
      <c r="A1263" s="204">
        <v>1261</v>
      </c>
      <c r="B1263" s="205">
        <v>45896</v>
      </c>
      <c r="C1263" s="265" t="s">
        <v>830</v>
      </c>
      <c r="D1263" s="204">
        <v>2025</v>
      </c>
      <c r="E1263" s="204" t="s">
        <v>1431</v>
      </c>
      <c r="F1263" s="204" t="s">
        <v>2591</v>
      </c>
      <c r="G1263" s="214" t="s">
        <v>859</v>
      </c>
      <c r="H1263" s="207" t="s">
        <v>2784</v>
      </c>
      <c r="I1263" s="156" t="s">
        <v>26</v>
      </c>
      <c r="J1263" s="204" t="s">
        <v>2593</v>
      </c>
      <c r="K1263" s="207" t="s">
        <v>1497</v>
      </c>
    </row>
    <row r="1264" spans="1:11" ht="200.25">
      <c r="A1264" s="204">
        <v>1262</v>
      </c>
      <c r="B1264" s="208">
        <v>45896</v>
      </c>
      <c r="C1264" s="265" t="s">
        <v>830</v>
      </c>
      <c r="D1264" s="204">
        <v>2025</v>
      </c>
      <c r="E1264" s="209" t="s">
        <v>1431</v>
      </c>
      <c r="F1264" s="209" t="s">
        <v>1566</v>
      </c>
      <c r="G1264" s="210" t="s">
        <v>88</v>
      </c>
      <c r="H1264" s="211" t="s">
        <v>2785</v>
      </c>
      <c r="I1264" s="156" t="s">
        <v>26</v>
      </c>
      <c r="J1264" s="209" t="s">
        <v>2786</v>
      </c>
      <c r="K1264" s="211" t="s">
        <v>1478</v>
      </c>
    </row>
    <row r="1265" spans="1:11" ht="216.75">
      <c r="A1265" s="204">
        <v>1263</v>
      </c>
      <c r="B1265" s="205">
        <v>45896</v>
      </c>
      <c r="C1265" s="265" t="s">
        <v>830</v>
      </c>
      <c r="D1265" s="204">
        <v>2025</v>
      </c>
      <c r="E1265" s="204" t="s">
        <v>1431</v>
      </c>
      <c r="F1265" s="204" t="s">
        <v>1566</v>
      </c>
      <c r="G1265" s="206" t="s">
        <v>88</v>
      </c>
      <c r="H1265" s="207" t="s">
        <v>2787</v>
      </c>
      <c r="I1265" s="156" t="s">
        <v>26</v>
      </c>
      <c r="J1265" s="204" t="s">
        <v>2786</v>
      </c>
      <c r="K1265" s="207" t="s">
        <v>1478</v>
      </c>
    </row>
    <row r="1266" spans="1:11" ht="100.5">
      <c r="A1266" s="204">
        <v>1264</v>
      </c>
      <c r="B1266" s="208">
        <v>45896</v>
      </c>
      <c r="C1266" s="265" t="s">
        <v>830</v>
      </c>
      <c r="D1266" s="204">
        <v>2025</v>
      </c>
      <c r="E1266" s="209" t="s">
        <v>1431</v>
      </c>
      <c r="F1266" s="209" t="s">
        <v>1566</v>
      </c>
      <c r="G1266" s="210" t="s">
        <v>88</v>
      </c>
      <c r="H1266" s="211" t="s">
        <v>2788</v>
      </c>
      <c r="I1266" s="156" t="s">
        <v>26</v>
      </c>
      <c r="J1266" s="209" t="s">
        <v>2786</v>
      </c>
      <c r="K1266" s="211" t="s">
        <v>1472</v>
      </c>
    </row>
    <row r="1267" spans="1:11" ht="117">
      <c r="A1267" s="204">
        <v>1265</v>
      </c>
      <c r="B1267" s="205">
        <v>45896</v>
      </c>
      <c r="C1267" s="265" t="s">
        <v>830</v>
      </c>
      <c r="D1267" s="204">
        <v>2025</v>
      </c>
      <c r="E1267" s="204" t="s">
        <v>1431</v>
      </c>
      <c r="F1267" s="204" t="s">
        <v>1566</v>
      </c>
      <c r="G1267" s="206" t="s">
        <v>88</v>
      </c>
      <c r="H1267" s="207" t="s">
        <v>2789</v>
      </c>
      <c r="I1267" s="156" t="s">
        <v>26</v>
      </c>
      <c r="J1267" s="204" t="s">
        <v>2786</v>
      </c>
      <c r="K1267" s="207" t="s">
        <v>1559</v>
      </c>
    </row>
    <row r="1268" spans="1:11" ht="66.75">
      <c r="A1268" s="204">
        <v>1266</v>
      </c>
      <c r="B1268" s="208">
        <v>45896</v>
      </c>
      <c r="C1268" s="265" t="s">
        <v>830</v>
      </c>
      <c r="D1268" s="204">
        <v>2025</v>
      </c>
      <c r="E1268" s="209" t="s">
        <v>1431</v>
      </c>
      <c r="F1268" s="209" t="s">
        <v>216</v>
      </c>
      <c r="G1268" s="213" t="s">
        <v>821</v>
      </c>
      <c r="H1268" s="211" t="s">
        <v>2790</v>
      </c>
      <c r="I1268" s="156" t="s">
        <v>26</v>
      </c>
      <c r="J1268" s="209" t="s">
        <v>492</v>
      </c>
      <c r="K1268" s="211"/>
    </row>
    <row r="1269" spans="1:11" ht="84">
      <c r="A1269" s="204">
        <v>1267</v>
      </c>
      <c r="B1269" s="205">
        <v>45896</v>
      </c>
      <c r="C1269" s="265" t="s">
        <v>830</v>
      </c>
      <c r="D1269" s="204">
        <v>2025</v>
      </c>
      <c r="E1269" s="204" t="s">
        <v>1431</v>
      </c>
      <c r="F1269" s="204" t="s">
        <v>1566</v>
      </c>
      <c r="G1269" s="206" t="s">
        <v>88</v>
      </c>
      <c r="H1269" s="207" t="s">
        <v>2791</v>
      </c>
      <c r="I1269" s="156" t="s">
        <v>26</v>
      </c>
      <c r="J1269" s="204" t="s">
        <v>2786</v>
      </c>
      <c r="K1269" s="207" t="s">
        <v>1500</v>
      </c>
    </row>
    <row r="1270" spans="1:11" ht="33.75">
      <c r="A1270" s="204">
        <v>1268</v>
      </c>
      <c r="B1270" s="208">
        <v>45897</v>
      </c>
      <c r="C1270" s="265" t="s">
        <v>830</v>
      </c>
      <c r="D1270" s="204">
        <v>2025</v>
      </c>
      <c r="E1270" s="209" t="s">
        <v>1431</v>
      </c>
      <c r="F1270" s="209" t="s">
        <v>1518</v>
      </c>
      <c r="G1270" s="210" t="s">
        <v>88</v>
      </c>
      <c r="H1270" s="211" t="s">
        <v>2792</v>
      </c>
      <c r="I1270" s="156" t="s">
        <v>26</v>
      </c>
      <c r="J1270" s="209" t="s">
        <v>1493</v>
      </c>
      <c r="K1270" s="211"/>
    </row>
    <row r="1271" spans="1:11" ht="66.75">
      <c r="A1271" s="204">
        <v>1269</v>
      </c>
      <c r="B1271" s="205">
        <v>45897</v>
      </c>
      <c r="C1271" s="265" t="s">
        <v>830</v>
      </c>
      <c r="D1271" s="204">
        <v>2025</v>
      </c>
      <c r="E1271" s="204" t="s">
        <v>1431</v>
      </c>
      <c r="F1271" s="204" t="s">
        <v>1506</v>
      </c>
      <c r="G1271" s="206" t="s">
        <v>88</v>
      </c>
      <c r="H1271" s="207" t="s">
        <v>2793</v>
      </c>
      <c r="I1271" s="156" t="s">
        <v>26</v>
      </c>
      <c r="J1271" s="204" t="s">
        <v>1904</v>
      </c>
      <c r="K1271" s="207"/>
    </row>
    <row r="1272" spans="1:11" ht="33.75">
      <c r="A1272" s="204">
        <v>1270</v>
      </c>
      <c r="B1272" s="208">
        <v>45897</v>
      </c>
      <c r="C1272" s="265" t="s">
        <v>830</v>
      </c>
      <c r="D1272" s="204">
        <v>2025</v>
      </c>
      <c r="E1272" s="209" t="s">
        <v>1431</v>
      </c>
      <c r="F1272" s="209" t="s">
        <v>216</v>
      </c>
      <c r="G1272" s="213" t="s">
        <v>821</v>
      </c>
      <c r="H1272" s="211" t="s">
        <v>2794</v>
      </c>
      <c r="I1272" s="156" t="s">
        <v>26</v>
      </c>
      <c r="J1272" s="209" t="s">
        <v>492</v>
      </c>
      <c r="K1272" s="211"/>
    </row>
    <row r="1273" spans="1:11" ht="150.75">
      <c r="A1273" s="204">
        <v>1271</v>
      </c>
      <c r="B1273" s="205">
        <v>45897</v>
      </c>
      <c r="C1273" s="265" t="s">
        <v>830</v>
      </c>
      <c r="D1273" s="204">
        <v>2025</v>
      </c>
      <c r="E1273" s="204" t="s">
        <v>1431</v>
      </c>
      <c r="F1273" s="204" t="s">
        <v>21</v>
      </c>
      <c r="G1273" s="213" t="s">
        <v>821</v>
      </c>
      <c r="H1273" s="207" t="s">
        <v>2795</v>
      </c>
      <c r="I1273" s="156" t="s">
        <v>26</v>
      </c>
      <c r="J1273" s="204" t="s">
        <v>149</v>
      </c>
      <c r="K1273" s="207" t="s">
        <v>1513</v>
      </c>
    </row>
    <row r="1274" spans="1:11" ht="117">
      <c r="A1274" s="204">
        <v>1272</v>
      </c>
      <c r="B1274" s="208">
        <v>45897</v>
      </c>
      <c r="C1274" s="265" t="s">
        <v>830</v>
      </c>
      <c r="D1274" s="204">
        <v>2025</v>
      </c>
      <c r="E1274" s="209" t="s">
        <v>1431</v>
      </c>
      <c r="F1274" s="209" t="s">
        <v>21</v>
      </c>
      <c r="G1274" s="213" t="s">
        <v>821</v>
      </c>
      <c r="H1274" s="211" t="s">
        <v>2796</v>
      </c>
      <c r="I1274" s="156" t="s">
        <v>26</v>
      </c>
      <c r="J1274" s="209" t="s">
        <v>149</v>
      </c>
      <c r="K1274" s="211" t="s">
        <v>1482</v>
      </c>
    </row>
    <row r="1275" spans="1:11" ht="66.75">
      <c r="A1275" s="204">
        <v>1273</v>
      </c>
      <c r="B1275" s="205">
        <v>45897</v>
      </c>
      <c r="C1275" s="265" t="s">
        <v>830</v>
      </c>
      <c r="D1275" s="204">
        <v>2025</v>
      </c>
      <c r="E1275" s="204" t="s">
        <v>1431</v>
      </c>
      <c r="F1275" s="204" t="s">
        <v>1566</v>
      </c>
      <c r="G1275" s="206" t="s">
        <v>88</v>
      </c>
      <c r="H1275" s="207" t="s">
        <v>2797</v>
      </c>
      <c r="I1275" s="156" t="s">
        <v>26</v>
      </c>
      <c r="J1275" s="204" t="s">
        <v>2798</v>
      </c>
      <c r="K1275" s="207"/>
    </row>
    <row r="1276" spans="1:11" ht="100.5">
      <c r="A1276" s="204">
        <v>1274</v>
      </c>
      <c r="B1276" s="208">
        <v>45897</v>
      </c>
      <c r="C1276" s="265" t="s">
        <v>830</v>
      </c>
      <c r="D1276" s="204">
        <v>2025</v>
      </c>
      <c r="E1276" s="209" t="s">
        <v>1431</v>
      </c>
      <c r="F1276" s="209" t="s">
        <v>1566</v>
      </c>
      <c r="G1276" s="210" t="s">
        <v>88</v>
      </c>
      <c r="H1276" s="211" t="s">
        <v>2799</v>
      </c>
      <c r="I1276" s="156" t="s">
        <v>26</v>
      </c>
      <c r="J1276" s="209" t="s">
        <v>2798</v>
      </c>
      <c r="K1276" s="211" t="s">
        <v>1454</v>
      </c>
    </row>
    <row r="1277" spans="1:11" ht="33.75">
      <c r="A1277" s="204">
        <v>1275</v>
      </c>
      <c r="B1277" s="205">
        <v>45897</v>
      </c>
      <c r="C1277" s="265" t="s">
        <v>830</v>
      </c>
      <c r="D1277" s="204">
        <v>2025</v>
      </c>
      <c r="E1277" s="204" t="s">
        <v>1431</v>
      </c>
      <c r="F1277" s="204" t="s">
        <v>1566</v>
      </c>
      <c r="G1277" s="206" t="s">
        <v>88</v>
      </c>
      <c r="H1277" s="207" t="s">
        <v>2800</v>
      </c>
      <c r="I1277" s="156" t="s">
        <v>26</v>
      </c>
      <c r="J1277" s="204" t="s">
        <v>2798</v>
      </c>
      <c r="K1277" s="207"/>
    </row>
    <row r="1278" spans="1:11" ht="33.75">
      <c r="A1278" s="204">
        <v>1276</v>
      </c>
      <c r="B1278" s="208">
        <v>45897</v>
      </c>
      <c r="C1278" s="265" t="s">
        <v>830</v>
      </c>
      <c r="D1278" s="204">
        <v>2025</v>
      </c>
      <c r="E1278" s="209" t="s">
        <v>1431</v>
      </c>
      <c r="F1278" s="209" t="s">
        <v>1566</v>
      </c>
      <c r="G1278" s="210" t="s">
        <v>88</v>
      </c>
      <c r="H1278" s="211" t="s">
        <v>2801</v>
      </c>
      <c r="I1278" s="156" t="s">
        <v>26</v>
      </c>
      <c r="J1278" s="209" t="s">
        <v>2798</v>
      </c>
      <c r="K1278" s="211"/>
    </row>
    <row r="1279" spans="1:11" ht="100.5">
      <c r="A1279" s="204">
        <v>1277</v>
      </c>
      <c r="B1279" s="205">
        <v>45897</v>
      </c>
      <c r="C1279" s="265" t="s">
        <v>830</v>
      </c>
      <c r="D1279" s="204">
        <v>2025</v>
      </c>
      <c r="E1279" s="204" t="s">
        <v>1431</v>
      </c>
      <c r="F1279" s="204" t="s">
        <v>1566</v>
      </c>
      <c r="G1279" s="206" t="s">
        <v>88</v>
      </c>
      <c r="H1279" s="207" t="s">
        <v>2802</v>
      </c>
      <c r="I1279" s="156" t="s">
        <v>26</v>
      </c>
      <c r="J1279" s="204" t="s">
        <v>2798</v>
      </c>
      <c r="K1279" s="207" t="s">
        <v>1472</v>
      </c>
    </row>
    <row r="1280" spans="1:11" ht="84">
      <c r="A1280" s="204">
        <v>1278</v>
      </c>
      <c r="B1280" s="208">
        <v>45897</v>
      </c>
      <c r="C1280" s="265" t="s">
        <v>830</v>
      </c>
      <c r="D1280" s="204">
        <v>2025</v>
      </c>
      <c r="E1280" s="209" t="s">
        <v>1431</v>
      </c>
      <c r="F1280" s="209" t="s">
        <v>2591</v>
      </c>
      <c r="G1280" s="210" t="s">
        <v>88</v>
      </c>
      <c r="H1280" s="211" t="s">
        <v>2803</v>
      </c>
      <c r="I1280" s="156" t="s">
        <v>26</v>
      </c>
      <c r="J1280" s="209" t="s">
        <v>2593</v>
      </c>
      <c r="K1280" s="211" t="s">
        <v>1500</v>
      </c>
    </row>
    <row r="1281" spans="1:11" ht="150.75">
      <c r="A1281" s="204">
        <v>1279</v>
      </c>
      <c r="B1281" s="205">
        <v>45897</v>
      </c>
      <c r="C1281" s="265" t="s">
        <v>830</v>
      </c>
      <c r="D1281" s="204">
        <v>2025</v>
      </c>
      <c r="E1281" s="204" t="s">
        <v>1431</v>
      </c>
      <c r="F1281" s="204" t="s">
        <v>2591</v>
      </c>
      <c r="G1281" s="206" t="s">
        <v>88</v>
      </c>
      <c r="H1281" s="207" t="s">
        <v>2804</v>
      </c>
      <c r="I1281" s="156" t="s">
        <v>26</v>
      </c>
      <c r="J1281" s="204" t="s">
        <v>2593</v>
      </c>
      <c r="K1281" s="207" t="s">
        <v>1451</v>
      </c>
    </row>
    <row r="1282" spans="1:11" ht="134.25">
      <c r="A1282" s="204">
        <v>1280</v>
      </c>
      <c r="B1282" s="208">
        <v>45897</v>
      </c>
      <c r="C1282" s="265" t="s">
        <v>830</v>
      </c>
      <c r="D1282" s="204">
        <v>2025</v>
      </c>
      <c r="E1282" s="209" t="s">
        <v>1431</v>
      </c>
      <c r="F1282" s="209" t="s">
        <v>2591</v>
      </c>
      <c r="G1282" s="217" t="s">
        <v>859</v>
      </c>
      <c r="H1282" s="211" t="s">
        <v>2805</v>
      </c>
      <c r="I1282" s="156" t="s">
        <v>26</v>
      </c>
      <c r="J1282" s="209" t="s">
        <v>2593</v>
      </c>
      <c r="K1282" s="211" t="s">
        <v>1497</v>
      </c>
    </row>
    <row r="1283" spans="1:11" ht="50.25">
      <c r="A1283" s="204">
        <v>1281</v>
      </c>
      <c r="B1283" s="205">
        <v>45897</v>
      </c>
      <c r="C1283" s="265" t="s">
        <v>830</v>
      </c>
      <c r="D1283" s="204">
        <v>2025</v>
      </c>
      <c r="E1283" s="204" t="s">
        <v>1431</v>
      </c>
      <c r="F1283" s="204" t="s">
        <v>2591</v>
      </c>
      <c r="G1283" s="206" t="s">
        <v>88</v>
      </c>
      <c r="H1283" s="207" t="s">
        <v>2806</v>
      </c>
      <c r="I1283" s="156" t="s">
        <v>26</v>
      </c>
      <c r="J1283" s="204" t="s">
        <v>2593</v>
      </c>
      <c r="K1283" s="207"/>
    </row>
    <row r="1284" spans="1:11" ht="84">
      <c r="A1284" s="204">
        <v>1282</v>
      </c>
      <c r="B1284" s="208">
        <v>45897</v>
      </c>
      <c r="C1284" s="265" t="s">
        <v>830</v>
      </c>
      <c r="D1284" s="204">
        <v>2025</v>
      </c>
      <c r="E1284" s="209" t="s">
        <v>1431</v>
      </c>
      <c r="F1284" s="209" t="s">
        <v>2591</v>
      </c>
      <c r="G1284" s="217" t="s">
        <v>859</v>
      </c>
      <c r="H1284" s="211" t="s">
        <v>2807</v>
      </c>
      <c r="I1284" s="156" t="s">
        <v>26</v>
      </c>
      <c r="J1284" s="209" t="s">
        <v>2593</v>
      </c>
      <c r="K1284" s="211" t="s">
        <v>1605</v>
      </c>
    </row>
    <row r="1285" spans="1:11" ht="84">
      <c r="A1285" s="204">
        <v>1283</v>
      </c>
      <c r="B1285" s="205">
        <v>45897</v>
      </c>
      <c r="C1285" s="265" t="s">
        <v>830</v>
      </c>
      <c r="D1285" s="204">
        <v>2025</v>
      </c>
      <c r="E1285" s="204" t="s">
        <v>1431</v>
      </c>
      <c r="F1285" s="204" t="s">
        <v>2591</v>
      </c>
      <c r="G1285" s="214" t="s">
        <v>859</v>
      </c>
      <c r="H1285" s="207" t="s">
        <v>2808</v>
      </c>
      <c r="I1285" s="156" t="s">
        <v>26</v>
      </c>
      <c r="J1285" s="204" t="s">
        <v>2593</v>
      </c>
      <c r="K1285" s="207" t="s">
        <v>1605</v>
      </c>
    </row>
    <row r="1286" spans="1:11" ht="16.5">
      <c r="A1286" s="204">
        <v>1284</v>
      </c>
      <c r="B1286" s="208">
        <v>45897</v>
      </c>
      <c r="C1286" s="265" t="s">
        <v>830</v>
      </c>
      <c r="D1286" s="204">
        <v>2025</v>
      </c>
      <c r="E1286" s="209" t="s">
        <v>1431</v>
      </c>
      <c r="F1286" s="209" t="s">
        <v>1608</v>
      </c>
      <c r="G1286" s="212" t="s">
        <v>1439</v>
      </c>
      <c r="H1286" s="211" t="s">
        <v>2809</v>
      </c>
      <c r="I1286" s="156" t="s">
        <v>26</v>
      </c>
      <c r="J1286" s="209" t="s">
        <v>1458</v>
      </c>
      <c r="K1286" s="211"/>
    </row>
    <row r="1287" spans="1:11" ht="16.5">
      <c r="A1287" s="204">
        <v>1285</v>
      </c>
      <c r="B1287" s="205">
        <v>45897</v>
      </c>
      <c r="C1287" s="265" t="s">
        <v>830</v>
      </c>
      <c r="D1287" s="204">
        <v>2025</v>
      </c>
      <c r="E1287" s="204" t="s">
        <v>1431</v>
      </c>
      <c r="F1287" s="204" t="s">
        <v>1608</v>
      </c>
      <c r="G1287" s="212" t="s">
        <v>1439</v>
      </c>
      <c r="H1287" s="207" t="s">
        <v>2810</v>
      </c>
      <c r="I1287" s="156" t="s">
        <v>26</v>
      </c>
      <c r="J1287" s="204" t="s">
        <v>1458</v>
      </c>
      <c r="K1287" s="207"/>
    </row>
    <row r="1288" spans="1:11" ht="84">
      <c r="A1288" s="204">
        <v>1286</v>
      </c>
      <c r="B1288" s="208">
        <v>45898</v>
      </c>
      <c r="C1288" s="265" t="s">
        <v>830</v>
      </c>
      <c r="D1288" s="204">
        <v>2025</v>
      </c>
      <c r="E1288" s="209" t="s">
        <v>1431</v>
      </c>
      <c r="F1288" s="209" t="s">
        <v>1506</v>
      </c>
      <c r="G1288" s="210" t="s">
        <v>88</v>
      </c>
      <c r="H1288" s="211" t="s">
        <v>2811</v>
      </c>
      <c r="I1288" s="156" t="s">
        <v>26</v>
      </c>
      <c r="J1288" s="209" t="s">
        <v>452</v>
      </c>
      <c r="K1288" s="211" t="s">
        <v>1500</v>
      </c>
    </row>
    <row r="1289" spans="1:11" ht="33.75">
      <c r="A1289" s="204">
        <v>1287</v>
      </c>
      <c r="B1289" s="205">
        <v>45898</v>
      </c>
      <c r="C1289" s="265" t="s">
        <v>830</v>
      </c>
      <c r="D1289" s="204">
        <v>2025</v>
      </c>
      <c r="E1289" s="204" t="s">
        <v>1431</v>
      </c>
      <c r="F1289" s="204" t="s">
        <v>988</v>
      </c>
      <c r="G1289" s="206" t="s">
        <v>88</v>
      </c>
      <c r="H1289" s="207" t="s">
        <v>2812</v>
      </c>
      <c r="I1289" s="156" t="s">
        <v>26</v>
      </c>
      <c r="J1289" s="204" t="s">
        <v>2813</v>
      </c>
      <c r="K1289" s="207"/>
    </row>
    <row r="1290" spans="1:11" ht="33.75">
      <c r="A1290" s="204">
        <v>1288</v>
      </c>
      <c r="B1290" s="208">
        <v>45898</v>
      </c>
      <c r="C1290" s="265" t="s">
        <v>830</v>
      </c>
      <c r="D1290" s="204">
        <v>2025</v>
      </c>
      <c r="E1290" s="209" t="s">
        <v>1431</v>
      </c>
      <c r="F1290" s="209" t="s">
        <v>216</v>
      </c>
      <c r="G1290" s="213" t="s">
        <v>821</v>
      </c>
      <c r="H1290" s="211" t="s">
        <v>2814</v>
      </c>
      <c r="I1290" s="156" t="s">
        <v>26</v>
      </c>
      <c r="J1290" s="209" t="s">
        <v>492</v>
      </c>
      <c r="K1290" s="211"/>
    </row>
    <row r="1291" spans="1:11" ht="84">
      <c r="A1291" s="204">
        <v>1289</v>
      </c>
      <c r="B1291" s="205">
        <v>45898</v>
      </c>
      <c r="C1291" s="265" t="s">
        <v>830</v>
      </c>
      <c r="D1291" s="204">
        <v>2025</v>
      </c>
      <c r="E1291" s="204" t="s">
        <v>1431</v>
      </c>
      <c r="F1291" s="204" t="s">
        <v>2591</v>
      </c>
      <c r="G1291" s="214" t="s">
        <v>859</v>
      </c>
      <c r="H1291" s="207" t="s">
        <v>2815</v>
      </c>
      <c r="I1291" s="156" t="s">
        <v>26</v>
      </c>
      <c r="J1291" s="204" t="s">
        <v>2593</v>
      </c>
      <c r="K1291" s="207" t="s">
        <v>1605</v>
      </c>
    </row>
    <row r="1292" spans="1:11" ht="100.5">
      <c r="A1292" s="204">
        <v>1290</v>
      </c>
      <c r="B1292" s="208">
        <v>45898</v>
      </c>
      <c r="C1292" s="265" t="s">
        <v>830</v>
      </c>
      <c r="D1292" s="204">
        <v>2025</v>
      </c>
      <c r="E1292" s="209" t="s">
        <v>1431</v>
      </c>
      <c r="F1292" s="209" t="s">
        <v>2591</v>
      </c>
      <c r="G1292" s="217" t="s">
        <v>859</v>
      </c>
      <c r="H1292" s="211" t="s">
        <v>2816</v>
      </c>
      <c r="I1292" s="156" t="s">
        <v>26</v>
      </c>
      <c r="J1292" s="209" t="s">
        <v>2593</v>
      </c>
      <c r="K1292" s="211" t="s">
        <v>1476</v>
      </c>
    </row>
    <row r="1293" spans="1:11" ht="117">
      <c r="A1293" s="204">
        <v>1291</v>
      </c>
      <c r="B1293" s="205">
        <v>45898</v>
      </c>
      <c r="C1293" s="265" t="s">
        <v>830</v>
      </c>
      <c r="D1293" s="204">
        <v>2025</v>
      </c>
      <c r="E1293" s="204" t="s">
        <v>1431</v>
      </c>
      <c r="F1293" s="204" t="s">
        <v>2591</v>
      </c>
      <c r="G1293" s="206" t="s">
        <v>88</v>
      </c>
      <c r="H1293" s="207" t="s">
        <v>2817</v>
      </c>
      <c r="I1293" s="156" t="s">
        <v>26</v>
      </c>
      <c r="J1293" s="204" t="s">
        <v>2593</v>
      </c>
      <c r="K1293" s="207" t="s">
        <v>1510</v>
      </c>
    </row>
    <row r="1294" spans="1:11" ht="134.25">
      <c r="A1294" s="204">
        <v>1292</v>
      </c>
      <c r="B1294" s="208">
        <v>45898</v>
      </c>
      <c r="C1294" s="265" t="s">
        <v>830</v>
      </c>
      <c r="D1294" s="204">
        <v>2025</v>
      </c>
      <c r="E1294" s="209" t="s">
        <v>1431</v>
      </c>
      <c r="F1294" s="209" t="s">
        <v>2591</v>
      </c>
      <c r="G1294" s="217" t="s">
        <v>859</v>
      </c>
      <c r="H1294" s="211" t="s">
        <v>2818</v>
      </c>
      <c r="I1294" s="156" t="s">
        <v>26</v>
      </c>
      <c r="J1294" s="209" t="s">
        <v>2593</v>
      </c>
      <c r="K1294" s="211"/>
    </row>
    <row r="1295" spans="1:11" ht="66.75">
      <c r="A1295" s="204">
        <v>1293</v>
      </c>
      <c r="B1295" s="205">
        <v>45901</v>
      </c>
      <c r="C1295" s="267" t="s">
        <v>831</v>
      </c>
      <c r="D1295" s="204">
        <v>2025</v>
      </c>
      <c r="E1295" s="204" t="s">
        <v>1431</v>
      </c>
      <c r="F1295" s="204" t="s">
        <v>1506</v>
      </c>
      <c r="G1295" s="206" t="s">
        <v>88</v>
      </c>
      <c r="H1295" s="207" t="s">
        <v>2819</v>
      </c>
      <c r="I1295" s="156" t="s">
        <v>26</v>
      </c>
      <c r="J1295" s="204" t="s">
        <v>1904</v>
      </c>
      <c r="K1295" s="207"/>
    </row>
    <row r="1296" spans="1:11" ht="50.25">
      <c r="A1296" s="204">
        <v>1294</v>
      </c>
      <c r="B1296" s="208">
        <v>45901</v>
      </c>
      <c r="C1296" s="267" t="s">
        <v>831</v>
      </c>
      <c r="D1296" s="204">
        <v>2025</v>
      </c>
      <c r="E1296" s="209" t="s">
        <v>1431</v>
      </c>
      <c r="F1296" s="209" t="s">
        <v>1506</v>
      </c>
      <c r="G1296" s="210" t="s">
        <v>88</v>
      </c>
      <c r="H1296" s="211" t="s">
        <v>2820</v>
      </c>
      <c r="I1296" s="156" t="s">
        <v>26</v>
      </c>
      <c r="J1296" s="209" t="s">
        <v>1904</v>
      </c>
      <c r="K1296" s="211"/>
    </row>
    <row r="1297" spans="1:11" ht="33.75">
      <c r="A1297" s="204">
        <v>1295</v>
      </c>
      <c r="B1297" s="205">
        <v>45901</v>
      </c>
      <c r="C1297" s="267" t="s">
        <v>831</v>
      </c>
      <c r="D1297" s="204">
        <v>2025</v>
      </c>
      <c r="E1297" s="204" t="s">
        <v>1431</v>
      </c>
      <c r="F1297" s="204" t="s">
        <v>216</v>
      </c>
      <c r="G1297" s="213" t="s">
        <v>821</v>
      </c>
      <c r="H1297" s="207" t="s">
        <v>2821</v>
      </c>
      <c r="I1297" s="156" t="s">
        <v>26</v>
      </c>
      <c r="J1297" s="204" t="s">
        <v>492</v>
      </c>
      <c r="K1297" s="207"/>
    </row>
    <row r="1298" spans="1:11" ht="50.25">
      <c r="A1298" s="204">
        <v>1296</v>
      </c>
      <c r="B1298" s="208">
        <v>45901</v>
      </c>
      <c r="C1298" s="267" t="s">
        <v>831</v>
      </c>
      <c r="D1298" s="204">
        <v>2025</v>
      </c>
      <c r="E1298" s="209" t="s">
        <v>1431</v>
      </c>
      <c r="F1298" s="209" t="s">
        <v>21</v>
      </c>
      <c r="G1298" s="213" t="s">
        <v>821</v>
      </c>
      <c r="H1298" s="211" t="s">
        <v>2822</v>
      </c>
      <c r="I1298" s="156" t="s">
        <v>26</v>
      </c>
      <c r="J1298" s="209" t="s">
        <v>149</v>
      </c>
      <c r="K1298" s="211"/>
    </row>
    <row r="1299" spans="1:11" ht="117">
      <c r="A1299" s="204">
        <v>1297</v>
      </c>
      <c r="B1299" s="205">
        <v>45901</v>
      </c>
      <c r="C1299" s="267" t="s">
        <v>831</v>
      </c>
      <c r="D1299" s="204">
        <v>2025</v>
      </c>
      <c r="E1299" s="204" t="s">
        <v>1431</v>
      </c>
      <c r="F1299" s="204" t="s">
        <v>1511</v>
      </c>
      <c r="G1299" s="206" t="s">
        <v>88</v>
      </c>
      <c r="H1299" s="207" t="s">
        <v>2823</v>
      </c>
      <c r="I1299" s="156" t="s">
        <v>26</v>
      </c>
      <c r="J1299" s="204" t="s">
        <v>2824</v>
      </c>
      <c r="K1299" s="207" t="s">
        <v>1451</v>
      </c>
    </row>
    <row r="1300" spans="1:11" ht="117">
      <c r="A1300" s="204">
        <v>1298</v>
      </c>
      <c r="B1300" s="208">
        <v>45901</v>
      </c>
      <c r="C1300" s="267" t="s">
        <v>831</v>
      </c>
      <c r="D1300" s="204">
        <v>2025</v>
      </c>
      <c r="E1300" s="209" t="s">
        <v>2224</v>
      </c>
      <c r="F1300" s="209" t="s">
        <v>574</v>
      </c>
      <c r="G1300" s="210" t="s">
        <v>88</v>
      </c>
      <c r="H1300" s="211" t="s">
        <v>2825</v>
      </c>
      <c r="I1300" s="156" t="s">
        <v>26</v>
      </c>
      <c r="J1300" s="209" t="s">
        <v>2568</v>
      </c>
      <c r="K1300" s="211" t="s">
        <v>1472</v>
      </c>
    </row>
    <row r="1301" spans="1:11" ht="50.25">
      <c r="A1301" s="204">
        <v>1299</v>
      </c>
      <c r="B1301" s="205">
        <v>45901</v>
      </c>
      <c r="C1301" s="267" t="s">
        <v>831</v>
      </c>
      <c r="D1301" s="204">
        <v>2025</v>
      </c>
      <c r="E1301" s="204" t="s">
        <v>2224</v>
      </c>
      <c r="F1301" s="204" t="s">
        <v>1511</v>
      </c>
      <c r="G1301" s="206" t="s">
        <v>88</v>
      </c>
      <c r="H1301" s="207" t="s">
        <v>2826</v>
      </c>
      <c r="I1301" s="156" t="s">
        <v>26</v>
      </c>
      <c r="J1301" s="204" t="s">
        <v>2735</v>
      </c>
      <c r="K1301" s="207"/>
    </row>
    <row r="1302" spans="1:11" ht="117">
      <c r="A1302" s="204">
        <v>1300</v>
      </c>
      <c r="B1302" s="208">
        <v>45901</v>
      </c>
      <c r="C1302" s="267" t="s">
        <v>831</v>
      </c>
      <c r="D1302" s="204">
        <v>2025</v>
      </c>
      <c r="E1302" s="209" t="s">
        <v>1431</v>
      </c>
      <c r="F1302" s="209" t="s">
        <v>2591</v>
      </c>
      <c r="G1302" s="210" t="s">
        <v>88</v>
      </c>
      <c r="H1302" s="211" t="s">
        <v>2827</v>
      </c>
      <c r="I1302" s="156" t="s">
        <v>26</v>
      </c>
      <c r="J1302" s="209" t="s">
        <v>2593</v>
      </c>
      <c r="K1302" s="211" t="s">
        <v>1437</v>
      </c>
    </row>
    <row r="1303" spans="1:11" ht="117">
      <c r="A1303" s="204">
        <v>1301</v>
      </c>
      <c r="B1303" s="205">
        <v>45901</v>
      </c>
      <c r="C1303" s="267" t="s">
        <v>831</v>
      </c>
      <c r="D1303" s="204">
        <v>2025</v>
      </c>
      <c r="E1303" s="204" t="s">
        <v>1431</v>
      </c>
      <c r="F1303" s="204" t="s">
        <v>2591</v>
      </c>
      <c r="G1303" s="206" t="s">
        <v>88</v>
      </c>
      <c r="H1303" s="207" t="s">
        <v>2828</v>
      </c>
      <c r="I1303" s="156" t="s">
        <v>26</v>
      </c>
      <c r="J1303" s="204" t="s">
        <v>2593</v>
      </c>
      <c r="K1303" s="207" t="s">
        <v>1559</v>
      </c>
    </row>
    <row r="1304" spans="1:11" ht="16.5">
      <c r="A1304" s="204">
        <v>1302</v>
      </c>
      <c r="B1304" s="208">
        <v>45901</v>
      </c>
      <c r="C1304" s="267" t="s">
        <v>831</v>
      </c>
      <c r="D1304" s="204">
        <v>2025</v>
      </c>
      <c r="E1304" s="209" t="s">
        <v>1431</v>
      </c>
      <c r="F1304" s="209" t="s">
        <v>2591</v>
      </c>
      <c r="G1304" s="210" t="s">
        <v>88</v>
      </c>
      <c r="H1304" s="211" t="s">
        <v>2829</v>
      </c>
      <c r="I1304" s="156" t="s">
        <v>26</v>
      </c>
      <c r="J1304" s="209" t="s">
        <v>2593</v>
      </c>
      <c r="K1304" s="211"/>
    </row>
    <row r="1305" spans="1:11" ht="50.25">
      <c r="A1305" s="204">
        <v>1303</v>
      </c>
      <c r="B1305" s="205">
        <v>45901</v>
      </c>
      <c r="C1305" s="267" t="s">
        <v>831</v>
      </c>
      <c r="D1305" s="204">
        <v>2025</v>
      </c>
      <c r="E1305" s="204" t="s">
        <v>1431</v>
      </c>
      <c r="F1305" s="204" t="s">
        <v>2591</v>
      </c>
      <c r="G1305" s="206" t="s">
        <v>88</v>
      </c>
      <c r="H1305" s="207" t="s">
        <v>2830</v>
      </c>
      <c r="I1305" s="156" t="s">
        <v>26</v>
      </c>
      <c r="J1305" s="204" t="s">
        <v>2593</v>
      </c>
      <c r="K1305" s="207"/>
    </row>
    <row r="1306" spans="1:11" ht="50.25">
      <c r="A1306" s="204">
        <v>1304</v>
      </c>
      <c r="B1306" s="208">
        <v>45901</v>
      </c>
      <c r="C1306" s="267" t="s">
        <v>831</v>
      </c>
      <c r="D1306" s="204">
        <v>2025</v>
      </c>
      <c r="E1306" s="209" t="s">
        <v>1431</v>
      </c>
      <c r="F1306" s="209" t="s">
        <v>2591</v>
      </c>
      <c r="G1306" s="210" t="s">
        <v>88</v>
      </c>
      <c r="H1306" s="211" t="s">
        <v>2831</v>
      </c>
      <c r="I1306" s="156" t="s">
        <v>26</v>
      </c>
      <c r="J1306" s="209" t="s">
        <v>2593</v>
      </c>
      <c r="K1306" s="211"/>
    </row>
    <row r="1307" spans="1:11" ht="100.5">
      <c r="A1307" s="204">
        <v>1305</v>
      </c>
      <c r="B1307" s="205">
        <v>45901</v>
      </c>
      <c r="C1307" s="267" t="s">
        <v>831</v>
      </c>
      <c r="D1307" s="204">
        <v>2025</v>
      </c>
      <c r="E1307" s="204" t="s">
        <v>1431</v>
      </c>
      <c r="F1307" s="204" t="s">
        <v>2591</v>
      </c>
      <c r="G1307" s="206" t="s">
        <v>88</v>
      </c>
      <c r="H1307" s="207" t="s">
        <v>2832</v>
      </c>
      <c r="I1307" s="156" t="s">
        <v>26</v>
      </c>
      <c r="J1307" s="204" t="s">
        <v>2593</v>
      </c>
      <c r="K1307" s="207"/>
    </row>
    <row r="1308" spans="1:11" ht="84">
      <c r="A1308" s="204">
        <v>1306</v>
      </c>
      <c r="B1308" s="208">
        <v>45901</v>
      </c>
      <c r="C1308" s="267" t="s">
        <v>831</v>
      </c>
      <c r="D1308" s="204">
        <v>2025</v>
      </c>
      <c r="E1308" s="209" t="s">
        <v>1431</v>
      </c>
      <c r="F1308" s="209" t="s">
        <v>2591</v>
      </c>
      <c r="G1308" s="210" t="s">
        <v>88</v>
      </c>
      <c r="H1308" s="211" t="s">
        <v>2833</v>
      </c>
      <c r="I1308" s="156" t="s">
        <v>26</v>
      </c>
      <c r="J1308" s="209" t="s">
        <v>2593</v>
      </c>
      <c r="K1308" s="211"/>
    </row>
    <row r="1309" spans="1:11" ht="134.25">
      <c r="A1309" s="204">
        <v>1307</v>
      </c>
      <c r="B1309" s="205">
        <v>45901</v>
      </c>
      <c r="C1309" s="267" t="s">
        <v>831</v>
      </c>
      <c r="D1309" s="204">
        <v>2025</v>
      </c>
      <c r="E1309" s="204" t="s">
        <v>1431</v>
      </c>
      <c r="F1309" s="204" t="s">
        <v>2591</v>
      </c>
      <c r="G1309" s="206" t="s">
        <v>88</v>
      </c>
      <c r="H1309" s="207" t="s">
        <v>2834</v>
      </c>
      <c r="I1309" s="156" t="s">
        <v>26</v>
      </c>
      <c r="J1309" s="204" t="s">
        <v>2593</v>
      </c>
      <c r="K1309" s="207"/>
    </row>
    <row r="1310" spans="1:11" ht="100.5">
      <c r="A1310" s="204">
        <v>1308</v>
      </c>
      <c r="B1310" s="208">
        <v>45901</v>
      </c>
      <c r="C1310" s="267" t="s">
        <v>831</v>
      </c>
      <c r="D1310" s="204">
        <v>2025</v>
      </c>
      <c r="E1310" s="209" t="s">
        <v>1431</v>
      </c>
      <c r="F1310" s="209" t="s">
        <v>2591</v>
      </c>
      <c r="G1310" s="210" t="s">
        <v>88</v>
      </c>
      <c r="H1310" s="211" t="s">
        <v>2835</v>
      </c>
      <c r="I1310" s="156" t="s">
        <v>26</v>
      </c>
      <c r="J1310" s="209" t="s">
        <v>2593</v>
      </c>
      <c r="K1310" s="211" t="s">
        <v>1500</v>
      </c>
    </row>
    <row r="1311" spans="1:11" ht="100.5">
      <c r="A1311" s="204">
        <v>1309</v>
      </c>
      <c r="B1311" s="205">
        <v>45901</v>
      </c>
      <c r="C1311" s="267" t="s">
        <v>831</v>
      </c>
      <c r="D1311" s="204">
        <v>2025</v>
      </c>
      <c r="E1311" s="204" t="s">
        <v>1431</v>
      </c>
      <c r="F1311" s="204" t="s">
        <v>1566</v>
      </c>
      <c r="G1311" s="206" t="s">
        <v>88</v>
      </c>
      <c r="H1311" s="207" t="s">
        <v>2836</v>
      </c>
      <c r="I1311" s="156" t="s">
        <v>26</v>
      </c>
      <c r="J1311" s="204" t="s">
        <v>1588</v>
      </c>
      <c r="K1311" s="207" t="s">
        <v>1478</v>
      </c>
    </row>
    <row r="1312" spans="1:11" ht="100.5">
      <c r="A1312" s="204">
        <v>1310</v>
      </c>
      <c r="B1312" s="208">
        <v>45901</v>
      </c>
      <c r="C1312" s="267" t="s">
        <v>831</v>
      </c>
      <c r="D1312" s="204">
        <v>2025</v>
      </c>
      <c r="E1312" s="209" t="s">
        <v>1431</v>
      </c>
      <c r="F1312" s="209" t="s">
        <v>1566</v>
      </c>
      <c r="G1312" s="210" t="s">
        <v>88</v>
      </c>
      <c r="H1312" s="211" t="s">
        <v>2837</v>
      </c>
      <c r="I1312" s="156" t="s">
        <v>26</v>
      </c>
      <c r="J1312" s="209" t="s">
        <v>1588</v>
      </c>
      <c r="K1312" s="211" t="s">
        <v>1467</v>
      </c>
    </row>
    <row r="1313" spans="1:11" ht="100.5">
      <c r="A1313" s="204">
        <v>1311</v>
      </c>
      <c r="B1313" s="205">
        <v>45901</v>
      </c>
      <c r="C1313" s="267" t="s">
        <v>831</v>
      </c>
      <c r="D1313" s="204">
        <v>2025</v>
      </c>
      <c r="E1313" s="204" t="s">
        <v>1431</v>
      </c>
      <c r="F1313" s="204" t="s">
        <v>1566</v>
      </c>
      <c r="G1313" s="206" t="s">
        <v>88</v>
      </c>
      <c r="H1313" s="207" t="s">
        <v>2838</v>
      </c>
      <c r="I1313" s="156" t="s">
        <v>26</v>
      </c>
      <c r="J1313" s="204" t="s">
        <v>1588</v>
      </c>
      <c r="K1313" s="207" t="s">
        <v>1454</v>
      </c>
    </row>
    <row r="1314" spans="1:11" ht="100.5">
      <c r="A1314" s="204">
        <v>1312</v>
      </c>
      <c r="B1314" s="208">
        <v>45901</v>
      </c>
      <c r="C1314" s="267" t="s">
        <v>831</v>
      </c>
      <c r="D1314" s="204">
        <v>2025</v>
      </c>
      <c r="E1314" s="209" t="s">
        <v>1431</v>
      </c>
      <c r="F1314" s="209" t="s">
        <v>1566</v>
      </c>
      <c r="G1314" s="210" t="s">
        <v>88</v>
      </c>
      <c r="H1314" s="211" t="s">
        <v>2839</v>
      </c>
      <c r="I1314" s="156" t="s">
        <v>26</v>
      </c>
      <c r="J1314" s="209" t="s">
        <v>1588</v>
      </c>
      <c r="K1314" s="211" t="s">
        <v>1454</v>
      </c>
    </row>
    <row r="1315" spans="1:11" ht="150.75">
      <c r="A1315" s="204">
        <v>1313</v>
      </c>
      <c r="B1315" s="205">
        <v>45901</v>
      </c>
      <c r="C1315" s="267" t="s">
        <v>831</v>
      </c>
      <c r="D1315" s="204">
        <v>2025</v>
      </c>
      <c r="E1315" s="204" t="s">
        <v>1431</v>
      </c>
      <c r="F1315" s="204" t="s">
        <v>1566</v>
      </c>
      <c r="G1315" s="206" t="s">
        <v>88</v>
      </c>
      <c r="H1315" s="207" t="s">
        <v>2840</v>
      </c>
      <c r="I1315" s="156" t="s">
        <v>26</v>
      </c>
      <c r="J1315" s="204" t="s">
        <v>1588</v>
      </c>
      <c r="K1315" s="207" t="s">
        <v>1451</v>
      </c>
    </row>
    <row r="1316" spans="1:11" ht="117">
      <c r="A1316" s="204">
        <v>1314</v>
      </c>
      <c r="B1316" s="208">
        <v>45901</v>
      </c>
      <c r="C1316" s="267" t="s">
        <v>831</v>
      </c>
      <c r="D1316" s="204">
        <v>2025</v>
      </c>
      <c r="E1316" s="209" t="s">
        <v>1431</v>
      </c>
      <c r="F1316" s="209" t="s">
        <v>1566</v>
      </c>
      <c r="G1316" s="210" t="s">
        <v>88</v>
      </c>
      <c r="H1316" s="211" t="s">
        <v>2841</v>
      </c>
      <c r="I1316" s="156" t="s">
        <v>26</v>
      </c>
      <c r="J1316" s="209" t="s">
        <v>1588</v>
      </c>
      <c r="K1316" s="211" t="s">
        <v>1559</v>
      </c>
    </row>
    <row r="1317" spans="1:11" ht="117">
      <c r="A1317" s="204">
        <v>1315</v>
      </c>
      <c r="B1317" s="205">
        <v>45901</v>
      </c>
      <c r="C1317" s="267" t="s">
        <v>831</v>
      </c>
      <c r="D1317" s="204">
        <v>2025</v>
      </c>
      <c r="E1317" s="204" t="s">
        <v>1431</v>
      </c>
      <c r="F1317" s="204" t="s">
        <v>1566</v>
      </c>
      <c r="G1317" s="206" t="s">
        <v>88</v>
      </c>
      <c r="H1317" s="207" t="s">
        <v>2842</v>
      </c>
      <c r="I1317" s="156" t="s">
        <v>26</v>
      </c>
      <c r="J1317" s="204" t="s">
        <v>1588</v>
      </c>
      <c r="K1317" s="207" t="s">
        <v>1559</v>
      </c>
    </row>
    <row r="1318" spans="1:11" ht="234">
      <c r="A1318" s="204">
        <v>1316</v>
      </c>
      <c r="B1318" s="208">
        <v>45901</v>
      </c>
      <c r="C1318" s="267" t="s">
        <v>831</v>
      </c>
      <c r="D1318" s="204">
        <v>2025</v>
      </c>
      <c r="E1318" s="209" t="s">
        <v>1431</v>
      </c>
      <c r="F1318" s="209" t="s">
        <v>1566</v>
      </c>
      <c r="G1318" s="210" t="s">
        <v>88</v>
      </c>
      <c r="H1318" s="211" t="s">
        <v>2843</v>
      </c>
      <c r="I1318" s="156" t="s">
        <v>26</v>
      </c>
      <c r="J1318" s="209" t="s">
        <v>1588</v>
      </c>
      <c r="K1318" s="211" t="s">
        <v>1559</v>
      </c>
    </row>
    <row r="1319" spans="1:11" ht="150.75">
      <c r="A1319" s="204">
        <v>1317</v>
      </c>
      <c r="B1319" s="205">
        <v>45902</v>
      </c>
      <c r="C1319" s="267" t="s">
        <v>831</v>
      </c>
      <c r="D1319" s="204">
        <v>2025</v>
      </c>
      <c r="E1319" s="204" t="s">
        <v>1431</v>
      </c>
      <c r="F1319" s="204" t="s">
        <v>21</v>
      </c>
      <c r="G1319" s="213" t="s">
        <v>821</v>
      </c>
      <c r="H1319" s="207" t="s">
        <v>2844</v>
      </c>
      <c r="I1319" s="156" t="s">
        <v>26</v>
      </c>
      <c r="J1319" s="204" t="s">
        <v>468</v>
      </c>
      <c r="K1319" s="207" t="s">
        <v>1513</v>
      </c>
    </row>
    <row r="1320" spans="1:11" ht="117">
      <c r="A1320" s="204">
        <v>1318</v>
      </c>
      <c r="B1320" s="208">
        <v>45902</v>
      </c>
      <c r="C1320" s="267" t="s">
        <v>831</v>
      </c>
      <c r="D1320" s="204">
        <v>2025</v>
      </c>
      <c r="E1320" s="209" t="s">
        <v>1431</v>
      </c>
      <c r="F1320" s="209" t="s">
        <v>2244</v>
      </c>
      <c r="G1320" s="217" t="s">
        <v>859</v>
      </c>
      <c r="H1320" s="211" t="s">
        <v>2845</v>
      </c>
      <c r="I1320" s="156" t="s">
        <v>26</v>
      </c>
      <c r="J1320" s="209" t="s">
        <v>1998</v>
      </c>
      <c r="K1320" s="211" t="s">
        <v>1462</v>
      </c>
    </row>
    <row r="1321" spans="1:11" ht="84">
      <c r="A1321" s="204">
        <v>1319</v>
      </c>
      <c r="B1321" s="205">
        <v>45902</v>
      </c>
      <c r="C1321" s="267" t="s">
        <v>831</v>
      </c>
      <c r="D1321" s="204">
        <v>2025</v>
      </c>
      <c r="E1321" s="204" t="s">
        <v>1431</v>
      </c>
      <c r="F1321" s="204" t="s">
        <v>2244</v>
      </c>
      <c r="G1321" s="206" t="s">
        <v>88</v>
      </c>
      <c r="H1321" s="207" t="s">
        <v>2846</v>
      </c>
      <c r="I1321" s="156" t="s">
        <v>26</v>
      </c>
      <c r="J1321" s="204" t="s">
        <v>1998</v>
      </c>
      <c r="K1321" s="207"/>
    </row>
    <row r="1322" spans="1:11" ht="117">
      <c r="A1322" s="204">
        <v>1320</v>
      </c>
      <c r="B1322" s="208">
        <v>45902</v>
      </c>
      <c r="C1322" s="267" t="s">
        <v>831</v>
      </c>
      <c r="D1322" s="204">
        <v>2025</v>
      </c>
      <c r="E1322" s="209" t="s">
        <v>1431</v>
      </c>
      <c r="F1322" s="209" t="s">
        <v>21</v>
      </c>
      <c r="G1322" s="213" t="s">
        <v>821</v>
      </c>
      <c r="H1322" s="211" t="s">
        <v>2847</v>
      </c>
      <c r="I1322" s="156" t="s">
        <v>26</v>
      </c>
      <c r="J1322" s="209" t="s">
        <v>468</v>
      </c>
      <c r="K1322" s="211" t="s">
        <v>1446</v>
      </c>
    </row>
    <row r="1323" spans="1:11" ht="33.75">
      <c r="A1323" s="204">
        <v>1321</v>
      </c>
      <c r="B1323" s="205">
        <v>45902</v>
      </c>
      <c r="C1323" s="267" t="s">
        <v>831</v>
      </c>
      <c r="D1323" s="204">
        <v>2025</v>
      </c>
      <c r="E1323" s="204" t="s">
        <v>1431</v>
      </c>
      <c r="F1323" s="204" t="s">
        <v>216</v>
      </c>
      <c r="G1323" s="213" t="s">
        <v>821</v>
      </c>
      <c r="H1323" s="207" t="s">
        <v>2848</v>
      </c>
      <c r="I1323" s="156" t="s">
        <v>26</v>
      </c>
      <c r="J1323" s="204" t="s">
        <v>492</v>
      </c>
      <c r="K1323" s="207"/>
    </row>
    <row r="1324" spans="1:11" ht="134.25">
      <c r="A1324" s="204">
        <v>1322</v>
      </c>
      <c r="B1324" s="208">
        <v>45902</v>
      </c>
      <c r="C1324" s="267" t="s">
        <v>831</v>
      </c>
      <c r="D1324" s="204">
        <v>2025</v>
      </c>
      <c r="E1324" s="209" t="s">
        <v>1431</v>
      </c>
      <c r="F1324" s="209" t="s">
        <v>1608</v>
      </c>
      <c r="G1324" s="212" t="s">
        <v>1439</v>
      </c>
      <c r="H1324" s="211" t="s">
        <v>2849</v>
      </c>
      <c r="I1324" s="156" t="s">
        <v>26</v>
      </c>
      <c r="J1324" s="209" t="s">
        <v>158</v>
      </c>
      <c r="K1324" s="211" t="s">
        <v>1442</v>
      </c>
    </row>
    <row r="1325" spans="1:11" ht="50.25">
      <c r="A1325" s="204">
        <v>1323</v>
      </c>
      <c r="B1325" s="205">
        <v>45902</v>
      </c>
      <c r="C1325" s="267" t="s">
        <v>831</v>
      </c>
      <c r="D1325" s="204">
        <v>2025</v>
      </c>
      <c r="E1325" s="204" t="s">
        <v>1431</v>
      </c>
      <c r="F1325" s="204" t="s">
        <v>2591</v>
      </c>
      <c r="G1325" s="206" t="s">
        <v>88</v>
      </c>
      <c r="H1325" s="207" t="s">
        <v>2850</v>
      </c>
      <c r="I1325" s="156" t="s">
        <v>26</v>
      </c>
      <c r="J1325" s="204" t="s">
        <v>2593</v>
      </c>
      <c r="K1325" s="207"/>
    </row>
    <row r="1326" spans="1:11" ht="183.75">
      <c r="A1326" s="204">
        <v>1324</v>
      </c>
      <c r="B1326" s="208">
        <v>45902</v>
      </c>
      <c r="C1326" s="267" t="s">
        <v>831</v>
      </c>
      <c r="D1326" s="204">
        <v>2025</v>
      </c>
      <c r="E1326" s="209" t="s">
        <v>1431</v>
      </c>
      <c r="F1326" s="209" t="s">
        <v>2591</v>
      </c>
      <c r="G1326" s="210" t="s">
        <v>88</v>
      </c>
      <c r="H1326" s="211" t="s">
        <v>2851</v>
      </c>
      <c r="I1326" s="156" t="s">
        <v>26</v>
      </c>
      <c r="J1326" s="209" t="s">
        <v>2593</v>
      </c>
      <c r="K1326" s="211"/>
    </row>
    <row r="1327" spans="1:11" ht="100.5">
      <c r="A1327" s="204">
        <v>1325</v>
      </c>
      <c r="B1327" s="205">
        <v>45902</v>
      </c>
      <c r="C1327" s="267" t="s">
        <v>831</v>
      </c>
      <c r="D1327" s="204">
        <v>2025</v>
      </c>
      <c r="E1327" s="204" t="s">
        <v>1431</v>
      </c>
      <c r="F1327" s="204" t="s">
        <v>2591</v>
      </c>
      <c r="G1327" s="206" t="s">
        <v>88</v>
      </c>
      <c r="H1327" s="207" t="s">
        <v>2852</v>
      </c>
      <c r="I1327" s="156" t="s">
        <v>26</v>
      </c>
      <c r="J1327" s="204" t="s">
        <v>2593</v>
      </c>
      <c r="K1327" s="207" t="s">
        <v>1500</v>
      </c>
    </row>
    <row r="1328" spans="1:11" ht="33.75">
      <c r="A1328" s="204">
        <v>1326</v>
      </c>
      <c r="B1328" s="208">
        <v>45902</v>
      </c>
      <c r="C1328" s="267" t="s">
        <v>831</v>
      </c>
      <c r="D1328" s="204">
        <v>2025</v>
      </c>
      <c r="E1328" s="209" t="s">
        <v>1431</v>
      </c>
      <c r="F1328" s="209" t="s">
        <v>2591</v>
      </c>
      <c r="G1328" s="210" t="s">
        <v>88</v>
      </c>
      <c r="H1328" s="211" t="s">
        <v>2853</v>
      </c>
      <c r="I1328" s="156" t="s">
        <v>26</v>
      </c>
      <c r="J1328" s="209" t="s">
        <v>2593</v>
      </c>
      <c r="K1328" s="211"/>
    </row>
    <row r="1329" spans="1:11" ht="16.5">
      <c r="A1329" s="204">
        <v>1327</v>
      </c>
      <c r="B1329" s="205">
        <v>45902</v>
      </c>
      <c r="C1329" s="267" t="s">
        <v>831</v>
      </c>
      <c r="D1329" s="204">
        <v>2025</v>
      </c>
      <c r="E1329" s="204" t="s">
        <v>1431</v>
      </c>
      <c r="F1329" s="204" t="s">
        <v>1566</v>
      </c>
      <c r="G1329" s="206" t="s">
        <v>88</v>
      </c>
      <c r="H1329" s="207" t="s">
        <v>2854</v>
      </c>
      <c r="I1329" s="156" t="s">
        <v>26</v>
      </c>
      <c r="J1329" s="204" t="s">
        <v>1453</v>
      </c>
      <c r="K1329" s="207"/>
    </row>
    <row r="1330" spans="1:11" ht="100.5">
      <c r="A1330" s="204">
        <v>1328</v>
      </c>
      <c r="B1330" s="208">
        <v>45902</v>
      </c>
      <c r="C1330" s="267" t="s">
        <v>831</v>
      </c>
      <c r="D1330" s="204">
        <v>2025</v>
      </c>
      <c r="E1330" s="209" t="s">
        <v>1431</v>
      </c>
      <c r="F1330" s="209" t="s">
        <v>1566</v>
      </c>
      <c r="G1330" s="210" t="s">
        <v>88</v>
      </c>
      <c r="H1330" s="211" t="s">
        <v>2855</v>
      </c>
      <c r="I1330" s="156" t="s">
        <v>26</v>
      </c>
      <c r="J1330" s="209" t="s">
        <v>1453</v>
      </c>
      <c r="K1330" s="211" t="s">
        <v>1478</v>
      </c>
    </row>
    <row r="1331" spans="1:11" ht="100.5">
      <c r="A1331" s="204">
        <v>1329</v>
      </c>
      <c r="B1331" s="205">
        <v>45902</v>
      </c>
      <c r="C1331" s="267" t="s">
        <v>831</v>
      </c>
      <c r="D1331" s="204">
        <v>2025</v>
      </c>
      <c r="E1331" s="204" t="s">
        <v>1431</v>
      </c>
      <c r="F1331" s="204" t="s">
        <v>1566</v>
      </c>
      <c r="G1331" s="206" t="s">
        <v>88</v>
      </c>
      <c r="H1331" s="207" t="s">
        <v>2856</v>
      </c>
      <c r="I1331" s="156" t="s">
        <v>26</v>
      </c>
      <c r="J1331" s="204" t="s">
        <v>1453</v>
      </c>
      <c r="K1331" s="207" t="s">
        <v>1454</v>
      </c>
    </row>
    <row r="1332" spans="1:11" ht="66.75">
      <c r="A1332" s="204">
        <v>1330</v>
      </c>
      <c r="B1332" s="208">
        <v>45903</v>
      </c>
      <c r="C1332" s="267" t="s">
        <v>831</v>
      </c>
      <c r="D1332" s="204">
        <v>2025</v>
      </c>
      <c r="E1332" s="209" t="s">
        <v>1431</v>
      </c>
      <c r="F1332" s="209" t="s">
        <v>216</v>
      </c>
      <c r="G1332" s="213" t="s">
        <v>821</v>
      </c>
      <c r="H1332" s="211" t="s">
        <v>2857</v>
      </c>
      <c r="I1332" s="156" t="s">
        <v>26</v>
      </c>
      <c r="J1332" s="209" t="s">
        <v>492</v>
      </c>
      <c r="K1332" s="211"/>
    </row>
    <row r="1333" spans="1:11" ht="134.25">
      <c r="A1333" s="204">
        <v>1331</v>
      </c>
      <c r="B1333" s="205">
        <v>45903</v>
      </c>
      <c r="C1333" s="267" t="s">
        <v>831</v>
      </c>
      <c r="D1333" s="204">
        <v>2025</v>
      </c>
      <c r="E1333" s="204" t="s">
        <v>1431</v>
      </c>
      <c r="F1333" s="204" t="s">
        <v>1608</v>
      </c>
      <c r="G1333" s="212" t="s">
        <v>1439</v>
      </c>
      <c r="H1333" s="207" t="s">
        <v>2858</v>
      </c>
      <c r="I1333" s="156" t="s">
        <v>26</v>
      </c>
      <c r="J1333" s="204" t="s">
        <v>158</v>
      </c>
      <c r="K1333" s="207" t="s">
        <v>1442</v>
      </c>
    </row>
    <row r="1334" spans="1:11" ht="100.5">
      <c r="A1334" s="204">
        <v>1332</v>
      </c>
      <c r="B1334" s="208">
        <v>45903</v>
      </c>
      <c r="C1334" s="267" t="s">
        <v>831</v>
      </c>
      <c r="D1334" s="204">
        <v>2025</v>
      </c>
      <c r="E1334" s="209" t="s">
        <v>1431</v>
      </c>
      <c r="F1334" s="209" t="s">
        <v>2591</v>
      </c>
      <c r="G1334" s="210" t="s">
        <v>88</v>
      </c>
      <c r="H1334" s="211" t="s">
        <v>2859</v>
      </c>
      <c r="I1334" s="156" t="s">
        <v>26</v>
      </c>
      <c r="J1334" s="209" t="s">
        <v>2739</v>
      </c>
      <c r="K1334" s="211" t="s">
        <v>1472</v>
      </c>
    </row>
    <row r="1335" spans="1:11" ht="66.75">
      <c r="A1335" s="204">
        <v>1333</v>
      </c>
      <c r="B1335" s="205">
        <v>45903</v>
      </c>
      <c r="C1335" s="267" t="s">
        <v>831</v>
      </c>
      <c r="D1335" s="204">
        <v>2025</v>
      </c>
      <c r="E1335" s="204" t="s">
        <v>1431</v>
      </c>
      <c r="F1335" s="204" t="s">
        <v>2591</v>
      </c>
      <c r="G1335" s="206" t="s">
        <v>88</v>
      </c>
      <c r="H1335" s="207" t="s">
        <v>2860</v>
      </c>
      <c r="I1335" s="156" t="s">
        <v>26</v>
      </c>
      <c r="J1335" s="204" t="s">
        <v>2739</v>
      </c>
      <c r="K1335" s="207"/>
    </row>
    <row r="1336" spans="1:11" ht="66.75">
      <c r="A1336" s="204">
        <v>1334</v>
      </c>
      <c r="B1336" s="208">
        <v>45903</v>
      </c>
      <c r="C1336" s="267" t="s">
        <v>831</v>
      </c>
      <c r="D1336" s="204">
        <v>2025</v>
      </c>
      <c r="E1336" s="209" t="s">
        <v>1431</v>
      </c>
      <c r="F1336" s="209" t="s">
        <v>2591</v>
      </c>
      <c r="G1336" s="210" t="s">
        <v>88</v>
      </c>
      <c r="H1336" s="211" t="s">
        <v>2861</v>
      </c>
      <c r="I1336" s="156" t="s">
        <v>26</v>
      </c>
      <c r="J1336" s="209" t="s">
        <v>2739</v>
      </c>
      <c r="K1336" s="211"/>
    </row>
    <row r="1337" spans="1:11" ht="117">
      <c r="A1337" s="204">
        <v>1335</v>
      </c>
      <c r="B1337" s="205">
        <v>45903</v>
      </c>
      <c r="C1337" s="267" t="s">
        <v>831</v>
      </c>
      <c r="D1337" s="204">
        <v>2025</v>
      </c>
      <c r="E1337" s="204" t="s">
        <v>1431</v>
      </c>
      <c r="F1337" s="204" t="s">
        <v>2591</v>
      </c>
      <c r="G1337" s="206" t="s">
        <v>88</v>
      </c>
      <c r="H1337" s="207" t="s">
        <v>2862</v>
      </c>
      <c r="I1337" s="156" t="s">
        <v>26</v>
      </c>
      <c r="J1337" s="204" t="s">
        <v>2739</v>
      </c>
      <c r="K1337" s="207" t="s">
        <v>1559</v>
      </c>
    </row>
    <row r="1338" spans="1:11" ht="117">
      <c r="A1338" s="204">
        <v>1336</v>
      </c>
      <c r="B1338" s="208">
        <v>45903</v>
      </c>
      <c r="C1338" s="267" t="s">
        <v>831</v>
      </c>
      <c r="D1338" s="204">
        <v>2025</v>
      </c>
      <c r="E1338" s="209" t="s">
        <v>1431</v>
      </c>
      <c r="F1338" s="209" t="s">
        <v>2591</v>
      </c>
      <c r="G1338" s="210" t="s">
        <v>88</v>
      </c>
      <c r="H1338" s="211" t="s">
        <v>2863</v>
      </c>
      <c r="I1338" s="156" t="s">
        <v>26</v>
      </c>
      <c r="J1338" s="209" t="s">
        <v>2739</v>
      </c>
      <c r="K1338" s="211" t="s">
        <v>1522</v>
      </c>
    </row>
    <row r="1339" spans="1:11" ht="100.5">
      <c r="A1339" s="204">
        <v>1337</v>
      </c>
      <c r="B1339" s="205">
        <v>45903</v>
      </c>
      <c r="C1339" s="267" t="s">
        <v>831</v>
      </c>
      <c r="D1339" s="204">
        <v>2025</v>
      </c>
      <c r="E1339" s="204" t="s">
        <v>1431</v>
      </c>
      <c r="F1339" s="204" t="s">
        <v>1566</v>
      </c>
      <c r="G1339" s="206" t="s">
        <v>88</v>
      </c>
      <c r="H1339" s="207" t="s">
        <v>2864</v>
      </c>
      <c r="I1339" s="156" t="s">
        <v>26</v>
      </c>
      <c r="J1339" s="204" t="s">
        <v>1453</v>
      </c>
      <c r="K1339" s="207" t="s">
        <v>1478</v>
      </c>
    </row>
    <row r="1340" spans="1:11" ht="66.75">
      <c r="A1340" s="204">
        <v>1338</v>
      </c>
      <c r="B1340" s="208">
        <v>45903</v>
      </c>
      <c r="C1340" s="267" t="s">
        <v>831</v>
      </c>
      <c r="D1340" s="204">
        <v>2025</v>
      </c>
      <c r="E1340" s="209" t="s">
        <v>1431</v>
      </c>
      <c r="F1340" s="209" t="s">
        <v>1566</v>
      </c>
      <c r="G1340" s="210" t="s">
        <v>88</v>
      </c>
      <c r="H1340" s="211" t="s">
        <v>2865</v>
      </c>
      <c r="I1340" s="156" t="s">
        <v>26</v>
      </c>
      <c r="J1340" s="209" t="s">
        <v>1453</v>
      </c>
      <c r="K1340" s="211" t="s">
        <v>1548</v>
      </c>
    </row>
    <row r="1341" spans="1:11" ht="117">
      <c r="A1341" s="204">
        <v>1339</v>
      </c>
      <c r="B1341" s="205">
        <v>45903</v>
      </c>
      <c r="C1341" s="267" t="s">
        <v>831</v>
      </c>
      <c r="D1341" s="204">
        <v>2025</v>
      </c>
      <c r="E1341" s="204" t="s">
        <v>1431</v>
      </c>
      <c r="F1341" s="204" t="s">
        <v>1566</v>
      </c>
      <c r="G1341" s="206" t="s">
        <v>88</v>
      </c>
      <c r="H1341" s="207" t="s">
        <v>2866</v>
      </c>
      <c r="I1341" s="156" t="s">
        <v>26</v>
      </c>
      <c r="J1341" s="204" t="s">
        <v>1453</v>
      </c>
      <c r="K1341" s="207" t="s">
        <v>1559</v>
      </c>
    </row>
    <row r="1342" spans="1:11" ht="66.75">
      <c r="A1342" s="204">
        <v>1340</v>
      </c>
      <c r="B1342" s="208">
        <v>45904</v>
      </c>
      <c r="C1342" s="267" t="s">
        <v>831</v>
      </c>
      <c r="D1342" s="204">
        <v>2025</v>
      </c>
      <c r="E1342" s="209" t="s">
        <v>1431</v>
      </c>
      <c r="F1342" s="209" t="s">
        <v>1560</v>
      </c>
      <c r="G1342" s="213" t="s">
        <v>821</v>
      </c>
      <c r="H1342" s="211" t="s">
        <v>2867</v>
      </c>
      <c r="I1342" s="156" t="s">
        <v>26</v>
      </c>
      <c r="J1342" s="209" t="s">
        <v>2599</v>
      </c>
      <c r="K1342" s="211"/>
    </row>
    <row r="1343" spans="1:11" ht="117">
      <c r="A1343" s="204">
        <v>1341</v>
      </c>
      <c r="B1343" s="205">
        <v>45904</v>
      </c>
      <c r="C1343" s="267" t="s">
        <v>831</v>
      </c>
      <c r="D1343" s="204">
        <v>2025</v>
      </c>
      <c r="E1343" s="204" t="s">
        <v>1431</v>
      </c>
      <c r="F1343" s="204" t="s">
        <v>1560</v>
      </c>
      <c r="G1343" s="206" t="s">
        <v>88</v>
      </c>
      <c r="H1343" s="207" t="s">
        <v>2868</v>
      </c>
      <c r="I1343" s="156" t="s">
        <v>26</v>
      </c>
      <c r="J1343" s="204" t="s">
        <v>2599</v>
      </c>
      <c r="K1343" s="207" t="s">
        <v>1510</v>
      </c>
    </row>
    <row r="1344" spans="1:11" ht="100.5">
      <c r="A1344" s="204">
        <v>1342</v>
      </c>
      <c r="B1344" s="208">
        <v>45904</v>
      </c>
      <c r="C1344" s="267" t="s">
        <v>831</v>
      </c>
      <c r="D1344" s="204">
        <v>2025</v>
      </c>
      <c r="E1344" s="209" t="s">
        <v>1431</v>
      </c>
      <c r="F1344" s="209" t="s">
        <v>21</v>
      </c>
      <c r="G1344" s="213" t="s">
        <v>821</v>
      </c>
      <c r="H1344" s="211" t="s">
        <v>2869</v>
      </c>
      <c r="I1344" s="156" t="s">
        <v>26</v>
      </c>
      <c r="J1344" s="209" t="s">
        <v>468</v>
      </c>
      <c r="K1344" s="211" t="s">
        <v>1448</v>
      </c>
    </row>
    <row r="1345" spans="1:11" ht="117">
      <c r="A1345" s="204">
        <v>1343</v>
      </c>
      <c r="B1345" s="205">
        <v>45904</v>
      </c>
      <c r="C1345" s="267" t="s">
        <v>831</v>
      </c>
      <c r="D1345" s="204">
        <v>2025</v>
      </c>
      <c r="E1345" s="204" t="s">
        <v>1431</v>
      </c>
      <c r="F1345" s="204" t="s">
        <v>21</v>
      </c>
      <c r="G1345" s="213" t="s">
        <v>821</v>
      </c>
      <c r="H1345" s="207" t="s">
        <v>2870</v>
      </c>
      <c r="I1345" s="156" t="s">
        <v>26</v>
      </c>
      <c r="J1345" s="204" t="s">
        <v>468</v>
      </c>
      <c r="K1345" s="207" t="s">
        <v>1482</v>
      </c>
    </row>
    <row r="1346" spans="1:11" ht="134.25">
      <c r="A1346" s="204">
        <v>1344</v>
      </c>
      <c r="B1346" s="208">
        <v>45904</v>
      </c>
      <c r="C1346" s="267" t="s">
        <v>831</v>
      </c>
      <c r="D1346" s="204">
        <v>2025</v>
      </c>
      <c r="E1346" s="209" t="s">
        <v>1431</v>
      </c>
      <c r="F1346" s="209" t="s">
        <v>216</v>
      </c>
      <c r="G1346" s="213" t="s">
        <v>821</v>
      </c>
      <c r="H1346" s="211" t="s">
        <v>2871</v>
      </c>
      <c r="I1346" s="156" t="s">
        <v>26</v>
      </c>
      <c r="J1346" s="209" t="s">
        <v>492</v>
      </c>
      <c r="K1346" s="211" t="s">
        <v>1601</v>
      </c>
    </row>
    <row r="1347" spans="1:11" ht="100.5">
      <c r="A1347" s="204">
        <v>1345</v>
      </c>
      <c r="B1347" s="205">
        <v>45904</v>
      </c>
      <c r="C1347" s="267" t="s">
        <v>831</v>
      </c>
      <c r="D1347" s="204">
        <v>2025</v>
      </c>
      <c r="E1347" s="204" t="s">
        <v>1431</v>
      </c>
      <c r="F1347" s="204" t="s">
        <v>1508</v>
      </c>
      <c r="G1347" s="206" t="s">
        <v>88</v>
      </c>
      <c r="H1347" s="207" t="s">
        <v>2872</v>
      </c>
      <c r="I1347" s="156" t="s">
        <v>26</v>
      </c>
      <c r="J1347" s="204" t="s">
        <v>2873</v>
      </c>
      <c r="K1347" s="207" t="s">
        <v>1472</v>
      </c>
    </row>
    <row r="1348" spans="1:11" ht="117">
      <c r="A1348" s="204">
        <v>1346</v>
      </c>
      <c r="B1348" s="208">
        <v>45904</v>
      </c>
      <c r="C1348" s="267" t="s">
        <v>831</v>
      </c>
      <c r="D1348" s="204">
        <v>2025</v>
      </c>
      <c r="E1348" s="209" t="s">
        <v>1431</v>
      </c>
      <c r="F1348" s="209" t="s">
        <v>1566</v>
      </c>
      <c r="G1348" s="210" t="s">
        <v>88</v>
      </c>
      <c r="H1348" s="211" t="s">
        <v>2874</v>
      </c>
      <c r="I1348" s="156" t="s">
        <v>26</v>
      </c>
      <c r="J1348" s="209" t="s">
        <v>2640</v>
      </c>
      <c r="K1348" s="211" t="s">
        <v>1451</v>
      </c>
    </row>
    <row r="1349" spans="1:11" ht="66.75">
      <c r="A1349" s="204">
        <v>1347</v>
      </c>
      <c r="B1349" s="205">
        <v>45904</v>
      </c>
      <c r="C1349" s="267" t="s">
        <v>831</v>
      </c>
      <c r="D1349" s="204">
        <v>2025</v>
      </c>
      <c r="E1349" s="204" t="s">
        <v>1431</v>
      </c>
      <c r="F1349" s="204" t="s">
        <v>1566</v>
      </c>
      <c r="G1349" s="206" t="s">
        <v>88</v>
      </c>
      <c r="H1349" s="207" t="s">
        <v>2875</v>
      </c>
      <c r="I1349" s="156" t="s">
        <v>26</v>
      </c>
      <c r="J1349" s="204" t="s">
        <v>2640</v>
      </c>
      <c r="K1349" s="207" t="s">
        <v>1548</v>
      </c>
    </row>
    <row r="1350" spans="1:11" ht="100.5">
      <c r="A1350" s="204">
        <v>1348</v>
      </c>
      <c r="B1350" s="208">
        <v>45904</v>
      </c>
      <c r="C1350" s="267" t="s">
        <v>831</v>
      </c>
      <c r="D1350" s="204">
        <v>2025</v>
      </c>
      <c r="E1350" s="209" t="s">
        <v>1431</v>
      </c>
      <c r="F1350" s="209" t="s">
        <v>1566</v>
      </c>
      <c r="G1350" s="210" t="s">
        <v>88</v>
      </c>
      <c r="H1350" s="211" t="s">
        <v>2876</v>
      </c>
      <c r="I1350" s="156" t="s">
        <v>26</v>
      </c>
      <c r="J1350" s="209" t="s">
        <v>2640</v>
      </c>
      <c r="K1350" s="211" t="s">
        <v>1472</v>
      </c>
    </row>
    <row r="1351" spans="1:11" ht="66.75">
      <c r="A1351" s="204">
        <v>1349</v>
      </c>
      <c r="B1351" s="205">
        <v>45904</v>
      </c>
      <c r="C1351" s="267" t="s">
        <v>831</v>
      </c>
      <c r="D1351" s="204">
        <v>2025</v>
      </c>
      <c r="E1351" s="204" t="s">
        <v>1431</v>
      </c>
      <c r="F1351" s="204" t="s">
        <v>2591</v>
      </c>
      <c r="G1351" s="206" t="s">
        <v>88</v>
      </c>
      <c r="H1351" s="207" t="s">
        <v>2877</v>
      </c>
      <c r="I1351" s="156" t="s">
        <v>26</v>
      </c>
      <c r="J1351" s="204" t="s">
        <v>2739</v>
      </c>
      <c r="K1351" s="207"/>
    </row>
    <row r="1352" spans="1:11" ht="117">
      <c r="A1352" s="204">
        <v>1350</v>
      </c>
      <c r="B1352" s="208">
        <v>45904</v>
      </c>
      <c r="C1352" s="267" t="s">
        <v>831</v>
      </c>
      <c r="D1352" s="204">
        <v>2025</v>
      </c>
      <c r="E1352" s="209" t="s">
        <v>1431</v>
      </c>
      <c r="F1352" s="209" t="s">
        <v>2591</v>
      </c>
      <c r="G1352" s="210" t="s">
        <v>88</v>
      </c>
      <c r="H1352" s="211" t="s">
        <v>2878</v>
      </c>
      <c r="I1352" s="156" t="s">
        <v>26</v>
      </c>
      <c r="J1352" s="209" t="s">
        <v>2739</v>
      </c>
      <c r="K1352" s="211" t="s">
        <v>1510</v>
      </c>
    </row>
    <row r="1353" spans="1:11" ht="117">
      <c r="A1353" s="204">
        <v>1351</v>
      </c>
      <c r="B1353" s="205">
        <v>45904</v>
      </c>
      <c r="C1353" s="267" t="s">
        <v>831</v>
      </c>
      <c r="D1353" s="204">
        <v>2025</v>
      </c>
      <c r="E1353" s="204" t="s">
        <v>1431</v>
      </c>
      <c r="F1353" s="204" t="s">
        <v>2591</v>
      </c>
      <c r="G1353" s="206" t="s">
        <v>88</v>
      </c>
      <c r="H1353" s="207" t="s">
        <v>2879</v>
      </c>
      <c r="I1353" s="156" t="s">
        <v>26</v>
      </c>
      <c r="J1353" s="204" t="s">
        <v>2739</v>
      </c>
      <c r="K1353" s="207" t="s">
        <v>1522</v>
      </c>
    </row>
    <row r="1354" spans="1:11" ht="134.25">
      <c r="A1354" s="204">
        <v>1352</v>
      </c>
      <c r="B1354" s="208">
        <v>45904</v>
      </c>
      <c r="C1354" s="267" t="s">
        <v>831</v>
      </c>
      <c r="D1354" s="204">
        <v>2025</v>
      </c>
      <c r="E1354" s="209" t="s">
        <v>1431</v>
      </c>
      <c r="F1354" s="209" t="s">
        <v>1608</v>
      </c>
      <c r="G1354" s="212" t="s">
        <v>1439</v>
      </c>
      <c r="H1354" s="211" t="s">
        <v>2880</v>
      </c>
      <c r="I1354" s="156" t="s">
        <v>26</v>
      </c>
      <c r="J1354" s="209" t="s">
        <v>2599</v>
      </c>
      <c r="K1354" s="211" t="s">
        <v>1442</v>
      </c>
    </row>
    <row r="1355" spans="1:11" ht="117">
      <c r="A1355" s="204">
        <v>1353</v>
      </c>
      <c r="B1355" s="205">
        <v>45904</v>
      </c>
      <c r="C1355" s="267" t="s">
        <v>831</v>
      </c>
      <c r="D1355" s="204">
        <v>2025</v>
      </c>
      <c r="E1355" s="204" t="s">
        <v>1431</v>
      </c>
      <c r="F1355" s="204" t="s">
        <v>1566</v>
      </c>
      <c r="G1355" s="206" t="s">
        <v>88</v>
      </c>
      <c r="H1355" s="207" t="s">
        <v>2881</v>
      </c>
      <c r="I1355" s="156" t="s">
        <v>26</v>
      </c>
      <c r="J1355" s="204" t="s">
        <v>2640</v>
      </c>
      <c r="K1355" s="207" t="s">
        <v>1559</v>
      </c>
    </row>
    <row r="1356" spans="1:11" ht="100.5">
      <c r="A1356" s="204">
        <v>1354</v>
      </c>
      <c r="B1356" s="208">
        <v>45905</v>
      </c>
      <c r="C1356" s="267" t="s">
        <v>831</v>
      </c>
      <c r="D1356" s="204">
        <v>2025</v>
      </c>
      <c r="E1356" s="209" t="s">
        <v>1431</v>
      </c>
      <c r="F1356" s="209" t="s">
        <v>1518</v>
      </c>
      <c r="G1356" s="210" t="s">
        <v>88</v>
      </c>
      <c r="H1356" s="211" t="s">
        <v>2882</v>
      </c>
      <c r="I1356" s="156" t="s">
        <v>26</v>
      </c>
      <c r="J1356" s="209" t="s">
        <v>1493</v>
      </c>
      <c r="K1356" s="211" t="s">
        <v>1444</v>
      </c>
    </row>
    <row r="1357" spans="1:11" ht="150.75">
      <c r="A1357" s="204">
        <v>1355</v>
      </c>
      <c r="B1357" s="205">
        <v>45905</v>
      </c>
      <c r="C1357" s="267" t="s">
        <v>831</v>
      </c>
      <c r="D1357" s="204">
        <v>2025</v>
      </c>
      <c r="E1357" s="204" t="s">
        <v>1431</v>
      </c>
      <c r="F1357" s="204" t="s">
        <v>1539</v>
      </c>
      <c r="G1357" s="213" t="s">
        <v>821</v>
      </c>
      <c r="H1357" s="207" t="s">
        <v>2883</v>
      </c>
      <c r="I1357" s="156" t="s">
        <v>26</v>
      </c>
      <c r="J1357" s="204" t="s">
        <v>2884</v>
      </c>
      <c r="K1357" s="207" t="s">
        <v>1513</v>
      </c>
    </row>
    <row r="1358" spans="1:11" ht="134.25">
      <c r="A1358" s="204">
        <v>1356</v>
      </c>
      <c r="B1358" s="208">
        <v>45905</v>
      </c>
      <c r="C1358" s="267" t="s">
        <v>831</v>
      </c>
      <c r="D1358" s="204">
        <v>2025</v>
      </c>
      <c r="E1358" s="209" t="s">
        <v>1431</v>
      </c>
      <c r="F1358" s="209" t="s">
        <v>1608</v>
      </c>
      <c r="G1358" s="212" t="s">
        <v>1439</v>
      </c>
      <c r="H1358" s="211" t="s">
        <v>2885</v>
      </c>
      <c r="I1358" s="156" t="s">
        <v>26</v>
      </c>
      <c r="J1358" s="209" t="s">
        <v>158</v>
      </c>
      <c r="K1358" s="211" t="s">
        <v>1442</v>
      </c>
    </row>
    <row r="1359" spans="1:11" ht="134.25">
      <c r="A1359" s="204">
        <v>1357</v>
      </c>
      <c r="B1359" s="205">
        <v>45905</v>
      </c>
      <c r="C1359" s="267" t="s">
        <v>831</v>
      </c>
      <c r="D1359" s="204">
        <v>2025</v>
      </c>
      <c r="E1359" s="204" t="s">
        <v>1431</v>
      </c>
      <c r="F1359" s="204" t="s">
        <v>1608</v>
      </c>
      <c r="G1359" s="212" t="s">
        <v>1439</v>
      </c>
      <c r="H1359" s="207" t="s">
        <v>2886</v>
      </c>
      <c r="I1359" s="156" t="s">
        <v>26</v>
      </c>
      <c r="J1359" s="204" t="s">
        <v>158</v>
      </c>
      <c r="K1359" s="207" t="s">
        <v>1442</v>
      </c>
    </row>
    <row r="1360" spans="1:11" ht="84">
      <c r="A1360" s="204">
        <v>1358</v>
      </c>
      <c r="B1360" s="208">
        <v>45905</v>
      </c>
      <c r="C1360" s="267" t="s">
        <v>831</v>
      </c>
      <c r="D1360" s="204">
        <v>2025</v>
      </c>
      <c r="E1360" s="209" t="s">
        <v>1431</v>
      </c>
      <c r="F1360" s="209" t="s">
        <v>2591</v>
      </c>
      <c r="G1360" s="210" t="s">
        <v>88</v>
      </c>
      <c r="H1360" s="211" t="s">
        <v>2887</v>
      </c>
      <c r="I1360" s="156" t="s">
        <v>26</v>
      </c>
      <c r="J1360" s="209" t="s">
        <v>2593</v>
      </c>
      <c r="K1360" s="211" t="s">
        <v>1444</v>
      </c>
    </row>
    <row r="1361" spans="1:11" ht="16.5">
      <c r="A1361" s="204">
        <v>1359</v>
      </c>
      <c r="B1361" s="205">
        <v>45905</v>
      </c>
      <c r="C1361" s="267" t="s">
        <v>831</v>
      </c>
      <c r="D1361" s="204">
        <v>2025</v>
      </c>
      <c r="E1361" s="204" t="s">
        <v>1431</v>
      </c>
      <c r="F1361" s="204" t="s">
        <v>2591</v>
      </c>
      <c r="G1361" s="206" t="s">
        <v>88</v>
      </c>
      <c r="H1361" s="207" t="s">
        <v>2888</v>
      </c>
      <c r="I1361" s="156" t="s">
        <v>26</v>
      </c>
      <c r="J1361" s="204" t="s">
        <v>2593</v>
      </c>
      <c r="K1361" s="207"/>
    </row>
    <row r="1362" spans="1:11" ht="117">
      <c r="A1362" s="204">
        <v>1360</v>
      </c>
      <c r="B1362" s="208">
        <v>45905</v>
      </c>
      <c r="C1362" s="267" t="s">
        <v>831</v>
      </c>
      <c r="D1362" s="204">
        <v>2025</v>
      </c>
      <c r="E1362" s="209" t="s">
        <v>1431</v>
      </c>
      <c r="F1362" s="209" t="s">
        <v>1566</v>
      </c>
      <c r="G1362" s="210" t="s">
        <v>88</v>
      </c>
      <c r="H1362" s="211" t="s">
        <v>2889</v>
      </c>
      <c r="I1362" s="156" t="s">
        <v>26</v>
      </c>
      <c r="J1362" s="209" t="s">
        <v>1453</v>
      </c>
      <c r="K1362" s="211" t="s">
        <v>1451</v>
      </c>
    </row>
    <row r="1363" spans="1:11" ht="33.75">
      <c r="A1363" s="204">
        <v>1361</v>
      </c>
      <c r="B1363" s="205">
        <v>45905</v>
      </c>
      <c r="C1363" s="267" t="s">
        <v>831</v>
      </c>
      <c r="D1363" s="204">
        <v>2025</v>
      </c>
      <c r="E1363" s="204" t="s">
        <v>1431</v>
      </c>
      <c r="F1363" s="204" t="s">
        <v>1539</v>
      </c>
      <c r="G1363" s="214" t="s">
        <v>859</v>
      </c>
      <c r="H1363" s="207" t="s">
        <v>2890</v>
      </c>
      <c r="I1363" s="156" t="s">
        <v>26</v>
      </c>
      <c r="J1363" s="204" t="s">
        <v>1541</v>
      </c>
      <c r="K1363" s="207"/>
    </row>
    <row r="1364" spans="1:11" ht="50.25">
      <c r="A1364" s="204">
        <v>1362</v>
      </c>
      <c r="B1364" s="208">
        <v>45908</v>
      </c>
      <c r="C1364" s="267" t="s">
        <v>831</v>
      </c>
      <c r="D1364" s="204">
        <v>2025</v>
      </c>
      <c r="E1364" s="209" t="s">
        <v>1431</v>
      </c>
      <c r="F1364" s="209" t="s">
        <v>2891</v>
      </c>
      <c r="G1364" s="217" t="s">
        <v>859</v>
      </c>
      <c r="H1364" s="211" t="s">
        <v>2892</v>
      </c>
      <c r="I1364" s="156" t="s">
        <v>26</v>
      </c>
      <c r="J1364" s="209" t="s">
        <v>1436</v>
      </c>
      <c r="K1364" s="211"/>
    </row>
    <row r="1365" spans="1:11" ht="134.25">
      <c r="A1365" s="204">
        <v>1363</v>
      </c>
      <c r="B1365" s="205">
        <v>45908</v>
      </c>
      <c r="C1365" s="267" t="s">
        <v>831</v>
      </c>
      <c r="D1365" s="204">
        <v>2025</v>
      </c>
      <c r="E1365" s="204" t="s">
        <v>1431</v>
      </c>
      <c r="F1365" s="204" t="s">
        <v>1608</v>
      </c>
      <c r="G1365" s="212" t="s">
        <v>1439</v>
      </c>
      <c r="H1365" s="207" t="s">
        <v>2893</v>
      </c>
      <c r="I1365" s="156" t="s">
        <v>26</v>
      </c>
      <c r="J1365" s="204" t="s">
        <v>468</v>
      </c>
      <c r="K1365" s="207" t="s">
        <v>1442</v>
      </c>
    </row>
    <row r="1366" spans="1:11" ht="84">
      <c r="A1366" s="204">
        <v>1364</v>
      </c>
      <c r="B1366" s="208">
        <v>45908</v>
      </c>
      <c r="C1366" s="267" t="s">
        <v>831</v>
      </c>
      <c r="D1366" s="204">
        <v>2025</v>
      </c>
      <c r="E1366" s="209" t="s">
        <v>1431</v>
      </c>
      <c r="F1366" s="209" t="s">
        <v>1506</v>
      </c>
      <c r="G1366" s="210" t="s">
        <v>88</v>
      </c>
      <c r="H1366" s="211" t="s">
        <v>2894</v>
      </c>
      <c r="I1366" s="156" t="s">
        <v>26</v>
      </c>
      <c r="J1366" s="209" t="s">
        <v>1904</v>
      </c>
      <c r="K1366" s="211" t="s">
        <v>1500</v>
      </c>
    </row>
    <row r="1367" spans="1:11" ht="33.75">
      <c r="A1367" s="204">
        <v>1365</v>
      </c>
      <c r="B1367" s="205">
        <v>45908</v>
      </c>
      <c r="C1367" s="267" t="s">
        <v>831</v>
      </c>
      <c r="D1367" s="204">
        <v>2025</v>
      </c>
      <c r="E1367" s="204" t="s">
        <v>1431</v>
      </c>
      <c r="F1367" s="204" t="s">
        <v>216</v>
      </c>
      <c r="G1367" s="213" t="s">
        <v>821</v>
      </c>
      <c r="H1367" s="207" t="s">
        <v>2895</v>
      </c>
      <c r="I1367" s="156" t="s">
        <v>26</v>
      </c>
      <c r="J1367" s="204" t="s">
        <v>492</v>
      </c>
      <c r="K1367" s="207"/>
    </row>
    <row r="1368" spans="1:11" ht="134.25">
      <c r="A1368" s="204">
        <v>1366</v>
      </c>
      <c r="B1368" s="208">
        <v>45908</v>
      </c>
      <c r="C1368" s="267" t="s">
        <v>831</v>
      </c>
      <c r="D1368" s="204">
        <v>2025</v>
      </c>
      <c r="E1368" s="209" t="s">
        <v>1431</v>
      </c>
      <c r="F1368" s="209" t="s">
        <v>216</v>
      </c>
      <c r="G1368" s="213" t="s">
        <v>821</v>
      </c>
      <c r="H1368" s="211" t="s">
        <v>2896</v>
      </c>
      <c r="I1368" s="156" t="s">
        <v>26</v>
      </c>
      <c r="J1368" s="209" t="s">
        <v>492</v>
      </c>
      <c r="K1368" s="211" t="s">
        <v>1601</v>
      </c>
    </row>
    <row r="1369" spans="1:11" ht="117">
      <c r="A1369" s="204">
        <v>1367</v>
      </c>
      <c r="B1369" s="205">
        <v>45908</v>
      </c>
      <c r="C1369" s="267" t="s">
        <v>831</v>
      </c>
      <c r="D1369" s="204">
        <v>2025</v>
      </c>
      <c r="E1369" s="204" t="s">
        <v>1431</v>
      </c>
      <c r="F1369" s="204" t="s">
        <v>216</v>
      </c>
      <c r="G1369" s="213" t="s">
        <v>821</v>
      </c>
      <c r="H1369" s="207" t="s">
        <v>2897</v>
      </c>
      <c r="I1369" s="156" t="s">
        <v>26</v>
      </c>
      <c r="J1369" s="204" t="s">
        <v>492</v>
      </c>
      <c r="K1369" s="207" t="s">
        <v>1482</v>
      </c>
    </row>
    <row r="1370" spans="1:11" ht="150.75">
      <c r="A1370" s="204">
        <v>1368</v>
      </c>
      <c r="B1370" s="208">
        <v>45908</v>
      </c>
      <c r="C1370" s="267" t="s">
        <v>831</v>
      </c>
      <c r="D1370" s="204">
        <v>2025</v>
      </c>
      <c r="E1370" s="209" t="s">
        <v>1431</v>
      </c>
      <c r="F1370" s="209" t="s">
        <v>21</v>
      </c>
      <c r="G1370" s="213" t="s">
        <v>821</v>
      </c>
      <c r="H1370" s="211" t="s">
        <v>2898</v>
      </c>
      <c r="I1370" s="156" t="s">
        <v>26</v>
      </c>
      <c r="J1370" s="209" t="s">
        <v>468</v>
      </c>
      <c r="K1370" s="211" t="s">
        <v>1513</v>
      </c>
    </row>
    <row r="1371" spans="1:11" ht="50.25">
      <c r="A1371" s="204">
        <v>1369</v>
      </c>
      <c r="B1371" s="205">
        <v>45908</v>
      </c>
      <c r="C1371" s="267" t="s">
        <v>831</v>
      </c>
      <c r="D1371" s="204">
        <v>2025</v>
      </c>
      <c r="E1371" s="204" t="s">
        <v>1431</v>
      </c>
      <c r="F1371" s="204" t="s">
        <v>1539</v>
      </c>
      <c r="G1371" s="214" t="s">
        <v>859</v>
      </c>
      <c r="H1371" s="207" t="s">
        <v>2899</v>
      </c>
      <c r="I1371" s="156" t="s">
        <v>26</v>
      </c>
      <c r="J1371" s="204" t="s">
        <v>1541</v>
      </c>
      <c r="K1371" s="207"/>
    </row>
    <row r="1372" spans="1:11" ht="117">
      <c r="A1372" s="204">
        <v>1370</v>
      </c>
      <c r="B1372" s="208">
        <v>45908</v>
      </c>
      <c r="C1372" s="267" t="s">
        <v>831</v>
      </c>
      <c r="D1372" s="204">
        <v>2025</v>
      </c>
      <c r="E1372" s="209" t="s">
        <v>1431</v>
      </c>
      <c r="F1372" s="209" t="s">
        <v>2591</v>
      </c>
      <c r="G1372" s="210" t="s">
        <v>88</v>
      </c>
      <c r="H1372" s="211" t="s">
        <v>2900</v>
      </c>
      <c r="I1372" s="156" t="s">
        <v>26</v>
      </c>
      <c r="J1372" s="209" t="s">
        <v>2593</v>
      </c>
      <c r="K1372" s="211" t="s">
        <v>1451</v>
      </c>
    </row>
    <row r="1373" spans="1:11" ht="117">
      <c r="A1373" s="204">
        <v>1371</v>
      </c>
      <c r="B1373" s="205">
        <v>45908</v>
      </c>
      <c r="C1373" s="267" t="s">
        <v>831</v>
      </c>
      <c r="D1373" s="204">
        <v>2025</v>
      </c>
      <c r="E1373" s="204" t="s">
        <v>1431</v>
      </c>
      <c r="F1373" s="204" t="s">
        <v>2591</v>
      </c>
      <c r="G1373" s="206" t="s">
        <v>88</v>
      </c>
      <c r="H1373" s="207" t="s">
        <v>2901</v>
      </c>
      <c r="I1373" s="156" t="s">
        <v>26</v>
      </c>
      <c r="J1373" s="204" t="s">
        <v>2593</v>
      </c>
      <c r="K1373" s="207" t="s">
        <v>1522</v>
      </c>
    </row>
    <row r="1374" spans="1:11" ht="66.75">
      <c r="A1374" s="204">
        <v>1372</v>
      </c>
      <c r="B1374" s="208">
        <v>45908</v>
      </c>
      <c r="C1374" s="267" t="s">
        <v>831</v>
      </c>
      <c r="D1374" s="204">
        <v>2025</v>
      </c>
      <c r="E1374" s="209" t="s">
        <v>1431</v>
      </c>
      <c r="F1374" s="209" t="s">
        <v>2591</v>
      </c>
      <c r="G1374" s="210" t="s">
        <v>88</v>
      </c>
      <c r="H1374" s="211" t="s">
        <v>2902</v>
      </c>
      <c r="I1374" s="156" t="s">
        <v>26</v>
      </c>
      <c r="J1374" s="209" t="s">
        <v>2593</v>
      </c>
      <c r="K1374" s="211"/>
    </row>
    <row r="1375" spans="1:11" ht="16.5">
      <c r="A1375" s="204">
        <v>1373</v>
      </c>
      <c r="B1375" s="205">
        <v>45908</v>
      </c>
      <c r="C1375" s="267" t="s">
        <v>831</v>
      </c>
      <c r="D1375" s="204">
        <v>2025</v>
      </c>
      <c r="E1375" s="204" t="s">
        <v>1431</v>
      </c>
      <c r="F1375" s="204" t="s">
        <v>1566</v>
      </c>
      <c r="G1375" s="206" t="s">
        <v>88</v>
      </c>
      <c r="H1375" s="207" t="s">
        <v>2903</v>
      </c>
      <c r="I1375" s="156" t="s">
        <v>26</v>
      </c>
      <c r="J1375" s="204" t="s">
        <v>1588</v>
      </c>
      <c r="K1375" s="207"/>
    </row>
    <row r="1376" spans="1:11" ht="100.5">
      <c r="A1376" s="204">
        <v>1374</v>
      </c>
      <c r="B1376" s="208">
        <v>45908</v>
      </c>
      <c r="C1376" s="267" t="s">
        <v>831</v>
      </c>
      <c r="D1376" s="204">
        <v>2025</v>
      </c>
      <c r="E1376" s="209" t="s">
        <v>1431</v>
      </c>
      <c r="F1376" s="209" t="s">
        <v>1566</v>
      </c>
      <c r="G1376" s="210" t="s">
        <v>88</v>
      </c>
      <c r="H1376" s="211" t="s">
        <v>2904</v>
      </c>
      <c r="I1376" s="156" t="s">
        <v>26</v>
      </c>
      <c r="J1376" s="209" t="s">
        <v>1588</v>
      </c>
      <c r="K1376" s="211" t="s">
        <v>1478</v>
      </c>
    </row>
    <row r="1377" spans="1:11" ht="100.5">
      <c r="A1377" s="204">
        <v>1375</v>
      </c>
      <c r="B1377" s="205">
        <v>45908</v>
      </c>
      <c r="C1377" s="267" t="s">
        <v>831</v>
      </c>
      <c r="D1377" s="204">
        <v>2025</v>
      </c>
      <c r="E1377" s="204" t="s">
        <v>1431</v>
      </c>
      <c r="F1377" s="204" t="s">
        <v>1566</v>
      </c>
      <c r="G1377" s="206" t="s">
        <v>88</v>
      </c>
      <c r="H1377" s="207" t="s">
        <v>2905</v>
      </c>
      <c r="I1377" s="156" t="s">
        <v>26</v>
      </c>
      <c r="J1377" s="204" t="s">
        <v>1588</v>
      </c>
      <c r="K1377" s="207" t="s">
        <v>1478</v>
      </c>
    </row>
    <row r="1378" spans="1:11" ht="16.5">
      <c r="A1378" s="204">
        <v>1376</v>
      </c>
      <c r="B1378" s="208">
        <v>45908</v>
      </c>
      <c r="C1378" s="267" t="s">
        <v>831</v>
      </c>
      <c r="D1378" s="204">
        <v>2025</v>
      </c>
      <c r="E1378" s="209" t="s">
        <v>1431</v>
      </c>
      <c r="F1378" s="209" t="s">
        <v>1566</v>
      </c>
      <c r="G1378" s="210" t="s">
        <v>88</v>
      </c>
      <c r="H1378" s="211" t="s">
        <v>2906</v>
      </c>
      <c r="I1378" s="156" t="s">
        <v>26</v>
      </c>
      <c r="J1378" s="209" t="s">
        <v>1588</v>
      </c>
      <c r="K1378" s="211"/>
    </row>
    <row r="1379" spans="1:11" ht="100.5">
      <c r="A1379" s="204">
        <v>1377</v>
      </c>
      <c r="B1379" s="205">
        <v>45908</v>
      </c>
      <c r="C1379" s="267" t="s">
        <v>831</v>
      </c>
      <c r="D1379" s="204">
        <v>2025</v>
      </c>
      <c r="E1379" s="204" t="s">
        <v>1431</v>
      </c>
      <c r="F1379" s="204" t="s">
        <v>1566</v>
      </c>
      <c r="G1379" s="206" t="s">
        <v>88</v>
      </c>
      <c r="H1379" s="207" t="s">
        <v>2907</v>
      </c>
      <c r="I1379" s="156" t="s">
        <v>26</v>
      </c>
      <c r="J1379" s="204" t="s">
        <v>1588</v>
      </c>
      <c r="K1379" s="207" t="s">
        <v>1454</v>
      </c>
    </row>
    <row r="1380" spans="1:11" ht="117">
      <c r="A1380" s="204">
        <v>1378</v>
      </c>
      <c r="B1380" s="208">
        <v>45908</v>
      </c>
      <c r="C1380" s="267" t="s">
        <v>831</v>
      </c>
      <c r="D1380" s="204">
        <v>2025</v>
      </c>
      <c r="E1380" s="209" t="s">
        <v>1431</v>
      </c>
      <c r="F1380" s="209" t="s">
        <v>1566</v>
      </c>
      <c r="G1380" s="210" t="s">
        <v>88</v>
      </c>
      <c r="H1380" s="211" t="s">
        <v>2908</v>
      </c>
      <c r="I1380" s="156" t="s">
        <v>26</v>
      </c>
      <c r="J1380" s="209" t="s">
        <v>1588</v>
      </c>
      <c r="K1380" s="211" t="s">
        <v>1559</v>
      </c>
    </row>
    <row r="1381" spans="1:11" ht="33.75">
      <c r="A1381" s="204">
        <v>1379</v>
      </c>
      <c r="B1381" s="205">
        <v>45909</v>
      </c>
      <c r="C1381" s="267" t="s">
        <v>831</v>
      </c>
      <c r="D1381" s="204">
        <v>2025</v>
      </c>
      <c r="E1381" s="204" t="s">
        <v>1431</v>
      </c>
      <c r="F1381" s="204" t="s">
        <v>216</v>
      </c>
      <c r="G1381" s="213" t="s">
        <v>821</v>
      </c>
      <c r="H1381" s="207" t="s">
        <v>2909</v>
      </c>
      <c r="I1381" s="156" t="s">
        <v>26</v>
      </c>
      <c r="J1381" s="204" t="s">
        <v>492</v>
      </c>
      <c r="K1381" s="207"/>
    </row>
    <row r="1382" spans="1:11" ht="100.5">
      <c r="A1382" s="204">
        <v>1380</v>
      </c>
      <c r="B1382" s="208">
        <v>45909</v>
      </c>
      <c r="C1382" s="267" t="s">
        <v>831</v>
      </c>
      <c r="D1382" s="204">
        <v>2025</v>
      </c>
      <c r="E1382" s="209" t="s">
        <v>1431</v>
      </c>
      <c r="F1382" s="209" t="s">
        <v>2535</v>
      </c>
      <c r="G1382" s="210" t="s">
        <v>88</v>
      </c>
      <c r="H1382" s="211" t="s">
        <v>2910</v>
      </c>
      <c r="I1382" s="156" t="s">
        <v>26</v>
      </c>
      <c r="J1382" s="209" t="s">
        <v>921</v>
      </c>
      <c r="K1382" s="211" t="s">
        <v>1472</v>
      </c>
    </row>
    <row r="1383" spans="1:11" ht="150.75">
      <c r="A1383" s="204">
        <v>1381</v>
      </c>
      <c r="B1383" s="205">
        <v>45909</v>
      </c>
      <c r="C1383" s="267" t="s">
        <v>831</v>
      </c>
      <c r="D1383" s="204">
        <v>2025</v>
      </c>
      <c r="E1383" s="204" t="s">
        <v>1431</v>
      </c>
      <c r="F1383" s="204" t="s">
        <v>21</v>
      </c>
      <c r="G1383" s="213" t="s">
        <v>821</v>
      </c>
      <c r="H1383" s="207" t="s">
        <v>2911</v>
      </c>
      <c r="I1383" s="156" t="s">
        <v>26</v>
      </c>
      <c r="J1383" s="204" t="s">
        <v>468</v>
      </c>
      <c r="K1383" s="207" t="s">
        <v>1513</v>
      </c>
    </row>
    <row r="1384" spans="1:11" ht="33.75">
      <c r="A1384" s="204">
        <v>1382</v>
      </c>
      <c r="B1384" s="208">
        <v>45909</v>
      </c>
      <c r="C1384" s="267" t="s">
        <v>831</v>
      </c>
      <c r="D1384" s="204">
        <v>2025</v>
      </c>
      <c r="E1384" s="209" t="s">
        <v>1431</v>
      </c>
      <c r="F1384" s="209" t="s">
        <v>2244</v>
      </c>
      <c r="G1384" s="217" t="s">
        <v>859</v>
      </c>
      <c r="H1384" s="211" t="s">
        <v>2912</v>
      </c>
      <c r="I1384" s="156" t="s">
        <v>26</v>
      </c>
      <c r="J1384" s="209" t="s">
        <v>1998</v>
      </c>
      <c r="K1384" s="211"/>
    </row>
    <row r="1385" spans="1:11" ht="50.25">
      <c r="A1385" s="204">
        <v>1383</v>
      </c>
      <c r="B1385" s="205">
        <v>45909</v>
      </c>
      <c r="C1385" s="267" t="s">
        <v>831</v>
      </c>
      <c r="D1385" s="204">
        <v>2025</v>
      </c>
      <c r="E1385" s="204" t="s">
        <v>1431</v>
      </c>
      <c r="F1385" s="204" t="s">
        <v>2535</v>
      </c>
      <c r="G1385" s="206" t="s">
        <v>88</v>
      </c>
      <c r="H1385" s="207" t="s">
        <v>2913</v>
      </c>
      <c r="I1385" s="156" t="s">
        <v>26</v>
      </c>
      <c r="J1385" s="204" t="s">
        <v>158</v>
      </c>
      <c r="K1385" s="207"/>
    </row>
    <row r="1386" spans="1:11" ht="33.75">
      <c r="A1386" s="204">
        <v>1384</v>
      </c>
      <c r="B1386" s="208">
        <v>45909</v>
      </c>
      <c r="C1386" s="267" t="s">
        <v>831</v>
      </c>
      <c r="D1386" s="204">
        <v>2025</v>
      </c>
      <c r="E1386" s="209" t="s">
        <v>1431</v>
      </c>
      <c r="F1386" s="209" t="s">
        <v>21</v>
      </c>
      <c r="G1386" s="213" t="s">
        <v>821</v>
      </c>
      <c r="H1386" s="211" t="s">
        <v>2914</v>
      </c>
      <c r="I1386" s="156" t="s">
        <v>26</v>
      </c>
      <c r="J1386" s="209" t="s">
        <v>468</v>
      </c>
      <c r="K1386" s="211"/>
    </row>
    <row r="1387" spans="1:11" ht="117">
      <c r="A1387" s="204">
        <v>1385</v>
      </c>
      <c r="B1387" s="205">
        <v>45909</v>
      </c>
      <c r="C1387" s="267" t="s">
        <v>831</v>
      </c>
      <c r="D1387" s="204">
        <v>2025</v>
      </c>
      <c r="E1387" s="204" t="s">
        <v>1431</v>
      </c>
      <c r="F1387" s="204" t="s">
        <v>2591</v>
      </c>
      <c r="G1387" s="206" t="s">
        <v>88</v>
      </c>
      <c r="H1387" s="207" t="s">
        <v>2915</v>
      </c>
      <c r="I1387" s="156" t="s">
        <v>26</v>
      </c>
      <c r="J1387" s="204" t="s">
        <v>916</v>
      </c>
      <c r="K1387" s="207" t="s">
        <v>1510</v>
      </c>
    </row>
    <row r="1388" spans="1:11" ht="66.75">
      <c r="A1388" s="204">
        <v>1386</v>
      </c>
      <c r="B1388" s="208">
        <v>45909</v>
      </c>
      <c r="C1388" s="267" t="s">
        <v>831</v>
      </c>
      <c r="D1388" s="204">
        <v>2025</v>
      </c>
      <c r="E1388" s="209" t="s">
        <v>2224</v>
      </c>
      <c r="F1388" s="209" t="s">
        <v>2468</v>
      </c>
      <c r="G1388" s="213" t="s">
        <v>821</v>
      </c>
      <c r="H1388" s="211" t="s">
        <v>2916</v>
      </c>
      <c r="I1388" s="156" t="s">
        <v>26</v>
      </c>
      <c r="J1388" s="209" t="s">
        <v>2735</v>
      </c>
      <c r="K1388" s="211"/>
    </row>
    <row r="1389" spans="1:11" ht="66.75">
      <c r="A1389" s="204">
        <v>1387</v>
      </c>
      <c r="B1389" s="205">
        <v>45909</v>
      </c>
      <c r="C1389" s="267" t="s">
        <v>831</v>
      </c>
      <c r="D1389" s="204">
        <v>2025</v>
      </c>
      <c r="E1389" s="204" t="s">
        <v>1431</v>
      </c>
      <c r="F1389" s="204" t="s">
        <v>1566</v>
      </c>
      <c r="G1389" s="206" t="s">
        <v>88</v>
      </c>
      <c r="H1389" s="207" t="s">
        <v>2917</v>
      </c>
      <c r="I1389" s="156" t="s">
        <v>26</v>
      </c>
      <c r="J1389" s="204" t="s">
        <v>2798</v>
      </c>
      <c r="K1389" s="207" t="s">
        <v>1548</v>
      </c>
    </row>
    <row r="1390" spans="1:11" ht="117">
      <c r="A1390" s="204">
        <v>1388</v>
      </c>
      <c r="B1390" s="208">
        <v>45909</v>
      </c>
      <c r="C1390" s="267" t="s">
        <v>831</v>
      </c>
      <c r="D1390" s="204">
        <v>2025</v>
      </c>
      <c r="E1390" s="209" t="s">
        <v>1431</v>
      </c>
      <c r="F1390" s="209" t="s">
        <v>2591</v>
      </c>
      <c r="G1390" s="210" t="s">
        <v>88</v>
      </c>
      <c r="H1390" s="211" t="s">
        <v>2918</v>
      </c>
      <c r="I1390" s="156" t="s">
        <v>26</v>
      </c>
      <c r="J1390" s="209" t="s">
        <v>2593</v>
      </c>
      <c r="K1390" s="211" t="s">
        <v>1510</v>
      </c>
    </row>
    <row r="1391" spans="1:11" ht="50.25">
      <c r="A1391" s="204">
        <v>1389</v>
      </c>
      <c r="B1391" s="205">
        <v>45909</v>
      </c>
      <c r="C1391" s="267" t="s">
        <v>831</v>
      </c>
      <c r="D1391" s="204">
        <v>2025</v>
      </c>
      <c r="E1391" s="204" t="s">
        <v>1431</v>
      </c>
      <c r="F1391" s="204" t="s">
        <v>2591</v>
      </c>
      <c r="G1391" s="206" t="s">
        <v>88</v>
      </c>
      <c r="H1391" s="207" t="s">
        <v>2919</v>
      </c>
      <c r="I1391" s="156" t="s">
        <v>26</v>
      </c>
      <c r="J1391" s="204" t="s">
        <v>2593</v>
      </c>
      <c r="K1391" s="207"/>
    </row>
    <row r="1392" spans="1:11" ht="100.5">
      <c r="A1392" s="204">
        <v>1390</v>
      </c>
      <c r="B1392" s="208">
        <v>45910</v>
      </c>
      <c r="C1392" s="267" t="s">
        <v>831</v>
      </c>
      <c r="D1392" s="204">
        <v>2025</v>
      </c>
      <c r="E1392" s="209" t="s">
        <v>1431</v>
      </c>
      <c r="F1392" s="209" t="s">
        <v>2591</v>
      </c>
      <c r="G1392" s="210" t="s">
        <v>88</v>
      </c>
      <c r="H1392" s="211" t="s">
        <v>2920</v>
      </c>
      <c r="I1392" s="156" t="s">
        <v>26</v>
      </c>
      <c r="J1392" s="209" t="s">
        <v>2593</v>
      </c>
      <c r="K1392" s="211" t="s">
        <v>1472</v>
      </c>
    </row>
    <row r="1393" spans="1:11" ht="16.5">
      <c r="A1393" s="204">
        <v>1391</v>
      </c>
      <c r="B1393" s="205">
        <v>45910</v>
      </c>
      <c r="C1393" s="267" t="s">
        <v>831</v>
      </c>
      <c r="D1393" s="204">
        <v>2025</v>
      </c>
      <c r="E1393" s="204" t="s">
        <v>1431</v>
      </c>
      <c r="F1393" s="204" t="s">
        <v>2591</v>
      </c>
      <c r="G1393" s="206" t="s">
        <v>88</v>
      </c>
      <c r="H1393" s="207" t="s">
        <v>2921</v>
      </c>
      <c r="I1393" s="156" t="s">
        <v>26</v>
      </c>
      <c r="J1393" s="204" t="s">
        <v>2593</v>
      </c>
      <c r="K1393" s="207"/>
    </row>
    <row r="1394" spans="1:11" ht="100.5">
      <c r="A1394" s="204">
        <v>1392</v>
      </c>
      <c r="B1394" s="208">
        <v>45910</v>
      </c>
      <c r="C1394" s="267" t="s">
        <v>831</v>
      </c>
      <c r="D1394" s="204">
        <v>2025</v>
      </c>
      <c r="E1394" s="209" t="s">
        <v>1431</v>
      </c>
      <c r="F1394" s="209" t="s">
        <v>1566</v>
      </c>
      <c r="G1394" s="210" t="s">
        <v>88</v>
      </c>
      <c r="H1394" s="211" t="s">
        <v>2922</v>
      </c>
      <c r="I1394" s="156" t="s">
        <v>26</v>
      </c>
      <c r="J1394" s="209" t="s">
        <v>1588</v>
      </c>
      <c r="K1394" s="211" t="s">
        <v>1478</v>
      </c>
    </row>
    <row r="1395" spans="1:11" ht="100.5">
      <c r="A1395" s="204">
        <v>1393</v>
      </c>
      <c r="B1395" s="205">
        <v>45910</v>
      </c>
      <c r="C1395" s="267" t="s">
        <v>831</v>
      </c>
      <c r="D1395" s="204">
        <v>2025</v>
      </c>
      <c r="E1395" s="204" t="s">
        <v>1431</v>
      </c>
      <c r="F1395" s="204" t="s">
        <v>1566</v>
      </c>
      <c r="G1395" s="206" t="s">
        <v>88</v>
      </c>
      <c r="H1395" s="207" t="s">
        <v>2923</v>
      </c>
      <c r="I1395" s="156" t="s">
        <v>26</v>
      </c>
      <c r="J1395" s="204" t="s">
        <v>1588</v>
      </c>
      <c r="K1395" s="207" t="s">
        <v>1454</v>
      </c>
    </row>
    <row r="1396" spans="1:11" ht="117">
      <c r="A1396" s="204">
        <v>1394</v>
      </c>
      <c r="B1396" s="208">
        <v>45910</v>
      </c>
      <c r="C1396" s="267" t="s">
        <v>831</v>
      </c>
      <c r="D1396" s="204">
        <v>2025</v>
      </c>
      <c r="E1396" s="209" t="s">
        <v>1431</v>
      </c>
      <c r="F1396" s="209" t="s">
        <v>1566</v>
      </c>
      <c r="G1396" s="210" t="s">
        <v>88</v>
      </c>
      <c r="H1396" s="211" t="s">
        <v>2924</v>
      </c>
      <c r="I1396" s="156" t="s">
        <v>26</v>
      </c>
      <c r="J1396" s="209" t="s">
        <v>1588</v>
      </c>
      <c r="K1396" s="211" t="s">
        <v>1500</v>
      </c>
    </row>
    <row r="1397" spans="1:11" ht="100.5">
      <c r="A1397" s="204">
        <v>1395</v>
      </c>
      <c r="B1397" s="205">
        <v>45910</v>
      </c>
      <c r="C1397" s="267" t="s">
        <v>831</v>
      </c>
      <c r="D1397" s="204">
        <v>2025</v>
      </c>
      <c r="E1397" s="204" t="s">
        <v>1431</v>
      </c>
      <c r="F1397" s="204" t="s">
        <v>1566</v>
      </c>
      <c r="G1397" s="206" t="s">
        <v>88</v>
      </c>
      <c r="H1397" s="207" t="s">
        <v>2925</v>
      </c>
      <c r="I1397" s="156" t="s">
        <v>26</v>
      </c>
      <c r="J1397" s="204" t="s">
        <v>1588</v>
      </c>
      <c r="K1397" s="207" t="s">
        <v>1454</v>
      </c>
    </row>
    <row r="1398" spans="1:11" ht="33.75">
      <c r="A1398" s="204">
        <v>1396</v>
      </c>
      <c r="B1398" s="208">
        <v>45910</v>
      </c>
      <c r="C1398" s="267" t="s">
        <v>831</v>
      </c>
      <c r="D1398" s="204">
        <v>2025</v>
      </c>
      <c r="E1398" s="209" t="s">
        <v>1431</v>
      </c>
      <c r="F1398" s="209" t="s">
        <v>216</v>
      </c>
      <c r="G1398" s="213" t="s">
        <v>821</v>
      </c>
      <c r="H1398" s="211" t="s">
        <v>2926</v>
      </c>
      <c r="I1398" s="156" t="s">
        <v>26</v>
      </c>
      <c r="J1398" s="209" t="s">
        <v>492</v>
      </c>
      <c r="K1398" s="211"/>
    </row>
    <row r="1399" spans="1:11" ht="33.75">
      <c r="A1399" s="204">
        <v>1397</v>
      </c>
      <c r="B1399" s="205">
        <v>45910</v>
      </c>
      <c r="C1399" s="267" t="s">
        <v>831</v>
      </c>
      <c r="D1399" s="204">
        <v>2025</v>
      </c>
      <c r="E1399" s="204" t="s">
        <v>1431</v>
      </c>
      <c r="F1399" s="204" t="s">
        <v>21</v>
      </c>
      <c r="G1399" s="213" t="s">
        <v>821</v>
      </c>
      <c r="H1399" s="207" t="s">
        <v>2927</v>
      </c>
      <c r="I1399" s="156" t="s">
        <v>26</v>
      </c>
      <c r="J1399" s="204" t="s">
        <v>468</v>
      </c>
      <c r="K1399" s="207"/>
    </row>
    <row r="1400" spans="1:11" ht="134.25">
      <c r="A1400" s="204">
        <v>1398</v>
      </c>
      <c r="B1400" s="208">
        <v>45911</v>
      </c>
      <c r="C1400" s="267" t="s">
        <v>831</v>
      </c>
      <c r="D1400" s="204">
        <v>2025</v>
      </c>
      <c r="E1400" s="209" t="s">
        <v>1431</v>
      </c>
      <c r="F1400" s="209" t="s">
        <v>2591</v>
      </c>
      <c r="G1400" s="210" t="s">
        <v>88</v>
      </c>
      <c r="H1400" s="211" t="s">
        <v>2928</v>
      </c>
      <c r="I1400" s="156" t="s">
        <v>26</v>
      </c>
      <c r="J1400" s="209" t="s">
        <v>2593</v>
      </c>
      <c r="K1400" s="211"/>
    </row>
    <row r="1401" spans="1:11" ht="84">
      <c r="A1401" s="204">
        <v>1399</v>
      </c>
      <c r="B1401" s="205">
        <v>45911</v>
      </c>
      <c r="C1401" s="267" t="s">
        <v>831</v>
      </c>
      <c r="D1401" s="204">
        <v>2025</v>
      </c>
      <c r="E1401" s="204" t="s">
        <v>1431</v>
      </c>
      <c r="F1401" s="204" t="s">
        <v>2591</v>
      </c>
      <c r="G1401" s="206" t="s">
        <v>88</v>
      </c>
      <c r="H1401" s="207" t="s">
        <v>2929</v>
      </c>
      <c r="I1401" s="156" t="s">
        <v>26</v>
      </c>
      <c r="J1401" s="204" t="s">
        <v>2593</v>
      </c>
      <c r="K1401" s="207" t="s">
        <v>1500</v>
      </c>
    </row>
    <row r="1402" spans="1:11" ht="150.75">
      <c r="A1402" s="204">
        <v>1400</v>
      </c>
      <c r="B1402" s="208">
        <v>45911</v>
      </c>
      <c r="C1402" s="267" t="s">
        <v>831</v>
      </c>
      <c r="D1402" s="204">
        <v>2025</v>
      </c>
      <c r="E1402" s="209" t="s">
        <v>1431</v>
      </c>
      <c r="F1402" s="209" t="s">
        <v>2591</v>
      </c>
      <c r="G1402" s="210" t="s">
        <v>88</v>
      </c>
      <c r="H1402" s="211" t="s">
        <v>2930</v>
      </c>
      <c r="I1402" s="156" t="s">
        <v>26</v>
      </c>
      <c r="J1402" s="209" t="s">
        <v>2593</v>
      </c>
      <c r="K1402" s="211"/>
    </row>
    <row r="1403" spans="1:11" ht="84">
      <c r="A1403" s="204">
        <v>1401</v>
      </c>
      <c r="B1403" s="205">
        <v>45911</v>
      </c>
      <c r="C1403" s="267" t="s">
        <v>831</v>
      </c>
      <c r="D1403" s="204">
        <v>2025</v>
      </c>
      <c r="E1403" s="204" t="s">
        <v>1431</v>
      </c>
      <c r="F1403" s="204" t="s">
        <v>2591</v>
      </c>
      <c r="G1403" s="206" t="s">
        <v>88</v>
      </c>
      <c r="H1403" s="207" t="s">
        <v>2931</v>
      </c>
      <c r="I1403" s="156" t="s">
        <v>26</v>
      </c>
      <c r="J1403" s="204" t="s">
        <v>2593</v>
      </c>
      <c r="K1403" s="207"/>
    </row>
    <row r="1404" spans="1:11" ht="50.25">
      <c r="A1404" s="204">
        <v>1402</v>
      </c>
      <c r="B1404" s="208">
        <v>45911</v>
      </c>
      <c r="C1404" s="267" t="s">
        <v>831</v>
      </c>
      <c r="D1404" s="204">
        <v>2025</v>
      </c>
      <c r="E1404" s="209" t="s">
        <v>1431</v>
      </c>
      <c r="F1404" s="209" t="s">
        <v>21</v>
      </c>
      <c r="G1404" s="213" t="s">
        <v>821</v>
      </c>
      <c r="H1404" s="211" t="s">
        <v>2932</v>
      </c>
      <c r="I1404" s="156" t="s">
        <v>26</v>
      </c>
      <c r="J1404" s="209" t="s">
        <v>468</v>
      </c>
      <c r="K1404" s="211"/>
    </row>
    <row r="1405" spans="1:11" ht="33.75">
      <c r="A1405" s="204">
        <v>1403</v>
      </c>
      <c r="B1405" s="205">
        <v>45911</v>
      </c>
      <c r="C1405" s="267" t="s">
        <v>831</v>
      </c>
      <c r="D1405" s="204">
        <v>2025</v>
      </c>
      <c r="E1405" s="204" t="s">
        <v>1431</v>
      </c>
      <c r="F1405" s="204" t="s">
        <v>216</v>
      </c>
      <c r="G1405" s="213" t="s">
        <v>821</v>
      </c>
      <c r="H1405" s="207" t="s">
        <v>2933</v>
      </c>
      <c r="I1405" s="156" t="s">
        <v>26</v>
      </c>
      <c r="J1405" s="204" t="s">
        <v>492</v>
      </c>
      <c r="K1405" s="207"/>
    </row>
    <row r="1406" spans="1:11" ht="66.75">
      <c r="A1406" s="204">
        <v>1404</v>
      </c>
      <c r="B1406" s="208">
        <v>45911</v>
      </c>
      <c r="C1406" s="267" t="s">
        <v>831</v>
      </c>
      <c r="D1406" s="204">
        <v>2025</v>
      </c>
      <c r="E1406" s="209" t="s">
        <v>1431</v>
      </c>
      <c r="F1406" s="209" t="s">
        <v>1566</v>
      </c>
      <c r="G1406" s="210" t="s">
        <v>88</v>
      </c>
      <c r="H1406" s="211" t="s">
        <v>2934</v>
      </c>
      <c r="I1406" s="156" t="s">
        <v>26</v>
      </c>
      <c r="J1406" s="209" t="s">
        <v>1453</v>
      </c>
      <c r="K1406" s="211" t="s">
        <v>1548</v>
      </c>
    </row>
    <row r="1407" spans="1:11" ht="100.5">
      <c r="A1407" s="204">
        <v>1405</v>
      </c>
      <c r="B1407" s="205">
        <v>45911</v>
      </c>
      <c r="C1407" s="267" t="s">
        <v>831</v>
      </c>
      <c r="D1407" s="204">
        <v>2025</v>
      </c>
      <c r="E1407" s="204" t="s">
        <v>1431</v>
      </c>
      <c r="F1407" s="204" t="s">
        <v>1566</v>
      </c>
      <c r="G1407" s="206" t="s">
        <v>88</v>
      </c>
      <c r="H1407" s="207" t="s">
        <v>2935</v>
      </c>
      <c r="I1407" s="156" t="s">
        <v>26</v>
      </c>
      <c r="J1407" s="204" t="s">
        <v>1453</v>
      </c>
      <c r="K1407" s="207" t="s">
        <v>1454</v>
      </c>
    </row>
    <row r="1408" spans="1:11" ht="117">
      <c r="A1408" s="204">
        <v>1406</v>
      </c>
      <c r="B1408" s="208">
        <v>45912</v>
      </c>
      <c r="C1408" s="267" t="s">
        <v>831</v>
      </c>
      <c r="D1408" s="204">
        <v>2025</v>
      </c>
      <c r="E1408" s="209" t="s">
        <v>1431</v>
      </c>
      <c r="F1408" s="209" t="s">
        <v>1560</v>
      </c>
      <c r="G1408" s="217" t="s">
        <v>859</v>
      </c>
      <c r="H1408" s="211" t="s">
        <v>2936</v>
      </c>
      <c r="I1408" s="156" t="s">
        <v>26</v>
      </c>
      <c r="J1408" s="209" t="s">
        <v>2937</v>
      </c>
      <c r="K1408" s="211" t="s">
        <v>1476</v>
      </c>
    </row>
    <row r="1409" spans="1:11" ht="117">
      <c r="A1409" s="204">
        <v>1407</v>
      </c>
      <c r="B1409" s="205">
        <v>45912</v>
      </c>
      <c r="C1409" s="267" t="s">
        <v>831</v>
      </c>
      <c r="D1409" s="204">
        <v>2025</v>
      </c>
      <c r="E1409" s="204" t="s">
        <v>1431</v>
      </c>
      <c r="F1409" s="204" t="s">
        <v>2591</v>
      </c>
      <c r="G1409" s="206" t="s">
        <v>88</v>
      </c>
      <c r="H1409" s="207" t="s">
        <v>2938</v>
      </c>
      <c r="I1409" s="156" t="s">
        <v>26</v>
      </c>
      <c r="J1409" s="204" t="s">
        <v>2593</v>
      </c>
      <c r="K1409" s="207" t="s">
        <v>1437</v>
      </c>
    </row>
    <row r="1410" spans="1:11" ht="84">
      <c r="A1410" s="204">
        <v>1408</v>
      </c>
      <c r="B1410" s="208">
        <v>45912</v>
      </c>
      <c r="C1410" s="267" t="s">
        <v>831</v>
      </c>
      <c r="D1410" s="204">
        <v>2025</v>
      </c>
      <c r="E1410" s="209" t="s">
        <v>1431</v>
      </c>
      <c r="F1410" s="209" t="s">
        <v>2591</v>
      </c>
      <c r="G1410" s="210" t="s">
        <v>88</v>
      </c>
      <c r="H1410" s="211" t="s">
        <v>2939</v>
      </c>
      <c r="I1410" s="156" t="s">
        <v>26</v>
      </c>
      <c r="J1410" s="209" t="s">
        <v>2593</v>
      </c>
      <c r="K1410" s="211" t="s">
        <v>1500</v>
      </c>
    </row>
    <row r="1411" spans="1:11" ht="33.75">
      <c r="A1411" s="204">
        <v>1409</v>
      </c>
      <c r="B1411" s="205">
        <v>45912</v>
      </c>
      <c r="C1411" s="267" t="s">
        <v>831</v>
      </c>
      <c r="D1411" s="204">
        <v>2025</v>
      </c>
      <c r="E1411" s="204" t="s">
        <v>1431</v>
      </c>
      <c r="F1411" s="204" t="s">
        <v>2591</v>
      </c>
      <c r="G1411" s="206" t="s">
        <v>88</v>
      </c>
      <c r="H1411" s="207" t="s">
        <v>2940</v>
      </c>
      <c r="I1411" s="156" t="s">
        <v>26</v>
      </c>
      <c r="J1411" s="204" t="s">
        <v>2593</v>
      </c>
      <c r="K1411" s="207"/>
    </row>
    <row r="1412" spans="1:11" ht="50.25">
      <c r="A1412" s="204">
        <v>1410</v>
      </c>
      <c r="B1412" s="208">
        <v>45912</v>
      </c>
      <c r="C1412" s="267" t="s">
        <v>831</v>
      </c>
      <c r="D1412" s="204">
        <v>2025</v>
      </c>
      <c r="E1412" s="209" t="s">
        <v>1431</v>
      </c>
      <c r="F1412" s="209" t="s">
        <v>2591</v>
      </c>
      <c r="G1412" s="210" t="s">
        <v>88</v>
      </c>
      <c r="H1412" s="211" t="s">
        <v>2941</v>
      </c>
      <c r="I1412" s="156" t="s">
        <v>26</v>
      </c>
      <c r="J1412" s="209" t="s">
        <v>2593</v>
      </c>
      <c r="K1412" s="211"/>
    </row>
    <row r="1413" spans="1:11" ht="33.75">
      <c r="A1413" s="204">
        <v>1411</v>
      </c>
      <c r="B1413" s="205">
        <v>45912</v>
      </c>
      <c r="C1413" s="267" t="s">
        <v>831</v>
      </c>
      <c r="D1413" s="204">
        <v>2025</v>
      </c>
      <c r="E1413" s="204" t="s">
        <v>1431</v>
      </c>
      <c r="F1413" s="204" t="s">
        <v>2591</v>
      </c>
      <c r="G1413" s="206" t="s">
        <v>88</v>
      </c>
      <c r="H1413" s="207" t="s">
        <v>2942</v>
      </c>
      <c r="I1413" s="156" t="s">
        <v>26</v>
      </c>
      <c r="J1413" s="204" t="s">
        <v>2593</v>
      </c>
      <c r="K1413" s="207"/>
    </row>
    <row r="1414" spans="1:11" ht="100.5">
      <c r="A1414" s="204">
        <v>1412</v>
      </c>
      <c r="B1414" s="208">
        <v>45912</v>
      </c>
      <c r="C1414" s="267" t="s">
        <v>831</v>
      </c>
      <c r="D1414" s="204">
        <v>2025</v>
      </c>
      <c r="E1414" s="209" t="s">
        <v>1431</v>
      </c>
      <c r="F1414" s="209" t="s">
        <v>1506</v>
      </c>
      <c r="G1414" s="210" t="s">
        <v>88</v>
      </c>
      <c r="H1414" s="211" t="s">
        <v>2943</v>
      </c>
      <c r="I1414" s="156" t="s">
        <v>26</v>
      </c>
      <c r="J1414" s="209" t="s">
        <v>1904</v>
      </c>
      <c r="K1414" s="211" t="s">
        <v>1486</v>
      </c>
    </row>
    <row r="1415" spans="1:11" ht="33.75">
      <c r="A1415" s="204">
        <v>1413</v>
      </c>
      <c r="B1415" s="205">
        <v>45912</v>
      </c>
      <c r="C1415" s="267" t="s">
        <v>831</v>
      </c>
      <c r="D1415" s="204">
        <v>2025</v>
      </c>
      <c r="E1415" s="204" t="s">
        <v>1431</v>
      </c>
      <c r="F1415" s="204" t="s">
        <v>1506</v>
      </c>
      <c r="G1415" s="206" t="s">
        <v>88</v>
      </c>
      <c r="H1415" s="207" t="s">
        <v>2944</v>
      </c>
      <c r="I1415" s="156" t="s">
        <v>26</v>
      </c>
      <c r="J1415" s="204" t="s">
        <v>1904</v>
      </c>
      <c r="K1415" s="207"/>
    </row>
    <row r="1416" spans="1:11" ht="50.25">
      <c r="A1416" s="204">
        <v>1414</v>
      </c>
      <c r="B1416" s="208">
        <v>45912</v>
      </c>
      <c r="C1416" s="267" t="s">
        <v>831</v>
      </c>
      <c r="D1416" s="204">
        <v>2025</v>
      </c>
      <c r="E1416" s="209" t="s">
        <v>1431</v>
      </c>
      <c r="F1416" s="209" t="s">
        <v>1506</v>
      </c>
      <c r="G1416" s="210" t="s">
        <v>88</v>
      </c>
      <c r="H1416" s="211" t="s">
        <v>2945</v>
      </c>
      <c r="I1416" s="156" t="s">
        <v>26</v>
      </c>
      <c r="J1416" s="209" t="s">
        <v>1904</v>
      </c>
      <c r="K1416" s="211"/>
    </row>
    <row r="1417" spans="1:11" ht="84">
      <c r="A1417" s="204">
        <v>1415</v>
      </c>
      <c r="B1417" s="205">
        <v>45912</v>
      </c>
      <c r="C1417" s="267" t="s">
        <v>831</v>
      </c>
      <c r="D1417" s="204">
        <v>2025</v>
      </c>
      <c r="E1417" s="204" t="s">
        <v>1431</v>
      </c>
      <c r="F1417" s="204" t="s">
        <v>1506</v>
      </c>
      <c r="G1417" s="206" t="s">
        <v>88</v>
      </c>
      <c r="H1417" s="207" t="s">
        <v>2946</v>
      </c>
      <c r="I1417" s="156" t="s">
        <v>26</v>
      </c>
      <c r="J1417" s="204" t="s">
        <v>1904</v>
      </c>
      <c r="K1417" s="207" t="s">
        <v>1500</v>
      </c>
    </row>
    <row r="1418" spans="1:11" ht="100.5">
      <c r="A1418" s="204">
        <v>1416</v>
      </c>
      <c r="B1418" s="208">
        <v>45912</v>
      </c>
      <c r="C1418" s="267" t="s">
        <v>831</v>
      </c>
      <c r="D1418" s="204">
        <v>2025</v>
      </c>
      <c r="E1418" s="209" t="s">
        <v>1431</v>
      </c>
      <c r="F1418" s="209" t="s">
        <v>1566</v>
      </c>
      <c r="G1418" s="210" t="s">
        <v>88</v>
      </c>
      <c r="H1418" s="211" t="s">
        <v>2947</v>
      </c>
      <c r="I1418" s="156" t="s">
        <v>26</v>
      </c>
      <c r="J1418" s="209" t="s">
        <v>1453</v>
      </c>
      <c r="K1418" s="211" t="s">
        <v>1478</v>
      </c>
    </row>
    <row r="1419" spans="1:11" ht="16.5">
      <c r="A1419" s="204">
        <v>1417</v>
      </c>
      <c r="B1419" s="205">
        <v>45912</v>
      </c>
      <c r="C1419" s="267" t="s">
        <v>831</v>
      </c>
      <c r="D1419" s="204">
        <v>2025</v>
      </c>
      <c r="E1419" s="204" t="s">
        <v>1431</v>
      </c>
      <c r="F1419" s="204" t="s">
        <v>1566</v>
      </c>
      <c r="G1419" s="206" t="s">
        <v>88</v>
      </c>
      <c r="H1419" s="207" t="s">
        <v>2948</v>
      </c>
      <c r="I1419" s="156" t="s">
        <v>26</v>
      </c>
      <c r="J1419" s="204" t="s">
        <v>1453</v>
      </c>
      <c r="K1419" s="207"/>
    </row>
    <row r="1420" spans="1:11" ht="33.75">
      <c r="A1420" s="204">
        <v>1418</v>
      </c>
      <c r="B1420" s="208">
        <v>45912</v>
      </c>
      <c r="C1420" s="267" t="s">
        <v>831</v>
      </c>
      <c r="D1420" s="204">
        <v>2025</v>
      </c>
      <c r="E1420" s="209" t="s">
        <v>1431</v>
      </c>
      <c r="F1420" s="209" t="s">
        <v>1566</v>
      </c>
      <c r="G1420" s="210" t="s">
        <v>88</v>
      </c>
      <c r="H1420" s="211" t="s">
        <v>2949</v>
      </c>
      <c r="I1420" s="156" t="s">
        <v>26</v>
      </c>
      <c r="J1420" s="209" t="s">
        <v>1453</v>
      </c>
      <c r="K1420" s="211"/>
    </row>
    <row r="1421" spans="1:11" ht="33.75">
      <c r="A1421" s="204">
        <v>1419</v>
      </c>
      <c r="B1421" s="205">
        <v>45915</v>
      </c>
      <c r="C1421" s="267" t="s">
        <v>831</v>
      </c>
      <c r="D1421" s="204">
        <v>2025</v>
      </c>
      <c r="E1421" s="204" t="s">
        <v>1431</v>
      </c>
      <c r="F1421" s="204" t="s">
        <v>2244</v>
      </c>
      <c r="G1421" s="214" t="s">
        <v>859</v>
      </c>
      <c r="H1421" s="207" t="s">
        <v>2950</v>
      </c>
      <c r="I1421" s="156" t="s">
        <v>26</v>
      </c>
      <c r="J1421" s="204" t="s">
        <v>1998</v>
      </c>
      <c r="K1421" s="207"/>
    </row>
    <row r="1422" spans="1:11" ht="84">
      <c r="A1422" s="204">
        <v>1420</v>
      </c>
      <c r="B1422" s="208">
        <v>45915</v>
      </c>
      <c r="C1422" s="267" t="s">
        <v>831</v>
      </c>
      <c r="D1422" s="204">
        <v>2025</v>
      </c>
      <c r="E1422" s="209" t="s">
        <v>1431</v>
      </c>
      <c r="F1422" s="209" t="s">
        <v>1506</v>
      </c>
      <c r="G1422" s="210" t="s">
        <v>88</v>
      </c>
      <c r="H1422" s="211" t="s">
        <v>2951</v>
      </c>
      <c r="I1422" s="156" t="s">
        <v>26</v>
      </c>
      <c r="J1422" s="209" t="s">
        <v>1904</v>
      </c>
      <c r="K1422" s="211" t="s">
        <v>1500</v>
      </c>
    </row>
    <row r="1423" spans="1:11" ht="66.75">
      <c r="A1423" s="204">
        <v>1421</v>
      </c>
      <c r="B1423" s="205">
        <v>45915</v>
      </c>
      <c r="C1423" s="267" t="s">
        <v>831</v>
      </c>
      <c r="D1423" s="204">
        <v>2025</v>
      </c>
      <c r="E1423" s="204" t="s">
        <v>1431</v>
      </c>
      <c r="F1423" s="204" t="s">
        <v>1508</v>
      </c>
      <c r="G1423" s="206" t="s">
        <v>88</v>
      </c>
      <c r="H1423" s="207" t="s">
        <v>2952</v>
      </c>
      <c r="I1423" s="156" t="s">
        <v>26</v>
      </c>
      <c r="J1423" s="204" t="s">
        <v>2953</v>
      </c>
      <c r="K1423" s="207"/>
    </row>
    <row r="1424" spans="1:11" ht="66.75">
      <c r="A1424" s="204">
        <v>1422</v>
      </c>
      <c r="B1424" s="208">
        <v>45915</v>
      </c>
      <c r="C1424" s="267" t="s">
        <v>831</v>
      </c>
      <c r="D1424" s="204">
        <v>2025</v>
      </c>
      <c r="E1424" s="209" t="s">
        <v>1431</v>
      </c>
      <c r="F1424" s="209" t="s">
        <v>1539</v>
      </c>
      <c r="G1424" s="210" t="s">
        <v>88</v>
      </c>
      <c r="H1424" s="211" t="s">
        <v>2954</v>
      </c>
      <c r="I1424" s="156" t="s">
        <v>26</v>
      </c>
      <c r="J1424" s="209" t="s">
        <v>1541</v>
      </c>
      <c r="K1424" s="211" t="s">
        <v>1548</v>
      </c>
    </row>
    <row r="1425" spans="1:11" ht="168">
      <c r="A1425" s="204">
        <v>1423</v>
      </c>
      <c r="B1425" s="205">
        <v>45915</v>
      </c>
      <c r="C1425" s="267" t="s">
        <v>831</v>
      </c>
      <c r="D1425" s="204">
        <v>2025</v>
      </c>
      <c r="E1425" s="204" t="s">
        <v>1431</v>
      </c>
      <c r="F1425" s="204" t="s">
        <v>2591</v>
      </c>
      <c r="G1425" s="206" t="s">
        <v>88</v>
      </c>
      <c r="H1425" s="207" t="s">
        <v>2955</v>
      </c>
      <c r="I1425" s="156" t="s">
        <v>26</v>
      </c>
      <c r="J1425" s="204" t="s">
        <v>2593</v>
      </c>
      <c r="K1425" s="207"/>
    </row>
    <row r="1426" spans="1:11" ht="66.75">
      <c r="A1426" s="204">
        <v>1424</v>
      </c>
      <c r="B1426" s="208">
        <v>45915</v>
      </c>
      <c r="C1426" s="267" t="s">
        <v>831</v>
      </c>
      <c r="D1426" s="204">
        <v>2025</v>
      </c>
      <c r="E1426" s="209" t="s">
        <v>1431</v>
      </c>
      <c r="F1426" s="209" t="s">
        <v>2591</v>
      </c>
      <c r="G1426" s="210" t="s">
        <v>88</v>
      </c>
      <c r="H1426" s="211" t="s">
        <v>2956</v>
      </c>
      <c r="I1426" s="156" t="s">
        <v>26</v>
      </c>
      <c r="J1426" s="209" t="s">
        <v>2593</v>
      </c>
      <c r="K1426" s="211"/>
    </row>
    <row r="1427" spans="1:11" ht="100.5">
      <c r="A1427" s="204">
        <v>1425</v>
      </c>
      <c r="B1427" s="205">
        <v>45915</v>
      </c>
      <c r="C1427" s="267" t="s">
        <v>831</v>
      </c>
      <c r="D1427" s="204">
        <v>2025</v>
      </c>
      <c r="E1427" s="204" t="s">
        <v>1431</v>
      </c>
      <c r="F1427" s="204" t="s">
        <v>1566</v>
      </c>
      <c r="G1427" s="206" t="s">
        <v>88</v>
      </c>
      <c r="H1427" s="207" t="s">
        <v>2957</v>
      </c>
      <c r="I1427" s="156" t="s">
        <v>26</v>
      </c>
      <c r="J1427" s="204" t="s">
        <v>1588</v>
      </c>
      <c r="K1427" s="207" t="s">
        <v>1478</v>
      </c>
    </row>
    <row r="1428" spans="1:11" ht="150.75">
      <c r="A1428" s="204">
        <v>1426</v>
      </c>
      <c r="B1428" s="208">
        <v>45915</v>
      </c>
      <c r="C1428" s="267" t="s">
        <v>831</v>
      </c>
      <c r="D1428" s="204">
        <v>2025</v>
      </c>
      <c r="E1428" s="209" t="s">
        <v>1431</v>
      </c>
      <c r="F1428" s="209" t="s">
        <v>1566</v>
      </c>
      <c r="G1428" s="210" t="s">
        <v>88</v>
      </c>
      <c r="H1428" s="211" t="s">
        <v>2958</v>
      </c>
      <c r="I1428" s="156" t="s">
        <v>26</v>
      </c>
      <c r="J1428" s="209" t="s">
        <v>1588</v>
      </c>
      <c r="K1428" s="211" t="s">
        <v>1500</v>
      </c>
    </row>
    <row r="1429" spans="1:11" ht="117">
      <c r="A1429" s="204">
        <v>1427</v>
      </c>
      <c r="B1429" s="205">
        <v>45915</v>
      </c>
      <c r="C1429" s="267" t="s">
        <v>831</v>
      </c>
      <c r="D1429" s="204">
        <v>2025</v>
      </c>
      <c r="E1429" s="204" t="s">
        <v>1431</v>
      </c>
      <c r="F1429" s="204" t="s">
        <v>1566</v>
      </c>
      <c r="G1429" s="206" t="s">
        <v>88</v>
      </c>
      <c r="H1429" s="207" t="s">
        <v>2959</v>
      </c>
      <c r="I1429" s="156" t="s">
        <v>26</v>
      </c>
      <c r="J1429" s="204" t="s">
        <v>1588</v>
      </c>
      <c r="K1429" s="207" t="s">
        <v>1559</v>
      </c>
    </row>
    <row r="1430" spans="1:11" ht="168">
      <c r="A1430" s="204">
        <v>1428</v>
      </c>
      <c r="B1430" s="208">
        <v>45915</v>
      </c>
      <c r="C1430" s="267" t="s">
        <v>831</v>
      </c>
      <c r="D1430" s="204">
        <v>2025</v>
      </c>
      <c r="E1430" s="209" t="s">
        <v>1431</v>
      </c>
      <c r="F1430" s="209" t="s">
        <v>1566</v>
      </c>
      <c r="G1430" s="210" t="s">
        <v>88</v>
      </c>
      <c r="H1430" s="211" t="s">
        <v>2960</v>
      </c>
      <c r="I1430" s="156" t="s">
        <v>26</v>
      </c>
      <c r="J1430" s="209" t="s">
        <v>1588</v>
      </c>
      <c r="K1430" s="211" t="s">
        <v>1559</v>
      </c>
    </row>
    <row r="1431" spans="1:11" ht="117">
      <c r="A1431" s="204">
        <v>1429</v>
      </c>
      <c r="B1431" s="205">
        <v>45915</v>
      </c>
      <c r="C1431" s="267" t="s">
        <v>831</v>
      </c>
      <c r="D1431" s="204">
        <v>2025</v>
      </c>
      <c r="E1431" s="204" t="s">
        <v>2224</v>
      </c>
      <c r="F1431" s="204" t="s">
        <v>988</v>
      </c>
      <c r="G1431" s="206" t="s">
        <v>88</v>
      </c>
      <c r="H1431" s="207" t="s">
        <v>2961</v>
      </c>
      <c r="I1431" s="156" t="s">
        <v>26</v>
      </c>
      <c r="J1431" s="204" t="s">
        <v>2568</v>
      </c>
      <c r="K1431" s="207" t="s">
        <v>1462</v>
      </c>
    </row>
    <row r="1432" spans="1:11" ht="33.75">
      <c r="A1432" s="204">
        <v>1430</v>
      </c>
      <c r="B1432" s="208">
        <v>45916</v>
      </c>
      <c r="C1432" s="267" t="s">
        <v>831</v>
      </c>
      <c r="D1432" s="204">
        <v>2025</v>
      </c>
      <c r="E1432" s="209" t="s">
        <v>1431</v>
      </c>
      <c r="F1432" s="209" t="s">
        <v>216</v>
      </c>
      <c r="G1432" s="213" t="s">
        <v>821</v>
      </c>
      <c r="H1432" s="211" t="s">
        <v>2962</v>
      </c>
      <c r="I1432" s="156" t="s">
        <v>26</v>
      </c>
      <c r="J1432" s="209" t="s">
        <v>2963</v>
      </c>
      <c r="K1432" s="211"/>
    </row>
    <row r="1433" spans="1:11" ht="150.75">
      <c r="A1433" s="204">
        <v>1431</v>
      </c>
      <c r="B1433" s="205">
        <v>45916</v>
      </c>
      <c r="C1433" s="267" t="s">
        <v>831</v>
      </c>
      <c r="D1433" s="204">
        <v>2025</v>
      </c>
      <c r="E1433" s="204" t="s">
        <v>1431</v>
      </c>
      <c r="F1433" s="204" t="s">
        <v>21</v>
      </c>
      <c r="G1433" s="213" t="s">
        <v>821</v>
      </c>
      <c r="H1433" s="207" t="s">
        <v>2964</v>
      </c>
      <c r="I1433" s="156" t="s">
        <v>26</v>
      </c>
      <c r="J1433" s="204" t="s">
        <v>468</v>
      </c>
      <c r="K1433" s="207" t="s">
        <v>1513</v>
      </c>
    </row>
    <row r="1434" spans="1:11" ht="66.75">
      <c r="A1434" s="204">
        <v>1432</v>
      </c>
      <c r="B1434" s="208">
        <v>45916</v>
      </c>
      <c r="C1434" s="267" t="s">
        <v>831</v>
      </c>
      <c r="D1434" s="204">
        <v>2025</v>
      </c>
      <c r="E1434" s="209" t="s">
        <v>1431</v>
      </c>
      <c r="F1434" s="209" t="s">
        <v>2591</v>
      </c>
      <c r="G1434" s="210" t="s">
        <v>88</v>
      </c>
      <c r="H1434" s="211" t="s">
        <v>2965</v>
      </c>
      <c r="I1434" s="156" t="s">
        <v>26</v>
      </c>
      <c r="J1434" s="209" t="s">
        <v>2593</v>
      </c>
      <c r="K1434" s="211"/>
    </row>
    <row r="1435" spans="1:11" ht="84">
      <c r="A1435" s="204">
        <v>1433</v>
      </c>
      <c r="B1435" s="205">
        <v>45916</v>
      </c>
      <c r="C1435" s="267" t="s">
        <v>831</v>
      </c>
      <c r="D1435" s="204">
        <v>2025</v>
      </c>
      <c r="E1435" s="204" t="s">
        <v>1431</v>
      </c>
      <c r="F1435" s="204" t="s">
        <v>2591</v>
      </c>
      <c r="G1435" s="206" t="s">
        <v>88</v>
      </c>
      <c r="H1435" s="207" t="s">
        <v>2966</v>
      </c>
      <c r="I1435" s="156" t="s">
        <v>26</v>
      </c>
      <c r="J1435" s="204" t="s">
        <v>2593</v>
      </c>
      <c r="K1435" s="207" t="s">
        <v>1500</v>
      </c>
    </row>
    <row r="1436" spans="1:11" ht="100.5">
      <c r="A1436" s="204">
        <v>1434</v>
      </c>
      <c r="B1436" s="208">
        <v>45916</v>
      </c>
      <c r="C1436" s="267" t="s">
        <v>831</v>
      </c>
      <c r="D1436" s="204">
        <v>2025</v>
      </c>
      <c r="E1436" s="209" t="s">
        <v>1431</v>
      </c>
      <c r="F1436" s="209" t="s">
        <v>1566</v>
      </c>
      <c r="G1436" s="210" t="s">
        <v>88</v>
      </c>
      <c r="H1436" s="211" t="s">
        <v>2967</v>
      </c>
      <c r="I1436" s="156" t="s">
        <v>26</v>
      </c>
      <c r="J1436" s="209" t="s">
        <v>2798</v>
      </c>
      <c r="K1436" s="211" t="s">
        <v>1478</v>
      </c>
    </row>
    <row r="1437" spans="1:11" ht="100.5">
      <c r="A1437" s="204">
        <v>1435</v>
      </c>
      <c r="B1437" s="205">
        <v>45916</v>
      </c>
      <c r="C1437" s="267" t="s">
        <v>831</v>
      </c>
      <c r="D1437" s="204">
        <v>2025</v>
      </c>
      <c r="E1437" s="204" t="s">
        <v>1431</v>
      </c>
      <c r="F1437" s="204" t="s">
        <v>1566</v>
      </c>
      <c r="G1437" s="206" t="s">
        <v>88</v>
      </c>
      <c r="H1437" s="207" t="s">
        <v>2968</v>
      </c>
      <c r="I1437" s="156" t="s">
        <v>26</v>
      </c>
      <c r="J1437" s="204" t="s">
        <v>2798</v>
      </c>
      <c r="K1437" s="207" t="s">
        <v>1478</v>
      </c>
    </row>
    <row r="1438" spans="1:11" ht="84">
      <c r="A1438" s="204">
        <v>1436</v>
      </c>
      <c r="B1438" s="208">
        <v>45917</v>
      </c>
      <c r="C1438" s="267" t="s">
        <v>831</v>
      </c>
      <c r="D1438" s="204">
        <v>2025</v>
      </c>
      <c r="E1438" s="209" t="s">
        <v>1431</v>
      </c>
      <c r="F1438" s="209" t="s">
        <v>1506</v>
      </c>
      <c r="G1438" s="210" t="s">
        <v>88</v>
      </c>
      <c r="H1438" s="211" t="s">
        <v>2969</v>
      </c>
      <c r="I1438" s="156" t="s">
        <v>26</v>
      </c>
      <c r="J1438" s="209" t="s">
        <v>1904</v>
      </c>
      <c r="K1438" s="211" t="s">
        <v>1500</v>
      </c>
    </row>
    <row r="1439" spans="1:11" ht="50.25">
      <c r="A1439" s="204">
        <v>1437</v>
      </c>
      <c r="B1439" s="205">
        <v>45917</v>
      </c>
      <c r="C1439" s="267" t="s">
        <v>831</v>
      </c>
      <c r="D1439" s="204">
        <v>2025</v>
      </c>
      <c r="E1439" s="204" t="s">
        <v>1431</v>
      </c>
      <c r="F1439" s="204" t="s">
        <v>1506</v>
      </c>
      <c r="G1439" s="206" t="s">
        <v>88</v>
      </c>
      <c r="H1439" s="207" t="s">
        <v>2970</v>
      </c>
      <c r="I1439" s="156" t="s">
        <v>26</v>
      </c>
      <c r="J1439" s="204" t="s">
        <v>1904</v>
      </c>
      <c r="K1439" s="207"/>
    </row>
    <row r="1440" spans="1:11" ht="33.75">
      <c r="A1440" s="204">
        <v>1438</v>
      </c>
      <c r="B1440" s="208">
        <v>45917</v>
      </c>
      <c r="C1440" s="267" t="s">
        <v>831</v>
      </c>
      <c r="D1440" s="204">
        <v>2025</v>
      </c>
      <c r="E1440" s="209" t="s">
        <v>1431</v>
      </c>
      <c r="F1440" s="209" t="s">
        <v>216</v>
      </c>
      <c r="G1440" s="213" t="s">
        <v>821</v>
      </c>
      <c r="H1440" s="211" t="s">
        <v>2971</v>
      </c>
      <c r="I1440" s="156" t="s">
        <v>26</v>
      </c>
      <c r="J1440" s="209" t="s">
        <v>492</v>
      </c>
      <c r="K1440" s="211"/>
    </row>
    <row r="1441" spans="1:11" ht="117">
      <c r="A1441" s="204">
        <v>1439</v>
      </c>
      <c r="B1441" s="205">
        <v>45917</v>
      </c>
      <c r="C1441" s="267" t="s">
        <v>831</v>
      </c>
      <c r="D1441" s="204">
        <v>2025</v>
      </c>
      <c r="E1441" s="204" t="s">
        <v>1431</v>
      </c>
      <c r="F1441" s="204" t="s">
        <v>2591</v>
      </c>
      <c r="G1441" s="206" t="s">
        <v>88</v>
      </c>
      <c r="H1441" s="207" t="s">
        <v>2972</v>
      </c>
      <c r="I1441" s="156" t="s">
        <v>26</v>
      </c>
      <c r="J1441" s="204" t="s">
        <v>2593</v>
      </c>
      <c r="K1441" s="207" t="s">
        <v>1446</v>
      </c>
    </row>
    <row r="1442" spans="1:11" ht="33.75">
      <c r="A1442" s="204">
        <v>1440</v>
      </c>
      <c r="B1442" s="208">
        <v>45917</v>
      </c>
      <c r="C1442" s="267" t="s">
        <v>831</v>
      </c>
      <c r="D1442" s="204">
        <v>2025</v>
      </c>
      <c r="E1442" s="209" t="s">
        <v>1431</v>
      </c>
      <c r="F1442" s="209" t="s">
        <v>2591</v>
      </c>
      <c r="G1442" s="210" t="s">
        <v>88</v>
      </c>
      <c r="H1442" s="218" t="s">
        <v>2973</v>
      </c>
      <c r="I1442" s="156" t="s">
        <v>26</v>
      </c>
      <c r="J1442" s="209" t="s">
        <v>2593</v>
      </c>
      <c r="K1442" s="211"/>
    </row>
    <row r="1443" spans="1:11" ht="84">
      <c r="A1443" s="204">
        <v>1441</v>
      </c>
      <c r="B1443" s="205">
        <v>45917</v>
      </c>
      <c r="C1443" s="267" t="s">
        <v>831</v>
      </c>
      <c r="D1443" s="204">
        <v>2025</v>
      </c>
      <c r="E1443" s="204" t="s">
        <v>1431</v>
      </c>
      <c r="F1443" s="204" t="s">
        <v>2591</v>
      </c>
      <c r="G1443" s="206" t="s">
        <v>88</v>
      </c>
      <c r="H1443" s="219" t="s">
        <v>2974</v>
      </c>
      <c r="I1443" s="156" t="s">
        <v>26</v>
      </c>
      <c r="J1443" s="204" t="s">
        <v>2593</v>
      </c>
      <c r="K1443" s="207" t="s">
        <v>1500</v>
      </c>
    </row>
    <row r="1444" spans="1:11" ht="84">
      <c r="A1444" s="204">
        <v>1442</v>
      </c>
      <c r="B1444" s="208">
        <v>45917</v>
      </c>
      <c r="C1444" s="267" t="s">
        <v>831</v>
      </c>
      <c r="D1444" s="204">
        <v>2025</v>
      </c>
      <c r="E1444" s="209" t="s">
        <v>1431</v>
      </c>
      <c r="F1444" s="209" t="s">
        <v>2591</v>
      </c>
      <c r="G1444" s="210" t="s">
        <v>88</v>
      </c>
      <c r="H1444" s="211" t="s">
        <v>2975</v>
      </c>
      <c r="I1444" s="156" t="s">
        <v>26</v>
      </c>
      <c r="J1444" s="209" t="s">
        <v>2593</v>
      </c>
      <c r="K1444" s="211" t="s">
        <v>1500</v>
      </c>
    </row>
    <row r="1445" spans="1:11" ht="16.5">
      <c r="A1445" s="204">
        <v>1443</v>
      </c>
      <c r="B1445" s="205">
        <v>45917</v>
      </c>
      <c r="C1445" s="267" t="s">
        <v>831</v>
      </c>
      <c r="D1445" s="204">
        <v>2025</v>
      </c>
      <c r="E1445" s="204" t="s">
        <v>1431</v>
      </c>
      <c r="F1445" s="204" t="s">
        <v>1566</v>
      </c>
      <c r="G1445" s="206" t="s">
        <v>88</v>
      </c>
      <c r="H1445" s="207" t="s">
        <v>2976</v>
      </c>
      <c r="I1445" s="156" t="s">
        <v>26</v>
      </c>
      <c r="J1445" s="204" t="s">
        <v>1588</v>
      </c>
      <c r="K1445" s="207"/>
    </row>
    <row r="1446" spans="1:11" ht="84">
      <c r="A1446" s="204">
        <v>1444</v>
      </c>
      <c r="B1446" s="208">
        <v>45917</v>
      </c>
      <c r="C1446" s="267" t="s">
        <v>831</v>
      </c>
      <c r="D1446" s="204">
        <v>2025</v>
      </c>
      <c r="E1446" s="209" t="s">
        <v>1431</v>
      </c>
      <c r="F1446" s="209" t="s">
        <v>1566</v>
      </c>
      <c r="G1446" s="210" t="s">
        <v>88</v>
      </c>
      <c r="H1446" s="211" t="s">
        <v>2977</v>
      </c>
      <c r="I1446" s="156" t="s">
        <v>26</v>
      </c>
      <c r="J1446" s="209" t="s">
        <v>1588</v>
      </c>
      <c r="K1446" s="211" t="s">
        <v>1500</v>
      </c>
    </row>
    <row r="1447" spans="1:11" ht="84">
      <c r="A1447" s="204">
        <v>1445</v>
      </c>
      <c r="B1447" s="205">
        <v>45917</v>
      </c>
      <c r="C1447" s="267" t="s">
        <v>831</v>
      </c>
      <c r="D1447" s="204">
        <v>2025</v>
      </c>
      <c r="E1447" s="204" t="s">
        <v>1431</v>
      </c>
      <c r="F1447" s="204" t="s">
        <v>1566</v>
      </c>
      <c r="G1447" s="206" t="s">
        <v>88</v>
      </c>
      <c r="H1447" s="207" t="s">
        <v>2978</v>
      </c>
      <c r="I1447" s="156" t="s">
        <v>26</v>
      </c>
      <c r="J1447" s="204" t="s">
        <v>1588</v>
      </c>
      <c r="K1447" s="207" t="s">
        <v>1500</v>
      </c>
    </row>
    <row r="1448" spans="1:11" ht="84">
      <c r="A1448" s="204">
        <v>1446</v>
      </c>
      <c r="B1448" s="208">
        <v>45917</v>
      </c>
      <c r="C1448" s="267" t="s">
        <v>831</v>
      </c>
      <c r="D1448" s="204">
        <v>2025</v>
      </c>
      <c r="E1448" s="209" t="s">
        <v>1431</v>
      </c>
      <c r="F1448" s="209" t="s">
        <v>1566</v>
      </c>
      <c r="G1448" s="210" t="s">
        <v>88</v>
      </c>
      <c r="H1448" s="211" t="s">
        <v>2979</v>
      </c>
      <c r="I1448" s="156" t="s">
        <v>26</v>
      </c>
      <c r="J1448" s="209" t="s">
        <v>1588</v>
      </c>
      <c r="K1448" s="211" t="s">
        <v>1500</v>
      </c>
    </row>
    <row r="1449" spans="1:11" ht="84">
      <c r="A1449" s="204">
        <v>1447</v>
      </c>
      <c r="B1449" s="205">
        <v>45917</v>
      </c>
      <c r="C1449" s="267" t="s">
        <v>831</v>
      </c>
      <c r="D1449" s="204">
        <v>2025</v>
      </c>
      <c r="E1449" s="204" t="s">
        <v>1431</v>
      </c>
      <c r="F1449" s="204" t="s">
        <v>1566</v>
      </c>
      <c r="G1449" s="206" t="s">
        <v>88</v>
      </c>
      <c r="H1449" s="207" t="s">
        <v>2980</v>
      </c>
      <c r="I1449" s="156" t="s">
        <v>26</v>
      </c>
      <c r="J1449" s="204" t="s">
        <v>1588</v>
      </c>
      <c r="K1449" s="207" t="s">
        <v>1500</v>
      </c>
    </row>
    <row r="1450" spans="1:11" ht="16.5">
      <c r="A1450" s="204">
        <v>1448</v>
      </c>
      <c r="B1450" s="208">
        <v>45918</v>
      </c>
      <c r="C1450" s="267" t="s">
        <v>831</v>
      </c>
      <c r="D1450" s="204">
        <v>2025</v>
      </c>
      <c r="E1450" s="209" t="s">
        <v>1431</v>
      </c>
      <c r="F1450" s="209" t="s">
        <v>2591</v>
      </c>
      <c r="G1450" s="210" t="s">
        <v>88</v>
      </c>
      <c r="H1450" s="211" t="s">
        <v>2981</v>
      </c>
      <c r="I1450" s="156" t="s">
        <v>26</v>
      </c>
      <c r="J1450" s="209" t="s">
        <v>2593</v>
      </c>
      <c r="K1450" s="211"/>
    </row>
    <row r="1451" spans="1:11" ht="66.75">
      <c r="A1451" s="204">
        <v>1449</v>
      </c>
      <c r="B1451" s="205">
        <v>45918</v>
      </c>
      <c r="C1451" s="267" t="s">
        <v>831</v>
      </c>
      <c r="D1451" s="204">
        <v>2025</v>
      </c>
      <c r="E1451" s="204" t="s">
        <v>1431</v>
      </c>
      <c r="F1451" s="204" t="s">
        <v>2591</v>
      </c>
      <c r="G1451" s="206" t="s">
        <v>88</v>
      </c>
      <c r="H1451" s="207" t="s">
        <v>2982</v>
      </c>
      <c r="I1451" s="156" t="s">
        <v>26</v>
      </c>
      <c r="J1451" s="204" t="s">
        <v>2593</v>
      </c>
      <c r="K1451" s="207"/>
    </row>
    <row r="1452" spans="1:11" ht="84">
      <c r="A1452" s="204">
        <v>1450</v>
      </c>
      <c r="B1452" s="208">
        <v>45918</v>
      </c>
      <c r="C1452" s="267" t="s">
        <v>831</v>
      </c>
      <c r="D1452" s="204">
        <v>2025</v>
      </c>
      <c r="E1452" s="209" t="s">
        <v>1431</v>
      </c>
      <c r="F1452" s="209" t="s">
        <v>2591</v>
      </c>
      <c r="G1452" s="210" t="s">
        <v>88</v>
      </c>
      <c r="H1452" s="211" t="s">
        <v>2983</v>
      </c>
      <c r="I1452" s="156" t="s">
        <v>26</v>
      </c>
      <c r="J1452" s="209" t="s">
        <v>2593</v>
      </c>
      <c r="K1452" s="211"/>
    </row>
    <row r="1453" spans="1:11" ht="66.75">
      <c r="A1453" s="204">
        <v>1451</v>
      </c>
      <c r="B1453" s="205">
        <v>45918</v>
      </c>
      <c r="C1453" s="267" t="s">
        <v>831</v>
      </c>
      <c r="D1453" s="204">
        <v>2025</v>
      </c>
      <c r="E1453" s="204" t="s">
        <v>1431</v>
      </c>
      <c r="F1453" s="204" t="s">
        <v>2591</v>
      </c>
      <c r="G1453" s="206" t="s">
        <v>88</v>
      </c>
      <c r="H1453" s="207" t="s">
        <v>2984</v>
      </c>
      <c r="I1453" s="156" t="s">
        <v>26</v>
      </c>
      <c r="J1453" s="204" t="s">
        <v>2593</v>
      </c>
      <c r="K1453" s="207"/>
    </row>
    <row r="1454" spans="1:11" ht="100.5">
      <c r="A1454" s="204">
        <v>1452</v>
      </c>
      <c r="B1454" s="208">
        <v>45919</v>
      </c>
      <c r="C1454" s="267" t="s">
        <v>831</v>
      </c>
      <c r="D1454" s="204">
        <v>2025</v>
      </c>
      <c r="E1454" s="209" t="s">
        <v>1431</v>
      </c>
      <c r="F1454" s="209" t="s">
        <v>1566</v>
      </c>
      <c r="G1454" s="210" t="s">
        <v>88</v>
      </c>
      <c r="H1454" s="211" t="s">
        <v>2985</v>
      </c>
      <c r="I1454" s="156" t="s">
        <v>26</v>
      </c>
      <c r="J1454" s="209" t="s">
        <v>1453</v>
      </c>
      <c r="K1454" s="211"/>
    </row>
    <row r="1455" spans="1:11" ht="100.5">
      <c r="A1455" s="204">
        <v>1453</v>
      </c>
      <c r="B1455" s="205">
        <v>45919</v>
      </c>
      <c r="C1455" s="267" t="s">
        <v>831</v>
      </c>
      <c r="D1455" s="204">
        <v>2025</v>
      </c>
      <c r="E1455" s="204" t="s">
        <v>1431</v>
      </c>
      <c r="F1455" s="204" t="s">
        <v>1506</v>
      </c>
      <c r="G1455" s="206" t="s">
        <v>88</v>
      </c>
      <c r="H1455" s="207" t="s">
        <v>2986</v>
      </c>
      <c r="I1455" s="156" t="s">
        <v>26</v>
      </c>
      <c r="J1455" s="204" t="s">
        <v>2321</v>
      </c>
      <c r="K1455" s="207"/>
    </row>
    <row r="1456" spans="1:11" ht="16.5">
      <c r="A1456" s="204">
        <v>1454</v>
      </c>
      <c r="B1456" s="208">
        <v>45919</v>
      </c>
      <c r="C1456" s="267" t="s">
        <v>831</v>
      </c>
      <c r="D1456" s="204">
        <v>2025</v>
      </c>
      <c r="E1456" s="209" t="s">
        <v>1431</v>
      </c>
      <c r="F1456" s="209" t="s">
        <v>21</v>
      </c>
      <c r="G1456" s="213" t="s">
        <v>821</v>
      </c>
      <c r="H1456" s="211" t="s">
        <v>2987</v>
      </c>
      <c r="I1456" s="156" t="s">
        <v>26</v>
      </c>
      <c r="J1456" s="209" t="s">
        <v>468</v>
      </c>
      <c r="K1456" s="211"/>
    </row>
    <row r="1457" spans="1:11" ht="50.25">
      <c r="A1457" s="204">
        <v>1455</v>
      </c>
      <c r="B1457" s="205">
        <v>45919</v>
      </c>
      <c r="C1457" s="267" t="s">
        <v>831</v>
      </c>
      <c r="D1457" s="204">
        <v>2025</v>
      </c>
      <c r="E1457" s="204" t="s">
        <v>2224</v>
      </c>
      <c r="F1457" s="204" t="s">
        <v>21</v>
      </c>
      <c r="G1457" s="213" t="s">
        <v>821</v>
      </c>
      <c r="H1457" s="207" t="s">
        <v>2988</v>
      </c>
      <c r="I1457" s="156" t="s">
        <v>26</v>
      </c>
      <c r="J1457" s="204" t="s">
        <v>468</v>
      </c>
      <c r="K1457" s="207"/>
    </row>
    <row r="1458" spans="1:11" ht="66.75">
      <c r="A1458" s="204">
        <v>1456</v>
      </c>
      <c r="B1458" s="208">
        <v>45919</v>
      </c>
      <c r="C1458" s="267" t="s">
        <v>831</v>
      </c>
      <c r="D1458" s="204">
        <v>2025</v>
      </c>
      <c r="E1458" s="209" t="s">
        <v>1431</v>
      </c>
      <c r="F1458" s="209" t="s">
        <v>2591</v>
      </c>
      <c r="G1458" s="210" t="s">
        <v>88</v>
      </c>
      <c r="H1458" s="211" t="s">
        <v>2989</v>
      </c>
      <c r="I1458" s="156" t="s">
        <v>26</v>
      </c>
      <c r="J1458" s="209" t="s">
        <v>2593</v>
      </c>
      <c r="K1458" s="211"/>
    </row>
    <row r="1459" spans="1:11" ht="84">
      <c r="A1459" s="204">
        <v>1457</v>
      </c>
      <c r="B1459" s="205">
        <v>45919</v>
      </c>
      <c r="C1459" s="267" t="s">
        <v>831</v>
      </c>
      <c r="D1459" s="204">
        <v>2025</v>
      </c>
      <c r="E1459" s="204" t="s">
        <v>2224</v>
      </c>
      <c r="F1459" s="204" t="s">
        <v>2591</v>
      </c>
      <c r="G1459" s="206" t="s">
        <v>88</v>
      </c>
      <c r="H1459" s="207" t="s">
        <v>2990</v>
      </c>
      <c r="I1459" s="156" t="s">
        <v>26</v>
      </c>
      <c r="J1459" s="204" t="s">
        <v>2593</v>
      </c>
      <c r="K1459" s="207" t="s">
        <v>1605</v>
      </c>
    </row>
    <row r="1460" spans="1:11" ht="100.5">
      <c r="A1460" s="204">
        <v>1458</v>
      </c>
      <c r="B1460" s="208">
        <v>45919</v>
      </c>
      <c r="C1460" s="267" t="s">
        <v>831</v>
      </c>
      <c r="D1460" s="204">
        <v>2025</v>
      </c>
      <c r="E1460" s="209" t="s">
        <v>1431</v>
      </c>
      <c r="F1460" s="209" t="s">
        <v>1566</v>
      </c>
      <c r="G1460" s="210" t="s">
        <v>88</v>
      </c>
      <c r="H1460" s="211" t="s">
        <v>2991</v>
      </c>
      <c r="I1460" s="156" t="s">
        <v>26</v>
      </c>
      <c r="J1460" s="209" t="s">
        <v>1453</v>
      </c>
      <c r="K1460" s="211" t="s">
        <v>1454</v>
      </c>
    </row>
    <row r="1461" spans="1:11" ht="50.25">
      <c r="A1461" s="204">
        <v>1459</v>
      </c>
      <c r="B1461" s="205">
        <v>45922</v>
      </c>
      <c r="C1461" s="267" t="s">
        <v>831</v>
      </c>
      <c r="D1461" s="204">
        <v>2025</v>
      </c>
      <c r="E1461" s="204" t="s">
        <v>1431</v>
      </c>
      <c r="F1461" s="204" t="s">
        <v>574</v>
      </c>
      <c r="G1461" s="206" t="s">
        <v>88</v>
      </c>
      <c r="H1461" s="207" t="s">
        <v>2992</v>
      </c>
      <c r="I1461" s="156" t="s">
        <v>26</v>
      </c>
      <c r="J1461" s="204" t="s">
        <v>2993</v>
      </c>
      <c r="K1461" s="207"/>
    </row>
    <row r="1462" spans="1:11" ht="150.75">
      <c r="A1462" s="204">
        <v>1460</v>
      </c>
      <c r="B1462" s="208">
        <v>45922</v>
      </c>
      <c r="C1462" s="267" t="s">
        <v>831</v>
      </c>
      <c r="D1462" s="204">
        <v>2025</v>
      </c>
      <c r="E1462" s="209" t="s">
        <v>1431</v>
      </c>
      <c r="F1462" s="209" t="s">
        <v>21</v>
      </c>
      <c r="G1462" s="213" t="s">
        <v>821</v>
      </c>
      <c r="H1462" s="211" t="s">
        <v>2994</v>
      </c>
      <c r="I1462" s="156" t="s">
        <v>26</v>
      </c>
      <c r="J1462" s="209" t="s">
        <v>2993</v>
      </c>
      <c r="K1462" s="211" t="s">
        <v>1513</v>
      </c>
    </row>
    <row r="1463" spans="1:11" ht="150.75">
      <c r="A1463" s="204">
        <v>1461</v>
      </c>
      <c r="B1463" s="205">
        <v>45922</v>
      </c>
      <c r="C1463" s="267" t="s">
        <v>831</v>
      </c>
      <c r="D1463" s="204">
        <v>2025</v>
      </c>
      <c r="E1463" s="204" t="s">
        <v>1431</v>
      </c>
      <c r="F1463" s="204" t="s">
        <v>21</v>
      </c>
      <c r="G1463" s="213" t="s">
        <v>821</v>
      </c>
      <c r="H1463" s="207" t="s">
        <v>2995</v>
      </c>
      <c r="I1463" s="156" t="s">
        <v>26</v>
      </c>
      <c r="J1463" s="204" t="s">
        <v>2993</v>
      </c>
      <c r="K1463" s="207" t="s">
        <v>1513</v>
      </c>
    </row>
    <row r="1464" spans="1:11" ht="117">
      <c r="A1464" s="204">
        <v>1462</v>
      </c>
      <c r="B1464" s="208">
        <v>45922</v>
      </c>
      <c r="C1464" s="267" t="s">
        <v>831</v>
      </c>
      <c r="D1464" s="204">
        <v>2025</v>
      </c>
      <c r="E1464" s="209" t="s">
        <v>1431</v>
      </c>
      <c r="F1464" s="209" t="s">
        <v>2591</v>
      </c>
      <c r="G1464" s="210" t="s">
        <v>88</v>
      </c>
      <c r="H1464" s="211" t="s">
        <v>2996</v>
      </c>
      <c r="I1464" s="156" t="s">
        <v>26</v>
      </c>
      <c r="J1464" s="209" t="s">
        <v>2593</v>
      </c>
      <c r="K1464" s="211" t="s">
        <v>1510</v>
      </c>
    </row>
    <row r="1465" spans="1:11" ht="117">
      <c r="A1465" s="204">
        <v>1463</v>
      </c>
      <c r="B1465" s="205">
        <v>45922</v>
      </c>
      <c r="C1465" s="267" t="s">
        <v>831</v>
      </c>
      <c r="D1465" s="204">
        <v>2025</v>
      </c>
      <c r="E1465" s="204" t="s">
        <v>1431</v>
      </c>
      <c r="F1465" s="204" t="s">
        <v>2591</v>
      </c>
      <c r="G1465" s="206" t="s">
        <v>88</v>
      </c>
      <c r="H1465" s="219" t="s">
        <v>2997</v>
      </c>
      <c r="I1465" s="156" t="s">
        <v>26</v>
      </c>
      <c r="J1465" s="204" t="s">
        <v>2593</v>
      </c>
      <c r="K1465" s="207" t="s">
        <v>1510</v>
      </c>
    </row>
    <row r="1466" spans="1:11" ht="50.25">
      <c r="A1466" s="204">
        <v>1464</v>
      </c>
      <c r="B1466" s="208">
        <v>45922</v>
      </c>
      <c r="C1466" s="267" t="s">
        <v>831</v>
      </c>
      <c r="D1466" s="204">
        <v>2025</v>
      </c>
      <c r="E1466" s="209" t="s">
        <v>1431</v>
      </c>
      <c r="F1466" s="209" t="s">
        <v>2591</v>
      </c>
      <c r="G1466" s="210" t="s">
        <v>88</v>
      </c>
      <c r="H1466" s="218" t="s">
        <v>2998</v>
      </c>
      <c r="I1466" s="156" t="s">
        <v>26</v>
      </c>
      <c r="J1466" s="209" t="s">
        <v>2593</v>
      </c>
      <c r="K1466" s="211"/>
    </row>
    <row r="1467" spans="1:11" ht="84">
      <c r="A1467" s="204">
        <v>1465</v>
      </c>
      <c r="B1467" s="205">
        <v>45922</v>
      </c>
      <c r="C1467" s="267" t="s">
        <v>831</v>
      </c>
      <c r="D1467" s="204">
        <v>2025</v>
      </c>
      <c r="E1467" s="204" t="s">
        <v>1431</v>
      </c>
      <c r="F1467" s="204" t="s">
        <v>2591</v>
      </c>
      <c r="G1467" s="206" t="s">
        <v>88</v>
      </c>
      <c r="H1467" s="219" t="s">
        <v>2999</v>
      </c>
      <c r="I1467" s="156" t="s">
        <v>26</v>
      </c>
      <c r="J1467" s="204" t="s">
        <v>2593</v>
      </c>
      <c r="K1467" s="207"/>
    </row>
    <row r="1468" spans="1:11" ht="84">
      <c r="A1468" s="204">
        <v>1466</v>
      </c>
      <c r="B1468" s="208">
        <v>45922</v>
      </c>
      <c r="C1468" s="267" t="s">
        <v>831</v>
      </c>
      <c r="D1468" s="204">
        <v>2025</v>
      </c>
      <c r="E1468" s="209" t="s">
        <v>1431</v>
      </c>
      <c r="F1468" s="209" t="s">
        <v>2591</v>
      </c>
      <c r="G1468" s="210" t="s">
        <v>88</v>
      </c>
      <c r="H1468" s="218" t="s">
        <v>3000</v>
      </c>
      <c r="I1468" s="156" t="s">
        <v>26</v>
      </c>
      <c r="J1468" s="209" t="s">
        <v>2593</v>
      </c>
      <c r="K1468" s="211" t="s">
        <v>1500</v>
      </c>
    </row>
    <row r="1469" spans="1:11" ht="66.75">
      <c r="A1469" s="204">
        <v>1467</v>
      </c>
      <c r="B1469" s="205">
        <v>45922</v>
      </c>
      <c r="C1469" s="267" t="s">
        <v>831</v>
      </c>
      <c r="D1469" s="204">
        <v>2025</v>
      </c>
      <c r="E1469" s="204" t="s">
        <v>1431</v>
      </c>
      <c r="F1469" s="204" t="s">
        <v>2591</v>
      </c>
      <c r="G1469" s="206" t="s">
        <v>88</v>
      </c>
      <c r="H1469" s="219" t="s">
        <v>3001</v>
      </c>
      <c r="I1469" s="156" t="s">
        <v>26</v>
      </c>
      <c r="J1469" s="204" t="s">
        <v>2593</v>
      </c>
      <c r="K1469" s="207"/>
    </row>
    <row r="1470" spans="1:11" ht="50.25">
      <c r="A1470" s="204">
        <v>1468</v>
      </c>
      <c r="B1470" s="208">
        <v>45922</v>
      </c>
      <c r="C1470" s="267" t="s">
        <v>831</v>
      </c>
      <c r="D1470" s="204">
        <v>2025</v>
      </c>
      <c r="E1470" s="209" t="s">
        <v>1431</v>
      </c>
      <c r="F1470" s="209" t="s">
        <v>2591</v>
      </c>
      <c r="G1470" s="210" t="s">
        <v>88</v>
      </c>
      <c r="H1470" s="218" t="s">
        <v>3002</v>
      </c>
      <c r="I1470" s="156" t="s">
        <v>26</v>
      </c>
      <c r="J1470" s="209" t="s">
        <v>2593</v>
      </c>
      <c r="K1470" s="211"/>
    </row>
    <row r="1471" spans="1:11" ht="100.5">
      <c r="A1471" s="204">
        <v>1469</v>
      </c>
      <c r="B1471" s="205">
        <v>45922</v>
      </c>
      <c r="C1471" s="267" t="s">
        <v>831</v>
      </c>
      <c r="D1471" s="204">
        <v>2025</v>
      </c>
      <c r="E1471" s="204" t="s">
        <v>1431</v>
      </c>
      <c r="F1471" s="204" t="s">
        <v>1566</v>
      </c>
      <c r="G1471" s="206" t="s">
        <v>88</v>
      </c>
      <c r="H1471" s="207" t="s">
        <v>3003</v>
      </c>
      <c r="I1471" s="156" t="s">
        <v>26</v>
      </c>
      <c r="J1471" s="204" t="s">
        <v>1588</v>
      </c>
      <c r="K1471" s="207" t="s">
        <v>1478</v>
      </c>
    </row>
    <row r="1472" spans="1:11" ht="150.75">
      <c r="A1472" s="204">
        <v>1470</v>
      </c>
      <c r="B1472" s="208">
        <v>45922</v>
      </c>
      <c r="C1472" s="267" t="s">
        <v>831</v>
      </c>
      <c r="D1472" s="204">
        <v>2025</v>
      </c>
      <c r="E1472" s="209" t="s">
        <v>1431</v>
      </c>
      <c r="F1472" s="209" t="s">
        <v>1566</v>
      </c>
      <c r="G1472" s="210" t="s">
        <v>88</v>
      </c>
      <c r="H1472" s="211" t="s">
        <v>3004</v>
      </c>
      <c r="I1472" s="156" t="s">
        <v>26</v>
      </c>
      <c r="J1472" s="209" t="s">
        <v>1588</v>
      </c>
      <c r="K1472" s="211" t="s">
        <v>1451</v>
      </c>
    </row>
    <row r="1473" spans="1:11" ht="117">
      <c r="A1473" s="204">
        <v>1471</v>
      </c>
      <c r="B1473" s="205">
        <v>45922</v>
      </c>
      <c r="C1473" s="267" t="s">
        <v>831</v>
      </c>
      <c r="D1473" s="204">
        <v>2025</v>
      </c>
      <c r="E1473" s="204" t="s">
        <v>1431</v>
      </c>
      <c r="F1473" s="204" t="s">
        <v>1566</v>
      </c>
      <c r="G1473" s="206" t="s">
        <v>88</v>
      </c>
      <c r="H1473" s="207" t="s">
        <v>3005</v>
      </c>
      <c r="I1473" s="156" t="s">
        <v>26</v>
      </c>
      <c r="J1473" s="204" t="s">
        <v>1588</v>
      </c>
      <c r="K1473" s="207" t="s">
        <v>1451</v>
      </c>
    </row>
    <row r="1474" spans="1:11" ht="117">
      <c r="A1474" s="204">
        <v>1472</v>
      </c>
      <c r="B1474" s="208">
        <v>45922</v>
      </c>
      <c r="C1474" s="267" t="s">
        <v>831</v>
      </c>
      <c r="D1474" s="204">
        <v>2025</v>
      </c>
      <c r="E1474" s="209" t="s">
        <v>1431</v>
      </c>
      <c r="F1474" s="209" t="s">
        <v>1566</v>
      </c>
      <c r="G1474" s="210" t="s">
        <v>88</v>
      </c>
      <c r="H1474" s="211" t="s">
        <v>3006</v>
      </c>
      <c r="I1474" s="156" t="s">
        <v>26</v>
      </c>
      <c r="J1474" s="209" t="s">
        <v>1588</v>
      </c>
      <c r="K1474" s="211" t="s">
        <v>1451</v>
      </c>
    </row>
    <row r="1475" spans="1:11" ht="150.75">
      <c r="A1475" s="204">
        <v>1473</v>
      </c>
      <c r="B1475" s="205">
        <v>45922</v>
      </c>
      <c r="C1475" s="267" t="s">
        <v>831</v>
      </c>
      <c r="D1475" s="204">
        <v>2025</v>
      </c>
      <c r="E1475" s="204" t="s">
        <v>1431</v>
      </c>
      <c r="F1475" s="204" t="s">
        <v>1566</v>
      </c>
      <c r="G1475" s="206" t="s">
        <v>88</v>
      </c>
      <c r="H1475" s="207" t="s">
        <v>3007</v>
      </c>
      <c r="I1475" s="156" t="s">
        <v>26</v>
      </c>
      <c r="J1475" s="204" t="s">
        <v>1453</v>
      </c>
      <c r="K1475" s="207" t="s">
        <v>1559</v>
      </c>
    </row>
    <row r="1476" spans="1:11" ht="33.75">
      <c r="A1476" s="204">
        <v>1474</v>
      </c>
      <c r="B1476" s="208">
        <v>45922</v>
      </c>
      <c r="C1476" s="267" t="s">
        <v>831</v>
      </c>
      <c r="D1476" s="204">
        <v>2025</v>
      </c>
      <c r="E1476" s="209" t="s">
        <v>1431</v>
      </c>
      <c r="F1476" s="209" t="s">
        <v>21</v>
      </c>
      <c r="G1476" s="213" t="s">
        <v>821</v>
      </c>
      <c r="H1476" s="211" t="s">
        <v>3008</v>
      </c>
      <c r="I1476" s="156" t="s">
        <v>26</v>
      </c>
      <c r="J1476" s="209" t="s">
        <v>468</v>
      </c>
      <c r="K1476" s="211"/>
    </row>
    <row r="1477" spans="1:11" ht="33.75">
      <c r="A1477" s="204">
        <v>1475</v>
      </c>
      <c r="B1477" s="205">
        <v>45922</v>
      </c>
      <c r="C1477" s="267" t="s">
        <v>831</v>
      </c>
      <c r="D1477" s="204">
        <v>2025</v>
      </c>
      <c r="E1477" s="204" t="s">
        <v>1431</v>
      </c>
      <c r="F1477" s="204" t="s">
        <v>216</v>
      </c>
      <c r="G1477" s="213" t="s">
        <v>821</v>
      </c>
      <c r="H1477" s="207" t="s">
        <v>3009</v>
      </c>
      <c r="I1477" s="156" t="s">
        <v>26</v>
      </c>
      <c r="J1477" s="204" t="s">
        <v>492</v>
      </c>
      <c r="K1477" s="207"/>
    </row>
    <row r="1478" spans="1:11" ht="150.75">
      <c r="A1478" s="204">
        <v>1476</v>
      </c>
      <c r="B1478" s="208">
        <v>45923</v>
      </c>
      <c r="C1478" s="267" t="s">
        <v>831</v>
      </c>
      <c r="D1478" s="204">
        <v>2025</v>
      </c>
      <c r="E1478" s="209" t="s">
        <v>1431</v>
      </c>
      <c r="F1478" s="209" t="s">
        <v>21</v>
      </c>
      <c r="G1478" s="213" t="s">
        <v>821</v>
      </c>
      <c r="H1478" s="211" t="s">
        <v>3010</v>
      </c>
      <c r="I1478" s="156" t="s">
        <v>26</v>
      </c>
      <c r="J1478" s="209" t="s">
        <v>468</v>
      </c>
      <c r="K1478" s="211" t="s">
        <v>1513</v>
      </c>
    </row>
    <row r="1479" spans="1:11" ht="50.25">
      <c r="A1479" s="204">
        <v>1477</v>
      </c>
      <c r="B1479" s="205">
        <v>45923</v>
      </c>
      <c r="C1479" s="267" t="s">
        <v>831</v>
      </c>
      <c r="D1479" s="204">
        <v>2025</v>
      </c>
      <c r="E1479" s="204" t="s">
        <v>1431</v>
      </c>
      <c r="F1479" s="204" t="s">
        <v>3011</v>
      </c>
      <c r="G1479" s="214" t="s">
        <v>859</v>
      </c>
      <c r="H1479" s="207" t="s">
        <v>3012</v>
      </c>
      <c r="I1479" s="156" t="s">
        <v>26</v>
      </c>
      <c r="J1479" s="204" t="s">
        <v>2599</v>
      </c>
      <c r="K1479" s="207"/>
    </row>
    <row r="1480" spans="1:11" ht="50.25">
      <c r="A1480" s="204">
        <v>1478</v>
      </c>
      <c r="B1480" s="208">
        <v>45923</v>
      </c>
      <c r="C1480" s="267" t="s">
        <v>831</v>
      </c>
      <c r="D1480" s="204">
        <v>2025</v>
      </c>
      <c r="E1480" s="209" t="s">
        <v>1431</v>
      </c>
      <c r="F1480" s="209" t="s">
        <v>216</v>
      </c>
      <c r="G1480" s="213" t="s">
        <v>821</v>
      </c>
      <c r="H1480" s="211" t="s">
        <v>3013</v>
      </c>
      <c r="I1480" s="156" t="s">
        <v>26</v>
      </c>
      <c r="J1480" s="209" t="s">
        <v>492</v>
      </c>
      <c r="K1480" s="211"/>
    </row>
    <row r="1481" spans="1:11" ht="100.5">
      <c r="A1481" s="204">
        <v>1479</v>
      </c>
      <c r="B1481" s="205">
        <v>45923</v>
      </c>
      <c r="C1481" s="267" t="s">
        <v>831</v>
      </c>
      <c r="D1481" s="204">
        <v>2025</v>
      </c>
      <c r="E1481" s="204" t="s">
        <v>1431</v>
      </c>
      <c r="F1481" s="204" t="s">
        <v>2591</v>
      </c>
      <c r="G1481" s="206" t="s">
        <v>88</v>
      </c>
      <c r="H1481" s="207" t="s">
        <v>3014</v>
      </c>
      <c r="I1481" s="156" t="s">
        <v>26</v>
      </c>
      <c r="J1481" s="204" t="s">
        <v>2593</v>
      </c>
      <c r="K1481" s="207" t="s">
        <v>1472</v>
      </c>
    </row>
    <row r="1482" spans="1:11" ht="50.25">
      <c r="A1482" s="204">
        <v>1480</v>
      </c>
      <c r="B1482" s="208">
        <v>45923</v>
      </c>
      <c r="C1482" s="267" t="s">
        <v>831</v>
      </c>
      <c r="D1482" s="204">
        <v>2025</v>
      </c>
      <c r="E1482" s="209" t="s">
        <v>1431</v>
      </c>
      <c r="F1482" s="209" t="s">
        <v>2591</v>
      </c>
      <c r="G1482" s="210" t="s">
        <v>88</v>
      </c>
      <c r="H1482" s="211" t="s">
        <v>3015</v>
      </c>
      <c r="I1482" s="156" t="s">
        <v>26</v>
      </c>
      <c r="J1482" s="209" t="s">
        <v>2593</v>
      </c>
      <c r="K1482" s="211"/>
    </row>
    <row r="1483" spans="1:11" ht="50.25">
      <c r="A1483" s="204">
        <v>1481</v>
      </c>
      <c r="B1483" s="205">
        <v>45923</v>
      </c>
      <c r="C1483" s="267" t="s">
        <v>831</v>
      </c>
      <c r="D1483" s="204">
        <v>2025</v>
      </c>
      <c r="E1483" s="204" t="s">
        <v>1431</v>
      </c>
      <c r="F1483" s="204" t="s">
        <v>2591</v>
      </c>
      <c r="G1483" s="206" t="s">
        <v>88</v>
      </c>
      <c r="H1483" s="207" t="s">
        <v>3016</v>
      </c>
      <c r="I1483" s="156" t="s">
        <v>26</v>
      </c>
      <c r="J1483" s="204" t="s">
        <v>2593</v>
      </c>
      <c r="K1483" s="207"/>
    </row>
    <row r="1484" spans="1:11" ht="100.5">
      <c r="A1484" s="204">
        <v>1482</v>
      </c>
      <c r="B1484" s="208">
        <v>45923</v>
      </c>
      <c r="C1484" s="267" t="s">
        <v>831</v>
      </c>
      <c r="D1484" s="204">
        <v>2025</v>
      </c>
      <c r="E1484" s="209" t="s">
        <v>1431</v>
      </c>
      <c r="F1484" s="209" t="s">
        <v>1566</v>
      </c>
      <c r="G1484" s="210" t="s">
        <v>88</v>
      </c>
      <c r="H1484" s="211" t="s">
        <v>3017</v>
      </c>
      <c r="I1484" s="156" t="s">
        <v>26</v>
      </c>
      <c r="J1484" s="209" t="s">
        <v>1453</v>
      </c>
      <c r="K1484" s="211" t="s">
        <v>1478</v>
      </c>
    </row>
    <row r="1485" spans="1:11" ht="84">
      <c r="A1485" s="204">
        <v>1483</v>
      </c>
      <c r="B1485" s="205">
        <v>45923</v>
      </c>
      <c r="C1485" s="267" t="s">
        <v>831</v>
      </c>
      <c r="D1485" s="204">
        <v>2025</v>
      </c>
      <c r="E1485" s="204" t="s">
        <v>1431</v>
      </c>
      <c r="F1485" s="204" t="s">
        <v>1566</v>
      </c>
      <c r="G1485" s="206" t="s">
        <v>88</v>
      </c>
      <c r="H1485" s="207" t="s">
        <v>3018</v>
      </c>
      <c r="I1485" s="156" t="s">
        <v>26</v>
      </c>
      <c r="J1485" s="204" t="s">
        <v>1453</v>
      </c>
      <c r="K1485" s="207" t="s">
        <v>1500</v>
      </c>
    </row>
    <row r="1486" spans="1:11" ht="150.75">
      <c r="A1486" s="204">
        <v>1484</v>
      </c>
      <c r="B1486" s="208">
        <v>45923</v>
      </c>
      <c r="C1486" s="267" t="s">
        <v>831</v>
      </c>
      <c r="D1486" s="204">
        <v>2025</v>
      </c>
      <c r="E1486" s="209" t="s">
        <v>1431</v>
      </c>
      <c r="F1486" s="209" t="s">
        <v>21</v>
      </c>
      <c r="G1486" s="213" t="s">
        <v>821</v>
      </c>
      <c r="H1486" s="211" t="s">
        <v>3019</v>
      </c>
      <c r="I1486" s="156" t="s">
        <v>26</v>
      </c>
      <c r="J1486" s="209" t="s">
        <v>468</v>
      </c>
      <c r="K1486" s="211" t="s">
        <v>1513</v>
      </c>
    </row>
    <row r="1487" spans="1:11" ht="84">
      <c r="A1487" s="204">
        <v>1485</v>
      </c>
      <c r="B1487" s="205">
        <v>45923</v>
      </c>
      <c r="C1487" s="267" t="s">
        <v>831</v>
      </c>
      <c r="D1487" s="204">
        <v>2025</v>
      </c>
      <c r="E1487" s="204" t="s">
        <v>1431</v>
      </c>
      <c r="F1487" s="204" t="s">
        <v>1566</v>
      </c>
      <c r="G1487" s="206" t="s">
        <v>88</v>
      </c>
      <c r="H1487" s="207" t="s">
        <v>3020</v>
      </c>
      <c r="I1487" s="156" t="s">
        <v>26</v>
      </c>
      <c r="J1487" s="204" t="s">
        <v>1453</v>
      </c>
      <c r="K1487" s="207" t="s">
        <v>1500</v>
      </c>
    </row>
    <row r="1488" spans="1:11" ht="100.5">
      <c r="A1488" s="204">
        <v>1486</v>
      </c>
      <c r="B1488" s="208">
        <v>45924</v>
      </c>
      <c r="C1488" s="267" t="s">
        <v>831</v>
      </c>
      <c r="D1488" s="204">
        <v>2025</v>
      </c>
      <c r="E1488" s="209" t="s">
        <v>1431</v>
      </c>
      <c r="F1488" s="209" t="s">
        <v>2244</v>
      </c>
      <c r="G1488" s="217" t="s">
        <v>859</v>
      </c>
      <c r="H1488" s="211" t="s">
        <v>3021</v>
      </c>
      <c r="I1488" s="156" t="s">
        <v>26</v>
      </c>
      <c r="J1488" s="209" t="s">
        <v>2576</v>
      </c>
      <c r="K1488" s="211" t="s">
        <v>1476</v>
      </c>
    </row>
    <row r="1489" spans="1:11" ht="84">
      <c r="A1489" s="204">
        <v>1487</v>
      </c>
      <c r="B1489" s="205">
        <v>45924</v>
      </c>
      <c r="C1489" s="267" t="s">
        <v>831</v>
      </c>
      <c r="D1489" s="204">
        <v>2025</v>
      </c>
      <c r="E1489" s="204" t="s">
        <v>1431</v>
      </c>
      <c r="F1489" s="204" t="s">
        <v>1506</v>
      </c>
      <c r="G1489" s="206" t="s">
        <v>88</v>
      </c>
      <c r="H1489" s="207" t="s">
        <v>3022</v>
      </c>
      <c r="I1489" s="156" t="s">
        <v>26</v>
      </c>
      <c r="J1489" s="204" t="s">
        <v>1904</v>
      </c>
      <c r="K1489" s="207" t="s">
        <v>1500</v>
      </c>
    </row>
    <row r="1490" spans="1:11" ht="33.75">
      <c r="A1490" s="204">
        <v>1488</v>
      </c>
      <c r="B1490" s="208">
        <v>45924</v>
      </c>
      <c r="C1490" s="267" t="s">
        <v>831</v>
      </c>
      <c r="D1490" s="204">
        <v>2025</v>
      </c>
      <c r="E1490" s="209" t="s">
        <v>1431</v>
      </c>
      <c r="F1490" s="209" t="s">
        <v>216</v>
      </c>
      <c r="G1490" s="213" t="s">
        <v>821</v>
      </c>
      <c r="H1490" s="211" t="s">
        <v>3023</v>
      </c>
      <c r="I1490" s="156" t="s">
        <v>26</v>
      </c>
      <c r="J1490" s="209" t="s">
        <v>492</v>
      </c>
      <c r="K1490" s="211"/>
    </row>
    <row r="1491" spans="1:11" ht="33.75">
      <c r="A1491" s="204">
        <v>1489</v>
      </c>
      <c r="B1491" s="205">
        <v>45924</v>
      </c>
      <c r="C1491" s="267" t="s">
        <v>831</v>
      </c>
      <c r="D1491" s="204">
        <v>2025</v>
      </c>
      <c r="E1491" s="204" t="s">
        <v>1431</v>
      </c>
      <c r="F1491" s="204" t="s">
        <v>21</v>
      </c>
      <c r="G1491" s="213" t="s">
        <v>821</v>
      </c>
      <c r="H1491" s="207" t="s">
        <v>3024</v>
      </c>
      <c r="I1491" s="156" t="s">
        <v>26</v>
      </c>
      <c r="J1491" s="204" t="s">
        <v>468</v>
      </c>
      <c r="K1491" s="207"/>
    </row>
    <row r="1492" spans="1:11" ht="117">
      <c r="A1492" s="204">
        <v>1490</v>
      </c>
      <c r="B1492" s="208">
        <v>45924</v>
      </c>
      <c r="C1492" s="267" t="s">
        <v>831</v>
      </c>
      <c r="D1492" s="204">
        <v>2025</v>
      </c>
      <c r="E1492" s="209" t="s">
        <v>1431</v>
      </c>
      <c r="F1492" s="209" t="s">
        <v>1508</v>
      </c>
      <c r="G1492" s="210" t="s">
        <v>88</v>
      </c>
      <c r="H1492" s="211" t="s">
        <v>3025</v>
      </c>
      <c r="I1492" s="156" t="s">
        <v>26</v>
      </c>
      <c r="J1492" s="209" t="s">
        <v>2953</v>
      </c>
      <c r="K1492" s="211" t="s">
        <v>1510</v>
      </c>
    </row>
    <row r="1493" spans="1:11" ht="100.5">
      <c r="A1493" s="204">
        <v>1491</v>
      </c>
      <c r="B1493" s="205">
        <v>45924</v>
      </c>
      <c r="C1493" s="267" t="s">
        <v>831</v>
      </c>
      <c r="D1493" s="204">
        <v>2025</v>
      </c>
      <c r="E1493" s="204" t="s">
        <v>1431</v>
      </c>
      <c r="F1493" s="204" t="s">
        <v>1566</v>
      </c>
      <c r="G1493" s="206" t="s">
        <v>88</v>
      </c>
      <c r="H1493" s="207" t="s">
        <v>3026</v>
      </c>
      <c r="I1493" s="156" t="s">
        <v>26</v>
      </c>
      <c r="J1493" s="204" t="s">
        <v>2786</v>
      </c>
      <c r="K1493" s="207" t="s">
        <v>1478</v>
      </c>
    </row>
    <row r="1494" spans="1:11" ht="100.5">
      <c r="A1494" s="204">
        <v>1492</v>
      </c>
      <c r="B1494" s="208">
        <v>45924</v>
      </c>
      <c r="C1494" s="267" t="s">
        <v>831</v>
      </c>
      <c r="D1494" s="204">
        <v>2025</v>
      </c>
      <c r="E1494" s="209" t="s">
        <v>1431</v>
      </c>
      <c r="F1494" s="209" t="s">
        <v>1566</v>
      </c>
      <c r="G1494" s="210" t="s">
        <v>88</v>
      </c>
      <c r="H1494" s="211" t="s">
        <v>3027</v>
      </c>
      <c r="I1494" s="156" t="s">
        <v>26</v>
      </c>
      <c r="J1494" s="209" t="s">
        <v>2786</v>
      </c>
      <c r="K1494" s="211" t="s">
        <v>1478</v>
      </c>
    </row>
    <row r="1495" spans="1:11" ht="66.75">
      <c r="A1495" s="204">
        <v>1493</v>
      </c>
      <c r="B1495" s="205">
        <v>45924</v>
      </c>
      <c r="C1495" s="267" t="s">
        <v>831</v>
      </c>
      <c r="D1495" s="204">
        <v>2025</v>
      </c>
      <c r="E1495" s="204" t="s">
        <v>1431</v>
      </c>
      <c r="F1495" s="204" t="s">
        <v>1566</v>
      </c>
      <c r="G1495" s="206" t="s">
        <v>88</v>
      </c>
      <c r="H1495" s="207" t="s">
        <v>3028</v>
      </c>
      <c r="I1495" s="156" t="s">
        <v>26</v>
      </c>
      <c r="J1495" s="204" t="s">
        <v>2786</v>
      </c>
      <c r="K1495" s="207" t="s">
        <v>1548</v>
      </c>
    </row>
    <row r="1496" spans="1:11" ht="16.5">
      <c r="A1496" s="204">
        <v>1494</v>
      </c>
      <c r="B1496" s="208">
        <v>45924</v>
      </c>
      <c r="C1496" s="267" t="s">
        <v>831</v>
      </c>
      <c r="D1496" s="204">
        <v>2025</v>
      </c>
      <c r="E1496" s="209" t="s">
        <v>1431</v>
      </c>
      <c r="F1496" s="209" t="s">
        <v>1566</v>
      </c>
      <c r="G1496" s="210" t="s">
        <v>88</v>
      </c>
      <c r="H1496" s="211" t="s">
        <v>3029</v>
      </c>
      <c r="I1496" s="156" t="s">
        <v>26</v>
      </c>
      <c r="J1496" s="209" t="s">
        <v>2786</v>
      </c>
      <c r="K1496" s="211"/>
    </row>
    <row r="1497" spans="1:11" ht="117">
      <c r="A1497" s="204">
        <v>1495</v>
      </c>
      <c r="B1497" s="205">
        <v>45924</v>
      </c>
      <c r="C1497" s="267" t="s">
        <v>831</v>
      </c>
      <c r="D1497" s="204">
        <v>2025</v>
      </c>
      <c r="E1497" s="204" t="s">
        <v>1431</v>
      </c>
      <c r="F1497" s="204" t="s">
        <v>1566</v>
      </c>
      <c r="G1497" s="206" t="s">
        <v>88</v>
      </c>
      <c r="H1497" s="207" t="s">
        <v>3030</v>
      </c>
      <c r="I1497" s="156" t="s">
        <v>26</v>
      </c>
      <c r="J1497" s="204" t="s">
        <v>2786</v>
      </c>
      <c r="K1497" s="207" t="s">
        <v>1451</v>
      </c>
    </row>
    <row r="1498" spans="1:11" ht="33.75">
      <c r="A1498" s="204">
        <v>1496</v>
      </c>
      <c r="B1498" s="208">
        <v>45924</v>
      </c>
      <c r="C1498" s="267" t="s">
        <v>831</v>
      </c>
      <c r="D1498" s="204">
        <v>2025</v>
      </c>
      <c r="E1498" s="209" t="s">
        <v>1431</v>
      </c>
      <c r="F1498" s="209" t="s">
        <v>1566</v>
      </c>
      <c r="G1498" s="210" t="s">
        <v>88</v>
      </c>
      <c r="H1498" s="211" t="s">
        <v>3031</v>
      </c>
      <c r="I1498" s="156" t="s">
        <v>26</v>
      </c>
      <c r="J1498" s="209" t="s">
        <v>2786</v>
      </c>
      <c r="K1498" s="211"/>
    </row>
    <row r="1499" spans="1:11" ht="117">
      <c r="A1499" s="204">
        <v>1497</v>
      </c>
      <c r="B1499" s="205">
        <v>45924</v>
      </c>
      <c r="C1499" s="267" t="s">
        <v>831</v>
      </c>
      <c r="D1499" s="204">
        <v>2025</v>
      </c>
      <c r="E1499" s="204" t="s">
        <v>1431</v>
      </c>
      <c r="F1499" s="204" t="s">
        <v>1566</v>
      </c>
      <c r="G1499" s="206" t="s">
        <v>88</v>
      </c>
      <c r="H1499" s="207" t="s">
        <v>3030</v>
      </c>
      <c r="I1499" s="156" t="s">
        <v>26</v>
      </c>
      <c r="J1499" s="204" t="s">
        <v>2786</v>
      </c>
      <c r="K1499" s="207" t="s">
        <v>1451</v>
      </c>
    </row>
    <row r="1500" spans="1:11" ht="50.25">
      <c r="A1500" s="204">
        <v>1498</v>
      </c>
      <c r="B1500" s="208">
        <v>45924</v>
      </c>
      <c r="C1500" s="267" t="s">
        <v>831</v>
      </c>
      <c r="D1500" s="204">
        <v>2025</v>
      </c>
      <c r="E1500" s="209" t="s">
        <v>2224</v>
      </c>
      <c r="F1500" s="209" t="s">
        <v>216</v>
      </c>
      <c r="G1500" s="213" t="s">
        <v>821</v>
      </c>
      <c r="H1500" s="211" t="s">
        <v>3032</v>
      </c>
      <c r="I1500" s="156" t="s">
        <v>26</v>
      </c>
      <c r="J1500" s="209" t="s">
        <v>492</v>
      </c>
      <c r="K1500" s="211"/>
    </row>
    <row r="1501" spans="1:11" ht="16.5">
      <c r="A1501" s="204">
        <v>1499</v>
      </c>
      <c r="B1501" s="205">
        <v>45924</v>
      </c>
      <c r="C1501" s="267" t="s">
        <v>831</v>
      </c>
      <c r="D1501" s="204">
        <v>2025</v>
      </c>
      <c r="E1501" s="204" t="s">
        <v>2224</v>
      </c>
      <c r="F1501" s="204" t="s">
        <v>21</v>
      </c>
      <c r="G1501" s="213" t="s">
        <v>821</v>
      </c>
      <c r="H1501" s="207" t="s">
        <v>3033</v>
      </c>
      <c r="I1501" s="156" t="s">
        <v>26</v>
      </c>
      <c r="J1501" s="204" t="s">
        <v>468</v>
      </c>
      <c r="K1501" s="207"/>
    </row>
    <row r="1502" spans="1:11" ht="117">
      <c r="A1502" s="204">
        <v>1500</v>
      </c>
      <c r="B1502" s="208">
        <v>45924</v>
      </c>
      <c r="C1502" s="267" t="s">
        <v>831</v>
      </c>
      <c r="D1502" s="204">
        <v>2025</v>
      </c>
      <c r="E1502" s="209" t="s">
        <v>2224</v>
      </c>
      <c r="F1502" s="209" t="s">
        <v>21</v>
      </c>
      <c r="G1502" s="213" t="s">
        <v>821</v>
      </c>
      <c r="H1502" s="211" t="s">
        <v>3034</v>
      </c>
      <c r="I1502" s="156" t="s">
        <v>26</v>
      </c>
      <c r="J1502" s="209" t="s">
        <v>149</v>
      </c>
      <c r="K1502" s="211"/>
    </row>
    <row r="1503" spans="1:11" ht="84">
      <c r="A1503" s="204">
        <v>1501</v>
      </c>
      <c r="B1503" s="205">
        <v>45925</v>
      </c>
      <c r="C1503" s="267" t="s">
        <v>831</v>
      </c>
      <c r="D1503" s="204">
        <v>2025</v>
      </c>
      <c r="E1503" s="204" t="s">
        <v>1431</v>
      </c>
      <c r="F1503" s="204" t="s">
        <v>2591</v>
      </c>
      <c r="G1503" s="206" t="s">
        <v>88</v>
      </c>
      <c r="H1503" s="207" t="s">
        <v>3035</v>
      </c>
      <c r="I1503" s="156" t="s">
        <v>26</v>
      </c>
      <c r="J1503" s="204" t="s">
        <v>2593</v>
      </c>
      <c r="K1503" s="207" t="s">
        <v>1500</v>
      </c>
    </row>
    <row r="1504" spans="1:11" ht="84">
      <c r="A1504" s="204">
        <v>1502</v>
      </c>
      <c r="B1504" s="208">
        <v>45925</v>
      </c>
      <c r="C1504" s="267" t="s">
        <v>831</v>
      </c>
      <c r="D1504" s="204">
        <v>2025</v>
      </c>
      <c r="E1504" s="209" t="s">
        <v>1431</v>
      </c>
      <c r="F1504" s="209" t="s">
        <v>2591</v>
      </c>
      <c r="G1504" s="210" t="s">
        <v>88</v>
      </c>
      <c r="H1504" s="218" t="s">
        <v>3036</v>
      </c>
      <c r="I1504" s="156" t="s">
        <v>26</v>
      </c>
      <c r="J1504" s="209" t="s">
        <v>2593</v>
      </c>
      <c r="K1504" s="211" t="s">
        <v>1500</v>
      </c>
    </row>
    <row r="1505" spans="1:11" ht="50.25">
      <c r="A1505" s="204">
        <v>1503</v>
      </c>
      <c r="B1505" s="205">
        <v>45925</v>
      </c>
      <c r="C1505" s="267" t="s">
        <v>831</v>
      </c>
      <c r="D1505" s="204">
        <v>2025</v>
      </c>
      <c r="E1505" s="204" t="s">
        <v>1431</v>
      </c>
      <c r="F1505" s="204" t="s">
        <v>2591</v>
      </c>
      <c r="G1505" s="206" t="s">
        <v>88</v>
      </c>
      <c r="H1505" s="219" t="s">
        <v>3037</v>
      </c>
      <c r="I1505" s="156" t="s">
        <v>26</v>
      </c>
      <c r="J1505" s="204" t="s">
        <v>2593</v>
      </c>
      <c r="K1505" s="207"/>
    </row>
    <row r="1506" spans="1:11" ht="100.5">
      <c r="A1506" s="204">
        <v>1504</v>
      </c>
      <c r="B1506" s="208">
        <v>45925</v>
      </c>
      <c r="C1506" s="267" t="s">
        <v>831</v>
      </c>
      <c r="D1506" s="204">
        <v>2025</v>
      </c>
      <c r="E1506" s="209" t="s">
        <v>1431</v>
      </c>
      <c r="F1506" s="209" t="s">
        <v>2591</v>
      </c>
      <c r="G1506" s="210" t="s">
        <v>88</v>
      </c>
      <c r="H1506" s="218" t="s">
        <v>3038</v>
      </c>
      <c r="I1506" s="156" t="s">
        <v>26</v>
      </c>
      <c r="J1506" s="209" t="s">
        <v>2593</v>
      </c>
      <c r="K1506" s="211" t="s">
        <v>1472</v>
      </c>
    </row>
    <row r="1507" spans="1:11" ht="100.5">
      <c r="A1507" s="204">
        <v>1505</v>
      </c>
      <c r="B1507" s="205">
        <v>45925</v>
      </c>
      <c r="C1507" s="267" t="s">
        <v>831</v>
      </c>
      <c r="D1507" s="204">
        <v>2025</v>
      </c>
      <c r="E1507" s="204" t="s">
        <v>1431</v>
      </c>
      <c r="F1507" s="204" t="s">
        <v>2591</v>
      </c>
      <c r="G1507" s="206" t="s">
        <v>88</v>
      </c>
      <c r="H1507" s="219" t="s">
        <v>3039</v>
      </c>
      <c r="I1507" s="156" t="s">
        <v>26</v>
      </c>
      <c r="J1507" s="204" t="s">
        <v>2593</v>
      </c>
      <c r="K1507" s="207" t="s">
        <v>1472</v>
      </c>
    </row>
    <row r="1508" spans="1:11" ht="84">
      <c r="A1508" s="204">
        <v>1506</v>
      </c>
      <c r="B1508" s="208">
        <v>45925</v>
      </c>
      <c r="C1508" s="267" t="s">
        <v>831</v>
      </c>
      <c r="D1508" s="204">
        <v>2025</v>
      </c>
      <c r="E1508" s="209" t="s">
        <v>1431</v>
      </c>
      <c r="F1508" s="209" t="s">
        <v>2591</v>
      </c>
      <c r="G1508" s="210" t="s">
        <v>88</v>
      </c>
      <c r="H1508" s="218" t="s">
        <v>3040</v>
      </c>
      <c r="I1508" s="156" t="s">
        <v>26</v>
      </c>
      <c r="J1508" s="209" t="s">
        <v>2593</v>
      </c>
      <c r="K1508" s="211" t="s">
        <v>1500</v>
      </c>
    </row>
    <row r="1509" spans="1:11" ht="50.25">
      <c r="A1509" s="204">
        <v>1507</v>
      </c>
      <c r="B1509" s="205">
        <v>45925</v>
      </c>
      <c r="C1509" s="267" t="s">
        <v>831</v>
      </c>
      <c r="D1509" s="204">
        <v>2025</v>
      </c>
      <c r="E1509" s="204" t="s">
        <v>1431</v>
      </c>
      <c r="F1509" s="204" t="s">
        <v>2591</v>
      </c>
      <c r="G1509" s="206" t="s">
        <v>88</v>
      </c>
      <c r="H1509" s="219" t="s">
        <v>3041</v>
      </c>
      <c r="I1509" s="156" t="s">
        <v>26</v>
      </c>
      <c r="J1509" s="204" t="s">
        <v>2593</v>
      </c>
      <c r="K1509" s="207"/>
    </row>
    <row r="1510" spans="1:11" ht="117">
      <c r="A1510" s="204">
        <v>1508</v>
      </c>
      <c r="B1510" s="208">
        <v>45925</v>
      </c>
      <c r="C1510" s="267" t="s">
        <v>831</v>
      </c>
      <c r="D1510" s="204">
        <v>2025</v>
      </c>
      <c r="E1510" s="209" t="s">
        <v>1431</v>
      </c>
      <c r="F1510" s="209" t="s">
        <v>2591</v>
      </c>
      <c r="G1510" s="210" t="s">
        <v>88</v>
      </c>
      <c r="H1510" s="218" t="s">
        <v>3042</v>
      </c>
      <c r="I1510" s="156" t="s">
        <v>26</v>
      </c>
      <c r="J1510" s="209" t="s">
        <v>2593</v>
      </c>
      <c r="K1510" s="211" t="s">
        <v>1522</v>
      </c>
    </row>
    <row r="1511" spans="1:11" ht="33.75">
      <c r="A1511" s="204">
        <v>1509</v>
      </c>
      <c r="B1511" s="205">
        <v>45925</v>
      </c>
      <c r="C1511" s="267" t="s">
        <v>831</v>
      </c>
      <c r="D1511" s="204">
        <v>2025</v>
      </c>
      <c r="E1511" s="204" t="s">
        <v>1431</v>
      </c>
      <c r="F1511" s="204" t="s">
        <v>1566</v>
      </c>
      <c r="G1511" s="206" t="s">
        <v>88</v>
      </c>
      <c r="H1511" s="207" t="s">
        <v>3043</v>
      </c>
      <c r="I1511" s="156" t="s">
        <v>26</v>
      </c>
      <c r="J1511" s="204" t="s">
        <v>2593</v>
      </c>
      <c r="K1511" s="207"/>
    </row>
    <row r="1512" spans="1:11" ht="50.25">
      <c r="A1512" s="204">
        <v>1510</v>
      </c>
      <c r="B1512" s="208">
        <v>45926</v>
      </c>
      <c r="C1512" s="267" t="s">
        <v>831</v>
      </c>
      <c r="D1512" s="204">
        <v>2025</v>
      </c>
      <c r="E1512" s="209" t="s">
        <v>1431</v>
      </c>
      <c r="F1512" s="209" t="s">
        <v>3011</v>
      </c>
      <c r="G1512" s="217" t="s">
        <v>859</v>
      </c>
      <c r="H1512" s="211" t="s">
        <v>3044</v>
      </c>
      <c r="I1512" s="156" t="s">
        <v>26</v>
      </c>
      <c r="J1512" s="209" t="s">
        <v>1904</v>
      </c>
      <c r="K1512" s="211"/>
    </row>
    <row r="1513" spans="1:11" ht="134.25">
      <c r="A1513" s="204">
        <v>1511</v>
      </c>
      <c r="B1513" s="205">
        <v>45926</v>
      </c>
      <c r="C1513" s="267" t="s">
        <v>831</v>
      </c>
      <c r="D1513" s="204">
        <v>2025</v>
      </c>
      <c r="E1513" s="204" t="s">
        <v>1431</v>
      </c>
      <c r="F1513" s="204" t="s">
        <v>216</v>
      </c>
      <c r="G1513" s="213" t="s">
        <v>821</v>
      </c>
      <c r="H1513" s="207" t="s">
        <v>3045</v>
      </c>
      <c r="I1513" s="156" t="s">
        <v>26</v>
      </c>
      <c r="J1513" s="204" t="s">
        <v>492</v>
      </c>
      <c r="K1513" s="207" t="s">
        <v>1601</v>
      </c>
    </row>
    <row r="1514" spans="1:11" ht="50.25">
      <c r="A1514" s="204">
        <v>1512</v>
      </c>
      <c r="B1514" s="208">
        <v>45926</v>
      </c>
      <c r="C1514" s="267" t="s">
        <v>831</v>
      </c>
      <c r="D1514" s="204">
        <v>2025</v>
      </c>
      <c r="E1514" s="209" t="s">
        <v>1431</v>
      </c>
      <c r="F1514" s="209" t="s">
        <v>216</v>
      </c>
      <c r="G1514" s="213" t="s">
        <v>821</v>
      </c>
      <c r="H1514" s="211" t="s">
        <v>3046</v>
      </c>
      <c r="I1514" s="156" t="s">
        <v>26</v>
      </c>
      <c r="J1514" s="209" t="s">
        <v>492</v>
      </c>
      <c r="K1514" s="211"/>
    </row>
    <row r="1515" spans="1:11" ht="150.75">
      <c r="A1515" s="204">
        <v>1513</v>
      </c>
      <c r="B1515" s="205">
        <v>45926</v>
      </c>
      <c r="C1515" s="267" t="s">
        <v>831</v>
      </c>
      <c r="D1515" s="204">
        <v>2025</v>
      </c>
      <c r="E1515" s="204" t="s">
        <v>1431</v>
      </c>
      <c r="F1515" s="204" t="s">
        <v>2591</v>
      </c>
      <c r="G1515" s="206" t="s">
        <v>88</v>
      </c>
      <c r="H1515" s="207" t="s">
        <v>3047</v>
      </c>
      <c r="I1515" s="156" t="s">
        <v>26</v>
      </c>
      <c r="J1515" s="204" t="s">
        <v>2593</v>
      </c>
      <c r="K1515" s="207" t="s">
        <v>1472</v>
      </c>
    </row>
    <row r="1516" spans="1:11" ht="216.75">
      <c r="A1516" s="204">
        <v>1514</v>
      </c>
      <c r="B1516" s="208">
        <v>45926</v>
      </c>
      <c r="C1516" s="267" t="s">
        <v>831</v>
      </c>
      <c r="D1516" s="204">
        <v>2025</v>
      </c>
      <c r="E1516" s="209" t="s">
        <v>1431</v>
      </c>
      <c r="F1516" s="209" t="s">
        <v>2591</v>
      </c>
      <c r="G1516" s="210" t="s">
        <v>88</v>
      </c>
      <c r="H1516" s="218" t="s">
        <v>3048</v>
      </c>
      <c r="I1516" s="156" t="s">
        <v>26</v>
      </c>
      <c r="J1516" s="209" t="s">
        <v>2593</v>
      </c>
      <c r="K1516" s="211"/>
    </row>
    <row r="1517" spans="1:11" ht="150.75">
      <c r="A1517" s="204">
        <v>1515</v>
      </c>
      <c r="B1517" s="205">
        <v>45926</v>
      </c>
      <c r="C1517" s="267" t="s">
        <v>831</v>
      </c>
      <c r="D1517" s="204">
        <v>2025</v>
      </c>
      <c r="E1517" s="204" t="s">
        <v>1431</v>
      </c>
      <c r="F1517" s="204" t="s">
        <v>2591</v>
      </c>
      <c r="G1517" s="206" t="s">
        <v>88</v>
      </c>
      <c r="H1517" s="219" t="s">
        <v>3049</v>
      </c>
      <c r="I1517" s="156" t="s">
        <v>26</v>
      </c>
      <c r="J1517" s="204" t="s">
        <v>2593</v>
      </c>
      <c r="K1517" s="207"/>
    </row>
    <row r="1518" spans="1:11" ht="150.75">
      <c r="A1518" s="204">
        <v>1516</v>
      </c>
      <c r="B1518" s="208">
        <v>45926</v>
      </c>
      <c r="C1518" s="267" t="s">
        <v>831</v>
      </c>
      <c r="D1518" s="204">
        <v>2025</v>
      </c>
      <c r="E1518" s="209" t="s">
        <v>1431</v>
      </c>
      <c r="F1518" s="209" t="s">
        <v>2591</v>
      </c>
      <c r="G1518" s="210" t="s">
        <v>88</v>
      </c>
      <c r="H1518" s="218" t="s">
        <v>3050</v>
      </c>
      <c r="I1518" s="156" t="s">
        <v>26</v>
      </c>
      <c r="J1518" s="209" t="s">
        <v>2593</v>
      </c>
      <c r="K1518" s="211"/>
    </row>
    <row r="1519" spans="1:11" ht="50.25">
      <c r="A1519" s="204">
        <v>1517</v>
      </c>
      <c r="B1519" s="205">
        <v>45926</v>
      </c>
      <c r="C1519" s="267" t="s">
        <v>831</v>
      </c>
      <c r="D1519" s="204">
        <v>2025</v>
      </c>
      <c r="E1519" s="204" t="s">
        <v>2224</v>
      </c>
      <c r="F1519" s="204" t="s">
        <v>3011</v>
      </c>
      <c r="G1519" s="214" t="s">
        <v>859</v>
      </c>
      <c r="H1519" s="207" t="s">
        <v>3051</v>
      </c>
      <c r="I1519" s="156" t="s">
        <v>26</v>
      </c>
      <c r="J1519" s="204" t="s">
        <v>2568</v>
      </c>
      <c r="K1519" s="207"/>
    </row>
    <row r="1520" spans="1:11" ht="100.5">
      <c r="A1520" s="204">
        <v>1518</v>
      </c>
      <c r="B1520" s="208">
        <v>45926</v>
      </c>
      <c r="C1520" s="267" t="s">
        <v>831</v>
      </c>
      <c r="D1520" s="204">
        <v>2025</v>
      </c>
      <c r="E1520" s="209" t="s">
        <v>2224</v>
      </c>
      <c r="F1520" s="209" t="s">
        <v>2535</v>
      </c>
      <c r="G1520" s="210" t="s">
        <v>88</v>
      </c>
      <c r="H1520" s="211" t="s">
        <v>3052</v>
      </c>
      <c r="I1520" s="156" t="s">
        <v>26</v>
      </c>
      <c r="J1520" s="209" t="s">
        <v>2568</v>
      </c>
      <c r="K1520" s="211" t="s">
        <v>1472</v>
      </c>
    </row>
    <row r="1521" spans="1:11" ht="33.75">
      <c r="A1521" s="204">
        <v>1519</v>
      </c>
      <c r="B1521" s="205">
        <v>45926</v>
      </c>
      <c r="C1521" s="267" t="s">
        <v>831</v>
      </c>
      <c r="D1521" s="204">
        <v>2025</v>
      </c>
      <c r="E1521" s="204" t="s">
        <v>2224</v>
      </c>
      <c r="F1521" s="204" t="s">
        <v>2591</v>
      </c>
      <c r="G1521" s="206" t="s">
        <v>88</v>
      </c>
      <c r="H1521" s="207" t="s">
        <v>3053</v>
      </c>
      <c r="I1521" s="156" t="s">
        <v>26</v>
      </c>
      <c r="J1521" s="204" t="s">
        <v>2593</v>
      </c>
      <c r="K1521" s="207"/>
    </row>
    <row r="1522" spans="1:11" ht="33.75">
      <c r="A1522" s="204">
        <v>1520</v>
      </c>
      <c r="B1522" s="208">
        <v>45929</v>
      </c>
      <c r="C1522" s="267" t="s">
        <v>831</v>
      </c>
      <c r="D1522" s="204">
        <v>2025</v>
      </c>
      <c r="E1522" s="209" t="s">
        <v>1431</v>
      </c>
      <c r="F1522" s="209" t="s">
        <v>3011</v>
      </c>
      <c r="G1522" s="217" t="s">
        <v>859</v>
      </c>
      <c r="H1522" s="211" t="s">
        <v>3054</v>
      </c>
      <c r="I1522" s="156" t="s">
        <v>26</v>
      </c>
      <c r="J1522" s="209" t="s">
        <v>2599</v>
      </c>
      <c r="K1522" s="211"/>
    </row>
    <row r="1523" spans="1:11" ht="100.5">
      <c r="A1523" s="204">
        <v>1521</v>
      </c>
      <c r="B1523" s="205">
        <v>45929</v>
      </c>
      <c r="C1523" s="267" t="s">
        <v>831</v>
      </c>
      <c r="D1523" s="204">
        <v>2025</v>
      </c>
      <c r="E1523" s="204" t="s">
        <v>1431</v>
      </c>
      <c r="F1523" s="204" t="s">
        <v>1506</v>
      </c>
      <c r="G1523" s="206" t="s">
        <v>88</v>
      </c>
      <c r="H1523" s="207" t="s">
        <v>3055</v>
      </c>
      <c r="I1523" s="156" t="s">
        <v>26</v>
      </c>
      <c r="J1523" s="204" t="s">
        <v>1904</v>
      </c>
      <c r="K1523" s="207" t="s">
        <v>1486</v>
      </c>
    </row>
    <row r="1524" spans="1:11" ht="84">
      <c r="A1524" s="204">
        <v>1522</v>
      </c>
      <c r="B1524" s="208">
        <v>45929</v>
      </c>
      <c r="C1524" s="267" t="s">
        <v>831</v>
      </c>
      <c r="D1524" s="204">
        <v>2025</v>
      </c>
      <c r="E1524" s="209" t="s">
        <v>1431</v>
      </c>
      <c r="F1524" s="209" t="s">
        <v>1506</v>
      </c>
      <c r="G1524" s="210" t="s">
        <v>88</v>
      </c>
      <c r="H1524" s="211" t="s">
        <v>3056</v>
      </c>
      <c r="I1524" s="156" t="s">
        <v>26</v>
      </c>
      <c r="J1524" s="209" t="s">
        <v>1904</v>
      </c>
      <c r="K1524" s="211" t="s">
        <v>1500</v>
      </c>
    </row>
    <row r="1525" spans="1:11" ht="84">
      <c r="A1525" s="204">
        <v>1523</v>
      </c>
      <c r="B1525" s="205">
        <v>45929</v>
      </c>
      <c r="C1525" s="267" t="s">
        <v>831</v>
      </c>
      <c r="D1525" s="204">
        <v>2025</v>
      </c>
      <c r="E1525" s="204" t="s">
        <v>1431</v>
      </c>
      <c r="F1525" s="204" t="s">
        <v>1506</v>
      </c>
      <c r="G1525" s="206" t="s">
        <v>88</v>
      </c>
      <c r="H1525" s="207" t="s">
        <v>3057</v>
      </c>
      <c r="I1525" s="156" t="s">
        <v>26</v>
      </c>
      <c r="J1525" s="204" t="s">
        <v>1904</v>
      </c>
      <c r="K1525" s="207" t="s">
        <v>1500</v>
      </c>
    </row>
    <row r="1526" spans="1:11" ht="84">
      <c r="A1526" s="204">
        <v>1524</v>
      </c>
      <c r="B1526" s="208">
        <v>45929</v>
      </c>
      <c r="C1526" s="267" t="s">
        <v>831</v>
      </c>
      <c r="D1526" s="204">
        <v>2025</v>
      </c>
      <c r="E1526" s="209" t="s">
        <v>1431</v>
      </c>
      <c r="F1526" s="209" t="s">
        <v>1506</v>
      </c>
      <c r="G1526" s="210" t="s">
        <v>88</v>
      </c>
      <c r="H1526" s="211" t="s">
        <v>3058</v>
      </c>
      <c r="I1526" s="156" t="s">
        <v>26</v>
      </c>
      <c r="J1526" s="209" t="s">
        <v>1904</v>
      </c>
      <c r="K1526" s="211" t="s">
        <v>1500</v>
      </c>
    </row>
    <row r="1527" spans="1:11" ht="33.75">
      <c r="A1527" s="204">
        <v>1525</v>
      </c>
      <c r="B1527" s="205">
        <v>45929</v>
      </c>
      <c r="C1527" s="267" t="s">
        <v>831</v>
      </c>
      <c r="D1527" s="204">
        <v>2025</v>
      </c>
      <c r="E1527" s="204" t="s">
        <v>1431</v>
      </c>
      <c r="F1527" s="204" t="s">
        <v>216</v>
      </c>
      <c r="G1527" s="213" t="s">
        <v>821</v>
      </c>
      <c r="H1527" s="207" t="s">
        <v>3059</v>
      </c>
      <c r="I1527" s="156" t="s">
        <v>26</v>
      </c>
      <c r="J1527" s="204" t="s">
        <v>492</v>
      </c>
      <c r="K1527" s="207"/>
    </row>
    <row r="1528" spans="1:11" ht="16.5">
      <c r="A1528" s="204">
        <v>1526</v>
      </c>
      <c r="B1528" s="208">
        <v>45929</v>
      </c>
      <c r="C1528" s="267" t="s">
        <v>831</v>
      </c>
      <c r="D1528" s="204">
        <v>2025</v>
      </c>
      <c r="E1528" s="209" t="s">
        <v>1431</v>
      </c>
      <c r="F1528" s="209" t="s">
        <v>21</v>
      </c>
      <c r="G1528" s="213" t="s">
        <v>821</v>
      </c>
      <c r="H1528" s="211" t="s">
        <v>3060</v>
      </c>
      <c r="I1528" s="156" t="s">
        <v>26</v>
      </c>
      <c r="J1528" s="209" t="s">
        <v>468</v>
      </c>
      <c r="K1528" s="211"/>
    </row>
    <row r="1529" spans="1:11" ht="84">
      <c r="A1529" s="204">
        <v>1527</v>
      </c>
      <c r="B1529" s="205">
        <v>45929</v>
      </c>
      <c r="C1529" s="267" t="s">
        <v>831</v>
      </c>
      <c r="D1529" s="204">
        <v>2025</v>
      </c>
      <c r="E1529" s="204" t="s">
        <v>1431</v>
      </c>
      <c r="F1529" s="204" t="s">
        <v>2591</v>
      </c>
      <c r="G1529" s="206" t="s">
        <v>88</v>
      </c>
      <c r="H1529" s="207" t="s">
        <v>3061</v>
      </c>
      <c r="I1529" s="156" t="s">
        <v>26</v>
      </c>
      <c r="J1529" s="204" t="s">
        <v>2593</v>
      </c>
      <c r="K1529" s="207" t="s">
        <v>1500</v>
      </c>
    </row>
    <row r="1530" spans="1:11" ht="84">
      <c r="A1530" s="204">
        <v>1528</v>
      </c>
      <c r="B1530" s="208">
        <v>45929</v>
      </c>
      <c r="C1530" s="267" t="s">
        <v>831</v>
      </c>
      <c r="D1530" s="204">
        <v>2025</v>
      </c>
      <c r="E1530" s="209" t="s">
        <v>1431</v>
      </c>
      <c r="F1530" s="209" t="s">
        <v>2591</v>
      </c>
      <c r="G1530" s="210" t="s">
        <v>88</v>
      </c>
      <c r="H1530" s="211" t="s">
        <v>3062</v>
      </c>
      <c r="I1530" s="156" t="s">
        <v>26</v>
      </c>
      <c r="J1530" s="209" t="s">
        <v>2593</v>
      </c>
      <c r="K1530" s="211" t="s">
        <v>1500</v>
      </c>
    </row>
    <row r="1531" spans="1:11" ht="368.25">
      <c r="A1531" s="204">
        <v>1529</v>
      </c>
      <c r="B1531" s="205">
        <v>45929</v>
      </c>
      <c r="C1531" s="267" t="s">
        <v>831</v>
      </c>
      <c r="D1531" s="204">
        <v>2025</v>
      </c>
      <c r="E1531" s="204" t="s">
        <v>1431</v>
      </c>
      <c r="F1531" s="204" t="s">
        <v>2591</v>
      </c>
      <c r="G1531" s="206" t="s">
        <v>88</v>
      </c>
      <c r="H1531" s="207" t="s">
        <v>3063</v>
      </c>
      <c r="I1531" s="156" t="s">
        <v>26</v>
      </c>
      <c r="J1531" s="204" t="s">
        <v>2593</v>
      </c>
      <c r="K1531" s="207" t="s">
        <v>1605</v>
      </c>
    </row>
    <row r="1532" spans="1:11" ht="33.75">
      <c r="A1532" s="204">
        <v>1530</v>
      </c>
      <c r="B1532" s="208">
        <v>45929</v>
      </c>
      <c r="C1532" s="267" t="s">
        <v>831</v>
      </c>
      <c r="D1532" s="204">
        <v>2025</v>
      </c>
      <c r="E1532" s="209" t="s">
        <v>1431</v>
      </c>
      <c r="F1532" s="209" t="s">
        <v>2591</v>
      </c>
      <c r="G1532" s="210" t="s">
        <v>88</v>
      </c>
      <c r="H1532" s="211" t="s">
        <v>3064</v>
      </c>
      <c r="I1532" s="156" t="s">
        <v>26</v>
      </c>
      <c r="J1532" s="209" t="s">
        <v>2593</v>
      </c>
      <c r="K1532" s="211"/>
    </row>
    <row r="1533" spans="1:11" ht="100.5">
      <c r="A1533" s="204">
        <v>1531</v>
      </c>
      <c r="B1533" s="205">
        <v>45929</v>
      </c>
      <c r="C1533" s="267" t="s">
        <v>831</v>
      </c>
      <c r="D1533" s="204">
        <v>2025</v>
      </c>
      <c r="E1533" s="204" t="s">
        <v>1431</v>
      </c>
      <c r="F1533" s="204" t="s">
        <v>2591</v>
      </c>
      <c r="G1533" s="206" t="s">
        <v>88</v>
      </c>
      <c r="H1533" s="207" t="s">
        <v>3065</v>
      </c>
      <c r="I1533" s="156" t="s">
        <v>26</v>
      </c>
      <c r="J1533" s="204" t="s">
        <v>2593</v>
      </c>
      <c r="K1533" s="207" t="s">
        <v>1472</v>
      </c>
    </row>
    <row r="1534" spans="1:11" ht="84">
      <c r="A1534" s="204">
        <v>1532</v>
      </c>
      <c r="B1534" s="208">
        <v>45929</v>
      </c>
      <c r="C1534" s="267" t="s">
        <v>831</v>
      </c>
      <c r="D1534" s="204">
        <v>2025</v>
      </c>
      <c r="E1534" s="209" t="s">
        <v>1431</v>
      </c>
      <c r="F1534" s="209" t="s">
        <v>2591</v>
      </c>
      <c r="G1534" s="210" t="s">
        <v>88</v>
      </c>
      <c r="H1534" s="211" t="s">
        <v>3066</v>
      </c>
      <c r="I1534" s="156" t="s">
        <v>26</v>
      </c>
      <c r="J1534" s="209" t="s">
        <v>2593</v>
      </c>
      <c r="K1534" s="211" t="s">
        <v>1605</v>
      </c>
    </row>
    <row r="1535" spans="1:11" ht="66.75">
      <c r="A1535" s="204">
        <v>1533</v>
      </c>
      <c r="B1535" s="205">
        <v>45929</v>
      </c>
      <c r="C1535" s="267" t="s">
        <v>831</v>
      </c>
      <c r="D1535" s="204">
        <v>2025</v>
      </c>
      <c r="E1535" s="204" t="s">
        <v>1431</v>
      </c>
      <c r="F1535" s="204" t="s">
        <v>1566</v>
      </c>
      <c r="G1535" s="206" t="s">
        <v>88</v>
      </c>
      <c r="H1535" s="207" t="s">
        <v>3067</v>
      </c>
      <c r="I1535" s="156" t="s">
        <v>26</v>
      </c>
      <c r="J1535" s="204" t="s">
        <v>1588</v>
      </c>
      <c r="K1535" s="207" t="s">
        <v>1548</v>
      </c>
    </row>
    <row r="1536" spans="1:11" ht="66.75">
      <c r="A1536" s="204">
        <v>1534</v>
      </c>
      <c r="B1536" s="208">
        <v>45929</v>
      </c>
      <c r="C1536" s="267" t="s">
        <v>831</v>
      </c>
      <c r="D1536" s="204">
        <v>2025</v>
      </c>
      <c r="E1536" s="209" t="s">
        <v>1431</v>
      </c>
      <c r="F1536" s="209" t="s">
        <v>1566</v>
      </c>
      <c r="G1536" s="210" t="s">
        <v>88</v>
      </c>
      <c r="H1536" s="211" t="s">
        <v>3068</v>
      </c>
      <c r="I1536" s="156" t="s">
        <v>26</v>
      </c>
      <c r="J1536" s="209" t="s">
        <v>1588</v>
      </c>
      <c r="K1536" s="211" t="s">
        <v>1548</v>
      </c>
    </row>
    <row r="1537" spans="1:11" ht="234">
      <c r="A1537" s="204">
        <v>1535</v>
      </c>
      <c r="B1537" s="205">
        <v>45929</v>
      </c>
      <c r="C1537" s="267" t="s">
        <v>831</v>
      </c>
      <c r="D1537" s="204">
        <v>2025</v>
      </c>
      <c r="E1537" s="204" t="s">
        <v>1431</v>
      </c>
      <c r="F1537" s="204" t="s">
        <v>1566</v>
      </c>
      <c r="G1537" s="206" t="s">
        <v>88</v>
      </c>
      <c r="H1537" s="207" t="s">
        <v>3069</v>
      </c>
      <c r="I1537" s="156" t="s">
        <v>26</v>
      </c>
      <c r="J1537" s="204" t="s">
        <v>1588</v>
      </c>
      <c r="K1537" s="207" t="s">
        <v>1500</v>
      </c>
    </row>
    <row r="1538" spans="1:11" ht="150.75">
      <c r="A1538" s="204">
        <v>1536</v>
      </c>
      <c r="B1538" s="208">
        <v>45929</v>
      </c>
      <c r="C1538" s="267" t="s">
        <v>831</v>
      </c>
      <c r="D1538" s="204">
        <v>2025</v>
      </c>
      <c r="E1538" s="209" t="s">
        <v>1431</v>
      </c>
      <c r="F1538" s="209" t="s">
        <v>1566</v>
      </c>
      <c r="G1538" s="210" t="s">
        <v>88</v>
      </c>
      <c r="H1538" s="211" t="s">
        <v>3070</v>
      </c>
      <c r="I1538" s="156" t="s">
        <v>26</v>
      </c>
      <c r="J1538" s="209" t="s">
        <v>1588</v>
      </c>
      <c r="K1538" s="211" t="s">
        <v>1500</v>
      </c>
    </row>
    <row r="1539" spans="1:11" ht="117">
      <c r="A1539" s="204">
        <v>1537</v>
      </c>
      <c r="B1539" s="205">
        <v>45929</v>
      </c>
      <c r="C1539" s="267" t="s">
        <v>831</v>
      </c>
      <c r="D1539" s="204">
        <v>2025</v>
      </c>
      <c r="E1539" s="204" t="s">
        <v>1431</v>
      </c>
      <c r="F1539" s="204" t="s">
        <v>1566</v>
      </c>
      <c r="G1539" s="206" t="s">
        <v>88</v>
      </c>
      <c r="H1539" s="207" t="s">
        <v>3071</v>
      </c>
      <c r="I1539" s="156" t="s">
        <v>26</v>
      </c>
      <c r="J1539" s="204" t="s">
        <v>1588</v>
      </c>
      <c r="K1539" s="207" t="s">
        <v>1451</v>
      </c>
    </row>
    <row r="1540" spans="1:11" ht="267.75">
      <c r="A1540" s="204">
        <v>1538</v>
      </c>
      <c r="B1540" s="208">
        <v>45929</v>
      </c>
      <c r="C1540" s="267" t="s">
        <v>831</v>
      </c>
      <c r="D1540" s="204">
        <v>2025</v>
      </c>
      <c r="E1540" s="209" t="s">
        <v>1431</v>
      </c>
      <c r="F1540" s="209" t="s">
        <v>1566</v>
      </c>
      <c r="G1540" s="210" t="s">
        <v>88</v>
      </c>
      <c r="H1540" s="211" t="s">
        <v>3072</v>
      </c>
      <c r="I1540" s="156" t="s">
        <v>26</v>
      </c>
      <c r="J1540" s="209" t="s">
        <v>1588</v>
      </c>
      <c r="K1540" s="211" t="s">
        <v>1559</v>
      </c>
    </row>
    <row r="1541" spans="1:11" ht="134.25">
      <c r="A1541" s="204">
        <v>1539</v>
      </c>
      <c r="B1541" s="205">
        <v>45929</v>
      </c>
      <c r="C1541" s="267" t="s">
        <v>831</v>
      </c>
      <c r="D1541" s="204">
        <v>2025</v>
      </c>
      <c r="E1541" s="204" t="s">
        <v>1431</v>
      </c>
      <c r="F1541" s="204" t="s">
        <v>1608</v>
      </c>
      <c r="G1541" s="212" t="s">
        <v>1439</v>
      </c>
      <c r="H1541" s="207" t="s">
        <v>3073</v>
      </c>
      <c r="I1541" s="156" t="s">
        <v>26</v>
      </c>
      <c r="J1541" s="204" t="s">
        <v>1458</v>
      </c>
      <c r="K1541" s="207" t="s">
        <v>1442</v>
      </c>
    </row>
    <row r="1542" spans="1:11" ht="134.25">
      <c r="A1542" s="204">
        <v>1540</v>
      </c>
      <c r="B1542" s="208">
        <v>45929</v>
      </c>
      <c r="C1542" s="267" t="s">
        <v>831</v>
      </c>
      <c r="D1542" s="204">
        <v>2025</v>
      </c>
      <c r="E1542" s="209" t="s">
        <v>1431</v>
      </c>
      <c r="F1542" s="209" t="s">
        <v>1608</v>
      </c>
      <c r="G1542" s="212" t="s">
        <v>1439</v>
      </c>
      <c r="H1542" s="211" t="s">
        <v>3074</v>
      </c>
      <c r="I1542" s="156" t="s">
        <v>26</v>
      </c>
      <c r="J1542" s="209" t="s">
        <v>1458</v>
      </c>
      <c r="K1542" s="211" t="s">
        <v>1442</v>
      </c>
    </row>
    <row r="1543" spans="1:11" ht="134.25">
      <c r="A1543" s="204">
        <v>1541</v>
      </c>
      <c r="B1543" s="205">
        <v>45929</v>
      </c>
      <c r="C1543" s="267" t="s">
        <v>831</v>
      </c>
      <c r="D1543" s="204">
        <v>2025</v>
      </c>
      <c r="E1543" s="204" t="s">
        <v>1431</v>
      </c>
      <c r="F1543" s="204" t="s">
        <v>1608</v>
      </c>
      <c r="G1543" s="212" t="s">
        <v>1439</v>
      </c>
      <c r="H1543" s="207" t="s">
        <v>3075</v>
      </c>
      <c r="I1543" s="156" t="s">
        <v>26</v>
      </c>
      <c r="J1543" s="204" t="s">
        <v>1458</v>
      </c>
      <c r="K1543" s="207" t="s">
        <v>1442</v>
      </c>
    </row>
    <row r="1544" spans="1:11" ht="50.25">
      <c r="A1544" s="204">
        <v>1542</v>
      </c>
      <c r="B1544" s="208">
        <v>45929</v>
      </c>
      <c r="C1544" s="267" t="s">
        <v>831</v>
      </c>
      <c r="D1544" s="204">
        <v>2025</v>
      </c>
      <c r="E1544" s="209" t="s">
        <v>2224</v>
      </c>
      <c r="F1544" s="209" t="s">
        <v>1566</v>
      </c>
      <c r="G1544" s="210" t="s">
        <v>88</v>
      </c>
      <c r="H1544" s="211" t="s">
        <v>3076</v>
      </c>
      <c r="I1544" s="156" t="s">
        <v>26</v>
      </c>
      <c r="J1544" s="209" t="s">
        <v>1588</v>
      </c>
      <c r="K1544" s="211"/>
    </row>
    <row r="1545" spans="1:11" ht="33.75">
      <c r="A1545" s="204">
        <v>1543</v>
      </c>
      <c r="B1545" s="205">
        <v>45930</v>
      </c>
      <c r="C1545" s="267" t="s">
        <v>831</v>
      </c>
      <c r="D1545" s="204">
        <v>2025</v>
      </c>
      <c r="E1545" s="204" t="s">
        <v>1431</v>
      </c>
      <c r="F1545" s="204" t="s">
        <v>2347</v>
      </c>
      <c r="G1545" s="214" t="s">
        <v>859</v>
      </c>
      <c r="H1545" s="207" t="s">
        <v>3077</v>
      </c>
      <c r="I1545" s="156" t="s">
        <v>26</v>
      </c>
      <c r="J1545" s="204" t="s">
        <v>3078</v>
      </c>
      <c r="K1545" s="207"/>
    </row>
    <row r="1546" spans="1:11" ht="16.5">
      <c r="A1546" s="204">
        <v>1544</v>
      </c>
      <c r="B1546" s="208">
        <v>45930</v>
      </c>
      <c r="C1546" s="267" t="s">
        <v>831</v>
      </c>
      <c r="D1546" s="204">
        <v>2025</v>
      </c>
      <c r="E1546" s="209" t="s">
        <v>1431</v>
      </c>
      <c r="F1546" s="209" t="s">
        <v>2591</v>
      </c>
      <c r="G1546" s="210" t="s">
        <v>88</v>
      </c>
      <c r="H1546" s="211" t="s">
        <v>3079</v>
      </c>
      <c r="I1546" s="156" t="s">
        <v>26</v>
      </c>
      <c r="J1546" s="209" t="s">
        <v>2593</v>
      </c>
      <c r="K1546" s="211"/>
    </row>
    <row r="1547" spans="1:11" ht="66.75">
      <c r="A1547" s="204">
        <v>1545</v>
      </c>
      <c r="B1547" s="205">
        <v>45930</v>
      </c>
      <c r="C1547" s="267" t="s">
        <v>831</v>
      </c>
      <c r="D1547" s="204">
        <v>2025</v>
      </c>
      <c r="E1547" s="204" t="s">
        <v>1431</v>
      </c>
      <c r="F1547" s="204" t="s">
        <v>2591</v>
      </c>
      <c r="G1547" s="206" t="s">
        <v>88</v>
      </c>
      <c r="H1547" s="219" t="s">
        <v>3080</v>
      </c>
      <c r="I1547" s="156" t="s">
        <v>26</v>
      </c>
      <c r="J1547" s="204" t="s">
        <v>2593</v>
      </c>
      <c r="K1547" s="207"/>
    </row>
    <row r="1548" spans="1:11" ht="168">
      <c r="A1548" s="204">
        <v>1546</v>
      </c>
      <c r="B1548" s="208">
        <v>45930</v>
      </c>
      <c r="C1548" s="267" t="s">
        <v>831</v>
      </c>
      <c r="D1548" s="204">
        <v>2025</v>
      </c>
      <c r="E1548" s="209" t="s">
        <v>1431</v>
      </c>
      <c r="F1548" s="209" t="s">
        <v>2591</v>
      </c>
      <c r="G1548" s="210" t="s">
        <v>88</v>
      </c>
      <c r="H1548" s="218" t="s">
        <v>3081</v>
      </c>
      <c r="I1548" s="156" t="s">
        <v>26</v>
      </c>
      <c r="J1548" s="209" t="s">
        <v>2593</v>
      </c>
      <c r="K1548" s="211"/>
    </row>
    <row r="1549" spans="1:11" ht="117">
      <c r="A1549" s="204">
        <v>1547</v>
      </c>
      <c r="B1549" s="205">
        <v>45930</v>
      </c>
      <c r="C1549" s="267" t="s">
        <v>831</v>
      </c>
      <c r="D1549" s="204">
        <v>2025</v>
      </c>
      <c r="E1549" s="204" t="s">
        <v>1431</v>
      </c>
      <c r="F1549" s="204" t="s">
        <v>2591</v>
      </c>
      <c r="G1549" s="206" t="s">
        <v>88</v>
      </c>
      <c r="H1549" s="219" t="s">
        <v>3082</v>
      </c>
      <c r="I1549" s="156" t="s">
        <v>26</v>
      </c>
      <c r="J1549" s="204" t="s">
        <v>2593</v>
      </c>
      <c r="K1549" s="207" t="s">
        <v>1451</v>
      </c>
    </row>
    <row r="1550" spans="1:11" ht="100.5">
      <c r="A1550" s="204">
        <v>1548</v>
      </c>
      <c r="B1550" s="208">
        <v>45930</v>
      </c>
      <c r="C1550" s="267" t="s">
        <v>831</v>
      </c>
      <c r="D1550" s="204">
        <v>2025</v>
      </c>
      <c r="E1550" s="209" t="s">
        <v>1431</v>
      </c>
      <c r="F1550" s="209" t="s">
        <v>1566</v>
      </c>
      <c r="G1550" s="210" t="s">
        <v>88</v>
      </c>
      <c r="H1550" s="211" t="s">
        <v>3083</v>
      </c>
      <c r="I1550" s="156" t="s">
        <v>26</v>
      </c>
      <c r="J1550" s="209" t="s">
        <v>1453</v>
      </c>
      <c r="K1550" s="211" t="s">
        <v>1478</v>
      </c>
    </row>
    <row r="1551" spans="1:11" ht="100.5">
      <c r="A1551" s="204">
        <v>1549</v>
      </c>
      <c r="B1551" s="205">
        <v>45930</v>
      </c>
      <c r="C1551" s="267" t="s">
        <v>831</v>
      </c>
      <c r="D1551" s="204">
        <v>2025</v>
      </c>
      <c r="E1551" s="204" t="s">
        <v>1431</v>
      </c>
      <c r="F1551" s="204" t="s">
        <v>1566</v>
      </c>
      <c r="G1551" s="206" t="s">
        <v>88</v>
      </c>
      <c r="H1551" s="207" t="s">
        <v>3084</v>
      </c>
      <c r="I1551" s="156" t="s">
        <v>26</v>
      </c>
      <c r="J1551" s="204" t="s">
        <v>1453</v>
      </c>
      <c r="K1551" s="207" t="s">
        <v>1472</v>
      </c>
    </row>
    <row r="1552" spans="1:11" ht="100.5">
      <c r="A1552" s="204">
        <v>1550</v>
      </c>
      <c r="B1552" s="208">
        <v>45930</v>
      </c>
      <c r="C1552" s="267" t="s">
        <v>831</v>
      </c>
      <c r="D1552" s="204">
        <v>2025</v>
      </c>
      <c r="E1552" s="209" t="s">
        <v>1431</v>
      </c>
      <c r="F1552" s="209" t="s">
        <v>1566</v>
      </c>
      <c r="G1552" s="210" t="s">
        <v>88</v>
      </c>
      <c r="H1552" s="211" t="s">
        <v>3085</v>
      </c>
      <c r="I1552" s="156" t="s">
        <v>26</v>
      </c>
      <c r="J1552" s="209" t="s">
        <v>1453</v>
      </c>
      <c r="K1552" s="211" t="s">
        <v>1478</v>
      </c>
    </row>
    <row r="1553" spans="1:11" ht="100.5">
      <c r="A1553" s="204">
        <v>1551</v>
      </c>
      <c r="B1553" s="205">
        <v>45930</v>
      </c>
      <c r="C1553" s="267" t="s">
        <v>831</v>
      </c>
      <c r="D1553" s="204">
        <v>2025</v>
      </c>
      <c r="E1553" s="204" t="s">
        <v>1431</v>
      </c>
      <c r="F1553" s="204" t="s">
        <v>1566</v>
      </c>
      <c r="G1553" s="206" t="s">
        <v>88</v>
      </c>
      <c r="H1553" s="207" t="s">
        <v>3086</v>
      </c>
      <c r="I1553" s="156" t="s">
        <v>26</v>
      </c>
      <c r="J1553" s="204" t="s">
        <v>1453</v>
      </c>
      <c r="K1553" s="207" t="s">
        <v>1478</v>
      </c>
    </row>
    <row r="1554" spans="1:11" ht="117">
      <c r="A1554" s="204">
        <v>1552</v>
      </c>
      <c r="B1554" s="208">
        <v>45930</v>
      </c>
      <c r="C1554" s="267" t="s">
        <v>831</v>
      </c>
      <c r="D1554" s="204">
        <v>2025</v>
      </c>
      <c r="E1554" s="209" t="s">
        <v>1431</v>
      </c>
      <c r="F1554" s="209" t="s">
        <v>1566</v>
      </c>
      <c r="G1554" s="210" t="s">
        <v>88</v>
      </c>
      <c r="H1554" s="211" t="s">
        <v>3087</v>
      </c>
      <c r="I1554" s="156" t="s">
        <v>26</v>
      </c>
      <c r="J1554" s="209" t="s">
        <v>1453</v>
      </c>
      <c r="K1554" s="211" t="s">
        <v>1451</v>
      </c>
    </row>
    <row r="1555" spans="1:11" ht="134.25">
      <c r="A1555" s="204">
        <v>1553</v>
      </c>
      <c r="B1555" s="205">
        <v>45931</v>
      </c>
      <c r="C1555" s="267" t="s">
        <v>832</v>
      </c>
      <c r="D1555" s="204">
        <v>2025</v>
      </c>
      <c r="E1555" s="204" t="s">
        <v>1431</v>
      </c>
      <c r="F1555" s="204" t="s">
        <v>216</v>
      </c>
      <c r="G1555" s="213" t="s">
        <v>821</v>
      </c>
      <c r="H1555" s="207" t="s">
        <v>3088</v>
      </c>
      <c r="I1555" s="156" t="s">
        <v>26</v>
      </c>
      <c r="J1555" s="204" t="s">
        <v>492</v>
      </c>
      <c r="K1555" s="207" t="s">
        <v>1601</v>
      </c>
    </row>
    <row r="1556" spans="1:11" ht="100.5">
      <c r="A1556" s="204">
        <v>1554</v>
      </c>
      <c r="B1556" s="208">
        <v>45931</v>
      </c>
      <c r="C1556" s="267" t="s">
        <v>832</v>
      </c>
      <c r="D1556" s="204">
        <v>2025</v>
      </c>
      <c r="E1556" s="209" t="s">
        <v>1431</v>
      </c>
      <c r="F1556" s="209" t="s">
        <v>3011</v>
      </c>
      <c r="G1556" s="217" t="s">
        <v>859</v>
      </c>
      <c r="H1556" s="211" t="s">
        <v>3089</v>
      </c>
      <c r="I1556" s="156" t="s">
        <v>26</v>
      </c>
      <c r="J1556" s="209" t="s">
        <v>2599</v>
      </c>
      <c r="K1556" s="211" t="s">
        <v>1476</v>
      </c>
    </row>
    <row r="1557" spans="1:11" ht="84">
      <c r="A1557" s="204">
        <v>1555</v>
      </c>
      <c r="B1557" s="205">
        <v>45931</v>
      </c>
      <c r="C1557" s="267" t="s">
        <v>832</v>
      </c>
      <c r="D1557" s="204">
        <v>2025</v>
      </c>
      <c r="E1557" s="204" t="s">
        <v>1431</v>
      </c>
      <c r="F1557" s="204" t="s">
        <v>1506</v>
      </c>
      <c r="G1557" s="206" t="s">
        <v>88</v>
      </c>
      <c r="H1557" s="207" t="s">
        <v>3090</v>
      </c>
      <c r="I1557" s="156" t="s">
        <v>26</v>
      </c>
      <c r="J1557" s="204" t="s">
        <v>1904</v>
      </c>
      <c r="K1557" s="207" t="s">
        <v>1500</v>
      </c>
    </row>
    <row r="1558" spans="1:11" ht="84">
      <c r="A1558" s="204">
        <v>1556</v>
      </c>
      <c r="B1558" s="208">
        <v>45931</v>
      </c>
      <c r="C1558" s="267" t="s">
        <v>832</v>
      </c>
      <c r="D1558" s="204">
        <v>2025</v>
      </c>
      <c r="E1558" s="209" t="s">
        <v>1431</v>
      </c>
      <c r="F1558" s="209" t="s">
        <v>1506</v>
      </c>
      <c r="G1558" s="210" t="s">
        <v>88</v>
      </c>
      <c r="H1558" s="211" t="s">
        <v>3091</v>
      </c>
      <c r="I1558" s="156" t="s">
        <v>26</v>
      </c>
      <c r="J1558" s="209" t="s">
        <v>1904</v>
      </c>
      <c r="K1558" s="211" t="s">
        <v>1500</v>
      </c>
    </row>
    <row r="1559" spans="1:11" ht="84">
      <c r="A1559" s="204">
        <v>1557</v>
      </c>
      <c r="B1559" s="205">
        <v>45931</v>
      </c>
      <c r="C1559" s="267" t="s">
        <v>832</v>
      </c>
      <c r="D1559" s="204">
        <v>2025</v>
      </c>
      <c r="E1559" s="204" t="s">
        <v>1431</v>
      </c>
      <c r="F1559" s="204" t="s">
        <v>1506</v>
      </c>
      <c r="G1559" s="206" t="s">
        <v>88</v>
      </c>
      <c r="H1559" s="207" t="s">
        <v>3092</v>
      </c>
      <c r="I1559" s="156" t="s">
        <v>26</v>
      </c>
      <c r="J1559" s="204" t="s">
        <v>1904</v>
      </c>
      <c r="K1559" s="207" t="s">
        <v>1500</v>
      </c>
    </row>
    <row r="1560" spans="1:11" ht="84">
      <c r="A1560" s="204">
        <v>1558</v>
      </c>
      <c r="B1560" s="208">
        <v>45931</v>
      </c>
      <c r="C1560" s="267" t="s">
        <v>832</v>
      </c>
      <c r="D1560" s="204">
        <v>2025</v>
      </c>
      <c r="E1560" s="209" t="s">
        <v>1431</v>
      </c>
      <c r="F1560" s="209" t="s">
        <v>1506</v>
      </c>
      <c r="G1560" s="210" t="s">
        <v>88</v>
      </c>
      <c r="H1560" s="211" t="s">
        <v>3093</v>
      </c>
      <c r="I1560" s="156" t="s">
        <v>26</v>
      </c>
      <c r="J1560" s="209" t="s">
        <v>1904</v>
      </c>
      <c r="K1560" s="211" t="s">
        <v>1500</v>
      </c>
    </row>
    <row r="1561" spans="1:11" ht="66.75">
      <c r="A1561" s="204">
        <v>1559</v>
      </c>
      <c r="B1561" s="205">
        <v>45931</v>
      </c>
      <c r="C1561" s="267" t="s">
        <v>832</v>
      </c>
      <c r="D1561" s="204">
        <v>2025</v>
      </c>
      <c r="E1561" s="204" t="s">
        <v>1431</v>
      </c>
      <c r="F1561" s="204" t="s">
        <v>21</v>
      </c>
      <c r="G1561" s="213" t="s">
        <v>821</v>
      </c>
      <c r="H1561" s="207" t="s">
        <v>3094</v>
      </c>
      <c r="I1561" s="156" t="s">
        <v>26</v>
      </c>
      <c r="J1561" s="204" t="s">
        <v>468</v>
      </c>
      <c r="K1561" s="207"/>
    </row>
    <row r="1562" spans="1:11" ht="16.5">
      <c r="A1562" s="204">
        <v>1560</v>
      </c>
      <c r="B1562" s="208">
        <v>45931</v>
      </c>
      <c r="C1562" s="267" t="s">
        <v>832</v>
      </c>
      <c r="D1562" s="204">
        <v>2025</v>
      </c>
      <c r="E1562" s="209" t="s">
        <v>1431</v>
      </c>
      <c r="F1562" s="209" t="s">
        <v>21</v>
      </c>
      <c r="G1562" s="213" t="s">
        <v>821</v>
      </c>
      <c r="H1562" s="211" t="s">
        <v>3095</v>
      </c>
      <c r="I1562" s="156" t="s">
        <v>26</v>
      </c>
      <c r="J1562" s="209" t="s">
        <v>468</v>
      </c>
      <c r="K1562" s="211"/>
    </row>
    <row r="1563" spans="1:11" ht="134.25">
      <c r="A1563" s="204">
        <v>1561</v>
      </c>
      <c r="B1563" s="205">
        <v>45931</v>
      </c>
      <c r="C1563" s="267" t="s">
        <v>832</v>
      </c>
      <c r="D1563" s="204">
        <v>2025</v>
      </c>
      <c r="E1563" s="204" t="s">
        <v>1431</v>
      </c>
      <c r="F1563" s="204" t="s">
        <v>2591</v>
      </c>
      <c r="G1563" s="206" t="s">
        <v>88</v>
      </c>
      <c r="H1563" s="219" t="s">
        <v>3096</v>
      </c>
      <c r="I1563" s="156" t="s">
        <v>26</v>
      </c>
      <c r="J1563" s="204" t="s">
        <v>2593</v>
      </c>
      <c r="K1563" s="207"/>
    </row>
    <row r="1564" spans="1:11" ht="117">
      <c r="A1564" s="204">
        <v>1562</v>
      </c>
      <c r="B1564" s="208">
        <v>45931</v>
      </c>
      <c r="C1564" s="267" t="s">
        <v>832</v>
      </c>
      <c r="D1564" s="204">
        <v>2025</v>
      </c>
      <c r="E1564" s="209" t="s">
        <v>1431</v>
      </c>
      <c r="F1564" s="209" t="s">
        <v>2591</v>
      </c>
      <c r="G1564" s="210" t="s">
        <v>88</v>
      </c>
      <c r="H1564" s="218" t="s">
        <v>3097</v>
      </c>
      <c r="I1564" s="156" t="s">
        <v>26</v>
      </c>
      <c r="J1564" s="209" t="s">
        <v>2593</v>
      </c>
      <c r="K1564" s="211"/>
    </row>
    <row r="1565" spans="1:11" ht="84">
      <c r="A1565" s="204">
        <v>1563</v>
      </c>
      <c r="B1565" s="205">
        <v>45931</v>
      </c>
      <c r="C1565" s="267" t="s">
        <v>832</v>
      </c>
      <c r="D1565" s="204">
        <v>2025</v>
      </c>
      <c r="E1565" s="204" t="s">
        <v>1431</v>
      </c>
      <c r="F1565" s="204" t="s">
        <v>2591</v>
      </c>
      <c r="G1565" s="206" t="s">
        <v>88</v>
      </c>
      <c r="H1565" s="219" t="s">
        <v>3098</v>
      </c>
      <c r="I1565" s="156" t="s">
        <v>26</v>
      </c>
      <c r="J1565" s="204" t="s">
        <v>2593</v>
      </c>
      <c r="K1565" s="207" t="s">
        <v>1500</v>
      </c>
    </row>
    <row r="1566" spans="1:11" ht="84">
      <c r="A1566" s="204">
        <v>1564</v>
      </c>
      <c r="B1566" s="208">
        <v>45931</v>
      </c>
      <c r="C1566" s="267" t="s">
        <v>832</v>
      </c>
      <c r="D1566" s="204">
        <v>2025</v>
      </c>
      <c r="E1566" s="209" t="s">
        <v>1431</v>
      </c>
      <c r="F1566" s="209" t="s">
        <v>2591</v>
      </c>
      <c r="G1566" s="210" t="s">
        <v>88</v>
      </c>
      <c r="H1566" s="218" t="s">
        <v>3099</v>
      </c>
      <c r="I1566" s="156" t="s">
        <v>26</v>
      </c>
      <c r="J1566" s="209" t="s">
        <v>2593</v>
      </c>
      <c r="K1566" s="211" t="s">
        <v>1500</v>
      </c>
    </row>
    <row r="1567" spans="1:11" ht="50.25">
      <c r="A1567" s="204">
        <v>1565</v>
      </c>
      <c r="B1567" s="205">
        <v>45931</v>
      </c>
      <c r="C1567" s="267" t="s">
        <v>832</v>
      </c>
      <c r="D1567" s="204">
        <v>2025</v>
      </c>
      <c r="E1567" s="204" t="s">
        <v>1431</v>
      </c>
      <c r="F1567" s="204" t="s">
        <v>2591</v>
      </c>
      <c r="G1567" s="206" t="s">
        <v>88</v>
      </c>
      <c r="H1567" s="219" t="s">
        <v>3100</v>
      </c>
      <c r="I1567" s="156" t="s">
        <v>26</v>
      </c>
      <c r="J1567" s="204" t="s">
        <v>2593</v>
      </c>
      <c r="K1567" s="207"/>
    </row>
    <row r="1568" spans="1:11" ht="84">
      <c r="A1568" s="204">
        <v>1566</v>
      </c>
      <c r="B1568" s="208">
        <v>45931</v>
      </c>
      <c r="C1568" s="267" t="s">
        <v>832</v>
      </c>
      <c r="D1568" s="204">
        <v>2025</v>
      </c>
      <c r="E1568" s="209" t="s">
        <v>1431</v>
      </c>
      <c r="F1568" s="209" t="s">
        <v>2591</v>
      </c>
      <c r="G1568" s="210" t="s">
        <v>88</v>
      </c>
      <c r="H1568" s="218" t="s">
        <v>3101</v>
      </c>
      <c r="I1568" s="156" t="s">
        <v>26</v>
      </c>
      <c r="J1568" s="209" t="s">
        <v>2593</v>
      </c>
      <c r="K1568" s="211" t="s">
        <v>1500</v>
      </c>
    </row>
    <row r="1569" spans="1:11" ht="84">
      <c r="A1569" s="204">
        <v>1567</v>
      </c>
      <c r="B1569" s="205">
        <v>45932</v>
      </c>
      <c r="C1569" s="267" t="s">
        <v>832</v>
      </c>
      <c r="D1569" s="204">
        <v>2025</v>
      </c>
      <c r="E1569" s="204" t="s">
        <v>1431</v>
      </c>
      <c r="F1569" s="204" t="s">
        <v>1506</v>
      </c>
      <c r="G1569" s="206" t="s">
        <v>88</v>
      </c>
      <c r="H1569" s="207" t="s">
        <v>3102</v>
      </c>
      <c r="I1569" s="156" t="s">
        <v>26</v>
      </c>
      <c r="J1569" s="204" t="s">
        <v>1904</v>
      </c>
      <c r="K1569" s="207" t="s">
        <v>1500</v>
      </c>
    </row>
    <row r="1570" spans="1:11" ht="84">
      <c r="A1570" s="204">
        <v>1568</v>
      </c>
      <c r="B1570" s="208">
        <v>45932</v>
      </c>
      <c r="C1570" s="267" t="s">
        <v>832</v>
      </c>
      <c r="D1570" s="204">
        <v>2025</v>
      </c>
      <c r="E1570" s="209" t="s">
        <v>1431</v>
      </c>
      <c r="F1570" s="209" t="s">
        <v>1506</v>
      </c>
      <c r="G1570" s="210" t="s">
        <v>88</v>
      </c>
      <c r="H1570" s="211" t="s">
        <v>3103</v>
      </c>
      <c r="I1570" s="156" t="s">
        <v>26</v>
      </c>
      <c r="J1570" s="209" t="s">
        <v>1904</v>
      </c>
      <c r="K1570" s="211" t="s">
        <v>1500</v>
      </c>
    </row>
    <row r="1571" spans="1:11" ht="50.25">
      <c r="A1571" s="204">
        <v>1569</v>
      </c>
      <c r="B1571" s="205">
        <v>45932</v>
      </c>
      <c r="C1571" s="267" t="s">
        <v>832</v>
      </c>
      <c r="D1571" s="204">
        <v>2025</v>
      </c>
      <c r="E1571" s="204" t="s">
        <v>1431</v>
      </c>
      <c r="F1571" s="204" t="s">
        <v>216</v>
      </c>
      <c r="G1571" s="213" t="s">
        <v>821</v>
      </c>
      <c r="H1571" s="207" t="s">
        <v>3104</v>
      </c>
      <c r="I1571" s="156" t="s">
        <v>26</v>
      </c>
      <c r="J1571" s="204" t="s">
        <v>492</v>
      </c>
      <c r="K1571" s="207"/>
    </row>
    <row r="1572" spans="1:11" ht="33.75">
      <c r="A1572" s="204">
        <v>1570</v>
      </c>
      <c r="B1572" s="208">
        <v>45932</v>
      </c>
      <c r="C1572" s="267" t="s">
        <v>832</v>
      </c>
      <c r="D1572" s="204">
        <v>2025</v>
      </c>
      <c r="E1572" s="209" t="s">
        <v>1431</v>
      </c>
      <c r="F1572" s="209" t="s">
        <v>216</v>
      </c>
      <c r="G1572" s="213" t="s">
        <v>821</v>
      </c>
      <c r="H1572" s="211" t="s">
        <v>3105</v>
      </c>
      <c r="I1572" s="156" t="s">
        <v>26</v>
      </c>
      <c r="J1572" s="209" t="s">
        <v>492</v>
      </c>
      <c r="K1572" s="211"/>
    </row>
    <row r="1573" spans="1:11" ht="66.75">
      <c r="A1573" s="204">
        <v>1571</v>
      </c>
      <c r="B1573" s="205">
        <v>45932</v>
      </c>
      <c r="C1573" s="267" t="s">
        <v>832</v>
      </c>
      <c r="D1573" s="204">
        <v>2025</v>
      </c>
      <c r="E1573" s="204" t="s">
        <v>1431</v>
      </c>
      <c r="F1573" s="204" t="s">
        <v>2591</v>
      </c>
      <c r="G1573" s="206" t="s">
        <v>88</v>
      </c>
      <c r="H1573" s="207" t="s">
        <v>3106</v>
      </c>
      <c r="I1573" s="156" t="s">
        <v>26</v>
      </c>
      <c r="J1573" s="204" t="s">
        <v>2593</v>
      </c>
      <c r="K1573" s="207"/>
    </row>
    <row r="1574" spans="1:11" ht="50.25">
      <c r="A1574" s="204">
        <v>1572</v>
      </c>
      <c r="B1574" s="208">
        <v>45932</v>
      </c>
      <c r="C1574" s="267" t="s">
        <v>832</v>
      </c>
      <c r="D1574" s="204">
        <v>2025</v>
      </c>
      <c r="E1574" s="209" t="s">
        <v>1431</v>
      </c>
      <c r="F1574" s="209" t="s">
        <v>2585</v>
      </c>
      <c r="G1574" s="210" t="s">
        <v>88</v>
      </c>
      <c r="H1574" s="211" t="s">
        <v>3107</v>
      </c>
      <c r="I1574" s="156" t="s">
        <v>26</v>
      </c>
      <c r="J1574" s="209" t="s">
        <v>452</v>
      </c>
      <c r="K1574" s="211"/>
    </row>
    <row r="1575" spans="1:11" ht="100.5">
      <c r="A1575" s="204">
        <v>1573</v>
      </c>
      <c r="B1575" s="205">
        <v>45932</v>
      </c>
      <c r="C1575" s="267" t="s">
        <v>832</v>
      </c>
      <c r="D1575" s="204">
        <v>2025</v>
      </c>
      <c r="E1575" s="204" t="s">
        <v>2224</v>
      </c>
      <c r="F1575" s="204" t="s">
        <v>3011</v>
      </c>
      <c r="G1575" s="214" t="s">
        <v>859</v>
      </c>
      <c r="H1575" s="207" t="s">
        <v>3108</v>
      </c>
      <c r="I1575" s="156" t="s">
        <v>26</v>
      </c>
      <c r="J1575" s="204" t="s">
        <v>2599</v>
      </c>
      <c r="K1575" s="207"/>
    </row>
    <row r="1576" spans="1:11" ht="50.25">
      <c r="A1576" s="204">
        <v>1574</v>
      </c>
      <c r="B1576" s="208">
        <v>45932</v>
      </c>
      <c r="C1576" s="267" t="s">
        <v>832</v>
      </c>
      <c r="D1576" s="204">
        <v>2025</v>
      </c>
      <c r="E1576" s="209" t="s">
        <v>2224</v>
      </c>
      <c r="F1576" s="209" t="s">
        <v>1432</v>
      </c>
      <c r="G1576" s="213" t="s">
        <v>821</v>
      </c>
      <c r="H1576" s="211" t="s">
        <v>3109</v>
      </c>
      <c r="I1576" s="156" t="s">
        <v>26</v>
      </c>
      <c r="J1576" s="209" t="s">
        <v>925</v>
      </c>
      <c r="K1576" s="211"/>
    </row>
    <row r="1577" spans="1:11" ht="84">
      <c r="A1577" s="204">
        <v>1575</v>
      </c>
      <c r="B1577" s="205">
        <v>45932</v>
      </c>
      <c r="C1577" s="267" t="s">
        <v>832</v>
      </c>
      <c r="D1577" s="204">
        <v>2025</v>
      </c>
      <c r="E1577" s="204" t="s">
        <v>1431</v>
      </c>
      <c r="F1577" s="204" t="s">
        <v>2591</v>
      </c>
      <c r="G1577" s="206" t="s">
        <v>88</v>
      </c>
      <c r="H1577" s="207" t="s">
        <v>3110</v>
      </c>
      <c r="I1577" s="156" t="s">
        <v>26</v>
      </c>
      <c r="J1577" s="204" t="s">
        <v>2593</v>
      </c>
      <c r="K1577" s="207" t="s">
        <v>1500</v>
      </c>
    </row>
    <row r="1578" spans="1:11" ht="84">
      <c r="A1578" s="204">
        <v>1576</v>
      </c>
      <c r="B1578" s="208">
        <v>45932</v>
      </c>
      <c r="C1578" s="267" t="s">
        <v>832</v>
      </c>
      <c r="D1578" s="204">
        <v>2025</v>
      </c>
      <c r="E1578" s="209" t="s">
        <v>1431</v>
      </c>
      <c r="F1578" s="209" t="s">
        <v>2591</v>
      </c>
      <c r="G1578" s="210" t="s">
        <v>88</v>
      </c>
      <c r="H1578" s="211" t="s">
        <v>3111</v>
      </c>
      <c r="I1578" s="156" t="s">
        <v>26</v>
      </c>
      <c r="J1578" s="209" t="s">
        <v>2593</v>
      </c>
      <c r="K1578" s="211"/>
    </row>
    <row r="1579" spans="1:11" ht="33.75">
      <c r="A1579" s="204">
        <v>1577</v>
      </c>
      <c r="B1579" s="205">
        <v>45932</v>
      </c>
      <c r="C1579" s="267" t="s">
        <v>832</v>
      </c>
      <c r="D1579" s="204">
        <v>2025</v>
      </c>
      <c r="E1579" s="204" t="s">
        <v>1431</v>
      </c>
      <c r="F1579" s="204" t="s">
        <v>2591</v>
      </c>
      <c r="G1579" s="206" t="s">
        <v>88</v>
      </c>
      <c r="H1579" s="207" t="s">
        <v>3112</v>
      </c>
      <c r="I1579" s="156" t="s">
        <v>26</v>
      </c>
      <c r="J1579" s="204" t="s">
        <v>2593</v>
      </c>
      <c r="K1579" s="207"/>
    </row>
    <row r="1580" spans="1:11" ht="66.75">
      <c r="A1580" s="204">
        <v>1578</v>
      </c>
      <c r="B1580" s="208">
        <v>45932</v>
      </c>
      <c r="C1580" s="267" t="s">
        <v>832</v>
      </c>
      <c r="D1580" s="204">
        <v>2025</v>
      </c>
      <c r="E1580" s="209" t="s">
        <v>1431</v>
      </c>
      <c r="F1580" s="209" t="s">
        <v>2591</v>
      </c>
      <c r="G1580" s="210" t="s">
        <v>88</v>
      </c>
      <c r="H1580" s="211" t="s">
        <v>3113</v>
      </c>
      <c r="I1580" s="156" t="s">
        <v>26</v>
      </c>
      <c r="J1580" s="209" t="s">
        <v>2593</v>
      </c>
      <c r="K1580" s="211"/>
    </row>
    <row r="1581" spans="1:11" ht="84">
      <c r="A1581" s="204">
        <v>1579</v>
      </c>
      <c r="B1581" s="205">
        <v>45932</v>
      </c>
      <c r="C1581" s="267" t="s">
        <v>832</v>
      </c>
      <c r="D1581" s="204">
        <v>2025</v>
      </c>
      <c r="E1581" s="204" t="s">
        <v>1431</v>
      </c>
      <c r="F1581" s="204" t="s">
        <v>2591</v>
      </c>
      <c r="G1581" s="206" t="s">
        <v>88</v>
      </c>
      <c r="H1581" s="207" t="s">
        <v>3114</v>
      </c>
      <c r="I1581" s="156" t="s">
        <v>26</v>
      </c>
      <c r="J1581" s="204" t="s">
        <v>2593</v>
      </c>
      <c r="K1581" s="207" t="s">
        <v>1605</v>
      </c>
    </row>
    <row r="1582" spans="1:11" ht="33.75">
      <c r="A1582" s="204">
        <v>1580</v>
      </c>
      <c r="B1582" s="208">
        <v>45932</v>
      </c>
      <c r="C1582" s="267" t="s">
        <v>832</v>
      </c>
      <c r="D1582" s="204">
        <v>2025</v>
      </c>
      <c r="E1582" s="209" t="s">
        <v>1431</v>
      </c>
      <c r="F1582" s="209" t="s">
        <v>2591</v>
      </c>
      <c r="G1582" s="210" t="s">
        <v>88</v>
      </c>
      <c r="H1582" s="211" t="s">
        <v>3115</v>
      </c>
      <c r="I1582" s="156" t="s">
        <v>26</v>
      </c>
      <c r="J1582" s="209" t="s">
        <v>2593</v>
      </c>
      <c r="K1582" s="211"/>
    </row>
    <row r="1583" spans="1:11" ht="100.5">
      <c r="A1583" s="204">
        <v>1581</v>
      </c>
      <c r="B1583" s="205">
        <v>45932</v>
      </c>
      <c r="C1583" s="267" t="s">
        <v>832</v>
      </c>
      <c r="D1583" s="204">
        <v>2025</v>
      </c>
      <c r="E1583" s="204" t="s">
        <v>1431</v>
      </c>
      <c r="F1583" s="204" t="s">
        <v>1566</v>
      </c>
      <c r="G1583" s="206" t="s">
        <v>88</v>
      </c>
      <c r="H1583" s="207" t="s">
        <v>3116</v>
      </c>
      <c r="I1583" s="156" t="s">
        <v>26</v>
      </c>
      <c r="J1583" s="204" t="s">
        <v>2640</v>
      </c>
      <c r="K1583" s="207" t="s">
        <v>1454</v>
      </c>
    </row>
    <row r="1584" spans="1:11" ht="33.75">
      <c r="A1584" s="204">
        <v>1582</v>
      </c>
      <c r="B1584" s="208">
        <v>45933</v>
      </c>
      <c r="C1584" s="267" t="s">
        <v>832</v>
      </c>
      <c r="D1584" s="204">
        <v>2025</v>
      </c>
      <c r="E1584" s="209" t="s">
        <v>1431</v>
      </c>
      <c r="F1584" s="209" t="s">
        <v>1506</v>
      </c>
      <c r="G1584" s="210" t="s">
        <v>88</v>
      </c>
      <c r="H1584" s="211" t="s">
        <v>3117</v>
      </c>
      <c r="I1584" s="156" t="s">
        <v>26</v>
      </c>
      <c r="J1584" s="209" t="s">
        <v>1904</v>
      </c>
      <c r="K1584" s="211"/>
    </row>
    <row r="1585" spans="1:11" ht="84">
      <c r="A1585" s="204">
        <v>1583</v>
      </c>
      <c r="B1585" s="205">
        <v>45933</v>
      </c>
      <c r="C1585" s="267" t="s">
        <v>832</v>
      </c>
      <c r="D1585" s="204">
        <v>2025</v>
      </c>
      <c r="E1585" s="204" t="s">
        <v>1431</v>
      </c>
      <c r="F1585" s="204" t="s">
        <v>1506</v>
      </c>
      <c r="G1585" s="206" t="s">
        <v>88</v>
      </c>
      <c r="H1585" s="207" t="s">
        <v>3118</v>
      </c>
      <c r="I1585" s="156" t="s">
        <v>26</v>
      </c>
      <c r="J1585" s="204" t="s">
        <v>1904</v>
      </c>
      <c r="K1585" s="207" t="s">
        <v>1500</v>
      </c>
    </row>
    <row r="1586" spans="1:11" ht="134.25">
      <c r="A1586" s="204">
        <v>1584</v>
      </c>
      <c r="B1586" s="208">
        <v>45933</v>
      </c>
      <c r="C1586" s="267" t="s">
        <v>832</v>
      </c>
      <c r="D1586" s="204">
        <v>2025</v>
      </c>
      <c r="E1586" s="209" t="s">
        <v>1431</v>
      </c>
      <c r="F1586" s="209" t="s">
        <v>216</v>
      </c>
      <c r="G1586" s="213" t="s">
        <v>821</v>
      </c>
      <c r="H1586" s="211" t="s">
        <v>3119</v>
      </c>
      <c r="I1586" s="156" t="s">
        <v>26</v>
      </c>
      <c r="J1586" s="209" t="s">
        <v>492</v>
      </c>
      <c r="K1586" s="211" t="s">
        <v>1601</v>
      </c>
    </row>
    <row r="1587" spans="1:11" ht="100.5">
      <c r="A1587" s="204">
        <v>1585</v>
      </c>
      <c r="B1587" s="205">
        <v>45936</v>
      </c>
      <c r="C1587" s="267" t="s">
        <v>832</v>
      </c>
      <c r="D1587" s="204">
        <v>2025</v>
      </c>
      <c r="E1587" s="204" t="s">
        <v>1431</v>
      </c>
      <c r="F1587" s="204" t="s">
        <v>2535</v>
      </c>
      <c r="G1587" s="206" t="s">
        <v>88</v>
      </c>
      <c r="H1587" s="207" t="s">
        <v>3120</v>
      </c>
      <c r="I1587" s="156" t="s">
        <v>26</v>
      </c>
      <c r="J1587" s="204" t="s">
        <v>578</v>
      </c>
      <c r="K1587" s="207" t="s">
        <v>1472</v>
      </c>
    </row>
    <row r="1588" spans="1:11" ht="100.5">
      <c r="A1588" s="204">
        <v>1586</v>
      </c>
      <c r="B1588" s="208">
        <v>45936</v>
      </c>
      <c r="C1588" s="267" t="s">
        <v>832</v>
      </c>
      <c r="D1588" s="204">
        <v>2025</v>
      </c>
      <c r="E1588" s="209" t="s">
        <v>1431</v>
      </c>
      <c r="F1588" s="209" t="s">
        <v>1506</v>
      </c>
      <c r="G1588" s="210" t="s">
        <v>88</v>
      </c>
      <c r="H1588" s="211" t="s">
        <v>3121</v>
      </c>
      <c r="I1588" s="156" t="s">
        <v>26</v>
      </c>
      <c r="J1588" s="209" t="s">
        <v>1904</v>
      </c>
      <c r="K1588" s="211" t="s">
        <v>1486</v>
      </c>
    </row>
    <row r="1589" spans="1:11" ht="100.5">
      <c r="A1589" s="204">
        <v>1587</v>
      </c>
      <c r="B1589" s="205">
        <v>45936</v>
      </c>
      <c r="C1589" s="267" t="s">
        <v>832</v>
      </c>
      <c r="D1589" s="204">
        <v>2025</v>
      </c>
      <c r="E1589" s="204" t="s">
        <v>1431</v>
      </c>
      <c r="F1589" s="204" t="s">
        <v>1506</v>
      </c>
      <c r="G1589" s="206" t="s">
        <v>88</v>
      </c>
      <c r="H1589" s="207" t="s">
        <v>3122</v>
      </c>
      <c r="I1589" s="156" t="s">
        <v>26</v>
      </c>
      <c r="J1589" s="204" t="s">
        <v>1904</v>
      </c>
      <c r="K1589" s="207" t="s">
        <v>1500</v>
      </c>
    </row>
    <row r="1590" spans="1:11" ht="16.5">
      <c r="A1590" s="204">
        <v>1588</v>
      </c>
      <c r="B1590" s="208">
        <v>45936</v>
      </c>
      <c r="C1590" s="267" t="s">
        <v>832</v>
      </c>
      <c r="D1590" s="204">
        <v>2025</v>
      </c>
      <c r="E1590" s="209" t="s">
        <v>1431</v>
      </c>
      <c r="F1590" s="209" t="s">
        <v>216</v>
      </c>
      <c r="G1590" s="213" t="s">
        <v>821</v>
      </c>
      <c r="H1590" s="211" t="s">
        <v>3123</v>
      </c>
      <c r="I1590" s="156" t="s">
        <v>26</v>
      </c>
      <c r="J1590" s="209" t="s">
        <v>492</v>
      </c>
      <c r="K1590" s="211"/>
    </row>
    <row r="1591" spans="1:11" ht="117">
      <c r="A1591" s="204">
        <v>1589</v>
      </c>
      <c r="B1591" s="205">
        <v>45936</v>
      </c>
      <c r="C1591" s="267" t="s">
        <v>832</v>
      </c>
      <c r="D1591" s="204">
        <v>2025</v>
      </c>
      <c r="E1591" s="204" t="s">
        <v>2224</v>
      </c>
      <c r="F1591" s="204" t="s">
        <v>1225</v>
      </c>
      <c r="G1591" s="214" t="s">
        <v>859</v>
      </c>
      <c r="H1591" s="207" t="s">
        <v>3124</v>
      </c>
      <c r="I1591" s="156" t="s">
        <v>26</v>
      </c>
      <c r="J1591" s="204" t="s">
        <v>925</v>
      </c>
      <c r="K1591" s="207" t="s">
        <v>1559</v>
      </c>
    </row>
    <row r="1592" spans="1:11" ht="84">
      <c r="A1592" s="204">
        <v>1590</v>
      </c>
      <c r="B1592" s="208">
        <v>45936</v>
      </c>
      <c r="C1592" s="267" t="s">
        <v>832</v>
      </c>
      <c r="D1592" s="204">
        <v>2025</v>
      </c>
      <c r="E1592" s="209" t="s">
        <v>1431</v>
      </c>
      <c r="F1592" s="209" t="s">
        <v>2591</v>
      </c>
      <c r="G1592" s="210" t="s">
        <v>88</v>
      </c>
      <c r="H1592" s="218" t="s">
        <v>3125</v>
      </c>
      <c r="I1592" s="156" t="s">
        <v>26</v>
      </c>
      <c r="J1592" s="209" t="s">
        <v>2593</v>
      </c>
      <c r="K1592" s="211" t="s">
        <v>1500</v>
      </c>
    </row>
    <row r="1593" spans="1:11" ht="66.75">
      <c r="A1593" s="204">
        <v>1591</v>
      </c>
      <c r="B1593" s="205">
        <v>45936</v>
      </c>
      <c r="C1593" s="267" t="s">
        <v>832</v>
      </c>
      <c r="D1593" s="204">
        <v>2025</v>
      </c>
      <c r="E1593" s="204" t="s">
        <v>1431</v>
      </c>
      <c r="F1593" s="204" t="s">
        <v>2591</v>
      </c>
      <c r="G1593" s="206" t="s">
        <v>88</v>
      </c>
      <c r="H1593" s="219" t="s">
        <v>3126</v>
      </c>
      <c r="I1593" s="156" t="s">
        <v>26</v>
      </c>
      <c r="J1593" s="204" t="s">
        <v>2593</v>
      </c>
      <c r="K1593" s="207"/>
    </row>
    <row r="1594" spans="1:11" ht="50.25">
      <c r="A1594" s="204">
        <v>1592</v>
      </c>
      <c r="B1594" s="208">
        <v>45936</v>
      </c>
      <c r="C1594" s="267" t="s">
        <v>832</v>
      </c>
      <c r="D1594" s="204">
        <v>2025</v>
      </c>
      <c r="E1594" s="209" t="s">
        <v>1431</v>
      </c>
      <c r="F1594" s="209" t="s">
        <v>2591</v>
      </c>
      <c r="G1594" s="210" t="s">
        <v>88</v>
      </c>
      <c r="H1594" s="218" t="s">
        <v>3127</v>
      </c>
      <c r="I1594" s="156" t="s">
        <v>26</v>
      </c>
      <c r="J1594" s="209" t="s">
        <v>2593</v>
      </c>
      <c r="K1594" s="211"/>
    </row>
    <row r="1595" spans="1:11" ht="100.5">
      <c r="A1595" s="204">
        <v>1593</v>
      </c>
      <c r="B1595" s="205">
        <v>45936</v>
      </c>
      <c r="C1595" s="267" t="s">
        <v>832</v>
      </c>
      <c r="D1595" s="204">
        <v>2025</v>
      </c>
      <c r="E1595" s="204" t="s">
        <v>1431</v>
      </c>
      <c r="F1595" s="204" t="s">
        <v>1566</v>
      </c>
      <c r="G1595" s="206" t="s">
        <v>88</v>
      </c>
      <c r="H1595" s="207" t="s">
        <v>3128</v>
      </c>
      <c r="I1595" s="156" t="s">
        <v>26</v>
      </c>
      <c r="J1595" s="204" t="s">
        <v>2786</v>
      </c>
      <c r="K1595" s="207" t="s">
        <v>1454</v>
      </c>
    </row>
    <row r="1596" spans="1:11" ht="117">
      <c r="A1596" s="204">
        <v>1594</v>
      </c>
      <c r="B1596" s="208">
        <v>45937</v>
      </c>
      <c r="C1596" s="267" t="s">
        <v>832</v>
      </c>
      <c r="D1596" s="204">
        <v>2025</v>
      </c>
      <c r="E1596" s="209" t="s">
        <v>1431</v>
      </c>
      <c r="F1596" s="209" t="s">
        <v>1504</v>
      </c>
      <c r="G1596" s="210" t="s">
        <v>88</v>
      </c>
      <c r="H1596" s="211" t="s">
        <v>3129</v>
      </c>
      <c r="I1596" s="156" t="s">
        <v>26</v>
      </c>
      <c r="J1596" s="209" t="s">
        <v>578</v>
      </c>
      <c r="K1596" s="211" t="s">
        <v>1446</v>
      </c>
    </row>
    <row r="1597" spans="1:11" ht="150.75">
      <c r="A1597" s="204">
        <v>1595</v>
      </c>
      <c r="B1597" s="205">
        <v>45937</v>
      </c>
      <c r="C1597" s="267" t="s">
        <v>832</v>
      </c>
      <c r="D1597" s="204">
        <v>2025</v>
      </c>
      <c r="E1597" s="204" t="s">
        <v>1431</v>
      </c>
      <c r="F1597" s="204" t="s">
        <v>21</v>
      </c>
      <c r="G1597" s="213" t="s">
        <v>821</v>
      </c>
      <c r="H1597" s="207" t="s">
        <v>3130</v>
      </c>
      <c r="I1597" s="156" t="s">
        <v>26</v>
      </c>
      <c r="J1597" s="204" t="s">
        <v>468</v>
      </c>
      <c r="K1597" s="207" t="s">
        <v>1513</v>
      </c>
    </row>
    <row r="1598" spans="1:11" ht="66.75">
      <c r="A1598" s="204">
        <v>1596</v>
      </c>
      <c r="B1598" s="208">
        <v>45937</v>
      </c>
      <c r="C1598" s="267" t="s">
        <v>832</v>
      </c>
      <c r="D1598" s="204">
        <v>2025</v>
      </c>
      <c r="E1598" s="209" t="s">
        <v>1431</v>
      </c>
      <c r="F1598" s="209" t="s">
        <v>1566</v>
      </c>
      <c r="G1598" s="210" t="s">
        <v>88</v>
      </c>
      <c r="H1598" s="211" t="s">
        <v>3131</v>
      </c>
      <c r="I1598" s="156" t="s">
        <v>26</v>
      </c>
      <c r="J1598" s="209" t="s">
        <v>1453</v>
      </c>
      <c r="K1598" s="211" t="s">
        <v>1548</v>
      </c>
    </row>
    <row r="1599" spans="1:11" ht="84">
      <c r="A1599" s="204">
        <v>1597</v>
      </c>
      <c r="B1599" s="205">
        <v>45937</v>
      </c>
      <c r="C1599" s="267" t="s">
        <v>832</v>
      </c>
      <c r="D1599" s="204">
        <v>2025</v>
      </c>
      <c r="E1599" s="204" t="s">
        <v>1431</v>
      </c>
      <c r="F1599" s="204" t="s">
        <v>1566</v>
      </c>
      <c r="G1599" s="206" t="s">
        <v>88</v>
      </c>
      <c r="H1599" s="207" t="s">
        <v>3132</v>
      </c>
      <c r="I1599" s="156" t="s">
        <v>26</v>
      </c>
      <c r="J1599" s="204" t="s">
        <v>1453</v>
      </c>
      <c r="K1599" s="207"/>
    </row>
    <row r="1600" spans="1:11" ht="84">
      <c r="A1600" s="204">
        <v>1598</v>
      </c>
      <c r="B1600" s="208">
        <v>45937</v>
      </c>
      <c r="C1600" s="267" t="s">
        <v>832</v>
      </c>
      <c r="D1600" s="204">
        <v>2025</v>
      </c>
      <c r="E1600" s="209" t="s">
        <v>1431</v>
      </c>
      <c r="F1600" s="209" t="s">
        <v>1566</v>
      </c>
      <c r="G1600" s="210" t="s">
        <v>88</v>
      </c>
      <c r="H1600" s="211" t="s">
        <v>3133</v>
      </c>
      <c r="I1600" s="156" t="s">
        <v>26</v>
      </c>
      <c r="J1600" s="209" t="s">
        <v>1453</v>
      </c>
      <c r="K1600" s="211" t="s">
        <v>1500</v>
      </c>
    </row>
    <row r="1601" spans="1:11" ht="16.5">
      <c r="A1601" s="204">
        <v>1599</v>
      </c>
      <c r="B1601" s="205">
        <v>45937</v>
      </c>
      <c r="C1601" s="267" t="s">
        <v>832</v>
      </c>
      <c r="D1601" s="204">
        <v>2025</v>
      </c>
      <c r="E1601" s="204" t="s">
        <v>1431</v>
      </c>
      <c r="F1601" s="204" t="s">
        <v>1566</v>
      </c>
      <c r="G1601" s="206" t="s">
        <v>88</v>
      </c>
      <c r="H1601" s="207" t="s">
        <v>3134</v>
      </c>
      <c r="I1601" s="156" t="s">
        <v>26</v>
      </c>
      <c r="J1601" s="204" t="s">
        <v>1453</v>
      </c>
      <c r="K1601" s="207"/>
    </row>
    <row r="1602" spans="1:11" ht="16.5">
      <c r="A1602" s="204">
        <v>1600</v>
      </c>
      <c r="B1602" s="208">
        <v>45937</v>
      </c>
      <c r="C1602" s="267" t="s">
        <v>832</v>
      </c>
      <c r="D1602" s="204">
        <v>2025</v>
      </c>
      <c r="E1602" s="209" t="s">
        <v>1431</v>
      </c>
      <c r="F1602" s="209" t="s">
        <v>1566</v>
      </c>
      <c r="G1602" s="210" t="s">
        <v>88</v>
      </c>
      <c r="H1602" s="211" t="s">
        <v>3135</v>
      </c>
      <c r="I1602" s="156" t="s">
        <v>26</v>
      </c>
      <c r="J1602" s="209" t="s">
        <v>1453</v>
      </c>
      <c r="K1602" s="211"/>
    </row>
    <row r="1603" spans="1:11" ht="100.5">
      <c r="A1603" s="204">
        <v>1601</v>
      </c>
      <c r="B1603" s="205">
        <v>45937</v>
      </c>
      <c r="C1603" s="267" t="s">
        <v>832</v>
      </c>
      <c r="D1603" s="204">
        <v>2025</v>
      </c>
      <c r="E1603" s="204" t="s">
        <v>1431</v>
      </c>
      <c r="F1603" s="204" t="s">
        <v>2591</v>
      </c>
      <c r="G1603" s="206" t="s">
        <v>88</v>
      </c>
      <c r="H1603" s="207" t="s">
        <v>3136</v>
      </c>
      <c r="I1603" s="156" t="s">
        <v>26</v>
      </c>
      <c r="J1603" s="204" t="s">
        <v>2593</v>
      </c>
      <c r="K1603" s="207"/>
    </row>
    <row r="1604" spans="1:11" ht="100.5">
      <c r="A1604" s="204">
        <v>1602</v>
      </c>
      <c r="B1604" s="208">
        <v>45937</v>
      </c>
      <c r="C1604" s="267" t="s">
        <v>832</v>
      </c>
      <c r="D1604" s="204">
        <v>2025</v>
      </c>
      <c r="E1604" s="209" t="s">
        <v>1431</v>
      </c>
      <c r="F1604" s="209" t="s">
        <v>2591</v>
      </c>
      <c r="G1604" s="210" t="s">
        <v>88</v>
      </c>
      <c r="H1604" s="218" t="s">
        <v>3137</v>
      </c>
      <c r="I1604" s="156" t="s">
        <v>26</v>
      </c>
      <c r="J1604" s="209" t="s">
        <v>2593</v>
      </c>
      <c r="K1604" s="211" t="s">
        <v>1500</v>
      </c>
    </row>
    <row r="1605" spans="1:11" ht="33.75">
      <c r="A1605" s="204">
        <v>1603</v>
      </c>
      <c r="B1605" s="205">
        <v>45938</v>
      </c>
      <c r="C1605" s="267" t="s">
        <v>832</v>
      </c>
      <c r="D1605" s="204">
        <v>2025</v>
      </c>
      <c r="E1605" s="204" t="s">
        <v>1431</v>
      </c>
      <c r="F1605" s="204" t="s">
        <v>1225</v>
      </c>
      <c r="G1605" s="214" t="s">
        <v>859</v>
      </c>
      <c r="H1605" s="207" t="s">
        <v>3138</v>
      </c>
      <c r="I1605" s="156" t="s">
        <v>26</v>
      </c>
      <c r="J1605" s="204" t="s">
        <v>925</v>
      </c>
      <c r="K1605" s="207"/>
    </row>
    <row r="1606" spans="1:11" ht="50.25">
      <c r="A1606" s="204">
        <v>1604</v>
      </c>
      <c r="B1606" s="208">
        <v>45938</v>
      </c>
      <c r="C1606" s="267" t="s">
        <v>832</v>
      </c>
      <c r="D1606" s="204">
        <v>2025</v>
      </c>
      <c r="E1606" s="209" t="s">
        <v>1431</v>
      </c>
      <c r="F1606" s="209" t="s">
        <v>21</v>
      </c>
      <c r="G1606" s="213" t="s">
        <v>821</v>
      </c>
      <c r="H1606" s="211" t="s">
        <v>3139</v>
      </c>
      <c r="I1606" s="156" t="s">
        <v>26</v>
      </c>
      <c r="J1606" s="209" t="s">
        <v>468</v>
      </c>
      <c r="K1606" s="211"/>
    </row>
    <row r="1607" spans="1:11" ht="84">
      <c r="A1607" s="204">
        <v>1605</v>
      </c>
      <c r="B1607" s="205">
        <v>45938</v>
      </c>
      <c r="C1607" s="267" t="s">
        <v>832</v>
      </c>
      <c r="D1607" s="204">
        <v>2025</v>
      </c>
      <c r="E1607" s="204" t="s">
        <v>1431</v>
      </c>
      <c r="F1607" s="204" t="s">
        <v>1506</v>
      </c>
      <c r="G1607" s="206" t="s">
        <v>88</v>
      </c>
      <c r="H1607" s="207" t="s">
        <v>3140</v>
      </c>
      <c r="I1607" s="156" t="s">
        <v>26</v>
      </c>
      <c r="J1607" s="204" t="s">
        <v>1904</v>
      </c>
      <c r="K1607" s="207" t="s">
        <v>1500</v>
      </c>
    </row>
    <row r="1608" spans="1:11" ht="66.75">
      <c r="A1608" s="204">
        <v>1606</v>
      </c>
      <c r="B1608" s="208">
        <v>45938</v>
      </c>
      <c r="C1608" s="267" t="s">
        <v>832</v>
      </c>
      <c r="D1608" s="204">
        <v>2025</v>
      </c>
      <c r="E1608" s="209" t="s">
        <v>1431</v>
      </c>
      <c r="F1608" s="209" t="s">
        <v>1506</v>
      </c>
      <c r="G1608" s="210" t="s">
        <v>88</v>
      </c>
      <c r="H1608" s="211" t="s">
        <v>3141</v>
      </c>
      <c r="I1608" s="156" t="s">
        <v>26</v>
      </c>
      <c r="J1608" s="209" t="s">
        <v>1904</v>
      </c>
      <c r="K1608" s="211"/>
    </row>
    <row r="1609" spans="1:11" ht="84">
      <c r="A1609" s="204">
        <v>1607</v>
      </c>
      <c r="B1609" s="205">
        <v>45938</v>
      </c>
      <c r="C1609" s="267" t="s">
        <v>832</v>
      </c>
      <c r="D1609" s="204">
        <v>2025</v>
      </c>
      <c r="E1609" s="204" t="s">
        <v>1431</v>
      </c>
      <c r="F1609" s="204" t="s">
        <v>1506</v>
      </c>
      <c r="G1609" s="206" t="s">
        <v>88</v>
      </c>
      <c r="H1609" s="207" t="s">
        <v>3142</v>
      </c>
      <c r="I1609" s="156" t="s">
        <v>26</v>
      </c>
      <c r="J1609" s="204" t="s">
        <v>1904</v>
      </c>
      <c r="K1609" s="207" t="s">
        <v>1500</v>
      </c>
    </row>
    <row r="1610" spans="1:11" ht="117">
      <c r="A1610" s="204">
        <v>1608</v>
      </c>
      <c r="B1610" s="208">
        <v>45938</v>
      </c>
      <c r="C1610" s="267" t="s">
        <v>832</v>
      </c>
      <c r="D1610" s="204">
        <v>2025</v>
      </c>
      <c r="E1610" s="209" t="s">
        <v>1431</v>
      </c>
      <c r="F1610" s="209" t="s">
        <v>21</v>
      </c>
      <c r="G1610" s="213" t="s">
        <v>821</v>
      </c>
      <c r="H1610" s="211" t="s">
        <v>3143</v>
      </c>
      <c r="I1610" s="156" t="s">
        <v>26</v>
      </c>
      <c r="J1610" s="209" t="s">
        <v>468</v>
      </c>
      <c r="K1610" s="211" t="s">
        <v>1482</v>
      </c>
    </row>
    <row r="1611" spans="1:11" ht="117">
      <c r="A1611" s="204">
        <v>1609</v>
      </c>
      <c r="B1611" s="205">
        <v>45938</v>
      </c>
      <c r="C1611" s="267" t="s">
        <v>832</v>
      </c>
      <c r="D1611" s="204">
        <v>2025</v>
      </c>
      <c r="E1611" s="204" t="s">
        <v>1431</v>
      </c>
      <c r="F1611" s="204" t="s">
        <v>2591</v>
      </c>
      <c r="G1611" s="206" t="s">
        <v>88</v>
      </c>
      <c r="H1611" s="207" t="s">
        <v>3144</v>
      </c>
      <c r="I1611" s="156" t="s">
        <v>26</v>
      </c>
      <c r="J1611" s="204" t="s">
        <v>2593</v>
      </c>
      <c r="K1611" s="207" t="s">
        <v>1500</v>
      </c>
    </row>
    <row r="1612" spans="1:11" ht="117">
      <c r="A1612" s="204">
        <v>1610</v>
      </c>
      <c r="B1612" s="208">
        <v>45938</v>
      </c>
      <c r="C1612" s="267" t="s">
        <v>832</v>
      </c>
      <c r="D1612" s="204">
        <v>2025</v>
      </c>
      <c r="E1612" s="209" t="s">
        <v>1431</v>
      </c>
      <c r="F1612" s="209" t="s">
        <v>2591</v>
      </c>
      <c r="G1612" s="210" t="s">
        <v>88</v>
      </c>
      <c r="H1612" s="218" t="s">
        <v>3145</v>
      </c>
      <c r="I1612" s="156" t="s">
        <v>26</v>
      </c>
      <c r="J1612" s="209" t="s">
        <v>2593</v>
      </c>
      <c r="K1612" s="211" t="s">
        <v>1510</v>
      </c>
    </row>
    <row r="1613" spans="1:11" ht="84">
      <c r="A1613" s="204">
        <v>1611</v>
      </c>
      <c r="B1613" s="205">
        <v>45938</v>
      </c>
      <c r="C1613" s="267" t="s">
        <v>832</v>
      </c>
      <c r="D1613" s="204">
        <v>2025</v>
      </c>
      <c r="E1613" s="204" t="s">
        <v>1431</v>
      </c>
      <c r="F1613" s="204" t="s">
        <v>2591</v>
      </c>
      <c r="G1613" s="206" t="s">
        <v>88</v>
      </c>
      <c r="H1613" s="219" t="s">
        <v>3146</v>
      </c>
      <c r="I1613" s="156" t="s">
        <v>26</v>
      </c>
      <c r="J1613" s="204" t="s">
        <v>2593</v>
      </c>
      <c r="K1613" s="207"/>
    </row>
    <row r="1614" spans="1:11" ht="100.5">
      <c r="A1614" s="204">
        <v>1612</v>
      </c>
      <c r="B1614" s="208">
        <v>45938</v>
      </c>
      <c r="C1614" s="267" t="s">
        <v>832</v>
      </c>
      <c r="D1614" s="204">
        <v>2025</v>
      </c>
      <c r="E1614" s="209" t="s">
        <v>1431</v>
      </c>
      <c r="F1614" s="209" t="s">
        <v>1566</v>
      </c>
      <c r="G1614" s="210" t="s">
        <v>88</v>
      </c>
      <c r="H1614" s="211" t="s">
        <v>3147</v>
      </c>
      <c r="I1614" s="156" t="s">
        <v>26</v>
      </c>
      <c r="J1614" s="209" t="s">
        <v>1453</v>
      </c>
      <c r="K1614" s="211" t="s">
        <v>1454</v>
      </c>
    </row>
    <row r="1615" spans="1:11" ht="100.5">
      <c r="A1615" s="204">
        <v>1613</v>
      </c>
      <c r="B1615" s="205">
        <v>45938</v>
      </c>
      <c r="C1615" s="267" t="s">
        <v>832</v>
      </c>
      <c r="D1615" s="204">
        <v>2025</v>
      </c>
      <c r="E1615" s="204" t="s">
        <v>1431</v>
      </c>
      <c r="F1615" s="204" t="s">
        <v>1566</v>
      </c>
      <c r="G1615" s="206" t="s">
        <v>88</v>
      </c>
      <c r="H1615" s="207" t="s">
        <v>3148</v>
      </c>
      <c r="I1615" s="156" t="s">
        <v>26</v>
      </c>
      <c r="J1615" s="204" t="s">
        <v>1453</v>
      </c>
      <c r="K1615" s="207" t="s">
        <v>1454</v>
      </c>
    </row>
    <row r="1616" spans="1:11" ht="100.5">
      <c r="A1616" s="204">
        <v>1614</v>
      </c>
      <c r="B1616" s="208">
        <v>45938</v>
      </c>
      <c r="C1616" s="267" t="s">
        <v>832</v>
      </c>
      <c r="D1616" s="204">
        <v>2025</v>
      </c>
      <c r="E1616" s="209" t="s">
        <v>1431</v>
      </c>
      <c r="F1616" s="209" t="s">
        <v>1566</v>
      </c>
      <c r="G1616" s="210" t="s">
        <v>88</v>
      </c>
      <c r="H1616" s="211" t="s">
        <v>3149</v>
      </c>
      <c r="I1616" s="156" t="s">
        <v>26</v>
      </c>
      <c r="J1616" s="209" t="s">
        <v>1453</v>
      </c>
      <c r="K1616" s="211" t="s">
        <v>1454</v>
      </c>
    </row>
    <row r="1617" spans="1:11" ht="100.5">
      <c r="A1617" s="204">
        <v>1615</v>
      </c>
      <c r="B1617" s="205">
        <v>45938</v>
      </c>
      <c r="C1617" s="267" t="s">
        <v>832</v>
      </c>
      <c r="D1617" s="204">
        <v>2025</v>
      </c>
      <c r="E1617" s="204" t="s">
        <v>1431</v>
      </c>
      <c r="F1617" s="204" t="s">
        <v>1566</v>
      </c>
      <c r="G1617" s="206" t="s">
        <v>88</v>
      </c>
      <c r="H1617" s="207" t="s">
        <v>3150</v>
      </c>
      <c r="I1617" s="156" t="s">
        <v>26</v>
      </c>
      <c r="J1617" s="204" t="s">
        <v>1453</v>
      </c>
      <c r="K1617" s="207" t="s">
        <v>1472</v>
      </c>
    </row>
    <row r="1618" spans="1:11" ht="84">
      <c r="A1618" s="204">
        <v>1616</v>
      </c>
      <c r="B1618" s="208">
        <v>45938</v>
      </c>
      <c r="C1618" s="267" t="s">
        <v>832</v>
      </c>
      <c r="D1618" s="204">
        <v>2025</v>
      </c>
      <c r="E1618" s="209" t="s">
        <v>1431</v>
      </c>
      <c r="F1618" s="209" t="s">
        <v>1518</v>
      </c>
      <c r="G1618" s="210" t="s">
        <v>88</v>
      </c>
      <c r="H1618" s="211" t="s">
        <v>3151</v>
      </c>
      <c r="I1618" s="156" t="s">
        <v>26</v>
      </c>
      <c r="J1618" s="209" t="s">
        <v>1493</v>
      </c>
      <c r="K1618" s="211" t="s">
        <v>1444</v>
      </c>
    </row>
    <row r="1619" spans="1:11" ht="84">
      <c r="A1619" s="204">
        <v>1617</v>
      </c>
      <c r="B1619" s="205">
        <v>45939</v>
      </c>
      <c r="C1619" s="267" t="s">
        <v>832</v>
      </c>
      <c r="D1619" s="204">
        <v>2025</v>
      </c>
      <c r="E1619" s="204" t="s">
        <v>1431</v>
      </c>
      <c r="F1619" s="204" t="s">
        <v>1506</v>
      </c>
      <c r="G1619" s="206" t="s">
        <v>88</v>
      </c>
      <c r="H1619" s="207" t="s">
        <v>3152</v>
      </c>
      <c r="I1619" s="156" t="s">
        <v>26</v>
      </c>
      <c r="J1619" s="204" t="s">
        <v>3153</v>
      </c>
      <c r="K1619" s="207" t="s">
        <v>1500</v>
      </c>
    </row>
    <row r="1620" spans="1:11" ht="84">
      <c r="A1620" s="204">
        <v>1618</v>
      </c>
      <c r="B1620" s="208">
        <v>45939</v>
      </c>
      <c r="C1620" s="267" t="s">
        <v>832</v>
      </c>
      <c r="D1620" s="204">
        <v>2025</v>
      </c>
      <c r="E1620" s="209" t="s">
        <v>1431</v>
      </c>
      <c r="F1620" s="209" t="s">
        <v>1506</v>
      </c>
      <c r="G1620" s="210" t="s">
        <v>88</v>
      </c>
      <c r="H1620" s="211" t="s">
        <v>3154</v>
      </c>
      <c r="I1620" s="156" t="s">
        <v>26</v>
      </c>
      <c r="J1620" s="209" t="s">
        <v>3153</v>
      </c>
      <c r="K1620" s="211" t="s">
        <v>1500</v>
      </c>
    </row>
    <row r="1621" spans="1:11" ht="84">
      <c r="A1621" s="204">
        <v>1619</v>
      </c>
      <c r="B1621" s="205">
        <v>45939</v>
      </c>
      <c r="C1621" s="267" t="s">
        <v>832</v>
      </c>
      <c r="D1621" s="204">
        <v>2025</v>
      </c>
      <c r="E1621" s="204" t="s">
        <v>1431</v>
      </c>
      <c r="F1621" s="204" t="s">
        <v>1506</v>
      </c>
      <c r="G1621" s="206" t="s">
        <v>88</v>
      </c>
      <c r="H1621" s="207" t="s">
        <v>3155</v>
      </c>
      <c r="I1621" s="156" t="s">
        <v>26</v>
      </c>
      <c r="J1621" s="204" t="s">
        <v>3153</v>
      </c>
      <c r="K1621" s="207" t="s">
        <v>1500</v>
      </c>
    </row>
    <row r="1622" spans="1:11" ht="100.5">
      <c r="A1622" s="204">
        <v>1620</v>
      </c>
      <c r="B1622" s="208">
        <v>45939</v>
      </c>
      <c r="C1622" s="267" t="s">
        <v>832</v>
      </c>
      <c r="D1622" s="204">
        <v>2025</v>
      </c>
      <c r="E1622" s="209" t="s">
        <v>1431</v>
      </c>
      <c r="F1622" s="209" t="s">
        <v>2591</v>
      </c>
      <c r="G1622" s="210" t="s">
        <v>88</v>
      </c>
      <c r="H1622" s="211" t="s">
        <v>3156</v>
      </c>
      <c r="I1622" s="156" t="s">
        <v>26</v>
      </c>
      <c r="J1622" s="209" t="s">
        <v>2593</v>
      </c>
      <c r="K1622" s="211" t="s">
        <v>1454</v>
      </c>
    </row>
    <row r="1623" spans="1:11" ht="100.5">
      <c r="A1623" s="204">
        <v>1621</v>
      </c>
      <c r="B1623" s="205">
        <v>45939</v>
      </c>
      <c r="C1623" s="267" t="s">
        <v>832</v>
      </c>
      <c r="D1623" s="204">
        <v>2025</v>
      </c>
      <c r="E1623" s="204" t="s">
        <v>1431</v>
      </c>
      <c r="F1623" s="204" t="s">
        <v>2591</v>
      </c>
      <c r="G1623" s="206" t="s">
        <v>88</v>
      </c>
      <c r="H1623" s="219" t="s">
        <v>3157</v>
      </c>
      <c r="I1623" s="156" t="s">
        <v>26</v>
      </c>
      <c r="J1623" s="204" t="s">
        <v>2593</v>
      </c>
      <c r="K1623" s="207"/>
    </row>
    <row r="1624" spans="1:11" ht="117">
      <c r="A1624" s="204">
        <v>1622</v>
      </c>
      <c r="B1624" s="208">
        <v>45939</v>
      </c>
      <c r="C1624" s="267" t="s">
        <v>832</v>
      </c>
      <c r="D1624" s="204">
        <v>2025</v>
      </c>
      <c r="E1624" s="209" t="s">
        <v>1431</v>
      </c>
      <c r="F1624" s="209" t="s">
        <v>2591</v>
      </c>
      <c r="G1624" s="210" t="s">
        <v>88</v>
      </c>
      <c r="H1624" s="218" t="s">
        <v>3158</v>
      </c>
      <c r="I1624" s="156" t="s">
        <v>26</v>
      </c>
      <c r="J1624" s="209" t="s">
        <v>2593</v>
      </c>
      <c r="K1624" s="211" t="s">
        <v>1446</v>
      </c>
    </row>
    <row r="1625" spans="1:11" ht="50.25">
      <c r="A1625" s="204">
        <v>1623</v>
      </c>
      <c r="B1625" s="205">
        <v>45939</v>
      </c>
      <c r="C1625" s="267" t="s">
        <v>832</v>
      </c>
      <c r="D1625" s="204">
        <v>2025</v>
      </c>
      <c r="E1625" s="204" t="s">
        <v>1431</v>
      </c>
      <c r="F1625" s="204" t="s">
        <v>1566</v>
      </c>
      <c r="G1625" s="206" t="s">
        <v>88</v>
      </c>
      <c r="H1625" s="207" t="s">
        <v>3159</v>
      </c>
      <c r="I1625" s="156" t="s">
        <v>26</v>
      </c>
      <c r="J1625" s="204" t="s">
        <v>492</v>
      </c>
      <c r="K1625" s="207"/>
    </row>
    <row r="1626" spans="1:11" ht="117">
      <c r="A1626" s="204">
        <v>1624</v>
      </c>
      <c r="B1626" s="208">
        <v>45939</v>
      </c>
      <c r="C1626" s="267" t="s">
        <v>832</v>
      </c>
      <c r="D1626" s="204">
        <v>2025</v>
      </c>
      <c r="E1626" s="209" t="s">
        <v>1431</v>
      </c>
      <c r="F1626" s="209" t="s">
        <v>216</v>
      </c>
      <c r="G1626" s="213" t="s">
        <v>821</v>
      </c>
      <c r="H1626" s="211" t="s">
        <v>3160</v>
      </c>
      <c r="I1626" s="156" t="s">
        <v>26</v>
      </c>
      <c r="J1626" s="209" t="s">
        <v>492</v>
      </c>
      <c r="K1626" s="211"/>
    </row>
    <row r="1627" spans="1:11" ht="33.75">
      <c r="A1627" s="204">
        <v>1625</v>
      </c>
      <c r="B1627" s="205">
        <v>45940</v>
      </c>
      <c r="C1627" s="267" t="s">
        <v>832</v>
      </c>
      <c r="D1627" s="204">
        <v>2025</v>
      </c>
      <c r="E1627" s="204" t="s">
        <v>1431</v>
      </c>
      <c r="F1627" s="204" t="s">
        <v>2244</v>
      </c>
      <c r="G1627" s="206" t="s">
        <v>88</v>
      </c>
      <c r="H1627" s="207" t="s">
        <v>3161</v>
      </c>
      <c r="I1627" s="156" t="s">
        <v>26</v>
      </c>
      <c r="J1627" s="204" t="s">
        <v>1998</v>
      </c>
      <c r="K1627" s="207"/>
    </row>
    <row r="1628" spans="1:11" ht="134.25">
      <c r="A1628" s="204">
        <v>1626</v>
      </c>
      <c r="B1628" s="208">
        <v>45940</v>
      </c>
      <c r="C1628" s="267" t="s">
        <v>832</v>
      </c>
      <c r="D1628" s="204">
        <v>2025</v>
      </c>
      <c r="E1628" s="209" t="s">
        <v>1431</v>
      </c>
      <c r="F1628" s="209" t="s">
        <v>1608</v>
      </c>
      <c r="G1628" s="212" t="s">
        <v>1439</v>
      </c>
      <c r="H1628" s="211" t="s">
        <v>3162</v>
      </c>
      <c r="I1628" s="156" t="s">
        <v>26</v>
      </c>
      <c r="J1628" s="209" t="s">
        <v>1458</v>
      </c>
      <c r="K1628" s="211" t="s">
        <v>1442</v>
      </c>
    </row>
    <row r="1629" spans="1:11" ht="50.25">
      <c r="A1629" s="204">
        <v>1627</v>
      </c>
      <c r="B1629" s="205">
        <v>45940</v>
      </c>
      <c r="C1629" s="267" t="s">
        <v>832</v>
      </c>
      <c r="D1629" s="204">
        <v>2025</v>
      </c>
      <c r="E1629" s="204" t="s">
        <v>1431</v>
      </c>
      <c r="F1629" s="204" t="s">
        <v>2434</v>
      </c>
      <c r="G1629" s="214" t="s">
        <v>859</v>
      </c>
      <c r="H1629" s="207" t="s">
        <v>3163</v>
      </c>
      <c r="I1629" s="156" t="s">
        <v>26</v>
      </c>
      <c r="J1629" s="204" t="s">
        <v>3164</v>
      </c>
      <c r="K1629" s="207"/>
    </row>
    <row r="1630" spans="1:11" ht="117">
      <c r="A1630" s="204">
        <v>1628</v>
      </c>
      <c r="B1630" s="208">
        <v>45940</v>
      </c>
      <c r="C1630" s="267" t="s">
        <v>832</v>
      </c>
      <c r="D1630" s="204">
        <v>2025</v>
      </c>
      <c r="E1630" s="209" t="s">
        <v>1431</v>
      </c>
      <c r="F1630" s="209" t="s">
        <v>216</v>
      </c>
      <c r="G1630" s="213" t="s">
        <v>821</v>
      </c>
      <c r="H1630" s="211" t="s">
        <v>3165</v>
      </c>
      <c r="I1630" s="156" t="s">
        <v>26</v>
      </c>
      <c r="J1630" s="209" t="s">
        <v>492</v>
      </c>
      <c r="K1630" s="211" t="s">
        <v>1446</v>
      </c>
    </row>
    <row r="1631" spans="1:11" ht="33.75">
      <c r="A1631" s="204">
        <v>1629</v>
      </c>
      <c r="B1631" s="205">
        <v>45940</v>
      </c>
      <c r="C1631" s="267" t="s">
        <v>832</v>
      </c>
      <c r="D1631" s="204">
        <v>2025</v>
      </c>
      <c r="E1631" s="204" t="s">
        <v>1431</v>
      </c>
      <c r="F1631" s="204" t="s">
        <v>1506</v>
      </c>
      <c r="G1631" s="206" t="s">
        <v>88</v>
      </c>
      <c r="H1631" s="207" t="s">
        <v>3166</v>
      </c>
      <c r="I1631" s="156" t="s">
        <v>26</v>
      </c>
      <c r="J1631" s="204" t="s">
        <v>1904</v>
      </c>
      <c r="K1631" s="207"/>
    </row>
    <row r="1632" spans="1:11" ht="100.5">
      <c r="A1632" s="204">
        <v>1630</v>
      </c>
      <c r="B1632" s="208">
        <v>45940</v>
      </c>
      <c r="C1632" s="267" t="s">
        <v>832</v>
      </c>
      <c r="D1632" s="204">
        <v>2025</v>
      </c>
      <c r="E1632" s="209" t="s">
        <v>2224</v>
      </c>
      <c r="F1632" s="209" t="s">
        <v>574</v>
      </c>
      <c r="G1632" s="210" t="s">
        <v>88</v>
      </c>
      <c r="H1632" s="211" t="s">
        <v>3167</v>
      </c>
      <c r="I1632" s="156" t="s">
        <v>26</v>
      </c>
      <c r="J1632" s="209" t="s">
        <v>2568</v>
      </c>
      <c r="K1632" s="211"/>
    </row>
    <row r="1633" spans="1:11" ht="117">
      <c r="A1633" s="204">
        <v>1631</v>
      </c>
      <c r="B1633" s="205">
        <v>45940</v>
      </c>
      <c r="C1633" s="267" t="s">
        <v>832</v>
      </c>
      <c r="D1633" s="204">
        <v>2025</v>
      </c>
      <c r="E1633" s="204" t="s">
        <v>1431</v>
      </c>
      <c r="F1633" s="204" t="s">
        <v>216</v>
      </c>
      <c r="G1633" s="213" t="s">
        <v>821</v>
      </c>
      <c r="H1633" s="207" t="s">
        <v>3168</v>
      </c>
      <c r="I1633" s="156" t="s">
        <v>26</v>
      </c>
      <c r="J1633" s="204" t="s">
        <v>492</v>
      </c>
      <c r="K1633" s="207" t="s">
        <v>1446</v>
      </c>
    </row>
    <row r="1634" spans="1:11" ht="50.25">
      <c r="A1634" s="204">
        <v>1632</v>
      </c>
      <c r="B1634" s="208">
        <v>45940</v>
      </c>
      <c r="C1634" s="267" t="s">
        <v>832</v>
      </c>
      <c r="D1634" s="204">
        <v>2025</v>
      </c>
      <c r="E1634" s="209" t="s">
        <v>1431</v>
      </c>
      <c r="F1634" s="209" t="s">
        <v>2591</v>
      </c>
      <c r="G1634" s="217" t="s">
        <v>859</v>
      </c>
      <c r="H1634" s="211" t="s">
        <v>3169</v>
      </c>
      <c r="I1634" s="156" t="s">
        <v>26</v>
      </c>
      <c r="J1634" s="209" t="s">
        <v>2593</v>
      </c>
      <c r="K1634" s="211"/>
    </row>
    <row r="1635" spans="1:11" ht="33.75">
      <c r="A1635" s="204">
        <v>1633</v>
      </c>
      <c r="B1635" s="205">
        <v>45940</v>
      </c>
      <c r="C1635" s="267" t="s">
        <v>832</v>
      </c>
      <c r="D1635" s="204">
        <v>2025</v>
      </c>
      <c r="E1635" s="204" t="s">
        <v>1431</v>
      </c>
      <c r="F1635" s="204" t="s">
        <v>2591</v>
      </c>
      <c r="G1635" s="206" t="s">
        <v>88</v>
      </c>
      <c r="H1635" s="219" t="s">
        <v>3170</v>
      </c>
      <c r="I1635" s="156" t="s">
        <v>26</v>
      </c>
      <c r="J1635" s="204" t="s">
        <v>2593</v>
      </c>
      <c r="K1635" s="207"/>
    </row>
    <row r="1636" spans="1:11" ht="117">
      <c r="A1636" s="204">
        <v>1634</v>
      </c>
      <c r="B1636" s="208">
        <v>45940</v>
      </c>
      <c r="C1636" s="267" t="s">
        <v>832</v>
      </c>
      <c r="D1636" s="204">
        <v>2025</v>
      </c>
      <c r="E1636" s="209" t="s">
        <v>1431</v>
      </c>
      <c r="F1636" s="209" t="s">
        <v>2591</v>
      </c>
      <c r="G1636" s="210" t="s">
        <v>88</v>
      </c>
      <c r="H1636" s="218" t="s">
        <v>3171</v>
      </c>
      <c r="I1636" s="156" t="s">
        <v>26</v>
      </c>
      <c r="J1636" s="209" t="s">
        <v>2593</v>
      </c>
      <c r="K1636" s="211" t="s">
        <v>1472</v>
      </c>
    </row>
    <row r="1637" spans="1:11" ht="100.5">
      <c r="A1637" s="204">
        <v>1635</v>
      </c>
      <c r="B1637" s="205">
        <v>45940</v>
      </c>
      <c r="C1637" s="267" t="s">
        <v>832</v>
      </c>
      <c r="D1637" s="204">
        <v>2025</v>
      </c>
      <c r="E1637" s="204" t="s">
        <v>1431</v>
      </c>
      <c r="F1637" s="204" t="s">
        <v>1566</v>
      </c>
      <c r="G1637" s="206" t="s">
        <v>88</v>
      </c>
      <c r="H1637" s="207" t="s">
        <v>3172</v>
      </c>
      <c r="I1637" s="156" t="s">
        <v>26</v>
      </c>
      <c r="J1637" s="204" t="s">
        <v>2786</v>
      </c>
      <c r="K1637" s="207" t="s">
        <v>1472</v>
      </c>
    </row>
    <row r="1638" spans="1:11" ht="100.5">
      <c r="A1638" s="204">
        <v>1636</v>
      </c>
      <c r="B1638" s="208">
        <v>45940</v>
      </c>
      <c r="C1638" s="267" t="s">
        <v>832</v>
      </c>
      <c r="D1638" s="204">
        <v>2025</v>
      </c>
      <c r="E1638" s="209" t="s">
        <v>1431</v>
      </c>
      <c r="F1638" s="209" t="s">
        <v>1566</v>
      </c>
      <c r="G1638" s="210" t="s">
        <v>88</v>
      </c>
      <c r="H1638" s="211" t="s">
        <v>3173</v>
      </c>
      <c r="I1638" s="156" t="s">
        <v>26</v>
      </c>
      <c r="J1638" s="209" t="s">
        <v>2786</v>
      </c>
      <c r="K1638" s="211" t="s">
        <v>1478</v>
      </c>
    </row>
    <row r="1639" spans="1:11" ht="351">
      <c r="A1639" s="204">
        <v>1637</v>
      </c>
      <c r="B1639" s="205">
        <v>45940</v>
      </c>
      <c r="C1639" s="267" t="s">
        <v>832</v>
      </c>
      <c r="D1639" s="204">
        <v>2025</v>
      </c>
      <c r="E1639" s="204" t="s">
        <v>2224</v>
      </c>
      <c r="F1639" s="204" t="s">
        <v>2591</v>
      </c>
      <c r="G1639" s="206" t="s">
        <v>88</v>
      </c>
      <c r="H1639" s="207" t="s">
        <v>3174</v>
      </c>
      <c r="I1639" s="156" t="s">
        <v>26</v>
      </c>
      <c r="J1639" s="204" t="s">
        <v>2593</v>
      </c>
      <c r="K1639" s="207" t="s">
        <v>1472</v>
      </c>
    </row>
    <row r="1640" spans="1:11" ht="117">
      <c r="A1640" s="204">
        <v>1638</v>
      </c>
      <c r="B1640" s="208">
        <v>45943</v>
      </c>
      <c r="C1640" s="267" t="s">
        <v>832</v>
      </c>
      <c r="D1640" s="204">
        <v>2025</v>
      </c>
      <c r="E1640" s="209" t="s">
        <v>1431</v>
      </c>
      <c r="F1640" s="209" t="s">
        <v>922</v>
      </c>
      <c r="G1640" s="210" t="s">
        <v>88</v>
      </c>
      <c r="H1640" s="211" t="s">
        <v>3175</v>
      </c>
      <c r="I1640" s="156" t="s">
        <v>26</v>
      </c>
      <c r="J1640" s="209" t="s">
        <v>3176</v>
      </c>
      <c r="K1640" s="211" t="s">
        <v>1522</v>
      </c>
    </row>
    <row r="1641" spans="1:11" ht="134.25">
      <c r="A1641" s="204">
        <v>1639</v>
      </c>
      <c r="B1641" s="205">
        <v>45943</v>
      </c>
      <c r="C1641" s="267" t="s">
        <v>832</v>
      </c>
      <c r="D1641" s="204">
        <v>2025</v>
      </c>
      <c r="E1641" s="204" t="s">
        <v>1431</v>
      </c>
      <c r="F1641" s="204" t="s">
        <v>1539</v>
      </c>
      <c r="G1641" s="214" t="s">
        <v>859</v>
      </c>
      <c r="H1641" s="207" t="s">
        <v>3177</v>
      </c>
      <c r="I1641" s="156" t="s">
        <v>26</v>
      </c>
      <c r="J1641" s="204" t="s">
        <v>3178</v>
      </c>
      <c r="K1641" s="207" t="s">
        <v>1497</v>
      </c>
    </row>
    <row r="1642" spans="1:11" ht="66.75">
      <c r="A1642" s="204">
        <v>1640</v>
      </c>
      <c r="B1642" s="208">
        <v>45943</v>
      </c>
      <c r="C1642" s="267" t="s">
        <v>832</v>
      </c>
      <c r="D1642" s="204">
        <v>2025</v>
      </c>
      <c r="E1642" s="209" t="s">
        <v>1431</v>
      </c>
      <c r="F1642" s="209" t="s">
        <v>1434</v>
      </c>
      <c r="G1642" s="210" t="s">
        <v>88</v>
      </c>
      <c r="H1642" s="211" t="s">
        <v>3179</v>
      </c>
      <c r="I1642" s="156" t="s">
        <v>26</v>
      </c>
      <c r="J1642" s="209" t="s">
        <v>923</v>
      </c>
      <c r="K1642" s="211"/>
    </row>
    <row r="1643" spans="1:11" ht="100.5">
      <c r="A1643" s="204">
        <v>1641</v>
      </c>
      <c r="B1643" s="205">
        <v>45943</v>
      </c>
      <c r="C1643" s="267" t="s">
        <v>832</v>
      </c>
      <c r="D1643" s="204">
        <v>2025</v>
      </c>
      <c r="E1643" s="204" t="s">
        <v>1431</v>
      </c>
      <c r="F1643" s="204" t="s">
        <v>988</v>
      </c>
      <c r="G1643" s="214" t="s">
        <v>859</v>
      </c>
      <c r="H1643" s="207" t="s">
        <v>3180</v>
      </c>
      <c r="I1643" s="156" t="s">
        <v>26</v>
      </c>
      <c r="J1643" s="204" t="s">
        <v>910</v>
      </c>
      <c r="K1643" s="207" t="s">
        <v>1476</v>
      </c>
    </row>
    <row r="1644" spans="1:11" ht="66.75">
      <c r="A1644" s="204">
        <v>1642</v>
      </c>
      <c r="B1644" s="208">
        <v>45943</v>
      </c>
      <c r="C1644" s="267" t="s">
        <v>832</v>
      </c>
      <c r="D1644" s="204">
        <v>2025</v>
      </c>
      <c r="E1644" s="209" t="s">
        <v>1431</v>
      </c>
      <c r="F1644" s="209" t="s">
        <v>97</v>
      </c>
      <c r="G1644" s="213" t="s">
        <v>821</v>
      </c>
      <c r="H1644" s="211" t="s">
        <v>3181</v>
      </c>
      <c r="I1644" s="156" t="s">
        <v>26</v>
      </c>
      <c r="J1644" s="209" t="s">
        <v>158</v>
      </c>
      <c r="K1644" s="211"/>
    </row>
    <row r="1645" spans="1:11" ht="33.75">
      <c r="A1645" s="204">
        <v>1643</v>
      </c>
      <c r="B1645" s="205">
        <v>45943</v>
      </c>
      <c r="C1645" s="267" t="s">
        <v>832</v>
      </c>
      <c r="D1645" s="204">
        <v>2025</v>
      </c>
      <c r="E1645" s="204" t="s">
        <v>1431</v>
      </c>
      <c r="F1645" s="204" t="s">
        <v>2224</v>
      </c>
      <c r="G1645" s="214" t="s">
        <v>859</v>
      </c>
      <c r="H1645" s="207" t="s">
        <v>3182</v>
      </c>
      <c r="I1645" s="156" t="s">
        <v>26</v>
      </c>
      <c r="J1645" s="204" t="s">
        <v>3183</v>
      </c>
      <c r="K1645" s="207"/>
    </row>
    <row r="1646" spans="1:11" ht="117">
      <c r="A1646" s="204">
        <v>1644</v>
      </c>
      <c r="B1646" s="208">
        <v>45943</v>
      </c>
      <c r="C1646" s="267" t="s">
        <v>832</v>
      </c>
      <c r="D1646" s="204">
        <v>2025</v>
      </c>
      <c r="E1646" s="209" t="s">
        <v>1431</v>
      </c>
      <c r="F1646" s="209" t="s">
        <v>2591</v>
      </c>
      <c r="G1646" s="210" t="s">
        <v>88</v>
      </c>
      <c r="H1646" s="211" t="s">
        <v>3184</v>
      </c>
      <c r="I1646" s="156" t="s">
        <v>26</v>
      </c>
      <c r="J1646" s="209" t="s">
        <v>2593</v>
      </c>
      <c r="K1646" s="211" t="s">
        <v>1437</v>
      </c>
    </row>
    <row r="1647" spans="1:11" ht="84">
      <c r="A1647" s="204">
        <v>1645</v>
      </c>
      <c r="B1647" s="205">
        <v>45943</v>
      </c>
      <c r="C1647" s="267" t="s">
        <v>832</v>
      </c>
      <c r="D1647" s="204">
        <v>2025</v>
      </c>
      <c r="E1647" s="204" t="s">
        <v>1431</v>
      </c>
      <c r="F1647" s="204" t="s">
        <v>2591</v>
      </c>
      <c r="G1647" s="206" t="s">
        <v>88</v>
      </c>
      <c r="H1647" s="219" t="s">
        <v>3185</v>
      </c>
      <c r="I1647" s="156" t="s">
        <v>26</v>
      </c>
      <c r="J1647" s="204" t="s">
        <v>2593</v>
      </c>
      <c r="K1647" s="207" t="s">
        <v>1500</v>
      </c>
    </row>
    <row r="1648" spans="1:11" ht="84">
      <c r="A1648" s="204">
        <v>1646</v>
      </c>
      <c r="B1648" s="208">
        <v>45943</v>
      </c>
      <c r="C1648" s="267" t="s">
        <v>832</v>
      </c>
      <c r="D1648" s="204">
        <v>2025</v>
      </c>
      <c r="E1648" s="209" t="s">
        <v>1431</v>
      </c>
      <c r="F1648" s="209" t="s">
        <v>2591</v>
      </c>
      <c r="G1648" s="210" t="s">
        <v>88</v>
      </c>
      <c r="H1648" s="218" t="s">
        <v>3186</v>
      </c>
      <c r="I1648" s="156" t="s">
        <v>26</v>
      </c>
      <c r="J1648" s="209" t="s">
        <v>2593</v>
      </c>
      <c r="K1648" s="211"/>
    </row>
    <row r="1649" spans="1:11" ht="117">
      <c r="A1649" s="204">
        <v>1647</v>
      </c>
      <c r="B1649" s="205">
        <v>45943</v>
      </c>
      <c r="C1649" s="267" t="s">
        <v>832</v>
      </c>
      <c r="D1649" s="204">
        <v>2025</v>
      </c>
      <c r="E1649" s="204" t="s">
        <v>1431</v>
      </c>
      <c r="F1649" s="204" t="s">
        <v>2591</v>
      </c>
      <c r="G1649" s="213" t="s">
        <v>821</v>
      </c>
      <c r="H1649" s="219" t="s">
        <v>3187</v>
      </c>
      <c r="I1649" s="156" t="s">
        <v>26</v>
      </c>
      <c r="J1649" s="204" t="s">
        <v>2593</v>
      </c>
      <c r="K1649" s="207" t="s">
        <v>1446</v>
      </c>
    </row>
    <row r="1650" spans="1:11" ht="84">
      <c r="A1650" s="204">
        <v>1648</v>
      </c>
      <c r="B1650" s="208">
        <v>45943</v>
      </c>
      <c r="C1650" s="267" t="s">
        <v>832</v>
      </c>
      <c r="D1650" s="204">
        <v>2025</v>
      </c>
      <c r="E1650" s="209" t="s">
        <v>1431</v>
      </c>
      <c r="F1650" s="209" t="s">
        <v>1566</v>
      </c>
      <c r="G1650" s="210" t="s">
        <v>88</v>
      </c>
      <c r="H1650" s="211" t="s">
        <v>3188</v>
      </c>
      <c r="I1650" s="156" t="s">
        <v>26</v>
      </c>
      <c r="J1650" s="209" t="s">
        <v>1588</v>
      </c>
      <c r="K1650" s="211" t="s">
        <v>1500</v>
      </c>
    </row>
    <row r="1651" spans="1:11" ht="134.25">
      <c r="A1651" s="204">
        <v>1649</v>
      </c>
      <c r="B1651" s="205">
        <v>45943</v>
      </c>
      <c r="C1651" s="267" t="s">
        <v>832</v>
      </c>
      <c r="D1651" s="204">
        <v>2025</v>
      </c>
      <c r="E1651" s="204" t="s">
        <v>1431</v>
      </c>
      <c r="F1651" s="204" t="s">
        <v>1608</v>
      </c>
      <c r="G1651" s="212" t="s">
        <v>1439</v>
      </c>
      <c r="H1651" s="207" t="s">
        <v>3189</v>
      </c>
      <c r="I1651" s="156" t="s">
        <v>26</v>
      </c>
      <c r="J1651" s="204" t="s">
        <v>1458</v>
      </c>
      <c r="K1651" s="207" t="s">
        <v>1442</v>
      </c>
    </row>
    <row r="1652" spans="1:11" ht="134.25">
      <c r="A1652" s="204">
        <v>1650</v>
      </c>
      <c r="B1652" s="208">
        <v>45943</v>
      </c>
      <c r="C1652" s="267" t="s">
        <v>832</v>
      </c>
      <c r="D1652" s="204">
        <v>2025</v>
      </c>
      <c r="E1652" s="209" t="s">
        <v>1431</v>
      </c>
      <c r="F1652" s="209" t="s">
        <v>1608</v>
      </c>
      <c r="G1652" s="212" t="s">
        <v>1439</v>
      </c>
      <c r="H1652" s="211" t="s">
        <v>3190</v>
      </c>
      <c r="I1652" s="156" t="s">
        <v>26</v>
      </c>
      <c r="J1652" s="209" t="s">
        <v>1458</v>
      </c>
      <c r="K1652" s="211" t="s">
        <v>1442</v>
      </c>
    </row>
    <row r="1653" spans="1:11" ht="134.25">
      <c r="A1653" s="204">
        <v>1651</v>
      </c>
      <c r="B1653" s="205">
        <v>45943</v>
      </c>
      <c r="C1653" s="267" t="s">
        <v>832</v>
      </c>
      <c r="D1653" s="204">
        <v>2025</v>
      </c>
      <c r="E1653" s="204" t="s">
        <v>1431</v>
      </c>
      <c r="F1653" s="204" t="s">
        <v>1608</v>
      </c>
      <c r="G1653" s="212" t="s">
        <v>1439</v>
      </c>
      <c r="H1653" s="207" t="s">
        <v>3191</v>
      </c>
      <c r="I1653" s="156" t="s">
        <v>26</v>
      </c>
      <c r="J1653" s="204" t="s">
        <v>1458</v>
      </c>
      <c r="K1653" s="207" t="s">
        <v>1442</v>
      </c>
    </row>
    <row r="1654" spans="1:11" ht="66.75">
      <c r="A1654" s="204">
        <v>1652</v>
      </c>
      <c r="B1654" s="208">
        <v>45943</v>
      </c>
      <c r="C1654" s="267" t="s">
        <v>832</v>
      </c>
      <c r="D1654" s="204">
        <v>2025</v>
      </c>
      <c r="E1654" s="209" t="s">
        <v>2224</v>
      </c>
      <c r="F1654" s="209" t="s">
        <v>1566</v>
      </c>
      <c r="G1654" s="210" t="s">
        <v>88</v>
      </c>
      <c r="H1654" s="211" t="s">
        <v>3192</v>
      </c>
      <c r="I1654" s="156" t="s">
        <v>26</v>
      </c>
      <c r="J1654" s="209" t="s">
        <v>1588</v>
      </c>
      <c r="K1654" s="211" t="s">
        <v>1548</v>
      </c>
    </row>
    <row r="1655" spans="1:11" ht="183.75">
      <c r="A1655" s="204">
        <v>1653</v>
      </c>
      <c r="B1655" s="205">
        <v>45943</v>
      </c>
      <c r="C1655" s="267" t="s">
        <v>832</v>
      </c>
      <c r="D1655" s="204">
        <v>2025</v>
      </c>
      <c r="E1655" s="204" t="s">
        <v>2224</v>
      </c>
      <c r="F1655" s="204" t="s">
        <v>2591</v>
      </c>
      <c r="G1655" s="206" t="s">
        <v>88</v>
      </c>
      <c r="H1655" s="219" t="s">
        <v>3193</v>
      </c>
      <c r="I1655" s="156" t="s">
        <v>26</v>
      </c>
      <c r="J1655" s="204" t="s">
        <v>2593</v>
      </c>
      <c r="K1655" s="207" t="s">
        <v>1472</v>
      </c>
    </row>
    <row r="1656" spans="1:11" ht="66.75">
      <c r="A1656" s="204">
        <v>1654</v>
      </c>
      <c r="B1656" s="208">
        <v>45944</v>
      </c>
      <c r="C1656" s="267" t="s">
        <v>832</v>
      </c>
      <c r="D1656" s="204">
        <v>2025</v>
      </c>
      <c r="E1656" s="209" t="s">
        <v>1431</v>
      </c>
      <c r="F1656" s="209" t="s">
        <v>1225</v>
      </c>
      <c r="G1656" s="217" t="s">
        <v>859</v>
      </c>
      <c r="H1656" s="211" t="s">
        <v>3194</v>
      </c>
      <c r="I1656" s="156" t="s">
        <v>26</v>
      </c>
      <c r="J1656" s="209" t="s">
        <v>452</v>
      </c>
      <c r="K1656" s="211"/>
    </row>
    <row r="1657" spans="1:11" ht="50.25">
      <c r="A1657" s="204">
        <v>1655</v>
      </c>
      <c r="B1657" s="205">
        <v>45944</v>
      </c>
      <c r="C1657" s="267" t="s">
        <v>832</v>
      </c>
      <c r="D1657" s="204">
        <v>2025</v>
      </c>
      <c r="E1657" s="204" t="s">
        <v>1431</v>
      </c>
      <c r="F1657" s="204" t="s">
        <v>1225</v>
      </c>
      <c r="G1657" s="214" t="s">
        <v>859</v>
      </c>
      <c r="H1657" s="207" t="s">
        <v>3195</v>
      </c>
      <c r="I1657" s="156" t="s">
        <v>26</v>
      </c>
      <c r="J1657" s="204" t="s">
        <v>1543</v>
      </c>
      <c r="K1657" s="207"/>
    </row>
    <row r="1658" spans="1:11" ht="84">
      <c r="A1658" s="204">
        <v>1656</v>
      </c>
      <c r="B1658" s="208">
        <v>45944</v>
      </c>
      <c r="C1658" s="267" t="s">
        <v>832</v>
      </c>
      <c r="D1658" s="204">
        <v>2025</v>
      </c>
      <c r="E1658" s="209" t="s">
        <v>1431</v>
      </c>
      <c r="F1658" s="209" t="s">
        <v>1518</v>
      </c>
      <c r="G1658" s="210" t="s">
        <v>88</v>
      </c>
      <c r="H1658" s="211" t="s">
        <v>3196</v>
      </c>
      <c r="I1658" s="156" t="s">
        <v>26</v>
      </c>
      <c r="J1658" s="209" t="s">
        <v>3176</v>
      </c>
      <c r="K1658" s="211" t="s">
        <v>1444</v>
      </c>
    </row>
    <row r="1659" spans="1:11" ht="50.25">
      <c r="A1659" s="204">
        <v>1657</v>
      </c>
      <c r="B1659" s="205">
        <v>45944</v>
      </c>
      <c r="C1659" s="267" t="s">
        <v>832</v>
      </c>
      <c r="D1659" s="204">
        <v>2025</v>
      </c>
      <c r="E1659" s="204" t="s">
        <v>1431</v>
      </c>
      <c r="F1659" s="204" t="s">
        <v>216</v>
      </c>
      <c r="G1659" s="213" t="s">
        <v>821</v>
      </c>
      <c r="H1659" s="207" t="s">
        <v>3197</v>
      </c>
      <c r="I1659" s="156" t="s">
        <v>26</v>
      </c>
      <c r="J1659" s="204" t="s">
        <v>492</v>
      </c>
      <c r="K1659" s="207"/>
    </row>
    <row r="1660" spans="1:11" ht="100.5">
      <c r="A1660" s="204">
        <v>1658</v>
      </c>
      <c r="B1660" s="208">
        <v>45944</v>
      </c>
      <c r="C1660" s="267" t="s">
        <v>832</v>
      </c>
      <c r="D1660" s="204">
        <v>2025</v>
      </c>
      <c r="E1660" s="209" t="s">
        <v>1431</v>
      </c>
      <c r="F1660" s="209" t="s">
        <v>1584</v>
      </c>
      <c r="G1660" s="213" t="s">
        <v>821</v>
      </c>
      <c r="H1660" s="211" t="s">
        <v>3198</v>
      </c>
      <c r="I1660" s="156" t="s">
        <v>26</v>
      </c>
      <c r="J1660" s="209" t="s">
        <v>158</v>
      </c>
      <c r="K1660" s="211" t="s">
        <v>1448</v>
      </c>
    </row>
    <row r="1661" spans="1:11" ht="50.25">
      <c r="A1661" s="204">
        <v>1659</v>
      </c>
      <c r="B1661" s="205">
        <v>45944</v>
      </c>
      <c r="C1661" s="267" t="s">
        <v>832</v>
      </c>
      <c r="D1661" s="204">
        <v>2025</v>
      </c>
      <c r="E1661" s="204" t="s">
        <v>2224</v>
      </c>
      <c r="F1661" s="204" t="s">
        <v>988</v>
      </c>
      <c r="G1661" s="206" t="s">
        <v>88</v>
      </c>
      <c r="H1661" s="207" t="s">
        <v>3199</v>
      </c>
      <c r="I1661" s="156" t="s">
        <v>26</v>
      </c>
      <c r="J1661" s="204" t="s">
        <v>2568</v>
      </c>
      <c r="K1661" s="207"/>
    </row>
    <row r="1662" spans="1:11" ht="33.75">
      <c r="A1662" s="204">
        <v>1660</v>
      </c>
      <c r="B1662" s="208">
        <v>45944</v>
      </c>
      <c r="C1662" s="267" t="s">
        <v>832</v>
      </c>
      <c r="D1662" s="204">
        <v>2025</v>
      </c>
      <c r="E1662" s="209" t="s">
        <v>2224</v>
      </c>
      <c r="F1662" s="209" t="s">
        <v>216</v>
      </c>
      <c r="G1662" s="213" t="s">
        <v>821</v>
      </c>
      <c r="H1662" s="211" t="s">
        <v>3200</v>
      </c>
      <c r="I1662" s="156" t="s">
        <v>26</v>
      </c>
      <c r="J1662" s="209" t="s">
        <v>492</v>
      </c>
      <c r="K1662" s="211"/>
    </row>
    <row r="1663" spans="1:11" ht="100.5">
      <c r="A1663" s="204">
        <v>1661</v>
      </c>
      <c r="B1663" s="205">
        <v>45944</v>
      </c>
      <c r="C1663" s="267" t="s">
        <v>832</v>
      </c>
      <c r="D1663" s="204">
        <v>2025</v>
      </c>
      <c r="E1663" s="204" t="s">
        <v>2224</v>
      </c>
      <c r="F1663" s="204" t="s">
        <v>1508</v>
      </c>
      <c r="G1663" s="213" t="s">
        <v>821</v>
      </c>
      <c r="H1663" s="207" t="s">
        <v>3201</v>
      </c>
      <c r="I1663" s="156" t="s">
        <v>26</v>
      </c>
      <c r="J1663" s="204" t="s">
        <v>2953</v>
      </c>
      <c r="K1663" s="207" t="s">
        <v>1448</v>
      </c>
    </row>
    <row r="1664" spans="1:11" ht="50.25">
      <c r="A1664" s="204">
        <v>1662</v>
      </c>
      <c r="B1664" s="208">
        <v>45944</v>
      </c>
      <c r="C1664" s="267" t="s">
        <v>832</v>
      </c>
      <c r="D1664" s="204">
        <v>2025</v>
      </c>
      <c r="E1664" s="209" t="s">
        <v>1431</v>
      </c>
      <c r="F1664" s="209" t="s">
        <v>2591</v>
      </c>
      <c r="G1664" s="210" t="s">
        <v>88</v>
      </c>
      <c r="H1664" s="218" t="s">
        <v>3202</v>
      </c>
      <c r="I1664" s="156" t="s">
        <v>26</v>
      </c>
      <c r="J1664" s="209" t="s">
        <v>2593</v>
      </c>
      <c r="K1664" s="211"/>
    </row>
    <row r="1665" spans="1:11" ht="66.75">
      <c r="A1665" s="204">
        <v>1663</v>
      </c>
      <c r="B1665" s="205">
        <v>45944</v>
      </c>
      <c r="C1665" s="267" t="s">
        <v>832</v>
      </c>
      <c r="D1665" s="204">
        <v>2025</v>
      </c>
      <c r="E1665" s="204" t="s">
        <v>1431</v>
      </c>
      <c r="F1665" s="204" t="s">
        <v>2591</v>
      </c>
      <c r="G1665" s="206" t="s">
        <v>88</v>
      </c>
      <c r="H1665" s="219" t="s">
        <v>3203</v>
      </c>
      <c r="I1665" s="156" t="s">
        <v>26</v>
      </c>
      <c r="J1665" s="204" t="s">
        <v>2593</v>
      </c>
      <c r="K1665" s="207"/>
    </row>
    <row r="1666" spans="1:11" ht="100.5">
      <c r="A1666" s="204">
        <v>1664</v>
      </c>
      <c r="B1666" s="208">
        <v>45944</v>
      </c>
      <c r="C1666" s="267" t="s">
        <v>832</v>
      </c>
      <c r="D1666" s="204">
        <v>2025</v>
      </c>
      <c r="E1666" s="209" t="s">
        <v>1431</v>
      </c>
      <c r="F1666" s="209" t="s">
        <v>2591</v>
      </c>
      <c r="G1666" s="210" t="s">
        <v>88</v>
      </c>
      <c r="H1666" s="218" t="s">
        <v>3204</v>
      </c>
      <c r="I1666" s="156" t="s">
        <v>26</v>
      </c>
      <c r="J1666" s="209" t="s">
        <v>2593</v>
      </c>
      <c r="K1666" s="211" t="s">
        <v>1472</v>
      </c>
    </row>
    <row r="1667" spans="1:11" ht="84">
      <c r="A1667" s="204">
        <v>1665</v>
      </c>
      <c r="B1667" s="205">
        <v>45944</v>
      </c>
      <c r="C1667" s="267" t="s">
        <v>832</v>
      </c>
      <c r="D1667" s="204">
        <v>2025</v>
      </c>
      <c r="E1667" s="204" t="s">
        <v>1431</v>
      </c>
      <c r="F1667" s="204" t="s">
        <v>2591</v>
      </c>
      <c r="G1667" s="206" t="s">
        <v>88</v>
      </c>
      <c r="H1667" s="219" t="s">
        <v>3205</v>
      </c>
      <c r="I1667" s="156" t="s">
        <v>26</v>
      </c>
      <c r="J1667" s="204" t="s">
        <v>2593</v>
      </c>
      <c r="K1667" s="207" t="s">
        <v>1500</v>
      </c>
    </row>
    <row r="1668" spans="1:11" ht="100.5">
      <c r="A1668" s="204">
        <v>1666</v>
      </c>
      <c r="B1668" s="208">
        <v>45944</v>
      </c>
      <c r="C1668" s="267" t="s">
        <v>832</v>
      </c>
      <c r="D1668" s="204">
        <v>2025</v>
      </c>
      <c r="E1668" s="209" t="s">
        <v>1431</v>
      </c>
      <c r="F1668" s="209" t="s">
        <v>2591</v>
      </c>
      <c r="G1668" s="210" t="s">
        <v>88</v>
      </c>
      <c r="H1668" s="218" t="s">
        <v>3206</v>
      </c>
      <c r="I1668" s="156" t="s">
        <v>26</v>
      </c>
      <c r="J1668" s="209" t="s">
        <v>2593</v>
      </c>
      <c r="K1668" s="211" t="s">
        <v>1444</v>
      </c>
    </row>
    <row r="1669" spans="1:11" ht="100.5">
      <c r="A1669" s="204">
        <v>1667</v>
      </c>
      <c r="B1669" s="205">
        <v>45945</v>
      </c>
      <c r="C1669" s="267" t="s">
        <v>832</v>
      </c>
      <c r="D1669" s="204">
        <v>2025</v>
      </c>
      <c r="E1669" s="204" t="s">
        <v>1431</v>
      </c>
      <c r="F1669" s="204" t="s">
        <v>1504</v>
      </c>
      <c r="G1669" s="206" t="s">
        <v>88</v>
      </c>
      <c r="H1669" s="207" t="s">
        <v>3207</v>
      </c>
      <c r="I1669" s="156" t="s">
        <v>26</v>
      </c>
      <c r="J1669" s="204" t="s">
        <v>921</v>
      </c>
      <c r="K1669" s="207" t="s">
        <v>1472</v>
      </c>
    </row>
    <row r="1670" spans="1:11" ht="117">
      <c r="A1670" s="204">
        <v>1668</v>
      </c>
      <c r="B1670" s="208">
        <v>45945</v>
      </c>
      <c r="C1670" s="267" t="s">
        <v>832</v>
      </c>
      <c r="D1670" s="204">
        <v>2025</v>
      </c>
      <c r="E1670" s="209" t="s">
        <v>1431</v>
      </c>
      <c r="F1670" s="209" t="s">
        <v>1504</v>
      </c>
      <c r="G1670" s="213" t="s">
        <v>821</v>
      </c>
      <c r="H1670" s="211" t="s">
        <v>3208</v>
      </c>
      <c r="I1670" s="156" t="s">
        <v>26</v>
      </c>
      <c r="J1670" s="209" t="s">
        <v>921</v>
      </c>
      <c r="K1670" s="211" t="s">
        <v>1446</v>
      </c>
    </row>
    <row r="1671" spans="1:11" ht="117">
      <c r="A1671" s="204">
        <v>1669</v>
      </c>
      <c r="B1671" s="205">
        <v>45945</v>
      </c>
      <c r="C1671" s="267" t="s">
        <v>832</v>
      </c>
      <c r="D1671" s="204">
        <v>2025</v>
      </c>
      <c r="E1671" s="204" t="s">
        <v>1431</v>
      </c>
      <c r="F1671" s="204" t="s">
        <v>21</v>
      </c>
      <c r="G1671" s="213" t="s">
        <v>821</v>
      </c>
      <c r="H1671" s="207" t="s">
        <v>3209</v>
      </c>
      <c r="I1671" s="156" t="s">
        <v>26</v>
      </c>
      <c r="J1671" s="204" t="s">
        <v>149</v>
      </c>
      <c r="K1671" s="207" t="s">
        <v>1482</v>
      </c>
    </row>
    <row r="1672" spans="1:11" ht="150.75">
      <c r="A1672" s="204">
        <v>1670</v>
      </c>
      <c r="B1672" s="208">
        <v>45945</v>
      </c>
      <c r="C1672" s="267" t="s">
        <v>832</v>
      </c>
      <c r="D1672" s="204">
        <v>2025</v>
      </c>
      <c r="E1672" s="209" t="s">
        <v>1431</v>
      </c>
      <c r="F1672" s="209" t="s">
        <v>21</v>
      </c>
      <c r="G1672" s="213" t="s">
        <v>821</v>
      </c>
      <c r="H1672" s="211" t="s">
        <v>3210</v>
      </c>
      <c r="I1672" s="156" t="s">
        <v>26</v>
      </c>
      <c r="J1672" s="209" t="s">
        <v>149</v>
      </c>
      <c r="K1672" s="211" t="s">
        <v>1513</v>
      </c>
    </row>
    <row r="1673" spans="1:11" ht="50.25">
      <c r="A1673" s="204">
        <v>1671</v>
      </c>
      <c r="B1673" s="205">
        <v>45945</v>
      </c>
      <c r="C1673" s="267" t="s">
        <v>832</v>
      </c>
      <c r="D1673" s="204">
        <v>2025</v>
      </c>
      <c r="E1673" s="204" t="s">
        <v>1431</v>
      </c>
      <c r="F1673" s="204" t="s">
        <v>1508</v>
      </c>
      <c r="G1673" s="206" t="s">
        <v>88</v>
      </c>
      <c r="H1673" s="207" t="s">
        <v>3211</v>
      </c>
      <c r="I1673" s="156" t="s">
        <v>26</v>
      </c>
      <c r="J1673" s="204" t="s">
        <v>3176</v>
      </c>
      <c r="K1673" s="207"/>
    </row>
    <row r="1674" spans="1:11" ht="134.25">
      <c r="A1674" s="204">
        <v>1672</v>
      </c>
      <c r="B1674" s="208">
        <v>45945</v>
      </c>
      <c r="C1674" s="267" t="s">
        <v>832</v>
      </c>
      <c r="D1674" s="204">
        <v>2025</v>
      </c>
      <c r="E1674" s="209" t="s">
        <v>1431</v>
      </c>
      <c r="F1674" s="209" t="s">
        <v>3011</v>
      </c>
      <c r="G1674" s="212" t="s">
        <v>1439</v>
      </c>
      <c r="H1674" s="211" t="s">
        <v>3212</v>
      </c>
      <c r="I1674" s="156" t="s">
        <v>26</v>
      </c>
      <c r="J1674" s="209" t="s">
        <v>2599</v>
      </c>
      <c r="K1674" s="211" t="s">
        <v>1442</v>
      </c>
    </row>
    <row r="1675" spans="1:11" ht="117">
      <c r="A1675" s="204">
        <v>1673</v>
      </c>
      <c r="B1675" s="205">
        <v>45945</v>
      </c>
      <c r="C1675" s="267" t="s">
        <v>832</v>
      </c>
      <c r="D1675" s="204">
        <v>2025</v>
      </c>
      <c r="E1675" s="204" t="s">
        <v>1431</v>
      </c>
      <c r="F1675" s="204" t="s">
        <v>2434</v>
      </c>
      <c r="G1675" s="214" t="s">
        <v>859</v>
      </c>
      <c r="H1675" s="207" t="s">
        <v>3213</v>
      </c>
      <c r="I1675" s="156" t="s">
        <v>26</v>
      </c>
      <c r="J1675" s="204" t="s">
        <v>3164</v>
      </c>
      <c r="K1675" s="207" t="s">
        <v>1559</v>
      </c>
    </row>
    <row r="1676" spans="1:11" ht="66.75">
      <c r="A1676" s="204">
        <v>1674</v>
      </c>
      <c r="B1676" s="208">
        <v>45945</v>
      </c>
      <c r="C1676" s="267" t="s">
        <v>832</v>
      </c>
      <c r="D1676" s="204">
        <v>2025</v>
      </c>
      <c r="E1676" s="209" t="s">
        <v>1431</v>
      </c>
      <c r="F1676" s="209" t="s">
        <v>216</v>
      </c>
      <c r="G1676" s="213" t="s">
        <v>821</v>
      </c>
      <c r="H1676" s="211" t="s">
        <v>3214</v>
      </c>
      <c r="I1676" s="156" t="s">
        <v>26</v>
      </c>
      <c r="J1676" s="209" t="s">
        <v>492</v>
      </c>
      <c r="K1676" s="211"/>
    </row>
    <row r="1677" spans="1:11" ht="66.75">
      <c r="A1677" s="204">
        <v>1675</v>
      </c>
      <c r="B1677" s="205">
        <v>45945</v>
      </c>
      <c r="C1677" s="267" t="s">
        <v>832</v>
      </c>
      <c r="D1677" s="204">
        <v>2025</v>
      </c>
      <c r="E1677" s="204" t="s">
        <v>2224</v>
      </c>
      <c r="F1677" s="204" t="s">
        <v>1225</v>
      </c>
      <c r="G1677" s="214" t="s">
        <v>859</v>
      </c>
      <c r="H1677" s="207" t="s">
        <v>3215</v>
      </c>
      <c r="I1677" s="156" t="s">
        <v>26</v>
      </c>
      <c r="J1677" s="204" t="s">
        <v>2735</v>
      </c>
      <c r="K1677" s="207"/>
    </row>
    <row r="1678" spans="1:11" ht="100.5">
      <c r="A1678" s="204">
        <v>1676</v>
      </c>
      <c r="B1678" s="208">
        <v>45945</v>
      </c>
      <c r="C1678" s="267" t="s">
        <v>832</v>
      </c>
      <c r="D1678" s="204">
        <v>2025</v>
      </c>
      <c r="E1678" s="209" t="s">
        <v>1431</v>
      </c>
      <c r="F1678" s="209" t="s">
        <v>1566</v>
      </c>
      <c r="G1678" s="210" t="s">
        <v>88</v>
      </c>
      <c r="H1678" s="211" t="s">
        <v>3216</v>
      </c>
      <c r="I1678" s="156" t="s">
        <v>26</v>
      </c>
      <c r="J1678" s="209" t="s">
        <v>1588</v>
      </c>
      <c r="K1678" s="211" t="s">
        <v>1478</v>
      </c>
    </row>
    <row r="1679" spans="1:11" ht="117">
      <c r="A1679" s="204">
        <v>1677</v>
      </c>
      <c r="B1679" s="205">
        <v>45946</v>
      </c>
      <c r="C1679" s="267" t="s">
        <v>832</v>
      </c>
      <c r="D1679" s="204">
        <v>2025</v>
      </c>
      <c r="E1679" s="204" t="s">
        <v>1431</v>
      </c>
      <c r="F1679" s="204" t="s">
        <v>3217</v>
      </c>
      <c r="G1679" s="213" t="s">
        <v>821</v>
      </c>
      <c r="H1679" s="207" t="s">
        <v>3218</v>
      </c>
      <c r="I1679" s="156" t="s">
        <v>26</v>
      </c>
      <c r="J1679" s="204" t="s">
        <v>468</v>
      </c>
      <c r="K1679" s="207" t="s">
        <v>1482</v>
      </c>
    </row>
    <row r="1680" spans="1:11" ht="134.25">
      <c r="A1680" s="204">
        <v>1678</v>
      </c>
      <c r="B1680" s="208">
        <v>45946</v>
      </c>
      <c r="C1680" s="267" t="s">
        <v>832</v>
      </c>
      <c r="D1680" s="204">
        <v>2025</v>
      </c>
      <c r="E1680" s="209" t="s">
        <v>1431</v>
      </c>
      <c r="F1680" s="209" t="s">
        <v>3011</v>
      </c>
      <c r="G1680" s="212" t="s">
        <v>1439</v>
      </c>
      <c r="H1680" s="211" t="s">
        <v>3219</v>
      </c>
      <c r="I1680" s="156" t="s">
        <v>26</v>
      </c>
      <c r="J1680" s="209" t="s">
        <v>2599</v>
      </c>
      <c r="K1680" s="211" t="s">
        <v>1442</v>
      </c>
    </row>
    <row r="1681" spans="1:11" ht="100.5">
      <c r="A1681" s="204">
        <v>1679</v>
      </c>
      <c r="B1681" s="205">
        <v>45946</v>
      </c>
      <c r="C1681" s="267" t="s">
        <v>832</v>
      </c>
      <c r="D1681" s="204">
        <v>2025</v>
      </c>
      <c r="E1681" s="204" t="s">
        <v>1431</v>
      </c>
      <c r="F1681" s="204" t="s">
        <v>97</v>
      </c>
      <c r="G1681" s="213" t="s">
        <v>821</v>
      </c>
      <c r="H1681" s="207" t="s">
        <v>3220</v>
      </c>
      <c r="I1681" s="156" t="s">
        <v>26</v>
      </c>
      <c r="J1681" s="204" t="s">
        <v>158</v>
      </c>
      <c r="K1681" s="207" t="s">
        <v>1448</v>
      </c>
    </row>
    <row r="1682" spans="1:11" ht="33.75">
      <c r="A1682" s="204">
        <v>1680</v>
      </c>
      <c r="B1682" s="208">
        <v>45946</v>
      </c>
      <c r="C1682" s="267" t="s">
        <v>832</v>
      </c>
      <c r="D1682" s="204">
        <v>2025</v>
      </c>
      <c r="E1682" s="209" t="s">
        <v>1431</v>
      </c>
      <c r="F1682" s="209" t="s">
        <v>216</v>
      </c>
      <c r="G1682" s="213" t="s">
        <v>821</v>
      </c>
      <c r="H1682" s="211" t="s">
        <v>3221</v>
      </c>
      <c r="I1682" s="156" t="s">
        <v>26</v>
      </c>
      <c r="J1682" s="209" t="s">
        <v>492</v>
      </c>
      <c r="K1682" s="211"/>
    </row>
    <row r="1683" spans="1:11" ht="33.75">
      <c r="A1683" s="204">
        <v>1681</v>
      </c>
      <c r="B1683" s="205">
        <v>45946</v>
      </c>
      <c r="C1683" s="267" t="s">
        <v>832</v>
      </c>
      <c r="D1683" s="204">
        <v>2025</v>
      </c>
      <c r="E1683" s="204" t="s">
        <v>1431</v>
      </c>
      <c r="F1683" s="204" t="s">
        <v>216</v>
      </c>
      <c r="G1683" s="213" t="s">
        <v>821</v>
      </c>
      <c r="H1683" s="207" t="s">
        <v>3222</v>
      </c>
      <c r="I1683" s="156" t="s">
        <v>26</v>
      </c>
      <c r="J1683" s="204" t="s">
        <v>492</v>
      </c>
      <c r="K1683" s="207"/>
    </row>
    <row r="1684" spans="1:11" ht="100.5">
      <c r="A1684" s="204">
        <v>1682</v>
      </c>
      <c r="B1684" s="208">
        <v>45946</v>
      </c>
      <c r="C1684" s="267" t="s">
        <v>832</v>
      </c>
      <c r="D1684" s="204">
        <v>2025</v>
      </c>
      <c r="E1684" s="209" t="s">
        <v>1431</v>
      </c>
      <c r="F1684" s="209" t="s">
        <v>97</v>
      </c>
      <c r="G1684" s="213" t="s">
        <v>821</v>
      </c>
      <c r="H1684" s="211" t="s">
        <v>3223</v>
      </c>
      <c r="I1684" s="156" t="s">
        <v>26</v>
      </c>
      <c r="J1684" s="209" t="s">
        <v>158</v>
      </c>
      <c r="K1684" s="211" t="s">
        <v>1448</v>
      </c>
    </row>
    <row r="1685" spans="1:11" ht="84">
      <c r="A1685" s="204">
        <v>1683</v>
      </c>
      <c r="B1685" s="205">
        <v>45946</v>
      </c>
      <c r="C1685" s="267" t="s">
        <v>832</v>
      </c>
      <c r="D1685" s="204">
        <v>2025</v>
      </c>
      <c r="E1685" s="204" t="s">
        <v>1431</v>
      </c>
      <c r="F1685" s="204" t="s">
        <v>1566</v>
      </c>
      <c r="G1685" s="206" t="s">
        <v>88</v>
      </c>
      <c r="H1685" s="207" t="s">
        <v>3224</v>
      </c>
      <c r="I1685" s="156" t="s">
        <v>26</v>
      </c>
      <c r="J1685" s="204" t="s">
        <v>1453</v>
      </c>
      <c r="K1685" s="207"/>
    </row>
    <row r="1686" spans="1:11" ht="100.5">
      <c r="A1686" s="204">
        <v>1684</v>
      </c>
      <c r="B1686" s="208">
        <v>45946</v>
      </c>
      <c r="C1686" s="267" t="s">
        <v>832</v>
      </c>
      <c r="D1686" s="204">
        <v>2025</v>
      </c>
      <c r="E1686" s="209" t="s">
        <v>2224</v>
      </c>
      <c r="F1686" s="209" t="s">
        <v>97</v>
      </c>
      <c r="G1686" s="213" t="s">
        <v>821</v>
      </c>
      <c r="H1686" s="211" t="s">
        <v>3225</v>
      </c>
      <c r="I1686" s="156" t="s">
        <v>26</v>
      </c>
      <c r="J1686" s="209" t="s">
        <v>2735</v>
      </c>
      <c r="K1686" s="211" t="s">
        <v>1448</v>
      </c>
    </row>
    <row r="1687" spans="1:11" ht="150.75">
      <c r="A1687" s="204">
        <v>1685</v>
      </c>
      <c r="B1687" s="205">
        <v>45946</v>
      </c>
      <c r="C1687" s="267" t="s">
        <v>832</v>
      </c>
      <c r="D1687" s="204">
        <v>2025</v>
      </c>
      <c r="E1687" s="204" t="s">
        <v>1431</v>
      </c>
      <c r="F1687" s="204" t="s">
        <v>2591</v>
      </c>
      <c r="G1687" s="206" t="s">
        <v>88</v>
      </c>
      <c r="H1687" s="207" t="s">
        <v>3226</v>
      </c>
      <c r="I1687" s="156" t="s">
        <v>26</v>
      </c>
      <c r="J1687" s="204" t="s">
        <v>2593</v>
      </c>
      <c r="K1687" s="207"/>
    </row>
    <row r="1688" spans="1:11" ht="16.5">
      <c r="A1688" s="204">
        <v>1686</v>
      </c>
      <c r="B1688" s="208">
        <v>45946</v>
      </c>
      <c r="C1688" s="267" t="s">
        <v>832</v>
      </c>
      <c r="D1688" s="204">
        <v>2025</v>
      </c>
      <c r="E1688" s="209" t="s">
        <v>1431</v>
      </c>
      <c r="F1688" s="209" t="s">
        <v>1566</v>
      </c>
      <c r="G1688" s="210" t="s">
        <v>88</v>
      </c>
      <c r="H1688" s="211" t="s">
        <v>3227</v>
      </c>
      <c r="I1688" s="156" t="s">
        <v>26</v>
      </c>
      <c r="J1688" s="209" t="s">
        <v>1453</v>
      </c>
      <c r="K1688" s="211"/>
    </row>
    <row r="1689" spans="1:11" ht="84">
      <c r="A1689" s="204">
        <v>1687</v>
      </c>
      <c r="B1689" s="205">
        <v>45947</v>
      </c>
      <c r="C1689" s="267" t="s">
        <v>832</v>
      </c>
      <c r="D1689" s="204">
        <v>2025</v>
      </c>
      <c r="E1689" s="204" t="s">
        <v>1431</v>
      </c>
      <c r="F1689" s="204" t="s">
        <v>97</v>
      </c>
      <c r="G1689" s="213" t="s">
        <v>821</v>
      </c>
      <c r="H1689" s="207" t="s">
        <v>3228</v>
      </c>
      <c r="I1689" s="156" t="s">
        <v>26</v>
      </c>
      <c r="J1689" s="204" t="s">
        <v>158</v>
      </c>
      <c r="K1689" s="207"/>
    </row>
    <row r="1690" spans="1:11" ht="84">
      <c r="A1690" s="204">
        <v>1688</v>
      </c>
      <c r="B1690" s="208">
        <v>45947</v>
      </c>
      <c r="C1690" s="267" t="s">
        <v>832</v>
      </c>
      <c r="D1690" s="204">
        <v>2025</v>
      </c>
      <c r="E1690" s="209" t="s">
        <v>1431</v>
      </c>
      <c r="F1690" s="209" t="s">
        <v>1518</v>
      </c>
      <c r="G1690" s="213" t="s">
        <v>821</v>
      </c>
      <c r="H1690" s="211" t="s">
        <v>3229</v>
      </c>
      <c r="I1690" s="156" t="s">
        <v>26</v>
      </c>
      <c r="J1690" s="209" t="s">
        <v>1493</v>
      </c>
      <c r="K1690" s="211" t="s">
        <v>1444</v>
      </c>
    </row>
    <row r="1691" spans="1:11" ht="50.25">
      <c r="A1691" s="204">
        <v>1689</v>
      </c>
      <c r="B1691" s="205">
        <v>45947</v>
      </c>
      <c r="C1691" s="267" t="s">
        <v>832</v>
      </c>
      <c r="D1691" s="204">
        <v>2025</v>
      </c>
      <c r="E1691" s="204" t="s">
        <v>1431</v>
      </c>
      <c r="F1691" s="204" t="s">
        <v>216</v>
      </c>
      <c r="G1691" s="213" t="s">
        <v>821</v>
      </c>
      <c r="H1691" s="207" t="s">
        <v>3230</v>
      </c>
      <c r="I1691" s="156" t="s">
        <v>26</v>
      </c>
      <c r="J1691" s="204" t="s">
        <v>492</v>
      </c>
      <c r="K1691" s="207"/>
    </row>
    <row r="1692" spans="1:11" ht="50.25">
      <c r="A1692" s="204">
        <v>1690</v>
      </c>
      <c r="B1692" s="208">
        <v>45947</v>
      </c>
      <c r="C1692" s="267" t="s">
        <v>832</v>
      </c>
      <c r="D1692" s="204">
        <v>2025</v>
      </c>
      <c r="E1692" s="209" t="s">
        <v>1431</v>
      </c>
      <c r="F1692" s="209" t="s">
        <v>216</v>
      </c>
      <c r="G1692" s="213" t="s">
        <v>821</v>
      </c>
      <c r="H1692" s="211" t="s">
        <v>3231</v>
      </c>
      <c r="I1692" s="156" t="s">
        <v>26</v>
      </c>
      <c r="J1692" s="209" t="s">
        <v>492</v>
      </c>
      <c r="K1692" s="211"/>
    </row>
    <row r="1693" spans="1:11" ht="33.75">
      <c r="A1693" s="204">
        <v>1691</v>
      </c>
      <c r="B1693" s="205">
        <v>45947</v>
      </c>
      <c r="C1693" s="267" t="s">
        <v>832</v>
      </c>
      <c r="D1693" s="204">
        <v>2025</v>
      </c>
      <c r="E1693" s="204" t="s">
        <v>1431</v>
      </c>
      <c r="F1693" s="204" t="s">
        <v>988</v>
      </c>
      <c r="G1693" s="206" t="s">
        <v>88</v>
      </c>
      <c r="H1693" s="207" t="s">
        <v>3232</v>
      </c>
      <c r="I1693" s="156" t="s">
        <v>26</v>
      </c>
      <c r="J1693" s="204" t="s">
        <v>2576</v>
      </c>
      <c r="K1693" s="207"/>
    </row>
    <row r="1694" spans="1:11" ht="117">
      <c r="A1694" s="204">
        <v>1692</v>
      </c>
      <c r="B1694" s="208">
        <v>45947</v>
      </c>
      <c r="C1694" s="267" t="s">
        <v>832</v>
      </c>
      <c r="D1694" s="204">
        <v>2025</v>
      </c>
      <c r="E1694" s="209" t="s">
        <v>1431</v>
      </c>
      <c r="F1694" s="209" t="s">
        <v>2591</v>
      </c>
      <c r="G1694" s="210" t="s">
        <v>88</v>
      </c>
      <c r="H1694" s="218" t="s">
        <v>3233</v>
      </c>
      <c r="I1694" s="156" t="s">
        <v>26</v>
      </c>
      <c r="J1694" s="209" t="s">
        <v>2593</v>
      </c>
      <c r="K1694" s="211" t="s">
        <v>1559</v>
      </c>
    </row>
    <row r="1695" spans="1:11" ht="50.25">
      <c r="A1695" s="204">
        <v>1693</v>
      </c>
      <c r="B1695" s="205">
        <v>45947</v>
      </c>
      <c r="C1695" s="267" t="s">
        <v>832</v>
      </c>
      <c r="D1695" s="204">
        <v>2025</v>
      </c>
      <c r="E1695" s="204" t="s">
        <v>1431</v>
      </c>
      <c r="F1695" s="204" t="s">
        <v>2591</v>
      </c>
      <c r="G1695" s="206" t="s">
        <v>88</v>
      </c>
      <c r="H1695" s="219" t="s">
        <v>3234</v>
      </c>
      <c r="I1695" s="156" t="s">
        <v>26</v>
      </c>
      <c r="J1695" s="204" t="s">
        <v>2593</v>
      </c>
      <c r="K1695" s="207"/>
    </row>
    <row r="1696" spans="1:11" ht="134.25">
      <c r="A1696" s="204">
        <v>1694</v>
      </c>
      <c r="B1696" s="208">
        <v>45947</v>
      </c>
      <c r="C1696" s="267" t="s">
        <v>832</v>
      </c>
      <c r="D1696" s="204">
        <v>2025</v>
      </c>
      <c r="E1696" s="209" t="s">
        <v>1431</v>
      </c>
      <c r="F1696" s="209" t="s">
        <v>2591</v>
      </c>
      <c r="G1696" s="210" t="s">
        <v>88</v>
      </c>
      <c r="H1696" s="218" t="s">
        <v>3235</v>
      </c>
      <c r="I1696" s="156" t="s">
        <v>26</v>
      </c>
      <c r="J1696" s="209" t="s">
        <v>2593</v>
      </c>
      <c r="K1696" s="211" t="s">
        <v>1500</v>
      </c>
    </row>
    <row r="1697" spans="1:11" ht="100.5">
      <c r="A1697" s="204">
        <v>1695</v>
      </c>
      <c r="B1697" s="205">
        <v>45947</v>
      </c>
      <c r="C1697" s="267" t="s">
        <v>832</v>
      </c>
      <c r="D1697" s="204">
        <v>2025</v>
      </c>
      <c r="E1697" s="204" t="s">
        <v>1431</v>
      </c>
      <c r="F1697" s="204" t="s">
        <v>2591</v>
      </c>
      <c r="G1697" s="206" t="s">
        <v>88</v>
      </c>
      <c r="H1697" s="219" t="s">
        <v>3236</v>
      </c>
      <c r="I1697" s="156" t="s">
        <v>26</v>
      </c>
      <c r="J1697" s="204" t="s">
        <v>2593</v>
      </c>
      <c r="K1697" s="207" t="s">
        <v>1472</v>
      </c>
    </row>
    <row r="1698" spans="1:11" ht="33.75">
      <c r="A1698" s="204">
        <v>1696</v>
      </c>
      <c r="B1698" s="208">
        <v>45947</v>
      </c>
      <c r="C1698" s="267" t="s">
        <v>832</v>
      </c>
      <c r="D1698" s="204">
        <v>2025</v>
      </c>
      <c r="E1698" s="209" t="s">
        <v>1431</v>
      </c>
      <c r="F1698" s="209" t="s">
        <v>2591</v>
      </c>
      <c r="G1698" s="210" t="s">
        <v>88</v>
      </c>
      <c r="H1698" s="218" t="s">
        <v>3237</v>
      </c>
      <c r="I1698" s="156" t="s">
        <v>26</v>
      </c>
      <c r="J1698" s="209" t="s">
        <v>2593</v>
      </c>
      <c r="K1698" s="211"/>
    </row>
    <row r="1699" spans="1:11" ht="33.75">
      <c r="A1699" s="204">
        <v>1697</v>
      </c>
      <c r="B1699" s="205">
        <v>45947</v>
      </c>
      <c r="C1699" s="267" t="s">
        <v>832</v>
      </c>
      <c r="D1699" s="204">
        <v>2025</v>
      </c>
      <c r="E1699" s="204" t="s">
        <v>1431</v>
      </c>
      <c r="F1699" s="204" t="s">
        <v>2591</v>
      </c>
      <c r="G1699" s="206" t="s">
        <v>88</v>
      </c>
      <c r="H1699" s="219" t="s">
        <v>3238</v>
      </c>
      <c r="I1699" s="156" t="s">
        <v>26</v>
      </c>
      <c r="J1699" s="204" t="s">
        <v>2593</v>
      </c>
      <c r="K1699" s="207"/>
    </row>
    <row r="1700" spans="1:11" ht="84">
      <c r="A1700" s="204">
        <v>1698</v>
      </c>
      <c r="B1700" s="208">
        <v>45947</v>
      </c>
      <c r="C1700" s="267" t="s">
        <v>832</v>
      </c>
      <c r="D1700" s="204">
        <v>2025</v>
      </c>
      <c r="E1700" s="209" t="s">
        <v>1431</v>
      </c>
      <c r="F1700" s="209" t="s">
        <v>2591</v>
      </c>
      <c r="G1700" s="210" t="s">
        <v>88</v>
      </c>
      <c r="H1700" s="218" t="s">
        <v>3239</v>
      </c>
      <c r="I1700" s="156" t="s">
        <v>26</v>
      </c>
      <c r="J1700" s="209" t="s">
        <v>2593</v>
      </c>
      <c r="K1700" s="211"/>
    </row>
    <row r="1701" spans="1:11" ht="66.75">
      <c r="A1701" s="204">
        <v>1699</v>
      </c>
      <c r="B1701" s="205">
        <v>45947</v>
      </c>
      <c r="C1701" s="267" t="s">
        <v>832</v>
      </c>
      <c r="D1701" s="204">
        <v>2025</v>
      </c>
      <c r="E1701" s="204" t="s">
        <v>1431</v>
      </c>
      <c r="F1701" s="204" t="s">
        <v>1566</v>
      </c>
      <c r="G1701" s="206" t="s">
        <v>88</v>
      </c>
      <c r="H1701" s="207" t="s">
        <v>3240</v>
      </c>
      <c r="I1701" s="156" t="s">
        <v>26</v>
      </c>
      <c r="J1701" s="204" t="s">
        <v>1453</v>
      </c>
      <c r="K1701" s="207" t="s">
        <v>1548</v>
      </c>
    </row>
    <row r="1702" spans="1:11" ht="117">
      <c r="A1702" s="204">
        <v>1700</v>
      </c>
      <c r="B1702" s="208">
        <v>45947</v>
      </c>
      <c r="C1702" s="267" t="s">
        <v>832</v>
      </c>
      <c r="D1702" s="204">
        <v>2025</v>
      </c>
      <c r="E1702" s="209" t="s">
        <v>1431</v>
      </c>
      <c r="F1702" s="209" t="s">
        <v>1566</v>
      </c>
      <c r="G1702" s="210" t="s">
        <v>88</v>
      </c>
      <c r="H1702" s="211" t="s">
        <v>3241</v>
      </c>
      <c r="I1702" s="156" t="s">
        <v>26</v>
      </c>
      <c r="J1702" s="209" t="s">
        <v>1453</v>
      </c>
      <c r="K1702" s="211" t="s">
        <v>1559</v>
      </c>
    </row>
    <row r="1703" spans="1:11" ht="66.75">
      <c r="A1703" s="204">
        <v>1701</v>
      </c>
      <c r="B1703" s="205">
        <v>45950</v>
      </c>
      <c r="C1703" s="267" t="s">
        <v>832</v>
      </c>
      <c r="D1703" s="204">
        <v>2025</v>
      </c>
      <c r="E1703" s="204" t="s">
        <v>1431</v>
      </c>
      <c r="F1703" s="204" t="s">
        <v>1580</v>
      </c>
      <c r="G1703" s="213" t="s">
        <v>821</v>
      </c>
      <c r="H1703" s="207" t="s">
        <v>3242</v>
      </c>
      <c r="I1703" s="156" t="s">
        <v>26</v>
      </c>
      <c r="J1703" s="204" t="s">
        <v>2501</v>
      </c>
      <c r="K1703" s="207"/>
    </row>
    <row r="1704" spans="1:11" ht="117">
      <c r="A1704" s="204">
        <v>1702</v>
      </c>
      <c r="B1704" s="208">
        <v>45950</v>
      </c>
      <c r="C1704" s="267" t="s">
        <v>832</v>
      </c>
      <c r="D1704" s="204">
        <v>2025</v>
      </c>
      <c r="E1704" s="209" t="s">
        <v>1431</v>
      </c>
      <c r="F1704" s="209" t="s">
        <v>21</v>
      </c>
      <c r="G1704" s="213" t="s">
        <v>821</v>
      </c>
      <c r="H1704" s="211" t="s">
        <v>3243</v>
      </c>
      <c r="I1704" s="156" t="s">
        <v>26</v>
      </c>
      <c r="J1704" s="209" t="s">
        <v>468</v>
      </c>
      <c r="K1704" s="211" t="s">
        <v>1482</v>
      </c>
    </row>
    <row r="1705" spans="1:11" ht="100.5">
      <c r="A1705" s="204">
        <v>1703</v>
      </c>
      <c r="B1705" s="205">
        <v>45950</v>
      </c>
      <c r="C1705" s="267" t="s">
        <v>832</v>
      </c>
      <c r="D1705" s="204">
        <v>2025</v>
      </c>
      <c r="E1705" s="204" t="s">
        <v>1431</v>
      </c>
      <c r="F1705" s="204" t="s">
        <v>988</v>
      </c>
      <c r="G1705" s="206" t="s">
        <v>88</v>
      </c>
      <c r="H1705" s="207" t="s">
        <v>3244</v>
      </c>
      <c r="I1705" s="156" t="s">
        <v>26</v>
      </c>
      <c r="J1705" s="204" t="s">
        <v>2700</v>
      </c>
      <c r="K1705" s="207"/>
    </row>
    <row r="1706" spans="1:11" ht="66.75">
      <c r="A1706" s="204">
        <v>1704</v>
      </c>
      <c r="B1706" s="208">
        <v>45950</v>
      </c>
      <c r="C1706" s="267" t="s">
        <v>832</v>
      </c>
      <c r="D1706" s="204">
        <v>2025</v>
      </c>
      <c r="E1706" s="209" t="s">
        <v>1431</v>
      </c>
      <c r="F1706" s="209" t="s">
        <v>1518</v>
      </c>
      <c r="G1706" s="210" t="s">
        <v>88</v>
      </c>
      <c r="H1706" s="211" t="s">
        <v>3245</v>
      </c>
      <c r="I1706" s="156" t="s">
        <v>26</v>
      </c>
      <c r="J1706" s="209" t="s">
        <v>1493</v>
      </c>
      <c r="K1706" s="211"/>
    </row>
    <row r="1707" spans="1:11" ht="84">
      <c r="A1707" s="204">
        <v>1705</v>
      </c>
      <c r="B1707" s="205">
        <v>45950</v>
      </c>
      <c r="C1707" s="267" t="s">
        <v>832</v>
      </c>
      <c r="D1707" s="204">
        <v>2025</v>
      </c>
      <c r="E1707" s="204" t="s">
        <v>1431</v>
      </c>
      <c r="F1707" s="204" t="s">
        <v>1506</v>
      </c>
      <c r="G1707" s="206" t="s">
        <v>88</v>
      </c>
      <c r="H1707" s="207" t="s">
        <v>3246</v>
      </c>
      <c r="I1707" s="156" t="s">
        <v>26</v>
      </c>
      <c r="J1707" s="204" t="s">
        <v>3247</v>
      </c>
      <c r="K1707" s="207" t="s">
        <v>1500</v>
      </c>
    </row>
    <row r="1708" spans="1:11" ht="100.5">
      <c r="A1708" s="204">
        <v>1706</v>
      </c>
      <c r="B1708" s="208">
        <v>45950</v>
      </c>
      <c r="C1708" s="267" t="s">
        <v>832</v>
      </c>
      <c r="D1708" s="204">
        <v>2025</v>
      </c>
      <c r="E1708" s="209" t="s">
        <v>1431</v>
      </c>
      <c r="F1708" s="209" t="s">
        <v>1506</v>
      </c>
      <c r="G1708" s="210" t="s">
        <v>88</v>
      </c>
      <c r="H1708" s="211" t="s">
        <v>3248</v>
      </c>
      <c r="I1708" s="156" t="s">
        <v>26</v>
      </c>
      <c r="J1708" s="209" t="s">
        <v>3247</v>
      </c>
      <c r="K1708" s="211" t="s">
        <v>1467</v>
      </c>
    </row>
    <row r="1709" spans="1:11" ht="84">
      <c r="A1709" s="204">
        <v>1707</v>
      </c>
      <c r="B1709" s="205">
        <v>45950</v>
      </c>
      <c r="C1709" s="267" t="s">
        <v>832</v>
      </c>
      <c r="D1709" s="204">
        <v>2025</v>
      </c>
      <c r="E1709" s="204" t="s">
        <v>1431</v>
      </c>
      <c r="F1709" s="204" t="s">
        <v>1506</v>
      </c>
      <c r="G1709" s="206" t="s">
        <v>88</v>
      </c>
      <c r="H1709" s="207" t="s">
        <v>3249</v>
      </c>
      <c r="I1709" s="156" t="s">
        <v>26</v>
      </c>
      <c r="J1709" s="204" t="s">
        <v>3247</v>
      </c>
      <c r="K1709" s="207" t="s">
        <v>1500</v>
      </c>
    </row>
    <row r="1710" spans="1:11" ht="150.75">
      <c r="A1710" s="204">
        <v>1708</v>
      </c>
      <c r="B1710" s="208">
        <v>45950</v>
      </c>
      <c r="C1710" s="267" t="s">
        <v>832</v>
      </c>
      <c r="D1710" s="204">
        <v>2025</v>
      </c>
      <c r="E1710" s="209" t="s">
        <v>1431</v>
      </c>
      <c r="F1710" s="209" t="s">
        <v>21</v>
      </c>
      <c r="G1710" s="213" t="s">
        <v>821</v>
      </c>
      <c r="H1710" s="211" t="s">
        <v>3250</v>
      </c>
      <c r="I1710" s="156" t="s">
        <v>26</v>
      </c>
      <c r="J1710" s="209" t="s">
        <v>149</v>
      </c>
      <c r="K1710" s="211" t="s">
        <v>1513</v>
      </c>
    </row>
    <row r="1711" spans="1:11" ht="66.75">
      <c r="A1711" s="204">
        <v>1709</v>
      </c>
      <c r="B1711" s="205">
        <v>45950</v>
      </c>
      <c r="C1711" s="267" t="s">
        <v>832</v>
      </c>
      <c r="D1711" s="204">
        <v>2025</v>
      </c>
      <c r="E1711" s="204" t="s">
        <v>2224</v>
      </c>
      <c r="F1711" s="204" t="s">
        <v>2591</v>
      </c>
      <c r="G1711" s="206" t="s">
        <v>88</v>
      </c>
      <c r="H1711" s="207" t="s">
        <v>3251</v>
      </c>
      <c r="I1711" s="156" t="s">
        <v>26</v>
      </c>
      <c r="J1711" s="204" t="s">
        <v>2735</v>
      </c>
      <c r="K1711" s="207"/>
    </row>
    <row r="1712" spans="1:11" ht="150.75">
      <c r="A1712" s="204">
        <v>1710</v>
      </c>
      <c r="B1712" s="208">
        <v>45950</v>
      </c>
      <c r="C1712" s="267" t="s">
        <v>832</v>
      </c>
      <c r="D1712" s="204">
        <v>2025</v>
      </c>
      <c r="E1712" s="209" t="s">
        <v>1431</v>
      </c>
      <c r="F1712" s="209" t="s">
        <v>97</v>
      </c>
      <c r="G1712" s="213" t="s">
        <v>821</v>
      </c>
      <c r="H1712" s="211" t="s">
        <v>3252</v>
      </c>
      <c r="I1712" s="156" t="s">
        <v>26</v>
      </c>
      <c r="J1712" s="209" t="s">
        <v>2593</v>
      </c>
      <c r="K1712" s="211" t="s">
        <v>1513</v>
      </c>
    </row>
    <row r="1713" spans="1:11" ht="84">
      <c r="A1713" s="204">
        <v>1711</v>
      </c>
      <c r="B1713" s="205">
        <v>45950</v>
      </c>
      <c r="C1713" s="267" t="s">
        <v>832</v>
      </c>
      <c r="D1713" s="204">
        <v>2025</v>
      </c>
      <c r="E1713" s="204" t="s">
        <v>1431</v>
      </c>
      <c r="F1713" s="204" t="s">
        <v>2591</v>
      </c>
      <c r="G1713" s="206" t="s">
        <v>88</v>
      </c>
      <c r="H1713" s="207" t="s">
        <v>3253</v>
      </c>
      <c r="I1713" s="156" t="s">
        <v>26</v>
      </c>
      <c r="J1713" s="204" t="s">
        <v>2593</v>
      </c>
      <c r="K1713" s="207" t="s">
        <v>1500</v>
      </c>
    </row>
    <row r="1714" spans="1:11" ht="84">
      <c r="A1714" s="204">
        <v>1712</v>
      </c>
      <c r="B1714" s="208">
        <v>45950</v>
      </c>
      <c r="C1714" s="267" t="s">
        <v>832</v>
      </c>
      <c r="D1714" s="204">
        <v>2025</v>
      </c>
      <c r="E1714" s="209" t="s">
        <v>1431</v>
      </c>
      <c r="F1714" s="209" t="s">
        <v>2591</v>
      </c>
      <c r="G1714" s="210" t="s">
        <v>88</v>
      </c>
      <c r="H1714" s="211" t="s">
        <v>3254</v>
      </c>
      <c r="I1714" s="156" t="s">
        <v>26</v>
      </c>
      <c r="J1714" s="209" t="s">
        <v>2593</v>
      </c>
      <c r="K1714" s="211" t="s">
        <v>1500</v>
      </c>
    </row>
    <row r="1715" spans="1:11" ht="100.5">
      <c r="A1715" s="204">
        <v>1713</v>
      </c>
      <c r="B1715" s="205">
        <v>45950</v>
      </c>
      <c r="C1715" s="267" t="s">
        <v>832</v>
      </c>
      <c r="D1715" s="204">
        <v>2025</v>
      </c>
      <c r="E1715" s="204" t="s">
        <v>1431</v>
      </c>
      <c r="F1715" s="204" t="s">
        <v>2591</v>
      </c>
      <c r="G1715" s="206" t="s">
        <v>88</v>
      </c>
      <c r="H1715" s="207" t="s">
        <v>3255</v>
      </c>
      <c r="I1715" s="156" t="s">
        <v>26</v>
      </c>
      <c r="J1715" s="204" t="s">
        <v>2593</v>
      </c>
      <c r="K1715" s="207" t="s">
        <v>1472</v>
      </c>
    </row>
    <row r="1716" spans="1:11" ht="84">
      <c r="A1716" s="204">
        <v>1714</v>
      </c>
      <c r="B1716" s="208">
        <v>45950</v>
      </c>
      <c r="C1716" s="267" t="s">
        <v>832</v>
      </c>
      <c r="D1716" s="204">
        <v>2025</v>
      </c>
      <c r="E1716" s="209" t="s">
        <v>1431</v>
      </c>
      <c r="F1716" s="209" t="s">
        <v>2591</v>
      </c>
      <c r="G1716" s="210" t="s">
        <v>88</v>
      </c>
      <c r="H1716" s="211" t="s">
        <v>3256</v>
      </c>
      <c r="I1716" s="156" t="s">
        <v>26</v>
      </c>
      <c r="J1716" s="209" t="s">
        <v>2593</v>
      </c>
      <c r="K1716" s="211"/>
    </row>
    <row r="1717" spans="1:11" ht="84">
      <c r="A1717" s="204">
        <v>1715</v>
      </c>
      <c r="B1717" s="205">
        <v>45950</v>
      </c>
      <c r="C1717" s="267" t="s">
        <v>832</v>
      </c>
      <c r="D1717" s="204">
        <v>2025</v>
      </c>
      <c r="E1717" s="204" t="s">
        <v>1431</v>
      </c>
      <c r="F1717" s="204" t="s">
        <v>1566</v>
      </c>
      <c r="G1717" s="206" t="s">
        <v>88</v>
      </c>
      <c r="H1717" s="207" t="s">
        <v>3257</v>
      </c>
      <c r="I1717" s="156" t="s">
        <v>26</v>
      </c>
      <c r="J1717" s="204" t="s">
        <v>1453</v>
      </c>
      <c r="K1717" s="207" t="s">
        <v>1500</v>
      </c>
    </row>
    <row r="1718" spans="1:11" ht="117">
      <c r="A1718" s="204">
        <v>1716</v>
      </c>
      <c r="B1718" s="208">
        <v>45950</v>
      </c>
      <c r="C1718" s="267" t="s">
        <v>832</v>
      </c>
      <c r="D1718" s="204">
        <v>2025</v>
      </c>
      <c r="E1718" s="209" t="s">
        <v>1431</v>
      </c>
      <c r="F1718" s="209" t="s">
        <v>1566</v>
      </c>
      <c r="G1718" s="210" t="s">
        <v>88</v>
      </c>
      <c r="H1718" s="211" t="s">
        <v>3258</v>
      </c>
      <c r="I1718" s="156" t="s">
        <v>26</v>
      </c>
      <c r="J1718" s="209" t="s">
        <v>1453</v>
      </c>
      <c r="K1718" s="211" t="s">
        <v>1451</v>
      </c>
    </row>
    <row r="1719" spans="1:11" ht="84">
      <c r="A1719" s="204">
        <v>1717</v>
      </c>
      <c r="B1719" s="205">
        <v>45951</v>
      </c>
      <c r="C1719" s="267" t="s">
        <v>832</v>
      </c>
      <c r="D1719" s="204">
        <v>2025</v>
      </c>
      <c r="E1719" s="204" t="s">
        <v>1431</v>
      </c>
      <c r="F1719" s="204" t="s">
        <v>2591</v>
      </c>
      <c r="G1719" s="215" t="s">
        <v>872</v>
      </c>
      <c r="H1719" s="207" t="s">
        <v>3259</v>
      </c>
      <c r="I1719" s="156" t="s">
        <v>26</v>
      </c>
      <c r="J1719" s="204" t="s">
        <v>2593</v>
      </c>
      <c r="K1719" s="207" t="s">
        <v>1500</v>
      </c>
    </row>
    <row r="1720" spans="1:11" ht="100.5">
      <c r="A1720" s="204">
        <v>1718</v>
      </c>
      <c r="B1720" s="208">
        <v>45951</v>
      </c>
      <c r="C1720" s="267" t="s">
        <v>832</v>
      </c>
      <c r="D1720" s="204">
        <v>2025</v>
      </c>
      <c r="E1720" s="209" t="s">
        <v>1431</v>
      </c>
      <c r="F1720" s="209" t="s">
        <v>2591</v>
      </c>
      <c r="G1720" s="216" t="s">
        <v>872</v>
      </c>
      <c r="H1720" s="218" t="s">
        <v>3260</v>
      </c>
      <c r="I1720" s="156" t="s">
        <v>26</v>
      </c>
      <c r="J1720" s="209" t="s">
        <v>2593</v>
      </c>
      <c r="K1720" s="211" t="s">
        <v>1472</v>
      </c>
    </row>
    <row r="1721" spans="1:11" ht="134.25">
      <c r="A1721" s="204">
        <v>1719</v>
      </c>
      <c r="B1721" s="205">
        <v>45951</v>
      </c>
      <c r="C1721" s="267" t="s">
        <v>832</v>
      </c>
      <c r="D1721" s="204">
        <v>2025</v>
      </c>
      <c r="E1721" s="204" t="s">
        <v>1431</v>
      </c>
      <c r="F1721" s="204" t="s">
        <v>2591</v>
      </c>
      <c r="G1721" s="212" t="s">
        <v>1439</v>
      </c>
      <c r="H1721" s="219" t="s">
        <v>3261</v>
      </c>
      <c r="I1721" s="156" t="s">
        <v>26</v>
      </c>
      <c r="J1721" s="204" t="s">
        <v>2593</v>
      </c>
      <c r="K1721" s="207" t="s">
        <v>1442</v>
      </c>
    </row>
    <row r="1722" spans="1:11" ht="100.5">
      <c r="A1722" s="204">
        <v>1720</v>
      </c>
      <c r="B1722" s="208">
        <v>45951</v>
      </c>
      <c r="C1722" s="267" t="s">
        <v>832</v>
      </c>
      <c r="D1722" s="204">
        <v>2025</v>
      </c>
      <c r="E1722" s="209" t="s">
        <v>1431</v>
      </c>
      <c r="F1722" s="209" t="s">
        <v>97</v>
      </c>
      <c r="G1722" s="213" t="s">
        <v>821</v>
      </c>
      <c r="H1722" s="211" t="s">
        <v>3262</v>
      </c>
      <c r="I1722" s="156" t="s">
        <v>26</v>
      </c>
      <c r="J1722" s="209" t="s">
        <v>158</v>
      </c>
      <c r="K1722" s="211" t="s">
        <v>1448</v>
      </c>
    </row>
    <row r="1723" spans="1:11" ht="50.25">
      <c r="A1723" s="204">
        <v>1721</v>
      </c>
      <c r="B1723" s="205">
        <v>45951</v>
      </c>
      <c r="C1723" s="267" t="s">
        <v>832</v>
      </c>
      <c r="D1723" s="204">
        <v>2025</v>
      </c>
      <c r="E1723" s="204" t="s">
        <v>1431</v>
      </c>
      <c r="F1723" s="204" t="s">
        <v>21</v>
      </c>
      <c r="G1723" s="213" t="s">
        <v>821</v>
      </c>
      <c r="H1723" s="207" t="s">
        <v>3263</v>
      </c>
      <c r="I1723" s="156" t="s">
        <v>26</v>
      </c>
      <c r="J1723" s="204" t="s">
        <v>149</v>
      </c>
      <c r="K1723" s="207"/>
    </row>
    <row r="1724" spans="1:11" ht="117">
      <c r="A1724" s="204">
        <v>1722</v>
      </c>
      <c r="B1724" s="208">
        <v>45951</v>
      </c>
      <c r="C1724" s="267" t="s">
        <v>832</v>
      </c>
      <c r="D1724" s="204">
        <v>2025</v>
      </c>
      <c r="E1724" s="209" t="s">
        <v>1431</v>
      </c>
      <c r="F1724" s="209" t="s">
        <v>2244</v>
      </c>
      <c r="G1724" s="210" t="s">
        <v>88</v>
      </c>
      <c r="H1724" s="211" t="s">
        <v>3264</v>
      </c>
      <c r="I1724" s="156" t="s">
        <v>26</v>
      </c>
      <c r="J1724" s="209" t="s">
        <v>1904</v>
      </c>
      <c r="K1724" s="211" t="s">
        <v>1522</v>
      </c>
    </row>
    <row r="1725" spans="1:11" ht="134.25">
      <c r="A1725" s="204">
        <v>1723</v>
      </c>
      <c r="B1725" s="205">
        <v>45951</v>
      </c>
      <c r="C1725" s="267" t="s">
        <v>832</v>
      </c>
      <c r="D1725" s="204">
        <v>2025</v>
      </c>
      <c r="E1725" s="204" t="s">
        <v>1431</v>
      </c>
      <c r="F1725" s="204" t="s">
        <v>1225</v>
      </c>
      <c r="G1725" s="206" t="s">
        <v>88</v>
      </c>
      <c r="H1725" s="207" t="s">
        <v>3265</v>
      </c>
      <c r="I1725" s="156" t="s">
        <v>26</v>
      </c>
      <c r="J1725" s="204" t="s">
        <v>925</v>
      </c>
      <c r="K1725" s="207"/>
    </row>
    <row r="1726" spans="1:11" ht="100.5">
      <c r="A1726" s="204">
        <v>1724</v>
      </c>
      <c r="B1726" s="208">
        <v>45952</v>
      </c>
      <c r="C1726" s="267" t="s">
        <v>832</v>
      </c>
      <c r="D1726" s="204">
        <v>2025</v>
      </c>
      <c r="E1726" s="209" t="s">
        <v>1431</v>
      </c>
      <c r="F1726" s="209" t="s">
        <v>574</v>
      </c>
      <c r="G1726" s="210" t="s">
        <v>88</v>
      </c>
      <c r="H1726" s="211" t="s">
        <v>3266</v>
      </c>
      <c r="I1726" s="156" t="s">
        <v>26</v>
      </c>
      <c r="J1726" s="209" t="s">
        <v>921</v>
      </c>
      <c r="K1726" s="211" t="s">
        <v>1472</v>
      </c>
    </row>
    <row r="1727" spans="1:11" ht="50.25">
      <c r="A1727" s="204">
        <v>1725</v>
      </c>
      <c r="B1727" s="205">
        <v>45952</v>
      </c>
      <c r="C1727" s="267" t="s">
        <v>832</v>
      </c>
      <c r="D1727" s="204">
        <v>2025</v>
      </c>
      <c r="E1727" s="204" t="s">
        <v>1431</v>
      </c>
      <c r="F1727" s="204" t="s">
        <v>988</v>
      </c>
      <c r="G1727" s="214" t="s">
        <v>859</v>
      </c>
      <c r="H1727" s="207" t="s">
        <v>3267</v>
      </c>
      <c r="I1727" s="156" t="s">
        <v>26</v>
      </c>
      <c r="J1727" s="204" t="s">
        <v>452</v>
      </c>
      <c r="K1727" s="207"/>
    </row>
    <row r="1728" spans="1:11" ht="66.75">
      <c r="A1728" s="204">
        <v>1726</v>
      </c>
      <c r="B1728" s="208">
        <v>45952</v>
      </c>
      <c r="C1728" s="267" t="s">
        <v>832</v>
      </c>
      <c r="D1728" s="204">
        <v>2025</v>
      </c>
      <c r="E1728" s="209" t="s">
        <v>1431</v>
      </c>
      <c r="F1728" s="209" t="s">
        <v>988</v>
      </c>
      <c r="G1728" s="210" t="s">
        <v>88</v>
      </c>
      <c r="H1728" s="211" t="s">
        <v>3268</v>
      </c>
      <c r="I1728" s="156" t="s">
        <v>26</v>
      </c>
      <c r="J1728" s="209" t="s">
        <v>1543</v>
      </c>
      <c r="K1728" s="211" t="s">
        <v>1548</v>
      </c>
    </row>
    <row r="1729" spans="1:11" ht="50.25">
      <c r="A1729" s="204">
        <v>1727</v>
      </c>
      <c r="B1729" s="205">
        <v>45952</v>
      </c>
      <c r="C1729" s="267" t="s">
        <v>832</v>
      </c>
      <c r="D1729" s="204">
        <v>2025</v>
      </c>
      <c r="E1729" s="204" t="s">
        <v>1431</v>
      </c>
      <c r="F1729" s="204" t="s">
        <v>988</v>
      </c>
      <c r="G1729" s="213" t="s">
        <v>821</v>
      </c>
      <c r="H1729" s="207" t="s">
        <v>3269</v>
      </c>
      <c r="I1729" s="156" t="s">
        <v>26</v>
      </c>
      <c r="J1729" s="204" t="s">
        <v>2700</v>
      </c>
      <c r="K1729" s="207"/>
    </row>
    <row r="1730" spans="1:11" ht="33.75">
      <c r="A1730" s="204">
        <v>1728</v>
      </c>
      <c r="B1730" s="208">
        <v>45952</v>
      </c>
      <c r="C1730" s="267" t="s">
        <v>832</v>
      </c>
      <c r="D1730" s="204">
        <v>2025</v>
      </c>
      <c r="E1730" s="209" t="s">
        <v>1431</v>
      </c>
      <c r="F1730" s="209" t="s">
        <v>2244</v>
      </c>
      <c r="G1730" s="210" t="s">
        <v>88</v>
      </c>
      <c r="H1730" s="211" t="s">
        <v>3270</v>
      </c>
      <c r="I1730" s="156" t="s">
        <v>26</v>
      </c>
      <c r="J1730" s="209" t="s">
        <v>1904</v>
      </c>
      <c r="K1730" s="211"/>
    </row>
    <row r="1731" spans="1:11" ht="84">
      <c r="A1731" s="204">
        <v>1729</v>
      </c>
      <c r="B1731" s="205">
        <v>45952</v>
      </c>
      <c r="C1731" s="267" t="s">
        <v>832</v>
      </c>
      <c r="D1731" s="204">
        <v>2025</v>
      </c>
      <c r="E1731" s="204" t="s">
        <v>1431</v>
      </c>
      <c r="F1731" s="204" t="s">
        <v>1506</v>
      </c>
      <c r="G1731" s="206" t="s">
        <v>88</v>
      </c>
      <c r="H1731" s="207" t="s">
        <v>3271</v>
      </c>
      <c r="I1731" s="156" t="s">
        <v>26</v>
      </c>
      <c r="J1731" s="204" t="s">
        <v>1904</v>
      </c>
      <c r="K1731" s="207" t="s">
        <v>1500</v>
      </c>
    </row>
    <row r="1732" spans="1:11" ht="84">
      <c r="A1732" s="204">
        <v>1730</v>
      </c>
      <c r="B1732" s="208">
        <v>45952</v>
      </c>
      <c r="C1732" s="267" t="s">
        <v>832</v>
      </c>
      <c r="D1732" s="204">
        <v>2025</v>
      </c>
      <c r="E1732" s="209" t="s">
        <v>1431</v>
      </c>
      <c r="F1732" s="209" t="s">
        <v>1539</v>
      </c>
      <c r="G1732" s="210" t="s">
        <v>88</v>
      </c>
      <c r="H1732" s="211" t="s">
        <v>3272</v>
      </c>
      <c r="I1732" s="156" t="s">
        <v>26</v>
      </c>
      <c r="J1732" s="209" t="s">
        <v>1541</v>
      </c>
      <c r="K1732" s="211" t="s">
        <v>1605</v>
      </c>
    </row>
    <row r="1733" spans="1:11" ht="66.75">
      <c r="A1733" s="204">
        <v>1731</v>
      </c>
      <c r="B1733" s="205">
        <v>45952</v>
      </c>
      <c r="C1733" s="267" t="s">
        <v>832</v>
      </c>
      <c r="D1733" s="204">
        <v>2025</v>
      </c>
      <c r="E1733" s="204" t="s">
        <v>1431</v>
      </c>
      <c r="F1733" s="204" t="s">
        <v>1539</v>
      </c>
      <c r="G1733" s="206" t="s">
        <v>88</v>
      </c>
      <c r="H1733" s="207" t="s">
        <v>3273</v>
      </c>
      <c r="I1733" s="156" t="s">
        <v>26</v>
      </c>
      <c r="J1733" s="204" t="s">
        <v>1541</v>
      </c>
      <c r="K1733" s="207"/>
    </row>
    <row r="1734" spans="1:11" ht="33.75">
      <c r="A1734" s="204">
        <v>1732</v>
      </c>
      <c r="B1734" s="208">
        <v>45952</v>
      </c>
      <c r="C1734" s="267" t="s">
        <v>832</v>
      </c>
      <c r="D1734" s="204">
        <v>2025</v>
      </c>
      <c r="E1734" s="209" t="s">
        <v>2224</v>
      </c>
      <c r="F1734" s="209" t="s">
        <v>988</v>
      </c>
      <c r="G1734" s="210" t="s">
        <v>88</v>
      </c>
      <c r="H1734" s="211" t="s">
        <v>3274</v>
      </c>
      <c r="I1734" s="156" t="s">
        <v>26</v>
      </c>
      <c r="J1734" s="209" t="s">
        <v>2568</v>
      </c>
      <c r="K1734" s="211"/>
    </row>
    <row r="1735" spans="1:11" ht="66.75">
      <c r="A1735" s="204">
        <v>1733</v>
      </c>
      <c r="B1735" s="205">
        <v>45952</v>
      </c>
      <c r="C1735" s="267" t="s">
        <v>832</v>
      </c>
      <c r="D1735" s="204">
        <v>2025</v>
      </c>
      <c r="E1735" s="204" t="s">
        <v>2224</v>
      </c>
      <c r="F1735" s="204" t="s">
        <v>21</v>
      </c>
      <c r="G1735" s="213" t="s">
        <v>821</v>
      </c>
      <c r="H1735" s="207" t="s">
        <v>3275</v>
      </c>
      <c r="I1735" s="156" t="s">
        <v>26</v>
      </c>
      <c r="J1735" s="204" t="s">
        <v>149</v>
      </c>
      <c r="K1735" s="207"/>
    </row>
    <row r="1736" spans="1:11" ht="100.5">
      <c r="A1736" s="204">
        <v>1734</v>
      </c>
      <c r="B1736" s="208">
        <v>45952</v>
      </c>
      <c r="C1736" s="267" t="s">
        <v>832</v>
      </c>
      <c r="D1736" s="204">
        <v>2025</v>
      </c>
      <c r="E1736" s="209" t="s">
        <v>2224</v>
      </c>
      <c r="F1736" s="209" t="s">
        <v>21</v>
      </c>
      <c r="G1736" s="213" t="s">
        <v>821</v>
      </c>
      <c r="H1736" s="211" t="s">
        <v>3276</v>
      </c>
      <c r="I1736" s="156" t="s">
        <v>26</v>
      </c>
      <c r="J1736" s="209" t="s">
        <v>149</v>
      </c>
      <c r="K1736" s="211" t="s">
        <v>1448</v>
      </c>
    </row>
    <row r="1737" spans="1:11" ht="117">
      <c r="A1737" s="204">
        <v>1735</v>
      </c>
      <c r="B1737" s="205">
        <v>45952</v>
      </c>
      <c r="C1737" s="267" t="s">
        <v>832</v>
      </c>
      <c r="D1737" s="204">
        <v>2025</v>
      </c>
      <c r="E1737" s="204" t="s">
        <v>1431</v>
      </c>
      <c r="F1737" s="204" t="s">
        <v>2591</v>
      </c>
      <c r="G1737" s="206" t="s">
        <v>88</v>
      </c>
      <c r="H1737" s="207" t="s">
        <v>3277</v>
      </c>
      <c r="I1737" s="156" t="s">
        <v>26</v>
      </c>
      <c r="J1737" s="204" t="s">
        <v>2593</v>
      </c>
      <c r="K1737" s="207" t="s">
        <v>1451</v>
      </c>
    </row>
    <row r="1738" spans="1:11" ht="100.5">
      <c r="A1738" s="204">
        <v>1736</v>
      </c>
      <c r="B1738" s="208">
        <v>45952</v>
      </c>
      <c r="C1738" s="267" t="s">
        <v>832</v>
      </c>
      <c r="D1738" s="204">
        <v>2025</v>
      </c>
      <c r="E1738" s="209" t="s">
        <v>1431</v>
      </c>
      <c r="F1738" s="209" t="s">
        <v>2591</v>
      </c>
      <c r="G1738" s="213" t="s">
        <v>821</v>
      </c>
      <c r="H1738" s="211" t="s">
        <v>3278</v>
      </c>
      <c r="I1738" s="156" t="s">
        <v>26</v>
      </c>
      <c r="J1738" s="209" t="s">
        <v>2593</v>
      </c>
      <c r="K1738" s="211" t="s">
        <v>1448</v>
      </c>
    </row>
    <row r="1739" spans="1:11" ht="150.75">
      <c r="A1739" s="204">
        <v>1737</v>
      </c>
      <c r="B1739" s="205">
        <v>45952</v>
      </c>
      <c r="C1739" s="267" t="s">
        <v>832</v>
      </c>
      <c r="D1739" s="204">
        <v>2025</v>
      </c>
      <c r="E1739" s="204" t="s">
        <v>1431</v>
      </c>
      <c r="F1739" s="204" t="s">
        <v>2591</v>
      </c>
      <c r="G1739" s="213" t="s">
        <v>821</v>
      </c>
      <c r="H1739" s="207" t="s">
        <v>3279</v>
      </c>
      <c r="I1739" s="156" t="s">
        <v>26</v>
      </c>
      <c r="J1739" s="204" t="s">
        <v>2593</v>
      </c>
      <c r="K1739" s="207" t="s">
        <v>1513</v>
      </c>
    </row>
    <row r="1740" spans="1:11" ht="100.5">
      <c r="A1740" s="204">
        <v>1738</v>
      </c>
      <c r="B1740" s="208">
        <v>45952</v>
      </c>
      <c r="C1740" s="267" t="s">
        <v>832</v>
      </c>
      <c r="D1740" s="204">
        <v>2025</v>
      </c>
      <c r="E1740" s="209" t="s">
        <v>1431</v>
      </c>
      <c r="F1740" s="209" t="s">
        <v>2591</v>
      </c>
      <c r="G1740" s="210" t="s">
        <v>88</v>
      </c>
      <c r="H1740" s="211" t="s">
        <v>3280</v>
      </c>
      <c r="I1740" s="156" t="s">
        <v>26</v>
      </c>
      <c r="J1740" s="209" t="s">
        <v>2593</v>
      </c>
      <c r="K1740" s="211" t="s">
        <v>1472</v>
      </c>
    </row>
    <row r="1741" spans="1:11" ht="100.5">
      <c r="A1741" s="204">
        <v>1739</v>
      </c>
      <c r="B1741" s="205">
        <v>45952</v>
      </c>
      <c r="C1741" s="267" t="s">
        <v>832</v>
      </c>
      <c r="D1741" s="204">
        <v>2025</v>
      </c>
      <c r="E1741" s="204" t="s">
        <v>1431</v>
      </c>
      <c r="F1741" s="204" t="s">
        <v>2591</v>
      </c>
      <c r="G1741" s="206" t="s">
        <v>88</v>
      </c>
      <c r="H1741" s="207" t="s">
        <v>3281</v>
      </c>
      <c r="I1741" s="156" t="s">
        <v>26</v>
      </c>
      <c r="J1741" s="204" t="s">
        <v>2593</v>
      </c>
      <c r="K1741" s="207" t="s">
        <v>1472</v>
      </c>
    </row>
    <row r="1742" spans="1:11" ht="33.75">
      <c r="A1742" s="204">
        <v>1740</v>
      </c>
      <c r="B1742" s="208">
        <v>45952</v>
      </c>
      <c r="C1742" s="267" t="s">
        <v>832</v>
      </c>
      <c r="D1742" s="204">
        <v>2025</v>
      </c>
      <c r="E1742" s="209" t="s">
        <v>1431</v>
      </c>
      <c r="F1742" s="209" t="s">
        <v>1566</v>
      </c>
      <c r="G1742" s="210" t="s">
        <v>88</v>
      </c>
      <c r="H1742" s="211" t="s">
        <v>3282</v>
      </c>
      <c r="I1742" s="156" t="s">
        <v>26</v>
      </c>
      <c r="J1742" s="209" t="s">
        <v>1453</v>
      </c>
      <c r="K1742" s="211"/>
    </row>
    <row r="1743" spans="1:11" ht="66.75">
      <c r="A1743" s="204">
        <v>1741</v>
      </c>
      <c r="B1743" s="205">
        <v>45952</v>
      </c>
      <c r="C1743" s="267" t="s">
        <v>832</v>
      </c>
      <c r="D1743" s="204">
        <v>2025</v>
      </c>
      <c r="E1743" s="204" t="s">
        <v>1431</v>
      </c>
      <c r="F1743" s="204" t="s">
        <v>1566</v>
      </c>
      <c r="G1743" s="206" t="s">
        <v>88</v>
      </c>
      <c r="H1743" s="207" t="s">
        <v>3283</v>
      </c>
      <c r="I1743" s="156" t="s">
        <v>26</v>
      </c>
      <c r="J1743" s="204" t="s">
        <v>1453</v>
      </c>
      <c r="K1743" s="207" t="s">
        <v>1548</v>
      </c>
    </row>
    <row r="1744" spans="1:11" ht="33.75">
      <c r="A1744" s="204">
        <v>1742</v>
      </c>
      <c r="B1744" s="208">
        <v>45952</v>
      </c>
      <c r="C1744" s="267" t="s">
        <v>832</v>
      </c>
      <c r="D1744" s="204">
        <v>2025</v>
      </c>
      <c r="E1744" s="209" t="s">
        <v>1431</v>
      </c>
      <c r="F1744" s="209" t="s">
        <v>1566</v>
      </c>
      <c r="G1744" s="210" t="s">
        <v>88</v>
      </c>
      <c r="H1744" s="211" t="s">
        <v>3284</v>
      </c>
      <c r="I1744" s="156" t="s">
        <v>26</v>
      </c>
      <c r="J1744" s="209" t="s">
        <v>1453</v>
      </c>
      <c r="K1744" s="211"/>
    </row>
    <row r="1745" spans="1:11" ht="100.5">
      <c r="A1745" s="204">
        <v>1743</v>
      </c>
      <c r="B1745" s="205">
        <v>45952</v>
      </c>
      <c r="C1745" s="267" t="s">
        <v>832</v>
      </c>
      <c r="D1745" s="204">
        <v>2025</v>
      </c>
      <c r="E1745" s="204" t="s">
        <v>1431</v>
      </c>
      <c r="F1745" s="204" t="s">
        <v>1566</v>
      </c>
      <c r="G1745" s="206" t="s">
        <v>88</v>
      </c>
      <c r="H1745" s="207" t="s">
        <v>3285</v>
      </c>
      <c r="I1745" s="156" t="s">
        <v>26</v>
      </c>
      <c r="J1745" s="204" t="s">
        <v>1453</v>
      </c>
      <c r="K1745" s="207" t="s">
        <v>1454</v>
      </c>
    </row>
    <row r="1746" spans="1:11" ht="50.25">
      <c r="A1746" s="204">
        <v>1744</v>
      </c>
      <c r="B1746" s="208">
        <v>45953</v>
      </c>
      <c r="C1746" s="267" t="s">
        <v>832</v>
      </c>
      <c r="D1746" s="204">
        <v>2025</v>
      </c>
      <c r="E1746" s="209" t="s">
        <v>1431</v>
      </c>
      <c r="F1746" s="209" t="s">
        <v>988</v>
      </c>
      <c r="G1746" s="213" t="s">
        <v>821</v>
      </c>
      <c r="H1746" s="211" t="s">
        <v>3286</v>
      </c>
      <c r="I1746" s="156" t="s">
        <v>26</v>
      </c>
      <c r="J1746" s="209" t="s">
        <v>452</v>
      </c>
      <c r="K1746" s="211"/>
    </row>
    <row r="1747" spans="1:11" ht="84">
      <c r="A1747" s="204">
        <v>1745</v>
      </c>
      <c r="B1747" s="205">
        <v>45953</v>
      </c>
      <c r="C1747" s="267" t="s">
        <v>832</v>
      </c>
      <c r="D1747" s="204">
        <v>2025</v>
      </c>
      <c r="E1747" s="204" t="s">
        <v>1431</v>
      </c>
      <c r="F1747" s="204" t="s">
        <v>1518</v>
      </c>
      <c r="G1747" s="206" t="s">
        <v>88</v>
      </c>
      <c r="H1747" s="207" t="s">
        <v>3287</v>
      </c>
      <c r="I1747" s="156" t="s">
        <v>26</v>
      </c>
      <c r="J1747" s="204" t="s">
        <v>1493</v>
      </c>
      <c r="K1747" s="207" t="s">
        <v>1444</v>
      </c>
    </row>
    <row r="1748" spans="1:11" ht="100.5">
      <c r="A1748" s="204">
        <v>1746</v>
      </c>
      <c r="B1748" s="208">
        <v>45953</v>
      </c>
      <c r="C1748" s="267" t="s">
        <v>832</v>
      </c>
      <c r="D1748" s="204">
        <v>2025</v>
      </c>
      <c r="E1748" s="209" t="s">
        <v>1431</v>
      </c>
      <c r="F1748" s="209" t="s">
        <v>988</v>
      </c>
      <c r="G1748" s="210" t="s">
        <v>88</v>
      </c>
      <c r="H1748" s="211" t="s">
        <v>3288</v>
      </c>
      <c r="I1748" s="156" t="s">
        <v>26</v>
      </c>
      <c r="J1748" s="209" t="s">
        <v>910</v>
      </c>
      <c r="K1748" s="211"/>
    </row>
    <row r="1749" spans="1:11" ht="150.75">
      <c r="A1749" s="204">
        <v>1747</v>
      </c>
      <c r="B1749" s="205">
        <v>45953</v>
      </c>
      <c r="C1749" s="267" t="s">
        <v>832</v>
      </c>
      <c r="D1749" s="204">
        <v>2025</v>
      </c>
      <c r="E1749" s="204" t="s">
        <v>2224</v>
      </c>
      <c r="F1749" s="204" t="s">
        <v>21</v>
      </c>
      <c r="G1749" s="213" t="s">
        <v>821</v>
      </c>
      <c r="H1749" s="207" t="s">
        <v>3289</v>
      </c>
      <c r="I1749" s="156" t="s">
        <v>26</v>
      </c>
      <c r="J1749" s="204" t="s">
        <v>149</v>
      </c>
      <c r="K1749" s="207" t="s">
        <v>1513</v>
      </c>
    </row>
    <row r="1750" spans="1:11" ht="134.25">
      <c r="A1750" s="204">
        <v>1748</v>
      </c>
      <c r="B1750" s="208">
        <v>45953</v>
      </c>
      <c r="C1750" s="267" t="s">
        <v>832</v>
      </c>
      <c r="D1750" s="204">
        <v>2025</v>
      </c>
      <c r="E1750" s="209" t="s">
        <v>1431</v>
      </c>
      <c r="F1750" s="209" t="s">
        <v>2591</v>
      </c>
      <c r="G1750" s="210" t="s">
        <v>88</v>
      </c>
      <c r="H1750" s="211" t="s">
        <v>3290</v>
      </c>
      <c r="I1750" s="156" t="s">
        <v>26</v>
      </c>
      <c r="J1750" s="209" t="s">
        <v>2593</v>
      </c>
      <c r="K1750" s="211" t="s">
        <v>1510</v>
      </c>
    </row>
    <row r="1751" spans="1:11" ht="16.5">
      <c r="A1751" s="204">
        <v>1749</v>
      </c>
      <c r="B1751" s="205">
        <v>45953</v>
      </c>
      <c r="C1751" s="267" t="s">
        <v>832</v>
      </c>
      <c r="D1751" s="204">
        <v>2025</v>
      </c>
      <c r="E1751" s="204" t="s">
        <v>1431</v>
      </c>
      <c r="F1751" s="204" t="s">
        <v>2591</v>
      </c>
      <c r="G1751" s="206" t="s">
        <v>88</v>
      </c>
      <c r="H1751" s="219" t="s">
        <v>3291</v>
      </c>
      <c r="I1751" s="156" t="s">
        <v>26</v>
      </c>
      <c r="J1751" s="204" t="s">
        <v>2593</v>
      </c>
      <c r="K1751" s="207"/>
    </row>
    <row r="1752" spans="1:11" ht="84">
      <c r="A1752" s="204">
        <v>1750</v>
      </c>
      <c r="B1752" s="208">
        <v>45953</v>
      </c>
      <c r="C1752" s="267" t="s">
        <v>832</v>
      </c>
      <c r="D1752" s="204">
        <v>2025</v>
      </c>
      <c r="E1752" s="209" t="s">
        <v>1431</v>
      </c>
      <c r="F1752" s="209" t="s">
        <v>2591</v>
      </c>
      <c r="G1752" s="210" t="s">
        <v>88</v>
      </c>
      <c r="H1752" s="218" t="s">
        <v>3292</v>
      </c>
      <c r="I1752" s="156" t="s">
        <v>26</v>
      </c>
      <c r="J1752" s="209" t="s">
        <v>2593</v>
      </c>
      <c r="K1752" s="211" t="s">
        <v>1444</v>
      </c>
    </row>
    <row r="1753" spans="1:11" ht="16.5">
      <c r="A1753" s="204">
        <v>1751</v>
      </c>
      <c r="B1753" s="205">
        <v>45953</v>
      </c>
      <c r="C1753" s="267" t="s">
        <v>832</v>
      </c>
      <c r="D1753" s="204">
        <v>2025</v>
      </c>
      <c r="E1753" s="204" t="s">
        <v>1431</v>
      </c>
      <c r="F1753" s="204" t="s">
        <v>2591</v>
      </c>
      <c r="G1753" s="206" t="s">
        <v>88</v>
      </c>
      <c r="H1753" s="219" t="s">
        <v>3293</v>
      </c>
      <c r="I1753" s="156" t="s">
        <v>26</v>
      </c>
      <c r="J1753" s="204" t="s">
        <v>2593</v>
      </c>
      <c r="K1753" s="207"/>
    </row>
    <row r="1754" spans="1:11" ht="100.5">
      <c r="A1754" s="204">
        <v>1752</v>
      </c>
      <c r="B1754" s="208">
        <v>45953</v>
      </c>
      <c r="C1754" s="267" t="s">
        <v>832</v>
      </c>
      <c r="D1754" s="204">
        <v>2025</v>
      </c>
      <c r="E1754" s="209" t="s">
        <v>1431</v>
      </c>
      <c r="F1754" s="209" t="s">
        <v>1566</v>
      </c>
      <c r="G1754" s="210" t="s">
        <v>88</v>
      </c>
      <c r="H1754" s="211" t="s">
        <v>3294</v>
      </c>
      <c r="I1754" s="156" t="s">
        <v>26</v>
      </c>
      <c r="J1754" s="209" t="s">
        <v>2640</v>
      </c>
      <c r="K1754" s="211" t="s">
        <v>1478</v>
      </c>
    </row>
    <row r="1755" spans="1:11" ht="33.75">
      <c r="A1755" s="204">
        <v>1753</v>
      </c>
      <c r="B1755" s="205">
        <v>45954</v>
      </c>
      <c r="C1755" s="267" t="s">
        <v>832</v>
      </c>
      <c r="D1755" s="204">
        <v>2025</v>
      </c>
      <c r="E1755" s="204" t="s">
        <v>1431</v>
      </c>
      <c r="F1755" s="204" t="s">
        <v>21</v>
      </c>
      <c r="G1755" s="213" t="s">
        <v>821</v>
      </c>
      <c r="H1755" s="207" t="s">
        <v>3295</v>
      </c>
      <c r="I1755" s="156" t="s">
        <v>26</v>
      </c>
      <c r="J1755" s="204" t="s">
        <v>149</v>
      </c>
      <c r="K1755" s="207"/>
    </row>
    <row r="1756" spans="1:11" ht="33.75">
      <c r="A1756" s="204">
        <v>1754</v>
      </c>
      <c r="B1756" s="208">
        <v>45954</v>
      </c>
      <c r="C1756" s="267" t="s">
        <v>832</v>
      </c>
      <c r="D1756" s="204">
        <v>2025</v>
      </c>
      <c r="E1756" s="209" t="s">
        <v>1431</v>
      </c>
      <c r="F1756" s="209" t="s">
        <v>1506</v>
      </c>
      <c r="G1756" s="210" t="s">
        <v>88</v>
      </c>
      <c r="H1756" s="211" t="s">
        <v>3296</v>
      </c>
      <c r="I1756" s="156" t="s">
        <v>26</v>
      </c>
      <c r="J1756" s="209" t="s">
        <v>3247</v>
      </c>
      <c r="K1756" s="211"/>
    </row>
    <row r="1757" spans="1:11" ht="84">
      <c r="A1757" s="204">
        <v>1755</v>
      </c>
      <c r="B1757" s="205">
        <v>45954</v>
      </c>
      <c r="C1757" s="267" t="s">
        <v>832</v>
      </c>
      <c r="D1757" s="204">
        <v>2025</v>
      </c>
      <c r="E1757" s="204" t="s">
        <v>1431</v>
      </c>
      <c r="F1757" s="204" t="s">
        <v>1506</v>
      </c>
      <c r="G1757" s="206" t="s">
        <v>88</v>
      </c>
      <c r="H1757" s="207" t="s">
        <v>3297</v>
      </c>
      <c r="I1757" s="156" t="s">
        <v>26</v>
      </c>
      <c r="J1757" s="204" t="s">
        <v>3247</v>
      </c>
      <c r="K1757" s="207" t="s">
        <v>1444</v>
      </c>
    </row>
    <row r="1758" spans="1:11" ht="100.5">
      <c r="A1758" s="204">
        <v>1756</v>
      </c>
      <c r="B1758" s="208">
        <v>45954</v>
      </c>
      <c r="C1758" s="267" t="s">
        <v>832</v>
      </c>
      <c r="D1758" s="204">
        <v>2025</v>
      </c>
      <c r="E1758" s="209" t="s">
        <v>1431</v>
      </c>
      <c r="F1758" s="209" t="s">
        <v>2591</v>
      </c>
      <c r="G1758" s="210" t="s">
        <v>88</v>
      </c>
      <c r="H1758" s="218" t="s">
        <v>3298</v>
      </c>
      <c r="I1758" s="156" t="s">
        <v>26</v>
      </c>
      <c r="J1758" s="209" t="s">
        <v>2593</v>
      </c>
      <c r="K1758" s="211"/>
    </row>
    <row r="1759" spans="1:11" ht="134.25">
      <c r="A1759" s="204">
        <v>1757</v>
      </c>
      <c r="B1759" s="205">
        <v>45954</v>
      </c>
      <c r="C1759" s="267" t="s">
        <v>832</v>
      </c>
      <c r="D1759" s="204">
        <v>2025</v>
      </c>
      <c r="E1759" s="204" t="s">
        <v>1431</v>
      </c>
      <c r="F1759" s="204" t="s">
        <v>2591</v>
      </c>
      <c r="G1759" s="206" t="s">
        <v>88</v>
      </c>
      <c r="H1759" s="219" t="s">
        <v>3299</v>
      </c>
      <c r="I1759" s="156" t="s">
        <v>26</v>
      </c>
      <c r="J1759" s="204" t="s">
        <v>2593</v>
      </c>
      <c r="K1759" s="207"/>
    </row>
    <row r="1760" spans="1:11" ht="168">
      <c r="A1760" s="204">
        <v>1758</v>
      </c>
      <c r="B1760" s="208">
        <v>45954</v>
      </c>
      <c r="C1760" s="267" t="s">
        <v>832</v>
      </c>
      <c r="D1760" s="204">
        <v>2025</v>
      </c>
      <c r="E1760" s="209" t="s">
        <v>1431</v>
      </c>
      <c r="F1760" s="209" t="s">
        <v>2591</v>
      </c>
      <c r="G1760" s="210" t="s">
        <v>88</v>
      </c>
      <c r="H1760" s="218" t="s">
        <v>3300</v>
      </c>
      <c r="I1760" s="156" t="s">
        <v>26</v>
      </c>
      <c r="J1760" s="209" t="s">
        <v>2593</v>
      </c>
      <c r="K1760" s="211" t="s">
        <v>1472</v>
      </c>
    </row>
    <row r="1761" spans="1:11" ht="100.5">
      <c r="A1761" s="204">
        <v>1759</v>
      </c>
      <c r="B1761" s="205">
        <v>45954</v>
      </c>
      <c r="C1761" s="267" t="s">
        <v>832</v>
      </c>
      <c r="D1761" s="204">
        <v>2025</v>
      </c>
      <c r="E1761" s="204" t="s">
        <v>1431</v>
      </c>
      <c r="F1761" s="204" t="s">
        <v>2591</v>
      </c>
      <c r="G1761" s="206" t="s">
        <v>88</v>
      </c>
      <c r="H1761" s="219" t="s">
        <v>3301</v>
      </c>
      <c r="I1761" s="156" t="s">
        <v>26</v>
      </c>
      <c r="J1761" s="204" t="s">
        <v>2593</v>
      </c>
      <c r="K1761" s="207" t="s">
        <v>1472</v>
      </c>
    </row>
    <row r="1762" spans="1:11" ht="33.75">
      <c r="A1762" s="204">
        <v>1760</v>
      </c>
      <c r="B1762" s="208">
        <v>45954</v>
      </c>
      <c r="C1762" s="267" t="s">
        <v>832</v>
      </c>
      <c r="D1762" s="204">
        <v>2025</v>
      </c>
      <c r="E1762" s="209" t="s">
        <v>1431</v>
      </c>
      <c r="F1762" s="209" t="s">
        <v>2591</v>
      </c>
      <c r="G1762" s="210" t="s">
        <v>88</v>
      </c>
      <c r="H1762" s="218" t="s">
        <v>3302</v>
      </c>
      <c r="I1762" s="156" t="s">
        <v>26</v>
      </c>
      <c r="J1762" s="209" t="s">
        <v>2593</v>
      </c>
      <c r="K1762" s="211"/>
    </row>
    <row r="1763" spans="1:11" ht="100.5">
      <c r="A1763" s="204">
        <v>1761</v>
      </c>
      <c r="B1763" s="205">
        <v>45954</v>
      </c>
      <c r="C1763" s="267" t="s">
        <v>832</v>
      </c>
      <c r="D1763" s="204">
        <v>2025</v>
      </c>
      <c r="E1763" s="204" t="s">
        <v>1431</v>
      </c>
      <c r="F1763" s="204" t="s">
        <v>2591</v>
      </c>
      <c r="G1763" s="206" t="s">
        <v>88</v>
      </c>
      <c r="H1763" s="219" t="s">
        <v>3303</v>
      </c>
      <c r="I1763" s="156" t="s">
        <v>26</v>
      </c>
      <c r="J1763" s="204" t="s">
        <v>2593</v>
      </c>
      <c r="K1763" s="207" t="s">
        <v>1454</v>
      </c>
    </row>
    <row r="1764" spans="1:11" ht="84">
      <c r="A1764" s="204">
        <v>1762</v>
      </c>
      <c r="B1764" s="208">
        <v>45954</v>
      </c>
      <c r="C1764" s="267" t="s">
        <v>832</v>
      </c>
      <c r="D1764" s="204">
        <v>2025</v>
      </c>
      <c r="E1764" s="209" t="s">
        <v>1431</v>
      </c>
      <c r="F1764" s="209" t="s">
        <v>1566</v>
      </c>
      <c r="G1764" s="210" t="s">
        <v>88</v>
      </c>
      <c r="H1764" s="211" t="s">
        <v>3304</v>
      </c>
      <c r="I1764" s="156" t="s">
        <v>26</v>
      </c>
      <c r="J1764" s="209" t="s">
        <v>1453</v>
      </c>
      <c r="K1764" s="211" t="s">
        <v>1500</v>
      </c>
    </row>
    <row r="1765" spans="1:11" ht="100.5">
      <c r="A1765" s="204">
        <v>1763</v>
      </c>
      <c r="B1765" s="205">
        <v>45954</v>
      </c>
      <c r="C1765" s="267" t="s">
        <v>832</v>
      </c>
      <c r="D1765" s="204">
        <v>2025</v>
      </c>
      <c r="E1765" s="204" t="s">
        <v>1431</v>
      </c>
      <c r="F1765" s="204" t="s">
        <v>1566</v>
      </c>
      <c r="G1765" s="206" t="s">
        <v>88</v>
      </c>
      <c r="H1765" s="207" t="s">
        <v>3305</v>
      </c>
      <c r="I1765" s="156" t="s">
        <v>26</v>
      </c>
      <c r="J1765" s="204" t="s">
        <v>1453</v>
      </c>
      <c r="K1765" s="207" t="s">
        <v>1478</v>
      </c>
    </row>
    <row r="1766" spans="1:11" ht="100.5">
      <c r="A1766" s="204">
        <v>1764</v>
      </c>
      <c r="B1766" s="208">
        <v>45954</v>
      </c>
      <c r="C1766" s="267" t="s">
        <v>832</v>
      </c>
      <c r="D1766" s="204">
        <v>2025</v>
      </c>
      <c r="E1766" s="209" t="s">
        <v>1431</v>
      </c>
      <c r="F1766" s="209" t="s">
        <v>1566</v>
      </c>
      <c r="G1766" s="210" t="s">
        <v>88</v>
      </c>
      <c r="H1766" s="211" t="s">
        <v>3306</v>
      </c>
      <c r="I1766" s="156" t="s">
        <v>26</v>
      </c>
      <c r="J1766" s="209" t="s">
        <v>1453</v>
      </c>
      <c r="K1766" s="211" t="s">
        <v>1454</v>
      </c>
    </row>
    <row r="1767" spans="1:11" ht="117">
      <c r="A1767" s="204">
        <v>1765</v>
      </c>
      <c r="B1767" s="205">
        <v>45954</v>
      </c>
      <c r="C1767" s="267" t="s">
        <v>832</v>
      </c>
      <c r="D1767" s="204">
        <v>2025</v>
      </c>
      <c r="E1767" s="204" t="s">
        <v>1431</v>
      </c>
      <c r="F1767" s="204" t="s">
        <v>1566</v>
      </c>
      <c r="G1767" s="206" t="s">
        <v>88</v>
      </c>
      <c r="H1767" s="207" t="s">
        <v>3307</v>
      </c>
      <c r="I1767" s="156" t="s">
        <v>26</v>
      </c>
      <c r="J1767" s="204" t="s">
        <v>1453</v>
      </c>
      <c r="K1767" s="207" t="s">
        <v>1451</v>
      </c>
    </row>
    <row r="1768" spans="1:11" ht="66.75">
      <c r="A1768" s="204">
        <v>1766</v>
      </c>
      <c r="B1768" s="208">
        <v>45957</v>
      </c>
      <c r="C1768" s="267" t="s">
        <v>832</v>
      </c>
      <c r="D1768" s="204">
        <v>2025</v>
      </c>
      <c r="E1768" s="209" t="s">
        <v>1431</v>
      </c>
      <c r="F1768" s="209" t="s">
        <v>1506</v>
      </c>
      <c r="G1768" s="210" t="s">
        <v>88</v>
      </c>
      <c r="H1768" s="211" t="s">
        <v>3308</v>
      </c>
      <c r="I1768" s="156" t="s">
        <v>26</v>
      </c>
      <c r="J1768" s="209" t="s">
        <v>1904</v>
      </c>
      <c r="K1768" s="211"/>
    </row>
    <row r="1769" spans="1:11" ht="84">
      <c r="A1769" s="204">
        <v>1767</v>
      </c>
      <c r="B1769" s="205">
        <v>45957</v>
      </c>
      <c r="C1769" s="267" t="s">
        <v>832</v>
      </c>
      <c r="D1769" s="204">
        <v>2025</v>
      </c>
      <c r="E1769" s="204" t="s">
        <v>1431</v>
      </c>
      <c r="F1769" s="204" t="s">
        <v>1506</v>
      </c>
      <c r="G1769" s="206" t="s">
        <v>88</v>
      </c>
      <c r="H1769" s="207" t="s">
        <v>3309</v>
      </c>
      <c r="I1769" s="156" t="s">
        <v>26</v>
      </c>
      <c r="J1769" s="204" t="s">
        <v>1904</v>
      </c>
      <c r="K1769" s="207" t="s">
        <v>1500</v>
      </c>
    </row>
    <row r="1770" spans="1:11" ht="33.75">
      <c r="A1770" s="204">
        <v>1768</v>
      </c>
      <c r="B1770" s="208">
        <v>45957</v>
      </c>
      <c r="C1770" s="267" t="s">
        <v>832</v>
      </c>
      <c r="D1770" s="204">
        <v>2025</v>
      </c>
      <c r="E1770" s="209" t="s">
        <v>1431</v>
      </c>
      <c r="F1770" s="209" t="s">
        <v>216</v>
      </c>
      <c r="G1770" s="213" t="s">
        <v>821</v>
      </c>
      <c r="H1770" s="211" t="s">
        <v>3310</v>
      </c>
      <c r="I1770" s="156" t="s">
        <v>26</v>
      </c>
      <c r="J1770" s="209" t="s">
        <v>492</v>
      </c>
      <c r="K1770" s="211"/>
    </row>
    <row r="1771" spans="1:11" ht="134.25">
      <c r="A1771" s="204">
        <v>1769</v>
      </c>
      <c r="B1771" s="205">
        <v>45957</v>
      </c>
      <c r="C1771" s="267" t="s">
        <v>832</v>
      </c>
      <c r="D1771" s="204">
        <v>2025</v>
      </c>
      <c r="E1771" s="204" t="s">
        <v>1431</v>
      </c>
      <c r="F1771" s="204" t="s">
        <v>216</v>
      </c>
      <c r="G1771" s="213" t="s">
        <v>821</v>
      </c>
      <c r="H1771" s="207" t="s">
        <v>3311</v>
      </c>
      <c r="I1771" s="156" t="s">
        <v>26</v>
      </c>
      <c r="J1771" s="204" t="s">
        <v>492</v>
      </c>
      <c r="K1771" s="207" t="s">
        <v>1601</v>
      </c>
    </row>
    <row r="1772" spans="1:11" ht="100.5">
      <c r="A1772" s="204">
        <v>1770</v>
      </c>
      <c r="B1772" s="208">
        <v>45957</v>
      </c>
      <c r="C1772" s="267" t="s">
        <v>832</v>
      </c>
      <c r="D1772" s="204">
        <v>2025</v>
      </c>
      <c r="E1772" s="209" t="s">
        <v>2224</v>
      </c>
      <c r="F1772" s="209" t="s">
        <v>988</v>
      </c>
      <c r="G1772" s="210" t="s">
        <v>88</v>
      </c>
      <c r="H1772" s="211" t="s">
        <v>3312</v>
      </c>
      <c r="I1772" s="156" t="s">
        <v>26</v>
      </c>
      <c r="J1772" s="209" t="s">
        <v>2568</v>
      </c>
      <c r="K1772" s="211" t="s">
        <v>1472</v>
      </c>
    </row>
    <row r="1773" spans="1:11" ht="33.75">
      <c r="A1773" s="204">
        <v>1771</v>
      </c>
      <c r="B1773" s="205">
        <v>45957</v>
      </c>
      <c r="C1773" s="267" t="s">
        <v>832</v>
      </c>
      <c r="D1773" s="204">
        <v>2025</v>
      </c>
      <c r="E1773" s="204" t="s">
        <v>2224</v>
      </c>
      <c r="F1773" s="204" t="s">
        <v>3011</v>
      </c>
      <c r="G1773" s="214" t="s">
        <v>859</v>
      </c>
      <c r="H1773" s="207" t="s">
        <v>3313</v>
      </c>
      <c r="I1773" s="156" t="s">
        <v>26</v>
      </c>
      <c r="J1773" s="204" t="s">
        <v>2735</v>
      </c>
      <c r="K1773" s="207"/>
    </row>
    <row r="1774" spans="1:11" ht="84">
      <c r="A1774" s="204">
        <v>1772</v>
      </c>
      <c r="B1774" s="208">
        <v>45957</v>
      </c>
      <c r="C1774" s="267" t="s">
        <v>832</v>
      </c>
      <c r="D1774" s="204">
        <v>2025</v>
      </c>
      <c r="E1774" s="209" t="s">
        <v>1431</v>
      </c>
      <c r="F1774" s="209" t="s">
        <v>2591</v>
      </c>
      <c r="G1774" s="210" t="s">
        <v>88</v>
      </c>
      <c r="H1774" s="211" t="s">
        <v>3314</v>
      </c>
      <c r="I1774" s="156" t="s">
        <v>26</v>
      </c>
      <c r="J1774" s="209" t="s">
        <v>2593</v>
      </c>
      <c r="K1774" s="211" t="s">
        <v>1500</v>
      </c>
    </row>
    <row r="1775" spans="1:11" ht="100.5">
      <c r="A1775" s="204">
        <v>1773</v>
      </c>
      <c r="B1775" s="205">
        <v>45957</v>
      </c>
      <c r="C1775" s="267" t="s">
        <v>832</v>
      </c>
      <c r="D1775" s="204">
        <v>2025</v>
      </c>
      <c r="E1775" s="204" t="s">
        <v>1431</v>
      </c>
      <c r="F1775" s="204" t="s">
        <v>2591</v>
      </c>
      <c r="G1775" s="213" t="s">
        <v>821</v>
      </c>
      <c r="H1775" s="219" t="s">
        <v>3315</v>
      </c>
      <c r="I1775" s="156" t="s">
        <v>26</v>
      </c>
      <c r="J1775" s="204" t="s">
        <v>2593</v>
      </c>
      <c r="K1775" s="207" t="s">
        <v>1448</v>
      </c>
    </row>
    <row r="1776" spans="1:11" ht="150.75">
      <c r="A1776" s="204">
        <v>1774</v>
      </c>
      <c r="B1776" s="208">
        <v>45957</v>
      </c>
      <c r="C1776" s="267" t="s">
        <v>832</v>
      </c>
      <c r="D1776" s="204">
        <v>2025</v>
      </c>
      <c r="E1776" s="209" t="s">
        <v>1431</v>
      </c>
      <c r="F1776" s="209" t="s">
        <v>2591</v>
      </c>
      <c r="G1776" s="210" t="s">
        <v>88</v>
      </c>
      <c r="H1776" s="218" t="s">
        <v>3316</v>
      </c>
      <c r="I1776" s="156" t="s">
        <v>26</v>
      </c>
      <c r="J1776" s="209" t="s">
        <v>2593</v>
      </c>
      <c r="K1776" s="211" t="s">
        <v>1500</v>
      </c>
    </row>
    <row r="1777" spans="1:11" ht="84">
      <c r="A1777" s="204">
        <v>1775</v>
      </c>
      <c r="B1777" s="205">
        <v>45957</v>
      </c>
      <c r="C1777" s="267" t="s">
        <v>832</v>
      </c>
      <c r="D1777" s="204">
        <v>2025</v>
      </c>
      <c r="E1777" s="204" t="s">
        <v>1431</v>
      </c>
      <c r="F1777" s="204" t="s">
        <v>2591</v>
      </c>
      <c r="G1777" s="215" t="s">
        <v>872</v>
      </c>
      <c r="H1777" s="219" t="s">
        <v>3317</v>
      </c>
      <c r="I1777" s="156" t="s">
        <v>26</v>
      </c>
      <c r="J1777" s="204" t="s">
        <v>2593</v>
      </c>
      <c r="K1777" s="207" t="s">
        <v>1500</v>
      </c>
    </row>
    <row r="1778" spans="1:11" ht="134.25">
      <c r="A1778" s="204">
        <v>1776</v>
      </c>
      <c r="B1778" s="208">
        <v>45957</v>
      </c>
      <c r="C1778" s="267" t="s">
        <v>832</v>
      </c>
      <c r="D1778" s="204">
        <v>2025</v>
      </c>
      <c r="E1778" s="209" t="s">
        <v>1431</v>
      </c>
      <c r="F1778" s="209" t="s">
        <v>2591</v>
      </c>
      <c r="G1778" s="210" t="s">
        <v>88</v>
      </c>
      <c r="H1778" s="218" t="s">
        <v>3318</v>
      </c>
      <c r="I1778" s="156" t="s">
        <v>26</v>
      </c>
      <c r="J1778" s="209" t="s">
        <v>2593</v>
      </c>
      <c r="K1778" s="211" t="s">
        <v>1472</v>
      </c>
    </row>
    <row r="1779" spans="1:11" ht="100.5">
      <c r="A1779" s="204">
        <v>1777</v>
      </c>
      <c r="B1779" s="205">
        <v>45957</v>
      </c>
      <c r="C1779" s="267" t="s">
        <v>832</v>
      </c>
      <c r="D1779" s="204">
        <v>2025</v>
      </c>
      <c r="E1779" s="204" t="s">
        <v>1431</v>
      </c>
      <c r="F1779" s="204" t="s">
        <v>2591</v>
      </c>
      <c r="G1779" s="215" t="s">
        <v>872</v>
      </c>
      <c r="H1779" s="219" t="s">
        <v>3319</v>
      </c>
      <c r="I1779" s="156" t="s">
        <v>26</v>
      </c>
      <c r="J1779" s="204" t="s">
        <v>2593</v>
      </c>
      <c r="K1779" s="207" t="s">
        <v>1500</v>
      </c>
    </row>
    <row r="1780" spans="1:11" ht="84">
      <c r="A1780" s="204">
        <v>1778</v>
      </c>
      <c r="B1780" s="208">
        <v>45957</v>
      </c>
      <c r="C1780" s="267" t="s">
        <v>832</v>
      </c>
      <c r="D1780" s="204">
        <v>2025</v>
      </c>
      <c r="E1780" s="209" t="s">
        <v>1431</v>
      </c>
      <c r="F1780" s="209" t="s">
        <v>2591</v>
      </c>
      <c r="G1780" s="210" t="s">
        <v>88</v>
      </c>
      <c r="H1780" s="218" t="s">
        <v>3320</v>
      </c>
      <c r="I1780" s="156" t="s">
        <v>26</v>
      </c>
      <c r="J1780" s="209" t="s">
        <v>2593</v>
      </c>
      <c r="K1780" s="211"/>
    </row>
    <row r="1781" spans="1:11" ht="33.75">
      <c r="A1781" s="204">
        <v>1779</v>
      </c>
      <c r="B1781" s="205">
        <v>45957</v>
      </c>
      <c r="C1781" s="267" t="s">
        <v>832</v>
      </c>
      <c r="D1781" s="204">
        <v>2025</v>
      </c>
      <c r="E1781" s="204" t="s">
        <v>1431</v>
      </c>
      <c r="F1781" s="204" t="s">
        <v>2591</v>
      </c>
      <c r="G1781" s="206" t="s">
        <v>88</v>
      </c>
      <c r="H1781" s="207" t="s">
        <v>3321</v>
      </c>
      <c r="I1781" s="156" t="s">
        <v>26</v>
      </c>
      <c r="J1781" s="204" t="s">
        <v>2593</v>
      </c>
      <c r="K1781" s="207"/>
    </row>
    <row r="1782" spans="1:11" ht="100.5">
      <c r="A1782" s="204">
        <v>1780</v>
      </c>
      <c r="B1782" s="208">
        <v>45957</v>
      </c>
      <c r="C1782" s="267" t="s">
        <v>832</v>
      </c>
      <c r="D1782" s="204">
        <v>2025</v>
      </c>
      <c r="E1782" s="209" t="s">
        <v>1431</v>
      </c>
      <c r="F1782" s="209" t="s">
        <v>1566</v>
      </c>
      <c r="G1782" s="210" t="s">
        <v>88</v>
      </c>
      <c r="H1782" s="211" t="s">
        <v>3322</v>
      </c>
      <c r="I1782" s="156" t="s">
        <v>26</v>
      </c>
      <c r="J1782" s="209" t="s">
        <v>1588</v>
      </c>
      <c r="K1782" s="211" t="s">
        <v>1478</v>
      </c>
    </row>
    <row r="1783" spans="1:11" ht="100.5">
      <c r="A1783" s="204">
        <v>1781</v>
      </c>
      <c r="B1783" s="205">
        <v>45957</v>
      </c>
      <c r="C1783" s="267" t="s">
        <v>832</v>
      </c>
      <c r="D1783" s="204">
        <v>2025</v>
      </c>
      <c r="E1783" s="204" t="s">
        <v>1431</v>
      </c>
      <c r="F1783" s="204" t="s">
        <v>1566</v>
      </c>
      <c r="G1783" s="206" t="s">
        <v>88</v>
      </c>
      <c r="H1783" s="207" t="s">
        <v>3323</v>
      </c>
      <c r="I1783" s="156" t="s">
        <v>26</v>
      </c>
      <c r="J1783" s="204" t="s">
        <v>1588</v>
      </c>
      <c r="K1783" s="207" t="s">
        <v>1454</v>
      </c>
    </row>
    <row r="1784" spans="1:11" ht="100.5">
      <c r="A1784" s="204">
        <v>1782</v>
      </c>
      <c r="B1784" s="208">
        <v>45957</v>
      </c>
      <c r="C1784" s="267" t="s">
        <v>832</v>
      </c>
      <c r="D1784" s="204">
        <v>2025</v>
      </c>
      <c r="E1784" s="209" t="s">
        <v>1431</v>
      </c>
      <c r="F1784" s="209" t="s">
        <v>1566</v>
      </c>
      <c r="G1784" s="210" t="s">
        <v>88</v>
      </c>
      <c r="H1784" s="211" t="s">
        <v>3324</v>
      </c>
      <c r="I1784" s="156" t="s">
        <v>26</v>
      </c>
      <c r="J1784" s="209" t="s">
        <v>1588</v>
      </c>
      <c r="K1784" s="211" t="s">
        <v>1454</v>
      </c>
    </row>
    <row r="1785" spans="1:11" ht="100.5">
      <c r="A1785" s="204">
        <v>1783</v>
      </c>
      <c r="B1785" s="205">
        <v>45957</v>
      </c>
      <c r="C1785" s="267" t="s">
        <v>832</v>
      </c>
      <c r="D1785" s="204">
        <v>2025</v>
      </c>
      <c r="E1785" s="204" t="s">
        <v>1431</v>
      </c>
      <c r="F1785" s="204" t="s">
        <v>1566</v>
      </c>
      <c r="G1785" s="206" t="s">
        <v>88</v>
      </c>
      <c r="H1785" s="207" t="s">
        <v>3325</v>
      </c>
      <c r="I1785" s="156" t="s">
        <v>26</v>
      </c>
      <c r="J1785" s="204" t="s">
        <v>1588</v>
      </c>
      <c r="K1785" s="207" t="s">
        <v>1500</v>
      </c>
    </row>
    <row r="1786" spans="1:11" ht="117">
      <c r="A1786" s="204">
        <v>1784</v>
      </c>
      <c r="B1786" s="208">
        <v>45957</v>
      </c>
      <c r="C1786" s="267" t="s">
        <v>832</v>
      </c>
      <c r="D1786" s="204">
        <v>2025</v>
      </c>
      <c r="E1786" s="209" t="s">
        <v>1431</v>
      </c>
      <c r="F1786" s="209" t="s">
        <v>1566</v>
      </c>
      <c r="G1786" s="210" t="s">
        <v>88</v>
      </c>
      <c r="H1786" s="211" t="s">
        <v>3326</v>
      </c>
      <c r="I1786" s="156" t="s">
        <v>26</v>
      </c>
      <c r="J1786" s="209" t="s">
        <v>1588</v>
      </c>
      <c r="K1786" s="211" t="s">
        <v>1451</v>
      </c>
    </row>
    <row r="1787" spans="1:11" ht="117">
      <c r="A1787" s="204">
        <v>1785</v>
      </c>
      <c r="B1787" s="205">
        <v>45957</v>
      </c>
      <c r="C1787" s="267" t="s">
        <v>832</v>
      </c>
      <c r="D1787" s="204">
        <v>2025</v>
      </c>
      <c r="E1787" s="204" t="s">
        <v>1431</v>
      </c>
      <c r="F1787" s="204" t="s">
        <v>1566</v>
      </c>
      <c r="G1787" s="206" t="s">
        <v>88</v>
      </c>
      <c r="H1787" s="207" t="s">
        <v>3327</v>
      </c>
      <c r="I1787" s="156" t="s">
        <v>26</v>
      </c>
      <c r="J1787" s="204" t="s">
        <v>1588</v>
      </c>
      <c r="K1787" s="207" t="s">
        <v>1559</v>
      </c>
    </row>
    <row r="1788" spans="1:11" ht="100.5">
      <c r="A1788" s="204">
        <v>1786</v>
      </c>
      <c r="B1788" s="208">
        <v>45957</v>
      </c>
      <c r="C1788" s="267" t="s">
        <v>832</v>
      </c>
      <c r="D1788" s="204">
        <v>2025</v>
      </c>
      <c r="E1788" s="209" t="s">
        <v>2224</v>
      </c>
      <c r="F1788" s="209" t="s">
        <v>2591</v>
      </c>
      <c r="G1788" s="217" t="s">
        <v>859</v>
      </c>
      <c r="H1788" s="211" t="s">
        <v>3328</v>
      </c>
      <c r="I1788" s="156" t="s">
        <v>26</v>
      </c>
      <c r="J1788" s="209" t="s">
        <v>2593</v>
      </c>
      <c r="K1788" s="211" t="s">
        <v>1476</v>
      </c>
    </row>
    <row r="1789" spans="1:11" ht="100.5">
      <c r="A1789" s="204">
        <v>1787</v>
      </c>
      <c r="B1789" s="205">
        <v>45957</v>
      </c>
      <c r="C1789" s="267" t="s">
        <v>832</v>
      </c>
      <c r="D1789" s="204">
        <v>2025</v>
      </c>
      <c r="E1789" s="204" t="s">
        <v>2224</v>
      </c>
      <c r="F1789" s="204" t="s">
        <v>2591</v>
      </c>
      <c r="G1789" s="206" t="s">
        <v>88</v>
      </c>
      <c r="H1789" s="219" t="s">
        <v>3329</v>
      </c>
      <c r="I1789" s="156" t="s">
        <v>26</v>
      </c>
      <c r="J1789" s="204" t="s">
        <v>2593</v>
      </c>
      <c r="K1789" s="207"/>
    </row>
    <row r="1790" spans="1:11" ht="33.75">
      <c r="A1790" s="204">
        <v>1788</v>
      </c>
      <c r="B1790" s="208">
        <v>45957</v>
      </c>
      <c r="C1790" s="267" t="s">
        <v>832</v>
      </c>
      <c r="D1790" s="204">
        <v>2025</v>
      </c>
      <c r="E1790" s="209" t="s">
        <v>2224</v>
      </c>
      <c r="F1790" s="209" t="s">
        <v>2591</v>
      </c>
      <c r="G1790" s="210" t="s">
        <v>88</v>
      </c>
      <c r="H1790" s="218" t="s">
        <v>3330</v>
      </c>
      <c r="I1790" s="156" t="s">
        <v>26</v>
      </c>
      <c r="J1790" s="209" t="s">
        <v>2593</v>
      </c>
      <c r="K1790" s="211"/>
    </row>
    <row r="1791" spans="1:11" ht="117">
      <c r="A1791" s="204">
        <v>1789</v>
      </c>
      <c r="B1791" s="205">
        <v>45957</v>
      </c>
      <c r="C1791" s="267" t="s">
        <v>832</v>
      </c>
      <c r="D1791" s="204">
        <v>2025</v>
      </c>
      <c r="E1791" s="204" t="s">
        <v>2224</v>
      </c>
      <c r="F1791" s="204" t="s">
        <v>2591</v>
      </c>
      <c r="G1791" s="206" t="s">
        <v>88</v>
      </c>
      <c r="H1791" s="219" t="s">
        <v>3331</v>
      </c>
      <c r="I1791" s="156" t="s">
        <v>26</v>
      </c>
      <c r="J1791" s="204" t="s">
        <v>2593</v>
      </c>
      <c r="K1791" s="207" t="s">
        <v>1437</v>
      </c>
    </row>
    <row r="1792" spans="1:11" ht="117">
      <c r="A1792" s="204">
        <v>1790</v>
      </c>
      <c r="B1792" s="208">
        <v>45958</v>
      </c>
      <c r="C1792" s="267" t="s">
        <v>832</v>
      </c>
      <c r="D1792" s="204">
        <v>2025</v>
      </c>
      <c r="E1792" s="209" t="s">
        <v>2224</v>
      </c>
      <c r="F1792" s="209" t="s">
        <v>21</v>
      </c>
      <c r="G1792" s="213" t="s">
        <v>821</v>
      </c>
      <c r="H1792" s="211" t="s">
        <v>3332</v>
      </c>
      <c r="I1792" s="156" t="s">
        <v>26</v>
      </c>
      <c r="J1792" s="209" t="s">
        <v>149</v>
      </c>
      <c r="K1792" s="211" t="s">
        <v>1482</v>
      </c>
    </row>
    <row r="1793" spans="1:11" ht="84">
      <c r="A1793" s="204">
        <v>1791</v>
      </c>
      <c r="B1793" s="205">
        <v>45958</v>
      </c>
      <c r="C1793" s="267" t="s">
        <v>832</v>
      </c>
      <c r="D1793" s="204">
        <v>2025</v>
      </c>
      <c r="E1793" s="204" t="s">
        <v>1431</v>
      </c>
      <c r="F1793" s="204" t="s">
        <v>2591</v>
      </c>
      <c r="G1793" s="206" t="s">
        <v>88</v>
      </c>
      <c r="H1793" s="207" t="s">
        <v>3333</v>
      </c>
      <c r="I1793" s="156" t="s">
        <v>26</v>
      </c>
      <c r="J1793" s="204" t="s">
        <v>2593</v>
      </c>
      <c r="K1793" s="207"/>
    </row>
    <row r="1794" spans="1:11" ht="84">
      <c r="A1794" s="204">
        <v>1792</v>
      </c>
      <c r="B1794" s="208">
        <v>45958</v>
      </c>
      <c r="C1794" s="267" t="s">
        <v>832</v>
      </c>
      <c r="D1794" s="204">
        <v>2025</v>
      </c>
      <c r="E1794" s="209" t="s">
        <v>1431</v>
      </c>
      <c r="F1794" s="209" t="s">
        <v>2591</v>
      </c>
      <c r="G1794" s="210" t="s">
        <v>88</v>
      </c>
      <c r="H1794" s="211" t="s">
        <v>3334</v>
      </c>
      <c r="I1794" s="156" t="s">
        <v>26</v>
      </c>
      <c r="J1794" s="209" t="s">
        <v>2593</v>
      </c>
      <c r="K1794" s="211"/>
    </row>
    <row r="1795" spans="1:11" ht="84">
      <c r="A1795" s="204">
        <v>1793</v>
      </c>
      <c r="B1795" s="205">
        <v>45958</v>
      </c>
      <c r="C1795" s="267" t="s">
        <v>832</v>
      </c>
      <c r="D1795" s="204">
        <v>2025</v>
      </c>
      <c r="E1795" s="204" t="s">
        <v>1431</v>
      </c>
      <c r="F1795" s="204" t="s">
        <v>2591</v>
      </c>
      <c r="G1795" s="206" t="s">
        <v>88</v>
      </c>
      <c r="H1795" s="207" t="s">
        <v>3335</v>
      </c>
      <c r="I1795" s="156" t="s">
        <v>26</v>
      </c>
      <c r="J1795" s="204" t="s">
        <v>2593</v>
      </c>
      <c r="K1795" s="207" t="s">
        <v>1500</v>
      </c>
    </row>
    <row r="1796" spans="1:11" ht="150.75">
      <c r="A1796" s="204">
        <v>1794</v>
      </c>
      <c r="B1796" s="208">
        <v>45958</v>
      </c>
      <c r="C1796" s="267" t="s">
        <v>832</v>
      </c>
      <c r="D1796" s="204">
        <v>2025</v>
      </c>
      <c r="E1796" s="209" t="s">
        <v>1431</v>
      </c>
      <c r="F1796" s="209" t="s">
        <v>2591</v>
      </c>
      <c r="G1796" s="213" t="s">
        <v>821</v>
      </c>
      <c r="H1796" s="211" t="s">
        <v>3336</v>
      </c>
      <c r="I1796" s="156" t="s">
        <v>26</v>
      </c>
      <c r="J1796" s="209" t="s">
        <v>2593</v>
      </c>
      <c r="K1796" s="211" t="s">
        <v>1513</v>
      </c>
    </row>
    <row r="1797" spans="1:11" ht="100.5">
      <c r="A1797" s="204">
        <v>1795</v>
      </c>
      <c r="B1797" s="205">
        <v>45958</v>
      </c>
      <c r="C1797" s="267" t="s">
        <v>832</v>
      </c>
      <c r="D1797" s="204">
        <v>2025</v>
      </c>
      <c r="E1797" s="204" t="s">
        <v>1431</v>
      </c>
      <c r="F1797" s="204" t="s">
        <v>1566</v>
      </c>
      <c r="G1797" s="206" t="s">
        <v>88</v>
      </c>
      <c r="H1797" s="207" t="s">
        <v>3337</v>
      </c>
      <c r="I1797" s="156" t="s">
        <v>26</v>
      </c>
      <c r="J1797" s="204" t="s">
        <v>2640</v>
      </c>
      <c r="K1797" s="207" t="s">
        <v>1478</v>
      </c>
    </row>
    <row r="1798" spans="1:11" ht="66.75">
      <c r="A1798" s="204">
        <v>1796</v>
      </c>
      <c r="B1798" s="208">
        <v>45958</v>
      </c>
      <c r="C1798" s="267" t="s">
        <v>832</v>
      </c>
      <c r="D1798" s="204">
        <v>2025</v>
      </c>
      <c r="E1798" s="209" t="s">
        <v>1431</v>
      </c>
      <c r="F1798" s="209" t="s">
        <v>1566</v>
      </c>
      <c r="G1798" s="210" t="s">
        <v>88</v>
      </c>
      <c r="H1798" s="211" t="s">
        <v>3338</v>
      </c>
      <c r="I1798" s="156" t="s">
        <v>26</v>
      </c>
      <c r="J1798" s="209" t="s">
        <v>2640</v>
      </c>
      <c r="K1798" s="211" t="s">
        <v>1548</v>
      </c>
    </row>
    <row r="1799" spans="1:11" ht="100.5">
      <c r="A1799" s="204">
        <v>1797</v>
      </c>
      <c r="B1799" s="205">
        <v>45958</v>
      </c>
      <c r="C1799" s="267" t="s">
        <v>832</v>
      </c>
      <c r="D1799" s="204">
        <v>2025</v>
      </c>
      <c r="E1799" s="204" t="s">
        <v>1431</v>
      </c>
      <c r="F1799" s="204" t="s">
        <v>1566</v>
      </c>
      <c r="G1799" s="206" t="s">
        <v>88</v>
      </c>
      <c r="H1799" s="207" t="s">
        <v>3339</v>
      </c>
      <c r="I1799" s="156" t="s">
        <v>26</v>
      </c>
      <c r="J1799" s="204" t="s">
        <v>2640</v>
      </c>
      <c r="K1799" s="207" t="s">
        <v>1454</v>
      </c>
    </row>
    <row r="1800" spans="1:11" ht="117">
      <c r="A1800" s="204">
        <v>1798</v>
      </c>
      <c r="B1800" s="208">
        <v>45959</v>
      </c>
      <c r="C1800" s="267" t="s">
        <v>832</v>
      </c>
      <c r="D1800" s="204">
        <v>2025</v>
      </c>
      <c r="E1800" s="209" t="s">
        <v>1431</v>
      </c>
      <c r="F1800" s="209" t="s">
        <v>1508</v>
      </c>
      <c r="G1800" s="216" t="s">
        <v>872</v>
      </c>
      <c r="H1800" s="211" t="s">
        <v>3340</v>
      </c>
      <c r="I1800" s="156" t="s">
        <v>26</v>
      </c>
      <c r="J1800" s="209" t="s">
        <v>1904</v>
      </c>
      <c r="K1800" s="211" t="s">
        <v>1522</v>
      </c>
    </row>
    <row r="1801" spans="1:11" ht="150.75">
      <c r="A1801" s="204">
        <v>1799</v>
      </c>
      <c r="B1801" s="205">
        <v>45959</v>
      </c>
      <c r="C1801" s="267" t="s">
        <v>832</v>
      </c>
      <c r="D1801" s="204">
        <v>2025</v>
      </c>
      <c r="E1801" s="204" t="s">
        <v>1431</v>
      </c>
      <c r="F1801" s="204" t="s">
        <v>21</v>
      </c>
      <c r="G1801" s="213" t="s">
        <v>821</v>
      </c>
      <c r="H1801" s="207" t="s">
        <v>3341</v>
      </c>
      <c r="I1801" s="156" t="s">
        <v>26</v>
      </c>
      <c r="J1801" s="204" t="s">
        <v>149</v>
      </c>
      <c r="K1801" s="207" t="s">
        <v>1513</v>
      </c>
    </row>
    <row r="1802" spans="1:11" ht="84">
      <c r="A1802" s="204">
        <v>1800</v>
      </c>
      <c r="B1802" s="208">
        <v>45959</v>
      </c>
      <c r="C1802" s="267" t="s">
        <v>832</v>
      </c>
      <c r="D1802" s="204">
        <v>2025</v>
      </c>
      <c r="E1802" s="209" t="s">
        <v>1431</v>
      </c>
      <c r="F1802" s="209" t="s">
        <v>1506</v>
      </c>
      <c r="G1802" s="210" t="s">
        <v>88</v>
      </c>
      <c r="H1802" s="211" t="s">
        <v>3342</v>
      </c>
      <c r="I1802" s="156" t="s">
        <v>26</v>
      </c>
      <c r="J1802" s="209" t="s">
        <v>3343</v>
      </c>
      <c r="K1802" s="211" t="s">
        <v>1500</v>
      </c>
    </row>
    <row r="1803" spans="1:11" ht="50.25">
      <c r="A1803" s="204">
        <v>1801</v>
      </c>
      <c r="B1803" s="205">
        <v>45959</v>
      </c>
      <c r="C1803" s="267" t="s">
        <v>832</v>
      </c>
      <c r="D1803" s="204">
        <v>2025</v>
      </c>
      <c r="E1803" s="204" t="s">
        <v>1431</v>
      </c>
      <c r="F1803" s="204" t="s">
        <v>216</v>
      </c>
      <c r="G1803" s="213" t="s">
        <v>821</v>
      </c>
      <c r="H1803" s="207" t="s">
        <v>3344</v>
      </c>
      <c r="I1803" s="156" t="s">
        <v>26</v>
      </c>
      <c r="J1803" s="204" t="s">
        <v>492</v>
      </c>
      <c r="K1803" s="207"/>
    </row>
    <row r="1804" spans="1:11" ht="150.75">
      <c r="A1804" s="204">
        <v>1802</v>
      </c>
      <c r="B1804" s="208">
        <v>45959</v>
      </c>
      <c r="C1804" s="267" t="s">
        <v>832</v>
      </c>
      <c r="D1804" s="204">
        <v>2025</v>
      </c>
      <c r="E1804" s="209" t="s">
        <v>1431</v>
      </c>
      <c r="F1804" s="209" t="s">
        <v>21</v>
      </c>
      <c r="G1804" s="213" t="s">
        <v>821</v>
      </c>
      <c r="H1804" s="211" t="s">
        <v>3345</v>
      </c>
      <c r="I1804" s="156" t="s">
        <v>26</v>
      </c>
      <c r="J1804" s="209" t="s">
        <v>149</v>
      </c>
      <c r="K1804" s="211" t="s">
        <v>1513</v>
      </c>
    </row>
    <row r="1805" spans="1:11" ht="100.5">
      <c r="A1805" s="204">
        <v>1803</v>
      </c>
      <c r="B1805" s="205">
        <v>45959</v>
      </c>
      <c r="C1805" s="267" t="s">
        <v>832</v>
      </c>
      <c r="D1805" s="204">
        <v>2025</v>
      </c>
      <c r="E1805" s="204" t="s">
        <v>1431</v>
      </c>
      <c r="F1805" s="204" t="s">
        <v>1566</v>
      </c>
      <c r="G1805" s="206" t="s">
        <v>88</v>
      </c>
      <c r="H1805" s="207" t="s">
        <v>3346</v>
      </c>
      <c r="I1805" s="156" t="s">
        <v>26</v>
      </c>
      <c r="J1805" s="204" t="s">
        <v>1453</v>
      </c>
      <c r="K1805" s="207" t="s">
        <v>1478</v>
      </c>
    </row>
    <row r="1806" spans="1:11" ht="100.5">
      <c r="A1806" s="204">
        <v>1804</v>
      </c>
      <c r="B1806" s="208">
        <v>45959</v>
      </c>
      <c r="C1806" s="267" t="s">
        <v>832</v>
      </c>
      <c r="D1806" s="204">
        <v>2025</v>
      </c>
      <c r="E1806" s="209" t="s">
        <v>1431</v>
      </c>
      <c r="F1806" s="209" t="s">
        <v>1566</v>
      </c>
      <c r="G1806" s="210" t="s">
        <v>88</v>
      </c>
      <c r="H1806" s="211" t="s">
        <v>3347</v>
      </c>
      <c r="I1806" s="156" t="s">
        <v>26</v>
      </c>
      <c r="J1806" s="209" t="s">
        <v>1453</v>
      </c>
      <c r="K1806" s="211" t="s">
        <v>1478</v>
      </c>
    </row>
    <row r="1807" spans="1:11" ht="100.5">
      <c r="A1807" s="204">
        <v>1805</v>
      </c>
      <c r="B1807" s="205">
        <v>45959</v>
      </c>
      <c r="C1807" s="267" t="s">
        <v>832</v>
      </c>
      <c r="D1807" s="204">
        <v>2025</v>
      </c>
      <c r="E1807" s="204" t="s">
        <v>1431</v>
      </c>
      <c r="F1807" s="204" t="s">
        <v>1566</v>
      </c>
      <c r="G1807" s="206" t="s">
        <v>88</v>
      </c>
      <c r="H1807" s="207" t="s">
        <v>3348</v>
      </c>
      <c r="I1807" s="156" t="s">
        <v>26</v>
      </c>
      <c r="J1807" s="204" t="s">
        <v>1453</v>
      </c>
      <c r="K1807" s="207" t="s">
        <v>1454</v>
      </c>
    </row>
    <row r="1808" spans="1:11" ht="50.25">
      <c r="A1808" s="204">
        <v>1806</v>
      </c>
      <c r="B1808" s="208">
        <v>45960</v>
      </c>
      <c r="C1808" s="267" t="s">
        <v>832</v>
      </c>
      <c r="D1808" s="204">
        <v>2025</v>
      </c>
      <c r="E1808" s="209" t="s">
        <v>1431</v>
      </c>
      <c r="F1808" s="209" t="s">
        <v>988</v>
      </c>
      <c r="G1808" s="212" t="s">
        <v>1439</v>
      </c>
      <c r="H1808" s="211" t="s">
        <v>3349</v>
      </c>
      <c r="I1808" s="156" t="s">
        <v>26</v>
      </c>
      <c r="J1808" s="209" t="s">
        <v>452</v>
      </c>
      <c r="K1808" s="211"/>
    </row>
    <row r="1809" spans="1:11" ht="100.5">
      <c r="A1809" s="204">
        <v>1807</v>
      </c>
      <c r="B1809" s="205">
        <v>45960</v>
      </c>
      <c r="C1809" s="267" t="s">
        <v>832</v>
      </c>
      <c r="D1809" s="204">
        <v>2025</v>
      </c>
      <c r="E1809" s="204" t="s">
        <v>1431</v>
      </c>
      <c r="F1809" s="204" t="s">
        <v>97</v>
      </c>
      <c r="G1809" s="213" t="s">
        <v>821</v>
      </c>
      <c r="H1809" s="207" t="s">
        <v>3350</v>
      </c>
      <c r="I1809" s="156" t="s">
        <v>26</v>
      </c>
      <c r="J1809" s="204" t="s">
        <v>158</v>
      </c>
      <c r="K1809" s="207" t="s">
        <v>1448</v>
      </c>
    </row>
    <row r="1810" spans="1:11" ht="66.75">
      <c r="A1810" s="204">
        <v>1808</v>
      </c>
      <c r="B1810" s="208">
        <v>45960</v>
      </c>
      <c r="C1810" s="267" t="s">
        <v>832</v>
      </c>
      <c r="D1810" s="204">
        <v>2025</v>
      </c>
      <c r="E1810" s="209" t="s">
        <v>1431</v>
      </c>
      <c r="F1810" s="209" t="s">
        <v>21</v>
      </c>
      <c r="G1810" s="213" t="s">
        <v>821</v>
      </c>
      <c r="H1810" s="211" t="s">
        <v>3351</v>
      </c>
      <c r="I1810" s="156" t="s">
        <v>26</v>
      </c>
      <c r="J1810" s="209" t="s">
        <v>149</v>
      </c>
      <c r="K1810" s="211"/>
    </row>
    <row r="1811" spans="1:11" ht="50.25">
      <c r="A1811" s="204">
        <v>1809</v>
      </c>
      <c r="B1811" s="205">
        <v>45960</v>
      </c>
      <c r="C1811" s="267" t="s">
        <v>832</v>
      </c>
      <c r="D1811" s="204">
        <v>2025</v>
      </c>
      <c r="E1811" s="204" t="s">
        <v>1431</v>
      </c>
      <c r="F1811" s="204" t="s">
        <v>1506</v>
      </c>
      <c r="G1811" s="206" t="s">
        <v>88</v>
      </c>
      <c r="H1811" s="207" t="s">
        <v>3352</v>
      </c>
      <c r="I1811" s="156" t="s">
        <v>26</v>
      </c>
      <c r="J1811" s="204" t="s">
        <v>1904</v>
      </c>
      <c r="K1811" s="207"/>
    </row>
    <row r="1812" spans="1:11" ht="117">
      <c r="A1812" s="204">
        <v>1810</v>
      </c>
      <c r="B1812" s="208">
        <v>45960</v>
      </c>
      <c r="C1812" s="267" t="s">
        <v>832</v>
      </c>
      <c r="D1812" s="204">
        <v>2025</v>
      </c>
      <c r="E1812" s="209" t="s">
        <v>1431</v>
      </c>
      <c r="F1812" s="209" t="s">
        <v>21</v>
      </c>
      <c r="G1812" s="213" t="s">
        <v>821</v>
      </c>
      <c r="H1812" s="211" t="s">
        <v>3353</v>
      </c>
      <c r="I1812" s="156" t="s">
        <v>26</v>
      </c>
      <c r="J1812" s="209" t="s">
        <v>149</v>
      </c>
      <c r="K1812" s="211" t="s">
        <v>1446</v>
      </c>
    </row>
    <row r="1813" spans="1:11" ht="84">
      <c r="A1813" s="204">
        <v>1811</v>
      </c>
      <c r="B1813" s="205">
        <v>45960</v>
      </c>
      <c r="C1813" s="267" t="s">
        <v>832</v>
      </c>
      <c r="D1813" s="204">
        <v>2025</v>
      </c>
      <c r="E1813" s="204" t="s">
        <v>1431</v>
      </c>
      <c r="F1813" s="204" t="s">
        <v>1506</v>
      </c>
      <c r="G1813" s="212" t="s">
        <v>1439</v>
      </c>
      <c r="H1813" s="207" t="s">
        <v>3354</v>
      </c>
      <c r="I1813" s="156" t="s">
        <v>26</v>
      </c>
      <c r="J1813" s="204" t="s">
        <v>1904</v>
      </c>
      <c r="K1813" s="207"/>
    </row>
    <row r="1814" spans="1:11" ht="84">
      <c r="A1814" s="204">
        <v>1812</v>
      </c>
      <c r="B1814" s="208">
        <v>45960</v>
      </c>
      <c r="C1814" s="267" t="s">
        <v>832</v>
      </c>
      <c r="D1814" s="204">
        <v>2025</v>
      </c>
      <c r="E1814" s="209" t="s">
        <v>1431</v>
      </c>
      <c r="F1814" s="209" t="s">
        <v>1506</v>
      </c>
      <c r="G1814" s="210" t="s">
        <v>88</v>
      </c>
      <c r="H1814" s="211" t="s">
        <v>3355</v>
      </c>
      <c r="I1814" s="156" t="s">
        <v>26</v>
      </c>
      <c r="J1814" s="209" t="s">
        <v>1904</v>
      </c>
      <c r="K1814" s="211" t="s">
        <v>1500</v>
      </c>
    </row>
    <row r="1815" spans="1:11" ht="100.5">
      <c r="A1815" s="204">
        <v>1813</v>
      </c>
      <c r="B1815" s="205">
        <v>45960</v>
      </c>
      <c r="C1815" s="267" t="s">
        <v>832</v>
      </c>
      <c r="D1815" s="204">
        <v>2025</v>
      </c>
      <c r="E1815" s="204" t="s">
        <v>1431</v>
      </c>
      <c r="F1815" s="204" t="s">
        <v>2591</v>
      </c>
      <c r="G1815" s="212" t="s">
        <v>1439</v>
      </c>
      <c r="H1815" s="207" t="s">
        <v>3356</v>
      </c>
      <c r="I1815" s="156" t="s">
        <v>26</v>
      </c>
      <c r="J1815" s="204" t="s">
        <v>2593</v>
      </c>
      <c r="K1815" s="207" t="s">
        <v>1582</v>
      </c>
    </row>
    <row r="1816" spans="1:11" ht="84">
      <c r="A1816" s="204">
        <v>1814</v>
      </c>
      <c r="B1816" s="208">
        <v>45960</v>
      </c>
      <c r="C1816" s="267" t="s">
        <v>832</v>
      </c>
      <c r="D1816" s="204">
        <v>2025</v>
      </c>
      <c r="E1816" s="209" t="s">
        <v>1431</v>
      </c>
      <c r="F1816" s="209" t="s">
        <v>2591</v>
      </c>
      <c r="G1816" s="210" t="s">
        <v>88</v>
      </c>
      <c r="H1816" s="211" t="s">
        <v>3357</v>
      </c>
      <c r="I1816" s="156" t="s">
        <v>26</v>
      </c>
      <c r="J1816" s="209" t="s">
        <v>2593</v>
      </c>
      <c r="K1816" s="211" t="s">
        <v>1500</v>
      </c>
    </row>
    <row r="1817" spans="1:11" ht="66.75">
      <c r="A1817" s="204">
        <v>1815</v>
      </c>
      <c r="B1817" s="205">
        <v>45960</v>
      </c>
      <c r="C1817" s="267" t="s">
        <v>832</v>
      </c>
      <c r="D1817" s="204">
        <v>2025</v>
      </c>
      <c r="E1817" s="204" t="s">
        <v>1431</v>
      </c>
      <c r="F1817" s="204" t="s">
        <v>2591</v>
      </c>
      <c r="G1817" s="206" t="s">
        <v>88</v>
      </c>
      <c r="H1817" s="207" t="s">
        <v>3358</v>
      </c>
      <c r="I1817" s="156" t="s">
        <v>26</v>
      </c>
      <c r="J1817" s="204" t="s">
        <v>2593</v>
      </c>
      <c r="K1817" s="207"/>
    </row>
    <row r="1818" spans="1:11" ht="66.75">
      <c r="A1818" s="204">
        <v>1816</v>
      </c>
      <c r="B1818" s="208">
        <v>45960</v>
      </c>
      <c r="C1818" s="267" t="s">
        <v>832</v>
      </c>
      <c r="D1818" s="204">
        <v>2025</v>
      </c>
      <c r="E1818" s="209" t="s">
        <v>1431</v>
      </c>
      <c r="F1818" s="209" t="s">
        <v>2591</v>
      </c>
      <c r="G1818" s="210" t="s">
        <v>88</v>
      </c>
      <c r="H1818" s="211" t="s">
        <v>3359</v>
      </c>
      <c r="I1818" s="156" t="s">
        <v>26</v>
      </c>
      <c r="J1818" s="209" t="s">
        <v>2593</v>
      </c>
      <c r="K1818" s="211"/>
    </row>
    <row r="1819" spans="1:11" ht="150.75">
      <c r="A1819" s="204">
        <v>1817</v>
      </c>
      <c r="B1819" s="205">
        <v>45960</v>
      </c>
      <c r="C1819" s="267" t="s">
        <v>832</v>
      </c>
      <c r="D1819" s="204">
        <v>2025</v>
      </c>
      <c r="E1819" s="204" t="s">
        <v>2224</v>
      </c>
      <c r="F1819" s="204" t="s">
        <v>21</v>
      </c>
      <c r="G1819" s="213" t="s">
        <v>821</v>
      </c>
      <c r="H1819" s="207" t="s">
        <v>3360</v>
      </c>
      <c r="I1819" s="156" t="s">
        <v>26</v>
      </c>
      <c r="J1819" s="204" t="s">
        <v>149</v>
      </c>
      <c r="K1819" s="207" t="s">
        <v>1513</v>
      </c>
    </row>
    <row r="1820" spans="1:11" ht="100.5">
      <c r="A1820" s="204">
        <v>1818</v>
      </c>
      <c r="B1820" s="208">
        <v>45960</v>
      </c>
      <c r="C1820" s="267" t="s">
        <v>832</v>
      </c>
      <c r="D1820" s="204">
        <v>2025</v>
      </c>
      <c r="E1820" s="209" t="s">
        <v>2224</v>
      </c>
      <c r="F1820" s="209" t="s">
        <v>2591</v>
      </c>
      <c r="G1820" s="210" t="s">
        <v>88</v>
      </c>
      <c r="H1820" s="211" t="s">
        <v>3361</v>
      </c>
      <c r="I1820" s="156" t="s">
        <v>26</v>
      </c>
      <c r="J1820" s="209" t="s">
        <v>2593</v>
      </c>
      <c r="K1820" s="211" t="s">
        <v>1472</v>
      </c>
    </row>
    <row r="1821" spans="1:11" ht="84">
      <c r="A1821" s="204">
        <v>1819</v>
      </c>
      <c r="B1821" s="205">
        <v>45960</v>
      </c>
      <c r="C1821" s="267" t="s">
        <v>832</v>
      </c>
      <c r="D1821" s="204">
        <v>2025</v>
      </c>
      <c r="E1821" s="204" t="s">
        <v>2224</v>
      </c>
      <c r="F1821" s="204" t="s">
        <v>1566</v>
      </c>
      <c r="G1821" s="206" t="s">
        <v>88</v>
      </c>
      <c r="H1821" s="207" t="s">
        <v>3362</v>
      </c>
      <c r="I1821" s="156" t="s">
        <v>26</v>
      </c>
      <c r="J1821" s="204" t="s">
        <v>1453</v>
      </c>
      <c r="K1821" s="207" t="s">
        <v>1500</v>
      </c>
    </row>
    <row r="1822" spans="1:11" ht="134.25">
      <c r="A1822" s="204">
        <v>1820</v>
      </c>
      <c r="B1822" s="208">
        <v>45960</v>
      </c>
      <c r="C1822" s="267" t="s">
        <v>832</v>
      </c>
      <c r="D1822" s="204">
        <v>2025</v>
      </c>
      <c r="E1822" s="209" t="s">
        <v>1431</v>
      </c>
      <c r="F1822" s="209" t="s">
        <v>1566</v>
      </c>
      <c r="G1822" s="210" t="s">
        <v>88</v>
      </c>
      <c r="H1822" s="211" t="s">
        <v>3363</v>
      </c>
      <c r="I1822" s="156" t="s">
        <v>26</v>
      </c>
      <c r="J1822" s="209" t="s">
        <v>1453</v>
      </c>
      <c r="K1822" s="211" t="s">
        <v>1500</v>
      </c>
    </row>
    <row r="1823" spans="1:11" ht="84">
      <c r="A1823" s="204">
        <v>1821</v>
      </c>
      <c r="B1823" s="205">
        <v>45960</v>
      </c>
      <c r="C1823" s="267" t="s">
        <v>832</v>
      </c>
      <c r="D1823" s="204">
        <v>2025</v>
      </c>
      <c r="E1823" s="204" t="s">
        <v>1431</v>
      </c>
      <c r="F1823" s="204" t="s">
        <v>1566</v>
      </c>
      <c r="G1823" s="206" t="s">
        <v>88</v>
      </c>
      <c r="H1823" s="207" t="s">
        <v>3364</v>
      </c>
      <c r="I1823" s="156" t="s">
        <v>26</v>
      </c>
      <c r="J1823" s="204" t="s">
        <v>1453</v>
      </c>
      <c r="K1823" s="207" t="s">
        <v>1500</v>
      </c>
    </row>
    <row r="1824" spans="1:11" ht="100.5">
      <c r="A1824" s="204">
        <v>1822</v>
      </c>
      <c r="B1824" s="208">
        <v>45961</v>
      </c>
      <c r="C1824" s="267" t="s">
        <v>832</v>
      </c>
      <c r="D1824" s="204">
        <v>2025</v>
      </c>
      <c r="E1824" s="209" t="s">
        <v>1431</v>
      </c>
      <c r="F1824" s="209" t="s">
        <v>988</v>
      </c>
      <c r="G1824" s="212" t="s">
        <v>1439</v>
      </c>
      <c r="H1824" s="211" t="s">
        <v>3365</v>
      </c>
      <c r="I1824" s="156" t="s">
        <v>26</v>
      </c>
      <c r="J1824" s="209" t="s">
        <v>452</v>
      </c>
      <c r="K1824" s="211" t="s">
        <v>1502</v>
      </c>
    </row>
    <row r="1825" spans="1:11" ht="50.25">
      <c r="A1825" s="204">
        <v>1823</v>
      </c>
      <c r="B1825" s="205">
        <v>45961</v>
      </c>
      <c r="C1825" s="267" t="s">
        <v>832</v>
      </c>
      <c r="D1825" s="204">
        <v>2025</v>
      </c>
      <c r="E1825" s="204" t="s">
        <v>1431</v>
      </c>
      <c r="F1825" s="204" t="s">
        <v>1225</v>
      </c>
      <c r="G1825" s="212" t="s">
        <v>1439</v>
      </c>
      <c r="H1825" s="207" t="s">
        <v>3366</v>
      </c>
      <c r="I1825" s="156" t="s">
        <v>26</v>
      </c>
      <c r="J1825" s="204" t="s">
        <v>925</v>
      </c>
      <c r="K1825" s="207"/>
    </row>
    <row r="1826" spans="1:11" ht="33.75">
      <c r="A1826" s="204">
        <v>1824</v>
      </c>
      <c r="B1826" s="208">
        <v>45961</v>
      </c>
      <c r="C1826" s="267" t="s">
        <v>832</v>
      </c>
      <c r="D1826" s="204">
        <v>2025</v>
      </c>
      <c r="E1826" s="209" t="s">
        <v>1431</v>
      </c>
      <c r="F1826" s="209" t="s">
        <v>988</v>
      </c>
      <c r="G1826" s="217" t="s">
        <v>859</v>
      </c>
      <c r="H1826" s="211" t="s">
        <v>3367</v>
      </c>
      <c r="I1826" s="156" t="s">
        <v>26</v>
      </c>
      <c r="J1826" s="209" t="s">
        <v>1996</v>
      </c>
      <c r="K1826" s="211"/>
    </row>
    <row r="1827" spans="1:11" ht="33.75">
      <c r="A1827" s="204">
        <v>1825</v>
      </c>
      <c r="B1827" s="205">
        <v>45961</v>
      </c>
      <c r="C1827" s="267" t="s">
        <v>832</v>
      </c>
      <c r="D1827" s="204">
        <v>2025</v>
      </c>
      <c r="E1827" s="204" t="s">
        <v>1431</v>
      </c>
      <c r="F1827" s="204" t="s">
        <v>1506</v>
      </c>
      <c r="G1827" s="206" t="s">
        <v>88</v>
      </c>
      <c r="H1827" s="207" t="s">
        <v>3368</v>
      </c>
      <c r="I1827" s="156" t="s">
        <v>26</v>
      </c>
      <c r="J1827" s="204" t="s">
        <v>3343</v>
      </c>
      <c r="K1827" s="207"/>
    </row>
    <row r="1828" spans="1:11" ht="134.25">
      <c r="A1828" s="204">
        <v>1826</v>
      </c>
      <c r="B1828" s="208">
        <v>45961</v>
      </c>
      <c r="C1828" s="267" t="s">
        <v>832</v>
      </c>
      <c r="D1828" s="204">
        <v>2025</v>
      </c>
      <c r="E1828" s="209" t="s">
        <v>1431</v>
      </c>
      <c r="F1828" s="209" t="s">
        <v>1506</v>
      </c>
      <c r="G1828" s="210" t="s">
        <v>88</v>
      </c>
      <c r="H1828" s="211" t="s">
        <v>3369</v>
      </c>
      <c r="I1828" s="156" t="s">
        <v>26</v>
      </c>
      <c r="J1828" s="209" t="s">
        <v>3343</v>
      </c>
      <c r="K1828" s="211" t="s">
        <v>1500</v>
      </c>
    </row>
    <row r="1829" spans="1:11" ht="150.75">
      <c r="A1829" s="204">
        <v>1827</v>
      </c>
      <c r="B1829" s="205">
        <v>45961</v>
      </c>
      <c r="C1829" s="267" t="s">
        <v>832</v>
      </c>
      <c r="D1829" s="204">
        <v>2025</v>
      </c>
      <c r="E1829" s="204" t="s">
        <v>1431</v>
      </c>
      <c r="F1829" s="204" t="s">
        <v>21</v>
      </c>
      <c r="G1829" s="213" t="s">
        <v>821</v>
      </c>
      <c r="H1829" s="207" t="s">
        <v>3370</v>
      </c>
      <c r="I1829" s="156" t="s">
        <v>26</v>
      </c>
      <c r="J1829" s="204" t="s">
        <v>149</v>
      </c>
      <c r="K1829" s="207" t="s">
        <v>1513</v>
      </c>
    </row>
    <row r="1830" spans="1:11" ht="33.75">
      <c r="A1830" s="204">
        <v>1828</v>
      </c>
      <c r="B1830" s="208">
        <v>45961</v>
      </c>
      <c r="C1830" s="267" t="s">
        <v>832</v>
      </c>
      <c r="D1830" s="204">
        <v>2025</v>
      </c>
      <c r="E1830" s="209" t="s">
        <v>1431</v>
      </c>
      <c r="F1830" s="209" t="s">
        <v>21</v>
      </c>
      <c r="G1830" s="213" t="s">
        <v>821</v>
      </c>
      <c r="H1830" s="211" t="s">
        <v>3371</v>
      </c>
      <c r="I1830" s="156" t="s">
        <v>26</v>
      </c>
      <c r="J1830" s="209" t="s">
        <v>149</v>
      </c>
      <c r="K1830" s="211"/>
    </row>
    <row r="1831" spans="1:11" ht="66.75">
      <c r="A1831" s="204">
        <v>1829</v>
      </c>
      <c r="B1831" s="205">
        <v>45961</v>
      </c>
      <c r="C1831" s="267" t="s">
        <v>832</v>
      </c>
      <c r="D1831" s="204">
        <v>2025</v>
      </c>
      <c r="E1831" s="204" t="s">
        <v>1431</v>
      </c>
      <c r="F1831" s="204" t="s">
        <v>2591</v>
      </c>
      <c r="G1831" s="214" t="s">
        <v>859</v>
      </c>
      <c r="H1831" s="219" t="s">
        <v>3372</v>
      </c>
      <c r="I1831" s="156" t="s">
        <v>26</v>
      </c>
      <c r="J1831" s="204" t="s">
        <v>2593</v>
      </c>
      <c r="K1831" s="207"/>
    </row>
    <row r="1832" spans="1:11" ht="134.25">
      <c r="A1832" s="204">
        <v>1830</v>
      </c>
      <c r="B1832" s="208">
        <v>45961</v>
      </c>
      <c r="C1832" s="267" t="s">
        <v>832</v>
      </c>
      <c r="D1832" s="204">
        <v>2025</v>
      </c>
      <c r="E1832" s="209" t="s">
        <v>1431</v>
      </c>
      <c r="F1832" s="209" t="s">
        <v>2591</v>
      </c>
      <c r="G1832" s="210" t="s">
        <v>88</v>
      </c>
      <c r="H1832" s="218" t="s">
        <v>3373</v>
      </c>
      <c r="I1832" s="156" t="s">
        <v>26</v>
      </c>
      <c r="J1832" s="209" t="s">
        <v>2593</v>
      </c>
      <c r="K1832" s="211" t="s">
        <v>1472</v>
      </c>
    </row>
    <row r="1833" spans="1:11" ht="117">
      <c r="A1833" s="204">
        <v>1831</v>
      </c>
      <c r="B1833" s="205">
        <v>45961</v>
      </c>
      <c r="C1833" s="267" t="s">
        <v>832</v>
      </c>
      <c r="D1833" s="204">
        <v>2025</v>
      </c>
      <c r="E1833" s="204" t="s">
        <v>1431</v>
      </c>
      <c r="F1833" s="204" t="s">
        <v>2591</v>
      </c>
      <c r="G1833" s="206" t="s">
        <v>88</v>
      </c>
      <c r="H1833" s="219" t="s">
        <v>3374</v>
      </c>
      <c r="I1833" s="156" t="s">
        <v>26</v>
      </c>
      <c r="J1833" s="204" t="s">
        <v>2593</v>
      </c>
      <c r="K1833" s="207" t="s">
        <v>1559</v>
      </c>
    </row>
    <row r="1834" spans="1:11" ht="84">
      <c r="A1834" s="204">
        <v>1832</v>
      </c>
      <c r="B1834" s="208">
        <v>45961</v>
      </c>
      <c r="C1834" s="267" t="s">
        <v>832</v>
      </c>
      <c r="D1834" s="204">
        <v>2025</v>
      </c>
      <c r="E1834" s="209" t="s">
        <v>1431</v>
      </c>
      <c r="F1834" s="209" t="s">
        <v>2591</v>
      </c>
      <c r="G1834" s="210" t="s">
        <v>88</v>
      </c>
      <c r="H1834" s="218" t="s">
        <v>3375</v>
      </c>
      <c r="I1834" s="156" t="s">
        <v>26</v>
      </c>
      <c r="J1834" s="209" t="s">
        <v>2593</v>
      </c>
      <c r="K1834" s="211" t="s">
        <v>1500</v>
      </c>
    </row>
    <row r="1835" spans="1:11" ht="100.5">
      <c r="A1835" s="204">
        <v>1833</v>
      </c>
      <c r="B1835" s="205">
        <v>45961</v>
      </c>
      <c r="C1835" s="267" t="s">
        <v>832</v>
      </c>
      <c r="D1835" s="204">
        <v>2025</v>
      </c>
      <c r="E1835" s="204" t="s">
        <v>1431</v>
      </c>
      <c r="F1835" s="204" t="s">
        <v>1566</v>
      </c>
      <c r="G1835" s="206" t="s">
        <v>88</v>
      </c>
      <c r="H1835" s="207" t="s">
        <v>3376</v>
      </c>
      <c r="I1835" s="156" t="s">
        <v>26</v>
      </c>
      <c r="J1835" s="204" t="s">
        <v>1588</v>
      </c>
      <c r="K1835" s="207" t="s">
        <v>1478</v>
      </c>
    </row>
    <row r="1836" spans="1:11" ht="100.5">
      <c r="A1836" s="204">
        <v>1834</v>
      </c>
      <c r="B1836" s="208">
        <v>45964</v>
      </c>
      <c r="C1836" s="267" t="s">
        <v>833</v>
      </c>
      <c r="D1836" s="204">
        <v>2025</v>
      </c>
      <c r="E1836" s="209" t="s">
        <v>1431</v>
      </c>
      <c r="F1836" s="209" t="s">
        <v>988</v>
      </c>
      <c r="G1836" s="217" t="s">
        <v>859</v>
      </c>
      <c r="H1836" s="211" t="s">
        <v>3377</v>
      </c>
      <c r="I1836" s="156" t="s">
        <v>26</v>
      </c>
      <c r="J1836" s="209" t="s">
        <v>921</v>
      </c>
      <c r="K1836" s="211"/>
    </row>
    <row r="1837" spans="1:11" ht="150.75">
      <c r="A1837" s="204">
        <v>1835</v>
      </c>
      <c r="B1837" s="205">
        <v>45964</v>
      </c>
      <c r="C1837" s="267" t="s">
        <v>833</v>
      </c>
      <c r="D1837" s="204">
        <v>2025</v>
      </c>
      <c r="E1837" s="204" t="s">
        <v>1431</v>
      </c>
      <c r="F1837" s="204" t="s">
        <v>21</v>
      </c>
      <c r="G1837" s="213" t="s">
        <v>821</v>
      </c>
      <c r="H1837" s="207" t="s">
        <v>3378</v>
      </c>
      <c r="I1837" s="156" t="s">
        <v>26</v>
      </c>
      <c r="J1837" s="204" t="s">
        <v>149</v>
      </c>
      <c r="K1837" s="207" t="s">
        <v>1513</v>
      </c>
    </row>
    <row r="1838" spans="1:11" ht="100.5">
      <c r="A1838" s="204">
        <v>1836</v>
      </c>
      <c r="B1838" s="208">
        <v>45964</v>
      </c>
      <c r="C1838" s="267" t="s">
        <v>833</v>
      </c>
      <c r="D1838" s="204">
        <v>2025</v>
      </c>
      <c r="E1838" s="209" t="s">
        <v>1431</v>
      </c>
      <c r="F1838" s="209" t="s">
        <v>97</v>
      </c>
      <c r="G1838" s="213" t="s">
        <v>821</v>
      </c>
      <c r="H1838" s="211" t="s">
        <v>3379</v>
      </c>
      <c r="I1838" s="156" t="s">
        <v>26</v>
      </c>
      <c r="J1838" s="209" t="s">
        <v>158</v>
      </c>
      <c r="K1838" s="211" t="s">
        <v>1448</v>
      </c>
    </row>
    <row r="1839" spans="1:11" ht="50.25">
      <c r="A1839" s="204">
        <v>1837</v>
      </c>
      <c r="B1839" s="205">
        <v>45964</v>
      </c>
      <c r="C1839" s="267" t="s">
        <v>833</v>
      </c>
      <c r="D1839" s="204">
        <v>2025</v>
      </c>
      <c r="E1839" s="204" t="s">
        <v>1431</v>
      </c>
      <c r="F1839" s="204" t="s">
        <v>216</v>
      </c>
      <c r="G1839" s="213" t="s">
        <v>821</v>
      </c>
      <c r="H1839" s="207" t="s">
        <v>3380</v>
      </c>
      <c r="I1839" s="156" t="s">
        <v>26</v>
      </c>
      <c r="J1839" s="204" t="s">
        <v>492</v>
      </c>
      <c r="K1839" s="207"/>
    </row>
    <row r="1840" spans="1:11" ht="134.25">
      <c r="A1840" s="204">
        <v>1838</v>
      </c>
      <c r="B1840" s="208">
        <v>45964</v>
      </c>
      <c r="C1840" s="267" t="s">
        <v>833</v>
      </c>
      <c r="D1840" s="204">
        <v>2025</v>
      </c>
      <c r="E1840" s="209" t="s">
        <v>1431</v>
      </c>
      <c r="F1840" s="209" t="s">
        <v>216</v>
      </c>
      <c r="G1840" s="213" t="s">
        <v>821</v>
      </c>
      <c r="H1840" s="211" t="s">
        <v>3381</v>
      </c>
      <c r="I1840" s="156" t="s">
        <v>26</v>
      </c>
      <c r="J1840" s="209" t="s">
        <v>492</v>
      </c>
      <c r="K1840" s="211" t="s">
        <v>1601</v>
      </c>
    </row>
    <row r="1841" spans="1:11" ht="33.75">
      <c r="A1841" s="204">
        <v>1839</v>
      </c>
      <c r="B1841" s="205">
        <v>45964</v>
      </c>
      <c r="C1841" s="267" t="s">
        <v>833</v>
      </c>
      <c r="D1841" s="204">
        <v>2025</v>
      </c>
      <c r="E1841" s="204" t="s">
        <v>1431</v>
      </c>
      <c r="F1841" s="204" t="s">
        <v>2591</v>
      </c>
      <c r="G1841" s="206" t="s">
        <v>88</v>
      </c>
      <c r="H1841" s="207" t="s">
        <v>3382</v>
      </c>
      <c r="I1841" s="156" t="s">
        <v>26</v>
      </c>
      <c r="J1841" s="204" t="s">
        <v>2593</v>
      </c>
      <c r="K1841" s="207"/>
    </row>
    <row r="1842" spans="1:11" ht="33.75">
      <c r="A1842" s="204">
        <v>1840</v>
      </c>
      <c r="B1842" s="208">
        <v>45964</v>
      </c>
      <c r="C1842" s="267" t="s">
        <v>833</v>
      </c>
      <c r="D1842" s="204">
        <v>2025</v>
      </c>
      <c r="E1842" s="209" t="s">
        <v>1431</v>
      </c>
      <c r="F1842" s="209" t="s">
        <v>1225</v>
      </c>
      <c r="G1842" s="217" t="s">
        <v>859</v>
      </c>
      <c r="H1842" s="211" t="s">
        <v>3383</v>
      </c>
      <c r="I1842" s="156" t="s">
        <v>26</v>
      </c>
      <c r="J1842" s="209" t="s">
        <v>1904</v>
      </c>
      <c r="K1842" s="211"/>
    </row>
    <row r="1843" spans="1:11" ht="84">
      <c r="A1843" s="204">
        <v>1841</v>
      </c>
      <c r="B1843" s="205">
        <v>45964</v>
      </c>
      <c r="C1843" s="267" t="s">
        <v>833</v>
      </c>
      <c r="D1843" s="204">
        <v>2025</v>
      </c>
      <c r="E1843" s="204" t="s">
        <v>2224</v>
      </c>
      <c r="F1843" s="204" t="s">
        <v>97</v>
      </c>
      <c r="G1843" s="206" t="s">
        <v>88</v>
      </c>
      <c r="H1843" s="207" t="s">
        <v>3384</v>
      </c>
      <c r="I1843" s="156" t="s">
        <v>26</v>
      </c>
      <c r="J1843" s="204" t="s">
        <v>158</v>
      </c>
      <c r="K1843" s="207" t="s">
        <v>1605</v>
      </c>
    </row>
    <row r="1844" spans="1:11" ht="33.75">
      <c r="A1844" s="204">
        <v>1842</v>
      </c>
      <c r="B1844" s="208">
        <v>45964</v>
      </c>
      <c r="C1844" s="267" t="s">
        <v>833</v>
      </c>
      <c r="D1844" s="204">
        <v>2025</v>
      </c>
      <c r="E1844" s="209" t="s">
        <v>2224</v>
      </c>
      <c r="F1844" s="209" t="s">
        <v>21</v>
      </c>
      <c r="G1844" s="213" t="s">
        <v>821</v>
      </c>
      <c r="H1844" s="211" t="s">
        <v>3385</v>
      </c>
      <c r="I1844" s="156" t="s">
        <v>26</v>
      </c>
      <c r="J1844" s="209" t="s">
        <v>149</v>
      </c>
      <c r="K1844" s="211"/>
    </row>
    <row r="1845" spans="1:11" ht="50.25">
      <c r="A1845" s="204">
        <v>1843</v>
      </c>
      <c r="B1845" s="205">
        <v>45964</v>
      </c>
      <c r="C1845" s="267" t="s">
        <v>833</v>
      </c>
      <c r="D1845" s="204">
        <v>2025</v>
      </c>
      <c r="E1845" s="204" t="s">
        <v>2224</v>
      </c>
      <c r="F1845" s="204" t="s">
        <v>3386</v>
      </c>
      <c r="G1845" s="213" t="s">
        <v>821</v>
      </c>
      <c r="H1845" s="207" t="s">
        <v>3387</v>
      </c>
      <c r="I1845" s="156" t="s">
        <v>26</v>
      </c>
      <c r="J1845" s="204" t="s">
        <v>2735</v>
      </c>
      <c r="K1845" s="207"/>
    </row>
    <row r="1846" spans="1:11" ht="84">
      <c r="A1846" s="204">
        <v>1844</v>
      </c>
      <c r="B1846" s="208">
        <v>45964</v>
      </c>
      <c r="C1846" s="267" t="s">
        <v>833</v>
      </c>
      <c r="D1846" s="204">
        <v>2025</v>
      </c>
      <c r="E1846" s="209" t="s">
        <v>1431</v>
      </c>
      <c r="F1846" s="209" t="s">
        <v>1608</v>
      </c>
      <c r="G1846" s="217" t="s">
        <v>859</v>
      </c>
      <c r="H1846" s="211" t="s">
        <v>3388</v>
      </c>
      <c r="I1846" s="156" t="s">
        <v>26</v>
      </c>
      <c r="J1846" s="209" t="s">
        <v>921</v>
      </c>
      <c r="K1846" s="211" t="s">
        <v>1605</v>
      </c>
    </row>
    <row r="1847" spans="1:11" ht="100.5">
      <c r="A1847" s="204">
        <v>1845</v>
      </c>
      <c r="B1847" s="205">
        <v>45964</v>
      </c>
      <c r="C1847" s="267" t="s">
        <v>833</v>
      </c>
      <c r="D1847" s="204">
        <v>2025</v>
      </c>
      <c r="E1847" s="204" t="s">
        <v>1431</v>
      </c>
      <c r="F1847" s="204" t="s">
        <v>1608</v>
      </c>
      <c r="G1847" s="213" t="s">
        <v>821</v>
      </c>
      <c r="H1847" s="207" t="s">
        <v>3389</v>
      </c>
      <c r="I1847" s="156" t="s">
        <v>26</v>
      </c>
      <c r="J1847" s="204" t="s">
        <v>158</v>
      </c>
      <c r="K1847" s="207" t="s">
        <v>1448</v>
      </c>
    </row>
    <row r="1848" spans="1:11" ht="84">
      <c r="A1848" s="204">
        <v>1846</v>
      </c>
      <c r="B1848" s="208">
        <v>45964</v>
      </c>
      <c r="C1848" s="267" t="s">
        <v>833</v>
      </c>
      <c r="D1848" s="204">
        <v>2025</v>
      </c>
      <c r="E1848" s="209" t="s">
        <v>1431</v>
      </c>
      <c r="F1848" s="209" t="s">
        <v>2591</v>
      </c>
      <c r="G1848" s="212" t="s">
        <v>1439</v>
      </c>
      <c r="H1848" s="211" t="s">
        <v>3390</v>
      </c>
      <c r="I1848" s="156" t="s">
        <v>26</v>
      </c>
      <c r="J1848" s="209" t="s">
        <v>2593</v>
      </c>
      <c r="K1848" s="211"/>
    </row>
    <row r="1849" spans="1:11" ht="100.5">
      <c r="A1849" s="204">
        <v>1847</v>
      </c>
      <c r="B1849" s="205">
        <v>45964</v>
      </c>
      <c r="C1849" s="267" t="s">
        <v>833</v>
      </c>
      <c r="D1849" s="204">
        <v>2025</v>
      </c>
      <c r="E1849" s="204" t="s">
        <v>1431</v>
      </c>
      <c r="F1849" s="204" t="s">
        <v>2591</v>
      </c>
      <c r="G1849" s="206" t="s">
        <v>88</v>
      </c>
      <c r="H1849" s="219" t="s">
        <v>3391</v>
      </c>
      <c r="I1849" s="156" t="s">
        <v>26</v>
      </c>
      <c r="J1849" s="204" t="s">
        <v>2593</v>
      </c>
      <c r="K1849" s="207" t="s">
        <v>1467</v>
      </c>
    </row>
    <row r="1850" spans="1:11" ht="50.25">
      <c r="A1850" s="204">
        <v>1848</v>
      </c>
      <c r="B1850" s="208">
        <v>45964</v>
      </c>
      <c r="C1850" s="267" t="s">
        <v>833</v>
      </c>
      <c r="D1850" s="204">
        <v>2025</v>
      </c>
      <c r="E1850" s="209" t="s">
        <v>1431</v>
      </c>
      <c r="F1850" s="209" t="s">
        <v>2591</v>
      </c>
      <c r="G1850" s="212" t="s">
        <v>1439</v>
      </c>
      <c r="H1850" s="218" t="s">
        <v>3392</v>
      </c>
      <c r="I1850" s="156" t="s">
        <v>26</v>
      </c>
      <c r="J1850" s="209" t="s">
        <v>2593</v>
      </c>
      <c r="K1850" s="211"/>
    </row>
    <row r="1851" spans="1:11" ht="33.75">
      <c r="A1851" s="204">
        <v>1849</v>
      </c>
      <c r="B1851" s="205">
        <v>45964</v>
      </c>
      <c r="C1851" s="267" t="s">
        <v>833</v>
      </c>
      <c r="D1851" s="204">
        <v>2025</v>
      </c>
      <c r="E1851" s="204" t="s">
        <v>1431</v>
      </c>
      <c r="F1851" s="204" t="s">
        <v>2591</v>
      </c>
      <c r="G1851" s="206" t="s">
        <v>88</v>
      </c>
      <c r="H1851" s="219" t="s">
        <v>3393</v>
      </c>
      <c r="I1851" s="156" t="s">
        <v>26</v>
      </c>
      <c r="J1851" s="204" t="s">
        <v>2593</v>
      </c>
      <c r="K1851" s="207"/>
    </row>
    <row r="1852" spans="1:11" ht="33.75">
      <c r="A1852" s="204">
        <v>1850</v>
      </c>
      <c r="B1852" s="208">
        <v>45964</v>
      </c>
      <c r="C1852" s="267" t="s">
        <v>833</v>
      </c>
      <c r="D1852" s="204">
        <v>2025</v>
      </c>
      <c r="E1852" s="209" t="s">
        <v>1431</v>
      </c>
      <c r="F1852" s="209" t="s">
        <v>1566</v>
      </c>
      <c r="G1852" s="210" t="s">
        <v>88</v>
      </c>
      <c r="H1852" s="211" t="s">
        <v>3394</v>
      </c>
      <c r="I1852" s="156" t="s">
        <v>26</v>
      </c>
      <c r="J1852" s="209" t="s">
        <v>1588</v>
      </c>
      <c r="K1852" s="211"/>
    </row>
    <row r="1853" spans="1:11" ht="100.5">
      <c r="A1853" s="204">
        <v>1851</v>
      </c>
      <c r="B1853" s="205">
        <v>45964</v>
      </c>
      <c r="C1853" s="267" t="s">
        <v>833</v>
      </c>
      <c r="D1853" s="204">
        <v>2025</v>
      </c>
      <c r="E1853" s="204" t="s">
        <v>1431</v>
      </c>
      <c r="F1853" s="204" t="s">
        <v>1566</v>
      </c>
      <c r="G1853" s="206" t="s">
        <v>88</v>
      </c>
      <c r="H1853" s="207" t="s">
        <v>3395</v>
      </c>
      <c r="I1853" s="156" t="s">
        <v>26</v>
      </c>
      <c r="J1853" s="204" t="s">
        <v>1588</v>
      </c>
      <c r="K1853" s="207" t="s">
        <v>1478</v>
      </c>
    </row>
    <row r="1854" spans="1:11" ht="66.75">
      <c r="A1854" s="204">
        <v>1852</v>
      </c>
      <c r="B1854" s="208">
        <v>45964</v>
      </c>
      <c r="C1854" s="267" t="s">
        <v>833</v>
      </c>
      <c r="D1854" s="204">
        <v>2025</v>
      </c>
      <c r="E1854" s="209" t="s">
        <v>1431</v>
      </c>
      <c r="F1854" s="209" t="s">
        <v>1566</v>
      </c>
      <c r="G1854" s="210" t="s">
        <v>88</v>
      </c>
      <c r="H1854" s="211" t="s">
        <v>3396</v>
      </c>
      <c r="I1854" s="156" t="s">
        <v>26</v>
      </c>
      <c r="J1854" s="209" t="s">
        <v>1588</v>
      </c>
      <c r="K1854" s="211"/>
    </row>
    <row r="1855" spans="1:11" ht="100.5">
      <c r="A1855" s="204">
        <v>1853</v>
      </c>
      <c r="B1855" s="205">
        <v>45964</v>
      </c>
      <c r="C1855" s="267" t="s">
        <v>833</v>
      </c>
      <c r="D1855" s="204">
        <v>2025</v>
      </c>
      <c r="E1855" s="204" t="s">
        <v>1431</v>
      </c>
      <c r="F1855" s="204" t="s">
        <v>1566</v>
      </c>
      <c r="G1855" s="206" t="s">
        <v>88</v>
      </c>
      <c r="H1855" s="207" t="s">
        <v>3397</v>
      </c>
      <c r="I1855" s="156" t="s">
        <v>26</v>
      </c>
      <c r="J1855" s="204" t="s">
        <v>1588</v>
      </c>
      <c r="K1855" s="207" t="s">
        <v>1478</v>
      </c>
    </row>
    <row r="1856" spans="1:11" ht="100.5">
      <c r="A1856" s="204">
        <v>1854</v>
      </c>
      <c r="B1856" s="208">
        <v>45964</v>
      </c>
      <c r="C1856" s="267" t="s">
        <v>833</v>
      </c>
      <c r="D1856" s="204">
        <v>2025</v>
      </c>
      <c r="E1856" s="209" t="s">
        <v>1431</v>
      </c>
      <c r="F1856" s="209" t="s">
        <v>1566</v>
      </c>
      <c r="G1856" s="210" t="s">
        <v>88</v>
      </c>
      <c r="H1856" s="211" t="s">
        <v>3398</v>
      </c>
      <c r="I1856" s="156" t="s">
        <v>26</v>
      </c>
      <c r="J1856" s="209" t="s">
        <v>1588</v>
      </c>
      <c r="K1856" s="211" t="s">
        <v>1467</v>
      </c>
    </row>
    <row r="1857" spans="1:11" ht="117">
      <c r="A1857" s="204">
        <v>1855</v>
      </c>
      <c r="B1857" s="205">
        <v>45964</v>
      </c>
      <c r="C1857" s="267" t="s">
        <v>833</v>
      </c>
      <c r="D1857" s="204">
        <v>2025</v>
      </c>
      <c r="E1857" s="204" t="s">
        <v>1431</v>
      </c>
      <c r="F1857" s="204" t="s">
        <v>1566</v>
      </c>
      <c r="G1857" s="206" t="s">
        <v>88</v>
      </c>
      <c r="H1857" s="207" t="s">
        <v>3399</v>
      </c>
      <c r="I1857" s="156" t="s">
        <v>26</v>
      </c>
      <c r="J1857" s="204" t="s">
        <v>1588</v>
      </c>
      <c r="K1857" s="207" t="s">
        <v>1451</v>
      </c>
    </row>
    <row r="1858" spans="1:11" ht="117">
      <c r="A1858" s="204">
        <v>1856</v>
      </c>
      <c r="B1858" s="208">
        <v>45964</v>
      </c>
      <c r="C1858" s="267" t="s">
        <v>833</v>
      </c>
      <c r="D1858" s="204">
        <v>2025</v>
      </c>
      <c r="E1858" s="209" t="s">
        <v>1431</v>
      </c>
      <c r="F1858" s="209" t="s">
        <v>1566</v>
      </c>
      <c r="G1858" s="210" t="s">
        <v>88</v>
      </c>
      <c r="H1858" s="211" t="s">
        <v>3400</v>
      </c>
      <c r="I1858" s="156" t="s">
        <v>26</v>
      </c>
      <c r="J1858" s="209" t="s">
        <v>1588</v>
      </c>
      <c r="K1858" s="211" t="s">
        <v>1559</v>
      </c>
    </row>
    <row r="1859" spans="1:11" ht="66.75">
      <c r="A1859" s="204">
        <v>1857</v>
      </c>
      <c r="B1859" s="205">
        <v>45965</v>
      </c>
      <c r="C1859" s="267" t="s">
        <v>833</v>
      </c>
      <c r="D1859" s="204">
        <v>2025</v>
      </c>
      <c r="E1859" s="204" t="s">
        <v>1431</v>
      </c>
      <c r="F1859" s="204" t="s">
        <v>1225</v>
      </c>
      <c r="G1859" s="212" t="s">
        <v>1439</v>
      </c>
      <c r="H1859" s="207" t="s">
        <v>3401</v>
      </c>
      <c r="I1859" s="156" t="s">
        <v>26</v>
      </c>
      <c r="J1859" s="204" t="s">
        <v>925</v>
      </c>
      <c r="K1859" s="207"/>
    </row>
    <row r="1860" spans="1:11" ht="66.75">
      <c r="A1860" s="204">
        <v>1858</v>
      </c>
      <c r="B1860" s="208">
        <v>45965</v>
      </c>
      <c r="C1860" s="267" t="s">
        <v>833</v>
      </c>
      <c r="D1860" s="204">
        <v>2025</v>
      </c>
      <c r="E1860" s="209" t="s">
        <v>1431</v>
      </c>
      <c r="F1860" s="209" t="s">
        <v>988</v>
      </c>
      <c r="G1860" s="210" t="s">
        <v>88</v>
      </c>
      <c r="H1860" s="211" t="s">
        <v>3402</v>
      </c>
      <c r="I1860" s="156" t="s">
        <v>26</v>
      </c>
      <c r="J1860" s="209" t="s">
        <v>2700</v>
      </c>
      <c r="K1860" s="211" t="s">
        <v>1548</v>
      </c>
    </row>
    <row r="1861" spans="1:11" ht="100.5">
      <c r="A1861" s="204">
        <v>1859</v>
      </c>
      <c r="B1861" s="205">
        <v>45965</v>
      </c>
      <c r="C1861" s="267" t="s">
        <v>833</v>
      </c>
      <c r="D1861" s="204">
        <v>2025</v>
      </c>
      <c r="E1861" s="204" t="s">
        <v>1431</v>
      </c>
      <c r="F1861" s="204" t="s">
        <v>1608</v>
      </c>
      <c r="G1861" s="214" t="s">
        <v>859</v>
      </c>
      <c r="H1861" s="207" t="s">
        <v>3403</v>
      </c>
      <c r="I1861" s="156" t="s">
        <v>26</v>
      </c>
      <c r="J1861" s="204" t="s">
        <v>1560</v>
      </c>
      <c r="K1861" s="207" t="s">
        <v>1476</v>
      </c>
    </row>
    <row r="1862" spans="1:11" ht="150.75">
      <c r="A1862" s="204">
        <v>1860</v>
      </c>
      <c r="B1862" s="208">
        <v>45965</v>
      </c>
      <c r="C1862" s="267" t="s">
        <v>833</v>
      </c>
      <c r="D1862" s="204">
        <v>2025</v>
      </c>
      <c r="E1862" s="209" t="s">
        <v>1431</v>
      </c>
      <c r="F1862" s="209" t="s">
        <v>216</v>
      </c>
      <c r="G1862" s="213" t="s">
        <v>821</v>
      </c>
      <c r="H1862" s="211" t="s">
        <v>3404</v>
      </c>
      <c r="I1862" s="156" t="s">
        <v>26</v>
      </c>
      <c r="J1862" s="209" t="s">
        <v>3405</v>
      </c>
      <c r="K1862" s="211" t="s">
        <v>1513</v>
      </c>
    </row>
    <row r="1863" spans="1:11" ht="50.25">
      <c r="A1863" s="204">
        <v>1861</v>
      </c>
      <c r="B1863" s="205">
        <v>45965</v>
      </c>
      <c r="C1863" s="267" t="s">
        <v>833</v>
      </c>
      <c r="D1863" s="204">
        <v>2025</v>
      </c>
      <c r="E1863" s="204" t="s">
        <v>1431</v>
      </c>
      <c r="F1863" s="204" t="s">
        <v>21</v>
      </c>
      <c r="G1863" s="213" t="s">
        <v>821</v>
      </c>
      <c r="H1863" s="207" t="s">
        <v>3406</v>
      </c>
      <c r="I1863" s="156" t="s">
        <v>26</v>
      </c>
      <c r="J1863" s="204" t="s">
        <v>149</v>
      </c>
      <c r="K1863" s="207"/>
    </row>
    <row r="1864" spans="1:11" ht="150.75">
      <c r="A1864" s="204">
        <v>1862</v>
      </c>
      <c r="B1864" s="208">
        <v>45965</v>
      </c>
      <c r="C1864" s="267" t="s">
        <v>833</v>
      </c>
      <c r="D1864" s="204">
        <v>2025</v>
      </c>
      <c r="E1864" s="209" t="s">
        <v>2224</v>
      </c>
      <c r="F1864" s="209" t="s">
        <v>21</v>
      </c>
      <c r="G1864" s="213" t="s">
        <v>821</v>
      </c>
      <c r="H1864" s="211" t="s">
        <v>3407</v>
      </c>
      <c r="I1864" s="156" t="s">
        <v>26</v>
      </c>
      <c r="J1864" s="209" t="s">
        <v>149</v>
      </c>
      <c r="K1864" s="211" t="s">
        <v>1513</v>
      </c>
    </row>
    <row r="1865" spans="1:11" ht="33.75">
      <c r="A1865" s="204">
        <v>1863</v>
      </c>
      <c r="B1865" s="205">
        <v>45965</v>
      </c>
      <c r="C1865" s="267" t="s">
        <v>833</v>
      </c>
      <c r="D1865" s="204">
        <v>2025</v>
      </c>
      <c r="E1865" s="204" t="s">
        <v>2224</v>
      </c>
      <c r="F1865" s="204" t="s">
        <v>21</v>
      </c>
      <c r="G1865" s="213" t="s">
        <v>821</v>
      </c>
      <c r="H1865" s="207" t="s">
        <v>3408</v>
      </c>
      <c r="I1865" s="156" t="s">
        <v>26</v>
      </c>
      <c r="J1865" s="204" t="s">
        <v>2735</v>
      </c>
      <c r="K1865" s="207"/>
    </row>
    <row r="1866" spans="1:11" ht="117">
      <c r="A1866" s="204">
        <v>1864</v>
      </c>
      <c r="B1866" s="208">
        <v>45965</v>
      </c>
      <c r="C1866" s="267" t="s">
        <v>833</v>
      </c>
      <c r="D1866" s="204">
        <v>2025</v>
      </c>
      <c r="E1866" s="209" t="s">
        <v>1431</v>
      </c>
      <c r="F1866" s="209" t="s">
        <v>1539</v>
      </c>
      <c r="G1866" s="213" t="s">
        <v>821</v>
      </c>
      <c r="H1866" s="211" t="s">
        <v>3409</v>
      </c>
      <c r="I1866" s="156" t="s">
        <v>26</v>
      </c>
      <c r="J1866" s="209" t="s">
        <v>59</v>
      </c>
      <c r="K1866" s="211" t="s">
        <v>1482</v>
      </c>
    </row>
    <row r="1867" spans="1:11" ht="33.75">
      <c r="A1867" s="204">
        <v>1865</v>
      </c>
      <c r="B1867" s="205">
        <v>45965</v>
      </c>
      <c r="C1867" s="267" t="s">
        <v>833</v>
      </c>
      <c r="D1867" s="204">
        <v>2025</v>
      </c>
      <c r="E1867" s="204" t="s">
        <v>1431</v>
      </c>
      <c r="F1867" s="204" t="s">
        <v>2591</v>
      </c>
      <c r="G1867" s="213" t="s">
        <v>821</v>
      </c>
      <c r="H1867" s="207" t="s">
        <v>3410</v>
      </c>
      <c r="I1867" s="156" t="s">
        <v>26</v>
      </c>
      <c r="J1867" s="204" t="s">
        <v>2593</v>
      </c>
      <c r="K1867" s="207"/>
    </row>
    <row r="1868" spans="1:11" ht="100.5">
      <c r="A1868" s="204">
        <v>1866</v>
      </c>
      <c r="B1868" s="208">
        <v>45965</v>
      </c>
      <c r="C1868" s="267" t="s">
        <v>833</v>
      </c>
      <c r="D1868" s="204">
        <v>2025</v>
      </c>
      <c r="E1868" s="209" t="s">
        <v>1431</v>
      </c>
      <c r="F1868" s="209" t="s">
        <v>2591</v>
      </c>
      <c r="G1868" s="213" t="s">
        <v>821</v>
      </c>
      <c r="H1868" s="218" t="s">
        <v>3411</v>
      </c>
      <c r="I1868" s="156" t="s">
        <v>26</v>
      </c>
      <c r="J1868" s="209" t="s">
        <v>2593</v>
      </c>
      <c r="K1868" s="211" t="s">
        <v>1448</v>
      </c>
    </row>
    <row r="1869" spans="1:11" ht="117">
      <c r="A1869" s="204">
        <v>1867</v>
      </c>
      <c r="B1869" s="205">
        <v>45965</v>
      </c>
      <c r="C1869" s="267" t="s">
        <v>833</v>
      </c>
      <c r="D1869" s="204">
        <v>2025</v>
      </c>
      <c r="E1869" s="204" t="s">
        <v>1431</v>
      </c>
      <c r="F1869" s="204" t="s">
        <v>2591</v>
      </c>
      <c r="G1869" s="206" t="s">
        <v>88</v>
      </c>
      <c r="H1869" s="219" t="s">
        <v>3412</v>
      </c>
      <c r="I1869" s="156" t="s">
        <v>26</v>
      </c>
      <c r="J1869" s="204" t="s">
        <v>2593</v>
      </c>
      <c r="K1869" s="207"/>
    </row>
    <row r="1870" spans="1:11" ht="117">
      <c r="A1870" s="204">
        <v>1868</v>
      </c>
      <c r="B1870" s="208">
        <v>45965</v>
      </c>
      <c r="C1870" s="267" t="s">
        <v>833</v>
      </c>
      <c r="D1870" s="204">
        <v>2025</v>
      </c>
      <c r="E1870" s="209" t="s">
        <v>1431</v>
      </c>
      <c r="F1870" s="209" t="s">
        <v>2591</v>
      </c>
      <c r="G1870" s="210" t="s">
        <v>88</v>
      </c>
      <c r="H1870" s="218" t="s">
        <v>3413</v>
      </c>
      <c r="I1870" s="156" t="s">
        <v>26</v>
      </c>
      <c r="J1870" s="209" t="s">
        <v>2593</v>
      </c>
      <c r="K1870" s="211"/>
    </row>
    <row r="1871" spans="1:11" ht="16.5">
      <c r="A1871" s="204">
        <v>1869</v>
      </c>
      <c r="B1871" s="205">
        <v>45965</v>
      </c>
      <c r="C1871" s="267" t="s">
        <v>833</v>
      </c>
      <c r="D1871" s="204">
        <v>2025</v>
      </c>
      <c r="E1871" s="204" t="s">
        <v>1431</v>
      </c>
      <c r="F1871" s="204" t="s">
        <v>1566</v>
      </c>
      <c r="G1871" s="206" t="s">
        <v>88</v>
      </c>
      <c r="H1871" s="207" t="s">
        <v>3414</v>
      </c>
      <c r="I1871" s="156" t="s">
        <v>26</v>
      </c>
      <c r="J1871" s="204" t="s">
        <v>1453</v>
      </c>
      <c r="K1871" s="207"/>
    </row>
    <row r="1872" spans="1:11" ht="50.25">
      <c r="A1872" s="204">
        <v>1870</v>
      </c>
      <c r="B1872" s="208">
        <v>45965</v>
      </c>
      <c r="C1872" s="267" t="s">
        <v>833</v>
      </c>
      <c r="D1872" s="204">
        <v>2025</v>
      </c>
      <c r="E1872" s="209" t="s">
        <v>1431</v>
      </c>
      <c r="F1872" s="209" t="s">
        <v>1566</v>
      </c>
      <c r="G1872" s="210" t="s">
        <v>88</v>
      </c>
      <c r="H1872" s="211" t="s">
        <v>3415</v>
      </c>
      <c r="I1872" s="156" t="s">
        <v>26</v>
      </c>
      <c r="J1872" s="209" t="s">
        <v>1453</v>
      </c>
      <c r="K1872" s="211"/>
    </row>
    <row r="1873" spans="1:11" ht="100.5">
      <c r="A1873" s="204">
        <v>1871</v>
      </c>
      <c r="B1873" s="205">
        <v>45965</v>
      </c>
      <c r="C1873" s="267" t="s">
        <v>833</v>
      </c>
      <c r="D1873" s="204">
        <v>2025</v>
      </c>
      <c r="E1873" s="204" t="s">
        <v>1431</v>
      </c>
      <c r="F1873" s="204" t="s">
        <v>1566</v>
      </c>
      <c r="G1873" s="206" t="s">
        <v>88</v>
      </c>
      <c r="H1873" s="207" t="s">
        <v>3416</v>
      </c>
      <c r="I1873" s="156" t="s">
        <v>26</v>
      </c>
      <c r="J1873" s="204" t="s">
        <v>1453</v>
      </c>
      <c r="K1873" s="207" t="s">
        <v>1472</v>
      </c>
    </row>
    <row r="1874" spans="1:11" ht="100.5">
      <c r="A1874" s="204">
        <v>1872</v>
      </c>
      <c r="B1874" s="208">
        <v>45965</v>
      </c>
      <c r="C1874" s="267" t="s">
        <v>833</v>
      </c>
      <c r="D1874" s="204">
        <v>2025</v>
      </c>
      <c r="E1874" s="209" t="s">
        <v>1431</v>
      </c>
      <c r="F1874" s="209" t="s">
        <v>1566</v>
      </c>
      <c r="G1874" s="210" t="s">
        <v>88</v>
      </c>
      <c r="H1874" s="211" t="s">
        <v>3417</v>
      </c>
      <c r="I1874" s="156" t="s">
        <v>26</v>
      </c>
      <c r="J1874" s="209" t="s">
        <v>1453</v>
      </c>
      <c r="K1874" s="211" t="s">
        <v>1454</v>
      </c>
    </row>
    <row r="1875" spans="1:11" ht="100.5">
      <c r="A1875" s="204">
        <v>1873</v>
      </c>
      <c r="B1875" s="205">
        <v>45965</v>
      </c>
      <c r="C1875" s="267" t="s">
        <v>833</v>
      </c>
      <c r="D1875" s="204">
        <v>2025</v>
      </c>
      <c r="E1875" s="204" t="s">
        <v>1431</v>
      </c>
      <c r="F1875" s="204" t="s">
        <v>1566</v>
      </c>
      <c r="G1875" s="206" t="s">
        <v>88</v>
      </c>
      <c r="H1875" s="207" t="s">
        <v>3418</v>
      </c>
      <c r="I1875" s="156" t="s">
        <v>26</v>
      </c>
      <c r="J1875" s="204" t="s">
        <v>1453</v>
      </c>
      <c r="K1875" s="207" t="s">
        <v>1454</v>
      </c>
    </row>
    <row r="1876" spans="1:11" ht="100.5">
      <c r="A1876" s="204">
        <v>1874</v>
      </c>
      <c r="B1876" s="208">
        <v>45966</v>
      </c>
      <c r="C1876" s="267" t="s">
        <v>833</v>
      </c>
      <c r="D1876" s="204">
        <v>2025</v>
      </c>
      <c r="E1876" s="209" t="s">
        <v>1431</v>
      </c>
      <c r="F1876" s="209" t="s">
        <v>988</v>
      </c>
      <c r="G1876" s="210" t="s">
        <v>88</v>
      </c>
      <c r="H1876" s="211" t="s">
        <v>3419</v>
      </c>
      <c r="I1876" s="156" t="s">
        <v>26</v>
      </c>
      <c r="J1876" s="209" t="s">
        <v>2700</v>
      </c>
      <c r="K1876" s="211" t="s">
        <v>1454</v>
      </c>
    </row>
    <row r="1877" spans="1:11" ht="50.25">
      <c r="A1877" s="204">
        <v>1875</v>
      </c>
      <c r="B1877" s="205">
        <v>45966</v>
      </c>
      <c r="C1877" s="267" t="s">
        <v>833</v>
      </c>
      <c r="D1877" s="204">
        <v>2025</v>
      </c>
      <c r="E1877" s="204" t="s">
        <v>1431</v>
      </c>
      <c r="F1877" s="204" t="s">
        <v>2244</v>
      </c>
      <c r="G1877" s="213" t="s">
        <v>821</v>
      </c>
      <c r="H1877" s="207" t="s">
        <v>3420</v>
      </c>
      <c r="I1877" s="156" t="s">
        <v>26</v>
      </c>
      <c r="J1877" s="204" t="s">
        <v>3421</v>
      </c>
      <c r="K1877" s="207"/>
    </row>
    <row r="1878" spans="1:11" ht="33.75">
      <c r="A1878" s="204">
        <v>1876</v>
      </c>
      <c r="B1878" s="208">
        <v>45966</v>
      </c>
      <c r="C1878" s="267" t="s">
        <v>833</v>
      </c>
      <c r="D1878" s="204">
        <v>2025</v>
      </c>
      <c r="E1878" s="209" t="s">
        <v>1431</v>
      </c>
      <c r="F1878" s="209" t="s">
        <v>21</v>
      </c>
      <c r="G1878" s="213" t="s">
        <v>821</v>
      </c>
      <c r="H1878" s="211" t="s">
        <v>3422</v>
      </c>
      <c r="I1878" s="156" t="s">
        <v>26</v>
      </c>
      <c r="J1878" s="209" t="s">
        <v>149</v>
      </c>
      <c r="K1878" s="211"/>
    </row>
    <row r="1879" spans="1:11" ht="117">
      <c r="A1879" s="204">
        <v>1877</v>
      </c>
      <c r="B1879" s="205">
        <v>45966</v>
      </c>
      <c r="C1879" s="267" t="s">
        <v>833</v>
      </c>
      <c r="D1879" s="204">
        <v>2025</v>
      </c>
      <c r="E1879" s="204" t="s">
        <v>1431</v>
      </c>
      <c r="F1879" s="204" t="s">
        <v>21</v>
      </c>
      <c r="G1879" s="213" t="s">
        <v>821</v>
      </c>
      <c r="H1879" s="207" t="s">
        <v>3423</v>
      </c>
      <c r="I1879" s="156" t="s">
        <v>26</v>
      </c>
      <c r="J1879" s="204" t="s">
        <v>149</v>
      </c>
      <c r="K1879" s="207" t="s">
        <v>1446</v>
      </c>
    </row>
    <row r="1880" spans="1:11" ht="84">
      <c r="A1880" s="204">
        <v>1878</v>
      </c>
      <c r="B1880" s="208">
        <v>45966</v>
      </c>
      <c r="C1880" s="267" t="s">
        <v>833</v>
      </c>
      <c r="D1880" s="204">
        <v>2025</v>
      </c>
      <c r="E1880" s="209" t="s">
        <v>1431</v>
      </c>
      <c r="F1880" s="209" t="s">
        <v>1518</v>
      </c>
      <c r="G1880" s="210" t="s">
        <v>88</v>
      </c>
      <c r="H1880" s="211" t="s">
        <v>3424</v>
      </c>
      <c r="I1880" s="156" t="s">
        <v>26</v>
      </c>
      <c r="J1880" s="209" t="s">
        <v>1493</v>
      </c>
      <c r="K1880" s="211" t="s">
        <v>1444</v>
      </c>
    </row>
    <row r="1881" spans="1:11" ht="117">
      <c r="A1881" s="204">
        <v>1879</v>
      </c>
      <c r="B1881" s="205">
        <v>45966</v>
      </c>
      <c r="C1881" s="267" t="s">
        <v>833</v>
      </c>
      <c r="D1881" s="204">
        <v>2025</v>
      </c>
      <c r="E1881" s="204" t="s">
        <v>1431</v>
      </c>
      <c r="F1881" s="204" t="s">
        <v>21</v>
      </c>
      <c r="G1881" s="213" t="s">
        <v>821</v>
      </c>
      <c r="H1881" s="207" t="s">
        <v>3425</v>
      </c>
      <c r="I1881" s="156" t="s">
        <v>26</v>
      </c>
      <c r="J1881" s="204" t="s">
        <v>149</v>
      </c>
      <c r="K1881" s="207" t="s">
        <v>1482</v>
      </c>
    </row>
    <row r="1882" spans="1:11" ht="33.75">
      <c r="A1882" s="204">
        <v>1880</v>
      </c>
      <c r="B1882" s="208">
        <v>45966</v>
      </c>
      <c r="C1882" s="267" t="s">
        <v>833</v>
      </c>
      <c r="D1882" s="204">
        <v>2025</v>
      </c>
      <c r="E1882" s="209" t="s">
        <v>1431</v>
      </c>
      <c r="F1882" s="209" t="s">
        <v>2591</v>
      </c>
      <c r="G1882" s="210" t="s">
        <v>88</v>
      </c>
      <c r="H1882" s="218" t="s">
        <v>3426</v>
      </c>
      <c r="I1882" s="156" t="s">
        <v>26</v>
      </c>
      <c r="J1882" s="209" t="s">
        <v>2593</v>
      </c>
      <c r="K1882" s="211"/>
    </row>
    <row r="1883" spans="1:11" ht="100.5">
      <c r="A1883" s="204">
        <v>1881</v>
      </c>
      <c r="B1883" s="205">
        <v>45966</v>
      </c>
      <c r="C1883" s="267" t="s">
        <v>833</v>
      </c>
      <c r="D1883" s="204">
        <v>2025</v>
      </c>
      <c r="E1883" s="204" t="s">
        <v>1431</v>
      </c>
      <c r="F1883" s="204" t="s">
        <v>2591</v>
      </c>
      <c r="G1883" s="206" t="s">
        <v>88</v>
      </c>
      <c r="H1883" s="207" t="s">
        <v>3427</v>
      </c>
      <c r="I1883" s="156" t="s">
        <v>26</v>
      </c>
      <c r="J1883" s="204" t="s">
        <v>2593</v>
      </c>
      <c r="K1883" s="207"/>
    </row>
    <row r="1884" spans="1:11" ht="100.5">
      <c r="A1884" s="204">
        <v>1882</v>
      </c>
      <c r="B1884" s="208">
        <v>45966</v>
      </c>
      <c r="C1884" s="267" t="s">
        <v>833</v>
      </c>
      <c r="D1884" s="204">
        <v>2025</v>
      </c>
      <c r="E1884" s="209" t="s">
        <v>1431</v>
      </c>
      <c r="F1884" s="209" t="s">
        <v>2591</v>
      </c>
      <c r="G1884" s="217" t="s">
        <v>859</v>
      </c>
      <c r="H1884" s="211" t="s">
        <v>3428</v>
      </c>
      <c r="I1884" s="156" t="s">
        <v>26</v>
      </c>
      <c r="J1884" s="209" t="s">
        <v>2593</v>
      </c>
      <c r="K1884" s="211" t="s">
        <v>1476</v>
      </c>
    </row>
    <row r="1885" spans="1:11" ht="117">
      <c r="A1885" s="204">
        <v>1883</v>
      </c>
      <c r="B1885" s="205">
        <v>45966</v>
      </c>
      <c r="C1885" s="267" t="s">
        <v>833</v>
      </c>
      <c r="D1885" s="204">
        <v>2025</v>
      </c>
      <c r="E1885" s="204" t="s">
        <v>1431</v>
      </c>
      <c r="F1885" s="204" t="s">
        <v>2591</v>
      </c>
      <c r="G1885" s="213" t="s">
        <v>821</v>
      </c>
      <c r="H1885" s="219" t="s">
        <v>3429</v>
      </c>
      <c r="I1885" s="156" t="s">
        <v>26</v>
      </c>
      <c r="J1885" s="204" t="s">
        <v>2593</v>
      </c>
      <c r="K1885" s="207" t="s">
        <v>1446</v>
      </c>
    </row>
    <row r="1886" spans="1:11" ht="84">
      <c r="A1886" s="204">
        <v>1884</v>
      </c>
      <c r="B1886" s="208">
        <v>45966</v>
      </c>
      <c r="C1886" s="267" t="s">
        <v>833</v>
      </c>
      <c r="D1886" s="204">
        <v>2025</v>
      </c>
      <c r="E1886" s="209" t="s">
        <v>1431</v>
      </c>
      <c r="F1886" s="209" t="s">
        <v>2591</v>
      </c>
      <c r="G1886" s="210" t="s">
        <v>88</v>
      </c>
      <c r="H1886" s="218" t="s">
        <v>3430</v>
      </c>
      <c r="I1886" s="156" t="s">
        <v>26</v>
      </c>
      <c r="J1886" s="209" t="s">
        <v>2593</v>
      </c>
      <c r="K1886" s="211"/>
    </row>
    <row r="1887" spans="1:11" ht="66.75">
      <c r="A1887" s="204">
        <v>1885</v>
      </c>
      <c r="B1887" s="205">
        <v>45966</v>
      </c>
      <c r="C1887" s="267" t="s">
        <v>833</v>
      </c>
      <c r="D1887" s="204">
        <v>2025</v>
      </c>
      <c r="E1887" s="204" t="s">
        <v>1431</v>
      </c>
      <c r="F1887" s="204" t="s">
        <v>1566</v>
      </c>
      <c r="G1887" s="206" t="s">
        <v>88</v>
      </c>
      <c r="H1887" s="207" t="s">
        <v>3431</v>
      </c>
      <c r="I1887" s="156" t="s">
        <v>26</v>
      </c>
      <c r="J1887" s="204" t="s">
        <v>1588</v>
      </c>
      <c r="K1887" s="207" t="s">
        <v>1548</v>
      </c>
    </row>
    <row r="1888" spans="1:11" ht="66.75">
      <c r="A1888" s="204">
        <v>1886</v>
      </c>
      <c r="B1888" s="208">
        <v>45966</v>
      </c>
      <c r="C1888" s="267" t="s">
        <v>833</v>
      </c>
      <c r="D1888" s="204">
        <v>2025</v>
      </c>
      <c r="E1888" s="209" t="s">
        <v>1431</v>
      </c>
      <c r="F1888" s="209" t="s">
        <v>1566</v>
      </c>
      <c r="G1888" s="210" t="s">
        <v>88</v>
      </c>
      <c r="H1888" s="211" t="s">
        <v>3432</v>
      </c>
      <c r="I1888" s="156" t="s">
        <v>26</v>
      </c>
      <c r="J1888" s="209" t="s">
        <v>1588</v>
      </c>
      <c r="K1888" s="211" t="s">
        <v>1548</v>
      </c>
    </row>
    <row r="1889" spans="1:11" ht="117">
      <c r="A1889" s="204">
        <v>1887</v>
      </c>
      <c r="B1889" s="205">
        <v>45966</v>
      </c>
      <c r="C1889" s="267" t="s">
        <v>833</v>
      </c>
      <c r="D1889" s="204">
        <v>2025</v>
      </c>
      <c r="E1889" s="204" t="s">
        <v>1431</v>
      </c>
      <c r="F1889" s="204" t="s">
        <v>1566</v>
      </c>
      <c r="G1889" s="206" t="s">
        <v>88</v>
      </c>
      <c r="H1889" s="207" t="s">
        <v>3433</v>
      </c>
      <c r="I1889" s="156" t="s">
        <v>26</v>
      </c>
      <c r="J1889" s="204" t="s">
        <v>1588</v>
      </c>
      <c r="K1889" s="207" t="s">
        <v>1451</v>
      </c>
    </row>
    <row r="1890" spans="1:11" ht="84">
      <c r="A1890" s="204">
        <v>1888</v>
      </c>
      <c r="B1890" s="208">
        <v>45967</v>
      </c>
      <c r="C1890" s="267" t="s">
        <v>833</v>
      </c>
      <c r="D1890" s="204">
        <v>2025</v>
      </c>
      <c r="E1890" s="209" t="s">
        <v>1431</v>
      </c>
      <c r="F1890" s="209" t="s">
        <v>1518</v>
      </c>
      <c r="G1890" s="213" t="s">
        <v>821</v>
      </c>
      <c r="H1890" s="211" t="s">
        <v>3434</v>
      </c>
      <c r="I1890" s="156" t="s">
        <v>26</v>
      </c>
      <c r="J1890" s="209" t="s">
        <v>1493</v>
      </c>
      <c r="K1890" s="211" t="s">
        <v>1444</v>
      </c>
    </row>
    <row r="1891" spans="1:11" ht="134.25">
      <c r="A1891" s="204">
        <v>1889</v>
      </c>
      <c r="B1891" s="205">
        <v>45967</v>
      </c>
      <c r="C1891" s="267" t="s">
        <v>833</v>
      </c>
      <c r="D1891" s="204">
        <v>2025</v>
      </c>
      <c r="E1891" s="204" t="s">
        <v>1431</v>
      </c>
      <c r="F1891" s="204" t="s">
        <v>1473</v>
      </c>
      <c r="G1891" s="214" t="s">
        <v>859</v>
      </c>
      <c r="H1891" s="207" t="s">
        <v>3435</v>
      </c>
      <c r="I1891" s="156" t="s">
        <v>26</v>
      </c>
      <c r="J1891" s="204" t="s">
        <v>1493</v>
      </c>
      <c r="K1891" s="207" t="s">
        <v>1476</v>
      </c>
    </row>
    <row r="1892" spans="1:11" ht="50.25">
      <c r="A1892" s="204">
        <v>1890</v>
      </c>
      <c r="B1892" s="208">
        <v>45967</v>
      </c>
      <c r="C1892" s="267" t="s">
        <v>833</v>
      </c>
      <c r="D1892" s="204">
        <v>2025</v>
      </c>
      <c r="E1892" s="209" t="s">
        <v>1431</v>
      </c>
      <c r="F1892" s="209" t="s">
        <v>2244</v>
      </c>
      <c r="G1892" s="210" t="s">
        <v>88</v>
      </c>
      <c r="H1892" s="211" t="s">
        <v>3436</v>
      </c>
      <c r="I1892" s="156" t="s">
        <v>26</v>
      </c>
      <c r="J1892" s="209" t="s">
        <v>1998</v>
      </c>
      <c r="K1892" s="211"/>
    </row>
    <row r="1893" spans="1:11" ht="134.25">
      <c r="A1893" s="204">
        <v>1891</v>
      </c>
      <c r="B1893" s="205">
        <v>45967</v>
      </c>
      <c r="C1893" s="267" t="s">
        <v>833</v>
      </c>
      <c r="D1893" s="204">
        <v>2025</v>
      </c>
      <c r="E1893" s="204" t="s">
        <v>1431</v>
      </c>
      <c r="F1893" s="204" t="s">
        <v>21</v>
      </c>
      <c r="G1893" s="213" t="s">
        <v>821</v>
      </c>
      <c r="H1893" s="207" t="s">
        <v>3437</v>
      </c>
      <c r="I1893" s="156" t="s">
        <v>26</v>
      </c>
      <c r="J1893" s="204" t="s">
        <v>149</v>
      </c>
      <c r="K1893" s="207" t="s">
        <v>1601</v>
      </c>
    </row>
    <row r="1894" spans="1:11" ht="150.75">
      <c r="A1894" s="204">
        <v>1892</v>
      </c>
      <c r="B1894" s="208">
        <v>45967</v>
      </c>
      <c r="C1894" s="267" t="s">
        <v>833</v>
      </c>
      <c r="D1894" s="204">
        <v>2025</v>
      </c>
      <c r="E1894" s="209" t="s">
        <v>1431</v>
      </c>
      <c r="F1894" s="209" t="s">
        <v>21</v>
      </c>
      <c r="G1894" s="213" t="s">
        <v>821</v>
      </c>
      <c r="H1894" s="211" t="s">
        <v>3438</v>
      </c>
      <c r="I1894" s="156" t="s">
        <v>26</v>
      </c>
      <c r="J1894" s="209" t="s">
        <v>149</v>
      </c>
      <c r="K1894" s="211" t="s">
        <v>1513</v>
      </c>
    </row>
    <row r="1895" spans="1:11" ht="50.25">
      <c r="A1895" s="204">
        <v>1893</v>
      </c>
      <c r="B1895" s="205">
        <v>45967</v>
      </c>
      <c r="C1895" s="267" t="s">
        <v>833</v>
      </c>
      <c r="D1895" s="204">
        <v>2025</v>
      </c>
      <c r="E1895" s="204" t="s">
        <v>2224</v>
      </c>
      <c r="F1895" s="204" t="s">
        <v>988</v>
      </c>
      <c r="G1895" s="206" t="s">
        <v>88</v>
      </c>
      <c r="H1895" s="207" t="s">
        <v>3439</v>
      </c>
      <c r="I1895" s="156" t="s">
        <v>26</v>
      </c>
      <c r="J1895" s="204" t="s">
        <v>2568</v>
      </c>
      <c r="K1895" s="207"/>
    </row>
    <row r="1896" spans="1:11" ht="33.75">
      <c r="A1896" s="204">
        <v>1894</v>
      </c>
      <c r="B1896" s="208">
        <v>45967</v>
      </c>
      <c r="C1896" s="267" t="s">
        <v>833</v>
      </c>
      <c r="D1896" s="204">
        <v>2025</v>
      </c>
      <c r="E1896" s="209" t="s">
        <v>1431</v>
      </c>
      <c r="F1896" s="209" t="s">
        <v>2591</v>
      </c>
      <c r="G1896" s="213" t="s">
        <v>821</v>
      </c>
      <c r="H1896" s="218" t="s">
        <v>3440</v>
      </c>
      <c r="I1896" s="156" t="s">
        <v>26</v>
      </c>
      <c r="J1896" s="209" t="s">
        <v>2593</v>
      </c>
      <c r="K1896" s="211"/>
    </row>
    <row r="1897" spans="1:11" ht="150.75">
      <c r="A1897" s="204">
        <v>1895</v>
      </c>
      <c r="B1897" s="205">
        <v>45967</v>
      </c>
      <c r="C1897" s="267" t="s">
        <v>833</v>
      </c>
      <c r="D1897" s="204">
        <v>2025</v>
      </c>
      <c r="E1897" s="204" t="s">
        <v>1431</v>
      </c>
      <c r="F1897" s="204" t="s">
        <v>2591</v>
      </c>
      <c r="G1897" s="212" t="s">
        <v>1439</v>
      </c>
      <c r="H1897" s="219" t="s">
        <v>3441</v>
      </c>
      <c r="I1897" s="156" t="s">
        <v>26</v>
      </c>
      <c r="J1897" s="204" t="s">
        <v>2593</v>
      </c>
      <c r="K1897" s="207"/>
    </row>
    <row r="1898" spans="1:11" ht="100.5">
      <c r="A1898" s="204">
        <v>1896</v>
      </c>
      <c r="B1898" s="208">
        <v>45967</v>
      </c>
      <c r="C1898" s="267" t="s">
        <v>833</v>
      </c>
      <c r="D1898" s="204">
        <v>2025</v>
      </c>
      <c r="E1898" s="209" t="s">
        <v>1431</v>
      </c>
      <c r="F1898" s="209" t="s">
        <v>2591</v>
      </c>
      <c r="G1898" s="210" t="s">
        <v>88</v>
      </c>
      <c r="H1898" s="218" t="s">
        <v>3442</v>
      </c>
      <c r="I1898" s="156" t="s">
        <v>26</v>
      </c>
      <c r="J1898" s="209" t="s">
        <v>2593</v>
      </c>
      <c r="K1898" s="211" t="s">
        <v>1472</v>
      </c>
    </row>
    <row r="1899" spans="1:11" ht="117">
      <c r="A1899" s="204">
        <v>1897</v>
      </c>
      <c r="B1899" s="205">
        <v>45967</v>
      </c>
      <c r="C1899" s="267" t="s">
        <v>833</v>
      </c>
      <c r="D1899" s="204">
        <v>2025</v>
      </c>
      <c r="E1899" s="204" t="s">
        <v>1431</v>
      </c>
      <c r="F1899" s="204" t="s">
        <v>2591</v>
      </c>
      <c r="G1899" s="206" t="s">
        <v>88</v>
      </c>
      <c r="H1899" s="219" t="s">
        <v>3443</v>
      </c>
      <c r="I1899" s="156" t="s">
        <v>26</v>
      </c>
      <c r="J1899" s="204" t="s">
        <v>2593</v>
      </c>
      <c r="K1899" s="207" t="s">
        <v>1472</v>
      </c>
    </row>
    <row r="1900" spans="1:11" ht="100.5">
      <c r="A1900" s="204">
        <v>1898</v>
      </c>
      <c r="B1900" s="208">
        <v>45967</v>
      </c>
      <c r="C1900" s="267" t="s">
        <v>833</v>
      </c>
      <c r="D1900" s="204">
        <v>2025</v>
      </c>
      <c r="E1900" s="209" t="s">
        <v>1431</v>
      </c>
      <c r="F1900" s="209" t="s">
        <v>2591</v>
      </c>
      <c r="G1900" s="210" t="s">
        <v>88</v>
      </c>
      <c r="H1900" s="218" t="s">
        <v>3444</v>
      </c>
      <c r="I1900" s="156" t="s">
        <v>26</v>
      </c>
      <c r="J1900" s="209" t="s">
        <v>2593</v>
      </c>
      <c r="K1900" s="211" t="s">
        <v>1472</v>
      </c>
    </row>
    <row r="1901" spans="1:11" ht="183.75">
      <c r="A1901" s="204">
        <v>1899</v>
      </c>
      <c r="B1901" s="205">
        <v>45967</v>
      </c>
      <c r="C1901" s="267" t="s">
        <v>833</v>
      </c>
      <c r="D1901" s="204">
        <v>2025</v>
      </c>
      <c r="E1901" s="204" t="s">
        <v>1431</v>
      </c>
      <c r="F1901" s="204" t="s">
        <v>2591</v>
      </c>
      <c r="G1901" s="206" t="s">
        <v>88</v>
      </c>
      <c r="H1901" s="219" t="s">
        <v>3445</v>
      </c>
      <c r="I1901" s="156" t="s">
        <v>26</v>
      </c>
      <c r="J1901" s="204" t="s">
        <v>2593</v>
      </c>
      <c r="K1901" s="207" t="s">
        <v>1500</v>
      </c>
    </row>
    <row r="1902" spans="1:11" ht="84">
      <c r="A1902" s="204">
        <v>1900</v>
      </c>
      <c r="B1902" s="208">
        <v>45967</v>
      </c>
      <c r="C1902" s="267" t="s">
        <v>833</v>
      </c>
      <c r="D1902" s="204">
        <v>2025</v>
      </c>
      <c r="E1902" s="209" t="s">
        <v>1431</v>
      </c>
      <c r="F1902" s="209" t="s">
        <v>2591</v>
      </c>
      <c r="G1902" s="210" t="s">
        <v>88</v>
      </c>
      <c r="H1902" s="218" t="s">
        <v>3446</v>
      </c>
      <c r="I1902" s="156" t="s">
        <v>26</v>
      </c>
      <c r="J1902" s="209" t="s">
        <v>2593</v>
      </c>
      <c r="K1902" s="211" t="s">
        <v>1500</v>
      </c>
    </row>
    <row r="1903" spans="1:11" ht="100.5">
      <c r="A1903" s="204">
        <v>1901</v>
      </c>
      <c r="B1903" s="205">
        <v>45967</v>
      </c>
      <c r="C1903" s="267" t="s">
        <v>833</v>
      </c>
      <c r="D1903" s="204">
        <v>2025</v>
      </c>
      <c r="E1903" s="204" t="s">
        <v>1431</v>
      </c>
      <c r="F1903" s="204" t="s">
        <v>1566</v>
      </c>
      <c r="G1903" s="206" t="s">
        <v>88</v>
      </c>
      <c r="H1903" s="207" t="s">
        <v>3447</v>
      </c>
      <c r="I1903" s="156" t="s">
        <v>26</v>
      </c>
      <c r="J1903" s="204" t="s">
        <v>2640</v>
      </c>
      <c r="K1903" s="207" t="s">
        <v>1478</v>
      </c>
    </row>
    <row r="1904" spans="1:11" ht="100.5">
      <c r="A1904" s="204">
        <v>1902</v>
      </c>
      <c r="B1904" s="208">
        <v>45967</v>
      </c>
      <c r="C1904" s="267" t="s">
        <v>833</v>
      </c>
      <c r="D1904" s="204">
        <v>2025</v>
      </c>
      <c r="E1904" s="209" t="s">
        <v>1431</v>
      </c>
      <c r="F1904" s="209" t="s">
        <v>1566</v>
      </c>
      <c r="G1904" s="210" t="s">
        <v>88</v>
      </c>
      <c r="H1904" s="211" t="s">
        <v>3448</v>
      </c>
      <c r="I1904" s="156" t="s">
        <v>26</v>
      </c>
      <c r="J1904" s="209" t="s">
        <v>2640</v>
      </c>
      <c r="K1904" s="211" t="s">
        <v>1454</v>
      </c>
    </row>
    <row r="1905" spans="1:11" ht="84">
      <c r="A1905" s="204">
        <v>1903</v>
      </c>
      <c r="B1905" s="205">
        <v>45968</v>
      </c>
      <c r="C1905" s="267" t="s">
        <v>833</v>
      </c>
      <c r="D1905" s="204">
        <v>2025</v>
      </c>
      <c r="E1905" s="204" t="s">
        <v>1431</v>
      </c>
      <c r="F1905" s="204" t="s">
        <v>988</v>
      </c>
      <c r="G1905" s="206" t="s">
        <v>88</v>
      </c>
      <c r="H1905" s="207" t="s">
        <v>3449</v>
      </c>
      <c r="I1905" s="156" t="s">
        <v>26</v>
      </c>
      <c r="J1905" s="204" t="s">
        <v>3176</v>
      </c>
      <c r="K1905" s="207" t="s">
        <v>1500</v>
      </c>
    </row>
    <row r="1906" spans="1:11" ht="33.75">
      <c r="A1906" s="204">
        <v>1904</v>
      </c>
      <c r="B1906" s="208">
        <v>45968</v>
      </c>
      <c r="C1906" s="267" t="s">
        <v>833</v>
      </c>
      <c r="D1906" s="204">
        <v>2025</v>
      </c>
      <c r="E1906" s="209" t="s">
        <v>1431</v>
      </c>
      <c r="F1906" s="209" t="s">
        <v>2244</v>
      </c>
      <c r="G1906" s="212" t="s">
        <v>1439</v>
      </c>
      <c r="H1906" s="211" t="s">
        <v>3450</v>
      </c>
      <c r="I1906" s="156" t="s">
        <v>26</v>
      </c>
      <c r="J1906" s="209" t="s">
        <v>1904</v>
      </c>
      <c r="K1906" s="211"/>
    </row>
    <row r="1907" spans="1:11" ht="66.75">
      <c r="A1907" s="204">
        <v>1905</v>
      </c>
      <c r="B1907" s="205">
        <v>45968</v>
      </c>
      <c r="C1907" s="267" t="s">
        <v>833</v>
      </c>
      <c r="D1907" s="204">
        <v>2025</v>
      </c>
      <c r="E1907" s="204" t="s">
        <v>1431</v>
      </c>
      <c r="F1907" s="204" t="s">
        <v>2423</v>
      </c>
      <c r="G1907" s="206" t="s">
        <v>88</v>
      </c>
      <c r="H1907" s="207" t="s">
        <v>3451</v>
      </c>
      <c r="I1907" s="156" t="s">
        <v>26</v>
      </c>
      <c r="J1907" s="204" t="s">
        <v>59</v>
      </c>
      <c r="K1907" s="207"/>
    </row>
    <row r="1908" spans="1:11" ht="84">
      <c r="A1908" s="204">
        <v>1906</v>
      </c>
      <c r="B1908" s="208">
        <v>45968</v>
      </c>
      <c r="C1908" s="267" t="s">
        <v>833</v>
      </c>
      <c r="D1908" s="204">
        <v>2025</v>
      </c>
      <c r="E1908" s="209" t="s">
        <v>1431</v>
      </c>
      <c r="F1908" s="209" t="s">
        <v>21</v>
      </c>
      <c r="G1908" s="213" t="s">
        <v>821</v>
      </c>
      <c r="H1908" s="211" t="s">
        <v>3452</v>
      </c>
      <c r="I1908" s="156" t="s">
        <v>26</v>
      </c>
      <c r="J1908" s="209" t="s">
        <v>149</v>
      </c>
      <c r="K1908" s="211" t="s">
        <v>1444</v>
      </c>
    </row>
    <row r="1909" spans="1:11" ht="50.25">
      <c r="A1909" s="204">
        <v>1907</v>
      </c>
      <c r="B1909" s="205">
        <v>45968</v>
      </c>
      <c r="C1909" s="267" t="s">
        <v>833</v>
      </c>
      <c r="D1909" s="204">
        <v>2025</v>
      </c>
      <c r="E1909" s="204" t="s">
        <v>2224</v>
      </c>
      <c r="F1909" s="204" t="s">
        <v>21</v>
      </c>
      <c r="G1909" s="213" t="s">
        <v>821</v>
      </c>
      <c r="H1909" s="207" t="s">
        <v>3453</v>
      </c>
      <c r="I1909" s="156" t="s">
        <v>26</v>
      </c>
      <c r="J1909" s="204" t="s">
        <v>149</v>
      </c>
      <c r="K1909" s="207"/>
    </row>
    <row r="1910" spans="1:11" ht="100.5">
      <c r="A1910" s="204">
        <v>1908</v>
      </c>
      <c r="B1910" s="208">
        <v>45968</v>
      </c>
      <c r="C1910" s="267" t="s">
        <v>833</v>
      </c>
      <c r="D1910" s="204">
        <v>2025</v>
      </c>
      <c r="E1910" s="209" t="s">
        <v>1431</v>
      </c>
      <c r="F1910" s="209" t="s">
        <v>2591</v>
      </c>
      <c r="G1910" s="210" t="s">
        <v>88</v>
      </c>
      <c r="H1910" s="218" t="s">
        <v>3454</v>
      </c>
      <c r="I1910" s="156" t="s">
        <v>26</v>
      </c>
      <c r="J1910" s="209" t="s">
        <v>2593</v>
      </c>
      <c r="K1910" s="211" t="s">
        <v>1472</v>
      </c>
    </row>
    <row r="1911" spans="1:11" ht="168">
      <c r="A1911" s="204">
        <v>1909</v>
      </c>
      <c r="B1911" s="205">
        <v>45968</v>
      </c>
      <c r="C1911" s="267" t="s">
        <v>833</v>
      </c>
      <c r="D1911" s="204">
        <v>2025</v>
      </c>
      <c r="E1911" s="204" t="s">
        <v>1431</v>
      </c>
      <c r="F1911" s="204" t="s">
        <v>2591</v>
      </c>
      <c r="G1911" s="206" t="s">
        <v>88</v>
      </c>
      <c r="H1911" s="219" t="s">
        <v>3455</v>
      </c>
      <c r="I1911" s="156" t="s">
        <v>26</v>
      </c>
      <c r="J1911" s="204" t="s">
        <v>2593</v>
      </c>
      <c r="K1911" s="207" t="s">
        <v>1472</v>
      </c>
    </row>
    <row r="1912" spans="1:11" ht="84">
      <c r="A1912" s="204">
        <v>1910</v>
      </c>
      <c r="B1912" s="208">
        <v>45971</v>
      </c>
      <c r="C1912" s="267" t="s">
        <v>833</v>
      </c>
      <c r="D1912" s="204">
        <v>2025</v>
      </c>
      <c r="E1912" s="209" t="s">
        <v>1431</v>
      </c>
      <c r="F1912" s="209" t="s">
        <v>1506</v>
      </c>
      <c r="G1912" s="210" t="s">
        <v>88</v>
      </c>
      <c r="H1912" s="211" t="s">
        <v>3456</v>
      </c>
      <c r="I1912" s="156" t="s">
        <v>26</v>
      </c>
      <c r="J1912" s="209" t="s">
        <v>1904</v>
      </c>
      <c r="K1912" s="211" t="s">
        <v>1500</v>
      </c>
    </row>
    <row r="1913" spans="1:11" ht="33.75">
      <c r="A1913" s="204">
        <v>1911</v>
      </c>
      <c r="B1913" s="205">
        <v>45971</v>
      </c>
      <c r="C1913" s="267" t="s">
        <v>833</v>
      </c>
      <c r="D1913" s="204">
        <v>2025</v>
      </c>
      <c r="E1913" s="204" t="s">
        <v>1431</v>
      </c>
      <c r="F1913" s="204" t="s">
        <v>21</v>
      </c>
      <c r="G1913" s="213" t="s">
        <v>821</v>
      </c>
      <c r="H1913" s="207" t="s">
        <v>3457</v>
      </c>
      <c r="I1913" s="156" t="s">
        <v>26</v>
      </c>
      <c r="J1913" s="204" t="s">
        <v>149</v>
      </c>
      <c r="K1913" s="207"/>
    </row>
    <row r="1914" spans="1:11" ht="100.5">
      <c r="A1914" s="204">
        <v>1912</v>
      </c>
      <c r="B1914" s="208">
        <v>45971</v>
      </c>
      <c r="C1914" s="267" t="s">
        <v>833</v>
      </c>
      <c r="D1914" s="204">
        <v>2025</v>
      </c>
      <c r="E1914" s="209" t="s">
        <v>1431</v>
      </c>
      <c r="F1914" s="209" t="s">
        <v>2591</v>
      </c>
      <c r="G1914" s="210" t="s">
        <v>88</v>
      </c>
      <c r="H1914" s="211" t="s">
        <v>3458</v>
      </c>
      <c r="I1914" s="156" t="s">
        <v>26</v>
      </c>
      <c r="J1914" s="209" t="s">
        <v>2593</v>
      </c>
      <c r="K1914" s="211" t="s">
        <v>1472</v>
      </c>
    </row>
    <row r="1915" spans="1:11" ht="117">
      <c r="A1915" s="204">
        <v>1913</v>
      </c>
      <c r="B1915" s="205">
        <v>45971</v>
      </c>
      <c r="C1915" s="267" t="s">
        <v>833</v>
      </c>
      <c r="D1915" s="204">
        <v>2025</v>
      </c>
      <c r="E1915" s="204" t="s">
        <v>1431</v>
      </c>
      <c r="F1915" s="204" t="s">
        <v>2591</v>
      </c>
      <c r="G1915" s="215" t="s">
        <v>872</v>
      </c>
      <c r="H1915" s="219" t="s">
        <v>3459</v>
      </c>
      <c r="I1915" s="156" t="s">
        <v>26</v>
      </c>
      <c r="J1915" s="204" t="s">
        <v>2593</v>
      </c>
      <c r="K1915" s="207" t="s">
        <v>1522</v>
      </c>
    </row>
    <row r="1916" spans="1:11" ht="168">
      <c r="A1916" s="204">
        <v>1914</v>
      </c>
      <c r="B1916" s="208">
        <v>45971</v>
      </c>
      <c r="C1916" s="267" t="s">
        <v>833</v>
      </c>
      <c r="D1916" s="204">
        <v>2025</v>
      </c>
      <c r="E1916" s="209" t="s">
        <v>1431</v>
      </c>
      <c r="F1916" s="209" t="s">
        <v>2591</v>
      </c>
      <c r="G1916" s="216" t="s">
        <v>872</v>
      </c>
      <c r="H1916" s="218" t="s">
        <v>3460</v>
      </c>
      <c r="I1916" s="156" t="s">
        <v>26</v>
      </c>
      <c r="J1916" s="209" t="s">
        <v>2593</v>
      </c>
      <c r="K1916" s="211" t="s">
        <v>1500</v>
      </c>
    </row>
    <row r="1917" spans="1:11" ht="117">
      <c r="A1917" s="204">
        <v>1915</v>
      </c>
      <c r="B1917" s="205">
        <v>45971</v>
      </c>
      <c r="C1917" s="267" t="s">
        <v>833</v>
      </c>
      <c r="D1917" s="204">
        <v>2025</v>
      </c>
      <c r="E1917" s="204" t="s">
        <v>1431</v>
      </c>
      <c r="F1917" s="204" t="s">
        <v>2591</v>
      </c>
      <c r="G1917" s="215" t="s">
        <v>872</v>
      </c>
      <c r="H1917" s="219" t="s">
        <v>3461</v>
      </c>
      <c r="I1917" s="156" t="s">
        <v>26</v>
      </c>
      <c r="J1917" s="204" t="s">
        <v>2593</v>
      </c>
      <c r="K1917" s="207" t="s">
        <v>1500</v>
      </c>
    </row>
    <row r="1918" spans="1:11" ht="100.5">
      <c r="A1918" s="204">
        <v>1916</v>
      </c>
      <c r="B1918" s="208">
        <v>45971</v>
      </c>
      <c r="C1918" s="267" t="s">
        <v>833</v>
      </c>
      <c r="D1918" s="204">
        <v>2025</v>
      </c>
      <c r="E1918" s="209" t="s">
        <v>1431</v>
      </c>
      <c r="F1918" s="209" t="s">
        <v>2591</v>
      </c>
      <c r="G1918" s="216" t="s">
        <v>872</v>
      </c>
      <c r="H1918" s="218" t="s">
        <v>3462</v>
      </c>
      <c r="I1918" s="156" t="s">
        <v>26</v>
      </c>
      <c r="J1918" s="209" t="s">
        <v>2593</v>
      </c>
      <c r="K1918" s="211" t="s">
        <v>1472</v>
      </c>
    </row>
    <row r="1919" spans="1:11" ht="84">
      <c r="A1919" s="204">
        <v>1917</v>
      </c>
      <c r="B1919" s="205">
        <v>45971</v>
      </c>
      <c r="C1919" s="267" t="s">
        <v>833</v>
      </c>
      <c r="D1919" s="204">
        <v>2025</v>
      </c>
      <c r="E1919" s="204" t="s">
        <v>1431</v>
      </c>
      <c r="F1919" s="204" t="s">
        <v>2591</v>
      </c>
      <c r="G1919" s="206" t="s">
        <v>88</v>
      </c>
      <c r="H1919" s="219" t="s">
        <v>3463</v>
      </c>
      <c r="I1919" s="156" t="s">
        <v>26</v>
      </c>
      <c r="J1919" s="204" t="s">
        <v>2593</v>
      </c>
      <c r="K1919" s="207" t="s">
        <v>1500</v>
      </c>
    </row>
    <row r="1920" spans="1:11" ht="183.75">
      <c r="A1920" s="204">
        <v>1918</v>
      </c>
      <c r="B1920" s="208">
        <v>45971</v>
      </c>
      <c r="C1920" s="267" t="s">
        <v>833</v>
      </c>
      <c r="D1920" s="204">
        <v>2025</v>
      </c>
      <c r="E1920" s="209" t="s">
        <v>1431</v>
      </c>
      <c r="F1920" s="209" t="s">
        <v>2591</v>
      </c>
      <c r="G1920" s="210" t="s">
        <v>88</v>
      </c>
      <c r="H1920" s="211" t="s">
        <v>3464</v>
      </c>
      <c r="I1920" s="156" t="s">
        <v>26</v>
      </c>
      <c r="J1920" s="209" t="s">
        <v>2593</v>
      </c>
      <c r="K1920" s="211" t="s">
        <v>1472</v>
      </c>
    </row>
    <row r="1921" spans="1:11" ht="50.25">
      <c r="A1921" s="204">
        <v>1919</v>
      </c>
      <c r="B1921" s="205">
        <v>45971</v>
      </c>
      <c r="C1921" s="267" t="s">
        <v>833</v>
      </c>
      <c r="D1921" s="204">
        <v>2025</v>
      </c>
      <c r="E1921" s="204" t="s">
        <v>1431</v>
      </c>
      <c r="F1921" s="204" t="s">
        <v>1566</v>
      </c>
      <c r="G1921" s="206" t="s">
        <v>88</v>
      </c>
      <c r="H1921" s="207" t="s">
        <v>3465</v>
      </c>
      <c r="I1921" s="156" t="s">
        <v>26</v>
      </c>
      <c r="J1921" s="204" t="s">
        <v>1453</v>
      </c>
      <c r="K1921" s="207"/>
    </row>
    <row r="1922" spans="1:11" ht="117">
      <c r="A1922" s="204">
        <v>1920</v>
      </c>
      <c r="B1922" s="208">
        <v>45971</v>
      </c>
      <c r="C1922" s="267" t="s">
        <v>833</v>
      </c>
      <c r="D1922" s="204">
        <v>2025</v>
      </c>
      <c r="E1922" s="209" t="s">
        <v>1431</v>
      </c>
      <c r="F1922" s="209" t="s">
        <v>1566</v>
      </c>
      <c r="G1922" s="210" t="s">
        <v>88</v>
      </c>
      <c r="H1922" s="211" t="s">
        <v>3466</v>
      </c>
      <c r="I1922" s="156" t="s">
        <v>26</v>
      </c>
      <c r="J1922" s="209" t="s">
        <v>1453</v>
      </c>
      <c r="K1922" s="211" t="s">
        <v>1451</v>
      </c>
    </row>
    <row r="1923" spans="1:11" ht="117">
      <c r="A1923" s="204">
        <v>1921</v>
      </c>
      <c r="B1923" s="205">
        <v>45971</v>
      </c>
      <c r="C1923" s="267" t="s">
        <v>833</v>
      </c>
      <c r="D1923" s="204">
        <v>2025</v>
      </c>
      <c r="E1923" s="204" t="s">
        <v>1431</v>
      </c>
      <c r="F1923" s="204" t="s">
        <v>1566</v>
      </c>
      <c r="G1923" s="206" t="s">
        <v>88</v>
      </c>
      <c r="H1923" s="207" t="s">
        <v>3467</v>
      </c>
      <c r="I1923" s="156" t="s">
        <v>26</v>
      </c>
      <c r="J1923" s="204" t="s">
        <v>1453</v>
      </c>
      <c r="K1923" s="207" t="s">
        <v>1451</v>
      </c>
    </row>
    <row r="1924" spans="1:11" ht="117">
      <c r="A1924" s="204">
        <v>1922</v>
      </c>
      <c r="B1924" s="208">
        <v>45971</v>
      </c>
      <c r="C1924" s="267" t="s">
        <v>833</v>
      </c>
      <c r="D1924" s="204">
        <v>2025</v>
      </c>
      <c r="E1924" s="209" t="s">
        <v>1431</v>
      </c>
      <c r="F1924" s="209" t="s">
        <v>1566</v>
      </c>
      <c r="G1924" s="210" t="s">
        <v>88</v>
      </c>
      <c r="H1924" s="211" t="s">
        <v>3468</v>
      </c>
      <c r="I1924" s="156" t="s">
        <v>26</v>
      </c>
      <c r="J1924" s="209" t="s">
        <v>1453</v>
      </c>
      <c r="K1924" s="211" t="s">
        <v>1559</v>
      </c>
    </row>
    <row r="1925" spans="1:11" ht="33.75">
      <c r="A1925" s="204">
        <v>1923</v>
      </c>
      <c r="B1925" s="205">
        <v>45971</v>
      </c>
      <c r="C1925" s="267" t="s">
        <v>833</v>
      </c>
      <c r="D1925" s="204">
        <v>2025</v>
      </c>
      <c r="E1925" s="204" t="s">
        <v>2224</v>
      </c>
      <c r="F1925" s="204" t="s">
        <v>2591</v>
      </c>
      <c r="G1925" s="206" t="s">
        <v>88</v>
      </c>
      <c r="H1925" s="219" t="s">
        <v>3469</v>
      </c>
      <c r="I1925" s="156" t="s">
        <v>26</v>
      </c>
      <c r="J1925" s="204" t="s">
        <v>2593</v>
      </c>
      <c r="K1925" s="207"/>
    </row>
    <row r="1926" spans="1:11" ht="50.25">
      <c r="A1926" s="204">
        <v>1924</v>
      </c>
      <c r="B1926" s="208">
        <v>45971</v>
      </c>
      <c r="C1926" s="267" t="s">
        <v>833</v>
      </c>
      <c r="D1926" s="204">
        <v>2025</v>
      </c>
      <c r="E1926" s="209" t="s">
        <v>2224</v>
      </c>
      <c r="F1926" s="209" t="s">
        <v>2591</v>
      </c>
      <c r="G1926" s="210" t="s">
        <v>88</v>
      </c>
      <c r="H1926" s="218" t="s">
        <v>3470</v>
      </c>
      <c r="I1926" s="156" t="s">
        <v>26</v>
      </c>
      <c r="J1926" s="209" t="s">
        <v>2593</v>
      </c>
      <c r="K1926" s="211"/>
    </row>
    <row r="1927" spans="1:11" ht="84">
      <c r="A1927" s="204">
        <v>1925</v>
      </c>
      <c r="B1927" s="205">
        <v>45972</v>
      </c>
      <c r="C1927" s="267" t="s">
        <v>833</v>
      </c>
      <c r="D1927" s="204">
        <v>2025</v>
      </c>
      <c r="E1927" s="204" t="s">
        <v>1431</v>
      </c>
      <c r="F1927" s="204" t="s">
        <v>1506</v>
      </c>
      <c r="G1927" s="206" t="s">
        <v>88</v>
      </c>
      <c r="H1927" s="207" t="s">
        <v>3471</v>
      </c>
      <c r="I1927" s="156" t="s">
        <v>26</v>
      </c>
      <c r="J1927" s="204" t="s">
        <v>3343</v>
      </c>
      <c r="K1927" s="207" t="s">
        <v>1500</v>
      </c>
    </row>
    <row r="1928" spans="1:11" ht="84">
      <c r="A1928" s="204">
        <v>1926</v>
      </c>
      <c r="B1928" s="208">
        <v>45972</v>
      </c>
      <c r="C1928" s="267" t="s">
        <v>833</v>
      </c>
      <c r="D1928" s="204">
        <v>2025</v>
      </c>
      <c r="E1928" s="209" t="s">
        <v>1431</v>
      </c>
      <c r="F1928" s="209" t="s">
        <v>1539</v>
      </c>
      <c r="G1928" s="210" t="s">
        <v>88</v>
      </c>
      <c r="H1928" s="211" t="s">
        <v>3472</v>
      </c>
      <c r="I1928" s="156" t="s">
        <v>26</v>
      </c>
      <c r="J1928" s="209" t="s">
        <v>1541</v>
      </c>
      <c r="K1928" s="211"/>
    </row>
    <row r="1929" spans="1:11" ht="50.25">
      <c r="A1929" s="204">
        <v>1927</v>
      </c>
      <c r="B1929" s="205">
        <v>45972</v>
      </c>
      <c r="C1929" s="267" t="s">
        <v>833</v>
      </c>
      <c r="D1929" s="204">
        <v>2025</v>
      </c>
      <c r="E1929" s="204" t="s">
        <v>1431</v>
      </c>
      <c r="F1929" s="204" t="s">
        <v>97</v>
      </c>
      <c r="G1929" s="213" t="s">
        <v>821</v>
      </c>
      <c r="H1929" s="207" t="s">
        <v>3473</v>
      </c>
      <c r="I1929" s="156" t="s">
        <v>26</v>
      </c>
      <c r="J1929" s="204" t="s">
        <v>158</v>
      </c>
      <c r="K1929" s="207"/>
    </row>
    <row r="1930" spans="1:11" ht="66.75">
      <c r="A1930" s="204">
        <v>1928</v>
      </c>
      <c r="B1930" s="208">
        <v>45972</v>
      </c>
      <c r="C1930" s="267" t="s">
        <v>833</v>
      </c>
      <c r="D1930" s="204">
        <v>2025</v>
      </c>
      <c r="E1930" s="209" t="s">
        <v>2224</v>
      </c>
      <c r="F1930" s="209" t="s">
        <v>97</v>
      </c>
      <c r="G1930" s="213" t="s">
        <v>821</v>
      </c>
      <c r="H1930" s="211" t="s">
        <v>3474</v>
      </c>
      <c r="I1930" s="156" t="s">
        <v>26</v>
      </c>
      <c r="J1930" s="209" t="s">
        <v>158</v>
      </c>
      <c r="K1930" s="211"/>
    </row>
    <row r="1931" spans="1:11" ht="134.25">
      <c r="A1931" s="204">
        <v>1929</v>
      </c>
      <c r="B1931" s="205">
        <v>45972</v>
      </c>
      <c r="C1931" s="267" t="s">
        <v>833</v>
      </c>
      <c r="D1931" s="204">
        <v>2025</v>
      </c>
      <c r="E1931" s="204" t="s">
        <v>1431</v>
      </c>
      <c r="F1931" s="204" t="s">
        <v>1608</v>
      </c>
      <c r="G1931" s="212" t="s">
        <v>1439</v>
      </c>
      <c r="H1931" s="207" t="s">
        <v>3475</v>
      </c>
      <c r="I1931" s="156" t="s">
        <v>26</v>
      </c>
      <c r="J1931" s="204" t="s">
        <v>1458</v>
      </c>
      <c r="K1931" s="207" t="s">
        <v>1442</v>
      </c>
    </row>
    <row r="1932" spans="1:11" ht="134.25">
      <c r="A1932" s="204">
        <v>1930</v>
      </c>
      <c r="B1932" s="208">
        <v>45972</v>
      </c>
      <c r="C1932" s="267" t="s">
        <v>833</v>
      </c>
      <c r="D1932" s="204">
        <v>2025</v>
      </c>
      <c r="E1932" s="209" t="s">
        <v>1431</v>
      </c>
      <c r="F1932" s="209" t="s">
        <v>1608</v>
      </c>
      <c r="G1932" s="212" t="s">
        <v>1439</v>
      </c>
      <c r="H1932" s="211" t="s">
        <v>3476</v>
      </c>
      <c r="I1932" s="156" t="s">
        <v>26</v>
      </c>
      <c r="J1932" s="209" t="s">
        <v>1458</v>
      </c>
      <c r="K1932" s="211" t="s">
        <v>1442</v>
      </c>
    </row>
    <row r="1933" spans="1:11" ht="134.25">
      <c r="A1933" s="204">
        <v>1931</v>
      </c>
      <c r="B1933" s="205">
        <v>45972</v>
      </c>
      <c r="C1933" s="267" t="s">
        <v>833</v>
      </c>
      <c r="D1933" s="204">
        <v>2025</v>
      </c>
      <c r="E1933" s="204" t="s">
        <v>1431</v>
      </c>
      <c r="F1933" s="204" t="s">
        <v>1608</v>
      </c>
      <c r="G1933" s="212" t="s">
        <v>1439</v>
      </c>
      <c r="H1933" s="207" t="s">
        <v>3477</v>
      </c>
      <c r="I1933" s="156" t="s">
        <v>26</v>
      </c>
      <c r="J1933" s="204" t="s">
        <v>1458</v>
      </c>
      <c r="K1933" s="207" t="s">
        <v>1442</v>
      </c>
    </row>
    <row r="1934" spans="1:11" ht="117">
      <c r="A1934" s="204">
        <v>1932</v>
      </c>
      <c r="B1934" s="208">
        <v>45972</v>
      </c>
      <c r="C1934" s="267" t="s">
        <v>833</v>
      </c>
      <c r="D1934" s="204">
        <v>2025</v>
      </c>
      <c r="E1934" s="209" t="s">
        <v>1431</v>
      </c>
      <c r="F1934" s="209" t="s">
        <v>2591</v>
      </c>
      <c r="G1934" s="210" t="s">
        <v>88</v>
      </c>
      <c r="H1934" s="211" t="s">
        <v>3478</v>
      </c>
      <c r="I1934" s="156" t="s">
        <v>26</v>
      </c>
      <c r="J1934" s="209" t="s">
        <v>2593</v>
      </c>
      <c r="K1934" s="211" t="s">
        <v>1559</v>
      </c>
    </row>
    <row r="1935" spans="1:11" ht="33.75">
      <c r="A1935" s="204">
        <v>1933</v>
      </c>
      <c r="B1935" s="205">
        <v>45972</v>
      </c>
      <c r="C1935" s="267" t="s">
        <v>833</v>
      </c>
      <c r="D1935" s="204">
        <v>2025</v>
      </c>
      <c r="E1935" s="204" t="s">
        <v>1431</v>
      </c>
      <c r="F1935" s="204" t="s">
        <v>2591</v>
      </c>
      <c r="G1935" s="206" t="s">
        <v>88</v>
      </c>
      <c r="H1935" s="219" t="s">
        <v>3479</v>
      </c>
      <c r="I1935" s="156" t="s">
        <v>26</v>
      </c>
      <c r="J1935" s="204" t="s">
        <v>2593</v>
      </c>
      <c r="K1935" s="207"/>
    </row>
    <row r="1936" spans="1:11" ht="100.5">
      <c r="A1936" s="204">
        <v>1934</v>
      </c>
      <c r="B1936" s="208">
        <v>45972</v>
      </c>
      <c r="C1936" s="267" t="s">
        <v>833</v>
      </c>
      <c r="D1936" s="204">
        <v>2025</v>
      </c>
      <c r="E1936" s="209" t="s">
        <v>1431</v>
      </c>
      <c r="F1936" s="209" t="s">
        <v>2591</v>
      </c>
      <c r="G1936" s="210" t="s">
        <v>88</v>
      </c>
      <c r="H1936" s="218" t="s">
        <v>3480</v>
      </c>
      <c r="I1936" s="156" t="s">
        <v>26</v>
      </c>
      <c r="J1936" s="209" t="s">
        <v>2593</v>
      </c>
      <c r="K1936" s="211" t="s">
        <v>1472</v>
      </c>
    </row>
    <row r="1937" spans="1:11" ht="117">
      <c r="A1937" s="204">
        <v>1935</v>
      </c>
      <c r="B1937" s="205">
        <v>45972</v>
      </c>
      <c r="C1937" s="267" t="s">
        <v>833</v>
      </c>
      <c r="D1937" s="204">
        <v>2025</v>
      </c>
      <c r="E1937" s="204" t="s">
        <v>1431</v>
      </c>
      <c r="F1937" s="204" t="s">
        <v>2591</v>
      </c>
      <c r="G1937" s="206" t="s">
        <v>88</v>
      </c>
      <c r="H1937" s="219" t="s">
        <v>3481</v>
      </c>
      <c r="I1937" s="156" t="s">
        <v>26</v>
      </c>
      <c r="J1937" s="204" t="s">
        <v>2593</v>
      </c>
      <c r="K1937" s="207" t="s">
        <v>1522</v>
      </c>
    </row>
    <row r="1938" spans="1:11" ht="117">
      <c r="A1938" s="204">
        <v>1936</v>
      </c>
      <c r="B1938" s="208">
        <v>45972</v>
      </c>
      <c r="C1938" s="267" t="s">
        <v>833</v>
      </c>
      <c r="D1938" s="204">
        <v>2025</v>
      </c>
      <c r="E1938" s="209" t="s">
        <v>1431</v>
      </c>
      <c r="F1938" s="209" t="s">
        <v>2591</v>
      </c>
      <c r="G1938" s="210" t="s">
        <v>88</v>
      </c>
      <c r="H1938" s="218" t="s">
        <v>3482</v>
      </c>
      <c r="I1938" s="156" t="s">
        <v>26</v>
      </c>
      <c r="J1938" s="209" t="s">
        <v>2593</v>
      </c>
      <c r="K1938" s="211" t="s">
        <v>1510</v>
      </c>
    </row>
    <row r="1939" spans="1:11" ht="66.75">
      <c r="A1939" s="204">
        <v>1937</v>
      </c>
      <c r="B1939" s="205">
        <v>45972</v>
      </c>
      <c r="C1939" s="267" t="s">
        <v>833</v>
      </c>
      <c r="D1939" s="204">
        <v>2025</v>
      </c>
      <c r="E1939" s="204" t="s">
        <v>1431</v>
      </c>
      <c r="F1939" s="204" t="s">
        <v>2591</v>
      </c>
      <c r="G1939" s="206" t="s">
        <v>88</v>
      </c>
      <c r="H1939" s="219" t="s">
        <v>3483</v>
      </c>
      <c r="I1939" s="156" t="s">
        <v>26</v>
      </c>
      <c r="J1939" s="204" t="s">
        <v>2593</v>
      </c>
      <c r="K1939" s="207"/>
    </row>
    <row r="1940" spans="1:11" ht="50.25">
      <c r="A1940" s="204">
        <v>1938</v>
      </c>
      <c r="B1940" s="208">
        <v>45972</v>
      </c>
      <c r="C1940" s="267" t="s">
        <v>833</v>
      </c>
      <c r="D1940" s="204">
        <v>2025</v>
      </c>
      <c r="E1940" s="209" t="s">
        <v>1431</v>
      </c>
      <c r="F1940" s="209" t="s">
        <v>2591</v>
      </c>
      <c r="G1940" s="213" t="s">
        <v>821</v>
      </c>
      <c r="H1940" s="218" t="s">
        <v>3484</v>
      </c>
      <c r="I1940" s="156" t="s">
        <v>26</v>
      </c>
      <c r="J1940" s="209" t="s">
        <v>2593</v>
      </c>
      <c r="K1940" s="211"/>
    </row>
    <row r="1941" spans="1:11" ht="84">
      <c r="A1941" s="204">
        <v>1939</v>
      </c>
      <c r="B1941" s="205">
        <v>45972</v>
      </c>
      <c r="C1941" s="267" t="s">
        <v>833</v>
      </c>
      <c r="D1941" s="204">
        <v>2025</v>
      </c>
      <c r="E1941" s="204" t="s">
        <v>1431</v>
      </c>
      <c r="F1941" s="204" t="s">
        <v>2591</v>
      </c>
      <c r="G1941" s="215" t="s">
        <v>872</v>
      </c>
      <c r="H1941" s="219" t="s">
        <v>3485</v>
      </c>
      <c r="I1941" s="156" t="s">
        <v>26</v>
      </c>
      <c r="J1941" s="204" t="s">
        <v>2593</v>
      </c>
      <c r="K1941" s="207" t="s">
        <v>1500</v>
      </c>
    </row>
    <row r="1942" spans="1:11" ht="117">
      <c r="A1942" s="204">
        <v>1940</v>
      </c>
      <c r="B1942" s="208">
        <v>45972</v>
      </c>
      <c r="C1942" s="267" t="s">
        <v>833</v>
      </c>
      <c r="D1942" s="204">
        <v>2025</v>
      </c>
      <c r="E1942" s="209" t="s">
        <v>1431</v>
      </c>
      <c r="F1942" s="209" t="s">
        <v>2591</v>
      </c>
      <c r="G1942" s="210" t="s">
        <v>88</v>
      </c>
      <c r="H1942" s="218" t="s">
        <v>3486</v>
      </c>
      <c r="I1942" s="156" t="s">
        <v>26</v>
      </c>
      <c r="J1942" s="209" t="s">
        <v>2593</v>
      </c>
      <c r="K1942" s="211" t="s">
        <v>1500</v>
      </c>
    </row>
    <row r="1943" spans="1:11" ht="33.75">
      <c r="A1943" s="204">
        <v>1941</v>
      </c>
      <c r="B1943" s="205">
        <v>45972</v>
      </c>
      <c r="C1943" s="267" t="s">
        <v>833</v>
      </c>
      <c r="D1943" s="204">
        <v>2025</v>
      </c>
      <c r="E1943" s="204" t="s">
        <v>1431</v>
      </c>
      <c r="F1943" s="204" t="s">
        <v>1566</v>
      </c>
      <c r="G1943" s="206" t="s">
        <v>88</v>
      </c>
      <c r="H1943" s="207" t="s">
        <v>3487</v>
      </c>
      <c r="I1943" s="156" t="s">
        <v>26</v>
      </c>
      <c r="J1943" s="204" t="s">
        <v>1453</v>
      </c>
      <c r="K1943" s="207"/>
    </row>
    <row r="1944" spans="1:11" ht="84">
      <c r="A1944" s="204">
        <v>1942</v>
      </c>
      <c r="B1944" s="208">
        <v>45972</v>
      </c>
      <c r="C1944" s="267" t="s">
        <v>833</v>
      </c>
      <c r="D1944" s="204">
        <v>2025</v>
      </c>
      <c r="E1944" s="209" t="s">
        <v>1431</v>
      </c>
      <c r="F1944" s="209" t="s">
        <v>1566</v>
      </c>
      <c r="G1944" s="210" t="s">
        <v>88</v>
      </c>
      <c r="H1944" s="211" t="s">
        <v>3488</v>
      </c>
      <c r="I1944" s="156" t="s">
        <v>26</v>
      </c>
      <c r="J1944" s="209" t="s">
        <v>1453</v>
      </c>
      <c r="K1944" s="211" t="s">
        <v>1500</v>
      </c>
    </row>
    <row r="1945" spans="1:11" ht="66.75">
      <c r="A1945" s="204">
        <v>1943</v>
      </c>
      <c r="B1945" s="205">
        <v>45972</v>
      </c>
      <c r="C1945" s="267" t="s">
        <v>833</v>
      </c>
      <c r="D1945" s="204">
        <v>2025</v>
      </c>
      <c r="E1945" s="204" t="s">
        <v>1431</v>
      </c>
      <c r="F1945" s="204" t="s">
        <v>1566</v>
      </c>
      <c r="G1945" s="206" t="s">
        <v>88</v>
      </c>
      <c r="H1945" s="207" t="s">
        <v>3489</v>
      </c>
      <c r="I1945" s="156" t="s">
        <v>26</v>
      </c>
      <c r="J1945" s="204" t="s">
        <v>1453</v>
      </c>
      <c r="K1945" s="207"/>
    </row>
    <row r="1946" spans="1:11" ht="100.5">
      <c r="A1946" s="204">
        <v>1944</v>
      </c>
      <c r="B1946" s="208">
        <v>45973</v>
      </c>
      <c r="C1946" s="267" t="s">
        <v>833</v>
      </c>
      <c r="D1946" s="204">
        <v>2025</v>
      </c>
      <c r="E1946" s="209" t="s">
        <v>1431</v>
      </c>
      <c r="F1946" s="209" t="s">
        <v>1449</v>
      </c>
      <c r="G1946" s="217" t="s">
        <v>859</v>
      </c>
      <c r="H1946" s="211" t="s">
        <v>3490</v>
      </c>
      <c r="I1946" s="156" t="s">
        <v>26</v>
      </c>
      <c r="J1946" s="209" t="s">
        <v>3491</v>
      </c>
      <c r="K1946" s="211"/>
    </row>
    <row r="1947" spans="1:11" ht="66.75">
      <c r="A1947" s="204">
        <v>1945</v>
      </c>
      <c r="B1947" s="205">
        <v>45973</v>
      </c>
      <c r="C1947" s="267" t="s">
        <v>833</v>
      </c>
      <c r="D1947" s="204">
        <v>2025</v>
      </c>
      <c r="E1947" s="204" t="s">
        <v>1431</v>
      </c>
      <c r="F1947" s="204" t="s">
        <v>3011</v>
      </c>
      <c r="G1947" s="214" t="s">
        <v>859</v>
      </c>
      <c r="H1947" s="207" t="s">
        <v>3492</v>
      </c>
      <c r="I1947" s="156" t="s">
        <v>26</v>
      </c>
      <c r="J1947" s="204" t="s">
        <v>2599</v>
      </c>
      <c r="K1947" s="207"/>
    </row>
    <row r="1948" spans="1:11" ht="117">
      <c r="A1948" s="204">
        <v>1946</v>
      </c>
      <c r="B1948" s="208">
        <v>45973</v>
      </c>
      <c r="C1948" s="267" t="s">
        <v>833</v>
      </c>
      <c r="D1948" s="204">
        <v>2025</v>
      </c>
      <c r="E1948" s="209" t="s">
        <v>1431</v>
      </c>
      <c r="F1948" s="209" t="s">
        <v>21</v>
      </c>
      <c r="G1948" s="213" t="s">
        <v>821</v>
      </c>
      <c r="H1948" s="211" t="s">
        <v>3493</v>
      </c>
      <c r="I1948" s="156" t="s">
        <v>26</v>
      </c>
      <c r="J1948" s="209" t="s">
        <v>149</v>
      </c>
      <c r="K1948" s="211" t="s">
        <v>1482</v>
      </c>
    </row>
    <row r="1949" spans="1:11" ht="117">
      <c r="A1949" s="204">
        <v>1947</v>
      </c>
      <c r="B1949" s="205">
        <v>45973</v>
      </c>
      <c r="C1949" s="267" t="s">
        <v>833</v>
      </c>
      <c r="D1949" s="204">
        <v>2025</v>
      </c>
      <c r="E1949" s="204" t="s">
        <v>1431</v>
      </c>
      <c r="F1949" s="204" t="s">
        <v>2591</v>
      </c>
      <c r="G1949" s="206" t="s">
        <v>88</v>
      </c>
      <c r="H1949" s="207" t="s">
        <v>3494</v>
      </c>
      <c r="I1949" s="156" t="s">
        <v>26</v>
      </c>
      <c r="J1949" s="204" t="s">
        <v>2593</v>
      </c>
      <c r="K1949" s="207" t="s">
        <v>1559</v>
      </c>
    </row>
    <row r="1950" spans="1:11" ht="100.5">
      <c r="A1950" s="204">
        <v>1948</v>
      </c>
      <c r="B1950" s="208">
        <v>45973</v>
      </c>
      <c r="C1950" s="267" t="s">
        <v>833</v>
      </c>
      <c r="D1950" s="204">
        <v>2025</v>
      </c>
      <c r="E1950" s="209" t="s">
        <v>1431</v>
      </c>
      <c r="F1950" s="209" t="s">
        <v>2591</v>
      </c>
      <c r="G1950" s="210" t="s">
        <v>88</v>
      </c>
      <c r="H1950" s="218" t="s">
        <v>3495</v>
      </c>
      <c r="I1950" s="156" t="s">
        <v>26</v>
      </c>
      <c r="J1950" s="209" t="s">
        <v>2593</v>
      </c>
      <c r="K1950" s="211" t="s">
        <v>1472</v>
      </c>
    </row>
    <row r="1951" spans="1:11" ht="66.75">
      <c r="A1951" s="204">
        <v>1949</v>
      </c>
      <c r="B1951" s="205">
        <v>45973</v>
      </c>
      <c r="C1951" s="267" t="s">
        <v>833</v>
      </c>
      <c r="D1951" s="204">
        <v>2025</v>
      </c>
      <c r="E1951" s="204" t="s">
        <v>1431</v>
      </c>
      <c r="F1951" s="204" t="s">
        <v>2591</v>
      </c>
      <c r="G1951" s="206" t="s">
        <v>88</v>
      </c>
      <c r="H1951" s="219" t="s">
        <v>3496</v>
      </c>
      <c r="I1951" s="156" t="s">
        <v>26</v>
      </c>
      <c r="J1951" s="204" t="s">
        <v>2593</v>
      </c>
      <c r="K1951" s="207"/>
    </row>
    <row r="1952" spans="1:11" ht="117">
      <c r="A1952" s="204">
        <v>1950</v>
      </c>
      <c r="B1952" s="208">
        <v>45973</v>
      </c>
      <c r="C1952" s="267" t="s">
        <v>833</v>
      </c>
      <c r="D1952" s="204">
        <v>2025</v>
      </c>
      <c r="E1952" s="209" t="s">
        <v>1431</v>
      </c>
      <c r="F1952" s="209" t="s">
        <v>2591</v>
      </c>
      <c r="G1952" s="210" t="s">
        <v>88</v>
      </c>
      <c r="H1952" s="218" t="s">
        <v>3497</v>
      </c>
      <c r="I1952" s="156" t="s">
        <v>26</v>
      </c>
      <c r="J1952" s="209" t="s">
        <v>2593</v>
      </c>
      <c r="K1952" s="211" t="s">
        <v>1522</v>
      </c>
    </row>
    <row r="1953" spans="1:11" ht="150.75">
      <c r="A1953" s="204">
        <v>1951</v>
      </c>
      <c r="B1953" s="205">
        <v>45973</v>
      </c>
      <c r="C1953" s="267" t="s">
        <v>833</v>
      </c>
      <c r="D1953" s="204">
        <v>2025</v>
      </c>
      <c r="E1953" s="204" t="s">
        <v>1431</v>
      </c>
      <c r="F1953" s="204" t="s">
        <v>2591</v>
      </c>
      <c r="G1953" s="206" t="s">
        <v>88</v>
      </c>
      <c r="H1953" s="219" t="s">
        <v>3498</v>
      </c>
      <c r="I1953" s="156" t="s">
        <v>26</v>
      </c>
      <c r="J1953" s="204" t="s">
        <v>2593</v>
      </c>
      <c r="K1953" s="207" t="s">
        <v>1472</v>
      </c>
    </row>
    <row r="1954" spans="1:11" ht="150.75">
      <c r="A1954" s="204">
        <v>1952</v>
      </c>
      <c r="B1954" s="208">
        <v>45973</v>
      </c>
      <c r="C1954" s="267" t="s">
        <v>833</v>
      </c>
      <c r="D1954" s="204">
        <v>2025</v>
      </c>
      <c r="E1954" s="209" t="s">
        <v>1431</v>
      </c>
      <c r="F1954" s="209" t="s">
        <v>1566</v>
      </c>
      <c r="G1954" s="210" t="s">
        <v>88</v>
      </c>
      <c r="H1954" s="211" t="s">
        <v>3499</v>
      </c>
      <c r="I1954" s="156" t="s">
        <v>26</v>
      </c>
      <c r="J1954" s="209" t="s">
        <v>1453</v>
      </c>
      <c r="K1954" s="211" t="s">
        <v>1559</v>
      </c>
    </row>
    <row r="1955" spans="1:11" ht="33.75">
      <c r="A1955" s="204">
        <v>1953</v>
      </c>
      <c r="B1955" s="205">
        <v>45974</v>
      </c>
      <c r="C1955" s="267" t="s">
        <v>833</v>
      </c>
      <c r="D1955" s="204">
        <v>2025</v>
      </c>
      <c r="E1955" s="204" t="s">
        <v>1431</v>
      </c>
      <c r="F1955" s="204" t="s">
        <v>988</v>
      </c>
      <c r="G1955" s="206" t="s">
        <v>88</v>
      </c>
      <c r="H1955" s="207" t="s">
        <v>3500</v>
      </c>
      <c r="I1955" s="156" t="s">
        <v>26</v>
      </c>
      <c r="J1955" s="204" t="s">
        <v>3164</v>
      </c>
      <c r="K1955" s="207"/>
    </row>
    <row r="1956" spans="1:11" ht="100.5">
      <c r="A1956" s="204">
        <v>1954</v>
      </c>
      <c r="B1956" s="208">
        <v>45974</v>
      </c>
      <c r="C1956" s="267" t="s">
        <v>833</v>
      </c>
      <c r="D1956" s="204">
        <v>2025</v>
      </c>
      <c r="E1956" s="209" t="s">
        <v>1431</v>
      </c>
      <c r="F1956" s="209" t="s">
        <v>988</v>
      </c>
      <c r="G1956" s="210" t="s">
        <v>88</v>
      </c>
      <c r="H1956" s="211" t="s">
        <v>3501</v>
      </c>
      <c r="I1956" s="156" t="s">
        <v>26</v>
      </c>
      <c r="J1956" s="209" t="s">
        <v>3176</v>
      </c>
      <c r="K1956" s="211"/>
    </row>
    <row r="1957" spans="1:11" ht="50.25">
      <c r="A1957" s="204">
        <v>1955</v>
      </c>
      <c r="B1957" s="205">
        <v>45974</v>
      </c>
      <c r="C1957" s="267" t="s">
        <v>833</v>
      </c>
      <c r="D1957" s="204">
        <v>2025</v>
      </c>
      <c r="E1957" s="204" t="s">
        <v>1431</v>
      </c>
      <c r="F1957" s="204" t="s">
        <v>2244</v>
      </c>
      <c r="G1957" s="212" t="s">
        <v>1439</v>
      </c>
      <c r="H1957" s="207" t="s">
        <v>3502</v>
      </c>
      <c r="I1957" s="156" t="s">
        <v>26</v>
      </c>
      <c r="J1957" s="204" t="s">
        <v>925</v>
      </c>
      <c r="K1957" s="207"/>
    </row>
    <row r="1958" spans="1:11" ht="84">
      <c r="A1958" s="204">
        <v>1956</v>
      </c>
      <c r="B1958" s="208">
        <v>45974</v>
      </c>
      <c r="C1958" s="267" t="s">
        <v>833</v>
      </c>
      <c r="D1958" s="204">
        <v>2025</v>
      </c>
      <c r="E1958" s="209" t="s">
        <v>1431</v>
      </c>
      <c r="F1958" s="209" t="s">
        <v>377</v>
      </c>
      <c r="G1958" s="210" t="s">
        <v>88</v>
      </c>
      <c r="H1958" s="211" t="s">
        <v>3503</v>
      </c>
      <c r="I1958" s="156" t="s">
        <v>26</v>
      </c>
      <c r="J1958" s="209" t="s">
        <v>1904</v>
      </c>
      <c r="K1958" s="211" t="s">
        <v>1500</v>
      </c>
    </row>
    <row r="1959" spans="1:11" ht="50.25">
      <c r="A1959" s="204">
        <v>1957</v>
      </c>
      <c r="B1959" s="205">
        <v>45974</v>
      </c>
      <c r="C1959" s="267" t="s">
        <v>833</v>
      </c>
      <c r="D1959" s="204">
        <v>2025</v>
      </c>
      <c r="E1959" s="204" t="s">
        <v>1431</v>
      </c>
      <c r="F1959" s="204" t="s">
        <v>1506</v>
      </c>
      <c r="G1959" s="206" t="s">
        <v>88</v>
      </c>
      <c r="H1959" s="207" t="s">
        <v>3504</v>
      </c>
      <c r="I1959" s="156" t="s">
        <v>26</v>
      </c>
      <c r="J1959" s="204" t="s">
        <v>1904</v>
      </c>
      <c r="K1959" s="207"/>
    </row>
    <row r="1960" spans="1:11" ht="50.25">
      <c r="A1960" s="204">
        <v>1958</v>
      </c>
      <c r="B1960" s="208">
        <v>45974</v>
      </c>
      <c r="C1960" s="267" t="s">
        <v>833</v>
      </c>
      <c r="D1960" s="204">
        <v>2025</v>
      </c>
      <c r="E1960" s="209" t="s">
        <v>1431</v>
      </c>
      <c r="F1960" s="209" t="s">
        <v>216</v>
      </c>
      <c r="G1960" s="213" t="s">
        <v>821</v>
      </c>
      <c r="H1960" s="211" t="s">
        <v>3505</v>
      </c>
      <c r="I1960" s="156" t="s">
        <v>26</v>
      </c>
      <c r="J1960" s="209" t="s">
        <v>492</v>
      </c>
      <c r="K1960" s="211"/>
    </row>
    <row r="1961" spans="1:11" ht="100.5">
      <c r="A1961" s="204">
        <v>1959</v>
      </c>
      <c r="B1961" s="205">
        <v>45974</v>
      </c>
      <c r="C1961" s="267" t="s">
        <v>833</v>
      </c>
      <c r="D1961" s="204">
        <v>2025</v>
      </c>
      <c r="E1961" s="204" t="s">
        <v>1431</v>
      </c>
      <c r="F1961" s="204" t="s">
        <v>2591</v>
      </c>
      <c r="G1961" s="206" t="s">
        <v>88</v>
      </c>
      <c r="H1961" s="219" t="s">
        <v>3506</v>
      </c>
      <c r="I1961" s="156" t="s">
        <v>26</v>
      </c>
      <c r="J1961" s="204" t="s">
        <v>2593</v>
      </c>
      <c r="K1961" s="207" t="s">
        <v>1472</v>
      </c>
    </row>
    <row r="1962" spans="1:11" ht="84">
      <c r="A1962" s="204">
        <v>1960</v>
      </c>
      <c r="B1962" s="208">
        <v>45974</v>
      </c>
      <c r="C1962" s="267" t="s">
        <v>833</v>
      </c>
      <c r="D1962" s="204">
        <v>2025</v>
      </c>
      <c r="E1962" s="209" t="s">
        <v>1431</v>
      </c>
      <c r="F1962" s="209" t="s">
        <v>2591</v>
      </c>
      <c r="G1962" s="210" t="s">
        <v>88</v>
      </c>
      <c r="H1962" s="218" t="s">
        <v>3507</v>
      </c>
      <c r="I1962" s="156" t="s">
        <v>26</v>
      </c>
      <c r="J1962" s="209" t="s">
        <v>2593</v>
      </c>
      <c r="K1962" s="211"/>
    </row>
    <row r="1963" spans="1:11" ht="84">
      <c r="A1963" s="204">
        <v>1961</v>
      </c>
      <c r="B1963" s="205">
        <v>45974</v>
      </c>
      <c r="C1963" s="267" t="s">
        <v>833</v>
      </c>
      <c r="D1963" s="204">
        <v>2025</v>
      </c>
      <c r="E1963" s="204" t="s">
        <v>1431</v>
      </c>
      <c r="F1963" s="204" t="s">
        <v>2591</v>
      </c>
      <c r="G1963" s="206" t="s">
        <v>88</v>
      </c>
      <c r="H1963" s="219" t="s">
        <v>3508</v>
      </c>
      <c r="I1963" s="156" t="s">
        <v>26</v>
      </c>
      <c r="J1963" s="204" t="s">
        <v>2593</v>
      </c>
      <c r="K1963" s="207" t="s">
        <v>1500</v>
      </c>
    </row>
    <row r="1964" spans="1:11" ht="84">
      <c r="A1964" s="204">
        <v>1962</v>
      </c>
      <c r="B1964" s="208">
        <v>45974</v>
      </c>
      <c r="C1964" s="267" t="s">
        <v>833</v>
      </c>
      <c r="D1964" s="204">
        <v>2025</v>
      </c>
      <c r="E1964" s="209" t="s">
        <v>1431</v>
      </c>
      <c r="F1964" s="209" t="s">
        <v>2591</v>
      </c>
      <c r="G1964" s="210" t="s">
        <v>88</v>
      </c>
      <c r="H1964" s="218" t="s">
        <v>3509</v>
      </c>
      <c r="I1964" s="156" t="s">
        <v>26</v>
      </c>
      <c r="J1964" s="209" t="s">
        <v>2593</v>
      </c>
      <c r="K1964" s="211" t="s">
        <v>1500</v>
      </c>
    </row>
    <row r="1965" spans="1:11" ht="100.5">
      <c r="A1965" s="204">
        <v>1963</v>
      </c>
      <c r="B1965" s="205">
        <v>45974</v>
      </c>
      <c r="C1965" s="267" t="s">
        <v>833</v>
      </c>
      <c r="D1965" s="204">
        <v>2025</v>
      </c>
      <c r="E1965" s="204" t="s">
        <v>1431</v>
      </c>
      <c r="F1965" s="204" t="s">
        <v>1566</v>
      </c>
      <c r="G1965" s="206" t="s">
        <v>88</v>
      </c>
      <c r="H1965" s="207" t="s">
        <v>3510</v>
      </c>
      <c r="I1965" s="156" t="s">
        <v>26</v>
      </c>
      <c r="J1965" s="204" t="s">
        <v>1453</v>
      </c>
      <c r="K1965" s="207" t="s">
        <v>1478</v>
      </c>
    </row>
    <row r="1966" spans="1:11" ht="84">
      <c r="A1966" s="204">
        <v>1964</v>
      </c>
      <c r="B1966" s="208">
        <v>45974</v>
      </c>
      <c r="C1966" s="267" t="s">
        <v>833</v>
      </c>
      <c r="D1966" s="204">
        <v>2025</v>
      </c>
      <c r="E1966" s="209" t="s">
        <v>1431</v>
      </c>
      <c r="F1966" s="209" t="s">
        <v>1566</v>
      </c>
      <c r="G1966" s="210" t="s">
        <v>88</v>
      </c>
      <c r="H1966" s="211" t="s">
        <v>3511</v>
      </c>
      <c r="I1966" s="156" t="s">
        <v>26</v>
      </c>
      <c r="J1966" s="209" t="s">
        <v>1453</v>
      </c>
      <c r="K1966" s="211" t="s">
        <v>1500</v>
      </c>
    </row>
    <row r="1967" spans="1:11" ht="100.5">
      <c r="A1967" s="204">
        <v>1965</v>
      </c>
      <c r="B1967" s="205">
        <v>45974</v>
      </c>
      <c r="C1967" s="267" t="s">
        <v>833</v>
      </c>
      <c r="D1967" s="204">
        <v>2025</v>
      </c>
      <c r="E1967" s="204" t="s">
        <v>1431</v>
      </c>
      <c r="F1967" s="204" t="s">
        <v>1566</v>
      </c>
      <c r="G1967" s="206" t="s">
        <v>88</v>
      </c>
      <c r="H1967" s="207" t="s">
        <v>3512</v>
      </c>
      <c r="I1967" s="156" t="s">
        <v>26</v>
      </c>
      <c r="J1967" s="204" t="s">
        <v>1453</v>
      </c>
      <c r="K1967" s="207" t="s">
        <v>1454</v>
      </c>
    </row>
    <row r="1968" spans="1:11" ht="100.5">
      <c r="A1968" s="204">
        <v>1966</v>
      </c>
      <c r="B1968" s="208">
        <v>45974</v>
      </c>
      <c r="C1968" s="267" t="s">
        <v>833</v>
      </c>
      <c r="D1968" s="204">
        <v>2025</v>
      </c>
      <c r="E1968" s="209" t="s">
        <v>1431</v>
      </c>
      <c r="F1968" s="209" t="s">
        <v>1566</v>
      </c>
      <c r="G1968" s="210" t="s">
        <v>88</v>
      </c>
      <c r="H1968" s="211" t="s">
        <v>3513</v>
      </c>
      <c r="I1968" s="156" t="s">
        <v>26</v>
      </c>
      <c r="J1968" s="209" t="s">
        <v>1453</v>
      </c>
      <c r="K1968" s="211" t="s">
        <v>1454</v>
      </c>
    </row>
    <row r="1969" spans="1:11" ht="33.75">
      <c r="A1969" s="204">
        <v>1967</v>
      </c>
      <c r="B1969" s="205">
        <v>45975</v>
      </c>
      <c r="C1969" s="267" t="s">
        <v>833</v>
      </c>
      <c r="D1969" s="204">
        <v>2025</v>
      </c>
      <c r="E1969" s="204" t="s">
        <v>1431</v>
      </c>
      <c r="F1969" s="204" t="s">
        <v>21</v>
      </c>
      <c r="G1969" s="213" t="s">
        <v>821</v>
      </c>
      <c r="H1969" s="207" t="s">
        <v>3514</v>
      </c>
      <c r="I1969" s="156" t="s">
        <v>26</v>
      </c>
      <c r="J1969" s="204" t="s">
        <v>149</v>
      </c>
      <c r="K1969" s="207"/>
    </row>
    <row r="1970" spans="1:11" ht="100.5">
      <c r="A1970" s="204">
        <v>1968</v>
      </c>
      <c r="B1970" s="208">
        <v>45975</v>
      </c>
      <c r="C1970" s="267" t="s">
        <v>833</v>
      </c>
      <c r="D1970" s="204">
        <v>2025</v>
      </c>
      <c r="E1970" s="209" t="s">
        <v>1431</v>
      </c>
      <c r="F1970" s="209" t="s">
        <v>988</v>
      </c>
      <c r="G1970" s="210" t="s">
        <v>88</v>
      </c>
      <c r="H1970" s="211" t="s">
        <v>3515</v>
      </c>
      <c r="I1970" s="156" t="s">
        <v>26</v>
      </c>
      <c r="J1970" s="209" t="s">
        <v>3516</v>
      </c>
      <c r="K1970" s="211" t="s">
        <v>1472</v>
      </c>
    </row>
    <row r="1971" spans="1:11" ht="150.75">
      <c r="A1971" s="204">
        <v>1969</v>
      </c>
      <c r="B1971" s="205">
        <v>45975</v>
      </c>
      <c r="C1971" s="267" t="s">
        <v>833</v>
      </c>
      <c r="D1971" s="204">
        <v>2025</v>
      </c>
      <c r="E1971" s="204" t="s">
        <v>1431</v>
      </c>
      <c r="F1971" s="204" t="s">
        <v>216</v>
      </c>
      <c r="G1971" s="213" t="s">
        <v>821</v>
      </c>
      <c r="H1971" s="207" t="s">
        <v>3517</v>
      </c>
      <c r="I1971" s="156" t="s">
        <v>26</v>
      </c>
      <c r="J1971" s="204" t="s">
        <v>492</v>
      </c>
      <c r="K1971" s="207" t="s">
        <v>1513</v>
      </c>
    </row>
    <row r="1972" spans="1:11" ht="117">
      <c r="A1972" s="204">
        <v>1970</v>
      </c>
      <c r="B1972" s="208">
        <v>45975</v>
      </c>
      <c r="C1972" s="267" t="s">
        <v>833</v>
      </c>
      <c r="D1972" s="204">
        <v>2025</v>
      </c>
      <c r="E1972" s="209" t="s">
        <v>1431</v>
      </c>
      <c r="F1972" s="209" t="s">
        <v>2591</v>
      </c>
      <c r="G1972" s="210" t="s">
        <v>88</v>
      </c>
      <c r="H1972" s="211" t="s">
        <v>3518</v>
      </c>
      <c r="I1972" s="156" t="s">
        <v>26</v>
      </c>
      <c r="J1972" s="209" t="s">
        <v>2593</v>
      </c>
      <c r="K1972" s="211" t="s">
        <v>1559</v>
      </c>
    </row>
    <row r="1973" spans="1:11" ht="50.25">
      <c r="A1973" s="204">
        <v>1971</v>
      </c>
      <c r="B1973" s="205">
        <v>45975</v>
      </c>
      <c r="C1973" s="267" t="s">
        <v>833</v>
      </c>
      <c r="D1973" s="204">
        <v>2025</v>
      </c>
      <c r="E1973" s="204" t="s">
        <v>1431</v>
      </c>
      <c r="F1973" s="204" t="s">
        <v>2591</v>
      </c>
      <c r="G1973" s="206" t="s">
        <v>88</v>
      </c>
      <c r="H1973" s="207" t="s">
        <v>3519</v>
      </c>
      <c r="I1973" s="156" t="s">
        <v>26</v>
      </c>
      <c r="J1973" s="204" t="s">
        <v>2593</v>
      </c>
      <c r="K1973" s="207"/>
    </row>
    <row r="1974" spans="1:11" ht="100.5">
      <c r="A1974" s="204">
        <v>1972</v>
      </c>
      <c r="B1974" s="208">
        <v>45975</v>
      </c>
      <c r="C1974" s="267" t="s">
        <v>833</v>
      </c>
      <c r="D1974" s="204">
        <v>2025</v>
      </c>
      <c r="E1974" s="209" t="s">
        <v>1431</v>
      </c>
      <c r="F1974" s="209" t="s">
        <v>2591</v>
      </c>
      <c r="G1974" s="210" t="s">
        <v>88</v>
      </c>
      <c r="H1974" s="211" t="s">
        <v>3520</v>
      </c>
      <c r="I1974" s="156" t="s">
        <v>26</v>
      </c>
      <c r="J1974" s="209" t="s">
        <v>2593</v>
      </c>
      <c r="K1974" s="211" t="s">
        <v>1472</v>
      </c>
    </row>
    <row r="1975" spans="1:11" ht="150.75">
      <c r="A1975" s="204">
        <v>1973</v>
      </c>
      <c r="B1975" s="205">
        <v>45975</v>
      </c>
      <c r="C1975" s="267" t="s">
        <v>833</v>
      </c>
      <c r="D1975" s="204">
        <v>2025</v>
      </c>
      <c r="E1975" s="204" t="s">
        <v>1431</v>
      </c>
      <c r="F1975" s="204" t="s">
        <v>2591</v>
      </c>
      <c r="G1975" s="206" t="s">
        <v>88</v>
      </c>
      <c r="H1975" s="207" t="s">
        <v>3521</v>
      </c>
      <c r="I1975" s="156" t="s">
        <v>26</v>
      </c>
      <c r="J1975" s="204" t="s">
        <v>2593</v>
      </c>
      <c r="K1975" s="207"/>
    </row>
    <row r="1976" spans="1:11" ht="50.25">
      <c r="A1976" s="204">
        <v>1974</v>
      </c>
      <c r="B1976" s="208">
        <v>45975</v>
      </c>
      <c r="C1976" s="267" t="s">
        <v>833</v>
      </c>
      <c r="D1976" s="204">
        <v>2025</v>
      </c>
      <c r="E1976" s="209" t="s">
        <v>1431</v>
      </c>
      <c r="F1976" s="209" t="s">
        <v>2591</v>
      </c>
      <c r="G1976" s="210" t="s">
        <v>88</v>
      </c>
      <c r="H1976" s="211" t="s">
        <v>3522</v>
      </c>
      <c r="I1976" s="156" t="s">
        <v>26</v>
      </c>
      <c r="J1976" s="209" t="s">
        <v>2593</v>
      </c>
      <c r="K1976" s="211"/>
    </row>
    <row r="1977" spans="1:11" ht="50.25">
      <c r="A1977" s="204">
        <v>1975</v>
      </c>
      <c r="B1977" s="205">
        <v>45975</v>
      </c>
      <c r="C1977" s="267" t="s">
        <v>833</v>
      </c>
      <c r="D1977" s="204">
        <v>2025</v>
      </c>
      <c r="E1977" s="204" t="s">
        <v>1431</v>
      </c>
      <c r="F1977" s="204" t="s">
        <v>2591</v>
      </c>
      <c r="G1977" s="206" t="s">
        <v>88</v>
      </c>
      <c r="H1977" s="207" t="s">
        <v>3523</v>
      </c>
      <c r="I1977" s="156" t="s">
        <v>26</v>
      </c>
      <c r="J1977" s="204" t="s">
        <v>2593</v>
      </c>
      <c r="K1977" s="207"/>
    </row>
    <row r="1978" spans="1:11" ht="100.5">
      <c r="A1978" s="204">
        <v>1976</v>
      </c>
      <c r="B1978" s="208">
        <v>45975</v>
      </c>
      <c r="C1978" s="267" t="s">
        <v>833</v>
      </c>
      <c r="D1978" s="204">
        <v>2025</v>
      </c>
      <c r="E1978" s="209" t="s">
        <v>1431</v>
      </c>
      <c r="F1978" s="209" t="s">
        <v>2591</v>
      </c>
      <c r="G1978" s="210" t="s">
        <v>88</v>
      </c>
      <c r="H1978" s="211" t="s">
        <v>3524</v>
      </c>
      <c r="I1978" s="156" t="s">
        <v>26</v>
      </c>
      <c r="J1978" s="209" t="s">
        <v>2593</v>
      </c>
      <c r="K1978" s="211" t="s">
        <v>1472</v>
      </c>
    </row>
    <row r="1979" spans="1:11" ht="100.5">
      <c r="A1979" s="204">
        <v>1977</v>
      </c>
      <c r="B1979" s="205">
        <v>45975</v>
      </c>
      <c r="C1979" s="267" t="s">
        <v>833</v>
      </c>
      <c r="D1979" s="204">
        <v>2025</v>
      </c>
      <c r="E1979" s="204" t="s">
        <v>1431</v>
      </c>
      <c r="F1979" s="204" t="s">
        <v>2591</v>
      </c>
      <c r="G1979" s="214" t="s">
        <v>859</v>
      </c>
      <c r="H1979" s="207" t="s">
        <v>3525</v>
      </c>
      <c r="I1979" s="156" t="s">
        <v>26</v>
      </c>
      <c r="J1979" s="204" t="s">
        <v>2593</v>
      </c>
      <c r="K1979" s="207" t="s">
        <v>1476</v>
      </c>
    </row>
    <row r="1980" spans="1:11" ht="100.5">
      <c r="A1980" s="204">
        <v>1978</v>
      </c>
      <c r="B1980" s="208">
        <v>45975</v>
      </c>
      <c r="C1980" s="267" t="s">
        <v>833</v>
      </c>
      <c r="D1980" s="204">
        <v>2025</v>
      </c>
      <c r="E1980" s="209" t="s">
        <v>1431</v>
      </c>
      <c r="F1980" s="209" t="s">
        <v>1566</v>
      </c>
      <c r="G1980" s="210" t="s">
        <v>88</v>
      </c>
      <c r="H1980" s="211" t="s">
        <v>3526</v>
      </c>
      <c r="I1980" s="156" t="s">
        <v>26</v>
      </c>
      <c r="J1980" s="209" t="s">
        <v>1588</v>
      </c>
      <c r="K1980" s="211" t="s">
        <v>1478</v>
      </c>
    </row>
    <row r="1981" spans="1:11" ht="100.5">
      <c r="A1981" s="204">
        <v>1979</v>
      </c>
      <c r="B1981" s="205">
        <v>45975</v>
      </c>
      <c r="C1981" s="267" t="s">
        <v>833</v>
      </c>
      <c r="D1981" s="204">
        <v>2025</v>
      </c>
      <c r="E1981" s="204" t="s">
        <v>1431</v>
      </c>
      <c r="F1981" s="204" t="s">
        <v>1566</v>
      </c>
      <c r="G1981" s="206" t="s">
        <v>88</v>
      </c>
      <c r="H1981" s="207" t="s">
        <v>3527</v>
      </c>
      <c r="I1981" s="156" t="s">
        <v>26</v>
      </c>
      <c r="J1981" s="204" t="s">
        <v>1588</v>
      </c>
      <c r="K1981" s="207" t="s">
        <v>1478</v>
      </c>
    </row>
    <row r="1982" spans="1:11" ht="134.25">
      <c r="A1982" s="204">
        <v>1980</v>
      </c>
      <c r="B1982" s="208">
        <v>45975</v>
      </c>
      <c r="C1982" s="267" t="s">
        <v>833</v>
      </c>
      <c r="D1982" s="204">
        <v>2025</v>
      </c>
      <c r="E1982" s="209" t="s">
        <v>1431</v>
      </c>
      <c r="F1982" s="209" t="s">
        <v>1566</v>
      </c>
      <c r="G1982" s="210" t="s">
        <v>88</v>
      </c>
      <c r="H1982" s="211" t="s">
        <v>3528</v>
      </c>
      <c r="I1982" s="156" t="s">
        <v>26</v>
      </c>
      <c r="J1982" s="209" t="s">
        <v>1588</v>
      </c>
      <c r="K1982" s="211"/>
    </row>
    <row r="1983" spans="1:11" ht="150.75">
      <c r="A1983" s="204">
        <v>1981</v>
      </c>
      <c r="B1983" s="205">
        <v>45975</v>
      </c>
      <c r="C1983" s="267" t="s">
        <v>833</v>
      </c>
      <c r="D1983" s="204">
        <v>2025</v>
      </c>
      <c r="E1983" s="204" t="s">
        <v>1431</v>
      </c>
      <c r="F1983" s="204" t="s">
        <v>1566</v>
      </c>
      <c r="G1983" s="206" t="s">
        <v>88</v>
      </c>
      <c r="H1983" s="207" t="s">
        <v>3529</v>
      </c>
      <c r="I1983" s="156" t="s">
        <v>26</v>
      </c>
      <c r="J1983" s="204" t="s">
        <v>1588</v>
      </c>
      <c r="K1983" s="207" t="s">
        <v>1500</v>
      </c>
    </row>
    <row r="1984" spans="1:11" ht="66.75">
      <c r="A1984" s="204">
        <v>1982</v>
      </c>
      <c r="B1984" s="208">
        <v>45975</v>
      </c>
      <c r="C1984" s="267" t="s">
        <v>833</v>
      </c>
      <c r="D1984" s="204">
        <v>2025</v>
      </c>
      <c r="E1984" s="209" t="s">
        <v>1431</v>
      </c>
      <c r="F1984" s="209" t="s">
        <v>1506</v>
      </c>
      <c r="G1984" s="210" t="s">
        <v>88</v>
      </c>
      <c r="H1984" s="211" t="s">
        <v>3530</v>
      </c>
      <c r="I1984" s="156" t="s">
        <v>26</v>
      </c>
      <c r="J1984" s="209" t="s">
        <v>1904</v>
      </c>
      <c r="K1984" s="211"/>
    </row>
    <row r="1985" spans="1:11" ht="100.5">
      <c r="A1985" s="204">
        <v>1983</v>
      </c>
      <c r="B1985" s="205">
        <v>45975</v>
      </c>
      <c r="C1985" s="267" t="s">
        <v>833</v>
      </c>
      <c r="D1985" s="204">
        <v>2025</v>
      </c>
      <c r="E1985" s="204" t="s">
        <v>2224</v>
      </c>
      <c r="F1985" s="204" t="s">
        <v>2591</v>
      </c>
      <c r="G1985" s="214" t="s">
        <v>859</v>
      </c>
      <c r="H1985" s="219" t="s">
        <v>3531</v>
      </c>
      <c r="I1985" s="156" t="s">
        <v>26</v>
      </c>
      <c r="J1985" s="204" t="s">
        <v>2593</v>
      </c>
      <c r="K1985" s="207" t="s">
        <v>1476</v>
      </c>
    </row>
    <row r="1986" spans="1:11" ht="117">
      <c r="A1986" s="204">
        <v>1984</v>
      </c>
      <c r="B1986" s="208">
        <v>45975</v>
      </c>
      <c r="C1986" s="267" t="s">
        <v>833</v>
      </c>
      <c r="D1986" s="204">
        <v>2025</v>
      </c>
      <c r="E1986" s="209" t="s">
        <v>2224</v>
      </c>
      <c r="F1986" s="209" t="s">
        <v>2591</v>
      </c>
      <c r="G1986" s="210" t="s">
        <v>88</v>
      </c>
      <c r="H1986" s="218" t="s">
        <v>3532</v>
      </c>
      <c r="I1986" s="156" t="s">
        <v>26</v>
      </c>
      <c r="J1986" s="209" t="s">
        <v>2593</v>
      </c>
      <c r="K1986" s="211" t="s">
        <v>1437</v>
      </c>
    </row>
    <row r="1987" spans="1:11" ht="66.75">
      <c r="A1987" s="204">
        <v>1985</v>
      </c>
      <c r="B1987" s="205">
        <v>45975</v>
      </c>
      <c r="C1987" s="267" t="s">
        <v>833</v>
      </c>
      <c r="D1987" s="204">
        <v>2025</v>
      </c>
      <c r="E1987" s="204" t="s">
        <v>2224</v>
      </c>
      <c r="F1987" s="204" t="s">
        <v>21</v>
      </c>
      <c r="G1987" s="213" t="s">
        <v>821</v>
      </c>
      <c r="H1987" s="207" t="s">
        <v>3533</v>
      </c>
      <c r="I1987" s="156" t="s">
        <v>26</v>
      </c>
      <c r="J1987" s="204" t="s">
        <v>2568</v>
      </c>
      <c r="K1987" s="207"/>
    </row>
    <row r="1988" spans="1:11" ht="50.25">
      <c r="A1988" s="204">
        <v>1986</v>
      </c>
      <c r="B1988" s="208">
        <v>45978</v>
      </c>
      <c r="C1988" s="267" t="s">
        <v>833</v>
      </c>
      <c r="D1988" s="204">
        <v>2025</v>
      </c>
      <c r="E1988" s="209" t="s">
        <v>1431</v>
      </c>
      <c r="F1988" s="209" t="s">
        <v>21</v>
      </c>
      <c r="G1988" s="213" t="s">
        <v>821</v>
      </c>
      <c r="H1988" s="211" t="s">
        <v>3534</v>
      </c>
      <c r="I1988" s="156" t="s">
        <v>26</v>
      </c>
      <c r="J1988" s="209" t="s">
        <v>149</v>
      </c>
      <c r="K1988" s="211"/>
    </row>
    <row r="1989" spans="1:11" ht="150.75">
      <c r="A1989" s="204">
        <v>1987</v>
      </c>
      <c r="B1989" s="205">
        <v>45978</v>
      </c>
      <c r="C1989" s="267" t="s">
        <v>833</v>
      </c>
      <c r="D1989" s="204">
        <v>2025</v>
      </c>
      <c r="E1989" s="204" t="s">
        <v>1431</v>
      </c>
      <c r="F1989" s="204" t="s">
        <v>21</v>
      </c>
      <c r="G1989" s="213" t="s">
        <v>821</v>
      </c>
      <c r="H1989" s="207" t="s">
        <v>3535</v>
      </c>
      <c r="I1989" s="156" t="s">
        <v>26</v>
      </c>
      <c r="J1989" s="204" t="s">
        <v>149</v>
      </c>
      <c r="K1989" s="207" t="s">
        <v>1513</v>
      </c>
    </row>
    <row r="1990" spans="1:11" ht="84">
      <c r="A1990" s="204">
        <v>1988</v>
      </c>
      <c r="B1990" s="208">
        <v>45978</v>
      </c>
      <c r="C1990" s="267" t="s">
        <v>833</v>
      </c>
      <c r="D1990" s="204">
        <v>2025</v>
      </c>
      <c r="E1990" s="209" t="s">
        <v>1431</v>
      </c>
      <c r="F1990" s="209" t="s">
        <v>1506</v>
      </c>
      <c r="G1990" s="216" t="s">
        <v>872</v>
      </c>
      <c r="H1990" s="211" t="s">
        <v>3536</v>
      </c>
      <c r="I1990" s="156" t="s">
        <v>26</v>
      </c>
      <c r="J1990" s="209" t="s">
        <v>1904</v>
      </c>
      <c r="K1990" s="211" t="s">
        <v>1500</v>
      </c>
    </row>
    <row r="1991" spans="1:11" ht="50.25">
      <c r="A1991" s="204">
        <v>1989</v>
      </c>
      <c r="B1991" s="205">
        <v>45978</v>
      </c>
      <c r="C1991" s="267" t="s">
        <v>833</v>
      </c>
      <c r="D1991" s="204">
        <v>2025</v>
      </c>
      <c r="E1991" s="204" t="s">
        <v>1431</v>
      </c>
      <c r="F1991" s="204" t="s">
        <v>216</v>
      </c>
      <c r="G1991" s="213" t="s">
        <v>821</v>
      </c>
      <c r="H1991" s="207" t="s">
        <v>3537</v>
      </c>
      <c r="I1991" s="156" t="s">
        <v>26</v>
      </c>
      <c r="J1991" s="204" t="s">
        <v>492</v>
      </c>
      <c r="K1991" s="207"/>
    </row>
    <row r="1992" spans="1:11" ht="33.75">
      <c r="A1992" s="204">
        <v>1990</v>
      </c>
      <c r="B1992" s="208">
        <v>45978</v>
      </c>
      <c r="C1992" s="267" t="s">
        <v>833</v>
      </c>
      <c r="D1992" s="204">
        <v>2025</v>
      </c>
      <c r="E1992" s="209" t="s">
        <v>2224</v>
      </c>
      <c r="F1992" s="209" t="s">
        <v>97</v>
      </c>
      <c r="G1992" s="213" t="s">
        <v>821</v>
      </c>
      <c r="H1992" s="211" t="s">
        <v>3538</v>
      </c>
      <c r="I1992" s="156" t="s">
        <v>26</v>
      </c>
      <c r="J1992" s="209" t="s">
        <v>158</v>
      </c>
      <c r="K1992" s="211"/>
    </row>
    <row r="1993" spans="1:11" ht="84">
      <c r="A1993" s="204">
        <v>1991</v>
      </c>
      <c r="B1993" s="205">
        <v>45978</v>
      </c>
      <c r="C1993" s="267" t="s">
        <v>833</v>
      </c>
      <c r="D1993" s="204">
        <v>2025</v>
      </c>
      <c r="E1993" s="204" t="s">
        <v>1431</v>
      </c>
      <c r="F1993" s="204" t="s">
        <v>2591</v>
      </c>
      <c r="G1993" s="206" t="s">
        <v>88</v>
      </c>
      <c r="H1993" s="207" t="s">
        <v>3539</v>
      </c>
      <c r="I1993" s="156" t="s">
        <v>26</v>
      </c>
      <c r="J1993" s="204" t="s">
        <v>2593</v>
      </c>
      <c r="K1993" s="207" t="s">
        <v>1500</v>
      </c>
    </row>
    <row r="1994" spans="1:11" ht="33.75">
      <c r="A1994" s="204">
        <v>1992</v>
      </c>
      <c r="B1994" s="208">
        <v>45978</v>
      </c>
      <c r="C1994" s="267" t="s">
        <v>833</v>
      </c>
      <c r="D1994" s="204">
        <v>2025</v>
      </c>
      <c r="E1994" s="209" t="s">
        <v>1431</v>
      </c>
      <c r="F1994" s="209" t="s">
        <v>2591</v>
      </c>
      <c r="G1994" s="216" t="s">
        <v>872</v>
      </c>
      <c r="H1994" s="218" t="s">
        <v>3540</v>
      </c>
      <c r="I1994" s="156" t="s">
        <v>26</v>
      </c>
      <c r="J1994" s="209" t="s">
        <v>2593</v>
      </c>
      <c r="K1994" s="211"/>
    </row>
    <row r="1995" spans="1:11" ht="66.75">
      <c r="A1995" s="204">
        <v>1993</v>
      </c>
      <c r="B1995" s="205">
        <v>45978</v>
      </c>
      <c r="C1995" s="267" t="s">
        <v>833</v>
      </c>
      <c r="D1995" s="204">
        <v>2025</v>
      </c>
      <c r="E1995" s="204" t="s">
        <v>1431</v>
      </c>
      <c r="F1995" s="204" t="s">
        <v>2591</v>
      </c>
      <c r="G1995" s="206" t="s">
        <v>88</v>
      </c>
      <c r="H1995" s="219" t="s">
        <v>3541</v>
      </c>
      <c r="I1995" s="156" t="s">
        <v>26</v>
      </c>
      <c r="J1995" s="204" t="s">
        <v>2593</v>
      </c>
      <c r="K1995" s="207"/>
    </row>
    <row r="1996" spans="1:11" ht="50.25">
      <c r="A1996" s="204">
        <v>1994</v>
      </c>
      <c r="B1996" s="208">
        <v>45978</v>
      </c>
      <c r="C1996" s="267" t="s">
        <v>833</v>
      </c>
      <c r="D1996" s="204">
        <v>2025</v>
      </c>
      <c r="E1996" s="209" t="s">
        <v>1431</v>
      </c>
      <c r="F1996" s="209" t="s">
        <v>2591</v>
      </c>
      <c r="G1996" s="216" t="s">
        <v>872</v>
      </c>
      <c r="H1996" s="218" t="s">
        <v>3542</v>
      </c>
      <c r="I1996" s="156" t="s">
        <v>26</v>
      </c>
      <c r="J1996" s="209" t="s">
        <v>2593</v>
      </c>
      <c r="K1996" s="211"/>
    </row>
    <row r="1997" spans="1:11" ht="117">
      <c r="A1997" s="204">
        <v>1995</v>
      </c>
      <c r="B1997" s="205">
        <v>45978</v>
      </c>
      <c r="C1997" s="267" t="s">
        <v>833</v>
      </c>
      <c r="D1997" s="204">
        <v>2025</v>
      </c>
      <c r="E1997" s="204" t="s">
        <v>1431</v>
      </c>
      <c r="F1997" s="204" t="s">
        <v>2591</v>
      </c>
      <c r="G1997" s="213" t="s">
        <v>821</v>
      </c>
      <c r="H1997" s="219" t="s">
        <v>3543</v>
      </c>
      <c r="I1997" s="156" t="s">
        <v>26</v>
      </c>
      <c r="J1997" s="204" t="s">
        <v>2593</v>
      </c>
      <c r="K1997" s="207" t="s">
        <v>1482</v>
      </c>
    </row>
    <row r="1998" spans="1:11" ht="33.75">
      <c r="A1998" s="204">
        <v>1996</v>
      </c>
      <c r="B1998" s="208">
        <v>45978</v>
      </c>
      <c r="C1998" s="267" t="s">
        <v>833</v>
      </c>
      <c r="D1998" s="204">
        <v>2025</v>
      </c>
      <c r="E1998" s="209" t="s">
        <v>1431</v>
      </c>
      <c r="F1998" s="209" t="s">
        <v>2591</v>
      </c>
      <c r="G1998" s="216" t="s">
        <v>872</v>
      </c>
      <c r="H1998" s="218" t="s">
        <v>3544</v>
      </c>
      <c r="I1998" s="156" t="s">
        <v>26</v>
      </c>
      <c r="J1998" s="209" t="s">
        <v>2593</v>
      </c>
      <c r="K1998" s="211"/>
    </row>
    <row r="1999" spans="1:11" ht="117">
      <c r="A1999" s="204">
        <v>1997</v>
      </c>
      <c r="B1999" s="205">
        <v>45978</v>
      </c>
      <c r="C1999" s="267" t="s">
        <v>833</v>
      </c>
      <c r="D1999" s="204">
        <v>2025</v>
      </c>
      <c r="E1999" s="204" t="s">
        <v>1431</v>
      </c>
      <c r="F1999" s="204" t="s">
        <v>2591</v>
      </c>
      <c r="G1999" s="206" t="s">
        <v>88</v>
      </c>
      <c r="H1999" s="219" t="s">
        <v>3545</v>
      </c>
      <c r="I1999" s="156" t="s">
        <v>26</v>
      </c>
      <c r="J1999" s="204" t="s">
        <v>2593</v>
      </c>
      <c r="K1999" s="207" t="s">
        <v>1500</v>
      </c>
    </row>
    <row r="2000" spans="1:11" ht="66.75">
      <c r="A2000" s="204">
        <v>1998</v>
      </c>
      <c r="B2000" s="208">
        <v>45979</v>
      </c>
      <c r="C2000" s="267" t="s">
        <v>833</v>
      </c>
      <c r="D2000" s="204">
        <v>2025</v>
      </c>
      <c r="E2000" s="209" t="s">
        <v>1431</v>
      </c>
      <c r="F2000" s="209" t="s">
        <v>2591</v>
      </c>
      <c r="G2000" s="210" t="s">
        <v>88</v>
      </c>
      <c r="H2000" s="218" t="s">
        <v>3546</v>
      </c>
      <c r="I2000" s="156" t="s">
        <v>26</v>
      </c>
      <c r="J2000" s="209" t="s">
        <v>2593</v>
      </c>
      <c r="K2000" s="211"/>
    </row>
    <row r="2001" spans="1:11" ht="117">
      <c r="A2001" s="204">
        <v>1999</v>
      </c>
      <c r="B2001" s="205">
        <v>45979</v>
      </c>
      <c r="C2001" s="267" t="s">
        <v>833</v>
      </c>
      <c r="D2001" s="204">
        <v>2025</v>
      </c>
      <c r="E2001" s="204" t="s">
        <v>1431</v>
      </c>
      <c r="F2001" s="204" t="s">
        <v>2591</v>
      </c>
      <c r="G2001" s="206" t="s">
        <v>88</v>
      </c>
      <c r="H2001" s="219" t="s">
        <v>3547</v>
      </c>
      <c r="I2001" s="156" t="s">
        <v>26</v>
      </c>
      <c r="J2001" s="204" t="s">
        <v>2593</v>
      </c>
      <c r="K2001" s="207" t="s">
        <v>1510</v>
      </c>
    </row>
    <row r="2002" spans="1:11" ht="117">
      <c r="A2002" s="204">
        <v>2000</v>
      </c>
      <c r="B2002" s="208">
        <v>45979</v>
      </c>
      <c r="C2002" s="267" t="s">
        <v>833</v>
      </c>
      <c r="D2002" s="204">
        <v>2025</v>
      </c>
      <c r="E2002" s="209" t="s">
        <v>1431</v>
      </c>
      <c r="F2002" s="209" t="s">
        <v>2591</v>
      </c>
      <c r="G2002" s="210" t="s">
        <v>88</v>
      </c>
      <c r="H2002" s="218" t="s">
        <v>3548</v>
      </c>
      <c r="I2002" s="156" t="s">
        <v>26</v>
      </c>
      <c r="J2002" s="209" t="s">
        <v>2593</v>
      </c>
      <c r="K2002" s="211" t="s">
        <v>1510</v>
      </c>
    </row>
    <row r="2003" spans="1:11" ht="100.5">
      <c r="A2003" s="204">
        <v>2001</v>
      </c>
      <c r="B2003" s="205">
        <v>45979</v>
      </c>
      <c r="C2003" s="267" t="s">
        <v>833</v>
      </c>
      <c r="D2003" s="204">
        <v>2025</v>
      </c>
      <c r="E2003" s="204" t="s">
        <v>1431</v>
      </c>
      <c r="F2003" s="204" t="s">
        <v>2591</v>
      </c>
      <c r="G2003" s="206" t="s">
        <v>88</v>
      </c>
      <c r="H2003" s="219" t="s">
        <v>3549</v>
      </c>
      <c r="I2003" s="156" t="s">
        <v>26</v>
      </c>
      <c r="J2003" s="204" t="s">
        <v>2593</v>
      </c>
      <c r="K2003" s="207" t="s">
        <v>1472</v>
      </c>
    </row>
    <row r="2004" spans="1:11" ht="66.75">
      <c r="A2004" s="204">
        <v>2002</v>
      </c>
      <c r="B2004" s="208">
        <v>45979</v>
      </c>
      <c r="C2004" s="267" t="s">
        <v>833</v>
      </c>
      <c r="D2004" s="204">
        <v>2025</v>
      </c>
      <c r="E2004" s="209" t="s">
        <v>1431</v>
      </c>
      <c r="F2004" s="209" t="s">
        <v>2591</v>
      </c>
      <c r="G2004" s="210" t="s">
        <v>88</v>
      </c>
      <c r="H2004" s="218" t="s">
        <v>3550</v>
      </c>
      <c r="I2004" s="156" t="s">
        <v>26</v>
      </c>
      <c r="J2004" s="209" t="s">
        <v>2593</v>
      </c>
      <c r="K2004" s="211"/>
    </row>
    <row r="2005" spans="1:11" ht="33.75">
      <c r="A2005" s="204">
        <v>2003</v>
      </c>
      <c r="B2005" s="205">
        <v>45979</v>
      </c>
      <c r="C2005" s="267" t="s">
        <v>833</v>
      </c>
      <c r="D2005" s="204">
        <v>2025</v>
      </c>
      <c r="E2005" s="204" t="s">
        <v>1431</v>
      </c>
      <c r="F2005" s="204" t="s">
        <v>2591</v>
      </c>
      <c r="G2005" s="206" t="s">
        <v>88</v>
      </c>
      <c r="H2005" s="219" t="s">
        <v>3551</v>
      </c>
      <c r="I2005" s="156" t="s">
        <v>26</v>
      </c>
      <c r="J2005" s="204" t="s">
        <v>2593</v>
      </c>
      <c r="K2005" s="207"/>
    </row>
    <row r="2006" spans="1:11" ht="50.25">
      <c r="A2006" s="204">
        <v>2004</v>
      </c>
      <c r="B2006" s="208">
        <v>45979</v>
      </c>
      <c r="C2006" s="267" t="s">
        <v>833</v>
      </c>
      <c r="D2006" s="204">
        <v>2025</v>
      </c>
      <c r="E2006" s="209" t="s">
        <v>2224</v>
      </c>
      <c r="F2006" s="209" t="s">
        <v>2591</v>
      </c>
      <c r="G2006" s="210" t="s">
        <v>88</v>
      </c>
      <c r="H2006" s="211" t="s">
        <v>3552</v>
      </c>
      <c r="I2006" s="156" t="s">
        <v>26</v>
      </c>
      <c r="J2006" s="209" t="s">
        <v>2593</v>
      </c>
      <c r="K2006" s="211"/>
    </row>
    <row r="2007" spans="1:11" ht="100.5">
      <c r="A2007" s="204">
        <v>2005</v>
      </c>
      <c r="B2007" s="205">
        <v>45979</v>
      </c>
      <c r="C2007" s="267" t="s">
        <v>833</v>
      </c>
      <c r="D2007" s="204">
        <v>2025</v>
      </c>
      <c r="E2007" s="204" t="s">
        <v>1431</v>
      </c>
      <c r="F2007" s="204" t="s">
        <v>2591</v>
      </c>
      <c r="G2007" s="206" t="s">
        <v>88</v>
      </c>
      <c r="H2007" s="207" t="s">
        <v>3553</v>
      </c>
      <c r="I2007" s="156" t="s">
        <v>26</v>
      </c>
      <c r="J2007" s="204" t="s">
        <v>1453</v>
      </c>
      <c r="K2007" s="207" t="s">
        <v>1478</v>
      </c>
    </row>
    <row r="2008" spans="1:11" ht="50.25">
      <c r="A2008" s="204">
        <v>2006</v>
      </c>
      <c r="B2008" s="208">
        <v>45979</v>
      </c>
      <c r="C2008" s="267" t="s">
        <v>833</v>
      </c>
      <c r="D2008" s="204">
        <v>2025</v>
      </c>
      <c r="E2008" s="209" t="s">
        <v>1431</v>
      </c>
      <c r="F2008" s="209" t="s">
        <v>2591</v>
      </c>
      <c r="G2008" s="210" t="s">
        <v>88</v>
      </c>
      <c r="H2008" s="211" t="s">
        <v>3554</v>
      </c>
      <c r="I2008" s="156" t="s">
        <v>26</v>
      </c>
      <c r="J2008" s="209" t="s">
        <v>1453</v>
      </c>
      <c r="K2008" s="211"/>
    </row>
    <row r="2009" spans="1:11" ht="66.75">
      <c r="A2009" s="204">
        <v>2007</v>
      </c>
      <c r="B2009" s="205">
        <v>45979</v>
      </c>
      <c r="C2009" s="267" t="s">
        <v>833</v>
      </c>
      <c r="D2009" s="204">
        <v>2025</v>
      </c>
      <c r="E2009" s="204" t="s">
        <v>1431</v>
      </c>
      <c r="F2009" s="204" t="s">
        <v>1432</v>
      </c>
      <c r="G2009" s="213" t="s">
        <v>821</v>
      </c>
      <c r="H2009" s="207" t="s">
        <v>3555</v>
      </c>
      <c r="I2009" s="156" t="s">
        <v>26</v>
      </c>
      <c r="J2009" s="204" t="s">
        <v>59</v>
      </c>
      <c r="K2009" s="207"/>
    </row>
    <row r="2010" spans="1:11" ht="150.75">
      <c r="A2010" s="204">
        <v>2008</v>
      </c>
      <c r="B2010" s="208">
        <v>45979</v>
      </c>
      <c r="C2010" s="267" t="s">
        <v>833</v>
      </c>
      <c r="D2010" s="204">
        <v>2025</v>
      </c>
      <c r="E2010" s="209" t="s">
        <v>1431</v>
      </c>
      <c r="F2010" s="209" t="s">
        <v>1432</v>
      </c>
      <c r="G2010" s="213" t="s">
        <v>821</v>
      </c>
      <c r="H2010" s="211" t="s">
        <v>3556</v>
      </c>
      <c r="I2010" s="156" t="s">
        <v>26</v>
      </c>
      <c r="J2010" s="209" t="s">
        <v>59</v>
      </c>
      <c r="K2010" s="211"/>
    </row>
    <row r="2011" spans="1:11" ht="33.75">
      <c r="A2011" s="204">
        <v>2009</v>
      </c>
      <c r="B2011" s="205">
        <v>45980</v>
      </c>
      <c r="C2011" s="267" t="s">
        <v>833</v>
      </c>
      <c r="D2011" s="204">
        <v>2025</v>
      </c>
      <c r="E2011" s="204" t="s">
        <v>1431</v>
      </c>
      <c r="F2011" s="204" t="s">
        <v>21</v>
      </c>
      <c r="G2011" s="213" t="s">
        <v>821</v>
      </c>
      <c r="H2011" s="207" t="s">
        <v>3557</v>
      </c>
      <c r="I2011" s="156" t="s">
        <v>26</v>
      </c>
      <c r="J2011" s="204" t="s">
        <v>149</v>
      </c>
      <c r="K2011" s="207"/>
    </row>
    <row r="2012" spans="1:11" ht="117">
      <c r="A2012" s="204">
        <v>2010</v>
      </c>
      <c r="B2012" s="208">
        <v>45980</v>
      </c>
      <c r="C2012" s="267" t="s">
        <v>833</v>
      </c>
      <c r="D2012" s="204">
        <v>2025</v>
      </c>
      <c r="E2012" s="209" t="s">
        <v>1431</v>
      </c>
      <c r="F2012" s="209" t="s">
        <v>216</v>
      </c>
      <c r="G2012" s="213" t="s">
        <v>821</v>
      </c>
      <c r="H2012" s="211" t="s">
        <v>3558</v>
      </c>
      <c r="I2012" s="156" t="s">
        <v>26</v>
      </c>
      <c r="J2012" s="209" t="s">
        <v>492</v>
      </c>
      <c r="K2012" s="211" t="s">
        <v>1446</v>
      </c>
    </row>
    <row r="2013" spans="1:11" ht="50.25">
      <c r="A2013" s="204">
        <v>2011</v>
      </c>
      <c r="B2013" s="205">
        <v>45980</v>
      </c>
      <c r="C2013" s="267" t="s">
        <v>833</v>
      </c>
      <c r="D2013" s="204">
        <v>2025</v>
      </c>
      <c r="E2013" s="204" t="s">
        <v>1431</v>
      </c>
      <c r="F2013" s="204" t="s">
        <v>2244</v>
      </c>
      <c r="G2013" s="206" t="s">
        <v>88</v>
      </c>
      <c r="H2013" s="207" t="s">
        <v>3559</v>
      </c>
      <c r="I2013" s="156" t="s">
        <v>26</v>
      </c>
      <c r="J2013" s="204" t="s">
        <v>1904</v>
      </c>
      <c r="K2013" s="207"/>
    </row>
    <row r="2014" spans="1:11" ht="50.25">
      <c r="A2014" s="204">
        <v>2012</v>
      </c>
      <c r="B2014" s="208">
        <v>45980</v>
      </c>
      <c r="C2014" s="267" t="s">
        <v>833</v>
      </c>
      <c r="D2014" s="204">
        <v>2025</v>
      </c>
      <c r="E2014" s="209" t="s">
        <v>1431</v>
      </c>
      <c r="F2014" s="209" t="s">
        <v>97</v>
      </c>
      <c r="G2014" s="213" t="s">
        <v>821</v>
      </c>
      <c r="H2014" s="211" t="s">
        <v>3560</v>
      </c>
      <c r="I2014" s="156" t="s">
        <v>26</v>
      </c>
      <c r="J2014" s="209" t="s">
        <v>3561</v>
      </c>
      <c r="K2014" s="211"/>
    </row>
    <row r="2015" spans="1:11" ht="33.75">
      <c r="A2015" s="204">
        <v>2013</v>
      </c>
      <c r="B2015" s="205">
        <v>45980</v>
      </c>
      <c r="C2015" s="267" t="s">
        <v>833</v>
      </c>
      <c r="D2015" s="204">
        <v>2025</v>
      </c>
      <c r="E2015" s="204" t="s">
        <v>1431</v>
      </c>
      <c r="F2015" s="204" t="s">
        <v>2591</v>
      </c>
      <c r="G2015" s="206" t="s">
        <v>88</v>
      </c>
      <c r="H2015" s="207" t="s">
        <v>3562</v>
      </c>
      <c r="I2015" s="156" t="s">
        <v>26</v>
      </c>
      <c r="J2015" s="204" t="s">
        <v>2593</v>
      </c>
      <c r="K2015" s="207"/>
    </row>
    <row r="2016" spans="1:11" ht="50.25">
      <c r="A2016" s="204">
        <v>2014</v>
      </c>
      <c r="B2016" s="208">
        <v>45980</v>
      </c>
      <c r="C2016" s="267" t="s">
        <v>833</v>
      </c>
      <c r="D2016" s="204">
        <v>2025</v>
      </c>
      <c r="E2016" s="209" t="s">
        <v>1431</v>
      </c>
      <c r="F2016" s="209" t="s">
        <v>2591</v>
      </c>
      <c r="G2016" s="213" t="s">
        <v>821</v>
      </c>
      <c r="H2016" s="218" t="s">
        <v>3563</v>
      </c>
      <c r="I2016" s="156" t="s">
        <v>26</v>
      </c>
      <c r="J2016" s="209" t="s">
        <v>2593</v>
      </c>
      <c r="K2016" s="211"/>
    </row>
    <row r="2017" spans="1:11" ht="100.5">
      <c r="A2017" s="204">
        <v>2015</v>
      </c>
      <c r="B2017" s="205">
        <v>45980</v>
      </c>
      <c r="C2017" s="267" t="s">
        <v>833</v>
      </c>
      <c r="D2017" s="204">
        <v>2025</v>
      </c>
      <c r="E2017" s="204" t="s">
        <v>1431</v>
      </c>
      <c r="F2017" s="204" t="s">
        <v>2591</v>
      </c>
      <c r="G2017" s="206" t="s">
        <v>88</v>
      </c>
      <c r="H2017" s="219" t="s">
        <v>3564</v>
      </c>
      <c r="I2017" s="156" t="s">
        <v>26</v>
      </c>
      <c r="J2017" s="204" t="s">
        <v>2593</v>
      </c>
      <c r="K2017" s="207" t="s">
        <v>1548</v>
      </c>
    </row>
    <row r="2018" spans="1:11" ht="100.5">
      <c r="A2018" s="204">
        <v>2016</v>
      </c>
      <c r="B2018" s="208">
        <v>45980</v>
      </c>
      <c r="C2018" s="267" t="s">
        <v>833</v>
      </c>
      <c r="D2018" s="204">
        <v>2025</v>
      </c>
      <c r="E2018" s="209" t="s">
        <v>1431</v>
      </c>
      <c r="F2018" s="209" t="s">
        <v>1566</v>
      </c>
      <c r="G2018" s="210" t="s">
        <v>88</v>
      </c>
      <c r="H2018" s="211" t="s">
        <v>3565</v>
      </c>
      <c r="I2018" s="156" t="s">
        <v>26</v>
      </c>
      <c r="J2018" s="209" t="s">
        <v>1588</v>
      </c>
      <c r="K2018" s="211" t="s">
        <v>1478</v>
      </c>
    </row>
    <row r="2019" spans="1:11" ht="100.5">
      <c r="A2019" s="204">
        <v>2017</v>
      </c>
      <c r="B2019" s="205">
        <v>45980</v>
      </c>
      <c r="C2019" s="267" t="s">
        <v>833</v>
      </c>
      <c r="D2019" s="204">
        <v>2025</v>
      </c>
      <c r="E2019" s="204" t="s">
        <v>1431</v>
      </c>
      <c r="F2019" s="204" t="s">
        <v>1566</v>
      </c>
      <c r="G2019" s="206" t="s">
        <v>88</v>
      </c>
      <c r="H2019" s="207" t="s">
        <v>3566</v>
      </c>
      <c r="I2019" s="156" t="s">
        <v>26</v>
      </c>
      <c r="J2019" s="204" t="s">
        <v>1588</v>
      </c>
      <c r="K2019" s="207" t="s">
        <v>1454</v>
      </c>
    </row>
    <row r="2020" spans="1:11" ht="84">
      <c r="A2020" s="204">
        <v>2018</v>
      </c>
      <c r="B2020" s="208">
        <v>45980</v>
      </c>
      <c r="C2020" s="267" t="s">
        <v>833</v>
      </c>
      <c r="D2020" s="204">
        <v>2025</v>
      </c>
      <c r="E2020" s="209" t="s">
        <v>2224</v>
      </c>
      <c r="F2020" s="209" t="s">
        <v>2591</v>
      </c>
      <c r="G2020" s="210" t="s">
        <v>88</v>
      </c>
      <c r="H2020" s="218" t="s">
        <v>3567</v>
      </c>
      <c r="I2020" s="156" t="s">
        <v>26</v>
      </c>
      <c r="J2020" s="209" t="s">
        <v>2593</v>
      </c>
      <c r="K2020" s="211"/>
    </row>
    <row r="2021" spans="1:11" ht="168">
      <c r="A2021" s="204">
        <v>2019</v>
      </c>
      <c r="B2021" s="205">
        <v>45980</v>
      </c>
      <c r="C2021" s="267" t="s">
        <v>833</v>
      </c>
      <c r="D2021" s="204">
        <v>2025</v>
      </c>
      <c r="E2021" s="204" t="s">
        <v>2224</v>
      </c>
      <c r="F2021" s="204" t="s">
        <v>2591</v>
      </c>
      <c r="G2021" s="206" t="s">
        <v>88</v>
      </c>
      <c r="H2021" s="219" t="s">
        <v>3568</v>
      </c>
      <c r="I2021" s="156" t="s">
        <v>26</v>
      </c>
      <c r="J2021" s="204" t="s">
        <v>2593</v>
      </c>
      <c r="K2021" s="207" t="s">
        <v>1559</v>
      </c>
    </row>
    <row r="2022" spans="1:11" ht="33.75">
      <c r="A2022" s="204">
        <v>2020</v>
      </c>
      <c r="B2022" s="208">
        <v>45982</v>
      </c>
      <c r="C2022" s="267" t="s">
        <v>833</v>
      </c>
      <c r="D2022" s="204">
        <v>2025</v>
      </c>
      <c r="E2022" s="209" t="s">
        <v>1431</v>
      </c>
      <c r="F2022" s="209" t="s">
        <v>21</v>
      </c>
      <c r="G2022" s="213" t="s">
        <v>821</v>
      </c>
      <c r="H2022" s="211" t="s">
        <v>3569</v>
      </c>
      <c r="I2022" s="156" t="s">
        <v>26</v>
      </c>
      <c r="J2022" s="209" t="s">
        <v>468</v>
      </c>
      <c r="K2022" s="211"/>
    </row>
    <row r="2023" spans="1:11" ht="117">
      <c r="A2023" s="204">
        <v>2021</v>
      </c>
      <c r="B2023" s="205">
        <v>45982</v>
      </c>
      <c r="C2023" s="267" t="s">
        <v>833</v>
      </c>
      <c r="D2023" s="204">
        <v>2025</v>
      </c>
      <c r="E2023" s="204" t="s">
        <v>1431</v>
      </c>
      <c r="F2023" s="204" t="s">
        <v>216</v>
      </c>
      <c r="G2023" s="213" t="s">
        <v>821</v>
      </c>
      <c r="H2023" s="207" t="s">
        <v>3570</v>
      </c>
      <c r="I2023" s="156" t="s">
        <v>26</v>
      </c>
      <c r="J2023" s="204" t="s">
        <v>492</v>
      </c>
      <c r="K2023" s="207" t="s">
        <v>1446</v>
      </c>
    </row>
    <row r="2024" spans="1:11" ht="84">
      <c r="A2024" s="204">
        <v>2022</v>
      </c>
      <c r="B2024" s="208">
        <v>45982</v>
      </c>
      <c r="C2024" s="267" t="s">
        <v>833</v>
      </c>
      <c r="D2024" s="204">
        <v>2025</v>
      </c>
      <c r="E2024" s="209" t="s">
        <v>1431</v>
      </c>
      <c r="F2024" s="209" t="s">
        <v>1566</v>
      </c>
      <c r="G2024" s="210" t="s">
        <v>88</v>
      </c>
      <c r="H2024" s="211" t="s">
        <v>3571</v>
      </c>
      <c r="I2024" s="156" t="s">
        <v>26</v>
      </c>
      <c r="J2024" s="209" t="s">
        <v>2593</v>
      </c>
      <c r="K2024" s="211"/>
    </row>
    <row r="2025" spans="1:11" ht="168">
      <c r="A2025" s="204">
        <v>2023</v>
      </c>
      <c r="B2025" s="205">
        <v>45982</v>
      </c>
      <c r="C2025" s="267" t="s">
        <v>833</v>
      </c>
      <c r="D2025" s="204">
        <v>2025</v>
      </c>
      <c r="E2025" s="204" t="s">
        <v>1431</v>
      </c>
      <c r="F2025" s="204" t="s">
        <v>1566</v>
      </c>
      <c r="G2025" s="206" t="s">
        <v>88</v>
      </c>
      <c r="H2025" s="207" t="s">
        <v>3572</v>
      </c>
      <c r="I2025" s="156" t="s">
        <v>26</v>
      </c>
      <c r="J2025" s="204" t="s">
        <v>2593</v>
      </c>
      <c r="K2025" s="207" t="s">
        <v>1500</v>
      </c>
    </row>
    <row r="2026" spans="1:11" ht="250.5">
      <c r="A2026" s="204">
        <v>2024</v>
      </c>
      <c r="B2026" s="208">
        <v>45982</v>
      </c>
      <c r="C2026" s="267" t="s">
        <v>833</v>
      </c>
      <c r="D2026" s="204">
        <v>2025</v>
      </c>
      <c r="E2026" s="209" t="s">
        <v>1431</v>
      </c>
      <c r="F2026" s="209" t="s">
        <v>1566</v>
      </c>
      <c r="G2026" s="210" t="s">
        <v>88</v>
      </c>
      <c r="H2026" s="211" t="s">
        <v>3573</v>
      </c>
      <c r="I2026" s="156" t="s">
        <v>26</v>
      </c>
      <c r="J2026" s="209" t="s">
        <v>2593</v>
      </c>
      <c r="K2026" s="211" t="s">
        <v>1559</v>
      </c>
    </row>
    <row r="2027" spans="1:11" ht="100.5">
      <c r="A2027" s="204">
        <v>2025</v>
      </c>
      <c r="B2027" s="205">
        <v>45985</v>
      </c>
      <c r="C2027" s="267" t="s">
        <v>833</v>
      </c>
      <c r="D2027" s="204">
        <v>2025</v>
      </c>
      <c r="E2027" s="204" t="s">
        <v>1431</v>
      </c>
      <c r="F2027" s="204" t="s">
        <v>2535</v>
      </c>
      <c r="G2027" s="206" t="s">
        <v>88</v>
      </c>
      <c r="H2027" s="207" t="s">
        <v>3574</v>
      </c>
      <c r="I2027" s="156" t="s">
        <v>26</v>
      </c>
      <c r="J2027" s="204" t="s">
        <v>578</v>
      </c>
      <c r="K2027" s="207" t="s">
        <v>1472</v>
      </c>
    </row>
    <row r="2028" spans="1:11" ht="66.75">
      <c r="A2028" s="204">
        <v>2026</v>
      </c>
      <c r="B2028" s="208">
        <v>45985</v>
      </c>
      <c r="C2028" s="267" t="s">
        <v>833</v>
      </c>
      <c r="D2028" s="204">
        <v>2025</v>
      </c>
      <c r="E2028" s="209" t="s">
        <v>1431</v>
      </c>
      <c r="F2028" s="209" t="s">
        <v>3386</v>
      </c>
      <c r="G2028" s="210" t="s">
        <v>88</v>
      </c>
      <c r="H2028" s="211" t="s">
        <v>3575</v>
      </c>
      <c r="I2028" s="156" t="s">
        <v>26</v>
      </c>
      <c r="J2028" s="209" t="s">
        <v>2382</v>
      </c>
      <c r="K2028" s="211"/>
    </row>
    <row r="2029" spans="1:11" ht="117">
      <c r="A2029" s="204">
        <v>2027</v>
      </c>
      <c r="B2029" s="205">
        <v>45985</v>
      </c>
      <c r="C2029" s="267" t="s">
        <v>833</v>
      </c>
      <c r="D2029" s="204">
        <v>2025</v>
      </c>
      <c r="E2029" s="204" t="s">
        <v>1431</v>
      </c>
      <c r="F2029" s="204" t="s">
        <v>1506</v>
      </c>
      <c r="G2029" s="206" t="s">
        <v>88</v>
      </c>
      <c r="H2029" s="207" t="s">
        <v>3576</v>
      </c>
      <c r="I2029" s="156" t="s">
        <v>26</v>
      </c>
      <c r="J2029" s="204" t="s">
        <v>3343</v>
      </c>
      <c r="K2029" s="207" t="s">
        <v>1500</v>
      </c>
    </row>
    <row r="2030" spans="1:11" ht="84">
      <c r="A2030" s="204">
        <v>2028</v>
      </c>
      <c r="B2030" s="208">
        <v>45985</v>
      </c>
      <c r="C2030" s="267" t="s">
        <v>833</v>
      </c>
      <c r="D2030" s="204">
        <v>2025</v>
      </c>
      <c r="E2030" s="209" t="s">
        <v>1431</v>
      </c>
      <c r="F2030" s="209" t="s">
        <v>1506</v>
      </c>
      <c r="G2030" s="210" t="s">
        <v>88</v>
      </c>
      <c r="H2030" s="211" t="s">
        <v>3577</v>
      </c>
      <c r="I2030" s="156" t="s">
        <v>26</v>
      </c>
      <c r="J2030" s="209" t="s">
        <v>3343</v>
      </c>
      <c r="K2030" s="211" t="s">
        <v>1444</v>
      </c>
    </row>
    <row r="2031" spans="1:11" ht="100.5">
      <c r="A2031" s="204">
        <v>2029</v>
      </c>
      <c r="B2031" s="205">
        <v>45985</v>
      </c>
      <c r="C2031" s="267" t="s">
        <v>833</v>
      </c>
      <c r="D2031" s="204">
        <v>2025</v>
      </c>
      <c r="E2031" s="204" t="s">
        <v>1431</v>
      </c>
      <c r="F2031" s="204" t="s">
        <v>2591</v>
      </c>
      <c r="G2031" s="206" t="s">
        <v>88</v>
      </c>
      <c r="H2031" s="207" t="s">
        <v>3578</v>
      </c>
      <c r="I2031" s="156" t="s">
        <v>26</v>
      </c>
      <c r="J2031" s="204" t="s">
        <v>2593</v>
      </c>
      <c r="K2031" s="207"/>
    </row>
    <row r="2032" spans="1:11" ht="100.5">
      <c r="A2032" s="204">
        <v>2030</v>
      </c>
      <c r="B2032" s="208">
        <v>45985</v>
      </c>
      <c r="C2032" s="267" t="s">
        <v>833</v>
      </c>
      <c r="D2032" s="204">
        <v>2025</v>
      </c>
      <c r="E2032" s="209" t="s">
        <v>1431</v>
      </c>
      <c r="F2032" s="209" t="s">
        <v>2591</v>
      </c>
      <c r="G2032" s="210" t="s">
        <v>88</v>
      </c>
      <c r="H2032" s="218" t="s">
        <v>3579</v>
      </c>
      <c r="I2032" s="156" t="s">
        <v>26</v>
      </c>
      <c r="J2032" s="209" t="s">
        <v>2593</v>
      </c>
      <c r="K2032" s="211" t="s">
        <v>1467</v>
      </c>
    </row>
    <row r="2033" spans="1:11" ht="117">
      <c r="A2033" s="204">
        <v>2031</v>
      </c>
      <c r="B2033" s="205">
        <v>45985</v>
      </c>
      <c r="C2033" s="267" t="s">
        <v>833</v>
      </c>
      <c r="D2033" s="204">
        <v>2025</v>
      </c>
      <c r="E2033" s="204" t="s">
        <v>1431</v>
      </c>
      <c r="F2033" s="204" t="s">
        <v>2591</v>
      </c>
      <c r="G2033" s="206" t="s">
        <v>88</v>
      </c>
      <c r="H2033" s="219" t="s">
        <v>3580</v>
      </c>
      <c r="I2033" s="156" t="s">
        <v>26</v>
      </c>
      <c r="J2033" s="204" t="s">
        <v>2593</v>
      </c>
      <c r="K2033" s="207" t="s">
        <v>1472</v>
      </c>
    </row>
    <row r="2034" spans="1:11" ht="50.25">
      <c r="A2034" s="204">
        <v>2032</v>
      </c>
      <c r="B2034" s="208">
        <v>45985</v>
      </c>
      <c r="C2034" s="267" t="s">
        <v>833</v>
      </c>
      <c r="D2034" s="204">
        <v>2025</v>
      </c>
      <c r="E2034" s="209" t="s">
        <v>1431</v>
      </c>
      <c r="F2034" s="209" t="s">
        <v>2591</v>
      </c>
      <c r="G2034" s="210" t="s">
        <v>88</v>
      </c>
      <c r="H2034" s="218" t="s">
        <v>3581</v>
      </c>
      <c r="I2034" s="156" t="s">
        <v>26</v>
      </c>
      <c r="J2034" s="209" t="s">
        <v>2593</v>
      </c>
      <c r="K2034" s="211"/>
    </row>
    <row r="2035" spans="1:11" ht="117">
      <c r="A2035" s="204">
        <v>2033</v>
      </c>
      <c r="B2035" s="205">
        <v>45985</v>
      </c>
      <c r="C2035" s="267" t="s">
        <v>833</v>
      </c>
      <c r="D2035" s="204">
        <v>2025</v>
      </c>
      <c r="E2035" s="204" t="s">
        <v>1431</v>
      </c>
      <c r="F2035" s="204" t="s">
        <v>2591</v>
      </c>
      <c r="G2035" s="214" t="s">
        <v>859</v>
      </c>
      <c r="H2035" s="219" t="s">
        <v>3582</v>
      </c>
      <c r="I2035" s="156" t="s">
        <v>26</v>
      </c>
      <c r="J2035" s="204" t="s">
        <v>2593</v>
      </c>
      <c r="K2035" s="207"/>
    </row>
    <row r="2036" spans="1:11" ht="100.5">
      <c r="A2036" s="204">
        <v>2034</v>
      </c>
      <c r="B2036" s="208">
        <v>45985</v>
      </c>
      <c r="C2036" s="267" t="s">
        <v>833</v>
      </c>
      <c r="D2036" s="204">
        <v>2025</v>
      </c>
      <c r="E2036" s="209" t="s">
        <v>1431</v>
      </c>
      <c r="F2036" s="209" t="s">
        <v>2591</v>
      </c>
      <c r="G2036" s="217" t="s">
        <v>859</v>
      </c>
      <c r="H2036" s="218" t="s">
        <v>3583</v>
      </c>
      <c r="I2036" s="156" t="s">
        <v>26</v>
      </c>
      <c r="J2036" s="209" t="s">
        <v>2593</v>
      </c>
      <c r="K2036" s="211"/>
    </row>
    <row r="2037" spans="1:11" ht="50.25">
      <c r="A2037" s="204">
        <v>2035</v>
      </c>
      <c r="B2037" s="205">
        <v>45985</v>
      </c>
      <c r="C2037" s="267" t="s">
        <v>833</v>
      </c>
      <c r="D2037" s="204">
        <v>2025</v>
      </c>
      <c r="E2037" s="204" t="s">
        <v>2224</v>
      </c>
      <c r="F2037" s="204" t="s">
        <v>1432</v>
      </c>
      <c r="G2037" s="213" t="s">
        <v>821</v>
      </c>
      <c r="H2037" s="207" t="s">
        <v>3584</v>
      </c>
      <c r="I2037" s="156" t="s">
        <v>26</v>
      </c>
      <c r="J2037" s="204" t="s">
        <v>2568</v>
      </c>
      <c r="K2037" s="207"/>
    </row>
    <row r="2038" spans="1:11" ht="134.25">
      <c r="A2038" s="204">
        <v>2036</v>
      </c>
      <c r="B2038" s="208">
        <v>45985</v>
      </c>
      <c r="C2038" s="267" t="s">
        <v>833</v>
      </c>
      <c r="D2038" s="204">
        <v>2025</v>
      </c>
      <c r="E2038" s="209" t="s">
        <v>1431</v>
      </c>
      <c r="F2038" s="209" t="s">
        <v>1608</v>
      </c>
      <c r="G2038" s="212" t="s">
        <v>1439</v>
      </c>
      <c r="H2038" s="211" t="s">
        <v>3585</v>
      </c>
      <c r="I2038" s="156" t="s">
        <v>26</v>
      </c>
      <c r="J2038" s="209" t="s">
        <v>1458</v>
      </c>
      <c r="K2038" s="211" t="s">
        <v>1442</v>
      </c>
    </row>
    <row r="2039" spans="1:11" ht="134.25">
      <c r="A2039" s="204">
        <v>2037</v>
      </c>
      <c r="B2039" s="205">
        <v>45985</v>
      </c>
      <c r="C2039" s="267" t="s">
        <v>833</v>
      </c>
      <c r="D2039" s="204">
        <v>2025</v>
      </c>
      <c r="E2039" s="204" t="s">
        <v>1431</v>
      </c>
      <c r="F2039" s="204" t="s">
        <v>1608</v>
      </c>
      <c r="G2039" s="212" t="s">
        <v>1439</v>
      </c>
      <c r="H2039" s="207" t="s">
        <v>3586</v>
      </c>
      <c r="I2039" s="156" t="s">
        <v>26</v>
      </c>
      <c r="J2039" s="204" t="s">
        <v>1458</v>
      </c>
      <c r="K2039" s="207" t="s">
        <v>1442</v>
      </c>
    </row>
    <row r="2040" spans="1:11" ht="134.25">
      <c r="A2040" s="204">
        <v>2038</v>
      </c>
      <c r="B2040" s="208">
        <v>45985</v>
      </c>
      <c r="C2040" s="267" t="s">
        <v>833</v>
      </c>
      <c r="D2040" s="204">
        <v>2025</v>
      </c>
      <c r="E2040" s="209" t="s">
        <v>1431</v>
      </c>
      <c r="F2040" s="209" t="s">
        <v>1608</v>
      </c>
      <c r="G2040" s="212" t="s">
        <v>1439</v>
      </c>
      <c r="H2040" s="211" t="s">
        <v>3587</v>
      </c>
      <c r="I2040" s="156" t="s">
        <v>26</v>
      </c>
      <c r="J2040" s="209" t="s">
        <v>1458</v>
      </c>
      <c r="K2040" s="211" t="s">
        <v>1442</v>
      </c>
    </row>
    <row r="2041" spans="1:11" ht="33.75">
      <c r="A2041" s="204">
        <v>2039</v>
      </c>
      <c r="B2041" s="205">
        <v>45985</v>
      </c>
      <c r="C2041" s="267" t="s">
        <v>833</v>
      </c>
      <c r="D2041" s="204">
        <v>2025</v>
      </c>
      <c r="E2041" s="204" t="s">
        <v>1431</v>
      </c>
      <c r="F2041" s="204" t="s">
        <v>1566</v>
      </c>
      <c r="G2041" s="206" t="s">
        <v>88</v>
      </c>
      <c r="H2041" s="207" t="s">
        <v>3588</v>
      </c>
      <c r="I2041" s="156" t="s">
        <v>26</v>
      </c>
      <c r="J2041" s="204" t="s">
        <v>1453</v>
      </c>
      <c r="K2041" s="207"/>
    </row>
    <row r="2042" spans="1:11" ht="100.5">
      <c r="A2042" s="204">
        <v>2040</v>
      </c>
      <c r="B2042" s="208">
        <v>45985</v>
      </c>
      <c r="C2042" s="267" t="s">
        <v>833</v>
      </c>
      <c r="D2042" s="204">
        <v>2025</v>
      </c>
      <c r="E2042" s="209" t="s">
        <v>1431</v>
      </c>
      <c r="F2042" s="209" t="s">
        <v>1566</v>
      </c>
      <c r="G2042" s="210" t="s">
        <v>88</v>
      </c>
      <c r="H2042" s="211" t="s">
        <v>3589</v>
      </c>
      <c r="I2042" s="156" t="s">
        <v>26</v>
      </c>
      <c r="J2042" s="209" t="s">
        <v>1453</v>
      </c>
      <c r="K2042" s="211" t="s">
        <v>1478</v>
      </c>
    </row>
    <row r="2043" spans="1:11" ht="16.5">
      <c r="A2043" s="204">
        <v>2041</v>
      </c>
      <c r="B2043" s="205">
        <v>45985</v>
      </c>
      <c r="C2043" s="267" t="s">
        <v>833</v>
      </c>
      <c r="D2043" s="204">
        <v>2025</v>
      </c>
      <c r="E2043" s="204" t="s">
        <v>1431</v>
      </c>
      <c r="F2043" s="204" t="s">
        <v>1566</v>
      </c>
      <c r="G2043" s="206" t="s">
        <v>88</v>
      </c>
      <c r="H2043" s="207" t="s">
        <v>3590</v>
      </c>
      <c r="I2043" s="156" t="s">
        <v>26</v>
      </c>
      <c r="J2043" s="204" t="s">
        <v>1453</v>
      </c>
      <c r="K2043" s="207"/>
    </row>
    <row r="2044" spans="1:11" ht="66.75">
      <c r="A2044" s="204">
        <v>2042</v>
      </c>
      <c r="B2044" s="208">
        <v>45985</v>
      </c>
      <c r="C2044" s="267" t="s">
        <v>833</v>
      </c>
      <c r="D2044" s="204">
        <v>2025</v>
      </c>
      <c r="E2044" s="209" t="s">
        <v>1431</v>
      </c>
      <c r="F2044" s="209" t="s">
        <v>1566</v>
      </c>
      <c r="G2044" s="210" t="s">
        <v>88</v>
      </c>
      <c r="H2044" s="211" t="s">
        <v>3591</v>
      </c>
      <c r="I2044" s="156" t="s">
        <v>26</v>
      </c>
      <c r="J2044" s="209" t="s">
        <v>1453</v>
      </c>
      <c r="K2044" s="211" t="s">
        <v>1548</v>
      </c>
    </row>
    <row r="2045" spans="1:11" ht="117">
      <c r="A2045" s="204">
        <v>2043</v>
      </c>
      <c r="B2045" s="205">
        <v>45985</v>
      </c>
      <c r="C2045" s="267" t="s">
        <v>833</v>
      </c>
      <c r="D2045" s="204">
        <v>2025</v>
      </c>
      <c r="E2045" s="204" t="s">
        <v>1431</v>
      </c>
      <c r="F2045" s="204" t="s">
        <v>1566</v>
      </c>
      <c r="G2045" s="206" t="s">
        <v>88</v>
      </c>
      <c r="H2045" s="207" t="s">
        <v>3592</v>
      </c>
      <c r="I2045" s="156" t="s">
        <v>26</v>
      </c>
      <c r="J2045" s="204" t="s">
        <v>1453</v>
      </c>
      <c r="K2045" s="207" t="s">
        <v>1451</v>
      </c>
    </row>
    <row r="2046" spans="1:11" ht="50.25">
      <c r="A2046" s="204">
        <v>2044</v>
      </c>
      <c r="B2046" s="208">
        <v>45985</v>
      </c>
      <c r="C2046" s="267" t="s">
        <v>833</v>
      </c>
      <c r="D2046" s="204">
        <v>2025</v>
      </c>
      <c r="E2046" s="209" t="s">
        <v>1431</v>
      </c>
      <c r="F2046" s="209" t="s">
        <v>1566</v>
      </c>
      <c r="G2046" s="210" t="s">
        <v>88</v>
      </c>
      <c r="H2046" s="211" t="s">
        <v>3593</v>
      </c>
      <c r="I2046" s="156" t="s">
        <v>26</v>
      </c>
      <c r="J2046" s="209" t="s">
        <v>1453</v>
      </c>
      <c r="K2046" s="211"/>
    </row>
    <row r="2047" spans="1:11" ht="33.75">
      <c r="A2047" s="204">
        <v>2045</v>
      </c>
      <c r="B2047" s="205">
        <v>45986</v>
      </c>
      <c r="C2047" s="267" t="s">
        <v>833</v>
      </c>
      <c r="D2047" s="204">
        <v>2025</v>
      </c>
      <c r="E2047" s="204" t="s">
        <v>1431</v>
      </c>
      <c r="F2047" s="204" t="s">
        <v>2591</v>
      </c>
      <c r="G2047" s="206" t="s">
        <v>88</v>
      </c>
      <c r="H2047" s="207" t="s">
        <v>3594</v>
      </c>
      <c r="I2047" s="156" t="s">
        <v>26</v>
      </c>
      <c r="J2047" s="204" t="s">
        <v>2593</v>
      </c>
      <c r="K2047" s="207"/>
    </row>
    <row r="2048" spans="1:11" ht="50.25">
      <c r="A2048" s="204">
        <v>2046</v>
      </c>
      <c r="B2048" s="208">
        <v>45986</v>
      </c>
      <c r="C2048" s="267" t="s">
        <v>833</v>
      </c>
      <c r="D2048" s="204">
        <v>2025</v>
      </c>
      <c r="E2048" s="209" t="s">
        <v>1431</v>
      </c>
      <c r="F2048" s="209" t="s">
        <v>2591</v>
      </c>
      <c r="G2048" s="210" t="s">
        <v>88</v>
      </c>
      <c r="H2048" s="211" t="s">
        <v>3595</v>
      </c>
      <c r="I2048" s="156" t="s">
        <v>26</v>
      </c>
      <c r="J2048" s="209" t="s">
        <v>2593</v>
      </c>
      <c r="K2048" s="211"/>
    </row>
    <row r="2049" spans="1:11" ht="100.5">
      <c r="A2049" s="204">
        <v>2047</v>
      </c>
      <c r="B2049" s="205">
        <v>45986</v>
      </c>
      <c r="C2049" s="267" t="s">
        <v>833</v>
      </c>
      <c r="D2049" s="204">
        <v>2025</v>
      </c>
      <c r="E2049" s="204" t="s">
        <v>1431</v>
      </c>
      <c r="F2049" s="204" t="s">
        <v>988</v>
      </c>
      <c r="G2049" s="206" t="s">
        <v>88</v>
      </c>
      <c r="H2049" s="207" t="s">
        <v>3596</v>
      </c>
      <c r="I2049" s="156" t="s">
        <v>26</v>
      </c>
      <c r="J2049" s="204" t="s">
        <v>578</v>
      </c>
      <c r="K2049" s="207" t="s">
        <v>1472</v>
      </c>
    </row>
    <row r="2050" spans="1:11" ht="100.5">
      <c r="A2050" s="204">
        <v>2048</v>
      </c>
      <c r="B2050" s="208">
        <v>45987</v>
      </c>
      <c r="C2050" s="267" t="s">
        <v>833</v>
      </c>
      <c r="D2050" s="204">
        <v>2025</v>
      </c>
      <c r="E2050" s="209" t="s">
        <v>1431</v>
      </c>
      <c r="F2050" s="209" t="s">
        <v>1225</v>
      </c>
      <c r="G2050" s="212" t="s">
        <v>1439</v>
      </c>
      <c r="H2050" s="211" t="s">
        <v>3597</v>
      </c>
      <c r="I2050" s="156" t="s">
        <v>26</v>
      </c>
      <c r="J2050" s="209" t="s">
        <v>925</v>
      </c>
      <c r="K2050" s="211" t="s">
        <v>1502</v>
      </c>
    </row>
    <row r="2051" spans="1:11" ht="84">
      <c r="A2051" s="204">
        <v>2049</v>
      </c>
      <c r="B2051" s="205">
        <v>45987</v>
      </c>
      <c r="C2051" s="267" t="s">
        <v>833</v>
      </c>
      <c r="D2051" s="204">
        <v>2025</v>
      </c>
      <c r="E2051" s="204" t="s">
        <v>1431</v>
      </c>
      <c r="F2051" s="204" t="s">
        <v>1506</v>
      </c>
      <c r="G2051" s="206" t="s">
        <v>88</v>
      </c>
      <c r="H2051" s="207" t="s">
        <v>3598</v>
      </c>
      <c r="I2051" s="156" t="s">
        <v>26</v>
      </c>
      <c r="J2051" s="204" t="s">
        <v>3343</v>
      </c>
      <c r="K2051" s="207" t="s">
        <v>1500</v>
      </c>
    </row>
    <row r="2052" spans="1:11" ht="50.25">
      <c r="A2052" s="204">
        <v>2050</v>
      </c>
      <c r="B2052" s="208">
        <v>45987</v>
      </c>
      <c r="C2052" s="267" t="s">
        <v>833</v>
      </c>
      <c r="D2052" s="204">
        <v>2025</v>
      </c>
      <c r="E2052" s="209" t="s">
        <v>1431</v>
      </c>
      <c r="F2052" s="209" t="s">
        <v>216</v>
      </c>
      <c r="G2052" s="213" t="s">
        <v>821</v>
      </c>
      <c r="H2052" s="211" t="s">
        <v>3599</v>
      </c>
      <c r="I2052" s="156" t="s">
        <v>26</v>
      </c>
      <c r="J2052" s="209" t="s">
        <v>3600</v>
      </c>
      <c r="K2052" s="211"/>
    </row>
    <row r="2053" spans="1:11" ht="16.5">
      <c r="A2053" s="204">
        <v>2051</v>
      </c>
      <c r="B2053" s="205">
        <v>45987</v>
      </c>
      <c r="C2053" s="267" t="s">
        <v>833</v>
      </c>
      <c r="D2053" s="204">
        <v>2025</v>
      </c>
      <c r="E2053" s="204" t="s">
        <v>1431</v>
      </c>
      <c r="F2053" s="204" t="s">
        <v>21</v>
      </c>
      <c r="G2053" s="213" t="s">
        <v>821</v>
      </c>
      <c r="H2053" s="207" t="s">
        <v>3601</v>
      </c>
      <c r="I2053" s="156" t="s">
        <v>26</v>
      </c>
      <c r="J2053" s="204" t="s">
        <v>468</v>
      </c>
      <c r="K2053" s="207"/>
    </row>
    <row r="2054" spans="1:11" ht="117">
      <c r="A2054" s="204">
        <v>2052</v>
      </c>
      <c r="B2054" s="208">
        <v>45987</v>
      </c>
      <c r="C2054" s="267" t="s">
        <v>833</v>
      </c>
      <c r="D2054" s="204">
        <v>2025</v>
      </c>
      <c r="E2054" s="209" t="s">
        <v>1431</v>
      </c>
      <c r="F2054" s="209" t="s">
        <v>2591</v>
      </c>
      <c r="G2054" s="210" t="s">
        <v>88</v>
      </c>
      <c r="H2054" s="211" t="s">
        <v>3602</v>
      </c>
      <c r="I2054" s="156" t="s">
        <v>26</v>
      </c>
      <c r="J2054" s="209" t="s">
        <v>2593</v>
      </c>
      <c r="K2054" s="211" t="s">
        <v>1559</v>
      </c>
    </row>
    <row r="2055" spans="1:11" ht="50.25">
      <c r="A2055" s="204">
        <v>2053</v>
      </c>
      <c r="B2055" s="205">
        <v>45987</v>
      </c>
      <c r="C2055" s="267" t="s">
        <v>833</v>
      </c>
      <c r="D2055" s="204">
        <v>2025</v>
      </c>
      <c r="E2055" s="204" t="s">
        <v>1431</v>
      </c>
      <c r="F2055" s="204" t="s">
        <v>2591</v>
      </c>
      <c r="G2055" s="206" t="s">
        <v>88</v>
      </c>
      <c r="H2055" s="219" t="s">
        <v>3603</v>
      </c>
      <c r="I2055" s="156" t="s">
        <v>26</v>
      </c>
      <c r="J2055" s="204" t="s">
        <v>2593</v>
      </c>
      <c r="K2055" s="207"/>
    </row>
    <row r="2056" spans="1:11" ht="50.25">
      <c r="A2056" s="204">
        <v>2054</v>
      </c>
      <c r="B2056" s="208">
        <v>45987</v>
      </c>
      <c r="C2056" s="267" t="s">
        <v>833</v>
      </c>
      <c r="D2056" s="204">
        <v>2025</v>
      </c>
      <c r="E2056" s="209" t="s">
        <v>1431</v>
      </c>
      <c r="F2056" s="209" t="s">
        <v>2591</v>
      </c>
      <c r="G2056" s="210" t="s">
        <v>88</v>
      </c>
      <c r="H2056" s="218" t="s">
        <v>3604</v>
      </c>
      <c r="I2056" s="156" t="s">
        <v>26</v>
      </c>
      <c r="J2056" s="209" t="s">
        <v>2593</v>
      </c>
      <c r="K2056" s="211"/>
    </row>
    <row r="2057" spans="1:11" ht="84">
      <c r="A2057" s="204">
        <v>2055</v>
      </c>
      <c r="B2057" s="205">
        <v>45987</v>
      </c>
      <c r="C2057" s="267" t="s">
        <v>833</v>
      </c>
      <c r="D2057" s="204">
        <v>2025</v>
      </c>
      <c r="E2057" s="204" t="s">
        <v>1431</v>
      </c>
      <c r="F2057" s="204" t="s">
        <v>2591</v>
      </c>
      <c r="G2057" s="206" t="s">
        <v>88</v>
      </c>
      <c r="H2057" s="219" t="s">
        <v>3605</v>
      </c>
      <c r="I2057" s="156" t="s">
        <v>26</v>
      </c>
      <c r="J2057" s="204" t="s">
        <v>2593</v>
      </c>
      <c r="K2057" s="207" t="s">
        <v>1500</v>
      </c>
    </row>
    <row r="2058" spans="1:11" ht="84">
      <c r="A2058" s="204">
        <v>2056</v>
      </c>
      <c r="B2058" s="208">
        <v>45987</v>
      </c>
      <c r="C2058" s="267" t="s">
        <v>833</v>
      </c>
      <c r="D2058" s="204">
        <v>2025</v>
      </c>
      <c r="E2058" s="209" t="s">
        <v>1431</v>
      </c>
      <c r="F2058" s="209" t="s">
        <v>2591</v>
      </c>
      <c r="G2058" s="210" t="s">
        <v>88</v>
      </c>
      <c r="H2058" s="218" t="s">
        <v>3606</v>
      </c>
      <c r="I2058" s="156" t="s">
        <v>26</v>
      </c>
      <c r="J2058" s="209" t="s">
        <v>2593</v>
      </c>
      <c r="K2058" s="211" t="s">
        <v>1500</v>
      </c>
    </row>
    <row r="2059" spans="1:11" ht="100.5">
      <c r="A2059" s="204">
        <v>2057</v>
      </c>
      <c r="B2059" s="205">
        <v>45987</v>
      </c>
      <c r="C2059" s="267" t="s">
        <v>833</v>
      </c>
      <c r="D2059" s="204">
        <v>2025</v>
      </c>
      <c r="E2059" s="204" t="s">
        <v>1431</v>
      </c>
      <c r="F2059" s="204" t="s">
        <v>2591</v>
      </c>
      <c r="G2059" s="206" t="s">
        <v>88</v>
      </c>
      <c r="H2059" s="219" t="s">
        <v>3607</v>
      </c>
      <c r="I2059" s="156" t="s">
        <v>26</v>
      </c>
      <c r="J2059" s="204" t="s">
        <v>2593</v>
      </c>
      <c r="K2059" s="207" t="s">
        <v>1472</v>
      </c>
    </row>
    <row r="2060" spans="1:11" ht="66.75">
      <c r="A2060" s="204">
        <v>2058</v>
      </c>
      <c r="B2060" s="208">
        <v>45987</v>
      </c>
      <c r="C2060" s="267" t="s">
        <v>833</v>
      </c>
      <c r="D2060" s="204">
        <v>2025</v>
      </c>
      <c r="E2060" s="209" t="s">
        <v>1431</v>
      </c>
      <c r="F2060" s="209" t="s">
        <v>2591</v>
      </c>
      <c r="G2060" s="210" t="s">
        <v>88</v>
      </c>
      <c r="H2060" s="218" t="s">
        <v>3608</v>
      </c>
      <c r="I2060" s="156" t="s">
        <v>26</v>
      </c>
      <c r="J2060" s="209" t="s">
        <v>2593</v>
      </c>
      <c r="K2060" s="211"/>
    </row>
    <row r="2061" spans="1:11" ht="100.5">
      <c r="A2061" s="204">
        <v>2059</v>
      </c>
      <c r="B2061" s="205">
        <v>45987</v>
      </c>
      <c r="C2061" s="267" t="s">
        <v>833</v>
      </c>
      <c r="D2061" s="204">
        <v>2025</v>
      </c>
      <c r="E2061" s="204" t="s">
        <v>1431</v>
      </c>
      <c r="F2061" s="204" t="s">
        <v>1566</v>
      </c>
      <c r="G2061" s="206" t="s">
        <v>88</v>
      </c>
      <c r="H2061" s="207" t="s">
        <v>3609</v>
      </c>
      <c r="I2061" s="156" t="s">
        <v>26</v>
      </c>
      <c r="J2061" s="204" t="s">
        <v>1453</v>
      </c>
      <c r="K2061" s="207" t="s">
        <v>1454</v>
      </c>
    </row>
    <row r="2062" spans="1:11" ht="117">
      <c r="A2062" s="204">
        <v>2060</v>
      </c>
      <c r="B2062" s="208">
        <v>45988</v>
      </c>
      <c r="C2062" s="267" t="s">
        <v>833</v>
      </c>
      <c r="D2062" s="204">
        <v>2025</v>
      </c>
      <c r="E2062" s="209" t="s">
        <v>1431</v>
      </c>
      <c r="F2062" s="209" t="s">
        <v>1566</v>
      </c>
      <c r="G2062" s="210" t="s">
        <v>88</v>
      </c>
      <c r="H2062" s="211" t="s">
        <v>3610</v>
      </c>
      <c r="I2062" s="156" t="s">
        <v>26</v>
      </c>
      <c r="J2062" s="209" t="s">
        <v>2640</v>
      </c>
      <c r="K2062" s="211" t="s">
        <v>1559</v>
      </c>
    </row>
    <row r="2063" spans="1:11" ht="117">
      <c r="A2063" s="204">
        <v>2061</v>
      </c>
      <c r="B2063" s="205">
        <v>45988</v>
      </c>
      <c r="C2063" s="267" t="s">
        <v>833</v>
      </c>
      <c r="D2063" s="204">
        <v>2025</v>
      </c>
      <c r="E2063" s="204" t="s">
        <v>1431</v>
      </c>
      <c r="F2063" s="204" t="s">
        <v>1566</v>
      </c>
      <c r="G2063" s="206" t="s">
        <v>88</v>
      </c>
      <c r="H2063" s="207" t="s">
        <v>3611</v>
      </c>
      <c r="I2063" s="156" t="s">
        <v>26</v>
      </c>
      <c r="J2063" s="204" t="s">
        <v>2640</v>
      </c>
      <c r="K2063" s="207" t="s">
        <v>1451</v>
      </c>
    </row>
    <row r="2064" spans="1:11" ht="100.5">
      <c r="A2064" s="204">
        <v>2062</v>
      </c>
      <c r="B2064" s="208">
        <v>45988</v>
      </c>
      <c r="C2064" s="267" t="s">
        <v>833</v>
      </c>
      <c r="D2064" s="204">
        <v>2025</v>
      </c>
      <c r="E2064" s="209" t="s">
        <v>1431</v>
      </c>
      <c r="F2064" s="209" t="s">
        <v>1566</v>
      </c>
      <c r="G2064" s="210" t="s">
        <v>88</v>
      </c>
      <c r="H2064" s="211" t="s">
        <v>3612</v>
      </c>
      <c r="I2064" s="156" t="s">
        <v>26</v>
      </c>
      <c r="J2064" s="209" t="s">
        <v>2640</v>
      </c>
      <c r="K2064" s="211" t="s">
        <v>1478</v>
      </c>
    </row>
    <row r="2065" spans="1:11" ht="117">
      <c r="A2065" s="204">
        <v>2063</v>
      </c>
      <c r="B2065" s="205">
        <v>45988</v>
      </c>
      <c r="C2065" s="267" t="s">
        <v>833</v>
      </c>
      <c r="D2065" s="204">
        <v>2025</v>
      </c>
      <c r="E2065" s="204" t="s">
        <v>1431</v>
      </c>
      <c r="F2065" s="204" t="s">
        <v>2591</v>
      </c>
      <c r="G2065" s="206" t="s">
        <v>88</v>
      </c>
      <c r="H2065" s="219" t="s">
        <v>3613</v>
      </c>
      <c r="I2065" s="156" t="s">
        <v>26</v>
      </c>
      <c r="J2065" s="204" t="s">
        <v>2593</v>
      </c>
      <c r="K2065" s="207"/>
    </row>
    <row r="2066" spans="1:11" ht="100.5">
      <c r="A2066" s="204">
        <v>2064</v>
      </c>
      <c r="B2066" s="208">
        <v>45989</v>
      </c>
      <c r="C2066" s="267" t="s">
        <v>833</v>
      </c>
      <c r="D2066" s="204">
        <v>2025</v>
      </c>
      <c r="E2066" s="209" t="s">
        <v>1431</v>
      </c>
      <c r="F2066" s="209" t="s">
        <v>3011</v>
      </c>
      <c r="G2066" s="217" t="s">
        <v>859</v>
      </c>
      <c r="H2066" s="211" t="s">
        <v>3614</v>
      </c>
      <c r="I2066" s="156" t="s">
        <v>26</v>
      </c>
      <c r="J2066" s="209" t="s">
        <v>2599</v>
      </c>
      <c r="K2066" s="211" t="s">
        <v>1476</v>
      </c>
    </row>
    <row r="2067" spans="1:11" ht="117">
      <c r="A2067" s="204">
        <v>2065</v>
      </c>
      <c r="B2067" s="205">
        <v>45989</v>
      </c>
      <c r="C2067" s="267" t="s">
        <v>833</v>
      </c>
      <c r="D2067" s="204">
        <v>2025</v>
      </c>
      <c r="E2067" s="204" t="s">
        <v>1431</v>
      </c>
      <c r="F2067" s="204" t="s">
        <v>988</v>
      </c>
      <c r="G2067" s="206" t="s">
        <v>88</v>
      </c>
      <c r="H2067" s="207" t="s">
        <v>3615</v>
      </c>
      <c r="I2067" s="156" t="s">
        <v>26</v>
      </c>
      <c r="J2067" s="204" t="s">
        <v>3176</v>
      </c>
      <c r="K2067" s="207" t="s">
        <v>1451</v>
      </c>
    </row>
    <row r="2068" spans="1:11" ht="84">
      <c r="A2068" s="204">
        <v>2066</v>
      </c>
      <c r="B2068" s="208">
        <v>45989</v>
      </c>
      <c r="C2068" s="267" t="s">
        <v>833</v>
      </c>
      <c r="D2068" s="204">
        <v>2025</v>
      </c>
      <c r="E2068" s="209" t="s">
        <v>1431</v>
      </c>
      <c r="F2068" s="209" t="s">
        <v>1506</v>
      </c>
      <c r="G2068" s="210" t="s">
        <v>88</v>
      </c>
      <c r="H2068" s="211" t="s">
        <v>3616</v>
      </c>
      <c r="I2068" s="156" t="s">
        <v>26</v>
      </c>
      <c r="J2068" s="209" t="s">
        <v>3343</v>
      </c>
      <c r="K2068" s="211" t="s">
        <v>1500</v>
      </c>
    </row>
    <row r="2069" spans="1:11" ht="66.75">
      <c r="A2069" s="204">
        <v>2067</v>
      </c>
      <c r="B2069" s="205">
        <v>45989</v>
      </c>
      <c r="C2069" s="267" t="s">
        <v>833</v>
      </c>
      <c r="D2069" s="204">
        <v>2025</v>
      </c>
      <c r="E2069" s="204" t="s">
        <v>1431</v>
      </c>
      <c r="F2069" s="204" t="s">
        <v>1506</v>
      </c>
      <c r="G2069" s="206" t="s">
        <v>88</v>
      </c>
      <c r="H2069" s="207" t="s">
        <v>3617</v>
      </c>
      <c r="I2069" s="156" t="s">
        <v>26</v>
      </c>
      <c r="J2069" s="204" t="s">
        <v>3343</v>
      </c>
      <c r="K2069" s="207"/>
    </row>
    <row r="2070" spans="1:11" ht="50.25">
      <c r="A2070" s="204">
        <v>2068</v>
      </c>
      <c r="B2070" s="208">
        <v>45989</v>
      </c>
      <c r="C2070" s="267" t="s">
        <v>833</v>
      </c>
      <c r="D2070" s="204">
        <v>2025</v>
      </c>
      <c r="E2070" s="209" t="s">
        <v>1431</v>
      </c>
      <c r="F2070" s="209" t="s">
        <v>216</v>
      </c>
      <c r="G2070" s="213" t="s">
        <v>821</v>
      </c>
      <c r="H2070" s="211" t="s">
        <v>3618</v>
      </c>
      <c r="I2070" s="156" t="s">
        <v>26</v>
      </c>
      <c r="J2070" s="209" t="s">
        <v>492</v>
      </c>
      <c r="K2070" s="211"/>
    </row>
    <row r="2071" spans="1:11" ht="50.25">
      <c r="A2071" s="204">
        <v>2069</v>
      </c>
      <c r="B2071" s="205">
        <v>45989</v>
      </c>
      <c r="C2071" s="267" t="s">
        <v>833</v>
      </c>
      <c r="D2071" s="204">
        <v>2025</v>
      </c>
      <c r="E2071" s="204" t="s">
        <v>1431</v>
      </c>
      <c r="F2071" s="204" t="s">
        <v>2591</v>
      </c>
      <c r="G2071" s="215" t="s">
        <v>872</v>
      </c>
      <c r="H2071" s="207" t="s">
        <v>3619</v>
      </c>
      <c r="I2071" s="156" t="s">
        <v>26</v>
      </c>
      <c r="J2071" s="204" t="s">
        <v>2593</v>
      </c>
      <c r="K2071" s="207"/>
    </row>
    <row r="2072" spans="1:11" ht="50.25">
      <c r="A2072" s="204">
        <v>2070</v>
      </c>
      <c r="B2072" s="208">
        <v>45989</v>
      </c>
      <c r="C2072" s="267" t="s">
        <v>833</v>
      </c>
      <c r="D2072" s="204">
        <v>2025</v>
      </c>
      <c r="E2072" s="209" t="s">
        <v>1431</v>
      </c>
      <c r="F2072" s="209" t="s">
        <v>2591</v>
      </c>
      <c r="G2072" s="210" t="s">
        <v>88</v>
      </c>
      <c r="H2072" s="211" t="s">
        <v>3620</v>
      </c>
      <c r="I2072" s="156" t="s">
        <v>26</v>
      </c>
      <c r="J2072" s="209" t="s">
        <v>2593</v>
      </c>
      <c r="K2072" s="211"/>
    </row>
    <row r="2073" spans="1:11" ht="84">
      <c r="A2073" s="204">
        <v>2071</v>
      </c>
      <c r="B2073" s="205">
        <v>45989</v>
      </c>
      <c r="C2073" s="267" t="s">
        <v>833</v>
      </c>
      <c r="D2073" s="204">
        <v>2025</v>
      </c>
      <c r="E2073" s="204" t="s">
        <v>1431</v>
      </c>
      <c r="F2073" s="204" t="s">
        <v>2591</v>
      </c>
      <c r="G2073" s="206" t="s">
        <v>88</v>
      </c>
      <c r="H2073" s="207" t="s">
        <v>3621</v>
      </c>
      <c r="I2073" s="156" t="s">
        <v>26</v>
      </c>
      <c r="J2073" s="204" t="s">
        <v>2593</v>
      </c>
      <c r="K2073" s="207" t="s">
        <v>1500</v>
      </c>
    </row>
    <row r="2074" spans="1:11" ht="50.25">
      <c r="A2074" s="204">
        <v>2072</v>
      </c>
      <c r="B2074" s="208">
        <v>45989</v>
      </c>
      <c r="C2074" s="267" t="s">
        <v>833</v>
      </c>
      <c r="D2074" s="204">
        <v>2025</v>
      </c>
      <c r="E2074" s="209" t="s">
        <v>2224</v>
      </c>
      <c r="F2074" s="209" t="s">
        <v>21</v>
      </c>
      <c r="G2074" s="213" t="s">
        <v>821</v>
      </c>
      <c r="H2074" s="211" t="s">
        <v>3622</v>
      </c>
      <c r="I2074" s="156" t="s">
        <v>26</v>
      </c>
      <c r="J2074" s="209" t="s">
        <v>2568</v>
      </c>
      <c r="K2074" s="211"/>
    </row>
    <row r="2075" spans="1:11" ht="150.75">
      <c r="A2075" s="204">
        <v>2073</v>
      </c>
      <c r="B2075" s="205">
        <v>45989</v>
      </c>
      <c r="C2075" s="267" t="s">
        <v>833</v>
      </c>
      <c r="D2075" s="204">
        <v>2025</v>
      </c>
      <c r="E2075" s="204" t="s">
        <v>2224</v>
      </c>
      <c r="F2075" s="204" t="s">
        <v>21</v>
      </c>
      <c r="G2075" s="213" t="s">
        <v>821</v>
      </c>
      <c r="H2075" s="207" t="s">
        <v>3623</v>
      </c>
      <c r="I2075" s="156" t="s">
        <v>26</v>
      </c>
      <c r="J2075" s="204" t="s">
        <v>468</v>
      </c>
      <c r="K2075" s="207" t="s">
        <v>1513</v>
      </c>
    </row>
    <row r="2076" spans="1:11" ht="117">
      <c r="A2076" s="204">
        <v>2074</v>
      </c>
      <c r="B2076" s="208">
        <v>45989</v>
      </c>
      <c r="C2076" s="267" t="s">
        <v>833</v>
      </c>
      <c r="D2076" s="204">
        <v>2025</v>
      </c>
      <c r="E2076" s="209" t="s">
        <v>2224</v>
      </c>
      <c r="F2076" s="209" t="s">
        <v>21</v>
      </c>
      <c r="G2076" s="213" t="s">
        <v>821</v>
      </c>
      <c r="H2076" s="211" t="s">
        <v>3624</v>
      </c>
      <c r="I2076" s="156" t="s">
        <v>26</v>
      </c>
      <c r="J2076" s="209" t="s">
        <v>925</v>
      </c>
      <c r="K2076" s="211" t="s">
        <v>1482</v>
      </c>
    </row>
    <row r="2077" spans="1:11" ht="50.25">
      <c r="A2077" s="204">
        <v>2075</v>
      </c>
      <c r="B2077" s="205">
        <v>45992</v>
      </c>
      <c r="C2077" s="265" t="s">
        <v>834</v>
      </c>
      <c r="D2077" s="204">
        <v>2025</v>
      </c>
      <c r="E2077" s="204" t="s">
        <v>1431</v>
      </c>
      <c r="F2077" s="204" t="s">
        <v>2585</v>
      </c>
      <c r="G2077" s="206" t="s">
        <v>88</v>
      </c>
      <c r="H2077" s="207" t="s">
        <v>3625</v>
      </c>
      <c r="I2077" s="156" t="s">
        <v>26</v>
      </c>
      <c r="J2077" s="204" t="s">
        <v>3626</v>
      </c>
      <c r="K2077" s="207"/>
    </row>
    <row r="2078" spans="1:11" ht="117">
      <c r="A2078" s="204">
        <v>2076</v>
      </c>
      <c r="B2078" s="208">
        <v>45992</v>
      </c>
      <c r="C2078" s="265" t="s">
        <v>834</v>
      </c>
      <c r="D2078" s="204">
        <v>2025</v>
      </c>
      <c r="E2078" s="209" t="s">
        <v>1431</v>
      </c>
      <c r="F2078" s="209" t="s">
        <v>21</v>
      </c>
      <c r="G2078" s="213" t="s">
        <v>821</v>
      </c>
      <c r="H2078" s="211" t="s">
        <v>3627</v>
      </c>
      <c r="I2078" s="156" t="s">
        <v>26</v>
      </c>
      <c r="J2078" s="209" t="s">
        <v>468</v>
      </c>
      <c r="K2078" s="211" t="s">
        <v>1482</v>
      </c>
    </row>
    <row r="2079" spans="1:11" ht="50.25">
      <c r="A2079" s="204">
        <v>2077</v>
      </c>
      <c r="B2079" s="205">
        <v>45992</v>
      </c>
      <c r="C2079" s="265" t="s">
        <v>834</v>
      </c>
      <c r="D2079" s="204">
        <v>2025</v>
      </c>
      <c r="E2079" s="204" t="s">
        <v>2197</v>
      </c>
      <c r="F2079" s="204" t="s">
        <v>2244</v>
      </c>
      <c r="G2079" s="214" t="s">
        <v>859</v>
      </c>
      <c r="H2079" s="207" t="s">
        <v>3628</v>
      </c>
      <c r="I2079" s="156" t="s">
        <v>26</v>
      </c>
      <c r="J2079" s="204" t="s">
        <v>1904</v>
      </c>
      <c r="K2079" s="207"/>
    </row>
    <row r="2080" spans="1:11" ht="134.25">
      <c r="A2080" s="204">
        <v>2078</v>
      </c>
      <c r="B2080" s="208">
        <v>45992</v>
      </c>
      <c r="C2080" s="265" t="s">
        <v>834</v>
      </c>
      <c r="D2080" s="204">
        <v>2025</v>
      </c>
      <c r="E2080" s="209" t="s">
        <v>1431</v>
      </c>
      <c r="F2080" s="209" t="s">
        <v>21</v>
      </c>
      <c r="G2080" s="212" t="s">
        <v>1439</v>
      </c>
      <c r="H2080" s="211" t="s">
        <v>3629</v>
      </c>
      <c r="I2080" s="156" t="s">
        <v>26</v>
      </c>
      <c r="J2080" s="209" t="s">
        <v>149</v>
      </c>
      <c r="K2080" s="211" t="s">
        <v>1442</v>
      </c>
    </row>
    <row r="2081" spans="1:11" ht="50.25">
      <c r="A2081" s="204">
        <v>2079</v>
      </c>
      <c r="B2081" s="205">
        <v>45992</v>
      </c>
      <c r="C2081" s="265" t="s">
        <v>834</v>
      </c>
      <c r="D2081" s="204">
        <v>2025</v>
      </c>
      <c r="E2081" s="204" t="s">
        <v>1431</v>
      </c>
      <c r="F2081" s="204" t="s">
        <v>21</v>
      </c>
      <c r="G2081" s="213" t="s">
        <v>821</v>
      </c>
      <c r="H2081" s="207" t="s">
        <v>3630</v>
      </c>
      <c r="I2081" s="156" t="s">
        <v>26</v>
      </c>
      <c r="J2081" s="204" t="s">
        <v>149</v>
      </c>
      <c r="K2081" s="207"/>
    </row>
    <row r="2082" spans="1:11" ht="50.25">
      <c r="A2082" s="204">
        <v>2080</v>
      </c>
      <c r="B2082" s="208">
        <v>45992</v>
      </c>
      <c r="C2082" s="265" t="s">
        <v>834</v>
      </c>
      <c r="D2082" s="204">
        <v>2025</v>
      </c>
      <c r="E2082" s="209" t="s">
        <v>1431</v>
      </c>
      <c r="F2082" s="209" t="s">
        <v>216</v>
      </c>
      <c r="G2082" s="213" t="s">
        <v>821</v>
      </c>
      <c r="H2082" s="211" t="s">
        <v>3631</v>
      </c>
      <c r="I2082" s="156" t="s">
        <v>26</v>
      </c>
      <c r="J2082" s="209" t="s">
        <v>492</v>
      </c>
      <c r="K2082" s="211"/>
    </row>
    <row r="2083" spans="1:11" ht="66.75">
      <c r="A2083" s="204">
        <v>2081</v>
      </c>
      <c r="B2083" s="205">
        <v>45992</v>
      </c>
      <c r="C2083" s="265" t="s">
        <v>834</v>
      </c>
      <c r="D2083" s="204">
        <v>2025</v>
      </c>
      <c r="E2083" s="204" t="s">
        <v>1431</v>
      </c>
      <c r="F2083" s="204" t="s">
        <v>1449</v>
      </c>
      <c r="G2083" s="206" t="s">
        <v>88</v>
      </c>
      <c r="H2083" s="207" t="s">
        <v>3632</v>
      </c>
      <c r="I2083" s="156" t="s">
        <v>26</v>
      </c>
      <c r="J2083" s="204" t="s">
        <v>3343</v>
      </c>
      <c r="K2083" s="207"/>
    </row>
    <row r="2084" spans="1:11" ht="50.25">
      <c r="A2084" s="204">
        <v>2082</v>
      </c>
      <c r="B2084" s="208">
        <v>45992</v>
      </c>
      <c r="C2084" s="265" t="s">
        <v>834</v>
      </c>
      <c r="D2084" s="204">
        <v>2025</v>
      </c>
      <c r="E2084" s="209" t="s">
        <v>1431</v>
      </c>
      <c r="F2084" s="209" t="s">
        <v>1566</v>
      </c>
      <c r="G2084" s="210" t="s">
        <v>88</v>
      </c>
      <c r="H2084" s="211" t="s">
        <v>3633</v>
      </c>
      <c r="I2084" s="156" t="s">
        <v>26</v>
      </c>
      <c r="J2084" s="209" t="s">
        <v>3634</v>
      </c>
      <c r="K2084" s="211"/>
    </row>
    <row r="2085" spans="1:11" ht="33.75">
      <c r="A2085" s="204">
        <v>2083</v>
      </c>
      <c r="B2085" s="205">
        <v>45992</v>
      </c>
      <c r="C2085" s="265" t="s">
        <v>834</v>
      </c>
      <c r="D2085" s="204">
        <v>2025</v>
      </c>
      <c r="E2085" s="204" t="s">
        <v>1431</v>
      </c>
      <c r="F2085" s="204" t="s">
        <v>97</v>
      </c>
      <c r="G2085" s="213" t="s">
        <v>821</v>
      </c>
      <c r="H2085" s="207" t="s">
        <v>3635</v>
      </c>
      <c r="I2085" s="156" t="s">
        <v>26</v>
      </c>
      <c r="J2085" s="204" t="s">
        <v>3561</v>
      </c>
      <c r="K2085" s="207"/>
    </row>
    <row r="2086" spans="1:11" ht="66.75">
      <c r="A2086" s="204">
        <v>2084</v>
      </c>
      <c r="B2086" s="208">
        <v>45992</v>
      </c>
      <c r="C2086" s="265" t="s">
        <v>834</v>
      </c>
      <c r="D2086" s="204">
        <v>2025</v>
      </c>
      <c r="E2086" s="209" t="s">
        <v>2224</v>
      </c>
      <c r="F2086" s="209" t="s">
        <v>3636</v>
      </c>
      <c r="G2086" s="210" t="s">
        <v>88</v>
      </c>
      <c r="H2086" s="211" t="s">
        <v>3637</v>
      </c>
      <c r="I2086" s="156" t="s">
        <v>26</v>
      </c>
      <c r="J2086" s="209" t="s">
        <v>3421</v>
      </c>
      <c r="K2086" s="211"/>
    </row>
    <row r="2087" spans="1:11" ht="117">
      <c r="A2087" s="204">
        <v>2085</v>
      </c>
      <c r="B2087" s="205">
        <v>45992</v>
      </c>
      <c r="C2087" s="265" t="s">
        <v>834</v>
      </c>
      <c r="D2087" s="204">
        <v>2025</v>
      </c>
      <c r="E2087" s="204" t="s">
        <v>2224</v>
      </c>
      <c r="F2087" s="204" t="s">
        <v>21</v>
      </c>
      <c r="G2087" s="213" t="s">
        <v>821</v>
      </c>
      <c r="H2087" s="207" t="s">
        <v>3638</v>
      </c>
      <c r="I2087" s="156" t="s">
        <v>26</v>
      </c>
      <c r="J2087" s="204" t="s">
        <v>149</v>
      </c>
      <c r="K2087" s="207" t="s">
        <v>1482</v>
      </c>
    </row>
    <row r="2088" spans="1:11" ht="100.5">
      <c r="A2088" s="204">
        <v>2086</v>
      </c>
      <c r="B2088" s="208">
        <v>45992</v>
      </c>
      <c r="C2088" s="265" t="s">
        <v>834</v>
      </c>
      <c r="D2088" s="204">
        <v>2025</v>
      </c>
      <c r="E2088" s="209" t="s">
        <v>2224</v>
      </c>
      <c r="F2088" s="209" t="s">
        <v>1566</v>
      </c>
      <c r="G2088" s="210" t="s">
        <v>88</v>
      </c>
      <c r="H2088" s="211" t="s">
        <v>3639</v>
      </c>
      <c r="I2088" s="156" t="s">
        <v>26</v>
      </c>
      <c r="J2088" s="209" t="s">
        <v>2640</v>
      </c>
      <c r="K2088" s="211" t="s">
        <v>1454</v>
      </c>
    </row>
    <row r="2089" spans="1:11" ht="33.75">
      <c r="A2089" s="204">
        <v>2087</v>
      </c>
      <c r="B2089" s="205">
        <v>45992</v>
      </c>
      <c r="C2089" s="265" t="s">
        <v>834</v>
      </c>
      <c r="D2089" s="204">
        <v>2025</v>
      </c>
      <c r="E2089" s="204" t="s">
        <v>2224</v>
      </c>
      <c r="F2089" s="204" t="s">
        <v>1566</v>
      </c>
      <c r="G2089" s="206" t="s">
        <v>88</v>
      </c>
      <c r="H2089" s="207" t="s">
        <v>3640</v>
      </c>
      <c r="I2089" s="156" t="s">
        <v>26</v>
      </c>
      <c r="J2089" s="204" t="s">
        <v>2640</v>
      </c>
      <c r="K2089" s="207"/>
    </row>
    <row r="2090" spans="1:11" ht="33.75">
      <c r="A2090" s="204">
        <v>2088</v>
      </c>
      <c r="B2090" s="208">
        <v>45992</v>
      </c>
      <c r="C2090" s="265" t="s">
        <v>834</v>
      </c>
      <c r="D2090" s="204">
        <v>2025</v>
      </c>
      <c r="E2090" s="209" t="s">
        <v>2224</v>
      </c>
      <c r="F2090" s="209" t="s">
        <v>1432</v>
      </c>
      <c r="G2090" s="213" t="s">
        <v>821</v>
      </c>
      <c r="H2090" s="211" t="s">
        <v>3641</v>
      </c>
      <c r="I2090" s="156" t="s">
        <v>26</v>
      </c>
      <c r="J2090" s="209" t="s">
        <v>59</v>
      </c>
      <c r="K2090" s="211"/>
    </row>
    <row r="2091" spans="1:11" ht="33.75">
      <c r="A2091" s="204">
        <v>2089</v>
      </c>
      <c r="B2091" s="205">
        <v>45992</v>
      </c>
      <c r="C2091" s="265" t="s">
        <v>834</v>
      </c>
      <c r="D2091" s="204">
        <v>2025</v>
      </c>
      <c r="E2091" s="204" t="s">
        <v>2224</v>
      </c>
      <c r="F2091" s="204" t="s">
        <v>1449</v>
      </c>
      <c r="G2091" s="206" t="s">
        <v>88</v>
      </c>
      <c r="H2091" s="207" t="s">
        <v>3642</v>
      </c>
      <c r="I2091" s="156" t="s">
        <v>26</v>
      </c>
      <c r="J2091" s="204" t="s">
        <v>2593</v>
      </c>
      <c r="K2091" s="207"/>
    </row>
    <row r="2092" spans="1:11" ht="100.5">
      <c r="A2092" s="204">
        <v>2090</v>
      </c>
      <c r="B2092" s="208">
        <v>45992</v>
      </c>
      <c r="C2092" s="265" t="s">
        <v>834</v>
      </c>
      <c r="D2092" s="204">
        <v>2025</v>
      </c>
      <c r="E2092" s="209" t="s">
        <v>1431</v>
      </c>
      <c r="F2092" s="209" t="s">
        <v>1449</v>
      </c>
      <c r="G2092" s="210" t="s">
        <v>88</v>
      </c>
      <c r="H2092" s="218" t="s">
        <v>3643</v>
      </c>
      <c r="I2092" s="156" t="s">
        <v>26</v>
      </c>
      <c r="J2092" s="209" t="s">
        <v>2593</v>
      </c>
      <c r="K2092" s="211"/>
    </row>
    <row r="2093" spans="1:11" ht="16.5">
      <c r="A2093" s="204">
        <v>2091</v>
      </c>
      <c r="B2093" s="205">
        <v>45992</v>
      </c>
      <c r="C2093" s="265" t="s">
        <v>834</v>
      </c>
      <c r="D2093" s="204">
        <v>2025</v>
      </c>
      <c r="E2093" s="204" t="s">
        <v>1431</v>
      </c>
      <c r="F2093" s="204" t="s">
        <v>1449</v>
      </c>
      <c r="G2093" s="206" t="s">
        <v>88</v>
      </c>
      <c r="H2093" s="207" t="s">
        <v>3644</v>
      </c>
      <c r="I2093" s="156" t="s">
        <v>26</v>
      </c>
      <c r="J2093" s="204" t="s">
        <v>2593</v>
      </c>
      <c r="K2093" s="207"/>
    </row>
    <row r="2094" spans="1:11" ht="100.5">
      <c r="A2094" s="204">
        <v>2092</v>
      </c>
      <c r="B2094" s="208">
        <v>45992</v>
      </c>
      <c r="C2094" s="265" t="s">
        <v>834</v>
      </c>
      <c r="D2094" s="204">
        <v>2025</v>
      </c>
      <c r="E2094" s="209" t="s">
        <v>1431</v>
      </c>
      <c r="F2094" s="209" t="s">
        <v>1449</v>
      </c>
      <c r="G2094" s="210" t="s">
        <v>88</v>
      </c>
      <c r="H2094" s="211" t="s">
        <v>3645</v>
      </c>
      <c r="I2094" s="156" t="s">
        <v>26</v>
      </c>
      <c r="J2094" s="209" t="s">
        <v>2593</v>
      </c>
      <c r="K2094" s="211"/>
    </row>
    <row r="2095" spans="1:11" ht="50.25">
      <c r="A2095" s="204">
        <v>2093</v>
      </c>
      <c r="B2095" s="205">
        <v>45992</v>
      </c>
      <c r="C2095" s="265" t="s">
        <v>834</v>
      </c>
      <c r="D2095" s="204">
        <v>2025</v>
      </c>
      <c r="E2095" s="204" t="s">
        <v>1431</v>
      </c>
      <c r="F2095" s="204" t="s">
        <v>1449</v>
      </c>
      <c r="G2095" s="206" t="s">
        <v>88</v>
      </c>
      <c r="H2095" s="207" t="s">
        <v>3646</v>
      </c>
      <c r="I2095" s="156" t="s">
        <v>26</v>
      </c>
      <c r="J2095" s="204" t="s">
        <v>2593</v>
      </c>
      <c r="K2095" s="207"/>
    </row>
    <row r="2096" spans="1:11" ht="100.5">
      <c r="A2096" s="204">
        <v>2094</v>
      </c>
      <c r="B2096" s="208">
        <v>45992</v>
      </c>
      <c r="C2096" s="265" t="s">
        <v>834</v>
      </c>
      <c r="D2096" s="204">
        <v>2025</v>
      </c>
      <c r="E2096" s="209" t="s">
        <v>1431</v>
      </c>
      <c r="F2096" s="209" t="s">
        <v>1566</v>
      </c>
      <c r="G2096" s="210" t="s">
        <v>88</v>
      </c>
      <c r="H2096" s="211" t="s">
        <v>3647</v>
      </c>
      <c r="I2096" s="156" t="s">
        <v>26</v>
      </c>
      <c r="J2096" s="209" t="s">
        <v>2640</v>
      </c>
      <c r="K2096" s="211" t="s">
        <v>1454</v>
      </c>
    </row>
    <row r="2097" spans="1:11" ht="100.5">
      <c r="A2097" s="204">
        <v>2095</v>
      </c>
      <c r="B2097" s="205">
        <v>45992</v>
      </c>
      <c r="C2097" s="265" t="s">
        <v>834</v>
      </c>
      <c r="D2097" s="204">
        <v>2025</v>
      </c>
      <c r="E2097" s="204" t="s">
        <v>1431</v>
      </c>
      <c r="F2097" s="204" t="s">
        <v>1566</v>
      </c>
      <c r="G2097" s="206" t="s">
        <v>88</v>
      </c>
      <c r="H2097" s="207" t="s">
        <v>3648</v>
      </c>
      <c r="I2097" s="156" t="s">
        <v>26</v>
      </c>
      <c r="J2097" s="204" t="s">
        <v>2640</v>
      </c>
      <c r="K2097" s="207" t="s">
        <v>1478</v>
      </c>
    </row>
    <row r="2098" spans="1:11" ht="100.5">
      <c r="A2098" s="204">
        <v>2096</v>
      </c>
      <c r="B2098" s="208">
        <v>45993</v>
      </c>
      <c r="C2098" s="265" t="s">
        <v>834</v>
      </c>
      <c r="D2098" s="204">
        <v>2025</v>
      </c>
      <c r="E2098" s="209" t="s">
        <v>1431</v>
      </c>
      <c r="F2098" s="209" t="s">
        <v>3011</v>
      </c>
      <c r="G2098" s="217" t="s">
        <v>859</v>
      </c>
      <c r="H2098" s="211" t="s">
        <v>3649</v>
      </c>
      <c r="I2098" s="156" t="s">
        <v>26</v>
      </c>
      <c r="J2098" s="209" t="s">
        <v>3626</v>
      </c>
      <c r="K2098" s="211" t="s">
        <v>1476</v>
      </c>
    </row>
    <row r="2099" spans="1:11" ht="100.5">
      <c r="A2099" s="204">
        <v>2097</v>
      </c>
      <c r="B2099" s="205">
        <v>45993</v>
      </c>
      <c r="C2099" s="265" t="s">
        <v>834</v>
      </c>
      <c r="D2099" s="204">
        <v>2025</v>
      </c>
      <c r="E2099" s="204" t="s">
        <v>1431</v>
      </c>
      <c r="F2099" s="204" t="s">
        <v>2595</v>
      </c>
      <c r="G2099" s="206" t="s">
        <v>88</v>
      </c>
      <c r="H2099" s="207" t="s">
        <v>3650</v>
      </c>
      <c r="I2099" s="156" t="s">
        <v>26</v>
      </c>
      <c r="J2099" s="204" t="s">
        <v>3516</v>
      </c>
      <c r="K2099" s="207" t="s">
        <v>1472</v>
      </c>
    </row>
    <row r="2100" spans="1:11" ht="100.5">
      <c r="A2100" s="204">
        <v>2098</v>
      </c>
      <c r="B2100" s="208">
        <v>45993</v>
      </c>
      <c r="C2100" s="265" t="s">
        <v>834</v>
      </c>
      <c r="D2100" s="204">
        <v>2025</v>
      </c>
      <c r="E2100" s="209" t="s">
        <v>1431</v>
      </c>
      <c r="F2100" s="209" t="s">
        <v>2595</v>
      </c>
      <c r="G2100" s="210" t="s">
        <v>88</v>
      </c>
      <c r="H2100" s="211" t="s">
        <v>3651</v>
      </c>
      <c r="I2100" s="156" t="s">
        <v>26</v>
      </c>
      <c r="J2100" s="209" t="s">
        <v>3516</v>
      </c>
      <c r="K2100" s="211" t="s">
        <v>1472</v>
      </c>
    </row>
    <row r="2101" spans="1:11" ht="66.75">
      <c r="A2101" s="204">
        <v>2099</v>
      </c>
      <c r="B2101" s="205">
        <v>45993</v>
      </c>
      <c r="C2101" s="265" t="s">
        <v>834</v>
      </c>
      <c r="D2101" s="204">
        <v>2025</v>
      </c>
      <c r="E2101" s="204" t="s">
        <v>1431</v>
      </c>
      <c r="F2101" s="204" t="s">
        <v>3011</v>
      </c>
      <c r="G2101" s="206" t="s">
        <v>88</v>
      </c>
      <c r="H2101" s="207" t="s">
        <v>3652</v>
      </c>
      <c r="I2101" s="156" t="s">
        <v>26</v>
      </c>
      <c r="J2101" s="204" t="s">
        <v>1543</v>
      </c>
      <c r="K2101" s="207"/>
    </row>
    <row r="2102" spans="1:11" ht="50.25">
      <c r="A2102" s="204">
        <v>2100</v>
      </c>
      <c r="B2102" s="208">
        <v>45993</v>
      </c>
      <c r="C2102" s="265" t="s">
        <v>834</v>
      </c>
      <c r="D2102" s="204">
        <v>2025</v>
      </c>
      <c r="E2102" s="209" t="s">
        <v>1431</v>
      </c>
      <c r="F2102" s="209" t="s">
        <v>21</v>
      </c>
      <c r="G2102" s="210" t="s">
        <v>88</v>
      </c>
      <c r="H2102" s="211" t="s">
        <v>3653</v>
      </c>
      <c r="I2102" s="156" t="s">
        <v>26</v>
      </c>
      <c r="J2102" s="209" t="s">
        <v>1543</v>
      </c>
      <c r="K2102" s="211"/>
    </row>
    <row r="2103" spans="1:11" ht="50.25">
      <c r="A2103" s="204">
        <v>2101</v>
      </c>
      <c r="B2103" s="205">
        <v>45993</v>
      </c>
      <c r="C2103" s="265" t="s">
        <v>834</v>
      </c>
      <c r="D2103" s="204">
        <v>2025</v>
      </c>
      <c r="E2103" s="204" t="s">
        <v>1431</v>
      </c>
      <c r="F2103" s="204" t="s">
        <v>1511</v>
      </c>
      <c r="G2103" s="206" t="s">
        <v>88</v>
      </c>
      <c r="H2103" s="207" t="s">
        <v>3654</v>
      </c>
      <c r="I2103" s="156" t="s">
        <v>26</v>
      </c>
      <c r="J2103" s="204" t="s">
        <v>1998</v>
      </c>
      <c r="K2103" s="207"/>
    </row>
    <row r="2104" spans="1:11" ht="84">
      <c r="A2104" s="204">
        <v>2102</v>
      </c>
      <c r="B2104" s="208">
        <v>45993</v>
      </c>
      <c r="C2104" s="265" t="s">
        <v>834</v>
      </c>
      <c r="D2104" s="204">
        <v>2025</v>
      </c>
      <c r="E2104" s="209" t="s">
        <v>1431</v>
      </c>
      <c r="F2104" s="209" t="s">
        <v>3655</v>
      </c>
      <c r="G2104" s="210" t="s">
        <v>88</v>
      </c>
      <c r="H2104" s="211" t="s">
        <v>3656</v>
      </c>
      <c r="I2104" s="156" t="s">
        <v>26</v>
      </c>
      <c r="J2104" s="209" t="s">
        <v>3343</v>
      </c>
      <c r="K2104" s="211" t="s">
        <v>1500</v>
      </c>
    </row>
    <row r="2105" spans="1:11" ht="84">
      <c r="A2105" s="204">
        <v>2103</v>
      </c>
      <c r="B2105" s="205">
        <v>45993</v>
      </c>
      <c r="C2105" s="265" t="s">
        <v>834</v>
      </c>
      <c r="D2105" s="204">
        <v>2025</v>
      </c>
      <c r="E2105" s="204" t="s">
        <v>2224</v>
      </c>
      <c r="F2105" s="204" t="s">
        <v>1432</v>
      </c>
      <c r="G2105" s="213" t="s">
        <v>821</v>
      </c>
      <c r="H2105" s="207" t="s">
        <v>3657</v>
      </c>
      <c r="I2105" s="156" t="s">
        <v>26</v>
      </c>
      <c r="J2105" s="204" t="s">
        <v>59</v>
      </c>
      <c r="K2105" s="207"/>
    </row>
    <row r="2106" spans="1:11" ht="33.75">
      <c r="A2106" s="204">
        <v>2104</v>
      </c>
      <c r="B2106" s="208">
        <v>45993</v>
      </c>
      <c r="C2106" s="265" t="s">
        <v>834</v>
      </c>
      <c r="D2106" s="204">
        <v>2025</v>
      </c>
      <c r="E2106" s="209" t="s">
        <v>2224</v>
      </c>
      <c r="F2106" s="209" t="s">
        <v>1449</v>
      </c>
      <c r="G2106" s="210" t="s">
        <v>88</v>
      </c>
      <c r="H2106" s="211" t="s">
        <v>3658</v>
      </c>
      <c r="I2106" s="156" t="s">
        <v>26</v>
      </c>
      <c r="J2106" s="209" t="s">
        <v>2593</v>
      </c>
      <c r="K2106" s="211"/>
    </row>
    <row r="2107" spans="1:11" ht="33.75">
      <c r="A2107" s="204">
        <v>2105</v>
      </c>
      <c r="B2107" s="205">
        <v>45993</v>
      </c>
      <c r="C2107" s="265" t="s">
        <v>834</v>
      </c>
      <c r="D2107" s="204">
        <v>2025</v>
      </c>
      <c r="E2107" s="204" t="s">
        <v>2224</v>
      </c>
      <c r="F2107" s="204" t="s">
        <v>1566</v>
      </c>
      <c r="G2107" s="206" t="s">
        <v>88</v>
      </c>
      <c r="H2107" s="207" t="s">
        <v>3659</v>
      </c>
      <c r="I2107" s="156" t="s">
        <v>26</v>
      </c>
      <c r="J2107" s="204" t="s">
        <v>2640</v>
      </c>
      <c r="K2107" s="207"/>
    </row>
    <row r="2108" spans="1:11" ht="134.25">
      <c r="A2108" s="204">
        <v>2106</v>
      </c>
      <c r="B2108" s="208">
        <v>45993</v>
      </c>
      <c r="C2108" s="265" t="s">
        <v>834</v>
      </c>
      <c r="D2108" s="204">
        <v>2025</v>
      </c>
      <c r="E2108" s="209" t="s">
        <v>1431</v>
      </c>
      <c r="F2108" s="209" t="s">
        <v>1608</v>
      </c>
      <c r="G2108" s="212" t="s">
        <v>1439</v>
      </c>
      <c r="H2108" s="211" t="s">
        <v>2849</v>
      </c>
      <c r="I2108" s="156" t="s">
        <v>26</v>
      </c>
      <c r="J2108" s="209" t="s">
        <v>1458</v>
      </c>
      <c r="K2108" s="211" t="s">
        <v>1442</v>
      </c>
    </row>
    <row r="2109" spans="1:11" ht="84">
      <c r="A2109" s="204">
        <v>2107</v>
      </c>
      <c r="B2109" s="205">
        <v>45993</v>
      </c>
      <c r="C2109" s="265" t="s">
        <v>834</v>
      </c>
      <c r="D2109" s="204">
        <v>2025</v>
      </c>
      <c r="E2109" s="204" t="s">
        <v>1431</v>
      </c>
      <c r="F2109" s="204" t="s">
        <v>1449</v>
      </c>
      <c r="G2109" s="206" t="s">
        <v>88</v>
      </c>
      <c r="H2109" s="219" t="s">
        <v>3660</v>
      </c>
      <c r="I2109" s="156" t="s">
        <v>26</v>
      </c>
      <c r="J2109" s="204" t="s">
        <v>2593</v>
      </c>
      <c r="K2109" s="207" t="s">
        <v>1444</v>
      </c>
    </row>
    <row r="2110" spans="1:11" ht="50.25">
      <c r="A2110" s="204">
        <v>2108</v>
      </c>
      <c r="B2110" s="208">
        <v>45993</v>
      </c>
      <c r="C2110" s="265" t="s">
        <v>834</v>
      </c>
      <c r="D2110" s="204">
        <v>2025</v>
      </c>
      <c r="E2110" s="209" t="s">
        <v>1431</v>
      </c>
      <c r="F2110" s="209" t="s">
        <v>1449</v>
      </c>
      <c r="G2110" s="210" t="s">
        <v>88</v>
      </c>
      <c r="H2110" s="218" t="s">
        <v>3661</v>
      </c>
      <c r="I2110" s="156" t="s">
        <v>26</v>
      </c>
      <c r="J2110" s="209" t="s">
        <v>2593</v>
      </c>
      <c r="K2110" s="211"/>
    </row>
    <row r="2111" spans="1:11" ht="100.5">
      <c r="A2111" s="204">
        <v>2109</v>
      </c>
      <c r="B2111" s="205">
        <v>45993</v>
      </c>
      <c r="C2111" s="265" t="s">
        <v>834</v>
      </c>
      <c r="D2111" s="204">
        <v>2025</v>
      </c>
      <c r="E2111" s="204" t="s">
        <v>1431</v>
      </c>
      <c r="F2111" s="204" t="s">
        <v>1449</v>
      </c>
      <c r="G2111" s="206" t="s">
        <v>88</v>
      </c>
      <c r="H2111" s="219" t="s">
        <v>3662</v>
      </c>
      <c r="I2111" s="156" t="s">
        <v>26</v>
      </c>
      <c r="J2111" s="204" t="s">
        <v>2593</v>
      </c>
      <c r="K2111" s="207"/>
    </row>
    <row r="2112" spans="1:11" ht="100.5">
      <c r="A2112" s="204">
        <v>2110</v>
      </c>
      <c r="B2112" s="208">
        <v>45993</v>
      </c>
      <c r="C2112" s="265" t="s">
        <v>834</v>
      </c>
      <c r="D2112" s="204">
        <v>2025</v>
      </c>
      <c r="E2112" s="209" t="s">
        <v>1431</v>
      </c>
      <c r="F2112" s="209" t="s">
        <v>1449</v>
      </c>
      <c r="G2112" s="210" t="s">
        <v>88</v>
      </c>
      <c r="H2112" s="218" t="s">
        <v>3663</v>
      </c>
      <c r="I2112" s="156" t="s">
        <v>26</v>
      </c>
      <c r="J2112" s="209" t="s">
        <v>2593</v>
      </c>
      <c r="K2112" s="211" t="s">
        <v>1472</v>
      </c>
    </row>
    <row r="2113" spans="1:11" ht="100.5">
      <c r="A2113" s="204">
        <v>2111</v>
      </c>
      <c r="B2113" s="205">
        <v>45993</v>
      </c>
      <c r="C2113" s="265" t="s">
        <v>834</v>
      </c>
      <c r="D2113" s="204">
        <v>2025</v>
      </c>
      <c r="E2113" s="204" t="s">
        <v>1431</v>
      </c>
      <c r="F2113" s="204" t="s">
        <v>1449</v>
      </c>
      <c r="G2113" s="206" t="s">
        <v>88</v>
      </c>
      <c r="H2113" s="219" t="s">
        <v>3664</v>
      </c>
      <c r="I2113" s="156" t="s">
        <v>26</v>
      </c>
      <c r="J2113" s="204" t="s">
        <v>2593</v>
      </c>
      <c r="K2113" s="207"/>
    </row>
    <row r="2114" spans="1:11" ht="117">
      <c r="A2114" s="204">
        <v>2112</v>
      </c>
      <c r="B2114" s="208">
        <v>45993</v>
      </c>
      <c r="C2114" s="265" t="s">
        <v>834</v>
      </c>
      <c r="D2114" s="204">
        <v>2025</v>
      </c>
      <c r="E2114" s="209" t="s">
        <v>1431</v>
      </c>
      <c r="F2114" s="209" t="s">
        <v>1449</v>
      </c>
      <c r="G2114" s="210" t="s">
        <v>88</v>
      </c>
      <c r="H2114" s="218" t="s">
        <v>3665</v>
      </c>
      <c r="I2114" s="156" t="s">
        <v>26</v>
      </c>
      <c r="J2114" s="209" t="s">
        <v>2593</v>
      </c>
      <c r="K2114" s="211" t="s">
        <v>1510</v>
      </c>
    </row>
    <row r="2115" spans="1:11" ht="117">
      <c r="A2115" s="204">
        <v>2113</v>
      </c>
      <c r="B2115" s="205">
        <v>45993</v>
      </c>
      <c r="C2115" s="265" t="s">
        <v>834</v>
      </c>
      <c r="D2115" s="204">
        <v>2025</v>
      </c>
      <c r="E2115" s="204" t="s">
        <v>1431</v>
      </c>
      <c r="F2115" s="204" t="s">
        <v>1449</v>
      </c>
      <c r="G2115" s="206" t="s">
        <v>88</v>
      </c>
      <c r="H2115" s="219" t="s">
        <v>3666</v>
      </c>
      <c r="I2115" s="156" t="s">
        <v>26</v>
      </c>
      <c r="J2115" s="204" t="s">
        <v>2593</v>
      </c>
      <c r="K2115" s="207" t="s">
        <v>1510</v>
      </c>
    </row>
    <row r="2116" spans="1:11" ht="100.5">
      <c r="A2116" s="204">
        <v>2114</v>
      </c>
      <c r="B2116" s="208">
        <v>45993</v>
      </c>
      <c r="C2116" s="265" t="s">
        <v>834</v>
      </c>
      <c r="D2116" s="204">
        <v>2025</v>
      </c>
      <c r="E2116" s="209" t="s">
        <v>1431</v>
      </c>
      <c r="F2116" s="209" t="s">
        <v>1566</v>
      </c>
      <c r="G2116" s="210" t="s">
        <v>88</v>
      </c>
      <c r="H2116" s="211" t="s">
        <v>3667</v>
      </c>
      <c r="I2116" s="156" t="s">
        <v>26</v>
      </c>
      <c r="J2116" s="209" t="s">
        <v>2640</v>
      </c>
      <c r="K2116" s="211" t="s">
        <v>1478</v>
      </c>
    </row>
    <row r="2117" spans="1:11" ht="117">
      <c r="A2117" s="204">
        <v>2115</v>
      </c>
      <c r="B2117" s="205">
        <v>45994</v>
      </c>
      <c r="C2117" s="265" t="s">
        <v>834</v>
      </c>
      <c r="D2117" s="204">
        <v>2025</v>
      </c>
      <c r="E2117" s="204" t="s">
        <v>1431</v>
      </c>
      <c r="F2117" s="204" t="s">
        <v>1566</v>
      </c>
      <c r="G2117" s="206" t="s">
        <v>88</v>
      </c>
      <c r="H2117" s="207" t="s">
        <v>3668</v>
      </c>
      <c r="I2117" s="156" t="s">
        <v>26</v>
      </c>
      <c r="J2117" s="204" t="s">
        <v>3626</v>
      </c>
      <c r="K2117" s="207" t="s">
        <v>1522</v>
      </c>
    </row>
    <row r="2118" spans="1:11" ht="16.5">
      <c r="A2118" s="204">
        <v>2116</v>
      </c>
      <c r="B2118" s="208">
        <v>45994</v>
      </c>
      <c r="C2118" s="265" t="s">
        <v>834</v>
      </c>
      <c r="D2118" s="204">
        <v>2025</v>
      </c>
      <c r="E2118" s="209" t="s">
        <v>1431</v>
      </c>
      <c r="F2118" s="209" t="s">
        <v>1511</v>
      </c>
      <c r="G2118" s="210" t="s">
        <v>88</v>
      </c>
      <c r="H2118" s="211" t="s">
        <v>3669</v>
      </c>
      <c r="I2118" s="156" t="s">
        <v>26</v>
      </c>
      <c r="J2118" s="209" t="s">
        <v>2700</v>
      </c>
      <c r="K2118" s="211"/>
    </row>
    <row r="2119" spans="1:11" ht="50.25">
      <c r="A2119" s="204">
        <v>2117</v>
      </c>
      <c r="B2119" s="205">
        <v>45994</v>
      </c>
      <c r="C2119" s="265" t="s">
        <v>834</v>
      </c>
      <c r="D2119" s="204">
        <v>2025</v>
      </c>
      <c r="E2119" s="204" t="s">
        <v>1431</v>
      </c>
      <c r="F2119" s="204" t="s">
        <v>1432</v>
      </c>
      <c r="G2119" s="206" t="s">
        <v>88</v>
      </c>
      <c r="H2119" s="207" t="s">
        <v>3670</v>
      </c>
      <c r="I2119" s="156" t="s">
        <v>26</v>
      </c>
      <c r="J2119" s="204" t="s">
        <v>925</v>
      </c>
      <c r="K2119" s="207"/>
    </row>
    <row r="2120" spans="1:11" ht="50.25">
      <c r="A2120" s="204">
        <v>2118</v>
      </c>
      <c r="B2120" s="208">
        <v>45994</v>
      </c>
      <c r="C2120" s="265" t="s">
        <v>834</v>
      </c>
      <c r="D2120" s="204">
        <v>2025</v>
      </c>
      <c r="E2120" s="209" t="s">
        <v>1431</v>
      </c>
      <c r="F2120" s="209" t="s">
        <v>1608</v>
      </c>
      <c r="G2120" s="210" t="s">
        <v>88</v>
      </c>
      <c r="H2120" s="211" t="s">
        <v>3671</v>
      </c>
      <c r="I2120" s="156" t="s">
        <v>26</v>
      </c>
      <c r="J2120" s="209" t="s">
        <v>2599</v>
      </c>
      <c r="K2120" s="211"/>
    </row>
    <row r="2121" spans="1:11" ht="84">
      <c r="A2121" s="204">
        <v>2119</v>
      </c>
      <c r="B2121" s="205">
        <v>45994</v>
      </c>
      <c r="C2121" s="265" t="s">
        <v>834</v>
      </c>
      <c r="D2121" s="204">
        <v>2025</v>
      </c>
      <c r="E2121" s="204" t="s">
        <v>1431</v>
      </c>
      <c r="F2121" s="204" t="s">
        <v>3655</v>
      </c>
      <c r="G2121" s="206" t="s">
        <v>88</v>
      </c>
      <c r="H2121" s="207" t="s">
        <v>3672</v>
      </c>
      <c r="I2121" s="156" t="s">
        <v>26</v>
      </c>
      <c r="J2121" s="204" t="s">
        <v>3343</v>
      </c>
      <c r="K2121" s="207" t="s">
        <v>1500</v>
      </c>
    </row>
    <row r="2122" spans="1:11" ht="84">
      <c r="A2122" s="204">
        <v>2120</v>
      </c>
      <c r="B2122" s="208">
        <v>45994</v>
      </c>
      <c r="C2122" s="265" t="s">
        <v>834</v>
      </c>
      <c r="D2122" s="204">
        <v>2025</v>
      </c>
      <c r="E2122" s="209" t="s">
        <v>1431</v>
      </c>
      <c r="F2122" s="209" t="s">
        <v>3655</v>
      </c>
      <c r="G2122" s="210" t="s">
        <v>88</v>
      </c>
      <c r="H2122" s="211" t="s">
        <v>3673</v>
      </c>
      <c r="I2122" s="156" t="s">
        <v>26</v>
      </c>
      <c r="J2122" s="209" t="s">
        <v>3343</v>
      </c>
      <c r="K2122" s="211" t="s">
        <v>1500</v>
      </c>
    </row>
    <row r="2123" spans="1:11" ht="66.75">
      <c r="A2123" s="204">
        <v>2121</v>
      </c>
      <c r="B2123" s="205">
        <v>45994</v>
      </c>
      <c r="C2123" s="265" t="s">
        <v>834</v>
      </c>
      <c r="D2123" s="204">
        <v>2025</v>
      </c>
      <c r="E2123" s="204" t="s">
        <v>1431</v>
      </c>
      <c r="F2123" s="204" t="s">
        <v>216</v>
      </c>
      <c r="G2123" s="213" t="s">
        <v>821</v>
      </c>
      <c r="H2123" s="207" t="s">
        <v>3674</v>
      </c>
      <c r="I2123" s="156" t="s">
        <v>26</v>
      </c>
      <c r="J2123" s="204" t="s">
        <v>492</v>
      </c>
      <c r="K2123" s="207"/>
    </row>
    <row r="2124" spans="1:11" ht="33.75">
      <c r="A2124" s="204">
        <v>2122</v>
      </c>
      <c r="B2124" s="208">
        <v>45994</v>
      </c>
      <c r="C2124" s="265" t="s">
        <v>834</v>
      </c>
      <c r="D2124" s="204">
        <v>2025</v>
      </c>
      <c r="E2124" s="209" t="s">
        <v>1431</v>
      </c>
      <c r="F2124" s="209" t="s">
        <v>216</v>
      </c>
      <c r="G2124" s="213" t="s">
        <v>821</v>
      </c>
      <c r="H2124" s="211" t="s">
        <v>3675</v>
      </c>
      <c r="I2124" s="156" t="s">
        <v>26</v>
      </c>
      <c r="J2124" s="209" t="s">
        <v>492</v>
      </c>
      <c r="K2124" s="211"/>
    </row>
    <row r="2125" spans="1:11" ht="33.75">
      <c r="A2125" s="204">
        <v>2123</v>
      </c>
      <c r="B2125" s="205">
        <v>45994</v>
      </c>
      <c r="C2125" s="265" t="s">
        <v>834</v>
      </c>
      <c r="D2125" s="204">
        <v>2025</v>
      </c>
      <c r="E2125" s="204" t="s">
        <v>1431</v>
      </c>
      <c r="F2125" s="204" t="s">
        <v>216</v>
      </c>
      <c r="G2125" s="213" t="s">
        <v>821</v>
      </c>
      <c r="H2125" s="207" t="s">
        <v>3676</v>
      </c>
      <c r="I2125" s="156" t="s">
        <v>26</v>
      </c>
      <c r="J2125" s="204" t="s">
        <v>492</v>
      </c>
      <c r="K2125" s="207"/>
    </row>
    <row r="2126" spans="1:11" ht="50.25">
      <c r="A2126" s="204">
        <v>2124</v>
      </c>
      <c r="B2126" s="208">
        <v>45994</v>
      </c>
      <c r="C2126" s="265" t="s">
        <v>834</v>
      </c>
      <c r="D2126" s="204">
        <v>2025</v>
      </c>
      <c r="E2126" s="209" t="s">
        <v>1431</v>
      </c>
      <c r="F2126" s="209" t="s">
        <v>21</v>
      </c>
      <c r="G2126" s="213" t="s">
        <v>821</v>
      </c>
      <c r="H2126" s="211" t="s">
        <v>3677</v>
      </c>
      <c r="I2126" s="156" t="s">
        <v>26</v>
      </c>
      <c r="J2126" s="209" t="s">
        <v>468</v>
      </c>
      <c r="K2126" s="211"/>
    </row>
    <row r="2127" spans="1:11" ht="33.75">
      <c r="A2127" s="204">
        <v>2125</v>
      </c>
      <c r="B2127" s="205">
        <v>45994</v>
      </c>
      <c r="C2127" s="265" t="s">
        <v>834</v>
      </c>
      <c r="D2127" s="204">
        <v>2025</v>
      </c>
      <c r="E2127" s="204" t="s">
        <v>1431</v>
      </c>
      <c r="F2127" s="204" t="s">
        <v>1449</v>
      </c>
      <c r="G2127" s="206" t="s">
        <v>88</v>
      </c>
      <c r="H2127" s="207" t="s">
        <v>3678</v>
      </c>
      <c r="I2127" s="156" t="s">
        <v>26</v>
      </c>
      <c r="J2127" s="204" t="s">
        <v>2593</v>
      </c>
      <c r="K2127" s="207"/>
    </row>
    <row r="2128" spans="1:11" ht="33.75">
      <c r="A2128" s="204">
        <v>2126</v>
      </c>
      <c r="B2128" s="208">
        <v>45994</v>
      </c>
      <c r="C2128" s="265" t="s">
        <v>834</v>
      </c>
      <c r="D2128" s="204">
        <v>2025</v>
      </c>
      <c r="E2128" s="209" t="s">
        <v>2224</v>
      </c>
      <c r="F2128" s="209" t="s">
        <v>1511</v>
      </c>
      <c r="G2128" s="210" t="s">
        <v>88</v>
      </c>
      <c r="H2128" s="211" t="s">
        <v>3679</v>
      </c>
      <c r="I2128" s="156" t="s">
        <v>26</v>
      </c>
      <c r="J2128" s="209" t="s">
        <v>2568</v>
      </c>
      <c r="K2128" s="211"/>
    </row>
    <row r="2129" spans="1:11" ht="33.75">
      <c r="A2129" s="204">
        <v>2127</v>
      </c>
      <c r="B2129" s="205">
        <v>45994</v>
      </c>
      <c r="C2129" s="265" t="s">
        <v>834</v>
      </c>
      <c r="D2129" s="204">
        <v>2025</v>
      </c>
      <c r="E2129" s="204" t="s">
        <v>2224</v>
      </c>
      <c r="F2129" s="204" t="s">
        <v>1511</v>
      </c>
      <c r="G2129" s="206" t="s">
        <v>88</v>
      </c>
      <c r="H2129" s="207" t="s">
        <v>3680</v>
      </c>
      <c r="I2129" s="156" t="s">
        <v>26</v>
      </c>
      <c r="J2129" s="204" t="s">
        <v>2568</v>
      </c>
      <c r="K2129" s="207"/>
    </row>
    <row r="2130" spans="1:11" ht="117">
      <c r="A2130" s="204">
        <v>2128</v>
      </c>
      <c r="B2130" s="208">
        <v>45994</v>
      </c>
      <c r="C2130" s="265" t="s">
        <v>834</v>
      </c>
      <c r="D2130" s="204">
        <v>2025</v>
      </c>
      <c r="E2130" s="209" t="s">
        <v>2224</v>
      </c>
      <c r="F2130" s="209" t="s">
        <v>21</v>
      </c>
      <c r="G2130" s="213" t="s">
        <v>821</v>
      </c>
      <c r="H2130" s="211" t="s">
        <v>3681</v>
      </c>
      <c r="I2130" s="156" t="s">
        <v>26</v>
      </c>
      <c r="J2130" s="209" t="s">
        <v>468</v>
      </c>
      <c r="K2130" s="211" t="s">
        <v>1482</v>
      </c>
    </row>
    <row r="2131" spans="1:11" ht="66.75">
      <c r="A2131" s="204">
        <v>2129</v>
      </c>
      <c r="B2131" s="205">
        <v>45994</v>
      </c>
      <c r="C2131" s="265" t="s">
        <v>834</v>
      </c>
      <c r="D2131" s="204">
        <v>2025</v>
      </c>
      <c r="E2131" s="204" t="s">
        <v>2224</v>
      </c>
      <c r="F2131" s="204" t="s">
        <v>1432</v>
      </c>
      <c r="G2131" s="213" t="s">
        <v>821</v>
      </c>
      <c r="H2131" s="207" t="s">
        <v>3682</v>
      </c>
      <c r="I2131" s="156" t="s">
        <v>26</v>
      </c>
      <c r="J2131" s="204" t="s">
        <v>59</v>
      </c>
      <c r="K2131" s="207"/>
    </row>
    <row r="2132" spans="1:11" ht="50.25">
      <c r="A2132" s="204">
        <v>2130</v>
      </c>
      <c r="B2132" s="208">
        <v>45994</v>
      </c>
      <c r="C2132" s="265" t="s">
        <v>834</v>
      </c>
      <c r="D2132" s="204">
        <v>2025</v>
      </c>
      <c r="E2132" s="209" t="s">
        <v>1431</v>
      </c>
      <c r="F2132" s="209" t="s">
        <v>1449</v>
      </c>
      <c r="G2132" s="210" t="s">
        <v>88</v>
      </c>
      <c r="H2132" s="218" t="s">
        <v>3683</v>
      </c>
      <c r="I2132" s="156" t="s">
        <v>26</v>
      </c>
      <c r="J2132" s="209" t="s">
        <v>2593</v>
      </c>
      <c r="K2132" s="211"/>
    </row>
    <row r="2133" spans="1:11" ht="84">
      <c r="A2133" s="204">
        <v>2131</v>
      </c>
      <c r="B2133" s="205">
        <v>45994</v>
      </c>
      <c r="C2133" s="265" t="s">
        <v>834</v>
      </c>
      <c r="D2133" s="204">
        <v>2025</v>
      </c>
      <c r="E2133" s="204" t="s">
        <v>1431</v>
      </c>
      <c r="F2133" s="204" t="s">
        <v>1449</v>
      </c>
      <c r="G2133" s="215" t="s">
        <v>872</v>
      </c>
      <c r="H2133" s="219" t="s">
        <v>3684</v>
      </c>
      <c r="I2133" s="156" t="s">
        <v>26</v>
      </c>
      <c r="J2133" s="204" t="s">
        <v>2593</v>
      </c>
      <c r="K2133" s="207"/>
    </row>
    <row r="2134" spans="1:11" ht="100.5">
      <c r="A2134" s="204">
        <v>2132</v>
      </c>
      <c r="B2134" s="208">
        <v>45994</v>
      </c>
      <c r="C2134" s="265" t="s">
        <v>834</v>
      </c>
      <c r="D2134" s="204">
        <v>2025</v>
      </c>
      <c r="E2134" s="209" t="s">
        <v>1431</v>
      </c>
      <c r="F2134" s="209" t="s">
        <v>1449</v>
      </c>
      <c r="G2134" s="210" t="s">
        <v>88</v>
      </c>
      <c r="H2134" s="218" t="s">
        <v>3685</v>
      </c>
      <c r="I2134" s="156" t="s">
        <v>26</v>
      </c>
      <c r="J2134" s="209" t="s">
        <v>2593</v>
      </c>
      <c r="K2134" s="211" t="s">
        <v>1472</v>
      </c>
    </row>
    <row r="2135" spans="1:11" ht="117">
      <c r="A2135" s="204">
        <v>2133</v>
      </c>
      <c r="B2135" s="205">
        <v>45994</v>
      </c>
      <c r="C2135" s="265" t="s">
        <v>834</v>
      </c>
      <c r="D2135" s="204">
        <v>2025</v>
      </c>
      <c r="E2135" s="204" t="s">
        <v>1431</v>
      </c>
      <c r="F2135" s="204" t="s">
        <v>1449</v>
      </c>
      <c r="G2135" s="206" t="s">
        <v>88</v>
      </c>
      <c r="H2135" s="219" t="s">
        <v>3686</v>
      </c>
      <c r="I2135" s="156" t="s">
        <v>26</v>
      </c>
      <c r="J2135" s="204" t="s">
        <v>2593</v>
      </c>
      <c r="K2135" s="207"/>
    </row>
    <row r="2136" spans="1:11" ht="117">
      <c r="A2136" s="204">
        <v>2134</v>
      </c>
      <c r="B2136" s="208">
        <v>45994</v>
      </c>
      <c r="C2136" s="265" t="s">
        <v>834</v>
      </c>
      <c r="D2136" s="204">
        <v>2025</v>
      </c>
      <c r="E2136" s="209" t="s">
        <v>1431</v>
      </c>
      <c r="F2136" s="209" t="s">
        <v>1449</v>
      </c>
      <c r="G2136" s="217" t="s">
        <v>859</v>
      </c>
      <c r="H2136" s="218" t="s">
        <v>3687</v>
      </c>
      <c r="I2136" s="156" t="s">
        <v>26</v>
      </c>
      <c r="J2136" s="209" t="s">
        <v>2593</v>
      </c>
      <c r="K2136" s="211"/>
    </row>
    <row r="2137" spans="1:11" ht="117">
      <c r="A2137" s="204">
        <v>2135</v>
      </c>
      <c r="B2137" s="205">
        <v>45994</v>
      </c>
      <c r="C2137" s="265" t="s">
        <v>834</v>
      </c>
      <c r="D2137" s="204">
        <v>2025</v>
      </c>
      <c r="E2137" s="204" t="s">
        <v>1431</v>
      </c>
      <c r="F2137" s="204" t="s">
        <v>1449</v>
      </c>
      <c r="G2137" s="206" t="s">
        <v>88</v>
      </c>
      <c r="H2137" s="219" t="s">
        <v>3688</v>
      </c>
      <c r="I2137" s="156" t="s">
        <v>26</v>
      </c>
      <c r="J2137" s="204" t="s">
        <v>2593</v>
      </c>
      <c r="K2137" s="207"/>
    </row>
    <row r="2138" spans="1:11" ht="117">
      <c r="A2138" s="204">
        <v>2136</v>
      </c>
      <c r="B2138" s="208">
        <v>45994</v>
      </c>
      <c r="C2138" s="265" t="s">
        <v>834</v>
      </c>
      <c r="D2138" s="204">
        <v>2025</v>
      </c>
      <c r="E2138" s="209" t="s">
        <v>1431</v>
      </c>
      <c r="F2138" s="209" t="s">
        <v>1449</v>
      </c>
      <c r="G2138" s="210" t="s">
        <v>88</v>
      </c>
      <c r="H2138" s="218" t="s">
        <v>3689</v>
      </c>
      <c r="I2138" s="156" t="s">
        <v>26</v>
      </c>
      <c r="J2138" s="209" t="s">
        <v>2593</v>
      </c>
      <c r="K2138" s="211" t="s">
        <v>1522</v>
      </c>
    </row>
    <row r="2139" spans="1:11" ht="33.75">
      <c r="A2139" s="204">
        <v>2137</v>
      </c>
      <c r="B2139" s="205">
        <v>45994</v>
      </c>
      <c r="C2139" s="265" t="s">
        <v>834</v>
      </c>
      <c r="D2139" s="204">
        <v>2025</v>
      </c>
      <c r="E2139" s="204" t="s">
        <v>1431</v>
      </c>
      <c r="F2139" s="204" t="s">
        <v>1566</v>
      </c>
      <c r="G2139" s="206" t="s">
        <v>88</v>
      </c>
      <c r="H2139" s="207" t="s">
        <v>3690</v>
      </c>
      <c r="I2139" s="156" t="s">
        <v>26</v>
      </c>
      <c r="J2139" s="204" t="s">
        <v>1588</v>
      </c>
      <c r="K2139" s="207"/>
    </row>
    <row r="2140" spans="1:11" ht="100.5">
      <c r="A2140" s="204">
        <v>2138</v>
      </c>
      <c r="B2140" s="208">
        <v>45995</v>
      </c>
      <c r="C2140" s="265" t="s">
        <v>834</v>
      </c>
      <c r="D2140" s="204">
        <v>2025</v>
      </c>
      <c r="E2140" s="209" t="s">
        <v>1431</v>
      </c>
      <c r="F2140" s="209" t="s">
        <v>2585</v>
      </c>
      <c r="G2140" s="217" t="s">
        <v>859</v>
      </c>
      <c r="H2140" s="211" t="s">
        <v>3691</v>
      </c>
      <c r="I2140" s="156" t="s">
        <v>26</v>
      </c>
      <c r="J2140" s="209" t="s">
        <v>3626</v>
      </c>
      <c r="K2140" s="211" t="s">
        <v>1476</v>
      </c>
    </row>
    <row r="2141" spans="1:11" ht="33.75">
      <c r="A2141" s="204">
        <v>2139</v>
      </c>
      <c r="B2141" s="205">
        <v>45995</v>
      </c>
      <c r="C2141" s="265" t="s">
        <v>834</v>
      </c>
      <c r="D2141" s="204">
        <v>2025</v>
      </c>
      <c r="E2141" s="204" t="s">
        <v>1431</v>
      </c>
      <c r="F2141" s="204" t="s">
        <v>3217</v>
      </c>
      <c r="G2141" s="206" t="s">
        <v>88</v>
      </c>
      <c r="H2141" s="207" t="s">
        <v>3692</v>
      </c>
      <c r="I2141" s="156" t="s">
        <v>26</v>
      </c>
      <c r="J2141" s="204" t="s">
        <v>1543</v>
      </c>
      <c r="K2141" s="207"/>
    </row>
    <row r="2142" spans="1:11" ht="33.75">
      <c r="A2142" s="204">
        <v>2140</v>
      </c>
      <c r="B2142" s="208">
        <v>45995</v>
      </c>
      <c r="C2142" s="265" t="s">
        <v>834</v>
      </c>
      <c r="D2142" s="204">
        <v>2025</v>
      </c>
      <c r="E2142" s="209" t="s">
        <v>1431</v>
      </c>
      <c r="F2142" s="209" t="s">
        <v>3217</v>
      </c>
      <c r="G2142" s="210" t="s">
        <v>88</v>
      </c>
      <c r="H2142" s="211" t="s">
        <v>3693</v>
      </c>
      <c r="I2142" s="156" t="s">
        <v>26</v>
      </c>
      <c r="J2142" s="209" t="s">
        <v>1543</v>
      </c>
      <c r="K2142" s="211"/>
    </row>
    <row r="2143" spans="1:11" ht="84">
      <c r="A2143" s="204">
        <v>2141</v>
      </c>
      <c r="B2143" s="205">
        <v>45995</v>
      </c>
      <c r="C2143" s="265" t="s">
        <v>834</v>
      </c>
      <c r="D2143" s="204">
        <v>2025</v>
      </c>
      <c r="E2143" s="204" t="s">
        <v>1431</v>
      </c>
      <c r="F2143" s="204" t="s">
        <v>3655</v>
      </c>
      <c r="G2143" s="206" t="s">
        <v>88</v>
      </c>
      <c r="H2143" s="207" t="s">
        <v>3694</v>
      </c>
      <c r="I2143" s="156" t="s">
        <v>26</v>
      </c>
      <c r="J2143" s="204" t="s">
        <v>1904</v>
      </c>
      <c r="K2143" s="207" t="s">
        <v>1500</v>
      </c>
    </row>
    <row r="2144" spans="1:11" ht="117">
      <c r="A2144" s="204">
        <v>2142</v>
      </c>
      <c r="B2144" s="208">
        <v>45995</v>
      </c>
      <c r="C2144" s="265" t="s">
        <v>834</v>
      </c>
      <c r="D2144" s="204">
        <v>2025</v>
      </c>
      <c r="E2144" s="209" t="s">
        <v>1431</v>
      </c>
      <c r="F2144" s="209" t="s">
        <v>1508</v>
      </c>
      <c r="G2144" s="210" t="s">
        <v>88</v>
      </c>
      <c r="H2144" s="211" t="s">
        <v>3695</v>
      </c>
      <c r="I2144" s="156" t="s">
        <v>26</v>
      </c>
      <c r="J2144" s="209" t="s">
        <v>3696</v>
      </c>
      <c r="K2144" s="211" t="s">
        <v>1510</v>
      </c>
    </row>
    <row r="2145" spans="1:11" ht="134.25">
      <c r="A2145" s="204">
        <v>2143</v>
      </c>
      <c r="B2145" s="205">
        <v>45995</v>
      </c>
      <c r="C2145" s="265" t="s">
        <v>834</v>
      </c>
      <c r="D2145" s="204">
        <v>2025</v>
      </c>
      <c r="E2145" s="204" t="s">
        <v>1431</v>
      </c>
      <c r="F2145" s="204" t="s">
        <v>216</v>
      </c>
      <c r="G2145" s="213" t="s">
        <v>821</v>
      </c>
      <c r="H2145" s="207" t="s">
        <v>3697</v>
      </c>
      <c r="I2145" s="156" t="s">
        <v>26</v>
      </c>
      <c r="J2145" s="204" t="s">
        <v>492</v>
      </c>
      <c r="K2145" s="207" t="s">
        <v>1601</v>
      </c>
    </row>
    <row r="2146" spans="1:11" ht="16.5">
      <c r="A2146" s="204">
        <v>2144</v>
      </c>
      <c r="B2146" s="208">
        <v>45995</v>
      </c>
      <c r="C2146" s="265" t="s">
        <v>834</v>
      </c>
      <c r="D2146" s="204">
        <v>2025</v>
      </c>
      <c r="E2146" s="209" t="s">
        <v>1431</v>
      </c>
      <c r="F2146" s="209" t="s">
        <v>1566</v>
      </c>
      <c r="G2146" s="210" t="s">
        <v>88</v>
      </c>
      <c r="H2146" s="211" t="s">
        <v>3698</v>
      </c>
      <c r="I2146" s="156" t="s">
        <v>26</v>
      </c>
      <c r="J2146" s="209" t="s">
        <v>2640</v>
      </c>
      <c r="K2146" s="211"/>
    </row>
    <row r="2147" spans="1:11" ht="50.25">
      <c r="A2147" s="204">
        <v>2145</v>
      </c>
      <c r="B2147" s="205">
        <v>45995</v>
      </c>
      <c r="C2147" s="265" t="s">
        <v>834</v>
      </c>
      <c r="D2147" s="204">
        <v>2025</v>
      </c>
      <c r="E2147" s="204" t="s">
        <v>1431</v>
      </c>
      <c r="F2147" s="204" t="s">
        <v>1566</v>
      </c>
      <c r="G2147" s="206" t="s">
        <v>88</v>
      </c>
      <c r="H2147" s="207" t="s">
        <v>3699</v>
      </c>
      <c r="I2147" s="156" t="s">
        <v>26</v>
      </c>
      <c r="J2147" s="204" t="s">
        <v>2640</v>
      </c>
      <c r="K2147" s="207"/>
    </row>
    <row r="2148" spans="1:11" ht="100.5">
      <c r="A2148" s="204">
        <v>2146</v>
      </c>
      <c r="B2148" s="208">
        <v>45995</v>
      </c>
      <c r="C2148" s="265" t="s">
        <v>834</v>
      </c>
      <c r="D2148" s="204">
        <v>2025</v>
      </c>
      <c r="E2148" s="209" t="s">
        <v>2224</v>
      </c>
      <c r="F2148" s="209" t="s">
        <v>2585</v>
      </c>
      <c r="G2148" s="217" t="s">
        <v>859</v>
      </c>
      <c r="H2148" s="211" t="s">
        <v>3700</v>
      </c>
      <c r="I2148" s="156" t="s">
        <v>26</v>
      </c>
      <c r="J2148" s="209" t="s">
        <v>2568</v>
      </c>
      <c r="K2148" s="211" t="s">
        <v>1476</v>
      </c>
    </row>
    <row r="2149" spans="1:11" ht="33.75">
      <c r="A2149" s="204">
        <v>2147</v>
      </c>
      <c r="B2149" s="205">
        <v>45995</v>
      </c>
      <c r="C2149" s="265" t="s">
        <v>834</v>
      </c>
      <c r="D2149" s="204">
        <v>2025</v>
      </c>
      <c r="E2149" s="204" t="s">
        <v>2224</v>
      </c>
      <c r="F2149" s="204" t="s">
        <v>1449</v>
      </c>
      <c r="G2149" s="206" t="s">
        <v>88</v>
      </c>
      <c r="H2149" s="207" t="s">
        <v>3701</v>
      </c>
      <c r="I2149" s="156" t="s">
        <v>26</v>
      </c>
      <c r="J2149" s="204" t="s">
        <v>2593</v>
      </c>
      <c r="K2149" s="207"/>
    </row>
    <row r="2150" spans="1:11" ht="16.5">
      <c r="A2150" s="204">
        <v>2148</v>
      </c>
      <c r="B2150" s="208">
        <v>45995</v>
      </c>
      <c r="C2150" s="265" t="s">
        <v>834</v>
      </c>
      <c r="D2150" s="204">
        <v>2025</v>
      </c>
      <c r="E2150" s="209" t="s">
        <v>2224</v>
      </c>
      <c r="F2150" s="209" t="s">
        <v>21</v>
      </c>
      <c r="G2150" s="213" t="s">
        <v>821</v>
      </c>
      <c r="H2150" s="211" t="s">
        <v>3702</v>
      </c>
      <c r="I2150" s="156" t="s">
        <v>26</v>
      </c>
      <c r="J2150" s="209" t="s">
        <v>468</v>
      </c>
      <c r="K2150" s="211"/>
    </row>
    <row r="2151" spans="1:11" ht="117">
      <c r="A2151" s="204">
        <v>2149</v>
      </c>
      <c r="B2151" s="205">
        <v>45995</v>
      </c>
      <c r="C2151" s="265" t="s">
        <v>834</v>
      </c>
      <c r="D2151" s="204">
        <v>2025</v>
      </c>
      <c r="E2151" s="204" t="s">
        <v>1431</v>
      </c>
      <c r="F2151" s="204" t="s">
        <v>2535</v>
      </c>
      <c r="G2151" s="206" t="s">
        <v>88</v>
      </c>
      <c r="H2151" s="207" t="s">
        <v>3703</v>
      </c>
      <c r="I2151" s="156" t="s">
        <v>26</v>
      </c>
      <c r="J2151" s="204" t="s">
        <v>2593</v>
      </c>
      <c r="K2151" s="207" t="s">
        <v>1446</v>
      </c>
    </row>
    <row r="2152" spans="1:11" ht="150.75">
      <c r="A2152" s="204">
        <v>2150</v>
      </c>
      <c r="B2152" s="208">
        <v>45995</v>
      </c>
      <c r="C2152" s="265" t="s">
        <v>834</v>
      </c>
      <c r="D2152" s="204">
        <v>2025</v>
      </c>
      <c r="E2152" s="209" t="s">
        <v>1431</v>
      </c>
      <c r="F2152" s="209" t="s">
        <v>1449</v>
      </c>
      <c r="G2152" s="210" t="s">
        <v>88</v>
      </c>
      <c r="H2152" s="218" t="s">
        <v>3704</v>
      </c>
      <c r="I2152" s="156" t="s">
        <v>26</v>
      </c>
      <c r="J2152" s="209" t="s">
        <v>2593</v>
      </c>
      <c r="K2152" s="211" t="s">
        <v>1472</v>
      </c>
    </row>
    <row r="2153" spans="1:11" ht="134.25">
      <c r="A2153" s="204">
        <v>2151</v>
      </c>
      <c r="B2153" s="205">
        <v>45995</v>
      </c>
      <c r="C2153" s="265" t="s">
        <v>834</v>
      </c>
      <c r="D2153" s="204">
        <v>2025</v>
      </c>
      <c r="E2153" s="204" t="s">
        <v>1431</v>
      </c>
      <c r="F2153" s="204" t="s">
        <v>1449</v>
      </c>
      <c r="G2153" s="206" t="s">
        <v>88</v>
      </c>
      <c r="H2153" s="219" t="s">
        <v>3705</v>
      </c>
      <c r="I2153" s="156" t="s">
        <v>26</v>
      </c>
      <c r="J2153" s="204" t="s">
        <v>2593</v>
      </c>
      <c r="K2153" s="207"/>
    </row>
    <row r="2154" spans="1:11" ht="33.75">
      <c r="A2154" s="204">
        <v>2152</v>
      </c>
      <c r="B2154" s="208">
        <v>45995</v>
      </c>
      <c r="C2154" s="265" t="s">
        <v>834</v>
      </c>
      <c r="D2154" s="204">
        <v>2025</v>
      </c>
      <c r="E2154" s="209" t="s">
        <v>1431</v>
      </c>
      <c r="F2154" s="209" t="s">
        <v>1449</v>
      </c>
      <c r="G2154" s="210" t="s">
        <v>88</v>
      </c>
      <c r="H2154" s="211" t="s">
        <v>3706</v>
      </c>
      <c r="I2154" s="156" t="s">
        <v>26</v>
      </c>
      <c r="J2154" s="209" t="s">
        <v>2593</v>
      </c>
      <c r="K2154" s="211"/>
    </row>
    <row r="2155" spans="1:11" ht="33.75">
      <c r="A2155" s="204">
        <v>2153</v>
      </c>
      <c r="B2155" s="205">
        <v>45995</v>
      </c>
      <c r="C2155" s="265" t="s">
        <v>834</v>
      </c>
      <c r="D2155" s="204">
        <v>2025</v>
      </c>
      <c r="E2155" s="204" t="s">
        <v>1431</v>
      </c>
      <c r="F2155" s="204" t="s">
        <v>1449</v>
      </c>
      <c r="G2155" s="206" t="s">
        <v>88</v>
      </c>
      <c r="H2155" s="207" t="s">
        <v>3707</v>
      </c>
      <c r="I2155" s="156" t="s">
        <v>26</v>
      </c>
      <c r="J2155" s="204" t="s">
        <v>2593</v>
      </c>
      <c r="K2155" s="207"/>
    </row>
    <row r="2156" spans="1:11" ht="117">
      <c r="A2156" s="204">
        <v>2154</v>
      </c>
      <c r="B2156" s="208">
        <v>45995</v>
      </c>
      <c r="C2156" s="265" t="s">
        <v>834</v>
      </c>
      <c r="D2156" s="204">
        <v>2025</v>
      </c>
      <c r="E2156" s="209" t="s">
        <v>1431</v>
      </c>
      <c r="F2156" s="209" t="s">
        <v>1449</v>
      </c>
      <c r="G2156" s="210" t="s">
        <v>88</v>
      </c>
      <c r="H2156" s="211" t="s">
        <v>3708</v>
      </c>
      <c r="I2156" s="156" t="s">
        <v>26</v>
      </c>
      <c r="J2156" s="209" t="s">
        <v>2593</v>
      </c>
      <c r="K2156" s="211" t="s">
        <v>1510</v>
      </c>
    </row>
    <row r="2157" spans="1:11" ht="100.5">
      <c r="A2157" s="204">
        <v>2155</v>
      </c>
      <c r="B2157" s="205">
        <v>45995</v>
      </c>
      <c r="C2157" s="265" t="s">
        <v>834</v>
      </c>
      <c r="D2157" s="204">
        <v>2025</v>
      </c>
      <c r="E2157" s="204" t="s">
        <v>1431</v>
      </c>
      <c r="F2157" s="204" t="s">
        <v>1449</v>
      </c>
      <c r="G2157" s="206" t="s">
        <v>88</v>
      </c>
      <c r="H2157" s="207" t="s">
        <v>3709</v>
      </c>
      <c r="I2157" s="156" t="s">
        <v>26</v>
      </c>
      <c r="J2157" s="204" t="s">
        <v>2593</v>
      </c>
      <c r="K2157" s="207" t="s">
        <v>1472</v>
      </c>
    </row>
    <row r="2158" spans="1:11" ht="100.5">
      <c r="A2158" s="204">
        <v>2156</v>
      </c>
      <c r="B2158" s="208">
        <v>45995</v>
      </c>
      <c r="C2158" s="265" t="s">
        <v>834</v>
      </c>
      <c r="D2158" s="204">
        <v>2025</v>
      </c>
      <c r="E2158" s="209" t="s">
        <v>1431</v>
      </c>
      <c r="F2158" s="209" t="s">
        <v>1566</v>
      </c>
      <c r="G2158" s="210" t="s">
        <v>88</v>
      </c>
      <c r="H2158" s="211" t="s">
        <v>3710</v>
      </c>
      <c r="I2158" s="156" t="s">
        <v>26</v>
      </c>
      <c r="J2158" s="209" t="s">
        <v>2640</v>
      </c>
      <c r="K2158" s="211" t="s">
        <v>1478</v>
      </c>
    </row>
    <row r="2159" spans="1:11" ht="134.25">
      <c r="A2159" s="204">
        <v>2157</v>
      </c>
      <c r="B2159" s="205">
        <v>45995</v>
      </c>
      <c r="C2159" s="265" t="s">
        <v>834</v>
      </c>
      <c r="D2159" s="204">
        <v>2025</v>
      </c>
      <c r="E2159" s="204" t="s">
        <v>1431</v>
      </c>
      <c r="F2159" s="204" t="s">
        <v>1566</v>
      </c>
      <c r="G2159" s="206" t="s">
        <v>88</v>
      </c>
      <c r="H2159" s="207" t="s">
        <v>3711</v>
      </c>
      <c r="I2159" s="156" t="s">
        <v>26</v>
      </c>
      <c r="J2159" s="204" t="s">
        <v>2640</v>
      </c>
      <c r="K2159" s="207" t="s">
        <v>1500</v>
      </c>
    </row>
    <row r="2160" spans="1:11" ht="117">
      <c r="A2160" s="204">
        <v>2158</v>
      </c>
      <c r="B2160" s="208">
        <v>45995</v>
      </c>
      <c r="C2160" s="265" t="s">
        <v>834</v>
      </c>
      <c r="D2160" s="204">
        <v>2025</v>
      </c>
      <c r="E2160" s="209" t="s">
        <v>1431</v>
      </c>
      <c r="F2160" s="209" t="s">
        <v>1566</v>
      </c>
      <c r="G2160" s="210" t="s">
        <v>88</v>
      </c>
      <c r="H2160" s="211" t="s">
        <v>3712</v>
      </c>
      <c r="I2160" s="156" t="s">
        <v>26</v>
      </c>
      <c r="J2160" s="209" t="s">
        <v>2640</v>
      </c>
      <c r="K2160" s="211" t="s">
        <v>1559</v>
      </c>
    </row>
    <row r="2161" spans="1:11" ht="134.25">
      <c r="A2161" s="204">
        <v>2159</v>
      </c>
      <c r="B2161" s="205">
        <v>45996</v>
      </c>
      <c r="C2161" s="265" t="s">
        <v>834</v>
      </c>
      <c r="D2161" s="204">
        <v>2025</v>
      </c>
      <c r="E2161" s="204" t="s">
        <v>1431</v>
      </c>
      <c r="F2161" s="204" t="s">
        <v>21</v>
      </c>
      <c r="G2161" s="213" t="s">
        <v>821</v>
      </c>
      <c r="H2161" s="207" t="s">
        <v>3713</v>
      </c>
      <c r="I2161" s="156" t="s">
        <v>26</v>
      </c>
      <c r="J2161" s="204" t="s">
        <v>3626</v>
      </c>
      <c r="K2161" s="207" t="s">
        <v>1601</v>
      </c>
    </row>
    <row r="2162" spans="1:11" ht="33.75">
      <c r="A2162" s="204">
        <v>2160</v>
      </c>
      <c r="B2162" s="208">
        <v>45996</v>
      </c>
      <c r="C2162" s="265" t="s">
        <v>834</v>
      </c>
      <c r="D2162" s="204">
        <v>2025</v>
      </c>
      <c r="E2162" s="209" t="s">
        <v>1431</v>
      </c>
      <c r="F2162" s="209" t="s">
        <v>2437</v>
      </c>
      <c r="G2162" s="210" t="s">
        <v>88</v>
      </c>
      <c r="H2162" s="211" t="s">
        <v>3714</v>
      </c>
      <c r="I2162" s="156" t="s">
        <v>26</v>
      </c>
      <c r="J2162" s="209" t="s">
        <v>1543</v>
      </c>
      <c r="K2162" s="211"/>
    </row>
    <row r="2163" spans="1:11" ht="84">
      <c r="A2163" s="204">
        <v>2161</v>
      </c>
      <c r="B2163" s="205">
        <v>45996</v>
      </c>
      <c r="C2163" s="265" t="s">
        <v>834</v>
      </c>
      <c r="D2163" s="204">
        <v>2025</v>
      </c>
      <c r="E2163" s="204" t="s">
        <v>1431</v>
      </c>
      <c r="F2163" s="204" t="s">
        <v>1449</v>
      </c>
      <c r="G2163" s="215" t="s">
        <v>872</v>
      </c>
      <c r="H2163" s="207" t="s">
        <v>3715</v>
      </c>
      <c r="I2163" s="156" t="s">
        <v>26</v>
      </c>
      <c r="J2163" s="204" t="s">
        <v>1904</v>
      </c>
      <c r="K2163" s="207" t="s">
        <v>1500</v>
      </c>
    </row>
    <row r="2164" spans="1:11" ht="50.25">
      <c r="A2164" s="204">
        <v>2162</v>
      </c>
      <c r="B2164" s="208">
        <v>45996</v>
      </c>
      <c r="C2164" s="265" t="s">
        <v>834</v>
      </c>
      <c r="D2164" s="204">
        <v>2025</v>
      </c>
      <c r="E2164" s="209" t="s">
        <v>1431</v>
      </c>
      <c r="F2164" s="209" t="s">
        <v>216</v>
      </c>
      <c r="G2164" s="213" t="s">
        <v>821</v>
      </c>
      <c r="H2164" s="211" t="s">
        <v>3716</v>
      </c>
      <c r="I2164" s="156" t="s">
        <v>26</v>
      </c>
      <c r="J2164" s="209" t="s">
        <v>492</v>
      </c>
      <c r="K2164" s="211"/>
    </row>
    <row r="2165" spans="1:11" ht="16.5">
      <c r="A2165" s="204">
        <v>2163</v>
      </c>
      <c r="B2165" s="205">
        <v>45996</v>
      </c>
      <c r="C2165" s="265" t="s">
        <v>834</v>
      </c>
      <c r="D2165" s="204">
        <v>2025</v>
      </c>
      <c r="E2165" s="204" t="s">
        <v>1431</v>
      </c>
      <c r="F2165" s="204" t="s">
        <v>1566</v>
      </c>
      <c r="G2165" s="206" t="s">
        <v>88</v>
      </c>
      <c r="H2165" s="207" t="s">
        <v>3717</v>
      </c>
      <c r="I2165" s="156" t="s">
        <v>26</v>
      </c>
      <c r="J2165" s="204" t="s">
        <v>1588</v>
      </c>
      <c r="K2165" s="207"/>
    </row>
    <row r="2166" spans="1:11" ht="33.75">
      <c r="A2166" s="204">
        <v>2164</v>
      </c>
      <c r="B2166" s="208">
        <v>45996</v>
      </c>
      <c r="C2166" s="265" t="s">
        <v>834</v>
      </c>
      <c r="D2166" s="204">
        <v>2025</v>
      </c>
      <c r="E2166" s="209" t="s">
        <v>2224</v>
      </c>
      <c r="F2166" s="209" t="s">
        <v>21</v>
      </c>
      <c r="G2166" s="213" t="s">
        <v>821</v>
      </c>
      <c r="H2166" s="211" t="s">
        <v>3718</v>
      </c>
      <c r="I2166" s="156" t="s">
        <v>26</v>
      </c>
      <c r="J2166" s="209" t="s">
        <v>2568</v>
      </c>
      <c r="K2166" s="211"/>
    </row>
    <row r="2167" spans="1:11" ht="33.75">
      <c r="A2167" s="204">
        <v>2165</v>
      </c>
      <c r="B2167" s="205">
        <v>45996</v>
      </c>
      <c r="C2167" s="265" t="s">
        <v>834</v>
      </c>
      <c r="D2167" s="204">
        <v>2025</v>
      </c>
      <c r="E2167" s="204" t="s">
        <v>2224</v>
      </c>
      <c r="F2167" s="204" t="s">
        <v>21</v>
      </c>
      <c r="G2167" s="213" t="s">
        <v>821</v>
      </c>
      <c r="H2167" s="207" t="s">
        <v>3719</v>
      </c>
      <c r="I2167" s="156" t="s">
        <v>26</v>
      </c>
      <c r="J2167" s="204" t="s">
        <v>2568</v>
      </c>
      <c r="K2167" s="207"/>
    </row>
    <row r="2168" spans="1:11" ht="84">
      <c r="A2168" s="204">
        <v>2166</v>
      </c>
      <c r="B2168" s="208">
        <v>45996</v>
      </c>
      <c r="C2168" s="265" t="s">
        <v>834</v>
      </c>
      <c r="D2168" s="204">
        <v>2025</v>
      </c>
      <c r="E2168" s="209" t="s">
        <v>2224</v>
      </c>
      <c r="F2168" s="209" t="s">
        <v>3655</v>
      </c>
      <c r="G2168" s="210" t="s">
        <v>88</v>
      </c>
      <c r="H2168" s="211" t="s">
        <v>3720</v>
      </c>
      <c r="I2168" s="156" t="s">
        <v>26</v>
      </c>
      <c r="J2168" s="209" t="s">
        <v>3721</v>
      </c>
      <c r="K2168" s="211" t="s">
        <v>1500</v>
      </c>
    </row>
    <row r="2169" spans="1:11" ht="84">
      <c r="A2169" s="204">
        <v>2167</v>
      </c>
      <c r="B2169" s="205">
        <v>45996</v>
      </c>
      <c r="C2169" s="265" t="s">
        <v>834</v>
      </c>
      <c r="D2169" s="204">
        <v>2025</v>
      </c>
      <c r="E2169" s="204" t="s">
        <v>2224</v>
      </c>
      <c r="F2169" s="204" t="s">
        <v>1432</v>
      </c>
      <c r="G2169" s="206" t="s">
        <v>88</v>
      </c>
      <c r="H2169" s="207" t="s">
        <v>3722</v>
      </c>
      <c r="I2169" s="156" t="s">
        <v>26</v>
      </c>
      <c r="J2169" s="204" t="s">
        <v>2568</v>
      </c>
      <c r="K2169" s="207" t="s">
        <v>1605</v>
      </c>
    </row>
    <row r="2170" spans="1:11" ht="33.75">
      <c r="A2170" s="204">
        <v>2168</v>
      </c>
      <c r="B2170" s="208">
        <v>45996</v>
      </c>
      <c r="C2170" s="265" t="s">
        <v>834</v>
      </c>
      <c r="D2170" s="204">
        <v>2025</v>
      </c>
      <c r="E2170" s="209" t="s">
        <v>1431</v>
      </c>
      <c r="F2170" s="209" t="s">
        <v>2585</v>
      </c>
      <c r="G2170" s="210" t="s">
        <v>88</v>
      </c>
      <c r="H2170" s="211" t="s">
        <v>3723</v>
      </c>
      <c r="I2170" s="156" t="s">
        <v>26</v>
      </c>
      <c r="J2170" s="209" t="s">
        <v>3626</v>
      </c>
      <c r="K2170" s="211"/>
    </row>
    <row r="2171" spans="1:11" ht="100.5">
      <c r="A2171" s="204">
        <v>2169</v>
      </c>
      <c r="B2171" s="205">
        <v>45996</v>
      </c>
      <c r="C2171" s="265" t="s">
        <v>834</v>
      </c>
      <c r="D2171" s="204">
        <v>2025</v>
      </c>
      <c r="E2171" s="204" t="s">
        <v>1431</v>
      </c>
      <c r="F2171" s="204" t="s">
        <v>2595</v>
      </c>
      <c r="G2171" s="206" t="s">
        <v>88</v>
      </c>
      <c r="H2171" s="207" t="s">
        <v>3724</v>
      </c>
      <c r="I2171" s="156" t="s">
        <v>26</v>
      </c>
      <c r="J2171" s="204" t="s">
        <v>3725</v>
      </c>
      <c r="K2171" s="207" t="s">
        <v>1472</v>
      </c>
    </row>
    <row r="2172" spans="1:11" ht="100.5">
      <c r="A2172" s="204">
        <v>2170</v>
      </c>
      <c r="B2172" s="208">
        <v>45996</v>
      </c>
      <c r="C2172" s="265" t="s">
        <v>834</v>
      </c>
      <c r="D2172" s="204">
        <v>2025</v>
      </c>
      <c r="E2172" s="209" t="s">
        <v>1431</v>
      </c>
      <c r="F2172" s="209" t="s">
        <v>1608</v>
      </c>
      <c r="G2172" s="210" t="s">
        <v>88</v>
      </c>
      <c r="H2172" s="211" t="s">
        <v>3726</v>
      </c>
      <c r="I2172" s="156" t="s">
        <v>26</v>
      </c>
      <c r="J2172" s="209" t="s">
        <v>1458</v>
      </c>
      <c r="K2172" s="211" t="s">
        <v>1472</v>
      </c>
    </row>
    <row r="2173" spans="1:11" ht="117">
      <c r="A2173" s="204">
        <v>2171</v>
      </c>
      <c r="B2173" s="205">
        <v>45996</v>
      </c>
      <c r="C2173" s="265" t="s">
        <v>834</v>
      </c>
      <c r="D2173" s="204">
        <v>2025</v>
      </c>
      <c r="E2173" s="204" t="s">
        <v>1431</v>
      </c>
      <c r="F2173" s="204" t="s">
        <v>1449</v>
      </c>
      <c r="G2173" s="206" t="s">
        <v>88</v>
      </c>
      <c r="H2173" s="207" t="s">
        <v>3727</v>
      </c>
      <c r="I2173" s="156" t="s">
        <v>26</v>
      </c>
      <c r="J2173" s="204" t="s">
        <v>2593</v>
      </c>
      <c r="K2173" s="207" t="s">
        <v>1472</v>
      </c>
    </row>
    <row r="2174" spans="1:11" ht="117">
      <c r="A2174" s="204">
        <v>2172</v>
      </c>
      <c r="B2174" s="208">
        <v>45996</v>
      </c>
      <c r="C2174" s="265" t="s">
        <v>834</v>
      </c>
      <c r="D2174" s="204">
        <v>2025</v>
      </c>
      <c r="E2174" s="209" t="s">
        <v>1431</v>
      </c>
      <c r="F2174" s="209" t="s">
        <v>1449</v>
      </c>
      <c r="G2174" s="210" t="s">
        <v>88</v>
      </c>
      <c r="H2174" s="211" t="s">
        <v>3728</v>
      </c>
      <c r="I2174" s="156" t="s">
        <v>26</v>
      </c>
      <c r="J2174" s="209" t="s">
        <v>2593</v>
      </c>
      <c r="K2174" s="211" t="s">
        <v>1500</v>
      </c>
    </row>
    <row r="2175" spans="1:11" ht="50.25">
      <c r="A2175" s="204">
        <v>2173</v>
      </c>
      <c r="B2175" s="205">
        <v>45996</v>
      </c>
      <c r="C2175" s="265" t="s">
        <v>834</v>
      </c>
      <c r="D2175" s="204">
        <v>2025</v>
      </c>
      <c r="E2175" s="204" t="s">
        <v>1431</v>
      </c>
      <c r="F2175" s="204" t="s">
        <v>1449</v>
      </c>
      <c r="G2175" s="206" t="s">
        <v>88</v>
      </c>
      <c r="H2175" s="207" t="s">
        <v>3729</v>
      </c>
      <c r="I2175" s="156" t="s">
        <v>26</v>
      </c>
      <c r="J2175" s="204" t="s">
        <v>2593</v>
      </c>
      <c r="K2175" s="207"/>
    </row>
    <row r="2176" spans="1:11" ht="150.75">
      <c r="A2176" s="204">
        <v>2174</v>
      </c>
      <c r="B2176" s="208">
        <v>45996</v>
      </c>
      <c r="C2176" s="265" t="s">
        <v>834</v>
      </c>
      <c r="D2176" s="204">
        <v>2025</v>
      </c>
      <c r="E2176" s="209" t="s">
        <v>1431</v>
      </c>
      <c r="F2176" s="209" t="s">
        <v>21</v>
      </c>
      <c r="G2176" s="213" t="s">
        <v>821</v>
      </c>
      <c r="H2176" s="211" t="s">
        <v>3730</v>
      </c>
      <c r="I2176" s="156" t="s">
        <v>26</v>
      </c>
      <c r="J2176" s="209" t="s">
        <v>468</v>
      </c>
      <c r="K2176" s="211" t="s">
        <v>1513</v>
      </c>
    </row>
    <row r="2177" spans="1:11" ht="150.75">
      <c r="A2177" s="204">
        <v>2175</v>
      </c>
      <c r="B2177" s="205">
        <v>45996</v>
      </c>
      <c r="C2177" s="265" t="s">
        <v>834</v>
      </c>
      <c r="D2177" s="204">
        <v>2025</v>
      </c>
      <c r="E2177" s="204" t="s">
        <v>1431</v>
      </c>
      <c r="F2177" s="204" t="s">
        <v>21</v>
      </c>
      <c r="G2177" s="213" t="s">
        <v>821</v>
      </c>
      <c r="H2177" s="207" t="s">
        <v>3731</v>
      </c>
      <c r="I2177" s="156" t="s">
        <v>26</v>
      </c>
      <c r="J2177" s="204" t="s">
        <v>468</v>
      </c>
      <c r="K2177" s="207" t="s">
        <v>1513</v>
      </c>
    </row>
    <row r="2178" spans="1:11" ht="50.25">
      <c r="A2178" s="204">
        <v>2176</v>
      </c>
      <c r="B2178" s="208">
        <v>45996</v>
      </c>
      <c r="C2178" s="265" t="s">
        <v>834</v>
      </c>
      <c r="D2178" s="204">
        <v>2025</v>
      </c>
      <c r="E2178" s="209" t="s">
        <v>1431</v>
      </c>
      <c r="F2178" s="209" t="s">
        <v>1566</v>
      </c>
      <c r="G2178" s="210" t="s">
        <v>88</v>
      </c>
      <c r="H2178" s="211" t="s">
        <v>3732</v>
      </c>
      <c r="I2178" s="156" t="s">
        <v>26</v>
      </c>
      <c r="J2178" s="209" t="s">
        <v>1588</v>
      </c>
      <c r="K2178" s="211"/>
    </row>
    <row r="2179" spans="1:11" ht="66.75">
      <c r="A2179" s="204">
        <v>2177</v>
      </c>
      <c r="B2179" s="205">
        <v>45996</v>
      </c>
      <c r="C2179" s="265" t="s">
        <v>834</v>
      </c>
      <c r="D2179" s="204">
        <v>2025</v>
      </c>
      <c r="E2179" s="204" t="s">
        <v>1431</v>
      </c>
      <c r="F2179" s="204" t="s">
        <v>1566</v>
      </c>
      <c r="G2179" s="206" t="s">
        <v>88</v>
      </c>
      <c r="H2179" s="207" t="s">
        <v>3733</v>
      </c>
      <c r="I2179" s="156" t="s">
        <v>26</v>
      </c>
      <c r="J2179" s="204" t="s">
        <v>1588</v>
      </c>
      <c r="K2179" s="207"/>
    </row>
    <row r="2180" spans="1:11" ht="50.25">
      <c r="A2180" s="204">
        <v>2178</v>
      </c>
      <c r="B2180" s="208">
        <v>45996</v>
      </c>
      <c r="C2180" s="265" t="s">
        <v>834</v>
      </c>
      <c r="D2180" s="204">
        <v>2025</v>
      </c>
      <c r="E2180" s="209" t="s">
        <v>1431</v>
      </c>
      <c r="F2180" s="209" t="s">
        <v>1566</v>
      </c>
      <c r="G2180" s="210" t="s">
        <v>88</v>
      </c>
      <c r="H2180" s="211" t="s">
        <v>3734</v>
      </c>
      <c r="I2180" s="156" t="s">
        <v>26</v>
      </c>
      <c r="J2180" s="209" t="s">
        <v>1588</v>
      </c>
      <c r="K2180" s="211"/>
    </row>
    <row r="2181" spans="1:11" ht="84">
      <c r="A2181" s="204">
        <v>2179</v>
      </c>
      <c r="B2181" s="205">
        <v>45996</v>
      </c>
      <c r="C2181" s="265" t="s">
        <v>834</v>
      </c>
      <c r="D2181" s="204">
        <v>2025</v>
      </c>
      <c r="E2181" s="204" t="s">
        <v>1431</v>
      </c>
      <c r="F2181" s="204" t="s">
        <v>1566</v>
      </c>
      <c r="G2181" s="206" t="s">
        <v>88</v>
      </c>
      <c r="H2181" s="207" t="s">
        <v>3735</v>
      </c>
      <c r="I2181" s="156" t="s">
        <v>26</v>
      </c>
      <c r="J2181" s="204" t="s">
        <v>1588</v>
      </c>
      <c r="K2181" s="207" t="s">
        <v>1500</v>
      </c>
    </row>
    <row r="2182" spans="1:11" ht="100.5">
      <c r="A2182" s="204">
        <v>2180</v>
      </c>
      <c r="B2182" s="208">
        <v>45996</v>
      </c>
      <c r="C2182" s="265" t="s">
        <v>834</v>
      </c>
      <c r="D2182" s="204">
        <v>2025</v>
      </c>
      <c r="E2182" s="209" t="s">
        <v>2224</v>
      </c>
      <c r="F2182" s="209" t="s">
        <v>1566</v>
      </c>
      <c r="G2182" s="210" t="s">
        <v>88</v>
      </c>
      <c r="H2182" s="211" t="s">
        <v>3736</v>
      </c>
      <c r="I2182" s="156" t="s">
        <v>26</v>
      </c>
      <c r="J2182" s="209" t="s">
        <v>1588</v>
      </c>
      <c r="K2182" s="211" t="s">
        <v>1472</v>
      </c>
    </row>
    <row r="2183" spans="1:11" ht="50.25">
      <c r="A2183" s="204">
        <v>2181</v>
      </c>
      <c r="B2183" s="205">
        <v>46000</v>
      </c>
      <c r="C2183" s="265" t="s">
        <v>834</v>
      </c>
      <c r="D2183" s="204">
        <v>2025</v>
      </c>
      <c r="E2183" s="204" t="s">
        <v>1431</v>
      </c>
      <c r="F2183" s="204" t="s">
        <v>2585</v>
      </c>
      <c r="G2183" s="206" t="s">
        <v>88</v>
      </c>
      <c r="H2183" s="207" t="s">
        <v>3737</v>
      </c>
      <c r="I2183" s="156" t="s">
        <v>26</v>
      </c>
      <c r="J2183" s="204" t="s">
        <v>3626</v>
      </c>
      <c r="K2183" s="207"/>
    </row>
    <row r="2184" spans="1:11" ht="100.5">
      <c r="A2184" s="204">
        <v>2182</v>
      </c>
      <c r="B2184" s="208">
        <v>46000</v>
      </c>
      <c r="C2184" s="265" t="s">
        <v>834</v>
      </c>
      <c r="D2184" s="204">
        <v>2025</v>
      </c>
      <c r="E2184" s="209" t="s">
        <v>1431</v>
      </c>
      <c r="F2184" s="209" t="s">
        <v>1432</v>
      </c>
      <c r="G2184" s="212" t="s">
        <v>1439</v>
      </c>
      <c r="H2184" s="211" t="s">
        <v>3738</v>
      </c>
      <c r="I2184" s="156" t="s">
        <v>26</v>
      </c>
      <c r="J2184" s="209" t="s">
        <v>925</v>
      </c>
      <c r="K2184" s="211" t="s">
        <v>1502</v>
      </c>
    </row>
    <row r="2185" spans="1:11" ht="84">
      <c r="A2185" s="204">
        <v>2183</v>
      </c>
      <c r="B2185" s="205">
        <v>46000</v>
      </c>
      <c r="C2185" s="265" t="s">
        <v>834</v>
      </c>
      <c r="D2185" s="204">
        <v>2025</v>
      </c>
      <c r="E2185" s="204" t="s">
        <v>1431</v>
      </c>
      <c r="F2185" s="204" t="s">
        <v>1511</v>
      </c>
      <c r="G2185" s="206" t="s">
        <v>88</v>
      </c>
      <c r="H2185" s="207" t="s">
        <v>3739</v>
      </c>
      <c r="I2185" s="156" t="s">
        <v>26</v>
      </c>
      <c r="J2185" s="204" t="s">
        <v>3740</v>
      </c>
      <c r="K2185" s="207" t="s">
        <v>1500</v>
      </c>
    </row>
    <row r="2186" spans="1:11" ht="33.75">
      <c r="A2186" s="204">
        <v>2184</v>
      </c>
      <c r="B2186" s="208">
        <v>46000</v>
      </c>
      <c r="C2186" s="265" t="s">
        <v>834</v>
      </c>
      <c r="D2186" s="204">
        <v>2025</v>
      </c>
      <c r="E2186" s="209" t="s">
        <v>1431</v>
      </c>
      <c r="F2186" s="209" t="s">
        <v>1511</v>
      </c>
      <c r="G2186" s="210" t="s">
        <v>88</v>
      </c>
      <c r="H2186" s="211" t="s">
        <v>3741</v>
      </c>
      <c r="I2186" s="156" t="s">
        <v>26</v>
      </c>
      <c r="J2186" s="209" t="s">
        <v>3176</v>
      </c>
      <c r="K2186" s="211"/>
    </row>
    <row r="2187" spans="1:11" ht="50.25">
      <c r="A2187" s="204">
        <v>2185</v>
      </c>
      <c r="B2187" s="205">
        <v>46000</v>
      </c>
      <c r="C2187" s="265" t="s">
        <v>834</v>
      </c>
      <c r="D2187" s="204">
        <v>2025</v>
      </c>
      <c r="E2187" s="204" t="s">
        <v>1431</v>
      </c>
      <c r="F2187" s="204" t="s">
        <v>2437</v>
      </c>
      <c r="G2187" s="212" t="s">
        <v>1439</v>
      </c>
      <c r="H2187" s="207" t="s">
        <v>3742</v>
      </c>
      <c r="I2187" s="156" t="s">
        <v>26</v>
      </c>
      <c r="J2187" s="204" t="s">
        <v>1998</v>
      </c>
      <c r="K2187" s="207"/>
    </row>
    <row r="2188" spans="1:11" ht="33.75">
      <c r="A2188" s="204">
        <v>2186</v>
      </c>
      <c r="B2188" s="208">
        <v>46000</v>
      </c>
      <c r="C2188" s="265" t="s">
        <v>834</v>
      </c>
      <c r="D2188" s="204">
        <v>2025</v>
      </c>
      <c r="E2188" s="209" t="s">
        <v>1431</v>
      </c>
      <c r="F2188" s="209" t="s">
        <v>1432</v>
      </c>
      <c r="G2188" s="212" t="s">
        <v>1439</v>
      </c>
      <c r="H2188" s="211" t="s">
        <v>3743</v>
      </c>
      <c r="I2188" s="156" t="s">
        <v>26</v>
      </c>
      <c r="J2188" s="209" t="s">
        <v>2150</v>
      </c>
      <c r="K2188" s="211"/>
    </row>
    <row r="2189" spans="1:11" ht="33.75">
      <c r="A2189" s="204">
        <v>2187</v>
      </c>
      <c r="B2189" s="205">
        <v>46000</v>
      </c>
      <c r="C2189" s="265" t="s">
        <v>834</v>
      </c>
      <c r="D2189" s="204">
        <v>2025</v>
      </c>
      <c r="E2189" s="204" t="s">
        <v>1431</v>
      </c>
      <c r="F2189" s="204" t="s">
        <v>1449</v>
      </c>
      <c r="G2189" s="206" t="s">
        <v>88</v>
      </c>
      <c r="H2189" s="207" t="s">
        <v>3744</v>
      </c>
      <c r="I2189" s="156" t="s">
        <v>26</v>
      </c>
      <c r="J2189" s="204" t="s">
        <v>1904</v>
      </c>
      <c r="K2189" s="207"/>
    </row>
    <row r="2190" spans="1:11" ht="117">
      <c r="A2190" s="204">
        <v>2188</v>
      </c>
      <c r="B2190" s="208">
        <v>46000</v>
      </c>
      <c r="C2190" s="265" t="s">
        <v>834</v>
      </c>
      <c r="D2190" s="204">
        <v>2025</v>
      </c>
      <c r="E2190" s="209" t="s">
        <v>1431</v>
      </c>
      <c r="F2190" s="209" t="s">
        <v>1449</v>
      </c>
      <c r="G2190" s="210" t="s">
        <v>88</v>
      </c>
      <c r="H2190" s="211" t="s">
        <v>3745</v>
      </c>
      <c r="I2190" s="156" t="s">
        <v>26</v>
      </c>
      <c r="J2190" s="209" t="s">
        <v>1904</v>
      </c>
      <c r="K2190" s="211" t="s">
        <v>1446</v>
      </c>
    </row>
    <row r="2191" spans="1:11" ht="50.25">
      <c r="A2191" s="204">
        <v>2189</v>
      </c>
      <c r="B2191" s="205">
        <v>46000</v>
      </c>
      <c r="C2191" s="265" t="s">
        <v>834</v>
      </c>
      <c r="D2191" s="204">
        <v>2025</v>
      </c>
      <c r="E2191" s="204" t="s">
        <v>1431</v>
      </c>
      <c r="F2191" s="204" t="s">
        <v>216</v>
      </c>
      <c r="G2191" s="213" t="s">
        <v>821</v>
      </c>
      <c r="H2191" s="207" t="s">
        <v>3746</v>
      </c>
      <c r="I2191" s="156" t="s">
        <v>26</v>
      </c>
      <c r="J2191" s="204" t="s">
        <v>492</v>
      </c>
      <c r="K2191" s="207"/>
    </row>
    <row r="2192" spans="1:11" ht="33.75">
      <c r="A2192" s="204">
        <v>2190</v>
      </c>
      <c r="B2192" s="208">
        <v>46000</v>
      </c>
      <c r="C2192" s="265" t="s">
        <v>834</v>
      </c>
      <c r="D2192" s="204">
        <v>2025</v>
      </c>
      <c r="E2192" s="209" t="s">
        <v>1431</v>
      </c>
      <c r="F2192" s="209" t="s">
        <v>216</v>
      </c>
      <c r="G2192" s="213" t="s">
        <v>821</v>
      </c>
      <c r="H2192" s="211" t="s">
        <v>3747</v>
      </c>
      <c r="I2192" s="156" t="s">
        <v>26</v>
      </c>
      <c r="J2192" s="209" t="s">
        <v>492</v>
      </c>
      <c r="K2192" s="211"/>
    </row>
    <row r="2193" spans="1:11" ht="117">
      <c r="A2193" s="204">
        <v>2191</v>
      </c>
      <c r="B2193" s="205">
        <v>46000</v>
      </c>
      <c r="C2193" s="265" t="s">
        <v>834</v>
      </c>
      <c r="D2193" s="204">
        <v>2025</v>
      </c>
      <c r="E2193" s="204" t="s">
        <v>1431</v>
      </c>
      <c r="F2193" s="204" t="s">
        <v>1449</v>
      </c>
      <c r="G2193" s="206" t="s">
        <v>88</v>
      </c>
      <c r="H2193" s="207" t="s">
        <v>3748</v>
      </c>
      <c r="I2193" s="156" t="s">
        <v>26</v>
      </c>
      <c r="J2193" s="204" t="s">
        <v>2593</v>
      </c>
      <c r="K2193" s="207" t="s">
        <v>1559</v>
      </c>
    </row>
    <row r="2194" spans="1:11" ht="117">
      <c r="A2194" s="204">
        <v>2192</v>
      </c>
      <c r="B2194" s="208">
        <v>46000</v>
      </c>
      <c r="C2194" s="265" t="s">
        <v>834</v>
      </c>
      <c r="D2194" s="204">
        <v>2025</v>
      </c>
      <c r="E2194" s="209" t="s">
        <v>1431</v>
      </c>
      <c r="F2194" s="209" t="s">
        <v>1449</v>
      </c>
      <c r="G2194" s="210" t="s">
        <v>88</v>
      </c>
      <c r="H2194" s="211" t="s">
        <v>3749</v>
      </c>
      <c r="I2194" s="156" t="s">
        <v>26</v>
      </c>
      <c r="J2194" s="209" t="s">
        <v>2593</v>
      </c>
      <c r="K2194" s="211" t="s">
        <v>1559</v>
      </c>
    </row>
    <row r="2195" spans="1:11" ht="66.75">
      <c r="A2195" s="204">
        <v>2193</v>
      </c>
      <c r="B2195" s="205">
        <v>46000</v>
      </c>
      <c r="C2195" s="265" t="s">
        <v>834</v>
      </c>
      <c r="D2195" s="204">
        <v>2025</v>
      </c>
      <c r="E2195" s="204" t="s">
        <v>1431</v>
      </c>
      <c r="F2195" s="204" t="s">
        <v>216</v>
      </c>
      <c r="G2195" s="206" t="s">
        <v>88</v>
      </c>
      <c r="H2195" s="207" t="s">
        <v>3750</v>
      </c>
      <c r="I2195" s="156" t="s">
        <v>26</v>
      </c>
      <c r="J2195" s="204" t="s">
        <v>492</v>
      </c>
      <c r="K2195" s="207"/>
    </row>
    <row r="2196" spans="1:11" ht="50.25">
      <c r="A2196" s="204">
        <v>2194</v>
      </c>
      <c r="B2196" s="208">
        <v>46000</v>
      </c>
      <c r="C2196" s="265" t="s">
        <v>834</v>
      </c>
      <c r="D2196" s="204">
        <v>2025</v>
      </c>
      <c r="E2196" s="209" t="s">
        <v>2224</v>
      </c>
      <c r="F2196" s="209" t="s">
        <v>1432</v>
      </c>
      <c r="G2196" s="213" t="s">
        <v>821</v>
      </c>
      <c r="H2196" s="211" t="s">
        <v>3751</v>
      </c>
      <c r="I2196" s="156" t="s">
        <v>26</v>
      </c>
      <c r="J2196" s="209" t="s">
        <v>59</v>
      </c>
      <c r="K2196" s="211"/>
    </row>
    <row r="2197" spans="1:11" ht="33.75">
      <c r="A2197" s="204">
        <v>2195</v>
      </c>
      <c r="B2197" s="205">
        <v>46000</v>
      </c>
      <c r="C2197" s="265" t="s">
        <v>834</v>
      </c>
      <c r="D2197" s="204">
        <v>2025</v>
      </c>
      <c r="E2197" s="204" t="s">
        <v>2224</v>
      </c>
      <c r="F2197" s="204" t="s">
        <v>1511</v>
      </c>
      <c r="G2197" s="206" t="s">
        <v>88</v>
      </c>
      <c r="H2197" s="207" t="s">
        <v>3752</v>
      </c>
      <c r="I2197" s="156" t="s">
        <v>26</v>
      </c>
      <c r="J2197" s="204" t="s">
        <v>2568</v>
      </c>
      <c r="K2197" s="207"/>
    </row>
    <row r="2198" spans="1:11" ht="33.75">
      <c r="A2198" s="204">
        <v>2196</v>
      </c>
      <c r="B2198" s="208">
        <v>46000</v>
      </c>
      <c r="C2198" s="265" t="s">
        <v>834</v>
      </c>
      <c r="D2198" s="204">
        <v>2025</v>
      </c>
      <c r="E2198" s="209" t="s">
        <v>2224</v>
      </c>
      <c r="F2198" s="209" t="s">
        <v>1432</v>
      </c>
      <c r="G2198" s="213" t="s">
        <v>821</v>
      </c>
      <c r="H2198" s="211" t="s">
        <v>3753</v>
      </c>
      <c r="I2198" s="156" t="s">
        <v>26</v>
      </c>
      <c r="J2198" s="209" t="s">
        <v>2593</v>
      </c>
      <c r="K2198" s="211"/>
    </row>
    <row r="2199" spans="1:11" ht="33.75">
      <c r="A2199" s="204">
        <v>2197</v>
      </c>
      <c r="B2199" s="205">
        <v>46000</v>
      </c>
      <c r="C2199" s="265" t="s">
        <v>834</v>
      </c>
      <c r="D2199" s="204">
        <v>2025</v>
      </c>
      <c r="E2199" s="204" t="s">
        <v>2224</v>
      </c>
      <c r="F2199" s="204" t="s">
        <v>1449</v>
      </c>
      <c r="G2199" s="206" t="s">
        <v>88</v>
      </c>
      <c r="H2199" s="207" t="s">
        <v>3754</v>
      </c>
      <c r="I2199" s="156" t="s">
        <v>26</v>
      </c>
      <c r="J2199" s="204" t="s">
        <v>2593</v>
      </c>
      <c r="K2199" s="207"/>
    </row>
    <row r="2200" spans="1:11" ht="66.75">
      <c r="A2200" s="204">
        <v>2198</v>
      </c>
      <c r="B2200" s="208">
        <v>46000</v>
      </c>
      <c r="C2200" s="265" t="s">
        <v>834</v>
      </c>
      <c r="D2200" s="204">
        <v>2025</v>
      </c>
      <c r="E2200" s="209" t="s">
        <v>1431</v>
      </c>
      <c r="F2200" s="209" t="s">
        <v>1566</v>
      </c>
      <c r="G2200" s="210" t="s">
        <v>88</v>
      </c>
      <c r="H2200" s="211" t="s">
        <v>3755</v>
      </c>
      <c r="I2200" s="156" t="s">
        <v>26</v>
      </c>
      <c r="J2200" s="209" t="s">
        <v>2640</v>
      </c>
      <c r="K2200" s="211" t="s">
        <v>1548</v>
      </c>
    </row>
    <row r="2201" spans="1:11" ht="100.5">
      <c r="A2201" s="204">
        <v>2199</v>
      </c>
      <c r="B2201" s="205">
        <v>46000</v>
      </c>
      <c r="C2201" s="265" t="s">
        <v>834</v>
      </c>
      <c r="D2201" s="204">
        <v>2025</v>
      </c>
      <c r="E2201" s="204" t="s">
        <v>1431</v>
      </c>
      <c r="F2201" s="204" t="s">
        <v>1566</v>
      </c>
      <c r="G2201" s="206" t="s">
        <v>88</v>
      </c>
      <c r="H2201" s="207" t="s">
        <v>3756</v>
      </c>
      <c r="I2201" s="156" t="s">
        <v>26</v>
      </c>
      <c r="J2201" s="204" t="s">
        <v>2640</v>
      </c>
      <c r="K2201" s="207" t="s">
        <v>1454</v>
      </c>
    </row>
    <row r="2202" spans="1:11" ht="33.75">
      <c r="A2202" s="204">
        <v>2200</v>
      </c>
      <c r="B2202" s="208">
        <v>46001</v>
      </c>
      <c r="C2202" s="265" t="s">
        <v>834</v>
      </c>
      <c r="D2202" s="204">
        <v>2025</v>
      </c>
      <c r="E2202" s="209" t="s">
        <v>1431</v>
      </c>
      <c r="F2202" s="209" t="s">
        <v>3217</v>
      </c>
      <c r="G2202" s="210" t="s">
        <v>88</v>
      </c>
      <c r="H2202" s="211" t="s">
        <v>3757</v>
      </c>
      <c r="I2202" s="156" t="s">
        <v>26</v>
      </c>
      <c r="J2202" s="209" t="s">
        <v>3758</v>
      </c>
      <c r="K2202" s="211"/>
    </row>
    <row r="2203" spans="1:11" ht="33.75">
      <c r="A2203" s="204">
        <v>2201</v>
      </c>
      <c r="B2203" s="205">
        <v>46001</v>
      </c>
      <c r="C2203" s="265" t="s">
        <v>834</v>
      </c>
      <c r="D2203" s="204">
        <v>2025</v>
      </c>
      <c r="E2203" s="204" t="s">
        <v>1431</v>
      </c>
      <c r="F2203" s="204" t="s">
        <v>21</v>
      </c>
      <c r="G2203" s="213" t="s">
        <v>821</v>
      </c>
      <c r="H2203" s="207" t="s">
        <v>3759</v>
      </c>
      <c r="I2203" s="156" t="s">
        <v>26</v>
      </c>
      <c r="J2203" s="204" t="s">
        <v>468</v>
      </c>
      <c r="K2203" s="207"/>
    </row>
    <row r="2204" spans="1:11" ht="16.5">
      <c r="A2204" s="204">
        <v>2202</v>
      </c>
      <c r="B2204" s="208">
        <v>46001</v>
      </c>
      <c r="C2204" s="265" t="s">
        <v>834</v>
      </c>
      <c r="D2204" s="204">
        <v>2025</v>
      </c>
      <c r="E2204" s="209" t="s">
        <v>1431</v>
      </c>
      <c r="F2204" s="209" t="s">
        <v>3011</v>
      </c>
      <c r="G2204" s="217" t="s">
        <v>859</v>
      </c>
      <c r="H2204" s="211" t="s">
        <v>3760</v>
      </c>
      <c r="I2204" s="156" t="s">
        <v>26</v>
      </c>
      <c r="J2204" s="209" t="s">
        <v>2599</v>
      </c>
      <c r="K2204" s="211"/>
    </row>
    <row r="2205" spans="1:11" ht="16.5">
      <c r="A2205" s="204">
        <v>2203</v>
      </c>
      <c r="B2205" s="205">
        <v>46001</v>
      </c>
      <c r="C2205" s="265" t="s">
        <v>834</v>
      </c>
      <c r="D2205" s="204">
        <v>2025</v>
      </c>
      <c r="E2205" s="204" t="s">
        <v>1431</v>
      </c>
      <c r="F2205" s="204" t="s">
        <v>3217</v>
      </c>
      <c r="G2205" s="206" t="s">
        <v>88</v>
      </c>
      <c r="H2205" s="207" t="s">
        <v>3761</v>
      </c>
      <c r="I2205" s="156" t="s">
        <v>26</v>
      </c>
      <c r="J2205" s="204" t="s">
        <v>3758</v>
      </c>
      <c r="K2205" s="207"/>
    </row>
    <row r="2206" spans="1:11" ht="16.5">
      <c r="A2206" s="204">
        <v>2204</v>
      </c>
      <c r="B2206" s="208">
        <v>46001</v>
      </c>
      <c r="C2206" s="265" t="s">
        <v>834</v>
      </c>
      <c r="D2206" s="204">
        <v>2025</v>
      </c>
      <c r="E2206" s="209" t="s">
        <v>1431</v>
      </c>
      <c r="F2206" s="209" t="s">
        <v>216</v>
      </c>
      <c r="G2206" s="213" t="s">
        <v>821</v>
      </c>
      <c r="H2206" s="211" t="s">
        <v>3762</v>
      </c>
      <c r="I2206" s="156" t="s">
        <v>26</v>
      </c>
      <c r="J2206" s="209" t="s">
        <v>492</v>
      </c>
      <c r="K2206" s="211"/>
    </row>
    <row r="2207" spans="1:11" ht="16.5">
      <c r="A2207" s="204">
        <v>2205</v>
      </c>
      <c r="B2207" s="205">
        <v>46001</v>
      </c>
      <c r="C2207" s="265" t="s">
        <v>834</v>
      </c>
      <c r="D2207" s="204">
        <v>2025</v>
      </c>
      <c r="E2207" s="204" t="s">
        <v>1431</v>
      </c>
      <c r="F2207" s="204" t="s">
        <v>216</v>
      </c>
      <c r="G2207" s="213" t="s">
        <v>821</v>
      </c>
      <c r="H2207" s="207" t="s">
        <v>3763</v>
      </c>
      <c r="I2207" s="156" t="s">
        <v>26</v>
      </c>
      <c r="J2207" s="204" t="s">
        <v>492</v>
      </c>
      <c r="K2207" s="207"/>
    </row>
    <row r="2208" spans="1:11" ht="16.5">
      <c r="A2208" s="204">
        <v>2206</v>
      </c>
      <c r="B2208" s="208">
        <v>46001</v>
      </c>
      <c r="C2208" s="265" t="s">
        <v>834</v>
      </c>
      <c r="D2208" s="204">
        <v>2025</v>
      </c>
      <c r="E2208" s="209" t="s">
        <v>1431</v>
      </c>
      <c r="F2208" s="209" t="s">
        <v>21</v>
      </c>
      <c r="G2208" s="213" t="s">
        <v>821</v>
      </c>
      <c r="H2208" s="211" t="s">
        <v>3764</v>
      </c>
      <c r="I2208" s="156" t="s">
        <v>26</v>
      </c>
      <c r="J2208" s="209" t="s">
        <v>468</v>
      </c>
      <c r="K2208" s="211"/>
    </row>
    <row r="2209" spans="1:11" ht="84">
      <c r="A2209" s="204">
        <v>2207</v>
      </c>
      <c r="B2209" s="205">
        <v>46001</v>
      </c>
      <c r="C2209" s="265" t="s">
        <v>834</v>
      </c>
      <c r="D2209" s="204">
        <v>2025</v>
      </c>
      <c r="E2209" s="204" t="s">
        <v>1431</v>
      </c>
      <c r="F2209" s="204" t="s">
        <v>1566</v>
      </c>
      <c r="G2209" s="206" t="s">
        <v>88</v>
      </c>
      <c r="H2209" s="207" t="s">
        <v>3765</v>
      </c>
      <c r="I2209" s="156" t="s">
        <v>26</v>
      </c>
      <c r="J2209" s="204" t="s">
        <v>2700</v>
      </c>
      <c r="K2209" s="207" t="s">
        <v>1500</v>
      </c>
    </row>
    <row r="2210" spans="1:11" ht="84">
      <c r="A2210" s="204">
        <v>2208</v>
      </c>
      <c r="B2210" s="208">
        <v>46001</v>
      </c>
      <c r="C2210" s="265" t="s">
        <v>834</v>
      </c>
      <c r="D2210" s="204">
        <v>2025</v>
      </c>
      <c r="E2210" s="209" t="s">
        <v>2224</v>
      </c>
      <c r="F2210" s="209" t="s">
        <v>1432</v>
      </c>
      <c r="G2210" s="210" t="s">
        <v>88</v>
      </c>
      <c r="H2210" s="211" t="s">
        <v>3766</v>
      </c>
      <c r="I2210" s="156" t="s">
        <v>26</v>
      </c>
      <c r="J2210" s="209" t="s">
        <v>59</v>
      </c>
      <c r="K2210" s="211" t="s">
        <v>1605</v>
      </c>
    </row>
    <row r="2211" spans="1:11" ht="16.5">
      <c r="A2211" s="204">
        <v>2209</v>
      </c>
      <c r="B2211" s="205">
        <v>46001</v>
      </c>
      <c r="C2211" s="265" t="s">
        <v>834</v>
      </c>
      <c r="D2211" s="204">
        <v>2025</v>
      </c>
      <c r="E2211" s="204" t="s">
        <v>2224</v>
      </c>
      <c r="F2211" s="204" t="s">
        <v>21</v>
      </c>
      <c r="G2211" s="213" t="s">
        <v>821</v>
      </c>
      <c r="H2211" s="207" t="s">
        <v>3767</v>
      </c>
      <c r="I2211" s="156" t="s">
        <v>26</v>
      </c>
      <c r="J2211" s="204" t="s">
        <v>468</v>
      </c>
      <c r="K2211" s="207"/>
    </row>
    <row r="2212" spans="1:11" ht="117">
      <c r="A2212" s="204">
        <v>2210</v>
      </c>
      <c r="B2212" s="208">
        <v>46001</v>
      </c>
      <c r="C2212" s="265" t="s">
        <v>834</v>
      </c>
      <c r="D2212" s="204">
        <v>2025</v>
      </c>
      <c r="E2212" s="209" t="s">
        <v>2224</v>
      </c>
      <c r="F2212" s="209" t="s">
        <v>1508</v>
      </c>
      <c r="G2212" s="210" t="s">
        <v>88</v>
      </c>
      <c r="H2212" s="211" t="s">
        <v>3768</v>
      </c>
      <c r="I2212" s="156" t="s">
        <v>26</v>
      </c>
      <c r="J2212" s="209" t="s">
        <v>3769</v>
      </c>
      <c r="K2212" s="211" t="s">
        <v>1510</v>
      </c>
    </row>
    <row r="2213" spans="1:11" ht="100.5">
      <c r="A2213" s="204">
        <v>2211</v>
      </c>
      <c r="B2213" s="205">
        <v>46003</v>
      </c>
      <c r="C2213" s="265" t="s">
        <v>834</v>
      </c>
      <c r="D2213" s="204">
        <v>2025</v>
      </c>
      <c r="E2213" s="204" t="s">
        <v>1431</v>
      </c>
      <c r="F2213" s="204" t="s">
        <v>1432</v>
      </c>
      <c r="G2213" s="212" t="s">
        <v>1439</v>
      </c>
      <c r="H2213" s="207" t="s">
        <v>3770</v>
      </c>
      <c r="I2213" s="156" t="s">
        <v>26</v>
      </c>
      <c r="J2213" s="204" t="s">
        <v>925</v>
      </c>
      <c r="K2213" s="207" t="s">
        <v>1502</v>
      </c>
    </row>
    <row r="2214" spans="1:11" ht="100.5">
      <c r="A2214" s="204">
        <v>2212</v>
      </c>
      <c r="B2214" s="208">
        <v>46003</v>
      </c>
      <c r="C2214" s="265" t="s">
        <v>834</v>
      </c>
      <c r="D2214" s="204">
        <v>2025</v>
      </c>
      <c r="E2214" s="209" t="s">
        <v>1431</v>
      </c>
      <c r="F2214" s="209" t="s">
        <v>1432</v>
      </c>
      <c r="G2214" s="212" t="s">
        <v>1439</v>
      </c>
      <c r="H2214" s="211" t="s">
        <v>3771</v>
      </c>
      <c r="I2214" s="156" t="s">
        <v>26</v>
      </c>
      <c r="J2214" s="209" t="s">
        <v>925</v>
      </c>
      <c r="K2214" s="211" t="s">
        <v>1502</v>
      </c>
    </row>
    <row r="2215" spans="1:11" ht="33.75">
      <c r="A2215" s="204">
        <v>2213</v>
      </c>
      <c r="B2215" s="205">
        <v>46003</v>
      </c>
      <c r="C2215" s="265" t="s">
        <v>834</v>
      </c>
      <c r="D2215" s="204">
        <v>2025</v>
      </c>
      <c r="E2215" s="204" t="s">
        <v>1431</v>
      </c>
      <c r="F2215" s="204" t="s">
        <v>3772</v>
      </c>
      <c r="G2215" s="206" t="s">
        <v>88</v>
      </c>
      <c r="H2215" s="207" t="s">
        <v>3773</v>
      </c>
      <c r="I2215" s="156" t="s">
        <v>26</v>
      </c>
      <c r="J2215" s="204" t="s">
        <v>3774</v>
      </c>
      <c r="K2215" s="207"/>
    </row>
    <row r="2216" spans="1:11" ht="33.75">
      <c r="A2216" s="204">
        <v>2214</v>
      </c>
      <c r="B2216" s="208">
        <v>46003</v>
      </c>
      <c r="C2216" s="265" t="s">
        <v>834</v>
      </c>
      <c r="D2216" s="204">
        <v>2025</v>
      </c>
      <c r="E2216" s="209" t="s">
        <v>1431</v>
      </c>
      <c r="F2216" s="209" t="s">
        <v>3772</v>
      </c>
      <c r="G2216" s="210" t="s">
        <v>88</v>
      </c>
      <c r="H2216" s="211" t="s">
        <v>3775</v>
      </c>
      <c r="I2216" s="156" t="s">
        <v>26</v>
      </c>
      <c r="J2216" s="209" t="s">
        <v>3776</v>
      </c>
      <c r="K2216" s="211"/>
    </row>
    <row r="2217" spans="1:11" ht="33.75">
      <c r="A2217" s="204">
        <v>2215</v>
      </c>
      <c r="B2217" s="205">
        <v>46003</v>
      </c>
      <c r="C2217" s="265" t="s">
        <v>834</v>
      </c>
      <c r="D2217" s="204">
        <v>2025</v>
      </c>
      <c r="E2217" s="204" t="s">
        <v>1431</v>
      </c>
      <c r="F2217" s="204" t="s">
        <v>1511</v>
      </c>
      <c r="G2217" s="206" t="s">
        <v>88</v>
      </c>
      <c r="H2217" s="207" t="s">
        <v>3777</v>
      </c>
      <c r="I2217" s="156" t="s">
        <v>26</v>
      </c>
      <c r="J2217" s="204" t="s">
        <v>1493</v>
      </c>
      <c r="K2217" s="207"/>
    </row>
    <row r="2218" spans="1:11" ht="100.5">
      <c r="A2218" s="204">
        <v>2216</v>
      </c>
      <c r="B2218" s="208">
        <v>46003</v>
      </c>
      <c r="C2218" s="265" t="s">
        <v>834</v>
      </c>
      <c r="D2218" s="204">
        <v>2025</v>
      </c>
      <c r="E2218" s="209" t="s">
        <v>1431</v>
      </c>
      <c r="F2218" s="209" t="s">
        <v>2595</v>
      </c>
      <c r="G2218" s="210" t="s">
        <v>88</v>
      </c>
      <c r="H2218" s="211" t="s">
        <v>3778</v>
      </c>
      <c r="I2218" s="156" t="s">
        <v>26</v>
      </c>
      <c r="J2218" s="209" t="s">
        <v>3516</v>
      </c>
      <c r="K2218" s="211" t="s">
        <v>1472</v>
      </c>
    </row>
    <row r="2219" spans="1:11" ht="33.75">
      <c r="A2219" s="204">
        <v>2217</v>
      </c>
      <c r="B2219" s="205">
        <v>46003</v>
      </c>
      <c r="C2219" s="265" t="s">
        <v>834</v>
      </c>
      <c r="D2219" s="204">
        <v>2025</v>
      </c>
      <c r="E2219" s="204" t="s">
        <v>1431</v>
      </c>
      <c r="F2219" s="204" t="s">
        <v>216</v>
      </c>
      <c r="G2219" s="213" t="s">
        <v>821</v>
      </c>
      <c r="H2219" s="207" t="s">
        <v>3779</v>
      </c>
      <c r="I2219" s="156" t="s">
        <v>26</v>
      </c>
      <c r="J2219" s="204" t="s">
        <v>492</v>
      </c>
      <c r="K2219" s="207"/>
    </row>
    <row r="2220" spans="1:11" ht="50.25">
      <c r="A2220" s="204">
        <v>2218</v>
      </c>
      <c r="B2220" s="208">
        <v>46003</v>
      </c>
      <c r="C2220" s="265" t="s">
        <v>834</v>
      </c>
      <c r="D2220" s="204">
        <v>2025</v>
      </c>
      <c r="E2220" s="209" t="s">
        <v>1431</v>
      </c>
      <c r="F2220" s="209" t="s">
        <v>216</v>
      </c>
      <c r="G2220" s="213" t="s">
        <v>821</v>
      </c>
      <c r="H2220" s="211" t="s">
        <v>3780</v>
      </c>
      <c r="I2220" s="156" t="s">
        <v>26</v>
      </c>
      <c r="J2220" s="209" t="s">
        <v>492</v>
      </c>
      <c r="K2220" s="211"/>
    </row>
    <row r="2221" spans="1:11" ht="117">
      <c r="A2221" s="204">
        <v>2219</v>
      </c>
      <c r="B2221" s="205">
        <v>46003</v>
      </c>
      <c r="C2221" s="265" t="s">
        <v>834</v>
      </c>
      <c r="D2221" s="204">
        <v>2025</v>
      </c>
      <c r="E2221" s="204" t="s">
        <v>1431</v>
      </c>
      <c r="F2221" s="204" t="s">
        <v>1449</v>
      </c>
      <c r="G2221" s="206" t="s">
        <v>88</v>
      </c>
      <c r="H2221" s="207" t="s">
        <v>3781</v>
      </c>
      <c r="I2221" s="156" t="s">
        <v>26</v>
      </c>
      <c r="J2221" s="204" t="s">
        <v>2593</v>
      </c>
      <c r="K2221" s="207" t="s">
        <v>1559</v>
      </c>
    </row>
    <row r="2222" spans="1:11" ht="100.5">
      <c r="A2222" s="204">
        <v>2220</v>
      </c>
      <c r="B2222" s="208">
        <v>46003</v>
      </c>
      <c r="C2222" s="265" t="s">
        <v>834</v>
      </c>
      <c r="D2222" s="204">
        <v>2025</v>
      </c>
      <c r="E2222" s="209" t="s">
        <v>1431</v>
      </c>
      <c r="F2222" s="209" t="s">
        <v>1449</v>
      </c>
      <c r="G2222" s="210" t="s">
        <v>88</v>
      </c>
      <c r="H2222" s="211" t="s">
        <v>3782</v>
      </c>
      <c r="I2222" s="156" t="s">
        <v>26</v>
      </c>
      <c r="J2222" s="209" t="s">
        <v>2593</v>
      </c>
      <c r="K2222" s="211"/>
    </row>
    <row r="2223" spans="1:11" ht="100.5">
      <c r="A2223" s="204">
        <v>2221</v>
      </c>
      <c r="B2223" s="205">
        <v>46003</v>
      </c>
      <c r="C2223" s="265" t="s">
        <v>834</v>
      </c>
      <c r="D2223" s="204">
        <v>2025</v>
      </c>
      <c r="E2223" s="204" t="s">
        <v>1431</v>
      </c>
      <c r="F2223" s="204" t="s">
        <v>1608</v>
      </c>
      <c r="G2223" s="213" t="s">
        <v>821</v>
      </c>
      <c r="H2223" s="207" t="s">
        <v>2849</v>
      </c>
      <c r="I2223" s="156" t="s">
        <v>26</v>
      </c>
      <c r="J2223" s="204" t="s">
        <v>3561</v>
      </c>
      <c r="K2223" s="207" t="s">
        <v>1448</v>
      </c>
    </row>
    <row r="2224" spans="1:11" ht="33.75">
      <c r="A2224" s="204">
        <v>2222</v>
      </c>
      <c r="B2224" s="208">
        <v>46003</v>
      </c>
      <c r="C2224" s="265" t="s">
        <v>834</v>
      </c>
      <c r="D2224" s="204">
        <v>2025</v>
      </c>
      <c r="E2224" s="209" t="s">
        <v>2224</v>
      </c>
      <c r="F2224" s="209" t="s">
        <v>1449</v>
      </c>
      <c r="G2224" s="210" t="s">
        <v>88</v>
      </c>
      <c r="H2224" s="211" t="s">
        <v>3783</v>
      </c>
      <c r="I2224" s="156" t="s">
        <v>26</v>
      </c>
      <c r="J2224" s="209" t="s">
        <v>2593</v>
      </c>
      <c r="K2224" s="211"/>
    </row>
    <row r="2225" spans="1:11" ht="66.75">
      <c r="A2225" s="204">
        <v>2223</v>
      </c>
      <c r="B2225" s="205">
        <v>46003</v>
      </c>
      <c r="C2225" s="265" t="s">
        <v>834</v>
      </c>
      <c r="D2225" s="204">
        <v>2025</v>
      </c>
      <c r="E2225" s="204" t="s">
        <v>2224</v>
      </c>
      <c r="F2225" s="204" t="s">
        <v>1449</v>
      </c>
      <c r="G2225" s="206" t="s">
        <v>88</v>
      </c>
      <c r="H2225" s="207" t="s">
        <v>3784</v>
      </c>
      <c r="I2225" s="156" t="s">
        <v>26</v>
      </c>
      <c r="J2225" s="204" t="s">
        <v>2593</v>
      </c>
      <c r="K2225" s="207"/>
    </row>
    <row r="2226" spans="1:11" ht="50.25">
      <c r="A2226" s="204">
        <v>2224</v>
      </c>
      <c r="B2226" s="208">
        <v>46007</v>
      </c>
      <c r="C2226" s="265" t="s">
        <v>834</v>
      </c>
      <c r="D2226" s="204">
        <v>2025</v>
      </c>
      <c r="E2226" s="209" t="s">
        <v>1431</v>
      </c>
      <c r="F2226" s="209" t="s">
        <v>2437</v>
      </c>
      <c r="G2226" s="212" t="s">
        <v>1439</v>
      </c>
      <c r="H2226" s="211" t="s">
        <v>3785</v>
      </c>
      <c r="I2226" s="156" t="s">
        <v>26</v>
      </c>
      <c r="J2226" s="209" t="s">
        <v>1436</v>
      </c>
      <c r="K2226" s="211"/>
    </row>
    <row r="2227" spans="1:11" ht="33.75">
      <c r="A2227" s="204">
        <v>2225</v>
      </c>
      <c r="B2227" s="205">
        <v>46007</v>
      </c>
      <c r="C2227" s="265" t="s">
        <v>834</v>
      </c>
      <c r="D2227" s="204">
        <v>2025</v>
      </c>
      <c r="E2227" s="204" t="s">
        <v>1431</v>
      </c>
      <c r="F2227" s="204" t="s">
        <v>2595</v>
      </c>
      <c r="G2227" s="206" t="s">
        <v>88</v>
      </c>
      <c r="H2227" s="207" t="s">
        <v>3786</v>
      </c>
      <c r="I2227" s="156" t="s">
        <v>26</v>
      </c>
      <c r="J2227" s="204" t="s">
        <v>1436</v>
      </c>
      <c r="K2227" s="207"/>
    </row>
    <row r="2228" spans="1:11" ht="33.75">
      <c r="A2228" s="204">
        <v>2226</v>
      </c>
      <c r="B2228" s="208">
        <v>46007</v>
      </c>
      <c r="C2228" s="265" t="s">
        <v>834</v>
      </c>
      <c r="D2228" s="204">
        <v>2025</v>
      </c>
      <c r="E2228" s="209" t="s">
        <v>1431</v>
      </c>
      <c r="F2228" s="209" t="s">
        <v>2595</v>
      </c>
      <c r="G2228" s="210" t="s">
        <v>88</v>
      </c>
      <c r="H2228" s="211" t="s">
        <v>3787</v>
      </c>
      <c r="I2228" s="156" t="s">
        <v>26</v>
      </c>
      <c r="J2228" s="209" t="s">
        <v>1436</v>
      </c>
      <c r="K2228" s="211"/>
    </row>
    <row r="2229" spans="1:11" ht="33.75">
      <c r="A2229" s="204">
        <v>2227</v>
      </c>
      <c r="B2229" s="205">
        <v>46007</v>
      </c>
      <c r="C2229" s="265" t="s">
        <v>834</v>
      </c>
      <c r="D2229" s="204">
        <v>2025</v>
      </c>
      <c r="E2229" s="204" t="s">
        <v>1431</v>
      </c>
      <c r="F2229" s="204" t="s">
        <v>3011</v>
      </c>
      <c r="G2229" s="214" t="s">
        <v>859</v>
      </c>
      <c r="H2229" s="207" t="s">
        <v>3788</v>
      </c>
      <c r="I2229" s="156" t="s">
        <v>26</v>
      </c>
      <c r="J2229" s="204" t="s">
        <v>1436</v>
      </c>
      <c r="K2229" s="207"/>
    </row>
    <row r="2230" spans="1:11" ht="50.25">
      <c r="A2230" s="204">
        <v>2228</v>
      </c>
      <c r="B2230" s="208">
        <v>46007</v>
      </c>
      <c r="C2230" s="265" t="s">
        <v>834</v>
      </c>
      <c r="D2230" s="204">
        <v>2025</v>
      </c>
      <c r="E2230" s="209" t="s">
        <v>1431</v>
      </c>
      <c r="F2230" s="209" t="s">
        <v>1432</v>
      </c>
      <c r="G2230" s="213" t="s">
        <v>821</v>
      </c>
      <c r="H2230" s="211" t="s">
        <v>3789</v>
      </c>
      <c r="I2230" s="156" t="s">
        <v>26</v>
      </c>
      <c r="J2230" s="209" t="s">
        <v>1436</v>
      </c>
      <c r="K2230" s="211"/>
    </row>
    <row r="2231" spans="1:11" ht="50.25">
      <c r="A2231" s="204">
        <v>2229</v>
      </c>
      <c r="B2231" s="205">
        <v>46007</v>
      </c>
      <c r="C2231" s="265" t="s">
        <v>834</v>
      </c>
      <c r="D2231" s="204">
        <v>2025</v>
      </c>
      <c r="E2231" s="204" t="s">
        <v>1431</v>
      </c>
      <c r="F2231" s="204" t="s">
        <v>1432</v>
      </c>
      <c r="G2231" s="214" t="s">
        <v>859</v>
      </c>
      <c r="H2231" s="207" t="s">
        <v>3790</v>
      </c>
      <c r="I2231" s="156" t="s">
        <v>26</v>
      </c>
      <c r="J2231" s="204" t="s">
        <v>1436</v>
      </c>
      <c r="K2231" s="207"/>
    </row>
    <row r="2232" spans="1:11" ht="84">
      <c r="A2232" s="204">
        <v>2230</v>
      </c>
      <c r="B2232" s="208">
        <v>46007</v>
      </c>
      <c r="C2232" s="265" t="s">
        <v>834</v>
      </c>
      <c r="D2232" s="204">
        <v>2025</v>
      </c>
      <c r="E2232" s="209" t="s">
        <v>1431</v>
      </c>
      <c r="F2232" s="209" t="s">
        <v>1518</v>
      </c>
      <c r="G2232" s="210" t="s">
        <v>88</v>
      </c>
      <c r="H2232" s="211" t="s">
        <v>3791</v>
      </c>
      <c r="I2232" s="156" t="s">
        <v>26</v>
      </c>
      <c r="J2232" s="209" t="s">
        <v>1436</v>
      </c>
      <c r="K2232" s="211" t="s">
        <v>1444</v>
      </c>
    </row>
    <row r="2233" spans="1:11" ht="50.25">
      <c r="A2233" s="204">
        <v>2231</v>
      </c>
      <c r="B2233" s="205">
        <v>46007</v>
      </c>
      <c r="C2233" s="265" t="s">
        <v>834</v>
      </c>
      <c r="D2233" s="204">
        <v>2025</v>
      </c>
      <c r="E2233" s="204" t="s">
        <v>1431</v>
      </c>
      <c r="F2233" s="204" t="s">
        <v>216</v>
      </c>
      <c r="G2233" s="206" t="s">
        <v>88</v>
      </c>
      <c r="H2233" s="207" t="s">
        <v>3792</v>
      </c>
      <c r="I2233" s="156" t="s">
        <v>26</v>
      </c>
      <c r="J2233" s="204" t="s">
        <v>1436</v>
      </c>
      <c r="K2233" s="207"/>
    </row>
    <row r="2234" spans="1:11" ht="100.5">
      <c r="A2234" s="204">
        <v>2232</v>
      </c>
      <c r="B2234" s="208">
        <v>46008</v>
      </c>
      <c r="C2234" s="265" t="s">
        <v>834</v>
      </c>
      <c r="D2234" s="204">
        <v>2025</v>
      </c>
      <c r="E2234" s="209" t="s">
        <v>1431</v>
      </c>
      <c r="F2234" s="209" t="s">
        <v>3772</v>
      </c>
      <c r="G2234" s="216" t="s">
        <v>872</v>
      </c>
      <c r="H2234" s="211" t="s">
        <v>3793</v>
      </c>
      <c r="I2234" s="156" t="s">
        <v>26</v>
      </c>
      <c r="J2234" s="209" t="s">
        <v>1436</v>
      </c>
      <c r="K2234" s="211" t="s">
        <v>1500</v>
      </c>
    </row>
    <row r="2235" spans="1:11" ht="50.25">
      <c r="A2235" s="204">
        <v>2233</v>
      </c>
      <c r="B2235" s="205">
        <v>46008</v>
      </c>
      <c r="C2235" s="265" t="s">
        <v>834</v>
      </c>
      <c r="D2235" s="204">
        <v>2025</v>
      </c>
      <c r="E2235" s="204" t="s">
        <v>1431</v>
      </c>
      <c r="F2235" s="204" t="s">
        <v>2437</v>
      </c>
      <c r="G2235" s="206" t="s">
        <v>88</v>
      </c>
      <c r="H2235" s="207" t="s">
        <v>3794</v>
      </c>
      <c r="I2235" s="156" t="s">
        <v>26</v>
      </c>
      <c r="J2235" s="204" t="s">
        <v>1436</v>
      </c>
      <c r="K2235" s="207"/>
    </row>
    <row r="2236" spans="1:11" ht="84">
      <c r="A2236" s="204">
        <v>2234</v>
      </c>
      <c r="B2236" s="208">
        <v>46008</v>
      </c>
      <c r="C2236" s="265" t="s">
        <v>834</v>
      </c>
      <c r="D2236" s="204">
        <v>2025</v>
      </c>
      <c r="E2236" s="209" t="s">
        <v>1431</v>
      </c>
      <c r="F2236" s="209" t="s">
        <v>1518</v>
      </c>
      <c r="G2236" s="213" t="s">
        <v>821</v>
      </c>
      <c r="H2236" s="211" t="s">
        <v>3795</v>
      </c>
      <c r="I2236" s="156" t="s">
        <v>26</v>
      </c>
      <c r="J2236" s="209" t="s">
        <v>1436</v>
      </c>
      <c r="K2236" s="211" t="s">
        <v>1444</v>
      </c>
    </row>
    <row r="2237" spans="1:11" ht="117">
      <c r="A2237" s="204">
        <v>2235</v>
      </c>
      <c r="B2237" s="205">
        <v>46008</v>
      </c>
      <c r="C2237" s="265" t="s">
        <v>834</v>
      </c>
      <c r="D2237" s="204">
        <v>2025</v>
      </c>
      <c r="E2237" s="204" t="s">
        <v>1431</v>
      </c>
      <c r="F2237" s="204" t="s">
        <v>21</v>
      </c>
      <c r="G2237" s="213" t="s">
        <v>821</v>
      </c>
      <c r="H2237" s="207" t="s">
        <v>3796</v>
      </c>
      <c r="I2237" s="156" t="s">
        <v>26</v>
      </c>
      <c r="J2237" s="204" t="s">
        <v>1436</v>
      </c>
      <c r="K2237" s="207" t="s">
        <v>1482</v>
      </c>
    </row>
    <row r="2238" spans="1:11" ht="117">
      <c r="A2238" s="204">
        <v>2236</v>
      </c>
      <c r="B2238" s="208">
        <v>46008</v>
      </c>
      <c r="C2238" s="265" t="s">
        <v>834</v>
      </c>
      <c r="D2238" s="204">
        <v>2025</v>
      </c>
      <c r="E2238" s="209" t="s">
        <v>1431</v>
      </c>
      <c r="F2238" s="209" t="s">
        <v>21</v>
      </c>
      <c r="G2238" s="213" t="s">
        <v>821</v>
      </c>
      <c r="H2238" s="211" t="s">
        <v>3797</v>
      </c>
      <c r="I2238" s="156" t="s">
        <v>26</v>
      </c>
      <c r="J2238" s="209" t="s">
        <v>1436</v>
      </c>
      <c r="K2238" s="211" t="s">
        <v>1446</v>
      </c>
    </row>
    <row r="2239" spans="1:11" ht="84">
      <c r="A2239" s="204">
        <v>2237</v>
      </c>
      <c r="B2239" s="205">
        <v>46008</v>
      </c>
      <c r="C2239" s="265" t="s">
        <v>834</v>
      </c>
      <c r="D2239" s="204">
        <v>2025</v>
      </c>
      <c r="E2239" s="204" t="s">
        <v>1431</v>
      </c>
      <c r="F2239" s="204" t="s">
        <v>1511</v>
      </c>
      <c r="G2239" s="206" t="s">
        <v>88</v>
      </c>
      <c r="H2239" s="207" t="s">
        <v>3798</v>
      </c>
      <c r="I2239" s="156" t="s">
        <v>26</v>
      </c>
      <c r="J2239" s="204" t="s">
        <v>1436</v>
      </c>
      <c r="K2239" s="207" t="s">
        <v>1500</v>
      </c>
    </row>
    <row r="2240" spans="1:11" ht="33.75">
      <c r="A2240" s="204">
        <v>2238</v>
      </c>
      <c r="B2240" s="208">
        <v>46009</v>
      </c>
      <c r="C2240" s="265" t="s">
        <v>834</v>
      </c>
      <c r="D2240" s="204">
        <v>2025</v>
      </c>
      <c r="E2240" s="209" t="s">
        <v>1431</v>
      </c>
      <c r="F2240" s="209" t="s">
        <v>3655</v>
      </c>
      <c r="G2240" s="210" t="s">
        <v>88</v>
      </c>
      <c r="H2240" s="211" t="s">
        <v>3799</v>
      </c>
      <c r="I2240" s="156" t="s">
        <v>26</v>
      </c>
      <c r="J2240" s="209" t="s">
        <v>1436</v>
      </c>
      <c r="K2240" s="211"/>
    </row>
    <row r="2241" spans="1:11" ht="134.25">
      <c r="A2241" s="204">
        <v>2239</v>
      </c>
      <c r="B2241" s="205">
        <v>46009</v>
      </c>
      <c r="C2241" s="265" t="s">
        <v>834</v>
      </c>
      <c r="D2241" s="204">
        <v>2025</v>
      </c>
      <c r="E2241" s="204" t="s">
        <v>1431</v>
      </c>
      <c r="F2241" s="204" t="s">
        <v>216</v>
      </c>
      <c r="G2241" s="213" t="s">
        <v>821</v>
      </c>
      <c r="H2241" s="207" t="s">
        <v>3800</v>
      </c>
      <c r="I2241" s="156" t="s">
        <v>26</v>
      </c>
      <c r="J2241" s="204" t="s">
        <v>1436</v>
      </c>
      <c r="K2241" s="207" t="s">
        <v>1601</v>
      </c>
    </row>
    <row r="2242" spans="1:11" ht="150.75">
      <c r="A2242" s="204">
        <v>2240</v>
      </c>
      <c r="B2242" s="208">
        <v>46009</v>
      </c>
      <c r="C2242" s="265" t="s">
        <v>834</v>
      </c>
      <c r="D2242" s="204">
        <v>2025</v>
      </c>
      <c r="E2242" s="209" t="s">
        <v>1431</v>
      </c>
      <c r="F2242" s="209" t="s">
        <v>21</v>
      </c>
      <c r="G2242" s="213" t="s">
        <v>821</v>
      </c>
      <c r="H2242" s="211" t="s">
        <v>3801</v>
      </c>
      <c r="I2242" s="156" t="s">
        <v>26</v>
      </c>
      <c r="J2242" s="209" t="s">
        <v>1436</v>
      </c>
      <c r="K2242" s="211" t="s">
        <v>1513</v>
      </c>
    </row>
    <row r="2243" spans="1:11" ht="16.5">
      <c r="A2243" s="204">
        <v>2241</v>
      </c>
      <c r="B2243" s="205">
        <v>46009</v>
      </c>
      <c r="C2243" s="265" t="s">
        <v>834</v>
      </c>
      <c r="D2243" s="204">
        <v>2025</v>
      </c>
      <c r="E2243" s="204" t="s">
        <v>2224</v>
      </c>
      <c r="F2243" s="204" t="s">
        <v>21</v>
      </c>
      <c r="G2243" s="213" t="s">
        <v>821</v>
      </c>
      <c r="H2243" s="207" t="s">
        <v>3802</v>
      </c>
      <c r="I2243" s="156" t="s">
        <v>26</v>
      </c>
      <c r="J2243" s="204" t="s">
        <v>1436</v>
      </c>
      <c r="K2243" s="207"/>
    </row>
    <row r="2244" spans="1:11" ht="33.75">
      <c r="A2244" s="204">
        <v>2242</v>
      </c>
      <c r="B2244" s="208">
        <v>46010</v>
      </c>
      <c r="C2244" s="265" t="s">
        <v>834</v>
      </c>
      <c r="D2244" s="204">
        <v>2025</v>
      </c>
      <c r="E2244" s="209" t="s">
        <v>1431</v>
      </c>
      <c r="F2244" s="209" t="s">
        <v>2595</v>
      </c>
      <c r="G2244" s="210" t="s">
        <v>88</v>
      </c>
      <c r="H2244" s="211" t="s">
        <v>3803</v>
      </c>
      <c r="I2244" s="156" t="s">
        <v>26</v>
      </c>
      <c r="J2244" s="209" t="s">
        <v>1436</v>
      </c>
      <c r="K2244" s="211"/>
    </row>
    <row r="2245" spans="1:11" ht="33.75">
      <c r="A2245" s="204">
        <v>2243</v>
      </c>
      <c r="B2245" s="205">
        <v>46010</v>
      </c>
      <c r="C2245" s="265" t="s">
        <v>834</v>
      </c>
      <c r="D2245" s="204">
        <v>2025</v>
      </c>
      <c r="E2245" s="204" t="s">
        <v>1431</v>
      </c>
      <c r="F2245" s="204" t="s">
        <v>216</v>
      </c>
      <c r="G2245" s="206" t="s">
        <v>88</v>
      </c>
      <c r="H2245" s="207" t="s">
        <v>3804</v>
      </c>
      <c r="I2245" s="156" t="s">
        <v>26</v>
      </c>
      <c r="J2245" s="204" t="s">
        <v>1436</v>
      </c>
      <c r="K2245" s="207"/>
    </row>
    <row r="2246" spans="1:11" ht="16.5">
      <c r="A2246" s="204">
        <v>2244</v>
      </c>
      <c r="B2246" s="208">
        <v>46010</v>
      </c>
      <c r="C2246" s="265" t="s">
        <v>834</v>
      </c>
      <c r="D2246" s="204">
        <v>2025</v>
      </c>
      <c r="E2246" s="209" t="s">
        <v>1431</v>
      </c>
      <c r="F2246" s="209" t="s">
        <v>1566</v>
      </c>
      <c r="G2246" s="210" t="s">
        <v>88</v>
      </c>
      <c r="H2246" s="211" t="s">
        <v>3805</v>
      </c>
      <c r="I2246" s="156" t="s">
        <v>26</v>
      </c>
      <c r="J2246" s="209" t="s">
        <v>1436</v>
      </c>
      <c r="K2246" s="211"/>
    </row>
    <row r="2247" spans="1:11" ht="16.5">
      <c r="A2247" s="204">
        <v>2245</v>
      </c>
      <c r="B2247" s="205">
        <v>46013</v>
      </c>
      <c r="C2247" s="265" t="s">
        <v>834</v>
      </c>
      <c r="D2247" s="204">
        <v>2025</v>
      </c>
      <c r="E2247" s="204" t="s">
        <v>1431</v>
      </c>
      <c r="F2247" s="204" t="s">
        <v>1566</v>
      </c>
      <c r="G2247" s="206" t="s">
        <v>88</v>
      </c>
      <c r="H2247" s="207" t="s">
        <v>3806</v>
      </c>
      <c r="I2247" s="156" t="s">
        <v>26</v>
      </c>
      <c r="J2247" s="204" t="s">
        <v>1436</v>
      </c>
      <c r="K2247" s="207"/>
    </row>
    <row r="2248" spans="1:11" ht="150.75">
      <c r="A2248" s="204">
        <v>2246</v>
      </c>
      <c r="B2248" s="208">
        <v>46013</v>
      </c>
      <c r="C2248" s="265" t="s">
        <v>834</v>
      </c>
      <c r="D2248" s="204">
        <v>2025</v>
      </c>
      <c r="E2248" s="209" t="s">
        <v>1431</v>
      </c>
      <c r="F2248" s="209" t="s">
        <v>21</v>
      </c>
      <c r="G2248" s="213" t="s">
        <v>821</v>
      </c>
      <c r="H2248" s="211" t="s">
        <v>3807</v>
      </c>
      <c r="I2248" s="156" t="s">
        <v>26</v>
      </c>
      <c r="J2248" s="209" t="s">
        <v>1436</v>
      </c>
      <c r="K2248" s="211" t="s">
        <v>1513</v>
      </c>
    </row>
    <row r="2249" spans="1:11" ht="16.5">
      <c r="A2249" s="204">
        <v>2247</v>
      </c>
      <c r="B2249" s="205">
        <v>46013</v>
      </c>
      <c r="C2249" s="265" t="s">
        <v>834</v>
      </c>
      <c r="D2249" s="204">
        <v>2025</v>
      </c>
      <c r="E2249" s="204" t="s">
        <v>1431</v>
      </c>
      <c r="F2249" s="204" t="s">
        <v>3808</v>
      </c>
      <c r="G2249" s="206" t="s">
        <v>88</v>
      </c>
      <c r="H2249" s="207" t="s">
        <v>3809</v>
      </c>
      <c r="I2249" s="156" t="s">
        <v>26</v>
      </c>
      <c r="J2249" s="204" t="s">
        <v>1436</v>
      </c>
      <c r="K2249" s="207"/>
    </row>
    <row r="2250" spans="1:11" ht="84">
      <c r="A2250" s="204">
        <v>2248</v>
      </c>
      <c r="B2250" s="208">
        <v>46013</v>
      </c>
      <c r="C2250" s="265" t="s">
        <v>834</v>
      </c>
      <c r="D2250" s="204">
        <v>2025</v>
      </c>
      <c r="E2250" s="209" t="s">
        <v>2224</v>
      </c>
      <c r="F2250" s="209" t="s">
        <v>3655</v>
      </c>
      <c r="G2250" s="210" t="s">
        <v>88</v>
      </c>
      <c r="H2250" s="211" t="s">
        <v>3810</v>
      </c>
      <c r="I2250" s="156" t="s">
        <v>26</v>
      </c>
      <c r="J2250" s="209" t="s">
        <v>1436</v>
      </c>
      <c r="K2250" s="211" t="s">
        <v>1500</v>
      </c>
    </row>
    <row r="2251" spans="1:11" ht="117">
      <c r="A2251" s="204">
        <v>2249</v>
      </c>
      <c r="B2251" s="205">
        <v>46014</v>
      </c>
      <c r="C2251" s="265" t="s">
        <v>834</v>
      </c>
      <c r="D2251" s="204">
        <v>2025</v>
      </c>
      <c r="E2251" s="204" t="s">
        <v>1431</v>
      </c>
      <c r="F2251" s="204" t="s">
        <v>1511</v>
      </c>
      <c r="G2251" s="206" t="s">
        <v>88</v>
      </c>
      <c r="H2251" s="207" t="s">
        <v>3811</v>
      </c>
      <c r="I2251" s="156" t="s">
        <v>26</v>
      </c>
      <c r="J2251" s="204" t="s">
        <v>1436</v>
      </c>
      <c r="K2251" s="207" t="s">
        <v>1522</v>
      </c>
    </row>
    <row r="2252" spans="1:11" ht="33.75">
      <c r="A2252" s="204">
        <v>2250</v>
      </c>
      <c r="B2252" s="208">
        <v>46014</v>
      </c>
      <c r="C2252" s="265" t="s">
        <v>834</v>
      </c>
      <c r="D2252" s="204">
        <v>2025</v>
      </c>
      <c r="E2252" s="209" t="s">
        <v>1431</v>
      </c>
      <c r="F2252" s="209" t="s">
        <v>21</v>
      </c>
      <c r="G2252" s="213" t="s">
        <v>821</v>
      </c>
      <c r="H2252" s="211" t="s">
        <v>3812</v>
      </c>
      <c r="I2252" s="156" t="s">
        <v>26</v>
      </c>
      <c r="J2252" s="209" t="s">
        <v>1436</v>
      </c>
      <c r="K2252" s="211"/>
    </row>
    <row r="2253" spans="1:11" ht="16.5">
      <c r="A2253" s="204">
        <v>2251</v>
      </c>
      <c r="B2253" s="205">
        <v>46017</v>
      </c>
      <c r="C2253" s="265" t="s">
        <v>834</v>
      </c>
      <c r="D2253" s="204">
        <v>2025</v>
      </c>
      <c r="E2253" s="204" t="s">
        <v>1431</v>
      </c>
      <c r="F2253" s="204" t="s">
        <v>3655</v>
      </c>
      <c r="G2253" s="206" t="s">
        <v>88</v>
      </c>
      <c r="H2253" s="207" t="s">
        <v>3813</v>
      </c>
      <c r="I2253" s="156" t="s">
        <v>26</v>
      </c>
      <c r="J2253" s="204" t="s">
        <v>1436</v>
      </c>
      <c r="K2253" s="207"/>
    </row>
    <row r="2254" spans="1:11" ht="66.75">
      <c r="A2254" s="204">
        <v>2252</v>
      </c>
      <c r="B2254" s="208">
        <v>46017</v>
      </c>
      <c r="C2254" s="265" t="s">
        <v>834</v>
      </c>
      <c r="D2254" s="204">
        <v>2025</v>
      </c>
      <c r="E2254" s="209" t="s">
        <v>1431</v>
      </c>
      <c r="F2254" s="209" t="s">
        <v>1566</v>
      </c>
      <c r="G2254" s="210" t="s">
        <v>88</v>
      </c>
      <c r="H2254" s="211" t="s">
        <v>3814</v>
      </c>
      <c r="I2254" s="156" t="s">
        <v>26</v>
      </c>
      <c r="J2254" s="209" t="s">
        <v>1436</v>
      </c>
      <c r="K2254" s="211" t="s">
        <v>1548</v>
      </c>
    </row>
    <row r="2255" spans="1:11" ht="66.75">
      <c r="A2255" s="204">
        <v>2253</v>
      </c>
      <c r="B2255" s="205">
        <v>46017</v>
      </c>
      <c r="C2255" s="265" t="s">
        <v>834</v>
      </c>
      <c r="D2255" s="204">
        <v>2025</v>
      </c>
      <c r="E2255" s="204" t="s">
        <v>2224</v>
      </c>
      <c r="F2255" s="204" t="s">
        <v>216</v>
      </c>
      <c r="G2255" s="213" t="s">
        <v>821</v>
      </c>
      <c r="H2255" s="207" t="s">
        <v>3815</v>
      </c>
      <c r="I2255" s="156" t="s">
        <v>26</v>
      </c>
      <c r="J2255" s="204" t="s">
        <v>1436</v>
      </c>
      <c r="K2255" s="207"/>
    </row>
    <row r="2256" spans="1:11" ht="66.75">
      <c r="A2256" s="204">
        <v>2254</v>
      </c>
      <c r="B2256" s="208">
        <v>46020</v>
      </c>
      <c r="C2256" s="265" t="s">
        <v>834</v>
      </c>
      <c r="D2256" s="204">
        <v>2025</v>
      </c>
      <c r="E2256" s="209" t="s">
        <v>1431</v>
      </c>
      <c r="F2256" s="209" t="s">
        <v>2585</v>
      </c>
      <c r="G2256" s="210" t="s">
        <v>88</v>
      </c>
      <c r="H2256" s="211" t="s">
        <v>3816</v>
      </c>
      <c r="I2256" s="156" t="s">
        <v>26</v>
      </c>
      <c r="J2256" s="209" t="s">
        <v>1436</v>
      </c>
      <c r="K2256" s="211"/>
    </row>
    <row r="2257" spans="1:11" ht="134.25">
      <c r="A2257" s="204">
        <v>2255</v>
      </c>
      <c r="B2257" s="205">
        <v>46020</v>
      </c>
      <c r="C2257" s="265" t="s">
        <v>834</v>
      </c>
      <c r="D2257" s="204">
        <v>2025</v>
      </c>
      <c r="E2257" s="204" t="s">
        <v>1431</v>
      </c>
      <c r="F2257" s="204" t="s">
        <v>21</v>
      </c>
      <c r="G2257" s="213" t="s">
        <v>821</v>
      </c>
      <c r="H2257" s="207" t="s">
        <v>3817</v>
      </c>
      <c r="I2257" s="156" t="s">
        <v>26</v>
      </c>
      <c r="J2257" s="204" t="s">
        <v>1436</v>
      </c>
      <c r="K2257" s="207" t="s">
        <v>1601</v>
      </c>
    </row>
    <row r="2258" spans="1:11" ht="150.75">
      <c r="A2258" s="204">
        <v>2256</v>
      </c>
      <c r="B2258" s="208">
        <v>46020</v>
      </c>
      <c r="C2258" s="265" t="s">
        <v>834</v>
      </c>
      <c r="D2258" s="204">
        <v>2025</v>
      </c>
      <c r="E2258" s="209" t="s">
        <v>1431</v>
      </c>
      <c r="F2258" s="209" t="s">
        <v>21</v>
      </c>
      <c r="G2258" s="213" t="s">
        <v>821</v>
      </c>
      <c r="H2258" s="211" t="s">
        <v>3818</v>
      </c>
      <c r="I2258" s="156" t="s">
        <v>26</v>
      </c>
      <c r="J2258" s="209" t="s">
        <v>1436</v>
      </c>
      <c r="K2258" s="211" t="s">
        <v>1513</v>
      </c>
    </row>
    <row r="2259" spans="1:11" ht="100.5">
      <c r="A2259" s="204">
        <v>2257</v>
      </c>
      <c r="B2259" s="205">
        <v>46020</v>
      </c>
      <c r="C2259" s="265" t="s">
        <v>834</v>
      </c>
      <c r="D2259" s="204">
        <v>2025</v>
      </c>
      <c r="E2259" s="204" t="s">
        <v>1431</v>
      </c>
      <c r="F2259" s="204" t="s">
        <v>3655</v>
      </c>
      <c r="G2259" s="206" t="s">
        <v>88</v>
      </c>
      <c r="H2259" s="207" t="s">
        <v>3819</v>
      </c>
      <c r="I2259" s="156" t="s">
        <v>26</v>
      </c>
      <c r="J2259" s="204" t="s">
        <v>1436</v>
      </c>
      <c r="K2259" s="207" t="s">
        <v>1454</v>
      </c>
    </row>
    <row r="2260" spans="1:11" ht="117">
      <c r="A2260" s="204">
        <v>2258</v>
      </c>
      <c r="B2260" s="208">
        <v>46020</v>
      </c>
      <c r="C2260" s="265" t="s">
        <v>834</v>
      </c>
      <c r="D2260" s="204">
        <v>2025</v>
      </c>
      <c r="E2260" s="209" t="s">
        <v>1431</v>
      </c>
      <c r="F2260" s="209" t="s">
        <v>1449</v>
      </c>
      <c r="G2260" s="210" t="s">
        <v>88</v>
      </c>
      <c r="H2260" s="211" t="s">
        <v>3820</v>
      </c>
      <c r="I2260" s="156" t="s">
        <v>26</v>
      </c>
      <c r="J2260" s="209" t="s">
        <v>1436</v>
      </c>
      <c r="K2260" s="211" t="s">
        <v>1451</v>
      </c>
    </row>
    <row r="2261" spans="1:11" ht="117">
      <c r="A2261" s="204">
        <v>2259</v>
      </c>
      <c r="B2261" s="205">
        <v>46020</v>
      </c>
      <c r="C2261" s="265" t="s">
        <v>834</v>
      </c>
      <c r="D2261" s="204">
        <v>2025</v>
      </c>
      <c r="E2261" s="204" t="s">
        <v>1431</v>
      </c>
      <c r="F2261" s="204" t="s">
        <v>1449</v>
      </c>
      <c r="G2261" s="206" t="s">
        <v>88</v>
      </c>
      <c r="H2261" s="207" t="s">
        <v>3821</v>
      </c>
      <c r="I2261" s="156" t="s">
        <v>26</v>
      </c>
      <c r="J2261" s="204" t="s">
        <v>1436</v>
      </c>
      <c r="K2261" s="207" t="s">
        <v>1559</v>
      </c>
    </row>
    <row r="2262" spans="1:11" ht="33.75">
      <c r="A2262" s="204">
        <v>2260</v>
      </c>
      <c r="B2262" s="208">
        <v>46020</v>
      </c>
      <c r="C2262" s="265" t="s">
        <v>834</v>
      </c>
      <c r="D2262" s="204">
        <v>2025</v>
      </c>
      <c r="E2262" s="209" t="s">
        <v>1431</v>
      </c>
      <c r="F2262" s="209" t="s">
        <v>1449</v>
      </c>
      <c r="G2262" s="210" t="s">
        <v>88</v>
      </c>
      <c r="H2262" s="211" t="s">
        <v>3822</v>
      </c>
      <c r="I2262" s="156" t="s">
        <v>26</v>
      </c>
      <c r="J2262" s="209" t="s">
        <v>1436</v>
      </c>
      <c r="K2262" s="211"/>
    </row>
    <row r="2263" spans="1:11" ht="66.75">
      <c r="A2263" s="204">
        <v>2261</v>
      </c>
      <c r="B2263" s="205">
        <v>46020</v>
      </c>
      <c r="C2263" s="265" t="s">
        <v>834</v>
      </c>
      <c r="D2263" s="204">
        <v>2025</v>
      </c>
      <c r="E2263" s="204" t="s">
        <v>2224</v>
      </c>
      <c r="F2263" s="204" t="s">
        <v>216</v>
      </c>
      <c r="G2263" s="213" t="s">
        <v>821</v>
      </c>
      <c r="H2263" s="207" t="s">
        <v>3823</v>
      </c>
      <c r="I2263" s="156" t="s">
        <v>26</v>
      </c>
      <c r="J2263" s="204" t="s">
        <v>1436</v>
      </c>
      <c r="K2263" s="207"/>
    </row>
    <row r="2264" spans="1:11" ht="150.75">
      <c r="A2264" s="204">
        <v>2262</v>
      </c>
      <c r="B2264" s="208">
        <v>46021</v>
      </c>
      <c r="C2264" s="265" t="s">
        <v>834</v>
      </c>
      <c r="D2264" s="204">
        <v>2025</v>
      </c>
      <c r="E2264" s="209" t="s">
        <v>1431</v>
      </c>
      <c r="F2264" s="209" t="s">
        <v>21</v>
      </c>
      <c r="G2264" s="213" t="s">
        <v>821</v>
      </c>
      <c r="H2264" s="211" t="s">
        <v>3824</v>
      </c>
      <c r="I2264" s="156" t="s">
        <v>26</v>
      </c>
      <c r="J2264" s="209" t="s">
        <v>1436</v>
      </c>
      <c r="K2264" s="211" t="s">
        <v>1513</v>
      </c>
    </row>
    <row r="2265" spans="1:11" ht="33.75">
      <c r="A2265" s="204">
        <v>2263</v>
      </c>
      <c r="B2265" s="205">
        <v>46021</v>
      </c>
      <c r="C2265" s="265" t="s">
        <v>834</v>
      </c>
      <c r="D2265" s="204">
        <v>2025</v>
      </c>
      <c r="E2265" s="204" t="s">
        <v>1431</v>
      </c>
      <c r="F2265" s="204" t="s">
        <v>21</v>
      </c>
      <c r="G2265" s="213" t="s">
        <v>821</v>
      </c>
      <c r="H2265" s="207" t="s">
        <v>3825</v>
      </c>
      <c r="I2265" s="156" t="s">
        <v>26</v>
      </c>
      <c r="J2265" s="204" t="s">
        <v>1436</v>
      </c>
      <c r="K2265" s="207"/>
    </row>
    <row r="2266" spans="1:11" ht="150.75">
      <c r="A2266" s="204">
        <v>2264</v>
      </c>
      <c r="B2266" s="208">
        <v>46021</v>
      </c>
      <c r="C2266" s="265" t="s">
        <v>834</v>
      </c>
      <c r="D2266" s="204">
        <v>2025</v>
      </c>
      <c r="E2266" s="209" t="s">
        <v>1431</v>
      </c>
      <c r="F2266" s="209" t="s">
        <v>21</v>
      </c>
      <c r="G2266" s="213" t="s">
        <v>821</v>
      </c>
      <c r="H2266" s="211" t="s">
        <v>3826</v>
      </c>
      <c r="I2266" s="156" t="s">
        <v>26</v>
      </c>
      <c r="J2266" s="209" t="s">
        <v>1436</v>
      </c>
      <c r="K2266" s="211" t="s">
        <v>1513</v>
      </c>
    </row>
    <row r="2267" spans="1:11" ht="117">
      <c r="A2267" s="204">
        <v>2265</v>
      </c>
      <c r="B2267" s="205">
        <v>46021</v>
      </c>
      <c r="C2267" s="265" t="s">
        <v>834</v>
      </c>
      <c r="D2267" s="204">
        <v>2025</v>
      </c>
      <c r="E2267" s="204" t="s">
        <v>1431</v>
      </c>
      <c r="F2267" s="204" t="s">
        <v>1436</v>
      </c>
      <c r="G2267" s="206" t="s">
        <v>88</v>
      </c>
      <c r="H2267" s="207" t="s">
        <v>3827</v>
      </c>
      <c r="I2267" s="156" t="s">
        <v>26</v>
      </c>
      <c r="J2267" s="204" t="s">
        <v>1436</v>
      </c>
      <c r="K2267" s="207" t="s">
        <v>1451</v>
      </c>
    </row>
    <row r="2268" spans="1:11" ht="100.5">
      <c r="A2268" s="204">
        <v>2266</v>
      </c>
      <c r="B2268" s="208">
        <v>46021</v>
      </c>
      <c r="C2268" s="265" t="s">
        <v>834</v>
      </c>
      <c r="D2268" s="204">
        <v>2025</v>
      </c>
      <c r="E2268" s="209" t="s">
        <v>1431</v>
      </c>
      <c r="F2268" s="209" t="s">
        <v>1436</v>
      </c>
      <c r="G2268" s="210" t="s">
        <v>88</v>
      </c>
      <c r="H2268" s="211" t="s">
        <v>3828</v>
      </c>
      <c r="I2268" s="156" t="s">
        <v>26</v>
      </c>
      <c r="J2268" s="209" t="s">
        <v>1436</v>
      </c>
      <c r="K2268" s="211" t="s">
        <v>1478</v>
      </c>
    </row>
    <row r="2269" spans="1:11" ht="50.25">
      <c r="A2269" s="204">
        <v>2267</v>
      </c>
      <c r="B2269" s="205">
        <v>46021</v>
      </c>
      <c r="C2269" s="265" t="s">
        <v>834</v>
      </c>
      <c r="D2269" s="204">
        <v>2025</v>
      </c>
      <c r="E2269" s="204" t="s">
        <v>1431</v>
      </c>
      <c r="F2269" s="204" t="s">
        <v>1436</v>
      </c>
      <c r="G2269" s="213" t="s">
        <v>821</v>
      </c>
      <c r="H2269" s="207" t="s">
        <v>3829</v>
      </c>
      <c r="I2269" s="156" t="s">
        <v>26</v>
      </c>
      <c r="J2269" s="204" t="s">
        <v>1436</v>
      </c>
      <c r="K2269" s="207"/>
    </row>
    <row r="2270" spans="1:11" ht="117">
      <c r="A2270" s="204">
        <v>2268</v>
      </c>
      <c r="B2270" s="208">
        <v>46021</v>
      </c>
      <c r="C2270" s="265" t="s">
        <v>834</v>
      </c>
      <c r="D2270" s="204">
        <v>2025</v>
      </c>
      <c r="E2270" s="209" t="s">
        <v>2224</v>
      </c>
      <c r="F2270" s="209" t="s">
        <v>21</v>
      </c>
      <c r="G2270" s="213" t="s">
        <v>821</v>
      </c>
      <c r="H2270" s="211" t="s">
        <v>3830</v>
      </c>
      <c r="I2270" s="156" t="s">
        <v>26</v>
      </c>
      <c r="J2270" s="209" t="s">
        <v>1436</v>
      </c>
      <c r="K2270" s="211" t="s">
        <v>1482</v>
      </c>
    </row>
    <row r="2271" spans="1:11" ht="117">
      <c r="A2271" s="204">
        <v>2269</v>
      </c>
      <c r="B2271" s="205">
        <v>46027</v>
      </c>
      <c r="C2271" s="267" t="s">
        <v>823</v>
      </c>
      <c r="D2271" s="204">
        <v>2026</v>
      </c>
      <c r="E2271" s="204" t="s">
        <v>1431</v>
      </c>
      <c r="F2271" s="204" t="s">
        <v>1511</v>
      </c>
      <c r="G2271" s="206" t="s">
        <v>88</v>
      </c>
      <c r="H2271" s="207" t="s">
        <v>3811</v>
      </c>
      <c r="I2271" s="156" t="s">
        <v>26</v>
      </c>
      <c r="J2271" s="204" t="s">
        <v>2700</v>
      </c>
      <c r="K2271" s="207" t="s">
        <v>1522</v>
      </c>
    </row>
    <row r="2272" spans="1:11" ht="33.75">
      <c r="A2272" s="204">
        <v>2270</v>
      </c>
      <c r="B2272" s="208">
        <v>46027</v>
      </c>
      <c r="C2272" s="267" t="s">
        <v>823</v>
      </c>
      <c r="D2272" s="204">
        <v>2026</v>
      </c>
      <c r="E2272" s="209" t="s">
        <v>1431</v>
      </c>
      <c r="F2272" s="209" t="s">
        <v>21</v>
      </c>
      <c r="G2272" s="213" t="s">
        <v>821</v>
      </c>
      <c r="H2272" s="211" t="s">
        <v>3831</v>
      </c>
      <c r="I2272" s="156" t="s">
        <v>26</v>
      </c>
      <c r="J2272" s="209" t="s">
        <v>149</v>
      </c>
      <c r="K2272" s="211"/>
    </row>
    <row r="2273" spans="1:11" ht="134.25">
      <c r="A2273" s="204">
        <v>2271</v>
      </c>
      <c r="B2273" s="205">
        <v>46027</v>
      </c>
      <c r="C2273" s="267" t="s">
        <v>823</v>
      </c>
      <c r="D2273" s="204">
        <v>2026</v>
      </c>
      <c r="E2273" s="204" t="s">
        <v>1431</v>
      </c>
      <c r="F2273" s="204" t="s">
        <v>216</v>
      </c>
      <c r="G2273" s="213" t="s">
        <v>821</v>
      </c>
      <c r="H2273" s="207" t="s">
        <v>3832</v>
      </c>
      <c r="I2273" s="156" t="s">
        <v>26</v>
      </c>
      <c r="J2273" s="204" t="s">
        <v>492</v>
      </c>
      <c r="K2273" s="207" t="s">
        <v>1601</v>
      </c>
    </row>
    <row r="2274" spans="1:11" ht="84">
      <c r="A2274" s="204">
        <v>2272</v>
      </c>
      <c r="B2274" s="208">
        <v>46027</v>
      </c>
      <c r="C2274" s="267" t="s">
        <v>823</v>
      </c>
      <c r="D2274" s="204">
        <v>2026</v>
      </c>
      <c r="E2274" s="209" t="s">
        <v>1431</v>
      </c>
      <c r="F2274" s="209" t="s">
        <v>1449</v>
      </c>
      <c r="G2274" s="210" t="s">
        <v>88</v>
      </c>
      <c r="H2274" s="211" t="s">
        <v>3833</v>
      </c>
      <c r="I2274" s="156" t="s">
        <v>26</v>
      </c>
      <c r="J2274" s="209" t="s">
        <v>2593</v>
      </c>
      <c r="K2274" s="211" t="s">
        <v>1500</v>
      </c>
    </row>
    <row r="2275" spans="1:11" ht="84">
      <c r="A2275" s="204">
        <v>2273</v>
      </c>
      <c r="B2275" s="205">
        <v>46027</v>
      </c>
      <c r="C2275" s="267" t="s">
        <v>823</v>
      </c>
      <c r="D2275" s="204">
        <v>2026</v>
      </c>
      <c r="E2275" s="204" t="s">
        <v>1431</v>
      </c>
      <c r="F2275" s="204" t="s">
        <v>1518</v>
      </c>
      <c r="G2275" s="213" t="s">
        <v>821</v>
      </c>
      <c r="H2275" s="207" t="s">
        <v>3834</v>
      </c>
      <c r="I2275" s="156" t="s">
        <v>26</v>
      </c>
      <c r="J2275" s="204" t="s">
        <v>1493</v>
      </c>
      <c r="K2275" s="207" t="s">
        <v>1444</v>
      </c>
    </row>
    <row r="2276" spans="1:11" ht="100.5">
      <c r="A2276" s="204">
        <v>2274</v>
      </c>
      <c r="B2276" s="208">
        <v>46027</v>
      </c>
      <c r="C2276" s="267" t="s">
        <v>823</v>
      </c>
      <c r="D2276" s="204">
        <v>2026</v>
      </c>
      <c r="E2276" s="209" t="s">
        <v>1431</v>
      </c>
      <c r="F2276" s="209" t="s">
        <v>1449</v>
      </c>
      <c r="G2276" s="210" t="s">
        <v>88</v>
      </c>
      <c r="H2276" s="211" t="s">
        <v>3835</v>
      </c>
      <c r="I2276" s="156" t="s">
        <v>26</v>
      </c>
      <c r="J2276" s="209" t="s">
        <v>3836</v>
      </c>
      <c r="K2276" s="211" t="s">
        <v>1454</v>
      </c>
    </row>
    <row r="2277" spans="1:11" ht="33.75">
      <c r="A2277" s="204">
        <v>2275</v>
      </c>
      <c r="B2277" s="205">
        <v>46028</v>
      </c>
      <c r="C2277" s="267" t="s">
        <v>823</v>
      </c>
      <c r="D2277" s="204">
        <v>2026</v>
      </c>
      <c r="E2277" s="204" t="s">
        <v>1431</v>
      </c>
      <c r="F2277" s="204" t="s">
        <v>21</v>
      </c>
      <c r="G2277" s="213" t="s">
        <v>821</v>
      </c>
      <c r="H2277" s="207" t="s">
        <v>3837</v>
      </c>
      <c r="I2277" s="156" t="s">
        <v>26</v>
      </c>
      <c r="J2277" s="204" t="s">
        <v>468</v>
      </c>
      <c r="K2277" s="207"/>
    </row>
    <row r="2278" spans="1:11" ht="100.5">
      <c r="A2278" s="204">
        <v>2276</v>
      </c>
      <c r="B2278" s="208">
        <v>46028</v>
      </c>
      <c r="C2278" s="267" t="s">
        <v>823</v>
      </c>
      <c r="D2278" s="204">
        <v>2026</v>
      </c>
      <c r="E2278" s="209" t="s">
        <v>1431</v>
      </c>
      <c r="F2278" s="209" t="s">
        <v>3011</v>
      </c>
      <c r="G2278" s="217" t="s">
        <v>859</v>
      </c>
      <c r="H2278" s="211" t="s">
        <v>3838</v>
      </c>
      <c r="I2278" s="156" t="s">
        <v>26</v>
      </c>
      <c r="J2278" s="209" t="s">
        <v>3839</v>
      </c>
      <c r="K2278" s="211" t="s">
        <v>1476</v>
      </c>
    </row>
    <row r="2279" spans="1:11" ht="50.25">
      <c r="A2279" s="204">
        <v>2277</v>
      </c>
      <c r="B2279" s="205">
        <v>46028</v>
      </c>
      <c r="C2279" s="267" t="s">
        <v>823</v>
      </c>
      <c r="D2279" s="204">
        <v>2026</v>
      </c>
      <c r="E2279" s="204" t="s">
        <v>1431</v>
      </c>
      <c r="F2279" s="204" t="s">
        <v>21</v>
      </c>
      <c r="G2279" s="213" t="s">
        <v>821</v>
      </c>
      <c r="H2279" s="207" t="s">
        <v>3840</v>
      </c>
      <c r="I2279" s="156" t="s">
        <v>26</v>
      </c>
      <c r="J2279" s="204" t="s">
        <v>468</v>
      </c>
      <c r="K2279" s="207"/>
    </row>
    <row r="2280" spans="1:11" ht="100.5">
      <c r="A2280" s="204">
        <v>2278</v>
      </c>
      <c r="B2280" s="208">
        <v>46028</v>
      </c>
      <c r="C2280" s="267" t="s">
        <v>823</v>
      </c>
      <c r="D2280" s="204">
        <v>2026</v>
      </c>
      <c r="E2280" s="209" t="s">
        <v>1431</v>
      </c>
      <c r="F2280" s="209" t="s">
        <v>2595</v>
      </c>
      <c r="G2280" s="210" t="s">
        <v>88</v>
      </c>
      <c r="H2280" s="211" t="s">
        <v>3841</v>
      </c>
      <c r="I2280" s="156" t="s">
        <v>26</v>
      </c>
      <c r="J2280" s="209" t="s">
        <v>921</v>
      </c>
      <c r="K2280" s="211" t="s">
        <v>1472</v>
      </c>
    </row>
    <row r="2281" spans="1:11" ht="16.5">
      <c r="A2281" s="204">
        <v>2279</v>
      </c>
      <c r="B2281" s="205">
        <v>46028</v>
      </c>
      <c r="C2281" s="267" t="s">
        <v>823</v>
      </c>
      <c r="D2281" s="204">
        <v>2026</v>
      </c>
      <c r="E2281" s="204" t="s">
        <v>1431</v>
      </c>
      <c r="F2281" s="204" t="s">
        <v>1608</v>
      </c>
      <c r="G2281" s="212" t="s">
        <v>1439</v>
      </c>
      <c r="H2281" s="207" t="s">
        <v>3842</v>
      </c>
      <c r="I2281" s="156" t="s">
        <v>26</v>
      </c>
      <c r="J2281" s="204" t="s">
        <v>1458</v>
      </c>
      <c r="K2281" s="207"/>
    </row>
    <row r="2282" spans="1:11" ht="16.5">
      <c r="A2282" s="204">
        <v>2280</v>
      </c>
      <c r="B2282" s="208">
        <v>46028</v>
      </c>
      <c r="C2282" s="267" t="s">
        <v>823</v>
      </c>
      <c r="D2282" s="204">
        <v>2026</v>
      </c>
      <c r="E2282" s="209" t="s">
        <v>1431</v>
      </c>
      <c r="F2282" s="209" t="s">
        <v>1608</v>
      </c>
      <c r="G2282" s="212" t="s">
        <v>1439</v>
      </c>
      <c r="H2282" s="211" t="s">
        <v>3843</v>
      </c>
      <c r="I2282" s="156" t="s">
        <v>26</v>
      </c>
      <c r="J2282" s="209" t="s">
        <v>1458</v>
      </c>
      <c r="K2282" s="211"/>
    </row>
    <row r="2283" spans="1:11" ht="50.25">
      <c r="A2283" s="204">
        <v>2281</v>
      </c>
      <c r="B2283" s="205">
        <v>46028</v>
      </c>
      <c r="C2283" s="267" t="s">
        <v>823</v>
      </c>
      <c r="D2283" s="204">
        <v>2026</v>
      </c>
      <c r="E2283" s="204" t="s">
        <v>1431</v>
      </c>
      <c r="F2283" s="204" t="s">
        <v>21</v>
      </c>
      <c r="G2283" s="213" t="s">
        <v>821</v>
      </c>
      <c r="H2283" s="207" t="s">
        <v>3844</v>
      </c>
      <c r="I2283" s="156" t="s">
        <v>26</v>
      </c>
      <c r="J2283" s="204" t="s">
        <v>468</v>
      </c>
      <c r="K2283" s="207"/>
    </row>
    <row r="2284" spans="1:11" ht="33.75">
      <c r="A2284" s="204">
        <v>2282</v>
      </c>
      <c r="B2284" s="208">
        <v>46028</v>
      </c>
      <c r="C2284" s="267" t="s">
        <v>823</v>
      </c>
      <c r="D2284" s="204">
        <v>2026</v>
      </c>
      <c r="E2284" s="209" t="s">
        <v>1431</v>
      </c>
      <c r="F2284" s="209" t="s">
        <v>1449</v>
      </c>
      <c r="G2284" s="210" t="s">
        <v>88</v>
      </c>
      <c r="H2284" s="211" t="s">
        <v>3845</v>
      </c>
      <c r="I2284" s="156" t="s">
        <v>26</v>
      </c>
      <c r="J2284" s="209" t="s">
        <v>2739</v>
      </c>
      <c r="K2284" s="211"/>
    </row>
    <row r="2285" spans="1:11" ht="100.5">
      <c r="A2285" s="204">
        <v>2283</v>
      </c>
      <c r="B2285" s="205">
        <v>46028</v>
      </c>
      <c r="C2285" s="267" t="s">
        <v>823</v>
      </c>
      <c r="D2285" s="204">
        <v>2026</v>
      </c>
      <c r="E2285" s="204" t="s">
        <v>1431</v>
      </c>
      <c r="F2285" s="204" t="s">
        <v>1539</v>
      </c>
      <c r="G2285" s="206" t="s">
        <v>88</v>
      </c>
      <c r="H2285" s="207" t="s">
        <v>3846</v>
      </c>
      <c r="I2285" s="156" t="s">
        <v>26</v>
      </c>
      <c r="J2285" s="204" t="s">
        <v>1541</v>
      </c>
      <c r="K2285" s="207" t="s">
        <v>1467</v>
      </c>
    </row>
    <row r="2286" spans="1:11" ht="117">
      <c r="A2286" s="204">
        <v>2284</v>
      </c>
      <c r="B2286" s="208">
        <v>46028</v>
      </c>
      <c r="C2286" s="267" t="s">
        <v>823</v>
      </c>
      <c r="D2286" s="204">
        <v>2026</v>
      </c>
      <c r="E2286" s="209" t="s">
        <v>1431</v>
      </c>
      <c r="F2286" s="209" t="s">
        <v>1511</v>
      </c>
      <c r="G2286" s="210" t="s">
        <v>88</v>
      </c>
      <c r="H2286" s="211" t="s">
        <v>3847</v>
      </c>
      <c r="I2286" s="156" t="s">
        <v>26</v>
      </c>
      <c r="J2286" s="209" t="s">
        <v>1493</v>
      </c>
      <c r="K2286" s="211" t="s">
        <v>1522</v>
      </c>
    </row>
    <row r="2287" spans="1:11" ht="33.75">
      <c r="A2287" s="204">
        <v>2285</v>
      </c>
      <c r="B2287" s="205">
        <v>46028</v>
      </c>
      <c r="C2287" s="267" t="s">
        <v>823</v>
      </c>
      <c r="D2287" s="204">
        <v>2026</v>
      </c>
      <c r="E2287" s="204" t="s">
        <v>2224</v>
      </c>
      <c r="F2287" s="204" t="s">
        <v>2585</v>
      </c>
      <c r="G2287" s="206" t="s">
        <v>88</v>
      </c>
      <c r="H2287" s="207" t="s">
        <v>3848</v>
      </c>
      <c r="I2287" s="156" t="s">
        <v>26</v>
      </c>
      <c r="J2287" s="204" t="s">
        <v>2568</v>
      </c>
      <c r="K2287" s="207"/>
    </row>
    <row r="2288" spans="1:11" ht="33.75">
      <c r="A2288" s="204">
        <v>2286</v>
      </c>
      <c r="B2288" s="208">
        <v>46028</v>
      </c>
      <c r="C2288" s="267" t="s">
        <v>823</v>
      </c>
      <c r="D2288" s="204">
        <v>2026</v>
      </c>
      <c r="E2288" s="209" t="s">
        <v>2224</v>
      </c>
      <c r="F2288" s="209" t="s">
        <v>21</v>
      </c>
      <c r="G2288" s="213" t="s">
        <v>821</v>
      </c>
      <c r="H2288" s="211" t="s">
        <v>3849</v>
      </c>
      <c r="I2288" s="156" t="s">
        <v>26</v>
      </c>
      <c r="J2288" s="209" t="s">
        <v>468</v>
      </c>
      <c r="K2288" s="211"/>
    </row>
    <row r="2289" spans="1:11" ht="33.75">
      <c r="A2289" s="204">
        <v>2287</v>
      </c>
      <c r="B2289" s="205">
        <v>46028</v>
      </c>
      <c r="C2289" s="267" t="s">
        <v>823</v>
      </c>
      <c r="D2289" s="204">
        <v>2026</v>
      </c>
      <c r="E2289" s="204" t="s">
        <v>2224</v>
      </c>
      <c r="F2289" s="204" t="s">
        <v>1449</v>
      </c>
      <c r="G2289" s="206" t="s">
        <v>88</v>
      </c>
      <c r="H2289" s="207" t="s">
        <v>3850</v>
      </c>
      <c r="I2289" s="156" t="s">
        <v>26</v>
      </c>
      <c r="J2289" s="204" t="s">
        <v>2739</v>
      </c>
      <c r="K2289" s="207"/>
    </row>
    <row r="2290" spans="1:11" ht="117">
      <c r="A2290" s="204">
        <v>2288</v>
      </c>
      <c r="B2290" s="208">
        <v>46029</v>
      </c>
      <c r="C2290" s="267" t="s">
        <v>823</v>
      </c>
      <c r="D2290" s="204">
        <v>2026</v>
      </c>
      <c r="E2290" s="209" t="s">
        <v>1431</v>
      </c>
      <c r="F2290" s="209" t="s">
        <v>3217</v>
      </c>
      <c r="G2290" s="210" t="s">
        <v>88</v>
      </c>
      <c r="H2290" s="211" t="s">
        <v>3851</v>
      </c>
      <c r="I2290" s="156" t="s">
        <v>26</v>
      </c>
      <c r="J2290" s="209" t="s">
        <v>3852</v>
      </c>
      <c r="K2290" s="211" t="s">
        <v>1522</v>
      </c>
    </row>
    <row r="2291" spans="1:11" ht="100.5">
      <c r="A2291" s="204">
        <v>2289</v>
      </c>
      <c r="B2291" s="205">
        <v>46029</v>
      </c>
      <c r="C2291" s="267" t="s">
        <v>823</v>
      </c>
      <c r="D2291" s="204">
        <v>2026</v>
      </c>
      <c r="E2291" s="204" t="s">
        <v>1431</v>
      </c>
      <c r="F2291" s="204" t="s">
        <v>97</v>
      </c>
      <c r="G2291" s="213" t="s">
        <v>821</v>
      </c>
      <c r="H2291" s="207" t="s">
        <v>3853</v>
      </c>
      <c r="I2291" s="156" t="s">
        <v>26</v>
      </c>
      <c r="J2291" s="204" t="s">
        <v>3561</v>
      </c>
      <c r="K2291" s="207" t="s">
        <v>1448</v>
      </c>
    </row>
    <row r="2292" spans="1:11" ht="150.75">
      <c r="A2292" s="204">
        <v>2290</v>
      </c>
      <c r="B2292" s="208">
        <v>46029</v>
      </c>
      <c r="C2292" s="267" t="s">
        <v>823</v>
      </c>
      <c r="D2292" s="204">
        <v>2026</v>
      </c>
      <c r="E2292" s="209" t="s">
        <v>1431</v>
      </c>
      <c r="F2292" s="209" t="s">
        <v>1449</v>
      </c>
      <c r="G2292" s="213" t="s">
        <v>821</v>
      </c>
      <c r="H2292" s="211" t="s">
        <v>3854</v>
      </c>
      <c r="I2292" s="156" t="s">
        <v>26</v>
      </c>
      <c r="J2292" s="209" t="s">
        <v>2593</v>
      </c>
      <c r="K2292" s="211" t="s">
        <v>1513</v>
      </c>
    </row>
    <row r="2293" spans="1:11" ht="100.5">
      <c r="A2293" s="204">
        <v>2291</v>
      </c>
      <c r="B2293" s="205">
        <v>46029</v>
      </c>
      <c r="C2293" s="267" t="s">
        <v>823</v>
      </c>
      <c r="D2293" s="204">
        <v>2026</v>
      </c>
      <c r="E2293" s="204" t="s">
        <v>1431</v>
      </c>
      <c r="F2293" s="204" t="s">
        <v>1449</v>
      </c>
      <c r="G2293" s="206" t="s">
        <v>88</v>
      </c>
      <c r="H2293" s="207" t="s">
        <v>3855</v>
      </c>
      <c r="I2293" s="156" t="s">
        <v>26</v>
      </c>
      <c r="J2293" s="204" t="s">
        <v>2593</v>
      </c>
      <c r="K2293" s="207"/>
    </row>
    <row r="2294" spans="1:11" ht="33.75">
      <c r="A2294" s="204">
        <v>2292</v>
      </c>
      <c r="B2294" s="208">
        <v>46029</v>
      </c>
      <c r="C2294" s="267" t="s">
        <v>823</v>
      </c>
      <c r="D2294" s="204">
        <v>2026</v>
      </c>
      <c r="E2294" s="209" t="s">
        <v>1431</v>
      </c>
      <c r="F2294" s="209" t="s">
        <v>1449</v>
      </c>
      <c r="G2294" s="213" t="s">
        <v>821</v>
      </c>
      <c r="H2294" s="211" t="s">
        <v>3856</v>
      </c>
      <c r="I2294" s="156" t="s">
        <v>26</v>
      </c>
      <c r="J2294" s="209" t="s">
        <v>2593</v>
      </c>
      <c r="K2294" s="211"/>
    </row>
    <row r="2295" spans="1:11" ht="50.25">
      <c r="A2295" s="204">
        <v>2293</v>
      </c>
      <c r="B2295" s="205">
        <v>46029</v>
      </c>
      <c r="C2295" s="267" t="s">
        <v>823</v>
      </c>
      <c r="D2295" s="204">
        <v>2026</v>
      </c>
      <c r="E2295" s="204" t="s">
        <v>1431</v>
      </c>
      <c r="F2295" s="204" t="s">
        <v>2585</v>
      </c>
      <c r="G2295" s="206" t="s">
        <v>88</v>
      </c>
      <c r="H2295" s="207" t="s">
        <v>3857</v>
      </c>
      <c r="I2295" s="156" t="s">
        <v>26</v>
      </c>
      <c r="J2295" s="204" t="s">
        <v>452</v>
      </c>
      <c r="K2295" s="207"/>
    </row>
    <row r="2296" spans="1:11" ht="100.5">
      <c r="A2296" s="204">
        <v>2294</v>
      </c>
      <c r="B2296" s="208">
        <v>46029</v>
      </c>
      <c r="C2296" s="267" t="s">
        <v>823</v>
      </c>
      <c r="D2296" s="204">
        <v>2026</v>
      </c>
      <c r="E2296" s="209" t="s">
        <v>1431</v>
      </c>
      <c r="F2296" s="209" t="s">
        <v>1225</v>
      </c>
      <c r="G2296" s="212" t="s">
        <v>1439</v>
      </c>
      <c r="H2296" s="211" t="s">
        <v>3858</v>
      </c>
      <c r="I2296" s="156" t="s">
        <v>26</v>
      </c>
      <c r="J2296" s="209" t="s">
        <v>925</v>
      </c>
      <c r="K2296" s="211" t="s">
        <v>1502</v>
      </c>
    </row>
    <row r="2297" spans="1:11" ht="100.5">
      <c r="A2297" s="204">
        <v>2295</v>
      </c>
      <c r="B2297" s="205">
        <v>46029</v>
      </c>
      <c r="C2297" s="267" t="s">
        <v>823</v>
      </c>
      <c r="D2297" s="204">
        <v>2026</v>
      </c>
      <c r="E2297" s="204" t="s">
        <v>1431</v>
      </c>
      <c r="F2297" s="204" t="s">
        <v>1566</v>
      </c>
      <c r="G2297" s="206" t="s">
        <v>88</v>
      </c>
      <c r="H2297" s="207" t="s">
        <v>3859</v>
      </c>
      <c r="I2297" s="156" t="s">
        <v>26</v>
      </c>
      <c r="J2297" s="204" t="s">
        <v>1453</v>
      </c>
      <c r="K2297" s="207" t="s">
        <v>1478</v>
      </c>
    </row>
    <row r="2298" spans="1:11" ht="134.25">
      <c r="A2298" s="204">
        <v>2296</v>
      </c>
      <c r="B2298" s="208">
        <v>46029</v>
      </c>
      <c r="C2298" s="267" t="s">
        <v>823</v>
      </c>
      <c r="D2298" s="204">
        <v>2026</v>
      </c>
      <c r="E2298" s="209" t="s">
        <v>1431</v>
      </c>
      <c r="F2298" s="209" t="s">
        <v>1608</v>
      </c>
      <c r="G2298" s="212" t="s">
        <v>1439</v>
      </c>
      <c r="H2298" s="211" t="s">
        <v>3860</v>
      </c>
      <c r="I2298" s="156" t="s">
        <v>26</v>
      </c>
      <c r="J2298" s="209" t="s">
        <v>1458</v>
      </c>
      <c r="K2298" s="211" t="s">
        <v>1442</v>
      </c>
    </row>
    <row r="2299" spans="1:11" ht="134.25">
      <c r="A2299" s="204">
        <v>2297</v>
      </c>
      <c r="B2299" s="205">
        <v>46029</v>
      </c>
      <c r="C2299" s="267" t="s">
        <v>823</v>
      </c>
      <c r="D2299" s="204">
        <v>2026</v>
      </c>
      <c r="E2299" s="204" t="s">
        <v>1431</v>
      </c>
      <c r="F2299" s="204" t="s">
        <v>1608</v>
      </c>
      <c r="G2299" s="212" t="s">
        <v>1439</v>
      </c>
      <c r="H2299" s="207" t="s">
        <v>3861</v>
      </c>
      <c r="I2299" s="156" t="s">
        <v>26</v>
      </c>
      <c r="J2299" s="204" t="s">
        <v>1458</v>
      </c>
      <c r="K2299" s="207" t="s">
        <v>1442</v>
      </c>
    </row>
    <row r="2300" spans="1:11" ht="100.5">
      <c r="A2300" s="204">
        <v>2298</v>
      </c>
      <c r="B2300" s="208">
        <v>46030</v>
      </c>
      <c r="C2300" s="267" t="s">
        <v>823</v>
      </c>
      <c r="D2300" s="204">
        <v>2026</v>
      </c>
      <c r="E2300" s="209" t="s">
        <v>1431</v>
      </c>
      <c r="F2300" s="209" t="s">
        <v>97</v>
      </c>
      <c r="G2300" s="213" t="s">
        <v>821</v>
      </c>
      <c r="H2300" s="211" t="s">
        <v>3862</v>
      </c>
      <c r="I2300" s="156" t="s">
        <v>26</v>
      </c>
      <c r="J2300" s="209" t="s">
        <v>158</v>
      </c>
      <c r="K2300" s="211" t="s">
        <v>1448</v>
      </c>
    </row>
    <row r="2301" spans="1:11" ht="66.75">
      <c r="A2301" s="204">
        <v>2299</v>
      </c>
      <c r="B2301" s="205">
        <v>46030</v>
      </c>
      <c r="C2301" s="267" t="s">
        <v>823</v>
      </c>
      <c r="D2301" s="204">
        <v>2026</v>
      </c>
      <c r="E2301" s="204" t="s">
        <v>1431</v>
      </c>
      <c r="F2301" s="204" t="s">
        <v>2244</v>
      </c>
      <c r="G2301" s="212" t="s">
        <v>1439</v>
      </c>
      <c r="H2301" s="207" t="s">
        <v>3863</v>
      </c>
      <c r="I2301" s="156" t="s">
        <v>26</v>
      </c>
      <c r="J2301" s="204" t="s">
        <v>1541</v>
      </c>
      <c r="K2301" s="207"/>
    </row>
    <row r="2302" spans="1:11" ht="84">
      <c r="A2302" s="204">
        <v>2300</v>
      </c>
      <c r="B2302" s="208">
        <v>46030</v>
      </c>
      <c r="C2302" s="267" t="s">
        <v>823</v>
      </c>
      <c r="D2302" s="204">
        <v>2026</v>
      </c>
      <c r="E2302" s="209" t="s">
        <v>1431</v>
      </c>
      <c r="F2302" s="209" t="s">
        <v>1506</v>
      </c>
      <c r="G2302" s="210" t="s">
        <v>88</v>
      </c>
      <c r="H2302" s="211" t="s">
        <v>3864</v>
      </c>
      <c r="I2302" s="156" t="s">
        <v>26</v>
      </c>
      <c r="J2302" s="209" t="s">
        <v>1904</v>
      </c>
      <c r="K2302" s="211" t="s">
        <v>1500</v>
      </c>
    </row>
    <row r="2303" spans="1:11" ht="150.75">
      <c r="A2303" s="204">
        <v>2301</v>
      </c>
      <c r="B2303" s="205">
        <v>46030</v>
      </c>
      <c r="C2303" s="267" t="s">
        <v>823</v>
      </c>
      <c r="D2303" s="204">
        <v>2026</v>
      </c>
      <c r="E2303" s="204" t="s">
        <v>1431</v>
      </c>
      <c r="F2303" s="204" t="s">
        <v>21</v>
      </c>
      <c r="G2303" s="213" t="s">
        <v>821</v>
      </c>
      <c r="H2303" s="207" t="s">
        <v>3865</v>
      </c>
      <c r="I2303" s="156" t="s">
        <v>26</v>
      </c>
      <c r="J2303" s="204" t="s">
        <v>149</v>
      </c>
      <c r="K2303" s="207" t="s">
        <v>1513</v>
      </c>
    </row>
    <row r="2304" spans="1:11" ht="66.75">
      <c r="A2304" s="204">
        <v>2302</v>
      </c>
      <c r="B2304" s="208">
        <v>46030</v>
      </c>
      <c r="C2304" s="267" t="s">
        <v>823</v>
      </c>
      <c r="D2304" s="204">
        <v>2026</v>
      </c>
      <c r="E2304" s="209" t="s">
        <v>1431</v>
      </c>
      <c r="F2304" s="209" t="s">
        <v>97</v>
      </c>
      <c r="G2304" s="213" t="s">
        <v>821</v>
      </c>
      <c r="H2304" s="211" t="s">
        <v>3866</v>
      </c>
      <c r="I2304" s="156" t="s">
        <v>26</v>
      </c>
      <c r="J2304" s="209" t="s">
        <v>158</v>
      </c>
      <c r="K2304" s="211"/>
    </row>
    <row r="2305" spans="1:11" ht="66.75">
      <c r="A2305" s="204">
        <v>2303</v>
      </c>
      <c r="B2305" s="205">
        <v>46030</v>
      </c>
      <c r="C2305" s="267" t="s">
        <v>823</v>
      </c>
      <c r="D2305" s="204">
        <v>2026</v>
      </c>
      <c r="E2305" s="204" t="s">
        <v>1431</v>
      </c>
      <c r="F2305" s="204" t="s">
        <v>97</v>
      </c>
      <c r="G2305" s="213" t="s">
        <v>821</v>
      </c>
      <c r="H2305" s="207" t="s">
        <v>3867</v>
      </c>
      <c r="I2305" s="156" t="s">
        <v>26</v>
      </c>
      <c r="J2305" s="204" t="s">
        <v>158</v>
      </c>
      <c r="K2305" s="207"/>
    </row>
    <row r="2306" spans="1:11" ht="33.75">
      <c r="A2306" s="204">
        <v>2304</v>
      </c>
      <c r="B2306" s="208">
        <v>46030</v>
      </c>
      <c r="C2306" s="267" t="s">
        <v>823</v>
      </c>
      <c r="D2306" s="204">
        <v>2026</v>
      </c>
      <c r="E2306" s="209" t="s">
        <v>1431</v>
      </c>
      <c r="F2306" s="209" t="s">
        <v>1508</v>
      </c>
      <c r="G2306" s="210" t="s">
        <v>88</v>
      </c>
      <c r="H2306" s="211" t="s">
        <v>3868</v>
      </c>
      <c r="I2306" s="156" t="s">
        <v>26</v>
      </c>
      <c r="J2306" s="209" t="s">
        <v>2593</v>
      </c>
      <c r="K2306" s="211"/>
    </row>
    <row r="2307" spans="1:11" ht="117">
      <c r="A2307" s="204">
        <v>2305</v>
      </c>
      <c r="B2307" s="205">
        <v>46030</v>
      </c>
      <c r="C2307" s="267" t="s">
        <v>823</v>
      </c>
      <c r="D2307" s="204">
        <v>2026</v>
      </c>
      <c r="E2307" s="204" t="s">
        <v>1431</v>
      </c>
      <c r="F2307" s="204" t="s">
        <v>2585</v>
      </c>
      <c r="G2307" s="206" t="s">
        <v>88</v>
      </c>
      <c r="H2307" s="207" t="s">
        <v>3869</v>
      </c>
      <c r="I2307" s="156" t="s">
        <v>26</v>
      </c>
      <c r="J2307" s="204" t="s">
        <v>452</v>
      </c>
      <c r="K2307" s="207" t="s">
        <v>1522</v>
      </c>
    </row>
    <row r="2308" spans="1:11" ht="33.75">
      <c r="A2308" s="204">
        <v>2306</v>
      </c>
      <c r="B2308" s="208">
        <v>46030</v>
      </c>
      <c r="C2308" s="267" t="s">
        <v>823</v>
      </c>
      <c r="D2308" s="204">
        <v>2026</v>
      </c>
      <c r="E2308" s="209" t="s">
        <v>2224</v>
      </c>
      <c r="F2308" s="209" t="s">
        <v>97</v>
      </c>
      <c r="G2308" s="210" t="s">
        <v>88</v>
      </c>
      <c r="H2308" s="211" t="s">
        <v>3870</v>
      </c>
      <c r="I2308" s="156" t="s">
        <v>26</v>
      </c>
      <c r="J2308" s="209" t="s">
        <v>158</v>
      </c>
      <c r="K2308" s="211"/>
    </row>
    <row r="2309" spans="1:11" ht="50.25">
      <c r="A2309" s="204">
        <v>2307</v>
      </c>
      <c r="B2309" s="205">
        <v>46030</v>
      </c>
      <c r="C2309" s="267" t="s">
        <v>823</v>
      </c>
      <c r="D2309" s="204">
        <v>2026</v>
      </c>
      <c r="E2309" s="204" t="s">
        <v>2224</v>
      </c>
      <c r="F2309" s="204" t="s">
        <v>21</v>
      </c>
      <c r="G2309" s="213" t="s">
        <v>821</v>
      </c>
      <c r="H2309" s="207" t="s">
        <v>3871</v>
      </c>
      <c r="I2309" s="156" t="s">
        <v>26</v>
      </c>
      <c r="J2309" s="204" t="s">
        <v>149</v>
      </c>
      <c r="K2309" s="207"/>
    </row>
    <row r="2310" spans="1:11" ht="33.75">
      <c r="A2310" s="204">
        <v>2308</v>
      </c>
      <c r="B2310" s="208">
        <v>46030</v>
      </c>
      <c r="C2310" s="267" t="s">
        <v>823</v>
      </c>
      <c r="D2310" s="204">
        <v>2026</v>
      </c>
      <c r="E2310" s="209" t="s">
        <v>1431</v>
      </c>
      <c r="F2310" s="209" t="s">
        <v>1449</v>
      </c>
      <c r="G2310" s="213" t="s">
        <v>821</v>
      </c>
      <c r="H2310" s="211" t="s">
        <v>3872</v>
      </c>
      <c r="I2310" s="156" t="s">
        <v>26</v>
      </c>
      <c r="J2310" s="209" t="s">
        <v>2593</v>
      </c>
      <c r="K2310" s="211"/>
    </row>
    <row r="2311" spans="1:11" ht="100.5">
      <c r="A2311" s="204">
        <v>2309</v>
      </c>
      <c r="B2311" s="205">
        <v>46030</v>
      </c>
      <c r="C2311" s="267" t="s">
        <v>823</v>
      </c>
      <c r="D2311" s="204">
        <v>2026</v>
      </c>
      <c r="E2311" s="204" t="s">
        <v>1431</v>
      </c>
      <c r="F2311" s="204" t="s">
        <v>1225</v>
      </c>
      <c r="G2311" s="212" t="s">
        <v>1439</v>
      </c>
      <c r="H2311" s="207" t="s">
        <v>3858</v>
      </c>
      <c r="I2311" s="156" t="s">
        <v>26</v>
      </c>
      <c r="J2311" s="204" t="s">
        <v>238</v>
      </c>
      <c r="K2311" s="207" t="s">
        <v>1502</v>
      </c>
    </row>
    <row r="2312" spans="1:11" ht="134.25">
      <c r="A2312" s="204">
        <v>2310</v>
      </c>
      <c r="B2312" s="208">
        <v>46030</v>
      </c>
      <c r="C2312" s="267" t="s">
        <v>823</v>
      </c>
      <c r="D2312" s="204">
        <v>2026</v>
      </c>
      <c r="E2312" s="209" t="s">
        <v>1431</v>
      </c>
      <c r="F2312" s="209" t="s">
        <v>1608</v>
      </c>
      <c r="G2312" s="212" t="s">
        <v>1439</v>
      </c>
      <c r="H2312" s="211" t="s">
        <v>3873</v>
      </c>
      <c r="I2312" s="156" t="s">
        <v>26</v>
      </c>
      <c r="J2312" s="209" t="s">
        <v>1458</v>
      </c>
      <c r="K2312" s="211" t="s">
        <v>1442</v>
      </c>
    </row>
    <row r="2313" spans="1:11" ht="134.25">
      <c r="A2313" s="204">
        <v>2311</v>
      </c>
      <c r="B2313" s="205">
        <v>46030</v>
      </c>
      <c r="C2313" s="267" t="s">
        <v>823</v>
      </c>
      <c r="D2313" s="204">
        <v>2026</v>
      </c>
      <c r="E2313" s="204" t="s">
        <v>1431</v>
      </c>
      <c r="F2313" s="204" t="s">
        <v>1608</v>
      </c>
      <c r="G2313" s="212" t="s">
        <v>1439</v>
      </c>
      <c r="H2313" s="207" t="s">
        <v>3874</v>
      </c>
      <c r="I2313" s="156" t="s">
        <v>26</v>
      </c>
      <c r="J2313" s="204" t="s">
        <v>1458</v>
      </c>
      <c r="K2313" s="207" t="s">
        <v>1442</v>
      </c>
    </row>
    <row r="2314" spans="1:11" ht="134.25">
      <c r="A2314" s="204">
        <v>2312</v>
      </c>
      <c r="B2314" s="208">
        <v>46030</v>
      </c>
      <c r="C2314" s="267" t="s">
        <v>823</v>
      </c>
      <c r="D2314" s="204">
        <v>2026</v>
      </c>
      <c r="E2314" s="209" t="s">
        <v>1431</v>
      </c>
      <c r="F2314" s="209" t="s">
        <v>1608</v>
      </c>
      <c r="G2314" s="212" t="s">
        <v>1439</v>
      </c>
      <c r="H2314" s="211" t="s">
        <v>3875</v>
      </c>
      <c r="I2314" s="156" t="s">
        <v>26</v>
      </c>
      <c r="J2314" s="209" t="s">
        <v>1458</v>
      </c>
      <c r="K2314" s="211" t="s">
        <v>1442</v>
      </c>
    </row>
    <row r="2315" spans="1:11" ht="134.25">
      <c r="A2315" s="204">
        <v>2313</v>
      </c>
      <c r="B2315" s="205">
        <v>46030</v>
      </c>
      <c r="C2315" s="267" t="s">
        <v>823</v>
      </c>
      <c r="D2315" s="204">
        <v>2026</v>
      </c>
      <c r="E2315" s="204" t="s">
        <v>1431</v>
      </c>
      <c r="F2315" s="204" t="s">
        <v>1608</v>
      </c>
      <c r="G2315" s="212" t="s">
        <v>1439</v>
      </c>
      <c r="H2315" s="207" t="s">
        <v>3861</v>
      </c>
      <c r="I2315" s="156" t="s">
        <v>26</v>
      </c>
      <c r="J2315" s="204" t="s">
        <v>1458</v>
      </c>
      <c r="K2315" s="207" t="s">
        <v>1442</v>
      </c>
    </row>
    <row r="2316" spans="1:11" ht="100.5">
      <c r="A2316" s="204">
        <v>2314</v>
      </c>
      <c r="B2316" s="208">
        <v>46031</v>
      </c>
      <c r="C2316" s="267" t="s">
        <v>823</v>
      </c>
      <c r="D2316" s="204">
        <v>2026</v>
      </c>
      <c r="E2316" s="209" t="s">
        <v>1431</v>
      </c>
      <c r="F2316" s="209" t="s">
        <v>2595</v>
      </c>
      <c r="G2316" s="217" t="s">
        <v>859</v>
      </c>
      <c r="H2316" s="211" t="s">
        <v>3876</v>
      </c>
      <c r="I2316" s="156" t="s">
        <v>26</v>
      </c>
      <c r="J2316" s="209" t="s">
        <v>921</v>
      </c>
      <c r="K2316" s="211" t="s">
        <v>1476</v>
      </c>
    </row>
    <row r="2317" spans="1:11" ht="134.25">
      <c r="A2317" s="204">
        <v>2315</v>
      </c>
      <c r="B2317" s="205">
        <v>46031</v>
      </c>
      <c r="C2317" s="267" t="s">
        <v>823</v>
      </c>
      <c r="D2317" s="204">
        <v>2026</v>
      </c>
      <c r="E2317" s="204" t="s">
        <v>1431</v>
      </c>
      <c r="F2317" s="204" t="s">
        <v>216</v>
      </c>
      <c r="G2317" s="213" t="s">
        <v>821</v>
      </c>
      <c r="H2317" s="207" t="s">
        <v>3877</v>
      </c>
      <c r="I2317" s="156" t="s">
        <v>26</v>
      </c>
      <c r="J2317" s="204" t="s">
        <v>3600</v>
      </c>
      <c r="K2317" s="207" t="s">
        <v>1601</v>
      </c>
    </row>
    <row r="2318" spans="1:11" ht="33.75">
      <c r="A2318" s="204">
        <v>2316</v>
      </c>
      <c r="B2318" s="208">
        <v>46031</v>
      </c>
      <c r="C2318" s="267" t="s">
        <v>823</v>
      </c>
      <c r="D2318" s="204">
        <v>2026</v>
      </c>
      <c r="E2318" s="209" t="s">
        <v>1431</v>
      </c>
      <c r="F2318" s="209" t="s">
        <v>21</v>
      </c>
      <c r="G2318" s="213" t="s">
        <v>821</v>
      </c>
      <c r="H2318" s="211" t="s">
        <v>3878</v>
      </c>
      <c r="I2318" s="156" t="s">
        <v>26</v>
      </c>
      <c r="J2318" s="209" t="s">
        <v>149</v>
      </c>
      <c r="K2318" s="211"/>
    </row>
    <row r="2319" spans="1:11" ht="50.25">
      <c r="A2319" s="204">
        <v>2317</v>
      </c>
      <c r="B2319" s="205">
        <v>46031</v>
      </c>
      <c r="C2319" s="267" t="s">
        <v>823</v>
      </c>
      <c r="D2319" s="204">
        <v>2026</v>
      </c>
      <c r="E2319" s="204" t="s">
        <v>1431</v>
      </c>
      <c r="F2319" s="204" t="s">
        <v>21</v>
      </c>
      <c r="G2319" s="213" t="s">
        <v>821</v>
      </c>
      <c r="H2319" s="207" t="s">
        <v>3879</v>
      </c>
      <c r="I2319" s="156" t="s">
        <v>26</v>
      </c>
      <c r="J2319" s="204" t="s">
        <v>149</v>
      </c>
      <c r="K2319" s="207"/>
    </row>
    <row r="2320" spans="1:11" ht="117">
      <c r="A2320" s="204">
        <v>2318</v>
      </c>
      <c r="B2320" s="208">
        <v>46031</v>
      </c>
      <c r="C2320" s="267" t="s">
        <v>823</v>
      </c>
      <c r="D2320" s="204">
        <v>2026</v>
      </c>
      <c r="E2320" s="209" t="s">
        <v>1431</v>
      </c>
      <c r="F2320" s="209" t="s">
        <v>1566</v>
      </c>
      <c r="G2320" s="210" t="s">
        <v>88</v>
      </c>
      <c r="H2320" s="211" t="s">
        <v>3880</v>
      </c>
      <c r="I2320" s="156" t="s">
        <v>26</v>
      </c>
      <c r="J2320" s="209" t="s">
        <v>1453</v>
      </c>
      <c r="K2320" s="211" t="s">
        <v>1451</v>
      </c>
    </row>
    <row r="2321" spans="1:11" ht="84">
      <c r="A2321" s="204">
        <v>2319</v>
      </c>
      <c r="B2321" s="205">
        <v>46031</v>
      </c>
      <c r="C2321" s="267" t="s">
        <v>823</v>
      </c>
      <c r="D2321" s="204">
        <v>2026</v>
      </c>
      <c r="E2321" s="204" t="s">
        <v>3881</v>
      </c>
      <c r="F2321" s="204" t="s">
        <v>1506</v>
      </c>
      <c r="G2321" s="206" t="s">
        <v>88</v>
      </c>
      <c r="H2321" s="207" t="s">
        <v>3882</v>
      </c>
      <c r="I2321" s="156" t="s">
        <v>26</v>
      </c>
      <c r="J2321" s="204" t="s">
        <v>3883</v>
      </c>
      <c r="K2321" s="207" t="s">
        <v>1500</v>
      </c>
    </row>
    <row r="2322" spans="1:11" ht="50.25">
      <c r="A2322" s="204">
        <v>2320</v>
      </c>
      <c r="B2322" s="208">
        <v>46031</v>
      </c>
      <c r="C2322" s="267" t="s">
        <v>823</v>
      </c>
      <c r="D2322" s="204">
        <v>2026</v>
      </c>
      <c r="E2322" s="209" t="s">
        <v>2224</v>
      </c>
      <c r="F2322" s="209" t="s">
        <v>1449</v>
      </c>
      <c r="G2322" s="210" t="s">
        <v>88</v>
      </c>
      <c r="H2322" s="211" t="s">
        <v>3884</v>
      </c>
      <c r="I2322" s="156" t="s">
        <v>26</v>
      </c>
      <c r="J2322" s="209" t="s">
        <v>2593</v>
      </c>
      <c r="K2322" s="211"/>
    </row>
    <row r="2323" spans="1:11" ht="117">
      <c r="A2323" s="204">
        <v>2321</v>
      </c>
      <c r="B2323" s="205">
        <v>46031</v>
      </c>
      <c r="C2323" s="267" t="s">
        <v>823</v>
      </c>
      <c r="D2323" s="204">
        <v>2026</v>
      </c>
      <c r="E2323" s="204" t="s">
        <v>2224</v>
      </c>
      <c r="F2323" s="204" t="s">
        <v>21</v>
      </c>
      <c r="G2323" s="213" t="s">
        <v>821</v>
      </c>
      <c r="H2323" s="207" t="s">
        <v>3885</v>
      </c>
      <c r="I2323" s="156" t="s">
        <v>26</v>
      </c>
      <c r="J2323" s="204" t="s">
        <v>149</v>
      </c>
      <c r="K2323" s="207" t="s">
        <v>1482</v>
      </c>
    </row>
    <row r="2324" spans="1:11" ht="16.5">
      <c r="A2324" s="204">
        <v>2322</v>
      </c>
      <c r="B2324" s="208">
        <v>46031</v>
      </c>
      <c r="C2324" s="267" t="s">
        <v>823</v>
      </c>
      <c r="D2324" s="204">
        <v>2026</v>
      </c>
      <c r="E2324" s="209" t="s">
        <v>3886</v>
      </c>
      <c r="F2324" s="209" t="s">
        <v>988</v>
      </c>
      <c r="G2324" s="210" t="s">
        <v>88</v>
      </c>
      <c r="H2324" s="211" t="s">
        <v>3887</v>
      </c>
      <c r="I2324" s="156" t="s">
        <v>26</v>
      </c>
      <c r="J2324" s="209" t="s">
        <v>3883</v>
      </c>
      <c r="K2324" s="211"/>
    </row>
    <row r="2325" spans="1:11" ht="84">
      <c r="A2325" s="204">
        <v>2323</v>
      </c>
      <c r="B2325" s="205">
        <v>46031</v>
      </c>
      <c r="C2325" s="267" t="s">
        <v>823</v>
      </c>
      <c r="D2325" s="204">
        <v>2026</v>
      </c>
      <c r="E2325" s="204" t="s">
        <v>1431</v>
      </c>
      <c r="F2325" s="204" t="s">
        <v>377</v>
      </c>
      <c r="G2325" s="206" t="s">
        <v>88</v>
      </c>
      <c r="H2325" s="207" t="s">
        <v>3888</v>
      </c>
      <c r="I2325" s="156" t="s">
        <v>26</v>
      </c>
      <c r="J2325" s="204" t="s">
        <v>3247</v>
      </c>
      <c r="K2325" s="207" t="s">
        <v>1444</v>
      </c>
    </row>
    <row r="2326" spans="1:11" ht="100.5">
      <c r="A2326" s="204">
        <v>2324</v>
      </c>
      <c r="B2326" s="208">
        <v>46034</v>
      </c>
      <c r="C2326" s="267" t="s">
        <v>823</v>
      </c>
      <c r="D2326" s="204">
        <v>2026</v>
      </c>
      <c r="E2326" s="209" t="s">
        <v>1431</v>
      </c>
      <c r="F2326" s="209" t="s">
        <v>2535</v>
      </c>
      <c r="G2326" s="210" t="s">
        <v>88</v>
      </c>
      <c r="H2326" s="211" t="s">
        <v>3889</v>
      </c>
      <c r="I2326" s="156" t="s">
        <v>26</v>
      </c>
      <c r="J2326" s="209" t="s">
        <v>3516</v>
      </c>
      <c r="K2326" s="211" t="s">
        <v>1472</v>
      </c>
    </row>
    <row r="2327" spans="1:11" ht="134.25">
      <c r="A2327" s="204">
        <v>2325</v>
      </c>
      <c r="B2327" s="205">
        <v>46034</v>
      </c>
      <c r="C2327" s="267" t="s">
        <v>823</v>
      </c>
      <c r="D2327" s="204">
        <v>2026</v>
      </c>
      <c r="E2327" s="204" t="s">
        <v>1431</v>
      </c>
      <c r="F2327" s="204" t="s">
        <v>216</v>
      </c>
      <c r="G2327" s="213" t="s">
        <v>821</v>
      </c>
      <c r="H2327" s="207" t="s">
        <v>3890</v>
      </c>
      <c r="I2327" s="156" t="s">
        <v>26</v>
      </c>
      <c r="J2327" s="204" t="s">
        <v>3516</v>
      </c>
      <c r="K2327" s="207" t="s">
        <v>1601</v>
      </c>
    </row>
    <row r="2328" spans="1:11" ht="100.5">
      <c r="A2328" s="204">
        <v>2326</v>
      </c>
      <c r="B2328" s="208">
        <v>46034</v>
      </c>
      <c r="C2328" s="267" t="s">
        <v>823</v>
      </c>
      <c r="D2328" s="204">
        <v>2026</v>
      </c>
      <c r="E2328" s="209" t="s">
        <v>1431</v>
      </c>
      <c r="F2328" s="209" t="s">
        <v>1518</v>
      </c>
      <c r="G2328" s="217" t="s">
        <v>859</v>
      </c>
      <c r="H2328" s="211" t="s">
        <v>3891</v>
      </c>
      <c r="I2328" s="156" t="s">
        <v>26</v>
      </c>
      <c r="J2328" s="209" t="s">
        <v>3769</v>
      </c>
      <c r="K2328" s="211" t="s">
        <v>1444</v>
      </c>
    </row>
    <row r="2329" spans="1:11" ht="50.25">
      <c r="A2329" s="204">
        <v>2327</v>
      </c>
      <c r="B2329" s="205">
        <v>46034</v>
      </c>
      <c r="C2329" s="267" t="s">
        <v>823</v>
      </c>
      <c r="D2329" s="204">
        <v>2026</v>
      </c>
      <c r="E2329" s="204" t="s">
        <v>1431</v>
      </c>
      <c r="F2329" s="204" t="s">
        <v>216</v>
      </c>
      <c r="G2329" s="213" t="s">
        <v>821</v>
      </c>
      <c r="H2329" s="207" t="s">
        <v>3892</v>
      </c>
      <c r="I2329" s="156" t="s">
        <v>26</v>
      </c>
      <c r="J2329" s="204" t="s">
        <v>3600</v>
      </c>
      <c r="K2329" s="207"/>
    </row>
    <row r="2330" spans="1:11" ht="33.75">
      <c r="A2330" s="204">
        <v>2328</v>
      </c>
      <c r="B2330" s="208">
        <v>46034</v>
      </c>
      <c r="C2330" s="267" t="s">
        <v>823</v>
      </c>
      <c r="D2330" s="204">
        <v>2026</v>
      </c>
      <c r="E2330" s="209" t="s">
        <v>1431</v>
      </c>
      <c r="F2330" s="209" t="s">
        <v>21</v>
      </c>
      <c r="G2330" s="213" t="s">
        <v>821</v>
      </c>
      <c r="H2330" s="211" t="s">
        <v>3893</v>
      </c>
      <c r="I2330" s="156" t="s">
        <v>26</v>
      </c>
      <c r="J2330" s="209" t="s">
        <v>468</v>
      </c>
      <c r="K2330" s="211"/>
    </row>
    <row r="2331" spans="1:11" ht="50.25">
      <c r="A2331" s="204">
        <v>2329</v>
      </c>
      <c r="B2331" s="205">
        <v>46034</v>
      </c>
      <c r="C2331" s="267" t="s">
        <v>823</v>
      </c>
      <c r="D2331" s="204">
        <v>2026</v>
      </c>
      <c r="E2331" s="204" t="s">
        <v>1431</v>
      </c>
      <c r="F2331" s="204" t="s">
        <v>97</v>
      </c>
      <c r="G2331" s="213" t="s">
        <v>821</v>
      </c>
      <c r="H2331" s="207" t="s">
        <v>3894</v>
      </c>
      <c r="I2331" s="156" t="s">
        <v>26</v>
      </c>
      <c r="J2331" s="204" t="s">
        <v>3561</v>
      </c>
      <c r="K2331" s="207"/>
    </row>
    <row r="2332" spans="1:11" ht="33.75">
      <c r="A2332" s="204">
        <v>2330</v>
      </c>
      <c r="B2332" s="208">
        <v>46034</v>
      </c>
      <c r="C2332" s="267" t="s">
        <v>823</v>
      </c>
      <c r="D2332" s="204">
        <v>2026</v>
      </c>
      <c r="E2332" s="209" t="s">
        <v>1431</v>
      </c>
      <c r="F2332" s="209" t="s">
        <v>1449</v>
      </c>
      <c r="G2332" s="213" t="s">
        <v>821</v>
      </c>
      <c r="H2332" s="211" t="s">
        <v>3895</v>
      </c>
      <c r="I2332" s="156" t="s">
        <v>26</v>
      </c>
      <c r="J2332" s="209" t="s">
        <v>2593</v>
      </c>
      <c r="K2332" s="211"/>
    </row>
    <row r="2333" spans="1:11" ht="50.25">
      <c r="A2333" s="204">
        <v>2331</v>
      </c>
      <c r="B2333" s="205">
        <v>46034</v>
      </c>
      <c r="C2333" s="267" t="s">
        <v>823</v>
      </c>
      <c r="D2333" s="204">
        <v>2026</v>
      </c>
      <c r="E2333" s="204" t="s">
        <v>1431</v>
      </c>
      <c r="F2333" s="204" t="s">
        <v>1566</v>
      </c>
      <c r="G2333" s="206" t="s">
        <v>88</v>
      </c>
      <c r="H2333" s="207" t="s">
        <v>3896</v>
      </c>
      <c r="I2333" s="156" t="s">
        <v>26</v>
      </c>
      <c r="J2333" s="204" t="s">
        <v>1453</v>
      </c>
      <c r="K2333" s="207"/>
    </row>
    <row r="2334" spans="1:11" ht="33.75">
      <c r="A2334" s="204">
        <v>2332</v>
      </c>
      <c r="B2334" s="208">
        <v>46034</v>
      </c>
      <c r="C2334" s="267" t="s">
        <v>823</v>
      </c>
      <c r="D2334" s="204">
        <v>2026</v>
      </c>
      <c r="E2334" s="209" t="s">
        <v>3886</v>
      </c>
      <c r="F2334" s="209" t="s">
        <v>21</v>
      </c>
      <c r="G2334" s="213" t="s">
        <v>821</v>
      </c>
      <c r="H2334" s="211" t="s">
        <v>3897</v>
      </c>
      <c r="I2334" s="156" t="s">
        <v>26</v>
      </c>
      <c r="J2334" s="209" t="s">
        <v>468</v>
      </c>
      <c r="K2334" s="211"/>
    </row>
    <row r="2335" spans="1:11" ht="84">
      <c r="A2335" s="204">
        <v>2333</v>
      </c>
      <c r="B2335" s="205">
        <v>46034</v>
      </c>
      <c r="C2335" s="267" t="s">
        <v>823</v>
      </c>
      <c r="D2335" s="204">
        <v>2026</v>
      </c>
      <c r="E2335" s="204" t="s">
        <v>2224</v>
      </c>
      <c r="F2335" s="204" t="s">
        <v>21</v>
      </c>
      <c r="G2335" s="213" t="s">
        <v>821</v>
      </c>
      <c r="H2335" s="207" t="s">
        <v>3898</v>
      </c>
      <c r="I2335" s="156" t="s">
        <v>26</v>
      </c>
      <c r="J2335" s="204" t="s">
        <v>468</v>
      </c>
      <c r="K2335" s="207"/>
    </row>
    <row r="2336" spans="1:11" ht="84">
      <c r="A2336" s="204">
        <v>2334</v>
      </c>
      <c r="B2336" s="208">
        <v>46034</v>
      </c>
      <c r="C2336" s="267" t="s">
        <v>823</v>
      </c>
      <c r="D2336" s="204">
        <v>2026</v>
      </c>
      <c r="E2336" s="209" t="s">
        <v>1431</v>
      </c>
      <c r="F2336" s="209" t="s">
        <v>1506</v>
      </c>
      <c r="G2336" s="210" t="s">
        <v>88</v>
      </c>
      <c r="H2336" s="211" t="s">
        <v>3899</v>
      </c>
      <c r="I2336" s="156" t="s">
        <v>26</v>
      </c>
      <c r="J2336" s="209" t="s">
        <v>3247</v>
      </c>
      <c r="K2336" s="211" t="s">
        <v>1500</v>
      </c>
    </row>
    <row r="2337" spans="1:11" ht="84">
      <c r="A2337" s="204">
        <v>2335</v>
      </c>
      <c r="B2337" s="205">
        <v>46034</v>
      </c>
      <c r="C2337" s="267" t="s">
        <v>823</v>
      </c>
      <c r="D2337" s="204">
        <v>2026</v>
      </c>
      <c r="E2337" s="204" t="s">
        <v>1431</v>
      </c>
      <c r="F2337" s="204" t="s">
        <v>1506</v>
      </c>
      <c r="G2337" s="206" t="s">
        <v>88</v>
      </c>
      <c r="H2337" s="207" t="s">
        <v>3900</v>
      </c>
      <c r="I2337" s="156" t="s">
        <v>26</v>
      </c>
      <c r="J2337" s="204" t="s">
        <v>3247</v>
      </c>
      <c r="K2337" s="207" t="s">
        <v>1500</v>
      </c>
    </row>
    <row r="2338" spans="1:11" ht="66.75">
      <c r="A2338" s="204">
        <v>2336</v>
      </c>
      <c r="B2338" s="208">
        <v>46034</v>
      </c>
      <c r="C2338" s="267" t="s">
        <v>823</v>
      </c>
      <c r="D2338" s="204">
        <v>2026</v>
      </c>
      <c r="E2338" s="209" t="s">
        <v>1431</v>
      </c>
      <c r="F2338" s="209" t="s">
        <v>1449</v>
      </c>
      <c r="G2338" s="210" t="s">
        <v>88</v>
      </c>
      <c r="H2338" s="211" t="s">
        <v>3901</v>
      </c>
      <c r="I2338" s="156" t="s">
        <v>26</v>
      </c>
      <c r="J2338" s="209" t="s">
        <v>2593</v>
      </c>
      <c r="K2338" s="211"/>
    </row>
    <row r="2339" spans="1:11" ht="66.75">
      <c r="A2339" s="204">
        <v>2337</v>
      </c>
      <c r="B2339" s="205">
        <v>46034</v>
      </c>
      <c r="C2339" s="267" t="s">
        <v>823</v>
      </c>
      <c r="D2339" s="204">
        <v>2026</v>
      </c>
      <c r="E2339" s="204" t="s">
        <v>1431</v>
      </c>
      <c r="F2339" s="204" t="s">
        <v>1449</v>
      </c>
      <c r="G2339" s="206" t="s">
        <v>88</v>
      </c>
      <c r="H2339" s="207" t="s">
        <v>3902</v>
      </c>
      <c r="I2339" s="156" t="s">
        <v>26</v>
      </c>
      <c r="J2339" s="204" t="s">
        <v>2593</v>
      </c>
      <c r="K2339" s="207"/>
    </row>
    <row r="2340" spans="1:11" ht="84">
      <c r="A2340" s="204">
        <v>2338</v>
      </c>
      <c r="B2340" s="208">
        <v>46034</v>
      </c>
      <c r="C2340" s="267" t="s">
        <v>823</v>
      </c>
      <c r="D2340" s="204">
        <v>2026</v>
      </c>
      <c r="E2340" s="209" t="s">
        <v>1431</v>
      </c>
      <c r="F2340" s="209" t="s">
        <v>1566</v>
      </c>
      <c r="G2340" s="210" t="s">
        <v>88</v>
      </c>
      <c r="H2340" s="211" t="s">
        <v>3903</v>
      </c>
      <c r="I2340" s="156" t="s">
        <v>26</v>
      </c>
      <c r="J2340" s="209" t="s">
        <v>1453</v>
      </c>
      <c r="K2340" s="211" t="s">
        <v>1500</v>
      </c>
    </row>
    <row r="2341" spans="1:11" ht="100.5">
      <c r="A2341" s="204">
        <v>2339</v>
      </c>
      <c r="B2341" s="205">
        <v>46034</v>
      </c>
      <c r="C2341" s="267" t="s">
        <v>823</v>
      </c>
      <c r="D2341" s="204">
        <v>2026</v>
      </c>
      <c r="E2341" s="204" t="s">
        <v>1431</v>
      </c>
      <c r="F2341" s="204" t="s">
        <v>1566</v>
      </c>
      <c r="G2341" s="206" t="s">
        <v>88</v>
      </c>
      <c r="H2341" s="207" t="s">
        <v>3904</v>
      </c>
      <c r="I2341" s="156" t="s">
        <v>26</v>
      </c>
      <c r="J2341" s="204" t="s">
        <v>1453</v>
      </c>
      <c r="K2341" s="207" t="s">
        <v>1454</v>
      </c>
    </row>
    <row r="2342" spans="1:11" ht="100.5">
      <c r="A2342" s="204">
        <v>2340</v>
      </c>
      <c r="B2342" s="208">
        <v>46034</v>
      </c>
      <c r="C2342" s="267" t="s">
        <v>823</v>
      </c>
      <c r="D2342" s="204">
        <v>2026</v>
      </c>
      <c r="E2342" s="209" t="s">
        <v>1431</v>
      </c>
      <c r="F2342" s="209" t="s">
        <v>1566</v>
      </c>
      <c r="G2342" s="210" t="s">
        <v>88</v>
      </c>
      <c r="H2342" s="211" t="s">
        <v>3905</v>
      </c>
      <c r="I2342" s="156" t="s">
        <v>26</v>
      </c>
      <c r="J2342" s="209" t="s">
        <v>1453</v>
      </c>
      <c r="K2342" s="211" t="s">
        <v>1454</v>
      </c>
    </row>
    <row r="2343" spans="1:11" ht="84">
      <c r="A2343" s="204">
        <v>2341</v>
      </c>
      <c r="B2343" s="205">
        <v>46034</v>
      </c>
      <c r="C2343" s="267" t="s">
        <v>823</v>
      </c>
      <c r="D2343" s="204">
        <v>2026</v>
      </c>
      <c r="E2343" s="204" t="s">
        <v>1431</v>
      </c>
      <c r="F2343" s="204" t="s">
        <v>1506</v>
      </c>
      <c r="G2343" s="206" t="s">
        <v>88</v>
      </c>
      <c r="H2343" s="207" t="s">
        <v>3906</v>
      </c>
      <c r="I2343" s="156" t="s">
        <v>26</v>
      </c>
      <c r="J2343" s="204" t="s">
        <v>3247</v>
      </c>
      <c r="K2343" s="207" t="s">
        <v>1500</v>
      </c>
    </row>
    <row r="2344" spans="1:11" ht="66.75">
      <c r="A2344" s="204">
        <v>2342</v>
      </c>
      <c r="B2344" s="208">
        <v>46034</v>
      </c>
      <c r="C2344" s="267" t="s">
        <v>823</v>
      </c>
      <c r="D2344" s="204">
        <v>2026</v>
      </c>
      <c r="E2344" s="209" t="s">
        <v>2224</v>
      </c>
      <c r="F2344" s="209" t="s">
        <v>988</v>
      </c>
      <c r="G2344" s="217" t="s">
        <v>859</v>
      </c>
      <c r="H2344" s="211" t="s">
        <v>3907</v>
      </c>
      <c r="I2344" s="156" t="s">
        <v>26</v>
      </c>
      <c r="J2344" s="209" t="s">
        <v>2568</v>
      </c>
      <c r="K2344" s="211"/>
    </row>
    <row r="2345" spans="1:11" ht="134.25">
      <c r="A2345" s="204">
        <v>2343</v>
      </c>
      <c r="B2345" s="205">
        <v>46035</v>
      </c>
      <c r="C2345" s="267" t="s">
        <v>823</v>
      </c>
      <c r="D2345" s="204">
        <v>2026</v>
      </c>
      <c r="E2345" s="204" t="s">
        <v>1431</v>
      </c>
      <c r="F2345" s="204" t="s">
        <v>1608</v>
      </c>
      <c r="G2345" s="212" t="s">
        <v>1439</v>
      </c>
      <c r="H2345" s="207" t="s">
        <v>3908</v>
      </c>
      <c r="I2345" s="156" t="s">
        <v>26</v>
      </c>
      <c r="J2345" s="204" t="s">
        <v>2150</v>
      </c>
      <c r="K2345" s="207" t="s">
        <v>1442</v>
      </c>
    </row>
    <row r="2346" spans="1:11" ht="134.25">
      <c r="A2346" s="204">
        <v>2344</v>
      </c>
      <c r="B2346" s="208">
        <v>46035</v>
      </c>
      <c r="C2346" s="267" t="s">
        <v>823</v>
      </c>
      <c r="D2346" s="204">
        <v>2026</v>
      </c>
      <c r="E2346" s="209" t="s">
        <v>1431</v>
      </c>
      <c r="F2346" s="209" t="s">
        <v>1608</v>
      </c>
      <c r="G2346" s="212" t="s">
        <v>1439</v>
      </c>
      <c r="H2346" s="211" t="s">
        <v>3909</v>
      </c>
      <c r="I2346" s="156" t="s">
        <v>26</v>
      </c>
      <c r="J2346" s="209" t="s">
        <v>921</v>
      </c>
      <c r="K2346" s="211" t="s">
        <v>1442</v>
      </c>
    </row>
    <row r="2347" spans="1:11" ht="100.5">
      <c r="A2347" s="204">
        <v>2345</v>
      </c>
      <c r="B2347" s="205">
        <v>46035</v>
      </c>
      <c r="C2347" s="267" t="s">
        <v>823</v>
      </c>
      <c r="D2347" s="204">
        <v>2026</v>
      </c>
      <c r="E2347" s="204" t="s">
        <v>1431</v>
      </c>
      <c r="F2347" s="204" t="s">
        <v>1566</v>
      </c>
      <c r="G2347" s="206" t="s">
        <v>88</v>
      </c>
      <c r="H2347" s="207" t="s">
        <v>3910</v>
      </c>
      <c r="I2347" s="156" t="s">
        <v>26</v>
      </c>
      <c r="J2347" s="204" t="s">
        <v>1453</v>
      </c>
      <c r="K2347" s="207" t="s">
        <v>1478</v>
      </c>
    </row>
    <row r="2348" spans="1:11" ht="16.5">
      <c r="A2348" s="204">
        <v>2346</v>
      </c>
      <c r="B2348" s="208">
        <v>46035</v>
      </c>
      <c r="C2348" s="267" t="s">
        <v>823</v>
      </c>
      <c r="D2348" s="204">
        <v>2026</v>
      </c>
      <c r="E2348" s="209" t="s">
        <v>1431</v>
      </c>
      <c r="F2348" s="209" t="s">
        <v>3011</v>
      </c>
      <c r="G2348" s="217" t="s">
        <v>859</v>
      </c>
      <c r="H2348" s="211" t="s">
        <v>3911</v>
      </c>
      <c r="I2348" s="156" t="s">
        <v>26</v>
      </c>
      <c r="J2348" s="209" t="s">
        <v>3839</v>
      </c>
      <c r="K2348" s="211"/>
    </row>
    <row r="2349" spans="1:11" ht="50.25">
      <c r="A2349" s="204">
        <v>2347</v>
      </c>
      <c r="B2349" s="205">
        <v>46035</v>
      </c>
      <c r="C2349" s="267" t="s">
        <v>823</v>
      </c>
      <c r="D2349" s="204">
        <v>2026</v>
      </c>
      <c r="E2349" s="204" t="s">
        <v>1431</v>
      </c>
      <c r="F2349" s="204" t="s">
        <v>3011</v>
      </c>
      <c r="G2349" s="214" t="s">
        <v>859</v>
      </c>
      <c r="H2349" s="207" t="s">
        <v>3912</v>
      </c>
      <c r="I2349" s="156" t="s">
        <v>26</v>
      </c>
      <c r="J2349" s="204" t="s">
        <v>3839</v>
      </c>
      <c r="K2349" s="207"/>
    </row>
    <row r="2350" spans="1:11" ht="100.5">
      <c r="A2350" s="204">
        <v>2348</v>
      </c>
      <c r="B2350" s="208">
        <v>46035</v>
      </c>
      <c r="C2350" s="267" t="s">
        <v>823</v>
      </c>
      <c r="D2350" s="204">
        <v>2026</v>
      </c>
      <c r="E2350" s="209" t="s">
        <v>1431</v>
      </c>
      <c r="F2350" s="209" t="s">
        <v>377</v>
      </c>
      <c r="G2350" s="210" t="s">
        <v>88</v>
      </c>
      <c r="H2350" s="211" t="s">
        <v>3913</v>
      </c>
      <c r="I2350" s="156" t="s">
        <v>26</v>
      </c>
      <c r="J2350" s="209" t="s">
        <v>3247</v>
      </c>
      <c r="K2350" s="211" t="s">
        <v>1472</v>
      </c>
    </row>
    <row r="2351" spans="1:11" ht="33.75">
      <c r="A2351" s="204">
        <v>2349</v>
      </c>
      <c r="B2351" s="205">
        <v>46035</v>
      </c>
      <c r="C2351" s="267" t="s">
        <v>823</v>
      </c>
      <c r="D2351" s="204">
        <v>2026</v>
      </c>
      <c r="E2351" s="204" t="s">
        <v>1431</v>
      </c>
      <c r="F2351" s="204" t="s">
        <v>21</v>
      </c>
      <c r="G2351" s="213" t="s">
        <v>821</v>
      </c>
      <c r="H2351" s="207" t="s">
        <v>3914</v>
      </c>
      <c r="I2351" s="156" t="s">
        <v>26</v>
      </c>
      <c r="J2351" s="204" t="s">
        <v>468</v>
      </c>
      <c r="K2351" s="207"/>
    </row>
    <row r="2352" spans="1:11" ht="50.25">
      <c r="A2352" s="204">
        <v>2350</v>
      </c>
      <c r="B2352" s="208">
        <v>46035</v>
      </c>
      <c r="C2352" s="267" t="s">
        <v>823</v>
      </c>
      <c r="D2352" s="204">
        <v>2026</v>
      </c>
      <c r="E2352" s="209" t="s">
        <v>1431</v>
      </c>
      <c r="F2352" s="209" t="s">
        <v>1511</v>
      </c>
      <c r="G2352" s="217" t="s">
        <v>859</v>
      </c>
      <c r="H2352" s="211" t="s">
        <v>3915</v>
      </c>
      <c r="I2352" s="156" t="s">
        <v>26</v>
      </c>
      <c r="J2352" s="209" t="s">
        <v>1493</v>
      </c>
      <c r="K2352" s="211"/>
    </row>
    <row r="2353" spans="1:11" ht="50.25">
      <c r="A2353" s="204">
        <v>2351</v>
      </c>
      <c r="B2353" s="205">
        <v>46035</v>
      </c>
      <c r="C2353" s="267" t="s">
        <v>823</v>
      </c>
      <c r="D2353" s="204">
        <v>2026</v>
      </c>
      <c r="E2353" s="204" t="s">
        <v>2197</v>
      </c>
      <c r="F2353" s="204" t="s">
        <v>1225</v>
      </c>
      <c r="G2353" s="206" t="s">
        <v>88</v>
      </c>
      <c r="H2353" s="207" t="s">
        <v>3916</v>
      </c>
      <c r="I2353" s="156" t="s">
        <v>26</v>
      </c>
      <c r="J2353" s="204" t="s">
        <v>925</v>
      </c>
      <c r="K2353" s="207"/>
    </row>
    <row r="2354" spans="1:11" ht="100.5">
      <c r="A2354" s="204">
        <v>2352</v>
      </c>
      <c r="B2354" s="208">
        <v>46035</v>
      </c>
      <c r="C2354" s="267" t="s">
        <v>823</v>
      </c>
      <c r="D2354" s="204">
        <v>2026</v>
      </c>
      <c r="E2354" s="209" t="s">
        <v>1431</v>
      </c>
      <c r="F2354" s="209" t="s">
        <v>1504</v>
      </c>
      <c r="G2354" s="210" t="s">
        <v>88</v>
      </c>
      <c r="H2354" s="211" t="s">
        <v>3917</v>
      </c>
      <c r="I2354" s="156" t="s">
        <v>26</v>
      </c>
      <c r="J2354" s="209" t="s">
        <v>921</v>
      </c>
      <c r="K2354" s="211" t="s">
        <v>1472</v>
      </c>
    </row>
    <row r="2355" spans="1:11" ht="100.5">
      <c r="A2355" s="204">
        <v>2353</v>
      </c>
      <c r="B2355" s="205">
        <v>46035</v>
      </c>
      <c r="C2355" s="267" t="s">
        <v>823</v>
      </c>
      <c r="D2355" s="204">
        <v>2026</v>
      </c>
      <c r="E2355" s="204" t="s">
        <v>1431</v>
      </c>
      <c r="F2355" s="204" t="s">
        <v>1506</v>
      </c>
      <c r="G2355" s="206" t="s">
        <v>88</v>
      </c>
      <c r="H2355" s="207" t="s">
        <v>3918</v>
      </c>
      <c r="I2355" s="156" t="s">
        <v>26</v>
      </c>
      <c r="J2355" s="204" t="s">
        <v>3247</v>
      </c>
      <c r="K2355" s="207" t="s">
        <v>1500</v>
      </c>
    </row>
    <row r="2356" spans="1:11" ht="84">
      <c r="A2356" s="204">
        <v>2354</v>
      </c>
      <c r="B2356" s="208">
        <v>46035</v>
      </c>
      <c r="C2356" s="267" t="s">
        <v>823</v>
      </c>
      <c r="D2356" s="204">
        <v>2026</v>
      </c>
      <c r="E2356" s="209" t="s">
        <v>1431</v>
      </c>
      <c r="F2356" s="209" t="s">
        <v>1518</v>
      </c>
      <c r="G2356" s="210" t="s">
        <v>88</v>
      </c>
      <c r="H2356" s="211" t="s">
        <v>3919</v>
      </c>
      <c r="I2356" s="156" t="s">
        <v>26</v>
      </c>
      <c r="J2356" s="209" t="s">
        <v>3920</v>
      </c>
      <c r="K2356" s="211" t="s">
        <v>1444</v>
      </c>
    </row>
    <row r="2357" spans="1:11" ht="134.25">
      <c r="A2357" s="204">
        <v>2355</v>
      </c>
      <c r="B2357" s="205">
        <v>46035</v>
      </c>
      <c r="C2357" s="267" t="s">
        <v>823</v>
      </c>
      <c r="D2357" s="204">
        <v>2026</v>
      </c>
      <c r="E2357" s="204" t="s">
        <v>1431</v>
      </c>
      <c r="F2357" s="204" t="s">
        <v>21</v>
      </c>
      <c r="G2357" s="213" t="s">
        <v>821</v>
      </c>
      <c r="H2357" s="207" t="s">
        <v>3921</v>
      </c>
      <c r="I2357" s="156" t="s">
        <v>26</v>
      </c>
      <c r="J2357" s="204" t="s">
        <v>468</v>
      </c>
      <c r="K2357" s="207" t="s">
        <v>1601</v>
      </c>
    </row>
    <row r="2358" spans="1:11" ht="150.75">
      <c r="A2358" s="204">
        <v>2356</v>
      </c>
      <c r="B2358" s="208">
        <v>46035</v>
      </c>
      <c r="C2358" s="267" t="s">
        <v>823</v>
      </c>
      <c r="D2358" s="204">
        <v>2026</v>
      </c>
      <c r="E2358" s="209" t="s">
        <v>1431</v>
      </c>
      <c r="F2358" s="209" t="s">
        <v>21</v>
      </c>
      <c r="G2358" s="213" t="s">
        <v>821</v>
      </c>
      <c r="H2358" s="211" t="s">
        <v>3922</v>
      </c>
      <c r="I2358" s="156" t="s">
        <v>26</v>
      </c>
      <c r="J2358" s="209" t="s">
        <v>468</v>
      </c>
      <c r="K2358" s="211" t="s">
        <v>1513</v>
      </c>
    </row>
    <row r="2359" spans="1:11" ht="16.5">
      <c r="A2359" s="204">
        <v>2357</v>
      </c>
      <c r="B2359" s="205">
        <v>46035</v>
      </c>
      <c r="C2359" s="267" t="s">
        <v>823</v>
      </c>
      <c r="D2359" s="204">
        <v>2026</v>
      </c>
      <c r="E2359" s="204" t="s">
        <v>1431</v>
      </c>
      <c r="F2359" s="204" t="s">
        <v>1449</v>
      </c>
      <c r="G2359" s="206" t="s">
        <v>88</v>
      </c>
      <c r="H2359" s="207" t="s">
        <v>3923</v>
      </c>
      <c r="I2359" s="156" t="s">
        <v>26</v>
      </c>
      <c r="J2359" s="204" t="s">
        <v>2593</v>
      </c>
      <c r="K2359" s="207"/>
    </row>
    <row r="2360" spans="1:11" ht="84">
      <c r="A2360" s="204">
        <v>2358</v>
      </c>
      <c r="B2360" s="208">
        <v>46035</v>
      </c>
      <c r="C2360" s="267" t="s">
        <v>823</v>
      </c>
      <c r="D2360" s="204">
        <v>2026</v>
      </c>
      <c r="E2360" s="209" t="s">
        <v>1431</v>
      </c>
      <c r="F2360" s="209" t="s">
        <v>1449</v>
      </c>
      <c r="G2360" s="210" t="s">
        <v>88</v>
      </c>
      <c r="H2360" s="211" t="s">
        <v>3924</v>
      </c>
      <c r="I2360" s="156" t="s">
        <v>26</v>
      </c>
      <c r="J2360" s="209" t="s">
        <v>2593</v>
      </c>
      <c r="K2360" s="211"/>
    </row>
    <row r="2361" spans="1:11" ht="16.5">
      <c r="A2361" s="204">
        <v>2359</v>
      </c>
      <c r="B2361" s="205">
        <v>46035</v>
      </c>
      <c r="C2361" s="267" t="s">
        <v>823</v>
      </c>
      <c r="D2361" s="204">
        <v>2026</v>
      </c>
      <c r="E2361" s="204" t="s">
        <v>2224</v>
      </c>
      <c r="F2361" s="204" t="s">
        <v>21</v>
      </c>
      <c r="G2361" s="213" t="s">
        <v>821</v>
      </c>
      <c r="H2361" s="207" t="s">
        <v>3925</v>
      </c>
      <c r="I2361" s="156" t="s">
        <v>26</v>
      </c>
      <c r="J2361" s="204" t="s">
        <v>468</v>
      </c>
      <c r="K2361" s="207"/>
    </row>
    <row r="2362" spans="1:11" ht="66.75">
      <c r="A2362" s="204">
        <v>2360</v>
      </c>
      <c r="B2362" s="208">
        <v>46035</v>
      </c>
      <c r="C2362" s="267" t="s">
        <v>823</v>
      </c>
      <c r="D2362" s="204">
        <v>2026</v>
      </c>
      <c r="E2362" s="209" t="s">
        <v>3886</v>
      </c>
      <c r="F2362" s="209" t="s">
        <v>21</v>
      </c>
      <c r="G2362" s="213" t="s">
        <v>821</v>
      </c>
      <c r="H2362" s="211" t="s">
        <v>3926</v>
      </c>
      <c r="I2362" s="156" t="s">
        <v>26</v>
      </c>
      <c r="J2362" s="209" t="s">
        <v>468</v>
      </c>
      <c r="K2362" s="211"/>
    </row>
    <row r="2363" spans="1:11" ht="33.75">
      <c r="A2363" s="204">
        <v>2361</v>
      </c>
      <c r="B2363" s="205">
        <v>46036</v>
      </c>
      <c r="C2363" s="267" t="s">
        <v>823</v>
      </c>
      <c r="D2363" s="204">
        <v>2026</v>
      </c>
      <c r="E2363" s="204" t="s">
        <v>1431</v>
      </c>
      <c r="F2363" s="204" t="s">
        <v>97</v>
      </c>
      <c r="G2363" s="206" t="s">
        <v>88</v>
      </c>
      <c r="H2363" s="207" t="s">
        <v>3927</v>
      </c>
      <c r="I2363" s="156" t="s">
        <v>26</v>
      </c>
      <c r="J2363" s="204" t="s">
        <v>452</v>
      </c>
      <c r="K2363" s="207"/>
    </row>
    <row r="2364" spans="1:11" ht="66.75">
      <c r="A2364" s="204">
        <v>2362</v>
      </c>
      <c r="B2364" s="208">
        <v>46036</v>
      </c>
      <c r="C2364" s="267" t="s">
        <v>823</v>
      </c>
      <c r="D2364" s="204">
        <v>2026</v>
      </c>
      <c r="E2364" s="209" t="s">
        <v>1431</v>
      </c>
      <c r="F2364" s="209" t="s">
        <v>1449</v>
      </c>
      <c r="G2364" s="210" t="s">
        <v>88</v>
      </c>
      <c r="H2364" s="211" t="s">
        <v>3928</v>
      </c>
      <c r="I2364" s="156" t="s">
        <v>26</v>
      </c>
      <c r="J2364" s="209" t="s">
        <v>3516</v>
      </c>
      <c r="K2364" s="211"/>
    </row>
    <row r="2365" spans="1:11" ht="134.25">
      <c r="A2365" s="204">
        <v>2363</v>
      </c>
      <c r="B2365" s="205">
        <v>46036</v>
      </c>
      <c r="C2365" s="267" t="s">
        <v>823</v>
      </c>
      <c r="D2365" s="204">
        <v>2026</v>
      </c>
      <c r="E2365" s="204" t="s">
        <v>1431</v>
      </c>
      <c r="F2365" s="204" t="s">
        <v>21</v>
      </c>
      <c r="G2365" s="213" t="s">
        <v>821</v>
      </c>
      <c r="H2365" s="207" t="s">
        <v>3929</v>
      </c>
      <c r="I2365" s="156" t="s">
        <v>26</v>
      </c>
      <c r="J2365" s="204" t="s">
        <v>3516</v>
      </c>
      <c r="K2365" s="207" t="s">
        <v>1601</v>
      </c>
    </row>
    <row r="2366" spans="1:11" ht="150.75">
      <c r="A2366" s="204">
        <v>2364</v>
      </c>
      <c r="B2366" s="208">
        <v>46036</v>
      </c>
      <c r="C2366" s="267" t="s">
        <v>823</v>
      </c>
      <c r="D2366" s="204">
        <v>2026</v>
      </c>
      <c r="E2366" s="209" t="s">
        <v>1431</v>
      </c>
      <c r="F2366" s="209" t="s">
        <v>21</v>
      </c>
      <c r="G2366" s="213" t="s">
        <v>821</v>
      </c>
      <c r="H2366" s="211" t="s">
        <v>3930</v>
      </c>
      <c r="I2366" s="156" t="s">
        <v>26</v>
      </c>
      <c r="J2366" s="209" t="s">
        <v>468</v>
      </c>
      <c r="K2366" s="211" t="s">
        <v>1513</v>
      </c>
    </row>
    <row r="2367" spans="1:11" ht="100.5">
      <c r="A2367" s="204">
        <v>2365</v>
      </c>
      <c r="B2367" s="205">
        <v>46036</v>
      </c>
      <c r="C2367" s="267" t="s">
        <v>823</v>
      </c>
      <c r="D2367" s="204">
        <v>2026</v>
      </c>
      <c r="E2367" s="204" t="s">
        <v>1431</v>
      </c>
      <c r="F2367" s="204" t="s">
        <v>2595</v>
      </c>
      <c r="G2367" s="206" t="s">
        <v>88</v>
      </c>
      <c r="H2367" s="207" t="s">
        <v>3931</v>
      </c>
      <c r="I2367" s="156" t="s">
        <v>26</v>
      </c>
      <c r="J2367" s="204" t="s">
        <v>3516</v>
      </c>
      <c r="K2367" s="207" t="s">
        <v>1472</v>
      </c>
    </row>
    <row r="2368" spans="1:11" ht="100.5">
      <c r="A2368" s="204">
        <v>2366</v>
      </c>
      <c r="B2368" s="208">
        <v>46036</v>
      </c>
      <c r="C2368" s="267" t="s">
        <v>823</v>
      </c>
      <c r="D2368" s="204">
        <v>2026</v>
      </c>
      <c r="E2368" s="209" t="s">
        <v>1431</v>
      </c>
      <c r="F2368" s="209" t="s">
        <v>1504</v>
      </c>
      <c r="G2368" s="210" t="s">
        <v>88</v>
      </c>
      <c r="H2368" s="211" t="s">
        <v>3932</v>
      </c>
      <c r="I2368" s="156" t="s">
        <v>26</v>
      </c>
      <c r="J2368" s="209" t="s">
        <v>3516</v>
      </c>
      <c r="K2368" s="211" t="s">
        <v>1472</v>
      </c>
    </row>
    <row r="2369" spans="1:11" ht="66.75">
      <c r="A2369" s="204">
        <v>2367</v>
      </c>
      <c r="B2369" s="205">
        <v>46036</v>
      </c>
      <c r="C2369" s="267" t="s">
        <v>823</v>
      </c>
      <c r="D2369" s="204">
        <v>2026</v>
      </c>
      <c r="E2369" s="204" t="s">
        <v>1431</v>
      </c>
      <c r="F2369" s="204" t="s">
        <v>21</v>
      </c>
      <c r="G2369" s="213" t="s">
        <v>821</v>
      </c>
      <c r="H2369" s="207" t="s">
        <v>3933</v>
      </c>
      <c r="I2369" s="156" t="s">
        <v>26</v>
      </c>
      <c r="J2369" s="204" t="s">
        <v>468</v>
      </c>
      <c r="K2369" s="207"/>
    </row>
    <row r="2370" spans="1:11" ht="33.75">
      <c r="A2370" s="204">
        <v>2368</v>
      </c>
      <c r="B2370" s="208">
        <v>46036</v>
      </c>
      <c r="C2370" s="267" t="s">
        <v>823</v>
      </c>
      <c r="D2370" s="204">
        <v>2026</v>
      </c>
      <c r="E2370" s="209" t="s">
        <v>1431</v>
      </c>
      <c r="F2370" s="209" t="s">
        <v>3636</v>
      </c>
      <c r="G2370" s="212" t="s">
        <v>1439</v>
      </c>
      <c r="H2370" s="211" t="s">
        <v>3934</v>
      </c>
      <c r="I2370" s="156" t="s">
        <v>26</v>
      </c>
      <c r="J2370" s="209" t="s">
        <v>3421</v>
      </c>
      <c r="K2370" s="211"/>
    </row>
    <row r="2371" spans="1:11" ht="117">
      <c r="A2371" s="204">
        <v>2369</v>
      </c>
      <c r="B2371" s="205">
        <v>46036</v>
      </c>
      <c r="C2371" s="267" t="s">
        <v>823</v>
      </c>
      <c r="D2371" s="204">
        <v>2026</v>
      </c>
      <c r="E2371" s="204" t="s">
        <v>1431</v>
      </c>
      <c r="F2371" s="204" t="s">
        <v>1508</v>
      </c>
      <c r="G2371" s="206" t="s">
        <v>88</v>
      </c>
      <c r="H2371" s="207" t="s">
        <v>3935</v>
      </c>
      <c r="I2371" s="156" t="s">
        <v>26</v>
      </c>
      <c r="J2371" s="204" t="s">
        <v>2593</v>
      </c>
      <c r="K2371" s="207" t="s">
        <v>1510</v>
      </c>
    </row>
    <row r="2372" spans="1:11" ht="33.75">
      <c r="A2372" s="204">
        <v>2370</v>
      </c>
      <c r="B2372" s="208">
        <v>46036</v>
      </c>
      <c r="C2372" s="267" t="s">
        <v>823</v>
      </c>
      <c r="D2372" s="204">
        <v>2026</v>
      </c>
      <c r="E2372" s="209" t="s">
        <v>1431</v>
      </c>
      <c r="F2372" s="209" t="s">
        <v>21</v>
      </c>
      <c r="G2372" s="213" t="s">
        <v>821</v>
      </c>
      <c r="H2372" s="211" t="s">
        <v>3936</v>
      </c>
      <c r="I2372" s="156" t="s">
        <v>26</v>
      </c>
      <c r="J2372" s="209" t="s">
        <v>468</v>
      </c>
      <c r="K2372" s="211"/>
    </row>
    <row r="2373" spans="1:11" ht="33.75">
      <c r="A2373" s="204">
        <v>2371</v>
      </c>
      <c r="B2373" s="205">
        <v>46036</v>
      </c>
      <c r="C2373" s="267" t="s">
        <v>823</v>
      </c>
      <c r="D2373" s="204">
        <v>2026</v>
      </c>
      <c r="E2373" s="204" t="s">
        <v>2224</v>
      </c>
      <c r="F2373" s="204" t="s">
        <v>21</v>
      </c>
      <c r="G2373" s="213" t="s">
        <v>821</v>
      </c>
      <c r="H2373" s="207" t="s">
        <v>3937</v>
      </c>
      <c r="I2373" s="156" t="s">
        <v>26</v>
      </c>
      <c r="J2373" s="204" t="s">
        <v>468</v>
      </c>
      <c r="K2373" s="207"/>
    </row>
    <row r="2374" spans="1:11" ht="66.75">
      <c r="A2374" s="204">
        <v>2372</v>
      </c>
      <c r="B2374" s="208">
        <v>46036</v>
      </c>
      <c r="C2374" s="267" t="s">
        <v>823</v>
      </c>
      <c r="D2374" s="204">
        <v>2026</v>
      </c>
      <c r="E2374" s="209" t="s">
        <v>2224</v>
      </c>
      <c r="F2374" s="209" t="s">
        <v>21</v>
      </c>
      <c r="G2374" s="210" t="s">
        <v>88</v>
      </c>
      <c r="H2374" s="211" t="s">
        <v>3938</v>
      </c>
      <c r="I2374" s="156" t="s">
        <v>26</v>
      </c>
      <c r="J2374" s="209" t="s">
        <v>2735</v>
      </c>
      <c r="K2374" s="211"/>
    </row>
    <row r="2375" spans="1:11" ht="117">
      <c r="A2375" s="204">
        <v>2373</v>
      </c>
      <c r="B2375" s="205">
        <v>46036</v>
      </c>
      <c r="C2375" s="267" t="s">
        <v>823</v>
      </c>
      <c r="D2375" s="204">
        <v>2026</v>
      </c>
      <c r="E2375" s="204" t="s">
        <v>2224</v>
      </c>
      <c r="F2375" s="204" t="s">
        <v>1432</v>
      </c>
      <c r="G2375" s="206" t="s">
        <v>88</v>
      </c>
      <c r="H2375" s="207" t="s">
        <v>3939</v>
      </c>
      <c r="I2375" s="156" t="s">
        <v>26</v>
      </c>
      <c r="J2375" s="204" t="s">
        <v>158</v>
      </c>
      <c r="K2375" s="207" t="s">
        <v>1437</v>
      </c>
    </row>
    <row r="2376" spans="1:11" ht="33.75">
      <c r="A2376" s="204">
        <v>2374</v>
      </c>
      <c r="B2376" s="208">
        <v>46036</v>
      </c>
      <c r="C2376" s="267" t="s">
        <v>823</v>
      </c>
      <c r="D2376" s="204">
        <v>2026</v>
      </c>
      <c r="E2376" s="209" t="s">
        <v>1431</v>
      </c>
      <c r="F2376" s="209" t="s">
        <v>3011</v>
      </c>
      <c r="G2376" s="210" t="s">
        <v>88</v>
      </c>
      <c r="H2376" s="211" t="s">
        <v>3940</v>
      </c>
      <c r="I2376" s="156" t="s">
        <v>26</v>
      </c>
      <c r="J2376" s="209" t="s">
        <v>3839</v>
      </c>
      <c r="K2376" s="211"/>
    </row>
    <row r="2377" spans="1:11" ht="50.25">
      <c r="A2377" s="204">
        <v>2375</v>
      </c>
      <c r="B2377" s="205">
        <v>46036</v>
      </c>
      <c r="C2377" s="267" t="s">
        <v>823</v>
      </c>
      <c r="D2377" s="204">
        <v>2026</v>
      </c>
      <c r="E2377" s="204" t="s">
        <v>1431</v>
      </c>
      <c r="F2377" s="204" t="s">
        <v>3636</v>
      </c>
      <c r="G2377" s="212" t="s">
        <v>1439</v>
      </c>
      <c r="H2377" s="207" t="s">
        <v>3941</v>
      </c>
      <c r="I2377" s="156" t="s">
        <v>26</v>
      </c>
      <c r="J2377" s="204" t="s">
        <v>3421</v>
      </c>
      <c r="K2377" s="207"/>
    </row>
    <row r="2378" spans="1:11" ht="50.25">
      <c r="A2378" s="204">
        <v>2376</v>
      </c>
      <c r="B2378" s="208">
        <v>46036</v>
      </c>
      <c r="C2378" s="267" t="s">
        <v>823</v>
      </c>
      <c r="D2378" s="204">
        <v>2026</v>
      </c>
      <c r="E2378" s="209" t="s">
        <v>1431</v>
      </c>
      <c r="F2378" s="209" t="s">
        <v>21</v>
      </c>
      <c r="G2378" s="217" t="s">
        <v>859</v>
      </c>
      <c r="H2378" s="211" t="s">
        <v>3942</v>
      </c>
      <c r="I2378" s="156" t="s">
        <v>26</v>
      </c>
      <c r="J2378" s="209" t="s">
        <v>910</v>
      </c>
      <c r="K2378" s="211"/>
    </row>
    <row r="2379" spans="1:11" ht="84">
      <c r="A2379" s="204">
        <v>2377</v>
      </c>
      <c r="B2379" s="205">
        <v>46036</v>
      </c>
      <c r="C2379" s="267" t="s">
        <v>823</v>
      </c>
      <c r="D2379" s="204">
        <v>2026</v>
      </c>
      <c r="E2379" s="204" t="s">
        <v>1431</v>
      </c>
      <c r="F2379" s="204" t="s">
        <v>1506</v>
      </c>
      <c r="G2379" s="206" t="s">
        <v>88</v>
      </c>
      <c r="H2379" s="207" t="s">
        <v>3943</v>
      </c>
      <c r="I2379" s="156" t="s">
        <v>26</v>
      </c>
      <c r="J2379" s="204" t="s">
        <v>1904</v>
      </c>
      <c r="K2379" s="207" t="s">
        <v>1500</v>
      </c>
    </row>
    <row r="2380" spans="1:11" ht="100.5">
      <c r="A2380" s="204">
        <v>2378</v>
      </c>
      <c r="B2380" s="208">
        <v>46036</v>
      </c>
      <c r="C2380" s="267" t="s">
        <v>823</v>
      </c>
      <c r="D2380" s="204">
        <v>2026</v>
      </c>
      <c r="E2380" s="209" t="s">
        <v>1431</v>
      </c>
      <c r="F2380" s="209" t="s">
        <v>1566</v>
      </c>
      <c r="G2380" s="210" t="s">
        <v>88</v>
      </c>
      <c r="H2380" s="211" t="s">
        <v>3944</v>
      </c>
      <c r="I2380" s="156" t="s">
        <v>26</v>
      </c>
      <c r="J2380" s="209" t="s">
        <v>1453</v>
      </c>
      <c r="K2380" s="211" t="s">
        <v>1478</v>
      </c>
    </row>
    <row r="2381" spans="1:11" ht="100.5">
      <c r="A2381" s="204">
        <v>2379</v>
      </c>
      <c r="B2381" s="205">
        <v>46036</v>
      </c>
      <c r="C2381" s="267" t="s">
        <v>823</v>
      </c>
      <c r="D2381" s="204">
        <v>2026</v>
      </c>
      <c r="E2381" s="204" t="s">
        <v>3881</v>
      </c>
      <c r="F2381" s="204" t="s">
        <v>97</v>
      </c>
      <c r="G2381" s="213" t="s">
        <v>821</v>
      </c>
      <c r="H2381" s="207" t="s">
        <v>3945</v>
      </c>
      <c r="I2381" s="156" t="s">
        <v>26</v>
      </c>
      <c r="J2381" s="204" t="s">
        <v>3883</v>
      </c>
      <c r="K2381" s="207" t="s">
        <v>1448</v>
      </c>
    </row>
    <row r="2382" spans="1:11" ht="33.75">
      <c r="A2382" s="204">
        <v>2380</v>
      </c>
      <c r="B2382" s="208">
        <v>46036</v>
      </c>
      <c r="C2382" s="267" t="s">
        <v>823</v>
      </c>
      <c r="D2382" s="204">
        <v>2026</v>
      </c>
      <c r="E2382" s="209" t="s">
        <v>3881</v>
      </c>
      <c r="F2382" s="209" t="s">
        <v>3946</v>
      </c>
      <c r="G2382" s="210" t="s">
        <v>88</v>
      </c>
      <c r="H2382" s="211" t="s">
        <v>3947</v>
      </c>
      <c r="I2382" s="156" t="s">
        <v>26</v>
      </c>
      <c r="J2382" s="209" t="s">
        <v>3883</v>
      </c>
      <c r="K2382" s="211"/>
    </row>
    <row r="2383" spans="1:11" ht="100.5">
      <c r="A2383" s="204">
        <v>2381</v>
      </c>
      <c r="B2383" s="205">
        <v>46037</v>
      </c>
      <c r="C2383" s="267" t="s">
        <v>823</v>
      </c>
      <c r="D2383" s="204">
        <v>2026</v>
      </c>
      <c r="E2383" s="204" t="s">
        <v>1431</v>
      </c>
      <c r="F2383" s="204" t="s">
        <v>3011</v>
      </c>
      <c r="G2383" s="214" t="s">
        <v>859</v>
      </c>
      <c r="H2383" s="207" t="s">
        <v>3948</v>
      </c>
      <c r="I2383" s="156" t="s">
        <v>26</v>
      </c>
      <c r="J2383" s="204" t="s">
        <v>3839</v>
      </c>
      <c r="K2383" s="207" t="s">
        <v>1476</v>
      </c>
    </row>
    <row r="2384" spans="1:11" ht="66.75">
      <c r="A2384" s="204">
        <v>2382</v>
      </c>
      <c r="B2384" s="208">
        <v>46037</v>
      </c>
      <c r="C2384" s="267" t="s">
        <v>823</v>
      </c>
      <c r="D2384" s="204">
        <v>2026</v>
      </c>
      <c r="E2384" s="209" t="s">
        <v>1431</v>
      </c>
      <c r="F2384" s="209" t="s">
        <v>3011</v>
      </c>
      <c r="G2384" s="217" t="s">
        <v>859</v>
      </c>
      <c r="H2384" s="211" t="s">
        <v>3949</v>
      </c>
      <c r="I2384" s="156" t="s">
        <v>26</v>
      </c>
      <c r="J2384" s="209" t="s">
        <v>3839</v>
      </c>
      <c r="K2384" s="211"/>
    </row>
    <row r="2385" spans="1:11" ht="117">
      <c r="A2385" s="204">
        <v>2383</v>
      </c>
      <c r="B2385" s="205">
        <v>46037</v>
      </c>
      <c r="C2385" s="267" t="s">
        <v>823</v>
      </c>
      <c r="D2385" s="204">
        <v>2026</v>
      </c>
      <c r="E2385" s="204" t="s">
        <v>1431</v>
      </c>
      <c r="F2385" s="204" t="s">
        <v>3950</v>
      </c>
      <c r="G2385" s="206" t="s">
        <v>88</v>
      </c>
      <c r="H2385" s="207" t="s">
        <v>3951</v>
      </c>
      <c r="I2385" s="156" t="s">
        <v>26</v>
      </c>
      <c r="J2385" s="204" t="s">
        <v>3852</v>
      </c>
      <c r="K2385" s="207" t="s">
        <v>1522</v>
      </c>
    </row>
    <row r="2386" spans="1:11" ht="84">
      <c r="A2386" s="204">
        <v>2384</v>
      </c>
      <c r="B2386" s="208">
        <v>46037</v>
      </c>
      <c r="C2386" s="267" t="s">
        <v>823</v>
      </c>
      <c r="D2386" s="204">
        <v>2026</v>
      </c>
      <c r="E2386" s="209" t="s">
        <v>1431</v>
      </c>
      <c r="F2386" s="209" t="s">
        <v>1506</v>
      </c>
      <c r="G2386" s="210" t="s">
        <v>88</v>
      </c>
      <c r="H2386" s="211" t="s">
        <v>3952</v>
      </c>
      <c r="I2386" s="156" t="s">
        <v>26</v>
      </c>
      <c r="J2386" s="209" t="s">
        <v>1493</v>
      </c>
      <c r="K2386" s="211" t="s">
        <v>1500</v>
      </c>
    </row>
    <row r="2387" spans="1:11" ht="33.75">
      <c r="A2387" s="204">
        <v>2385</v>
      </c>
      <c r="B2387" s="205">
        <v>46037</v>
      </c>
      <c r="C2387" s="267" t="s">
        <v>823</v>
      </c>
      <c r="D2387" s="204">
        <v>2026</v>
      </c>
      <c r="E2387" s="204" t="s">
        <v>1431</v>
      </c>
      <c r="F2387" s="204" t="s">
        <v>3636</v>
      </c>
      <c r="G2387" s="212" t="s">
        <v>1439</v>
      </c>
      <c r="H2387" s="207" t="s">
        <v>3953</v>
      </c>
      <c r="I2387" s="156" t="s">
        <v>26</v>
      </c>
      <c r="J2387" s="204" t="s">
        <v>3421</v>
      </c>
      <c r="K2387" s="207"/>
    </row>
    <row r="2388" spans="1:11" ht="66.75">
      <c r="A2388" s="204">
        <v>2386</v>
      </c>
      <c r="B2388" s="208">
        <v>46037</v>
      </c>
      <c r="C2388" s="267" t="s">
        <v>823</v>
      </c>
      <c r="D2388" s="204">
        <v>2026</v>
      </c>
      <c r="E2388" s="209" t="s">
        <v>1431</v>
      </c>
      <c r="F2388" s="209" t="s">
        <v>1518</v>
      </c>
      <c r="G2388" s="210" t="s">
        <v>88</v>
      </c>
      <c r="H2388" s="211" t="s">
        <v>3954</v>
      </c>
      <c r="I2388" s="156" t="s">
        <v>26</v>
      </c>
      <c r="J2388" s="209" t="s">
        <v>1436</v>
      </c>
      <c r="K2388" s="211"/>
    </row>
    <row r="2389" spans="1:11" ht="100.5">
      <c r="A2389" s="204">
        <v>2387</v>
      </c>
      <c r="B2389" s="205">
        <v>46037</v>
      </c>
      <c r="C2389" s="267" t="s">
        <v>823</v>
      </c>
      <c r="D2389" s="204">
        <v>2026</v>
      </c>
      <c r="E2389" s="204" t="s">
        <v>1431</v>
      </c>
      <c r="F2389" s="204" t="s">
        <v>1449</v>
      </c>
      <c r="G2389" s="214" t="s">
        <v>859</v>
      </c>
      <c r="H2389" s="207" t="s">
        <v>3955</v>
      </c>
      <c r="I2389" s="156" t="s">
        <v>26</v>
      </c>
      <c r="J2389" s="204" t="s">
        <v>2593</v>
      </c>
      <c r="K2389" s="207" t="s">
        <v>1476</v>
      </c>
    </row>
    <row r="2390" spans="1:11" ht="84">
      <c r="A2390" s="204">
        <v>2388</v>
      </c>
      <c r="B2390" s="208">
        <v>46037</v>
      </c>
      <c r="C2390" s="267" t="s">
        <v>823</v>
      </c>
      <c r="D2390" s="204">
        <v>2026</v>
      </c>
      <c r="E2390" s="209" t="s">
        <v>1431</v>
      </c>
      <c r="F2390" s="209" t="s">
        <v>1449</v>
      </c>
      <c r="G2390" s="210" t="s">
        <v>88</v>
      </c>
      <c r="H2390" s="211" t="s">
        <v>3956</v>
      </c>
      <c r="I2390" s="156" t="s">
        <v>26</v>
      </c>
      <c r="J2390" s="209" t="s">
        <v>2593</v>
      </c>
      <c r="K2390" s="211" t="s">
        <v>1444</v>
      </c>
    </row>
    <row r="2391" spans="1:11" ht="50.25">
      <c r="A2391" s="204">
        <v>2389</v>
      </c>
      <c r="B2391" s="205">
        <v>46037</v>
      </c>
      <c r="C2391" s="267" t="s">
        <v>823</v>
      </c>
      <c r="D2391" s="204">
        <v>2026</v>
      </c>
      <c r="E2391" s="204" t="s">
        <v>1431</v>
      </c>
      <c r="F2391" s="204" t="s">
        <v>1449</v>
      </c>
      <c r="G2391" s="213" t="s">
        <v>821</v>
      </c>
      <c r="H2391" s="207" t="s">
        <v>3957</v>
      </c>
      <c r="I2391" s="156" t="s">
        <v>26</v>
      </c>
      <c r="J2391" s="204" t="s">
        <v>2593</v>
      </c>
      <c r="K2391" s="207"/>
    </row>
    <row r="2392" spans="1:11" ht="33.75">
      <c r="A2392" s="204">
        <v>2390</v>
      </c>
      <c r="B2392" s="208">
        <v>46037</v>
      </c>
      <c r="C2392" s="267" t="s">
        <v>823</v>
      </c>
      <c r="D2392" s="204">
        <v>2026</v>
      </c>
      <c r="E2392" s="209" t="s">
        <v>1431</v>
      </c>
      <c r="F2392" s="209" t="s">
        <v>1449</v>
      </c>
      <c r="G2392" s="216" t="s">
        <v>872</v>
      </c>
      <c r="H2392" s="211" t="s">
        <v>3958</v>
      </c>
      <c r="I2392" s="156" t="s">
        <v>26</v>
      </c>
      <c r="J2392" s="209" t="s">
        <v>2593</v>
      </c>
      <c r="K2392" s="211"/>
    </row>
    <row r="2393" spans="1:11" ht="84">
      <c r="A2393" s="204">
        <v>2391</v>
      </c>
      <c r="B2393" s="205">
        <v>46037</v>
      </c>
      <c r="C2393" s="267" t="s">
        <v>823</v>
      </c>
      <c r="D2393" s="204">
        <v>2026</v>
      </c>
      <c r="E2393" s="204" t="s">
        <v>1431</v>
      </c>
      <c r="F2393" s="204" t="s">
        <v>1449</v>
      </c>
      <c r="G2393" s="206" t="s">
        <v>88</v>
      </c>
      <c r="H2393" s="207" t="s">
        <v>3959</v>
      </c>
      <c r="I2393" s="156" t="s">
        <v>26</v>
      </c>
      <c r="J2393" s="204" t="s">
        <v>2593</v>
      </c>
      <c r="K2393" s="207" t="s">
        <v>1444</v>
      </c>
    </row>
    <row r="2394" spans="1:11" ht="100.5">
      <c r="A2394" s="204">
        <v>2392</v>
      </c>
      <c r="B2394" s="208">
        <v>46037</v>
      </c>
      <c r="C2394" s="267" t="s">
        <v>823</v>
      </c>
      <c r="D2394" s="204">
        <v>2026</v>
      </c>
      <c r="E2394" s="209" t="s">
        <v>2224</v>
      </c>
      <c r="F2394" s="209" t="s">
        <v>1580</v>
      </c>
      <c r="G2394" s="212" t="s">
        <v>1439</v>
      </c>
      <c r="H2394" s="211" t="s">
        <v>3960</v>
      </c>
      <c r="I2394" s="156" t="s">
        <v>26</v>
      </c>
      <c r="J2394" s="209" t="s">
        <v>2568</v>
      </c>
      <c r="K2394" s="211" t="s">
        <v>1502</v>
      </c>
    </row>
    <row r="2395" spans="1:11" ht="33.75">
      <c r="A2395" s="204">
        <v>2393</v>
      </c>
      <c r="B2395" s="205">
        <v>46037</v>
      </c>
      <c r="C2395" s="267" t="s">
        <v>823</v>
      </c>
      <c r="D2395" s="204">
        <v>2026</v>
      </c>
      <c r="E2395" s="204" t="s">
        <v>2224</v>
      </c>
      <c r="F2395" s="204" t="s">
        <v>1449</v>
      </c>
      <c r="G2395" s="213" t="s">
        <v>821</v>
      </c>
      <c r="H2395" s="207" t="s">
        <v>3961</v>
      </c>
      <c r="I2395" s="156" t="s">
        <v>26</v>
      </c>
      <c r="J2395" s="204" t="s">
        <v>2593</v>
      </c>
      <c r="K2395" s="207"/>
    </row>
    <row r="2396" spans="1:11" ht="84">
      <c r="A2396" s="204">
        <v>2394</v>
      </c>
      <c r="B2396" s="208">
        <v>46037</v>
      </c>
      <c r="C2396" s="267" t="s">
        <v>823</v>
      </c>
      <c r="D2396" s="204">
        <v>2026</v>
      </c>
      <c r="E2396" s="209" t="s">
        <v>2224</v>
      </c>
      <c r="F2396" s="209" t="s">
        <v>1449</v>
      </c>
      <c r="G2396" s="210" t="s">
        <v>88</v>
      </c>
      <c r="H2396" s="211" t="s">
        <v>3962</v>
      </c>
      <c r="I2396" s="156" t="s">
        <v>26</v>
      </c>
      <c r="J2396" s="209" t="s">
        <v>2593</v>
      </c>
      <c r="K2396" s="211"/>
    </row>
    <row r="2397" spans="1:11" ht="66.75">
      <c r="A2397" s="204">
        <v>2395</v>
      </c>
      <c r="B2397" s="205">
        <v>46037</v>
      </c>
      <c r="C2397" s="267" t="s">
        <v>823</v>
      </c>
      <c r="D2397" s="204">
        <v>2026</v>
      </c>
      <c r="E2397" s="204" t="s">
        <v>2224</v>
      </c>
      <c r="F2397" s="204" t="s">
        <v>1566</v>
      </c>
      <c r="G2397" s="206" t="s">
        <v>88</v>
      </c>
      <c r="H2397" s="207" t="s">
        <v>3963</v>
      </c>
      <c r="I2397" s="156" t="s">
        <v>26</v>
      </c>
      <c r="J2397" s="204" t="s">
        <v>2640</v>
      </c>
      <c r="K2397" s="207" t="s">
        <v>1548</v>
      </c>
    </row>
    <row r="2398" spans="1:11" ht="50.25">
      <c r="A2398" s="204">
        <v>2396</v>
      </c>
      <c r="B2398" s="208">
        <v>46038</v>
      </c>
      <c r="C2398" s="267" t="s">
        <v>823</v>
      </c>
      <c r="D2398" s="204">
        <v>2026</v>
      </c>
      <c r="E2398" s="209" t="s">
        <v>1431</v>
      </c>
      <c r="F2398" s="209" t="s">
        <v>3011</v>
      </c>
      <c r="G2398" s="210" t="s">
        <v>88</v>
      </c>
      <c r="H2398" s="211" t="s">
        <v>3964</v>
      </c>
      <c r="I2398" s="156" t="s">
        <v>26</v>
      </c>
      <c r="J2398" s="209" t="s">
        <v>452</v>
      </c>
      <c r="K2398" s="211"/>
    </row>
    <row r="2399" spans="1:11" ht="100.5">
      <c r="A2399" s="204">
        <v>2397</v>
      </c>
      <c r="B2399" s="205">
        <v>46038</v>
      </c>
      <c r="C2399" s="267" t="s">
        <v>823</v>
      </c>
      <c r="D2399" s="204">
        <v>2026</v>
      </c>
      <c r="E2399" s="204" t="s">
        <v>1431</v>
      </c>
      <c r="F2399" s="204" t="s">
        <v>2595</v>
      </c>
      <c r="G2399" s="206" t="s">
        <v>88</v>
      </c>
      <c r="H2399" s="207" t="s">
        <v>3965</v>
      </c>
      <c r="I2399" s="156" t="s">
        <v>26</v>
      </c>
      <c r="J2399" s="204" t="s">
        <v>578</v>
      </c>
      <c r="K2399" s="207" t="s">
        <v>1472</v>
      </c>
    </row>
    <row r="2400" spans="1:11" ht="66.75">
      <c r="A2400" s="204">
        <v>2398</v>
      </c>
      <c r="B2400" s="208">
        <v>46038</v>
      </c>
      <c r="C2400" s="267" t="s">
        <v>823</v>
      </c>
      <c r="D2400" s="204">
        <v>2026</v>
      </c>
      <c r="E2400" s="209" t="s">
        <v>1431</v>
      </c>
      <c r="F2400" s="209" t="s">
        <v>3011</v>
      </c>
      <c r="G2400" s="210" t="s">
        <v>88</v>
      </c>
      <c r="H2400" s="211" t="s">
        <v>3966</v>
      </c>
      <c r="I2400" s="156" t="s">
        <v>26</v>
      </c>
      <c r="J2400" s="209" t="s">
        <v>3836</v>
      </c>
      <c r="K2400" s="211"/>
    </row>
    <row r="2401" spans="1:11" ht="84">
      <c r="A2401" s="204">
        <v>2399</v>
      </c>
      <c r="B2401" s="205">
        <v>46038</v>
      </c>
      <c r="C2401" s="267" t="s">
        <v>823</v>
      </c>
      <c r="D2401" s="204">
        <v>2026</v>
      </c>
      <c r="E2401" s="204" t="s">
        <v>1431</v>
      </c>
      <c r="F2401" s="204" t="s">
        <v>1449</v>
      </c>
      <c r="G2401" s="206" t="s">
        <v>88</v>
      </c>
      <c r="H2401" s="207" t="s">
        <v>3967</v>
      </c>
      <c r="I2401" s="156" t="s">
        <v>26</v>
      </c>
      <c r="J2401" s="204" t="s">
        <v>3836</v>
      </c>
      <c r="K2401" s="207" t="s">
        <v>1500</v>
      </c>
    </row>
    <row r="2402" spans="1:11" ht="33.75">
      <c r="A2402" s="204">
        <v>2400</v>
      </c>
      <c r="B2402" s="208">
        <v>46038</v>
      </c>
      <c r="C2402" s="267" t="s">
        <v>823</v>
      </c>
      <c r="D2402" s="204">
        <v>2026</v>
      </c>
      <c r="E2402" s="209" t="s">
        <v>1431</v>
      </c>
      <c r="F2402" s="209" t="s">
        <v>3011</v>
      </c>
      <c r="G2402" s="210" t="s">
        <v>88</v>
      </c>
      <c r="H2402" s="211" t="s">
        <v>3968</v>
      </c>
      <c r="I2402" s="156" t="s">
        <v>26</v>
      </c>
      <c r="J2402" s="209" t="s">
        <v>3836</v>
      </c>
      <c r="K2402" s="211"/>
    </row>
    <row r="2403" spans="1:11" ht="100.5">
      <c r="A2403" s="204">
        <v>2401</v>
      </c>
      <c r="B2403" s="205">
        <v>46038</v>
      </c>
      <c r="C2403" s="267" t="s">
        <v>823</v>
      </c>
      <c r="D2403" s="204">
        <v>2026</v>
      </c>
      <c r="E2403" s="204" t="s">
        <v>1431</v>
      </c>
      <c r="F2403" s="204" t="s">
        <v>3011</v>
      </c>
      <c r="G2403" s="214" t="s">
        <v>859</v>
      </c>
      <c r="H2403" s="207" t="s">
        <v>3969</v>
      </c>
      <c r="I2403" s="156" t="s">
        <v>26</v>
      </c>
      <c r="J2403" s="204" t="s">
        <v>3839</v>
      </c>
      <c r="K2403" s="207" t="s">
        <v>1476</v>
      </c>
    </row>
    <row r="2404" spans="1:11" ht="84">
      <c r="A2404" s="204">
        <v>2402</v>
      </c>
      <c r="B2404" s="208">
        <v>46038</v>
      </c>
      <c r="C2404" s="267" t="s">
        <v>823</v>
      </c>
      <c r="D2404" s="204">
        <v>2026</v>
      </c>
      <c r="E2404" s="209" t="s">
        <v>1431</v>
      </c>
      <c r="F2404" s="209" t="s">
        <v>2595</v>
      </c>
      <c r="G2404" s="217" t="s">
        <v>859</v>
      </c>
      <c r="H2404" s="211" t="s">
        <v>3970</v>
      </c>
      <c r="I2404" s="156" t="s">
        <v>26</v>
      </c>
      <c r="J2404" s="209" t="s">
        <v>3516</v>
      </c>
      <c r="K2404" s="211"/>
    </row>
    <row r="2405" spans="1:11" ht="117">
      <c r="A2405" s="204">
        <v>2403</v>
      </c>
      <c r="B2405" s="205">
        <v>46038</v>
      </c>
      <c r="C2405" s="267" t="s">
        <v>823</v>
      </c>
      <c r="D2405" s="204">
        <v>2026</v>
      </c>
      <c r="E2405" s="204" t="s">
        <v>1431</v>
      </c>
      <c r="F2405" s="204" t="s">
        <v>1504</v>
      </c>
      <c r="G2405" s="213" t="s">
        <v>821</v>
      </c>
      <c r="H2405" s="207" t="s">
        <v>3971</v>
      </c>
      <c r="I2405" s="156" t="s">
        <v>26</v>
      </c>
      <c r="J2405" s="204" t="s">
        <v>3516</v>
      </c>
      <c r="K2405" s="207" t="s">
        <v>1446</v>
      </c>
    </row>
    <row r="2406" spans="1:11" ht="33.75">
      <c r="A2406" s="204">
        <v>2404</v>
      </c>
      <c r="B2406" s="208">
        <v>46038</v>
      </c>
      <c r="C2406" s="267" t="s">
        <v>823</v>
      </c>
      <c r="D2406" s="204">
        <v>2026</v>
      </c>
      <c r="E2406" s="209" t="s">
        <v>1431</v>
      </c>
      <c r="F2406" s="209" t="s">
        <v>216</v>
      </c>
      <c r="G2406" s="213" t="s">
        <v>821</v>
      </c>
      <c r="H2406" s="211" t="s">
        <v>3972</v>
      </c>
      <c r="I2406" s="156" t="s">
        <v>26</v>
      </c>
      <c r="J2406" s="209" t="s">
        <v>3600</v>
      </c>
      <c r="K2406" s="211"/>
    </row>
    <row r="2407" spans="1:11" ht="100.5">
      <c r="A2407" s="204">
        <v>2405</v>
      </c>
      <c r="B2407" s="205">
        <v>46038</v>
      </c>
      <c r="C2407" s="267" t="s">
        <v>823</v>
      </c>
      <c r="D2407" s="204">
        <v>2026</v>
      </c>
      <c r="E2407" s="204" t="s">
        <v>1431</v>
      </c>
      <c r="F2407" s="204" t="s">
        <v>97</v>
      </c>
      <c r="G2407" s="213" t="s">
        <v>821</v>
      </c>
      <c r="H2407" s="207" t="s">
        <v>3973</v>
      </c>
      <c r="I2407" s="156" t="s">
        <v>26</v>
      </c>
      <c r="J2407" s="204" t="s">
        <v>158</v>
      </c>
      <c r="K2407" s="207" t="s">
        <v>1448</v>
      </c>
    </row>
    <row r="2408" spans="1:11" ht="50.25">
      <c r="A2408" s="204">
        <v>2406</v>
      </c>
      <c r="B2408" s="208">
        <v>46038</v>
      </c>
      <c r="C2408" s="267" t="s">
        <v>823</v>
      </c>
      <c r="D2408" s="204">
        <v>2026</v>
      </c>
      <c r="E2408" s="209" t="s">
        <v>1431</v>
      </c>
      <c r="F2408" s="209" t="s">
        <v>97</v>
      </c>
      <c r="G2408" s="210" t="s">
        <v>88</v>
      </c>
      <c r="H2408" s="211" t="s">
        <v>3974</v>
      </c>
      <c r="I2408" s="156" t="s">
        <v>26</v>
      </c>
      <c r="J2408" s="209" t="s">
        <v>158</v>
      </c>
      <c r="K2408" s="211"/>
    </row>
    <row r="2409" spans="1:11" ht="117">
      <c r="A2409" s="204">
        <v>2407</v>
      </c>
      <c r="B2409" s="205">
        <v>46038</v>
      </c>
      <c r="C2409" s="267" t="s">
        <v>823</v>
      </c>
      <c r="D2409" s="204">
        <v>2026</v>
      </c>
      <c r="E2409" s="204" t="s">
        <v>1431</v>
      </c>
      <c r="F2409" s="204" t="s">
        <v>2585</v>
      </c>
      <c r="G2409" s="206" t="s">
        <v>88</v>
      </c>
      <c r="H2409" s="207" t="s">
        <v>3975</v>
      </c>
      <c r="I2409" s="156" t="s">
        <v>26</v>
      </c>
      <c r="J2409" s="204" t="s">
        <v>452</v>
      </c>
      <c r="K2409" s="207" t="s">
        <v>1522</v>
      </c>
    </row>
    <row r="2410" spans="1:11" ht="50.25">
      <c r="A2410" s="204">
        <v>2408</v>
      </c>
      <c r="B2410" s="208">
        <v>46038</v>
      </c>
      <c r="C2410" s="267" t="s">
        <v>823</v>
      </c>
      <c r="D2410" s="204">
        <v>2026</v>
      </c>
      <c r="E2410" s="209" t="s">
        <v>1431</v>
      </c>
      <c r="F2410" s="209" t="s">
        <v>1449</v>
      </c>
      <c r="G2410" s="210" t="s">
        <v>88</v>
      </c>
      <c r="H2410" s="211" t="s">
        <v>3976</v>
      </c>
      <c r="I2410" s="156" t="s">
        <v>26</v>
      </c>
      <c r="J2410" s="209" t="s">
        <v>2593</v>
      </c>
      <c r="K2410" s="211"/>
    </row>
    <row r="2411" spans="1:11" ht="100.5">
      <c r="A2411" s="204">
        <v>2409</v>
      </c>
      <c r="B2411" s="205">
        <v>46038</v>
      </c>
      <c r="C2411" s="267" t="s">
        <v>823</v>
      </c>
      <c r="D2411" s="204">
        <v>2026</v>
      </c>
      <c r="E2411" s="204" t="s">
        <v>1431</v>
      </c>
      <c r="F2411" s="204" t="s">
        <v>1566</v>
      </c>
      <c r="G2411" s="206" t="s">
        <v>88</v>
      </c>
      <c r="H2411" s="207" t="s">
        <v>3977</v>
      </c>
      <c r="I2411" s="156" t="s">
        <v>26</v>
      </c>
      <c r="J2411" s="204" t="s">
        <v>1453</v>
      </c>
      <c r="K2411" s="207" t="s">
        <v>1478</v>
      </c>
    </row>
    <row r="2412" spans="1:11" ht="100.5">
      <c r="A2412" s="204">
        <v>2410</v>
      </c>
      <c r="B2412" s="208">
        <v>46038</v>
      </c>
      <c r="C2412" s="267" t="s">
        <v>823</v>
      </c>
      <c r="D2412" s="204">
        <v>2026</v>
      </c>
      <c r="E2412" s="209" t="s">
        <v>3886</v>
      </c>
      <c r="F2412" s="209" t="s">
        <v>97</v>
      </c>
      <c r="G2412" s="213" t="s">
        <v>821</v>
      </c>
      <c r="H2412" s="211" t="s">
        <v>3978</v>
      </c>
      <c r="I2412" s="156" t="s">
        <v>26</v>
      </c>
      <c r="J2412" s="209" t="s">
        <v>3883</v>
      </c>
      <c r="K2412" s="211" t="s">
        <v>1448</v>
      </c>
    </row>
    <row r="2413" spans="1:11" ht="33.75">
      <c r="A2413" s="204">
        <v>2411</v>
      </c>
      <c r="B2413" s="205">
        <v>46038</v>
      </c>
      <c r="C2413" s="267" t="s">
        <v>823</v>
      </c>
      <c r="D2413" s="204">
        <v>2026</v>
      </c>
      <c r="E2413" s="204" t="s">
        <v>2224</v>
      </c>
      <c r="F2413" s="204" t="s">
        <v>21</v>
      </c>
      <c r="G2413" s="213" t="s">
        <v>821</v>
      </c>
      <c r="H2413" s="207" t="s">
        <v>3979</v>
      </c>
      <c r="I2413" s="156" t="s">
        <v>26</v>
      </c>
      <c r="J2413" s="204" t="s">
        <v>468</v>
      </c>
      <c r="K2413" s="207"/>
    </row>
    <row r="2414" spans="1:11" ht="100.5">
      <c r="A2414" s="204">
        <v>2412</v>
      </c>
      <c r="B2414" s="208">
        <v>46041</v>
      </c>
      <c r="C2414" s="267" t="s">
        <v>823</v>
      </c>
      <c r="D2414" s="204">
        <v>2026</v>
      </c>
      <c r="E2414" s="209" t="s">
        <v>1431</v>
      </c>
      <c r="F2414" s="209" t="s">
        <v>2585</v>
      </c>
      <c r="G2414" s="210" t="s">
        <v>88</v>
      </c>
      <c r="H2414" s="211" t="s">
        <v>3980</v>
      </c>
      <c r="I2414" s="156" t="s">
        <v>26</v>
      </c>
      <c r="J2414" s="209" t="s">
        <v>452</v>
      </c>
      <c r="K2414" s="211" t="s">
        <v>1486</v>
      </c>
    </row>
    <row r="2415" spans="1:11" ht="117">
      <c r="A2415" s="204">
        <v>2413</v>
      </c>
      <c r="B2415" s="205">
        <v>46041</v>
      </c>
      <c r="C2415" s="267" t="s">
        <v>823</v>
      </c>
      <c r="D2415" s="204">
        <v>2026</v>
      </c>
      <c r="E2415" s="204" t="s">
        <v>1431</v>
      </c>
      <c r="F2415" s="204" t="s">
        <v>2585</v>
      </c>
      <c r="G2415" s="206" t="s">
        <v>88</v>
      </c>
      <c r="H2415" s="207" t="s">
        <v>3811</v>
      </c>
      <c r="I2415" s="156" t="s">
        <v>26</v>
      </c>
      <c r="J2415" s="204" t="s">
        <v>1493</v>
      </c>
      <c r="K2415" s="207" t="s">
        <v>1522</v>
      </c>
    </row>
    <row r="2416" spans="1:11" ht="117">
      <c r="A2416" s="204">
        <v>2414</v>
      </c>
      <c r="B2416" s="208">
        <v>46041</v>
      </c>
      <c r="C2416" s="267" t="s">
        <v>823</v>
      </c>
      <c r="D2416" s="204">
        <v>2026</v>
      </c>
      <c r="E2416" s="209" t="s">
        <v>1431</v>
      </c>
      <c r="F2416" s="209" t="s">
        <v>21</v>
      </c>
      <c r="G2416" s="210" t="s">
        <v>88</v>
      </c>
      <c r="H2416" s="211" t="s">
        <v>3981</v>
      </c>
      <c r="I2416" s="156" t="s">
        <v>26</v>
      </c>
      <c r="J2416" s="209" t="s">
        <v>3516</v>
      </c>
      <c r="K2416" s="211" t="s">
        <v>1446</v>
      </c>
    </row>
    <row r="2417" spans="1:11" ht="33.75">
      <c r="A2417" s="204">
        <v>2415</v>
      </c>
      <c r="B2417" s="205">
        <v>46041</v>
      </c>
      <c r="C2417" s="267" t="s">
        <v>823</v>
      </c>
      <c r="D2417" s="204">
        <v>2026</v>
      </c>
      <c r="E2417" s="204" t="s">
        <v>1431</v>
      </c>
      <c r="F2417" s="204" t="s">
        <v>1506</v>
      </c>
      <c r="G2417" s="206" t="s">
        <v>88</v>
      </c>
      <c r="H2417" s="207" t="s">
        <v>3982</v>
      </c>
      <c r="I2417" s="156" t="s">
        <v>26</v>
      </c>
      <c r="J2417" s="204" t="s">
        <v>1904</v>
      </c>
      <c r="K2417" s="207"/>
    </row>
    <row r="2418" spans="1:11" ht="33.75">
      <c r="A2418" s="204">
        <v>2416</v>
      </c>
      <c r="B2418" s="208">
        <v>46041</v>
      </c>
      <c r="C2418" s="267" t="s">
        <v>823</v>
      </c>
      <c r="D2418" s="204">
        <v>2026</v>
      </c>
      <c r="E2418" s="209" t="s">
        <v>1431</v>
      </c>
      <c r="F2418" s="209" t="s">
        <v>216</v>
      </c>
      <c r="G2418" s="213" t="s">
        <v>821</v>
      </c>
      <c r="H2418" s="211" t="s">
        <v>3983</v>
      </c>
      <c r="I2418" s="156" t="s">
        <v>26</v>
      </c>
      <c r="J2418" s="209" t="s">
        <v>3600</v>
      </c>
      <c r="K2418" s="211"/>
    </row>
    <row r="2419" spans="1:11" ht="117">
      <c r="A2419" s="204">
        <v>2417</v>
      </c>
      <c r="B2419" s="205">
        <v>46041</v>
      </c>
      <c r="C2419" s="267" t="s">
        <v>823</v>
      </c>
      <c r="D2419" s="204">
        <v>2026</v>
      </c>
      <c r="E2419" s="204" t="s">
        <v>1431</v>
      </c>
      <c r="F2419" s="204" t="s">
        <v>21</v>
      </c>
      <c r="G2419" s="213" t="s">
        <v>821</v>
      </c>
      <c r="H2419" s="207" t="s">
        <v>3984</v>
      </c>
      <c r="I2419" s="156" t="s">
        <v>26</v>
      </c>
      <c r="J2419" s="204" t="s">
        <v>468</v>
      </c>
      <c r="K2419" s="207" t="s">
        <v>1482</v>
      </c>
    </row>
    <row r="2420" spans="1:11" ht="100.5">
      <c r="A2420" s="204">
        <v>2418</v>
      </c>
      <c r="B2420" s="208">
        <v>46041</v>
      </c>
      <c r="C2420" s="267" t="s">
        <v>823</v>
      </c>
      <c r="D2420" s="204">
        <v>2026</v>
      </c>
      <c r="E2420" s="209" t="s">
        <v>1431</v>
      </c>
      <c r="F2420" s="209" t="s">
        <v>97</v>
      </c>
      <c r="G2420" s="213" t="s">
        <v>821</v>
      </c>
      <c r="H2420" s="211" t="s">
        <v>3985</v>
      </c>
      <c r="I2420" s="156" t="s">
        <v>26</v>
      </c>
      <c r="J2420" s="209" t="s">
        <v>158</v>
      </c>
      <c r="K2420" s="211" t="s">
        <v>1448</v>
      </c>
    </row>
    <row r="2421" spans="1:11" ht="50.25">
      <c r="A2421" s="204">
        <v>2419</v>
      </c>
      <c r="B2421" s="205">
        <v>46041</v>
      </c>
      <c r="C2421" s="267" t="s">
        <v>823</v>
      </c>
      <c r="D2421" s="204">
        <v>2026</v>
      </c>
      <c r="E2421" s="204" t="s">
        <v>1431</v>
      </c>
      <c r="F2421" s="204" t="s">
        <v>3986</v>
      </c>
      <c r="G2421" s="206" t="s">
        <v>88</v>
      </c>
      <c r="H2421" s="207" t="s">
        <v>3987</v>
      </c>
      <c r="I2421" s="156" t="s">
        <v>26</v>
      </c>
      <c r="J2421" s="204" t="s">
        <v>3516</v>
      </c>
      <c r="K2421" s="207"/>
    </row>
    <row r="2422" spans="1:11" ht="33.75">
      <c r="A2422" s="204">
        <v>2420</v>
      </c>
      <c r="B2422" s="208">
        <v>46041</v>
      </c>
      <c r="C2422" s="267" t="s">
        <v>823</v>
      </c>
      <c r="D2422" s="204">
        <v>2026</v>
      </c>
      <c r="E2422" s="209" t="s">
        <v>1431</v>
      </c>
      <c r="F2422" s="209" t="s">
        <v>1566</v>
      </c>
      <c r="G2422" s="210" t="s">
        <v>88</v>
      </c>
      <c r="H2422" s="211" t="s">
        <v>3988</v>
      </c>
      <c r="I2422" s="156" t="s">
        <v>26</v>
      </c>
      <c r="J2422" s="209" t="s">
        <v>1453</v>
      </c>
      <c r="K2422" s="211"/>
    </row>
    <row r="2423" spans="1:11" ht="100.5">
      <c r="A2423" s="204">
        <v>2421</v>
      </c>
      <c r="B2423" s="205">
        <v>46041</v>
      </c>
      <c r="C2423" s="267" t="s">
        <v>823</v>
      </c>
      <c r="D2423" s="204">
        <v>2026</v>
      </c>
      <c r="E2423" s="204" t="s">
        <v>1431</v>
      </c>
      <c r="F2423" s="204" t="s">
        <v>1566</v>
      </c>
      <c r="G2423" s="206" t="s">
        <v>88</v>
      </c>
      <c r="H2423" s="207" t="s">
        <v>3989</v>
      </c>
      <c r="I2423" s="156" t="s">
        <v>26</v>
      </c>
      <c r="J2423" s="204" t="s">
        <v>1453</v>
      </c>
      <c r="K2423" s="207" t="s">
        <v>1454</v>
      </c>
    </row>
    <row r="2424" spans="1:11" ht="100.5">
      <c r="A2424" s="204">
        <v>2422</v>
      </c>
      <c r="B2424" s="208">
        <v>46041</v>
      </c>
      <c r="C2424" s="267" t="s">
        <v>823</v>
      </c>
      <c r="D2424" s="204">
        <v>2026</v>
      </c>
      <c r="E2424" s="209" t="s">
        <v>3881</v>
      </c>
      <c r="F2424" s="209" t="s">
        <v>1225</v>
      </c>
      <c r="G2424" s="210" t="s">
        <v>88</v>
      </c>
      <c r="H2424" s="211" t="s">
        <v>3990</v>
      </c>
      <c r="I2424" s="156" t="s">
        <v>26</v>
      </c>
      <c r="J2424" s="209" t="s">
        <v>3883</v>
      </c>
      <c r="K2424" s="211" t="s">
        <v>1486</v>
      </c>
    </row>
    <row r="2425" spans="1:11" ht="100.5">
      <c r="A2425" s="204">
        <v>2423</v>
      </c>
      <c r="B2425" s="205">
        <v>46041</v>
      </c>
      <c r="C2425" s="267" t="s">
        <v>823</v>
      </c>
      <c r="D2425" s="204">
        <v>2026</v>
      </c>
      <c r="E2425" s="204" t="s">
        <v>3881</v>
      </c>
      <c r="F2425" s="204" t="s">
        <v>97</v>
      </c>
      <c r="G2425" s="213" t="s">
        <v>821</v>
      </c>
      <c r="H2425" s="207" t="s">
        <v>3991</v>
      </c>
      <c r="I2425" s="156" t="s">
        <v>26</v>
      </c>
      <c r="J2425" s="204" t="s">
        <v>3883</v>
      </c>
      <c r="K2425" s="207" t="s">
        <v>1448</v>
      </c>
    </row>
    <row r="2426" spans="1:11" ht="33.75">
      <c r="A2426" s="204">
        <v>2424</v>
      </c>
      <c r="B2426" s="208">
        <v>46041</v>
      </c>
      <c r="C2426" s="267" t="s">
        <v>823</v>
      </c>
      <c r="D2426" s="204">
        <v>2026</v>
      </c>
      <c r="E2426" s="209" t="s">
        <v>2224</v>
      </c>
      <c r="F2426" s="209" t="s">
        <v>1449</v>
      </c>
      <c r="G2426" s="210" t="s">
        <v>88</v>
      </c>
      <c r="H2426" s="211" t="s">
        <v>3992</v>
      </c>
      <c r="I2426" s="156" t="s">
        <v>26</v>
      </c>
      <c r="J2426" s="209" t="s">
        <v>2593</v>
      </c>
      <c r="K2426" s="211"/>
    </row>
    <row r="2427" spans="1:11" ht="50.25">
      <c r="A2427" s="204">
        <v>2425</v>
      </c>
      <c r="B2427" s="205">
        <v>46041</v>
      </c>
      <c r="C2427" s="267" t="s">
        <v>823</v>
      </c>
      <c r="D2427" s="204">
        <v>2026</v>
      </c>
      <c r="E2427" s="204" t="s">
        <v>2224</v>
      </c>
      <c r="F2427" s="204" t="s">
        <v>1449</v>
      </c>
      <c r="G2427" s="214" t="s">
        <v>859</v>
      </c>
      <c r="H2427" s="207" t="s">
        <v>3993</v>
      </c>
      <c r="I2427" s="156" t="s">
        <v>26</v>
      </c>
      <c r="J2427" s="204" t="s">
        <v>2593</v>
      </c>
      <c r="K2427" s="207"/>
    </row>
    <row r="2428" spans="1:11" ht="117">
      <c r="A2428" s="204">
        <v>2426</v>
      </c>
      <c r="B2428" s="208">
        <v>46041</v>
      </c>
      <c r="C2428" s="267" t="s">
        <v>823</v>
      </c>
      <c r="D2428" s="204">
        <v>2026</v>
      </c>
      <c r="E2428" s="209" t="s">
        <v>2224</v>
      </c>
      <c r="F2428" s="209" t="s">
        <v>1449</v>
      </c>
      <c r="G2428" s="210" t="s">
        <v>88</v>
      </c>
      <c r="H2428" s="211" t="s">
        <v>3994</v>
      </c>
      <c r="I2428" s="156" t="s">
        <v>26</v>
      </c>
      <c r="J2428" s="209" t="s">
        <v>2593</v>
      </c>
      <c r="K2428" s="211" t="s">
        <v>1559</v>
      </c>
    </row>
    <row r="2429" spans="1:11" ht="50.25">
      <c r="A2429" s="204">
        <v>2427</v>
      </c>
      <c r="B2429" s="205">
        <v>46041</v>
      </c>
      <c r="C2429" s="267" t="s">
        <v>823</v>
      </c>
      <c r="D2429" s="204">
        <v>2026</v>
      </c>
      <c r="E2429" s="204" t="s">
        <v>1431</v>
      </c>
      <c r="F2429" s="204" t="s">
        <v>1449</v>
      </c>
      <c r="G2429" s="206" t="s">
        <v>88</v>
      </c>
      <c r="H2429" s="207" t="s">
        <v>3995</v>
      </c>
      <c r="I2429" s="156" t="s">
        <v>26</v>
      </c>
      <c r="J2429" s="204" t="s">
        <v>2593</v>
      </c>
      <c r="K2429" s="207"/>
    </row>
    <row r="2430" spans="1:11" ht="33.75">
      <c r="A2430" s="204">
        <v>2428</v>
      </c>
      <c r="B2430" s="208">
        <v>46041</v>
      </c>
      <c r="C2430" s="267" t="s">
        <v>823</v>
      </c>
      <c r="D2430" s="204">
        <v>2026</v>
      </c>
      <c r="E2430" s="209" t="s">
        <v>1431</v>
      </c>
      <c r="F2430" s="209" t="s">
        <v>1449</v>
      </c>
      <c r="G2430" s="210" t="s">
        <v>88</v>
      </c>
      <c r="H2430" s="211" t="s">
        <v>3996</v>
      </c>
      <c r="I2430" s="156" t="s">
        <v>26</v>
      </c>
      <c r="J2430" s="209" t="s">
        <v>2593</v>
      </c>
      <c r="K2430" s="211"/>
    </row>
    <row r="2431" spans="1:11" ht="66.75">
      <c r="A2431" s="204">
        <v>2429</v>
      </c>
      <c r="B2431" s="205">
        <v>46041</v>
      </c>
      <c r="C2431" s="267" t="s">
        <v>823</v>
      </c>
      <c r="D2431" s="204">
        <v>2026</v>
      </c>
      <c r="E2431" s="204" t="s">
        <v>1431</v>
      </c>
      <c r="F2431" s="204" t="s">
        <v>1506</v>
      </c>
      <c r="G2431" s="206" t="s">
        <v>88</v>
      </c>
      <c r="H2431" s="207" t="s">
        <v>3997</v>
      </c>
      <c r="I2431" s="156" t="s">
        <v>26</v>
      </c>
      <c r="J2431" s="204" t="s">
        <v>1904</v>
      </c>
      <c r="K2431" s="207"/>
    </row>
    <row r="2432" spans="1:11" ht="117">
      <c r="A2432" s="204">
        <v>2430</v>
      </c>
      <c r="B2432" s="208">
        <v>46041</v>
      </c>
      <c r="C2432" s="267" t="s">
        <v>823</v>
      </c>
      <c r="D2432" s="204">
        <v>2026</v>
      </c>
      <c r="E2432" s="209" t="s">
        <v>1431</v>
      </c>
      <c r="F2432" s="209" t="s">
        <v>2595</v>
      </c>
      <c r="G2432" s="210" t="s">
        <v>88</v>
      </c>
      <c r="H2432" s="211" t="s">
        <v>3998</v>
      </c>
      <c r="I2432" s="156" t="s">
        <v>26</v>
      </c>
      <c r="J2432" s="209" t="s">
        <v>3516</v>
      </c>
      <c r="K2432" s="211" t="s">
        <v>1437</v>
      </c>
    </row>
    <row r="2433" spans="1:11" ht="100.5">
      <c r="A2433" s="204">
        <v>2431</v>
      </c>
      <c r="B2433" s="205">
        <v>46042</v>
      </c>
      <c r="C2433" s="267" t="s">
        <v>823</v>
      </c>
      <c r="D2433" s="204">
        <v>2026</v>
      </c>
      <c r="E2433" s="204" t="s">
        <v>1431</v>
      </c>
      <c r="F2433" s="204" t="s">
        <v>1225</v>
      </c>
      <c r="G2433" s="212" t="s">
        <v>1439</v>
      </c>
      <c r="H2433" s="207" t="s">
        <v>3999</v>
      </c>
      <c r="I2433" s="156" t="s">
        <v>26</v>
      </c>
      <c r="J2433" s="204" t="s">
        <v>4000</v>
      </c>
      <c r="K2433" s="207" t="s">
        <v>1502</v>
      </c>
    </row>
    <row r="2434" spans="1:11" ht="50.25">
      <c r="A2434" s="204">
        <v>2432</v>
      </c>
      <c r="B2434" s="208">
        <v>46042</v>
      </c>
      <c r="C2434" s="267" t="s">
        <v>823</v>
      </c>
      <c r="D2434" s="204">
        <v>2026</v>
      </c>
      <c r="E2434" s="209" t="s">
        <v>1431</v>
      </c>
      <c r="F2434" s="209" t="s">
        <v>3636</v>
      </c>
      <c r="G2434" s="212" t="s">
        <v>1439</v>
      </c>
      <c r="H2434" s="211" t="s">
        <v>4001</v>
      </c>
      <c r="I2434" s="156" t="s">
        <v>26</v>
      </c>
      <c r="J2434" s="209" t="s">
        <v>3421</v>
      </c>
      <c r="K2434" s="211"/>
    </row>
    <row r="2435" spans="1:11" ht="50.25">
      <c r="A2435" s="204">
        <v>2433</v>
      </c>
      <c r="B2435" s="205">
        <v>46042</v>
      </c>
      <c r="C2435" s="267" t="s">
        <v>823</v>
      </c>
      <c r="D2435" s="204">
        <v>2026</v>
      </c>
      <c r="E2435" s="204" t="s">
        <v>1431</v>
      </c>
      <c r="F2435" s="204" t="s">
        <v>1449</v>
      </c>
      <c r="G2435" s="206" t="s">
        <v>88</v>
      </c>
      <c r="H2435" s="207" t="s">
        <v>4002</v>
      </c>
      <c r="I2435" s="156" t="s">
        <v>26</v>
      </c>
      <c r="J2435" s="204" t="s">
        <v>3920</v>
      </c>
      <c r="K2435" s="207"/>
    </row>
    <row r="2436" spans="1:11" ht="50.25">
      <c r="A2436" s="204">
        <v>2434</v>
      </c>
      <c r="B2436" s="208">
        <v>46042</v>
      </c>
      <c r="C2436" s="267" t="s">
        <v>823</v>
      </c>
      <c r="D2436" s="204">
        <v>2026</v>
      </c>
      <c r="E2436" s="209" t="s">
        <v>1431</v>
      </c>
      <c r="F2436" s="209" t="s">
        <v>216</v>
      </c>
      <c r="G2436" s="213" t="s">
        <v>821</v>
      </c>
      <c r="H2436" s="211" t="s">
        <v>4003</v>
      </c>
      <c r="I2436" s="156" t="s">
        <v>26</v>
      </c>
      <c r="J2436" s="209" t="s">
        <v>3600</v>
      </c>
      <c r="K2436" s="211"/>
    </row>
    <row r="2437" spans="1:11" ht="50.25">
      <c r="A2437" s="204">
        <v>2435</v>
      </c>
      <c r="B2437" s="205">
        <v>46042</v>
      </c>
      <c r="C2437" s="267" t="s">
        <v>823</v>
      </c>
      <c r="D2437" s="204">
        <v>2026</v>
      </c>
      <c r="E2437" s="204" t="s">
        <v>1431</v>
      </c>
      <c r="F2437" s="204" t="s">
        <v>1449</v>
      </c>
      <c r="G2437" s="206" t="s">
        <v>88</v>
      </c>
      <c r="H2437" s="207" t="s">
        <v>4004</v>
      </c>
      <c r="I2437" s="156" t="s">
        <v>26</v>
      </c>
      <c r="J2437" s="204" t="s">
        <v>2739</v>
      </c>
      <c r="K2437" s="207"/>
    </row>
    <row r="2438" spans="1:11" ht="100.5">
      <c r="A2438" s="204">
        <v>2436</v>
      </c>
      <c r="B2438" s="208">
        <v>46042</v>
      </c>
      <c r="C2438" s="267" t="s">
        <v>823</v>
      </c>
      <c r="D2438" s="204">
        <v>2026</v>
      </c>
      <c r="E2438" s="209" t="s">
        <v>1431</v>
      </c>
      <c r="F2438" s="209" t="s">
        <v>1566</v>
      </c>
      <c r="G2438" s="210" t="s">
        <v>88</v>
      </c>
      <c r="H2438" s="211" t="s">
        <v>4005</v>
      </c>
      <c r="I2438" s="156" t="s">
        <v>26</v>
      </c>
      <c r="J2438" s="209" t="s">
        <v>1453</v>
      </c>
      <c r="K2438" s="211" t="s">
        <v>1478</v>
      </c>
    </row>
    <row r="2439" spans="1:11" ht="50.25">
      <c r="A2439" s="204">
        <v>2437</v>
      </c>
      <c r="B2439" s="205">
        <v>46042</v>
      </c>
      <c r="C2439" s="267" t="s">
        <v>823</v>
      </c>
      <c r="D2439" s="204">
        <v>2026</v>
      </c>
      <c r="E2439" s="204" t="s">
        <v>2224</v>
      </c>
      <c r="F2439" s="204" t="s">
        <v>2434</v>
      </c>
      <c r="G2439" s="215" t="s">
        <v>872</v>
      </c>
      <c r="H2439" s="207" t="s">
        <v>4006</v>
      </c>
      <c r="I2439" s="156" t="s">
        <v>26</v>
      </c>
      <c r="J2439" s="204" t="s">
        <v>2735</v>
      </c>
      <c r="K2439" s="207"/>
    </row>
    <row r="2440" spans="1:11" ht="117">
      <c r="A2440" s="204">
        <v>2438</v>
      </c>
      <c r="B2440" s="208">
        <v>46042</v>
      </c>
      <c r="C2440" s="267" t="s">
        <v>823</v>
      </c>
      <c r="D2440" s="204">
        <v>2026</v>
      </c>
      <c r="E2440" s="209" t="s">
        <v>2224</v>
      </c>
      <c r="F2440" s="209" t="s">
        <v>1449</v>
      </c>
      <c r="G2440" s="216" t="s">
        <v>872</v>
      </c>
      <c r="H2440" s="211" t="s">
        <v>4007</v>
      </c>
      <c r="I2440" s="156" t="s">
        <v>26</v>
      </c>
      <c r="J2440" s="209" t="s">
        <v>2735</v>
      </c>
      <c r="K2440" s="211" t="s">
        <v>1500</v>
      </c>
    </row>
    <row r="2441" spans="1:11" ht="100.5">
      <c r="A2441" s="204">
        <v>2439</v>
      </c>
      <c r="B2441" s="205">
        <v>46042</v>
      </c>
      <c r="C2441" s="267" t="s">
        <v>823</v>
      </c>
      <c r="D2441" s="204">
        <v>2026</v>
      </c>
      <c r="E2441" s="204" t="s">
        <v>1431</v>
      </c>
      <c r="F2441" s="204" t="s">
        <v>1432</v>
      </c>
      <c r="G2441" s="213" t="s">
        <v>821</v>
      </c>
      <c r="H2441" s="207" t="s">
        <v>4008</v>
      </c>
      <c r="I2441" s="156" t="s">
        <v>26</v>
      </c>
      <c r="J2441" s="204" t="s">
        <v>59</v>
      </c>
      <c r="K2441" s="207" t="s">
        <v>1448</v>
      </c>
    </row>
    <row r="2442" spans="1:11" ht="100.5">
      <c r="A2442" s="204">
        <v>2440</v>
      </c>
      <c r="B2442" s="208">
        <v>46043</v>
      </c>
      <c r="C2442" s="267" t="s">
        <v>823</v>
      </c>
      <c r="D2442" s="204">
        <v>2026</v>
      </c>
      <c r="E2442" s="209" t="s">
        <v>1431</v>
      </c>
      <c r="F2442" s="209" t="s">
        <v>2585</v>
      </c>
      <c r="G2442" s="210" t="s">
        <v>88</v>
      </c>
      <c r="H2442" s="211" t="s">
        <v>4009</v>
      </c>
      <c r="I2442" s="156" t="s">
        <v>26</v>
      </c>
      <c r="J2442" s="209" t="s">
        <v>3626</v>
      </c>
      <c r="K2442" s="211" t="s">
        <v>1486</v>
      </c>
    </row>
    <row r="2443" spans="1:11" ht="84">
      <c r="A2443" s="204">
        <v>2441</v>
      </c>
      <c r="B2443" s="205">
        <v>46043</v>
      </c>
      <c r="C2443" s="267" t="s">
        <v>823</v>
      </c>
      <c r="D2443" s="204">
        <v>2026</v>
      </c>
      <c r="E2443" s="204" t="s">
        <v>1431</v>
      </c>
      <c r="F2443" s="204" t="s">
        <v>1506</v>
      </c>
      <c r="G2443" s="206" t="s">
        <v>88</v>
      </c>
      <c r="H2443" s="207" t="s">
        <v>4010</v>
      </c>
      <c r="I2443" s="156" t="s">
        <v>26</v>
      </c>
      <c r="J2443" s="204" t="s">
        <v>1904</v>
      </c>
      <c r="K2443" s="207" t="s">
        <v>1500</v>
      </c>
    </row>
    <row r="2444" spans="1:11" ht="100.5">
      <c r="A2444" s="204">
        <v>2442</v>
      </c>
      <c r="B2444" s="208">
        <v>46043</v>
      </c>
      <c r="C2444" s="267" t="s">
        <v>823</v>
      </c>
      <c r="D2444" s="204">
        <v>2026</v>
      </c>
      <c r="E2444" s="209" t="s">
        <v>1431</v>
      </c>
      <c r="F2444" s="209" t="s">
        <v>3011</v>
      </c>
      <c r="G2444" s="210" t="s">
        <v>88</v>
      </c>
      <c r="H2444" s="211" t="s">
        <v>4011</v>
      </c>
      <c r="I2444" s="156" t="s">
        <v>26</v>
      </c>
      <c r="J2444" s="209" t="s">
        <v>578</v>
      </c>
      <c r="K2444" s="211" t="s">
        <v>1472</v>
      </c>
    </row>
    <row r="2445" spans="1:11" ht="117">
      <c r="A2445" s="204">
        <v>2443</v>
      </c>
      <c r="B2445" s="205">
        <v>46043</v>
      </c>
      <c r="C2445" s="267" t="s">
        <v>823</v>
      </c>
      <c r="D2445" s="204">
        <v>2026</v>
      </c>
      <c r="E2445" s="204" t="s">
        <v>1431</v>
      </c>
      <c r="F2445" s="204" t="s">
        <v>1504</v>
      </c>
      <c r="G2445" s="206" t="s">
        <v>88</v>
      </c>
      <c r="H2445" s="207" t="s">
        <v>4012</v>
      </c>
      <c r="I2445" s="156" t="s">
        <v>26</v>
      </c>
      <c r="J2445" s="204" t="s">
        <v>578</v>
      </c>
      <c r="K2445" s="207" t="s">
        <v>1446</v>
      </c>
    </row>
    <row r="2446" spans="1:11" ht="33.75">
      <c r="A2446" s="204">
        <v>2444</v>
      </c>
      <c r="B2446" s="208">
        <v>46043</v>
      </c>
      <c r="C2446" s="267" t="s">
        <v>823</v>
      </c>
      <c r="D2446" s="204">
        <v>2026</v>
      </c>
      <c r="E2446" s="209" t="s">
        <v>1431</v>
      </c>
      <c r="F2446" s="209" t="s">
        <v>216</v>
      </c>
      <c r="G2446" s="213" t="s">
        <v>821</v>
      </c>
      <c r="H2446" s="211" t="s">
        <v>4013</v>
      </c>
      <c r="I2446" s="156" t="s">
        <v>26</v>
      </c>
      <c r="J2446" s="209" t="s">
        <v>3600</v>
      </c>
      <c r="K2446" s="211"/>
    </row>
    <row r="2447" spans="1:11" ht="117">
      <c r="A2447" s="204">
        <v>2445</v>
      </c>
      <c r="B2447" s="205">
        <v>46043</v>
      </c>
      <c r="C2447" s="267" t="s">
        <v>823</v>
      </c>
      <c r="D2447" s="204">
        <v>2026</v>
      </c>
      <c r="E2447" s="204" t="s">
        <v>1431</v>
      </c>
      <c r="F2447" s="204" t="s">
        <v>21</v>
      </c>
      <c r="G2447" s="213" t="s">
        <v>821</v>
      </c>
      <c r="H2447" s="207" t="s">
        <v>4014</v>
      </c>
      <c r="I2447" s="156" t="s">
        <v>26</v>
      </c>
      <c r="J2447" s="204" t="s">
        <v>468</v>
      </c>
      <c r="K2447" s="207" t="s">
        <v>1482</v>
      </c>
    </row>
    <row r="2448" spans="1:11" ht="100.5">
      <c r="A2448" s="204">
        <v>2446</v>
      </c>
      <c r="B2448" s="208">
        <v>46043</v>
      </c>
      <c r="C2448" s="267" t="s">
        <v>823</v>
      </c>
      <c r="D2448" s="204">
        <v>2026</v>
      </c>
      <c r="E2448" s="209" t="s">
        <v>1431</v>
      </c>
      <c r="F2448" s="209" t="s">
        <v>97</v>
      </c>
      <c r="G2448" s="213" t="s">
        <v>821</v>
      </c>
      <c r="H2448" s="211" t="s">
        <v>4015</v>
      </c>
      <c r="I2448" s="156" t="s">
        <v>26</v>
      </c>
      <c r="J2448" s="209" t="s">
        <v>3561</v>
      </c>
      <c r="K2448" s="211" t="s">
        <v>1448</v>
      </c>
    </row>
    <row r="2449" spans="1:11" ht="33.75">
      <c r="A2449" s="204">
        <v>2447</v>
      </c>
      <c r="B2449" s="205">
        <v>46043</v>
      </c>
      <c r="C2449" s="267" t="s">
        <v>823</v>
      </c>
      <c r="D2449" s="204">
        <v>2026</v>
      </c>
      <c r="E2449" s="204" t="s">
        <v>1431</v>
      </c>
      <c r="F2449" s="204" t="s">
        <v>1449</v>
      </c>
      <c r="G2449" s="206" t="s">
        <v>88</v>
      </c>
      <c r="H2449" s="207" t="s">
        <v>4016</v>
      </c>
      <c r="I2449" s="156" t="s">
        <v>26</v>
      </c>
      <c r="J2449" s="204" t="s">
        <v>2593</v>
      </c>
      <c r="K2449" s="207"/>
    </row>
    <row r="2450" spans="1:11" ht="117">
      <c r="A2450" s="204">
        <v>2448</v>
      </c>
      <c r="B2450" s="208">
        <v>46043</v>
      </c>
      <c r="C2450" s="267" t="s">
        <v>823</v>
      </c>
      <c r="D2450" s="204">
        <v>2026</v>
      </c>
      <c r="E2450" s="209" t="s">
        <v>1431</v>
      </c>
      <c r="F2450" s="209" t="s">
        <v>1449</v>
      </c>
      <c r="G2450" s="210" t="s">
        <v>88</v>
      </c>
      <c r="H2450" s="211" t="s">
        <v>4017</v>
      </c>
      <c r="I2450" s="156" t="s">
        <v>26</v>
      </c>
      <c r="J2450" s="209" t="s">
        <v>2593</v>
      </c>
      <c r="K2450" s="211" t="s">
        <v>1522</v>
      </c>
    </row>
    <row r="2451" spans="1:11" ht="117">
      <c r="A2451" s="204">
        <v>2449</v>
      </c>
      <c r="B2451" s="205">
        <v>46043</v>
      </c>
      <c r="C2451" s="267" t="s">
        <v>823</v>
      </c>
      <c r="D2451" s="204">
        <v>2026</v>
      </c>
      <c r="E2451" s="204" t="s">
        <v>1431</v>
      </c>
      <c r="F2451" s="204" t="s">
        <v>1449</v>
      </c>
      <c r="G2451" s="206" t="s">
        <v>88</v>
      </c>
      <c r="H2451" s="207" t="s">
        <v>4018</v>
      </c>
      <c r="I2451" s="156" t="s">
        <v>26</v>
      </c>
      <c r="J2451" s="204" t="s">
        <v>2593</v>
      </c>
      <c r="K2451" s="207" t="s">
        <v>1510</v>
      </c>
    </row>
    <row r="2452" spans="1:11" ht="33.75">
      <c r="A2452" s="204">
        <v>2450</v>
      </c>
      <c r="B2452" s="208">
        <v>46043</v>
      </c>
      <c r="C2452" s="267" t="s">
        <v>823</v>
      </c>
      <c r="D2452" s="204">
        <v>2026</v>
      </c>
      <c r="E2452" s="209" t="s">
        <v>1431</v>
      </c>
      <c r="F2452" s="209" t="s">
        <v>1566</v>
      </c>
      <c r="G2452" s="210" t="s">
        <v>88</v>
      </c>
      <c r="H2452" s="211" t="s">
        <v>4019</v>
      </c>
      <c r="I2452" s="156" t="s">
        <v>26</v>
      </c>
      <c r="J2452" s="209" t="s">
        <v>1453</v>
      </c>
      <c r="K2452" s="211"/>
    </row>
    <row r="2453" spans="1:11" ht="117">
      <c r="A2453" s="204">
        <v>2451</v>
      </c>
      <c r="B2453" s="205">
        <v>46043</v>
      </c>
      <c r="C2453" s="267" t="s">
        <v>823</v>
      </c>
      <c r="D2453" s="204">
        <v>2026</v>
      </c>
      <c r="E2453" s="204" t="s">
        <v>1431</v>
      </c>
      <c r="F2453" s="204" t="s">
        <v>1566</v>
      </c>
      <c r="G2453" s="206" t="s">
        <v>88</v>
      </c>
      <c r="H2453" s="207" t="s">
        <v>4020</v>
      </c>
      <c r="I2453" s="156" t="s">
        <v>26</v>
      </c>
      <c r="J2453" s="204" t="s">
        <v>1453</v>
      </c>
      <c r="K2453" s="207" t="s">
        <v>1559</v>
      </c>
    </row>
    <row r="2454" spans="1:11" ht="50.25">
      <c r="A2454" s="204">
        <v>2452</v>
      </c>
      <c r="B2454" s="208">
        <v>46043</v>
      </c>
      <c r="C2454" s="267" t="s">
        <v>823</v>
      </c>
      <c r="D2454" s="204">
        <v>2026</v>
      </c>
      <c r="E2454" s="209" t="s">
        <v>2224</v>
      </c>
      <c r="F2454" s="209" t="s">
        <v>21</v>
      </c>
      <c r="G2454" s="213" t="s">
        <v>821</v>
      </c>
      <c r="H2454" s="211" t="s">
        <v>4021</v>
      </c>
      <c r="I2454" s="156" t="s">
        <v>26</v>
      </c>
      <c r="J2454" s="209" t="s">
        <v>468</v>
      </c>
      <c r="K2454" s="211"/>
    </row>
    <row r="2455" spans="1:11" ht="33.75">
      <c r="A2455" s="204">
        <v>2453</v>
      </c>
      <c r="B2455" s="205">
        <v>46043</v>
      </c>
      <c r="C2455" s="267" t="s">
        <v>823</v>
      </c>
      <c r="D2455" s="204">
        <v>2026</v>
      </c>
      <c r="E2455" s="204" t="s">
        <v>1431</v>
      </c>
      <c r="F2455" s="204" t="s">
        <v>1506</v>
      </c>
      <c r="G2455" s="206" t="s">
        <v>88</v>
      </c>
      <c r="H2455" s="207" t="s">
        <v>4022</v>
      </c>
      <c r="I2455" s="156" t="s">
        <v>26</v>
      </c>
      <c r="J2455" s="204" t="s">
        <v>1904</v>
      </c>
      <c r="K2455" s="207"/>
    </row>
    <row r="2456" spans="1:11" ht="100.5">
      <c r="A2456" s="204">
        <v>2454</v>
      </c>
      <c r="B2456" s="208">
        <v>46043</v>
      </c>
      <c r="C2456" s="267" t="s">
        <v>823</v>
      </c>
      <c r="D2456" s="204">
        <v>2026</v>
      </c>
      <c r="E2456" s="209" t="s">
        <v>1431</v>
      </c>
      <c r="F2456" s="209" t="s">
        <v>4023</v>
      </c>
      <c r="G2456" s="210" t="s">
        <v>88</v>
      </c>
      <c r="H2456" s="211" t="s">
        <v>4024</v>
      </c>
      <c r="I2456" s="156" t="s">
        <v>26</v>
      </c>
      <c r="J2456" s="209" t="s">
        <v>3836</v>
      </c>
      <c r="K2456" s="211" t="s">
        <v>1472</v>
      </c>
    </row>
    <row r="2457" spans="1:11" ht="84">
      <c r="A2457" s="204">
        <v>2455</v>
      </c>
      <c r="B2457" s="205">
        <v>46043</v>
      </c>
      <c r="C2457" s="267" t="s">
        <v>823</v>
      </c>
      <c r="D2457" s="204">
        <v>2026</v>
      </c>
      <c r="E2457" s="204" t="s">
        <v>1431</v>
      </c>
      <c r="F2457" s="204" t="s">
        <v>377</v>
      </c>
      <c r="G2457" s="206" t="s">
        <v>88</v>
      </c>
      <c r="H2457" s="207" t="s">
        <v>4025</v>
      </c>
      <c r="I2457" s="156" t="s">
        <v>26</v>
      </c>
      <c r="J2457" s="204" t="s">
        <v>4026</v>
      </c>
      <c r="K2457" s="207" t="s">
        <v>1500</v>
      </c>
    </row>
    <row r="2458" spans="1:11" ht="84">
      <c r="A2458" s="204">
        <v>2456</v>
      </c>
      <c r="B2458" s="208">
        <v>46043</v>
      </c>
      <c r="C2458" s="267" t="s">
        <v>823</v>
      </c>
      <c r="D2458" s="204">
        <v>2026</v>
      </c>
      <c r="E2458" s="209" t="s">
        <v>1431</v>
      </c>
      <c r="F2458" s="209" t="s">
        <v>1506</v>
      </c>
      <c r="G2458" s="210" t="s">
        <v>88</v>
      </c>
      <c r="H2458" s="211" t="s">
        <v>4027</v>
      </c>
      <c r="I2458" s="156" t="s">
        <v>26</v>
      </c>
      <c r="J2458" s="209" t="s">
        <v>1904</v>
      </c>
      <c r="K2458" s="211" t="s">
        <v>1500</v>
      </c>
    </row>
    <row r="2459" spans="1:11" ht="50.25">
      <c r="A2459" s="204">
        <v>2457</v>
      </c>
      <c r="B2459" s="205">
        <v>46043</v>
      </c>
      <c r="C2459" s="267" t="s">
        <v>823</v>
      </c>
      <c r="D2459" s="204">
        <v>2026</v>
      </c>
      <c r="E2459" s="204" t="s">
        <v>1431</v>
      </c>
      <c r="F2459" s="204" t="s">
        <v>1449</v>
      </c>
      <c r="G2459" s="212" t="s">
        <v>1439</v>
      </c>
      <c r="H2459" s="207" t="s">
        <v>4028</v>
      </c>
      <c r="I2459" s="156" t="s">
        <v>26</v>
      </c>
      <c r="J2459" s="204" t="s">
        <v>2593</v>
      </c>
      <c r="K2459" s="207"/>
    </row>
    <row r="2460" spans="1:11" ht="100.5">
      <c r="A2460" s="204">
        <v>2458</v>
      </c>
      <c r="B2460" s="208">
        <v>46043</v>
      </c>
      <c r="C2460" s="267" t="s">
        <v>823</v>
      </c>
      <c r="D2460" s="204">
        <v>2026</v>
      </c>
      <c r="E2460" s="209" t="s">
        <v>1431</v>
      </c>
      <c r="F2460" s="209" t="s">
        <v>1449</v>
      </c>
      <c r="G2460" s="210" t="s">
        <v>88</v>
      </c>
      <c r="H2460" s="211" t="s">
        <v>4029</v>
      </c>
      <c r="I2460" s="156" t="s">
        <v>26</v>
      </c>
      <c r="J2460" s="209" t="s">
        <v>2593</v>
      </c>
      <c r="K2460" s="211" t="s">
        <v>1472</v>
      </c>
    </row>
    <row r="2461" spans="1:11" ht="117">
      <c r="A2461" s="204">
        <v>2459</v>
      </c>
      <c r="B2461" s="205">
        <v>46043</v>
      </c>
      <c r="C2461" s="267" t="s">
        <v>823</v>
      </c>
      <c r="D2461" s="204">
        <v>2026</v>
      </c>
      <c r="E2461" s="204" t="s">
        <v>1431</v>
      </c>
      <c r="F2461" s="204" t="s">
        <v>1449</v>
      </c>
      <c r="G2461" s="206" t="s">
        <v>88</v>
      </c>
      <c r="H2461" s="207" t="s">
        <v>4030</v>
      </c>
      <c r="I2461" s="156" t="s">
        <v>26</v>
      </c>
      <c r="J2461" s="204" t="s">
        <v>2593</v>
      </c>
      <c r="K2461" s="207" t="s">
        <v>1510</v>
      </c>
    </row>
    <row r="2462" spans="1:11" ht="100.5">
      <c r="A2462" s="204">
        <v>2460</v>
      </c>
      <c r="B2462" s="208">
        <v>46044</v>
      </c>
      <c r="C2462" s="267" t="s">
        <v>823</v>
      </c>
      <c r="D2462" s="204">
        <v>2026</v>
      </c>
      <c r="E2462" s="209" t="s">
        <v>1431</v>
      </c>
      <c r="F2462" s="209" t="s">
        <v>1504</v>
      </c>
      <c r="G2462" s="210" t="s">
        <v>88</v>
      </c>
      <c r="H2462" s="211" t="s">
        <v>4031</v>
      </c>
      <c r="I2462" s="156" t="s">
        <v>26</v>
      </c>
      <c r="J2462" s="209" t="s">
        <v>3516</v>
      </c>
      <c r="K2462" s="211" t="s">
        <v>1472</v>
      </c>
    </row>
    <row r="2463" spans="1:11" ht="84">
      <c r="A2463" s="204">
        <v>2461</v>
      </c>
      <c r="B2463" s="205">
        <v>46044</v>
      </c>
      <c r="C2463" s="267" t="s">
        <v>823</v>
      </c>
      <c r="D2463" s="204">
        <v>2026</v>
      </c>
      <c r="E2463" s="204" t="s">
        <v>1431</v>
      </c>
      <c r="F2463" s="204" t="s">
        <v>1518</v>
      </c>
      <c r="G2463" s="206" t="s">
        <v>88</v>
      </c>
      <c r="H2463" s="207" t="s">
        <v>4032</v>
      </c>
      <c r="I2463" s="156" t="s">
        <v>26</v>
      </c>
      <c r="J2463" s="204" t="s">
        <v>3920</v>
      </c>
      <c r="K2463" s="207" t="s">
        <v>1444</v>
      </c>
    </row>
    <row r="2464" spans="1:11" ht="33.75">
      <c r="A2464" s="204">
        <v>2462</v>
      </c>
      <c r="B2464" s="208">
        <v>46044</v>
      </c>
      <c r="C2464" s="267" t="s">
        <v>823</v>
      </c>
      <c r="D2464" s="204">
        <v>2026</v>
      </c>
      <c r="E2464" s="209" t="s">
        <v>1431</v>
      </c>
      <c r="F2464" s="209" t="s">
        <v>216</v>
      </c>
      <c r="G2464" s="213" t="s">
        <v>821</v>
      </c>
      <c r="H2464" s="211" t="s">
        <v>4033</v>
      </c>
      <c r="I2464" s="156" t="s">
        <v>26</v>
      </c>
      <c r="J2464" s="209" t="s">
        <v>3600</v>
      </c>
      <c r="K2464" s="211"/>
    </row>
    <row r="2465" spans="1:11" ht="134.25">
      <c r="A2465" s="204">
        <v>2463</v>
      </c>
      <c r="B2465" s="205">
        <v>46044</v>
      </c>
      <c r="C2465" s="267" t="s">
        <v>823</v>
      </c>
      <c r="D2465" s="204">
        <v>2026</v>
      </c>
      <c r="E2465" s="204" t="s">
        <v>1431</v>
      </c>
      <c r="F2465" s="204" t="s">
        <v>216</v>
      </c>
      <c r="G2465" s="213" t="s">
        <v>821</v>
      </c>
      <c r="H2465" s="207" t="s">
        <v>4034</v>
      </c>
      <c r="I2465" s="156" t="s">
        <v>26</v>
      </c>
      <c r="J2465" s="204" t="s">
        <v>3600</v>
      </c>
      <c r="K2465" s="207" t="s">
        <v>1601</v>
      </c>
    </row>
    <row r="2466" spans="1:11" ht="16.5">
      <c r="A2466" s="204">
        <v>2464</v>
      </c>
      <c r="B2466" s="208">
        <v>46044</v>
      </c>
      <c r="C2466" s="267" t="s">
        <v>823</v>
      </c>
      <c r="D2466" s="204">
        <v>2026</v>
      </c>
      <c r="E2466" s="209" t="s">
        <v>1431</v>
      </c>
      <c r="F2466" s="209" t="s">
        <v>216</v>
      </c>
      <c r="G2466" s="213" t="s">
        <v>821</v>
      </c>
      <c r="H2466" s="211" t="s">
        <v>4035</v>
      </c>
      <c r="I2466" s="156" t="s">
        <v>26</v>
      </c>
      <c r="J2466" s="209" t="s">
        <v>3600</v>
      </c>
      <c r="K2466" s="211"/>
    </row>
    <row r="2467" spans="1:11" ht="16.5">
      <c r="A2467" s="204">
        <v>2465</v>
      </c>
      <c r="B2467" s="205">
        <v>46044</v>
      </c>
      <c r="C2467" s="267" t="s">
        <v>823</v>
      </c>
      <c r="D2467" s="204">
        <v>2026</v>
      </c>
      <c r="E2467" s="204" t="s">
        <v>1431</v>
      </c>
      <c r="F2467" s="204" t="s">
        <v>21</v>
      </c>
      <c r="G2467" s="213" t="s">
        <v>821</v>
      </c>
      <c r="H2467" s="207" t="s">
        <v>4036</v>
      </c>
      <c r="I2467" s="156" t="s">
        <v>26</v>
      </c>
      <c r="J2467" s="204" t="s">
        <v>468</v>
      </c>
      <c r="K2467" s="207"/>
    </row>
    <row r="2468" spans="1:11" ht="16.5">
      <c r="A2468" s="204">
        <v>2466</v>
      </c>
      <c r="B2468" s="208">
        <v>46044</v>
      </c>
      <c r="C2468" s="267" t="s">
        <v>823</v>
      </c>
      <c r="D2468" s="204">
        <v>2026</v>
      </c>
      <c r="E2468" s="209" t="s">
        <v>1431</v>
      </c>
      <c r="F2468" s="209" t="s">
        <v>97</v>
      </c>
      <c r="G2468" s="213" t="s">
        <v>821</v>
      </c>
      <c r="H2468" s="211" t="s">
        <v>4037</v>
      </c>
      <c r="I2468" s="156" t="s">
        <v>26</v>
      </c>
      <c r="J2468" s="209" t="s">
        <v>3561</v>
      </c>
      <c r="K2468" s="211"/>
    </row>
    <row r="2469" spans="1:11" ht="33.75">
      <c r="A2469" s="204">
        <v>2467</v>
      </c>
      <c r="B2469" s="205">
        <v>46044</v>
      </c>
      <c r="C2469" s="267" t="s">
        <v>823</v>
      </c>
      <c r="D2469" s="204">
        <v>2026</v>
      </c>
      <c r="E2469" s="204" t="s">
        <v>1431</v>
      </c>
      <c r="F2469" s="204" t="s">
        <v>1449</v>
      </c>
      <c r="G2469" s="213" t="s">
        <v>821</v>
      </c>
      <c r="H2469" s="207" t="s">
        <v>4038</v>
      </c>
      <c r="I2469" s="156" t="s">
        <v>26</v>
      </c>
      <c r="J2469" s="204" t="s">
        <v>2593</v>
      </c>
      <c r="K2469" s="207"/>
    </row>
    <row r="2470" spans="1:11" ht="84">
      <c r="A2470" s="204">
        <v>2468</v>
      </c>
      <c r="B2470" s="208">
        <v>46044</v>
      </c>
      <c r="C2470" s="267" t="s">
        <v>823</v>
      </c>
      <c r="D2470" s="204">
        <v>2026</v>
      </c>
      <c r="E2470" s="209" t="s">
        <v>1431</v>
      </c>
      <c r="F2470" s="209" t="s">
        <v>1449</v>
      </c>
      <c r="G2470" s="210" t="s">
        <v>88</v>
      </c>
      <c r="H2470" s="211" t="s">
        <v>4039</v>
      </c>
      <c r="I2470" s="156" t="s">
        <v>26</v>
      </c>
      <c r="J2470" s="209" t="s">
        <v>2593</v>
      </c>
      <c r="K2470" s="211" t="s">
        <v>1500</v>
      </c>
    </row>
    <row r="2471" spans="1:11" ht="16.5">
      <c r="A2471" s="204">
        <v>2469</v>
      </c>
      <c r="B2471" s="205">
        <v>46044</v>
      </c>
      <c r="C2471" s="267" t="s">
        <v>823</v>
      </c>
      <c r="D2471" s="204">
        <v>2026</v>
      </c>
      <c r="E2471" s="204" t="s">
        <v>1431</v>
      </c>
      <c r="F2471" s="204" t="s">
        <v>1566</v>
      </c>
      <c r="G2471" s="206" t="s">
        <v>88</v>
      </c>
      <c r="H2471" s="207" t="s">
        <v>4040</v>
      </c>
      <c r="I2471" s="156" t="s">
        <v>26</v>
      </c>
      <c r="J2471" s="204" t="s">
        <v>2640</v>
      </c>
      <c r="K2471" s="207"/>
    </row>
    <row r="2472" spans="1:11" ht="200.25">
      <c r="A2472" s="204">
        <v>2470</v>
      </c>
      <c r="B2472" s="208">
        <v>46044</v>
      </c>
      <c r="C2472" s="267" t="s">
        <v>823</v>
      </c>
      <c r="D2472" s="204">
        <v>2026</v>
      </c>
      <c r="E2472" s="209" t="s">
        <v>1431</v>
      </c>
      <c r="F2472" s="209" t="s">
        <v>1566</v>
      </c>
      <c r="G2472" s="210" t="s">
        <v>88</v>
      </c>
      <c r="H2472" s="211" t="s">
        <v>4041</v>
      </c>
      <c r="I2472" s="156" t="s">
        <v>26</v>
      </c>
      <c r="J2472" s="209" t="s">
        <v>2640</v>
      </c>
      <c r="K2472" s="211" t="s">
        <v>1500</v>
      </c>
    </row>
    <row r="2473" spans="1:11" ht="100.5">
      <c r="A2473" s="204">
        <v>2471</v>
      </c>
      <c r="B2473" s="205">
        <v>46044</v>
      </c>
      <c r="C2473" s="267" t="s">
        <v>823</v>
      </c>
      <c r="D2473" s="204">
        <v>2026</v>
      </c>
      <c r="E2473" s="204" t="s">
        <v>3881</v>
      </c>
      <c r="F2473" s="204" t="s">
        <v>97</v>
      </c>
      <c r="G2473" s="213" t="s">
        <v>821</v>
      </c>
      <c r="H2473" s="207" t="s">
        <v>4042</v>
      </c>
      <c r="I2473" s="156" t="s">
        <v>26</v>
      </c>
      <c r="J2473" s="204" t="s">
        <v>3883</v>
      </c>
      <c r="K2473" s="207" t="s">
        <v>1486</v>
      </c>
    </row>
    <row r="2474" spans="1:11" ht="50.25">
      <c r="A2474" s="204">
        <v>2472</v>
      </c>
      <c r="B2474" s="208">
        <v>46044</v>
      </c>
      <c r="C2474" s="267" t="s">
        <v>823</v>
      </c>
      <c r="D2474" s="204">
        <v>2026</v>
      </c>
      <c r="E2474" s="209" t="s">
        <v>2224</v>
      </c>
      <c r="F2474" s="209" t="s">
        <v>21</v>
      </c>
      <c r="G2474" s="213" t="s">
        <v>821</v>
      </c>
      <c r="H2474" s="211" t="s">
        <v>4043</v>
      </c>
      <c r="I2474" s="156" t="s">
        <v>26</v>
      </c>
      <c r="J2474" s="209" t="s">
        <v>468</v>
      </c>
      <c r="K2474" s="211"/>
    </row>
    <row r="2475" spans="1:11" ht="117">
      <c r="A2475" s="204">
        <v>2473</v>
      </c>
      <c r="B2475" s="205">
        <v>46044</v>
      </c>
      <c r="C2475" s="267" t="s">
        <v>823</v>
      </c>
      <c r="D2475" s="204">
        <v>2026</v>
      </c>
      <c r="E2475" s="204" t="s">
        <v>2224</v>
      </c>
      <c r="F2475" s="204" t="s">
        <v>1449</v>
      </c>
      <c r="G2475" s="214" t="s">
        <v>859</v>
      </c>
      <c r="H2475" s="207" t="s">
        <v>4044</v>
      </c>
      <c r="I2475" s="156" t="s">
        <v>26</v>
      </c>
      <c r="J2475" s="204" t="s">
        <v>2599</v>
      </c>
      <c r="K2475" s="207"/>
    </row>
    <row r="2476" spans="1:11" ht="84">
      <c r="A2476" s="204">
        <v>2474</v>
      </c>
      <c r="B2476" s="208">
        <v>46044</v>
      </c>
      <c r="C2476" s="267" t="s">
        <v>823</v>
      </c>
      <c r="D2476" s="204">
        <v>2026</v>
      </c>
      <c r="E2476" s="209" t="s">
        <v>1431</v>
      </c>
      <c r="F2476" s="209" t="s">
        <v>3950</v>
      </c>
      <c r="G2476" s="210" t="s">
        <v>88</v>
      </c>
      <c r="H2476" s="211" t="s">
        <v>4045</v>
      </c>
      <c r="I2476" s="156" t="s">
        <v>26</v>
      </c>
      <c r="J2476" s="209" t="s">
        <v>3852</v>
      </c>
      <c r="K2476" s="211"/>
    </row>
    <row r="2477" spans="1:11" ht="33.75">
      <c r="A2477" s="204">
        <v>2475</v>
      </c>
      <c r="B2477" s="205">
        <v>46044</v>
      </c>
      <c r="C2477" s="267" t="s">
        <v>823</v>
      </c>
      <c r="D2477" s="204">
        <v>2026</v>
      </c>
      <c r="E2477" s="204" t="s">
        <v>1431</v>
      </c>
      <c r="F2477" s="204" t="s">
        <v>2244</v>
      </c>
      <c r="G2477" s="206" t="s">
        <v>88</v>
      </c>
      <c r="H2477" s="207" t="s">
        <v>4046</v>
      </c>
      <c r="I2477" s="156" t="s">
        <v>26</v>
      </c>
      <c r="J2477" s="204" t="s">
        <v>1998</v>
      </c>
      <c r="K2477" s="207"/>
    </row>
    <row r="2478" spans="1:11" ht="84">
      <c r="A2478" s="204">
        <v>2476</v>
      </c>
      <c r="B2478" s="208">
        <v>46044</v>
      </c>
      <c r="C2478" s="267" t="s">
        <v>823</v>
      </c>
      <c r="D2478" s="204">
        <v>2026</v>
      </c>
      <c r="E2478" s="209" t="s">
        <v>1431</v>
      </c>
      <c r="F2478" s="209" t="s">
        <v>1506</v>
      </c>
      <c r="G2478" s="210" t="s">
        <v>88</v>
      </c>
      <c r="H2478" s="211" t="s">
        <v>4047</v>
      </c>
      <c r="I2478" s="156" t="s">
        <v>26</v>
      </c>
      <c r="J2478" s="209" t="s">
        <v>1904</v>
      </c>
      <c r="K2478" s="211" t="s">
        <v>1500</v>
      </c>
    </row>
    <row r="2479" spans="1:11" ht="50.25">
      <c r="A2479" s="204">
        <v>2477</v>
      </c>
      <c r="B2479" s="205">
        <v>46044</v>
      </c>
      <c r="C2479" s="267" t="s">
        <v>823</v>
      </c>
      <c r="D2479" s="204">
        <v>2026</v>
      </c>
      <c r="E2479" s="204" t="s">
        <v>1431</v>
      </c>
      <c r="F2479" s="204" t="s">
        <v>21</v>
      </c>
      <c r="G2479" s="213" t="s">
        <v>821</v>
      </c>
      <c r="H2479" s="207" t="s">
        <v>4048</v>
      </c>
      <c r="I2479" s="156" t="s">
        <v>26</v>
      </c>
      <c r="J2479" s="204" t="s">
        <v>468</v>
      </c>
      <c r="K2479" s="207"/>
    </row>
    <row r="2480" spans="1:11" ht="117">
      <c r="A2480" s="204">
        <v>2478</v>
      </c>
      <c r="B2480" s="208">
        <v>46044</v>
      </c>
      <c r="C2480" s="267" t="s">
        <v>823</v>
      </c>
      <c r="D2480" s="204">
        <v>2026</v>
      </c>
      <c r="E2480" s="209" t="s">
        <v>1431</v>
      </c>
      <c r="F2480" s="209" t="s">
        <v>1449</v>
      </c>
      <c r="G2480" s="210" t="s">
        <v>88</v>
      </c>
      <c r="H2480" s="211" t="s">
        <v>4049</v>
      </c>
      <c r="I2480" s="156" t="s">
        <v>26</v>
      </c>
      <c r="J2480" s="209" t="s">
        <v>3852</v>
      </c>
      <c r="K2480" s="211" t="s">
        <v>1462</v>
      </c>
    </row>
    <row r="2481" spans="1:11" ht="117">
      <c r="A2481" s="204">
        <v>2479</v>
      </c>
      <c r="B2481" s="205">
        <v>46044</v>
      </c>
      <c r="C2481" s="267" t="s">
        <v>823</v>
      </c>
      <c r="D2481" s="204">
        <v>2026</v>
      </c>
      <c r="E2481" s="204" t="s">
        <v>1431</v>
      </c>
      <c r="F2481" s="204" t="s">
        <v>1449</v>
      </c>
      <c r="G2481" s="206" t="s">
        <v>88</v>
      </c>
      <c r="H2481" s="207" t="s">
        <v>4050</v>
      </c>
      <c r="I2481" s="156" t="s">
        <v>26</v>
      </c>
      <c r="J2481" s="204" t="s">
        <v>1541</v>
      </c>
      <c r="K2481" s="207" t="s">
        <v>1522</v>
      </c>
    </row>
    <row r="2482" spans="1:11" ht="84">
      <c r="A2482" s="204">
        <v>2480</v>
      </c>
      <c r="B2482" s="208">
        <v>46044</v>
      </c>
      <c r="C2482" s="267" t="s">
        <v>823</v>
      </c>
      <c r="D2482" s="204">
        <v>2026</v>
      </c>
      <c r="E2482" s="209" t="s">
        <v>1431</v>
      </c>
      <c r="F2482" s="209" t="s">
        <v>1449</v>
      </c>
      <c r="G2482" s="210" t="s">
        <v>88</v>
      </c>
      <c r="H2482" s="211" t="s">
        <v>4051</v>
      </c>
      <c r="I2482" s="156" t="s">
        <v>26</v>
      </c>
      <c r="J2482" s="209" t="s">
        <v>2593</v>
      </c>
      <c r="K2482" s="211" t="s">
        <v>1500</v>
      </c>
    </row>
    <row r="2483" spans="1:11" ht="117">
      <c r="A2483" s="204">
        <v>2481</v>
      </c>
      <c r="B2483" s="205">
        <v>46044</v>
      </c>
      <c r="C2483" s="267" t="s">
        <v>823</v>
      </c>
      <c r="D2483" s="204">
        <v>2026</v>
      </c>
      <c r="E2483" s="204" t="s">
        <v>2224</v>
      </c>
      <c r="F2483" s="204" t="s">
        <v>1449</v>
      </c>
      <c r="G2483" s="206" t="s">
        <v>88</v>
      </c>
      <c r="H2483" s="207" t="s">
        <v>4052</v>
      </c>
      <c r="I2483" s="156" t="s">
        <v>26</v>
      </c>
      <c r="J2483" s="204" t="s">
        <v>2593</v>
      </c>
      <c r="K2483" s="207" t="s">
        <v>1559</v>
      </c>
    </row>
    <row r="2484" spans="1:11" ht="100.5">
      <c r="A2484" s="204">
        <v>2482</v>
      </c>
      <c r="B2484" s="208">
        <v>46045</v>
      </c>
      <c r="C2484" s="267" t="s">
        <v>823</v>
      </c>
      <c r="D2484" s="204">
        <v>2026</v>
      </c>
      <c r="E2484" s="209" t="s">
        <v>1431</v>
      </c>
      <c r="F2484" s="209" t="s">
        <v>2437</v>
      </c>
      <c r="G2484" s="210" t="s">
        <v>88</v>
      </c>
      <c r="H2484" s="211" t="s">
        <v>4053</v>
      </c>
      <c r="I2484" s="156" t="s">
        <v>26</v>
      </c>
      <c r="J2484" s="209" t="s">
        <v>4054</v>
      </c>
      <c r="K2484" s="211" t="s">
        <v>1472</v>
      </c>
    </row>
    <row r="2485" spans="1:11" ht="100.5">
      <c r="A2485" s="204">
        <v>2483</v>
      </c>
      <c r="B2485" s="205">
        <v>46045</v>
      </c>
      <c r="C2485" s="267" t="s">
        <v>823</v>
      </c>
      <c r="D2485" s="204">
        <v>2026</v>
      </c>
      <c r="E2485" s="204" t="s">
        <v>1431</v>
      </c>
      <c r="F2485" s="204" t="s">
        <v>216</v>
      </c>
      <c r="G2485" s="206" t="s">
        <v>88</v>
      </c>
      <c r="H2485" s="207" t="s">
        <v>4055</v>
      </c>
      <c r="I2485" s="156" t="s">
        <v>26</v>
      </c>
      <c r="J2485" s="204" t="s">
        <v>3600</v>
      </c>
      <c r="K2485" s="207" t="s">
        <v>1472</v>
      </c>
    </row>
    <row r="2486" spans="1:11" ht="100.5">
      <c r="A2486" s="204">
        <v>2484</v>
      </c>
      <c r="B2486" s="208">
        <v>46045</v>
      </c>
      <c r="C2486" s="267" t="s">
        <v>823</v>
      </c>
      <c r="D2486" s="204">
        <v>2026</v>
      </c>
      <c r="E2486" s="209" t="s">
        <v>1431</v>
      </c>
      <c r="F2486" s="209" t="s">
        <v>3011</v>
      </c>
      <c r="G2486" s="217" t="s">
        <v>859</v>
      </c>
      <c r="H2486" s="211" t="s">
        <v>4056</v>
      </c>
      <c r="I2486" s="156" t="s">
        <v>26</v>
      </c>
      <c r="J2486" s="209" t="s">
        <v>2599</v>
      </c>
      <c r="K2486" s="211" t="s">
        <v>1476</v>
      </c>
    </row>
    <row r="2487" spans="1:11" ht="50.25">
      <c r="A2487" s="204">
        <v>2485</v>
      </c>
      <c r="B2487" s="205">
        <v>46045</v>
      </c>
      <c r="C2487" s="267" t="s">
        <v>823</v>
      </c>
      <c r="D2487" s="204">
        <v>2026</v>
      </c>
      <c r="E2487" s="204" t="s">
        <v>1431</v>
      </c>
      <c r="F2487" s="204" t="s">
        <v>21</v>
      </c>
      <c r="G2487" s="213" t="s">
        <v>821</v>
      </c>
      <c r="H2487" s="207" t="s">
        <v>4057</v>
      </c>
      <c r="I2487" s="156" t="s">
        <v>26</v>
      </c>
      <c r="J2487" s="204" t="s">
        <v>468</v>
      </c>
      <c r="K2487" s="207"/>
    </row>
    <row r="2488" spans="1:11" ht="100.5">
      <c r="A2488" s="204">
        <v>2486</v>
      </c>
      <c r="B2488" s="208">
        <v>46045</v>
      </c>
      <c r="C2488" s="267" t="s">
        <v>823</v>
      </c>
      <c r="D2488" s="204">
        <v>2026</v>
      </c>
      <c r="E2488" s="209" t="s">
        <v>1431</v>
      </c>
      <c r="F2488" s="209" t="s">
        <v>2437</v>
      </c>
      <c r="G2488" s="210" t="s">
        <v>88</v>
      </c>
      <c r="H2488" s="211" t="s">
        <v>4058</v>
      </c>
      <c r="I2488" s="156" t="s">
        <v>26</v>
      </c>
      <c r="J2488" s="209" t="s">
        <v>4054</v>
      </c>
      <c r="K2488" s="211" t="s">
        <v>1472</v>
      </c>
    </row>
    <row r="2489" spans="1:11" ht="117">
      <c r="A2489" s="204">
        <v>2487</v>
      </c>
      <c r="B2489" s="205">
        <v>46045</v>
      </c>
      <c r="C2489" s="267" t="s">
        <v>823</v>
      </c>
      <c r="D2489" s="204">
        <v>2026</v>
      </c>
      <c r="E2489" s="204" t="s">
        <v>1431</v>
      </c>
      <c r="F2489" s="204" t="s">
        <v>1504</v>
      </c>
      <c r="G2489" s="213" t="s">
        <v>821</v>
      </c>
      <c r="H2489" s="207" t="s">
        <v>4059</v>
      </c>
      <c r="I2489" s="156" t="s">
        <v>26</v>
      </c>
      <c r="J2489" s="204" t="s">
        <v>578</v>
      </c>
      <c r="K2489" s="207" t="s">
        <v>1446</v>
      </c>
    </row>
    <row r="2490" spans="1:11" ht="66.75">
      <c r="A2490" s="204">
        <v>2488</v>
      </c>
      <c r="B2490" s="208">
        <v>46045</v>
      </c>
      <c r="C2490" s="267" t="s">
        <v>823</v>
      </c>
      <c r="D2490" s="204">
        <v>2026</v>
      </c>
      <c r="E2490" s="209" t="s">
        <v>1431</v>
      </c>
      <c r="F2490" s="209" t="s">
        <v>2535</v>
      </c>
      <c r="G2490" s="210" t="s">
        <v>88</v>
      </c>
      <c r="H2490" s="211" t="s">
        <v>4060</v>
      </c>
      <c r="I2490" s="156" t="s">
        <v>26</v>
      </c>
      <c r="J2490" s="209" t="s">
        <v>3247</v>
      </c>
      <c r="K2490" s="211"/>
    </row>
    <row r="2491" spans="1:11" ht="33.75">
      <c r="A2491" s="204">
        <v>2489</v>
      </c>
      <c r="B2491" s="205">
        <v>46045</v>
      </c>
      <c r="C2491" s="267" t="s">
        <v>823</v>
      </c>
      <c r="D2491" s="204">
        <v>2026</v>
      </c>
      <c r="E2491" s="204" t="s">
        <v>1431</v>
      </c>
      <c r="F2491" s="204" t="s">
        <v>216</v>
      </c>
      <c r="G2491" s="213" t="s">
        <v>821</v>
      </c>
      <c r="H2491" s="207" t="s">
        <v>4061</v>
      </c>
      <c r="I2491" s="156" t="s">
        <v>26</v>
      </c>
      <c r="J2491" s="204" t="s">
        <v>3600</v>
      </c>
      <c r="K2491" s="207"/>
    </row>
    <row r="2492" spans="1:11" ht="33.75">
      <c r="A2492" s="204">
        <v>2490</v>
      </c>
      <c r="B2492" s="208">
        <v>46045</v>
      </c>
      <c r="C2492" s="267" t="s">
        <v>823</v>
      </c>
      <c r="D2492" s="204">
        <v>2026</v>
      </c>
      <c r="E2492" s="209" t="s">
        <v>1431</v>
      </c>
      <c r="F2492" s="209" t="s">
        <v>21</v>
      </c>
      <c r="G2492" s="213" t="s">
        <v>821</v>
      </c>
      <c r="H2492" s="211" t="s">
        <v>4062</v>
      </c>
      <c r="I2492" s="156" t="s">
        <v>26</v>
      </c>
      <c r="J2492" s="209" t="s">
        <v>468</v>
      </c>
      <c r="K2492" s="211"/>
    </row>
    <row r="2493" spans="1:11" ht="100.5">
      <c r="A2493" s="204">
        <v>2491</v>
      </c>
      <c r="B2493" s="205">
        <v>46045</v>
      </c>
      <c r="C2493" s="267" t="s">
        <v>823</v>
      </c>
      <c r="D2493" s="204">
        <v>2026</v>
      </c>
      <c r="E2493" s="204" t="s">
        <v>1431</v>
      </c>
      <c r="F2493" s="204" t="s">
        <v>97</v>
      </c>
      <c r="G2493" s="213" t="s">
        <v>821</v>
      </c>
      <c r="H2493" s="207" t="s">
        <v>4063</v>
      </c>
      <c r="I2493" s="156" t="s">
        <v>26</v>
      </c>
      <c r="J2493" s="204" t="s">
        <v>158</v>
      </c>
      <c r="K2493" s="207" t="s">
        <v>1448</v>
      </c>
    </row>
    <row r="2494" spans="1:11" ht="50.25">
      <c r="A2494" s="204">
        <v>2492</v>
      </c>
      <c r="B2494" s="208">
        <v>46045</v>
      </c>
      <c r="C2494" s="267" t="s">
        <v>823</v>
      </c>
      <c r="D2494" s="204">
        <v>2026</v>
      </c>
      <c r="E2494" s="209" t="s">
        <v>1431</v>
      </c>
      <c r="F2494" s="209" t="s">
        <v>1566</v>
      </c>
      <c r="G2494" s="210" t="s">
        <v>88</v>
      </c>
      <c r="H2494" s="211" t="s">
        <v>4064</v>
      </c>
      <c r="I2494" s="156" t="s">
        <v>26</v>
      </c>
      <c r="J2494" s="209" t="s">
        <v>1453</v>
      </c>
      <c r="K2494" s="211"/>
    </row>
    <row r="2495" spans="1:11" ht="100.5">
      <c r="A2495" s="204">
        <v>2493</v>
      </c>
      <c r="B2495" s="205">
        <v>46045</v>
      </c>
      <c r="C2495" s="267" t="s">
        <v>823</v>
      </c>
      <c r="D2495" s="204">
        <v>2026</v>
      </c>
      <c r="E2495" s="204" t="s">
        <v>1431</v>
      </c>
      <c r="F2495" s="204" t="s">
        <v>1566</v>
      </c>
      <c r="G2495" s="206" t="s">
        <v>88</v>
      </c>
      <c r="H2495" s="207" t="s">
        <v>4065</v>
      </c>
      <c r="I2495" s="156" t="s">
        <v>26</v>
      </c>
      <c r="J2495" s="204" t="s">
        <v>1453</v>
      </c>
      <c r="K2495" s="207" t="s">
        <v>1454</v>
      </c>
    </row>
    <row r="2496" spans="1:11" ht="66.75">
      <c r="A2496" s="204">
        <v>2494</v>
      </c>
      <c r="B2496" s="208">
        <v>46045</v>
      </c>
      <c r="C2496" s="267" t="s">
        <v>823</v>
      </c>
      <c r="D2496" s="204">
        <v>2026</v>
      </c>
      <c r="E2496" s="209" t="s">
        <v>2224</v>
      </c>
      <c r="F2496" s="209" t="s">
        <v>21</v>
      </c>
      <c r="G2496" s="213" t="s">
        <v>821</v>
      </c>
      <c r="H2496" s="211" t="s">
        <v>4066</v>
      </c>
      <c r="I2496" s="156" t="s">
        <v>26</v>
      </c>
      <c r="J2496" s="209" t="s">
        <v>468</v>
      </c>
      <c r="K2496" s="211"/>
    </row>
    <row r="2497" spans="1:11" ht="100.5">
      <c r="A2497" s="204">
        <v>2495</v>
      </c>
      <c r="B2497" s="205">
        <v>46045</v>
      </c>
      <c r="C2497" s="267" t="s">
        <v>823</v>
      </c>
      <c r="D2497" s="204">
        <v>2026</v>
      </c>
      <c r="E2497" s="204" t="s">
        <v>2224</v>
      </c>
      <c r="F2497" s="204" t="s">
        <v>1449</v>
      </c>
      <c r="G2497" s="206" t="s">
        <v>88</v>
      </c>
      <c r="H2497" s="207" t="s">
        <v>4067</v>
      </c>
      <c r="I2497" s="156" t="s">
        <v>26</v>
      </c>
      <c r="J2497" s="204" t="s">
        <v>2739</v>
      </c>
      <c r="K2497" s="207"/>
    </row>
    <row r="2498" spans="1:11" ht="33.75">
      <c r="A2498" s="204">
        <v>2496</v>
      </c>
      <c r="B2498" s="208">
        <v>46045</v>
      </c>
      <c r="C2498" s="267" t="s">
        <v>823</v>
      </c>
      <c r="D2498" s="204">
        <v>2026</v>
      </c>
      <c r="E2498" s="209" t="s">
        <v>2224</v>
      </c>
      <c r="F2498" s="209" t="s">
        <v>988</v>
      </c>
      <c r="G2498" s="213" t="s">
        <v>821</v>
      </c>
      <c r="H2498" s="211" t="s">
        <v>4068</v>
      </c>
      <c r="I2498" s="156" t="s">
        <v>26</v>
      </c>
      <c r="J2498" s="209" t="s">
        <v>3600</v>
      </c>
      <c r="K2498" s="211"/>
    </row>
    <row r="2499" spans="1:11" ht="16.5">
      <c r="A2499" s="204">
        <v>2497</v>
      </c>
      <c r="B2499" s="205">
        <v>46045</v>
      </c>
      <c r="C2499" s="267" t="s">
        <v>823</v>
      </c>
      <c r="D2499" s="204">
        <v>2026</v>
      </c>
      <c r="E2499" s="204" t="s">
        <v>1431</v>
      </c>
      <c r="F2499" s="204" t="s">
        <v>216</v>
      </c>
      <c r="G2499" s="213" t="s">
        <v>821</v>
      </c>
      <c r="H2499" s="207" t="s">
        <v>4069</v>
      </c>
      <c r="I2499" s="156" t="s">
        <v>26</v>
      </c>
      <c r="J2499" s="204" t="s">
        <v>3600</v>
      </c>
      <c r="K2499" s="207"/>
    </row>
    <row r="2500" spans="1:11" ht="84">
      <c r="A2500" s="204">
        <v>2498</v>
      </c>
      <c r="B2500" s="208">
        <v>46045</v>
      </c>
      <c r="C2500" s="267" t="s">
        <v>823</v>
      </c>
      <c r="D2500" s="204">
        <v>2026</v>
      </c>
      <c r="E2500" s="209" t="s">
        <v>1431</v>
      </c>
      <c r="F2500" s="209" t="s">
        <v>1449</v>
      </c>
      <c r="G2500" s="210" t="s">
        <v>88</v>
      </c>
      <c r="H2500" s="211" t="s">
        <v>4070</v>
      </c>
      <c r="I2500" s="156" t="s">
        <v>26</v>
      </c>
      <c r="J2500" s="209" t="s">
        <v>2739</v>
      </c>
      <c r="K2500" s="211" t="s">
        <v>1500</v>
      </c>
    </row>
    <row r="2501" spans="1:11" ht="33.75">
      <c r="A2501" s="204">
        <v>2499</v>
      </c>
      <c r="B2501" s="205">
        <v>46048</v>
      </c>
      <c r="C2501" s="267" t="s">
        <v>823</v>
      </c>
      <c r="D2501" s="204">
        <v>2026</v>
      </c>
      <c r="E2501" s="204" t="s">
        <v>1431</v>
      </c>
      <c r="F2501" s="204" t="s">
        <v>2585</v>
      </c>
      <c r="G2501" s="206" t="s">
        <v>88</v>
      </c>
      <c r="H2501" s="207" t="s">
        <v>4071</v>
      </c>
      <c r="I2501" s="156" t="s">
        <v>26</v>
      </c>
      <c r="J2501" s="204" t="s">
        <v>452</v>
      </c>
      <c r="K2501" s="207"/>
    </row>
    <row r="2502" spans="1:11" ht="100.5">
      <c r="A2502" s="204">
        <v>2500</v>
      </c>
      <c r="B2502" s="208">
        <v>46048</v>
      </c>
      <c r="C2502" s="267" t="s">
        <v>823</v>
      </c>
      <c r="D2502" s="204">
        <v>2026</v>
      </c>
      <c r="E2502" s="209" t="s">
        <v>1431</v>
      </c>
      <c r="F2502" s="209" t="s">
        <v>1225</v>
      </c>
      <c r="G2502" s="217" t="s">
        <v>859</v>
      </c>
      <c r="H2502" s="211" t="s">
        <v>4072</v>
      </c>
      <c r="I2502" s="156" t="s">
        <v>26</v>
      </c>
      <c r="J2502" s="209" t="s">
        <v>4073</v>
      </c>
      <c r="K2502" s="211" t="s">
        <v>1486</v>
      </c>
    </row>
    <row r="2503" spans="1:11" ht="33.75">
      <c r="A2503" s="204">
        <v>2501</v>
      </c>
      <c r="B2503" s="205">
        <v>46048</v>
      </c>
      <c r="C2503" s="267" t="s">
        <v>823</v>
      </c>
      <c r="D2503" s="204">
        <v>2026</v>
      </c>
      <c r="E2503" s="204" t="s">
        <v>1431</v>
      </c>
      <c r="F2503" s="204" t="s">
        <v>21</v>
      </c>
      <c r="G2503" s="213" t="s">
        <v>821</v>
      </c>
      <c r="H2503" s="207" t="s">
        <v>4074</v>
      </c>
      <c r="I2503" s="156" t="s">
        <v>26</v>
      </c>
      <c r="J2503" s="204" t="s">
        <v>468</v>
      </c>
      <c r="K2503" s="207"/>
    </row>
    <row r="2504" spans="1:11" ht="117">
      <c r="A2504" s="204">
        <v>2502</v>
      </c>
      <c r="B2504" s="208">
        <v>46048</v>
      </c>
      <c r="C2504" s="267" t="s">
        <v>823</v>
      </c>
      <c r="D2504" s="204">
        <v>2026</v>
      </c>
      <c r="E2504" s="209" t="s">
        <v>1431</v>
      </c>
      <c r="F2504" s="209" t="s">
        <v>1506</v>
      </c>
      <c r="G2504" s="210" t="s">
        <v>88</v>
      </c>
      <c r="H2504" s="211" t="s">
        <v>4075</v>
      </c>
      <c r="I2504" s="156" t="s">
        <v>26</v>
      </c>
      <c r="J2504" s="209" t="s">
        <v>1904</v>
      </c>
      <c r="K2504" s="211" t="s">
        <v>1451</v>
      </c>
    </row>
    <row r="2505" spans="1:11" ht="50.25">
      <c r="A2505" s="204">
        <v>2503</v>
      </c>
      <c r="B2505" s="205">
        <v>46048</v>
      </c>
      <c r="C2505" s="267" t="s">
        <v>823</v>
      </c>
      <c r="D2505" s="204">
        <v>2026</v>
      </c>
      <c r="E2505" s="204" t="s">
        <v>1431</v>
      </c>
      <c r="F2505" s="204" t="s">
        <v>1506</v>
      </c>
      <c r="G2505" s="214" t="s">
        <v>859</v>
      </c>
      <c r="H2505" s="207" t="s">
        <v>4076</v>
      </c>
      <c r="I2505" s="156" t="s">
        <v>26</v>
      </c>
      <c r="J2505" s="204" t="s">
        <v>1904</v>
      </c>
      <c r="K2505" s="207"/>
    </row>
    <row r="2506" spans="1:11" ht="117">
      <c r="A2506" s="204">
        <v>2504</v>
      </c>
      <c r="B2506" s="208">
        <v>46048</v>
      </c>
      <c r="C2506" s="267" t="s">
        <v>823</v>
      </c>
      <c r="D2506" s="204">
        <v>2026</v>
      </c>
      <c r="E2506" s="209" t="s">
        <v>1431</v>
      </c>
      <c r="F2506" s="209" t="s">
        <v>21</v>
      </c>
      <c r="G2506" s="213" t="s">
        <v>821</v>
      </c>
      <c r="H2506" s="211" t="s">
        <v>4077</v>
      </c>
      <c r="I2506" s="156" t="s">
        <v>26</v>
      </c>
      <c r="J2506" s="209" t="s">
        <v>468</v>
      </c>
      <c r="K2506" s="211" t="s">
        <v>1446</v>
      </c>
    </row>
    <row r="2507" spans="1:11" ht="117">
      <c r="A2507" s="204">
        <v>2505</v>
      </c>
      <c r="B2507" s="205">
        <v>46048</v>
      </c>
      <c r="C2507" s="267" t="s">
        <v>823</v>
      </c>
      <c r="D2507" s="204">
        <v>2026</v>
      </c>
      <c r="E2507" s="204" t="s">
        <v>1431</v>
      </c>
      <c r="F2507" s="204" t="s">
        <v>1449</v>
      </c>
      <c r="G2507" s="206" t="s">
        <v>88</v>
      </c>
      <c r="H2507" s="207" t="s">
        <v>4078</v>
      </c>
      <c r="I2507" s="156" t="s">
        <v>26</v>
      </c>
      <c r="J2507" s="204" t="s">
        <v>2593</v>
      </c>
      <c r="K2507" s="207" t="s">
        <v>1522</v>
      </c>
    </row>
    <row r="2508" spans="1:11" ht="117">
      <c r="A2508" s="204">
        <v>2506</v>
      </c>
      <c r="B2508" s="208">
        <v>46048</v>
      </c>
      <c r="C2508" s="267" t="s">
        <v>823</v>
      </c>
      <c r="D2508" s="204">
        <v>2026</v>
      </c>
      <c r="E2508" s="209" t="s">
        <v>1431</v>
      </c>
      <c r="F2508" s="209" t="s">
        <v>1449</v>
      </c>
      <c r="G2508" s="210" t="s">
        <v>88</v>
      </c>
      <c r="H2508" s="211" t="s">
        <v>4079</v>
      </c>
      <c r="I2508" s="156" t="s">
        <v>26</v>
      </c>
      <c r="J2508" s="209" t="s">
        <v>2593</v>
      </c>
      <c r="K2508" s="211" t="s">
        <v>1451</v>
      </c>
    </row>
    <row r="2509" spans="1:11" ht="117">
      <c r="A2509" s="204">
        <v>2507</v>
      </c>
      <c r="B2509" s="205">
        <v>46048</v>
      </c>
      <c r="C2509" s="267" t="s">
        <v>823</v>
      </c>
      <c r="D2509" s="204">
        <v>2026</v>
      </c>
      <c r="E2509" s="204" t="s">
        <v>1431</v>
      </c>
      <c r="F2509" s="204" t="s">
        <v>1449</v>
      </c>
      <c r="G2509" s="206" t="s">
        <v>88</v>
      </c>
      <c r="H2509" s="207" t="s">
        <v>4080</v>
      </c>
      <c r="I2509" s="156" t="s">
        <v>26</v>
      </c>
      <c r="J2509" s="204" t="s">
        <v>2593</v>
      </c>
      <c r="K2509" s="207" t="s">
        <v>1510</v>
      </c>
    </row>
    <row r="2510" spans="1:11" ht="66.75">
      <c r="A2510" s="204">
        <v>2508</v>
      </c>
      <c r="B2510" s="208">
        <v>46048</v>
      </c>
      <c r="C2510" s="267" t="s">
        <v>823</v>
      </c>
      <c r="D2510" s="204">
        <v>2026</v>
      </c>
      <c r="E2510" s="209" t="s">
        <v>1431</v>
      </c>
      <c r="F2510" s="209" t="s">
        <v>1449</v>
      </c>
      <c r="G2510" s="217" t="s">
        <v>859</v>
      </c>
      <c r="H2510" s="211" t="s">
        <v>4081</v>
      </c>
      <c r="I2510" s="156" t="s">
        <v>26</v>
      </c>
      <c r="J2510" s="209" t="s">
        <v>2593</v>
      </c>
      <c r="K2510" s="211"/>
    </row>
    <row r="2511" spans="1:11" ht="100.5">
      <c r="A2511" s="204">
        <v>2509</v>
      </c>
      <c r="B2511" s="205">
        <v>46048</v>
      </c>
      <c r="C2511" s="267" t="s">
        <v>823</v>
      </c>
      <c r="D2511" s="204">
        <v>2026</v>
      </c>
      <c r="E2511" s="204" t="s">
        <v>1431</v>
      </c>
      <c r="F2511" s="204" t="s">
        <v>1566</v>
      </c>
      <c r="G2511" s="206" t="s">
        <v>88</v>
      </c>
      <c r="H2511" s="207" t="s">
        <v>4082</v>
      </c>
      <c r="I2511" s="156" t="s">
        <v>26</v>
      </c>
      <c r="J2511" s="204" t="s">
        <v>1453</v>
      </c>
      <c r="K2511" s="207" t="s">
        <v>1478</v>
      </c>
    </row>
    <row r="2512" spans="1:11" ht="66.75">
      <c r="A2512" s="204">
        <v>2510</v>
      </c>
      <c r="B2512" s="208">
        <v>46048</v>
      </c>
      <c r="C2512" s="267" t="s">
        <v>823</v>
      </c>
      <c r="D2512" s="204">
        <v>2026</v>
      </c>
      <c r="E2512" s="209" t="s">
        <v>1431</v>
      </c>
      <c r="F2512" s="209" t="s">
        <v>1566</v>
      </c>
      <c r="G2512" s="210" t="s">
        <v>88</v>
      </c>
      <c r="H2512" s="211" t="s">
        <v>4083</v>
      </c>
      <c r="I2512" s="156" t="s">
        <v>26</v>
      </c>
      <c r="J2512" s="209" t="s">
        <v>1453</v>
      </c>
      <c r="K2512" s="211" t="s">
        <v>1548</v>
      </c>
    </row>
    <row r="2513" spans="1:11" ht="117">
      <c r="A2513" s="204">
        <v>2511</v>
      </c>
      <c r="B2513" s="205">
        <v>46048</v>
      </c>
      <c r="C2513" s="267" t="s">
        <v>823</v>
      </c>
      <c r="D2513" s="204">
        <v>2026</v>
      </c>
      <c r="E2513" s="204" t="s">
        <v>1431</v>
      </c>
      <c r="F2513" s="204" t="s">
        <v>1566</v>
      </c>
      <c r="G2513" s="206" t="s">
        <v>88</v>
      </c>
      <c r="H2513" s="207" t="s">
        <v>4084</v>
      </c>
      <c r="I2513" s="156" t="s">
        <v>26</v>
      </c>
      <c r="J2513" s="204" t="s">
        <v>1453</v>
      </c>
      <c r="K2513" s="207" t="s">
        <v>1451</v>
      </c>
    </row>
    <row r="2514" spans="1:11" ht="33.75">
      <c r="A2514" s="204">
        <v>2512</v>
      </c>
      <c r="B2514" s="208">
        <v>46048</v>
      </c>
      <c r="C2514" s="267" t="s">
        <v>823</v>
      </c>
      <c r="D2514" s="204">
        <v>2026</v>
      </c>
      <c r="E2514" s="209" t="s">
        <v>1431</v>
      </c>
      <c r="F2514" s="209" t="s">
        <v>216</v>
      </c>
      <c r="G2514" s="210" t="s">
        <v>88</v>
      </c>
      <c r="H2514" s="211" t="s">
        <v>4085</v>
      </c>
      <c r="I2514" s="156" t="s">
        <v>26</v>
      </c>
      <c r="J2514" s="209" t="s">
        <v>3600</v>
      </c>
      <c r="K2514" s="211"/>
    </row>
    <row r="2515" spans="1:11" ht="50.25">
      <c r="A2515" s="204">
        <v>2513</v>
      </c>
      <c r="B2515" s="205">
        <v>46048</v>
      </c>
      <c r="C2515" s="267" t="s">
        <v>823</v>
      </c>
      <c r="D2515" s="204">
        <v>2026</v>
      </c>
      <c r="E2515" s="204" t="s">
        <v>2224</v>
      </c>
      <c r="F2515" s="204" t="s">
        <v>216</v>
      </c>
      <c r="G2515" s="213" t="s">
        <v>821</v>
      </c>
      <c r="H2515" s="207" t="s">
        <v>4086</v>
      </c>
      <c r="I2515" s="156" t="s">
        <v>26</v>
      </c>
      <c r="J2515" s="204" t="s">
        <v>3600</v>
      </c>
      <c r="K2515" s="207"/>
    </row>
    <row r="2516" spans="1:11" ht="84">
      <c r="A2516" s="204">
        <v>2514</v>
      </c>
      <c r="B2516" s="208">
        <v>46048</v>
      </c>
      <c r="C2516" s="267" t="s">
        <v>823</v>
      </c>
      <c r="D2516" s="204">
        <v>2026</v>
      </c>
      <c r="E2516" s="209" t="s">
        <v>2224</v>
      </c>
      <c r="F2516" s="209" t="s">
        <v>21</v>
      </c>
      <c r="G2516" s="213" t="s">
        <v>821</v>
      </c>
      <c r="H2516" s="211" t="s">
        <v>4087</v>
      </c>
      <c r="I2516" s="156" t="s">
        <v>26</v>
      </c>
      <c r="J2516" s="209" t="s">
        <v>468</v>
      </c>
      <c r="K2516" s="211"/>
    </row>
    <row r="2517" spans="1:11" ht="33.75">
      <c r="A2517" s="204">
        <v>2515</v>
      </c>
      <c r="B2517" s="205">
        <v>46048</v>
      </c>
      <c r="C2517" s="267" t="s">
        <v>823</v>
      </c>
      <c r="D2517" s="204">
        <v>2026</v>
      </c>
      <c r="E2517" s="204" t="s">
        <v>1431</v>
      </c>
      <c r="F2517" s="204" t="s">
        <v>1449</v>
      </c>
      <c r="G2517" s="206" t="s">
        <v>88</v>
      </c>
      <c r="H2517" s="207" t="s">
        <v>4088</v>
      </c>
      <c r="I2517" s="156" t="s">
        <v>26</v>
      </c>
      <c r="J2517" s="204" t="s">
        <v>2593</v>
      </c>
      <c r="K2517" s="207"/>
    </row>
    <row r="2518" spans="1:11" ht="117">
      <c r="A2518" s="204">
        <v>2516</v>
      </c>
      <c r="B2518" s="208">
        <v>46048</v>
      </c>
      <c r="C2518" s="267" t="s">
        <v>823</v>
      </c>
      <c r="D2518" s="204">
        <v>2026</v>
      </c>
      <c r="E2518" s="209" t="s">
        <v>1431</v>
      </c>
      <c r="F2518" s="209" t="s">
        <v>1449</v>
      </c>
      <c r="G2518" s="210" t="s">
        <v>88</v>
      </c>
      <c r="H2518" s="211" t="s">
        <v>4089</v>
      </c>
      <c r="I2518" s="156" t="s">
        <v>26</v>
      </c>
      <c r="J2518" s="209" t="s">
        <v>2593</v>
      </c>
      <c r="K2518" s="211" t="s">
        <v>1522</v>
      </c>
    </row>
    <row r="2519" spans="1:11" ht="33.75">
      <c r="A2519" s="204">
        <v>2517</v>
      </c>
      <c r="B2519" s="205">
        <v>46049</v>
      </c>
      <c r="C2519" s="267" t="s">
        <v>823</v>
      </c>
      <c r="D2519" s="204">
        <v>2026</v>
      </c>
      <c r="E2519" s="204" t="s">
        <v>1431</v>
      </c>
      <c r="F2519" s="204" t="s">
        <v>1225</v>
      </c>
      <c r="G2519" s="212" t="s">
        <v>1439</v>
      </c>
      <c r="H2519" s="207" t="s">
        <v>4090</v>
      </c>
      <c r="I2519" s="156" t="s">
        <v>26</v>
      </c>
      <c r="J2519" s="204" t="s">
        <v>925</v>
      </c>
      <c r="K2519" s="207"/>
    </row>
    <row r="2520" spans="1:11" ht="66.75">
      <c r="A2520" s="204">
        <v>2518</v>
      </c>
      <c r="B2520" s="208">
        <v>46049</v>
      </c>
      <c r="C2520" s="267" t="s">
        <v>823</v>
      </c>
      <c r="D2520" s="204">
        <v>2026</v>
      </c>
      <c r="E2520" s="209" t="s">
        <v>1431</v>
      </c>
      <c r="F2520" s="209" t="s">
        <v>3950</v>
      </c>
      <c r="G2520" s="212" t="s">
        <v>1439</v>
      </c>
      <c r="H2520" s="211" t="s">
        <v>4091</v>
      </c>
      <c r="I2520" s="156" t="s">
        <v>26</v>
      </c>
      <c r="J2520" s="209" t="s">
        <v>3852</v>
      </c>
      <c r="K2520" s="211"/>
    </row>
    <row r="2521" spans="1:11" ht="150.75">
      <c r="A2521" s="204">
        <v>2519</v>
      </c>
      <c r="B2521" s="205">
        <v>46049</v>
      </c>
      <c r="C2521" s="267" t="s">
        <v>823</v>
      </c>
      <c r="D2521" s="204">
        <v>2026</v>
      </c>
      <c r="E2521" s="204" t="s">
        <v>1431</v>
      </c>
      <c r="F2521" s="204" t="s">
        <v>21</v>
      </c>
      <c r="G2521" s="213" t="s">
        <v>821</v>
      </c>
      <c r="H2521" s="207" t="s">
        <v>4092</v>
      </c>
      <c r="I2521" s="156" t="s">
        <v>26</v>
      </c>
      <c r="J2521" s="204" t="s">
        <v>468</v>
      </c>
      <c r="K2521" s="207" t="s">
        <v>1513</v>
      </c>
    </row>
    <row r="2522" spans="1:11" ht="50.25">
      <c r="A2522" s="204">
        <v>2520</v>
      </c>
      <c r="B2522" s="208">
        <v>46049</v>
      </c>
      <c r="C2522" s="267" t="s">
        <v>823</v>
      </c>
      <c r="D2522" s="204">
        <v>2026</v>
      </c>
      <c r="E2522" s="209" t="s">
        <v>1431</v>
      </c>
      <c r="F2522" s="209" t="s">
        <v>2244</v>
      </c>
      <c r="G2522" s="212" t="s">
        <v>1439</v>
      </c>
      <c r="H2522" s="211" t="s">
        <v>4093</v>
      </c>
      <c r="I2522" s="156" t="s">
        <v>26</v>
      </c>
      <c r="J2522" s="209" t="s">
        <v>916</v>
      </c>
      <c r="K2522" s="211"/>
    </row>
    <row r="2523" spans="1:11" ht="66.75">
      <c r="A2523" s="204">
        <v>2521</v>
      </c>
      <c r="B2523" s="205">
        <v>46049</v>
      </c>
      <c r="C2523" s="267" t="s">
        <v>823</v>
      </c>
      <c r="D2523" s="204">
        <v>2026</v>
      </c>
      <c r="E2523" s="204" t="s">
        <v>1431</v>
      </c>
      <c r="F2523" s="204" t="s">
        <v>988</v>
      </c>
      <c r="G2523" s="213" t="s">
        <v>821</v>
      </c>
      <c r="H2523" s="207" t="s">
        <v>4094</v>
      </c>
      <c r="I2523" s="156" t="s">
        <v>26</v>
      </c>
      <c r="J2523" s="204" t="s">
        <v>1436</v>
      </c>
      <c r="K2523" s="207"/>
    </row>
    <row r="2524" spans="1:11" ht="117">
      <c r="A2524" s="204">
        <v>2522</v>
      </c>
      <c r="B2524" s="208">
        <v>46049</v>
      </c>
      <c r="C2524" s="267" t="s">
        <v>823</v>
      </c>
      <c r="D2524" s="204">
        <v>2026</v>
      </c>
      <c r="E2524" s="209" t="s">
        <v>1431</v>
      </c>
      <c r="F2524" s="209" t="s">
        <v>1449</v>
      </c>
      <c r="G2524" s="210" t="s">
        <v>88</v>
      </c>
      <c r="H2524" s="211" t="s">
        <v>4095</v>
      </c>
      <c r="I2524" s="156" t="s">
        <v>26</v>
      </c>
      <c r="J2524" s="209" t="s">
        <v>2739</v>
      </c>
      <c r="K2524" s="211" t="s">
        <v>1510</v>
      </c>
    </row>
    <row r="2525" spans="1:11" ht="66.75">
      <c r="A2525" s="204">
        <v>2523</v>
      </c>
      <c r="B2525" s="205">
        <v>46049</v>
      </c>
      <c r="C2525" s="267" t="s">
        <v>823</v>
      </c>
      <c r="D2525" s="204">
        <v>2026</v>
      </c>
      <c r="E2525" s="204" t="s">
        <v>2224</v>
      </c>
      <c r="F2525" s="204" t="s">
        <v>1449</v>
      </c>
      <c r="G2525" s="206" t="s">
        <v>88</v>
      </c>
      <c r="H2525" s="207" t="s">
        <v>4096</v>
      </c>
      <c r="I2525" s="156" t="s">
        <v>26</v>
      </c>
      <c r="J2525" s="204" t="s">
        <v>2739</v>
      </c>
      <c r="K2525" s="207"/>
    </row>
    <row r="2526" spans="1:11" ht="117">
      <c r="A2526" s="204">
        <v>2524</v>
      </c>
      <c r="B2526" s="208">
        <v>46049</v>
      </c>
      <c r="C2526" s="267" t="s">
        <v>823</v>
      </c>
      <c r="D2526" s="204">
        <v>2026</v>
      </c>
      <c r="E2526" s="209" t="s">
        <v>2224</v>
      </c>
      <c r="F2526" s="209" t="s">
        <v>21</v>
      </c>
      <c r="G2526" s="213" t="s">
        <v>821</v>
      </c>
      <c r="H2526" s="211" t="s">
        <v>4097</v>
      </c>
      <c r="I2526" s="156" t="s">
        <v>26</v>
      </c>
      <c r="J2526" s="209" t="s">
        <v>2735</v>
      </c>
      <c r="K2526" s="211" t="s">
        <v>1482</v>
      </c>
    </row>
    <row r="2527" spans="1:11" ht="100.5">
      <c r="A2527" s="204">
        <v>2525</v>
      </c>
      <c r="B2527" s="205">
        <v>46049</v>
      </c>
      <c r="C2527" s="267" t="s">
        <v>823</v>
      </c>
      <c r="D2527" s="204">
        <v>2026</v>
      </c>
      <c r="E2527" s="204" t="s">
        <v>1431</v>
      </c>
      <c r="F2527" s="204" t="s">
        <v>1566</v>
      </c>
      <c r="G2527" s="206" t="s">
        <v>88</v>
      </c>
      <c r="H2527" s="207" t="s">
        <v>4098</v>
      </c>
      <c r="I2527" s="156" t="s">
        <v>26</v>
      </c>
      <c r="J2527" s="204" t="s">
        <v>1453</v>
      </c>
      <c r="K2527" s="207" t="s">
        <v>1478</v>
      </c>
    </row>
    <row r="2528" spans="1:11" ht="66.75">
      <c r="A2528" s="204">
        <v>2526</v>
      </c>
      <c r="B2528" s="208">
        <v>46049</v>
      </c>
      <c r="C2528" s="267" t="s">
        <v>823</v>
      </c>
      <c r="D2528" s="204">
        <v>2026</v>
      </c>
      <c r="E2528" s="209" t="s">
        <v>1431</v>
      </c>
      <c r="F2528" s="209" t="s">
        <v>1566</v>
      </c>
      <c r="G2528" s="210" t="s">
        <v>88</v>
      </c>
      <c r="H2528" s="211" t="s">
        <v>4099</v>
      </c>
      <c r="I2528" s="156" t="s">
        <v>26</v>
      </c>
      <c r="J2528" s="209" t="s">
        <v>1453</v>
      </c>
      <c r="K2528" s="211" t="s">
        <v>1548</v>
      </c>
    </row>
    <row r="2529" spans="1:11" ht="84">
      <c r="A2529" s="204">
        <v>2527</v>
      </c>
      <c r="B2529" s="205">
        <v>46050</v>
      </c>
      <c r="C2529" s="267" t="s">
        <v>823</v>
      </c>
      <c r="D2529" s="204">
        <v>2026</v>
      </c>
      <c r="E2529" s="204" t="s">
        <v>1431</v>
      </c>
      <c r="F2529" s="204" t="s">
        <v>2585</v>
      </c>
      <c r="G2529" s="206" t="s">
        <v>88</v>
      </c>
      <c r="H2529" s="207" t="s">
        <v>4100</v>
      </c>
      <c r="I2529" s="156" t="s">
        <v>26</v>
      </c>
      <c r="J2529" s="204" t="s">
        <v>452</v>
      </c>
      <c r="K2529" s="207" t="s">
        <v>1500</v>
      </c>
    </row>
    <row r="2530" spans="1:11" ht="33.75">
      <c r="A2530" s="204">
        <v>2528</v>
      </c>
      <c r="B2530" s="208">
        <v>46050</v>
      </c>
      <c r="C2530" s="267" t="s">
        <v>823</v>
      </c>
      <c r="D2530" s="204">
        <v>2026</v>
      </c>
      <c r="E2530" s="209" t="s">
        <v>1431</v>
      </c>
      <c r="F2530" s="209" t="s">
        <v>1225</v>
      </c>
      <c r="G2530" s="212" t="s">
        <v>1439</v>
      </c>
      <c r="H2530" s="211" t="s">
        <v>4101</v>
      </c>
      <c r="I2530" s="156" t="s">
        <v>26</v>
      </c>
      <c r="J2530" s="209" t="s">
        <v>925</v>
      </c>
      <c r="K2530" s="211"/>
    </row>
    <row r="2531" spans="1:11" ht="134.25">
      <c r="A2531" s="204">
        <v>2529</v>
      </c>
      <c r="B2531" s="205">
        <v>46050</v>
      </c>
      <c r="C2531" s="267" t="s">
        <v>823</v>
      </c>
      <c r="D2531" s="204">
        <v>2026</v>
      </c>
      <c r="E2531" s="204" t="s">
        <v>1431</v>
      </c>
      <c r="F2531" s="204" t="s">
        <v>2595</v>
      </c>
      <c r="G2531" s="212" t="s">
        <v>1439</v>
      </c>
      <c r="H2531" s="207" t="s">
        <v>4102</v>
      </c>
      <c r="I2531" s="156" t="s">
        <v>26</v>
      </c>
      <c r="J2531" s="204" t="s">
        <v>578</v>
      </c>
      <c r="K2531" s="207" t="s">
        <v>1442</v>
      </c>
    </row>
    <row r="2532" spans="1:11" ht="33.75">
      <c r="A2532" s="204">
        <v>2530</v>
      </c>
      <c r="B2532" s="208">
        <v>46050</v>
      </c>
      <c r="C2532" s="267" t="s">
        <v>823</v>
      </c>
      <c r="D2532" s="204">
        <v>2026</v>
      </c>
      <c r="E2532" s="209" t="s">
        <v>1431</v>
      </c>
      <c r="F2532" s="209" t="s">
        <v>3950</v>
      </c>
      <c r="G2532" s="210" t="s">
        <v>88</v>
      </c>
      <c r="H2532" s="211" t="s">
        <v>4103</v>
      </c>
      <c r="I2532" s="156" t="s">
        <v>26</v>
      </c>
      <c r="J2532" s="209" t="s">
        <v>3758</v>
      </c>
      <c r="K2532" s="211"/>
    </row>
    <row r="2533" spans="1:11" ht="66.75">
      <c r="A2533" s="204">
        <v>2531</v>
      </c>
      <c r="B2533" s="205">
        <v>46050</v>
      </c>
      <c r="C2533" s="267" t="s">
        <v>823</v>
      </c>
      <c r="D2533" s="204">
        <v>2026</v>
      </c>
      <c r="E2533" s="204" t="s">
        <v>1431</v>
      </c>
      <c r="F2533" s="204" t="s">
        <v>1511</v>
      </c>
      <c r="G2533" s="206" t="s">
        <v>88</v>
      </c>
      <c r="H2533" s="207" t="s">
        <v>4104</v>
      </c>
      <c r="I2533" s="156" t="s">
        <v>26</v>
      </c>
      <c r="J2533" s="204" t="s">
        <v>4105</v>
      </c>
      <c r="K2533" s="207" t="s">
        <v>1548</v>
      </c>
    </row>
    <row r="2534" spans="1:11" ht="84">
      <c r="A2534" s="204">
        <v>2532</v>
      </c>
      <c r="B2534" s="208">
        <v>46050</v>
      </c>
      <c r="C2534" s="267" t="s">
        <v>823</v>
      </c>
      <c r="D2534" s="204">
        <v>2026</v>
      </c>
      <c r="E2534" s="209" t="s">
        <v>1431</v>
      </c>
      <c r="F2534" s="209" t="s">
        <v>1518</v>
      </c>
      <c r="G2534" s="213" t="s">
        <v>821</v>
      </c>
      <c r="H2534" s="211" t="s">
        <v>4106</v>
      </c>
      <c r="I2534" s="156" t="s">
        <v>26</v>
      </c>
      <c r="J2534" s="209" t="s">
        <v>3920</v>
      </c>
      <c r="K2534" s="211" t="s">
        <v>1444</v>
      </c>
    </row>
    <row r="2535" spans="1:11" ht="33.75">
      <c r="A2535" s="204">
        <v>2533</v>
      </c>
      <c r="B2535" s="205">
        <v>46050</v>
      </c>
      <c r="C2535" s="267" t="s">
        <v>823</v>
      </c>
      <c r="D2535" s="204">
        <v>2026</v>
      </c>
      <c r="E2535" s="204" t="s">
        <v>1431</v>
      </c>
      <c r="F2535" s="204" t="s">
        <v>21</v>
      </c>
      <c r="G2535" s="213" t="s">
        <v>821</v>
      </c>
      <c r="H2535" s="207" t="s">
        <v>4107</v>
      </c>
      <c r="I2535" s="156" t="s">
        <v>26</v>
      </c>
      <c r="J2535" s="204" t="s">
        <v>468</v>
      </c>
      <c r="K2535" s="207"/>
    </row>
    <row r="2536" spans="1:11" ht="100.5">
      <c r="A2536" s="204">
        <v>2534</v>
      </c>
      <c r="B2536" s="208">
        <v>46050</v>
      </c>
      <c r="C2536" s="267" t="s">
        <v>823</v>
      </c>
      <c r="D2536" s="204">
        <v>2026</v>
      </c>
      <c r="E2536" s="209" t="s">
        <v>1431</v>
      </c>
      <c r="F2536" s="209" t="s">
        <v>1566</v>
      </c>
      <c r="G2536" s="210" t="s">
        <v>88</v>
      </c>
      <c r="H2536" s="211" t="s">
        <v>4108</v>
      </c>
      <c r="I2536" s="156" t="s">
        <v>26</v>
      </c>
      <c r="J2536" s="209" t="s">
        <v>1453</v>
      </c>
      <c r="K2536" s="211" t="s">
        <v>1472</v>
      </c>
    </row>
    <row r="2537" spans="1:11" ht="84">
      <c r="A2537" s="204">
        <v>2535</v>
      </c>
      <c r="B2537" s="205">
        <v>46050</v>
      </c>
      <c r="C2537" s="267" t="s">
        <v>823</v>
      </c>
      <c r="D2537" s="204">
        <v>2026</v>
      </c>
      <c r="E2537" s="204" t="s">
        <v>2224</v>
      </c>
      <c r="F2537" s="204" t="s">
        <v>21</v>
      </c>
      <c r="G2537" s="213" t="s">
        <v>821</v>
      </c>
      <c r="H2537" s="207" t="s">
        <v>4109</v>
      </c>
      <c r="I2537" s="156" t="s">
        <v>26</v>
      </c>
      <c r="J2537" s="204" t="s">
        <v>149</v>
      </c>
      <c r="K2537" s="207"/>
    </row>
    <row r="2538" spans="1:11" ht="100.5">
      <c r="A2538" s="204">
        <v>2536</v>
      </c>
      <c r="B2538" s="208">
        <v>46050</v>
      </c>
      <c r="C2538" s="267" t="s">
        <v>823</v>
      </c>
      <c r="D2538" s="204">
        <v>2026</v>
      </c>
      <c r="E2538" s="209" t="s">
        <v>2224</v>
      </c>
      <c r="F2538" s="209" t="s">
        <v>988</v>
      </c>
      <c r="G2538" s="217" t="s">
        <v>859</v>
      </c>
      <c r="H2538" s="211" t="s">
        <v>4110</v>
      </c>
      <c r="I2538" s="156" t="s">
        <v>26</v>
      </c>
      <c r="J2538" s="209" t="s">
        <v>2568</v>
      </c>
      <c r="K2538" s="211" t="s">
        <v>1476</v>
      </c>
    </row>
    <row r="2539" spans="1:11" ht="50.25">
      <c r="A2539" s="204">
        <v>2537</v>
      </c>
      <c r="B2539" s="205">
        <v>46050</v>
      </c>
      <c r="C2539" s="267" t="s">
        <v>823</v>
      </c>
      <c r="D2539" s="204">
        <v>2026</v>
      </c>
      <c r="E2539" s="204" t="s">
        <v>2224</v>
      </c>
      <c r="F2539" s="204" t="s">
        <v>3011</v>
      </c>
      <c r="G2539" s="214" t="s">
        <v>859</v>
      </c>
      <c r="H2539" s="207" t="s">
        <v>4111</v>
      </c>
      <c r="I2539" s="156" t="s">
        <v>26</v>
      </c>
      <c r="J2539" s="204" t="s">
        <v>2568</v>
      </c>
      <c r="K2539" s="207"/>
    </row>
    <row r="2540" spans="1:11" ht="84">
      <c r="A2540" s="204">
        <v>2538</v>
      </c>
      <c r="B2540" s="208">
        <v>46050</v>
      </c>
      <c r="C2540" s="267" t="s">
        <v>823</v>
      </c>
      <c r="D2540" s="204">
        <v>2026</v>
      </c>
      <c r="E2540" s="209" t="s">
        <v>2224</v>
      </c>
      <c r="F2540" s="209" t="s">
        <v>1566</v>
      </c>
      <c r="G2540" s="210" t="s">
        <v>88</v>
      </c>
      <c r="H2540" s="211" t="s">
        <v>4112</v>
      </c>
      <c r="I2540" s="156" t="s">
        <v>26</v>
      </c>
      <c r="J2540" s="209" t="s">
        <v>1453</v>
      </c>
      <c r="K2540" s="211" t="s">
        <v>1500</v>
      </c>
    </row>
    <row r="2541" spans="1:11" ht="50.25">
      <c r="A2541" s="204">
        <v>2539</v>
      </c>
      <c r="B2541" s="205">
        <v>46050</v>
      </c>
      <c r="C2541" s="267" t="s">
        <v>823</v>
      </c>
      <c r="D2541" s="204">
        <v>2026</v>
      </c>
      <c r="E2541" s="204" t="s">
        <v>1431</v>
      </c>
      <c r="F2541" s="204" t="s">
        <v>1449</v>
      </c>
      <c r="G2541" s="213" t="s">
        <v>821</v>
      </c>
      <c r="H2541" s="207" t="s">
        <v>4113</v>
      </c>
      <c r="I2541" s="156" t="s">
        <v>26</v>
      </c>
      <c r="J2541" s="204" t="s">
        <v>2593</v>
      </c>
      <c r="K2541" s="207"/>
    </row>
    <row r="2542" spans="1:11" ht="50.25">
      <c r="A2542" s="204">
        <v>2540</v>
      </c>
      <c r="B2542" s="208">
        <v>46050</v>
      </c>
      <c r="C2542" s="267" t="s">
        <v>823</v>
      </c>
      <c r="D2542" s="204">
        <v>2026</v>
      </c>
      <c r="E2542" s="209" t="s">
        <v>1431</v>
      </c>
      <c r="F2542" s="209" t="s">
        <v>1449</v>
      </c>
      <c r="G2542" s="210" t="s">
        <v>88</v>
      </c>
      <c r="H2542" s="211" t="s">
        <v>4114</v>
      </c>
      <c r="I2542" s="156" t="s">
        <v>26</v>
      </c>
      <c r="J2542" s="209" t="s">
        <v>2593</v>
      </c>
      <c r="K2542" s="211"/>
    </row>
    <row r="2543" spans="1:11" ht="16.5">
      <c r="A2543" s="204">
        <v>2541</v>
      </c>
      <c r="B2543" s="205">
        <v>46050</v>
      </c>
      <c r="C2543" s="267" t="s">
        <v>823</v>
      </c>
      <c r="D2543" s="204">
        <v>2026</v>
      </c>
      <c r="E2543" s="204" t="s">
        <v>1431</v>
      </c>
      <c r="F2543" s="204" t="s">
        <v>1449</v>
      </c>
      <c r="G2543" s="206" t="s">
        <v>88</v>
      </c>
      <c r="H2543" s="207" t="s">
        <v>4115</v>
      </c>
      <c r="I2543" s="156" t="s">
        <v>26</v>
      </c>
      <c r="J2543" s="204" t="s">
        <v>2593</v>
      </c>
      <c r="K2543" s="207"/>
    </row>
    <row r="2544" spans="1:11" ht="50.25">
      <c r="A2544" s="204">
        <v>2542</v>
      </c>
      <c r="B2544" s="208">
        <v>46050</v>
      </c>
      <c r="C2544" s="267" t="s">
        <v>823</v>
      </c>
      <c r="D2544" s="204">
        <v>2026</v>
      </c>
      <c r="E2544" s="209" t="s">
        <v>1431</v>
      </c>
      <c r="F2544" s="209" t="s">
        <v>1449</v>
      </c>
      <c r="G2544" s="210" t="s">
        <v>88</v>
      </c>
      <c r="H2544" s="211" t="s">
        <v>4116</v>
      </c>
      <c r="I2544" s="156" t="s">
        <v>26</v>
      </c>
      <c r="J2544" s="209" t="s">
        <v>2593</v>
      </c>
      <c r="K2544" s="211"/>
    </row>
    <row r="2545" spans="1:11" ht="84">
      <c r="A2545" s="204">
        <v>2543</v>
      </c>
      <c r="B2545" s="205">
        <v>46050</v>
      </c>
      <c r="C2545" s="267" t="s">
        <v>823</v>
      </c>
      <c r="D2545" s="204">
        <v>2026</v>
      </c>
      <c r="E2545" s="204" t="s">
        <v>2224</v>
      </c>
      <c r="F2545" s="204" t="s">
        <v>1506</v>
      </c>
      <c r="G2545" s="206" t="s">
        <v>88</v>
      </c>
      <c r="H2545" s="207" t="s">
        <v>4117</v>
      </c>
      <c r="I2545" s="156" t="s">
        <v>26</v>
      </c>
      <c r="J2545" s="204" t="s">
        <v>2568</v>
      </c>
      <c r="K2545" s="207" t="s">
        <v>1500</v>
      </c>
    </row>
    <row r="2546" spans="1:11" ht="66.75">
      <c r="A2546" s="204">
        <v>2544</v>
      </c>
      <c r="B2546" s="208">
        <v>46051</v>
      </c>
      <c r="C2546" s="267" t="s">
        <v>823</v>
      </c>
      <c r="D2546" s="204">
        <v>2026</v>
      </c>
      <c r="E2546" s="209" t="s">
        <v>1431</v>
      </c>
      <c r="F2546" s="209" t="s">
        <v>2585</v>
      </c>
      <c r="G2546" s="210" t="s">
        <v>88</v>
      </c>
      <c r="H2546" s="211" t="s">
        <v>4118</v>
      </c>
      <c r="I2546" s="156" t="s">
        <v>26</v>
      </c>
      <c r="J2546" s="209" t="s">
        <v>452</v>
      </c>
      <c r="K2546" s="211"/>
    </row>
    <row r="2547" spans="1:11" ht="100.5">
      <c r="A2547" s="204">
        <v>2545</v>
      </c>
      <c r="B2547" s="205">
        <v>46051</v>
      </c>
      <c r="C2547" s="267" t="s">
        <v>823</v>
      </c>
      <c r="D2547" s="204">
        <v>2026</v>
      </c>
      <c r="E2547" s="204" t="s">
        <v>1431</v>
      </c>
      <c r="F2547" s="204" t="s">
        <v>2585</v>
      </c>
      <c r="G2547" s="206" t="s">
        <v>88</v>
      </c>
      <c r="H2547" s="207" t="s">
        <v>4119</v>
      </c>
      <c r="I2547" s="156" t="s">
        <v>26</v>
      </c>
      <c r="J2547" s="204" t="s">
        <v>452</v>
      </c>
      <c r="K2547" s="207" t="s">
        <v>1486</v>
      </c>
    </row>
    <row r="2548" spans="1:11" ht="50.25">
      <c r="A2548" s="204">
        <v>2546</v>
      </c>
      <c r="B2548" s="208">
        <v>46051</v>
      </c>
      <c r="C2548" s="267" t="s">
        <v>823</v>
      </c>
      <c r="D2548" s="204">
        <v>2026</v>
      </c>
      <c r="E2548" s="209" t="s">
        <v>1431</v>
      </c>
      <c r="F2548" s="209" t="s">
        <v>216</v>
      </c>
      <c r="G2548" s="213" t="s">
        <v>821</v>
      </c>
      <c r="H2548" s="211" t="s">
        <v>4120</v>
      </c>
      <c r="I2548" s="156" t="s">
        <v>26</v>
      </c>
      <c r="J2548" s="209" t="s">
        <v>3600</v>
      </c>
      <c r="K2548" s="211"/>
    </row>
    <row r="2549" spans="1:11" ht="50.25">
      <c r="A2549" s="204">
        <v>2547</v>
      </c>
      <c r="B2549" s="205">
        <v>46051</v>
      </c>
      <c r="C2549" s="267" t="s">
        <v>823</v>
      </c>
      <c r="D2549" s="204">
        <v>2026</v>
      </c>
      <c r="E2549" s="204" t="s">
        <v>1431</v>
      </c>
      <c r="F2549" s="204" t="s">
        <v>216</v>
      </c>
      <c r="G2549" s="213" t="s">
        <v>821</v>
      </c>
      <c r="H2549" s="207" t="s">
        <v>4121</v>
      </c>
      <c r="I2549" s="156" t="s">
        <v>26</v>
      </c>
      <c r="J2549" s="204" t="s">
        <v>3600</v>
      </c>
      <c r="K2549" s="207"/>
    </row>
    <row r="2550" spans="1:11" ht="33.75">
      <c r="A2550" s="204">
        <v>2548</v>
      </c>
      <c r="B2550" s="208">
        <v>46051</v>
      </c>
      <c r="C2550" s="267" t="s">
        <v>823</v>
      </c>
      <c r="D2550" s="204">
        <v>2026</v>
      </c>
      <c r="E2550" s="209" t="s">
        <v>1431</v>
      </c>
      <c r="F2550" s="209" t="s">
        <v>21</v>
      </c>
      <c r="G2550" s="213" t="s">
        <v>821</v>
      </c>
      <c r="H2550" s="211" t="s">
        <v>4122</v>
      </c>
      <c r="I2550" s="156" t="s">
        <v>26</v>
      </c>
      <c r="J2550" s="209" t="s">
        <v>468</v>
      </c>
      <c r="K2550" s="211"/>
    </row>
    <row r="2551" spans="1:11" ht="150.75">
      <c r="A2551" s="204">
        <v>2549</v>
      </c>
      <c r="B2551" s="205">
        <v>46051</v>
      </c>
      <c r="C2551" s="267" t="s">
        <v>823</v>
      </c>
      <c r="D2551" s="204">
        <v>2026</v>
      </c>
      <c r="E2551" s="204" t="s">
        <v>1431</v>
      </c>
      <c r="F2551" s="204" t="s">
        <v>21</v>
      </c>
      <c r="G2551" s="213" t="s">
        <v>821</v>
      </c>
      <c r="H2551" s="207" t="s">
        <v>4123</v>
      </c>
      <c r="I2551" s="156" t="s">
        <v>26</v>
      </c>
      <c r="J2551" s="204" t="s">
        <v>468</v>
      </c>
      <c r="K2551" s="207" t="s">
        <v>1513</v>
      </c>
    </row>
    <row r="2552" spans="1:11" ht="100.5">
      <c r="A2552" s="204">
        <v>2550</v>
      </c>
      <c r="B2552" s="208">
        <v>46051</v>
      </c>
      <c r="C2552" s="267" t="s">
        <v>823</v>
      </c>
      <c r="D2552" s="204">
        <v>2026</v>
      </c>
      <c r="E2552" s="209" t="s">
        <v>1431</v>
      </c>
      <c r="F2552" s="209" t="s">
        <v>1449</v>
      </c>
      <c r="G2552" s="210" t="s">
        <v>88</v>
      </c>
      <c r="H2552" s="211" t="s">
        <v>4124</v>
      </c>
      <c r="I2552" s="156" t="s">
        <v>26</v>
      </c>
      <c r="J2552" s="209" t="s">
        <v>2593</v>
      </c>
      <c r="K2552" s="211" t="s">
        <v>1472</v>
      </c>
    </row>
    <row r="2553" spans="1:11" ht="117">
      <c r="A2553" s="204">
        <v>2551</v>
      </c>
      <c r="B2553" s="205">
        <v>46051</v>
      </c>
      <c r="C2553" s="267" t="s">
        <v>823</v>
      </c>
      <c r="D2553" s="204">
        <v>2026</v>
      </c>
      <c r="E2553" s="204" t="s">
        <v>1431</v>
      </c>
      <c r="F2553" s="204" t="s">
        <v>1566</v>
      </c>
      <c r="G2553" s="206" t="s">
        <v>88</v>
      </c>
      <c r="H2553" s="207" t="s">
        <v>4125</v>
      </c>
      <c r="I2553" s="156" t="s">
        <v>26</v>
      </c>
      <c r="J2553" s="204" t="s">
        <v>2640</v>
      </c>
      <c r="K2553" s="207" t="s">
        <v>1451</v>
      </c>
    </row>
    <row r="2554" spans="1:11" ht="100.5">
      <c r="A2554" s="204">
        <v>2552</v>
      </c>
      <c r="B2554" s="208">
        <v>46051</v>
      </c>
      <c r="C2554" s="267" t="s">
        <v>823</v>
      </c>
      <c r="D2554" s="204">
        <v>2026</v>
      </c>
      <c r="E2554" s="209" t="s">
        <v>1431</v>
      </c>
      <c r="F2554" s="209" t="s">
        <v>1566</v>
      </c>
      <c r="G2554" s="210" t="s">
        <v>88</v>
      </c>
      <c r="H2554" s="211" t="s">
        <v>4126</v>
      </c>
      <c r="I2554" s="156" t="s">
        <v>26</v>
      </c>
      <c r="J2554" s="209" t="s">
        <v>2640</v>
      </c>
      <c r="K2554" s="211" t="s">
        <v>1454</v>
      </c>
    </row>
    <row r="2555" spans="1:11" ht="100.5">
      <c r="A2555" s="204">
        <v>2553</v>
      </c>
      <c r="B2555" s="205">
        <v>46051</v>
      </c>
      <c r="C2555" s="267" t="s">
        <v>823</v>
      </c>
      <c r="D2555" s="204">
        <v>2026</v>
      </c>
      <c r="E2555" s="204" t="s">
        <v>1431</v>
      </c>
      <c r="F2555" s="204" t="s">
        <v>1566</v>
      </c>
      <c r="G2555" s="206" t="s">
        <v>88</v>
      </c>
      <c r="H2555" s="207" t="s">
        <v>4127</v>
      </c>
      <c r="I2555" s="156" t="s">
        <v>26</v>
      </c>
      <c r="J2555" s="204" t="s">
        <v>2640</v>
      </c>
      <c r="K2555" s="207" t="s">
        <v>1478</v>
      </c>
    </row>
    <row r="2556" spans="1:11" ht="150.75">
      <c r="A2556" s="204">
        <v>2554</v>
      </c>
      <c r="B2556" s="208">
        <v>46051</v>
      </c>
      <c r="C2556" s="267" t="s">
        <v>823</v>
      </c>
      <c r="D2556" s="204">
        <v>2026</v>
      </c>
      <c r="E2556" s="209" t="s">
        <v>3886</v>
      </c>
      <c r="F2556" s="209" t="s">
        <v>97</v>
      </c>
      <c r="G2556" s="213" t="s">
        <v>821</v>
      </c>
      <c r="H2556" s="211" t="s">
        <v>4128</v>
      </c>
      <c r="I2556" s="156" t="s">
        <v>26</v>
      </c>
      <c r="J2556" s="209" t="s">
        <v>3883</v>
      </c>
      <c r="K2556" s="211" t="s">
        <v>1513</v>
      </c>
    </row>
    <row r="2557" spans="1:11" ht="150.75">
      <c r="A2557" s="204">
        <v>2555</v>
      </c>
      <c r="B2557" s="205">
        <v>46051</v>
      </c>
      <c r="C2557" s="267" t="s">
        <v>823</v>
      </c>
      <c r="D2557" s="204">
        <v>2026</v>
      </c>
      <c r="E2557" s="204" t="s">
        <v>3881</v>
      </c>
      <c r="F2557" s="204" t="s">
        <v>97</v>
      </c>
      <c r="G2557" s="213" t="s">
        <v>821</v>
      </c>
      <c r="H2557" s="207" t="s">
        <v>4129</v>
      </c>
      <c r="I2557" s="156" t="s">
        <v>26</v>
      </c>
      <c r="J2557" s="204" t="s">
        <v>3883</v>
      </c>
      <c r="K2557" s="207" t="s">
        <v>1513</v>
      </c>
    </row>
    <row r="2558" spans="1:11" ht="33.75">
      <c r="A2558" s="204">
        <v>2556</v>
      </c>
      <c r="B2558" s="208">
        <v>46051</v>
      </c>
      <c r="C2558" s="267" t="s">
        <v>823</v>
      </c>
      <c r="D2558" s="204">
        <v>2026</v>
      </c>
      <c r="E2558" s="209" t="s">
        <v>2224</v>
      </c>
      <c r="F2558" s="209" t="s">
        <v>216</v>
      </c>
      <c r="G2558" s="213" t="s">
        <v>821</v>
      </c>
      <c r="H2558" s="211" t="s">
        <v>4130</v>
      </c>
      <c r="I2558" s="156" t="s">
        <v>26</v>
      </c>
      <c r="J2558" s="209" t="s">
        <v>2568</v>
      </c>
      <c r="K2558" s="211"/>
    </row>
    <row r="2559" spans="1:11" ht="33.75">
      <c r="A2559" s="204">
        <v>2557</v>
      </c>
      <c r="B2559" s="205">
        <v>46051</v>
      </c>
      <c r="C2559" s="267" t="s">
        <v>823</v>
      </c>
      <c r="D2559" s="204">
        <v>2026</v>
      </c>
      <c r="E2559" s="204" t="s">
        <v>2224</v>
      </c>
      <c r="F2559" s="204" t="s">
        <v>97</v>
      </c>
      <c r="G2559" s="213" t="s">
        <v>821</v>
      </c>
      <c r="H2559" s="207" t="s">
        <v>4131</v>
      </c>
      <c r="I2559" s="156" t="s">
        <v>26</v>
      </c>
      <c r="J2559" s="204" t="s">
        <v>2735</v>
      </c>
      <c r="K2559" s="207"/>
    </row>
    <row r="2560" spans="1:11" ht="33.75">
      <c r="A2560" s="204">
        <v>2558</v>
      </c>
      <c r="B2560" s="208">
        <v>46052</v>
      </c>
      <c r="C2560" s="267" t="s">
        <v>823</v>
      </c>
      <c r="D2560" s="204">
        <v>2026</v>
      </c>
      <c r="E2560" s="209" t="s">
        <v>1431</v>
      </c>
      <c r="F2560" s="209" t="s">
        <v>216</v>
      </c>
      <c r="G2560" s="213" t="s">
        <v>821</v>
      </c>
      <c r="H2560" s="211" t="s">
        <v>4132</v>
      </c>
      <c r="I2560" s="156" t="s">
        <v>26</v>
      </c>
      <c r="J2560" s="209" t="s">
        <v>492</v>
      </c>
      <c r="K2560" s="211"/>
    </row>
    <row r="2561" spans="1:11" ht="84">
      <c r="A2561" s="204">
        <v>2559</v>
      </c>
      <c r="B2561" s="205">
        <v>46052</v>
      </c>
      <c r="C2561" s="267" t="s">
        <v>823</v>
      </c>
      <c r="D2561" s="204">
        <v>2026</v>
      </c>
      <c r="E2561" s="204" t="s">
        <v>1431</v>
      </c>
      <c r="F2561" s="204" t="s">
        <v>1506</v>
      </c>
      <c r="G2561" s="206" t="s">
        <v>88</v>
      </c>
      <c r="H2561" s="207" t="s">
        <v>4133</v>
      </c>
      <c r="I2561" s="156" t="s">
        <v>26</v>
      </c>
      <c r="J2561" s="204" t="s">
        <v>1904</v>
      </c>
      <c r="K2561" s="207" t="s">
        <v>1500</v>
      </c>
    </row>
    <row r="2562" spans="1:11" ht="84">
      <c r="A2562" s="204">
        <v>2560</v>
      </c>
      <c r="B2562" s="208">
        <v>46052</v>
      </c>
      <c r="C2562" s="267" t="s">
        <v>823</v>
      </c>
      <c r="D2562" s="204">
        <v>2026</v>
      </c>
      <c r="E2562" s="209" t="s">
        <v>1431</v>
      </c>
      <c r="F2562" s="209" t="s">
        <v>1518</v>
      </c>
      <c r="G2562" s="213" t="s">
        <v>821</v>
      </c>
      <c r="H2562" s="211" t="s">
        <v>4134</v>
      </c>
      <c r="I2562" s="156" t="s">
        <v>26</v>
      </c>
      <c r="J2562" s="209" t="s">
        <v>3920</v>
      </c>
      <c r="K2562" s="211" t="s">
        <v>1444</v>
      </c>
    </row>
    <row r="2563" spans="1:11" ht="50.25">
      <c r="A2563" s="204">
        <v>2561</v>
      </c>
      <c r="B2563" s="205">
        <v>46052</v>
      </c>
      <c r="C2563" s="267" t="s">
        <v>823</v>
      </c>
      <c r="D2563" s="204">
        <v>2026</v>
      </c>
      <c r="E2563" s="204" t="s">
        <v>1431</v>
      </c>
      <c r="F2563" s="204" t="s">
        <v>216</v>
      </c>
      <c r="G2563" s="213" t="s">
        <v>821</v>
      </c>
      <c r="H2563" s="207" t="s">
        <v>4135</v>
      </c>
      <c r="I2563" s="156" t="s">
        <v>26</v>
      </c>
      <c r="J2563" s="204" t="s">
        <v>492</v>
      </c>
      <c r="K2563" s="207"/>
    </row>
    <row r="2564" spans="1:11" ht="16.5">
      <c r="A2564" s="204">
        <v>2562</v>
      </c>
      <c r="B2564" s="208">
        <v>46052</v>
      </c>
      <c r="C2564" s="267" t="s">
        <v>823</v>
      </c>
      <c r="D2564" s="204">
        <v>2026</v>
      </c>
      <c r="E2564" s="209" t="s">
        <v>1431</v>
      </c>
      <c r="F2564" s="209" t="s">
        <v>21</v>
      </c>
      <c r="G2564" s="213" t="s">
        <v>821</v>
      </c>
      <c r="H2564" s="211" t="s">
        <v>4136</v>
      </c>
      <c r="I2564" s="156" t="s">
        <v>26</v>
      </c>
      <c r="J2564" s="209" t="s">
        <v>468</v>
      </c>
      <c r="K2564" s="211"/>
    </row>
    <row r="2565" spans="1:11" ht="33.75">
      <c r="A2565" s="204">
        <v>2563</v>
      </c>
      <c r="B2565" s="205">
        <v>46052</v>
      </c>
      <c r="C2565" s="267" t="s">
        <v>823</v>
      </c>
      <c r="D2565" s="204">
        <v>2026</v>
      </c>
      <c r="E2565" s="204" t="s">
        <v>1431</v>
      </c>
      <c r="F2565" s="204" t="s">
        <v>21</v>
      </c>
      <c r="G2565" s="213" t="s">
        <v>821</v>
      </c>
      <c r="H2565" s="207" t="s">
        <v>4137</v>
      </c>
      <c r="I2565" s="156" t="s">
        <v>26</v>
      </c>
      <c r="J2565" s="204" t="s">
        <v>468</v>
      </c>
      <c r="K2565" s="207"/>
    </row>
    <row r="2566" spans="1:11" ht="50.25">
      <c r="A2566" s="204">
        <v>2564</v>
      </c>
      <c r="B2566" s="208">
        <v>46052</v>
      </c>
      <c r="C2566" s="267" t="s">
        <v>823</v>
      </c>
      <c r="D2566" s="204">
        <v>2026</v>
      </c>
      <c r="E2566" s="209" t="s">
        <v>1431</v>
      </c>
      <c r="F2566" s="209" t="s">
        <v>97</v>
      </c>
      <c r="G2566" s="213" t="s">
        <v>821</v>
      </c>
      <c r="H2566" s="211" t="s">
        <v>4138</v>
      </c>
      <c r="I2566" s="156" t="s">
        <v>26</v>
      </c>
      <c r="J2566" s="209" t="s">
        <v>158</v>
      </c>
      <c r="K2566" s="211"/>
    </row>
    <row r="2567" spans="1:11" ht="33.75">
      <c r="A2567" s="204">
        <v>2565</v>
      </c>
      <c r="B2567" s="205">
        <v>46052</v>
      </c>
      <c r="C2567" s="267" t="s">
        <v>823</v>
      </c>
      <c r="D2567" s="204">
        <v>2026</v>
      </c>
      <c r="E2567" s="204" t="s">
        <v>2224</v>
      </c>
      <c r="F2567" s="204" t="s">
        <v>3011</v>
      </c>
      <c r="G2567" s="214" t="s">
        <v>859</v>
      </c>
      <c r="H2567" s="207" t="s">
        <v>4139</v>
      </c>
      <c r="I2567" s="156" t="s">
        <v>26</v>
      </c>
      <c r="J2567" s="204" t="s">
        <v>2568</v>
      </c>
      <c r="K2567" s="207"/>
    </row>
    <row r="2568" spans="1:11" ht="66.75">
      <c r="A2568" s="204">
        <v>2566</v>
      </c>
      <c r="B2568" s="208">
        <v>46052</v>
      </c>
      <c r="C2568" s="267" t="s">
        <v>823</v>
      </c>
      <c r="D2568" s="204">
        <v>2026</v>
      </c>
      <c r="E2568" s="209" t="s">
        <v>2224</v>
      </c>
      <c r="F2568" s="209" t="s">
        <v>988</v>
      </c>
      <c r="G2568" s="210" t="s">
        <v>88</v>
      </c>
      <c r="H2568" s="211" t="s">
        <v>4140</v>
      </c>
      <c r="I2568" s="156" t="s">
        <v>26</v>
      </c>
      <c r="J2568" s="209" t="s">
        <v>2593</v>
      </c>
      <c r="K2568" s="211"/>
    </row>
    <row r="2569" spans="1:11" ht="33.75">
      <c r="A2569" s="204">
        <v>2567</v>
      </c>
      <c r="B2569" s="205">
        <v>46052</v>
      </c>
      <c r="C2569" s="267" t="s">
        <v>823</v>
      </c>
      <c r="D2569" s="204">
        <v>2026</v>
      </c>
      <c r="E2569" s="204" t="s">
        <v>2224</v>
      </c>
      <c r="F2569" s="204" t="s">
        <v>97</v>
      </c>
      <c r="G2569" s="213" t="s">
        <v>821</v>
      </c>
      <c r="H2569" s="207" t="s">
        <v>4141</v>
      </c>
      <c r="I2569" s="156" t="s">
        <v>26</v>
      </c>
      <c r="J2569" s="204" t="s">
        <v>2593</v>
      </c>
      <c r="K2569" s="207"/>
    </row>
    <row r="2570" spans="1:11" ht="100.5">
      <c r="A2570" s="204">
        <v>2568</v>
      </c>
      <c r="B2570" s="208">
        <v>46055</v>
      </c>
      <c r="C2570" s="267" t="s">
        <v>823</v>
      </c>
      <c r="D2570" s="204">
        <v>2026</v>
      </c>
      <c r="E2570" s="209" t="s">
        <v>1431</v>
      </c>
      <c r="F2570" s="209" t="s">
        <v>2585</v>
      </c>
      <c r="G2570" s="210" t="s">
        <v>88</v>
      </c>
      <c r="H2570" s="211" t="s">
        <v>4142</v>
      </c>
      <c r="I2570" s="156" t="s">
        <v>26</v>
      </c>
      <c r="J2570" s="209" t="s">
        <v>452</v>
      </c>
      <c r="K2570" s="211" t="s">
        <v>1486</v>
      </c>
    </row>
    <row r="2571" spans="1:11" ht="100.5">
      <c r="A2571" s="204">
        <v>2569</v>
      </c>
      <c r="B2571" s="205">
        <v>46055</v>
      </c>
      <c r="C2571" s="267" t="s">
        <v>823</v>
      </c>
      <c r="D2571" s="204">
        <v>2026</v>
      </c>
      <c r="E2571" s="204" t="s">
        <v>1431</v>
      </c>
      <c r="F2571" s="204" t="s">
        <v>2595</v>
      </c>
      <c r="G2571" s="206" t="s">
        <v>88</v>
      </c>
      <c r="H2571" s="207" t="s">
        <v>4143</v>
      </c>
      <c r="I2571" s="156" t="s">
        <v>26</v>
      </c>
      <c r="J2571" s="204" t="s">
        <v>3516</v>
      </c>
      <c r="K2571" s="207" t="s">
        <v>1472</v>
      </c>
    </row>
    <row r="2572" spans="1:11" ht="117">
      <c r="A2572" s="204">
        <v>2570</v>
      </c>
      <c r="B2572" s="208">
        <v>46055</v>
      </c>
      <c r="C2572" s="267" t="s">
        <v>823</v>
      </c>
      <c r="D2572" s="204">
        <v>2026</v>
      </c>
      <c r="E2572" s="209" t="s">
        <v>1431</v>
      </c>
      <c r="F2572" s="209" t="s">
        <v>1504</v>
      </c>
      <c r="G2572" s="210" t="s">
        <v>88</v>
      </c>
      <c r="H2572" s="211" t="s">
        <v>4144</v>
      </c>
      <c r="I2572" s="156" t="s">
        <v>26</v>
      </c>
      <c r="J2572" s="209" t="s">
        <v>3516</v>
      </c>
      <c r="K2572" s="211" t="s">
        <v>1446</v>
      </c>
    </row>
    <row r="2573" spans="1:11" ht="100.5">
      <c r="A2573" s="204">
        <v>2571</v>
      </c>
      <c r="B2573" s="205">
        <v>46055</v>
      </c>
      <c r="C2573" s="267" t="s">
        <v>823</v>
      </c>
      <c r="D2573" s="204">
        <v>2026</v>
      </c>
      <c r="E2573" s="204" t="s">
        <v>1431</v>
      </c>
      <c r="F2573" s="204" t="s">
        <v>1506</v>
      </c>
      <c r="G2573" s="206" t="s">
        <v>88</v>
      </c>
      <c r="H2573" s="207" t="s">
        <v>4145</v>
      </c>
      <c r="I2573" s="156" t="s">
        <v>26</v>
      </c>
      <c r="J2573" s="204" t="s">
        <v>1904</v>
      </c>
      <c r="K2573" s="207" t="s">
        <v>1472</v>
      </c>
    </row>
    <row r="2574" spans="1:11" ht="84">
      <c r="A2574" s="204">
        <v>2572</v>
      </c>
      <c r="B2574" s="208">
        <v>46055</v>
      </c>
      <c r="C2574" s="267" t="s">
        <v>823</v>
      </c>
      <c r="D2574" s="204">
        <v>2026</v>
      </c>
      <c r="E2574" s="209" t="s">
        <v>1431</v>
      </c>
      <c r="F2574" s="209" t="s">
        <v>1518</v>
      </c>
      <c r="G2574" s="213" t="s">
        <v>821</v>
      </c>
      <c r="H2574" s="211" t="s">
        <v>4106</v>
      </c>
      <c r="I2574" s="156" t="s">
        <v>26</v>
      </c>
      <c r="J2574" s="209" t="s">
        <v>1493</v>
      </c>
      <c r="K2574" s="211" t="s">
        <v>1444</v>
      </c>
    </row>
    <row r="2575" spans="1:11" ht="50.25">
      <c r="A2575" s="204">
        <v>2573</v>
      </c>
      <c r="B2575" s="205">
        <v>46055</v>
      </c>
      <c r="C2575" s="267" t="s">
        <v>823</v>
      </c>
      <c r="D2575" s="204">
        <v>2026</v>
      </c>
      <c r="E2575" s="204" t="s">
        <v>1431</v>
      </c>
      <c r="F2575" s="204" t="s">
        <v>216</v>
      </c>
      <c r="G2575" s="213" t="s">
        <v>821</v>
      </c>
      <c r="H2575" s="207" t="s">
        <v>4146</v>
      </c>
      <c r="I2575" s="156" t="s">
        <v>26</v>
      </c>
      <c r="J2575" s="204" t="s">
        <v>492</v>
      </c>
      <c r="K2575" s="207"/>
    </row>
    <row r="2576" spans="1:11" ht="117">
      <c r="A2576" s="204">
        <v>2574</v>
      </c>
      <c r="B2576" s="208">
        <v>46055</v>
      </c>
      <c r="C2576" s="267" t="s">
        <v>823</v>
      </c>
      <c r="D2576" s="204">
        <v>2026</v>
      </c>
      <c r="E2576" s="209" t="s">
        <v>1431</v>
      </c>
      <c r="F2576" s="209" t="s">
        <v>216</v>
      </c>
      <c r="G2576" s="213" t="s">
        <v>821</v>
      </c>
      <c r="H2576" s="211" t="s">
        <v>4147</v>
      </c>
      <c r="I2576" s="156" t="s">
        <v>26</v>
      </c>
      <c r="J2576" s="209" t="s">
        <v>492</v>
      </c>
      <c r="K2576" s="211" t="s">
        <v>1446</v>
      </c>
    </row>
    <row r="2577" spans="1:11" ht="117">
      <c r="A2577" s="204">
        <v>2575</v>
      </c>
      <c r="B2577" s="205">
        <v>46055</v>
      </c>
      <c r="C2577" s="267" t="s">
        <v>823</v>
      </c>
      <c r="D2577" s="204">
        <v>2026</v>
      </c>
      <c r="E2577" s="204" t="s">
        <v>1431</v>
      </c>
      <c r="F2577" s="204" t="s">
        <v>216</v>
      </c>
      <c r="G2577" s="213" t="s">
        <v>821</v>
      </c>
      <c r="H2577" s="207" t="s">
        <v>4148</v>
      </c>
      <c r="I2577" s="156" t="s">
        <v>26</v>
      </c>
      <c r="J2577" s="204" t="s">
        <v>492</v>
      </c>
      <c r="K2577" s="207" t="s">
        <v>1482</v>
      </c>
    </row>
    <row r="2578" spans="1:11" ht="33.75">
      <c r="A2578" s="204">
        <v>2576</v>
      </c>
      <c r="B2578" s="208">
        <v>46055</v>
      </c>
      <c r="C2578" s="267" t="s">
        <v>823</v>
      </c>
      <c r="D2578" s="204">
        <v>2026</v>
      </c>
      <c r="E2578" s="209" t="s">
        <v>1431</v>
      </c>
      <c r="F2578" s="209" t="s">
        <v>21</v>
      </c>
      <c r="G2578" s="213" t="s">
        <v>821</v>
      </c>
      <c r="H2578" s="211" t="s">
        <v>4149</v>
      </c>
      <c r="I2578" s="156" t="s">
        <v>26</v>
      </c>
      <c r="J2578" s="209" t="s">
        <v>468</v>
      </c>
      <c r="K2578" s="211"/>
    </row>
    <row r="2579" spans="1:11" ht="84">
      <c r="A2579" s="204">
        <v>2577</v>
      </c>
      <c r="B2579" s="205">
        <v>46055</v>
      </c>
      <c r="C2579" s="267" t="s">
        <v>823</v>
      </c>
      <c r="D2579" s="204">
        <v>2026</v>
      </c>
      <c r="E2579" s="204" t="s">
        <v>1431</v>
      </c>
      <c r="F2579" s="204" t="s">
        <v>1449</v>
      </c>
      <c r="G2579" s="214" t="s">
        <v>859</v>
      </c>
      <c r="H2579" s="207" t="s">
        <v>4150</v>
      </c>
      <c r="I2579" s="156" t="s">
        <v>26</v>
      </c>
      <c r="J2579" s="204" t="s">
        <v>2593</v>
      </c>
      <c r="K2579" s="207" t="s">
        <v>1605</v>
      </c>
    </row>
    <row r="2580" spans="1:11" ht="84">
      <c r="A2580" s="204">
        <v>2578</v>
      </c>
      <c r="B2580" s="208">
        <v>46055</v>
      </c>
      <c r="C2580" s="267" t="s">
        <v>823</v>
      </c>
      <c r="D2580" s="204">
        <v>2026</v>
      </c>
      <c r="E2580" s="209" t="s">
        <v>1431</v>
      </c>
      <c r="F2580" s="209" t="s">
        <v>1566</v>
      </c>
      <c r="G2580" s="210" t="s">
        <v>88</v>
      </c>
      <c r="H2580" s="211" t="s">
        <v>4151</v>
      </c>
      <c r="I2580" s="156" t="s">
        <v>26</v>
      </c>
      <c r="J2580" s="209" t="s">
        <v>1453</v>
      </c>
      <c r="K2580" s="211" t="s">
        <v>1500</v>
      </c>
    </row>
    <row r="2581" spans="1:11" ht="100.5">
      <c r="A2581" s="204">
        <v>2579</v>
      </c>
      <c r="B2581" s="205">
        <v>46055</v>
      </c>
      <c r="C2581" s="267" t="s">
        <v>823</v>
      </c>
      <c r="D2581" s="204">
        <v>2026</v>
      </c>
      <c r="E2581" s="204" t="s">
        <v>1431</v>
      </c>
      <c r="F2581" s="204" t="s">
        <v>1566</v>
      </c>
      <c r="G2581" s="206" t="s">
        <v>88</v>
      </c>
      <c r="H2581" s="207" t="s">
        <v>4152</v>
      </c>
      <c r="I2581" s="156" t="s">
        <v>26</v>
      </c>
      <c r="J2581" s="204" t="s">
        <v>1453</v>
      </c>
      <c r="K2581" s="207" t="s">
        <v>1478</v>
      </c>
    </row>
    <row r="2582" spans="1:11" ht="84">
      <c r="A2582" s="204">
        <v>2580</v>
      </c>
      <c r="B2582" s="208">
        <v>46055</v>
      </c>
      <c r="C2582" s="267" t="s">
        <v>823</v>
      </c>
      <c r="D2582" s="204">
        <v>2026</v>
      </c>
      <c r="E2582" s="209" t="s">
        <v>2224</v>
      </c>
      <c r="F2582" s="209" t="s">
        <v>1158</v>
      </c>
      <c r="G2582" s="217" t="s">
        <v>859</v>
      </c>
      <c r="H2582" s="211" t="s">
        <v>4153</v>
      </c>
      <c r="I2582" s="156" t="s">
        <v>26</v>
      </c>
      <c r="J2582" s="209" t="s">
        <v>2593</v>
      </c>
      <c r="K2582" s="211" t="s">
        <v>1605</v>
      </c>
    </row>
    <row r="2583" spans="1:11" ht="33.75">
      <c r="A2583" s="204">
        <v>2581</v>
      </c>
      <c r="B2583" s="205">
        <v>46055</v>
      </c>
      <c r="C2583" s="267" t="s">
        <v>823</v>
      </c>
      <c r="D2583" s="204">
        <v>2026</v>
      </c>
      <c r="E2583" s="204" t="s">
        <v>2224</v>
      </c>
      <c r="F2583" s="204" t="s">
        <v>216</v>
      </c>
      <c r="G2583" s="213" t="s">
        <v>821</v>
      </c>
      <c r="H2583" s="207" t="s">
        <v>4154</v>
      </c>
      <c r="I2583" s="156" t="s">
        <v>26</v>
      </c>
      <c r="J2583" s="204" t="s">
        <v>2568</v>
      </c>
      <c r="K2583" s="207"/>
    </row>
    <row r="2584" spans="1:11" ht="16.5">
      <c r="A2584" s="204">
        <v>2582</v>
      </c>
      <c r="B2584" s="208">
        <v>46055</v>
      </c>
      <c r="C2584" s="267" t="s">
        <v>823</v>
      </c>
      <c r="D2584" s="204">
        <v>2026</v>
      </c>
      <c r="E2584" s="209" t="s">
        <v>2224</v>
      </c>
      <c r="F2584" s="209" t="s">
        <v>216</v>
      </c>
      <c r="G2584" s="213" t="s">
        <v>821</v>
      </c>
      <c r="H2584" s="211" t="s">
        <v>4155</v>
      </c>
      <c r="I2584" s="156" t="s">
        <v>26</v>
      </c>
      <c r="J2584" s="209" t="s">
        <v>2568</v>
      </c>
      <c r="K2584" s="211"/>
    </row>
    <row r="2585" spans="1:11" ht="33.75">
      <c r="A2585" s="204">
        <v>2583</v>
      </c>
      <c r="B2585" s="205">
        <v>46055</v>
      </c>
      <c r="C2585" s="267" t="s">
        <v>823</v>
      </c>
      <c r="D2585" s="204">
        <v>2026</v>
      </c>
      <c r="E2585" s="204" t="s">
        <v>2224</v>
      </c>
      <c r="F2585" s="204" t="s">
        <v>1449</v>
      </c>
      <c r="G2585" s="206" t="s">
        <v>88</v>
      </c>
      <c r="H2585" s="207" t="s">
        <v>4156</v>
      </c>
      <c r="I2585" s="156" t="s">
        <v>26</v>
      </c>
      <c r="J2585" s="204" t="s">
        <v>2593</v>
      </c>
      <c r="K2585" s="207"/>
    </row>
    <row r="2586" spans="1:11" ht="33.75">
      <c r="A2586" s="204">
        <v>2584</v>
      </c>
      <c r="B2586" s="208">
        <v>46055</v>
      </c>
      <c r="C2586" s="267" t="s">
        <v>823</v>
      </c>
      <c r="D2586" s="204">
        <v>2026</v>
      </c>
      <c r="E2586" s="209" t="s">
        <v>2224</v>
      </c>
      <c r="F2586" s="209" t="s">
        <v>1566</v>
      </c>
      <c r="G2586" s="210" t="s">
        <v>88</v>
      </c>
      <c r="H2586" s="211" t="s">
        <v>4157</v>
      </c>
      <c r="I2586" s="156" t="s">
        <v>26</v>
      </c>
      <c r="J2586" s="209" t="s">
        <v>1453</v>
      </c>
      <c r="K2586" s="211"/>
    </row>
    <row r="2587" spans="1:11" ht="117">
      <c r="A2587" s="204">
        <v>2585</v>
      </c>
      <c r="B2587" s="205">
        <v>46055</v>
      </c>
      <c r="C2587" s="267" t="s">
        <v>823</v>
      </c>
      <c r="D2587" s="204">
        <v>2026</v>
      </c>
      <c r="E2587" s="204" t="s">
        <v>2224</v>
      </c>
      <c r="F2587" s="204" t="s">
        <v>1449</v>
      </c>
      <c r="G2587" s="206" t="s">
        <v>88</v>
      </c>
      <c r="H2587" s="207" t="s">
        <v>4158</v>
      </c>
      <c r="I2587" s="156" t="s">
        <v>26</v>
      </c>
      <c r="J2587" s="204" t="s">
        <v>2593</v>
      </c>
      <c r="K2587" s="207" t="s">
        <v>1437</v>
      </c>
    </row>
    <row r="2588" spans="1:11" ht="100.5">
      <c r="A2588" s="204">
        <v>2586</v>
      </c>
      <c r="B2588" s="208">
        <v>46055</v>
      </c>
      <c r="C2588" s="265" t="s">
        <v>824</v>
      </c>
      <c r="D2588" s="204">
        <v>2026</v>
      </c>
      <c r="E2588" s="209" t="s">
        <v>1431</v>
      </c>
      <c r="F2588" s="209" t="s">
        <v>2585</v>
      </c>
      <c r="G2588" s="210" t="s">
        <v>88</v>
      </c>
      <c r="H2588" s="211" t="s">
        <v>4142</v>
      </c>
      <c r="I2588" s="156" t="s">
        <v>26</v>
      </c>
      <c r="J2588" s="209" t="s">
        <v>452</v>
      </c>
      <c r="K2588" s="211" t="s">
        <v>1486</v>
      </c>
    </row>
    <row r="2589" spans="1:11" ht="100.5">
      <c r="A2589" s="204">
        <v>2587</v>
      </c>
      <c r="B2589" s="205">
        <v>46055</v>
      </c>
      <c r="C2589" s="265" t="s">
        <v>824</v>
      </c>
      <c r="D2589" s="204">
        <v>2026</v>
      </c>
      <c r="E2589" s="204" t="s">
        <v>1431</v>
      </c>
      <c r="F2589" s="204" t="s">
        <v>2595</v>
      </c>
      <c r="G2589" s="206" t="s">
        <v>88</v>
      </c>
      <c r="H2589" s="207" t="s">
        <v>4143</v>
      </c>
      <c r="I2589" s="156" t="s">
        <v>26</v>
      </c>
      <c r="J2589" s="204" t="s">
        <v>3516</v>
      </c>
      <c r="K2589" s="207" t="s">
        <v>1472</v>
      </c>
    </row>
    <row r="2590" spans="1:11" ht="117">
      <c r="A2590" s="204">
        <v>2588</v>
      </c>
      <c r="B2590" s="208">
        <v>46055</v>
      </c>
      <c r="C2590" s="265" t="s">
        <v>824</v>
      </c>
      <c r="D2590" s="204">
        <v>2026</v>
      </c>
      <c r="E2590" s="209" t="s">
        <v>1431</v>
      </c>
      <c r="F2590" s="209" t="s">
        <v>1504</v>
      </c>
      <c r="G2590" s="210" t="s">
        <v>88</v>
      </c>
      <c r="H2590" s="211" t="s">
        <v>4144</v>
      </c>
      <c r="I2590" s="156" t="s">
        <v>26</v>
      </c>
      <c r="J2590" s="209" t="s">
        <v>3516</v>
      </c>
      <c r="K2590" s="211" t="s">
        <v>1446</v>
      </c>
    </row>
    <row r="2591" spans="1:11" ht="100.5">
      <c r="A2591" s="204">
        <v>2589</v>
      </c>
      <c r="B2591" s="205">
        <v>46055</v>
      </c>
      <c r="C2591" s="265" t="s">
        <v>824</v>
      </c>
      <c r="D2591" s="204">
        <v>2026</v>
      </c>
      <c r="E2591" s="204" t="s">
        <v>1431</v>
      </c>
      <c r="F2591" s="204" t="s">
        <v>1506</v>
      </c>
      <c r="G2591" s="206" t="s">
        <v>88</v>
      </c>
      <c r="H2591" s="207" t="s">
        <v>4145</v>
      </c>
      <c r="I2591" s="156" t="s">
        <v>26</v>
      </c>
      <c r="J2591" s="204" t="s">
        <v>1904</v>
      </c>
      <c r="K2591" s="207" t="s">
        <v>1472</v>
      </c>
    </row>
    <row r="2592" spans="1:11" ht="84">
      <c r="A2592" s="204">
        <v>2590</v>
      </c>
      <c r="B2592" s="208">
        <v>46055</v>
      </c>
      <c r="C2592" s="265" t="s">
        <v>824</v>
      </c>
      <c r="D2592" s="204">
        <v>2026</v>
      </c>
      <c r="E2592" s="209" t="s">
        <v>1431</v>
      </c>
      <c r="F2592" s="209" t="s">
        <v>1518</v>
      </c>
      <c r="G2592" s="213" t="s">
        <v>821</v>
      </c>
      <c r="H2592" s="211" t="s">
        <v>4106</v>
      </c>
      <c r="I2592" s="156" t="s">
        <v>26</v>
      </c>
      <c r="J2592" s="209" t="s">
        <v>1493</v>
      </c>
      <c r="K2592" s="211" t="s">
        <v>1444</v>
      </c>
    </row>
    <row r="2593" spans="1:11" ht="50.25">
      <c r="A2593" s="204">
        <v>2591</v>
      </c>
      <c r="B2593" s="205">
        <v>46055</v>
      </c>
      <c r="C2593" s="265" t="s">
        <v>824</v>
      </c>
      <c r="D2593" s="204">
        <v>2026</v>
      </c>
      <c r="E2593" s="204" t="s">
        <v>1431</v>
      </c>
      <c r="F2593" s="204" t="s">
        <v>216</v>
      </c>
      <c r="G2593" s="213" t="s">
        <v>821</v>
      </c>
      <c r="H2593" s="207" t="s">
        <v>4146</v>
      </c>
      <c r="I2593" s="156" t="s">
        <v>26</v>
      </c>
      <c r="J2593" s="204" t="s">
        <v>492</v>
      </c>
      <c r="K2593" s="207"/>
    </row>
    <row r="2594" spans="1:11" ht="117">
      <c r="A2594" s="204">
        <v>2592</v>
      </c>
      <c r="B2594" s="208">
        <v>46055</v>
      </c>
      <c r="C2594" s="265" t="s">
        <v>824</v>
      </c>
      <c r="D2594" s="204">
        <v>2026</v>
      </c>
      <c r="E2594" s="209" t="s">
        <v>1431</v>
      </c>
      <c r="F2594" s="209" t="s">
        <v>216</v>
      </c>
      <c r="G2594" s="213" t="s">
        <v>821</v>
      </c>
      <c r="H2594" s="211" t="s">
        <v>4147</v>
      </c>
      <c r="I2594" s="156" t="s">
        <v>26</v>
      </c>
      <c r="J2594" s="209" t="s">
        <v>492</v>
      </c>
      <c r="K2594" s="211" t="s">
        <v>1446</v>
      </c>
    </row>
    <row r="2595" spans="1:11" ht="117">
      <c r="A2595" s="204">
        <v>2593</v>
      </c>
      <c r="B2595" s="205">
        <v>46055</v>
      </c>
      <c r="C2595" s="265" t="s">
        <v>824</v>
      </c>
      <c r="D2595" s="204">
        <v>2026</v>
      </c>
      <c r="E2595" s="204" t="s">
        <v>1431</v>
      </c>
      <c r="F2595" s="204" t="s">
        <v>216</v>
      </c>
      <c r="G2595" s="213" t="s">
        <v>821</v>
      </c>
      <c r="H2595" s="207" t="s">
        <v>4148</v>
      </c>
      <c r="I2595" s="156" t="s">
        <v>26</v>
      </c>
      <c r="J2595" s="204" t="s">
        <v>492</v>
      </c>
      <c r="K2595" s="207" t="s">
        <v>1482</v>
      </c>
    </row>
    <row r="2596" spans="1:11" ht="33.75">
      <c r="A2596" s="204">
        <v>2594</v>
      </c>
      <c r="B2596" s="208">
        <v>46055</v>
      </c>
      <c r="C2596" s="265" t="s">
        <v>824</v>
      </c>
      <c r="D2596" s="204">
        <v>2026</v>
      </c>
      <c r="E2596" s="209" t="s">
        <v>1431</v>
      </c>
      <c r="F2596" s="209" t="s">
        <v>21</v>
      </c>
      <c r="G2596" s="213" t="s">
        <v>821</v>
      </c>
      <c r="H2596" s="211" t="s">
        <v>4149</v>
      </c>
      <c r="I2596" s="156" t="s">
        <v>26</v>
      </c>
      <c r="J2596" s="209" t="s">
        <v>468</v>
      </c>
      <c r="K2596" s="211"/>
    </row>
    <row r="2597" spans="1:11" ht="84">
      <c r="A2597" s="204">
        <v>2595</v>
      </c>
      <c r="B2597" s="205">
        <v>46055</v>
      </c>
      <c r="C2597" s="265" t="s">
        <v>824</v>
      </c>
      <c r="D2597" s="204">
        <v>2026</v>
      </c>
      <c r="E2597" s="204" t="s">
        <v>1431</v>
      </c>
      <c r="F2597" s="204" t="s">
        <v>1449</v>
      </c>
      <c r="G2597" s="214" t="s">
        <v>859</v>
      </c>
      <c r="H2597" s="207" t="s">
        <v>4150</v>
      </c>
      <c r="I2597" s="156" t="s">
        <v>26</v>
      </c>
      <c r="J2597" s="204" t="s">
        <v>2593</v>
      </c>
      <c r="K2597" s="207" t="s">
        <v>1605</v>
      </c>
    </row>
    <row r="2598" spans="1:11" ht="84">
      <c r="A2598" s="204">
        <v>2596</v>
      </c>
      <c r="B2598" s="208">
        <v>46055</v>
      </c>
      <c r="C2598" s="265" t="s">
        <v>824</v>
      </c>
      <c r="D2598" s="204">
        <v>2026</v>
      </c>
      <c r="E2598" s="209" t="s">
        <v>1431</v>
      </c>
      <c r="F2598" s="209" t="s">
        <v>1566</v>
      </c>
      <c r="G2598" s="210" t="s">
        <v>88</v>
      </c>
      <c r="H2598" s="211" t="s">
        <v>4151</v>
      </c>
      <c r="I2598" s="156" t="s">
        <v>26</v>
      </c>
      <c r="J2598" s="209" t="s">
        <v>1453</v>
      </c>
      <c r="K2598" s="211" t="s">
        <v>1500</v>
      </c>
    </row>
    <row r="2599" spans="1:11" ht="100.5">
      <c r="A2599" s="204">
        <v>2597</v>
      </c>
      <c r="B2599" s="205">
        <v>46055</v>
      </c>
      <c r="C2599" s="265" t="s">
        <v>824</v>
      </c>
      <c r="D2599" s="204">
        <v>2026</v>
      </c>
      <c r="E2599" s="204" t="s">
        <v>1431</v>
      </c>
      <c r="F2599" s="204" t="s">
        <v>1566</v>
      </c>
      <c r="G2599" s="206" t="s">
        <v>88</v>
      </c>
      <c r="H2599" s="207" t="s">
        <v>4152</v>
      </c>
      <c r="I2599" s="156" t="s">
        <v>26</v>
      </c>
      <c r="J2599" s="204" t="s">
        <v>1453</v>
      </c>
      <c r="K2599" s="207" t="s">
        <v>1478</v>
      </c>
    </row>
    <row r="2600" spans="1:11" ht="84">
      <c r="A2600" s="204">
        <v>2598</v>
      </c>
      <c r="B2600" s="208">
        <v>46055</v>
      </c>
      <c r="C2600" s="265" t="s">
        <v>824</v>
      </c>
      <c r="D2600" s="204">
        <v>2026</v>
      </c>
      <c r="E2600" s="209" t="s">
        <v>2224</v>
      </c>
      <c r="F2600" s="209" t="s">
        <v>1449</v>
      </c>
      <c r="G2600" s="217" t="s">
        <v>859</v>
      </c>
      <c r="H2600" s="211" t="s">
        <v>4153</v>
      </c>
      <c r="I2600" s="156" t="s">
        <v>26</v>
      </c>
      <c r="J2600" s="209" t="s">
        <v>2593</v>
      </c>
      <c r="K2600" s="211" t="s">
        <v>1605</v>
      </c>
    </row>
    <row r="2601" spans="1:11" ht="33.75">
      <c r="A2601" s="204">
        <v>2599</v>
      </c>
      <c r="B2601" s="205">
        <v>46055</v>
      </c>
      <c r="C2601" s="265" t="s">
        <v>824</v>
      </c>
      <c r="D2601" s="204">
        <v>2026</v>
      </c>
      <c r="E2601" s="204" t="s">
        <v>2224</v>
      </c>
      <c r="F2601" s="204" t="s">
        <v>216</v>
      </c>
      <c r="G2601" s="213" t="s">
        <v>821</v>
      </c>
      <c r="H2601" s="207" t="s">
        <v>4154</v>
      </c>
      <c r="I2601" s="156" t="s">
        <v>26</v>
      </c>
      <c r="J2601" s="204" t="s">
        <v>2568</v>
      </c>
      <c r="K2601" s="207"/>
    </row>
    <row r="2602" spans="1:11" ht="16.5">
      <c r="A2602" s="204">
        <v>2600</v>
      </c>
      <c r="B2602" s="208">
        <v>46055</v>
      </c>
      <c r="C2602" s="265" t="s">
        <v>824</v>
      </c>
      <c r="D2602" s="204">
        <v>2026</v>
      </c>
      <c r="E2602" s="209" t="s">
        <v>2224</v>
      </c>
      <c r="F2602" s="209" t="s">
        <v>216</v>
      </c>
      <c r="G2602" s="213" t="s">
        <v>821</v>
      </c>
      <c r="H2602" s="211" t="s">
        <v>4155</v>
      </c>
      <c r="I2602" s="156" t="s">
        <v>26</v>
      </c>
      <c r="J2602" s="209" t="s">
        <v>2568</v>
      </c>
      <c r="K2602" s="211"/>
    </row>
    <row r="2603" spans="1:11" ht="33.75">
      <c r="A2603" s="204">
        <v>2601</v>
      </c>
      <c r="B2603" s="205">
        <v>46055</v>
      </c>
      <c r="C2603" s="265" t="s">
        <v>824</v>
      </c>
      <c r="D2603" s="204">
        <v>2026</v>
      </c>
      <c r="E2603" s="204" t="s">
        <v>2224</v>
      </c>
      <c r="F2603" s="204" t="s">
        <v>1449</v>
      </c>
      <c r="G2603" s="206" t="s">
        <v>88</v>
      </c>
      <c r="H2603" s="207" t="s">
        <v>4156</v>
      </c>
      <c r="I2603" s="156" t="s">
        <v>26</v>
      </c>
      <c r="J2603" s="204" t="s">
        <v>2593</v>
      </c>
      <c r="K2603" s="207"/>
    </row>
    <row r="2604" spans="1:11" ht="33.75">
      <c r="A2604" s="204">
        <v>2602</v>
      </c>
      <c r="B2604" s="208">
        <v>46055</v>
      </c>
      <c r="C2604" s="265" t="s">
        <v>824</v>
      </c>
      <c r="D2604" s="204">
        <v>2026</v>
      </c>
      <c r="E2604" s="209" t="s">
        <v>2224</v>
      </c>
      <c r="F2604" s="209" t="s">
        <v>1566</v>
      </c>
      <c r="G2604" s="210" t="s">
        <v>88</v>
      </c>
      <c r="H2604" s="211" t="s">
        <v>4157</v>
      </c>
      <c r="I2604" s="156" t="s">
        <v>26</v>
      </c>
      <c r="J2604" s="209" t="s">
        <v>1453</v>
      </c>
      <c r="K2604" s="211"/>
    </row>
    <row r="2605" spans="1:11" ht="117">
      <c r="A2605" s="204">
        <v>2603</v>
      </c>
      <c r="B2605" s="205">
        <v>46055</v>
      </c>
      <c r="C2605" s="265" t="s">
        <v>824</v>
      </c>
      <c r="D2605" s="204">
        <v>2026</v>
      </c>
      <c r="E2605" s="204" t="s">
        <v>2224</v>
      </c>
      <c r="F2605" s="204" t="s">
        <v>1449</v>
      </c>
      <c r="G2605" s="206" t="s">
        <v>88</v>
      </c>
      <c r="H2605" s="207" t="s">
        <v>4158</v>
      </c>
      <c r="I2605" s="156" t="s">
        <v>26</v>
      </c>
      <c r="J2605" s="204" t="s">
        <v>2593</v>
      </c>
      <c r="K2605" s="207" t="s">
        <v>1437</v>
      </c>
    </row>
    <row r="2606" spans="1:11" ht="66.75">
      <c r="A2606" s="204">
        <v>2604</v>
      </c>
      <c r="B2606" s="208">
        <v>46056</v>
      </c>
      <c r="C2606" s="265" t="s">
        <v>824</v>
      </c>
      <c r="D2606" s="204">
        <v>2026</v>
      </c>
      <c r="E2606" s="209" t="s">
        <v>1431</v>
      </c>
      <c r="F2606" s="209" t="s">
        <v>2585</v>
      </c>
      <c r="G2606" s="210" t="s">
        <v>88</v>
      </c>
      <c r="H2606" s="211" t="s">
        <v>4159</v>
      </c>
      <c r="I2606" s="156" t="s">
        <v>26</v>
      </c>
      <c r="J2606" s="209" t="s">
        <v>452</v>
      </c>
      <c r="K2606" s="211"/>
    </row>
    <row r="2607" spans="1:11" ht="84">
      <c r="A2607" s="204">
        <v>2605</v>
      </c>
      <c r="B2607" s="205">
        <v>46056</v>
      </c>
      <c r="C2607" s="265" t="s">
        <v>824</v>
      </c>
      <c r="D2607" s="204">
        <v>2026</v>
      </c>
      <c r="E2607" s="204" t="s">
        <v>1431</v>
      </c>
      <c r="F2607" s="204" t="s">
        <v>2530</v>
      </c>
      <c r="G2607" s="215" t="s">
        <v>872</v>
      </c>
      <c r="H2607" s="207" t="s">
        <v>4160</v>
      </c>
      <c r="I2607" s="156" t="s">
        <v>26</v>
      </c>
      <c r="J2607" s="204" t="s">
        <v>1541</v>
      </c>
      <c r="K2607" s="207" t="s">
        <v>1500</v>
      </c>
    </row>
    <row r="2608" spans="1:11" ht="117">
      <c r="A2608" s="204">
        <v>2606</v>
      </c>
      <c r="B2608" s="208">
        <v>46056</v>
      </c>
      <c r="C2608" s="265" t="s">
        <v>824</v>
      </c>
      <c r="D2608" s="204">
        <v>2026</v>
      </c>
      <c r="E2608" s="209" t="s">
        <v>1431</v>
      </c>
      <c r="F2608" s="209" t="s">
        <v>21</v>
      </c>
      <c r="G2608" s="213" t="s">
        <v>821</v>
      </c>
      <c r="H2608" s="211" t="s">
        <v>4161</v>
      </c>
      <c r="I2608" s="156" t="s">
        <v>26</v>
      </c>
      <c r="J2608" s="209" t="s">
        <v>468</v>
      </c>
      <c r="K2608" s="211" t="s">
        <v>1446</v>
      </c>
    </row>
    <row r="2609" spans="1:11" ht="84">
      <c r="A2609" s="204">
        <v>2607</v>
      </c>
      <c r="B2609" s="205">
        <v>46056</v>
      </c>
      <c r="C2609" s="265" t="s">
        <v>824</v>
      </c>
      <c r="D2609" s="204">
        <v>2026</v>
      </c>
      <c r="E2609" s="204" t="s">
        <v>1431</v>
      </c>
      <c r="F2609" s="204" t="s">
        <v>1506</v>
      </c>
      <c r="G2609" s="215" t="s">
        <v>872</v>
      </c>
      <c r="H2609" s="207" t="s">
        <v>4162</v>
      </c>
      <c r="I2609" s="156" t="s">
        <v>26</v>
      </c>
      <c r="J2609" s="204" t="s">
        <v>1904</v>
      </c>
      <c r="K2609" s="207" t="s">
        <v>1500</v>
      </c>
    </row>
    <row r="2610" spans="1:11" ht="66.75">
      <c r="A2610" s="204">
        <v>2608</v>
      </c>
      <c r="B2610" s="208">
        <v>46056</v>
      </c>
      <c r="C2610" s="265" t="s">
        <v>824</v>
      </c>
      <c r="D2610" s="204">
        <v>2026</v>
      </c>
      <c r="E2610" s="209" t="s">
        <v>1431</v>
      </c>
      <c r="F2610" s="209" t="s">
        <v>1449</v>
      </c>
      <c r="G2610" s="210" t="s">
        <v>88</v>
      </c>
      <c r="H2610" s="211" t="s">
        <v>4163</v>
      </c>
      <c r="I2610" s="156" t="s">
        <v>26</v>
      </c>
      <c r="J2610" s="209" t="s">
        <v>2593</v>
      </c>
      <c r="K2610" s="211"/>
    </row>
    <row r="2611" spans="1:11" ht="100.5">
      <c r="A2611" s="204">
        <v>2609</v>
      </c>
      <c r="B2611" s="205">
        <v>46056</v>
      </c>
      <c r="C2611" s="265" t="s">
        <v>824</v>
      </c>
      <c r="D2611" s="204">
        <v>2026</v>
      </c>
      <c r="E2611" s="204" t="s">
        <v>1431</v>
      </c>
      <c r="F2611" s="204" t="s">
        <v>1449</v>
      </c>
      <c r="G2611" s="213" t="s">
        <v>821</v>
      </c>
      <c r="H2611" s="207" t="s">
        <v>4164</v>
      </c>
      <c r="I2611" s="156" t="s">
        <v>26</v>
      </c>
      <c r="J2611" s="204" t="s">
        <v>2593</v>
      </c>
      <c r="K2611" s="207" t="s">
        <v>1448</v>
      </c>
    </row>
    <row r="2612" spans="1:11" ht="33.75">
      <c r="A2612" s="204">
        <v>2610</v>
      </c>
      <c r="B2612" s="208">
        <v>46056</v>
      </c>
      <c r="C2612" s="265" t="s">
        <v>824</v>
      </c>
      <c r="D2612" s="204">
        <v>2026</v>
      </c>
      <c r="E2612" s="209" t="s">
        <v>1431</v>
      </c>
      <c r="F2612" s="209" t="s">
        <v>1449</v>
      </c>
      <c r="G2612" s="213" t="s">
        <v>821</v>
      </c>
      <c r="H2612" s="211" t="s">
        <v>4165</v>
      </c>
      <c r="I2612" s="156" t="s">
        <v>26</v>
      </c>
      <c r="J2612" s="209" t="s">
        <v>2593</v>
      </c>
      <c r="K2612" s="211"/>
    </row>
    <row r="2613" spans="1:11" ht="33.75">
      <c r="A2613" s="204">
        <v>2611</v>
      </c>
      <c r="B2613" s="205">
        <v>46056</v>
      </c>
      <c r="C2613" s="265" t="s">
        <v>824</v>
      </c>
      <c r="D2613" s="204">
        <v>2026</v>
      </c>
      <c r="E2613" s="204" t="s">
        <v>1431</v>
      </c>
      <c r="F2613" s="204" t="s">
        <v>1449</v>
      </c>
      <c r="G2613" s="206" t="s">
        <v>88</v>
      </c>
      <c r="H2613" s="207" t="s">
        <v>4166</v>
      </c>
      <c r="I2613" s="156" t="s">
        <v>26</v>
      </c>
      <c r="J2613" s="204" t="s">
        <v>2593</v>
      </c>
      <c r="K2613" s="207"/>
    </row>
    <row r="2614" spans="1:11" ht="33.75">
      <c r="A2614" s="204">
        <v>2612</v>
      </c>
      <c r="B2614" s="208">
        <v>46056</v>
      </c>
      <c r="C2614" s="265" t="s">
        <v>824</v>
      </c>
      <c r="D2614" s="204">
        <v>2026</v>
      </c>
      <c r="E2614" s="209" t="s">
        <v>2224</v>
      </c>
      <c r="F2614" s="209" t="s">
        <v>21</v>
      </c>
      <c r="G2614" s="213" t="s">
        <v>821</v>
      </c>
      <c r="H2614" s="211" t="s">
        <v>4167</v>
      </c>
      <c r="I2614" s="156" t="s">
        <v>26</v>
      </c>
      <c r="J2614" s="209" t="s">
        <v>468</v>
      </c>
      <c r="K2614" s="211"/>
    </row>
    <row r="2615" spans="1:11" ht="33.75">
      <c r="A2615" s="204">
        <v>2613</v>
      </c>
      <c r="B2615" s="205">
        <v>46056</v>
      </c>
      <c r="C2615" s="265" t="s">
        <v>824</v>
      </c>
      <c r="D2615" s="204">
        <v>2026</v>
      </c>
      <c r="E2615" s="204" t="s">
        <v>2224</v>
      </c>
      <c r="F2615" s="204" t="s">
        <v>21</v>
      </c>
      <c r="G2615" s="213" t="s">
        <v>821</v>
      </c>
      <c r="H2615" s="207" t="s">
        <v>4168</v>
      </c>
      <c r="I2615" s="156" t="s">
        <v>26</v>
      </c>
      <c r="J2615" s="204" t="s">
        <v>468</v>
      </c>
      <c r="K2615" s="207"/>
    </row>
    <row r="2616" spans="1:11" ht="50.25">
      <c r="A2616" s="204">
        <v>2614</v>
      </c>
      <c r="B2616" s="208">
        <v>46056</v>
      </c>
      <c r="C2616" s="265" t="s">
        <v>824</v>
      </c>
      <c r="D2616" s="204">
        <v>2026</v>
      </c>
      <c r="E2616" s="209" t="s">
        <v>2224</v>
      </c>
      <c r="F2616" s="209" t="s">
        <v>1449</v>
      </c>
      <c r="G2616" s="210" t="s">
        <v>88</v>
      </c>
      <c r="H2616" s="211" t="s">
        <v>4169</v>
      </c>
      <c r="I2616" s="156" t="s">
        <v>26</v>
      </c>
      <c r="J2616" s="209" t="s">
        <v>2593</v>
      </c>
      <c r="K2616" s="211"/>
    </row>
    <row r="2617" spans="1:11" ht="16.5">
      <c r="A2617" s="204">
        <v>2615</v>
      </c>
      <c r="B2617" s="205">
        <v>46056</v>
      </c>
      <c r="C2617" s="265" t="s">
        <v>824</v>
      </c>
      <c r="D2617" s="204">
        <v>2026</v>
      </c>
      <c r="E2617" s="204" t="s">
        <v>2224</v>
      </c>
      <c r="F2617" s="204" t="s">
        <v>1449</v>
      </c>
      <c r="G2617" s="206" t="s">
        <v>88</v>
      </c>
      <c r="H2617" s="207" t="s">
        <v>4115</v>
      </c>
      <c r="I2617" s="156" t="s">
        <v>26</v>
      </c>
      <c r="J2617" s="204" t="s">
        <v>2735</v>
      </c>
      <c r="K2617" s="207"/>
    </row>
    <row r="2618" spans="1:11" ht="33.75">
      <c r="A2618" s="204">
        <v>2616</v>
      </c>
      <c r="B2618" s="208">
        <v>46056</v>
      </c>
      <c r="C2618" s="265" t="s">
        <v>824</v>
      </c>
      <c r="D2618" s="204">
        <v>2026</v>
      </c>
      <c r="E2618" s="209" t="s">
        <v>1431</v>
      </c>
      <c r="F2618" s="209" t="s">
        <v>1566</v>
      </c>
      <c r="G2618" s="210" t="s">
        <v>88</v>
      </c>
      <c r="H2618" s="211" t="s">
        <v>4170</v>
      </c>
      <c r="I2618" s="156" t="s">
        <v>26</v>
      </c>
      <c r="J2618" s="209" t="s">
        <v>1453</v>
      </c>
      <c r="K2618" s="211"/>
    </row>
    <row r="2619" spans="1:11" ht="50.25">
      <c r="A2619" s="204">
        <v>2617</v>
      </c>
      <c r="B2619" s="205">
        <v>46056</v>
      </c>
      <c r="C2619" s="265" t="s">
        <v>824</v>
      </c>
      <c r="D2619" s="204">
        <v>2026</v>
      </c>
      <c r="E2619" s="204" t="s">
        <v>1431</v>
      </c>
      <c r="F2619" s="204" t="s">
        <v>1566</v>
      </c>
      <c r="G2619" s="206" t="s">
        <v>88</v>
      </c>
      <c r="H2619" s="207" t="s">
        <v>4171</v>
      </c>
      <c r="I2619" s="156" t="s">
        <v>26</v>
      </c>
      <c r="J2619" s="204" t="s">
        <v>1453</v>
      </c>
      <c r="K2619" s="207"/>
    </row>
    <row r="2620" spans="1:11" ht="134.25">
      <c r="A2620" s="204">
        <v>2618</v>
      </c>
      <c r="B2620" s="208">
        <v>46056</v>
      </c>
      <c r="C2620" s="265" t="s">
        <v>824</v>
      </c>
      <c r="D2620" s="204">
        <v>2026</v>
      </c>
      <c r="E2620" s="209" t="s">
        <v>1431</v>
      </c>
      <c r="F2620" s="209" t="s">
        <v>1608</v>
      </c>
      <c r="G2620" s="212" t="s">
        <v>1439</v>
      </c>
      <c r="H2620" s="211" t="s">
        <v>4172</v>
      </c>
      <c r="I2620" s="156" t="s">
        <v>26</v>
      </c>
      <c r="J2620" s="209" t="s">
        <v>578</v>
      </c>
      <c r="K2620" s="211" t="s">
        <v>1442</v>
      </c>
    </row>
    <row r="2621" spans="1:11" ht="134.25">
      <c r="A2621" s="204">
        <v>2619</v>
      </c>
      <c r="B2621" s="205">
        <v>46056</v>
      </c>
      <c r="C2621" s="265" t="s">
        <v>824</v>
      </c>
      <c r="D2621" s="204">
        <v>2026</v>
      </c>
      <c r="E2621" s="204" t="s">
        <v>1431</v>
      </c>
      <c r="F2621" s="204" t="s">
        <v>1608</v>
      </c>
      <c r="G2621" s="212" t="s">
        <v>1439</v>
      </c>
      <c r="H2621" s="207" t="s">
        <v>3477</v>
      </c>
      <c r="I2621" s="156" t="s">
        <v>26</v>
      </c>
      <c r="J2621" s="204" t="s">
        <v>158</v>
      </c>
      <c r="K2621" s="207" t="s">
        <v>1442</v>
      </c>
    </row>
    <row r="2622" spans="1:11" ht="50.25">
      <c r="A2622" s="204">
        <v>2620</v>
      </c>
      <c r="B2622" s="208">
        <v>46057</v>
      </c>
      <c r="C2622" s="265" t="s">
        <v>824</v>
      </c>
      <c r="D2622" s="204">
        <v>2026</v>
      </c>
      <c r="E2622" s="209" t="s">
        <v>1431</v>
      </c>
      <c r="F2622" s="209" t="s">
        <v>2585</v>
      </c>
      <c r="G2622" s="210" t="s">
        <v>88</v>
      </c>
      <c r="H2622" s="211" t="s">
        <v>4173</v>
      </c>
      <c r="I2622" s="156" t="s">
        <v>26</v>
      </c>
      <c r="J2622" s="209" t="s">
        <v>452</v>
      </c>
      <c r="K2622" s="211"/>
    </row>
    <row r="2623" spans="1:11" ht="117">
      <c r="A2623" s="204">
        <v>2621</v>
      </c>
      <c r="B2623" s="205">
        <v>46057</v>
      </c>
      <c r="C2623" s="265" t="s">
        <v>824</v>
      </c>
      <c r="D2623" s="204">
        <v>2026</v>
      </c>
      <c r="E2623" s="204" t="s">
        <v>1431</v>
      </c>
      <c r="F2623" s="204" t="s">
        <v>2595</v>
      </c>
      <c r="G2623" s="206" t="s">
        <v>88</v>
      </c>
      <c r="H2623" s="207" t="s">
        <v>4174</v>
      </c>
      <c r="I2623" s="156" t="s">
        <v>26</v>
      </c>
      <c r="J2623" s="204" t="s">
        <v>2700</v>
      </c>
      <c r="K2623" s="207" t="s">
        <v>1522</v>
      </c>
    </row>
    <row r="2624" spans="1:11" ht="84">
      <c r="A2624" s="204">
        <v>2622</v>
      </c>
      <c r="B2624" s="208">
        <v>46057</v>
      </c>
      <c r="C2624" s="265" t="s">
        <v>824</v>
      </c>
      <c r="D2624" s="204">
        <v>2026</v>
      </c>
      <c r="E2624" s="209" t="s">
        <v>1431</v>
      </c>
      <c r="F2624" s="209" t="s">
        <v>2530</v>
      </c>
      <c r="G2624" s="210" t="s">
        <v>88</v>
      </c>
      <c r="H2624" s="211" t="s">
        <v>4175</v>
      </c>
      <c r="I2624" s="156" t="s">
        <v>26</v>
      </c>
      <c r="J2624" s="209" t="s">
        <v>1541</v>
      </c>
      <c r="K2624" s="211" t="s">
        <v>1444</v>
      </c>
    </row>
    <row r="2625" spans="1:11" ht="117">
      <c r="A2625" s="204">
        <v>2623</v>
      </c>
      <c r="B2625" s="205">
        <v>46057</v>
      </c>
      <c r="C2625" s="265" t="s">
        <v>824</v>
      </c>
      <c r="D2625" s="204">
        <v>2026</v>
      </c>
      <c r="E2625" s="204" t="s">
        <v>1431</v>
      </c>
      <c r="F2625" s="204" t="s">
        <v>21</v>
      </c>
      <c r="G2625" s="213" t="s">
        <v>821</v>
      </c>
      <c r="H2625" s="207" t="s">
        <v>4176</v>
      </c>
      <c r="I2625" s="156" t="s">
        <v>26</v>
      </c>
      <c r="J2625" s="204" t="s">
        <v>3516</v>
      </c>
      <c r="K2625" s="207" t="s">
        <v>1446</v>
      </c>
    </row>
    <row r="2626" spans="1:11" ht="84">
      <c r="A2626" s="204">
        <v>2624</v>
      </c>
      <c r="B2626" s="208">
        <v>46057</v>
      </c>
      <c r="C2626" s="265" t="s">
        <v>824</v>
      </c>
      <c r="D2626" s="204">
        <v>2026</v>
      </c>
      <c r="E2626" s="209" t="s">
        <v>1431</v>
      </c>
      <c r="F2626" s="209" t="s">
        <v>1506</v>
      </c>
      <c r="G2626" s="210" t="s">
        <v>88</v>
      </c>
      <c r="H2626" s="211" t="s">
        <v>4177</v>
      </c>
      <c r="I2626" s="156" t="s">
        <v>26</v>
      </c>
      <c r="J2626" s="209" t="s">
        <v>1904</v>
      </c>
      <c r="K2626" s="211" t="s">
        <v>1500</v>
      </c>
    </row>
    <row r="2627" spans="1:11" ht="84">
      <c r="A2627" s="204">
        <v>2625</v>
      </c>
      <c r="B2627" s="205">
        <v>46057</v>
      </c>
      <c r="C2627" s="265" t="s">
        <v>824</v>
      </c>
      <c r="D2627" s="204">
        <v>2026</v>
      </c>
      <c r="E2627" s="204" t="s">
        <v>1431</v>
      </c>
      <c r="F2627" s="204" t="s">
        <v>1506</v>
      </c>
      <c r="G2627" s="206" t="s">
        <v>88</v>
      </c>
      <c r="H2627" s="207" t="s">
        <v>4178</v>
      </c>
      <c r="I2627" s="156" t="s">
        <v>26</v>
      </c>
      <c r="J2627" s="204" t="s">
        <v>1904</v>
      </c>
      <c r="K2627" s="207" t="s">
        <v>1500</v>
      </c>
    </row>
    <row r="2628" spans="1:11" ht="66.75">
      <c r="A2628" s="204">
        <v>2626</v>
      </c>
      <c r="B2628" s="208">
        <v>46057</v>
      </c>
      <c r="C2628" s="265" t="s">
        <v>824</v>
      </c>
      <c r="D2628" s="204">
        <v>2026</v>
      </c>
      <c r="E2628" s="209" t="s">
        <v>1431</v>
      </c>
      <c r="F2628" s="209" t="s">
        <v>21</v>
      </c>
      <c r="G2628" s="213" t="s">
        <v>821</v>
      </c>
      <c r="H2628" s="211" t="s">
        <v>4179</v>
      </c>
      <c r="I2628" s="156" t="s">
        <v>26</v>
      </c>
      <c r="J2628" s="209" t="s">
        <v>468</v>
      </c>
      <c r="K2628" s="211"/>
    </row>
    <row r="2629" spans="1:11" ht="84">
      <c r="A2629" s="204">
        <v>2627</v>
      </c>
      <c r="B2629" s="205">
        <v>46057</v>
      </c>
      <c r="C2629" s="265" t="s">
        <v>824</v>
      </c>
      <c r="D2629" s="204">
        <v>2026</v>
      </c>
      <c r="E2629" s="204" t="s">
        <v>1431</v>
      </c>
      <c r="F2629" s="204" t="s">
        <v>1449</v>
      </c>
      <c r="G2629" s="206" t="s">
        <v>88</v>
      </c>
      <c r="H2629" s="207" t="s">
        <v>4180</v>
      </c>
      <c r="I2629" s="156" t="s">
        <v>26</v>
      </c>
      <c r="J2629" s="204" t="s">
        <v>2593</v>
      </c>
      <c r="K2629" s="207" t="s">
        <v>1500</v>
      </c>
    </row>
    <row r="2630" spans="1:11" ht="84">
      <c r="A2630" s="204">
        <v>2628</v>
      </c>
      <c r="B2630" s="208">
        <v>46057</v>
      </c>
      <c r="C2630" s="265" t="s">
        <v>824</v>
      </c>
      <c r="D2630" s="204">
        <v>2026</v>
      </c>
      <c r="E2630" s="209" t="s">
        <v>1431</v>
      </c>
      <c r="F2630" s="209" t="s">
        <v>1436</v>
      </c>
      <c r="G2630" s="210" t="s">
        <v>88</v>
      </c>
      <c r="H2630" s="211" t="s">
        <v>4181</v>
      </c>
      <c r="I2630" s="156" t="s">
        <v>26</v>
      </c>
      <c r="J2630" s="209" t="s">
        <v>3516</v>
      </c>
      <c r="K2630" s="211"/>
    </row>
    <row r="2631" spans="1:11" ht="33.75">
      <c r="A2631" s="204">
        <v>2629</v>
      </c>
      <c r="B2631" s="205">
        <v>46057</v>
      </c>
      <c r="C2631" s="265" t="s">
        <v>824</v>
      </c>
      <c r="D2631" s="204">
        <v>2026</v>
      </c>
      <c r="E2631" s="204" t="s">
        <v>3881</v>
      </c>
      <c r="F2631" s="204" t="s">
        <v>1449</v>
      </c>
      <c r="G2631" s="206" t="s">
        <v>88</v>
      </c>
      <c r="H2631" s="207" t="s">
        <v>4182</v>
      </c>
      <c r="I2631" s="156" t="s">
        <v>26</v>
      </c>
      <c r="J2631" s="204" t="s">
        <v>4183</v>
      </c>
      <c r="K2631" s="207"/>
    </row>
    <row r="2632" spans="1:11" ht="50.25">
      <c r="A2632" s="204">
        <v>2630</v>
      </c>
      <c r="B2632" s="208">
        <v>46057</v>
      </c>
      <c r="C2632" s="265" t="s">
        <v>824</v>
      </c>
      <c r="D2632" s="204">
        <v>2026</v>
      </c>
      <c r="E2632" s="209" t="s">
        <v>2224</v>
      </c>
      <c r="F2632" s="209" t="s">
        <v>21</v>
      </c>
      <c r="G2632" s="213" t="s">
        <v>821</v>
      </c>
      <c r="H2632" s="211" t="s">
        <v>4184</v>
      </c>
      <c r="I2632" s="156" t="s">
        <v>26</v>
      </c>
      <c r="J2632" s="209" t="s">
        <v>468</v>
      </c>
      <c r="K2632" s="211"/>
    </row>
    <row r="2633" spans="1:11" ht="117">
      <c r="A2633" s="204">
        <v>2631</v>
      </c>
      <c r="B2633" s="205">
        <v>46057</v>
      </c>
      <c r="C2633" s="265" t="s">
        <v>824</v>
      </c>
      <c r="D2633" s="204">
        <v>2026</v>
      </c>
      <c r="E2633" s="204" t="s">
        <v>2224</v>
      </c>
      <c r="F2633" s="204" t="s">
        <v>1449</v>
      </c>
      <c r="G2633" s="206" t="s">
        <v>88</v>
      </c>
      <c r="H2633" s="207" t="s">
        <v>4185</v>
      </c>
      <c r="I2633" s="156" t="s">
        <v>26</v>
      </c>
      <c r="J2633" s="204" t="s">
        <v>2593</v>
      </c>
      <c r="K2633" s="207" t="s">
        <v>1510</v>
      </c>
    </row>
    <row r="2634" spans="1:11" ht="100.5">
      <c r="A2634" s="204">
        <v>2632</v>
      </c>
      <c r="B2634" s="208">
        <v>46057</v>
      </c>
      <c r="C2634" s="265" t="s">
        <v>824</v>
      </c>
      <c r="D2634" s="204">
        <v>2026</v>
      </c>
      <c r="E2634" s="209" t="s">
        <v>1431</v>
      </c>
      <c r="F2634" s="209" t="s">
        <v>1566</v>
      </c>
      <c r="G2634" s="210" t="s">
        <v>88</v>
      </c>
      <c r="H2634" s="211" t="s">
        <v>4186</v>
      </c>
      <c r="I2634" s="156" t="s">
        <v>26</v>
      </c>
      <c r="J2634" s="209" t="s">
        <v>1453</v>
      </c>
      <c r="K2634" s="211" t="s">
        <v>1478</v>
      </c>
    </row>
    <row r="2635" spans="1:11" ht="84">
      <c r="A2635" s="204">
        <v>2633</v>
      </c>
      <c r="B2635" s="205">
        <v>46057</v>
      </c>
      <c r="C2635" s="265" t="s">
        <v>824</v>
      </c>
      <c r="D2635" s="204">
        <v>2026</v>
      </c>
      <c r="E2635" s="204" t="s">
        <v>1431</v>
      </c>
      <c r="F2635" s="204" t="s">
        <v>1566</v>
      </c>
      <c r="G2635" s="206" t="s">
        <v>88</v>
      </c>
      <c r="H2635" s="207" t="s">
        <v>4187</v>
      </c>
      <c r="I2635" s="156" t="s">
        <v>26</v>
      </c>
      <c r="J2635" s="204" t="s">
        <v>1453</v>
      </c>
      <c r="K2635" s="207" t="s">
        <v>1500</v>
      </c>
    </row>
    <row r="2636" spans="1:11" ht="117">
      <c r="A2636" s="204">
        <v>2634</v>
      </c>
      <c r="B2636" s="208">
        <v>46057</v>
      </c>
      <c r="C2636" s="265" t="s">
        <v>824</v>
      </c>
      <c r="D2636" s="204">
        <v>2026</v>
      </c>
      <c r="E2636" s="209" t="s">
        <v>1431</v>
      </c>
      <c r="F2636" s="209" t="s">
        <v>1566</v>
      </c>
      <c r="G2636" s="210" t="s">
        <v>88</v>
      </c>
      <c r="H2636" s="211" t="s">
        <v>4188</v>
      </c>
      <c r="I2636" s="156" t="s">
        <v>26</v>
      </c>
      <c r="J2636" s="209" t="s">
        <v>1453</v>
      </c>
      <c r="K2636" s="211" t="s">
        <v>1559</v>
      </c>
    </row>
    <row r="2637" spans="1:11" ht="33.75">
      <c r="A2637" s="204">
        <v>2635</v>
      </c>
      <c r="B2637" s="205">
        <v>46058</v>
      </c>
      <c r="C2637" s="265" t="s">
        <v>824</v>
      </c>
      <c r="D2637" s="204">
        <v>2026</v>
      </c>
      <c r="E2637" s="204" t="s">
        <v>1431</v>
      </c>
      <c r="F2637" s="204" t="s">
        <v>2585</v>
      </c>
      <c r="G2637" s="206" t="s">
        <v>88</v>
      </c>
      <c r="H2637" s="207" t="s">
        <v>4189</v>
      </c>
      <c r="I2637" s="156" t="s">
        <v>26</v>
      </c>
      <c r="J2637" s="204" t="s">
        <v>452</v>
      </c>
      <c r="K2637" s="207"/>
    </row>
    <row r="2638" spans="1:11" ht="150.75">
      <c r="A2638" s="204">
        <v>2636</v>
      </c>
      <c r="B2638" s="208">
        <v>46058</v>
      </c>
      <c r="C2638" s="265" t="s">
        <v>824</v>
      </c>
      <c r="D2638" s="204">
        <v>2026</v>
      </c>
      <c r="E2638" s="209" t="s">
        <v>1431</v>
      </c>
      <c r="F2638" s="209" t="s">
        <v>21</v>
      </c>
      <c r="G2638" s="213" t="s">
        <v>821</v>
      </c>
      <c r="H2638" s="211" t="s">
        <v>4190</v>
      </c>
      <c r="I2638" s="156" t="s">
        <v>26</v>
      </c>
      <c r="J2638" s="209" t="s">
        <v>3516</v>
      </c>
      <c r="K2638" s="211" t="s">
        <v>1513</v>
      </c>
    </row>
    <row r="2639" spans="1:11" ht="117">
      <c r="A2639" s="204">
        <v>2637</v>
      </c>
      <c r="B2639" s="205">
        <v>46058</v>
      </c>
      <c r="C2639" s="265" t="s">
        <v>824</v>
      </c>
      <c r="D2639" s="204">
        <v>2026</v>
      </c>
      <c r="E2639" s="204" t="s">
        <v>1431</v>
      </c>
      <c r="F2639" s="204" t="s">
        <v>2530</v>
      </c>
      <c r="G2639" s="206" t="s">
        <v>88</v>
      </c>
      <c r="H2639" s="207" t="s">
        <v>3811</v>
      </c>
      <c r="I2639" s="156" t="s">
        <v>26</v>
      </c>
      <c r="J2639" s="204" t="s">
        <v>1541</v>
      </c>
      <c r="K2639" s="207" t="s">
        <v>1522</v>
      </c>
    </row>
    <row r="2640" spans="1:11" ht="33.75">
      <c r="A2640" s="204">
        <v>2638</v>
      </c>
      <c r="B2640" s="208">
        <v>46058</v>
      </c>
      <c r="C2640" s="265" t="s">
        <v>824</v>
      </c>
      <c r="D2640" s="204">
        <v>2026</v>
      </c>
      <c r="E2640" s="209" t="s">
        <v>1431</v>
      </c>
      <c r="F2640" s="209" t="s">
        <v>922</v>
      </c>
      <c r="G2640" s="210" t="s">
        <v>88</v>
      </c>
      <c r="H2640" s="211" t="s">
        <v>4191</v>
      </c>
      <c r="I2640" s="156" t="s">
        <v>26</v>
      </c>
      <c r="J2640" s="209" t="s">
        <v>1541</v>
      </c>
      <c r="K2640" s="211"/>
    </row>
    <row r="2641" spans="1:11" ht="84">
      <c r="A2641" s="204">
        <v>2639</v>
      </c>
      <c r="B2641" s="205">
        <v>46058</v>
      </c>
      <c r="C2641" s="265" t="s">
        <v>824</v>
      </c>
      <c r="D2641" s="204">
        <v>2026</v>
      </c>
      <c r="E2641" s="204" t="s">
        <v>1431</v>
      </c>
      <c r="F2641" s="204" t="s">
        <v>1506</v>
      </c>
      <c r="G2641" s="214" t="s">
        <v>859</v>
      </c>
      <c r="H2641" s="207" t="s">
        <v>4192</v>
      </c>
      <c r="I2641" s="156" t="s">
        <v>26</v>
      </c>
      <c r="J2641" s="204" t="s">
        <v>1904</v>
      </c>
      <c r="K2641" s="207" t="s">
        <v>1605</v>
      </c>
    </row>
    <row r="2642" spans="1:11" ht="150.75">
      <c r="A2642" s="204">
        <v>2640</v>
      </c>
      <c r="B2642" s="208">
        <v>46058</v>
      </c>
      <c r="C2642" s="265" t="s">
        <v>824</v>
      </c>
      <c r="D2642" s="204">
        <v>2026</v>
      </c>
      <c r="E2642" s="209" t="s">
        <v>1431</v>
      </c>
      <c r="F2642" s="209" t="s">
        <v>21</v>
      </c>
      <c r="G2642" s="213" t="s">
        <v>821</v>
      </c>
      <c r="H2642" s="211" t="s">
        <v>4193</v>
      </c>
      <c r="I2642" s="156" t="s">
        <v>26</v>
      </c>
      <c r="J2642" s="209" t="s">
        <v>468</v>
      </c>
      <c r="K2642" s="211" t="s">
        <v>1513</v>
      </c>
    </row>
    <row r="2643" spans="1:11" ht="84">
      <c r="A2643" s="204">
        <v>2641</v>
      </c>
      <c r="B2643" s="205">
        <v>46058</v>
      </c>
      <c r="C2643" s="265" t="s">
        <v>824</v>
      </c>
      <c r="D2643" s="204">
        <v>2026</v>
      </c>
      <c r="E2643" s="204" t="s">
        <v>1431</v>
      </c>
      <c r="F2643" s="204" t="s">
        <v>1449</v>
      </c>
      <c r="G2643" s="206" t="s">
        <v>88</v>
      </c>
      <c r="H2643" s="207" t="s">
        <v>4194</v>
      </c>
      <c r="I2643" s="156" t="s">
        <v>26</v>
      </c>
      <c r="J2643" s="204" t="s">
        <v>2593</v>
      </c>
      <c r="K2643" s="207"/>
    </row>
    <row r="2644" spans="1:11" ht="183.75">
      <c r="A2644" s="204">
        <v>2642</v>
      </c>
      <c r="B2644" s="208">
        <v>46058</v>
      </c>
      <c r="C2644" s="265" t="s">
        <v>824</v>
      </c>
      <c r="D2644" s="204">
        <v>2026</v>
      </c>
      <c r="E2644" s="209" t="s">
        <v>1431</v>
      </c>
      <c r="F2644" s="209" t="s">
        <v>1566</v>
      </c>
      <c r="G2644" s="210" t="s">
        <v>88</v>
      </c>
      <c r="H2644" s="211" t="s">
        <v>4195</v>
      </c>
      <c r="I2644" s="156" t="s">
        <v>26</v>
      </c>
      <c r="J2644" s="209" t="s">
        <v>1588</v>
      </c>
      <c r="K2644" s="211" t="s">
        <v>1500</v>
      </c>
    </row>
    <row r="2645" spans="1:11" ht="150.75">
      <c r="A2645" s="204">
        <v>2643</v>
      </c>
      <c r="B2645" s="205">
        <v>46058</v>
      </c>
      <c r="C2645" s="265" t="s">
        <v>824</v>
      </c>
      <c r="D2645" s="204">
        <v>2026</v>
      </c>
      <c r="E2645" s="204" t="s">
        <v>2224</v>
      </c>
      <c r="F2645" s="204" t="s">
        <v>21</v>
      </c>
      <c r="G2645" s="213" t="s">
        <v>821</v>
      </c>
      <c r="H2645" s="207" t="s">
        <v>4196</v>
      </c>
      <c r="I2645" s="156" t="s">
        <v>26</v>
      </c>
      <c r="J2645" s="204" t="s">
        <v>2735</v>
      </c>
      <c r="K2645" s="207" t="s">
        <v>1513</v>
      </c>
    </row>
    <row r="2646" spans="1:11" ht="117">
      <c r="A2646" s="204">
        <v>2644</v>
      </c>
      <c r="B2646" s="208">
        <v>46059</v>
      </c>
      <c r="C2646" s="265" t="s">
        <v>824</v>
      </c>
      <c r="D2646" s="204">
        <v>2026</v>
      </c>
      <c r="E2646" s="209" t="s">
        <v>1431</v>
      </c>
      <c r="F2646" s="209" t="s">
        <v>1511</v>
      </c>
      <c r="G2646" s="210" t="s">
        <v>88</v>
      </c>
      <c r="H2646" s="211" t="s">
        <v>3811</v>
      </c>
      <c r="I2646" s="156" t="s">
        <v>26</v>
      </c>
      <c r="J2646" s="209" t="s">
        <v>2700</v>
      </c>
      <c r="K2646" s="211" t="s">
        <v>1522</v>
      </c>
    </row>
    <row r="2647" spans="1:11" ht="66.75">
      <c r="A2647" s="204">
        <v>2645</v>
      </c>
      <c r="B2647" s="205">
        <v>46059</v>
      </c>
      <c r="C2647" s="265" t="s">
        <v>824</v>
      </c>
      <c r="D2647" s="204">
        <v>2026</v>
      </c>
      <c r="E2647" s="204" t="s">
        <v>1431</v>
      </c>
      <c r="F2647" s="204" t="s">
        <v>1506</v>
      </c>
      <c r="G2647" s="206" t="s">
        <v>88</v>
      </c>
      <c r="H2647" s="207" t="s">
        <v>4197</v>
      </c>
      <c r="I2647" s="156" t="s">
        <v>26</v>
      </c>
      <c r="J2647" s="204" t="s">
        <v>3247</v>
      </c>
      <c r="K2647" s="207"/>
    </row>
    <row r="2648" spans="1:11" ht="50.25">
      <c r="A2648" s="204">
        <v>2646</v>
      </c>
      <c r="B2648" s="208">
        <v>46059</v>
      </c>
      <c r="C2648" s="265" t="s">
        <v>824</v>
      </c>
      <c r="D2648" s="204">
        <v>2026</v>
      </c>
      <c r="E2648" s="209" t="s">
        <v>1431</v>
      </c>
      <c r="F2648" s="209" t="s">
        <v>1506</v>
      </c>
      <c r="G2648" s="210" t="s">
        <v>88</v>
      </c>
      <c r="H2648" s="211" t="s">
        <v>4198</v>
      </c>
      <c r="I2648" s="156" t="s">
        <v>26</v>
      </c>
      <c r="J2648" s="209" t="s">
        <v>3247</v>
      </c>
      <c r="K2648" s="211"/>
    </row>
    <row r="2649" spans="1:11" ht="33.75">
      <c r="A2649" s="204">
        <v>2647</v>
      </c>
      <c r="B2649" s="205">
        <v>46059</v>
      </c>
      <c r="C2649" s="265" t="s">
        <v>824</v>
      </c>
      <c r="D2649" s="204">
        <v>2026</v>
      </c>
      <c r="E2649" s="204" t="s">
        <v>1431</v>
      </c>
      <c r="F2649" s="204" t="s">
        <v>21</v>
      </c>
      <c r="G2649" s="213" t="s">
        <v>821</v>
      </c>
      <c r="H2649" s="207" t="s">
        <v>4199</v>
      </c>
      <c r="I2649" s="156" t="s">
        <v>26</v>
      </c>
      <c r="J2649" s="204" t="s">
        <v>468</v>
      </c>
      <c r="K2649" s="207"/>
    </row>
    <row r="2650" spans="1:11" ht="50.25">
      <c r="A2650" s="204">
        <v>2648</v>
      </c>
      <c r="B2650" s="208">
        <v>46059</v>
      </c>
      <c r="C2650" s="265" t="s">
        <v>824</v>
      </c>
      <c r="D2650" s="204">
        <v>2026</v>
      </c>
      <c r="E2650" s="209" t="s">
        <v>1431</v>
      </c>
      <c r="F2650" s="209" t="s">
        <v>1449</v>
      </c>
      <c r="G2650" s="212" t="s">
        <v>1439</v>
      </c>
      <c r="H2650" s="211" t="s">
        <v>4200</v>
      </c>
      <c r="I2650" s="156" t="s">
        <v>26</v>
      </c>
      <c r="J2650" s="209" t="s">
        <v>2593</v>
      </c>
      <c r="K2650" s="211"/>
    </row>
    <row r="2651" spans="1:11" ht="33.75">
      <c r="A2651" s="204">
        <v>2649</v>
      </c>
      <c r="B2651" s="205">
        <v>46059</v>
      </c>
      <c r="C2651" s="265" t="s">
        <v>824</v>
      </c>
      <c r="D2651" s="204">
        <v>2026</v>
      </c>
      <c r="E2651" s="204" t="s">
        <v>1431</v>
      </c>
      <c r="F2651" s="204" t="s">
        <v>1449</v>
      </c>
      <c r="G2651" s="206" t="s">
        <v>88</v>
      </c>
      <c r="H2651" s="207" t="s">
        <v>4201</v>
      </c>
      <c r="I2651" s="156" t="s">
        <v>26</v>
      </c>
      <c r="J2651" s="204" t="s">
        <v>2593</v>
      </c>
      <c r="K2651" s="207"/>
    </row>
    <row r="2652" spans="1:11" ht="16.5">
      <c r="A2652" s="204">
        <v>2650</v>
      </c>
      <c r="B2652" s="208">
        <v>46059</v>
      </c>
      <c r="C2652" s="265" t="s">
        <v>824</v>
      </c>
      <c r="D2652" s="204">
        <v>2026</v>
      </c>
      <c r="E2652" s="209" t="s">
        <v>1431</v>
      </c>
      <c r="F2652" s="209" t="s">
        <v>1566</v>
      </c>
      <c r="G2652" s="210" t="s">
        <v>88</v>
      </c>
      <c r="H2652" s="211" t="s">
        <v>4202</v>
      </c>
      <c r="I2652" s="156" t="s">
        <v>26</v>
      </c>
      <c r="J2652" s="209" t="s">
        <v>1453</v>
      </c>
      <c r="K2652" s="211"/>
    </row>
    <row r="2653" spans="1:11" ht="33.75">
      <c r="A2653" s="204">
        <v>2651</v>
      </c>
      <c r="B2653" s="205">
        <v>46059</v>
      </c>
      <c r="C2653" s="265" t="s">
        <v>824</v>
      </c>
      <c r="D2653" s="204">
        <v>2026</v>
      </c>
      <c r="E2653" s="204" t="s">
        <v>1431</v>
      </c>
      <c r="F2653" s="204" t="s">
        <v>1566</v>
      </c>
      <c r="G2653" s="206" t="s">
        <v>88</v>
      </c>
      <c r="H2653" s="207" t="s">
        <v>4203</v>
      </c>
      <c r="I2653" s="156" t="s">
        <v>26</v>
      </c>
      <c r="J2653" s="204" t="s">
        <v>1453</v>
      </c>
      <c r="K2653" s="207"/>
    </row>
    <row r="2654" spans="1:11" ht="84">
      <c r="A2654" s="204">
        <v>2652</v>
      </c>
      <c r="B2654" s="208">
        <v>46059</v>
      </c>
      <c r="C2654" s="265" t="s">
        <v>824</v>
      </c>
      <c r="D2654" s="204">
        <v>2026</v>
      </c>
      <c r="E2654" s="209" t="s">
        <v>1431</v>
      </c>
      <c r="F2654" s="209" t="s">
        <v>1566</v>
      </c>
      <c r="G2654" s="210" t="s">
        <v>88</v>
      </c>
      <c r="H2654" s="211" t="s">
        <v>4204</v>
      </c>
      <c r="I2654" s="156" t="s">
        <v>26</v>
      </c>
      <c r="J2654" s="209" t="s">
        <v>1453</v>
      </c>
      <c r="K2654" s="211" t="s">
        <v>1500</v>
      </c>
    </row>
    <row r="2655" spans="1:11" ht="50.25">
      <c r="A2655" s="204">
        <v>2653</v>
      </c>
      <c r="B2655" s="205">
        <v>46059</v>
      </c>
      <c r="C2655" s="265" t="s">
        <v>824</v>
      </c>
      <c r="D2655" s="204">
        <v>2026</v>
      </c>
      <c r="E2655" s="204" t="s">
        <v>1431</v>
      </c>
      <c r="F2655" s="204" t="s">
        <v>1566</v>
      </c>
      <c r="G2655" s="206" t="s">
        <v>88</v>
      </c>
      <c r="H2655" s="207" t="s">
        <v>4205</v>
      </c>
      <c r="I2655" s="156" t="s">
        <v>26</v>
      </c>
      <c r="J2655" s="204" t="s">
        <v>1453</v>
      </c>
      <c r="K2655" s="207"/>
    </row>
    <row r="2656" spans="1:11" ht="66.75">
      <c r="A2656" s="204">
        <v>2654</v>
      </c>
      <c r="B2656" s="208">
        <v>46059</v>
      </c>
      <c r="C2656" s="265" t="s">
        <v>824</v>
      </c>
      <c r="D2656" s="204">
        <v>2026</v>
      </c>
      <c r="E2656" s="209" t="s">
        <v>1431</v>
      </c>
      <c r="F2656" s="209" t="s">
        <v>1566</v>
      </c>
      <c r="G2656" s="210" t="s">
        <v>88</v>
      </c>
      <c r="H2656" s="211" t="s">
        <v>4206</v>
      </c>
      <c r="I2656" s="156" t="s">
        <v>26</v>
      </c>
      <c r="J2656" s="209" t="s">
        <v>1453</v>
      </c>
      <c r="K2656" s="211"/>
    </row>
    <row r="2657" spans="1:11" ht="33.75">
      <c r="A2657" s="204">
        <v>2655</v>
      </c>
      <c r="B2657" s="205">
        <v>46059</v>
      </c>
      <c r="C2657" s="265" t="s">
        <v>824</v>
      </c>
      <c r="D2657" s="204">
        <v>2026</v>
      </c>
      <c r="E2657" s="204" t="s">
        <v>2224</v>
      </c>
      <c r="F2657" s="204" t="s">
        <v>21</v>
      </c>
      <c r="G2657" s="213" t="s">
        <v>821</v>
      </c>
      <c r="H2657" s="207" t="s">
        <v>4207</v>
      </c>
      <c r="I2657" s="156" t="s">
        <v>26</v>
      </c>
      <c r="J2657" s="204" t="s">
        <v>468</v>
      </c>
      <c r="K2657" s="207"/>
    </row>
    <row r="2658" spans="1:11" ht="50.25">
      <c r="A2658" s="204">
        <v>2656</v>
      </c>
      <c r="B2658" s="208">
        <v>46062</v>
      </c>
      <c r="C2658" s="265" t="s">
        <v>824</v>
      </c>
      <c r="D2658" s="204">
        <v>2026</v>
      </c>
      <c r="E2658" s="209" t="s">
        <v>1431</v>
      </c>
      <c r="F2658" s="209" t="s">
        <v>2585</v>
      </c>
      <c r="G2658" s="210" t="s">
        <v>88</v>
      </c>
      <c r="H2658" s="211" t="s">
        <v>4208</v>
      </c>
      <c r="I2658" s="156" t="s">
        <v>26</v>
      </c>
      <c r="J2658" s="209" t="s">
        <v>925</v>
      </c>
      <c r="K2658" s="211"/>
    </row>
    <row r="2659" spans="1:11" ht="134.25">
      <c r="A2659" s="204">
        <v>2657</v>
      </c>
      <c r="B2659" s="205">
        <v>46062</v>
      </c>
      <c r="C2659" s="265" t="s">
        <v>824</v>
      </c>
      <c r="D2659" s="204">
        <v>2026</v>
      </c>
      <c r="E2659" s="204" t="s">
        <v>1431</v>
      </c>
      <c r="F2659" s="204" t="s">
        <v>216</v>
      </c>
      <c r="G2659" s="213" t="s">
        <v>821</v>
      </c>
      <c r="H2659" s="207" t="s">
        <v>4209</v>
      </c>
      <c r="I2659" s="156" t="s">
        <v>26</v>
      </c>
      <c r="J2659" s="204" t="s">
        <v>492</v>
      </c>
      <c r="K2659" s="207" t="s">
        <v>1601</v>
      </c>
    </row>
    <row r="2660" spans="1:11" ht="33.75">
      <c r="A2660" s="204">
        <v>2658</v>
      </c>
      <c r="B2660" s="208">
        <v>46062</v>
      </c>
      <c r="C2660" s="265" t="s">
        <v>824</v>
      </c>
      <c r="D2660" s="204">
        <v>2026</v>
      </c>
      <c r="E2660" s="209" t="s">
        <v>1431</v>
      </c>
      <c r="F2660" s="209" t="s">
        <v>2595</v>
      </c>
      <c r="G2660" s="213" t="s">
        <v>821</v>
      </c>
      <c r="H2660" s="211" t="s">
        <v>4210</v>
      </c>
      <c r="I2660" s="156" t="s">
        <v>26</v>
      </c>
      <c r="J2660" s="209" t="s">
        <v>492</v>
      </c>
      <c r="K2660" s="211"/>
    </row>
    <row r="2661" spans="1:11" ht="117">
      <c r="A2661" s="204">
        <v>2659</v>
      </c>
      <c r="B2661" s="205">
        <v>46062</v>
      </c>
      <c r="C2661" s="265" t="s">
        <v>824</v>
      </c>
      <c r="D2661" s="204">
        <v>2026</v>
      </c>
      <c r="E2661" s="204" t="s">
        <v>1431</v>
      </c>
      <c r="F2661" s="204" t="s">
        <v>1511</v>
      </c>
      <c r="G2661" s="206" t="s">
        <v>88</v>
      </c>
      <c r="H2661" s="207" t="s">
        <v>4211</v>
      </c>
      <c r="I2661" s="156" t="s">
        <v>26</v>
      </c>
      <c r="J2661" s="204" t="s">
        <v>2700</v>
      </c>
      <c r="K2661" s="207" t="s">
        <v>1522</v>
      </c>
    </row>
    <row r="2662" spans="1:11" ht="50.25">
      <c r="A2662" s="204">
        <v>2660</v>
      </c>
      <c r="B2662" s="208">
        <v>46062</v>
      </c>
      <c r="C2662" s="265" t="s">
        <v>824</v>
      </c>
      <c r="D2662" s="204">
        <v>2026</v>
      </c>
      <c r="E2662" s="209" t="s">
        <v>1431</v>
      </c>
      <c r="F2662" s="209" t="s">
        <v>922</v>
      </c>
      <c r="G2662" s="210" t="s">
        <v>88</v>
      </c>
      <c r="H2662" s="211" t="s">
        <v>4212</v>
      </c>
      <c r="I2662" s="156" t="s">
        <v>26</v>
      </c>
      <c r="J2662" s="209" t="s">
        <v>1541</v>
      </c>
      <c r="K2662" s="211"/>
    </row>
    <row r="2663" spans="1:11" ht="33.75">
      <c r="A2663" s="204">
        <v>2661</v>
      </c>
      <c r="B2663" s="205">
        <v>46062</v>
      </c>
      <c r="C2663" s="265" t="s">
        <v>824</v>
      </c>
      <c r="D2663" s="204">
        <v>2026</v>
      </c>
      <c r="E2663" s="204" t="s">
        <v>1431</v>
      </c>
      <c r="F2663" s="204" t="s">
        <v>1506</v>
      </c>
      <c r="G2663" s="206" t="s">
        <v>88</v>
      </c>
      <c r="H2663" s="207" t="s">
        <v>4213</v>
      </c>
      <c r="I2663" s="156" t="s">
        <v>26</v>
      </c>
      <c r="J2663" s="204" t="s">
        <v>3247</v>
      </c>
      <c r="K2663" s="207"/>
    </row>
    <row r="2664" spans="1:11" ht="84">
      <c r="A2664" s="204">
        <v>2662</v>
      </c>
      <c r="B2664" s="208">
        <v>46062</v>
      </c>
      <c r="C2664" s="265" t="s">
        <v>824</v>
      </c>
      <c r="D2664" s="204">
        <v>2026</v>
      </c>
      <c r="E2664" s="209" t="s">
        <v>1431</v>
      </c>
      <c r="F2664" s="209" t="s">
        <v>1506</v>
      </c>
      <c r="G2664" s="210" t="s">
        <v>88</v>
      </c>
      <c r="H2664" s="211" t="s">
        <v>4214</v>
      </c>
      <c r="I2664" s="156" t="s">
        <v>26</v>
      </c>
      <c r="J2664" s="209" t="s">
        <v>3247</v>
      </c>
      <c r="K2664" s="211" t="s">
        <v>1500</v>
      </c>
    </row>
    <row r="2665" spans="1:11" ht="84">
      <c r="A2665" s="204">
        <v>2663</v>
      </c>
      <c r="B2665" s="205">
        <v>46062</v>
      </c>
      <c r="C2665" s="265" t="s">
        <v>824</v>
      </c>
      <c r="D2665" s="204">
        <v>2026</v>
      </c>
      <c r="E2665" s="204" t="s">
        <v>1431</v>
      </c>
      <c r="F2665" s="204" t="s">
        <v>1506</v>
      </c>
      <c r="G2665" s="206" t="s">
        <v>88</v>
      </c>
      <c r="H2665" s="207" t="s">
        <v>4215</v>
      </c>
      <c r="I2665" s="156" t="s">
        <v>26</v>
      </c>
      <c r="J2665" s="204" t="s">
        <v>3247</v>
      </c>
      <c r="K2665" s="207" t="s">
        <v>1500</v>
      </c>
    </row>
    <row r="2666" spans="1:11" ht="84">
      <c r="A2666" s="204">
        <v>2664</v>
      </c>
      <c r="B2666" s="208">
        <v>46062</v>
      </c>
      <c r="C2666" s="265" t="s">
        <v>824</v>
      </c>
      <c r="D2666" s="204">
        <v>2026</v>
      </c>
      <c r="E2666" s="209" t="s">
        <v>1431</v>
      </c>
      <c r="F2666" s="209" t="s">
        <v>1506</v>
      </c>
      <c r="G2666" s="210" t="s">
        <v>88</v>
      </c>
      <c r="H2666" s="211" t="s">
        <v>4216</v>
      </c>
      <c r="I2666" s="156" t="s">
        <v>26</v>
      </c>
      <c r="J2666" s="209" t="s">
        <v>3247</v>
      </c>
      <c r="K2666" s="211" t="s">
        <v>1500</v>
      </c>
    </row>
    <row r="2667" spans="1:11" ht="134.25">
      <c r="A2667" s="204">
        <v>2665</v>
      </c>
      <c r="B2667" s="205">
        <v>46062</v>
      </c>
      <c r="C2667" s="265" t="s">
        <v>824</v>
      </c>
      <c r="D2667" s="204">
        <v>2026</v>
      </c>
      <c r="E2667" s="204" t="s">
        <v>1431</v>
      </c>
      <c r="F2667" s="204" t="s">
        <v>216</v>
      </c>
      <c r="G2667" s="213" t="s">
        <v>821</v>
      </c>
      <c r="H2667" s="207" t="s">
        <v>4217</v>
      </c>
      <c r="I2667" s="156" t="s">
        <v>26</v>
      </c>
      <c r="J2667" s="204" t="s">
        <v>492</v>
      </c>
      <c r="K2667" s="207" t="s">
        <v>1601</v>
      </c>
    </row>
    <row r="2668" spans="1:11" ht="33.75">
      <c r="A2668" s="204">
        <v>2666</v>
      </c>
      <c r="B2668" s="208">
        <v>46062</v>
      </c>
      <c r="C2668" s="265" t="s">
        <v>824</v>
      </c>
      <c r="D2668" s="204">
        <v>2026</v>
      </c>
      <c r="E2668" s="209" t="s">
        <v>1431</v>
      </c>
      <c r="F2668" s="209" t="s">
        <v>21</v>
      </c>
      <c r="G2668" s="213" t="s">
        <v>821</v>
      </c>
      <c r="H2668" s="211" t="s">
        <v>4218</v>
      </c>
      <c r="I2668" s="156" t="s">
        <v>26</v>
      </c>
      <c r="J2668" s="209" t="s">
        <v>468</v>
      </c>
      <c r="K2668" s="211"/>
    </row>
    <row r="2669" spans="1:11" ht="16.5">
      <c r="A2669" s="204">
        <v>2667</v>
      </c>
      <c r="B2669" s="205">
        <v>46062</v>
      </c>
      <c r="C2669" s="265" t="s">
        <v>824</v>
      </c>
      <c r="D2669" s="204">
        <v>2026</v>
      </c>
      <c r="E2669" s="204" t="s">
        <v>1431</v>
      </c>
      <c r="F2669" s="204" t="s">
        <v>1584</v>
      </c>
      <c r="G2669" s="213" t="s">
        <v>821</v>
      </c>
      <c r="H2669" s="207" t="s">
        <v>4219</v>
      </c>
      <c r="I2669" s="156" t="s">
        <v>26</v>
      </c>
      <c r="J2669" s="204" t="s">
        <v>158</v>
      </c>
      <c r="K2669" s="207"/>
    </row>
    <row r="2670" spans="1:11" ht="117">
      <c r="A2670" s="204">
        <v>2668</v>
      </c>
      <c r="B2670" s="208">
        <v>46062</v>
      </c>
      <c r="C2670" s="265" t="s">
        <v>824</v>
      </c>
      <c r="D2670" s="204">
        <v>2026</v>
      </c>
      <c r="E2670" s="209" t="s">
        <v>1431</v>
      </c>
      <c r="F2670" s="209" t="s">
        <v>1449</v>
      </c>
      <c r="G2670" s="216" t="s">
        <v>872</v>
      </c>
      <c r="H2670" s="211" t="s">
        <v>4220</v>
      </c>
      <c r="I2670" s="156" t="s">
        <v>26</v>
      </c>
      <c r="J2670" s="209" t="s">
        <v>2593</v>
      </c>
      <c r="K2670" s="211" t="s">
        <v>1522</v>
      </c>
    </row>
    <row r="2671" spans="1:11" ht="16.5">
      <c r="A2671" s="204">
        <v>2669</v>
      </c>
      <c r="B2671" s="205">
        <v>46062</v>
      </c>
      <c r="C2671" s="265" t="s">
        <v>824</v>
      </c>
      <c r="D2671" s="204">
        <v>2026</v>
      </c>
      <c r="E2671" s="204" t="s">
        <v>1431</v>
      </c>
      <c r="F2671" s="204" t="s">
        <v>1566</v>
      </c>
      <c r="G2671" s="206" t="s">
        <v>88</v>
      </c>
      <c r="H2671" s="207" t="s">
        <v>4221</v>
      </c>
      <c r="I2671" s="156" t="s">
        <v>26</v>
      </c>
      <c r="J2671" s="204" t="s">
        <v>1453</v>
      </c>
      <c r="K2671" s="207"/>
    </row>
    <row r="2672" spans="1:11" ht="100.5">
      <c r="A2672" s="204">
        <v>2670</v>
      </c>
      <c r="B2672" s="208">
        <v>46062</v>
      </c>
      <c r="C2672" s="265" t="s">
        <v>824</v>
      </c>
      <c r="D2672" s="204">
        <v>2026</v>
      </c>
      <c r="E2672" s="209" t="s">
        <v>1431</v>
      </c>
      <c r="F2672" s="209" t="s">
        <v>1566</v>
      </c>
      <c r="G2672" s="210" t="s">
        <v>88</v>
      </c>
      <c r="H2672" s="211" t="s">
        <v>4222</v>
      </c>
      <c r="I2672" s="156" t="s">
        <v>26</v>
      </c>
      <c r="J2672" s="209" t="s">
        <v>1453</v>
      </c>
      <c r="K2672" s="211" t="s">
        <v>1472</v>
      </c>
    </row>
    <row r="2673" spans="1:11" ht="100.5">
      <c r="A2673" s="204">
        <v>2671</v>
      </c>
      <c r="B2673" s="205">
        <v>46062</v>
      </c>
      <c r="C2673" s="265" t="s">
        <v>824</v>
      </c>
      <c r="D2673" s="204">
        <v>2026</v>
      </c>
      <c r="E2673" s="204" t="s">
        <v>1431</v>
      </c>
      <c r="F2673" s="204" t="s">
        <v>1566</v>
      </c>
      <c r="G2673" s="206" t="s">
        <v>88</v>
      </c>
      <c r="H2673" s="207" t="s">
        <v>4223</v>
      </c>
      <c r="I2673" s="156" t="s">
        <v>26</v>
      </c>
      <c r="J2673" s="204" t="s">
        <v>1453</v>
      </c>
      <c r="K2673" s="207" t="s">
        <v>1478</v>
      </c>
    </row>
    <row r="2674" spans="1:11" ht="66.75">
      <c r="A2674" s="204">
        <v>2672</v>
      </c>
      <c r="B2674" s="208">
        <v>46062</v>
      </c>
      <c r="C2674" s="265" t="s">
        <v>824</v>
      </c>
      <c r="D2674" s="204">
        <v>2026</v>
      </c>
      <c r="E2674" s="209" t="s">
        <v>1431</v>
      </c>
      <c r="F2674" s="209" t="s">
        <v>1566</v>
      </c>
      <c r="G2674" s="210" t="s">
        <v>88</v>
      </c>
      <c r="H2674" s="211" t="s">
        <v>4224</v>
      </c>
      <c r="I2674" s="156" t="s">
        <v>26</v>
      </c>
      <c r="J2674" s="209" t="s">
        <v>1453</v>
      </c>
      <c r="K2674" s="211" t="s">
        <v>1548</v>
      </c>
    </row>
    <row r="2675" spans="1:11" ht="100.5">
      <c r="A2675" s="204">
        <v>2673</v>
      </c>
      <c r="B2675" s="205">
        <v>46062</v>
      </c>
      <c r="C2675" s="265" t="s">
        <v>824</v>
      </c>
      <c r="D2675" s="204">
        <v>2026</v>
      </c>
      <c r="E2675" s="204" t="s">
        <v>1431</v>
      </c>
      <c r="F2675" s="204" t="s">
        <v>1566</v>
      </c>
      <c r="G2675" s="206" t="s">
        <v>88</v>
      </c>
      <c r="H2675" s="207" t="s">
        <v>4225</v>
      </c>
      <c r="I2675" s="156" t="s">
        <v>26</v>
      </c>
      <c r="J2675" s="204" t="s">
        <v>1453</v>
      </c>
      <c r="K2675" s="207" t="s">
        <v>1454</v>
      </c>
    </row>
    <row r="2676" spans="1:11" ht="84">
      <c r="A2676" s="204">
        <v>2674</v>
      </c>
      <c r="B2676" s="208">
        <v>46062</v>
      </c>
      <c r="C2676" s="265" t="s">
        <v>824</v>
      </c>
      <c r="D2676" s="204">
        <v>2026</v>
      </c>
      <c r="E2676" s="209" t="s">
        <v>1431</v>
      </c>
      <c r="F2676" s="209" t="s">
        <v>1566</v>
      </c>
      <c r="G2676" s="210" t="s">
        <v>88</v>
      </c>
      <c r="H2676" s="211" t="s">
        <v>4226</v>
      </c>
      <c r="I2676" s="156" t="s">
        <v>26</v>
      </c>
      <c r="J2676" s="209" t="s">
        <v>1453</v>
      </c>
      <c r="K2676" s="211" t="s">
        <v>1500</v>
      </c>
    </row>
    <row r="2677" spans="1:11" ht="33.75">
      <c r="A2677" s="204">
        <v>2675</v>
      </c>
      <c r="B2677" s="205">
        <v>46062</v>
      </c>
      <c r="C2677" s="265" t="s">
        <v>824</v>
      </c>
      <c r="D2677" s="204">
        <v>2026</v>
      </c>
      <c r="E2677" s="204" t="s">
        <v>2224</v>
      </c>
      <c r="F2677" s="204" t="s">
        <v>1432</v>
      </c>
      <c r="G2677" s="213" t="s">
        <v>821</v>
      </c>
      <c r="H2677" s="207" t="s">
        <v>4227</v>
      </c>
      <c r="I2677" s="156" t="s">
        <v>26</v>
      </c>
      <c r="J2677" s="204" t="s">
        <v>2568</v>
      </c>
      <c r="K2677" s="207"/>
    </row>
    <row r="2678" spans="1:11" ht="100.5">
      <c r="A2678" s="204">
        <v>2676</v>
      </c>
      <c r="B2678" s="208">
        <v>46062</v>
      </c>
      <c r="C2678" s="265" t="s">
        <v>824</v>
      </c>
      <c r="D2678" s="204">
        <v>2026</v>
      </c>
      <c r="E2678" s="209" t="s">
        <v>1431</v>
      </c>
      <c r="F2678" s="209" t="s">
        <v>1449</v>
      </c>
      <c r="G2678" s="210" t="s">
        <v>88</v>
      </c>
      <c r="H2678" s="211" t="s">
        <v>4228</v>
      </c>
      <c r="I2678" s="156" t="s">
        <v>26</v>
      </c>
      <c r="J2678" s="209" t="s">
        <v>910</v>
      </c>
      <c r="K2678" s="211" t="s">
        <v>1500</v>
      </c>
    </row>
    <row r="2679" spans="1:11" ht="33.75">
      <c r="A2679" s="204">
        <v>2677</v>
      </c>
      <c r="B2679" s="205">
        <v>46062</v>
      </c>
      <c r="C2679" s="265" t="s">
        <v>824</v>
      </c>
      <c r="D2679" s="204">
        <v>2026</v>
      </c>
      <c r="E2679" s="204" t="s">
        <v>1431</v>
      </c>
      <c r="F2679" s="204" t="s">
        <v>2595</v>
      </c>
      <c r="G2679" s="206" t="s">
        <v>88</v>
      </c>
      <c r="H2679" s="207" t="s">
        <v>4229</v>
      </c>
      <c r="I2679" s="156" t="s">
        <v>26</v>
      </c>
      <c r="J2679" s="204" t="s">
        <v>468</v>
      </c>
      <c r="K2679" s="207"/>
    </row>
    <row r="2680" spans="1:11" ht="84">
      <c r="A2680" s="204">
        <v>2678</v>
      </c>
      <c r="B2680" s="208">
        <v>46062</v>
      </c>
      <c r="C2680" s="265" t="s">
        <v>824</v>
      </c>
      <c r="D2680" s="204">
        <v>2026</v>
      </c>
      <c r="E2680" s="209" t="s">
        <v>1431</v>
      </c>
      <c r="F2680" s="209" t="s">
        <v>1449</v>
      </c>
      <c r="G2680" s="210" t="s">
        <v>88</v>
      </c>
      <c r="H2680" s="211" t="s">
        <v>4230</v>
      </c>
      <c r="I2680" s="156" t="s">
        <v>26</v>
      </c>
      <c r="J2680" s="209" t="s">
        <v>2593</v>
      </c>
      <c r="K2680" s="211" t="s">
        <v>1500</v>
      </c>
    </row>
    <row r="2681" spans="1:11" ht="100.5">
      <c r="A2681" s="204">
        <v>2679</v>
      </c>
      <c r="B2681" s="205">
        <v>46062</v>
      </c>
      <c r="C2681" s="265" t="s">
        <v>824</v>
      </c>
      <c r="D2681" s="204">
        <v>2026</v>
      </c>
      <c r="E2681" s="204" t="s">
        <v>1431</v>
      </c>
      <c r="F2681" s="204" t="s">
        <v>1449</v>
      </c>
      <c r="G2681" s="206" t="s">
        <v>88</v>
      </c>
      <c r="H2681" s="207" t="s">
        <v>4231</v>
      </c>
      <c r="I2681" s="156" t="s">
        <v>26</v>
      </c>
      <c r="J2681" s="204" t="s">
        <v>2593</v>
      </c>
      <c r="K2681" s="207" t="s">
        <v>1472</v>
      </c>
    </row>
    <row r="2682" spans="1:11" ht="66.75">
      <c r="A2682" s="204">
        <v>2680</v>
      </c>
      <c r="B2682" s="208">
        <v>46063</v>
      </c>
      <c r="C2682" s="265" t="s">
        <v>824</v>
      </c>
      <c r="D2682" s="204">
        <v>2026</v>
      </c>
      <c r="E2682" s="209" t="s">
        <v>1431</v>
      </c>
      <c r="F2682" s="209" t="s">
        <v>1225</v>
      </c>
      <c r="G2682" s="212" t="s">
        <v>1439</v>
      </c>
      <c r="H2682" s="211" t="s">
        <v>4232</v>
      </c>
      <c r="I2682" s="156" t="s">
        <v>26</v>
      </c>
      <c r="J2682" s="209" t="s">
        <v>925</v>
      </c>
      <c r="K2682" s="211"/>
    </row>
    <row r="2683" spans="1:11" ht="150.75">
      <c r="A2683" s="204">
        <v>2681</v>
      </c>
      <c r="B2683" s="205">
        <v>46063</v>
      </c>
      <c r="C2683" s="265" t="s">
        <v>824</v>
      </c>
      <c r="D2683" s="204">
        <v>2026</v>
      </c>
      <c r="E2683" s="204" t="s">
        <v>1431</v>
      </c>
      <c r="F2683" s="204" t="s">
        <v>21</v>
      </c>
      <c r="G2683" s="213" t="s">
        <v>821</v>
      </c>
      <c r="H2683" s="207" t="s">
        <v>4233</v>
      </c>
      <c r="I2683" s="156" t="s">
        <v>26</v>
      </c>
      <c r="J2683" s="204" t="s">
        <v>149</v>
      </c>
      <c r="K2683" s="207" t="s">
        <v>1513</v>
      </c>
    </row>
    <row r="2684" spans="1:11" ht="150.75">
      <c r="A2684" s="204">
        <v>2682</v>
      </c>
      <c r="B2684" s="208">
        <v>46063</v>
      </c>
      <c r="C2684" s="265" t="s">
        <v>824</v>
      </c>
      <c r="D2684" s="204">
        <v>2026</v>
      </c>
      <c r="E2684" s="209" t="s">
        <v>1431</v>
      </c>
      <c r="F2684" s="209" t="s">
        <v>21</v>
      </c>
      <c r="G2684" s="213" t="s">
        <v>821</v>
      </c>
      <c r="H2684" s="211" t="s">
        <v>4234</v>
      </c>
      <c r="I2684" s="156" t="s">
        <v>26</v>
      </c>
      <c r="J2684" s="209" t="s">
        <v>1541</v>
      </c>
      <c r="K2684" s="211" t="s">
        <v>1513</v>
      </c>
    </row>
    <row r="2685" spans="1:11" ht="84">
      <c r="A2685" s="204">
        <v>2683</v>
      </c>
      <c r="B2685" s="205">
        <v>46063</v>
      </c>
      <c r="C2685" s="265" t="s">
        <v>824</v>
      </c>
      <c r="D2685" s="204">
        <v>2026</v>
      </c>
      <c r="E2685" s="204" t="s">
        <v>1431</v>
      </c>
      <c r="F2685" s="204" t="s">
        <v>1506</v>
      </c>
      <c r="G2685" s="206" t="s">
        <v>88</v>
      </c>
      <c r="H2685" s="207" t="s">
        <v>4235</v>
      </c>
      <c r="I2685" s="156" t="s">
        <v>26</v>
      </c>
      <c r="J2685" s="204" t="s">
        <v>3343</v>
      </c>
      <c r="K2685" s="207" t="s">
        <v>1500</v>
      </c>
    </row>
    <row r="2686" spans="1:11" ht="84">
      <c r="A2686" s="204">
        <v>2684</v>
      </c>
      <c r="B2686" s="208">
        <v>46063</v>
      </c>
      <c r="C2686" s="265" t="s">
        <v>824</v>
      </c>
      <c r="D2686" s="204">
        <v>2026</v>
      </c>
      <c r="E2686" s="209" t="s">
        <v>1431</v>
      </c>
      <c r="F2686" s="209" t="s">
        <v>1506</v>
      </c>
      <c r="G2686" s="210" t="s">
        <v>88</v>
      </c>
      <c r="H2686" s="211" t="s">
        <v>4236</v>
      </c>
      <c r="I2686" s="156" t="s">
        <v>26</v>
      </c>
      <c r="J2686" s="209" t="s">
        <v>3343</v>
      </c>
      <c r="K2686" s="211" t="s">
        <v>1500</v>
      </c>
    </row>
    <row r="2687" spans="1:11" ht="66.75">
      <c r="A2687" s="204">
        <v>2685</v>
      </c>
      <c r="B2687" s="205">
        <v>46063</v>
      </c>
      <c r="C2687" s="265" t="s">
        <v>824</v>
      </c>
      <c r="D2687" s="204">
        <v>2026</v>
      </c>
      <c r="E2687" s="204" t="s">
        <v>1431</v>
      </c>
      <c r="F2687" s="204" t="s">
        <v>1449</v>
      </c>
      <c r="G2687" s="206" t="s">
        <v>88</v>
      </c>
      <c r="H2687" s="207" t="s">
        <v>4237</v>
      </c>
      <c r="I2687" s="156" t="s">
        <v>26</v>
      </c>
      <c r="J2687" s="204" t="s">
        <v>2593</v>
      </c>
      <c r="K2687" s="207"/>
    </row>
    <row r="2688" spans="1:11" ht="33.75">
      <c r="A2688" s="204">
        <v>2686</v>
      </c>
      <c r="B2688" s="208">
        <v>46063</v>
      </c>
      <c r="C2688" s="265" t="s">
        <v>824</v>
      </c>
      <c r="D2688" s="204">
        <v>2026</v>
      </c>
      <c r="E2688" s="209" t="s">
        <v>1431</v>
      </c>
      <c r="F2688" s="209" t="s">
        <v>1449</v>
      </c>
      <c r="G2688" s="212" t="s">
        <v>1439</v>
      </c>
      <c r="H2688" s="211" t="s">
        <v>4238</v>
      </c>
      <c r="I2688" s="156" t="s">
        <v>26</v>
      </c>
      <c r="J2688" s="209" t="s">
        <v>2593</v>
      </c>
      <c r="K2688" s="211"/>
    </row>
    <row r="2689" spans="1:11" ht="66.75">
      <c r="A2689" s="204">
        <v>2687</v>
      </c>
      <c r="B2689" s="205">
        <v>46063</v>
      </c>
      <c r="C2689" s="265" t="s">
        <v>824</v>
      </c>
      <c r="D2689" s="204">
        <v>2026</v>
      </c>
      <c r="E2689" s="204" t="s">
        <v>1431</v>
      </c>
      <c r="F2689" s="204" t="s">
        <v>1449</v>
      </c>
      <c r="G2689" s="206" t="s">
        <v>88</v>
      </c>
      <c r="H2689" s="207" t="s">
        <v>4239</v>
      </c>
      <c r="I2689" s="156" t="s">
        <v>26</v>
      </c>
      <c r="J2689" s="204" t="s">
        <v>2593</v>
      </c>
      <c r="K2689" s="207"/>
    </row>
    <row r="2690" spans="1:11" ht="33.75">
      <c r="A2690" s="204">
        <v>2688</v>
      </c>
      <c r="B2690" s="208">
        <v>46063</v>
      </c>
      <c r="C2690" s="265" t="s">
        <v>824</v>
      </c>
      <c r="D2690" s="204">
        <v>2026</v>
      </c>
      <c r="E2690" s="209" t="s">
        <v>1431</v>
      </c>
      <c r="F2690" s="209" t="s">
        <v>1449</v>
      </c>
      <c r="G2690" s="210" t="s">
        <v>88</v>
      </c>
      <c r="H2690" s="211" t="s">
        <v>4240</v>
      </c>
      <c r="I2690" s="156" t="s">
        <v>26</v>
      </c>
      <c r="J2690" s="209" t="s">
        <v>2593</v>
      </c>
      <c r="K2690" s="211"/>
    </row>
    <row r="2691" spans="1:11" ht="66.75">
      <c r="A2691" s="204">
        <v>2689</v>
      </c>
      <c r="B2691" s="205">
        <v>46063</v>
      </c>
      <c r="C2691" s="265" t="s">
        <v>824</v>
      </c>
      <c r="D2691" s="204">
        <v>2026</v>
      </c>
      <c r="E2691" s="204" t="s">
        <v>1431</v>
      </c>
      <c r="F2691" s="204" t="s">
        <v>1449</v>
      </c>
      <c r="G2691" s="206" t="s">
        <v>88</v>
      </c>
      <c r="H2691" s="207" t="s">
        <v>4241</v>
      </c>
      <c r="I2691" s="156" t="s">
        <v>26</v>
      </c>
      <c r="J2691" s="204" t="s">
        <v>2593</v>
      </c>
      <c r="K2691" s="207"/>
    </row>
    <row r="2692" spans="1:11" ht="50.25">
      <c r="A2692" s="204">
        <v>2690</v>
      </c>
      <c r="B2692" s="208">
        <v>46064</v>
      </c>
      <c r="C2692" s="265" t="s">
        <v>824</v>
      </c>
      <c r="D2692" s="204">
        <v>2026</v>
      </c>
      <c r="E2692" s="209" t="s">
        <v>1431</v>
      </c>
      <c r="F2692" s="209" t="s">
        <v>1225</v>
      </c>
      <c r="G2692" s="212" t="s">
        <v>1439</v>
      </c>
      <c r="H2692" s="211" t="s">
        <v>4242</v>
      </c>
      <c r="I2692" s="156" t="s">
        <v>26</v>
      </c>
      <c r="J2692" s="209" t="s">
        <v>925</v>
      </c>
      <c r="K2692" s="211"/>
    </row>
    <row r="2693" spans="1:11" ht="66.75">
      <c r="A2693" s="204">
        <v>2691</v>
      </c>
      <c r="B2693" s="205">
        <v>46064</v>
      </c>
      <c r="C2693" s="265" t="s">
        <v>824</v>
      </c>
      <c r="D2693" s="204">
        <v>2026</v>
      </c>
      <c r="E2693" s="204" t="s">
        <v>1431</v>
      </c>
      <c r="F2693" s="204" t="s">
        <v>1511</v>
      </c>
      <c r="G2693" s="206" t="s">
        <v>88</v>
      </c>
      <c r="H2693" s="207" t="s">
        <v>4243</v>
      </c>
      <c r="I2693" s="156" t="s">
        <v>26</v>
      </c>
      <c r="J2693" s="204" t="s">
        <v>3852</v>
      </c>
      <c r="K2693" s="207"/>
    </row>
    <row r="2694" spans="1:11" ht="33.75">
      <c r="A2694" s="204">
        <v>2692</v>
      </c>
      <c r="B2694" s="208">
        <v>46064</v>
      </c>
      <c r="C2694" s="265" t="s">
        <v>824</v>
      </c>
      <c r="D2694" s="204">
        <v>2026</v>
      </c>
      <c r="E2694" s="209" t="s">
        <v>1431</v>
      </c>
      <c r="F2694" s="209" t="s">
        <v>21</v>
      </c>
      <c r="G2694" s="213" t="s">
        <v>821</v>
      </c>
      <c r="H2694" s="211" t="s">
        <v>4244</v>
      </c>
      <c r="I2694" s="156" t="s">
        <v>26</v>
      </c>
      <c r="J2694" s="209" t="s">
        <v>1541</v>
      </c>
      <c r="K2694" s="211"/>
    </row>
    <row r="2695" spans="1:11" ht="150.75">
      <c r="A2695" s="204">
        <v>2693</v>
      </c>
      <c r="B2695" s="205">
        <v>46064</v>
      </c>
      <c r="C2695" s="265" t="s">
        <v>824</v>
      </c>
      <c r="D2695" s="204">
        <v>2026</v>
      </c>
      <c r="E2695" s="204" t="s">
        <v>1431</v>
      </c>
      <c r="F2695" s="204" t="s">
        <v>21</v>
      </c>
      <c r="G2695" s="213" t="s">
        <v>821</v>
      </c>
      <c r="H2695" s="207" t="s">
        <v>4245</v>
      </c>
      <c r="I2695" s="156" t="s">
        <v>26</v>
      </c>
      <c r="J2695" s="204" t="s">
        <v>468</v>
      </c>
      <c r="K2695" s="207" t="s">
        <v>1513</v>
      </c>
    </row>
    <row r="2696" spans="1:11" ht="84">
      <c r="A2696" s="204">
        <v>2694</v>
      </c>
      <c r="B2696" s="208">
        <v>46064</v>
      </c>
      <c r="C2696" s="265" t="s">
        <v>824</v>
      </c>
      <c r="D2696" s="204">
        <v>2026</v>
      </c>
      <c r="E2696" s="209" t="s">
        <v>1431</v>
      </c>
      <c r="F2696" s="209" t="s">
        <v>1506</v>
      </c>
      <c r="G2696" s="210" t="s">
        <v>88</v>
      </c>
      <c r="H2696" s="211" t="s">
        <v>4246</v>
      </c>
      <c r="I2696" s="156" t="s">
        <v>26</v>
      </c>
      <c r="J2696" s="209" t="s">
        <v>3343</v>
      </c>
      <c r="K2696" s="211" t="s">
        <v>1500</v>
      </c>
    </row>
    <row r="2697" spans="1:11" ht="33.75">
      <c r="A2697" s="204">
        <v>2695</v>
      </c>
      <c r="B2697" s="205">
        <v>46064</v>
      </c>
      <c r="C2697" s="265" t="s">
        <v>824</v>
      </c>
      <c r="D2697" s="204">
        <v>2026</v>
      </c>
      <c r="E2697" s="204" t="s">
        <v>1431</v>
      </c>
      <c r="F2697" s="204" t="s">
        <v>216</v>
      </c>
      <c r="G2697" s="213" t="s">
        <v>821</v>
      </c>
      <c r="H2697" s="207" t="s">
        <v>4247</v>
      </c>
      <c r="I2697" s="156" t="s">
        <v>26</v>
      </c>
      <c r="J2697" s="204" t="s">
        <v>492</v>
      </c>
      <c r="K2697" s="207"/>
    </row>
    <row r="2698" spans="1:11" ht="84">
      <c r="A2698" s="204">
        <v>2696</v>
      </c>
      <c r="B2698" s="208">
        <v>46064</v>
      </c>
      <c r="C2698" s="265" t="s">
        <v>824</v>
      </c>
      <c r="D2698" s="204">
        <v>2026</v>
      </c>
      <c r="E2698" s="209" t="s">
        <v>1431</v>
      </c>
      <c r="F2698" s="209" t="s">
        <v>1449</v>
      </c>
      <c r="G2698" s="210" t="s">
        <v>88</v>
      </c>
      <c r="H2698" s="211" t="s">
        <v>4248</v>
      </c>
      <c r="I2698" s="156" t="s">
        <v>26</v>
      </c>
      <c r="J2698" s="209" t="s">
        <v>2593</v>
      </c>
      <c r="K2698" s="211" t="s">
        <v>1444</v>
      </c>
    </row>
    <row r="2699" spans="1:11" ht="33.75">
      <c r="A2699" s="204">
        <v>2697</v>
      </c>
      <c r="B2699" s="205">
        <v>46064</v>
      </c>
      <c r="C2699" s="265" t="s">
        <v>824</v>
      </c>
      <c r="D2699" s="204">
        <v>2026</v>
      </c>
      <c r="E2699" s="204" t="s">
        <v>1431</v>
      </c>
      <c r="F2699" s="204" t="s">
        <v>1449</v>
      </c>
      <c r="G2699" s="213" t="s">
        <v>821</v>
      </c>
      <c r="H2699" s="207" t="s">
        <v>4249</v>
      </c>
      <c r="I2699" s="156" t="s">
        <v>26</v>
      </c>
      <c r="J2699" s="204" t="s">
        <v>2593</v>
      </c>
      <c r="K2699" s="207"/>
    </row>
    <row r="2700" spans="1:11" ht="100.5">
      <c r="A2700" s="204">
        <v>2698</v>
      </c>
      <c r="B2700" s="208">
        <v>46064</v>
      </c>
      <c r="C2700" s="265" t="s">
        <v>824</v>
      </c>
      <c r="D2700" s="204">
        <v>2026</v>
      </c>
      <c r="E2700" s="209" t="s">
        <v>2224</v>
      </c>
      <c r="F2700" s="209" t="s">
        <v>1449</v>
      </c>
      <c r="G2700" s="217" t="s">
        <v>859</v>
      </c>
      <c r="H2700" s="211" t="s">
        <v>4250</v>
      </c>
      <c r="I2700" s="156" t="s">
        <v>26</v>
      </c>
      <c r="J2700" s="209" t="s">
        <v>2568</v>
      </c>
      <c r="K2700" s="211" t="s">
        <v>1605</v>
      </c>
    </row>
    <row r="2701" spans="1:11" ht="33.75">
      <c r="A2701" s="204">
        <v>2699</v>
      </c>
      <c r="B2701" s="205">
        <v>46064</v>
      </c>
      <c r="C2701" s="265" t="s">
        <v>824</v>
      </c>
      <c r="D2701" s="204">
        <v>2026</v>
      </c>
      <c r="E2701" s="204" t="s">
        <v>2224</v>
      </c>
      <c r="F2701" s="204" t="s">
        <v>21</v>
      </c>
      <c r="G2701" s="213" t="s">
        <v>821</v>
      </c>
      <c r="H2701" s="207" t="s">
        <v>4251</v>
      </c>
      <c r="I2701" s="156" t="s">
        <v>26</v>
      </c>
      <c r="J2701" s="204" t="s">
        <v>468</v>
      </c>
      <c r="K2701" s="207"/>
    </row>
    <row r="2702" spans="1:11" ht="84">
      <c r="A2702" s="204">
        <v>2700</v>
      </c>
      <c r="B2702" s="208">
        <v>46064</v>
      </c>
      <c r="C2702" s="265" t="s">
        <v>824</v>
      </c>
      <c r="D2702" s="204">
        <v>2026</v>
      </c>
      <c r="E2702" s="209" t="s">
        <v>1431</v>
      </c>
      <c r="F2702" s="209" t="s">
        <v>1566</v>
      </c>
      <c r="G2702" s="210" t="s">
        <v>88</v>
      </c>
      <c r="H2702" s="211" t="s">
        <v>4252</v>
      </c>
      <c r="I2702" s="156" t="s">
        <v>26</v>
      </c>
      <c r="J2702" s="209" t="s">
        <v>1453</v>
      </c>
      <c r="K2702" s="211" t="s">
        <v>1500</v>
      </c>
    </row>
    <row r="2703" spans="1:11" ht="117">
      <c r="A2703" s="204">
        <v>2701</v>
      </c>
      <c r="B2703" s="205">
        <v>46064</v>
      </c>
      <c r="C2703" s="265" t="s">
        <v>824</v>
      </c>
      <c r="D2703" s="204">
        <v>2026</v>
      </c>
      <c r="E2703" s="204" t="s">
        <v>1431</v>
      </c>
      <c r="F2703" s="204" t="s">
        <v>1566</v>
      </c>
      <c r="G2703" s="206" t="s">
        <v>88</v>
      </c>
      <c r="H2703" s="207" t="s">
        <v>4253</v>
      </c>
      <c r="I2703" s="156" t="s">
        <v>26</v>
      </c>
      <c r="J2703" s="204" t="s">
        <v>1453</v>
      </c>
      <c r="K2703" s="207" t="s">
        <v>1559</v>
      </c>
    </row>
    <row r="2704" spans="1:11" ht="117">
      <c r="A2704" s="204">
        <v>2702</v>
      </c>
      <c r="B2704" s="208">
        <v>46064</v>
      </c>
      <c r="C2704" s="265" t="s">
        <v>824</v>
      </c>
      <c r="D2704" s="204">
        <v>2026</v>
      </c>
      <c r="E2704" s="209" t="s">
        <v>1431</v>
      </c>
      <c r="F2704" s="209" t="s">
        <v>1566</v>
      </c>
      <c r="G2704" s="210" t="s">
        <v>88</v>
      </c>
      <c r="H2704" s="211" t="s">
        <v>4254</v>
      </c>
      <c r="I2704" s="156" t="s">
        <v>26</v>
      </c>
      <c r="J2704" s="209" t="s">
        <v>1453</v>
      </c>
      <c r="K2704" s="211" t="s">
        <v>1559</v>
      </c>
    </row>
    <row r="2705" spans="1:11" ht="117">
      <c r="A2705" s="204">
        <v>2703</v>
      </c>
      <c r="B2705" s="205">
        <v>46065</v>
      </c>
      <c r="C2705" s="265" t="s">
        <v>824</v>
      </c>
      <c r="D2705" s="204">
        <v>2026</v>
      </c>
      <c r="E2705" s="204" t="s">
        <v>1431</v>
      </c>
      <c r="F2705" s="204" t="s">
        <v>2530</v>
      </c>
      <c r="G2705" s="206" t="s">
        <v>88</v>
      </c>
      <c r="H2705" s="207" t="s">
        <v>4255</v>
      </c>
      <c r="I2705" s="156" t="s">
        <v>26</v>
      </c>
      <c r="J2705" s="204" t="s">
        <v>2700</v>
      </c>
      <c r="K2705" s="207" t="s">
        <v>1522</v>
      </c>
    </row>
    <row r="2706" spans="1:11" ht="50.25">
      <c r="A2706" s="204">
        <v>2704</v>
      </c>
      <c r="B2706" s="208">
        <v>46065</v>
      </c>
      <c r="C2706" s="265" t="s">
        <v>824</v>
      </c>
      <c r="D2706" s="204">
        <v>2026</v>
      </c>
      <c r="E2706" s="209" t="s">
        <v>1431</v>
      </c>
      <c r="F2706" s="209" t="s">
        <v>216</v>
      </c>
      <c r="G2706" s="213" t="s">
        <v>821</v>
      </c>
      <c r="H2706" s="211" t="s">
        <v>4256</v>
      </c>
      <c r="I2706" s="156" t="s">
        <v>26</v>
      </c>
      <c r="J2706" s="209" t="s">
        <v>492</v>
      </c>
      <c r="K2706" s="211"/>
    </row>
    <row r="2707" spans="1:11" ht="50.25">
      <c r="A2707" s="204">
        <v>2705</v>
      </c>
      <c r="B2707" s="205">
        <v>46065</v>
      </c>
      <c r="C2707" s="265" t="s">
        <v>824</v>
      </c>
      <c r="D2707" s="204">
        <v>2026</v>
      </c>
      <c r="E2707" s="204" t="s">
        <v>1431</v>
      </c>
      <c r="F2707" s="204" t="s">
        <v>1449</v>
      </c>
      <c r="G2707" s="214" t="s">
        <v>859</v>
      </c>
      <c r="H2707" s="207" t="s">
        <v>4257</v>
      </c>
      <c r="I2707" s="156" t="s">
        <v>26</v>
      </c>
      <c r="J2707" s="204" t="s">
        <v>2593</v>
      </c>
      <c r="K2707" s="207"/>
    </row>
    <row r="2708" spans="1:11" ht="33.75">
      <c r="A2708" s="204">
        <v>2706</v>
      </c>
      <c r="B2708" s="208">
        <v>46065</v>
      </c>
      <c r="C2708" s="265" t="s">
        <v>824</v>
      </c>
      <c r="D2708" s="204">
        <v>2026</v>
      </c>
      <c r="E2708" s="209" t="s">
        <v>1431</v>
      </c>
      <c r="F2708" s="209" t="s">
        <v>1449</v>
      </c>
      <c r="G2708" s="213" t="s">
        <v>821</v>
      </c>
      <c r="H2708" s="211" t="s">
        <v>4258</v>
      </c>
      <c r="I2708" s="156" t="s">
        <v>26</v>
      </c>
      <c r="J2708" s="209" t="s">
        <v>2593</v>
      </c>
      <c r="K2708" s="211"/>
    </row>
    <row r="2709" spans="1:11" ht="100.5">
      <c r="A2709" s="204">
        <v>2707</v>
      </c>
      <c r="B2709" s="205">
        <v>46065</v>
      </c>
      <c r="C2709" s="265" t="s">
        <v>824</v>
      </c>
      <c r="D2709" s="204">
        <v>2026</v>
      </c>
      <c r="E2709" s="204" t="s">
        <v>1431</v>
      </c>
      <c r="F2709" s="204" t="s">
        <v>1566</v>
      </c>
      <c r="G2709" s="206" t="s">
        <v>88</v>
      </c>
      <c r="H2709" s="207" t="s">
        <v>4259</v>
      </c>
      <c r="I2709" s="156" t="s">
        <v>26</v>
      </c>
      <c r="J2709" s="204" t="s">
        <v>1453</v>
      </c>
      <c r="K2709" s="207" t="s">
        <v>1454</v>
      </c>
    </row>
    <row r="2710" spans="1:11" ht="84">
      <c r="A2710" s="204">
        <v>2708</v>
      </c>
      <c r="B2710" s="208">
        <v>46065</v>
      </c>
      <c r="C2710" s="265" t="s">
        <v>824</v>
      </c>
      <c r="D2710" s="204">
        <v>2026</v>
      </c>
      <c r="E2710" s="209" t="s">
        <v>1431</v>
      </c>
      <c r="F2710" s="209" t="s">
        <v>1566</v>
      </c>
      <c r="G2710" s="210" t="s">
        <v>88</v>
      </c>
      <c r="H2710" s="211" t="s">
        <v>4260</v>
      </c>
      <c r="I2710" s="156" t="s">
        <v>26</v>
      </c>
      <c r="J2710" s="209" t="s">
        <v>1453</v>
      </c>
      <c r="K2710" s="211" t="s">
        <v>1500</v>
      </c>
    </row>
    <row r="2711" spans="1:11" ht="117">
      <c r="A2711" s="204">
        <v>2709</v>
      </c>
      <c r="B2711" s="205">
        <v>46065</v>
      </c>
      <c r="C2711" s="265" t="s">
        <v>824</v>
      </c>
      <c r="D2711" s="204">
        <v>2026</v>
      </c>
      <c r="E2711" s="204" t="s">
        <v>1431</v>
      </c>
      <c r="F2711" s="204" t="s">
        <v>1566</v>
      </c>
      <c r="G2711" s="206" t="s">
        <v>88</v>
      </c>
      <c r="H2711" s="207" t="s">
        <v>4261</v>
      </c>
      <c r="I2711" s="156" t="s">
        <v>26</v>
      </c>
      <c r="J2711" s="204" t="s">
        <v>1453</v>
      </c>
      <c r="K2711" s="207" t="s">
        <v>1451</v>
      </c>
    </row>
    <row r="2712" spans="1:11" ht="117">
      <c r="A2712" s="204">
        <v>2710</v>
      </c>
      <c r="B2712" s="208">
        <v>46065</v>
      </c>
      <c r="C2712" s="265" t="s">
        <v>824</v>
      </c>
      <c r="D2712" s="204">
        <v>2026</v>
      </c>
      <c r="E2712" s="209" t="s">
        <v>1431</v>
      </c>
      <c r="F2712" s="209" t="s">
        <v>1566</v>
      </c>
      <c r="G2712" s="210" t="s">
        <v>88</v>
      </c>
      <c r="H2712" s="211" t="s">
        <v>4262</v>
      </c>
      <c r="I2712" s="156" t="s">
        <v>26</v>
      </c>
      <c r="J2712" s="209" t="s">
        <v>1453</v>
      </c>
      <c r="K2712" s="211" t="s">
        <v>1451</v>
      </c>
    </row>
    <row r="2713" spans="1:11" ht="16.5">
      <c r="A2713" s="204">
        <v>2711</v>
      </c>
      <c r="B2713" s="205">
        <v>46065</v>
      </c>
      <c r="C2713" s="265" t="s">
        <v>824</v>
      </c>
      <c r="D2713" s="204">
        <v>2026</v>
      </c>
      <c r="E2713" s="204" t="s">
        <v>2224</v>
      </c>
      <c r="F2713" s="204" t="s">
        <v>1518</v>
      </c>
      <c r="G2713" s="213" t="s">
        <v>821</v>
      </c>
      <c r="H2713" s="207" t="s">
        <v>4263</v>
      </c>
      <c r="I2713" s="156" t="s">
        <v>26</v>
      </c>
      <c r="J2713" s="204" t="s">
        <v>1493</v>
      </c>
      <c r="K2713" s="207"/>
    </row>
    <row r="2714" spans="1:11" ht="16.5">
      <c r="A2714" s="204">
        <v>2712</v>
      </c>
      <c r="B2714" s="208">
        <v>46065</v>
      </c>
      <c r="C2714" s="265" t="s">
        <v>824</v>
      </c>
      <c r="D2714" s="204">
        <v>2026</v>
      </c>
      <c r="E2714" s="209" t="s">
        <v>2224</v>
      </c>
      <c r="F2714" s="209" t="s">
        <v>21</v>
      </c>
      <c r="G2714" s="213" t="s">
        <v>821</v>
      </c>
      <c r="H2714" s="211" t="s">
        <v>4264</v>
      </c>
      <c r="I2714" s="156" t="s">
        <v>26</v>
      </c>
      <c r="J2714" s="209" t="s">
        <v>468</v>
      </c>
      <c r="K2714" s="211"/>
    </row>
    <row r="2715" spans="1:11" ht="33.75">
      <c r="A2715" s="204">
        <v>2713</v>
      </c>
      <c r="B2715" s="205">
        <v>46065</v>
      </c>
      <c r="C2715" s="265" t="s">
        <v>824</v>
      </c>
      <c r="D2715" s="204">
        <v>2026</v>
      </c>
      <c r="E2715" s="204" t="s">
        <v>2224</v>
      </c>
      <c r="F2715" s="204" t="s">
        <v>1449</v>
      </c>
      <c r="G2715" s="214" t="s">
        <v>859</v>
      </c>
      <c r="H2715" s="207" t="s">
        <v>4265</v>
      </c>
      <c r="I2715" s="156" t="s">
        <v>26</v>
      </c>
      <c r="J2715" s="204" t="s">
        <v>2593</v>
      </c>
      <c r="K2715" s="207"/>
    </row>
    <row r="2716" spans="1:11" ht="33.75">
      <c r="A2716" s="204">
        <v>2714</v>
      </c>
      <c r="B2716" s="208">
        <v>46065</v>
      </c>
      <c r="C2716" s="265" t="s">
        <v>824</v>
      </c>
      <c r="D2716" s="204">
        <v>2026</v>
      </c>
      <c r="E2716" s="209" t="s">
        <v>1431</v>
      </c>
      <c r="F2716" s="209" t="s">
        <v>1449</v>
      </c>
      <c r="G2716" s="210" t="s">
        <v>88</v>
      </c>
      <c r="H2716" s="211" t="s">
        <v>4266</v>
      </c>
      <c r="I2716" s="156" t="s">
        <v>26</v>
      </c>
      <c r="J2716" s="209" t="s">
        <v>2593</v>
      </c>
      <c r="K2716" s="211"/>
    </row>
    <row r="2717" spans="1:11" ht="33.75">
      <c r="A2717" s="204">
        <v>2715</v>
      </c>
      <c r="B2717" s="205">
        <v>46065</v>
      </c>
      <c r="C2717" s="265" t="s">
        <v>824</v>
      </c>
      <c r="D2717" s="204">
        <v>2026</v>
      </c>
      <c r="E2717" s="204" t="s">
        <v>1431</v>
      </c>
      <c r="F2717" s="204" t="s">
        <v>1449</v>
      </c>
      <c r="G2717" s="213" t="s">
        <v>821</v>
      </c>
      <c r="H2717" s="207" t="s">
        <v>4267</v>
      </c>
      <c r="I2717" s="156" t="s">
        <v>26</v>
      </c>
      <c r="J2717" s="204" t="s">
        <v>2593</v>
      </c>
      <c r="K2717" s="207"/>
    </row>
    <row r="2718" spans="1:11" ht="117">
      <c r="A2718" s="204">
        <v>2716</v>
      </c>
      <c r="B2718" s="208">
        <v>46065</v>
      </c>
      <c r="C2718" s="265" t="s">
        <v>824</v>
      </c>
      <c r="D2718" s="204">
        <v>2026</v>
      </c>
      <c r="E2718" s="209" t="s">
        <v>1431</v>
      </c>
      <c r="F2718" s="209" t="s">
        <v>1449</v>
      </c>
      <c r="G2718" s="210" t="s">
        <v>88</v>
      </c>
      <c r="H2718" s="211" t="s">
        <v>4268</v>
      </c>
      <c r="I2718" s="156" t="s">
        <v>26</v>
      </c>
      <c r="J2718" s="209" t="s">
        <v>2593</v>
      </c>
      <c r="K2718" s="211" t="s">
        <v>1522</v>
      </c>
    </row>
    <row r="2719" spans="1:11" ht="84">
      <c r="A2719" s="204">
        <v>2717</v>
      </c>
      <c r="B2719" s="205">
        <v>46065</v>
      </c>
      <c r="C2719" s="265" t="s">
        <v>824</v>
      </c>
      <c r="D2719" s="204">
        <v>2026</v>
      </c>
      <c r="E2719" s="204" t="s">
        <v>1431</v>
      </c>
      <c r="F2719" s="204" t="s">
        <v>1449</v>
      </c>
      <c r="G2719" s="206" t="s">
        <v>88</v>
      </c>
      <c r="H2719" s="207" t="s">
        <v>4269</v>
      </c>
      <c r="I2719" s="156" t="s">
        <v>26</v>
      </c>
      <c r="J2719" s="204" t="s">
        <v>2593</v>
      </c>
      <c r="K2719" s="207" t="s">
        <v>1500</v>
      </c>
    </row>
    <row r="2720" spans="1:11" ht="33.75">
      <c r="A2720" s="204">
        <v>2718</v>
      </c>
      <c r="B2720" s="208">
        <v>46065</v>
      </c>
      <c r="C2720" s="265" t="s">
        <v>824</v>
      </c>
      <c r="D2720" s="204">
        <v>2026</v>
      </c>
      <c r="E2720" s="209" t="s">
        <v>1431</v>
      </c>
      <c r="F2720" s="209" t="s">
        <v>1449</v>
      </c>
      <c r="G2720" s="216" t="s">
        <v>872</v>
      </c>
      <c r="H2720" s="211" t="s">
        <v>4270</v>
      </c>
      <c r="I2720" s="156" t="s">
        <v>26</v>
      </c>
      <c r="J2720" s="209" t="s">
        <v>2593</v>
      </c>
      <c r="K2720" s="211"/>
    </row>
    <row r="2721" spans="1:11" ht="33.75">
      <c r="A2721" s="204">
        <v>2719</v>
      </c>
      <c r="B2721" s="205">
        <v>46066</v>
      </c>
      <c r="C2721" s="265" t="s">
        <v>824</v>
      </c>
      <c r="D2721" s="204">
        <v>2026</v>
      </c>
      <c r="E2721" s="204" t="s">
        <v>1431</v>
      </c>
      <c r="F2721" s="204" t="s">
        <v>2595</v>
      </c>
      <c r="G2721" s="213" t="s">
        <v>821</v>
      </c>
      <c r="H2721" s="207" t="s">
        <v>4271</v>
      </c>
      <c r="I2721" s="156" t="s">
        <v>26</v>
      </c>
      <c r="J2721" s="204" t="s">
        <v>3516</v>
      </c>
      <c r="K2721" s="207"/>
    </row>
    <row r="2722" spans="1:11" ht="50.25">
      <c r="A2722" s="204">
        <v>2720</v>
      </c>
      <c r="B2722" s="208">
        <v>46066</v>
      </c>
      <c r="C2722" s="265" t="s">
        <v>824</v>
      </c>
      <c r="D2722" s="204">
        <v>2026</v>
      </c>
      <c r="E2722" s="209" t="s">
        <v>1431</v>
      </c>
      <c r="F2722" s="209" t="s">
        <v>2595</v>
      </c>
      <c r="G2722" s="213" t="s">
        <v>821</v>
      </c>
      <c r="H2722" s="211" t="s">
        <v>4272</v>
      </c>
      <c r="I2722" s="156" t="s">
        <v>26</v>
      </c>
      <c r="J2722" s="209" t="s">
        <v>3516</v>
      </c>
      <c r="K2722" s="211"/>
    </row>
    <row r="2723" spans="1:11" ht="33.75">
      <c r="A2723" s="204">
        <v>2721</v>
      </c>
      <c r="B2723" s="205">
        <v>46066</v>
      </c>
      <c r="C2723" s="265" t="s">
        <v>824</v>
      </c>
      <c r="D2723" s="204">
        <v>2026</v>
      </c>
      <c r="E2723" s="204" t="s">
        <v>1431</v>
      </c>
      <c r="F2723" s="204" t="s">
        <v>1506</v>
      </c>
      <c r="G2723" s="206" t="s">
        <v>88</v>
      </c>
      <c r="H2723" s="207" t="s">
        <v>4273</v>
      </c>
      <c r="I2723" s="156" t="s">
        <v>26</v>
      </c>
      <c r="J2723" s="204" t="s">
        <v>1904</v>
      </c>
      <c r="K2723" s="207"/>
    </row>
    <row r="2724" spans="1:11" ht="150.75">
      <c r="A2724" s="204">
        <v>2722</v>
      </c>
      <c r="B2724" s="208">
        <v>46066</v>
      </c>
      <c r="C2724" s="265" t="s">
        <v>824</v>
      </c>
      <c r="D2724" s="204">
        <v>2026</v>
      </c>
      <c r="E2724" s="209" t="s">
        <v>1431</v>
      </c>
      <c r="F2724" s="209" t="s">
        <v>21</v>
      </c>
      <c r="G2724" s="213" t="s">
        <v>821</v>
      </c>
      <c r="H2724" s="211" t="s">
        <v>4274</v>
      </c>
      <c r="I2724" s="156" t="s">
        <v>26</v>
      </c>
      <c r="J2724" s="209" t="s">
        <v>468</v>
      </c>
      <c r="K2724" s="211" t="s">
        <v>1513</v>
      </c>
    </row>
    <row r="2725" spans="1:11" ht="100.5">
      <c r="A2725" s="204">
        <v>2723</v>
      </c>
      <c r="B2725" s="205">
        <v>46066</v>
      </c>
      <c r="C2725" s="265" t="s">
        <v>824</v>
      </c>
      <c r="D2725" s="204">
        <v>2026</v>
      </c>
      <c r="E2725" s="204" t="s">
        <v>1431</v>
      </c>
      <c r="F2725" s="204" t="s">
        <v>1584</v>
      </c>
      <c r="G2725" s="213" t="s">
        <v>821</v>
      </c>
      <c r="H2725" s="207" t="s">
        <v>4275</v>
      </c>
      <c r="I2725" s="156" t="s">
        <v>26</v>
      </c>
      <c r="J2725" s="204" t="s">
        <v>158</v>
      </c>
      <c r="K2725" s="207" t="s">
        <v>1448</v>
      </c>
    </row>
    <row r="2726" spans="1:11" ht="84">
      <c r="A2726" s="204">
        <v>2724</v>
      </c>
      <c r="B2726" s="208">
        <v>46066</v>
      </c>
      <c r="C2726" s="265" t="s">
        <v>824</v>
      </c>
      <c r="D2726" s="204">
        <v>2026</v>
      </c>
      <c r="E2726" s="209" t="s">
        <v>1431</v>
      </c>
      <c r="F2726" s="209" t="s">
        <v>1566</v>
      </c>
      <c r="G2726" s="210" t="s">
        <v>88</v>
      </c>
      <c r="H2726" s="211" t="s">
        <v>4276</v>
      </c>
      <c r="I2726" s="156" t="s">
        <v>26</v>
      </c>
      <c r="J2726" s="209" t="s">
        <v>1453</v>
      </c>
      <c r="K2726" s="211" t="s">
        <v>1500</v>
      </c>
    </row>
    <row r="2727" spans="1:11" ht="33.75">
      <c r="A2727" s="204">
        <v>2725</v>
      </c>
      <c r="B2727" s="205">
        <v>46066</v>
      </c>
      <c r="C2727" s="265" t="s">
        <v>824</v>
      </c>
      <c r="D2727" s="204">
        <v>2026</v>
      </c>
      <c r="E2727" s="204" t="s">
        <v>2224</v>
      </c>
      <c r="F2727" s="204" t="s">
        <v>21</v>
      </c>
      <c r="G2727" s="213" t="s">
        <v>821</v>
      </c>
      <c r="H2727" s="207" t="s">
        <v>4277</v>
      </c>
      <c r="I2727" s="156" t="s">
        <v>26</v>
      </c>
      <c r="J2727" s="204" t="s">
        <v>468</v>
      </c>
      <c r="K2727" s="207"/>
    </row>
    <row r="2728" spans="1:11" ht="100.5">
      <c r="A2728" s="204">
        <v>2726</v>
      </c>
      <c r="B2728" s="208">
        <v>46071</v>
      </c>
      <c r="C2728" s="265" t="s">
        <v>824</v>
      </c>
      <c r="D2728" s="204">
        <v>2026</v>
      </c>
      <c r="E2728" s="209" t="s">
        <v>1431</v>
      </c>
      <c r="F2728" s="209" t="s">
        <v>2595</v>
      </c>
      <c r="G2728" s="210" t="s">
        <v>88</v>
      </c>
      <c r="H2728" s="211" t="s">
        <v>4278</v>
      </c>
      <c r="I2728" s="156" t="s">
        <v>26</v>
      </c>
      <c r="J2728" s="209" t="s">
        <v>3516</v>
      </c>
      <c r="K2728" s="211" t="s">
        <v>1472</v>
      </c>
    </row>
    <row r="2729" spans="1:11" ht="100.5">
      <c r="A2729" s="204">
        <v>2727</v>
      </c>
      <c r="B2729" s="205">
        <v>46071</v>
      </c>
      <c r="C2729" s="265" t="s">
        <v>824</v>
      </c>
      <c r="D2729" s="204">
        <v>2026</v>
      </c>
      <c r="E2729" s="204" t="s">
        <v>1431</v>
      </c>
      <c r="F2729" s="204" t="s">
        <v>1506</v>
      </c>
      <c r="G2729" s="206" t="s">
        <v>88</v>
      </c>
      <c r="H2729" s="207" t="s">
        <v>4279</v>
      </c>
      <c r="I2729" s="156" t="s">
        <v>26</v>
      </c>
      <c r="J2729" s="204" t="s">
        <v>3343</v>
      </c>
      <c r="K2729" s="207" t="s">
        <v>1454</v>
      </c>
    </row>
    <row r="2730" spans="1:11" ht="84">
      <c r="A2730" s="204">
        <v>2728</v>
      </c>
      <c r="B2730" s="208">
        <v>46071</v>
      </c>
      <c r="C2730" s="265" t="s">
        <v>824</v>
      </c>
      <c r="D2730" s="204">
        <v>2026</v>
      </c>
      <c r="E2730" s="209" t="s">
        <v>1431</v>
      </c>
      <c r="F2730" s="209" t="s">
        <v>1506</v>
      </c>
      <c r="G2730" s="210" t="s">
        <v>88</v>
      </c>
      <c r="H2730" s="211" t="s">
        <v>4280</v>
      </c>
      <c r="I2730" s="156" t="s">
        <v>26</v>
      </c>
      <c r="J2730" s="209" t="s">
        <v>3343</v>
      </c>
      <c r="K2730" s="211" t="s">
        <v>1500</v>
      </c>
    </row>
    <row r="2731" spans="1:11" ht="50.25">
      <c r="A2731" s="204">
        <v>2729</v>
      </c>
      <c r="B2731" s="205">
        <v>46071</v>
      </c>
      <c r="C2731" s="265" t="s">
        <v>824</v>
      </c>
      <c r="D2731" s="204">
        <v>2026</v>
      </c>
      <c r="E2731" s="204" t="s">
        <v>1431</v>
      </c>
      <c r="F2731" s="204" t="s">
        <v>216</v>
      </c>
      <c r="G2731" s="213" t="s">
        <v>821</v>
      </c>
      <c r="H2731" s="207" t="s">
        <v>4281</v>
      </c>
      <c r="I2731" s="156" t="s">
        <v>26</v>
      </c>
      <c r="J2731" s="204" t="s">
        <v>492</v>
      </c>
      <c r="K2731" s="207"/>
    </row>
    <row r="2732" spans="1:11" ht="150.75">
      <c r="A2732" s="204">
        <v>2730</v>
      </c>
      <c r="B2732" s="208">
        <v>46071</v>
      </c>
      <c r="C2732" s="265" t="s">
        <v>824</v>
      </c>
      <c r="D2732" s="204">
        <v>2026</v>
      </c>
      <c r="E2732" s="209" t="s">
        <v>1431</v>
      </c>
      <c r="F2732" s="209" t="s">
        <v>216</v>
      </c>
      <c r="G2732" s="213" t="s">
        <v>821</v>
      </c>
      <c r="H2732" s="211" t="s">
        <v>4282</v>
      </c>
      <c r="I2732" s="156" t="s">
        <v>26</v>
      </c>
      <c r="J2732" s="209" t="s">
        <v>492</v>
      </c>
      <c r="K2732" s="211" t="s">
        <v>1513</v>
      </c>
    </row>
    <row r="2733" spans="1:11" ht="134.25">
      <c r="A2733" s="204">
        <v>2731</v>
      </c>
      <c r="B2733" s="205">
        <v>46071</v>
      </c>
      <c r="C2733" s="265" t="s">
        <v>824</v>
      </c>
      <c r="D2733" s="204">
        <v>2026</v>
      </c>
      <c r="E2733" s="204" t="s">
        <v>2197</v>
      </c>
      <c r="F2733" s="204" t="s">
        <v>216</v>
      </c>
      <c r="G2733" s="213" t="s">
        <v>821</v>
      </c>
      <c r="H2733" s="207" t="s">
        <v>4283</v>
      </c>
      <c r="I2733" s="156" t="s">
        <v>26</v>
      </c>
      <c r="J2733" s="204" t="s">
        <v>492</v>
      </c>
      <c r="K2733" s="207" t="s">
        <v>1601</v>
      </c>
    </row>
    <row r="2734" spans="1:11" ht="50.25">
      <c r="A2734" s="204">
        <v>2732</v>
      </c>
      <c r="B2734" s="208">
        <v>46071</v>
      </c>
      <c r="C2734" s="265" t="s">
        <v>824</v>
      </c>
      <c r="D2734" s="204">
        <v>2026</v>
      </c>
      <c r="E2734" s="209" t="s">
        <v>1431</v>
      </c>
      <c r="F2734" s="209" t="s">
        <v>21</v>
      </c>
      <c r="G2734" s="213" t="s">
        <v>821</v>
      </c>
      <c r="H2734" s="211" t="s">
        <v>4284</v>
      </c>
      <c r="I2734" s="156" t="s">
        <v>26</v>
      </c>
      <c r="J2734" s="209" t="s">
        <v>149</v>
      </c>
      <c r="K2734" s="211"/>
    </row>
    <row r="2735" spans="1:11" ht="100.5">
      <c r="A2735" s="204">
        <v>2733</v>
      </c>
      <c r="B2735" s="205">
        <v>46071</v>
      </c>
      <c r="C2735" s="265" t="s">
        <v>824</v>
      </c>
      <c r="D2735" s="204">
        <v>2026</v>
      </c>
      <c r="E2735" s="204" t="s">
        <v>1431</v>
      </c>
      <c r="F2735" s="204" t="s">
        <v>1449</v>
      </c>
      <c r="G2735" s="213" t="s">
        <v>821</v>
      </c>
      <c r="H2735" s="207" t="s">
        <v>4285</v>
      </c>
      <c r="I2735" s="156" t="s">
        <v>26</v>
      </c>
      <c r="J2735" s="204" t="s">
        <v>2593</v>
      </c>
      <c r="K2735" s="207" t="s">
        <v>1448</v>
      </c>
    </row>
    <row r="2736" spans="1:11" ht="117">
      <c r="A2736" s="204">
        <v>2734</v>
      </c>
      <c r="B2736" s="208">
        <v>46071</v>
      </c>
      <c r="C2736" s="265" t="s">
        <v>824</v>
      </c>
      <c r="D2736" s="204">
        <v>2026</v>
      </c>
      <c r="E2736" s="209" t="s">
        <v>1431</v>
      </c>
      <c r="F2736" s="209" t="s">
        <v>1449</v>
      </c>
      <c r="G2736" s="210" t="s">
        <v>88</v>
      </c>
      <c r="H2736" s="211" t="s">
        <v>4286</v>
      </c>
      <c r="I2736" s="156" t="s">
        <v>26</v>
      </c>
      <c r="J2736" s="209" t="s">
        <v>2593</v>
      </c>
      <c r="K2736" s="211" t="s">
        <v>1559</v>
      </c>
    </row>
    <row r="2737" spans="1:11" ht="117">
      <c r="A2737" s="204">
        <v>2735</v>
      </c>
      <c r="B2737" s="205">
        <v>46071</v>
      </c>
      <c r="C2737" s="265" t="s">
        <v>824</v>
      </c>
      <c r="D2737" s="204">
        <v>2026</v>
      </c>
      <c r="E2737" s="204" t="s">
        <v>1431</v>
      </c>
      <c r="F2737" s="204" t="s">
        <v>1449</v>
      </c>
      <c r="G2737" s="206" t="s">
        <v>88</v>
      </c>
      <c r="H2737" s="207" t="s">
        <v>4287</v>
      </c>
      <c r="I2737" s="156" t="s">
        <v>26</v>
      </c>
      <c r="J2737" s="204" t="s">
        <v>2593</v>
      </c>
      <c r="K2737" s="207" t="s">
        <v>1510</v>
      </c>
    </row>
    <row r="2738" spans="1:11" ht="50.25">
      <c r="A2738" s="204">
        <v>2736</v>
      </c>
      <c r="B2738" s="208">
        <v>46071</v>
      </c>
      <c r="C2738" s="265" t="s">
        <v>824</v>
      </c>
      <c r="D2738" s="204">
        <v>2026</v>
      </c>
      <c r="E2738" s="209" t="s">
        <v>1431</v>
      </c>
      <c r="F2738" s="209" t="s">
        <v>1449</v>
      </c>
      <c r="G2738" s="212" t="s">
        <v>1439</v>
      </c>
      <c r="H2738" s="211" t="s">
        <v>4288</v>
      </c>
      <c r="I2738" s="156" t="s">
        <v>26</v>
      </c>
      <c r="J2738" s="209" t="s">
        <v>2593</v>
      </c>
      <c r="K2738" s="211"/>
    </row>
    <row r="2739" spans="1:11" ht="100.5">
      <c r="A2739" s="204">
        <v>2737</v>
      </c>
      <c r="B2739" s="205">
        <v>46071</v>
      </c>
      <c r="C2739" s="265" t="s">
        <v>824</v>
      </c>
      <c r="D2739" s="204">
        <v>2026</v>
      </c>
      <c r="E2739" s="204" t="s">
        <v>3881</v>
      </c>
      <c r="F2739" s="204" t="s">
        <v>988</v>
      </c>
      <c r="G2739" s="212" t="s">
        <v>1439</v>
      </c>
      <c r="H2739" s="207" t="s">
        <v>4289</v>
      </c>
      <c r="I2739" s="156" t="s">
        <v>26</v>
      </c>
      <c r="J2739" s="204" t="s">
        <v>4183</v>
      </c>
      <c r="K2739" s="207" t="s">
        <v>1582</v>
      </c>
    </row>
    <row r="2740" spans="1:11" ht="50.25">
      <c r="A2740" s="204">
        <v>2738</v>
      </c>
      <c r="B2740" s="208">
        <v>46071</v>
      </c>
      <c r="C2740" s="265" t="s">
        <v>824</v>
      </c>
      <c r="D2740" s="204">
        <v>2026</v>
      </c>
      <c r="E2740" s="209" t="s">
        <v>2224</v>
      </c>
      <c r="F2740" s="209" t="s">
        <v>1449</v>
      </c>
      <c r="G2740" s="210" t="s">
        <v>88</v>
      </c>
      <c r="H2740" s="211" t="s">
        <v>4290</v>
      </c>
      <c r="I2740" s="156" t="s">
        <v>26</v>
      </c>
      <c r="J2740" s="209" t="s">
        <v>2593</v>
      </c>
      <c r="K2740" s="211"/>
    </row>
    <row r="2741" spans="1:11" ht="100.5">
      <c r="A2741" s="204">
        <v>2739</v>
      </c>
      <c r="B2741" s="205">
        <v>46071</v>
      </c>
      <c r="C2741" s="265" t="s">
        <v>824</v>
      </c>
      <c r="D2741" s="204">
        <v>2026</v>
      </c>
      <c r="E2741" s="204" t="s">
        <v>1431</v>
      </c>
      <c r="F2741" s="204" t="s">
        <v>1566</v>
      </c>
      <c r="G2741" s="206" t="s">
        <v>88</v>
      </c>
      <c r="H2741" s="207" t="s">
        <v>4291</v>
      </c>
      <c r="I2741" s="156" t="s">
        <v>26</v>
      </c>
      <c r="J2741" s="204" t="s">
        <v>1588</v>
      </c>
      <c r="K2741" s="207" t="s">
        <v>1478</v>
      </c>
    </row>
    <row r="2742" spans="1:11" ht="66.75">
      <c r="A2742" s="204">
        <v>2740</v>
      </c>
      <c r="B2742" s="208">
        <v>46071</v>
      </c>
      <c r="C2742" s="265" t="s">
        <v>824</v>
      </c>
      <c r="D2742" s="204">
        <v>2026</v>
      </c>
      <c r="E2742" s="209" t="s">
        <v>1431</v>
      </c>
      <c r="F2742" s="209" t="s">
        <v>1566</v>
      </c>
      <c r="G2742" s="210" t="s">
        <v>88</v>
      </c>
      <c r="H2742" s="211" t="s">
        <v>4292</v>
      </c>
      <c r="I2742" s="156" t="s">
        <v>26</v>
      </c>
      <c r="J2742" s="209" t="s">
        <v>1588</v>
      </c>
      <c r="K2742" s="211" t="s">
        <v>1548</v>
      </c>
    </row>
    <row r="2743" spans="1:11" ht="84">
      <c r="A2743" s="204">
        <v>2741</v>
      </c>
      <c r="B2743" s="205">
        <v>46071</v>
      </c>
      <c r="C2743" s="265" t="s">
        <v>824</v>
      </c>
      <c r="D2743" s="204">
        <v>2026</v>
      </c>
      <c r="E2743" s="204" t="s">
        <v>1431</v>
      </c>
      <c r="F2743" s="204" t="s">
        <v>1566</v>
      </c>
      <c r="G2743" s="206" t="s">
        <v>88</v>
      </c>
      <c r="H2743" s="207" t="s">
        <v>4293</v>
      </c>
      <c r="I2743" s="156" t="s">
        <v>26</v>
      </c>
      <c r="J2743" s="204" t="s">
        <v>1588</v>
      </c>
      <c r="K2743" s="207" t="s">
        <v>1500</v>
      </c>
    </row>
    <row r="2744" spans="1:11" ht="409.6">
      <c r="A2744" s="204">
        <v>2742</v>
      </c>
      <c r="B2744" s="208">
        <v>46071</v>
      </c>
      <c r="C2744" s="265" t="s">
        <v>824</v>
      </c>
      <c r="D2744" s="204">
        <v>2026</v>
      </c>
      <c r="E2744" s="209" t="s">
        <v>1431</v>
      </c>
      <c r="F2744" s="209" t="s">
        <v>1566</v>
      </c>
      <c r="G2744" s="210" t="s">
        <v>88</v>
      </c>
      <c r="H2744" s="211" t="s">
        <v>4294</v>
      </c>
      <c r="I2744" s="156" t="s">
        <v>26</v>
      </c>
      <c r="J2744" s="209" t="s">
        <v>1588</v>
      </c>
      <c r="K2744" s="211" t="s">
        <v>1559</v>
      </c>
    </row>
    <row r="2745" spans="1:11" ht="33.75">
      <c r="A2745" s="204">
        <v>2743</v>
      </c>
      <c r="B2745" s="205">
        <v>46071</v>
      </c>
      <c r="C2745" s="265" t="s">
        <v>824</v>
      </c>
      <c r="D2745" s="204">
        <v>2026</v>
      </c>
      <c r="E2745" s="204" t="s">
        <v>1431</v>
      </c>
      <c r="F2745" s="204" t="s">
        <v>216</v>
      </c>
      <c r="G2745" s="213" t="s">
        <v>821</v>
      </c>
      <c r="H2745" s="207" t="s">
        <v>4295</v>
      </c>
      <c r="I2745" s="156" t="s">
        <v>26</v>
      </c>
      <c r="J2745" s="204" t="s">
        <v>492</v>
      </c>
      <c r="K2745" s="207"/>
    </row>
    <row r="2746" spans="1:11" ht="50.25">
      <c r="A2746" s="204">
        <v>2744</v>
      </c>
      <c r="B2746" s="208">
        <v>46071</v>
      </c>
      <c r="C2746" s="265" t="s">
        <v>824</v>
      </c>
      <c r="D2746" s="204">
        <v>2026</v>
      </c>
      <c r="E2746" s="209" t="s">
        <v>1431</v>
      </c>
      <c r="F2746" s="209" t="s">
        <v>1449</v>
      </c>
      <c r="G2746" s="210" t="s">
        <v>88</v>
      </c>
      <c r="H2746" s="211" t="s">
        <v>4296</v>
      </c>
      <c r="I2746" s="156" t="s">
        <v>26</v>
      </c>
      <c r="J2746" s="209" t="s">
        <v>2593</v>
      </c>
      <c r="K2746" s="211"/>
    </row>
    <row r="2747" spans="1:11" ht="84">
      <c r="A2747" s="204">
        <v>2745</v>
      </c>
      <c r="B2747" s="205">
        <v>46071</v>
      </c>
      <c r="C2747" s="265" t="s">
        <v>824</v>
      </c>
      <c r="D2747" s="204">
        <v>2026</v>
      </c>
      <c r="E2747" s="204" t="s">
        <v>1431</v>
      </c>
      <c r="F2747" s="204" t="s">
        <v>1449</v>
      </c>
      <c r="G2747" s="206" t="s">
        <v>88</v>
      </c>
      <c r="H2747" s="207" t="s">
        <v>4297</v>
      </c>
      <c r="I2747" s="156" t="s">
        <v>26</v>
      </c>
      <c r="J2747" s="204" t="s">
        <v>2593</v>
      </c>
      <c r="K2747" s="207" t="s">
        <v>1444</v>
      </c>
    </row>
    <row r="2748" spans="1:11" ht="84">
      <c r="A2748" s="204">
        <v>2746</v>
      </c>
      <c r="B2748" s="208">
        <v>46071</v>
      </c>
      <c r="C2748" s="265" t="s">
        <v>824</v>
      </c>
      <c r="D2748" s="204">
        <v>2026</v>
      </c>
      <c r="E2748" s="209" t="s">
        <v>1431</v>
      </c>
      <c r="F2748" s="209" t="s">
        <v>1449</v>
      </c>
      <c r="G2748" s="210" t="s">
        <v>88</v>
      </c>
      <c r="H2748" s="211" t="s">
        <v>4298</v>
      </c>
      <c r="I2748" s="156" t="s">
        <v>26</v>
      </c>
      <c r="J2748" s="209" t="s">
        <v>2593</v>
      </c>
      <c r="K2748" s="211"/>
    </row>
    <row r="2749" spans="1:11" ht="16.5">
      <c r="A2749" s="204">
        <v>2747</v>
      </c>
      <c r="B2749" s="205">
        <v>46071</v>
      </c>
      <c r="C2749" s="265" t="s">
        <v>824</v>
      </c>
      <c r="D2749" s="204">
        <v>2026</v>
      </c>
      <c r="E2749" s="204" t="s">
        <v>1431</v>
      </c>
      <c r="F2749" s="204" t="s">
        <v>1449</v>
      </c>
      <c r="G2749" s="206" t="s">
        <v>88</v>
      </c>
      <c r="H2749" s="207" t="s">
        <v>4299</v>
      </c>
      <c r="I2749" s="156" t="s">
        <v>26</v>
      </c>
      <c r="J2749" s="204" t="s">
        <v>2593</v>
      </c>
      <c r="K2749" s="207"/>
    </row>
    <row r="2750" spans="1:11" ht="33.75">
      <c r="A2750" s="204">
        <v>2748</v>
      </c>
      <c r="B2750" s="208">
        <v>46071</v>
      </c>
      <c r="C2750" s="265" t="s">
        <v>824</v>
      </c>
      <c r="D2750" s="204">
        <v>2026</v>
      </c>
      <c r="E2750" s="209" t="s">
        <v>1431</v>
      </c>
      <c r="F2750" s="209" t="s">
        <v>1449</v>
      </c>
      <c r="G2750" s="210" t="s">
        <v>88</v>
      </c>
      <c r="H2750" s="211" t="s">
        <v>4300</v>
      </c>
      <c r="I2750" s="156" t="s">
        <v>26</v>
      </c>
      <c r="J2750" s="209" t="s">
        <v>2593</v>
      </c>
      <c r="K2750" s="211"/>
    </row>
    <row r="2751" spans="1:11" ht="16.5">
      <c r="A2751" s="204">
        <v>2749</v>
      </c>
      <c r="B2751" s="205">
        <v>46071</v>
      </c>
      <c r="C2751" s="265" t="s">
        <v>824</v>
      </c>
      <c r="D2751" s="204">
        <v>2026</v>
      </c>
      <c r="E2751" s="204" t="s">
        <v>1431</v>
      </c>
      <c r="F2751" s="204" t="s">
        <v>1449</v>
      </c>
      <c r="G2751" s="213" t="s">
        <v>821</v>
      </c>
      <c r="H2751" s="207" t="s">
        <v>4301</v>
      </c>
      <c r="I2751" s="156" t="s">
        <v>26</v>
      </c>
      <c r="J2751" s="204" t="s">
        <v>2593</v>
      </c>
      <c r="K2751" s="207"/>
    </row>
    <row r="2752" spans="1:11" ht="150.75">
      <c r="A2752" s="204">
        <v>2750</v>
      </c>
      <c r="B2752" s="208">
        <v>46072</v>
      </c>
      <c r="C2752" s="265" t="s">
        <v>824</v>
      </c>
      <c r="D2752" s="204">
        <v>2026</v>
      </c>
      <c r="E2752" s="209" t="s">
        <v>1431</v>
      </c>
      <c r="F2752" s="209" t="s">
        <v>2595</v>
      </c>
      <c r="G2752" s="213" t="s">
        <v>821</v>
      </c>
      <c r="H2752" s="211" t="s">
        <v>4302</v>
      </c>
      <c r="I2752" s="156" t="s">
        <v>26</v>
      </c>
      <c r="J2752" s="209" t="s">
        <v>3516</v>
      </c>
      <c r="K2752" s="211" t="s">
        <v>1513</v>
      </c>
    </row>
    <row r="2753" spans="1:11" ht="117">
      <c r="A2753" s="204">
        <v>2751</v>
      </c>
      <c r="B2753" s="205">
        <v>46072</v>
      </c>
      <c r="C2753" s="265" t="s">
        <v>824</v>
      </c>
      <c r="D2753" s="204">
        <v>2026</v>
      </c>
      <c r="E2753" s="204" t="s">
        <v>1431</v>
      </c>
      <c r="F2753" s="204" t="s">
        <v>1511</v>
      </c>
      <c r="G2753" s="206" t="s">
        <v>88</v>
      </c>
      <c r="H2753" s="207" t="s">
        <v>4303</v>
      </c>
      <c r="I2753" s="156" t="s">
        <v>26</v>
      </c>
      <c r="J2753" s="204" t="s">
        <v>3836</v>
      </c>
      <c r="K2753" s="207" t="s">
        <v>1522</v>
      </c>
    </row>
    <row r="2754" spans="1:11" ht="117">
      <c r="A2754" s="204">
        <v>2752</v>
      </c>
      <c r="B2754" s="208">
        <v>46072</v>
      </c>
      <c r="C2754" s="265" t="s">
        <v>824</v>
      </c>
      <c r="D2754" s="204">
        <v>2026</v>
      </c>
      <c r="E2754" s="209" t="s">
        <v>1431</v>
      </c>
      <c r="F2754" s="209" t="s">
        <v>1504</v>
      </c>
      <c r="G2754" s="213" t="s">
        <v>821</v>
      </c>
      <c r="H2754" s="211" t="s">
        <v>4304</v>
      </c>
      <c r="I2754" s="156" t="s">
        <v>26</v>
      </c>
      <c r="J2754" s="209" t="s">
        <v>3516</v>
      </c>
      <c r="K2754" s="211" t="s">
        <v>1446</v>
      </c>
    </row>
    <row r="2755" spans="1:11" ht="84">
      <c r="A2755" s="204">
        <v>2753</v>
      </c>
      <c r="B2755" s="205">
        <v>46072</v>
      </c>
      <c r="C2755" s="265" t="s">
        <v>824</v>
      </c>
      <c r="D2755" s="204">
        <v>2026</v>
      </c>
      <c r="E2755" s="204" t="s">
        <v>1431</v>
      </c>
      <c r="F2755" s="204" t="s">
        <v>1518</v>
      </c>
      <c r="G2755" s="213" t="s">
        <v>821</v>
      </c>
      <c r="H2755" s="207" t="s">
        <v>4032</v>
      </c>
      <c r="I2755" s="156" t="s">
        <v>26</v>
      </c>
      <c r="J2755" s="204" t="s">
        <v>1493</v>
      </c>
      <c r="K2755" s="207" t="s">
        <v>1444</v>
      </c>
    </row>
    <row r="2756" spans="1:11" ht="33.75">
      <c r="A2756" s="204">
        <v>2754</v>
      </c>
      <c r="B2756" s="208">
        <v>46072</v>
      </c>
      <c r="C2756" s="265" t="s">
        <v>824</v>
      </c>
      <c r="D2756" s="204">
        <v>2026</v>
      </c>
      <c r="E2756" s="209" t="s">
        <v>1431</v>
      </c>
      <c r="F2756" s="209" t="s">
        <v>216</v>
      </c>
      <c r="G2756" s="213" t="s">
        <v>821</v>
      </c>
      <c r="H2756" s="211" t="s">
        <v>4305</v>
      </c>
      <c r="I2756" s="156" t="s">
        <v>26</v>
      </c>
      <c r="J2756" s="209" t="s">
        <v>492</v>
      </c>
      <c r="K2756" s="211"/>
    </row>
    <row r="2757" spans="1:11" ht="117">
      <c r="A2757" s="204">
        <v>2755</v>
      </c>
      <c r="B2757" s="205">
        <v>46072</v>
      </c>
      <c r="C2757" s="265" t="s">
        <v>824</v>
      </c>
      <c r="D2757" s="204">
        <v>2026</v>
      </c>
      <c r="E2757" s="204" t="s">
        <v>1431</v>
      </c>
      <c r="F2757" s="204" t="s">
        <v>1449</v>
      </c>
      <c r="G2757" s="206" t="s">
        <v>88</v>
      </c>
      <c r="H2757" s="207" t="s">
        <v>4306</v>
      </c>
      <c r="I2757" s="156" t="s">
        <v>26</v>
      </c>
      <c r="J2757" s="204" t="s">
        <v>2593</v>
      </c>
      <c r="K2757" s="207" t="s">
        <v>1510</v>
      </c>
    </row>
    <row r="2758" spans="1:11" ht="84">
      <c r="A2758" s="204">
        <v>2756</v>
      </c>
      <c r="B2758" s="208">
        <v>46072</v>
      </c>
      <c r="C2758" s="265" t="s">
        <v>824</v>
      </c>
      <c r="D2758" s="204">
        <v>2026</v>
      </c>
      <c r="E2758" s="209" t="s">
        <v>1431</v>
      </c>
      <c r="F2758" s="209" t="s">
        <v>1566</v>
      </c>
      <c r="G2758" s="210" t="s">
        <v>88</v>
      </c>
      <c r="H2758" s="211" t="s">
        <v>4307</v>
      </c>
      <c r="I2758" s="156" t="s">
        <v>26</v>
      </c>
      <c r="J2758" s="209" t="s">
        <v>2798</v>
      </c>
      <c r="K2758" s="211" t="s">
        <v>1500</v>
      </c>
    </row>
    <row r="2759" spans="1:11" ht="117">
      <c r="A2759" s="204">
        <v>2757</v>
      </c>
      <c r="B2759" s="205">
        <v>46072</v>
      </c>
      <c r="C2759" s="265" t="s">
        <v>824</v>
      </c>
      <c r="D2759" s="204">
        <v>2026</v>
      </c>
      <c r="E2759" s="204" t="s">
        <v>1431</v>
      </c>
      <c r="F2759" s="204" t="s">
        <v>1566</v>
      </c>
      <c r="G2759" s="206" t="s">
        <v>88</v>
      </c>
      <c r="H2759" s="207" t="s">
        <v>4308</v>
      </c>
      <c r="I2759" s="156" t="s">
        <v>26</v>
      </c>
      <c r="J2759" s="204" t="s">
        <v>2798</v>
      </c>
      <c r="K2759" s="207" t="s">
        <v>1559</v>
      </c>
    </row>
    <row r="2760" spans="1:11" ht="134.25">
      <c r="A2760" s="204">
        <v>2758</v>
      </c>
      <c r="B2760" s="208">
        <v>46073</v>
      </c>
      <c r="C2760" s="265" t="s">
        <v>824</v>
      </c>
      <c r="D2760" s="204">
        <v>2026</v>
      </c>
      <c r="E2760" s="209" t="s">
        <v>1431</v>
      </c>
      <c r="F2760" s="209" t="s">
        <v>2595</v>
      </c>
      <c r="G2760" s="213" t="s">
        <v>821</v>
      </c>
      <c r="H2760" s="211" t="s">
        <v>4309</v>
      </c>
      <c r="I2760" s="156" t="s">
        <v>26</v>
      </c>
      <c r="J2760" s="209" t="s">
        <v>3516</v>
      </c>
      <c r="K2760" s="211" t="s">
        <v>1601</v>
      </c>
    </row>
    <row r="2761" spans="1:11" ht="16.5">
      <c r="A2761" s="204">
        <v>2759</v>
      </c>
      <c r="B2761" s="205">
        <v>46073</v>
      </c>
      <c r="C2761" s="265" t="s">
        <v>824</v>
      </c>
      <c r="D2761" s="204">
        <v>2026</v>
      </c>
      <c r="E2761" s="204" t="s">
        <v>1431</v>
      </c>
      <c r="F2761" s="204" t="s">
        <v>922</v>
      </c>
      <c r="G2761" s="213" t="s">
        <v>821</v>
      </c>
      <c r="H2761" s="207" t="s">
        <v>4310</v>
      </c>
      <c r="I2761" s="156" t="s">
        <v>26</v>
      </c>
      <c r="J2761" s="204" t="s">
        <v>1541</v>
      </c>
      <c r="K2761" s="207"/>
    </row>
    <row r="2762" spans="1:11" ht="84">
      <c r="A2762" s="204">
        <v>2760</v>
      </c>
      <c r="B2762" s="208">
        <v>46073</v>
      </c>
      <c r="C2762" s="265" t="s">
        <v>824</v>
      </c>
      <c r="D2762" s="204">
        <v>2026</v>
      </c>
      <c r="E2762" s="209" t="s">
        <v>1431</v>
      </c>
      <c r="F2762" s="209" t="s">
        <v>1506</v>
      </c>
      <c r="G2762" s="210" t="s">
        <v>88</v>
      </c>
      <c r="H2762" s="211" t="s">
        <v>4311</v>
      </c>
      <c r="I2762" s="156" t="s">
        <v>26</v>
      </c>
      <c r="J2762" s="209" t="s">
        <v>1904</v>
      </c>
      <c r="K2762" s="211"/>
    </row>
    <row r="2763" spans="1:11" ht="33.75">
      <c r="A2763" s="204">
        <v>2761</v>
      </c>
      <c r="B2763" s="205">
        <v>46073</v>
      </c>
      <c r="C2763" s="265" t="s">
        <v>824</v>
      </c>
      <c r="D2763" s="204">
        <v>2026</v>
      </c>
      <c r="E2763" s="204" t="s">
        <v>1431</v>
      </c>
      <c r="F2763" s="204" t="s">
        <v>216</v>
      </c>
      <c r="G2763" s="213" t="s">
        <v>821</v>
      </c>
      <c r="H2763" s="207" t="s">
        <v>4312</v>
      </c>
      <c r="I2763" s="156" t="s">
        <v>26</v>
      </c>
      <c r="J2763" s="204" t="s">
        <v>492</v>
      </c>
      <c r="K2763" s="207"/>
    </row>
    <row r="2764" spans="1:11" ht="33.75">
      <c r="A2764" s="204">
        <v>2762</v>
      </c>
      <c r="B2764" s="208">
        <v>46073</v>
      </c>
      <c r="C2764" s="265" t="s">
        <v>824</v>
      </c>
      <c r="D2764" s="204">
        <v>2026</v>
      </c>
      <c r="E2764" s="209" t="s">
        <v>1431</v>
      </c>
      <c r="F2764" s="209" t="s">
        <v>21</v>
      </c>
      <c r="G2764" s="213" t="s">
        <v>821</v>
      </c>
      <c r="H2764" s="211" t="s">
        <v>4313</v>
      </c>
      <c r="I2764" s="156" t="s">
        <v>26</v>
      </c>
      <c r="J2764" s="209" t="s">
        <v>149</v>
      </c>
      <c r="K2764" s="211"/>
    </row>
    <row r="2765" spans="1:11" ht="84">
      <c r="A2765" s="204">
        <v>2763</v>
      </c>
      <c r="B2765" s="205">
        <v>46073</v>
      </c>
      <c r="C2765" s="265" t="s">
        <v>824</v>
      </c>
      <c r="D2765" s="204">
        <v>2026</v>
      </c>
      <c r="E2765" s="204" t="s">
        <v>1431</v>
      </c>
      <c r="F2765" s="204" t="s">
        <v>1449</v>
      </c>
      <c r="G2765" s="206" t="s">
        <v>88</v>
      </c>
      <c r="H2765" s="207" t="s">
        <v>4314</v>
      </c>
      <c r="I2765" s="156" t="s">
        <v>26</v>
      </c>
      <c r="J2765" s="204" t="s">
        <v>2593</v>
      </c>
      <c r="K2765" s="207" t="s">
        <v>1500</v>
      </c>
    </row>
    <row r="2766" spans="1:11" ht="50.25">
      <c r="A2766" s="204">
        <v>2764</v>
      </c>
      <c r="B2766" s="208">
        <v>46073</v>
      </c>
      <c r="C2766" s="265" t="s">
        <v>824</v>
      </c>
      <c r="D2766" s="204">
        <v>2026</v>
      </c>
      <c r="E2766" s="209" t="s">
        <v>1431</v>
      </c>
      <c r="F2766" s="209" t="s">
        <v>1449</v>
      </c>
      <c r="G2766" s="210" t="s">
        <v>88</v>
      </c>
      <c r="H2766" s="211" t="s">
        <v>4315</v>
      </c>
      <c r="I2766" s="156" t="s">
        <v>26</v>
      </c>
      <c r="J2766" s="209" t="s">
        <v>2593</v>
      </c>
      <c r="K2766" s="211"/>
    </row>
    <row r="2767" spans="1:11" ht="117">
      <c r="A2767" s="204">
        <v>2765</v>
      </c>
      <c r="B2767" s="205">
        <v>46073</v>
      </c>
      <c r="C2767" s="265" t="s">
        <v>824</v>
      </c>
      <c r="D2767" s="204">
        <v>2026</v>
      </c>
      <c r="E2767" s="204" t="s">
        <v>1431</v>
      </c>
      <c r="F2767" s="204" t="s">
        <v>1449</v>
      </c>
      <c r="G2767" s="206" t="s">
        <v>88</v>
      </c>
      <c r="H2767" s="207" t="s">
        <v>4316</v>
      </c>
      <c r="I2767" s="156" t="s">
        <v>26</v>
      </c>
      <c r="J2767" s="204" t="s">
        <v>2593</v>
      </c>
      <c r="K2767" s="207" t="s">
        <v>1510</v>
      </c>
    </row>
    <row r="2768" spans="1:11" ht="66.75">
      <c r="A2768" s="204">
        <v>2766</v>
      </c>
      <c r="B2768" s="208">
        <v>46073</v>
      </c>
      <c r="C2768" s="265" t="s">
        <v>824</v>
      </c>
      <c r="D2768" s="204">
        <v>2026</v>
      </c>
      <c r="E2768" s="209" t="s">
        <v>1431</v>
      </c>
      <c r="F2768" s="209" t="s">
        <v>1449</v>
      </c>
      <c r="G2768" s="210" t="s">
        <v>88</v>
      </c>
      <c r="H2768" s="211" t="s">
        <v>4317</v>
      </c>
      <c r="I2768" s="156" t="s">
        <v>26</v>
      </c>
      <c r="J2768" s="209" t="s">
        <v>2593</v>
      </c>
      <c r="K2768" s="211"/>
    </row>
    <row r="2769" spans="1:11" ht="150.75">
      <c r="A2769" s="204">
        <v>2767</v>
      </c>
      <c r="B2769" s="205">
        <v>46073</v>
      </c>
      <c r="C2769" s="265" t="s">
        <v>824</v>
      </c>
      <c r="D2769" s="204">
        <v>2026</v>
      </c>
      <c r="E2769" s="204" t="s">
        <v>1431</v>
      </c>
      <c r="F2769" s="204" t="s">
        <v>1566</v>
      </c>
      <c r="G2769" s="206" t="s">
        <v>88</v>
      </c>
      <c r="H2769" s="207" t="s">
        <v>4318</v>
      </c>
      <c r="I2769" s="156" t="s">
        <v>26</v>
      </c>
      <c r="J2769" s="204" t="s">
        <v>1453</v>
      </c>
      <c r="K2769" s="207" t="s">
        <v>1500</v>
      </c>
    </row>
    <row r="2770" spans="1:11" ht="117">
      <c r="A2770" s="204">
        <v>2768</v>
      </c>
      <c r="B2770" s="208">
        <v>46073</v>
      </c>
      <c r="C2770" s="265" t="s">
        <v>824</v>
      </c>
      <c r="D2770" s="204">
        <v>2026</v>
      </c>
      <c r="E2770" s="209" t="s">
        <v>1431</v>
      </c>
      <c r="F2770" s="209" t="s">
        <v>1539</v>
      </c>
      <c r="G2770" s="210" t="s">
        <v>88</v>
      </c>
      <c r="H2770" s="211" t="s">
        <v>4319</v>
      </c>
      <c r="I2770" s="156" t="s">
        <v>26</v>
      </c>
      <c r="J2770" s="209" t="s">
        <v>2798</v>
      </c>
      <c r="K2770" s="211" t="s">
        <v>1522</v>
      </c>
    </row>
    <row r="2771" spans="1:11" ht="100.5">
      <c r="A2771" s="204">
        <v>2769</v>
      </c>
      <c r="B2771" s="205">
        <v>46073</v>
      </c>
      <c r="C2771" s="265" t="s">
        <v>824</v>
      </c>
      <c r="D2771" s="204">
        <v>2026</v>
      </c>
      <c r="E2771" s="204" t="s">
        <v>3881</v>
      </c>
      <c r="F2771" s="204" t="s">
        <v>1584</v>
      </c>
      <c r="G2771" s="213" t="s">
        <v>821</v>
      </c>
      <c r="H2771" s="207" t="s">
        <v>4320</v>
      </c>
      <c r="I2771" s="156" t="s">
        <v>26</v>
      </c>
      <c r="J2771" s="204" t="s">
        <v>2813</v>
      </c>
      <c r="K2771" s="207" t="s">
        <v>1448</v>
      </c>
    </row>
    <row r="2772" spans="1:11" ht="150.75">
      <c r="A2772" s="204">
        <v>2770</v>
      </c>
      <c r="B2772" s="208">
        <v>46073</v>
      </c>
      <c r="C2772" s="265" t="s">
        <v>824</v>
      </c>
      <c r="D2772" s="204">
        <v>2026</v>
      </c>
      <c r="E2772" s="209" t="s">
        <v>2224</v>
      </c>
      <c r="F2772" s="209" t="s">
        <v>21</v>
      </c>
      <c r="G2772" s="213" t="s">
        <v>821</v>
      </c>
      <c r="H2772" s="211" t="s">
        <v>4321</v>
      </c>
      <c r="I2772" s="156" t="s">
        <v>26</v>
      </c>
      <c r="J2772" s="209" t="s">
        <v>2568</v>
      </c>
      <c r="K2772" s="211" t="s">
        <v>1513</v>
      </c>
    </row>
    <row r="2773" spans="1:11" ht="16.5">
      <c r="A2773" s="204">
        <v>2771</v>
      </c>
      <c r="B2773" s="205">
        <v>46073</v>
      </c>
      <c r="C2773" s="265" t="s">
        <v>824</v>
      </c>
      <c r="D2773" s="204">
        <v>2026</v>
      </c>
      <c r="E2773" s="204" t="s">
        <v>2224</v>
      </c>
      <c r="F2773" s="204" t="s">
        <v>21</v>
      </c>
      <c r="G2773" s="213" t="s">
        <v>821</v>
      </c>
      <c r="H2773" s="207" t="s">
        <v>4322</v>
      </c>
      <c r="I2773" s="156" t="s">
        <v>26</v>
      </c>
      <c r="J2773" s="204" t="s">
        <v>2735</v>
      </c>
      <c r="K2773" s="207"/>
    </row>
    <row r="2774" spans="1:11" ht="33.75">
      <c r="A2774" s="204">
        <v>2772</v>
      </c>
      <c r="B2774" s="208">
        <v>46076</v>
      </c>
      <c r="C2774" s="265" t="s">
        <v>824</v>
      </c>
      <c r="D2774" s="204">
        <v>2026</v>
      </c>
      <c r="E2774" s="209" t="s">
        <v>1431</v>
      </c>
      <c r="F2774" s="209" t="s">
        <v>2595</v>
      </c>
      <c r="G2774" s="213" t="s">
        <v>821</v>
      </c>
      <c r="H2774" s="211" t="s">
        <v>4323</v>
      </c>
      <c r="I2774" s="156" t="s">
        <v>26</v>
      </c>
      <c r="J2774" s="209" t="s">
        <v>578</v>
      </c>
      <c r="K2774" s="211"/>
    </row>
    <row r="2775" spans="1:11" ht="33.75">
      <c r="A2775" s="204">
        <v>2773</v>
      </c>
      <c r="B2775" s="205">
        <v>46076</v>
      </c>
      <c r="C2775" s="265" t="s">
        <v>824</v>
      </c>
      <c r="D2775" s="204">
        <v>2026</v>
      </c>
      <c r="E2775" s="204" t="s">
        <v>1431</v>
      </c>
      <c r="F2775" s="204" t="s">
        <v>2595</v>
      </c>
      <c r="G2775" s="213" t="s">
        <v>821</v>
      </c>
      <c r="H2775" s="207" t="s">
        <v>4324</v>
      </c>
      <c r="I2775" s="156" t="s">
        <v>26</v>
      </c>
      <c r="J2775" s="204" t="s">
        <v>578</v>
      </c>
      <c r="K2775" s="207"/>
    </row>
    <row r="2776" spans="1:11" ht="84">
      <c r="A2776" s="204">
        <v>2774</v>
      </c>
      <c r="B2776" s="208">
        <v>46076</v>
      </c>
      <c r="C2776" s="265" t="s">
        <v>824</v>
      </c>
      <c r="D2776" s="204">
        <v>2026</v>
      </c>
      <c r="E2776" s="209" t="s">
        <v>1431</v>
      </c>
      <c r="F2776" s="209" t="s">
        <v>1506</v>
      </c>
      <c r="G2776" s="210" t="s">
        <v>88</v>
      </c>
      <c r="H2776" s="211" t="s">
        <v>4325</v>
      </c>
      <c r="I2776" s="156" t="s">
        <v>26</v>
      </c>
      <c r="J2776" s="209" t="s">
        <v>3247</v>
      </c>
      <c r="K2776" s="211" t="s">
        <v>1500</v>
      </c>
    </row>
    <row r="2777" spans="1:11" ht="100.5">
      <c r="A2777" s="204">
        <v>2775</v>
      </c>
      <c r="B2777" s="205">
        <v>46076</v>
      </c>
      <c r="C2777" s="265" t="s">
        <v>824</v>
      </c>
      <c r="D2777" s="204">
        <v>2026</v>
      </c>
      <c r="E2777" s="204" t="s">
        <v>1431</v>
      </c>
      <c r="F2777" s="204" t="s">
        <v>1506</v>
      </c>
      <c r="G2777" s="206" t="s">
        <v>88</v>
      </c>
      <c r="H2777" s="207" t="s">
        <v>4326</v>
      </c>
      <c r="I2777" s="156" t="s">
        <v>26</v>
      </c>
      <c r="J2777" s="204" t="s">
        <v>3247</v>
      </c>
      <c r="K2777" s="207" t="s">
        <v>1472</v>
      </c>
    </row>
    <row r="2778" spans="1:11" ht="134.25">
      <c r="A2778" s="204">
        <v>2776</v>
      </c>
      <c r="B2778" s="208">
        <v>46076</v>
      </c>
      <c r="C2778" s="265" t="s">
        <v>824</v>
      </c>
      <c r="D2778" s="204">
        <v>2026</v>
      </c>
      <c r="E2778" s="209" t="s">
        <v>1431</v>
      </c>
      <c r="F2778" s="209" t="s">
        <v>216</v>
      </c>
      <c r="G2778" s="213" t="s">
        <v>821</v>
      </c>
      <c r="H2778" s="211" t="s">
        <v>4327</v>
      </c>
      <c r="I2778" s="156" t="s">
        <v>26</v>
      </c>
      <c r="J2778" s="209" t="s">
        <v>492</v>
      </c>
      <c r="K2778" s="211" t="s">
        <v>1601</v>
      </c>
    </row>
    <row r="2779" spans="1:11" ht="134.25">
      <c r="A2779" s="204">
        <v>2777</v>
      </c>
      <c r="B2779" s="205">
        <v>46076</v>
      </c>
      <c r="C2779" s="265" t="s">
        <v>824</v>
      </c>
      <c r="D2779" s="204">
        <v>2026</v>
      </c>
      <c r="E2779" s="204" t="s">
        <v>1431</v>
      </c>
      <c r="F2779" s="204" t="s">
        <v>216</v>
      </c>
      <c r="G2779" s="213" t="s">
        <v>821</v>
      </c>
      <c r="H2779" s="207" t="s">
        <v>4328</v>
      </c>
      <c r="I2779" s="156" t="s">
        <v>26</v>
      </c>
      <c r="J2779" s="204" t="s">
        <v>492</v>
      </c>
      <c r="K2779" s="207" t="s">
        <v>1601</v>
      </c>
    </row>
    <row r="2780" spans="1:11" ht="117">
      <c r="A2780" s="204">
        <v>2778</v>
      </c>
      <c r="B2780" s="208">
        <v>46076</v>
      </c>
      <c r="C2780" s="265" t="s">
        <v>824</v>
      </c>
      <c r="D2780" s="204">
        <v>2026</v>
      </c>
      <c r="E2780" s="209" t="s">
        <v>1431</v>
      </c>
      <c r="F2780" s="209" t="s">
        <v>1449</v>
      </c>
      <c r="G2780" s="210" t="s">
        <v>88</v>
      </c>
      <c r="H2780" s="211" t="s">
        <v>4306</v>
      </c>
      <c r="I2780" s="156" t="s">
        <v>26</v>
      </c>
      <c r="J2780" s="209" t="s">
        <v>2593</v>
      </c>
      <c r="K2780" s="211" t="s">
        <v>1510</v>
      </c>
    </row>
    <row r="2781" spans="1:11" ht="84">
      <c r="A2781" s="204">
        <v>2779</v>
      </c>
      <c r="B2781" s="205">
        <v>46076</v>
      </c>
      <c r="C2781" s="265" t="s">
        <v>824</v>
      </c>
      <c r="D2781" s="204">
        <v>2026</v>
      </c>
      <c r="E2781" s="204" t="s">
        <v>1431</v>
      </c>
      <c r="F2781" s="204" t="s">
        <v>1449</v>
      </c>
      <c r="G2781" s="206" t="s">
        <v>88</v>
      </c>
      <c r="H2781" s="207" t="s">
        <v>4329</v>
      </c>
      <c r="I2781" s="156" t="s">
        <v>26</v>
      </c>
      <c r="J2781" s="204" t="s">
        <v>2593</v>
      </c>
      <c r="K2781" s="207" t="s">
        <v>1444</v>
      </c>
    </row>
    <row r="2782" spans="1:11" ht="50.25">
      <c r="A2782" s="204">
        <v>2780</v>
      </c>
      <c r="B2782" s="208">
        <v>46076</v>
      </c>
      <c r="C2782" s="265" t="s">
        <v>824</v>
      </c>
      <c r="D2782" s="204">
        <v>2026</v>
      </c>
      <c r="E2782" s="209" t="s">
        <v>1431</v>
      </c>
      <c r="F2782" s="209" t="s">
        <v>1449</v>
      </c>
      <c r="G2782" s="217" t="s">
        <v>859</v>
      </c>
      <c r="H2782" s="211" t="s">
        <v>4330</v>
      </c>
      <c r="I2782" s="156" t="s">
        <v>26</v>
      </c>
      <c r="J2782" s="209" t="s">
        <v>2593</v>
      </c>
      <c r="K2782" s="211"/>
    </row>
    <row r="2783" spans="1:11" ht="117">
      <c r="A2783" s="204">
        <v>2781</v>
      </c>
      <c r="B2783" s="205">
        <v>46076</v>
      </c>
      <c r="C2783" s="265" t="s">
        <v>824</v>
      </c>
      <c r="D2783" s="204">
        <v>2026</v>
      </c>
      <c r="E2783" s="204" t="s">
        <v>1431</v>
      </c>
      <c r="F2783" s="204" t="s">
        <v>1449</v>
      </c>
      <c r="G2783" s="206" t="s">
        <v>88</v>
      </c>
      <c r="H2783" s="207" t="s">
        <v>4331</v>
      </c>
      <c r="I2783" s="156" t="s">
        <v>26</v>
      </c>
      <c r="J2783" s="204" t="s">
        <v>2593</v>
      </c>
      <c r="K2783" s="207" t="s">
        <v>1510</v>
      </c>
    </row>
    <row r="2784" spans="1:11" ht="84">
      <c r="A2784" s="204">
        <v>2782</v>
      </c>
      <c r="B2784" s="208">
        <v>46076</v>
      </c>
      <c r="C2784" s="265" t="s">
        <v>824</v>
      </c>
      <c r="D2784" s="204">
        <v>2026</v>
      </c>
      <c r="E2784" s="209" t="s">
        <v>2224</v>
      </c>
      <c r="F2784" s="209" t="s">
        <v>1449</v>
      </c>
      <c r="G2784" s="217" t="s">
        <v>859</v>
      </c>
      <c r="H2784" s="211" t="s">
        <v>4332</v>
      </c>
      <c r="I2784" s="156" t="s">
        <v>26</v>
      </c>
      <c r="J2784" s="209" t="s">
        <v>2593</v>
      </c>
      <c r="K2784" s="211" t="s">
        <v>1605</v>
      </c>
    </row>
    <row r="2785" spans="1:11" ht="50.25">
      <c r="A2785" s="204">
        <v>2783</v>
      </c>
      <c r="B2785" s="205">
        <v>46076</v>
      </c>
      <c r="C2785" s="265" t="s">
        <v>824</v>
      </c>
      <c r="D2785" s="204">
        <v>2026</v>
      </c>
      <c r="E2785" s="204" t="s">
        <v>1431</v>
      </c>
      <c r="F2785" s="204" t="s">
        <v>1566</v>
      </c>
      <c r="G2785" s="206" t="s">
        <v>88</v>
      </c>
      <c r="H2785" s="207" t="s">
        <v>4333</v>
      </c>
      <c r="I2785" s="156" t="s">
        <v>26</v>
      </c>
      <c r="J2785" s="204" t="s">
        <v>1453</v>
      </c>
      <c r="K2785" s="207"/>
    </row>
    <row r="2786" spans="1:11" ht="100.5">
      <c r="A2786" s="204">
        <v>2784</v>
      </c>
      <c r="B2786" s="208">
        <v>46076</v>
      </c>
      <c r="C2786" s="265" t="s">
        <v>824</v>
      </c>
      <c r="D2786" s="204">
        <v>2026</v>
      </c>
      <c r="E2786" s="209" t="s">
        <v>1431</v>
      </c>
      <c r="F2786" s="209" t="s">
        <v>1566</v>
      </c>
      <c r="G2786" s="210" t="s">
        <v>88</v>
      </c>
      <c r="H2786" s="211" t="s">
        <v>3512</v>
      </c>
      <c r="I2786" s="156" t="s">
        <v>26</v>
      </c>
      <c r="J2786" s="209" t="s">
        <v>1453</v>
      </c>
      <c r="K2786" s="211" t="s">
        <v>1454</v>
      </c>
    </row>
    <row r="2787" spans="1:11" ht="100.5">
      <c r="A2787" s="204">
        <v>2785</v>
      </c>
      <c r="B2787" s="205">
        <v>46076</v>
      </c>
      <c r="C2787" s="265" t="s">
        <v>824</v>
      </c>
      <c r="D2787" s="204">
        <v>2026</v>
      </c>
      <c r="E2787" s="204" t="s">
        <v>1431</v>
      </c>
      <c r="F2787" s="204" t="s">
        <v>1566</v>
      </c>
      <c r="G2787" s="206" t="s">
        <v>88</v>
      </c>
      <c r="H2787" s="207" t="s">
        <v>4334</v>
      </c>
      <c r="I2787" s="156" t="s">
        <v>26</v>
      </c>
      <c r="J2787" s="204" t="s">
        <v>1453</v>
      </c>
      <c r="K2787" s="207" t="s">
        <v>1472</v>
      </c>
    </row>
    <row r="2788" spans="1:11" ht="33.75">
      <c r="A2788" s="204">
        <v>2786</v>
      </c>
      <c r="B2788" s="208">
        <v>46076</v>
      </c>
      <c r="C2788" s="265" t="s">
        <v>824</v>
      </c>
      <c r="D2788" s="204">
        <v>2026</v>
      </c>
      <c r="E2788" s="209" t="s">
        <v>1431</v>
      </c>
      <c r="F2788" s="209" t="s">
        <v>1449</v>
      </c>
      <c r="G2788" s="210" t="s">
        <v>88</v>
      </c>
      <c r="H2788" s="211" t="s">
        <v>4335</v>
      </c>
      <c r="I2788" s="156" t="s">
        <v>26</v>
      </c>
      <c r="J2788" s="209" t="s">
        <v>2593</v>
      </c>
      <c r="K2788" s="211"/>
    </row>
    <row r="2789" spans="1:11" ht="33.75">
      <c r="A2789" s="204">
        <v>2787</v>
      </c>
      <c r="B2789" s="205">
        <v>46076</v>
      </c>
      <c r="C2789" s="265" t="s">
        <v>824</v>
      </c>
      <c r="D2789" s="204">
        <v>2026</v>
      </c>
      <c r="E2789" s="204" t="s">
        <v>1431</v>
      </c>
      <c r="F2789" s="204" t="s">
        <v>1449</v>
      </c>
      <c r="G2789" s="206" t="s">
        <v>88</v>
      </c>
      <c r="H2789" s="207" t="s">
        <v>4336</v>
      </c>
      <c r="I2789" s="156" t="s">
        <v>26</v>
      </c>
      <c r="J2789" s="204" t="s">
        <v>2593</v>
      </c>
      <c r="K2789" s="207"/>
    </row>
    <row r="2790" spans="1:11" ht="117">
      <c r="A2790" s="204">
        <v>2788</v>
      </c>
      <c r="B2790" s="208">
        <v>46077</v>
      </c>
      <c r="C2790" s="265" t="s">
        <v>824</v>
      </c>
      <c r="D2790" s="204">
        <v>2026</v>
      </c>
      <c r="E2790" s="209" t="s">
        <v>1431</v>
      </c>
      <c r="F2790" s="209" t="s">
        <v>21</v>
      </c>
      <c r="G2790" s="213" t="s">
        <v>821</v>
      </c>
      <c r="H2790" s="211" t="s">
        <v>4337</v>
      </c>
      <c r="I2790" s="156" t="s">
        <v>26</v>
      </c>
      <c r="J2790" s="209" t="s">
        <v>149</v>
      </c>
      <c r="K2790" s="211" t="s">
        <v>1482</v>
      </c>
    </row>
    <row r="2791" spans="1:11" ht="50.25">
      <c r="A2791" s="204">
        <v>2789</v>
      </c>
      <c r="B2791" s="205">
        <v>46077</v>
      </c>
      <c r="C2791" s="265" t="s">
        <v>824</v>
      </c>
      <c r="D2791" s="204">
        <v>2026</v>
      </c>
      <c r="E2791" s="204" t="s">
        <v>1431</v>
      </c>
      <c r="F2791" s="204" t="s">
        <v>1560</v>
      </c>
      <c r="G2791" s="206" t="s">
        <v>88</v>
      </c>
      <c r="H2791" s="207" t="s">
        <v>4338</v>
      </c>
      <c r="I2791" s="156" t="s">
        <v>26</v>
      </c>
      <c r="J2791" s="204" t="s">
        <v>4339</v>
      </c>
      <c r="K2791" s="207"/>
    </row>
    <row r="2792" spans="1:11" ht="66.75">
      <c r="A2792" s="204">
        <v>2790</v>
      </c>
      <c r="B2792" s="208">
        <v>46077</v>
      </c>
      <c r="C2792" s="265" t="s">
        <v>824</v>
      </c>
      <c r="D2792" s="204">
        <v>2026</v>
      </c>
      <c r="E2792" s="209" t="s">
        <v>1431</v>
      </c>
      <c r="F2792" s="209" t="s">
        <v>21</v>
      </c>
      <c r="G2792" s="210" t="s">
        <v>88</v>
      </c>
      <c r="H2792" s="211" t="s">
        <v>4340</v>
      </c>
      <c r="I2792" s="156" t="s">
        <v>26</v>
      </c>
      <c r="J2792" s="209" t="s">
        <v>149</v>
      </c>
      <c r="K2792" s="211"/>
    </row>
    <row r="2793" spans="1:11" ht="33.75">
      <c r="A2793" s="204">
        <v>2791</v>
      </c>
      <c r="B2793" s="205">
        <v>46077</v>
      </c>
      <c r="C2793" s="265" t="s">
        <v>824</v>
      </c>
      <c r="D2793" s="204">
        <v>2026</v>
      </c>
      <c r="E2793" s="204" t="s">
        <v>1431</v>
      </c>
      <c r="F2793" s="204" t="s">
        <v>988</v>
      </c>
      <c r="G2793" s="206" t="s">
        <v>88</v>
      </c>
      <c r="H2793" s="207" t="s">
        <v>4341</v>
      </c>
      <c r="I2793" s="156" t="s">
        <v>26</v>
      </c>
      <c r="J2793" s="204" t="s">
        <v>916</v>
      </c>
      <c r="K2793" s="207"/>
    </row>
    <row r="2794" spans="1:11" ht="33.75">
      <c r="A2794" s="204">
        <v>2792</v>
      </c>
      <c r="B2794" s="208">
        <v>46077</v>
      </c>
      <c r="C2794" s="265" t="s">
        <v>824</v>
      </c>
      <c r="D2794" s="204">
        <v>2026</v>
      </c>
      <c r="E2794" s="209" t="s">
        <v>1431</v>
      </c>
      <c r="F2794" s="209" t="s">
        <v>988</v>
      </c>
      <c r="G2794" s="210" t="s">
        <v>88</v>
      </c>
      <c r="H2794" s="211" t="s">
        <v>4342</v>
      </c>
      <c r="I2794" s="156" t="s">
        <v>26</v>
      </c>
      <c r="J2794" s="209" t="s">
        <v>2700</v>
      </c>
      <c r="K2794" s="211"/>
    </row>
    <row r="2795" spans="1:11" ht="50.25">
      <c r="A2795" s="204">
        <v>2793</v>
      </c>
      <c r="B2795" s="205">
        <v>46077</v>
      </c>
      <c r="C2795" s="265" t="s">
        <v>824</v>
      </c>
      <c r="D2795" s="204">
        <v>2026</v>
      </c>
      <c r="E2795" s="204" t="s">
        <v>1431</v>
      </c>
      <c r="F2795" s="204" t="s">
        <v>1504</v>
      </c>
      <c r="G2795" s="206" t="s">
        <v>88</v>
      </c>
      <c r="H2795" s="207" t="s">
        <v>4343</v>
      </c>
      <c r="I2795" s="156" t="s">
        <v>26</v>
      </c>
      <c r="J2795" s="204" t="s">
        <v>3516</v>
      </c>
      <c r="K2795" s="207"/>
    </row>
    <row r="2796" spans="1:11" ht="100.5">
      <c r="A2796" s="204">
        <v>2794</v>
      </c>
      <c r="B2796" s="208">
        <v>46077</v>
      </c>
      <c r="C2796" s="265" t="s">
        <v>824</v>
      </c>
      <c r="D2796" s="204">
        <v>2026</v>
      </c>
      <c r="E2796" s="209" t="s">
        <v>1431</v>
      </c>
      <c r="F2796" s="209" t="s">
        <v>1506</v>
      </c>
      <c r="G2796" s="210" t="s">
        <v>88</v>
      </c>
      <c r="H2796" s="211" t="s">
        <v>4344</v>
      </c>
      <c r="I2796" s="156" t="s">
        <v>26</v>
      </c>
      <c r="J2796" s="209" t="s">
        <v>3343</v>
      </c>
      <c r="K2796" s="211" t="s">
        <v>1472</v>
      </c>
    </row>
    <row r="2797" spans="1:11" ht="84">
      <c r="A2797" s="204">
        <v>2795</v>
      </c>
      <c r="B2797" s="205">
        <v>46077</v>
      </c>
      <c r="C2797" s="265" t="s">
        <v>824</v>
      </c>
      <c r="D2797" s="204">
        <v>2026</v>
      </c>
      <c r="E2797" s="204" t="s">
        <v>1431</v>
      </c>
      <c r="F2797" s="204" t="s">
        <v>1506</v>
      </c>
      <c r="G2797" s="206" t="s">
        <v>88</v>
      </c>
      <c r="H2797" s="207" t="s">
        <v>4345</v>
      </c>
      <c r="I2797" s="156" t="s">
        <v>26</v>
      </c>
      <c r="J2797" s="204" t="s">
        <v>3343</v>
      </c>
      <c r="K2797" s="207" t="s">
        <v>1500</v>
      </c>
    </row>
    <row r="2798" spans="1:11" ht="16.5">
      <c r="A2798" s="204">
        <v>2796</v>
      </c>
      <c r="B2798" s="208">
        <v>46077</v>
      </c>
      <c r="C2798" s="265" t="s">
        <v>824</v>
      </c>
      <c r="D2798" s="204">
        <v>2026</v>
      </c>
      <c r="E2798" s="209" t="s">
        <v>1431</v>
      </c>
      <c r="F2798" s="209" t="s">
        <v>1506</v>
      </c>
      <c r="G2798" s="210" t="s">
        <v>88</v>
      </c>
      <c r="H2798" s="211" t="s">
        <v>4346</v>
      </c>
      <c r="I2798" s="156" t="s">
        <v>26</v>
      </c>
      <c r="J2798" s="209" t="s">
        <v>3343</v>
      </c>
      <c r="K2798" s="211"/>
    </row>
    <row r="2799" spans="1:11" ht="84">
      <c r="A2799" s="204">
        <v>2797</v>
      </c>
      <c r="B2799" s="205">
        <v>46077</v>
      </c>
      <c r="C2799" s="265" t="s">
        <v>824</v>
      </c>
      <c r="D2799" s="204">
        <v>2026</v>
      </c>
      <c r="E2799" s="204" t="s">
        <v>1431</v>
      </c>
      <c r="F2799" s="204" t="s">
        <v>1506</v>
      </c>
      <c r="G2799" s="206" t="s">
        <v>88</v>
      </c>
      <c r="H2799" s="207" t="s">
        <v>4347</v>
      </c>
      <c r="I2799" s="156" t="s">
        <v>26</v>
      </c>
      <c r="J2799" s="204" t="s">
        <v>3343</v>
      </c>
      <c r="K2799" s="207" t="s">
        <v>1500</v>
      </c>
    </row>
    <row r="2800" spans="1:11" ht="117">
      <c r="A2800" s="204">
        <v>2798</v>
      </c>
      <c r="B2800" s="208">
        <v>46077</v>
      </c>
      <c r="C2800" s="265" t="s">
        <v>824</v>
      </c>
      <c r="D2800" s="204">
        <v>2026</v>
      </c>
      <c r="E2800" s="209" t="s">
        <v>1431</v>
      </c>
      <c r="F2800" s="209" t="s">
        <v>1449</v>
      </c>
      <c r="G2800" s="210" t="s">
        <v>88</v>
      </c>
      <c r="H2800" s="211" t="s">
        <v>4348</v>
      </c>
      <c r="I2800" s="156" t="s">
        <v>26</v>
      </c>
      <c r="J2800" s="209" t="s">
        <v>2593</v>
      </c>
      <c r="K2800" s="211" t="s">
        <v>1437</v>
      </c>
    </row>
    <row r="2801" spans="1:11" ht="84">
      <c r="A2801" s="204">
        <v>2799</v>
      </c>
      <c r="B2801" s="205">
        <v>46077</v>
      </c>
      <c r="C2801" s="265" t="s">
        <v>824</v>
      </c>
      <c r="D2801" s="204">
        <v>2026</v>
      </c>
      <c r="E2801" s="204" t="s">
        <v>1431</v>
      </c>
      <c r="F2801" s="204" t="s">
        <v>1449</v>
      </c>
      <c r="G2801" s="206" t="s">
        <v>88</v>
      </c>
      <c r="H2801" s="207" t="s">
        <v>4349</v>
      </c>
      <c r="I2801" s="156" t="s">
        <v>26</v>
      </c>
      <c r="J2801" s="204" t="s">
        <v>2593</v>
      </c>
      <c r="K2801" s="207" t="s">
        <v>1500</v>
      </c>
    </row>
    <row r="2802" spans="1:11" ht="84">
      <c r="A2802" s="204">
        <v>2800</v>
      </c>
      <c r="B2802" s="208">
        <v>46077</v>
      </c>
      <c r="C2802" s="265" t="s">
        <v>824</v>
      </c>
      <c r="D2802" s="204">
        <v>2026</v>
      </c>
      <c r="E2802" s="209" t="s">
        <v>1431</v>
      </c>
      <c r="F2802" s="209" t="s">
        <v>1449</v>
      </c>
      <c r="G2802" s="210" t="s">
        <v>88</v>
      </c>
      <c r="H2802" s="211" t="s">
        <v>4350</v>
      </c>
      <c r="I2802" s="156" t="s">
        <v>26</v>
      </c>
      <c r="J2802" s="209" t="s">
        <v>2593</v>
      </c>
      <c r="K2802" s="211" t="s">
        <v>1500</v>
      </c>
    </row>
    <row r="2803" spans="1:11" ht="84">
      <c r="A2803" s="204">
        <v>2801</v>
      </c>
      <c r="B2803" s="205">
        <v>46077</v>
      </c>
      <c r="C2803" s="265" t="s">
        <v>824</v>
      </c>
      <c r="D2803" s="204">
        <v>2026</v>
      </c>
      <c r="E2803" s="204" t="s">
        <v>1431</v>
      </c>
      <c r="F2803" s="204" t="s">
        <v>1449</v>
      </c>
      <c r="G2803" s="206" t="s">
        <v>88</v>
      </c>
      <c r="H2803" s="207" t="s">
        <v>4351</v>
      </c>
      <c r="I2803" s="156" t="s">
        <v>26</v>
      </c>
      <c r="J2803" s="204" t="s">
        <v>2593</v>
      </c>
      <c r="K2803" s="207" t="s">
        <v>1500</v>
      </c>
    </row>
    <row r="2804" spans="1:11" ht="16.5">
      <c r="A2804" s="204">
        <v>2802</v>
      </c>
      <c r="B2804" s="208">
        <v>46077</v>
      </c>
      <c r="C2804" s="265" t="s">
        <v>824</v>
      </c>
      <c r="D2804" s="204">
        <v>2026</v>
      </c>
      <c r="E2804" s="209" t="s">
        <v>1431</v>
      </c>
      <c r="F2804" s="209" t="s">
        <v>1449</v>
      </c>
      <c r="G2804" s="210" t="s">
        <v>88</v>
      </c>
      <c r="H2804" s="211" t="s">
        <v>4352</v>
      </c>
      <c r="I2804" s="156" t="s">
        <v>26</v>
      </c>
      <c r="J2804" s="209" t="s">
        <v>2593</v>
      </c>
      <c r="K2804" s="211"/>
    </row>
    <row r="2805" spans="1:11" ht="84">
      <c r="A2805" s="204">
        <v>2803</v>
      </c>
      <c r="B2805" s="205">
        <v>46077</v>
      </c>
      <c r="C2805" s="265" t="s">
        <v>824</v>
      </c>
      <c r="D2805" s="204">
        <v>2026</v>
      </c>
      <c r="E2805" s="204" t="s">
        <v>2224</v>
      </c>
      <c r="F2805" s="204" t="s">
        <v>1506</v>
      </c>
      <c r="G2805" s="206" t="s">
        <v>88</v>
      </c>
      <c r="H2805" s="207" t="s">
        <v>4353</v>
      </c>
      <c r="I2805" s="156" t="s">
        <v>26</v>
      </c>
      <c r="J2805" s="204" t="s">
        <v>2593</v>
      </c>
      <c r="K2805" s="207" t="s">
        <v>1500</v>
      </c>
    </row>
    <row r="2806" spans="1:11" ht="33.75">
      <c r="A2806" s="204">
        <v>2804</v>
      </c>
      <c r="B2806" s="208">
        <v>46077</v>
      </c>
      <c r="C2806" s="265" t="s">
        <v>824</v>
      </c>
      <c r="D2806" s="204">
        <v>2026</v>
      </c>
      <c r="E2806" s="209" t="s">
        <v>2224</v>
      </c>
      <c r="F2806" s="209" t="s">
        <v>1518</v>
      </c>
      <c r="G2806" s="210" t="s">
        <v>88</v>
      </c>
      <c r="H2806" s="211" t="s">
        <v>4354</v>
      </c>
      <c r="I2806" s="156" t="s">
        <v>26</v>
      </c>
      <c r="J2806" s="209" t="s">
        <v>1493</v>
      </c>
      <c r="K2806" s="211"/>
    </row>
    <row r="2807" spans="1:11" ht="100.5">
      <c r="A2807" s="204">
        <v>2805</v>
      </c>
      <c r="B2807" s="205">
        <v>46078</v>
      </c>
      <c r="C2807" s="265" t="s">
        <v>824</v>
      </c>
      <c r="D2807" s="204">
        <v>2026</v>
      </c>
      <c r="E2807" s="204" t="s">
        <v>1431</v>
      </c>
      <c r="F2807" s="204" t="s">
        <v>1225</v>
      </c>
      <c r="G2807" s="214" t="s">
        <v>859</v>
      </c>
      <c r="H2807" s="207" t="s">
        <v>4355</v>
      </c>
      <c r="I2807" s="156" t="s">
        <v>26</v>
      </c>
      <c r="J2807" s="204" t="s">
        <v>4356</v>
      </c>
      <c r="K2807" s="207" t="s">
        <v>1476</v>
      </c>
    </row>
    <row r="2808" spans="1:11" ht="50.25">
      <c r="A2808" s="204">
        <v>2806</v>
      </c>
      <c r="B2808" s="208">
        <v>46078</v>
      </c>
      <c r="C2808" s="265" t="s">
        <v>824</v>
      </c>
      <c r="D2808" s="204">
        <v>2026</v>
      </c>
      <c r="E2808" s="209" t="s">
        <v>1431</v>
      </c>
      <c r="F2808" s="209" t="s">
        <v>2595</v>
      </c>
      <c r="G2808" s="210" t="s">
        <v>88</v>
      </c>
      <c r="H2808" s="211" t="s">
        <v>4357</v>
      </c>
      <c r="I2808" s="156" t="s">
        <v>26</v>
      </c>
      <c r="J2808" s="209" t="s">
        <v>3516</v>
      </c>
      <c r="K2808" s="211"/>
    </row>
    <row r="2809" spans="1:11" ht="33.75">
      <c r="A2809" s="204">
        <v>2807</v>
      </c>
      <c r="B2809" s="205">
        <v>46078</v>
      </c>
      <c r="C2809" s="265" t="s">
        <v>824</v>
      </c>
      <c r="D2809" s="204">
        <v>2026</v>
      </c>
      <c r="E2809" s="204" t="s">
        <v>1431</v>
      </c>
      <c r="F2809" s="204" t="s">
        <v>1506</v>
      </c>
      <c r="G2809" s="206" t="s">
        <v>88</v>
      </c>
      <c r="H2809" s="207" t="s">
        <v>4358</v>
      </c>
      <c r="I2809" s="156" t="s">
        <v>26</v>
      </c>
      <c r="J2809" s="204" t="s">
        <v>3343</v>
      </c>
      <c r="K2809" s="207"/>
    </row>
    <row r="2810" spans="1:11" ht="33.75">
      <c r="A2810" s="204">
        <v>2808</v>
      </c>
      <c r="B2810" s="208">
        <v>46078</v>
      </c>
      <c r="C2810" s="265" t="s">
        <v>824</v>
      </c>
      <c r="D2810" s="204">
        <v>2026</v>
      </c>
      <c r="E2810" s="209" t="s">
        <v>1431</v>
      </c>
      <c r="F2810" s="209" t="s">
        <v>1504</v>
      </c>
      <c r="G2810" s="210" t="s">
        <v>88</v>
      </c>
      <c r="H2810" s="211" t="s">
        <v>4359</v>
      </c>
      <c r="I2810" s="156" t="s">
        <v>26</v>
      </c>
      <c r="J2810" s="209" t="s">
        <v>3516</v>
      </c>
      <c r="K2810" s="211"/>
    </row>
    <row r="2811" spans="1:11" ht="16.5">
      <c r="A2811" s="204">
        <v>2809</v>
      </c>
      <c r="B2811" s="205">
        <v>46078</v>
      </c>
      <c r="C2811" s="265" t="s">
        <v>824</v>
      </c>
      <c r="D2811" s="204">
        <v>2026</v>
      </c>
      <c r="E2811" s="204" t="s">
        <v>1431</v>
      </c>
      <c r="F2811" s="204" t="s">
        <v>21</v>
      </c>
      <c r="G2811" s="213" t="s">
        <v>821</v>
      </c>
      <c r="H2811" s="207" t="s">
        <v>4360</v>
      </c>
      <c r="I2811" s="156" t="s">
        <v>26</v>
      </c>
      <c r="J2811" s="204" t="s">
        <v>149</v>
      </c>
      <c r="K2811" s="207"/>
    </row>
    <row r="2812" spans="1:11" ht="150.75">
      <c r="A2812" s="204">
        <v>2810</v>
      </c>
      <c r="B2812" s="208">
        <v>46078</v>
      </c>
      <c r="C2812" s="265" t="s">
        <v>824</v>
      </c>
      <c r="D2812" s="204">
        <v>2026</v>
      </c>
      <c r="E2812" s="209" t="s">
        <v>1431</v>
      </c>
      <c r="F2812" s="209" t="s">
        <v>21</v>
      </c>
      <c r="G2812" s="213" t="s">
        <v>821</v>
      </c>
      <c r="H2812" s="211" t="s">
        <v>4361</v>
      </c>
      <c r="I2812" s="156" t="s">
        <v>26</v>
      </c>
      <c r="J2812" s="209" t="s">
        <v>149</v>
      </c>
      <c r="K2812" s="211" t="s">
        <v>1513</v>
      </c>
    </row>
    <row r="2813" spans="1:11" ht="16.5">
      <c r="A2813" s="204">
        <v>2811</v>
      </c>
      <c r="B2813" s="205">
        <v>46078</v>
      </c>
      <c r="C2813" s="265" t="s">
        <v>824</v>
      </c>
      <c r="D2813" s="204">
        <v>2026</v>
      </c>
      <c r="E2813" s="204" t="s">
        <v>1431</v>
      </c>
      <c r="F2813" s="204" t="s">
        <v>1449</v>
      </c>
      <c r="G2813" s="206" t="s">
        <v>88</v>
      </c>
      <c r="H2813" s="207" t="s">
        <v>4362</v>
      </c>
      <c r="I2813" s="156" t="s">
        <v>26</v>
      </c>
      <c r="J2813" s="204" t="s">
        <v>2593</v>
      </c>
      <c r="K2813" s="207"/>
    </row>
    <row r="2814" spans="1:11" ht="50.25">
      <c r="A2814" s="204">
        <v>2812</v>
      </c>
      <c r="B2814" s="208">
        <v>46078</v>
      </c>
      <c r="C2814" s="265" t="s">
        <v>824</v>
      </c>
      <c r="D2814" s="204">
        <v>2026</v>
      </c>
      <c r="E2814" s="209" t="s">
        <v>1431</v>
      </c>
      <c r="F2814" s="209" t="s">
        <v>1449</v>
      </c>
      <c r="G2814" s="210" t="s">
        <v>88</v>
      </c>
      <c r="H2814" s="211" t="s">
        <v>4363</v>
      </c>
      <c r="I2814" s="156" t="s">
        <v>26</v>
      </c>
      <c r="J2814" s="209" t="s">
        <v>2593</v>
      </c>
      <c r="K2814" s="211"/>
    </row>
    <row r="2815" spans="1:11" ht="200.25">
      <c r="A2815" s="204">
        <v>2813</v>
      </c>
      <c r="B2815" s="205">
        <v>46078</v>
      </c>
      <c r="C2815" s="265" t="s">
        <v>824</v>
      </c>
      <c r="D2815" s="204">
        <v>2026</v>
      </c>
      <c r="E2815" s="204" t="s">
        <v>1431</v>
      </c>
      <c r="F2815" s="204" t="s">
        <v>1566</v>
      </c>
      <c r="G2815" s="206" t="s">
        <v>88</v>
      </c>
      <c r="H2815" s="207" t="s">
        <v>4364</v>
      </c>
      <c r="I2815" s="156" t="s">
        <v>26</v>
      </c>
      <c r="J2815" s="204" t="s">
        <v>1453</v>
      </c>
      <c r="K2815" s="207" t="s">
        <v>1451</v>
      </c>
    </row>
    <row r="2816" spans="1:11" ht="117">
      <c r="A2816" s="204">
        <v>2814</v>
      </c>
      <c r="B2816" s="208">
        <v>46078</v>
      </c>
      <c r="C2816" s="265" t="s">
        <v>824</v>
      </c>
      <c r="D2816" s="204">
        <v>2026</v>
      </c>
      <c r="E2816" s="209" t="s">
        <v>1431</v>
      </c>
      <c r="F2816" s="209" t="s">
        <v>1566</v>
      </c>
      <c r="G2816" s="210" t="s">
        <v>88</v>
      </c>
      <c r="H2816" s="211" t="s">
        <v>4365</v>
      </c>
      <c r="I2816" s="156" t="s">
        <v>26</v>
      </c>
      <c r="J2816" s="209" t="s">
        <v>1453</v>
      </c>
      <c r="K2816" s="211" t="s">
        <v>1559</v>
      </c>
    </row>
    <row r="2817" spans="1:11" ht="33.75">
      <c r="A2817" s="204">
        <v>2815</v>
      </c>
      <c r="B2817" s="205">
        <v>46079</v>
      </c>
      <c r="C2817" s="265" t="s">
        <v>824</v>
      </c>
      <c r="D2817" s="204">
        <v>2026</v>
      </c>
      <c r="E2817" s="204" t="s">
        <v>1431</v>
      </c>
      <c r="F2817" s="204" t="s">
        <v>988</v>
      </c>
      <c r="G2817" s="206" t="s">
        <v>88</v>
      </c>
      <c r="H2817" s="207" t="s">
        <v>4366</v>
      </c>
      <c r="I2817" s="156" t="s">
        <v>26</v>
      </c>
      <c r="J2817" s="204" t="s">
        <v>4367</v>
      </c>
      <c r="K2817" s="207"/>
    </row>
    <row r="2818" spans="1:11" ht="134.25">
      <c r="A2818" s="204">
        <v>2816</v>
      </c>
      <c r="B2818" s="208">
        <v>46079</v>
      </c>
      <c r="C2818" s="265" t="s">
        <v>824</v>
      </c>
      <c r="D2818" s="204">
        <v>2026</v>
      </c>
      <c r="E2818" s="209" t="s">
        <v>1431</v>
      </c>
      <c r="F2818" s="209" t="s">
        <v>216</v>
      </c>
      <c r="G2818" s="213" t="s">
        <v>821</v>
      </c>
      <c r="H2818" s="211" t="s">
        <v>4368</v>
      </c>
      <c r="I2818" s="156" t="s">
        <v>26</v>
      </c>
      <c r="J2818" s="209" t="s">
        <v>492</v>
      </c>
      <c r="K2818" s="211" t="s">
        <v>1601</v>
      </c>
    </row>
    <row r="2819" spans="1:11" ht="150.75">
      <c r="A2819" s="204">
        <v>2817</v>
      </c>
      <c r="B2819" s="205">
        <v>46079</v>
      </c>
      <c r="C2819" s="265" t="s">
        <v>824</v>
      </c>
      <c r="D2819" s="204">
        <v>2026</v>
      </c>
      <c r="E2819" s="204" t="s">
        <v>1431</v>
      </c>
      <c r="F2819" s="204" t="s">
        <v>21</v>
      </c>
      <c r="G2819" s="213" t="s">
        <v>821</v>
      </c>
      <c r="H2819" s="207" t="s">
        <v>4369</v>
      </c>
      <c r="I2819" s="156" t="s">
        <v>26</v>
      </c>
      <c r="J2819" s="204" t="s">
        <v>149</v>
      </c>
      <c r="K2819" s="207" t="s">
        <v>1513</v>
      </c>
    </row>
    <row r="2820" spans="1:11" ht="117">
      <c r="A2820" s="204">
        <v>2818</v>
      </c>
      <c r="B2820" s="208">
        <v>46079</v>
      </c>
      <c r="C2820" s="265" t="s">
        <v>824</v>
      </c>
      <c r="D2820" s="204">
        <v>2026</v>
      </c>
      <c r="E2820" s="209" t="s">
        <v>1431</v>
      </c>
      <c r="F2820" s="209" t="s">
        <v>1449</v>
      </c>
      <c r="G2820" s="210" t="s">
        <v>88</v>
      </c>
      <c r="H2820" s="211" t="s">
        <v>4370</v>
      </c>
      <c r="I2820" s="156" t="s">
        <v>26</v>
      </c>
      <c r="J2820" s="209" t="s">
        <v>2593</v>
      </c>
      <c r="K2820" s="211" t="s">
        <v>1510</v>
      </c>
    </row>
    <row r="2821" spans="1:11" ht="84">
      <c r="A2821" s="204">
        <v>2819</v>
      </c>
      <c r="B2821" s="205">
        <v>46079</v>
      </c>
      <c r="C2821" s="265" t="s">
        <v>824</v>
      </c>
      <c r="D2821" s="204">
        <v>2026</v>
      </c>
      <c r="E2821" s="204" t="s">
        <v>1431</v>
      </c>
      <c r="F2821" s="204" t="s">
        <v>1449</v>
      </c>
      <c r="G2821" s="206" t="s">
        <v>88</v>
      </c>
      <c r="H2821" s="207" t="s">
        <v>4371</v>
      </c>
      <c r="I2821" s="156" t="s">
        <v>26</v>
      </c>
      <c r="J2821" s="204" t="s">
        <v>2593</v>
      </c>
      <c r="K2821" s="207" t="s">
        <v>1444</v>
      </c>
    </row>
    <row r="2822" spans="1:11" ht="33.75">
      <c r="A2822" s="204">
        <v>2820</v>
      </c>
      <c r="B2822" s="208">
        <v>46079</v>
      </c>
      <c r="C2822" s="265" t="s">
        <v>824</v>
      </c>
      <c r="D2822" s="204">
        <v>2026</v>
      </c>
      <c r="E2822" s="209" t="s">
        <v>1431</v>
      </c>
      <c r="F2822" s="209" t="s">
        <v>1449</v>
      </c>
      <c r="G2822" s="210" t="s">
        <v>88</v>
      </c>
      <c r="H2822" s="211" t="s">
        <v>4372</v>
      </c>
      <c r="I2822" s="156" t="s">
        <v>26</v>
      </c>
      <c r="J2822" s="209" t="s">
        <v>2593</v>
      </c>
      <c r="K2822" s="211"/>
    </row>
    <row r="2823" spans="1:11" ht="117">
      <c r="A2823" s="204">
        <v>2821</v>
      </c>
      <c r="B2823" s="205">
        <v>46079</v>
      </c>
      <c r="C2823" s="265" t="s">
        <v>824</v>
      </c>
      <c r="D2823" s="204">
        <v>2026</v>
      </c>
      <c r="E2823" s="204" t="s">
        <v>1431</v>
      </c>
      <c r="F2823" s="204" t="s">
        <v>1566</v>
      </c>
      <c r="G2823" s="206" t="s">
        <v>88</v>
      </c>
      <c r="H2823" s="207" t="s">
        <v>4373</v>
      </c>
      <c r="I2823" s="156" t="s">
        <v>26</v>
      </c>
      <c r="J2823" s="204" t="s">
        <v>2798</v>
      </c>
      <c r="K2823" s="207" t="s">
        <v>1451</v>
      </c>
    </row>
    <row r="2824" spans="1:11" ht="50.25">
      <c r="A2824" s="204">
        <v>2822</v>
      </c>
      <c r="B2824" s="208">
        <v>46080</v>
      </c>
      <c r="C2824" s="265" t="s">
        <v>824</v>
      </c>
      <c r="D2824" s="204">
        <v>2026</v>
      </c>
      <c r="E2824" s="209" t="s">
        <v>1431</v>
      </c>
      <c r="F2824" s="209" t="s">
        <v>1511</v>
      </c>
      <c r="G2824" s="210" t="s">
        <v>88</v>
      </c>
      <c r="H2824" s="211" t="s">
        <v>4374</v>
      </c>
      <c r="I2824" s="156" t="s">
        <v>26</v>
      </c>
      <c r="J2824" s="209" t="s">
        <v>3836</v>
      </c>
      <c r="K2824" s="211"/>
    </row>
    <row r="2825" spans="1:11" ht="150.75">
      <c r="A2825" s="204">
        <v>2823</v>
      </c>
      <c r="B2825" s="205">
        <v>46080</v>
      </c>
      <c r="C2825" s="265" t="s">
        <v>824</v>
      </c>
      <c r="D2825" s="204">
        <v>2026</v>
      </c>
      <c r="E2825" s="204" t="s">
        <v>1431</v>
      </c>
      <c r="F2825" s="204" t="s">
        <v>988</v>
      </c>
      <c r="G2825" s="213" t="s">
        <v>821</v>
      </c>
      <c r="H2825" s="207" t="s">
        <v>4375</v>
      </c>
      <c r="I2825" s="156" t="s">
        <v>26</v>
      </c>
      <c r="J2825" s="204" t="s">
        <v>4367</v>
      </c>
      <c r="K2825" s="207" t="s">
        <v>1513</v>
      </c>
    </row>
    <row r="2826" spans="1:11" ht="150.75">
      <c r="A2826" s="204">
        <v>2824</v>
      </c>
      <c r="B2826" s="208">
        <v>46080</v>
      </c>
      <c r="C2826" s="265" t="s">
        <v>824</v>
      </c>
      <c r="D2826" s="204">
        <v>2026</v>
      </c>
      <c r="E2826" s="209" t="s">
        <v>1431</v>
      </c>
      <c r="F2826" s="209" t="s">
        <v>1560</v>
      </c>
      <c r="G2826" s="213" t="s">
        <v>821</v>
      </c>
      <c r="H2826" s="211" t="s">
        <v>4376</v>
      </c>
      <c r="I2826" s="156" t="s">
        <v>26</v>
      </c>
      <c r="J2826" s="209" t="s">
        <v>4377</v>
      </c>
      <c r="K2826" s="211" t="s">
        <v>1513</v>
      </c>
    </row>
    <row r="2827" spans="1:11" ht="150.75">
      <c r="A2827" s="204">
        <v>2825</v>
      </c>
      <c r="B2827" s="205">
        <v>46080</v>
      </c>
      <c r="C2827" s="265" t="s">
        <v>824</v>
      </c>
      <c r="D2827" s="204">
        <v>2026</v>
      </c>
      <c r="E2827" s="204" t="s">
        <v>1431</v>
      </c>
      <c r="F2827" s="204" t="s">
        <v>917</v>
      </c>
      <c r="G2827" s="213" t="s">
        <v>821</v>
      </c>
      <c r="H2827" s="207" t="s">
        <v>4378</v>
      </c>
      <c r="I2827" s="156" t="s">
        <v>26</v>
      </c>
      <c r="J2827" s="204" t="s">
        <v>916</v>
      </c>
      <c r="K2827" s="207" t="s">
        <v>1513</v>
      </c>
    </row>
    <row r="2828" spans="1:11" ht="100.5">
      <c r="A2828" s="204">
        <v>2826</v>
      </c>
      <c r="B2828" s="208">
        <v>46080</v>
      </c>
      <c r="C2828" s="265" t="s">
        <v>824</v>
      </c>
      <c r="D2828" s="204">
        <v>2026</v>
      </c>
      <c r="E2828" s="209" t="s">
        <v>1431</v>
      </c>
      <c r="F2828" s="209" t="s">
        <v>1504</v>
      </c>
      <c r="G2828" s="210" t="s">
        <v>88</v>
      </c>
      <c r="H2828" s="211" t="s">
        <v>4379</v>
      </c>
      <c r="I2828" s="156" t="s">
        <v>26</v>
      </c>
      <c r="J2828" s="209" t="s">
        <v>3516</v>
      </c>
      <c r="K2828" s="211" t="s">
        <v>1472</v>
      </c>
    </row>
    <row r="2829" spans="1:11" ht="84">
      <c r="A2829" s="204">
        <v>2827</v>
      </c>
      <c r="B2829" s="205">
        <v>46080</v>
      </c>
      <c r="C2829" s="265" t="s">
        <v>824</v>
      </c>
      <c r="D2829" s="204">
        <v>2026</v>
      </c>
      <c r="E2829" s="204" t="s">
        <v>1431</v>
      </c>
      <c r="F2829" s="204" t="s">
        <v>1506</v>
      </c>
      <c r="G2829" s="206" t="s">
        <v>88</v>
      </c>
      <c r="H2829" s="207" t="s">
        <v>4380</v>
      </c>
      <c r="I2829" s="156" t="s">
        <v>26</v>
      </c>
      <c r="J2829" s="204" t="s">
        <v>3343</v>
      </c>
      <c r="K2829" s="207" t="s">
        <v>1500</v>
      </c>
    </row>
    <row r="2830" spans="1:11" ht="84">
      <c r="A2830" s="204">
        <v>2828</v>
      </c>
      <c r="B2830" s="208">
        <v>46080</v>
      </c>
      <c r="C2830" s="265" t="s">
        <v>824</v>
      </c>
      <c r="D2830" s="204">
        <v>2026</v>
      </c>
      <c r="E2830" s="209" t="s">
        <v>1431</v>
      </c>
      <c r="F2830" s="209" t="s">
        <v>1518</v>
      </c>
      <c r="G2830" s="213" t="s">
        <v>821</v>
      </c>
      <c r="H2830" s="211" t="s">
        <v>4381</v>
      </c>
      <c r="I2830" s="156" t="s">
        <v>26</v>
      </c>
      <c r="J2830" s="209" t="s">
        <v>3920</v>
      </c>
      <c r="K2830" s="211" t="s">
        <v>1444</v>
      </c>
    </row>
    <row r="2831" spans="1:11" ht="84">
      <c r="A2831" s="204">
        <v>2829</v>
      </c>
      <c r="B2831" s="205">
        <v>46080</v>
      </c>
      <c r="C2831" s="265" t="s">
        <v>824</v>
      </c>
      <c r="D2831" s="204">
        <v>2026</v>
      </c>
      <c r="E2831" s="204" t="s">
        <v>1431</v>
      </c>
      <c r="F2831" s="204" t="s">
        <v>1449</v>
      </c>
      <c r="G2831" s="206" t="s">
        <v>88</v>
      </c>
      <c r="H2831" s="207" t="s">
        <v>4382</v>
      </c>
      <c r="I2831" s="156" t="s">
        <v>26</v>
      </c>
      <c r="J2831" s="204" t="s">
        <v>2593</v>
      </c>
      <c r="K2831" s="207" t="s">
        <v>1500</v>
      </c>
    </row>
    <row r="2832" spans="1:11" ht="16.5">
      <c r="A2832" s="204">
        <v>2830</v>
      </c>
      <c r="B2832" s="208">
        <v>46080</v>
      </c>
      <c r="C2832" s="265" t="s">
        <v>824</v>
      </c>
      <c r="D2832" s="204">
        <v>2026</v>
      </c>
      <c r="E2832" s="209" t="s">
        <v>1431</v>
      </c>
      <c r="F2832" s="209" t="s">
        <v>1449</v>
      </c>
      <c r="G2832" s="210" t="s">
        <v>88</v>
      </c>
      <c r="H2832" s="211" t="s">
        <v>4383</v>
      </c>
      <c r="I2832" s="156" t="s">
        <v>26</v>
      </c>
      <c r="J2832" s="209" t="s">
        <v>2593</v>
      </c>
      <c r="K2832" s="211"/>
    </row>
    <row r="2833" spans="1:11" ht="33.75">
      <c r="A2833" s="204">
        <v>2831</v>
      </c>
      <c r="B2833" s="205">
        <v>46080</v>
      </c>
      <c r="C2833" s="265" t="s">
        <v>824</v>
      </c>
      <c r="D2833" s="204">
        <v>2026</v>
      </c>
      <c r="E2833" s="204" t="s">
        <v>1431</v>
      </c>
      <c r="F2833" s="204" t="s">
        <v>1449</v>
      </c>
      <c r="G2833" s="206" t="s">
        <v>88</v>
      </c>
      <c r="H2833" s="207" t="s">
        <v>4384</v>
      </c>
      <c r="I2833" s="156" t="s">
        <v>26</v>
      </c>
      <c r="J2833" s="204" t="s">
        <v>2593</v>
      </c>
      <c r="K2833" s="207"/>
    </row>
    <row r="2834" spans="1:11" ht="16.5">
      <c r="A2834" s="204">
        <v>2832</v>
      </c>
      <c r="B2834" s="208">
        <v>46080</v>
      </c>
      <c r="C2834" s="265" t="s">
        <v>824</v>
      </c>
      <c r="D2834" s="204">
        <v>2026</v>
      </c>
      <c r="E2834" s="209" t="s">
        <v>1431</v>
      </c>
      <c r="F2834" s="209" t="s">
        <v>1449</v>
      </c>
      <c r="G2834" s="213" t="s">
        <v>821</v>
      </c>
      <c r="H2834" s="211" t="s">
        <v>4385</v>
      </c>
      <c r="I2834" s="156" t="s">
        <v>26</v>
      </c>
      <c r="J2834" s="209" t="s">
        <v>2593</v>
      </c>
      <c r="K2834" s="211"/>
    </row>
    <row r="2835" spans="1:11" ht="84">
      <c r="A2835" s="204">
        <v>2833</v>
      </c>
      <c r="B2835" s="205">
        <v>46080</v>
      </c>
      <c r="C2835" s="265" t="s">
        <v>824</v>
      </c>
      <c r="D2835" s="204">
        <v>2026</v>
      </c>
      <c r="E2835" s="204" t="s">
        <v>1431</v>
      </c>
      <c r="F2835" s="204" t="s">
        <v>1566</v>
      </c>
      <c r="G2835" s="206" t="s">
        <v>88</v>
      </c>
      <c r="H2835" s="207" t="s">
        <v>4386</v>
      </c>
      <c r="I2835" s="156" t="s">
        <v>26</v>
      </c>
      <c r="J2835" s="204" t="s">
        <v>1453</v>
      </c>
      <c r="K2835" s="207" t="s">
        <v>1500</v>
      </c>
    </row>
    <row r="2836" spans="1:11" ht="84">
      <c r="A2836" s="204">
        <v>2834</v>
      </c>
      <c r="B2836" s="208">
        <v>46080</v>
      </c>
      <c r="C2836" s="265" t="s">
        <v>824</v>
      </c>
      <c r="D2836" s="204">
        <v>2026</v>
      </c>
      <c r="E2836" s="209" t="s">
        <v>2224</v>
      </c>
      <c r="F2836" s="209" t="s">
        <v>1449</v>
      </c>
      <c r="G2836" s="217" t="s">
        <v>859</v>
      </c>
      <c r="H2836" s="211" t="s">
        <v>4387</v>
      </c>
      <c r="I2836" s="156" t="s">
        <v>26</v>
      </c>
      <c r="J2836" s="209" t="s">
        <v>2568</v>
      </c>
      <c r="K2836" s="211" t="s">
        <v>1605</v>
      </c>
    </row>
    <row r="2837" spans="1:11" ht="50.25">
      <c r="A2837" s="204">
        <v>2835</v>
      </c>
      <c r="B2837" s="205">
        <v>46080</v>
      </c>
      <c r="C2837" s="265" t="s">
        <v>824</v>
      </c>
      <c r="D2837" s="204">
        <v>2026</v>
      </c>
      <c r="E2837" s="204" t="s">
        <v>2224</v>
      </c>
      <c r="F2837" s="204" t="s">
        <v>4388</v>
      </c>
      <c r="G2837" s="206" t="s">
        <v>88</v>
      </c>
      <c r="H2837" s="207" t="s">
        <v>4389</v>
      </c>
      <c r="I2837" s="156" t="s">
        <v>26</v>
      </c>
      <c r="J2837" s="204" t="s">
        <v>2735</v>
      </c>
      <c r="K2837" s="207"/>
    </row>
    <row r="2838" spans="1:11" ht="50.25">
      <c r="A2838" s="204">
        <v>2836</v>
      </c>
      <c r="B2838" s="208">
        <v>46080</v>
      </c>
      <c r="C2838" s="265" t="s">
        <v>824</v>
      </c>
      <c r="D2838" s="204">
        <v>2026</v>
      </c>
      <c r="E2838" s="209" t="s">
        <v>2224</v>
      </c>
      <c r="F2838" s="209" t="s">
        <v>1449</v>
      </c>
      <c r="G2838" s="210" t="s">
        <v>88</v>
      </c>
      <c r="H2838" s="211" t="s">
        <v>4390</v>
      </c>
      <c r="I2838" s="156" t="s">
        <v>26</v>
      </c>
      <c r="J2838" s="209" t="s">
        <v>2593</v>
      </c>
      <c r="K2838" s="211"/>
    </row>
    <row r="2839" spans="1:11" ht="87">
      <c r="A2839" s="204">
        <v>2837</v>
      </c>
      <c r="B2839" s="155">
        <v>46083</v>
      </c>
      <c r="C2839" s="267" t="s">
        <v>825</v>
      </c>
      <c r="D2839" s="204">
        <v>2026</v>
      </c>
      <c r="E2839" s="12" t="s">
        <v>1431</v>
      </c>
      <c r="F2839" s="157" t="s">
        <v>216</v>
      </c>
      <c r="G2839" s="213" t="s">
        <v>821</v>
      </c>
      <c r="H2839" s="156" t="s">
        <v>4391</v>
      </c>
      <c r="I2839" s="156" t="s">
        <v>26</v>
      </c>
      <c r="J2839" s="157" t="s">
        <v>492</v>
      </c>
      <c r="K2839" s="158" t="s">
        <v>4392</v>
      </c>
    </row>
    <row r="2840" spans="1:11" ht="101.25">
      <c r="A2840" s="204">
        <v>2838</v>
      </c>
      <c r="B2840" s="16">
        <v>46083</v>
      </c>
      <c r="C2840" s="267" t="s">
        <v>825</v>
      </c>
      <c r="D2840" s="204">
        <v>2026</v>
      </c>
      <c r="E2840" s="12" t="s">
        <v>1431</v>
      </c>
      <c r="F2840" s="13" t="s">
        <v>216</v>
      </c>
      <c r="G2840" s="213" t="s">
        <v>821</v>
      </c>
      <c r="H2840" s="8" t="s">
        <v>4393</v>
      </c>
      <c r="I2840" s="156" t="s">
        <v>26</v>
      </c>
      <c r="J2840" s="13" t="s">
        <v>492</v>
      </c>
      <c r="K2840" s="7" t="s">
        <v>4394</v>
      </c>
    </row>
    <row r="2841" spans="1:11" ht="29.25">
      <c r="A2841" s="204">
        <v>2839</v>
      </c>
      <c r="B2841" s="155">
        <v>46083</v>
      </c>
      <c r="C2841" s="267" t="s">
        <v>825</v>
      </c>
      <c r="D2841" s="204">
        <v>2026</v>
      </c>
      <c r="E2841" s="12" t="s">
        <v>1431</v>
      </c>
      <c r="F2841" s="157" t="s">
        <v>21</v>
      </c>
      <c r="G2841" s="213" t="s">
        <v>821</v>
      </c>
      <c r="H2841" s="158" t="s">
        <v>4395</v>
      </c>
      <c r="I2841" s="156" t="s">
        <v>26</v>
      </c>
      <c r="J2841" s="157" t="s">
        <v>468</v>
      </c>
      <c r="K2841" s="158" t="s">
        <v>4396</v>
      </c>
    </row>
    <row r="2842" spans="1:11" ht="101.25">
      <c r="A2842" s="204">
        <v>2840</v>
      </c>
      <c r="B2842" s="16">
        <v>46085</v>
      </c>
      <c r="C2842" s="267" t="s">
        <v>825</v>
      </c>
      <c r="D2842" s="204">
        <v>2026</v>
      </c>
      <c r="E2842" s="12" t="s">
        <v>1431</v>
      </c>
      <c r="F2842" s="13" t="s">
        <v>574</v>
      </c>
      <c r="G2842" s="212" t="s">
        <v>1439</v>
      </c>
      <c r="H2842" s="7" t="s">
        <v>4397</v>
      </c>
      <c r="I2842" s="156" t="s">
        <v>26</v>
      </c>
      <c r="J2842" s="13" t="s">
        <v>3516</v>
      </c>
      <c r="K2842" s="7" t="s">
        <v>4398</v>
      </c>
    </row>
    <row r="2843" spans="1:11" ht="57.75">
      <c r="A2843" s="204">
        <v>2841</v>
      </c>
      <c r="B2843" s="155">
        <v>46085</v>
      </c>
      <c r="C2843" s="267" t="s">
        <v>825</v>
      </c>
      <c r="D2843" s="204">
        <v>2026</v>
      </c>
      <c r="E2843" s="12" t="s">
        <v>1431</v>
      </c>
      <c r="F2843" s="158" t="s">
        <v>1504</v>
      </c>
      <c r="G2843" s="156" t="s">
        <v>88</v>
      </c>
      <c r="H2843" s="158" t="s">
        <v>4399</v>
      </c>
      <c r="I2843" s="156" t="s">
        <v>26</v>
      </c>
      <c r="J2843" s="158" t="s">
        <v>3516</v>
      </c>
      <c r="K2843" s="158" t="s">
        <v>4400</v>
      </c>
    </row>
    <row r="2844" spans="1:11" ht="29.25">
      <c r="A2844" s="204">
        <v>2842</v>
      </c>
      <c r="B2844" s="14">
        <v>46086</v>
      </c>
      <c r="C2844" s="267" t="s">
        <v>825</v>
      </c>
      <c r="D2844" s="204">
        <v>2026</v>
      </c>
      <c r="E2844" s="12" t="s">
        <v>1431</v>
      </c>
      <c r="F2844" s="13" t="s">
        <v>216</v>
      </c>
      <c r="G2844" s="213" t="s">
        <v>821</v>
      </c>
      <c r="H2844" s="7" t="s">
        <v>4401</v>
      </c>
      <c r="I2844" s="156" t="s">
        <v>26</v>
      </c>
      <c r="J2844" s="13" t="s">
        <v>492</v>
      </c>
      <c r="K2844" s="7" t="s">
        <v>4402</v>
      </c>
    </row>
    <row r="2845" spans="1:11" ht="57.75">
      <c r="A2845" s="204">
        <v>2843</v>
      </c>
      <c r="B2845" s="161">
        <v>46087</v>
      </c>
      <c r="C2845" s="267" t="s">
        <v>825</v>
      </c>
      <c r="D2845" s="204">
        <v>2026</v>
      </c>
      <c r="E2845" s="12" t="s">
        <v>1431</v>
      </c>
      <c r="F2845" s="158" t="s">
        <v>216</v>
      </c>
      <c r="G2845" s="213" t="s">
        <v>821</v>
      </c>
      <c r="H2845" s="158" t="s">
        <v>4403</v>
      </c>
      <c r="I2845" s="156" t="s">
        <v>26</v>
      </c>
      <c r="J2845" s="158" t="s">
        <v>492</v>
      </c>
      <c r="K2845" s="158" t="s">
        <v>4404</v>
      </c>
    </row>
    <row r="2846" spans="1:11" ht="43.5">
      <c r="A2846" s="204">
        <v>2844</v>
      </c>
      <c r="B2846" s="15">
        <v>46087</v>
      </c>
      <c r="C2846" s="267" t="s">
        <v>825</v>
      </c>
      <c r="D2846" s="204">
        <v>2026</v>
      </c>
      <c r="E2846" s="12" t="s">
        <v>1431</v>
      </c>
      <c r="F2846" s="13" t="s">
        <v>21</v>
      </c>
      <c r="G2846" s="213" t="s">
        <v>821</v>
      </c>
      <c r="H2846" s="8" t="s">
        <v>4405</v>
      </c>
      <c r="I2846" s="156" t="s">
        <v>26</v>
      </c>
      <c r="J2846" s="13" t="s">
        <v>468</v>
      </c>
      <c r="K2846" s="7" t="s">
        <v>4406</v>
      </c>
    </row>
    <row r="2847" spans="1:11" ht="29.25">
      <c r="A2847" s="204">
        <v>2845</v>
      </c>
      <c r="B2847" s="159">
        <v>46090</v>
      </c>
      <c r="C2847" s="267" t="s">
        <v>825</v>
      </c>
      <c r="D2847" s="204">
        <v>2026</v>
      </c>
      <c r="E2847" s="12" t="s">
        <v>1431</v>
      </c>
      <c r="F2847" s="157" t="s">
        <v>21</v>
      </c>
      <c r="G2847" s="213" t="s">
        <v>821</v>
      </c>
      <c r="H2847" s="158" t="s">
        <v>4407</v>
      </c>
      <c r="I2847" s="156" t="s">
        <v>26</v>
      </c>
      <c r="J2847" s="157" t="s">
        <v>468</v>
      </c>
      <c r="K2847" s="158" t="s">
        <v>4408</v>
      </c>
    </row>
    <row r="2848" spans="1:11" ht="43.5">
      <c r="A2848" s="204">
        <v>2846</v>
      </c>
      <c r="B2848" s="15">
        <v>46090</v>
      </c>
      <c r="C2848" s="267" t="s">
        <v>825</v>
      </c>
      <c r="D2848" s="204">
        <v>2026</v>
      </c>
      <c r="E2848" s="12" t="s">
        <v>1431</v>
      </c>
      <c r="F2848" s="7" t="s">
        <v>216</v>
      </c>
      <c r="G2848" s="213" t="s">
        <v>821</v>
      </c>
      <c r="H2848" s="7" t="s">
        <v>4409</v>
      </c>
      <c r="I2848" s="156" t="s">
        <v>26</v>
      </c>
      <c r="J2848" s="7" t="s">
        <v>492</v>
      </c>
      <c r="K2848" s="7" t="s">
        <v>4410</v>
      </c>
    </row>
    <row r="2849" spans="1:11" ht="57.75">
      <c r="A2849" s="204">
        <v>2847</v>
      </c>
      <c r="B2849" s="161">
        <v>46091</v>
      </c>
      <c r="C2849" s="267" t="s">
        <v>825</v>
      </c>
      <c r="D2849" s="204">
        <v>2026</v>
      </c>
      <c r="E2849" s="12" t="s">
        <v>1431</v>
      </c>
      <c r="F2849" s="158" t="s">
        <v>21</v>
      </c>
      <c r="G2849" s="213" t="s">
        <v>821</v>
      </c>
      <c r="H2849" s="158" t="s">
        <v>4411</v>
      </c>
      <c r="I2849" s="156" t="s">
        <v>26</v>
      </c>
      <c r="J2849" s="158" t="s">
        <v>468</v>
      </c>
      <c r="K2849" s="158" t="s">
        <v>4412</v>
      </c>
    </row>
    <row r="2850" spans="1:11" ht="101.25">
      <c r="A2850" s="204">
        <v>2848</v>
      </c>
      <c r="B2850" s="15">
        <v>46091</v>
      </c>
      <c r="C2850" s="267" t="s">
        <v>825</v>
      </c>
      <c r="D2850" s="204">
        <v>2026</v>
      </c>
      <c r="E2850" s="12" t="s">
        <v>1431</v>
      </c>
      <c r="F2850" s="7" t="s">
        <v>216</v>
      </c>
      <c r="G2850" s="213" t="s">
        <v>821</v>
      </c>
      <c r="H2850" s="7" t="s">
        <v>4413</v>
      </c>
      <c r="I2850" s="156" t="s">
        <v>26</v>
      </c>
      <c r="J2850" s="7" t="s">
        <v>492</v>
      </c>
      <c r="K2850" s="7" t="s">
        <v>4414</v>
      </c>
    </row>
    <row r="2851" spans="1:11" ht="57.75">
      <c r="A2851" s="204">
        <v>2849</v>
      </c>
      <c r="B2851" s="161">
        <v>46092</v>
      </c>
      <c r="C2851" s="267" t="s">
        <v>825</v>
      </c>
      <c r="D2851" s="204">
        <v>2026</v>
      </c>
      <c r="E2851" s="12" t="s">
        <v>1431</v>
      </c>
      <c r="F2851" s="158" t="s">
        <v>1504</v>
      </c>
      <c r="G2851" s="156" t="s">
        <v>88</v>
      </c>
      <c r="H2851" s="158" t="s">
        <v>4415</v>
      </c>
      <c r="I2851" s="156" t="s">
        <v>26</v>
      </c>
      <c r="J2851" s="158" t="s">
        <v>3516</v>
      </c>
      <c r="K2851" s="158" t="s">
        <v>4416</v>
      </c>
    </row>
    <row r="2852" spans="1:11" ht="43.5">
      <c r="A2852" s="204">
        <v>2850</v>
      </c>
      <c r="B2852" s="15">
        <v>46093</v>
      </c>
      <c r="C2852" s="267" t="s">
        <v>825</v>
      </c>
      <c r="D2852" s="204">
        <v>2026</v>
      </c>
      <c r="E2852" s="12" t="s">
        <v>1431</v>
      </c>
      <c r="F2852" s="7" t="s">
        <v>21</v>
      </c>
      <c r="G2852" s="213" t="s">
        <v>821</v>
      </c>
      <c r="H2852" s="7" t="s">
        <v>4417</v>
      </c>
      <c r="I2852" s="156" t="s">
        <v>26</v>
      </c>
      <c r="J2852" s="7" t="s">
        <v>468</v>
      </c>
      <c r="K2852" s="7" t="s">
        <v>4418</v>
      </c>
    </row>
    <row r="2853" spans="1:11" ht="115.5">
      <c r="A2853" s="204">
        <v>2851</v>
      </c>
      <c r="B2853" s="161">
        <v>46094</v>
      </c>
      <c r="C2853" s="267" t="s">
        <v>825</v>
      </c>
      <c r="D2853" s="204">
        <v>2026</v>
      </c>
      <c r="E2853" s="12" t="s">
        <v>1431</v>
      </c>
      <c r="F2853" s="158" t="s">
        <v>52</v>
      </c>
      <c r="G2853" s="213" t="s">
        <v>821</v>
      </c>
      <c r="H2853" s="158" t="s">
        <v>4419</v>
      </c>
      <c r="I2853" s="156" t="s">
        <v>26</v>
      </c>
      <c r="J2853" s="158" t="s">
        <v>3516</v>
      </c>
      <c r="K2853" s="158" t="s">
        <v>4420</v>
      </c>
    </row>
    <row r="2854" spans="1:11" ht="43.5">
      <c r="A2854" s="204">
        <v>2852</v>
      </c>
      <c r="B2854" s="15">
        <v>46094</v>
      </c>
      <c r="C2854" s="267" t="s">
        <v>825</v>
      </c>
      <c r="D2854" s="204">
        <v>2026</v>
      </c>
      <c r="E2854" s="12" t="s">
        <v>1431</v>
      </c>
      <c r="F2854" s="7" t="s">
        <v>21</v>
      </c>
      <c r="G2854" s="213" t="s">
        <v>821</v>
      </c>
      <c r="H2854" s="7" t="s">
        <v>4421</v>
      </c>
      <c r="I2854" s="156" t="s">
        <v>26</v>
      </c>
      <c r="J2854" s="7" t="s">
        <v>468</v>
      </c>
      <c r="K2854" s="7" t="s">
        <v>4422</v>
      </c>
    </row>
    <row r="2855" spans="1:11" ht="57.75">
      <c r="A2855" s="204">
        <v>2853</v>
      </c>
      <c r="B2855" s="161">
        <v>46097</v>
      </c>
      <c r="C2855" s="267" t="s">
        <v>825</v>
      </c>
      <c r="D2855" s="204">
        <v>2026</v>
      </c>
      <c r="E2855" s="12" t="s">
        <v>1431</v>
      </c>
      <c r="F2855" s="158" t="s">
        <v>21</v>
      </c>
      <c r="G2855" s="213" t="s">
        <v>821</v>
      </c>
      <c r="H2855" s="158" t="s">
        <v>4423</v>
      </c>
      <c r="I2855" s="156" t="s">
        <v>26</v>
      </c>
      <c r="J2855" s="158" t="s">
        <v>468</v>
      </c>
      <c r="K2855" s="158" t="s">
        <v>4424</v>
      </c>
    </row>
    <row r="2856" spans="1:11" ht="87">
      <c r="A2856" s="204">
        <v>2854</v>
      </c>
      <c r="B2856" s="15">
        <v>46097</v>
      </c>
      <c r="C2856" s="267" t="s">
        <v>825</v>
      </c>
      <c r="D2856" s="204">
        <v>2026</v>
      </c>
      <c r="E2856" s="12" t="s">
        <v>1431</v>
      </c>
      <c r="F2856" s="7" t="s">
        <v>21</v>
      </c>
      <c r="G2856" s="213" t="s">
        <v>821</v>
      </c>
      <c r="H2856" s="7" t="s">
        <v>4425</v>
      </c>
      <c r="I2856" s="156" t="s">
        <v>26</v>
      </c>
      <c r="J2856" s="7" t="s">
        <v>468</v>
      </c>
      <c r="K2856" s="7" t="s">
        <v>4426</v>
      </c>
    </row>
    <row r="2857" spans="1:11" ht="29.25">
      <c r="A2857" s="204">
        <v>2855</v>
      </c>
      <c r="B2857" s="161">
        <v>46097</v>
      </c>
      <c r="C2857" s="267" t="s">
        <v>825</v>
      </c>
      <c r="D2857" s="204">
        <v>2026</v>
      </c>
      <c r="E2857" s="12" t="s">
        <v>1431</v>
      </c>
      <c r="F2857" s="157" t="s">
        <v>216</v>
      </c>
      <c r="G2857" s="213" t="s">
        <v>821</v>
      </c>
      <c r="H2857" s="158" t="s">
        <v>4427</v>
      </c>
      <c r="I2857" s="156" t="s">
        <v>26</v>
      </c>
      <c r="J2857" s="157" t="s">
        <v>492</v>
      </c>
      <c r="K2857" s="158" t="s">
        <v>4428</v>
      </c>
    </row>
    <row r="2858" spans="1:11" ht="43.5">
      <c r="A2858" s="204">
        <v>2856</v>
      </c>
      <c r="B2858" s="14">
        <v>46099</v>
      </c>
      <c r="C2858" s="267" t="s">
        <v>825</v>
      </c>
      <c r="D2858" s="204">
        <v>2026</v>
      </c>
      <c r="E2858" s="12" t="s">
        <v>1431</v>
      </c>
      <c r="F2858" s="13" t="s">
        <v>21</v>
      </c>
      <c r="G2858" s="213" t="s">
        <v>821</v>
      </c>
      <c r="H2858" s="7" t="s">
        <v>4429</v>
      </c>
      <c r="I2858" s="156" t="s">
        <v>26</v>
      </c>
      <c r="J2858" s="13" t="s">
        <v>468</v>
      </c>
      <c r="K2858" s="7" t="s">
        <v>4430</v>
      </c>
    </row>
    <row r="2859" spans="1:11" ht="57.75">
      <c r="A2859" s="204">
        <v>2857</v>
      </c>
      <c r="B2859" s="161">
        <v>46100</v>
      </c>
      <c r="C2859" s="267" t="s">
        <v>825</v>
      </c>
      <c r="D2859" s="204">
        <v>2026</v>
      </c>
      <c r="E2859" s="12" t="s">
        <v>1431</v>
      </c>
      <c r="F2859" s="158" t="s">
        <v>21</v>
      </c>
      <c r="G2859" s="213" t="s">
        <v>821</v>
      </c>
      <c r="H2859" s="158" t="s">
        <v>4431</v>
      </c>
      <c r="I2859" s="156" t="s">
        <v>26</v>
      </c>
      <c r="J2859" s="158" t="s">
        <v>468</v>
      </c>
      <c r="K2859" s="158" t="s">
        <v>4432</v>
      </c>
    </row>
    <row r="2860" spans="1:11" ht="43.5">
      <c r="A2860" s="204">
        <v>2858</v>
      </c>
      <c r="B2860" s="15">
        <v>46101</v>
      </c>
      <c r="C2860" s="267" t="s">
        <v>825</v>
      </c>
      <c r="D2860" s="204">
        <v>2026</v>
      </c>
      <c r="E2860" s="12" t="s">
        <v>1431</v>
      </c>
      <c r="F2860" s="7" t="s">
        <v>216</v>
      </c>
      <c r="G2860" s="213" t="s">
        <v>821</v>
      </c>
      <c r="H2860" s="7" t="s">
        <v>4433</v>
      </c>
      <c r="I2860" s="156" t="s">
        <v>26</v>
      </c>
      <c r="J2860" s="7" t="s">
        <v>492</v>
      </c>
      <c r="K2860" s="7" t="s">
        <v>4434</v>
      </c>
    </row>
    <row r="2861" spans="1:11" ht="43.5">
      <c r="A2861" s="204">
        <v>2859</v>
      </c>
      <c r="B2861" s="161">
        <v>46101</v>
      </c>
      <c r="C2861" s="267" t="s">
        <v>825</v>
      </c>
      <c r="D2861" s="204">
        <v>2026</v>
      </c>
      <c r="E2861" s="12" t="s">
        <v>1431</v>
      </c>
      <c r="F2861" s="157" t="s">
        <v>21</v>
      </c>
      <c r="G2861" s="213" t="s">
        <v>821</v>
      </c>
      <c r="H2861" s="158" t="s">
        <v>4435</v>
      </c>
      <c r="I2861" s="156" t="s">
        <v>26</v>
      </c>
      <c r="J2861" s="158" t="s">
        <v>468</v>
      </c>
      <c r="K2861" s="158" t="s">
        <v>4436</v>
      </c>
    </row>
    <row r="2862" spans="1:11" ht="57.75">
      <c r="A2862" s="204">
        <v>2860</v>
      </c>
      <c r="B2862" s="15">
        <v>46104</v>
      </c>
      <c r="C2862" s="267" t="s">
        <v>825</v>
      </c>
      <c r="D2862" s="204">
        <v>2026</v>
      </c>
      <c r="E2862" s="12" t="s">
        <v>1431</v>
      </c>
      <c r="F2862" s="7" t="s">
        <v>21</v>
      </c>
      <c r="G2862" s="213" t="s">
        <v>821</v>
      </c>
      <c r="H2862" s="7" t="s">
        <v>4437</v>
      </c>
      <c r="I2862" s="156" t="s">
        <v>26</v>
      </c>
      <c r="J2862" s="7" t="s">
        <v>468</v>
      </c>
      <c r="K2862" s="7" t="s">
        <v>4438</v>
      </c>
    </row>
    <row r="2863" spans="1:11" ht="43.5">
      <c r="A2863" s="204">
        <v>2861</v>
      </c>
      <c r="B2863" s="159">
        <v>46105</v>
      </c>
      <c r="C2863" s="267" t="s">
        <v>825</v>
      </c>
      <c r="D2863" s="204">
        <v>2026</v>
      </c>
      <c r="E2863" s="12" t="s">
        <v>1431</v>
      </c>
      <c r="F2863" s="157" t="s">
        <v>21</v>
      </c>
      <c r="G2863" s="213" t="s">
        <v>821</v>
      </c>
      <c r="H2863" s="158" t="s">
        <v>4439</v>
      </c>
      <c r="I2863" s="156" t="s">
        <v>26</v>
      </c>
      <c r="J2863" s="157" t="s">
        <v>468</v>
      </c>
      <c r="K2863" s="158" t="s">
        <v>4438</v>
      </c>
    </row>
    <row r="2864" spans="1:11" ht="87">
      <c r="A2864" s="204">
        <v>2862</v>
      </c>
      <c r="B2864" s="15">
        <v>46105</v>
      </c>
      <c r="C2864" s="267" t="s">
        <v>825</v>
      </c>
      <c r="D2864" s="204">
        <v>2026</v>
      </c>
      <c r="E2864" s="12" t="s">
        <v>1431</v>
      </c>
      <c r="F2864" s="7" t="s">
        <v>4440</v>
      </c>
      <c r="G2864" s="160" t="s">
        <v>88</v>
      </c>
      <c r="H2864" s="7" t="s">
        <v>4441</v>
      </c>
      <c r="I2864" s="156" t="s">
        <v>26</v>
      </c>
      <c r="J2864" s="7" t="s">
        <v>4442</v>
      </c>
      <c r="K2864" s="7" t="s">
        <v>4443</v>
      </c>
    </row>
    <row r="2865" spans="1:11" ht="43.5">
      <c r="A2865" s="204">
        <v>2863</v>
      </c>
      <c r="B2865" s="161">
        <v>46105</v>
      </c>
      <c r="C2865" s="267" t="s">
        <v>825</v>
      </c>
      <c r="D2865" s="204">
        <v>2026</v>
      </c>
      <c r="E2865" s="12" t="s">
        <v>1431</v>
      </c>
      <c r="F2865" s="158" t="s">
        <v>216</v>
      </c>
      <c r="G2865" s="213" t="s">
        <v>821</v>
      </c>
      <c r="H2865" s="162" t="s">
        <v>4444</v>
      </c>
      <c r="I2865" s="156" t="s">
        <v>26</v>
      </c>
      <c r="J2865" s="158" t="s">
        <v>492</v>
      </c>
      <c r="K2865" s="158" t="s">
        <v>4445</v>
      </c>
    </row>
    <row r="2866" spans="1:11" ht="115.5">
      <c r="A2866" s="204">
        <v>2864</v>
      </c>
      <c r="B2866" s="15">
        <v>46105</v>
      </c>
      <c r="C2866" s="267" t="s">
        <v>825</v>
      </c>
      <c r="D2866" s="204">
        <v>2026</v>
      </c>
      <c r="E2866" s="12" t="s">
        <v>1431</v>
      </c>
      <c r="F2866" s="7" t="s">
        <v>1506</v>
      </c>
      <c r="G2866" s="160" t="s">
        <v>88</v>
      </c>
      <c r="H2866" s="7" t="s">
        <v>4446</v>
      </c>
      <c r="I2866" s="156" t="s">
        <v>26</v>
      </c>
      <c r="J2866" s="7" t="s">
        <v>3247</v>
      </c>
      <c r="K2866" s="7" t="s">
        <v>4447</v>
      </c>
    </row>
    <row r="2867" spans="1:11" ht="57.75">
      <c r="A2867" s="204">
        <v>2865</v>
      </c>
      <c r="B2867" s="159">
        <v>46106</v>
      </c>
      <c r="C2867" s="267" t="s">
        <v>825</v>
      </c>
      <c r="D2867" s="204">
        <v>2026</v>
      </c>
      <c r="E2867" s="12" t="s">
        <v>1431</v>
      </c>
      <c r="F2867" s="157" t="s">
        <v>4448</v>
      </c>
      <c r="G2867" s="213" t="s">
        <v>821</v>
      </c>
      <c r="H2867" s="158" t="s">
        <v>4449</v>
      </c>
      <c r="I2867" s="156" t="s">
        <v>26</v>
      </c>
      <c r="J2867" s="158" t="s">
        <v>4442</v>
      </c>
      <c r="K2867" s="158" t="s">
        <v>4450</v>
      </c>
    </row>
    <row r="2868" spans="1:11" ht="72.75">
      <c r="A2868" s="204">
        <v>2866</v>
      </c>
      <c r="B2868" s="14">
        <v>46107</v>
      </c>
      <c r="C2868" s="267" t="s">
        <v>825</v>
      </c>
      <c r="D2868" s="204">
        <v>2026</v>
      </c>
      <c r="E2868" s="12" t="s">
        <v>1431</v>
      </c>
      <c r="F2868" s="13" t="s">
        <v>216</v>
      </c>
      <c r="G2868" s="213" t="s">
        <v>821</v>
      </c>
      <c r="H2868" s="7" t="s">
        <v>4451</v>
      </c>
      <c r="I2868" s="156" t="s">
        <v>26</v>
      </c>
      <c r="J2868" s="13" t="s">
        <v>492</v>
      </c>
      <c r="K2868" s="7" t="s">
        <v>4452</v>
      </c>
    </row>
    <row r="2869" spans="1:11" ht="29.25">
      <c r="A2869" s="204">
        <v>2867</v>
      </c>
      <c r="B2869" s="161">
        <v>46111</v>
      </c>
      <c r="C2869" s="267" t="s">
        <v>825</v>
      </c>
      <c r="D2869" s="204">
        <v>2026</v>
      </c>
      <c r="E2869" s="12" t="s">
        <v>1431</v>
      </c>
      <c r="F2869" s="158" t="s">
        <v>216</v>
      </c>
      <c r="G2869" s="213" t="s">
        <v>821</v>
      </c>
      <c r="H2869" s="158" t="s">
        <v>4453</v>
      </c>
      <c r="I2869" s="156" t="s">
        <v>26</v>
      </c>
      <c r="J2869" s="158" t="s">
        <v>492</v>
      </c>
      <c r="K2869" s="158" t="s">
        <v>4428</v>
      </c>
    </row>
    <row r="2870" spans="1:11" ht="101.25">
      <c r="A2870" s="204">
        <v>2868</v>
      </c>
      <c r="B2870" s="14">
        <v>46128</v>
      </c>
      <c r="C2870" s="265" t="s">
        <v>826</v>
      </c>
      <c r="D2870" s="204">
        <v>2026</v>
      </c>
      <c r="E2870" s="12" t="s">
        <v>1431</v>
      </c>
      <c r="F2870" s="13" t="s">
        <v>21</v>
      </c>
      <c r="G2870" s="213" t="s">
        <v>821</v>
      </c>
      <c r="H2870" s="7" t="s">
        <v>4454</v>
      </c>
      <c r="I2870" s="156" t="s">
        <v>26</v>
      </c>
      <c r="J2870" s="13" t="s">
        <v>2993</v>
      </c>
      <c r="K2870" s="7" t="s">
        <v>4455</v>
      </c>
    </row>
    <row r="2871" spans="1:11" ht="174">
      <c r="A2871" s="204">
        <v>2869</v>
      </c>
      <c r="B2871" s="159">
        <v>46128</v>
      </c>
      <c r="C2871" s="265" t="s">
        <v>826</v>
      </c>
      <c r="D2871" s="204">
        <v>2026</v>
      </c>
      <c r="E2871" s="12" t="s">
        <v>1431</v>
      </c>
      <c r="F2871" s="157" t="s">
        <v>1225</v>
      </c>
      <c r="G2871" s="213" t="s">
        <v>821</v>
      </c>
      <c r="H2871" s="158" t="s">
        <v>4456</v>
      </c>
      <c r="I2871" s="156" t="s">
        <v>26</v>
      </c>
      <c r="J2871" s="157" t="s">
        <v>4356</v>
      </c>
      <c r="K2871" s="158" t="s">
        <v>4457</v>
      </c>
    </row>
    <row r="2872" spans="1:11" ht="101.25">
      <c r="A2872" s="204">
        <v>2870</v>
      </c>
      <c r="B2872" s="14">
        <v>46127</v>
      </c>
      <c r="C2872" s="265" t="s">
        <v>826</v>
      </c>
      <c r="D2872" s="204">
        <v>2026</v>
      </c>
      <c r="E2872" s="12" t="s">
        <v>1431</v>
      </c>
      <c r="F2872" s="13" t="s">
        <v>216</v>
      </c>
      <c r="G2872" s="213" t="s">
        <v>821</v>
      </c>
      <c r="H2872" s="7" t="s">
        <v>4458</v>
      </c>
      <c r="I2872" s="156" t="s">
        <v>26</v>
      </c>
      <c r="J2872" s="13" t="s">
        <v>492</v>
      </c>
      <c r="K2872" s="7" t="s">
        <v>4459</v>
      </c>
    </row>
    <row r="2873" spans="1:11" ht="130.5">
      <c r="A2873" s="204">
        <v>2871</v>
      </c>
      <c r="B2873" s="159">
        <v>46125</v>
      </c>
      <c r="C2873" s="265" t="s">
        <v>826</v>
      </c>
      <c r="D2873" s="204">
        <v>2026</v>
      </c>
      <c r="E2873" s="12" t="s">
        <v>1431</v>
      </c>
      <c r="F2873" s="157" t="s">
        <v>21</v>
      </c>
      <c r="G2873" s="213" t="s">
        <v>821</v>
      </c>
      <c r="H2873" s="158" t="s">
        <v>4460</v>
      </c>
      <c r="I2873" s="156" t="s">
        <v>26</v>
      </c>
      <c r="J2873" s="157" t="s">
        <v>4461</v>
      </c>
      <c r="K2873" s="158" t="s">
        <v>4462</v>
      </c>
    </row>
    <row r="2874" spans="1:11" ht="115.5">
      <c r="A2874" s="204">
        <v>2872</v>
      </c>
      <c r="B2874" s="14">
        <v>46122</v>
      </c>
      <c r="C2874" s="265" t="s">
        <v>826</v>
      </c>
      <c r="D2874" s="204">
        <v>2026</v>
      </c>
      <c r="E2874" s="12" t="s">
        <v>1431</v>
      </c>
      <c r="F2874" s="13" t="s">
        <v>21</v>
      </c>
      <c r="G2874" s="213" t="s">
        <v>821</v>
      </c>
      <c r="H2874" s="7" t="s">
        <v>4463</v>
      </c>
      <c r="I2874" s="156" t="s">
        <v>26</v>
      </c>
      <c r="J2874" s="13" t="s">
        <v>4461</v>
      </c>
      <c r="K2874" s="7" t="s">
        <v>4464</v>
      </c>
    </row>
    <row r="2875" spans="1:11" ht="201.75">
      <c r="A2875" s="204">
        <v>2873</v>
      </c>
      <c r="B2875" s="159">
        <v>46134</v>
      </c>
      <c r="C2875" s="265" t="s">
        <v>826</v>
      </c>
      <c r="D2875" s="204">
        <v>2026</v>
      </c>
      <c r="E2875" s="12" t="s">
        <v>1431</v>
      </c>
      <c r="F2875" s="157" t="s">
        <v>1506</v>
      </c>
      <c r="G2875" s="213" t="s">
        <v>821</v>
      </c>
      <c r="H2875" s="158" t="s">
        <v>4465</v>
      </c>
      <c r="I2875" s="156" t="s">
        <v>26</v>
      </c>
      <c r="J2875" s="157" t="s">
        <v>492</v>
      </c>
      <c r="K2875" s="158" t="s">
        <v>4466</v>
      </c>
    </row>
    <row r="2876" spans="1:11" ht="188.25">
      <c r="A2876" s="204">
        <v>2874</v>
      </c>
      <c r="B2876" s="14">
        <v>46134</v>
      </c>
      <c r="C2876" s="265" t="s">
        <v>826</v>
      </c>
      <c r="D2876" s="204">
        <v>2026</v>
      </c>
      <c r="E2876" s="12" t="s">
        <v>1431</v>
      </c>
      <c r="F2876" s="13" t="s">
        <v>1518</v>
      </c>
      <c r="G2876" s="160" t="s">
        <v>88</v>
      </c>
      <c r="H2876" s="7" t="s">
        <v>4467</v>
      </c>
      <c r="I2876" s="156" t="s">
        <v>26</v>
      </c>
      <c r="J2876" s="13" t="s">
        <v>4468</v>
      </c>
      <c r="K2876" s="7" t="s">
        <v>4469</v>
      </c>
    </row>
    <row r="2877" spans="1:11" ht="101.25">
      <c r="A2877" s="204">
        <v>2875</v>
      </c>
      <c r="B2877" s="159">
        <v>46135</v>
      </c>
      <c r="C2877" s="265" t="s">
        <v>826</v>
      </c>
      <c r="D2877" s="204">
        <v>2026</v>
      </c>
      <c r="E2877" s="12" t="s">
        <v>1431</v>
      </c>
      <c r="F2877" s="157" t="s">
        <v>21</v>
      </c>
      <c r="G2877" s="213" t="s">
        <v>821</v>
      </c>
      <c r="H2877" s="158" t="s">
        <v>4470</v>
      </c>
      <c r="I2877" s="156" t="s">
        <v>26</v>
      </c>
      <c r="J2877" s="157" t="s">
        <v>2993</v>
      </c>
      <c r="K2877" s="158" t="s">
        <v>4471</v>
      </c>
    </row>
    <row r="2878" spans="1:11" ht="159">
      <c r="A2878" s="204">
        <v>2876</v>
      </c>
      <c r="B2878" s="15">
        <v>46132</v>
      </c>
      <c r="C2878" s="265" t="s">
        <v>826</v>
      </c>
      <c r="D2878" s="204">
        <v>2026</v>
      </c>
      <c r="E2878" s="12" t="s">
        <v>1431</v>
      </c>
      <c r="F2878" s="7" t="s">
        <v>1432</v>
      </c>
      <c r="G2878" s="213" t="s">
        <v>821</v>
      </c>
      <c r="H2878" s="7" t="s">
        <v>4472</v>
      </c>
      <c r="I2878" s="156" t="s">
        <v>26</v>
      </c>
      <c r="J2878" s="7" t="s">
        <v>158</v>
      </c>
      <c r="K2878" s="7" t="s">
        <v>4473</v>
      </c>
    </row>
    <row r="2879" spans="1:11" ht="144.75">
      <c r="A2879" s="204">
        <v>2877</v>
      </c>
      <c r="B2879" s="161">
        <v>46134</v>
      </c>
      <c r="C2879" s="265" t="s">
        <v>826</v>
      </c>
      <c r="D2879" s="204">
        <v>2026</v>
      </c>
      <c r="E2879" s="12" t="s">
        <v>1431</v>
      </c>
      <c r="F2879" s="158" t="s">
        <v>216</v>
      </c>
      <c r="G2879" s="213" t="s">
        <v>821</v>
      </c>
      <c r="H2879" s="158" t="s">
        <v>2364</v>
      </c>
      <c r="I2879" s="156" t="s">
        <v>26</v>
      </c>
      <c r="J2879" s="158" t="s">
        <v>492</v>
      </c>
      <c r="K2879" s="158" t="s">
        <v>4474</v>
      </c>
    </row>
    <row r="2880" spans="1:11" ht="144.75">
      <c r="A2880" s="204">
        <v>2878</v>
      </c>
      <c r="B2880" s="15">
        <v>46134</v>
      </c>
      <c r="C2880" s="265" t="s">
        <v>826</v>
      </c>
      <c r="D2880" s="204">
        <v>2026</v>
      </c>
      <c r="E2880" s="12" t="s">
        <v>1431</v>
      </c>
      <c r="F2880" s="7" t="s">
        <v>216</v>
      </c>
      <c r="G2880" s="213" t="s">
        <v>821</v>
      </c>
      <c r="H2880" s="7" t="s">
        <v>4475</v>
      </c>
      <c r="I2880" s="156" t="s">
        <v>26</v>
      </c>
      <c r="J2880" s="7" t="s">
        <v>492</v>
      </c>
      <c r="K2880" s="7" t="s">
        <v>4476</v>
      </c>
    </row>
    <row r="2881" spans="1:11" ht="115.5">
      <c r="A2881" s="204">
        <v>2879</v>
      </c>
      <c r="B2881" s="161">
        <v>46134</v>
      </c>
      <c r="C2881" s="265" t="s">
        <v>826</v>
      </c>
      <c r="D2881" s="204">
        <v>2026</v>
      </c>
      <c r="E2881" s="12" t="s">
        <v>1431</v>
      </c>
      <c r="F2881" s="158" t="s">
        <v>216</v>
      </c>
      <c r="G2881" s="213" t="s">
        <v>821</v>
      </c>
      <c r="H2881" s="158" t="s">
        <v>4477</v>
      </c>
      <c r="I2881" s="156" t="s">
        <v>26</v>
      </c>
      <c r="J2881" s="158" t="s">
        <v>492</v>
      </c>
      <c r="K2881" s="158" t="s">
        <v>4478</v>
      </c>
    </row>
    <row r="2882" spans="1:11" ht="87">
      <c r="A2882" s="204">
        <v>2880</v>
      </c>
      <c r="B2882" s="15">
        <v>46134</v>
      </c>
      <c r="C2882" s="265" t="s">
        <v>826</v>
      </c>
      <c r="D2882" s="204">
        <v>2026</v>
      </c>
      <c r="E2882" s="12" t="s">
        <v>1431</v>
      </c>
      <c r="F2882" s="7" t="s">
        <v>216</v>
      </c>
      <c r="G2882" s="213" t="s">
        <v>821</v>
      </c>
      <c r="H2882" s="7" t="s">
        <v>4479</v>
      </c>
      <c r="I2882" s="156" t="s">
        <v>26</v>
      </c>
      <c r="J2882" s="7" t="s">
        <v>492</v>
      </c>
      <c r="K2882" s="7" t="s">
        <v>4480</v>
      </c>
    </row>
    <row r="2883" spans="1:11" ht="101.25">
      <c r="A2883" s="204">
        <v>2881</v>
      </c>
      <c r="B2883" s="161">
        <v>46135</v>
      </c>
      <c r="C2883" s="265" t="s">
        <v>826</v>
      </c>
      <c r="D2883" s="204">
        <v>2026</v>
      </c>
      <c r="E2883" s="12" t="s">
        <v>1431</v>
      </c>
      <c r="F2883" s="158" t="s">
        <v>21</v>
      </c>
      <c r="G2883" s="213" t="s">
        <v>821</v>
      </c>
      <c r="H2883" s="158" t="s">
        <v>4481</v>
      </c>
      <c r="I2883" s="156" t="s">
        <v>26</v>
      </c>
      <c r="J2883" s="158" t="s">
        <v>2993</v>
      </c>
      <c r="K2883" s="158" t="s">
        <v>4482</v>
      </c>
    </row>
    <row r="2884" spans="1:11" ht="72.75">
      <c r="A2884" s="204">
        <v>2882</v>
      </c>
      <c r="B2884" s="14">
        <v>46136</v>
      </c>
      <c r="C2884" s="265" t="s">
        <v>826</v>
      </c>
      <c r="D2884" s="204">
        <v>2026</v>
      </c>
      <c r="E2884" s="12" t="s">
        <v>1431</v>
      </c>
      <c r="F2884" s="13" t="s">
        <v>21</v>
      </c>
      <c r="G2884" s="213" t="s">
        <v>821</v>
      </c>
      <c r="H2884" s="7" t="s">
        <v>4483</v>
      </c>
      <c r="I2884" s="156" t="s">
        <v>26</v>
      </c>
      <c r="J2884" s="13" t="s">
        <v>2993</v>
      </c>
      <c r="K2884" s="7" t="s">
        <v>4484</v>
      </c>
    </row>
    <row r="2885" spans="1:11" ht="130.5">
      <c r="A2885" s="204">
        <v>2883</v>
      </c>
      <c r="B2885" s="159">
        <v>46136</v>
      </c>
      <c r="C2885" s="265" t="s">
        <v>826</v>
      </c>
      <c r="D2885" s="204">
        <v>2026</v>
      </c>
      <c r="E2885" s="12" t="s">
        <v>1431</v>
      </c>
      <c r="F2885" s="157" t="s">
        <v>216</v>
      </c>
      <c r="G2885" s="213" t="s">
        <v>821</v>
      </c>
      <c r="H2885" s="158" t="s">
        <v>4485</v>
      </c>
      <c r="I2885" s="156" t="s">
        <v>26</v>
      </c>
      <c r="J2885" s="157" t="s">
        <v>492</v>
      </c>
      <c r="K2885" s="158" t="s">
        <v>4486</v>
      </c>
    </row>
    <row r="2886" spans="1:11" ht="87">
      <c r="A2886" s="204">
        <v>2884</v>
      </c>
      <c r="B2886" s="14">
        <v>46140</v>
      </c>
      <c r="C2886" s="265" t="s">
        <v>826</v>
      </c>
      <c r="D2886" s="204">
        <v>2026</v>
      </c>
      <c r="E2886" s="12" t="s">
        <v>1431</v>
      </c>
      <c r="F2886" s="13" t="s">
        <v>30</v>
      </c>
      <c r="G2886" s="160" t="s">
        <v>88</v>
      </c>
      <c r="H2886" s="7" t="s">
        <v>4487</v>
      </c>
      <c r="I2886" s="156" t="s">
        <v>26</v>
      </c>
      <c r="J2886" s="13" t="s">
        <v>4442</v>
      </c>
      <c r="K2886" s="7" t="s">
        <v>4488</v>
      </c>
    </row>
    <row r="2887" spans="1:11" ht="43.5">
      <c r="A2887" s="204">
        <v>2885</v>
      </c>
      <c r="B2887" s="159">
        <v>46140</v>
      </c>
      <c r="C2887" s="265" t="s">
        <v>826</v>
      </c>
      <c r="D2887" s="204">
        <v>2026</v>
      </c>
      <c r="E2887" s="12" t="s">
        <v>1431</v>
      </c>
      <c r="F2887" s="157" t="s">
        <v>21</v>
      </c>
      <c r="G2887" s="213" t="s">
        <v>821</v>
      </c>
      <c r="H2887" s="158" t="s">
        <v>4489</v>
      </c>
      <c r="I2887" s="156" t="s">
        <v>26</v>
      </c>
      <c r="J2887" s="157" t="s">
        <v>2993</v>
      </c>
      <c r="K2887" s="158" t="s">
        <v>4490</v>
      </c>
    </row>
    <row r="2888" spans="1:11" ht="87">
      <c r="A2888" s="204">
        <v>2886</v>
      </c>
      <c r="B2888" s="14">
        <v>46141</v>
      </c>
      <c r="C2888" s="265" t="s">
        <v>826</v>
      </c>
      <c r="D2888" s="204">
        <v>2026</v>
      </c>
      <c r="E2888" s="12" t="s">
        <v>1431</v>
      </c>
      <c r="F2888" s="7" t="s">
        <v>216</v>
      </c>
      <c r="G2888" s="213" t="s">
        <v>821</v>
      </c>
      <c r="H2888" s="7" t="s">
        <v>4491</v>
      </c>
      <c r="I2888" s="156" t="s">
        <v>26</v>
      </c>
      <c r="J2888" s="7" t="s">
        <v>492</v>
      </c>
      <c r="K2888" s="7" t="s">
        <v>4492</v>
      </c>
    </row>
    <row r="2889" spans="1:11" ht="159">
      <c r="A2889" s="204">
        <v>2887</v>
      </c>
      <c r="B2889" s="159">
        <v>46141</v>
      </c>
      <c r="C2889" s="265" t="s">
        <v>826</v>
      </c>
      <c r="D2889" s="204">
        <v>2026</v>
      </c>
      <c r="E2889" s="12" t="s">
        <v>1431</v>
      </c>
      <c r="F2889" s="157" t="s">
        <v>216</v>
      </c>
      <c r="G2889" s="213" t="s">
        <v>821</v>
      </c>
      <c r="H2889" s="158" t="s">
        <v>4458</v>
      </c>
      <c r="I2889" s="156" t="s">
        <v>26</v>
      </c>
      <c r="J2889" s="157" t="s">
        <v>492</v>
      </c>
      <c r="K2889" s="158" t="s">
        <v>4493</v>
      </c>
    </row>
    <row r="2890" spans="1:11" ht="57.75">
      <c r="A2890" s="204">
        <v>2888</v>
      </c>
      <c r="B2890" s="15">
        <v>46146</v>
      </c>
      <c r="C2890" s="265" t="s">
        <v>827</v>
      </c>
      <c r="D2890" s="204">
        <v>2026</v>
      </c>
      <c r="E2890" s="12" t="s">
        <v>1431</v>
      </c>
      <c r="F2890" s="7" t="s">
        <v>21</v>
      </c>
      <c r="G2890" s="213" t="s">
        <v>821</v>
      </c>
      <c r="H2890" s="7" t="s">
        <v>4494</v>
      </c>
      <c r="I2890" s="156" t="s">
        <v>26</v>
      </c>
      <c r="J2890" s="7" t="s">
        <v>2993</v>
      </c>
      <c r="K2890" s="7" t="s">
        <v>4495</v>
      </c>
    </row>
    <row r="2891" spans="1:11" ht="43.5">
      <c r="A2891" s="204">
        <v>2889</v>
      </c>
      <c r="B2891" s="161">
        <v>46146</v>
      </c>
      <c r="C2891" s="265" t="s">
        <v>827</v>
      </c>
      <c r="D2891" s="204">
        <v>2026</v>
      </c>
      <c r="E2891" s="12" t="s">
        <v>1431</v>
      </c>
      <c r="F2891" s="158" t="s">
        <v>21</v>
      </c>
      <c r="G2891" s="213" t="s">
        <v>821</v>
      </c>
      <c r="H2891" s="158" t="s">
        <v>4496</v>
      </c>
      <c r="I2891" s="156" t="s">
        <v>26</v>
      </c>
      <c r="J2891" s="158" t="s">
        <v>2993</v>
      </c>
      <c r="K2891" s="158" t="s">
        <v>4497</v>
      </c>
    </row>
    <row r="2892" spans="1:11" ht="57.75">
      <c r="A2892" s="204">
        <v>2890</v>
      </c>
      <c r="B2892" s="15">
        <v>46147</v>
      </c>
      <c r="C2892" s="265" t="s">
        <v>827</v>
      </c>
      <c r="D2892" s="204">
        <v>2026</v>
      </c>
      <c r="E2892" s="12" t="s">
        <v>1431</v>
      </c>
      <c r="F2892" s="7" t="s">
        <v>21</v>
      </c>
      <c r="G2892" s="213" t="s">
        <v>821</v>
      </c>
      <c r="H2892" s="7" t="s">
        <v>4498</v>
      </c>
      <c r="I2892" s="156" t="s">
        <v>26</v>
      </c>
      <c r="J2892" s="7" t="s">
        <v>2993</v>
      </c>
      <c r="K2892" s="7" t="s">
        <v>4499</v>
      </c>
    </row>
    <row r="2893" spans="1:11" ht="87">
      <c r="A2893" s="204">
        <v>2891</v>
      </c>
      <c r="B2893" s="161">
        <v>46147</v>
      </c>
      <c r="C2893" s="265" t="s">
        <v>827</v>
      </c>
      <c r="D2893" s="204">
        <v>2026</v>
      </c>
      <c r="E2893" s="12" t="s">
        <v>1431</v>
      </c>
      <c r="F2893" s="158" t="s">
        <v>2535</v>
      </c>
      <c r="G2893" s="156" t="s">
        <v>88</v>
      </c>
      <c r="H2893" s="158" t="s">
        <v>4500</v>
      </c>
      <c r="I2893" s="156" t="s">
        <v>26</v>
      </c>
      <c r="J2893" s="158" t="s">
        <v>3247</v>
      </c>
      <c r="K2893" s="158" t="s">
        <v>4501</v>
      </c>
    </row>
    <row r="2894" spans="1:11" ht="130.5">
      <c r="A2894" s="204">
        <v>2892</v>
      </c>
      <c r="B2894" s="15">
        <v>46149</v>
      </c>
      <c r="C2894" s="265" t="s">
        <v>827</v>
      </c>
      <c r="D2894" s="204">
        <v>2026</v>
      </c>
      <c r="E2894" s="12" t="s">
        <v>1431</v>
      </c>
      <c r="F2894" s="7" t="s">
        <v>216</v>
      </c>
      <c r="G2894" s="213" t="s">
        <v>821</v>
      </c>
      <c r="H2894" s="7" t="s">
        <v>4502</v>
      </c>
      <c r="I2894" s="156" t="s">
        <v>26</v>
      </c>
      <c r="J2894" s="7" t="s">
        <v>492</v>
      </c>
      <c r="K2894" s="7" t="s">
        <v>4503</v>
      </c>
    </row>
    <row r="2895" spans="1:11" ht="115.5">
      <c r="A2895" s="204">
        <v>2893</v>
      </c>
      <c r="B2895" s="161">
        <v>46150</v>
      </c>
      <c r="C2895" s="265" t="s">
        <v>827</v>
      </c>
      <c r="D2895" s="204">
        <v>2026</v>
      </c>
      <c r="E2895" s="12" t="s">
        <v>1431</v>
      </c>
      <c r="F2895" s="158" t="s">
        <v>216</v>
      </c>
      <c r="G2895" s="213" t="s">
        <v>821</v>
      </c>
      <c r="H2895" s="158" t="s">
        <v>4504</v>
      </c>
      <c r="I2895" s="156" t="s">
        <v>26</v>
      </c>
      <c r="J2895" s="158" t="s">
        <v>492</v>
      </c>
      <c r="K2895" s="158" t="s">
        <v>4505</v>
      </c>
    </row>
    <row r="2896" spans="1:11" ht="29.25">
      <c r="A2896" s="204">
        <v>2894</v>
      </c>
      <c r="B2896" s="15">
        <v>46153</v>
      </c>
      <c r="C2896" s="265" t="s">
        <v>827</v>
      </c>
      <c r="D2896" s="204">
        <v>2026</v>
      </c>
      <c r="E2896" s="12" t="s">
        <v>1431</v>
      </c>
      <c r="F2896" s="7" t="s">
        <v>21</v>
      </c>
      <c r="G2896" s="213" t="s">
        <v>821</v>
      </c>
      <c r="H2896" s="7" t="s">
        <v>4506</v>
      </c>
      <c r="I2896" s="156" t="s">
        <v>26</v>
      </c>
      <c r="J2896" s="7" t="s">
        <v>468</v>
      </c>
      <c r="K2896" s="7" t="s">
        <v>4507</v>
      </c>
    </row>
    <row r="2897" spans="1:11" ht="43.5">
      <c r="A2897" s="204">
        <v>2895</v>
      </c>
      <c r="B2897" s="161">
        <v>46153</v>
      </c>
      <c r="C2897" s="265" t="s">
        <v>827</v>
      </c>
      <c r="D2897" s="204">
        <v>2026</v>
      </c>
      <c r="E2897" s="12" t="s">
        <v>1431</v>
      </c>
      <c r="F2897" s="158" t="s">
        <v>216</v>
      </c>
      <c r="G2897" s="213" t="s">
        <v>821</v>
      </c>
      <c r="H2897" s="158" t="s">
        <v>4508</v>
      </c>
      <c r="I2897" s="156" t="s">
        <v>26</v>
      </c>
      <c r="J2897" s="158" t="s">
        <v>492</v>
      </c>
      <c r="K2897" s="158" t="s">
        <v>4509</v>
      </c>
    </row>
    <row r="2898" spans="1:11" ht="174">
      <c r="A2898" s="204">
        <v>2896</v>
      </c>
      <c r="B2898" s="15">
        <v>46154</v>
      </c>
      <c r="C2898" s="265" t="s">
        <v>827</v>
      </c>
      <c r="D2898" s="204">
        <v>2026</v>
      </c>
      <c r="E2898" s="12" t="s">
        <v>1431</v>
      </c>
      <c r="F2898" s="7" t="s">
        <v>1506</v>
      </c>
      <c r="G2898" s="160" t="s">
        <v>88</v>
      </c>
      <c r="H2898" s="7" t="s">
        <v>4510</v>
      </c>
      <c r="I2898" s="156" t="s">
        <v>26</v>
      </c>
      <c r="J2898" s="7" t="s">
        <v>208</v>
      </c>
      <c r="K2898" s="7" t="s">
        <v>4511</v>
      </c>
    </row>
    <row r="2899" spans="1:11" ht="115.5">
      <c r="A2899" s="204">
        <v>2897</v>
      </c>
      <c r="B2899" s="161">
        <v>46155</v>
      </c>
      <c r="C2899" s="265" t="s">
        <v>827</v>
      </c>
      <c r="D2899" s="204">
        <v>2026</v>
      </c>
      <c r="E2899" s="12" t="s">
        <v>1431</v>
      </c>
      <c r="F2899" s="158" t="s">
        <v>216</v>
      </c>
      <c r="G2899" s="213" t="s">
        <v>821</v>
      </c>
      <c r="H2899" s="158" t="s">
        <v>4512</v>
      </c>
      <c r="I2899" s="156" t="s">
        <v>26</v>
      </c>
      <c r="J2899" s="158" t="s">
        <v>492</v>
      </c>
      <c r="K2899" s="158" t="s">
        <v>4513</v>
      </c>
    </row>
    <row r="2900" spans="1:11" ht="409.6">
      <c r="A2900" s="204">
        <v>2898</v>
      </c>
      <c r="B2900" s="14">
        <v>46156</v>
      </c>
      <c r="C2900" s="265" t="s">
        <v>827</v>
      </c>
      <c r="D2900" s="204">
        <v>2026</v>
      </c>
      <c r="E2900" s="12" t="s">
        <v>1431</v>
      </c>
      <c r="F2900" s="13" t="s">
        <v>1506</v>
      </c>
      <c r="G2900" s="160" t="s">
        <v>88</v>
      </c>
      <c r="H2900" s="7" t="s">
        <v>4514</v>
      </c>
      <c r="I2900" s="156" t="s">
        <v>26</v>
      </c>
      <c r="J2900" s="13" t="s">
        <v>4515</v>
      </c>
      <c r="K2900" s="7" t="s">
        <v>4516</v>
      </c>
    </row>
    <row r="2901" spans="1:11" ht="115.5">
      <c r="A2901" s="204">
        <v>2899</v>
      </c>
      <c r="B2901" s="161">
        <v>46156</v>
      </c>
      <c r="C2901" s="265" t="s">
        <v>827</v>
      </c>
      <c r="D2901" s="204">
        <v>2026</v>
      </c>
      <c r="E2901" s="12" t="s">
        <v>1431</v>
      </c>
      <c r="F2901" s="158" t="s">
        <v>1504</v>
      </c>
      <c r="G2901" s="213" t="s">
        <v>821</v>
      </c>
      <c r="H2901" s="158" t="s">
        <v>4517</v>
      </c>
      <c r="I2901" s="156" t="s">
        <v>26</v>
      </c>
      <c r="J2901" s="158" t="s">
        <v>4518</v>
      </c>
      <c r="K2901" s="158" t="s">
        <v>4519</v>
      </c>
    </row>
    <row r="2902" spans="1:11" ht="130.5">
      <c r="A2902" s="204">
        <v>2900</v>
      </c>
      <c r="B2902" s="15">
        <v>46156</v>
      </c>
      <c r="C2902" s="265" t="s">
        <v>827</v>
      </c>
      <c r="D2902" s="204">
        <v>2026</v>
      </c>
      <c r="E2902" s="12" t="s">
        <v>1431</v>
      </c>
      <c r="F2902" s="13" t="s">
        <v>1432</v>
      </c>
      <c r="G2902" s="213" t="s">
        <v>821</v>
      </c>
      <c r="H2902" s="7" t="s">
        <v>4520</v>
      </c>
      <c r="I2902" s="156" t="s">
        <v>26</v>
      </c>
      <c r="J2902" s="13" t="s">
        <v>158</v>
      </c>
      <c r="K2902" s="7" t="s">
        <v>4521</v>
      </c>
    </row>
    <row r="2903" spans="1:11" ht="57.75">
      <c r="A2903" s="204">
        <v>2901</v>
      </c>
      <c r="B2903" s="161">
        <v>46156</v>
      </c>
      <c r="C2903" s="265" t="s">
        <v>827</v>
      </c>
      <c r="D2903" s="204">
        <v>2026</v>
      </c>
      <c r="E2903" s="12" t="s">
        <v>1431</v>
      </c>
      <c r="F2903" s="157" t="s">
        <v>216</v>
      </c>
      <c r="G2903" s="213" t="s">
        <v>821</v>
      </c>
      <c r="H2903" s="158" t="s">
        <v>4522</v>
      </c>
      <c r="I2903" s="156" t="s">
        <v>26</v>
      </c>
      <c r="J2903" s="157" t="s">
        <v>492</v>
      </c>
      <c r="K2903" s="158" t="s">
        <v>4523</v>
      </c>
    </row>
    <row r="2904" spans="1:11" ht="57.75">
      <c r="A2904" s="204">
        <v>2902</v>
      </c>
      <c r="B2904" s="15">
        <v>46156</v>
      </c>
      <c r="C2904" s="265" t="s">
        <v>827</v>
      </c>
      <c r="D2904" s="204">
        <v>2026</v>
      </c>
      <c r="E2904" s="12" t="s">
        <v>1431</v>
      </c>
      <c r="F2904" s="13" t="s">
        <v>216</v>
      </c>
      <c r="G2904" s="213" t="s">
        <v>821</v>
      </c>
      <c r="H2904" s="7" t="s">
        <v>4524</v>
      </c>
      <c r="I2904" s="156" t="s">
        <v>26</v>
      </c>
      <c r="J2904" s="13" t="s">
        <v>492</v>
      </c>
      <c r="K2904" s="7" t="s">
        <v>4525</v>
      </c>
    </row>
    <row r="2905" spans="1:11" ht="57.75">
      <c r="A2905" s="204">
        <v>2903</v>
      </c>
      <c r="B2905" s="161">
        <v>46157</v>
      </c>
      <c r="C2905" s="265" t="s">
        <v>827</v>
      </c>
      <c r="D2905" s="204">
        <v>2026</v>
      </c>
      <c r="E2905" s="12" t="s">
        <v>1431</v>
      </c>
      <c r="F2905" s="157" t="s">
        <v>216</v>
      </c>
      <c r="G2905" s="213" t="s">
        <v>821</v>
      </c>
      <c r="H2905" s="158" t="s">
        <v>4526</v>
      </c>
      <c r="I2905" s="156" t="s">
        <v>26</v>
      </c>
      <c r="J2905" s="158" t="s">
        <v>492</v>
      </c>
      <c r="K2905" s="158" t="s">
        <v>4525</v>
      </c>
    </row>
    <row r="2906" spans="1:11" ht="87">
      <c r="A2906" s="204">
        <v>2904</v>
      </c>
      <c r="B2906" s="15">
        <v>46160</v>
      </c>
      <c r="C2906" s="265" t="s">
        <v>827</v>
      </c>
      <c r="D2906" s="204">
        <v>2026</v>
      </c>
      <c r="E2906" s="12" t="s">
        <v>1431</v>
      </c>
      <c r="F2906" s="7" t="s">
        <v>1506</v>
      </c>
      <c r="G2906" s="160" t="s">
        <v>88</v>
      </c>
      <c r="H2906" s="7" t="s">
        <v>4527</v>
      </c>
      <c r="I2906" s="156" t="s">
        <v>26</v>
      </c>
      <c r="J2906" s="7" t="s">
        <v>4515</v>
      </c>
      <c r="K2906" s="7" t="s">
        <v>4528</v>
      </c>
    </row>
    <row r="2907" spans="1:11" ht="43.5">
      <c r="A2907" s="204">
        <v>2905</v>
      </c>
      <c r="B2907" s="161">
        <v>46160</v>
      </c>
      <c r="C2907" s="265" t="s">
        <v>827</v>
      </c>
      <c r="D2907" s="204">
        <v>2026</v>
      </c>
      <c r="E2907" s="12" t="s">
        <v>1431</v>
      </c>
      <c r="F2907" s="157" t="s">
        <v>21</v>
      </c>
      <c r="G2907" s="213" t="s">
        <v>821</v>
      </c>
      <c r="H2907" s="158" t="s">
        <v>4529</v>
      </c>
      <c r="I2907" s="156" t="s">
        <v>26</v>
      </c>
      <c r="J2907" s="157" t="s">
        <v>468</v>
      </c>
      <c r="K2907" s="158" t="s">
        <v>4530</v>
      </c>
    </row>
    <row r="2908" spans="1:11" ht="43.5">
      <c r="A2908" s="204">
        <v>2906</v>
      </c>
      <c r="B2908" s="15">
        <v>46160</v>
      </c>
      <c r="C2908" s="265" t="s">
        <v>827</v>
      </c>
      <c r="D2908" s="204">
        <v>2026</v>
      </c>
      <c r="E2908" s="12" t="s">
        <v>1431</v>
      </c>
      <c r="F2908" s="7" t="s">
        <v>21</v>
      </c>
      <c r="G2908" s="213" t="s">
        <v>821</v>
      </c>
      <c r="H2908" s="7" t="s">
        <v>4531</v>
      </c>
      <c r="I2908" s="156" t="s">
        <v>26</v>
      </c>
      <c r="J2908" s="13" t="s">
        <v>468</v>
      </c>
      <c r="K2908" s="7" t="s">
        <v>4532</v>
      </c>
    </row>
    <row r="2909" spans="1:11" ht="43.5">
      <c r="A2909" s="204">
        <v>2907</v>
      </c>
      <c r="B2909" s="161">
        <v>46160</v>
      </c>
      <c r="C2909" s="265" t="s">
        <v>827</v>
      </c>
      <c r="D2909" s="204">
        <v>2026</v>
      </c>
      <c r="E2909" s="12" t="s">
        <v>1431</v>
      </c>
      <c r="F2909" s="158" t="s">
        <v>216</v>
      </c>
      <c r="G2909" s="213" t="s">
        <v>821</v>
      </c>
      <c r="H2909" s="158" t="s">
        <v>4533</v>
      </c>
      <c r="I2909" s="156" t="s">
        <v>26</v>
      </c>
      <c r="J2909" s="158" t="s">
        <v>492</v>
      </c>
      <c r="K2909" s="158" t="s">
        <v>4534</v>
      </c>
    </row>
    <row r="2910" spans="1:11" ht="57.75">
      <c r="A2910" s="204">
        <v>2908</v>
      </c>
      <c r="B2910" s="15">
        <v>46160</v>
      </c>
      <c r="C2910" s="265" t="s">
        <v>827</v>
      </c>
      <c r="D2910" s="204">
        <v>2026</v>
      </c>
      <c r="E2910" s="12" t="s">
        <v>1431</v>
      </c>
      <c r="F2910" s="7" t="s">
        <v>216</v>
      </c>
      <c r="G2910" s="213" t="s">
        <v>821</v>
      </c>
      <c r="H2910" s="7" t="s">
        <v>4535</v>
      </c>
      <c r="I2910" s="156" t="s">
        <v>26</v>
      </c>
      <c r="J2910" s="7" t="s">
        <v>492</v>
      </c>
      <c r="K2910" s="7" t="s">
        <v>4525</v>
      </c>
    </row>
    <row r="2911" spans="1:11" ht="72.75">
      <c r="A2911" s="204">
        <v>2909</v>
      </c>
      <c r="B2911" s="161">
        <v>46161</v>
      </c>
      <c r="C2911" s="265" t="s">
        <v>827</v>
      </c>
      <c r="D2911" s="204">
        <v>2026</v>
      </c>
      <c r="E2911" s="12" t="s">
        <v>1431</v>
      </c>
      <c r="F2911" s="158" t="s">
        <v>21</v>
      </c>
      <c r="G2911" s="213" t="s">
        <v>821</v>
      </c>
      <c r="H2911" s="158" t="s">
        <v>4536</v>
      </c>
      <c r="I2911" s="156" t="s">
        <v>26</v>
      </c>
      <c r="J2911" s="158" t="s">
        <v>468</v>
      </c>
      <c r="K2911" s="158" t="s">
        <v>4537</v>
      </c>
    </row>
    <row r="2912" spans="1:11" ht="29.25">
      <c r="A2912" s="204">
        <v>2910</v>
      </c>
      <c r="B2912" s="15">
        <v>46161</v>
      </c>
      <c r="C2912" s="265" t="s">
        <v>827</v>
      </c>
      <c r="D2912" s="204">
        <v>2026</v>
      </c>
      <c r="E2912" s="12" t="s">
        <v>1431</v>
      </c>
      <c r="F2912" s="7" t="s">
        <v>21</v>
      </c>
      <c r="G2912" s="213" t="s">
        <v>821</v>
      </c>
      <c r="H2912" s="7" t="s">
        <v>4538</v>
      </c>
      <c r="I2912" s="156" t="s">
        <v>26</v>
      </c>
      <c r="J2912" s="7" t="s">
        <v>468</v>
      </c>
      <c r="K2912" s="7" t="s">
        <v>4534</v>
      </c>
    </row>
    <row r="2913" spans="1:11" ht="72.75">
      <c r="A2913" s="204">
        <v>2911</v>
      </c>
      <c r="B2913" s="161">
        <v>46161</v>
      </c>
      <c r="C2913" s="265" t="s">
        <v>827</v>
      </c>
      <c r="D2913" s="204">
        <v>2026</v>
      </c>
      <c r="E2913" s="12" t="s">
        <v>1431</v>
      </c>
      <c r="F2913" s="158" t="s">
        <v>1432</v>
      </c>
      <c r="G2913" s="213" t="s">
        <v>821</v>
      </c>
      <c r="H2913" s="158" t="s">
        <v>4539</v>
      </c>
      <c r="I2913" s="156" t="s">
        <v>26</v>
      </c>
      <c r="J2913" s="158" t="s">
        <v>4540</v>
      </c>
      <c r="K2913" s="158" t="s">
        <v>4541</v>
      </c>
    </row>
    <row r="2914" spans="1:11" ht="115.5">
      <c r="A2914" s="204">
        <v>2912</v>
      </c>
      <c r="B2914" s="15">
        <v>46162</v>
      </c>
      <c r="C2914" s="265" t="s">
        <v>827</v>
      </c>
      <c r="D2914" s="204">
        <v>2026</v>
      </c>
      <c r="E2914" s="12" t="s">
        <v>1431</v>
      </c>
      <c r="F2914" s="7" t="s">
        <v>216</v>
      </c>
      <c r="G2914" s="213" t="s">
        <v>821</v>
      </c>
      <c r="H2914" s="7" t="s">
        <v>4542</v>
      </c>
      <c r="I2914" s="156" t="s">
        <v>26</v>
      </c>
      <c r="J2914" s="7" t="s">
        <v>492</v>
      </c>
      <c r="K2914" s="7" t="s">
        <v>4543</v>
      </c>
    </row>
    <row r="2915" spans="1:11" ht="29.25">
      <c r="A2915" s="204">
        <v>2913</v>
      </c>
      <c r="B2915" s="161">
        <v>46162</v>
      </c>
      <c r="C2915" s="265" t="s">
        <v>827</v>
      </c>
      <c r="D2915" s="204">
        <v>2026</v>
      </c>
      <c r="E2915" s="12" t="s">
        <v>1431</v>
      </c>
      <c r="F2915" s="158" t="s">
        <v>216</v>
      </c>
      <c r="G2915" s="213" t="s">
        <v>821</v>
      </c>
      <c r="H2915" s="158" t="s">
        <v>4544</v>
      </c>
      <c r="I2915" s="156" t="s">
        <v>26</v>
      </c>
      <c r="J2915" s="158" t="s">
        <v>492</v>
      </c>
      <c r="K2915" s="158" t="s">
        <v>4545</v>
      </c>
    </row>
    <row r="2916" spans="1:11" ht="29.25">
      <c r="A2916" s="204">
        <v>2914</v>
      </c>
      <c r="B2916" s="15">
        <v>46162</v>
      </c>
      <c r="C2916" s="265" t="s">
        <v>827</v>
      </c>
      <c r="D2916" s="204">
        <v>2026</v>
      </c>
      <c r="E2916" s="12" t="s">
        <v>1431</v>
      </c>
      <c r="F2916" s="7" t="s">
        <v>216</v>
      </c>
      <c r="G2916" s="213" t="s">
        <v>821</v>
      </c>
      <c r="H2916" s="7" t="s">
        <v>4546</v>
      </c>
      <c r="I2916" s="156" t="s">
        <v>26</v>
      </c>
      <c r="J2916" s="7" t="s">
        <v>492</v>
      </c>
      <c r="K2916" s="7" t="s">
        <v>4545</v>
      </c>
    </row>
    <row r="2917" spans="1:11" ht="87">
      <c r="A2917" s="204">
        <v>2915</v>
      </c>
      <c r="B2917" s="161">
        <v>46162</v>
      </c>
      <c r="C2917" s="265" t="s">
        <v>827</v>
      </c>
      <c r="D2917" s="204">
        <v>2026</v>
      </c>
      <c r="E2917" s="12" t="s">
        <v>1431</v>
      </c>
      <c r="F2917" s="158" t="s">
        <v>1506</v>
      </c>
      <c r="G2917" s="213" t="s">
        <v>821</v>
      </c>
      <c r="H2917" s="158" t="s">
        <v>4547</v>
      </c>
      <c r="I2917" s="156" t="s">
        <v>26</v>
      </c>
      <c r="J2917" s="158" t="s">
        <v>4515</v>
      </c>
      <c r="K2917" s="158" t="s">
        <v>4548</v>
      </c>
    </row>
    <row r="2918" spans="1:11" ht="43.5">
      <c r="A2918" s="204">
        <v>2916</v>
      </c>
      <c r="B2918" s="15">
        <v>46162</v>
      </c>
      <c r="C2918" s="265" t="s">
        <v>827</v>
      </c>
      <c r="D2918" s="204">
        <v>2026</v>
      </c>
      <c r="E2918" s="12" t="s">
        <v>1431</v>
      </c>
      <c r="F2918" s="13" t="s">
        <v>21</v>
      </c>
      <c r="G2918" s="213" t="s">
        <v>821</v>
      </c>
      <c r="H2918" s="7" t="s">
        <v>4549</v>
      </c>
      <c r="I2918" s="156" t="s">
        <v>26</v>
      </c>
      <c r="J2918" s="13" t="s">
        <v>468</v>
      </c>
      <c r="K2918" s="7" t="s">
        <v>4530</v>
      </c>
    </row>
    <row r="2919" spans="1:11" ht="57.75">
      <c r="A2919" s="204">
        <v>2917</v>
      </c>
      <c r="B2919" s="161">
        <v>46162</v>
      </c>
      <c r="C2919" s="265" t="s">
        <v>827</v>
      </c>
      <c r="D2919" s="204">
        <v>2026</v>
      </c>
      <c r="E2919" s="12" t="s">
        <v>1431</v>
      </c>
      <c r="F2919" s="158" t="s">
        <v>216</v>
      </c>
      <c r="G2919" s="213" t="s">
        <v>821</v>
      </c>
      <c r="H2919" s="158" t="s">
        <v>4550</v>
      </c>
      <c r="I2919" s="156" t="s">
        <v>26</v>
      </c>
      <c r="J2919" s="158" t="s">
        <v>492</v>
      </c>
      <c r="K2919" s="158" t="s">
        <v>4551</v>
      </c>
    </row>
    <row r="2920" spans="1:11" ht="57.75">
      <c r="A2920" s="204">
        <v>2918</v>
      </c>
      <c r="B2920" s="15">
        <v>46163</v>
      </c>
      <c r="C2920" s="265" t="s">
        <v>827</v>
      </c>
      <c r="D2920" s="204">
        <v>2026</v>
      </c>
      <c r="E2920" s="12" t="s">
        <v>1431</v>
      </c>
      <c r="F2920" s="7" t="s">
        <v>1432</v>
      </c>
      <c r="G2920" s="213" t="s">
        <v>821</v>
      </c>
      <c r="H2920" s="7" t="s">
        <v>4552</v>
      </c>
      <c r="I2920" s="156" t="s">
        <v>26</v>
      </c>
      <c r="J2920" s="7" t="s">
        <v>158</v>
      </c>
      <c r="K2920" s="7" t="s">
        <v>4553</v>
      </c>
    </row>
    <row r="2921" spans="1:11" ht="57.75">
      <c r="A2921" s="204">
        <v>2919</v>
      </c>
      <c r="B2921" s="161">
        <v>46163</v>
      </c>
      <c r="C2921" s="265" t="s">
        <v>827</v>
      </c>
      <c r="D2921" s="204">
        <v>2026</v>
      </c>
      <c r="E2921" s="12" t="s">
        <v>1431</v>
      </c>
      <c r="F2921" s="158" t="s">
        <v>1504</v>
      </c>
      <c r="G2921" s="213" t="s">
        <v>821</v>
      </c>
      <c r="H2921" s="158" t="s">
        <v>4554</v>
      </c>
      <c r="I2921" s="156" t="s">
        <v>26</v>
      </c>
      <c r="J2921" s="158" t="s">
        <v>468</v>
      </c>
      <c r="K2921" s="158" t="s">
        <v>4555</v>
      </c>
    </row>
    <row r="2922" spans="1:11" ht="188.25">
      <c r="A2922" s="204">
        <v>2920</v>
      </c>
      <c r="B2922" s="14">
        <v>46167</v>
      </c>
      <c r="C2922" s="265" t="s">
        <v>827</v>
      </c>
      <c r="D2922" s="204">
        <v>2026</v>
      </c>
      <c r="E2922" s="12" t="s">
        <v>1431</v>
      </c>
      <c r="F2922" s="13" t="s">
        <v>21</v>
      </c>
      <c r="G2922" s="213" t="s">
        <v>821</v>
      </c>
      <c r="H2922" s="7" t="s">
        <v>4556</v>
      </c>
      <c r="I2922" s="156" t="s">
        <v>26</v>
      </c>
      <c r="J2922" s="7" t="s">
        <v>468</v>
      </c>
      <c r="K2922" s="7" t="s">
        <v>4557</v>
      </c>
    </row>
    <row r="2923" spans="1:11" ht="43.5">
      <c r="A2923" s="204">
        <v>2921</v>
      </c>
      <c r="B2923" s="159">
        <v>46167</v>
      </c>
      <c r="C2923" s="265" t="s">
        <v>827</v>
      </c>
      <c r="D2923" s="204">
        <v>2026</v>
      </c>
      <c r="E2923" s="12" t="s">
        <v>1431</v>
      </c>
      <c r="F2923" s="157" t="s">
        <v>216</v>
      </c>
      <c r="G2923" s="213" t="s">
        <v>821</v>
      </c>
      <c r="H2923" s="158" t="s">
        <v>4558</v>
      </c>
      <c r="I2923" s="156" t="s">
        <v>26</v>
      </c>
      <c r="J2923" s="157" t="s">
        <v>492</v>
      </c>
      <c r="K2923" s="158" t="s">
        <v>4559</v>
      </c>
    </row>
    <row r="2924" spans="1:11" ht="115.5">
      <c r="A2924" s="204">
        <v>2922</v>
      </c>
      <c r="B2924" s="14">
        <v>46167</v>
      </c>
      <c r="C2924" s="265" t="s">
        <v>827</v>
      </c>
      <c r="D2924" s="204">
        <v>2026</v>
      </c>
      <c r="E2924" s="12" t="s">
        <v>1431</v>
      </c>
      <c r="F2924" s="13" t="s">
        <v>21</v>
      </c>
      <c r="G2924" s="213" t="s">
        <v>821</v>
      </c>
      <c r="H2924" s="7" t="s">
        <v>4560</v>
      </c>
      <c r="I2924" s="156" t="s">
        <v>26</v>
      </c>
      <c r="J2924" s="13" t="s">
        <v>468</v>
      </c>
      <c r="K2924" s="7" t="s">
        <v>4561</v>
      </c>
    </row>
    <row r="2925" spans="1:11" ht="144.75">
      <c r="A2925" s="204">
        <v>2923</v>
      </c>
      <c r="B2925" s="159">
        <v>46168</v>
      </c>
      <c r="C2925" s="265" t="s">
        <v>827</v>
      </c>
      <c r="D2925" s="204">
        <v>2026</v>
      </c>
      <c r="E2925" s="12" t="s">
        <v>1431</v>
      </c>
      <c r="F2925" s="157" t="s">
        <v>4562</v>
      </c>
      <c r="G2925" s="156" t="s">
        <v>88</v>
      </c>
      <c r="H2925" s="158" t="s">
        <v>4563</v>
      </c>
      <c r="I2925" s="156" t="s">
        <v>26</v>
      </c>
      <c r="J2925" s="157" t="s">
        <v>910</v>
      </c>
      <c r="K2925" s="158" t="s">
        <v>4564</v>
      </c>
    </row>
    <row r="2926" spans="1:11" ht="43.5">
      <c r="A2926" s="204">
        <v>2924</v>
      </c>
      <c r="B2926" s="14">
        <v>46168</v>
      </c>
      <c r="C2926" s="265" t="s">
        <v>827</v>
      </c>
      <c r="D2926" s="204">
        <v>2026</v>
      </c>
      <c r="E2926" s="12" t="s">
        <v>1431</v>
      </c>
      <c r="F2926" s="13" t="s">
        <v>4565</v>
      </c>
      <c r="G2926" s="160" t="s">
        <v>88</v>
      </c>
      <c r="H2926" s="7" t="s">
        <v>4566</v>
      </c>
      <c r="I2926" s="156" t="s">
        <v>26</v>
      </c>
      <c r="J2926" s="13" t="s">
        <v>2599</v>
      </c>
      <c r="K2926" s="7" t="s">
        <v>4567</v>
      </c>
    </row>
    <row r="2927" spans="1:11" ht="72.75">
      <c r="A2927" s="204">
        <v>2925</v>
      </c>
      <c r="B2927" s="159">
        <v>46171</v>
      </c>
      <c r="C2927" s="265" t="s">
        <v>827</v>
      </c>
      <c r="D2927" s="204">
        <v>2026</v>
      </c>
      <c r="E2927" s="12" t="s">
        <v>1431</v>
      </c>
      <c r="F2927" s="157" t="s">
        <v>21</v>
      </c>
      <c r="G2927" s="213" t="s">
        <v>821</v>
      </c>
      <c r="H2927" s="158" t="s">
        <v>4568</v>
      </c>
      <c r="I2927" s="156" t="s">
        <v>26</v>
      </c>
      <c r="J2927" s="157" t="s">
        <v>468</v>
      </c>
      <c r="K2927" s="158" t="s">
        <v>4569</v>
      </c>
    </row>
    <row r="2928" spans="1:11" ht="57.75">
      <c r="A2928" s="204">
        <v>2926</v>
      </c>
      <c r="B2928" s="14">
        <v>46170</v>
      </c>
      <c r="C2928" s="265" t="s">
        <v>827</v>
      </c>
      <c r="D2928" s="204">
        <v>2026</v>
      </c>
      <c r="E2928" s="12" t="s">
        <v>1431</v>
      </c>
      <c r="F2928" s="13" t="s">
        <v>4562</v>
      </c>
      <c r="G2928" s="160" t="s">
        <v>88</v>
      </c>
      <c r="H2928" s="7" t="s">
        <v>4570</v>
      </c>
      <c r="I2928" s="156" t="s">
        <v>26</v>
      </c>
      <c r="J2928" s="13" t="s">
        <v>910</v>
      </c>
      <c r="K2928" s="7" t="s">
        <v>4571</v>
      </c>
    </row>
    <row r="2929" spans="1:11" ht="29.25">
      <c r="A2929" s="204">
        <v>2927</v>
      </c>
      <c r="B2929" s="159">
        <v>46170</v>
      </c>
      <c r="C2929" s="265" t="s">
        <v>827</v>
      </c>
      <c r="D2929" s="204">
        <v>2026</v>
      </c>
      <c r="E2929" s="12" t="s">
        <v>1431</v>
      </c>
      <c r="F2929" s="157" t="s">
        <v>216</v>
      </c>
      <c r="G2929" s="213" t="s">
        <v>821</v>
      </c>
      <c r="H2929" s="158" t="s">
        <v>4572</v>
      </c>
      <c r="I2929" s="156" t="s">
        <v>26</v>
      </c>
      <c r="J2929" s="157" t="s">
        <v>492</v>
      </c>
      <c r="K2929" s="158" t="s">
        <v>4573</v>
      </c>
    </row>
    <row r="2930" spans="1:11" ht="87">
      <c r="A2930" s="204">
        <v>2928</v>
      </c>
      <c r="B2930" s="14">
        <v>46170</v>
      </c>
      <c r="C2930" s="265" t="s">
        <v>827</v>
      </c>
      <c r="D2930" s="204">
        <v>2026</v>
      </c>
      <c r="E2930" s="12" t="s">
        <v>1431</v>
      </c>
      <c r="F2930" s="13" t="s">
        <v>21</v>
      </c>
      <c r="G2930" s="213" t="s">
        <v>821</v>
      </c>
      <c r="H2930" s="7" t="s">
        <v>4574</v>
      </c>
      <c r="I2930" s="156" t="s">
        <v>26</v>
      </c>
      <c r="J2930" s="13" t="s">
        <v>468</v>
      </c>
      <c r="K2930" s="7" t="s">
        <v>4575</v>
      </c>
    </row>
    <row r="2931" spans="1:11" ht="72.75">
      <c r="A2931" s="204">
        <v>2929</v>
      </c>
      <c r="B2931" s="159">
        <v>46171</v>
      </c>
      <c r="C2931" s="265" t="s">
        <v>827</v>
      </c>
      <c r="D2931" s="204">
        <v>2026</v>
      </c>
      <c r="E2931" s="12" t="s">
        <v>1431</v>
      </c>
      <c r="F2931" s="157" t="s">
        <v>21</v>
      </c>
      <c r="G2931" s="213" t="s">
        <v>821</v>
      </c>
      <c r="H2931" s="158" t="s">
        <v>4576</v>
      </c>
      <c r="I2931" s="156" t="s">
        <v>26</v>
      </c>
      <c r="J2931" s="157" t="s">
        <v>468</v>
      </c>
      <c r="K2931" s="158" t="s">
        <v>4573</v>
      </c>
    </row>
    <row r="2932" spans="1:11" ht="43.5">
      <c r="A2932" s="204">
        <v>2930</v>
      </c>
      <c r="B2932" s="14">
        <v>46171</v>
      </c>
      <c r="C2932" s="265" t="s">
        <v>827</v>
      </c>
      <c r="D2932" s="204">
        <v>2026</v>
      </c>
      <c r="E2932" s="12" t="s">
        <v>1431</v>
      </c>
      <c r="F2932" s="13" t="s">
        <v>1504</v>
      </c>
      <c r="G2932" s="213" t="s">
        <v>821</v>
      </c>
      <c r="H2932" s="7" t="s">
        <v>4577</v>
      </c>
      <c r="I2932" s="156" t="s">
        <v>26</v>
      </c>
      <c r="J2932" s="13" t="s">
        <v>578</v>
      </c>
      <c r="K2932" s="7" t="s">
        <v>4573</v>
      </c>
    </row>
    <row r="2933" spans="1:11" ht="43.5">
      <c r="A2933" s="204">
        <v>2931</v>
      </c>
      <c r="B2933" s="159">
        <v>46174</v>
      </c>
      <c r="C2933" s="267" t="s">
        <v>828</v>
      </c>
      <c r="D2933" s="204">
        <v>2026</v>
      </c>
      <c r="E2933" s="12" t="s">
        <v>1431</v>
      </c>
      <c r="F2933" s="157" t="s">
        <v>216</v>
      </c>
      <c r="G2933" s="213" t="s">
        <v>821</v>
      </c>
      <c r="H2933" s="158" t="s">
        <v>4578</v>
      </c>
      <c r="I2933" s="156" t="s">
        <v>26</v>
      </c>
      <c r="J2933" s="157" t="s">
        <v>492</v>
      </c>
      <c r="K2933" s="158" t="s">
        <v>4573</v>
      </c>
    </row>
    <row r="2934" spans="1:11" ht="29.25">
      <c r="A2934" s="204">
        <v>2932</v>
      </c>
      <c r="B2934" s="14">
        <v>46175</v>
      </c>
      <c r="C2934" s="267" t="s">
        <v>828</v>
      </c>
      <c r="D2934" s="204">
        <v>2026</v>
      </c>
      <c r="E2934" s="12" t="s">
        <v>1431</v>
      </c>
      <c r="F2934" s="13" t="s">
        <v>1504</v>
      </c>
      <c r="G2934" s="213" t="s">
        <v>821</v>
      </c>
      <c r="H2934" s="7" t="s">
        <v>4579</v>
      </c>
      <c r="I2934" s="156" t="s">
        <v>26</v>
      </c>
      <c r="J2934" s="13" t="s">
        <v>492</v>
      </c>
      <c r="K2934" s="7" t="s">
        <v>4573</v>
      </c>
    </row>
    <row r="2935" spans="1:11" ht="29.25">
      <c r="A2935" s="204">
        <v>2933</v>
      </c>
      <c r="B2935" s="159">
        <v>46175</v>
      </c>
      <c r="C2935" s="267" t="s">
        <v>828</v>
      </c>
      <c r="D2935" s="204">
        <v>2026</v>
      </c>
      <c r="E2935" s="12" t="s">
        <v>1431</v>
      </c>
      <c r="F2935" s="157" t="s">
        <v>1504</v>
      </c>
      <c r="G2935" s="213" t="s">
        <v>821</v>
      </c>
      <c r="H2935" s="158" t="s">
        <v>4580</v>
      </c>
      <c r="I2935" s="156" t="s">
        <v>26</v>
      </c>
      <c r="J2935" s="157" t="s">
        <v>492</v>
      </c>
      <c r="K2935" s="158" t="s">
        <v>4573</v>
      </c>
    </row>
    <row r="2936" spans="1:11" ht="29.25">
      <c r="A2936" s="204">
        <v>2934</v>
      </c>
      <c r="B2936" s="14">
        <v>46175</v>
      </c>
      <c r="C2936" s="267" t="s">
        <v>828</v>
      </c>
      <c r="D2936" s="204">
        <v>2026</v>
      </c>
      <c r="E2936" s="12" t="s">
        <v>1431</v>
      </c>
      <c r="F2936" s="13" t="s">
        <v>21</v>
      </c>
      <c r="G2936" s="213" t="s">
        <v>821</v>
      </c>
      <c r="H2936" s="7" t="s">
        <v>4581</v>
      </c>
      <c r="I2936" s="156" t="s">
        <v>26</v>
      </c>
      <c r="J2936" s="13" t="s">
        <v>468</v>
      </c>
      <c r="K2936" s="7" t="s">
        <v>4573</v>
      </c>
    </row>
    <row r="2937" spans="1:11" ht="43.5">
      <c r="A2937" s="204">
        <v>2935</v>
      </c>
      <c r="B2937" s="155">
        <v>46176</v>
      </c>
      <c r="C2937" s="267" t="s">
        <v>828</v>
      </c>
      <c r="D2937" s="204">
        <v>2026</v>
      </c>
      <c r="E2937" s="12" t="s">
        <v>1431</v>
      </c>
      <c r="F2937" s="157" t="s">
        <v>21</v>
      </c>
      <c r="G2937" s="213" t="s">
        <v>821</v>
      </c>
      <c r="H2937" s="158" t="s">
        <v>4582</v>
      </c>
      <c r="I2937" s="156" t="s">
        <v>26</v>
      </c>
      <c r="J2937" s="157" t="s">
        <v>468</v>
      </c>
      <c r="K2937" s="158" t="s">
        <v>4583</v>
      </c>
    </row>
    <row r="2938" spans="1:11" ht="57.75">
      <c r="A2938" s="204">
        <v>2936</v>
      </c>
      <c r="B2938" s="16">
        <v>46176</v>
      </c>
      <c r="C2938" s="267" t="s">
        <v>828</v>
      </c>
      <c r="D2938" s="204">
        <v>2026</v>
      </c>
      <c r="E2938" s="12" t="s">
        <v>1431</v>
      </c>
      <c r="F2938" s="13" t="s">
        <v>97</v>
      </c>
      <c r="G2938" s="213" t="s">
        <v>821</v>
      </c>
      <c r="H2938" s="7" t="s">
        <v>4584</v>
      </c>
      <c r="I2938" s="156" t="s">
        <v>26</v>
      </c>
      <c r="J2938" s="13" t="s">
        <v>158</v>
      </c>
      <c r="K2938" s="7" t="s">
        <v>4585</v>
      </c>
    </row>
    <row r="2939" spans="1:11" ht="43.5">
      <c r="A2939" s="204">
        <v>2937</v>
      </c>
      <c r="B2939" s="155">
        <v>46176</v>
      </c>
      <c r="C2939" s="267" t="s">
        <v>828</v>
      </c>
      <c r="D2939" s="204">
        <v>2026</v>
      </c>
      <c r="E2939" s="12" t="s">
        <v>1431</v>
      </c>
      <c r="F2939" s="157" t="s">
        <v>216</v>
      </c>
      <c r="G2939" s="213" t="s">
        <v>821</v>
      </c>
      <c r="H2939" s="158" t="s">
        <v>4586</v>
      </c>
      <c r="I2939" s="156" t="s">
        <v>26</v>
      </c>
      <c r="J2939" s="157" t="s">
        <v>492</v>
      </c>
      <c r="K2939" s="158" t="s">
        <v>4587</v>
      </c>
    </row>
    <row r="2940" spans="1:11" ht="57.75">
      <c r="A2940" s="204">
        <v>2938</v>
      </c>
      <c r="B2940" s="16">
        <v>46183</v>
      </c>
      <c r="C2940" s="267" t="s">
        <v>828</v>
      </c>
      <c r="D2940" s="204">
        <v>2026</v>
      </c>
      <c r="E2940" s="12" t="s">
        <v>1431</v>
      </c>
      <c r="F2940" s="13" t="s">
        <v>216</v>
      </c>
      <c r="G2940" s="213" t="s">
        <v>821</v>
      </c>
      <c r="H2940" s="7" t="s">
        <v>4588</v>
      </c>
      <c r="I2940" s="156" t="s">
        <v>26</v>
      </c>
      <c r="J2940" s="13" t="s">
        <v>492</v>
      </c>
      <c r="K2940" s="7" t="s">
        <v>4589</v>
      </c>
    </row>
    <row r="2941" spans="1:11" ht="57.75">
      <c r="A2941" s="204">
        <v>2939</v>
      </c>
      <c r="B2941" s="155">
        <v>46183</v>
      </c>
      <c r="C2941" s="267" t="s">
        <v>828</v>
      </c>
      <c r="D2941" s="204">
        <v>2026</v>
      </c>
      <c r="E2941" s="12" t="s">
        <v>1431</v>
      </c>
      <c r="F2941" s="157" t="s">
        <v>21</v>
      </c>
      <c r="G2941" s="213" t="s">
        <v>821</v>
      </c>
      <c r="H2941" s="162" t="s">
        <v>4590</v>
      </c>
      <c r="I2941" s="156" t="s">
        <v>26</v>
      </c>
      <c r="J2941" s="157" t="s">
        <v>468</v>
      </c>
      <c r="K2941" s="158" t="s">
        <v>4589</v>
      </c>
    </row>
    <row r="2942" spans="1:11" ht="57.75">
      <c r="A2942" s="204">
        <v>2940</v>
      </c>
      <c r="B2942" s="16">
        <v>46184</v>
      </c>
      <c r="C2942" s="267" t="s">
        <v>828</v>
      </c>
      <c r="D2942" s="204">
        <v>2026</v>
      </c>
      <c r="E2942" s="12" t="s">
        <v>1431</v>
      </c>
      <c r="F2942" s="13" t="s">
        <v>21</v>
      </c>
      <c r="G2942" s="213" t="s">
        <v>821</v>
      </c>
      <c r="H2942" s="7" t="s">
        <v>4591</v>
      </c>
      <c r="I2942" s="156" t="s">
        <v>26</v>
      </c>
      <c r="J2942" s="13" t="s">
        <v>468</v>
      </c>
      <c r="K2942" s="7" t="s">
        <v>4589</v>
      </c>
    </row>
    <row r="2943" spans="1:11" ht="57.75">
      <c r="A2943" s="204">
        <v>2941</v>
      </c>
      <c r="B2943" s="155">
        <v>46184</v>
      </c>
      <c r="C2943" s="267" t="s">
        <v>828</v>
      </c>
      <c r="D2943" s="204">
        <v>2026</v>
      </c>
      <c r="E2943" s="12" t="s">
        <v>1431</v>
      </c>
      <c r="F2943" s="157" t="s">
        <v>21</v>
      </c>
      <c r="G2943" s="213" t="s">
        <v>821</v>
      </c>
      <c r="H2943" s="158" t="s">
        <v>4592</v>
      </c>
      <c r="I2943" s="156" t="s">
        <v>26</v>
      </c>
      <c r="J2943" s="157" t="s">
        <v>468</v>
      </c>
      <c r="K2943" s="158" t="s">
        <v>4589</v>
      </c>
    </row>
    <row r="2944" spans="1:11" ht="57.75">
      <c r="A2944" s="204">
        <v>2942</v>
      </c>
      <c r="B2944" s="16">
        <v>46184</v>
      </c>
      <c r="C2944" s="267" t="s">
        <v>828</v>
      </c>
      <c r="D2944" s="204">
        <v>2026</v>
      </c>
      <c r="E2944" s="12" t="s">
        <v>1431</v>
      </c>
      <c r="F2944" s="13" t="s">
        <v>30</v>
      </c>
      <c r="G2944" s="213" t="s">
        <v>821</v>
      </c>
      <c r="H2944" s="7" t="s">
        <v>4593</v>
      </c>
      <c r="I2944" s="156" t="s">
        <v>26</v>
      </c>
      <c r="J2944" s="13" t="s">
        <v>2599</v>
      </c>
      <c r="K2944" s="7" t="s">
        <v>4589</v>
      </c>
    </row>
    <row r="2945" spans="1:11" ht="57.75">
      <c r="A2945" s="204">
        <v>2943</v>
      </c>
      <c r="B2945" s="159">
        <v>46185</v>
      </c>
      <c r="C2945" s="267" t="s">
        <v>828</v>
      </c>
      <c r="D2945" s="204">
        <v>2026</v>
      </c>
      <c r="E2945" s="12" t="s">
        <v>1431</v>
      </c>
      <c r="F2945" s="157" t="s">
        <v>216</v>
      </c>
      <c r="G2945" s="213" t="s">
        <v>821</v>
      </c>
      <c r="H2945" s="158" t="s">
        <v>4594</v>
      </c>
      <c r="I2945" s="156" t="s">
        <v>26</v>
      </c>
      <c r="J2945" s="157" t="s">
        <v>492</v>
      </c>
      <c r="K2945" s="158" t="s">
        <v>4595</v>
      </c>
    </row>
    <row r="2946" spans="1:11" ht="72.75">
      <c r="A2946" s="204">
        <v>2944</v>
      </c>
      <c r="B2946" s="14">
        <v>46185</v>
      </c>
      <c r="C2946" s="267" t="s">
        <v>828</v>
      </c>
      <c r="D2946" s="204">
        <v>2026</v>
      </c>
      <c r="E2946" s="12" t="s">
        <v>1431</v>
      </c>
      <c r="F2946" s="13" t="s">
        <v>1506</v>
      </c>
      <c r="G2946" s="160" t="s">
        <v>88</v>
      </c>
      <c r="H2946" s="7" t="s">
        <v>4596</v>
      </c>
      <c r="I2946" s="156" t="s">
        <v>26</v>
      </c>
      <c r="J2946" s="13" t="s">
        <v>208</v>
      </c>
      <c r="K2946" s="7" t="s">
        <v>4597</v>
      </c>
    </row>
    <row r="2947" spans="1:11" ht="183.75">
      <c r="A2947" s="204">
        <v>2945</v>
      </c>
      <c r="B2947" s="163">
        <v>46188</v>
      </c>
      <c r="C2947" s="267" t="s">
        <v>828</v>
      </c>
      <c r="D2947" s="204">
        <v>2026</v>
      </c>
      <c r="E2947" s="12" t="s">
        <v>1431</v>
      </c>
      <c r="F2947" s="156" t="s">
        <v>1506</v>
      </c>
      <c r="G2947" s="156" t="s">
        <v>88</v>
      </c>
      <c r="H2947" s="113" t="s">
        <v>4598</v>
      </c>
      <c r="I2947" s="156" t="s">
        <v>26</v>
      </c>
      <c r="J2947" s="156" t="s">
        <v>208</v>
      </c>
      <c r="K2947" s="113" t="s">
        <v>4599</v>
      </c>
    </row>
    <row r="2948" spans="1:11" ht="66.75">
      <c r="A2948" s="204">
        <v>2946</v>
      </c>
      <c r="B2948" s="16">
        <v>46184</v>
      </c>
      <c r="C2948" s="267" t="s">
        <v>828</v>
      </c>
      <c r="D2948" s="204">
        <v>2026</v>
      </c>
      <c r="E2948" s="12" t="s">
        <v>1431</v>
      </c>
      <c r="F2948" s="160" t="s">
        <v>30</v>
      </c>
      <c r="G2948" s="160" t="s">
        <v>88</v>
      </c>
      <c r="H2948" s="153" t="s">
        <v>4593</v>
      </c>
      <c r="I2948" s="156" t="s">
        <v>26</v>
      </c>
      <c r="J2948" s="160" t="s">
        <v>2599</v>
      </c>
      <c r="K2948" s="153" t="s">
        <v>4589</v>
      </c>
    </row>
    <row r="2949" spans="1:11" ht="84">
      <c r="A2949" s="204">
        <v>2947</v>
      </c>
      <c r="B2949" s="163">
        <v>46185</v>
      </c>
      <c r="C2949" s="267" t="s">
        <v>828</v>
      </c>
      <c r="D2949" s="204">
        <v>2026</v>
      </c>
      <c r="E2949" s="12" t="s">
        <v>1431</v>
      </c>
      <c r="F2949" s="156" t="s">
        <v>216</v>
      </c>
      <c r="G2949" s="156" t="s">
        <v>88</v>
      </c>
      <c r="H2949" s="113" t="s">
        <v>4594</v>
      </c>
      <c r="I2949" s="156" t="s">
        <v>26</v>
      </c>
      <c r="J2949" s="156" t="s">
        <v>492</v>
      </c>
      <c r="K2949" s="113" t="s">
        <v>4595</v>
      </c>
    </row>
    <row r="2950" spans="1:11" ht="50.25">
      <c r="A2950" s="204">
        <v>2948</v>
      </c>
      <c r="B2950" s="164">
        <v>46185</v>
      </c>
      <c r="C2950" s="267" t="s">
        <v>828</v>
      </c>
      <c r="D2950" s="204">
        <v>2026</v>
      </c>
      <c r="E2950" s="12" t="s">
        <v>1431</v>
      </c>
      <c r="F2950" s="160" t="s">
        <v>1506</v>
      </c>
      <c r="G2950" s="160" t="s">
        <v>88</v>
      </c>
      <c r="H2950" s="153" t="s">
        <v>4596</v>
      </c>
      <c r="I2950" s="156" t="s">
        <v>26</v>
      </c>
      <c r="J2950" s="160" t="s">
        <v>208</v>
      </c>
      <c r="K2950" s="153" t="s">
        <v>4600</v>
      </c>
    </row>
    <row r="2951" spans="1:11" ht="33.75">
      <c r="A2951" s="204">
        <v>2949</v>
      </c>
      <c r="B2951" s="163">
        <v>46195</v>
      </c>
      <c r="C2951" s="267" t="s">
        <v>828</v>
      </c>
      <c r="D2951" s="204">
        <v>2026</v>
      </c>
      <c r="E2951" s="12" t="s">
        <v>1431</v>
      </c>
      <c r="F2951" s="156" t="s">
        <v>1506</v>
      </c>
      <c r="G2951" s="213" t="s">
        <v>821</v>
      </c>
      <c r="H2951" s="113" t="s">
        <v>4601</v>
      </c>
      <c r="I2951" s="156" t="s">
        <v>26</v>
      </c>
      <c r="J2951" s="156" t="s">
        <v>208</v>
      </c>
      <c r="K2951" s="113" t="s">
        <v>4600</v>
      </c>
    </row>
    <row r="2952" spans="1:11" ht="84">
      <c r="A2952" s="204">
        <v>2950</v>
      </c>
      <c r="B2952" s="164">
        <v>46188</v>
      </c>
      <c r="C2952" s="267" t="s">
        <v>828</v>
      </c>
      <c r="D2952" s="204">
        <v>2026</v>
      </c>
      <c r="E2952" s="12" t="s">
        <v>1431</v>
      </c>
      <c r="F2952" s="160" t="s">
        <v>216</v>
      </c>
      <c r="G2952" s="213" t="s">
        <v>821</v>
      </c>
      <c r="H2952" s="153" t="s">
        <v>4602</v>
      </c>
      <c r="I2952" s="156" t="s">
        <v>26</v>
      </c>
      <c r="J2952" s="160" t="s">
        <v>492</v>
      </c>
      <c r="K2952" s="153" t="s">
        <v>4603</v>
      </c>
    </row>
    <row r="2953" spans="1:11" ht="84">
      <c r="A2953" s="204">
        <v>2951</v>
      </c>
      <c r="B2953" s="163">
        <v>46188</v>
      </c>
      <c r="C2953" s="267" t="s">
        <v>828</v>
      </c>
      <c r="D2953" s="204">
        <v>2026</v>
      </c>
      <c r="E2953" s="12" t="s">
        <v>1431</v>
      </c>
      <c r="F2953" s="156" t="s">
        <v>21</v>
      </c>
      <c r="G2953" s="213" t="s">
        <v>821</v>
      </c>
      <c r="H2953" s="113" t="s">
        <v>4604</v>
      </c>
      <c r="I2953" s="156" t="s">
        <v>26</v>
      </c>
      <c r="J2953" s="156" t="s">
        <v>468</v>
      </c>
      <c r="K2953" s="113" t="s">
        <v>4605</v>
      </c>
    </row>
    <row r="2954" spans="1:11" ht="100.5">
      <c r="A2954" s="204">
        <v>2952</v>
      </c>
      <c r="B2954" s="164">
        <v>46188</v>
      </c>
      <c r="C2954" s="267" t="s">
        <v>828</v>
      </c>
      <c r="D2954" s="204">
        <v>2026</v>
      </c>
      <c r="E2954" s="12" t="s">
        <v>1431</v>
      </c>
      <c r="F2954" s="160" t="s">
        <v>21</v>
      </c>
      <c r="G2954" s="213" t="s">
        <v>821</v>
      </c>
      <c r="H2954" s="220" t="s">
        <v>4606</v>
      </c>
      <c r="I2954" s="156" t="s">
        <v>26</v>
      </c>
      <c r="J2954" s="160" t="s">
        <v>468</v>
      </c>
      <c r="K2954" s="153" t="s">
        <v>4607</v>
      </c>
    </row>
    <row r="2955" spans="1:11" ht="24">
      <c r="A2955" s="204">
        <v>2953</v>
      </c>
      <c r="B2955" s="163">
        <v>46188</v>
      </c>
      <c r="C2955" s="267" t="s">
        <v>828</v>
      </c>
      <c r="D2955" s="204">
        <v>2026</v>
      </c>
      <c r="E2955" s="12" t="s">
        <v>1431</v>
      </c>
      <c r="F2955" s="156" t="s">
        <v>21</v>
      </c>
      <c r="G2955" s="213" t="s">
        <v>821</v>
      </c>
      <c r="H2955" s="221" t="s">
        <v>4608</v>
      </c>
      <c r="I2955" s="156" t="s">
        <v>26</v>
      </c>
      <c r="J2955" s="156" t="s">
        <v>468</v>
      </c>
      <c r="K2955" s="113" t="s">
        <v>537</v>
      </c>
    </row>
    <row r="2956" spans="1:11" ht="50.25">
      <c r="A2956" s="204">
        <v>2954</v>
      </c>
      <c r="B2956" s="164">
        <v>46189</v>
      </c>
      <c r="C2956" s="267" t="s">
        <v>828</v>
      </c>
      <c r="D2956" s="204">
        <v>2026</v>
      </c>
      <c r="E2956" s="12" t="s">
        <v>1431</v>
      </c>
      <c r="F2956" s="160" t="s">
        <v>97</v>
      </c>
      <c r="G2956" s="213" t="s">
        <v>821</v>
      </c>
      <c r="H2956" s="153" t="s">
        <v>4609</v>
      </c>
      <c r="I2956" s="156" t="s">
        <v>26</v>
      </c>
      <c r="J2956" s="160" t="s">
        <v>158</v>
      </c>
      <c r="K2956" s="153" t="s">
        <v>4610</v>
      </c>
    </row>
    <row r="2957" spans="1:11" ht="66.75">
      <c r="A2957" s="204">
        <v>2955</v>
      </c>
      <c r="B2957" s="163">
        <v>46189</v>
      </c>
      <c r="C2957" s="267" t="s">
        <v>828</v>
      </c>
      <c r="D2957" s="204">
        <v>2026</v>
      </c>
      <c r="E2957" s="12" t="s">
        <v>1431</v>
      </c>
      <c r="F2957" s="156" t="s">
        <v>216</v>
      </c>
      <c r="G2957" s="213" t="s">
        <v>821</v>
      </c>
      <c r="H2957" s="113" t="s">
        <v>4611</v>
      </c>
      <c r="I2957" s="156" t="s">
        <v>26</v>
      </c>
      <c r="J2957" s="156" t="s">
        <v>492</v>
      </c>
      <c r="K2957" s="113" t="s">
        <v>4612</v>
      </c>
    </row>
    <row r="2958" spans="1:11" ht="66.75">
      <c r="A2958" s="204">
        <v>2956</v>
      </c>
      <c r="B2958" s="164">
        <v>46189</v>
      </c>
      <c r="C2958" s="267" t="s">
        <v>828</v>
      </c>
      <c r="D2958" s="204">
        <v>2026</v>
      </c>
      <c r="E2958" s="12" t="s">
        <v>1431</v>
      </c>
      <c r="F2958" s="160" t="s">
        <v>1518</v>
      </c>
      <c r="G2958" s="212" t="s">
        <v>1439</v>
      </c>
      <c r="H2958" s="153" t="s">
        <v>4613</v>
      </c>
      <c r="I2958" s="156" t="s">
        <v>26</v>
      </c>
      <c r="J2958" s="160" t="s">
        <v>118</v>
      </c>
      <c r="K2958" s="153" t="s">
        <v>4614</v>
      </c>
    </row>
    <row r="2959" spans="1:11" ht="84">
      <c r="A2959" s="204">
        <v>2957</v>
      </c>
      <c r="B2959" s="163">
        <v>46189</v>
      </c>
      <c r="C2959" s="267" t="s">
        <v>828</v>
      </c>
      <c r="D2959" s="204">
        <v>2026</v>
      </c>
      <c r="E2959" s="12" t="s">
        <v>1431</v>
      </c>
      <c r="F2959" s="156" t="s">
        <v>216</v>
      </c>
      <c r="G2959" s="213" t="s">
        <v>821</v>
      </c>
      <c r="H2959" s="113" t="s">
        <v>4615</v>
      </c>
      <c r="I2959" s="156" t="s">
        <v>26</v>
      </c>
      <c r="J2959" s="156" t="s">
        <v>492</v>
      </c>
      <c r="K2959" s="113" t="s">
        <v>4616</v>
      </c>
    </row>
    <row r="2960" spans="1:11" ht="117">
      <c r="A2960" s="204">
        <v>2958</v>
      </c>
      <c r="B2960" s="164">
        <v>46189</v>
      </c>
      <c r="C2960" s="267" t="s">
        <v>828</v>
      </c>
      <c r="D2960" s="204">
        <v>2026</v>
      </c>
      <c r="E2960" s="12" t="s">
        <v>2224</v>
      </c>
      <c r="F2960" s="160" t="s">
        <v>1432</v>
      </c>
      <c r="G2960" s="213" t="s">
        <v>821</v>
      </c>
      <c r="H2960" s="153" t="s">
        <v>4617</v>
      </c>
      <c r="I2960" s="156" t="s">
        <v>26</v>
      </c>
      <c r="J2960" s="160" t="s">
        <v>4618</v>
      </c>
      <c r="K2960" s="153" t="s">
        <v>4619</v>
      </c>
    </row>
    <row r="2961" spans="1:11" ht="250.5">
      <c r="A2961" s="204">
        <v>2959</v>
      </c>
      <c r="B2961" s="165">
        <v>46190</v>
      </c>
      <c r="C2961" s="267" t="s">
        <v>828</v>
      </c>
      <c r="D2961" s="204">
        <v>2026</v>
      </c>
      <c r="E2961" s="12" t="s">
        <v>1431</v>
      </c>
      <c r="F2961" s="156" t="s">
        <v>4620</v>
      </c>
      <c r="G2961" s="213" t="s">
        <v>821</v>
      </c>
      <c r="H2961" s="113" t="s">
        <v>4621</v>
      </c>
      <c r="I2961" s="156" t="s">
        <v>26</v>
      </c>
      <c r="J2961" s="156" t="s">
        <v>4622</v>
      </c>
      <c r="K2961" s="113" t="s">
        <v>4623</v>
      </c>
    </row>
    <row r="2962" spans="1:11" ht="50.25">
      <c r="A2962" s="204">
        <v>2960</v>
      </c>
      <c r="B2962" s="64">
        <v>46190</v>
      </c>
      <c r="C2962" s="267" t="s">
        <v>828</v>
      </c>
      <c r="D2962" s="204">
        <v>2026</v>
      </c>
      <c r="E2962" s="12" t="s">
        <v>1431</v>
      </c>
      <c r="F2962" s="160" t="s">
        <v>21</v>
      </c>
      <c r="G2962" s="213" t="s">
        <v>821</v>
      </c>
      <c r="H2962" s="153" t="s">
        <v>4624</v>
      </c>
      <c r="I2962" s="156" t="s">
        <v>26</v>
      </c>
      <c r="J2962" s="160" t="s">
        <v>468</v>
      </c>
      <c r="K2962" s="153" t="s">
        <v>4625</v>
      </c>
    </row>
    <row r="2963" spans="1:11" ht="84">
      <c r="A2963" s="204">
        <v>2961</v>
      </c>
      <c r="B2963" s="165">
        <v>46191</v>
      </c>
      <c r="C2963" s="267" t="s">
        <v>828</v>
      </c>
      <c r="D2963" s="204">
        <v>2026</v>
      </c>
      <c r="E2963" s="12" t="s">
        <v>1431</v>
      </c>
      <c r="F2963" s="156" t="s">
        <v>1506</v>
      </c>
      <c r="G2963" s="156" t="s">
        <v>88</v>
      </c>
      <c r="H2963" s="113" t="s">
        <v>4626</v>
      </c>
      <c r="I2963" s="156" t="s">
        <v>26</v>
      </c>
      <c r="J2963" s="156" t="s">
        <v>208</v>
      </c>
      <c r="K2963" s="113" t="s">
        <v>4627</v>
      </c>
    </row>
    <row r="2964" spans="1:11" ht="200.25">
      <c r="A2964" s="204">
        <v>2962</v>
      </c>
      <c r="B2964" s="64">
        <v>46192</v>
      </c>
      <c r="C2964" s="267" t="s">
        <v>828</v>
      </c>
      <c r="D2964" s="204">
        <v>2026</v>
      </c>
      <c r="E2964" s="12" t="s">
        <v>1431</v>
      </c>
      <c r="F2964" s="160" t="s">
        <v>216</v>
      </c>
      <c r="G2964" s="213" t="s">
        <v>821</v>
      </c>
      <c r="H2964" s="153" t="s">
        <v>4628</v>
      </c>
      <c r="I2964" s="156" t="s">
        <v>26</v>
      </c>
      <c r="J2964" s="160" t="s">
        <v>492</v>
      </c>
      <c r="K2964" s="153" t="s">
        <v>4629</v>
      </c>
    </row>
    <row r="2965" spans="1:11" ht="66.75">
      <c r="A2965" s="204">
        <v>2963</v>
      </c>
      <c r="B2965" s="165">
        <v>46192</v>
      </c>
      <c r="C2965" s="267" t="s">
        <v>828</v>
      </c>
      <c r="D2965" s="204">
        <v>2026</v>
      </c>
      <c r="E2965" s="12" t="s">
        <v>1431</v>
      </c>
      <c r="F2965" s="156" t="s">
        <v>216</v>
      </c>
      <c r="G2965" s="213" t="s">
        <v>821</v>
      </c>
      <c r="H2965" s="113" t="s">
        <v>4630</v>
      </c>
      <c r="I2965" s="156" t="s">
        <v>26</v>
      </c>
      <c r="J2965" s="156" t="s">
        <v>492</v>
      </c>
      <c r="K2965" s="113" t="s">
        <v>4631</v>
      </c>
    </row>
    <row r="2966" spans="1:11" ht="33.75">
      <c r="A2966" s="204">
        <v>2964</v>
      </c>
      <c r="B2966" s="164">
        <v>46195</v>
      </c>
      <c r="C2966" s="267" t="s">
        <v>828</v>
      </c>
      <c r="D2966" s="204">
        <v>2026</v>
      </c>
      <c r="E2966" s="12" t="s">
        <v>1431</v>
      </c>
      <c r="F2966" s="160" t="s">
        <v>216</v>
      </c>
      <c r="G2966" s="213" t="s">
        <v>821</v>
      </c>
      <c r="H2966" s="153" t="s">
        <v>4632</v>
      </c>
      <c r="I2966" s="156" t="s">
        <v>26</v>
      </c>
      <c r="J2966" s="160" t="s">
        <v>492</v>
      </c>
      <c r="K2966" s="153" t="s">
        <v>4633</v>
      </c>
    </row>
    <row r="2967" spans="1:11" ht="66.75">
      <c r="A2967" s="204">
        <v>2965</v>
      </c>
      <c r="B2967" s="163">
        <v>46195</v>
      </c>
      <c r="C2967" s="267" t="s">
        <v>828</v>
      </c>
      <c r="D2967" s="204">
        <v>2026</v>
      </c>
      <c r="E2967" s="12" t="s">
        <v>1431</v>
      </c>
      <c r="F2967" s="156" t="s">
        <v>21</v>
      </c>
      <c r="G2967" s="213" t="s">
        <v>821</v>
      </c>
      <c r="H2967" s="113" t="s">
        <v>4634</v>
      </c>
      <c r="I2967" s="156" t="s">
        <v>26</v>
      </c>
      <c r="J2967" s="156" t="s">
        <v>149</v>
      </c>
      <c r="K2967" s="113" t="s">
        <v>4635</v>
      </c>
    </row>
    <row r="2968" spans="1:11" ht="66.75">
      <c r="A2968" s="204">
        <v>2966</v>
      </c>
      <c r="B2968" s="164">
        <v>46195</v>
      </c>
      <c r="C2968" s="267" t="s">
        <v>828</v>
      </c>
      <c r="D2968" s="204">
        <v>2026</v>
      </c>
      <c r="E2968" s="12" t="s">
        <v>1431</v>
      </c>
      <c r="F2968" s="160" t="s">
        <v>47</v>
      </c>
      <c r="G2968" s="213" t="s">
        <v>821</v>
      </c>
      <c r="H2968" s="153" t="s">
        <v>4601</v>
      </c>
      <c r="I2968" s="156" t="s">
        <v>26</v>
      </c>
      <c r="J2968" s="160" t="s">
        <v>4636</v>
      </c>
      <c r="K2968" s="153" t="s">
        <v>4637</v>
      </c>
    </row>
    <row r="2969" spans="1:11" ht="216.75">
      <c r="A2969" s="204">
        <v>2967</v>
      </c>
      <c r="B2969" s="163">
        <v>46196</v>
      </c>
      <c r="C2969" s="267" t="s">
        <v>828</v>
      </c>
      <c r="D2969" s="204">
        <v>2026</v>
      </c>
      <c r="E2969" s="12" t="s">
        <v>1431</v>
      </c>
      <c r="F2969" s="156" t="s">
        <v>1432</v>
      </c>
      <c r="G2969" s="213" t="s">
        <v>821</v>
      </c>
      <c r="H2969" s="113" t="s">
        <v>4638</v>
      </c>
      <c r="I2969" s="156" t="s">
        <v>26</v>
      </c>
      <c r="J2969" s="156" t="s">
        <v>4618</v>
      </c>
      <c r="K2969" s="113" t="s">
        <v>4639</v>
      </c>
    </row>
    <row r="2970" spans="1:11" ht="168">
      <c r="A2970" s="204">
        <v>2968</v>
      </c>
      <c r="B2970" s="164">
        <v>46196</v>
      </c>
      <c r="C2970" s="267" t="s">
        <v>828</v>
      </c>
      <c r="D2970" s="204">
        <v>2026</v>
      </c>
      <c r="E2970" s="12" t="s">
        <v>1431</v>
      </c>
      <c r="F2970" s="160" t="s">
        <v>1506</v>
      </c>
      <c r="G2970" s="160" t="s">
        <v>88</v>
      </c>
      <c r="H2970" s="153" t="s">
        <v>4640</v>
      </c>
      <c r="I2970" s="156" t="s">
        <v>26</v>
      </c>
      <c r="J2970" s="160" t="s">
        <v>208</v>
      </c>
      <c r="K2970" s="153" t="s">
        <v>4641</v>
      </c>
    </row>
    <row r="2971" spans="1:11" ht="150.75">
      <c r="A2971" s="204">
        <v>2969</v>
      </c>
      <c r="B2971" s="163">
        <v>46198</v>
      </c>
      <c r="C2971" s="267" t="s">
        <v>828</v>
      </c>
      <c r="D2971" s="204">
        <v>2026</v>
      </c>
      <c r="E2971" s="12" t="s">
        <v>1431</v>
      </c>
      <c r="F2971" s="156" t="s">
        <v>1432</v>
      </c>
      <c r="G2971" s="156" t="s">
        <v>88</v>
      </c>
      <c r="H2971" s="113" t="s">
        <v>4642</v>
      </c>
      <c r="I2971" s="156" t="s">
        <v>26</v>
      </c>
      <c r="J2971" s="156" t="s">
        <v>158</v>
      </c>
      <c r="K2971" s="113" t="s">
        <v>4643</v>
      </c>
    </row>
    <row r="2972" spans="1:11" ht="183.75">
      <c r="A2972" s="204">
        <v>2970</v>
      </c>
      <c r="B2972" s="164">
        <v>46198</v>
      </c>
      <c r="C2972" s="267" t="s">
        <v>828</v>
      </c>
      <c r="D2972" s="204">
        <v>2026</v>
      </c>
      <c r="E2972" s="12" t="s">
        <v>1431</v>
      </c>
      <c r="F2972" s="160" t="s">
        <v>52</v>
      </c>
      <c r="G2972" s="212" t="s">
        <v>1439</v>
      </c>
      <c r="H2972" s="153" t="s">
        <v>4644</v>
      </c>
      <c r="I2972" s="156" t="s">
        <v>26</v>
      </c>
      <c r="J2972" s="160" t="s">
        <v>2501</v>
      </c>
      <c r="K2972" s="153" t="s">
        <v>4645</v>
      </c>
    </row>
    <row r="2973" spans="1:11" ht="117">
      <c r="A2973" s="204">
        <v>2971</v>
      </c>
      <c r="B2973" s="163">
        <v>46202</v>
      </c>
      <c r="C2973" s="267" t="s">
        <v>828</v>
      </c>
      <c r="D2973" s="204">
        <v>2026</v>
      </c>
      <c r="E2973" s="12" t="s">
        <v>1431</v>
      </c>
      <c r="F2973" s="156" t="s">
        <v>2535</v>
      </c>
      <c r="G2973" s="156" t="s">
        <v>88</v>
      </c>
      <c r="H2973" s="113" t="s">
        <v>4646</v>
      </c>
      <c r="I2973" s="156" t="s">
        <v>26</v>
      </c>
      <c r="J2973" s="156" t="s">
        <v>3247</v>
      </c>
      <c r="K2973" s="113" t="s">
        <v>4647</v>
      </c>
    </row>
    <row r="2974" spans="1:11" ht="117">
      <c r="A2974" s="204">
        <v>2972</v>
      </c>
      <c r="B2974" s="164">
        <v>46202</v>
      </c>
      <c r="C2974" s="267" t="s">
        <v>828</v>
      </c>
      <c r="D2974" s="204">
        <v>2026</v>
      </c>
      <c r="E2974" s="12" t="s">
        <v>1431</v>
      </c>
      <c r="F2974" s="160" t="s">
        <v>21</v>
      </c>
      <c r="G2974" s="213" t="s">
        <v>821</v>
      </c>
      <c r="H2974" s="153" t="s">
        <v>4648</v>
      </c>
      <c r="I2974" s="156" t="s">
        <v>26</v>
      </c>
      <c r="J2974" s="160" t="s">
        <v>468</v>
      </c>
      <c r="K2974" s="153" t="s">
        <v>4649</v>
      </c>
    </row>
    <row r="2975" spans="1:11" ht="134.25">
      <c r="A2975" s="204">
        <v>2973</v>
      </c>
      <c r="B2975" s="163">
        <v>46204</v>
      </c>
      <c r="C2975" s="265" t="s">
        <v>829</v>
      </c>
      <c r="D2975" s="204">
        <v>2026</v>
      </c>
      <c r="E2975" s="12" t="s">
        <v>1431</v>
      </c>
      <c r="F2975" s="156" t="s">
        <v>216</v>
      </c>
      <c r="G2975" s="213" t="s">
        <v>821</v>
      </c>
      <c r="H2975" s="113" t="s">
        <v>4650</v>
      </c>
      <c r="I2975" s="156" t="s">
        <v>26</v>
      </c>
      <c r="J2975" s="156" t="s">
        <v>492</v>
      </c>
      <c r="K2975" s="113" t="s">
        <v>4650</v>
      </c>
    </row>
    <row r="2976" spans="1:11" ht="84">
      <c r="A2976" s="204">
        <v>2974</v>
      </c>
      <c r="B2976" s="164">
        <v>46205</v>
      </c>
      <c r="C2976" s="265" t="s">
        <v>829</v>
      </c>
      <c r="D2976" s="204">
        <v>2026</v>
      </c>
      <c r="E2976" s="12" t="s">
        <v>1431</v>
      </c>
      <c r="F2976" s="160" t="s">
        <v>21</v>
      </c>
      <c r="G2976" s="213" t="s">
        <v>821</v>
      </c>
      <c r="H2976" s="153" t="s">
        <v>4651</v>
      </c>
      <c r="I2976" s="156" t="s">
        <v>26</v>
      </c>
      <c r="J2976" s="160" t="s">
        <v>468</v>
      </c>
      <c r="K2976" s="153" t="s">
        <v>4651</v>
      </c>
    </row>
    <row r="2977" spans="1:11" ht="117">
      <c r="A2977" s="204">
        <v>2975</v>
      </c>
      <c r="B2977" s="163">
        <v>46205</v>
      </c>
      <c r="C2977" s="265" t="s">
        <v>829</v>
      </c>
      <c r="D2977" s="204">
        <v>2026</v>
      </c>
      <c r="E2977" s="12" t="s">
        <v>1431</v>
      </c>
      <c r="F2977" s="156" t="s">
        <v>4652</v>
      </c>
      <c r="G2977" s="213" t="s">
        <v>821</v>
      </c>
      <c r="H2977" s="113" t="s">
        <v>4653</v>
      </c>
      <c r="I2977" s="156" t="s">
        <v>26</v>
      </c>
      <c r="J2977" s="156" t="s">
        <v>492</v>
      </c>
      <c r="K2977" s="113" t="s">
        <v>4653</v>
      </c>
    </row>
    <row r="2978" spans="1:11" ht="66.75">
      <c r="A2978" s="204">
        <v>2976</v>
      </c>
      <c r="B2978" s="164">
        <v>46205</v>
      </c>
      <c r="C2978" s="265" t="s">
        <v>829</v>
      </c>
      <c r="D2978" s="204">
        <v>2026</v>
      </c>
      <c r="E2978" s="12" t="s">
        <v>1431</v>
      </c>
      <c r="F2978" s="160" t="s">
        <v>4652</v>
      </c>
      <c r="G2978" s="213" t="s">
        <v>821</v>
      </c>
      <c r="H2978" s="153" t="s">
        <v>4654</v>
      </c>
      <c r="I2978" s="156" t="s">
        <v>26</v>
      </c>
      <c r="J2978" s="160" t="s">
        <v>492</v>
      </c>
      <c r="K2978" s="153" t="s">
        <v>4654</v>
      </c>
    </row>
    <row r="2979" spans="1:11" ht="66.75">
      <c r="A2979" s="204">
        <v>2977</v>
      </c>
      <c r="B2979" s="163">
        <v>46205</v>
      </c>
      <c r="C2979" s="265" t="s">
        <v>829</v>
      </c>
      <c r="D2979" s="204">
        <v>2026</v>
      </c>
      <c r="E2979" s="12" t="s">
        <v>1431</v>
      </c>
      <c r="F2979" s="156" t="s">
        <v>21</v>
      </c>
      <c r="G2979" s="213" t="s">
        <v>821</v>
      </c>
      <c r="H2979" s="113" t="s">
        <v>4655</v>
      </c>
      <c r="I2979" s="156" t="s">
        <v>26</v>
      </c>
      <c r="J2979" s="156" t="s">
        <v>468</v>
      </c>
      <c r="K2979" s="113" t="s">
        <v>4655</v>
      </c>
    </row>
    <row r="2980" spans="1:11" ht="134.25">
      <c r="A2980" s="204">
        <v>2978</v>
      </c>
      <c r="B2980" s="164">
        <v>46206</v>
      </c>
      <c r="C2980" s="265" t="s">
        <v>829</v>
      </c>
      <c r="D2980" s="204">
        <v>2026</v>
      </c>
      <c r="E2980" s="12" t="s">
        <v>1431</v>
      </c>
      <c r="F2980" s="160" t="s">
        <v>21</v>
      </c>
      <c r="G2980" s="213" t="s">
        <v>821</v>
      </c>
      <c r="H2980" s="153" t="s">
        <v>4656</v>
      </c>
      <c r="I2980" s="156" t="s">
        <v>26</v>
      </c>
      <c r="J2980" s="160" t="s">
        <v>4622</v>
      </c>
      <c r="K2980" s="153" t="s">
        <v>4656</v>
      </c>
    </row>
    <row r="2981" spans="1:11" ht="84">
      <c r="A2981" s="204">
        <v>2979</v>
      </c>
      <c r="B2981" s="163">
        <v>46206</v>
      </c>
      <c r="C2981" s="265" t="s">
        <v>829</v>
      </c>
      <c r="D2981" s="204">
        <v>2026</v>
      </c>
      <c r="E2981" s="12" t="s">
        <v>1431</v>
      </c>
      <c r="F2981" s="156" t="s">
        <v>21</v>
      </c>
      <c r="G2981" s="213" t="s">
        <v>821</v>
      </c>
      <c r="H2981" s="113" t="s">
        <v>4657</v>
      </c>
      <c r="I2981" s="156" t="s">
        <v>26</v>
      </c>
      <c r="J2981" s="156" t="s">
        <v>468</v>
      </c>
      <c r="K2981" s="113" t="s">
        <v>4657</v>
      </c>
    </row>
    <row r="2982" spans="1:11" ht="100.5">
      <c r="A2982" s="204">
        <v>2980</v>
      </c>
      <c r="B2982" s="164">
        <v>46206</v>
      </c>
      <c r="C2982" s="265" t="s">
        <v>829</v>
      </c>
      <c r="D2982" s="204">
        <v>2026</v>
      </c>
      <c r="E2982" s="12" t="s">
        <v>1431</v>
      </c>
      <c r="F2982" s="160" t="s">
        <v>216</v>
      </c>
      <c r="G2982" s="213" t="s">
        <v>821</v>
      </c>
      <c r="H2982" s="153" t="s">
        <v>4658</v>
      </c>
      <c r="I2982" s="156" t="s">
        <v>26</v>
      </c>
      <c r="J2982" s="160" t="s">
        <v>492</v>
      </c>
      <c r="K2982" s="153" t="s">
        <v>4658</v>
      </c>
    </row>
    <row r="2983" spans="1:11" ht="50.25">
      <c r="A2983" s="204">
        <v>2981</v>
      </c>
      <c r="B2983" s="163">
        <v>46206</v>
      </c>
      <c r="C2983" s="265" t="s">
        <v>829</v>
      </c>
      <c r="D2983" s="204">
        <v>2026</v>
      </c>
      <c r="E2983" s="12" t="s">
        <v>1431</v>
      </c>
      <c r="F2983" s="156" t="s">
        <v>216</v>
      </c>
      <c r="G2983" s="213" t="s">
        <v>821</v>
      </c>
      <c r="H2983" s="113" t="s">
        <v>4659</v>
      </c>
      <c r="I2983" s="156" t="s">
        <v>26</v>
      </c>
      <c r="J2983" s="156" t="s">
        <v>492</v>
      </c>
      <c r="K2983" s="113" t="s">
        <v>4659</v>
      </c>
    </row>
    <row r="2984" spans="1:11" ht="84">
      <c r="A2984" s="204">
        <v>2982</v>
      </c>
      <c r="B2984" s="164">
        <v>46210</v>
      </c>
      <c r="C2984" s="265" t="s">
        <v>829</v>
      </c>
      <c r="D2984" s="204">
        <v>2026</v>
      </c>
      <c r="E2984" s="12" t="s">
        <v>1431</v>
      </c>
      <c r="F2984" s="160" t="s">
        <v>97</v>
      </c>
      <c r="G2984" s="160" t="s">
        <v>88</v>
      </c>
      <c r="H2984" s="153" t="s">
        <v>4660</v>
      </c>
      <c r="I2984" s="156" t="s">
        <v>26</v>
      </c>
      <c r="J2984" s="160" t="s">
        <v>158</v>
      </c>
      <c r="K2984" s="153" t="s">
        <v>4660</v>
      </c>
    </row>
    <row r="2985" spans="1:11" ht="33.75">
      <c r="A2985" s="204">
        <v>2983</v>
      </c>
      <c r="B2985" s="163">
        <v>46210</v>
      </c>
      <c r="C2985" s="265" t="s">
        <v>829</v>
      </c>
      <c r="D2985" s="204">
        <v>2026</v>
      </c>
      <c r="E2985" s="12" t="s">
        <v>1431</v>
      </c>
      <c r="F2985" s="156" t="s">
        <v>216</v>
      </c>
      <c r="G2985" s="213" t="s">
        <v>821</v>
      </c>
      <c r="H2985" s="113" t="s">
        <v>4661</v>
      </c>
      <c r="I2985" s="156" t="s">
        <v>26</v>
      </c>
      <c r="J2985" s="156" t="s">
        <v>492</v>
      </c>
      <c r="K2985" s="113" t="s">
        <v>4661</v>
      </c>
    </row>
    <row r="2986" spans="1:11" ht="66.75">
      <c r="A2986" s="204">
        <v>2984</v>
      </c>
      <c r="B2986" s="164">
        <v>46213</v>
      </c>
      <c r="C2986" s="265" t="s">
        <v>829</v>
      </c>
      <c r="D2986" s="204">
        <v>2026</v>
      </c>
      <c r="E2986" s="12" t="s">
        <v>1431</v>
      </c>
      <c r="F2986" s="160" t="s">
        <v>4662</v>
      </c>
      <c r="G2986" s="213" t="s">
        <v>821</v>
      </c>
      <c r="H2986" s="153" t="s">
        <v>4663</v>
      </c>
      <c r="I2986" s="156" t="s">
        <v>26</v>
      </c>
      <c r="J2986" s="160" t="s">
        <v>4664</v>
      </c>
      <c r="K2986" s="153" t="s">
        <v>4663</v>
      </c>
    </row>
    <row r="2987" spans="1:11" ht="66.75">
      <c r="A2987" s="204">
        <v>2985</v>
      </c>
      <c r="B2987" s="163">
        <v>46213</v>
      </c>
      <c r="C2987" s="265" t="s">
        <v>829</v>
      </c>
      <c r="D2987" s="204">
        <v>2026</v>
      </c>
      <c r="E2987" s="12" t="s">
        <v>1431</v>
      </c>
      <c r="F2987" s="156" t="s">
        <v>4662</v>
      </c>
      <c r="G2987" s="213" t="s">
        <v>821</v>
      </c>
      <c r="H2987" s="113" t="s">
        <v>4665</v>
      </c>
      <c r="I2987" s="156" t="s">
        <v>26</v>
      </c>
      <c r="J2987" s="156" t="s">
        <v>4664</v>
      </c>
      <c r="K2987" s="113" t="s">
        <v>4665</v>
      </c>
    </row>
    <row r="2988" spans="1:11" ht="66.75">
      <c r="A2988" s="204">
        <v>2986</v>
      </c>
      <c r="B2988" s="164">
        <v>46213</v>
      </c>
      <c r="C2988" s="265" t="s">
        <v>829</v>
      </c>
      <c r="D2988" s="204">
        <v>2026</v>
      </c>
      <c r="E2988" s="12" t="s">
        <v>1431</v>
      </c>
      <c r="F2988" s="160" t="s">
        <v>21</v>
      </c>
      <c r="G2988" s="213" t="s">
        <v>821</v>
      </c>
      <c r="H2988" s="153" t="s">
        <v>4666</v>
      </c>
      <c r="I2988" s="156" t="s">
        <v>26</v>
      </c>
      <c r="J2988" s="160" t="s">
        <v>149</v>
      </c>
      <c r="K2988" s="153" t="s">
        <v>4666</v>
      </c>
    </row>
    <row r="2989" spans="1:11" ht="117">
      <c r="A2989" s="204">
        <v>2987</v>
      </c>
      <c r="B2989" s="163">
        <v>46213</v>
      </c>
      <c r="C2989" s="265" t="s">
        <v>829</v>
      </c>
      <c r="D2989" s="204">
        <v>2026</v>
      </c>
      <c r="E2989" s="12" t="s">
        <v>1431</v>
      </c>
      <c r="F2989" s="156" t="s">
        <v>21</v>
      </c>
      <c r="G2989" s="213" t="s">
        <v>821</v>
      </c>
      <c r="H2989" s="113" t="s">
        <v>4667</v>
      </c>
      <c r="I2989" s="156" t="s">
        <v>26</v>
      </c>
      <c r="J2989" s="156" t="s">
        <v>149</v>
      </c>
      <c r="K2989" s="113" t="s">
        <v>4667</v>
      </c>
    </row>
    <row r="2990" spans="1:11" ht="50.25">
      <c r="A2990" s="204">
        <v>2988</v>
      </c>
      <c r="B2990" s="164">
        <v>46213</v>
      </c>
      <c r="C2990" s="265" t="s">
        <v>829</v>
      </c>
      <c r="D2990" s="204">
        <v>2026</v>
      </c>
      <c r="E2990" s="12" t="s">
        <v>1431</v>
      </c>
      <c r="F2990" s="160" t="s">
        <v>52</v>
      </c>
      <c r="G2990" s="213" t="s">
        <v>821</v>
      </c>
      <c r="H2990" s="153" t="s">
        <v>4668</v>
      </c>
      <c r="I2990" s="156" t="s">
        <v>26</v>
      </c>
      <c r="J2990" s="160" t="s">
        <v>4664</v>
      </c>
      <c r="K2990" s="153" t="s">
        <v>4668</v>
      </c>
    </row>
    <row r="2991" spans="1:11" ht="72">
      <c r="A2991" s="204">
        <v>2989</v>
      </c>
      <c r="B2991" s="163">
        <v>46216</v>
      </c>
      <c r="C2991" s="265" t="s">
        <v>829</v>
      </c>
      <c r="D2991" s="204">
        <v>2026</v>
      </c>
      <c r="E2991" s="12" t="s">
        <v>1431</v>
      </c>
      <c r="F2991" s="156" t="s">
        <v>21</v>
      </c>
      <c r="G2991" s="213" t="s">
        <v>821</v>
      </c>
      <c r="H2991" s="162" t="s">
        <v>4669</v>
      </c>
      <c r="I2991" s="156" t="s">
        <v>26</v>
      </c>
      <c r="J2991" s="156" t="s">
        <v>149</v>
      </c>
      <c r="K2991" s="113" t="s">
        <v>4670</v>
      </c>
    </row>
    <row r="2992" spans="1:11" ht="50.25">
      <c r="A2992" s="204">
        <v>2990</v>
      </c>
      <c r="B2992" s="164">
        <v>46216</v>
      </c>
      <c r="C2992" s="265" t="s">
        <v>829</v>
      </c>
      <c r="D2992" s="204">
        <v>2026</v>
      </c>
      <c r="E2992" s="12" t="s">
        <v>1431</v>
      </c>
      <c r="F2992" s="160" t="s">
        <v>21</v>
      </c>
      <c r="G2992" s="213" t="s">
        <v>821</v>
      </c>
      <c r="H2992" s="153" t="s">
        <v>4671</v>
      </c>
      <c r="I2992" s="156" t="s">
        <v>26</v>
      </c>
      <c r="J2992" s="160" t="s">
        <v>149</v>
      </c>
      <c r="K2992" s="153" t="s">
        <v>4670</v>
      </c>
    </row>
    <row r="2993" spans="1:11" ht="214.5">
      <c r="A2993" s="204">
        <v>2991</v>
      </c>
      <c r="B2993" s="163">
        <v>46216</v>
      </c>
      <c r="C2993" s="265" t="s">
        <v>829</v>
      </c>
      <c r="D2993" s="204">
        <v>2026</v>
      </c>
      <c r="E2993" s="12" t="s">
        <v>1431</v>
      </c>
      <c r="F2993" s="156" t="s">
        <v>216</v>
      </c>
      <c r="G2993" s="213" t="s">
        <v>821</v>
      </c>
      <c r="H2993" s="113" t="s">
        <v>4672</v>
      </c>
      <c r="I2993" s="156" t="s">
        <v>26</v>
      </c>
      <c r="J2993" s="156" t="s">
        <v>492</v>
      </c>
      <c r="K2993" s="162" t="s">
        <v>4673</v>
      </c>
    </row>
    <row r="2994" spans="1:11" ht="50.25">
      <c r="A2994" s="204">
        <v>2992</v>
      </c>
      <c r="B2994" s="164">
        <v>46216</v>
      </c>
      <c r="C2994" s="265" t="s">
        <v>829</v>
      </c>
      <c r="D2994" s="204">
        <v>2026</v>
      </c>
      <c r="E2994" s="12" t="s">
        <v>1431</v>
      </c>
      <c r="F2994" s="160" t="s">
        <v>216</v>
      </c>
      <c r="G2994" s="213" t="s">
        <v>821</v>
      </c>
      <c r="H2994" s="153" t="s">
        <v>4674</v>
      </c>
      <c r="I2994" s="156" t="s">
        <v>26</v>
      </c>
      <c r="J2994" s="160" t="s">
        <v>492</v>
      </c>
      <c r="K2994" s="153" t="s">
        <v>4670</v>
      </c>
    </row>
    <row r="2995" spans="1:11" ht="50.25">
      <c r="A2995" s="204">
        <v>2993</v>
      </c>
      <c r="B2995" s="163">
        <v>46216</v>
      </c>
      <c r="C2995" s="265" t="s">
        <v>829</v>
      </c>
      <c r="D2995" s="204">
        <v>2026</v>
      </c>
      <c r="E2995" s="12" t="s">
        <v>1431</v>
      </c>
      <c r="F2995" s="156" t="s">
        <v>21</v>
      </c>
      <c r="G2995" s="213" t="s">
        <v>821</v>
      </c>
      <c r="H2995" s="113" t="s">
        <v>4675</v>
      </c>
      <c r="I2995" s="156" t="s">
        <v>26</v>
      </c>
      <c r="J2995" s="156" t="s">
        <v>149</v>
      </c>
      <c r="K2995" s="113" t="s">
        <v>4670</v>
      </c>
    </row>
    <row r="2996" spans="1:11" ht="66.75">
      <c r="A2996" s="204">
        <v>2994</v>
      </c>
      <c r="B2996" s="164">
        <v>46216</v>
      </c>
      <c r="C2996" s="265" t="s">
        <v>829</v>
      </c>
      <c r="D2996" s="204">
        <v>2026</v>
      </c>
      <c r="E2996" s="12" t="s">
        <v>1431</v>
      </c>
      <c r="F2996" s="160" t="s">
        <v>21</v>
      </c>
      <c r="G2996" s="213" t="s">
        <v>821</v>
      </c>
      <c r="H2996" s="153" t="s">
        <v>4676</v>
      </c>
      <c r="I2996" s="156" t="s">
        <v>26</v>
      </c>
      <c r="J2996" s="160" t="s">
        <v>149</v>
      </c>
      <c r="K2996" s="153" t="s">
        <v>4670</v>
      </c>
    </row>
    <row r="2997" spans="1:11" ht="50.25">
      <c r="A2997" s="204">
        <v>2995</v>
      </c>
      <c r="B2997" s="163">
        <v>46217</v>
      </c>
      <c r="C2997" s="265" t="s">
        <v>829</v>
      </c>
      <c r="D2997" s="204">
        <v>2026</v>
      </c>
      <c r="E2997" s="12" t="s">
        <v>1431</v>
      </c>
      <c r="F2997" s="156" t="s">
        <v>21</v>
      </c>
      <c r="G2997" s="213" t="s">
        <v>821</v>
      </c>
      <c r="H2997" s="113" t="s">
        <v>4677</v>
      </c>
      <c r="I2997" s="156" t="s">
        <v>26</v>
      </c>
      <c r="J2997" s="156" t="s">
        <v>149</v>
      </c>
      <c r="K2997" s="113" t="s">
        <v>4670</v>
      </c>
    </row>
    <row r="2998" spans="1:11" ht="84">
      <c r="A2998" s="204">
        <v>2996</v>
      </c>
      <c r="B2998" s="164">
        <v>46217</v>
      </c>
      <c r="C2998" s="265" t="s">
        <v>829</v>
      </c>
      <c r="D2998" s="204">
        <v>2026</v>
      </c>
      <c r="E2998" s="12" t="s">
        <v>1431</v>
      </c>
      <c r="F2998" s="160" t="s">
        <v>21</v>
      </c>
      <c r="G2998" s="213" t="s">
        <v>821</v>
      </c>
      <c r="H2998" s="153" t="s">
        <v>4678</v>
      </c>
      <c r="I2998" s="156" t="s">
        <v>26</v>
      </c>
      <c r="J2998" s="160" t="s">
        <v>149</v>
      </c>
      <c r="K2998" s="153" t="s">
        <v>4679</v>
      </c>
    </row>
    <row r="2999" spans="1:11" ht="150.75">
      <c r="A2999" s="204">
        <v>2997</v>
      </c>
      <c r="B2999" s="163">
        <v>46217</v>
      </c>
      <c r="C2999" s="265" t="s">
        <v>829</v>
      </c>
      <c r="D2999" s="204">
        <v>2026</v>
      </c>
      <c r="E2999" s="12" t="s">
        <v>1431</v>
      </c>
      <c r="F2999" s="156" t="s">
        <v>216</v>
      </c>
      <c r="G2999" s="213" t="s">
        <v>821</v>
      </c>
      <c r="H2999" s="113" t="s">
        <v>4680</v>
      </c>
      <c r="I2999" s="156" t="s">
        <v>26</v>
      </c>
      <c r="J2999" s="156" t="s">
        <v>492</v>
      </c>
      <c r="K2999" s="113" t="s">
        <v>4681</v>
      </c>
    </row>
    <row r="3000" spans="1:11" ht="84">
      <c r="A3000" s="204">
        <v>2998</v>
      </c>
      <c r="B3000" s="164">
        <v>46218</v>
      </c>
      <c r="C3000" s="265" t="s">
        <v>829</v>
      </c>
      <c r="D3000" s="204">
        <v>2026</v>
      </c>
      <c r="E3000" s="12" t="s">
        <v>1431</v>
      </c>
      <c r="F3000" s="160" t="s">
        <v>216</v>
      </c>
      <c r="G3000" s="213" t="s">
        <v>821</v>
      </c>
      <c r="H3000" s="153" t="s">
        <v>4682</v>
      </c>
      <c r="I3000" s="156" t="s">
        <v>26</v>
      </c>
      <c r="J3000" s="160" t="s">
        <v>492</v>
      </c>
      <c r="K3000" s="153" t="s">
        <v>4683</v>
      </c>
    </row>
    <row r="3001" spans="1:11" ht="368.25">
      <c r="A3001" s="204">
        <v>2999</v>
      </c>
      <c r="B3001" s="163">
        <v>46223</v>
      </c>
      <c r="C3001" s="265" t="s">
        <v>829</v>
      </c>
      <c r="D3001" s="204">
        <v>2026</v>
      </c>
      <c r="E3001" s="12" t="s">
        <v>1431</v>
      </c>
      <c r="F3001" s="156" t="s">
        <v>216</v>
      </c>
      <c r="G3001" s="213" t="s">
        <v>821</v>
      </c>
      <c r="H3001" s="113" t="s">
        <v>4684</v>
      </c>
      <c r="I3001" s="156" t="s">
        <v>26</v>
      </c>
      <c r="J3001" s="156" t="s">
        <v>492</v>
      </c>
      <c r="K3001" s="113" t="s">
        <v>4685</v>
      </c>
    </row>
    <row r="3002" spans="1:11" ht="84">
      <c r="A3002" s="204">
        <v>3000</v>
      </c>
      <c r="B3002" s="164">
        <v>46225</v>
      </c>
      <c r="C3002" s="265" t="s">
        <v>829</v>
      </c>
      <c r="D3002" s="204">
        <v>2026</v>
      </c>
      <c r="E3002" s="12" t="s">
        <v>1431</v>
      </c>
      <c r="F3002" s="160" t="s">
        <v>216</v>
      </c>
      <c r="G3002" s="213" t="s">
        <v>821</v>
      </c>
      <c r="H3002" s="8" t="s">
        <v>4686</v>
      </c>
      <c r="I3002" s="156" t="s">
        <v>26</v>
      </c>
      <c r="J3002" s="160" t="s">
        <v>492</v>
      </c>
      <c r="K3002" s="153" t="s">
        <v>4687</v>
      </c>
    </row>
    <row r="3003" spans="1:11" ht="216.75">
      <c r="A3003" s="204">
        <v>3001</v>
      </c>
      <c r="B3003" s="163">
        <v>46225</v>
      </c>
      <c r="C3003" s="265" t="s">
        <v>829</v>
      </c>
      <c r="D3003" s="204">
        <v>2026</v>
      </c>
      <c r="E3003" s="12" t="s">
        <v>1431</v>
      </c>
      <c r="F3003" s="156" t="s">
        <v>216</v>
      </c>
      <c r="G3003" s="213" t="s">
        <v>821</v>
      </c>
      <c r="H3003" s="113" t="s">
        <v>4688</v>
      </c>
      <c r="I3003" s="156" t="s">
        <v>26</v>
      </c>
      <c r="J3003" s="156" t="s">
        <v>492</v>
      </c>
      <c r="K3003" s="113" t="s">
        <v>4689</v>
      </c>
    </row>
    <row r="3004" spans="1:11" ht="267.75">
      <c r="A3004" s="204">
        <v>3002</v>
      </c>
      <c r="B3004" s="164">
        <v>46225</v>
      </c>
      <c r="C3004" s="265" t="s">
        <v>829</v>
      </c>
      <c r="D3004" s="204">
        <v>2026</v>
      </c>
      <c r="E3004" s="12" t="s">
        <v>2224</v>
      </c>
      <c r="F3004" s="160" t="s">
        <v>21</v>
      </c>
      <c r="G3004" s="213" t="s">
        <v>821</v>
      </c>
      <c r="H3004" s="153" t="s">
        <v>4690</v>
      </c>
      <c r="I3004" s="156" t="s">
        <v>26</v>
      </c>
      <c r="J3004" s="160" t="s">
        <v>149</v>
      </c>
      <c r="K3004" s="153" t="s">
        <v>4691</v>
      </c>
    </row>
    <row r="3005" spans="1:11" ht="66.75">
      <c r="A3005" s="204">
        <v>3003</v>
      </c>
      <c r="B3005" s="163">
        <v>46226</v>
      </c>
      <c r="C3005" s="265" t="s">
        <v>829</v>
      </c>
      <c r="D3005" s="204">
        <v>2026</v>
      </c>
      <c r="E3005" s="12" t="s">
        <v>1431</v>
      </c>
      <c r="F3005" s="156" t="s">
        <v>216</v>
      </c>
      <c r="G3005" s="213" t="s">
        <v>821</v>
      </c>
      <c r="H3005" s="113" t="s">
        <v>4692</v>
      </c>
      <c r="I3005" s="156" t="s">
        <v>26</v>
      </c>
      <c r="J3005" s="156" t="s">
        <v>492</v>
      </c>
      <c r="K3005" s="113" t="s">
        <v>4693</v>
      </c>
    </row>
    <row r="3006" spans="1:11" ht="66.75">
      <c r="A3006" s="204">
        <v>3004</v>
      </c>
      <c r="B3006" s="164">
        <v>46226</v>
      </c>
      <c r="C3006" s="265" t="s">
        <v>829</v>
      </c>
      <c r="D3006" s="204">
        <v>2026</v>
      </c>
      <c r="E3006" s="12" t="s">
        <v>1431</v>
      </c>
      <c r="F3006" s="160" t="s">
        <v>21</v>
      </c>
      <c r="G3006" s="213" t="s">
        <v>821</v>
      </c>
      <c r="H3006" s="153" t="s">
        <v>4694</v>
      </c>
      <c r="I3006" s="156" t="s">
        <v>26</v>
      </c>
      <c r="J3006" s="160" t="s">
        <v>468</v>
      </c>
      <c r="K3006" s="153" t="s">
        <v>4695</v>
      </c>
    </row>
    <row r="3007" spans="1:11" ht="134.25">
      <c r="A3007" s="204">
        <v>3005</v>
      </c>
      <c r="B3007" s="163">
        <v>46226</v>
      </c>
      <c r="C3007" s="265" t="s">
        <v>829</v>
      </c>
      <c r="D3007" s="204">
        <v>2026</v>
      </c>
      <c r="E3007" s="12" t="s">
        <v>1431</v>
      </c>
      <c r="F3007" s="156" t="s">
        <v>216</v>
      </c>
      <c r="G3007" s="213" t="s">
        <v>821</v>
      </c>
      <c r="H3007" s="113" t="s">
        <v>4696</v>
      </c>
      <c r="I3007" s="156" t="s">
        <v>26</v>
      </c>
      <c r="J3007" s="156" t="s">
        <v>492</v>
      </c>
      <c r="K3007" s="113" t="s">
        <v>4697</v>
      </c>
    </row>
    <row r="3008" spans="1:11" ht="66.75">
      <c r="A3008" s="204">
        <v>3006</v>
      </c>
      <c r="B3008" s="164">
        <v>46226</v>
      </c>
      <c r="C3008" s="265" t="s">
        <v>829</v>
      </c>
      <c r="D3008" s="204">
        <v>2026</v>
      </c>
      <c r="E3008" s="12" t="s">
        <v>1431</v>
      </c>
      <c r="F3008" s="160" t="s">
        <v>21</v>
      </c>
      <c r="G3008" s="213" t="s">
        <v>821</v>
      </c>
      <c r="H3008" s="153" t="s">
        <v>4698</v>
      </c>
      <c r="I3008" s="156" t="s">
        <v>26</v>
      </c>
      <c r="J3008" s="160" t="s">
        <v>468</v>
      </c>
      <c r="K3008" s="153" t="s">
        <v>4695</v>
      </c>
    </row>
    <row r="3009" spans="1:11" ht="84">
      <c r="A3009" s="204">
        <v>3007</v>
      </c>
      <c r="B3009" s="163">
        <v>46227</v>
      </c>
      <c r="C3009" s="265" t="s">
        <v>829</v>
      </c>
      <c r="D3009" s="204">
        <v>2026</v>
      </c>
      <c r="E3009" s="12" t="s">
        <v>1431</v>
      </c>
      <c r="F3009" s="156" t="s">
        <v>21</v>
      </c>
      <c r="G3009" s="213" t="s">
        <v>821</v>
      </c>
      <c r="H3009" s="113" t="s">
        <v>4699</v>
      </c>
      <c r="I3009" s="156" t="s">
        <v>26</v>
      </c>
      <c r="J3009" s="156" t="s">
        <v>468</v>
      </c>
      <c r="K3009" s="113" t="s">
        <v>4700</v>
      </c>
    </row>
    <row r="3010" spans="1:11" ht="216.75">
      <c r="A3010" s="204">
        <v>3008</v>
      </c>
      <c r="B3010" s="164">
        <v>46227</v>
      </c>
      <c r="C3010" s="265" t="s">
        <v>829</v>
      </c>
      <c r="D3010" s="204">
        <v>2026</v>
      </c>
      <c r="E3010" s="12" t="s">
        <v>1431</v>
      </c>
      <c r="F3010" s="160" t="s">
        <v>21</v>
      </c>
      <c r="G3010" s="213" t="s">
        <v>821</v>
      </c>
      <c r="H3010" s="153" t="s">
        <v>4701</v>
      </c>
      <c r="I3010" s="156" t="s">
        <v>26</v>
      </c>
      <c r="J3010" s="160" t="s">
        <v>468</v>
      </c>
      <c r="K3010" s="153" t="s">
        <v>4702</v>
      </c>
    </row>
    <row r="3011" spans="1:11" ht="84">
      <c r="A3011" s="204">
        <v>3009</v>
      </c>
      <c r="B3011" s="163">
        <v>46230</v>
      </c>
      <c r="C3011" s="265" t="s">
        <v>829</v>
      </c>
      <c r="D3011" s="204">
        <v>2026</v>
      </c>
      <c r="E3011" s="12" t="s">
        <v>1431</v>
      </c>
      <c r="F3011" s="156" t="s">
        <v>216</v>
      </c>
      <c r="G3011" s="213" t="s">
        <v>821</v>
      </c>
      <c r="H3011" s="113" t="s">
        <v>4703</v>
      </c>
      <c r="I3011" s="156" t="s">
        <v>26</v>
      </c>
      <c r="J3011" s="156" t="s">
        <v>492</v>
      </c>
      <c r="K3011" s="113" t="s">
        <v>4704</v>
      </c>
    </row>
    <row r="3012" spans="1:11" ht="100.5">
      <c r="A3012" s="204">
        <v>3010</v>
      </c>
      <c r="B3012" s="164">
        <v>46230</v>
      </c>
      <c r="C3012" s="265" t="s">
        <v>829</v>
      </c>
      <c r="D3012" s="204">
        <v>2026</v>
      </c>
      <c r="E3012" s="12" t="s">
        <v>1431</v>
      </c>
      <c r="F3012" s="160" t="s">
        <v>216</v>
      </c>
      <c r="G3012" s="213" t="s">
        <v>821</v>
      </c>
      <c r="H3012" s="153" t="s">
        <v>4705</v>
      </c>
      <c r="I3012" s="156" t="s">
        <v>26</v>
      </c>
      <c r="J3012" s="160" t="s">
        <v>492</v>
      </c>
      <c r="K3012" s="153" t="s">
        <v>4706</v>
      </c>
    </row>
    <row r="3013" spans="1:11" ht="66.75">
      <c r="A3013" s="204">
        <v>3011</v>
      </c>
      <c r="B3013" s="163">
        <v>46230</v>
      </c>
      <c r="C3013" s="265" t="s">
        <v>829</v>
      </c>
      <c r="D3013" s="204">
        <v>2026</v>
      </c>
      <c r="E3013" s="12" t="s">
        <v>1431</v>
      </c>
      <c r="F3013" s="156" t="s">
        <v>216</v>
      </c>
      <c r="G3013" s="213" t="s">
        <v>821</v>
      </c>
      <c r="H3013" s="113" t="s">
        <v>4707</v>
      </c>
      <c r="I3013" s="156" t="s">
        <v>26</v>
      </c>
      <c r="J3013" s="156" t="s">
        <v>492</v>
      </c>
      <c r="K3013" s="113" t="s">
        <v>4708</v>
      </c>
    </row>
    <row r="3014" spans="1:11" ht="50.25">
      <c r="A3014" s="204">
        <v>3012</v>
      </c>
      <c r="B3014" s="164">
        <v>46230</v>
      </c>
      <c r="C3014" s="265" t="s">
        <v>829</v>
      </c>
      <c r="D3014" s="204">
        <v>2026</v>
      </c>
      <c r="E3014" s="12" t="s">
        <v>1431</v>
      </c>
      <c r="F3014" s="160" t="s">
        <v>1584</v>
      </c>
      <c r="G3014" s="213" t="s">
        <v>821</v>
      </c>
      <c r="H3014" s="153" t="s">
        <v>4709</v>
      </c>
      <c r="I3014" s="156" t="s">
        <v>26</v>
      </c>
      <c r="J3014" s="160" t="s">
        <v>158</v>
      </c>
      <c r="K3014" s="153" t="s">
        <v>4710</v>
      </c>
    </row>
    <row r="3015" spans="1:11" ht="100.5">
      <c r="A3015" s="204">
        <v>3013</v>
      </c>
      <c r="B3015" s="163">
        <v>46231</v>
      </c>
      <c r="C3015" s="265" t="s">
        <v>829</v>
      </c>
      <c r="D3015" s="204">
        <v>2026</v>
      </c>
      <c r="E3015" s="12" t="s">
        <v>1431</v>
      </c>
      <c r="F3015" s="156" t="s">
        <v>88</v>
      </c>
      <c r="G3015" s="213" t="s">
        <v>821</v>
      </c>
      <c r="H3015" s="113" t="s">
        <v>4711</v>
      </c>
      <c r="I3015" s="156" t="s">
        <v>26</v>
      </c>
      <c r="J3015" s="156" t="s">
        <v>921</v>
      </c>
      <c r="K3015" s="113" t="s">
        <v>4710</v>
      </c>
    </row>
    <row r="3016" spans="1:11" ht="168">
      <c r="A3016" s="204">
        <v>3014</v>
      </c>
      <c r="B3016" s="164">
        <v>46231</v>
      </c>
      <c r="C3016" s="265" t="s">
        <v>829</v>
      </c>
      <c r="D3016" s="204">
        <v>2026</v>
      </c>
      <c r="E3016" s="12" t="s">
        <v>1431</v>
      </c>
      <c r="F3016" s="160" t="s">
        <v>88</v>
      </c>
      <c r="G3016" s="160" t="s">
        <v>88</v>
      </c>
      <c r="H3016" s="153" t="s">
        <v>4712</v>
      </c>
      <c r="I3016" s="156" t="s">
        <v>26</v>
      </c>
      <c r="J3016" s="160" t="s">
        <v>4339</v>
      </c>
      <c r="K3016" s="153" t="s">
        <v>4710</v>
      </c>
    </row>
    <row r="3017" spans="1:11" ht="50.25">
      <c r="A3017" s="204">
        <v>3015</v>
      </c>
      <c r="B3017" s="163">
        <v>46231</v>
      </c>
      <c r="C3017" s="265" t="s">
        <v>829</v>
      </c>
      <c r="D3017" s="204">
        <v>2026</v>
      </c>
      <c r="E3017" s="12" t="s">
        <v>1431</v>
      </c>
      <c r="F3017" s="156" t="s">
        <v>216</v>
      </c>
      <c r="G3017" s="213" t="s">
        <v>821</v>
      </c>
      <c r="H3017" s="113" t="s">
        <v>4713</v>
      </c>
      <c r="I3017" s="156" t="s">
        <v>26</v>
      </c>
      <c r="J3017" s="156" t="s">
        <v>492</v>
      </c>
      <c r="K3017" s="113" t="s">
        <v>4714</v>
      </c>
    </row>
    <row r="3018" spans="1:11" ht="150.75">
      <c r="A3018" s="204">
        <v>3016</v>
      </c>
      <c r="B3018" s="164">
        <v>46231</v>
      </c>
      <c r="C3018" s="265" t="s">
        <v>829</v>
      </c>
      <c r="D3018" s="204">
        <v>2026</v>
      </c>
      <c r="E3018" s="12" t="s">
        <v>2252</v>
      </c>
      <c r="F3018" s="160" t="s">
        <v>216</v>
      </c>
      <c r="G3018" s="213" t="s">
        <v>821</v>
      </c>
      <c r="H3018" s="153" t="s">
        <v>4715</v>
      </c>
      <c r="I3018" s="156" t="s">
        <v>26</v>
      </c>
      <c r="J3018" s="160" t="s">
        <v>492</v>
      </c>
      <c r="K3018" s="153" t="s">
        <v>4714</v>
      </c>
    </row>
    <row r="3019" spans="1:11" ht="84">
      <c r="A3019" s="204">
        <v>3017</v>
      </c>
      <c r="B3019" s="163">
        <v>46231</v>
      </c>
      <c r="C3019" s="265" t="s">
        <v>829</v>
      </c>
      <c r="D3019" s="204">
        <v>2026</v>
      </c>
      <c r="E3019" s="12" t="s">
        <v>1431</v>
      </c>
      <c r="F3019" s="156" t="s">
        <v>21</v>
      </c>
      <c r="G3019" s="213" t="s">
        <v>821</v>
      </c>
      <c r="H3019" s="113" t="s">
        <v>4716</v>
      </c>
      <c r="I3019" s="156" t="s">
        <v>26</v>
      </c>
      <c r="J3019" s="156" t="s">
        <v>468</v>
      </c>
      <c r="K3019" s="113" t="s">
        <v>4717</v>
      </c>
    </row>
    <row r="3020" spans="1:11" ht="66.75">
      <c r="A3020" s="204">
        <v>3018</v>
      </c>
      <c r="B3020" s="164">
        <v>46232</v>
      </c>
      <c r="C3020" s="265" t="s">
        <v>829</v>
      </c>
      <c r="D3020" s="204">
        <v>2026</v>
      </c>
      <c r="E3020" s="12" t="s">
        <v>1431</v>
      </c>
      <c r="F3020" s="160" t="s">
        <v>216</v>
      </c>
      <c r="G3020" s="213" t="s">
        <v>821</v>
      </c>
      <c r="H3020" s="153" t="s">
        <v>4718</v>
      </c>
      <c r="I3020" s="156" t="s">
        <v>26</v>
      </c>
      <c r="J3020" s="160" t="s">
        <v>492</v>
      </c>
      <c r="K3020" s="153" t="s">
        <v>4719</v>
      </c>
    </row>
    <row r="3021" spans="1:11" ht="66.75">
      <c r="A3021" s="204">
        <v>3019</v>
      </c>
      <c r="B3021" s="165">
        <v>46237</v>
      </c>
      <c r="C3021" s="265" t="s">
        <v>830</v>
      </c>
      <c r="D3021" s="204">
        <v>2026</v>
      </c>
      <c r="E3021" s="12" t="s">
        <v>1431</v>
      </c>
      <c r="F3021" s="156" t="s">
        <v>1504</v>
      </c>
      <c r="G3021" s="213" t="s">
        <v>821</v>
      </c>
      <c r="H3021" s="113" t="s">
        <v>4720</v>
      </c>
      <c r="I3021" s="156" t="s">
        <v>26</v>
      </c>
      <c r="J3021" s="156" t="s">
        <v>921</v>
      </c>
      <c r="K3021" s="113" t="s">
        <v>4721</v>
      </c>
    </row>
    <row r="3022" spans="1:11" ht="66.75">
      <c r="A3022" s="204">
        <v>3020</v>
      </c>
      <c r="B3022" s="64">
        <v>46237</v>
      </c>
      <c r="C3022" s="265" t="s">
        <v>830</v>
      </c>
      <c r="D3022" s="204">
        <v>2026</v>
      </c>
      <c r="E3022" s="12" t="s">
        <v>1431</v>
      </c>
      <c r="F3022" s="160" t="s">
        <v>216</v>
      </c>
      <c r="G3022" s="213" t="s">
        <v>821</v>
      </c>
      <c r="H3022" s="153" t="s">
        <v>4722</v>
      </c>
      <c r="I3022" s="156" t="s">
        <v>26</v>
      </c>
      <c r="J3022" s="160" t="s">
        <v>492</v>
      </c>
      <c r="K3022" s="153" t="s">
        <v>4719</v>
      </c>
    </row>
    <row r="3023" spans="1:11" ht="66.75">
      <c r="A3023" s="204">
        <v>3021</v>
      </c>
      <c r="B3023" s="163">
        <v>46237</v>
      </c>
      <c r="C3023" s="265" t="s">
        <v>830</v>
      </c>
      <c r="D3023" s="204">
        <v>2026</v>
      </c>
      <c r="E3023" s="12" t="s">
        <v>1431</v>
      </c>
      <c r="F3023" s="156" t="s">
        <v>216</v>
      </c>
      <c r="G3023" s="213" t="s">
        <v>821</v>
      </c>
      <c r="H3023" s="113" t="s">
        <v>4723</v>
      </c>
      <c r="I3023" s="156" t="s">
        <v>26</v>
      </c>
      <c r="J3023" s="156" t="s">
        <v>492</v>
      </c>
      <c r="K3023" s="113" t="s">
        <v>4719</v>
      </c>
    </row>
    <row r="3024" spans="1:11" ht="50.25">
      <c r="A3024" s="204">
        <v>3022</v>
      </c>
      <c r="B3024" s="164">
        <v>46238</v>
      </c>
      <c r="C3024" s="265" t="s">
        <v>830</v>
      </c>
      <c r="D3024" s="204">
        <v>2026</v>
      </c>
      <c r="E3024" s="12" t="s">
        <v>1431</v>
      </c>
      <c r="F3024" s="160" t="s">
        <v>21</v>
      </c>
      <c r="G3024" s="213" t="s">
        <v>821</v>
      </c>
      <c r="H3024" s="153" t="s">
        <v>4724</v>
      </c>
      <c r="I3024" s="156" t="s">
        <v>26</v>
      </c>
      <c r="J3024" s="160" t="s">
        <v>468</v>
      </c>
      <c r="K3024" s="153" t="s">
        <v>4725</v>
      </c>
    </row>
    <row r="3025" spans="1:11" ht="117">
      <c r="A3025" s="204">
        <v>3023</v>
      </c>
      <c r="B3025" s="163">
        <v>46238</v>
      </c>
      <c r="C3025" s="265" t="s">
        <v>830</v>
      </c>
      <c r="D3025" s="204">
        <v>2026</v>
      </c>
      <c r="E3025" s="12" t="s">
        <v>1431</v>
      </c>
      <c r="F3025" s="156" t="s">
        <v>97</v>
      </c>
      <c r="G3025" s="213" t="s">
        <v>821</v>
      </c>
      <c r="H3025" s="113" t="s">
        <v>4726</v>
      </c>
      <c r="I3025" s="156" t="s">
        <v>26</v>
      </c>
      <c r="J3025" s="156" t="s">
        <v>158</v>
      </c>
      <c r="K3025" s="113" t="s">
        <v>4727</v>
      </c>
    </row>
    <row r="3026" spans="1:11" ht="66.75">
      <c r="A3026" s="204">
        <v>3024</v>
      </c>
      <c r="B3026" s="222">
        <v>46238</v>
      </c>
      <c r="C3026" s="265" t="s">
        <v>830</v>
      </c>
      <c r="D3026" s="204">
        <v>2026</v>
      </c>
      <c r="E3026" s="12" t="s">
        <v>1431</v>
      </c>
      <c r="F3026" s="160" t="s">
        <v>216</v>
      </c>
      <c r="G3026" s="213" t="s">
        <v>821</v>
      </c>
      <c r="H3026" s="153" t="s">
        <v>4728</v>
      </c>
      <c r="I3026" s="156" t="s">
        <v>26</v>
      </c>
      <c r="J3026" s="160" t="s">
        <v>492</v>
      </c>
      <c r="K3026" s="153" t="s">
        <v>4719</v>
      </c>
    </row>
    <row r="3027" spans="1:11" ht="134.25">
      <c r="A3027" s="204">
        <v>3025</v>
      </c>
      <c r="B3027" s="223">
        <v>46238</v>
      </c>
      <c r="C3027" s="265" t="s">
        <v>830</v>
      </c>
      <c r="D3027" s="204">
        <v>2026</v>
      </c>
      <c r="E3027" s="12" t="s">
        <v>1431</v>
      </c>
      <c r="F3027" s="156" t="s">
        <v>21</v>
      </c>
      <c r="G3027" s="213" t="s">
        <v>821</v>
      </c>
      <c r="H3027" s="113" t="s">
        <v>4729</v>
      </c>
      <c r="I3027" s="156" t="s">
        <v>26</v>
      </c>
      <c r="J3027" s="156" t="s">
        <v>468</v>
      </c>
      <c r="K3027" s="113" t="s">
        <v>4719</v>
      </c>
    </row>
    <row r="3028" spans="1:11" ht="66.75">
      <c r="A3028" s="204">
        <v>3026</v>
      </c>
      <c r="B3028" s="164">
        <v>46238</v>
      </c>
      <c r="C3028" s="265" t="s">
        <v>830</v>
      </c>
      <c r="D3028" s="204">
        <v>2026</v>
      </c>
      <c r="E3028" s="12" t="s">
        <v>1431</v>
      </c>
      <c r="F3028" s="160" t="s">
        <v>216</v>
      </c>
      <c r="G3028" s="213" t="s">
        <v>821</v>
      </c>
      <c r="H3028" s="153" t="s">
        <v>4730</v>
      </c>
      <c r="I3028" s="156" t="s">
        <v>26</v>
      </c>
      <c r="J3028" s="160" t="s">
        <v>492</v>
      </c>
      <c r="K3028" s="153" t="s">
        <v>4719</v>
      </c>
    </row>
    <row r="3029" spans="1:11" ht="50.25">
      <c r="A3029" s="204">
        <v>3027</v>
      </c>
      <c r="B3029" s="163">
        <v>46240</v>
      </c>
      <c r="C3029" s="265" t="s">
        <v>830</v>
      </c>
      <c r="D3029" s="204">
        <v>2026</v>
      </c>
      <c r="E3029" s="12" t="s">
        <v>1431</v>
      </c>
      <c r="F3029" s="156" t="s">
        <v>2535</v>
      </c>
      <c r="G3029" s="156" t="s">
        <v>88</v>
      </c>
      <c r="H3029" s="113" t="s">
        <v>4731</v>
      </c>
      <c r="I3029" s="156" t="s">
        <v>26</v>
      </c>
      <c r="J3029" s="156" t="s">
        <v>3247</v>
      </c>
      <c r="K3029" s="113" t="s">
        <v>4710</v>
      </c>
    </row>
    <row r="3030" spans="1:11" ht="84">
      <c r="A3030" s="204">
        <v>3028</v>
      </c>
      <c r="B3030" s="164">
        <v>46240</v>
      </c>
      <c r="C3030" s="265" t="s">
        <v>830</v>
      </c>
      <c r="D3030" s="204">
        <v>2026</v>
      </c>
      <c r="E3030" s="12" t="s">
        <v>1431</v>
      </c>
      <c r="F3030" s="160" t="s">
        <v>21</v>
      </c>
      <c r="G3030" s="213" t="s">
        <v>821</v>
      </c>
      <c r="H3030" s="153" t="s">
        <v>4732</v>
      </c>
      <c r="I3030" s="156" t="s">
        <v>26</v>
      </c>
      <c r="J3030" s="160" t="s">
        <v>468</v>
      </c>
      <c r="K3030" s="153" t="s">
        <v>4725</v>
      </c>
    </row>
    <row r="3031" spans="1:11" ht="33.75">
      <c r="A3031" s="204">
        <v>3029</v>
      </c>
      <c r="B3031" s="223">
        <v>46244</v>
      </c>
      <c r="C3031" s="265" t="s">
        <v>830</v>
      </c>
      <c r="D3031" s="204">
        <v>2026</v>
      </c>
      <c r="E3031" s="12" t="s">
        <v>3886</v>
      </c>
      <c r="F3031" s="156" t="s">
        <v>52</v>
      </c>
      <c r="G3031" s="212" t="s">
        <v>1439</v>
      </c>
      <c r="H3031" s="113" t="s">
        <v>4733</v>
      </c>
      <c r="I3031" s="156" t="s">
        <v>26</v>
      </c>
      <c r="J3031" s="156" t="s">
        <v>4664</v>
      </c>
      <c r="K3031" s="113" t="s">
        <v>4734</v>
      </c>
    </row>
    <row r="3032" spans="1:11" ht="33.75">
      <c r="A3032" s="204">
        <v>3030</v>
      </c>
      <c r="B3032" s="222">
        <v>46244</v>
      </c>
      <c r="C3032" s="265" t="s">
        <v>830</v>
      </c>
      <c r="D3032" s="204">
        <v>2026</v>
      </c>
      <c r="E3032" s="12" t="s">
        <v>3881</v>
      </c>
      <c r="F3032" s="160" t="s">
        <v>52</v>
      </c>
      <c r="G3032" s="212" t="s">
        <v>1439</v>
      </c>
      <c r="H3032" s="153" t="s">
        <v>4735</v>
      </c>
      <c r="I3032" s="156" t="s">
        <v>26</v>
      </c>
      <c r="J3032" s="160" t="s">
        <v>4664</v>
      </c>
      <c r="K3032" s="153" t="s">
        <v>4734</v>
      </c>
    </row>
    <row r="3033" spans="1:11" ht="66.75">
      <c r="A3033" s="204">
        <v>3031</v>
      </c>
      <c r="B3033" s="223">
        <v>46244</v>
      </c>
      <c r="C3033" s="265" t="s">
        <v>830</v>
      </c>
      <c r="D3033" s="204">
        <v>2026</v>
      </c>
      <c r="E3033" s="12" t="s">
        <v>3886</v>
      </c>
      <c r="F3033" s="156" t="s">
        <v>216</v>
      </c>
      <c r="G3033" s="213" t="s">
        <v>821</v>
      </c>
      <c r="H3033" s="113" t="s">
        <v>4736</v>
      </c>
      <c r="I3033" s="156" t="s">
        <v>26</v>
      </c>
      <c r="J3033" s="156" t="s">
        <v>492</v>
      </c>
      <c r="K3033" s="113" t="s">
        <v>4719</v>
      </c>
    </row>
    <row r="3034" spans="1:11" ht="84">
      <c r="A3034" s="204">
        <v>3032</v>
      </c>
      <c r="B3034" s="222">
        <v>46244</v>
      </c>
      <c r="C3034" s="265" t="s">
        <v>830</v>
      </c>
      <c r="D3034" s="204">
        <v>2026</v>
      </c>
      <c r="E3034" s="12" t="s">
        <v>1431</v>
      </c>
      <c r="F3034" s="160" t="s">
        <v>88</v>
      </c>
      <c r="G3034" s="160" t="s">
        <v>88</v>
      </c>
      <c r="H3034" s="153" t="s">
        <v>4737</v>
      </c>
      <c r="I3034" s="156" t="s">
        <v>26</v>
      </c>
      <c r="J3034" s="160" t="s">
        <v>910</v>
      </c>
      <c r="K3034" s="153" t="s">
        <v>4710</v>
      </c>
    </row>
    <row r="3035" spans="1:11" ht="66.75">
      <c r="A3035" s="204">
        <v>3033</v>
      </c>
      <c r="B3035" s="223">
        <v>46244</v>
      </c>
      <c r="C3035" s="265" t="s">
        <v>830</v>
      </c>
      <c r="D3035" s="204">
        <v>2026</v>
      </c>
      <c r="E3035" s="12" t="s">
        <v>2224</v>
      </c>
      <c r="F3035" s="156" t="s">
        <v>1518</v>
      </c>
      <c r="G3035" s="156" t="s">
        <v>88</v>
      </c>
      <c r="H3035" s="113" t="s">
        <v>4738</v>
      </c>
      <c r="I3035" s="156" t="s">
        <v>26</v>
      </c>
      <c r="J3035" s="156" t="s">
        <v>118</v>
      </c>
      <c r="K3035" s="113" t="s">
        <v>4710</v>
      </c>
    </row>
    <row r="3036" spans="1:11" ht="100.5">
      <c r="A3036" s="204">
        <v>3034</v>
      </c>
      <c r="B3036" s="222">
        <v>46245</v>
      </c>
      <c r="C3036" s="265" t="s">
        <v>830</v>
      </c>
      <c r="D3036" s="204">
        <v>2026</v>
      </c>
      <c r="E3036" s="12" t="s">
        <v>1431</v>
      </c>
      <c r="F3036" s="160" t="s">
        <v>88</v>
      </c>
      <c r="G3036" s="160" t="s">
        <v>88</v>
      </c>
      <c r="H3036" s="153" t="s">
        <v>4739</v>
      </c>
      <c r="I3036" s="156" t="s">
        <v>26</v>
      </c>
      <c r="J3036" s="160" t="s">
        <v>910</v>
      </c>
      <c r="K3036" s="153" t="s">
        <v>4710</v>
      </c>
    </row>
    <row r="3037" spans="1:11" ht="50.25">
      <c r="A3037" s="204">
        <v>3035</v>
      </c>
      <c r="B3037" s="163">
        <v>46245</v>
      </c>
      <c r="C3037" s="265" t="s">
        <v>830</v>
      </c>
      <c r="D3037" s="204">
        <v>2026</v>
      </c>
      <c r="E3037" s="12" t="s">
        <v>1431</v>
      </c>
      <c r="F3037" s="156" t="s">
        <v>216</v>
      </c>
      <c r="G3037" s="213" t="s">
        <v>821</v>
      </c>
      <c r="H3037" s="113" t="s">
        <v>4740</v>
      </c>
      <c r="I3037" s="156" t="s">
        <v>26</v>
      </c>
      <c r="J3037" s="156" t="s">
        <v>492</v>
      </c>
      <c r="K3037" s="113" t="s">
        <v>4727</v>
      </c>
    </row>
    <row r="3038" spans="1:11" ht="117">
      <c r="A3038" s="204">
        <v>3036</v>
      </c>
      <c r="B3038" s="222">
        <v>46245</v>
      </c>
      <c r="C3038" s="265" t="s">
        <v>830</v>
      </c>
      <c r="D3038" s="204">
        <v>2026</v>
      </c>
      <c r="E3038" s="12" t="s">
        <v>2224</v>
      </c>
      <c r="F3038" s="160" t="s">
        <v>1518</v>
      </c>
      <c r="G3038" s="160" t="s">
        <v>88</v>
      </c>
      <c r="H3038" s="153" t="s">
        <v>4741</v>
      </c>
      <c r="I3038" s="156" t="s">
        <v>26</v>
      </c>
      <c r="J3038" s="160" t="s">
        <v>118</v>
      </c>
      <c r="K3038" s="153" t="s">
        <v>4710</v>
      </c>
    </row>
    <row r="3039" spans="1:11" ht="117">
      <c r="A3039" s="204">
        <v>3037</v>
      </c>
      <c r="B3039" s="163">
        <v>46247</v>
      </c>
      <c r="C3039" s="265" t="s">
        <v>830</v>
      </c>
      <c r="D3039" s="204">
        <v>2026</v>
      </c>
      <c r="E3039" s="12" t="s">
        <v>1431</v>
      </c>
      <c r="F3039" s="156" t="s">
        <v>216</v>
      </c>
      <c r="G3039" s="213" t="s">
        <v>821</v>
      </c>
      <c r="H3039" s="113" t="s">
        <v>4742</v>
      </c>
      <c r="I3039" s="156" t="s">
        <v>26</v>
      </c>
      <c r="J3039" s="156" t="s">
        <v>492</v>
      </c>
      <c r="K3039" s="113" t="s">
        <v>4727</v>
      </c>
    </row>
    <row r="3040" spans="1:11" ht="138" customHeight="1">
      <c r="A3040" s="204">
        <v>3038</v>
      </c>
      <c r="B3040" s="164">
        <v>46247</v>
      </c>
      <c r="C3040" s="265" t="s">
        <v>830</v>
      </c>
      <c r="D3040" s="204">
        <v>2026</v>
      </c>
      <c r="E3040" s="12" t="s">
        <v>1431</v>
      </c>
      <c r="F3040" s="160" t="s">
        <v>216</v>
      </c>
      <c r="G3040" s="213" t="s">
        <v>821</v>
      </c>
      <c r="H3040" s="160" t="s">
        <v>4743</v>
      </c>
      <c r="I3040" s="156" t="s">
        <v>26</v>
      </c>
      <c r="J3040" s="160" t="s">
        <v>492</v>
      </c>
      <c r="K3040" s="153" t="s">
        <v>4727</v>
      </c>
    </row>
    <row r="3041" spans="1:11" ht="168">
      <c r="A3041" s="204">
        <v>3039</v>
      </c>
      <c r="B3041" s="224">
        <v>46258</v>
      </c>
      <c r="C3041" s="265" t="s">
        <v>830</v>
      </c>
      <c r="D3041" s="204">
        <v>2026</v>
      </c>
      <c r="E3041" s="12" t="s">
        <v>1431</v>
      </c>
      <c r="F3041" s="160" t="s">
        <v>216</v>
      </c>
      <c r="G3041" s="213" t="s">
        <v>821</v>
      </c>
      <c r="H3041" s="11" t="s">
        <v>4744</v>
      </c>
      <c r="I3041" s="12" t="s">
        <v>4745</v>
      </c>
      <c r="J3041" s="160" t="s">
        <v>492</v>
      </c>
      <c r="K3041" s="153" t="s">
        <v>4727</v>
      </c>
    </row>
    <row r="3042" spans="1:11" ht="33.75">
      <c r="A3042" s="204">
        <v>3040</v>
      </c>
      <c r="B3042" s="224">
        <v>46260</v>
      </c>
      <c r="C3042" s="265" t="s">
        <v>830</v>
      </c>
      <c r="D3042" s="204">
        <v>2026</v>
      </c>
      <c r="E3042" s="12" t="s">
        <v>1431</v>
      </c>
      <c r="F3042" s="12" t="s">
        <v>21</v>
      </c>
      <c r="G3042" s="213" t="s">
        <v>821</v>
      </c>
      <c r="H3042" s="12" t="s">
        <v>4746</v>
      </c>
      <c r="I3042" s="12" t="s">
        <v>26</v>
      </c>
      <c r="J3042" s="12" t="s">
        <v>468</v>
      </c>
      <c r="K3042" s="113" t="s">
        <v>4717</v>
      </c>
    </row>
    <row r="3043" spans="1:11" ht="66.75">
      <c r="A3043" s="204">
        <v>3041</v>
      </c>
      <c r="B3043" s="224">
        <v>46260</v>
      </c>
      <c r="C3043" s="265" t="s">
        <v>830</v>
      </c>
      <c r="D3043" s="204">
        <v>2026</v>
      </c>
      <c r="E3043" s="12" t="s">
        <v>1431</v>
      </c>
      <c r="F3043" s="160" t="s">
        <v>216</v>
      </c>
      <c r="G3043" s="213" t="s">
        <v>821</v>
      </c>
      <c r="H3043" s="12" t="s">
        <v>4747</v>
      </c>
      <c r="I3043" s="12" t="s">
        <v>4745</v>
      </c>
      <c r="J3043" s="160" t="s">
        <v>492</v>
      </c>
      <c r="K3043" s="153" t="s">
        <v>4719</v>
      </c>
    </row>
    <row r="3044" spans="1:11" ht="66.75">
      <c r="A3044" s="204">
        <v>3042</v>
      </c>
      <c r="B3044" s="224">
        <v>46262</v>
      </c>
      <c r="C3044" s="268" t="s">
        <v>830</v>
      </c>
      <c r="D3044" s="204">
        <v>2026</v>
      </c>
      <c r="E3044" s="12" t="s">
        <v>1431</v>
      </c>
      <c r="F3044" s="160" t="s">
        <v>216</v>
      </c>
      <c r="G3044" s="213" t="s">
        <v>821</v>
      </c>
      <c r="H3044" s="12" t="s">
        <v>4748</v>
      </c>
      <c r="I3044" s="12" t="s">
        <v>26</v>
      </c>
      <c r="J3044" s="160" t="s">
        <v>492</v>
      </c>
      <c r="K3044" s="153" t="s">
        <v>4719</v>
      </c>
    </row>
    <row r="3045" spans="1:11" ht="16.5">
      <c r="A3045" s="204">
        <v>3042</v>
      </c>
      <c r="B3045" s="224">
        <v>46262</v>
      </c>
      <c r="C3045" s="268" t="s">
        <v>830</v>
      </c>
      <c r="D3045" s="204">
        <v>2026</v>
      </c>
      <c r="E3045" s="12" t="s">
        <v>1431</v>
      </c>
      <c r="F3045" s="11" t="s">
        <v>21</v>
      </c>
      <c r="G3045" s="213" t="s">
        <v>821</v>
      </c>
      <c r="H3045" s="12" t="s">
        <v>4749</v>
      </c>
      <c r="I3045" s="12" t="s">
        <v>26</v>
      </c>
      <c r="J3045" s="12" t="s">
        <v>149</v>
      </c>
      <c r="K3045" s="12" t="s">
        <v>4750</v>
      </c>
    </row>
    <row r="3046" spans="1:11" ht="66.75">
      <c r="A3046" s="204">
        <v>3043</v>
      </c>
      <c r="B3046" s="64">
        <v>46262</v>
      </c>
      <c r="C3046" s="269" t="s">
        <v>830</v>
      </c>
      <c r="D3046" s="204">
        <v>2026</v>
      </c>
      <c r="E3046" s="12" t="s">
        <v>1431</v>
      </c>
      <c r="F3046" s="160" t="s">
        <v>216</v>
      </c>
      <c r="G3046" s="187" t="s">
        <v>821</v>
      </c>
      <c r="H3046" s="220" t="s">
        <v>4751</v>
      </c>
      <c r="I3046" s="12" t="s">
        <v>4745</v>
      </c>
      <c r="J3046" s="160" t="s">
        <v>492</v>
      </c>
      <c r="K3046" s="153" t="s">
        <v>4719</v>
      </c>
    </row>
    <row r="3047" spans="1:11" ht="66.75">
      <c r="A3047" s="204">
        <v>3044</v>
      </c>
      <c r="B3047" s="224">
        <v>46265</v>
      </c>
      <c r="C3047" s="269" t="s">
        <v>830</v>
      </c>
      <c r="D3047" s="204">
        <v>2026</v>
      </c>
      <c r="E3047" s="12" t="s">
        <v>1431</v>
      </c>
      <c r="F3047" s="160" t="s">
        <v>216</v>
      </c>
      <c r="G3047" s="187" t="s">
        <v>821</v>
      </c>
      <c r="H3047" s="11" t="s">
        <v>4752</v>
      </c>
      <c r="I3047" s="12" t="s">
        <v>4745</v>
      </c>
      <c r="J3047" s="160" t="s">
        <v>492</v>
      </c>
      <c r="K3047" s="260" t="s">
        <v>4719</v>
      </c>
    </row>
    <row r="3048" spans="1:11" ht="66.75">
      <c r="A3048" s="204">
        <v>3045</v>
      </c>
      <c r="B3048" s="224">
        <v>46265</v>
      </c>
      <c r="C3048" s="269" t="s">
        <v>830</v>
      </c>
      <c r="D3048" s="204">
        <v>2026</v>
      </c>
      <c r="E3048" s="12" t="s">
        <v>1431</v>
      </c>
      <c r="F3048" s="11" t="s">
        <v>21</v>
      </c>
      <c r="G3048" s="187" t="s">
        <v>821</v>
      </c>
      <c r="H3048" s="11" t="s">
        <v>4753</v>
      </c>
      <c r="I3048" s="12" t="s">
        <v>4745</v>
      </c>
      <c r="J3048" s="259" t="s">
        <v>149</v>
      </c>
      <c r="K3048" s="12"/>
    </row>
    <row r="3049" spans="1:11" ht="36">
      <c r="A3049" s="204">
        <v>3051</v>
      </c>
      <c r="B3049" s="16">
        <v>46266</v>
      </c>
      <c r="C3049" s="307" t="s">
        <v>831</v>
      </c>
      <c r="D3049" s="308">
        <v>2026</v>
      </c>
      <c r="E3049" s="309" t="s">
        <v>1431</v>
      </c>
      <c r="F3049" s="308" t="s">
        <v>21</v>
      </c>
      <c r="G3049" s="310" t="s">
        <v>821</v>
      </c>
      <c r="H3049" s="307" t="s">
        <v>4754</v>
      </c>
      <c r="I3049" s="311" t="s">
        <v>26</v>
      </c>
      <c r="J3049" s="307" t="s">
        <v>468</v>
      </c>
    </row>
    <row r="3050" spans="1:11" ht="24">
      <c r="A3050" s="204">
        <v>3052</v>
      </c>
      <c r="B3050" s="339">
        <v>46266</v>
      </c>
      <c r="C3050" s="307" t="s">
        <v>831</v>
      </c>
      <c r="D3050" s="314">
        <v>2026</v>
      </c>
      <c r="E3050" s="315" t="s">
        <v>1431</v>
      </c>
      <c r="F3050" s="314" t="s">
        <v>377</v>
      </c>
      <c r="G3050" s="316" t="s">
        <v>88</v>
      </c>
      <c r="H3050" s="313" t="s">
        <v>4755</v>
      </c>
      <c r="I3050" s="317" t="s">
        <v>26</v>
      </c>
      <c r="J3050" s="313" t="s">
        <v>76</v>
      </c>
    </row>
    <row r="3051" spans="1:11" ht="48">
      <c r="A3051" s="204">
        <v>3053</v>
      </c>
      <c r="B3051" s="339">
        <v>46266</v>
      </c>
      <c r="C3051" s="307" t="s">
        <v>831</v>
      </c>
      <c r="D3051" s="314">
        <v>2026</v>
      </c>
      <c r="E3051" s="315" t="s">
        <v>1431</v>
      </c>
      <c r="F3051" s="314" t="s">
        <v>216</v>
      </c>
      <c r="G3051" s="318" t="s">
        <v>821</v>
      </c>
      <c r="H3051" s="319" t="s">
        <v>4756</v>
      </c>
      <c r="I3051" s="317" t="s">
        <v>26</v>
      </c>
      <c r="J3051" s="313" t="s">
        <v>492</v>
      </c>
    </row>
    <row r="3052" spans="1:11" ht="72">
      <c r="A3052" s="204">
        <v>3054</v>
      </c>
      <c r="B3052" s="339">
        <v>46266</v>
      </c>
      <c r="C3052" s="307" t="s">
        <v>831</v>
      </c>
      <c r="D3052" s="314">
        <v>2026</v>
      </c>
      <c r="E3052" s="315" t="s">
        <v>1431</v>
      </c>
      <c r="F3052" s="314" t="s">
        <v>21</v>
      </c>
      <c r="G3052" s="318" t="s">
        <v>821</v>
      </c>
      <c r="H3052" s="320" t="s">
        <v>4757</v>
      </c>
      <c r="I3052" s="317" t="s">
        <v>26</v>
      </c>
      <c r="J3052" s="313" t="s">
        <v>468</v>
      </c>
    </row>
    <row r="3053" spans="1:11" ht="36">
      <c r="A3053" s="204">
        <v>3055</v>
      </c>
      <c r="B3053" s="339">
        <v>46266</v>
      </c>
      <c r="C3053" s="307" t="s">
        <v>831</v>
      </c>
      <c r="D3053" s="314">
        <v>2026</v>
      </c>
      <c r="E3053" s="315" t="s">
        <v>1431</v>
      </c>
      <c r="F3053" s="314" t="s">
        <v>1566</v>
      </c>
      <c r="G3053" s="316" t="s">
        <v>88</v>
      </c>
      <c r="H3053" s="321" t="s">
        <v>4758</v>
      </c>
      <c r="I3053" s="317" t="s">
        <v>26</v>
      </c>
      <c r="J3053" s="313" t="s">
        <v>4759</v>
      </c>
    </row>
    <row r="3054" spans="1:11" ht="96">
      <c r="A3054" s="204">
        <v>3056</v>
      </c>
      <c r="B3054" s="339">
        <v>46266</v>
      </c>
      <c r="C3054" s="307" t="s">
        <v>831</v>
      </c>
      <c r="D3054" s="314">
        <v>2026</v>
      </c>
      <c r="E3054" s="315" t="s">
        <v>1431</v>
      </c>
      <c r="F3054" s="314" t="s">
        <v>21</v>
      </c>
      <c r="G3054" s="318" t="s">
        <v>821</v>
      </c>
      <c r="H3054" s="313" t="s">
        <v>4760</v>
      </c>
      <c r="I3054" s="317" t="s">
        <v>26</v>
      </c>
      <c r="J3054" s="313" t="s">
        <v>468</v>
      </c>
    </row>
    <row r="3055" spans="1:11" ht="24">
      <c r="A3055" s="204">
        <v>3057</v>
      </c>
      <c r="B3055" s="339">
        <v>46267</v>
      </c>
      <c r="C3055" s="307" t="s">
        <v>831</v>
      </c>
      <c r="D3055" s="314">
        <v>2026</v>
      </c>
      <c r="E3055" s="315" t="s">
        <v>1431</v>
      </c>
      <c r="F3055" s="314" t="s">
        <v>1449</v>
      </c>
      <c r="G3055" s="316" t="s">
        <v>88</v>
      </c>
      <c r="H3055" s="320" t="s">
        <v>4761</v>
      </c>
      <c r="I3055" s="317" t="s">
        <v>26</v>
      </c>
      <c r="J3055" s="313" t="s">
        <v>4762</v>
      </c>
    </row>
    <row r="3056" spans="1:11" ht="24">
      <c r="A3056" s="204">
        <v>3058</v>
      </c>
      <c r="B3056" s="339">
        <v>46267</v>
      </c>
      <c r="C3056" s="307" t="s">
        <v>831</v>
      </c>
      <c r="D3056" s="314">
        <v>2026</v>
      </c>
      <c r="E3056" s="315" t="s">
        <v>1431</v>
      </c>
      <c r="F3056" s="314" t="s">
        <v>1449</v>
      </c>
      <c r="G3056" s="316" t="s">
        <v>88</v>
      </c>
      <c r="H3056" s="313" t="s">
        <v>4763</v>
      </c>
      <c r="I3056" s="317" t="s">
        <v>26</v>
      </c>
      <c r="J3056" s="313" t="s">
        <v>4762</v>
      </c>
    </row>
    <row r="3057" spans="1:10" ht="24">
      <c r="A3057" s="204">
        <v>3059</v>
      </c>
      <c r="B3057" s="339">
        <v>46267</v>
      </c>
      <c r="C3057" s="307" t="s">
        <v>831</v>
      </c>
      <c r="D3057" s="314">
        <v>2026</v>
      </c>
      <c r="E3057" s="322" t="s">
        <v>3886</v>
      </c>
      <c r="F3057" s="314" t="s">
        <v>21</v>
      </c>
      <c r="G3057" s="318" t="s">
        <v>821</v>
      </c>
      <c r="H3057" s="313" t="s">
        <v>4764</v>
      </c>
      <c r="I3057" s="317" t="s">
        <v>26</v>
      </c>
      <c r="J3057" s="313" t="s">
        <v>2813</v>
      </c>
    </row>
    <row r="3058" spans="1:10" ht="72">
      <c r="A3058" s="204">
        <v>3060</v>
      </c>
      <c r="B3058" s="339">
        <v>46267</v>
      </c>
      <c r="C3058" s="307" t="s">
        <v>831</v>
      </c>
      <c r="D3058" s="314">
        <v>2026</v>
      </c>
      <c r="E3058" s="323" t="s">
        <v>2224</v>
      </c>
      <c r="F3058" s="314" t="s">
        <v>4765</v>
      </c>
      <c r="G3058" s="318" t="s">
        <v>821</v>
      </c>
      <c r="H3058" s="313" t="s">
        <v>4766</v>
      </c>
      <c r="I3058" s="317" t="s">
        <v>26</v>
      </c>
      <c r="J3058" s="313" t="s">
        <v>4767</v>
      </c>
    </row>
    <row r="3059" spans="1:10" ht="36">
      <c r="A3059" s="204">
        <v>3061</v>
      </c>
      <c r="B3059" s="339">
        <v>46268</v>
      </c>
      <c r="C3059" s="307" t="s">
        <v>831</v>
      </c>
      <c r="D3059" s="314">
        <v>2026</v>
      </c>
      <c r="E3059" s="315" t="s">
        <v>1431</v>
      </c>
      <c r="F3059" s="314" t="s">
        <v>21</v>
      </c>
      <c r="G3059" s="318" t="s">
        <v>821</v>
      </c>
      <c r="H3059" s="313" t="s">
        <v>4768</v>
      </c>
      <c r="I3059" s="317" t="s">
        <v>26</v>
      </c>
      <c r="J3059" s="313" t="s">
        <v>4377</v>
      </c>
    </row>
    <row r="3060" spans="1:10" ht="96">
      <c r="A3060" s="204">
        <v>3062</v>
      </c>
      <c r="B3060" s="339">
        <v>46268</v>
      </c>
      <c r="C3060" s="307" t="s">
        <v>831</v>
      </c>
      <c r="D3060" s="314">
        <v>2026</v>
      </c>
      <c r="E3060" s="315" t="s">
        <v>1431</v>
      </c>
      <c r="F3060" s="314" t="s">
        <v>52</v>
      </c>
      <c r="G3060" s="324" t="s">
        <v>1439</v>
      </c>
      <c r="H3060" s="313" t="s">
        <v>4769</v>
      </c>
      <c r="I3060" s="317" t="s">
        <v>26</v>
      </c>
      <c r="J3060" s="313" t="s">
        <v>914</v>
      </c>
    </row>
    <row r="3061" spans="1:10" ht="36">
      <c r="A3061" s="204">
        <v>3063</v>
      </c>
      <c r="B3061" s="339">
        <v>46268</v>
      </c>
      <c r="C3061" s="307" t="s">
        <v>831</v>
      </c>
      <c r="D3061" s="314">
        <v>2026</v>
      </c>
      <c r="E3061" s="315" t="s">
        <v>1431</v>
      </c>
      <c r="F3061" s="314" t="s">
        <v>4770</v>
      </c>
      <c r="G3061" s="318" t="s">
        <v>821</v>
      </c>
      <c r="H3061" s="313" t="s">
        <v>4771</v>
      </c>
      <c r="I3061" s="317" t="s">
        <v>26</v>
      </c>
      <c r="J3061" s="313" t="s">
        <v>492</v>
      </c>
    </row>
    <row r="3062" spans="1:10" ht="24">
      <c r="A3062" s="204">
        <v>3064</v>
      </c>
      <c r="B3062" s="339">
        <v>46268</v>
      </c>
      <c r="C3062" s="307" t="s">
        <v>831</v>
      </c>
      <c r="D3062" s="314">
        <v>2026</v>
      </c>
      <c r="E3062" s="315" t="s">
        <v>1431</v>
      </c>
      <c r="F3062" s="314" t="s">
        <v>21</v>
      </c>
      <c r="G3062" s="318" t="s">
        <v>821</v>
      </c>
      <c r="H3062" s="313" t="s">
        <v>4772</v>
      </c>
      <c r="I3062" s="317" t="s">
        <v>26</v>
      </c>
      <c r="J3062" s="313" t="s">
        <v>21</v>
      </c>
    </row>
    <row r="3063" spans="1:10" ht="36">
      <c r="A3063" s="204">
        <v>3065</v>
      </c>
      <c r="B3063" s="339">
        <v>46268</v>
      </c>
      <c r="C3063" s="307" t="s">
        <v>831</v>
      </c>
      <c r="D3063" s="314">
        <v>2026</v>
      </c>
      <c r="E3063" s="315" t="s">
        <v>1431</v>
      </c>
      <c r="F3063" s="314" t="s">
        <v>1566</v>
      </c>
      <c r="G3063" s="316" t="s">
        <v>88</v>
      </c>
      <c r="H3063" s="321" t="s">
        <v>4773</v>
      </c>
      <c r="I3063" s="317" t="s">
        <v>26</v>
      </c>
      <c r="J3063" s="313" t="s">
        <v>4759</v>
      </c>
    </row>
    <row r="3064" spans="1:10" ht="36">
      <c r="A3064" s="204">
        <v>3066</v>
      </c>
      <c r="B3064" s="339">
        <v>46269</v>
      </c>
      <c r="C3064" s="307" t="s">
        <v>831</v>
      </c>
      <c r="D3064" s="314">
        <v>2026</v>
      </c>
      <c r="E3064" s="315" t="s">
        <v>1431</v>
      </c>
      <c r="F3064" s="314" t="s">
        <v>4770</v>
      </c>
      <c r="G3064" s="318" t="s">
        <v>821</v>
      </c>
      <c r="H3064" s="313" t="s">
        <v>4774</v>
      </c>
      <c r="I3064" s="317" t="s">
        <v>26</v>
      </c>
      <c r="J3064" s="313" t="s">
        <v>492</v>
      </c>
    </row>
    <row r="3065" spans="1:10" ht="15">
      <c r="A3065" s="204">
        <v>3067</v>
      </c>
      <c r="B3065" s="339">
        <v>46269</v>
      </c>
      <c r="C3065" s="307" t="s">
        <v>831</v>
      </c>
      <c r="D3065" s="314">
        <v>2026</v>
      </c>
      <c r="E3065" s="315" t="s">
        <v>1431</v>
      </c>
      <c r="F3065" s="314" t="s">
        <v>1566</v>
      </c>
      <c r="G3065" s="316" t="s">
        <v>88</v>
      </c>
      <c r="H3065" s="321" t="s">
        <v>4775</v>
      </c>
      <c r="I3065" s="317" t="s">
        <v>26</v>
      </c>
      <c r="J3065" s="313" t="s">
        <v>4759</v>
      </c>
    </row>
    <row r="3066" spans="1:10" ht="24">
      <c r="A3066" s="204">
        <v>3068</v>
      </c>
      <c r="B3066" s="339">
        <v>46269</v>
      </c>
      <c r="C3066" s="307" t="s">
        <v>831</v>
      </c>
      <c r="D3066" s="314">
        <v>2026</v>
      </c>
      <c r="E3066" s="315" t="s">
        <v>1431</v>
      </c>
      <c r="F3066" s="314" t="s">
        <v>1566</v>
      </c>
      <c r="G3066" s="316" t="s">
        <v>88</v>
      </c>
      <c r="H3066" s="321" t="s">
        <v>4776</v>
      </c>
      <c r="I3066" s="317" t="s">
        <v>26</v>
      </c>
      <c r="J3066" s="313" t="s">
        <v>4759</v>
      </c>
    </row>
    <row r="3067" spans="1:10" ht="15">
      <c r="A3067" s="204">
        <v>3069</v>
      </c>
      <c r="B3067" s="339">
        <v>46269</v>
      </c>
      <c r="C3067" s="307" t="s">
        <v>831</v>
      </c>
      <c r="D3067" s="314">
        <v>2026</v>
      </c>
      <c r="E3067" s="315" t="s">
        <v>1431</v>
      </c>
      <c r="F3067" s="314" t="s">
        <v>1449</v>
      </c>
      <c r="G3067" s="316" t="s">
        <v>88</v>
      </c>
      <c r="H3067" s="325" t="s">
        <v>4777</v>
      </c>
      <c r="I3067" s="317" t="s">
        <v>26</v>
      </c>
      <c r="J3067" s="313" t="s">
        <v>4762</v>
      </c>
    </row>
    <row r="3068" spans="1:10" ht="24">
      <c r="A3068" s="204">
        <v>3070</v>
      </c>
      <c r="B3068" s="339">
        <v>46273</v>
      </c>
      <c r="C3068" s="307" t="s">
        <v>831</v>
      </c>
      <c r="D3068" s="314">
        <v>2026</v>
      </c>
      <c r="E3068" s="315" t="s">
        <v>1431</v>
      </c>
      <c r="F3068" s="314" t="s">
        <v>574</v>
      </c>
      <c r="G3068" s="316" t="s">
        <v>88</v>
      </c>
      <c r="H3068" s="307" t="s">
        <v>4778</v>
      </c>
      <c r="I3068" s="317" t="s">
        <v>26</v>
      </c>
      <c r="J3068" s="313" t="s">
        <v>4779</v>
      </c>
    </row>
    <row r="3069" spans="1:10" ht="48">
      <c r="A3069" s="204">
        <v>3071</v>
      </c>
      <c r="B3069" s="339">
        <v>46273</v>
      </c>
      <c r="C3069" s="307" t="s">
        <v>831</v>
      </c>
      <c r="D3069" s="314">
        <v>2026</v>
      </c>
      <c r="E3069" s="315" t="s">
        <v>1431</v>
      </c>
      <c r="F3069" s="314" t="s">
        <v>574</v>
      </c>
      <c r="G3069" s="316" t="s">
        <v>88</v>
      </c>
      <c r="H3069" s="321" t="s">
        <v>4780</v>
      </c>
      <c r="I3069" s="317" t="s">
        <v>26</v>
      </c>
      <c r="J3069" s="313" t="s">
        <v>4779</v>
      </c>
    </row>
    <row r="3070" spans="1:10" ht="48">
      <c r="A3070" s="204">
        <v>3072</v>
      </c>
      <c r="B3070" s="339">
        <v>46273</v>
      </c>
      <c r="C3070" s="307" t="s">
        <v>831</v>
      </c>
      <c r="D3070" s="314">
        <v>2026</v>
      </c>
      <c r="E3070" s="315" t="s">
        <v>1431</v>
      </c>
      <c r="F3070" s="314" t="s">
        <v>1158</v>
      </c>
      <c r="G3070" s="316" t="s">
        <v>88</v>
      </c>
      <c r="H3070" s="321" t="s">
        <v>4781</v>
      </c>
      <c r="I3070" s="317" t="s">
        <v>26</v>
      </c>
      <c r="J3070" s="313" t="s">
        <v>452</v>
      </c>
    </row>
    <row r="3071" spans="1:10" ht="36">
      <c r="A3071" s="204">
        <v>3073</v>
      </c>
      <c r="B3071" s="339">
        <v>46273</v>
      </c>
      <c r="C3071" s="307" t="s">
        <v>831</v>
      </c>
      <c r="D3071" s="314">
        <v>2026</v>
      </c>
      <c r="E3071" s="315" t="s">
        <v>1431</v>
      </c>
      <c r="F3071" s="314" t="s">
        <v>216</v>
      </c>
      <c r="G3071" s="318" t="s">
        <v>821</v>
      </c>
      <c r="H3071" s="313" t="s">
        <v>4782</v>
      </c>
      <c r="I3071" s="317" t="s">
        <v>26</v>
      </c>
      <c r="J3071" s="313" t="s">
        <v>492</v>
      </c>
    </row>
    <row r="3072" spans="1:10" ht="36">
      <c r="A3072" s="204">
        <v>3074</v>
      </c>
      <c r="B3072" s="339">
        <v>46273</v>
      </c>
      <c r="C3072" s="307" t="s">
        <v>831</v>
      </c>
      <c r="D3072" s="314">
        <v>2026</v>
      </c>
      <c r="E3072" s="315" t="s">
        <v>1431</v>
      </c>
      <c r="F3072" s="314" t="s">
        <v>21</v>
      </c>
      <c r="G3072" s="318" t="s">
        <v>821</v>
      </c>
      <c r="H3072" s="313" t="s">
        <v>4783</v>
      </c>
      <c r="I3072" s="317" t="s">
        <v>26</v>
      </c>
      <c r="J3072" s="313" t="s">
        <v>468</v>
      </c>
    </row>
    <row r="3073" spans="1:10" ht="36">
      <c r="A3073" s="204">
        <v>3075</v>
      </c>
      <c r="B3073" s="339">
        <v>46273</v>
      </c>
      <c r="C3073" s="307" t="s">
        <v>831</v>
      </c>
      <c r="D3073" s="314">
        <v>2026</v>
      </c>
      <c r="E3073" s="315" t="s">
        <v>1431</v>
      </c>
      <c r="F3073" s="314" t="s">
        <v>1449</v>
      </c>
      <c r="G3073" s="316" t="s">
        <v>88</v>
      </c>
      <c r="H3073" s="321" t="s">
        <v>4784</v>
      </c>
      <c r="I3073" s="317" t="s">
        <v>26</v>
      </c>
      <c r="J3073" s="313" t="s">
        <v>4762</v>
      </c>
    </row>
    <row r="3074" spans="1:10" ht="24">
      <c r="A3074" s="204">
        <v>3076</v>
      </c>
      <c r="B3074" s="339">
        <v>46273</v>
      </c>
      <c r="C3074" s="307" t="s">
        <v>831</v>
      </c>
      <c r="D3074" s="314">
        <v>2026</v>
      </c>
      <c r="E3074" s="315" t="s">
        <v>1431</v>
      </c>
      <c r="F3074" s="314" t="s">
        <v>1449</v>
      </c>
      <c r="G3074" s="316" t="s">
        <v>88</v>
      </c>
      <c r="H3074" s="321" t="s">
        <v>4785</v>
      </c>
      <c r="I3074" s="317" t="s">
        <v>26</v>
      </c>
      <c r="J3074" s="313" t="s">
        <v>4762</v>
      </c>
    </row>
    <row r="3075" spans="1:10" ht="84">
      <c r="A3075" s="204">
        <v>3077</v>
      </c>
      <c r="B3075" s="339">
        <v>46273</v>
      </c>
      <c r="C3075" s="307" t="s">
        <v>831</v>
      </c>
      <c r="D3075" s="314">
        <v>2026</v>
      </c>
      <c r="E3075" s="315" t="s">
        <v>1431</v>
      </c>
      <c r="F3075" s="314" t="s">
        <v>216</v>
      </c>
      <c r="G3075" s="318" t="s">
        <v>821</v>
      </c>
      <c r="H3075" s="313" t="s">
        <v>4786</v>
      </c>
      <c r="I3075" s="317" t="s">
        <v>26</v>
      </c>
      <c r="J3075" s="313" t="s">
        <v>492</v>
      </c>
    </row>
    <row r="3076" spans="1:10" ht="24">
      <c r="A3076" s="204">
        <v>3078</v>
      </c>
      <c r="B3076" s="339">
        <v>46273</v>
      </c>
      <c r="C3076" s="307" t="s">
        <v>831</v>
      </c>
      <c r="D3076" s="314">
        <v>2026</v>
      </c>
      <c r="E3076" s="315" t="s">
        <v>1431</v>
      </c>
      <c r="F3076" s="314" t="s">
        <v>4787</v>
      </c>
      <c r="G3076" s="316" t="s">
        <v>88</v>
      </c>
      <c r="H3076" s="326" t="s">
        <v>4788</v>
      </c>
      <c r="I3076" s="317" t="s">
        <v>26</v>
      </c>
      <c r="J3076" s="313" t="s">
        <v>185</v>
      </c>
    </row>
    <row r="3077" spans="1:10" ht="36">
      <c r="A3077" s="204">
        <v>3079</v>
      </c>
      <c r="B3077" s="339">
        <v>46273</v>
      </c>
      <c r="C3077" s="307" t="s">
        <v>831</v>
      </c>
      <c r="D3077" s="314">
        <v>2026</v>
      </c>
      <c r="E3077" s="315" t="s">
        <v>1431</v>
      </c>
      <c r="F3077" s="314" t="s">
        <v>21</v>
      </c>
      <c r="G3077" s="316" t="s">
        <v>88</v>
      </c>
      <c r="H3077" s="313" t="s">
        <v>4789</v>
      </c>
      <c r="I3077" s="317" t="s">
        <v>26</v>
      </c>
      <c r="J3077" s="313" t="s">
        <v>468</v>
      </c>
    </row>
    <row r="3078" spans="1:10" ht="48">
      <c r="A3078" s="204">
        <v>3080</v>
      </c>
      <c r="B3078" s="339">
        <v>46273</v>
      </c>
      <c r="C3078" s="307" t="s">
        <v>831</v>
      </c>
      <c r="D3078" s="314">
        <v>2026</v>
      </c>
      <c r="E3078" s="315" t="s">
        <v>1431</v>
      </c>
      <c r="F3078" s="314" t="s">
        <v>4618</v>
      </c>
      <c r="G3078" s="316" t="s">
        <v>88</v>
      </c>
      <c r="H3078" s="327" t="s">
        <v>4790</v>
      </c>
      <c r="I3078" s="317" t="s">
        <v>26</v>
      </c>
      <c r="J3078" s="313" t="s">
        <v>850</v>
      </c>
    </row>
    <row r="3079" spans="1:10" ht="48">
      <c r="A3079" s="204">
        <v>3081</v>
      </c>
      <c r="B3079" s="339">
        <v>46274</v>
      </c>
      <c r="C3079" s="307" t="s">
        <v>831</v>
      </c>
      <c r="D3079" s="314">
        <v>2026</v>
      </c>
      <c r="E3079" s="315" t="s">
        <v>1431</v>
      </c>
      <c r="F3079" s="314" t="s">
        <v>4791</v>
      </c>
      <c r="G3079" s="316" t="s">
        <v>88</v>
      </c>
      <c r="H3079" s="313" t="s">
        <v>4792</v>
      </c>
      <c r="I3079" s="317" t="s">
        <v>26</v>
      </c>
      <c r="J3079" s="313" t="s">
        <v>4779</v>
      </c>
    </row>
    <row r="3080" spans="1:10" ht="24">
      <c r="A3080" s="204">
        <v>3082</v>
      </c>
      <c r="B3080" s="339">
        <v>46274</v>
      </c>
      <c r="C3080" s="307" t="s">
        <v>831</v>
      </c>
      <c r="D3080" s="314">
        <v>2026</v>
      </c>
      <c r="E3080" s="315" t="s">
        <v>1431</v>
      </c>
      <c r="F3080" s="314" t="s">
        <v>21</v>
      </c>
      <c r="G3080" s="318" t="s">
        <v>821</v>
      </c>
      <c r="H3080" s="313" t="s">
        <v>4793</v>
      </c>
      <c r="I3080" s="317" t="s">
        <v>26</v>
      </c>
      <c r="J3080" s="313" t="s">
        <v>468</v>
      </c>
    </row>
    <row r="3081" spans="1:10" ht="15">
      <c r="A3081" s="204">
        <v>3083</v>
      </c>
      <c r="B3081" s="339">
        <v>46274</v>
      </c>
      <c r="C3081" s="307" t="s">
        <v>831</v>
      </c>
      <c r="D3081" s="314">
        <v>2026</v>
      </c>
      <c r="E3081" s="315" t="s">
        <v>1431</v>
      </c>
      <c r="F3081" s="314" t="s">
        <v>1566</v>
      </c>
      <c r="G3081" s="316" t="s">
        <v>88</v>
      </c>
      <c r="H3081" s="321" t="s">
        <v>4794</v>
      </c>
      <c r="I3081" s="317" t="s">
        <v>26</v>
      </c>
      <c r="J3081" s="313" t="s">
        <v>4759</v>
      </c>
    </row>
    <row r="3082" spans="1:10" ht="48">
      <c r="A3082" s="204">
        <v>3084</v>
      </c>
      <c r="B3082" s="339">
        <v>46274</v>
      </c>
      <c r="C3082" s="307" t="s">
        <v>831</v>
      </c>
      <c r="D3082" s="314">
        <v>2026</v>
      </c>
      <c r="E3082" s="323" t="s">
        <v>2224</v>
      </c>
      <c r="F3082" s="314" t="s">
        <v>21</v>
      </c>
      <c r="G3082" s="318" t="s">
        <v>821</v>
      </c>
      <c r="H3082" s="313" t="s">
        <v>4795</v>
      </c>
      <c r="I3082" s="317" t="s">
        <v>26</v>
      </c>
      <c r="J3082" s="313" t="s">
        <v>2568</v>
      </c>
    </row>
    <row r="3083" spans="1:10" ht="24">
      <c r="A3083" s="204">
        <v>3085</v>
      </c>
      <c r="B3083" s="339">
        <v>46275</v>
      </c>
      <c r="C3083" s="307" t="s">
        <v>831</v>
      </c>
      <c r="D3083" s="314">
        <v>2026</v>
      </c>
      <c r="E3083" s="315" t="s">
        <v>1431</v>
      </c>
      <c r="F3083" s="314" t="s">
        <v>4796</v>
      </c>
      <c r="G3083" s="318" t="s">
        <v>821</v>
      </c>
      <c r="H3083" s="313" t="s">
        <v>4797</v>
      </c>
      <c r="I3083" s="317" t="s">
        <v>26</v>
      </c>
      <c r="J3083" s="313" t="s">
        <v>468</v>
      </c>
    </row>
    <row r="3084" spans="1:10" ht="24">
      <c r="A3084" s="204">
        <v>3086</v>
      </c>
      <c r="B3084" s="339">
        <v>46275</v>
      </c>
      <c r="C3084" s="307" t="s">
        <v>831</v>
      </c>
      <c r="D3084" s="314">
        <v>2026</v>
      </c>
      <c r="E3084" s="315" t="s">
        <v>1431</v>
      </c>
      <c r="F3084" s="314" t="s">
        <v>1566</v>
      </c>
      <c r="G3084" s="316" t="s">
        <v>88</v>
      </c>
      <c r="H3084" s="321" t="s">
        <v>4798</v>
      </c>
      <c r="I3084" s="317" t="s">
        <v>26</v>
      </c>
      <c r="J3084" s="313" t="s">
        <v>4759</v>
      </c>
    </row>
    <row r="3085" spans="1:10" ht="84">
      <c r="A3085" s="204">
        <v>3087</v>
      </c>
      <c r="B3085" s="339">
        <v>46275</v>
      </c>
      <c r="C3085" s="307" t="s">
        <v>831</v>
      </c>
      <c r="D3085" s="314">
        <v>2026</v>
      </c>
      <c r="E3085" s="323" t="s">
        <v>2224</v>
      </c>
      <c r="F3085" s="314" t="s">
        <v>4799</v>
      </c>
      <c r="G3085" s="318" t="s">
        <v>821</v>
      </c>
      <c r="H3085" s="313" t="s">
        <v>4800</v>
      </c>
      <c r="I3085" s="317" t="s">
        <v>26</v>
      </c>
      <c r="J3085" s="313" t="s">
        <v>4767</v>
      </c>
    </row>
    <row r="3086" spans="1:10" ht="60">
      <c r="A3086" s="204">
        <v>3088</v>
      </c>
      <c r="B3086" s="339">
        <v>46276</v>
      </c>
      <c r="C3086" s="307" t="s">
        <v>831</v>
      </c>
      <c r="D3086" s="314">
        <v>2026</v>
      </c>
      <c r="E3086" s="315" t="s">
        <v>1431</v>
      </c>
      <c r="F3086" s="314" t="s">
        <v>1311</v>
      </c>
      <c r="G3086" s="316" t="s">
        <v>88</v>
      </c>
      <c r="H3086" s="313" t="s">
        <v>4801</v>
      </c>
      <c r="I3086" s="317" t="s">
        <v>26</v>
      </c>
      <c r="J3086" s="313" t="s">
        <v>259</v>
      </c>
    </row>
    <row r="3087" spans="1:10" ht="60">
      <c r="A3087" s="204">
        <v>3089</v>
      </c>
      <c r="B3087" s="339">
        <v>46276</v>
      </c>
      <c r="C3087" s="307" t="s">
        <v>831</v>
      </c>
      <c r="D3087" s="314">
        <v>2026</v>
      </c>
      <c r="E3087" s="315" t="s">
        <v>1431</v>
      </c>
      <c r="F3087" s="314" t="s">
        <v>4770</v>
      </c>
      <c r="G3087" s="318" t="s">
        <v>821</v>
      </c>
      <c r="H3087" s="313" t="s">
        <v>4802</v>
      </c>
      <c r="I3087" s="317" t="s">
        <v>26</v>
      </c>
      <c r="J3087" s="313" t="s">
        <v>492</v>
      </c>
    </row>
    <row r="3088" spans="1:10" ht="36">
      <c r="A3088" s="204">
        <v>3090</v>
      </c>
      <c r="B3088" s="339">
        <v>46276</v>
      </c>
      <c r="C3088" s="307" t="s">
        <v>831</v>
      </c>
      <c r="D3088" s="314">
        <v>2026</v>
      </c>
      <c r="E3088" s="315" t="s">
        <v>1431</v>
      </c>
      <c r="F3088" s="314" t="s">
        <v>21</v>
      </c>
      <c r="G3088" s="318" t="s">
        <v>821</v>
      </c>
      <c r="H3088" s="313" t="s">
        <v>4803</v>
      </c>
      <c r="I3088" s="317" t="s">
        <v>26</v>
      </c>
      <c r="J3088" s="313" t="s">
        <v>468</v>
      </c>
    </row>
    <row r="3089" spans="1:10" ht="24">
      <c r="A3089" s="204">
        <v>3091</v>
      </c>
      <c r="B3089" s="339">
        <v>46276</v>
      </c>
      <c r="C3089" s="307" t="s">
        <v>831</v>
      </c>
      <c r="D3089" s="314">
        <v>2026</v>
      </c>
      <c r="E3089" s="315" t="s">
        <v>1431</v>
      </c>
      <c r="F3089" s="314" t="s">
        <v>1449</v>
      </c>
      <c r="G3089" s="318" t="s">
        <v>821</v>
      </c>
      <c r="H3089" s="321" t="s">
        <v>4804</v>
      </c>
      <c r="I3089" s="317" t="s">
        <v>26</v>
      </c>
      <c r="J3089" s="313" t="s">
        <v>2739</v>
      </c>
    </row>
    <row r="3090" spans="1:10" ht="84">
      <c r="A3090" s="204">
        <v>3092</v>
      </c>
      <c r="B3090" s="339">
        <v>46276</v>
      </c>
      <c r="C3090" s="307" t="s">
        <v>831</v>
      </c>
      <c r="D3090" s="314">
        <v>2026</v>
      </c>
      <c r="E3090" s="323" t="s">
        <v>2224</v>
      </c>
      <c r="F3090" s="314" t="s">
        <v>21</v>
      </c>
      <c r="G3090" s="318" t="s">
        <v>821</v>
      </c>
      <c r="H3090" s="313" t="s">
        <v>4805</v>
      </c>
      <c r="I3090" s="317" t="s">
        <v>26</v>
      </c>
      <c r="J3090" s="313" t="s">
        <v>2568</v>
      </c>
    </row>
    <row r="3091" spans="1:10" ht="60">
      <c r="A3091" s="204">
        <v>3093</v>
      </c>
      <c r="B3091" s="339">
        <v>46276</v>
      </c>
      <c r="C3091" s="307" t="s">
        <v>831</v>
      </c>
      <c r="D3091" s="314">
        <v>2026</v>
      </c>
      <c r="E3091" s="315" t="s">
        <v>1431</v>
      </c>
      <c r="F3091" s="314" t="s">
        <v>850</v>
      </c>
      <c r="G3091" s="328" t="s">
        <v>872</v>
      </c>
      <c r="H3091" s="313" t="s">
        <v>4806</v>
      </c>
      <c r="I3091" s="317" t="s">
        <v>26</v>
      </c>
      <c r="J3091" s="313" t="s">
        <v>1998</v>
      </c>
    </row>
    <row r="3092" spans="1:10" ht="24">
      <c r="A3092" s="204">
        <v>3094</v>
      </c>
      <c r="B3092" s="339">
        <v>46279</v>
      </c>
      <c r="C3092" s="307" t="s">
        <v>831</v>
      </c>
      <c r="D3092" s="314">
        <v>2026</v>
      </c>
      <c r="E3092" s="315" t="s">
        <v>1431</v>
      </c>
      <c r="F3092" s="314" t="s">
        <v>21</v>
      </c>
      <c r="G3092" s="318" t="s">
        <v>821</v>
      </c>
      <c r="H3092" s="313" t="s">
        <v>4807</v>
      </c>
      <c r="I3092" s="317" t="s">
        <v>26</v>
      </c>
      <c r="J3092" s="313" t="s">
        <v>4779</v>
      </c>
    </row>
    <row r="3093" spans="1:10" ht="15">
      <c r="A3093" s="204">
        <v>3095</v>
      </c>
      <c r="B3093" s="339">
        <v>46279</v>
      </c>
      <c r="C3093" s="307" t="s">
        <v>831</v>
      </c>
      <c r="D3093" s="314">
        <v>2026</v>
      </c>
      <c r="E3093" s="315" t="s">
        <v>1431</v>
      </c>
      <c r="F3093" s="314" t="s">
        <v>1449</v>
      </c>
      <c r="G3093" s="318" t="s">
        <v>821</v>
      </c>
      <c r="H3093" s="321" t="s">
        <v>4808</v>
      </c>
      <c r="I3093" s="317" t="s">
        <v>26</v>
      </c>
      <c r="J3093" s="313" t="s">
        <v>2739</v>
      </c>
    </row>
    <row r="3094" spans="1:10" ht="48">
      <c r="A3094" s="204">
        <v>3096</v>
      </c>
      <c r="B3094" s="339">
        <v>46279</v>
      </c>
      <c r="C3094" s="307" t="s">
        <v>831</v>
      </c>
      <c r="D3094" s="314">
        <v>2026</v>
      </c>
      <c r="E3094" s="323" t="s">
        <v>2224</v>
      </c>
      <c r="F3094" s="314" t="s">
        <v>21</v>
      </c>
      <c r="G3094" s="318" t="s">
        <v>821</v>
      </c>
      <c r="H3094" s="313" t="s">
        <v>4809</v>
      </c>
      <c r="I3094" s="317" t="s">
        <v>26</v>
      </c>
      <c r="J3094" s="313" t="s">
        <v>4810</v>
      </c>
    </row>
    <row r="3095" spans="1:10" ht="24">
      <c r="A3095" s="204">
        <v>3097</v>
      </c>
      <c r="B3095" s="339">
        <v>46280</v>
      </c>
      <c r="C3095" s="307" t="s">
        <v>831</v>
      </c>
      <c r="D3095" s="314">
        <v>2026</v>
      </c>
      <c r="E3095" s="315" t="s">
        <v>1431</v>
      </c>
      <c r="F3095" s="314" t="s">
        <v>21</v>
      </c>
      <c r="G3095" s="318" t="s">
        <v>821</v>
      </c>
      <c r="H3095" s="313" t="s">
        <v>4811</v>
      </c>
      <c r="I3095" s="317" t="s">
        <v>26</v>
      </c>
      <c r="J3095" s="313" t="s">
        <v>468</v>
      </c>
    </row>
    <row r="3096" spans="1:10" ht="15">
      <c r="A3096" s="204">
        <v>3098</v>
      </c>
      <c r="B3096" s="339">
        <v>46280</v>
      </c>
      <c r="C3096" s="307" t="s">
        <v>831</v>
      </c>
      <c r="D3096" s="314">
        <v>2026</v>
      </c>
      <c r="E3096" s="315" t="s">
        <v>1431</v>
      </c>
      <c r="F3096" s="314" t="s">
        <v>988</v>
      </c>
      <c r="G3096" s="316" t="s">
        <v>88</v>
      </c>
      <c r="H3096" s="329" t="s">
        <v>4812</v>
      </c>
      <c r="I3096" s="317" t="s">
        <v>26</v>
      </c>
      <c r="J3096" s="313" t="s">
        <v>914</v>
      </c>
    </row>
    <row r="3097" spans="1:10" ht="36">
      <c r="A3097" s="204">
        <v>3099</v>
      </c>
      <c r="B3097" s="339">
        <v>46280</v>
      </c>
      <c r="C3097" s="307" t="s">
        <v>831</v>
      </c>
      <c r="D3097" s="314">
        <v>2026</v>
      </c>
      <c r="E3097" s="315" t="s">
        <v>1431</v>
      </c>
      <c r="F3097" s="314" t="s">
        <v>4813</v>
      </c>
      <c r="G3097" s="316" t="s">
        <v>88</v>
      </c>
      <c r="H3097" s="321" t="s">
        <v>4814</v>
      </c>
      <c r="I3097" s="317" t="s">
        <v>26</v>
      </c>
      <c r="J3097" s="313" t="s">
        <v>850</v>
      </c>
    </row>
    <row r="3098" spans="1:10" ht="36">
      <c r="A3098" s="204">
        <v>3100</v>
      </c>
      <c r="B3098" s="339">
        <v>46280</v>
      </c>
      <c r="C3098" s="307" t="s">
        <v>831</v>
      </c>
      <c r="D3098" s="314">
        <v>2026</v>
      </c>
      <c r="E3098" s="315" t="s">
        <v>1431</v>
      </c>
      <c r="F3098" s="314" t="s">
        <v>4813</v>
      </c>
      <c r="G3098" s="316" t="s">
        <v>88</v>
      </c>
      <c r="H3098" s="321" t="s">
        <v>4815</v>
      </c>
      <c r="I3098" s="317" t="s">
        <v>26</v>
      </c>
      <c r="J3098" s="313" t="s">
        <v>850</v>
      </c>
    </row>
    <row r="3099" spans="1:10" ht="24">
      <c r="A3099" s="204">
        <v>3101</v>
      </c>
      <c r="B3099" s="339">
        <v>46280</v>
      </c>
      <c r="C3099" s="307" t="s">
        <v>831</v>
      </c>
      <c r="D3099" s="314">
        <v>2026</v>
      </c>
      <c r="E3099" s="315" t="s">
        <v>1431</v>
      </c>
      <c r="F3099" s="314" t="s">
        <v>21</v>
      </c>
      <c r="G3099" s="318" t="s">
        <v>821</v>
      </c>
      <c r="H3099" s="313" t="s">
        <v>4816</v>
      </c>
      <c r="I3099" s="317" t="s">
        <v>26</v>
      </c>
      <c r="J3099" s="313" t="s">
        <v>468</v>
      </c>
    </row>
    <row r="3100" spans="1:10" ht="24">
      <c r="A3100" s="204">
        <v>3102</v>
      </c>
      <c r="B3100" s="339">
        <v>46280</v>
      </c>
      <c r="C3100" s="307" t="s">
        <v>831</v>
      </c>
      <c r="D3100" s="314">
        <v>2026</v>
      </c>
      <c r="E3100" s="315" t="s">
        <v>1431</v>
      </c>
      <c r="F3100" s="314" t="s">
        <v>21</v>
      </c>
      <c r="G3100" s="318" t="s">
        <v>821</v>
      </c>
      <c r="H3100" s="313" t="s">
        <v>4817</v>
      </c>
      <c r="I3100" s="317" t="s">
        <v>26</v>
      </c>
      <c r="J3100" s="313" t="s">
        <v>468</v>
      </c>
    </row>
    <row r="3101" spans="1:10" ht="48">
      <c r="A3101" s="204">
        <v>3103</v>
      </c>
      <c r="B3101" s="339">
        <v>46280</v>
      </c>
      <c r="C3101" s="307" t="s">
        <v>831</v>
      </c>
      <c r="D3101" s="314">
        <v>2026</v>
      </c>
      <c r="E3101" s="315" t="s">
        <v>1431</v>
      </c>
      <c r="F3101" s="314" t="s">
        <v>4818</v>
      </c>
      <c r="G3101" s="316" t="s">
        <v>88</v>
      </c>
      <c r="H3101" s="313" t="s">
        <v>4819</v>
      </c>
      <c r="I3101" s="317" t="s">
        <v>26</v>
      </c>
      <c r="J3101" s="313" t="s">
        <v>850</v>
      </c>
    </row>
    <row r="3102" spans="1:10" ht="96">
      <c r="A3102" s="204">
        <v>3104</v>
      </c>
      <c r="B3102" s="339">
        <v>46280</v>
      </c>
      <c r="C3102" s="307" t="s">
        <v>831</v>
      </c>
      <c r="D3102" s="314">
        <v>2026</v>
      </c>
      <c r="E3102" s="323" t="s">
        <v>2224</v>
      </c>
      <c r="F3102" s="314" t="s">
        <v>1518</v>
      </c>
      <c r="G3102" s="316" t="s">
        <v>88</v>
      </c>
      <c r="H3102" s="321" t="s">
        <v>4820</v>
      </c>
      <c r="I3102" s="317" t="s">
        <v>26</v>
      </c>
      <c r="J3102" s="313" t="s">
        <v>118</v>
      </c>
    </row>
    <row r="3103" spans="1:10" ht="48">
      <c r="A3103" s="204">
        <v>3105</v>
      </c>
      <c r="B3103" s="339">
        <v>46280</v>
      </c>
      <c r="C3103" s="307" t="s">
        <v>831</v>
      </c>
      <c r="D3103" s="314">
        <v>2026</v>
      </c>
      <c r="E3103" s="323" t="s">
        <v>2224</v>
      </c>
      <c r="F3103" s="314" t="s">
        <v>1432</v>
      </c>
      <c r="G3103" s="318" t="s">
        <v>821</v>
      </c>
      <c r="H3103" s="313" t="s">
        <v>4821</v>
      </c>
      <c r="I3103" s="317" t="s">
        <v>26</v>
      </c>
      <c r="J3103" s="313" t="s">
        <v>2568</v>
      </c>
    </row>
    <row r="3104" spans="1:10" ht="48">
      <c r="A3104" s="204">
        <v>3106</v>
      </c>
      <c r="B3104" s="339">
        <v>46281</v>
      </c>
      <c r="C3104" s="307" t="s">
        <v>831</v>
      </c>
      <c r="D3104" s="314">
        <v>2026</v>
      </c>
      <c r="E3104" s="315" t="s">
        <v>1431</v>
      </c>
      <c r="F3104" s="314" t="s">
        <v>988</v>
      </c>
      <c r="G3104" s="324" t="s">
        <v>1439</v>
      </c>
      <c r="H3104" s="313" t="s">
        <v>4822</v>
      </c>
      <c r="I3104" s="317" t="s">
        <v>26</v>
      </c>
      <c r="J3104" s="313" t="s">
        <v>1493</v>
      </c>
    </row>
    <row r="3105" spans="1:10" ht="48">
      <c r="A3105" s="204">
        <v>3107</v>
      </c>
      <c r="B3105" s="339">
        <v>46281</v>
      </c>
      <c r="C3105" s="307" t="s">
        <v>831</v>
      </c>
      <c r="D3105" s="314">
        <v>2026</v>
      </c>
      <c r="E3105" s="315" t="s">
        <v>1431</v>
      </c>
      <c r="F3105" s="314" t="s">
        <v>4813</v>
      </c>
      <c r="G3105" s="316" t="s">
        <v>88</v>
      </c>
      <c r="H3105" s="313" t="s">
        <v>4823</v>
      </c>
      <c r="I3105" s="317" t="s">
        <v>26</v>
      </c>
      <c r="J3105" s="313" t="s">
        <v>4779</v>
      </c>
    </row>
    <row r="3106" spans="1:10" ht="36">
      <c r="A3106" s="204">
        <v>3108</v>
      </c>
      <c r="B3106" s="339">
        <v>46281</v>
      </c>
      <c r="C3106" s="307" t="s">
        <v>831</v>
      </c>
      <c r="D3106" s="314">
        <v>2026</v>
      </c>
      <c r="E3106" s="315" t="s">
        <v>1431</v>
      </c>
      <c r="F3106" s="314" t="s">
        <v>4813</v>
      </c>
      <c r="G3106" s="318" t="s">
        <v>821</v>
      </c>
      <c r="H3106" s="313" t="s">
        <v>4824</v>
      </c>
      <c r="I3106" s="317" t="s">
        <v>26</v>
      </c>
      <c r="J3106" s="313" t="s">
        <v>4779</v>
      </c>
    </row>
    <row r="3107" spans="1:10" ht="36">
      <c r="A3107" s="204">
        <v>3109</v>
      </c>
      <c r="B3107" s="339">
        <v>46281</v>
      </c>
      <c r="C3107" s="307" t="s">
        <v>831</v>
      </c>
      <c r="D3107" s="314">
        <v>2026</v>
      </c>
      <c r="E3107" s="315" t="s">
        <v>1431</v>
      </c>
      <c r="F3107" s="314" t="s">
        <v>4813</v>
      </c>
      <c r="G3107" s="318" t="s">
        <v>821</v>
      </c>
      <c r="H3107" s="313" t="s">
        <v>4825</v>
      </c>
      <c r="I3107" s="317" t="s">
        <v>26</v>
      </c>
      <c r="J3107" s="313" t="s">
        <v>4779</v>
      </c>
    </row>
    <row r="3108" spans="1:10" ht="24">
      <c r="A3108" s="204">
        <v>3110</v>
      </c>
      <c r="B3108" s="339">
        <v>46281</v>
      </c>
      <c r="C3108" s="307" t="s">
        <v>831</v>
      </c>
      <c r="D3108" s="314">
        <v>2026</v>
      </c>
      <c r="E3108" s="315" t="s">
        <v>1431</v>
      </c>
      <c r="F3108" s="314" t="s">
        <v>1584</v>
      </c>
      <c r="G3108" s="318" t="s">
        <v>821</v>
      </c>
      <c r="H3108" s="313" t="s">
        <v>4826</v>
      </c>
      <c r="I3108" s="317" t="s">
        <v>26</v>
      </c>
      <c r="J3108" s="313" t="s">
        <v>4779</v>
      </c>
    </row>
    <row r="3109" spans="1:10" ht="15">
      <c r="A3109" s="204">
        <v>3111</v>
      </c>
      <c r="B3109" s="339">
        <v>46281</v>
      </c>
      <c r="C3109" s="307" t="s">
        <v>831</v>
      </c>
      <c r="D3109" s="314">
        <v>2026</v>
      </c>
      <c r="E3109" s="315" t="s">
        <v>1431</v>
      </c>
      <c r="F3109" s="314" t="s">
        <v>21</v>
      </c>
      <c r="G3109" s="318" t="s">
        <v>821</v>
      </c>
      <c r="H3109" s="313" t="s">
        <v>4827</v>
      </c>
      <c r="I3109" s="317" t="s">
        <v>26</v>
      </c>
      <c r="J3109" s="313" t="s">
        <v>468</v>
      </c>
    </row>
    <row r="3110" spans="1:10" ht="24">
      <c r="A3110" s="204">
        <v>3112</v>
      </c>
      <c r="B3110" s="339">
        <v>46281</v>
      </c>
      <c r="C3110" s="307" t="s">
        <v>831</v>
      </c>
      <c r="D3110" s="314">
        <v>2026</v>
      </c>
      <c r="E3110" s="315" t="s">
        <v>1431</v>
      </c>
      <c r="F3110" s="314" t="s">
        <v>1566</v>
      </c>
      <c r="G3110" s="316" t="s">
        <v>88</v>
      </c>
      <c r="H3110" s="321" t="s">
        <v>4828</v>
      </c>
      <c r="I3110" s="317" t="s">
        <v>26</v>
      </c>
      <c r="J3110" s="313" t="s">
        <v>4759</v>
      </c>
    </row>
    <row r="3111" spans="1:10" ht="24">
      <c r="A3111" s="204">
        <v>3113</v>
      </c>
      <c r="B3111" s="339">
        <v>46281</v>
      </c>
      <c r="C3111" s="307" t="s">
        <v>831</v>
      </c>
      <c r="D3111" s="314">
        <v>2026</v>
      </c>
      <c r="E3111" s="315" t="s">
        <v>1431</v>
      </c>
      <c r="F3111" s="314" t="s">
        <v>1566</v>
      </c>
      <c r="G3111" s="316" t="s">
        <v>88</v>
      </c>
      <c r="H3111" s="321" t="s">
        <v>4829</v>
      </c>
      <c r="I3111" s="317" t="s">
        <v>26</v>
      </c>
      <c r="J3111" s="313" t="s">
        <v>4759</v>
      </c>
    </row>
    <row r="3112" spans="1:10" ht="15">
      <c r="A3112" s="204">
        <v>3114</v>
      </c>
      <c r="B3112" s="339">
        <v>46281</v>
      </c>
      <c r="C3112" s="307" t="s">
        <v>831</v>
      </c>
      <c r="D3112" s="314">
        <v>2026</v>
      </c>
      <c r="E3112" s="323" t="s">
        <v>2224</v>
      </c>
      <c r="F3112" s="314" t="s">
        <v>1566</v>
      </c>
      <c r="G3112" s="316" t="s">
        <v>88</v>
      </c>
      <c r="H3112" s="321" t="s">
        <v>4830</v>
      </c>
      <c r="I3112" s="317" t="s">
        <v>26</v>
      </c>
      <c r="J3112" s="313" t="s">
        <v>4759</v>
      </c>
    </row>
    <row r="3113" spans="1:10" ht="36">
      <c r="A3113" s="204">
        <v>3115</v>
      </c>
      <c r="B3113" s="339">
        <v>46281</v>
      </c>
      <c r="C3113" s="307" t="s">
        <v>831</v>
      </c>
      <c r="D3113" s="314">
        <v>2026</v>
      </c>
      <c r="E3113" s="323" t="s">
        <v>2224</v>
      </c>
      <c r="F3113" s="314" t="s">
        <v>1449</v>
      </c>
      <c r="G3113" s="316" t="s">
        <v>88</v>
      </c>
      <c r="H3113" s="321" t="s">
        <v>4831</v>
      </c>
      <c r="I3113" s="317" t="s">
        <v>26</v>
      </c>
      <c r="J3113" s="313" t="s">
        <v>2739</v>
      </c>
    </row>
    <row r="3114" spans="1:10" ht="48">
      <c r="A3114" s="204">
        <v>3116</v>
      </c>
      <c r="B3114" s="339">
        <v>46282</v>
      </c>
      <c r="C3114" s="307" t="s">
        <v>831</v>
      </c>
      <c r="D3114" s="314">
        <v>2026</v>
      </c>
      <c r="E3114" s="315" t="s">
        <v>1431</v>
      </c>
      <c r="F3114" s="314" t="s">
        <v>1182</v>
      </c>
      <c r="G3114" s="318" t="s">
        <v>821</v>
      </c>
      <c r="H3114" s="313" t="s">
        <v>4832</v>
      </c>
      <c r="I3114" s="317" t="s">
        <v>26</v>
      </c>
      <c r="J3114" s="313" t="s">
        <v>4779</v>
      </c>
    </row>
    <row r="3115" spans="1:10" ht="36">
      <c r="A3115" s="204">
        <v>3117</v>
      </c>
      <c r="B3115" s="339">
        <v>46282</v>
      </c>
      <c r="C3115" s="307" t="s">
        <v>831</v>
      </c>
      <c r="D3115" s="314">
        <v>2026</v>
      </c>
      <c r="E3115" s="323" t="s">
        <v>2224</v>
      </c>
      <c r="F3115" s="314" t="s">
        <v>4770</v>
      </c>
      <c r="G3115" s="318" t="s">
        <v>821</v>
      </c>
      <c r="H3115" s="313" t="s">
        <v>4833</v>
      </c>
      <c r="I3115" s="317" t="s">
        <v>26</v>
      </c>
      <c r="J3115" s="313" t="s">
        <v>4834</v>
      </c>
    </row>
    <row r="3116" spans="1:10" ht="36">
      <c r="A3116" s="204">
        <v>3118</v>
      </c>
      <c r="B3116" s="339">
        <v>46282</v>
      </c>
      <c r="C3116" s="307" t="s">
        <v>831</v>
      </c>
      <c r="D3116" s="314">
        <v>2026</v>
      </c>
      <c r="E3116" s="323" t="s">
        <v>2224</v>
      </c>
      <c r="F3116" s="314" t="s">
        <v>21</v>
      </c>
      <c r="G3116" s="318" t="s">
        <v>821</v>
      </c>
      <c r="H3116" s="313" t="s">
        <v>4835</v>
      </c>
      <c r="I3116" s="317" t="s">
        <v>26</v>
      </c>
      <c r="J3116" s="313" t="s">
        <v>468</v>
      </c>
    </row>
    <row r="3117" spans="1:10" ht="48">
      <c r="A3117" s="204">
        <v>3119</v>
      </c>
      <c r="B3117" s="339">
        <v>46282</v>
      </c>
      <c r="C3117" s="307" t="s">
        <v>831</v>
      </c>
      <c r="D3117" s="314">
        <v>2026</v>
      </c>
      <c r="E3117" s="323" t="s">
        <v>2224</v>
      </c>
      <c r="F3117" s="314" t="s">
        <v>1449</v>
      </c>
      <c r="G3117" s="316" t="s">
        <v>88</v>
      </c>
      <c r="H3117" s="321" t="s">
        <v>4836</v>
      </c>
      <c r="I3117" s="317" t="s">
        <v>26</v>
      </c>
      <c r="J3117" s="313" t="s">
        <v>2739</v>
      </c>
    </row>
    <row r="3118" spans="1:10" ht="24">
      <c r="A3118" s="204">
        <v>3120</v>
      </c>
      <c r="B3118" s="339">
        <v>46283</v>
      </c>
      <c r="C3118" s="307" t="s">
        <v>831</v>
      </c>
      <c r="D3118" s="314">
        <v>2026</v>
      </c>
      <c r="E3118" s="315" t="s">
        <v>1431</v>
      </c>
      <c r="F3118" s="314" t="s">
        <v>988</v>
      </c>
      <c r="G3118" s="316" t="s">
        <v>88</v>
      </c>
      <c r="H3118" s="313" t="s">
        <v>4837</v>
      </c>
      <c r="I3118" s="317" t="s">
        <v>26</v>
      </c>
      <c r="J3118" s="313" t="s">
        <v>3758</v>
      </c>
    </row>
    <row r="3119" spans="1:10" ht="36">
      <c r="A3119" s="204">
        <v>3121</v>
      </c>
      <c r="B3119" s="339">
        <v>46283</v>
      </c>
      <c r="C3119" s="307" t="s">
        <v>831</v>
      </c>
      <c r="D3119" s="314">
        <v>2026</v>
      </c>
      <c r="E3119" s="315" t="s">
        <v>1431</v>
      </c>
      <c r="F3119" s="314" t="s">
        <v>4770</v>
      </c>
      <c r="G3119" s="318" t="s">
        <v>821</v>
      </c>
      <c r="H3119" s="313" t="s">
        <v>4838</v>
      </c>
      <c r="I3119" s="317" t="s">
        <v>26</v>
      </c>
      <c r="J3119" s="313" t="s">
        <v>4834</v>
      </c>
    </row>
    <row r="3120" spans="1:10" ht="15">
      <c r="A3120" s="204">
        <v>3122</v>
      </c>
      <c r="B3120" s="339">
        <v>46283</v>
      </c>
      <c r="C3120" s="307" t="s">
        <v>831</v>
      </c>
      <c r="D3120" s="314">
        <v>2026</v>
      </c>
      <c r="E3120" s="315" t="s">
        <v>1431</v>
      </c>
      <c r="F3120" s="314" t="s">
        <v>21</v>
      </c>
      <c r="G3120" s="318" t="s">
        <v>821</v>
      </c>
      <c r="H3120" s="313" t="s">
        <v>4839</v>
      </c>
      <c r="I3120" s="317" t="s">
        <v>26</v>
      </c>
      <c r="J3120" s="313" t="s">
        <v>468</v>
      </c>
    </row>
    <row r="3121" spans="1:10" ht="24">
      <c r="A3121" s="204">
        <v>3123</v>
      </c>
      <c r="B3121" s="339">
        <v>46283</v>
      </c>
      <c r="C3121" s="307" t="s">
        <v>831</v>
      </c>
      <c r="D3121" s="314">
        <v>2026</v>
      </c>
      <c r="E3121" s="315" t="s">
        <v>1431</v>
      </c>
      <c r="F3121" s="314" t="s">
        <v>1449</v>
      </c>
      <c r="G3121" s="316" t="s">
        <v>88</v>
      </c>
      <c r="H3121" s="321" t="s">
        <v>4840</v>
      </c>
      <c r="I3121" s="317" t="s">
        <v>26</v>
      </c>
      <c r="J3121" s="313" t="s">
        <v>4762</v>
      </c>
    </row>
    <row r="3122" spans="1:10" ht="15">
      <c r="A3122" s="204">
        <v>3124</v>
      </c>
      <c r="B3122" s="339">
        <v>46283</v>
      </c>
      <c r="C3122" s="307" t="s">
        <v>831</v>
      </c>
      <c r="D3122" s="314">
        <v>2026</v>
      </c>
      <c r="E3122" s="315" t="s">
        <v>1431</v>
      </c>
      <c r="F3122" s="314" t="s">
        <v>1449</v>
      </c>
      <c r="G3122" s="316" t="s">
        <v>88</v>
      </c>
      <c r="H3122" s="321" t="s">
        <v>4841</v>
      </c>
      <c r="I3122" s="317" t="s">
        <v>26</v>
      </c>
      <c r="J3122" s="313" t="s">
        <v>4762</v>
      </c>
    </row>
    <row r="3123" spans="1:10" ht="36">
      <c r="A3123" s="204">
        <v>3125</v>
      </c>
      <c r="B3123" s="339">
        <v>46283</v>
      </c>
      <c r="C3123" s="307" t="s">
        <v>831</v>
      </c>
      <c r="D3123" s="314">
        <v>2026</v>
      </c>
      <c r="E3123" s="315" t="s">
        <v>1431</v>
      </c>
      <c r="F3123" s="314" t="s">
        <v>52</v>
      </c>
      <c r="G3123" s="324" t="s">
        <v>1439</v>
      </c>
      <c r="H3123" s="313" t="s">
        <v>4842</v>
      </c>
      <c r="I3123" s="330" t="s">
        <v>4745</v>
      </c>
      <c r="J3123" s="313" t="s">
        <v>850</v>
      </c>
    </row>
    <row r="3124" spans="1:10" ht="24">
      <c r="A3124" s="204">
        <v>3126</v>
      </c>
      <c r="B3124" s="339">
        <v>46283</v>
      </c>
      <c r="C3124" s="307" t="s">
        <v>831</v>
      </c>
      <c r="D3124" s="314">
        <v>2026</v>
      </c>
      <c r="E3124" s="323" t="s">
        <v>2224</v>
      </c>
      <c r="F3124" s="314" t="s">
        <v>4770</v>
      </c>
      <c r="G3124" s="318" t="s">
        <v>821</v>
      </c>
      <c r="H3124" s="313" t="s">
        <v>4843</v>
      </c>
      <c r="I3124" s="317" t="s">
        <v>26</v>
      </c>
      <c r="J3124" s="313" t="s">
        <v>4834</v>
      </c>
    </row>
    <row r="3125" spans="1:10" ht="36">
      <c r="A3125" s="204">
        <v>3127</v>
      </c>
      <c r="B3125" s="339">
        <v>46283</v>
      </c>
      <c r="C3125" s="307" t="s">
        <v>831</v>
      </c>
      <c r="D3125" s="314">
        <v>2026</v>
      </c>
      <c r="E3125" s="323" t="s">
        <v>2224</v>
      </c>
      <c r="F3125" s="314" t="s">
        <v>1449</v>
      </c>
      <c r="G3125" s="316" t="s">
        <v>88</v>
      </c>
      <c r="H3125" s="313" t="s">
        <v>4844</v>
      </c>
      <c r="I3125" s="317" t="s">
        <v>26</v>
      </c>
      <c r="J3125" s="313" t="s">
        <v>4762</v>
      </c>
    </row>
    <row r="3126" spans="1:10" ht="15">
      <c r="A3126" s="204">
        <v>3128</v>
      </c>
      <c r="B3126" s="339">
        <v>46286</v>
      </c>
      <c r="C3126" s="307" t="s">
        <v>831</v>
      </c>
      <c r="D3126" s="314">
        <v>2026</v>
      </c>
      <c r="E3126" s="315" t="s">
        <v>1431</v>
      </c>
      <c r="F3126" s="314" t="s">
        <v>1566</v>
      </c>
      <c r="G3126" s="316" t="s">
        <v>88</v>
      </c>
      <c r="H3126" s="321" t="s">
        <v>4845</v>
      </c>
      <c r="I3126" s="317" t="s">
        <v>26</v>
      </c>
      <c r="J3126" s="313" t="s">
        <v>4759</v>
      </c>
    </row>
    <row r="3127" spans="1:10" ht="24">
      <c r="A3127" s="204">
        <v>3129</v>
      </c>
      <c r="B3127" s="339">
        <v>46286</v>
      </c>
      <c r="C3127" s="307" t="s">
        <v>831</v>
      </c>
      <c r="D3127" s="314">
        <v>2026</v>
      </c>
      <c r="E3127" s="315" t="s">
        <v>1431</v>
      </c>
      <c r="F3127" s="314" t="s">
        <v>1449</v>
      </c>
      <c r="G3127" s="316" t="s">
        <v>88</v>
      </c>
      <c r="H3127" s="321" t="s">
        <v>4846</v>
      </c>
      <c r="I3127" s="317" t="s">
        <v>26</v>
      </c>
      <c r="J3127" s="313" t="s">
        <v>2739</v>
      </c>
    </row>
    <row r="3128" spans="1:10" ht="107.25">
      <c r="A3128" s="204">
        <v>3130</v>
      </c>
      <c r="B3128" s="339">
        <v>46287</v>
      </c>
      <c r="C3128" s="307" t="s">
        <v>831</v>
      </c>
      <c r="D3128" s="314">
        <v>2026</v>
      </c>
      <c r="E3128" s="315" t="s">
        <v>1431</v>
      </c>
      <c r="F3128" s="314" t="s">
        <v>1506</v>
      </c>
      <c r="G3128" s="316" t="s">
        <v>88</v>
      </c>
      <c r="H3128" s="331" t="s">
        <v>4847</v>
      </c>
      <c r="I3128" s="317" t="s">
        <v>26</v>
      </c>
      <c r="J3128" s="313" t="s">
        <v>3740</v>
      </c>
    </row>
    <row r="3129" spans="1:10" ht="48">
      <c r="A3129" s="204">
        <v>3131</v>
      </c>
      <c r="B3129" s="339">
        <v>46287</v>
      </c>
      <c r="C3129" s="307" t="s">
        <v>831</v>
      </c>
      <c r="D3129" s="314">
        <v>2026</v>
      </c>
      <c r="E3129" s="315" t="s">
        <v>1431</v>
      </c>
      <c r="F3129" s="314" t="s">
        <v>4848</v>
      </c>
      <c r="G3129" s="316" t="s">
        <v>88</v>
      </c>
      <c r="H3129" s="313" t="s">
        <v>4849</v>
      </c>
      <c r="I3129" s="317" t="s">
        <v>26</v>
      </c>
      <c r="J3129" s="313" t="s">
        <v>2599</v>
      </c>
    </row>
    <row r="3130" spans="1:10" ht="24">
      <c r="A3130" s="204">
        <v>3132</v>
      </c>
      <c r="B3130" s="339">
        <v>46287</v>
      </c>
      <c r="C3130" s="307" t="s">
        <v>831</v>
      </c>
      <c r="D3130" s="314">
        <v>2026</v>
      </c>
      <c r="E3130" s="315" t="s">
        <v>1431</v>
      </c>
      <c r="F3130" s="314" t="s">
        <v>922</v>
      </c>
      <c r="G3130" s="316" t="s">
        <v>88</v>
      </c>
      <c r="H3130" s="331" t="s">
        <v>4850</v>
      </c>
      <c r="I3130" s="317" t="s">
        <v>26</v>
      </c>
      <c r="J3130" s="313" t="s">
        <v>4339</v>
      </c>
    </row>
    <row r="3131" spans="1:10" ht="36">
      <c r="A3131" s="204">
        <v>3133</v>
      </c>
      <c r="B3131" s="339">
        <v>46287</v>
      </c>
      <c r="C3131" s="307" t="s">
        <v>831</v>
      </c>
      <c r="D3131" s="314">
        <v>2026</v>
      </c>
      <c r="E3131" s="315" t="s">
        <v>1431</v>
      </c>
      <c r="F3131" s="314" t="s">
        <v>922</v>
      </c>
      <c r="G3131" s="316" t="s">
        <v>88</v>
      </c>
      <c r="H3131" s="331" t="s">
        <v>4851</v>
      </c>
      <c r="I3131" s="317" t="s">
        <v>26</v>
      </c>
      <c r="J3131" s="313" t="s">
        <v>4339</v>
      </c>
    </row>
    <row r="3132" spans="1:10" ht="24">
      <c r="A3132" s="204">
        <v>3134</v>
      </c>
      <c r="B3132" s="339">
        <v>46287</v>
      </c>
      <c r="C3132" s="307" t="s">
        <v>831</v>
      </c>
      <c r="D3132" s="314">
        <v>2026</v>
      </c>
      <c r="E3132" s="315" t="s">
        <v>1431</v>
      </c>
      <c r="F3132" s="314" t="s">
        <v>1504</v>
      </c>
      <c r="G3132" s="318" t="s">
        <v>821</v>
      </c>
      <c r="H3132" s="313" t="s">
        <v>4852</v>
      </c>
      <c r="I3132" s="330" t="s">
        <v>4745</v>
      </c>
      <c r="J3132" s="313" t="s">
        <v>158</v>
      </c>
    </row>
    <row r="3133" spans="1:10" ht="24">
      <c r="A3133" s="204">
        <v>3135</v>
      </c>
      <c r="B3133" s="339">
        <v>46287</v>
      </c>
      <c r="C3133" s="307" t="s">
        <v>831</v>
      </c>
      <c r="D3133" s="314">
        <v>2026</v>
      </c>
      <c r="E3133" s="315" t="s">
        <v>1431</v>
      </c>
      <c r="F3133" s="314" t="s">
        <v>216</v>
      </c>
      <c r="G3133" s="318" t="s">
        <v>821</v>
      </c>
      <c r="H3133" s="313" t="s">
        <v>4853</v>
      </c>
      <c r="I3133" s="330" t="s">
        <v>4745</v>
      </c>
      <c r="J3133" s="313" t="s">
        <v>492</v>
      </c>
    </row>
    <row r="3134" spans="1:10" ht="60">
      <c r="A3134" s="204">
        <v>3136</v>
      </c>
      <c r="B3134" s="339">
        <v>46287</v>
      </c>
      <c r="C3134" s="307" t="s">
        <v>831</v>
      </c>
      <c r="D3134" s="314">
        <v>2026</v>
      </c>
      <c r="E3134" s="315" t="s">
        <v>1431</v>
      </c>
      <c r="F3134" s="314" t="s">
        <v>216</v>
      </c>
      <c r="G3134" s="318" t="s">
        <v>821</v>
      </c>
      <c r="H3134" s="313" t="s">
        <v>4854</v>
      </c>
      <c r="I3134" s="330" t="s">
        <v>4745</v>
      </c>
      <c r="J3134" s="313" t="s">
        <v>492</v>
      </c>
    </row>
    <row r="3135" spans="1:10" ht="36">
      <c r="A3135" s="204">
        <v>3137</v>
      </c>
      <c r="B3135" s="339">
        <v>46287</v>
      </c>
      <c r="C3135" s="307" t="s">
        <v>831</v>
      </c>
      <c r="D3135" s="314">
        <v>2026</v>
      </c>
      <c r="E3135" s="315" t="s">
        <v>1431</v>
      </c>
      <c r="F3135" s="314" t="s">
        <v>97</v>
      </c>
      <c r="G3135" s="318" t="s">
        <v>821</v>
      </c>
      <c r="H3135" s="313" t="s">
        <v>4855</v>
      </c>
      <c r="I3135" s="330" t="s">
        <v>4745</v>
      </c>
      <c r="J3135" s="313" t="s">
        <v>158</v>
      </c>
    </row>
    <row r="3136" spans="1:10" ht="24">
      <c r="A3136" s="204">
        <v>3138</v>
      </c>
      <c r="B3136" s="339">
        <v>46287</v>
      </c>
      <c r="C3136" s="307" t="s">
        <v>831</v>
      </c>
      <c r="D3136" s="314">
        <v>2026</v>
      </c>
      <c r="E3136" s="315" t="s">
        <v>1431</v>
      </c>
      <c r="F3136" s="314" t="s">
        <v>1449</v>
      </c>
      <c r="G3136" s="318" t="s">
        <v>821</v>
      </c>
      <c r="H3136" s="321" t="s">
        <v>4856</v>
      </c>
      <c r="I3136" s="317" t="s">
        <v>26</v>
      </c>
      <c r="J3136" s="313" t="s">
        <v>2739</v>
      </c>
    </row>
    <row r="3137" spans="1:10" ht="36">
      <c r="A3137" s="204">
        <v>3139</v>
      </c>
      <c r="B3137" s="339">
        <v>46287</v>
      </c>
      <c r="C3137" s="307" t="s">
        <v>831</v>
      </c>
      <c r="D3137" s="314">
        <v>2026</v>
      </c>
      <c r="E3137" s="315" t="s">
        <v>1431</v>
      </c>
      <c r="F3137" s="314" t="s">
        <v>1449</v>
      </c>
      <c r="G3137" s="316" t="s">
        <v>88</v>
      </c>
      <c r="H3137" s="321" t="s">
        <v>4857</v>
      </c>
      <c r="I3137" s="317" t="s">
        <v>26</v>
      </c>
      <c r="J3137" s="313" t="s">
        <v>2739</v>
      </c>
    </row>
    <row r="3138" spans="1:10" ht="60">
      <c r="A3138" s="204">
        <v>3140</v>
      </c>
      <c r="B3138" s="339">
        <v>46287</v>
      </c>
      <c r="C3138" s="307" t="s">
        <v>831</v>
      </c>
      <c r="D3138" s="314">
        <v>2026</v>
      </c>
      <c r="E3138" s="315" t="s">
        <v>1431</v>
      </c>
      <c r="F3138" s="314" t="s">
        <v>1449</v>
      </c>
      <c r="G3138" s="316" t="s">
        <v>88</v>
      </c>
      <c r="H3138" s="321" t="s">
        <v>4858</v>
      </c>
      <c r="I3138" s="317" t="s">
        <v>26</v>
      </c>
      <c r="J3138" s="313" t="s">
        <v>2739</v>
      </c>
    </row>
    <row r="3139" spans="1:10" ht="36">
      <c r="A3139" s="204">
        <v>3141</v>
      </c>
      <c r="B3139" s="339">
        <v>46287</v>
      </c>
      <c r="C3139" s="307" t="s">
        <v>831</v>
      </c>
      <c r="D3139" s="314">
        <v>2026</v>
      </c>
      <c r="E3139" s="323" t="s">
        <v>2224</v>
      </c>
      <c r="F3139" s="314" t="s">
        <v>21</v>
      </c>
      <c r="G3139" s="318" t="s">
        <v>821</v>
      </c>
      <c r="H3139" s="313" t="s">
        <v>4859</v>
      </c>
      <c r="I3139" s="317" t="s">
        <v>26</v>
      </c>
      <c r="J3139" s="313" t="s">
        <v>468</v>
      </c>
    </row>
    <row r="3140" spans="1:10" ht="36">
      <c r="A3140" s="204">
        <v>3142</v>
      </c>
      <c r="B3140" s="339">
        <v>46288</v>
      </c>
      <c r="C3140" s="307" t="s">
        <v>831</v>
      </c>
      <c r="D3140" s="314">
        <v>2026</v>
      </c>
      <c r="E3140" s="315" t="s">
        <v>1431</v>
      </c>
      <c r="F3140" s="314" t="s">
        <v>216</v>
      </c>
      <c r="G3140" s="318" t="s">
        <v>821</v>
      </c>
      <c r="H3140" s="313" t="s">
        <v>4860</v>
      </c>
      <c r="I3140" s="330" t="s">
        <v>4745</v>
      </c>
      <c r="J3140" s="313" t="s">
        <v>158</v>
      </c>
    </row>
    <row r="3141" spans="1:10" ht="24">
      <c r="A3141" s="204">
        <v>3143</v>
      </c>
      <c r="B3141" s="339">
        <v>46288</v>
      </c>
      <c r="C3141" s="307" t="s">
        <v>831</v>
      </c>
      <c r="D3141" s="314">
        <v>2026</v>
      </c>
      <c r="E3141" s="315" t="s">
        <v>1431</v>
      </c>
      <c r="F3141" s="314" t="s">
        <v>574</v>
      </c>
      <c r="G3141" s="316" t="s">
        <v>88</v>
      </c>
      <c r="H3141" s="313" t="s">
        <v>4861</v>
      </c>
      <c r="I3141" s="330" t="s">
        <v>4745</v>
      </c>
      <c r="J3141" s="313" t="s">
        <v>578</v>
      </c>
    </row>
    <row r="3142" spans="1:10" ht="72">
      <c r="A3142" s="204">
        <v>3144</v>
      </c>
      <c r="B3142" s="339">
        <v>46288</v>
      </c>
      <c r="C3142" s="307" t="s">
        <v>831</v>
      </c>
      <c r="D3142" s="314">
        <v>2026</v>
      </c>
      <c r="E3142" s="315" t="s">
        <v>1431</v>
      </c>
      <c r="F3142" s="314" t="s">
        <v>3772</v>
      </c>
      <c r="G3142" s="324" t="s">
        <v>1439</v>
      </c>
      <c r="H3142" s="313" t="s">
        <v>4862</v>
      </c>
      <c r="I3142" s="330" t="s">
        <v>4745</v>
      </c>
      <c r="J3142" s="313" t="s">
        <v>4863</v>
      </c>
    </row>
    <row r="3143" spans="1:10" ht="48">
      <c r="A3143" s="204">
        <v>3145</v>
      </c>
      <c r="B3143" s="339">
        <v>46288</v>
      </c>
      <c r="C3143" s="307" t="s">
        <v>831</v>
      </c>
      <c r="D3143" s="314">
        <v>2026</v>
      </c>
      <c r="E3143" s="315" t="s">
        <v>1431</v>
      </c>
      <c r="F3143" s="314" t="s">
        <v>52</v>
      </c>
      <c r="G3143" s="324" t="s">
        <v>1439</v>
      </c>
      <c r="H3143" s="313" t="s">
        <v>4864</v>
      </c>
      <c r="I3143" s="330" t="s">
        <v>4745</v>
      </c>
      <c r="J3143" s="313" t="s">
        <v>2244</v>
      </c>
    </row>
    <row r="3144" spans="1:10" ht="60">
      <c r="A3144" s="204">
        <v>3146</v>
      </c>
      <c r="B3144" s="339">
        <v>46288</v>
      </c>
      <c r="C3144" s="307" t="s">
        <v>831</v>
      </c>
      <c r="D3144" s="314">
        <v>2026</v>
      </c>
      <c r="E3144" s="315" t="s">
        <v>1431</v>
      </c>
      <c r="F3144" s="314" t="s">
        <v>1432</v>
      </c>
      <c r="G3144" s="318" t="s">
        <v>821</v>
      </c>
      <c r="H3144" s="313" t="s">
        <v>4865</v>
      </c>
      <c r="I3144" s="330" t="s">
        <v>4745</v>
      </c>
      <c r="J3144" s="313" t="s">
        <v>158</v>
      </c>
    </row>
    <row r="3145" spans="1:10" ht="24">
      <c r="A3145" s="204">
        <v>3147</v>
      </c>
      <c r="B3145" s="339">
        <v>46288</v>
      </c>
      <c r="C3145" s="307" t="s">
        <v>831</v>
      </c>
      <c r="D3145" s="314">
        <v>2026</v>
      </c>
      <c r="E3145" s="323" t="s">
        <v>2224</v>
      </c>
      <c r="F3145" s="314" t="s">
        <v>52</v>
      </c>
      <c r="G3145" s="324" t="s">
        <v>1439</v>
      </c>
      <c r="H3145" s="313" t="s">
        <v>4866</v>
      </c>
      <c r="I3145" s="330" t="s">
        <v>4745</v>
      </c>
      <c r="J3145" s="313" t="s">
        <v>4863</v>
      </c>
    </row>
    <row r="3146" spans="1:10" ht="24">
      <c r="A3146" s="204">
        <v>3148</v>
      </c>
      <c r="B3146" s="339">
        <v>46288</v>
      </c>
      <c r="C3146" s="307" t="s">
        <v>831</v>
      </c>
      <c r="D3146" s="314">
        <v>2026</v>
      </c>
      <c r="E3146" s="323" t="s">
        <v>2224</v>
      </c>
      <c r="F3146" s="314" t="s">
        <v>1432</v>
      </c>
      <c r="G3146" s="318" t="s">
        <v>821</v>
      </c>
      <c r="H3146" s="313" t="s">
        <v>4867</v>
      </c>
      <c r="I3146" s="317" t="s">
        <v>26</v>
      </c>
      <c r="J3146" s="313" t="s">
        <v>158</v>
      </c>
    </row>
    <row r="3147" spans="1:10" ht="24">
      <c r="A3147" s="204">
        <v>3149</v>
      </c>
      <c r="B3147" s="339">
        <v>46289</v>
      </c>
      <c r="C3147" s="307" t="s">
        <v>831</v>
      </c>
      <c r="D3147" s="314">
        <v>2026</v>
      </c>
      <c r="E3147" s="315" t="s">
        <v>1431</v>
      </c>
      <c r="F3147" s="314" t="s">
        <v>4868</v>
      </c>
      <c r="G3147" s="316" t="s">
        <v>88</v>
      </c>
      <c r="H3147" s="313" t="s">
        <v>4869</v>
      </c>
      <c r="I3147" s="317" t="s">
        <v>26</v>
      </c>
      <c r="J3147" s="313" t="s">
        <v>3758</v>
      </c>
    </row>
    <row r="3148" spans="1:10" ht="24">
      <c r="A3148" s="204">
        <v>3150</v>
      </c>
      <c r="B3148" s="339">
        <v>46289</v>
      </c>
      <c r="C3148" s="307" t="s">
        <v>831</v>
      </c>
      <c r="D3148" s="314">
        <v>2026</v>
      </c>
      <c r="E3148" s="315" t="s">
        <v>1431</v>
      </c>
      <c r="F3148" s="314" t="s">
        <v>4770</v>
      </c>
      <c r="G3148" s="318" t="s">
        <v>821</v>
      </c>
      <c r="H3148" s="313" t="s">
        <v>4870</v>
      </c>
      <c r="I3148" s="317" t="s">
        <v>26</v>
      </c>
      <c r="J3148" s="313" t="s">
        <v>914</v>
      </c>
    </row>
    <row r="3149" spans="1:10" ht="36">
      <c r="A3149" s="204">
        <v>3151</v>
      </c>
      <c r="B3149" s="339">
        <v>46289</v>
      </c>
      <c r="C3149" s="307" t="s">
        <v>831</v>
      </c>
      <c r="D3149" s="314">
        <v>2026</v>
      </c>
      <c r="E3149" s="315" t="s">
        <v>1431</v>
      </c>
      <c r="F3149" s="314" t="s">
        <v>1182</v>
      </c>
      <c r="G3149" s="316" t="s">
        <v>88</v>
      </c>
      <c r="H3149" s="313" t="s">
        <v>4871</v>
      </c>
      <c r="I3149" s="317" t="s">
        <v>26</v>
      </c>
      <c r="J3149" s="313" t="s">
        <v>4779</v>
      </c>
    </row>
    <row r="3150" spans="1:10" ht="36">
      <c r="A3150" s="204">
        <v>3152</v>
      </c>
      <c r="B3150" s="339">
        <v>46289</v>
      </c>
      <c r="C3150" s="307" t="s">
        <v>831</v>
      </c>
      <c r="D3150" s="314">
        <v>2026</v>
      </c>
      <c r="E3150" s="315" t="s">
        <v>1431</v>
      </c>
      <c r="F3150" s="314" t="s">
        <v>21</v>
      </c>
      <c r="G3150" s="318" t="s">
        <v>821</v>
      </c>
      <c r="H3150" s="313" t="s">
        <v>4872</v>
      </c>
      <c r="I3150" s="330" t="s">
        <v>4745</v>
      </c>
      <c r="J3150" s="313" t="s">
        <v>468</v>
      </c>
    </row>
    <row r="3151" spans="1:10" ht="60">
      <c r="A3151" s="204">
        <v>3153</v>
      </c>
      <c r="B3151" s="339">
        <v>46289</v>
      </c>
      <c r="C3151" s="307" t="s">
        <v>831</v>
      </c>
      <c r="D3151" s="314">
        <v>2026</v>
      </c>
      <c r="E3151" s="315" t="s">
        <v>1431</v>
      </c>
      <c r="F3151" s="314" t="s">
        <v>1506</v>
      </c>
      <c r="G3151" s="316" t="s">
        <v>88</v>
      </c>
      <c r="H3151" s="332" t="s">
        <v>4873</v>
      </c>
      <c r="I3151" s="317" t="s">
        <v>26</v>
      </c>
      <c r="J3151" s="313" t="s">
        <v>3153</v>
      </c>
    </row>
    <row r="3152" spans="1:10" ht="15">
      <c r="A3152" s="204">
        <v>3154</v>
      </c>
      <c r="B3152" s="339">
        <v>46289</v>
      </c>
      <c r="C3152" s="307" t="s">
        <v>831</v>
      </c>
      <c r="D3152" s="314">
        <v>2026</v>
      </c>
      <c r="E3152" s="315" t="s">
        <v>1431</v>
      </c>
      <c r="F3152" s="314" t="s">
        <v>4770</v>
      </c>
      <c r="G3152" s="333" t="s">
        <v>821</v>
      </c>
      <c r="H3152" s="334" t="s">
        <v>4874</v>
      </c>
      <c r="I3152" s="317" t="s">
        <v>26</v>
      </c>
      <c r="J3152" s="313" t="s">
        <v>4834</v>
      </c>
    </row>
    <row r="3153" spans="1:10" ht="24">
      <c r="A3153" s="204">
        <v>3155</v>
      </c>
      <c r="B3153" s="339">
        <v>46289</v>
      </c>
      <c r="C3153" s="307" t="s">
        <v>831</v>
      </c>
      <c r="D3153" s="314">
        <v>2026</v>
      </c>
      <c r="E3153" s="315" t="s">
        <v>1431</v>
      </c>
      <c r="F3153" s="314" t="s">
        <v>21</v>
      </c>
      <c r="G3153" s="333" t="s">
        <v>821</v>
      </c>
      <c r="H3153" s="312" t="s">
        <v>4875</v>
      </c>
      <c r="I3153" s="330" t="s">
        <v>4745</v>
      </c>
      <c r="J3153" s="313" t="s">
        <v>468</v>
      </c>
    </row>
    <row r="3154" spans="1:10" ht="36">
      <c r="A3154" s="204">
        <v>3156</v>
      </c>
      <c r="B3154" s="339">
        <v>46289</v>
      </c>
      <c r="C3154" s="307" t="s">
        <v>831</v>
      </c>
      <c r="D3154" s="314">
        <v>2026</v>
      </c>
      <c r="E3154" s="323" t="s">
        <v>2224</v>
      </c>
      <c r="F3154" s="314" t="s">
        <v>1518</v>
      </c>
      <c r="G3154" s="318" t="s">
        <v>821</v>
      </c>
      <c r="H3154" s="313" t="s">
        <v>4876</v>
      </c>
      <c r="I3154" s="317" t="s">
        <v>26</v>
      </c>
      <c r="J3154" s="313" t="s">
        <v>118</v>
      </c>
    </row>
    <row r="3155" spans="1:10" ht="15">
      <c r="A3155" s="204">
        <v>3157</v>
      </c>
      <c r="B3155" s="339">
        <v>46289</v>
      </c>
      <c r="C3155" s="307" t="s">
        <v>831</v>
      </c>
      <c r="D3155" s="314">
        <v>2026</v>
      </c>
      <c r="E3155" s="315" t="s">
        <v>1431</v>
      </c>
      <c r="F3155" s="314" t="s">
        <v>1311</v>
      </c>
      <c r="G3155" s="318" t="s">
        <v>821</v>
      </c>
      <c r="H3155" s="313" t="s">
        <v>4877</v>
      </c>
      <c r="I3155" s="330" t="s">
        <v>4745</v>
      </c>
      <c r="J3155" s="313" t="s">
        <v>1327</v>
      </c>
    </row>
    <row r="3156" spans="1:10" ht="36">
      <c r="A3156" s="204">
        <v>3158</v>
      </c>
      <c r="B3156" s="339">
        <v>46290</v>
      </c>
      <c r="C3156" s="307" t="s">
        <v>831</v>
      </c>
      <c r="D3156" s="314">
        <v>2026</v>
      </c>
      <c r="E3156" s="315" t="s">
        <v>1431</v>
      </c>
      <c r="F3156" s="314" t="s">
        <v>1158</v>
      </c>
      <c r="G3156" s="316" t="s">
        <v>88</v>
      </c>
      <c r="H3156" s="313" t="s">
        <v>4878</v>
      </c>
      <c r="I3156" s="317" t="s">
        <v>26</v>
      </c>
      <c r="J3156" s="313" t="s">
        <v>452</v>
      </c>
    </row>
    <row r="3157" spans="1:10" ht="36">
      <c r="A3157" s="204">
        <v>3159</v>
      </c>
      <c r="B3157" s="339">
        <v>46290</v>
      </c>
      <c r="C3157" s="307" t="s">
        <v>831</v>
      </c>
      <c r="D3157" s="314">
        <v>2026</v>
      </c>
      <c r="E3157" s="315" t="s">
        <v>1431</v>
      </c>
      <c r="F3157" s="314" t="s">
        <v>1182</v>
      </c>
      <c r="G3157" s="316" t="s">
        <v>88</v>
      </c>
      <c r="H3157" s="313" t="s">
        <v>4879</v>
      </c>
      <c r="I3157" s="317" t="s">
        <v>26</v>
      </c>
      <c r="J3157" s="313" t="s">
        <v>4779</v>
      </c>
    </row>
    <row r="3158" spans="1:10" ht="48">
      <c r="A3158" s="204">
        <v>3160</v>
      </c>
      <c r="B3158" s="339">
        <v>46290</v>
      </c>
      <c r="C3158" s="307" t="s">
        <v>831</v>
      </c>
      <c r="D3158" s="314">
        <v>2026</v>
      </c>
      <c r="E3158" s="315" t="s">
        <v>1431</v>
      </c>
      <c r="F3158" s="314" t="s">
        <v>988</v>
      </c>
      <c r="G3158" s="324" t="s">
        <v>1439</v>
      </c>
      <c r="H3158" s="313" t="s">
        <v>4880</v>
      </c>
      <c r="I3158" s="317" t="s">
        <v>26</v>
      </c>
      <c r="J3158" s="313" t="s">
        <v>4881</v>
      </c>
    </row>
    <row r="3159" spans="1:10" ht="36">
      <c r="A3159" s="204">
        <v>3161</v>
      </c>
      <c r="B3159" s="339">
        <v>46290</v>
      </c>
      <c r="C3159" s="307" t="s">
        <v>831</v>
      </c>
      <c r="D3159" s="314">
        <v>2026</v>
      </c>
      <c r="E3159" s="315" t="s">
        <v>1431</v>
      </c>
      <c r="F3159" s="314" t="s">
        <v>1608</v>
      </c>
      <c r="G3159" s="324" t="s">
        <v>1439</v>
      </c>
      <c r="H3159" s="313" t="s">
        <v>4882</v>
      </c>
      <c r="I3159" s="317" t="s">
        <v>26</v>
      </c>
      <c r="J3159" s="313" t="s">
        <v>4377</v>
      </c>
    </row>
    <row r="3160" spans="1:10" ht="15">
      <c r="A3160" s="204">
        <v>3162</v>
      </c>
      <c r="B3160" s="339">
        <v>46290</v>
      </c>
      <c r="C3160" s="307" t="s">
        <v>831</v>
      </c>
      <c r="D3160" s="314">
        <v>2026</v>
      </c>
      <c r="E3160" s="315" t="s">
        <v>1431</v>
      </c>
      <c r="F3160" s="314" t="s">
        <v>1518</v>
      </c>
      <c r="G3160" s="316" t="s">
        <v>88</v>
      </c>
      <c r="H3160" s="313" t="s">
        <v>4883</v>
      </c>
      <c r="I3160" s="317" t="s">
        <v>26</v>
      </c>
      <c r="J3160" s="313" t="s">
        <v>118</v>
      </c>
    </row>
    <row r="3161" spans="1:10" ht="36">
      <c r="A3161" s="204">
        <v>3163</v>
      </c>
      <c r="B3161" s="339">
        <v>46290</v>
      </c>
      <c r="C3161" s="307" t="s">
        <v>831</v>
      </c>
      <c r="D3161" s="314">
        <v>2026</v>
      </c>
      <c r="E3161" s="315" t="s">
        <v>1431</v>
      </c>
      <c r="F3161" s="314" t="s">
        <v>21</v>
      </c>
      <c r="G3161" s="318" t="s">
        <v>821</v>
      </c>
      <c r="H3161" s="313" t="s">
        <v>4884</v>
      </c>
      <c r="I3161" s="317" t="s">
        <v>26</v>
      </c>
      <c r="J3161" s="313" t="s">
        <v>118</v>
      </c>
    </row>
    <row r="3162" spans="1:10" ht="60">
      <c r="A3162" s="204">
        <v>3164</v>
      </c>
      <c r="B3162" s="339">
        <v>46290</v>
      </c>
      <c r="C3162" s="307" t="s">
        <v>831</v>
      </c>
      <c r="D3162" s="314">
        <v>2026</v>
      </c>
      <c r="E3162" s="315" t="s">
        <v>1431</v>
      </c>
      <c r="F3162" s="314" t="s">
        <v>4770</v>
      </c>
      <c r="G3162" s="318" t="s">
        <v>821</v>
      </c>
      <c r="H3162" s="313" t="s">
        <v>4885</v>
      </c>
      <c r="I3162" s="330" t="s">
        <v>4745</v>
      </c>
      <c r="J3162" s="313" t="s">
        <v>4834</v>
      </c>
    </row>
    <row r="3163" spans="1:10" ht="36">
      <c r="A3163" s="204">
        <v>3165</v>
      </c>
      <c r="B3163" s="339">
        <v>46290</v>
      </c>
      <c r="C3163" s="307" t="s">
        <v>831</v>
      </c>
      <c r="D3163" s="314">
        <v>2026</v>
      </c>
      <c r="E3163" s="315" t="s">
        <v>1431</v>
      </c>
      <c r="F3163" s="314" t="s">
        <v>21</v>
      </c>
      <c r="G3163" s="318" t="s">
        <v>821</v>
      </c>
      <c r="H3163" s="313" t="s">
        <v>4886</v>
      </c>
      <c r="I3163" s="330" t="s">
        <v>4745</v>
      </c>
      <c r="J3163" s="313" t="s">
        <v>468</v>
      </c>
    </row>
    <row r="3164" spans="1:10" ht="24">
      <c r="A3164" s="204">
        <v>3166</v>
      </c>
      <c r="B3164" s="339">
        <v>46290</v>
      </c>
      <c r="C3164" s="307" t="s">
        <v>831</v>
      </c>
      <c r="D3164" s="314">
        <v>2026</v>
      </c>
      <c r="E3164" s="315" t="s">
        <v>1431</v>
      </c>
      <c r="F3164" s="314" t="s">
        <v>21</v>
      </c>
      <c r="G3164" s="318" t="s">
        <v>821</v>
      </c>
      <c r="H3164" s="313" t="s">
        <v>4887</v>
      </c>
      <c r="I3164" s="330" t="s">
        <v>4745</v>
      </c>
      <c r="J3164" s="313" t="s">
        <v>468</v>
      </c>
    </row>
    <row r="3165" spans="1:10" ht="24">
      <c r="A3165" s="204">
        <v>3167</v>
      </c>
      <c r="B3165" s="339">
        <v>46290</v>
      </c>
      <c r="C3165" s="307" t="s">
        <v>831</v>
      </c>
      <c r="D3165" s="314">
        <v>2026</v>
      </c>
      <c r="E3165" s="315" t="s">
        <v>1431</v>
      </c>
      <c r="F3165" s="314" t="s">
        <v>4770</v>
      </c>
      <c r="G3165" s="318" t="s">
        <v>821</v>
      </c>
      <c r="H3165" s="313" t="s">
        <v>4888</v>
      </c>
      <c r="I3165" s="317" t="s">
        <v>26</v>
      </c>
      <c r="J3165" s="313" t="s">
        <v>4834</v>
      </c>
    </row>
    <row r="3166" spans="1:10" ht="36">
      <c r="A3166" s="204">
        <v>3168</v>
      </c>
      <c r="B3166" s="339">
        <v>46290</v>
      </c>
      <c r="C3166" s="307" t="s">
        <v>831</v>
      </c>
      <c r="D3166" s="314">
        <v>2026</v>
      </c>
      <c r="E3166" s="315" t="s">
        <v>1431</v>
      </c>
      <c r="F3166" s="314" t="s">
        <v>1449</v>
      </c>
      <c r="G3166" s="316" t="s">
        <v>88</v>
      </c>
      <c r="H3166" s="321" t="s">
        <v>4889</v>
      </c>
      <c r="I3166" s="317" t="s">
        <v>26</v>
      </c>
      <c r="J3166" s="313" t="s">
        <v>2739</v>
      </c>
    </row>
    <row r="3167" spans="1:10" ht="15">
      <c r="A3167" s="204">
        <v>3169</v>
      </c>
      <c r="B3167" s="339">
        <v>46290</v>
      </c>
      <c r="C3167" s="307" t="s">
        <v>831</v>
      </c>
      <c r="D3167" s="314">
        <v>2026</v>
      </c>
      <c r="E3167" s="315" t="s">
        <v>1431</v>
      </c>
      <c r="F3167" s="314" t="s">
        <v>1449</v>
      </c>
      <c r="G3167" s="318" t="s">
        <v>821</v>
      </c>
      <c r="H3167" s="321" t="s">
        <v>4890</v>
      </c>
      <c r="I3167" s="317" t="s">
        <v>26</v>
      </c>
      <c r="J3167" s="313" t="s">
        <v>2739</v>
      </c>
    </row>
    <row r="3168" spans="1:10" ht="48">
      <c r="A3168" s="204">
        <v>3170</v>
      </c>
      <c r="B3168" s="339">
        <v>46290</v>
      </c>
      <c r="C3168" s="307" t="s">
        <v>831</v>
      </c>
      <c r="D3168" s="314">
        <v>2026</v>
      </c>
      <c r="E3168" s="323" t="s">
        <v>2224</v>
      </c>
      <c r="F3168" s="314" t="s">
        <v>1432</v>
      </c>
      <c r="G3168" s="318" t="s">
        <v>821</v>
      </c>
      <c r="H3168" s="313" t="s">
        <v>4891</v>
      </c>
      <c r="I3168" s="330" t="s">
        <v>4745</v>
      </c>
      <c r="J3168" s="313" t="s">
        <v>4767</v>
      </c>
    </row>
    <row r="3169" spans="1:10" ht="48">
      <c r="A3169" s="204">
        <v>3171</v>
      </c>
      <c r="B3169" s="339">
        <v>46290</v>
      </c>
      <c r="C3169" s="307" t="s">
        <v>831</v>
      </c>
      <c r="D3169" s="314">
        <v>2026</v>
      </c>
      <c r="E3169" s="323" t="s">
        <v>2224</v>
      </c>
      <c r="F3169" s="314" t="s">
        <v>21</v>
      </c>
      <c r="G3169" s="318" t="s">
        <v>821</v>
      </c>
      <c r="H3169" s="313" t="s">
        <v>4892</v>
      </c>
      <c r="I3169" s="317" t="s">
        <v>26</v>
      </c>
      <c r="J3169" s="313" t="s">
        <v>4893</v>
      </c>
    </row>
    <row r="3170" spans="1:10" ht="24">
      <c r="A3170" s="204">
        <v>3172</v>
      </c>
      <c r="B3170" s="339">
        <v>46290</v>
      </c>
      <c r="C3170" s="307" t="s">
        <v>831</v>
      </c>
      <c r="D3170" s="314">
        <v>2026</v>
      </c>
      <c r="E3170" s="323" t="s">
        <v>2224</v>
      </c>
      <c r="F3170" s="314" t="s">
        <v>1449</v>
      </c>
      <c r="G3170" s="316" t="s">
        <v>88</v>
      </c>
      <c r="H3170" s="313" t="s">
        <v>4894</v>
      </c>
      <c r="I3170" s="317" t="s">
        <v>26</v>
      </c>
      <c r="J3170" s="313" t="s">
        <v>2739</v>
      </c>
    </row>
    <row r="3171" spans="1:10" ht="15">
      <c r="A3171" s="204">
        <v>3173</v>
      </c>
      <c r="B3171" s="339">
        <v>46293</v>
      </c>
      <c r="C3171" s="307" t="s">
        <v>831</v>
      </c>
      <c r="D3171" s="314">
        <v>2026</v>
      </c>
      <c r="E3171" s="315" t="s">
        <v>1431</v>
      </c>
      <c r="F3171" s="314" t="s">
        <v>21</v>
      </c>
      <c r="G3171" s="318" t="s">
        <v>821</v>
      </c>
      <c r="H3171" s="329" t="s">
        <v>4895</v>
      </c>
      <c r="I3171" s="317" t="s">
        <v>26</v>
      </c>
      <c r="J3171" s="313" t="s">
        <v>4377</v>
      </c>
    </row>
    <row r="3172" spans="1:10" ht="15">
      <c r="A3172" s="204">
        <v>3174</v>
      </c>
      <c r="B3172" s="339">
        <v>46293</v>
      </c>
      <c r="C3172" s="307" t="s">
        <v>831</v>
      </c>
      <c r="D3172" s="314">
        <v>2026</v>
      </c>
      <c r="E3172" s="315" t="s">
        <v>1431</v>
      </c>
      <c r="F3172" s="314" t="s">
        <v>1518</v>
      </c>
      <c r="G3172" s="318" t="s">
        <v>821</v>
      </c>
      <c r="H3172" s="329" t="s">
        <v>4896</v>
      </c>
      <c r="I3172" s="317" t="s">
        <v>26</v>
      </c>
      <c r="J3172" s="313" t="s">
        <v>850</v>
      </c>
    </row>
    <row r="3173" spans="1:10" ht="36">
      <c r="A3173" s="204">
        <v>3175</v>
      </c>
      <c r="B3173" s="339">
        <v>46293</v>
      </c>
      <c r="C3173" s="307" t="s">
        <v>831</v>
      </c>
      <c r="D3173" s="314">
        <v>2026</v>
      </c>
      <c r="E3173" s="315" t="s">
        <v>1431</v>
      </c>
      <c r="F3173" s="314" t="s">
        <v>4770</v>
      </c>
      <c r="G3173" s="318" t="s">
        <v>821</v>
      </c>
      <c r="H3173" s="313" t="s">
        <v>4897</v>
      </c>
      <c r="I3173" s="317" t="s">
        <v>26</v>
      </c>
      <c r="J3173" s="313" t="s">
        <v>4834</v>
      </c>
    </row>
    <row r="3174" spans="1:10" ht="36">
      <c r="A3174" s="204">
        <v>3176</v>
      </c>
      <c r="B3174" s="339">
        <v>46293</v>
      </c>
      <c r="C3174" s="307" t="s">
        <v>831</v>
      </c>
      <c r="D3174" s="314">
        <v>2026</v>
      </c>
      <c r="E3174" s="315" t="s">
        <v>1431</v>
      </c>
      <c r="F3174" s="314" t="s">
        <v>21</v>
      </c>
      <c r="G3174" s="318" t="s">
        <v>821</v>
      </c>
      <c r="H3174" s="313" t="s">
        <v>4898</v>
      </c>
      <c r="I3174" s="330" t="s">
        <v>4745</v>
      </c>
      <c r="J3174" s="313" t="s">
        <v>4810</v>
      </c>
    </row>
    <row r="3175" spans="1:10" ht="48">
      <c r="A3175" s="204">
        <v>3177</v>
      </c>
      <c r="B3175" s="339">
        <v>46293</v>
      </c>
      <c r="C3175" s="307" t="s">
        <v>831</v>
      </c>
      <c r="D3175" s="314">
        <v>2026</v>
      </c>
      <c r="E3175" s="315" t="s">
        <v>1431</v>
      </c>
      <c r="F3175" s="314" t="s">
        <v>1566</v>
      </c>
      <c r="G3175" s="316" t="s">
        <v>88</v>
      </c>
      <c r="H3175" s="321" t="s">
        <v>4899</v>
      </c>
      <c r="I3175" s="317" t="s">
        <v>26</v>
      </c>
      <c r="J3175" s="313" t="s">
        <v>1588</v>
      </c>
    </row>
    <row r="3176" spans="1:10" ht="15">
      <c r="A3176" s="204">
        <v>3178</v>
      </c>
      <c r="B3176" s="339">
        <v>46293</v>
      </c>
      <c r="C3176" s="307" t="s">
        <v>831</v>
      </c>
      <c r="D3176" s="314">
        <v>2026</v>
      </c>
      <c r="E3176" s="315" t="s">
        <v>1431</v>
      </c>
      <c r="F3176" s="314" t="s">
        <v>1566</v>
      </c>
      <c r="G3176" s="316" t="s">
        <v>88</v>
      </c>
      <c r="H3176" s="321" t="s">
        <v>3859</v>
      </c>
      <c r="I3176" s="317" t="s">
        <v>26</v>
      </c>
      <c r="J3176" s="313" t="s">
        <v>1588</v>
      </c>
    </row>
    <row r="3177" spans="1:10" ht="24">
      <c r="A3177" s="204">
        <v>3179</v>
      </c>
      <c r="B3177" s="339">
        <v>46293</v>
      </c>
      <c r="C3177" s="307" t="s">
        <v>831</v>
      </c>
      <c r="D3177" s="314">
        <v>2026</v>
      </c>
      <c r="E3177" s="315" t="s">
        <v>1431</v>
      </c>
      <c r="F3177" s="314" t="s">
        <v>1449</v>
      </c>
      <c r="G3177" s="316" t="s">
        <v>88</v>
      </c>
      <c r="H3177" s="321" t="s">
        <v>4900</v>
      </c>
      <c r="I3177" s="317" t="s">
        <v>26</v>
      </c>
      <c r="J3177" s="313" t="s">
        <v>2739</v>
      </c>
    </row>
    <row r="3178" spans="1:10" ht="24">
      <c r="A3178" s="204">
        <v>3180</v>
      </c>
      <c r="B3178" s="339">
        <v>46293</v>
      </c>
      <c r="C3178" s="307" t="s">
        <v>831</v>
      </c>
      <c r="D3178" s="314">
        <v>2026</v>
      </c>
      <c r="E3178" s="315" t="s">
        <v>1431</v>
      </c>
      <c r="F3178" s="314" t="s">
        <v>1449</v>
      </c>
      <c r="G3178" s="316" t="s">
        <v>88</v>
      </c>
      <c r="H3178" s="321" t="s">
        <v>4901</v>
      </c>
      <c r="I3178" s="317" t="s">
        <v>26</v>
      </c>
      <c r="J3178" s="313" t="s">
        <v>2739</v>
      </c>
    </row>
    <row r="3179" spans="1:10" ht="24">
      <c r="A3179" s="204">
        <v>3181</v>
      </c>
      <c r="B3179" s="339">
        <v>46293</v>
      </c>
      <c r="C3179" s="307" t="s">
        <v>831</v>
      </c>
      <c r="D3179" s="314">
        <v>2026</v>
      </c>
      <c r="E3179" s="315" t="s">
        <v>1431</v>
      </c>
      <c r="F3179" s="314" t="s">
        <v>1449</v>
      </c>
      <c r="G3179" s="335" t="s">
        <v>88</v>
      </c>
      <c r="H3179" s="321" t="s">
        <v>4902</v>
      </c>
      <c r="I3179" s="317" t="s">
        <v>26</v>
      </c>
      <c r="J3179" s="313" t="s">
        <v>2739</v>
      </c>
    </row>
    <row r="3180" spans="1:10" ht="36">
      <c r="A3180" s="204">
        <v>3182</v>
      </c>
      <c r="B3180" s="339">
        <v>46293</v>
      </c>
      <c r="C3180" s="307" t="s">
        <v>831</v>
      </c>
      <c r="D3180" s="314">
        <v>2026</v>
      </c>
      <c r="E3180" s="336" t="s">
        <v>3881</v>
      </c>
      <c r="F3180" s="314" t="s">
        <v>21</v>
      </c>
      <c r="G3180" s="318" t="s">
        <v>821</v>
      </c>
      <c r="H3180" s="313" t="s">
        <v>4903</v>
      </c>
      <c r="I3180" s="330" t="s">
        <v>4745</v>
      </c>
      <c r="J3180" s="313" t="s">
        <v>2813</v>
      </c>
    </row>
    <row r="3181" spans="1:10" ht="48">
      <c r="A3181" s="204">
        <v>3183</v>
      </c>
      <c r="B3181" s="339">
        <v>46294</v>
      </c>
      <c r="C3181" s="307" t="s">
        <v>831</v>
      </c>
      <c r="D3181" s="314">
        <v>2026</v>
      </c>
      <c r="E3181" s="315" t="s">
        <v>1431</v>
      </c>
      <c r="F3181" s="314" t="s">
        <v>4904</v>
      </c>
      <c r="G3181" s="316" t="s">
        <v>88</v>
      </c>
      <c r="H3181" s="321" t="s">
        <v>4905</v>
      </c>
      <c r="I3181" s="317" t="s">
        <v>26</v>
      </c>
      <c r="J3181" s="313" t="s">
        <v>185</v>
      </c>
    </row>
    <row r="3182" spans="1:10" ht="36">
      <c r="A3182" s="204">
        <v>3184</v>
      </c>
      <c r="B3182" s="339">
        <v>46294</v>
      </c>
      <c r="C3182" s="307" t="s">
        <v>831</v>
      </c>
      <c r="D3182" s="314">
        <v>2026</v>
      </c>
      <c r="E3182" s="315" t="s">
        <v>1431</v>
      </c>
      <c r="F3182" s="314" t="s">
        <v>1566</v>
      </c>
      <c r="G3182" s="316" t="s">
        <v>88</v>
      </c>
      <c r="H3182" s="321" t="s">
        <v>4906</v>
      </c>
      <c r="I3182" s="317" t="s">
        <v>26</v>
      </c>
      <c r="J3182" s="313" t="s">
        <v>4759</v>
      </c>
    </row>
    <row r="3183" spans="1:10" ht="24">
      <c r="A3183" s="204">
        <v>3185</v>
      </c>
      <c r="B3183" s="339">
        <v>46294</v>
      </c>
      <c r="C3183" s="307" t="s">
        <v>831</v>
      </c>
      <c r="D3183" s="314">
        <v>2026</v>
      </c>
      <c r="E3183" s="315" t="s">
        <v>1431</v>
      </c>
      <c r="F3183" s="314" t="s">
        <v>1449</v>
      </c>
      <c r="G3183" s="316" t="s">
        <v>88</v>
      </c>
      <c r="H3183" s="321" t="s">
        <v>4907</v>
      </c>
      <c r="I3183" s="317" t="s">
        <v>26</v>
      </c>
      <c r="J3183" s="313" t="s">
        <v>2739</v>
      </c>
    </row>
    <row r="3184" spans="1:10" ht="48">
      <c r="A3184" s="204">
        <v>3186</v>
      </c>
      <c r="B3184" s="339">
        <v>46294</v>
      </c>
      <c r="C3184" s="307" t="s">
        <v>831</v>
      </c>
      <c r="D3184" s="314">
        <v>2026</v>
      </c>
      <c r="E3184" s="323" t="s">
        <v>2224</v>
      </c>
      <c r="F3184" s="314" t="s">
        <v>1518</v>
      </c>
      <c r="G3184" s="316" t="s">
        <v>88</v>
      </c>
      <c r="H3184" s="313" t="s">
        <v>4908</v>
      </c>
      <c r="I3184" s="317" t="s">
        <v>26</v>
      </c>
      <c r="J3184" s="313" t="s">
        <v>118</v>
      </c>
    </row>
    <row r="3185" spans="1:10" ht="24">
      <c r="A3185" s="204">
        <v>3187</v>
      </c>
      <c r="B3185" s="339">
        <v>46294</v>
      </c>
      <c r="C3185" s="307" t="s">
        <v>831</v>
      </c>
      <c r="D3185" s="314">
        <v>2026</v>
      </c>
      <c r="E3185" s="323" t="s">
        <v>2224</v>
      </c>
      <c r="F3185" s="314" t="s">
        <v>21</v>
      </c>
      <c r="G3185" s="318" t="s">
        <v>821</v>
      </c>
      <c r="H3185" s="313" t="s">
        <v>4909</v>
      </c>
      <c r="I3185" s="317" t="s">
        <v>26</v>
      </c>
      <c r="J3185" s="313" t="s">
        <v>468</v>
      </c>
    </row>
    <row r="3186" spans="1:10" ht="48">
      <c r="A3186" s="204">
        <v>3188</v>
      </c>
      <c r="B3186" s="339">
        <v>46294</v>
      </c>
      <c r="C3186" s="307" t="s">
        <v>831</v>
      </c>
      <c r="D3186" s="314">
        <v>2026</v>
      </c>
      <c r="E3186" s="323" t="s">
        <v>2224</v>
      </c>
      <c r="F3186" s="314" t="s">
        <v>1432</v>
      </c>
      <c r="G3186" s="318" t="s">
        <v>821</v>
      </c>
      <c r="H3186" s="313" t="s">
        <v>4910</v>
      </c>
      <c r="I3186" s="317" t="s">
        <v>26</v>
      </c>
      <c r="J3186" s="313" t="s">
        <v>2568</v>
      </c>
    </row>
    <row r="3187" spans="1:10" ht="24">
      <c r="A3187" s="204">
        <v>3189</v>
      </c>
      <c r="B3187" s="339">
        <v>46294</v>
      </c>
      <c r="C3187" s="307" t="s">
        <v>831</v>
      </c>
      <c r="D3187" s="314">
        <v>2026</v>
      </c>
      <c r="E3187" s="315" t="s">
        <v>1431</v>
      </c>
      <c r="F3187" s="313" t="s">
        <v>1182</v>
      </c>
      <c r="G3187" s="316" t="s">
        <v>88</v>
      </c>
      <c r="H3187" s="313" t="s">
        <v>4911</v>
      </c>
      <c r="I3187" s="317" t="s">
        <v>26</v>
      </c>
      <c r="J3187" s="313" t="s">
        <v>4779</v>
      </c>
    </row>
    <row r="3188" spans="1:10" ht="36">
      <c r="A3188" s="204">
        <v>3190</v>
      </c>
      <c r="B3188" s="339">
        <v>46294</v>
      </c>
      <c r="C3188" s="307" t="s">
        <v>831</v>
      </c>
      <c r="D3188" s="314">
        <v>2026</v>
      </c>
      <c r="E3188" s="315" t="s">
        <v>1431</v>
      </c>
      <c r="F3188" s="314" t="s">
        <v>21</v>
      </c>
      <c r="G3188" s="318" t="s">
        <v>821</v>
      </c>
      <c r="H3188" s="313" t="s">
        <v>4912</v>
      </c>
      <c r="I3188" s="317" t="s">
        <v>26</v>
      </c>
      <c r="J3188" s="313" t="s">
        <v>4779</v>
      </c>
    </row>
    <row r="3189" spans="1:10" ht="84">
      <c r="A3189" s="204">
        <v>3191</v>
      </c>
      <c r="B3189" s="339">
        <v>46295</v>
      </c>
      <c r="C3189" s="307" t="s">
        <v>831</v>
      </c>
      <c r="D3189" s="314">
        <v>2026</v>
      </c>
      <c r="E3189" s="315" t="s">
        <v>1431</v>
      </c>
      <c r="F3189" s="314" t="s">
        <v>52</v>
      </c>
      <c r="G3189" s="324" t="s">
        <v>1439</v>
      </c>
      <c r="H3189" s="331" t="s">
        <v>4913</v>
      </c>
      <c r="I3189" s="330" t="s">
        <v>4745</v>
      </c>
      <c r="J3189" s="313" t="s">
        <v>4914</v>
      </c>
    </row>
    <row r="3190" spans="1:10" ht="48">
      <c r="A3190" s="204">
        <v>3192</v>
      </c>
      <c r="B3190" s="339">
        <v>46295</v>
      </c>
      <c r="C3190" s="307" t="s">
        <v>831</v>
      </c>
      <c r="D3190" s="314">
        <v>2026</v>
      </c>
      <c r="E3190" s="315" t="s">
        <v>1431</v>
      </c>
      <c r="F3190" s="314" t="s">
        <v>4915</v>
      </c>
      <c r="G3190" s="316" t="s">
        <v>88</v>
      </c>
      <c r="H3190" s="331" t="s">
        <v>4916</v>
      </c>
      <c r="I3190" s="330" t="s">
        <v>4745</v>
      </c>
      <c r="J3190" s="313" t="s">
        <v>4917</v>
      </c>
    </row>
    <row r="3191" spans="1:10" ht="96">
      <c r="A3191" s="204">
        <v>3193</v>
      </c>
      <c r="B3191" s="339">
        <v>46295</v>
      </c>
      <c r="C3191" s="307" t="s">
        <v>831</v>
      </c>
      <c r="D3191" s="314">
        <v>2026</v>
      </c>
      <c r="E3191" s="315" t="s">
        <v>1431</v>
      </c>
      <c r="F3191" s="314" t="s">
        <v>4918</v>
      </c>
      <c r="G3191" s="316" t="s">
        <v>88</v>
      </c>
      <c r="H3191" s="331" t="s">
        <v>4919</v>
      </c>
      <c r="I3191" s="330" t="s">
        <v>4745</v>
      </c>
      <c r="J3191" s="313" t="s">
        <v>2700</v>
      </c>
    </row>
    <row r="3192" spans="1:10" ht="72">
      <c r="A3192" s="204">
        <v>3194</v>
      </c>
      <c r="B3192" s="339">
        <v>46295</v>
      </c>
      <c r="C3192" s="307" t="s">
        <v>831</v>
      </c>
      <c r="D3192" s="314">
        <v>2026</v>
      </c>
      <c r="E3192" s="315" t="s">
        <v>1431</v>
      </c>
      <c r="F3192" s="314" t="s">
        <v>216</v>
      </c>
      <c r="G3192" s="318" t="s">
        <v>821</v>
      </c>
      <c r="H3192" s="313" t="s">
        <v>4920</v>
      </c>
      <c r="I3192" s="330" t="s">
        <v>4745</v>
      </c>
      <c r="J3192" s="313" t="s">
        <v>492</v>
      </c>
    </row>
    <row r="3193" spans="1:10" ht="24">
      <c r="A3193" s="204">
        <v>3195</v>
      </c>
      <c r="B3193" s="339">
        <v>46295</v>
      </c>
      <c r="C3193" s="307" t="s">
        <v>831</v>
      </c>
      <c r="D3193" s="314">
        <v>2026</v>
      </c>
      <c r="E3193" s="315" t="s">
        <v>1431</v>
      </c>
      <c r="F3193" s="314" t="s">
        <v>1449</v>
      </c>
      <c r="G3193" s="316" t="s">
        <v>88</v>
      </c>
      <c r="H3193" s="337" t="s">
        <v>4921</v>
      </c>
      <c r="I3193" s="317" t="s">
        <v>26</v>
      </c>
      <c r="J3193" s="313" t="s">
        <v>4759</v>
      </c>
    </row>
    <row r="3194" spans="1:10" ht="57.75">
      <c r="A3194" s="204">
        <v>3196</v>
      </c>
      <c r="B3194" s="339">
        <v>46295</v>
      </c>
      <c r="C3194" s="307" t="s">
        <v>831</v>
      </c>
      <c r="D3194" s="314">
        <v>2026</v>
      </c>
      <c r="E3194" s="315" t="s">
        <v>1431</v>
      </c>
      <c r="F3194" s="314" t="s">
        <v>1449</v>
      </c>
      <c r="G3194" s="316" t="s">
        <v>88</v>
      </c>
      <c r="H3194" s="338" t="s">
        <v>4922</v>
      </c>
      <c r="I3194" s="330" t="s">
        <v>4745</v>
      </c>
      <c r="J3194" s="313" t="s">
        <v>4759</v>
      </c>
    </row>
    <row r="3195" spans="1:10" ht="24">
      <c r="A3195" s="204">
        <v>3197</v>
      </c>
      <c r="B3195" s="339">
        <v>46295</v>
      </c>
      <c r="C3195" s="307" t="s">
        <v>831</v>
      </c>
      <c r="D3195" s="314">
        <v>2026</v>
      </c>
      <c r="E3195" s="315" t="s">
        <v>1431</v>
      </c>
      <c r="F3195" s="314" t="s">
        <v>1449</v>
      </c>
      <c r="G3195" s="316" t="s">
        <v>88</v>
      </c>
      <c r="H3195" s="337" t="s">
        <v>4923</v>
      </c>
      <c r="I3195" s="317" t="s">
        <v>26</v>
      </c>
      <c r="J3195" s="313" t="s">
        <v>4759</v>
      </c>
    </row>
  </sheetData>
  <autoFilter ref="A2:K3040" xr:uid="{B2B4F4A5-3D20-4144-9758-F1221861FC74}"/>
  <conditionalFormatting sqref="E3046:E3048">
    <cfRule type="cellIs" dxfId="70" priority="6" operator="equal">
      <formula>"Terapia Infusional"</formula>
    </cfRule>
    <cfRule type="cellIs" dxfId="69" priority="7" operator="equal">
      <formula>"Oncologia"</formula>
    </cfRule>
    <cfRule type="cellIs" dxfId="68" priority="8" operator="equal">
      <formula>"Guanabara"</formula>
    </cfRule>
    <cfRule type="cellIs" dxfId="67" priority="9" operator="equal">
      <formula>"Nova Campinas"</formula>
    </cfRule>
    <cfRule type="cellIs" dxfId="66" priority="10" operator="equal">
      <formula>"CMI"</formula>
    </cfRule>
    <cfRule type="cellIs" dxfId="65" priority="11" operator="equal">
      <formula>"CMSC"</formula>
    </cfRule>
    <cfRule type="cellIs" dxfId="64" priority="12" operator="equal">
      <formula>"CSC"</formula>
    </cfRule>
    <cfRule type="cellIs" dxfId="63" priority="13" operator="equal">
      <formula>"HVC"</formula>
    </cfRule>
  </conditionalFormatting>
  <conditionalFormatting sqref="G3046:G3048">
    <cfRule type="cellIs" dxfId="62" priority="1" operator="equal">
      <formula>"Assistencial Médico"</formula>
    </cfRule>
    <cfRule type="cellIs" dxfId="61" priority="2" operator="equal">
      <formula>"Sistemas de Informações"</formula>
    </cfRule>
    <cfRule type="cellIs" dxfId="60" priority="3" operator="equal">
      <formula>"Fluxo do Paciente"</formula>
    </cfRule>
    <cfRule type="cellIs" dxfId="59" priority="4" operator="equal">
      <formula>"Infra e Hotelaria"</formula>
    </cfRule>
    <cfRule type="cellIs" dxfId="58" priority="5" operator="equal">
      <formula>"Assistencial"</formula>
    </cfRule>
  </conditionalFormatting>
  <dataValidations count="2">
    <dataValidation type="list" allowBlank="1" showInputMessage="1" showErrorMessage="1" sqref="E3046:E3048" xr:uid="{E4A73D49-B436-4890-B675-81051AC9D3BA}">
      <formula1>"HVC, CSC, CMSC, CMI, Nova Campinas, Guanabara, Oncologia, Terapia Infusional"</formula1>
    </dataValidation>
    <dataValidation type="list" allowBlank="1" showInputMessage="1" showErrorMessage="1" sqref="G3046:G3048" xr:uid="{6146D6B1-FAEC-4F9A-94D1-545CBFC8B4FE}">
      <formula1>"Assistencial, Infra e Hotelaria, Fluxo do Paciente, Sistemas de Informações, Assistencial Médico"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xr:uid="{175F1D97-7F04-4584-9075-05EAC0F4C913}">
          <x14:formula1>
            <xm:f>Listas!$C$2:$C$11</xm:f>
          </x14:formula1>
          <xm:sqref>G3038 G2851 G2864 G2866 G2876 G2886 G2893 G2898 G2900 G2906 G2925:G2926 G2928 G2946:G2950 G2843 G2963 G3034:G3036 G2984 G3016 G3029 G2973 G2970:G2971</xm:sqref>
        </x14:dataValidation>
        <x14:dataValidation type="list" xr:uid="{CD3C717B-88EB-4757-B030-44795F3F8CDD}">
          <x14:formula1>
            <xm:f>Listas!$A$2:$A$6</xm:f>
          </x14:formula1>
          <xm:sqref>I3:I3040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B5B1D-D7D8-417F-90BA-410ECD107CBF}">
  <dimension ref="A1:O337"/>
  <sheetViews>
    <sheetView showGridLines="0" workbookViewId="0">
      <pane ySplit="1" topLeftCell="A319" activePane="bottomLeft" state="frozen"/>
      <selection pane="bottomLeft" activeCell="I331" sqref="I331"/>
    </sheetView>
  </sheetViews>
  <sheetFormatPr defaultRowHeight="14.25" customHeight="1"/>
  <cols>
    <col min="1" max="1" width="27.25" customWidth="1"/>
    <col min="2" max="2" width="15" bestFit="1" customWidth="1"/>
    <col min="4" max="4" width="11.75" bestFit="1" customWidth="1"/>
    <col min="5" max="5" width="10.5" bestFit="1" customWidth="1"/>
    <col min="6" max="6" width="12.875" style="115" bestFit="1" customWidth="1"/>
    <col min="7" max="7" width="28.125" customWidth="1"/>
    <col min="8" max="9" width="9" style="177"/>
    <col min="11" max="11" width="10.5" customWidth="1"/>
    <col min="12" max="12" width="27.25" customWidth="1"/>
    <col min="13" max="13" width="8.625" customWidth="1"/>
    <col min="14" max="14" width="13.375" style="202" bestFit="1" customWidth="1"/>
    <col min="15" max="15" width="22.625" bestFit="1" customWidth="1"/>
  </cols>
  <sheetData>
    <row r="1" spans="1:15" ht="26.1">
      <c r="A1" s="250" t="s">
        <v>4924</v>
      </c>
      <c r="B1" s="232" t="s">
        <v>4925</v>
      </c>
      <c r="C1" s="232" t="s">
        <v>899</v>
      </c>
      <c r="D1" s="232" t="s">
        <v>4926</v>
      </c>
      <c r="E1" s="232" t="s">
        <v>4927</v>
      </c>
      <c r="F1" s="232" t="s">
        <v>4928</v>
      </c>
      <c r="G1" s="232" t="s">
        <v>4929</v>
      </c>
      <c r="H1" s="233" t="s">
        <v>4930</v>
      </c>
      <c r="I1" s="233" t="s">
        <v>4931</v>
      </c>
      <c r="J1" s="232" t="s">
        <v>4932</v>
      </c>
      <c r="K1" s="232" t="s">
        <v>4933</v>
      </c>
      <c r="L1" s="232" t="s">
        <v>4934</v>
      </c>
      <c r="M1" s="232" t="s">
        <v>4935</v>
      </c>
      <c r="N1" s="233" t="s">
        <v>4936</v>
      </c>
      <c r="O1" s="232" t="s">
        <v>4937</v>
      </c>
    </row>
    <row r="2" spans="1:15" ht="35.1">
      <c r="A2" s="251">
        <v>509988</v>
      </c>
      <c r="B2" s="234">
        <v>6269543</v>
      </c>
      <c r="C2" s="234">
        <v>2024</v>
      </c>
      <c r="D2" s="234" t="s">
        <v>4938</v>
      </c>
      <c r="E2" s="234">
        <v>0</v>
      </c>
      <c r="F2" s="235">
        <v>45495</v>
      </c>
      <c r="G2" s="235">
        <v>45499</v>
      </c>
      <c r="H2" s="236" t="s">
        <v>4939</v>
      </c>
      <c r="I2" s="236" t="s">
        <v>4939</v>
      </c>
      <c r="J2" s="234" t="s">
        <v>4940</v>
      </c>
      <c r="K2" s="234" t="s">
        <v>4941</v>
      </c>
      <c r="L2" s="234" t="s">
        <v>4942</v>
      </c>
      <c r="M2" s="234" t="s">
        <v>4943</v>
      </c>
      <c r="N2" s="237" t="s">
        <v>4939</v>
      </c>
      <c r="O2" s="238" t="s">
        <v>4944</v>
      </c>
    </row>
    <row r="3" spans="1:15" ht="35.1">
      <c r="A3" s="251">
        <v>347729</v>
      </c>
      <c r="B3" s="234">
        <v>6345785</v>
      </c>
      <c r="C3" s="234">
        <v>2024</v>
      </c>
      <c r="D3" s="234" t="s">
        <v>4945</v>
      </c>
      <c r="E3" s="234">
        <v>0</v>
      </c>
      <c r="F3" s="235">
        <v>45495</v>
      </c>
      <c r="G3" s="235">
        <v>45498</v>
      </c>
      <c r="H3" s="236" t="s">
        <v>4946</v>
      </c>
      <c r="I3" s="236" t="s">
        <v>4947</v>
      </c>
      <c r="J3" s="234" t="s">
        <v>4948</v>
      </c>
      <c r="K3" s="234" t="s">
        <v>4941</v>
      </c>
      <c r="L3" s="234" t="s">
        <v>4949</v>
      </c>
      <c r="M3" s="234" t="s">
        <v>4950</v>
      </c>
      <c r="N3" s="237" t="s">
        <v>4951</v>
      </c>
      <c r="O3" s="238" t="s">
        <v>4944</v>
      </c>
    </row>
    <row r="4" spans="1:15" ht="35.1">
      <c r="A4" s="251">
        <v>830835</v>
      </c>
      <c r="B4" s="234">
        <v>6355731</v>
      </c>
      <c r="C4" s="234">
        <v>2024</v>
      </c>
      <c r="D4" s="234" t="s">
        <v>4952</v>
      </c>
      <c r="E4" s="234">
        <v>0</v>
      </c>
      <c r="F4" s="235">
        <v>45495</v>
      </c>
      <c r="G4" s="235">
        <v>45518</v>
      </c>
      <c r="H4" s="236" t="s">
        <v>4947</v>
      </c>
      <c r="I4" s="236" t="s">
        <v>4947</v>
      </c>
      <c r="J4" s="234" t="s">
        <v>4940</v>
      </c>
      <c r="K4" s="234" t="s">
        <v>4941</v>
      </c>
      <c r="L4" s="234" t="s">
        <v>4942</v>
      </c>
      <c r="M4" s="234" t="s">
        <v>4943</v>
      </c>
      <c r="N4" s="237" t="s">
        <v>4947</v>
      </c>
      <c r="O4" s="238" t="s">
        <v>4944</v>
      </c>
    </row>
    <row r="5" spans="1:15" ht="35.1">
      <c r="A5" s="251">
        <v>139781</v>
      </c>
      <c r="B5" s="234">
        <v>6361323</v>
      </c>
      <c r="C5" s="234">
        <v>2024</v>
      </c>
      <c r="D5" s="234" t="s">
        <v>4953</v>
      </c>
      <c r="E5" s="234">
        <v>0</v>
      </c>
      <c r="F5" s="235">
        <v>45496</v>
      </c>
      <c r="G5" s="235">
        <v>45499</v>
      </c>
      <c r="H5" s="236" t="s">
        <v>4954</v>
      </c>
      <c r="I5" s="236" t="s">
        <v>4954</v>
      </c>
      <c r="J5" s="234" t="s">
        <v>4948</v>
      </c>
      <c r="K5" s="234" t="s">
        <v>4941</v>
      </c>
      <c r="L5" s="234" t="s">
        <v>4955</v>
      </c>
      <c r="M5" s="234" t="s">
        <v>4950</v>
      </c>
      <c r="N5" s="237" t="s">
        <v>4954</v>
      </c>
      <c r="O5" s="238" t="s">
        <v>4944</v>
      </c>
    </row>
    <row r="6" spans="1:15" ht="35.1">
      <c r="A6" s="251">
        <v>14784</v>
      </c>
      <c r="B6" s="234">
        <v>6372412</v>
      </c>
      <c r="C6" s="234">
        <v>2024</v>
      </c>
      <c r="D6" s="234" t="s">
        <v>4956</v>
      </c>
      <c r="E6" s="234">
        <v>0</v>
      </c>
      <c r="F6" s="235">
        <v>45495</v>
      </c>
      <c r="G6" s="235">
        <v>45496</v>
      </c>
      <c r="H6" s="236">
        <v>109</v>
      </c>
      <c r="I6" s="236">
        <v>109</v>
      </c>
      <c r="J6" s="234" t="s">
        <v>4948</v>
      </c>
      <c r="K6" s="234" t="s">
        <v>4941</v>
      </c>
      <c r="L6" s="234" t="s">
        <v>4957</v>
      </c>
      <c r="M6" s="234" t="s">
        <v>4943</v>
      </c>
      <c r="N6" s="237">
        <v>109</v>
      </c>
      <c r="O6" s="238" t="s">
        <v>4944</v>
      </c>
    </row>
    <row r="7" spans="1:15" ht="35.1">
      <c r="A7" s="251">
        <v>844241</v>
      </c>
      <c r="B7" s="234">
        <v>6373599</v>
      </c>
      <c r="C7" s="234">
        <v>2024</v>
      </c>
      <c r="D7" s="234" t="s">
        <v>4958</v>
      </c>
      <c r="E7" s="234">
        <v>0</v>
      </c>
      <c r="F7" s="235">
        <v>45495</v>
      </c>
      <c r="G7" s="235">
        <v>45496</v>
      </c>
      <c r="H7" s="236">
        <v>713</v>
      </c>
      <c r="I7" s="236">
        <v>713</v>
      </c>
      <c r="J7" s="234" t="s">
        <v>4940</v>
      </c>
      <c r="K7" s="234" t="s">
        <v>922</v>
      </c>
      <c r="L7" s="234" t="s">
        <v>4957</v>
      </c>
      <c r="M7" s="234" t="s">
        <v>4943</v>
      </c>
      <c r="N7" s="237">
        <v>713</v>
      </c>
      <c r="O7" s="238" t="s">
        <v>4944</v>
      </c>
    </row>
    <row r="8" spans="1:15" ht="35.1">
      <c r="A8" s="251">
        <v>587210</v>
      </c>
      <c r="B8" s="234">
        <v>6376082</v>
      </c>
      <c r="C8" s="234">
        <v>2024</v>
      </c>
      <c r="D8" s="234" t="s">
        <v>4959</v>
      </c>
      <c r="E8" s="234">
        <v>0</v>
      </c>
      <c r="F8" s="235">
        <v>45495</v>
      </c>
      <c r="G8" s="235">
        <v>45496</v>
      </c>
      <c r="H8" s="236">
        <v>715</v>
      </c>
      <c r="I8" s="236">
        <v>715</v>
      </c>
      <c r="J8" s="234" t="s">
        <v>4940</v>
      </c>
      <c r="K8" s="234" t="s">
        <v>922</v>
      </c>
      <c r="L8" s="234" t="s">
        <v>4957</v>
      </c>
      <c r="M8" s="234" t="s">
        <v>4943</v>
      </c>
      <c r="N8" s="237">
        <v>715</v>
      </c>
      <c r="O8" s="238" t="s">
        <v>4944</v>
      </c>
    </row>
    <row r="9" spans="1:15" ht="35.1">
      <c r="A9" s="251">
        <v>75196</v>
      </c>
      <c r="B9" s="234">
        <v>6376601</v>
      </c>
      <c r="C9" s="234">
        <v>2024</v>
      </c>
      <c r="D9" s="234" t="s">
        <v>4960</v>
      </c>
      <c r="E9" s="234">
        <v>0</v>
      </c>
      <c r="F9" s="235">
        <v>45495</v>
      </c>
      <c r="G9" s="235">
        <v>45496</v>
      </c>
      <c r="H9" s="236" t="s">
        <v>4961</v>
      </c>
      <c r="I9" s="236" t="s">
        <v>4961</v>
      </c>
      <c r="J9" s="234" t="s">
        <v>4948</v>
      </c>
      <c r="K9" s="234" t="s">
        <v>4962</v>
      </c>
      <c r="L9" s="234" t="s">
        <v>4963</v>
      </c>
      <c r="M9" s="234" t="s">
        <v>4950</v>
      </c>
      <c r="N9" s="237" t="s">
        <v>4961</v>
      </c>
      <c r="O9" s="238" t="s">
        <v>4944</v>
      </c>
    </row>
    <row r="10" spans="1:15" ht="35.1">
      <c r="A10" s="251">
        <v>6376730</v>
      </c>
      <c r="B10" s="234">
        <v>6376730</v>
      </c>
      <c r="C10" s="234">
        <v>2024</v>
      </c>
      <c r="D10" s="234" t="s">
        <v>4964</v>
      </c>
      <c r="E10" s="234">
        <v>0</v>
      </c>
      <c r="F10" s="235">
        <v>45495</v>
      </c>
      <c r="G10" s="235">
        <v>45511</v>
      </c>
      <c r="H10" s="236" t="s">
        <v>4965</v>
      </c>
      <c r="I10" s="236" t="s">
        <v>4965</v>
      </c>
      <c r="J10" s="234" t="s">
        <v>4948</v>
      </c>
      <c r="K10" s="234" t="s">
        <v>4962</v>
      </c>
      <c r="L10" s="234" t="s">
        <v>4963</v>
      </c>
      <c r="M10" s="234" t="s">
        <v>4943</v>
      </c>
      <c r="N10" s="237" t="s">
        <v>4965</v>
      </c>
      <c r="O10" s="238" t="s">
        <v>4944</v>
      </c>
    </row>
    <row r="11" spans="1:15" ht="57.95">
      <c r="A11" s="251" t="e">
        <v>#VALUE!</v>
      </c>
      <c r="B11" s="234">
        <v>0</v>
      </c>
      <c r="C11" s="234">
        <v>2024</v>
      </c>
      <c r="D11" s="234" t="s">
        <v>4956</v>
      </c>
      <c r="E11" s="234">
        <v>0</v>
      </c>
      <c r="F11" s="235">
        <v>45495</v>
      </c>
      <c r="G11" s="235">
        <v>45498</v>
      </c>
      <c r="H11" s="236">
        <v>109</v>
      </c>
      <c r="I11" s="236">
        <v>109</v>
      </c>
      <c r="J11" s="234" t="s">
        <v>4948</v>
      </c>
      <c r="K11" s="234" t="s">
        <v>4941</v>
      </c>
      <c r="L11" s="234" t="s">
        <v>4957</v>
      </c>
      <c r="M11" s="234" t="s">
        <v>4950</v>
      </c>
      <c r="N11" s="237">
        <v>109</v>
      </c>
      <c r="O11" s="238" t="s">
        <v>4966</v>
      </c>
    </row>
    <row r="12" spans="1:15" ht="35.1">
      <c r="A12" s="251">
        <v>6369902</v>
      </c>
      <c r="B12" s="234">
        <v>6369902</v>
      </c>
      <c r="C12" s="234">
        <v>2024</v>
      </c>
      <c r="D12" s="234" t="s">
        <v>4967</v>
      </c>
      <c r="E12" s="234">
        <v>0</v>
      </c>
      <c r="F12" s="235">
        <v>45496</v>
      </c>
      <c r="G12" s="235">
        <v>45509</v>
      </c>
      <c r="H12" s="236">
        <v>809</v>
      </c>
      <c r="I12" s="236">
        <v>809</v>
      </c>
      <c r="J12" s="234" t="s">
        <v>4948</v>
      </c>
      <c r="K12" s="234" t="s">
        <v>4962</v>
      </c>
      <c r="L12" s="234" t="s">
        <v>4957</v>
      </c>
      <c r="M12" s="234" t="s">
        <v>4943</v>
      </c>
      <c r="N12" s="237">
        <v>809</v>
      </c>
      <c r="O12" s="238" t="s">
        <v>4944</v>
      </c>
    </row>
    <row r="13" spans="1:15" ht="35.1">
      <c r="A13" s="251">
        <v>385376</v>
      </c>
      <c r="B13" s="234">
        <v>6376582</v>
      </c>
      <c r="C13" s="234">
        <v>2024</v>
      </c>
      <c r="D13" s="234" t="s">
        <v>4968</v>
      </c>
      <c r="E13" s="234">
        <v>0</v>
      </c>
      <c r="F13" s="235">
        <v>45495</v>
      </c>
      <c r="G13" s="235">
        <v>45498</v>
      </c>
      <c r="H13" s="236">
        <v>426</v>
      </c>
      <c r="I13" s="236">
        <v>426</v>
      </c>
      <c r="J13" s="234" t="s">
        <v>4940</v>
      </c>
      <c r="K13" s="234" t="s">
        <v>1390</v>
      </c>
      <c r="L13" s="234" t="s">
        <v>4969</v>
      </c>
      <c r="M13" s="234" t="s">
        <v>4943</v>
      </c>
      <c r="N13" s="237">
        <v>426</v>
      </c>
      <c r="O13" s="238" t="s">
        <v>4944</v>
      </c>
    </row>
    <row r="14" spans="1:15" ht="35.1">
      <c r="A14" s="251">
        <v>376178</v>
      </c>
      <c r="B14" s="234">
        <v>888712</v>
      </c>
      <c r="C14" s="234">
        <v>2024</v>
      </c>
      <c r="D14" s="234" t="s">
        <v>4970</v>
      </c>
      <c r="E14" s="234">
        <v>0</v>
      </c>
      <c r="F14" s="235">
        <v>45496</v>
      </c>
      <c r="G14" s="235">
        <v>45498</v>
      </c>
      <c r="H14" s="236">
        <v>425</v>
      </c>
      <c r="I14" s="236">
        <v>425</v>
      </c>
      <c r="J14" s="234" t="s">
        <v>4940</v>
      </c>
      <c r="K14" s="234" t="s">
        <v>1390</v>
      </c>
      <c r="L14" s="234" t="s">
        <v>4971</v>
      </c>
      <c r="M14" s="234" t="s">
        <v>4943</v>
      </c>
      <c r="N14" s="237">
        <v>425</v>
      </c>
      <c r="O14" s="238" t="s">
        <v>4944</v>
      </c>
    </row>
    <row r="15" spans="1:15" ht="35.1">
      <c r="A15" s="251">
        <v>53644</v>
      </c>
      <c r="B15" s="234">
        <v>890313</v>
      </c>
      <c r="C15" s="234">
        <v>2024</v>
      </c>
      <c r="D15" s="234" t="s">
        <v>4972</v>
      </c>
      <c r="E15" s="234">
        <v>0</v>
      </c>
      <c r="F15" s="235">
        <v>45496</v>
      </c>
      <c r="G15" s="235">
        <v>45498</v>
      </c>
      <c r="H15" s="236">
        <v>707</v>
      </c>
      <c r="I15" s="236">
        <v>707</v>
      </c>
      <c r="J15" s="234" t="s">
        <v>4940</v>
      </c>
      <c r="K15" s="234" t="s">
        <v>922</v>
      </c>
      <c r="L15" s="234" t="s">
        <v>4973</v>
      </c>
      <c r="M15" s="234" t="s">
        <v>4943</v>
      </c>
      <c r="N15" s="237">
        <v>707</v>
      </c>
      <c r="O15" s="238" t="s">
        <v>4944</v>
      </c>
    </row>
    <row r="16" spans="1:15" ht="14.1">
      <c r="A16" s="251">
        <v>475613</v>
      </c>
      <c r="B16" s="234">
        <v>6370180</v>
      </c>
      <c r="C16" s="234">
        <v>2024</v>
      </c>
      <c r="D16" s="234" t="s">
        <v>4974</v>
      </c>
      <c r="E16" s="235">
        <v>27948</v>
      </c>
      <c r="F16" s="235">
        <v>45492</v>
      </c>
      <c r="G16" s="235">
        <v>45499</v>
      </c>
      <c r="H16" s="236" t="s">
        <v>4975</v>
      </c>
      <c r="I16" s="236" t="s">
        <v>4975</v>
      </c>
      <c r="J16" s="234" t="s">
        <v>4940</v>
      </c>
      <c r="K16" s="234" t="s">
        <v>4976</v>
      </c>
      <c r="L16" s="234" t="s">
        <v>4977</v>
      </c>
      <c r="M16" s="234" t="s">
        <v>4943</v>
      </c>
      <c r="N16" s="237" t="s">
        <v>4975</v>
      </c>
      <c r="O16" s="238" t="s">
        <v>850</v>
      </c>
    </row>
    <row r="17" spans="1:15" ht="14.1">
      <c r="A17" s="251">
        <v>105488</v>
      </c>
      <c r="B17" s="234">
        <v>6370757</v>
      </c>
      <c r="C17" s="234">
        <v>2024</v>
      </c>
      <c r="D17" s="234" t="s">
        <v>4978</v>
      </c>
      <c r="E17" s="235">
        <v>17818</v>
      </c>
      <c r="F17" s="235">
        <v>45492</v>
      </c>
      <c r="G17" s="235">
        <v>45499</v>
      </c>
      <c r="H17" s="236" t="s">
        <v>4979</v>
      </c>
      <c r="I17" s="236" t="s">
        <v>4979</v>
      </c>
      <c r="J17" s="234" t="s">
        <v>4940</v>
      </c>
      <c r="K17" s="234" t="s">
        <v>4980</v>
      </c>
      <c r="L17" s="234" t="s">
        <v>4981</v>
      </c>
      <c r="M17" s="234" t="s">
        <v>4943</v>
      </c>
      <c r="N17" s="237" t="s">
        <v>4979</v>
      </c>
      <c r="O17" s="238" t="s">
        <v>850</v>
      </c>
    </row>
    <row r="18" spans="1:15" ht="69.599999999999994">
      <c r="A18" s="251">
        <v>666136</v>
      </c>
      <c r="B18" s="234">
        <v>6378502</v>
      </c>
      <c r="C18" s="234">
        <v>2024</v>
      </c>
      <c r="D18" s="234" t="s">
        <v>4982</v>
      </c>
      <c r="E18" s="235">
        <v>29762</v>
      </c>
      <c r="F18" s="235">
        <v>45496</v>
      </c>
      <c r="G18" s="235">
        <v>45499</v>
      </c>
      <c r="H18" s="236" t="s">
        <v>4983</v>
      </c>
      <c r="I18" s="236">
        <v>109</v>
      </c>
      <c r="J18" s="234" t="s">
        <v>4940</v>
      </c>
      <c r="K18" s="234" t="s">
        <v>4984</v>
      </c>
      <c r="L18" s="234" t="s">
        <v>4985</v>
      </c>
      <c r="M18" s="234" t="s">
        <v>4943</v>
      </c>
      <c r="N18" s="237" t="s">
        <v>4986</v>
      </c>
      <c r="O18" s="238" t="s">
        <v>4987</v>
      </c>
    </row>
    <row r="19" spans="1:15" ht="35.1">
      <c r="A19" s="251">
        <v>334003</v>
      </c>
      <c r="B19" s="234">
        <v>6379812</v>
      </c>
      <c r="C19" s="234">
        <v>2024</v>
      </c>
      <c r="D19" s="234" t="s">
        <v>4988</v>
      </c>
      <c r="E19" s="234">
        <v>0</v>
      </c>
      <c r="F19" s="235">
        <v>45498</v>
      </c>
      <c r="G19" s="235">
        <v>45499</v>
      </c>
      <c r="H19" s="236" t="s">
        <v>850</v>
      </c>
      <c r="I19" s="236">
        <v>0</v>
      </c>
      <c r="J19" s="234" t="s">
        <v>850</v>
      </c>
      <c r="K19" s="234" t="s">
        <v>4989</v>
      </c>
      <c r="L19" s="234" t="s">
        <v>4990</v>
      </c>
      <c r="M19" s="234" t="s">
        <v>4943</v>
      </c>
      <c r="N19" s="237">
        <v>0</v>
      </c>
      <c r="O19" s="238" t="s">
        <v>4944</v>
      </c>
    </row>
    <row r="20" spans="1:15" ht="45.95">
      <c r="A20" s="251">
        <v>794588</v>
      </c>
      <c r="B20" s="234">
        <v>794588</v>
      </c>
      <c r="C20" s="234">
        <v>2024</v>
      </c>
      <c r="D20" s="234" t="s">
        <v>4991</v>
      </c>
      <c r="E20" s="235">
        <v>40066</v>
      </c>
      <c r="F20" s="235">
        <v>45489</v>
      </c>
      <c r="G20" s="235">
        <v>45555</v>
      </c>
      <c r="H20" s="236">
        <v>435</v>
      </c>
      <c r="I20" s="236" t="s">
        <v>4992</v>
      </c>
      <c r="J20" s="234" t="s">
        <v>4940</v>
      </c>
      <c r="K20" s="234" t="s">
        <v>4993</v>
      </c>
      <c r="L20" s="234" t="s">
        <v>4981</v>
      </c>
      <c r="M20" s="234" t="s">
        <v>4943</v>
      </c>
      <c r="N20" s="237" t="s">
        <v>4994</v>
      </c>
      <c r="O20" s="238" t="s">
        <v>850</v>
      </c>
    </row>
    <row r="21" spans="1:15" ht="35.1">
      <c r="A21" s="251">
        <v>405850</v>
      </c>
      <c r="B21" s="234">
        <v>405850</v>
      </c>
      <c r="C21" s="234">
        <v>2024</v>
      </c>
      <c r="D21" s="234" t="s">
        <v>4995</v>
      </c>
      <c r="E21" s="234">
        <v>0</v>
      </c>
      <c r="F21" s="235">
        <v>45502</v>
      </c>
      <c r="G21" s="235">
        <v>45509</v>
      </c>
      <c r="H21" s="236" t="s">
        <v>4996</v>
      </c>
      <c r="I21" s="236" t="s">
        <v>4996</v>
      </c>
      <c r="J21" s="234" t="s">
        <v>4940</v>
      </c>
      <c r="K21" s="234" t="s">
        <v>4984</v>
      </c>
      <c r="L21" s="234" t="s">
        <v>4997</v>
      </c>
      <c r="M21" s="234" t="s">
        <v>4943</v>
      </c>
      <c r="N21" s="237" t="s">
        <v>4996</v>
      </c>
      <c r="O21" s="238" t="s">
        <v>4944</v>
      </c>
    </row>
    <row r="22" spans="1:15" ht="14.1">
      <c r="A22" s="251">
        <v>57543</v>
      </c>
      <c r="B22" s="234">
        <v>57543</v>
      </c>
      <c r="C22" s="234">
        <v>2024</v>
      </c>
      <c r="D22" s="234" t="s">
        <v>4998</v>
      </c>
      <c r="E22" s="235">
        <v>43577</v>
      </c>
      <c r="F22" s="235">
        <v>45498</v>
      </c>
      <c r="G22" s="235">
        <v>45510</v>
      </c>
      <c r="H22" s="236">
        <v>429</v>
      </c>
      <c r="I22" s="236">
        <v>429</v>
      </c>
      <c r="J22" s="234" t="s">
        <v>4940</v>
      </c>
      <c r="K22" s="234" t="s">
        <v>4999</v>
      </c>
      <c r="L22" s="234" t="s">
        <v>4957</v>
      </c>
      <c r="M22" s="234" t="s">
        <v>4943</v>
      </c>
      <c r="N22" s="237">
        <v>429</v>
      </c>
      <c r="O22" s="238" t="s">
        <v>850</v>
      </c>
    </row>
    <row r="23" spans="1:15" ht="14.1">
      <c r="A23" s="251">
        <v>603315</v>
      </c>
      <c r="B23" s="234">
        <v>603315</v>
      </c>
      <c r="C23" s="234">
        <v>2024</v>
      </c>
      <c r="D23" s="234" t="s">
        <v>5000</v>
      </c>
      <c r="E23" s="235">
        <v>32029</v>
      </c>
      <c r="F23" s="235">
        <v>45501</v>
      </c>
      <c r="G23" s="235">
        <v>45503</v>
      </c>
      <c r="H23" s="236">
        <v>708</v>
      </c>
      <c r="I23" s="236">
        <v>708</v>
      </c>
      <c r="J23" s="234" t="s">
        <v>4940</v>
      </c>
      <c r="K23" s="234" t="s">
        <v>922</v>
      </c>
      <c r="L23" s="234" t="s">
        <v>4981</v>
      </c>
      <c r="M23" s="234" t="s">
        <v>4943</v>
      </c>
      <c r="N23" s="237">
        <v>708</v>
      </c>
      <c r="O23" s="238" t="s">
        <v>850</v>
      </c>
    </row>
    <row r="24" spans="1:15" ht="69.599999999999994">
      <c r="A24" s="251">
        <v>666136</v>
      </c>
      <c r="B24" s="234">
        <v>666136</v>
      </c>
      <c r="C24" s="234">
        <v>2024</v>
      </c>
      <c r="D24" s="234" t="s">
        <v>4982</v>
      </c>
      <c r="E24" s="235">
        <v>29762</v>
      </c>
      <c r="F24" s="235">
        <v>45502</v>
      </c>
      <c r="G24" s="235">
        <v>45523</v>
      </c>
      <c r="H24" s="236">
        <v>104</v>
      </c>
      <c r="I24" s="236">
        <v>104</v>
      </c>
      <c r="J24" s="234" t="s">
        <v>4940</v>
      </c>
      <c r="K24" s="234" t="s">
        <v>4984</v>
      </c>
      <c r="L24" s="234" t="s">
        <v>4985</v>
      </c>
      <c r="M24" s="234" t="s">
        <v>4943</v>
      </c>
      <c r="N24" s="237">
        <v>104</v>
      </c>
      <c r="O24" s="238" t="s">
        <v>4987</v>
      </c>
    </row>
    <row r="25" spans="1:15" ht="14.1">
      <c r="A25" s="251">
        <v>891054</v>
      </c>
      <c r="B25" s="234">
        <v>891054</v>
      </c>
      <c r="C25" s="234">
        <v>2024</v>
      </c>
      <c r="D25" s="234" t="s">
        <v>5001</v>
      </c>
      <c r="E25" s="235">
        <v>45201</v>
      </c>
      <c r="F25" s="235">
        <v>45501</v>
      </c>
      <c r="G25" s="235">
        <v>45504</v>
      </c>
      <c r="H25" s="236">
        <v>428</v>
      </c>
      <c r="I25" s="236">
        <v>428</v>
      </c>
      <c r="J25" s="234" t="s">
        <v>4940</v>
      </c>
      <c r="K25" s="234" t="s">
        <v>5002</v>
      </c>
      <c r="L25" s="234" t="s">
        <v>4981</v>
      </c>
      <c r="M25" s="234" t="s">
        <v>4943</v>
      </c>
      <c r="N25" s="237">
        <v>428</v>
      </c>
      <c r="O25" s="238" t="s">
        <v>850</v>
      </c>
    </row>
    <row r="26" spans="1:15" ht="35.1">
      <c r="A26" s="251">
        <v>891061</v>
      </c>
      <c r="B26" s="234">
        <v>891061</v>
      </c>
      <c r="C26" s="234">
        <v>2024</v>
      </c>
      <c r="D26" s="234" t="s">
        <v>5003</v>
      </c>
      <c r="E26" s="234">
        <v>0</v>
      </c>
      <c r="F26" s="235">
        <v>45502</v>
      </c>
      <c r="G26" s="235">
        <v>45509</v>
      </c>
      <c r="H26" s="236" t="s">
        <v>4947</v>
      </c>
      <c r="I26" s="236" t="s">
        <v>4947</v>
      </c>
      <c r="J26" s="234" t="s">
        <v>4940</v>
      </c>
      <c r="K26" s="234" t="s">
        <v>4962</v>
      </c>
      <c r="L26" s="234" t="s">
        <v>5004</v>
      </c>
      <c r="M26" s="234" t="s">
        <v>4943</v>
      </c>
      <c r="N26" s="237" t="s">
        <v>4947</v>
      </c>
      <c r="O26" s="238" t="s">
        <v>4944</v>
      </c>
    </row>
    <row r="27" spans="1:15" ht="14.1">
      <c r="A27" s="251">
        <v>393544</v>
      </c>
      <c r="B27" s="234">
        <v>393544</v>
      </c>
      <c r="C27" s="234">
        <v>2024</v>
      </c>
      <c r="D27" s="234" t="s">
        <v>5005</v>
      </c>
      <c r="E27" s="235">
        <v>33190</v>
      </c>
      <c r="F27" s="235">
        <v>45504</v>
      </c>
      <c r="G27" s="235">
        <v>45505</v>
      </c>
      <c r="H27" s="236">
        <v>711</v>
      </c>
      <c r="I27" s="236">
        <v>711</v>
      </c>
      <c r="J27" s="234" t="s">
        <v>4940</v>
      </c>
      <c r="K27" s="234" t="s">
        <v>922</v>
      </c>
      <c r="L27" s="234" t="s">
        <v>4957</v>
      </c>
      <c r="M27" s="234" t="s">
        <v>4943</v>
      </c>
      <c r="N27" s="237">
        <v>711</v>
      </c>
      <c r="O27" s="238" t="s">
        <v>850</v>
      </c>
    </row>
    <row r="28" spans="1:15" ht="14.1">
      <c r="A28" s="251">
        <v>514378</v>
      </c>
      <c r="B28" s="234">
        <v>514378</v>
      </c>
      <c r="C28" s="234">
        <v>2024</v>
      </c>
      <c r="D28" s="234" t="s">
        <v>5006</v>
      </c>
      <c r="E28" s="235">
        <v>35228</v>
      </c>
      <c r="F28" s="235">
        <v>45505</v>
      </c>
      <c r="G28" s="235">
        <v>45510</v>
      </c>
      <c r="H28" s="236">
        <v>903</v>
      </c>
      <c r="I28" s="236">
        <v>903</v>
      </c>
      <c r="J28" s="234" t="s">
        <v>4940</v>
      </c>
      <c r="K28" s="234" t="s">
        <v>5007</v>
      </c>
      <c r="L28" s="234" t="s">
        <v>4981</v>
      </c>
      <c r="M28" s="234" t="s">
        <v>4943</v>
      </c>
      <c r="N28" s="237" t="s">
        <v>5008</v>
      </c>
      <c r="O28" s="238" t="s">
        <v>850</v>
      </c>
    </row>
    <row r="29" spans="1:15" ht="14.1">
      <c r="A29" s="251">
        <v>557614</v>
      </c>
      <c r="B29" s="234">
        <v>557614</v>
      </c>
      <c r="C29" s="234">
        <v>2024</v>
      </c>
      <c r="D29" s="234" t="s">
        <v>5009</v>
      </c>
      <c r="E29" s="235">
        <v>31825</v>
      </c>
      <c r="F29" s="235">
        <v>45505</v>
      </c>
      <c r="G29" s="235">
        <v>45509</v>
      </c>
      <c r="H29" s="236">
        <v>713</v>
      </c>
      <c r="I29" s="236">
        <v>713</v>
      </c>
      <c r="J29" s="234" t="s">
        <v>4940</v>
      </c>
      <c r="K29" s="234" t="s">
        <v>922</v>
      </c>
      <c r="L29" s="234" t="s">
        <v>4981</v>
      </c>
      <c r="M29" s="234" t="s">
        <v>4943</v>
      </c>
      <c r="N29" s="237">
        <v>713</v>
      </c>
      <c r="O29" s="238" t="s">
        <v>850</v>
      </c>
    </row>
    <row r="30" spans="1:15" ht="69.599999999999994">
      <c r="A30" s="251">
        <v>108414</v>
      </c>
      <c r="B30" s="234">
        <v>108414</v>
      </c>
      <c r="C30" s="234">
        <v>2024</v>
      </c>
      <c r="D30" s="234" t="s">
        <v>5010</v>
      </c>
      <c r="E30" s="235">
        <v>15793</v>
      </c>
      <c r="F30" s="235">
        <v>45503</v>
      </c>
      <c r="G30" s="235">
        <v>45518</v>
      </c>
      <c r="H30" s="236">
        <v>416</v>
      </c>
      <c r="I30" s="236">
        <v>416</v>
      </c>
      <c r="J30" s="234" t="s">
        <v>4940</v>
      </c>
      <c r="K30" s="234" t="s">
        <v>917</v>
      </c>
      <c r="L30" s="234" t="s">
        <v>4949</v>
      </c>
      <c r="M30" s="234" t="s">
        <v>4943</v>
      </c>
      <c r="N30" s="237" t="s">
        <v>5011</v>
      </c>
      <c r="O30" s="238" t="s">
        <v>5012</v>
      </c>
    </row>
    <row r="31" spans="1:15" ht="115.5">
      <c r="A31" s="251">
        <v>42080</v>
      </c>
      <c r="B31" s="234">
        <v>42080</v>
      </c>
      <c r="C31" s="234">
        <v>2024</v>
      </c>
      <c r="D31" s="234" t="s">
        <v>5013</v>
      </c>
      <c r="E31" s="235">
        <v>19863</v>
      </c>
      <c r="F31" s="235">
        <v>45504</v>
      </c>
      <c r="G31" s="235">
        <v>45518</v>
      </c>
      <c r="H31" s="236">
        <v>802</v>
      </c>
      <c r="I31" s="236">
        <v>802</v>
      </c>
      <c r="J31" s="234" t="s">
        <v>4940</v>
      </c>
      <c r="K31" s="234" t="s">
        <v>4962</v>
      </c>
      <c r="L31" s="234" t="s">
        <v>4949</v>
      </c>
      <c r="M31" s="234" t="s">
        <v>4943</v>
      </c>
      <c r="N31" s="237">
        <v>802</v>
      </c>
      <c r="O31" s="238" t="s">
        <v>5014</v>
      </c>
    </row>
    <row r="32" spans="1:15" ht="14.1">
      <c r="A32" s="251">
        <v>780060</v>
      </c>
      <c r="B32" s="234">
        <v>780060</v>
      </c>
      <c r="C32" s="234">
        <v>2024</v>
      </c>
      <c r="D32" s="234" t="s">
        <v>5015</v>
      </c>
      <c r="E32" s="235">
        <v>44780</v>
      </c>
      <c r="F32" s="235">
        <v>45500</v>
      </c>
      <c r="G32" s="235">
        <v>45510</v>
      </c>
      <c r="H32" s="236" t="s">
        <v>5016</v>
      </c>
      <c r="I32" s="236" t="s">
        <v>5016</v>
      </c>
      <c r="J32" s="234" t="s">
        <v>4940</v>
      </c>
      <c r="K32" s="234" t="s">
        <v>1390</v>
      </c>
      <c r="L32" s="234" t="s">
        <v>4957</v>
      </c>
      <c r="M32" s="234" t="s">
        <v>4943</v>
      </c>
      <c r="N32" s="237" t="s">
        <v>5016</v>
      </c>
      <c r="O32" s="238" t="s">
        <v>850</v>
      </c>
    </row>
    <row r="33" spans="1:15" ht="14.1">
      <c r="A33" s="251">
        <v>363106</v>
      </c>
      <c r="B33" s="234">
        <v>6376908</v>
      </c>
      <c r="C33" s="234">
        <v>2024</v>
      </c>
      <c r="D33" s="234" t="s">
        <v>5017</v>
      </c>
      <c r="E33" s="235">
        <v>30528</v>
      </c>
      <c r="F33" s="235">
        <v>45496</v>
      </c>
      <c r="G33" s="235">
        <v>45516</v>
      </c>
      <c r="H33" s="236">
        <v>806</v>
      </c>
      <c r="I33" s="236">
        <v>806</v>
      </c>
      <c r="J33" s="234" t="s">
        <v>4948</v>
      </c>
      <c r="K33" s="234" t="s">
        <v>4962</v>
      </c>
      <c r="L33" s="234" t="s">
        <v>4957</v>
      </c>
      <c r="M33" s="234" t="s">
        <v>4943</v>
      </c>
      <c r="N33" s="237">
        <v>806</v>
      </c>
      <c r="O33" s="238" t="s">
        <v>850</v>
      </c>
    </row>
    <row r="34" spans="1:15" ht="14.1">
      <c r="A34" s="251">
        <v>394310</v>
      </c>
      <c r="B34" s="234">
        <v>394310</v>
      </c>
      <c r="C34" s="234">
        <v>2024</v>
      </c>
      <c r="D34" s="234" t="s">
        <v>5018</v>
      </c>
      <c r="E34" s="235">
        <v>24473</v>
      </c>
      <c r="F34" s="235">
        <v>45506</v>
      </c>
      <c r="G34" s="235">
        <v>45518</v>
      </c>
      <c r="H34" s="236">
        <v>224</v>
      </c>
      <c r="I34" s="236">
        <v>224</v>
      </c>
      <c r="J34" s="234" t="s">
        <v>4940</v>
      </c>
      <c r="K34" s="234" t="s">
        <v>5019</v>
      </c>
      <c r="L34" s="234" t="s">
        <v>4981</v>
      </c>
      <c r="M34" s="234" t="s">
        <v>4943</v>
      </c>
      <c r="N34" s="237">
        <v>224</v>
      </c>
      <c r="O34" s="238" t="s">
        <v>850</v>
      </c>
    </row>
    <row r="35" spans="1:15" ht="14.1">
      <c r="A35" s="251">
        <v>512097</v>
      </c>
      <c r="B35" s="234">
        <v>512097</v>
      </c>
      <c r="C35" s="234">
        <v>2024</v>
      </c>
      <c r="D35" s="234" t="s">
        <v>5020</v>
      </c>
      <c r="E35" s="235">
        <v>24952</v>
      </c>
      <c r="F35" s="235">
        <v>45507</v>
      </c>
      <c r="G35" s="235">
        <v>45524</v>
      </c>
      <c r="H35" s="236">
        <v>801</v>
      </c>
      <c r="I35" s="236">
        <v>801</v>
      </c>
      <c r="J35" s="234" t="s">
        <v>4940</v>
      </c>
      <c r="K35" s="234" t="s">
        <v>5021</v>
      </c>
      <c r="L35" s="234" t="s">
        <v>4957</v>
      </c>
      <c r="M35" s="234" t="s">
        <v>4943</v>
      </c>
      <c r="N35" s="237">
        <v>801</v>
      </c>
      <c r="O35" s="238" t="s">
        <v>850</v>
      </c>
    </row>
    <row r="36" spans="1:15" ht="14.1">
      <c r="A36" s="251">
        <v>799617</v>
      </c>
      <c r="B36" s="234">
        <v>799617</v>
      </c>
      <c r="C36" s="234">
        <v>2024</v>
      </c>
      <c r="D36" s="234" t="s">
        <v>5022</v>
      </c>
      <c r="E36" s="235">
        <v>33252</v>
      </c>
      <c r="F36" s="235">
        <v>45504</v>
      </c>
      <c r="G36" s="235">
        <v>45539</v>
      </c>
      <c r="H36" s="236">
        <v>108</v>
      </c>
      <c r="I36" s="236">
        <v>302</v>
      </c>
      <c r="J36" s="234" t="s">
        <v>5023</v>
      </c>
      <c r="K36" s="234" t="s">
        <v>4941</v>
      </c>
      <c r="L36" s="234" t="s">
        <v>4981</v>
      </c>
      <c r="M36" s="234" t="s">
        <v>4950</v>
      </c>
      <c r="N36" s="237" t="s">
        <v>5024</v>
      </c>
      <c r="O36" s="238" t="s">
        <v>850</v>
      </c>
    </row>
    <row r="37" spans="1:15" ht="14.1">
      <c r="A37" s="251">
        <v>12466</v>
      </c>
      <c r="B37" s="234">
        <v>12466</v>
      </c>
      <c r="C37" s="234">
        <v>2024</v>
      </c>
      <c r="D37" s="234" t="s">
        <v>5025</v>
      </c>
      <c r="E37" s="235">
        <v>34056</v>
      </c>
      <c r="F37" s="235">
        <v>45512</v>
      </c>
      <c r="G37" s="235">
        <v>45539</v>
      </c>
      <c r="H37" s="236">
        <v>111</v>
      </c>
      <c r="I37" s="236">
        <v>111</v>
      </c>
      <c r="J37" s="234" t="s">
        <v>4940</v>
      </c>
      <c r="K37" s="234" t="s">
        <v>4984</v>
      </c>
      <c r="L37" s="234" t="s">
        <v>5026</v>
      </c>
      <c r="M37" s="234" t="s">
        <v>4943</v>
      </c>
      <c r="N37" s="237">
        <v>111</v>
      </c>
      <c r="O37" s="238" t="s">
        <v>850</v>
      </c>
    </row>
    <row r="38" spans="1:15" ht="14.1">
      <c r="A38" s="251">
        <v>322003</v>
      </c>
      <c r="B38" s="234">
        <v>322003</v>
      </c>
      <c r="C38" s="234">
        <v>2024</v>
      </c>
      <c r="D38" s="234" t="s">
        <v>5027</v>
      </c>
      <c r="E38" s="235">
        <v>24696</v>
      </c>
      <c r="F38" s="235">
        <v>45512</v>
      </c>
      <c r="G38" s="235">
        <v>45530</v>
      </c>
      <c r="H38" s="236">
        <v>106</v>
      </c>
      <c r="I38" s="236">
        <v>106</v>
      </c>
      <c r="J38" s="234" t="s">
        <v>4940</v>
      </c>
      <c r="K38" s="234" t="s">
        <v>4984</v>
      </c>
      <c r="L38" s="234" t="s">
        <v>5026</v>
      </c>
      <c r="M38" s="234" t="s">
        <v>4943</v>
      </c>
      <c r="N38" s="237">
        <v>106</v>
      </c>
      <c r="O38" s="238" t="s">
        <v>850</v>
      </c>
    </row>
    <row r="39" spans="1:15" ht="14.1">
      <c r="A39" s="251">
        <v>889643</v>
      </c>
      <c r="B39" s="234">
        <v>889643</v>
      </c>
      <c r="C39" s="234">
        <v>2024</v>
      </c>
      <c r="D39" s="234" t="s">
        <v>5028</v>
      </c>
      <c r="E39" s="235">
        <v>45493</v>
      </c>
      <c r="F39" s="235">
        <v>45493</v>
      </c>
      <c r="G39" s="235">
        <v>45524</v>
      </c>
      <c r="H39" s="236">
        <v>503</v>
      </c>
      <c r="I39" s="236">
        <v>503</v>
      </c>
      <c r="J39" s="234" t="s">
        <v>4940</v>
      </c>
      <c r="K39" s="234" t="s">
        <v>5029</v>
      </c>
      <c r="L39" s="234" t="s">
        <v>4981</v>
      </c>
      <c r="M39" s="234" t="s">
        <v>4943</v>
      </c>
      <c r="N39" s="237" t="s">
        <v>5030</v>
      </c>
      <c r="O39" s="238" t="s">
        <v>850</v>
      </c>
    </row>
    <row r="40" spans="1:15" ht="14.1">
      <c r="A40" s="251">
        <v>639002</v>
      </c>
      <c r="B40" s="234">
        <v>639002</v>
      </c>
      <c r="C40" s="234">
        <v>2024</v>
      </c>
      <c r="D40" s="234" t="s">
        <v>5031</v>
      </c>
      <c r="E40" s="235">
        <v>30882</v>
      </c>
      <c r="F40" s="235">
        <v>45512</v>
      </c>
      <c r="G40" s="235">
        <v>45519</v>
      </c>
      <c r="H40" s="236">
        <v>709</v>
      </c>
      <c r="I40" s="236">
        <v>709</v>
      </c>
      <c r="J40" s="234" t="s">
        <v>4940</v>
      </c>
      <c r="K40" s="234" t="s">
        <v>922</v>
      </c>
      <c r="L40" s="234" t="s">
        <v>4981</v>
      </c>
      <c r="M40" s="234" t="s">
        <v>4943</v>
      </c>
      <c r="N40" s="237" t="s">
        <v>5032</v>
      </c>
      <c r="O40" s="238" t="s">
        <v>850</v>
      </c>
    </row>
    <row r="41" spans="1:15" ht="14.1">
      <c r="A41" s="251">
        <v>433205</v>
      </c>
      <c r="B41" s="234">
        <v>433205</v>
      </c>
      <c r="C41" s="234">
        <v>2024</v>
      </c>
      <c r="D41" s="234" t="s">
        <v>5033</v>
      </c>
      <c r="E41" s="235">
        <v>21001</v>
      </c>
      <c r="F41" s="235">
        <v>45516</v>
      </c>
      <c r="G41" s="235">
        <v>45552</v>
      </c>
      <c r="H41" s="236">
        <v>101</v>
      </c>
      <c r="I41" s="236">
        <v>101</v>
      </c>
      <c r="J41" s="234" t="s">
        <v>4940</v>
      </c>
      <c r="K41" s="234" t="s">
        <v>4984</v>
      </c>
      <c r="L41" s="234" t="s">
        <v>5026</v>
      </c>
      <c r="M41" s="234" t="s">
        <v>4943</v>
      </c>
      <c r="N41" s="237">
        <v>101</v>
      </c>
      <c r="O41" s="238" t="s">
        <v>850</v>
      </c>
    </row>
    <row r="42" spans="1:15" ht="69.599999999999994">
      <c r="A42" s="251">
        <v>6419009</v>
      </c>
      <c r="B42" s="234">
        <v>6419009</v>
      </c>
      <c r="C42" s="234">
        <v>2024</v>
      </c>
      <c r="D42" s="234" t="s">
        <v>5034</v>
      </c>
      <c r="E42" s="235">
        <v>18570</v>
      </c>
      <c r="F42" s="235">
        <v>45516</v>
      </c>
      <c r="G42" s="235">
        <v>45517</v>
      </c>
      <c r="H42" s="236">
        <v>410</v>
      </c>
      <c r="I42" s="236">
        <v>410</v>
      </c>
      <c r="J42" s="234" t="s">
        <v>4940</v>
      </c>
      <c r="K42" s="234" t="s">
        <v>4962</v>
      </c>
      <c r="L42" s="234" t="s">
        <v>4981</v>
      </c>
      <c r="M42" s="234" t="s">
        <v>4943</v>
      </c>
      <c r="N42" s="237">
        <v>410</v>
      </c>
      <c r="O42" s="238" t="s">
        <v>5035</v>
      </c>
    </row>
    <row r="43" spans="1:15" ht="14.1">
      <c r="A43" s="251">
        <v>669926</v>
      </c>
      <c r="B43" s="234">
        <v>669926</v>
      </c>
      <c r="C43" s="234">
        <v>2024</v>
      </c>
      <c r="D43" s="234" t="s">
        <v>5036</v>
      </c>
      <c r="E43" s="235">
        <v>43013</v>
      </c>
      <c r="F43" s="235">
        <v>45512</v>
      </c>
      <c r="G43" s="235">
        <v>45518</v>
      </c>
      <c r="H43" s="236">
        <v>433</v>
      </c>
      <c r="I43" s="236">
        <v>433</v>
      </c>
      <c r="J43" s="234" t="s">
        <v>4940</v>
      </c>
      <c r="K43" s="234" t="s">
        <v>4999</v>
      </c>
      <c r="L43" s="234" t="s">
        <v>4981</v>
      </c>
      <c r="M43" s="234" t="s">
        <v>4943</v>
      </c>
      <c r="N43" s="237">
        <v>433</v>
      </c>
      <c r="O43" s="238" t="s">
        <v>850</v>
      </c>
    </row>
    <row r="44" spans="1:15" ht="14.1">
      <c r="A44" s="251">
        <v>526529</v>
      </c>
      <c r="B44" s="234">
        <v>526529</v>
      </c>
      <c r="C44" s="234">
        <v>2024</v>
      </c>
      <c r="D44" s="234" t="s">
        <v>5037</v>
      </c>
      <c r="E44" s="235">
        <v>42738</v>
      </c>
      <c r="F44" s="235">
        <v>45517</v>
      </c>
      <c r="G44" s="235">
        <v>45520</v>
      </c>
      <c r="H44" s="236" t="s">
        <v>5038</v>
      </c>
      <c r="I44" s="236" t="s">
        <v>5038</v>
      </c>
      <c r="J44" s="234" t="s">
        <v>4940</v>
      </c>
      <c r="K44" s="234" t="s">
        <v>1390</v>
      </c>
      <c r="L44" s="234" t="s">
        <v>4981</v>
      </c>
      <c r="M44" s="234" t="s">
        <v>4943</v>
      </c>
      <c r="N44" s="237" t="s">
        <v>5039</v>
      </c>
      <c r="O44" s="238" t="s">
        <v>850</v>
      </c>
    </row>
    <row r="45" spans="1:15" ht="69.599999999999994">
      <c r="A45" s="251">
        <v>607649</v>
      </c>
      <c r="B45" s="234">
        <v>607649</v>
      </c>
      <c r="C45" s="234">
        <v>2024</v>
      </c>
      <c r="D45" s="234" t="s">
        <v>5034</v>
      </c>
      <c r="E45" s="235">
        <v>18570</v>
      </c>
      <c r="F45" s="235">
        <v>45516</v>
      </c>
      <c r="G45" s="235">
        <v>45524</v>
      </c>
      <c r="H45" s="236">
        <v>410</v>
      </c>
      <c r="I45" s="236">
        <v>410</v>
      </c>
      <c r="J45" s="234" t="s">
        <v>4940</v>
      </c>
      <c r="K45" s="234" t="s">
        <v>4962</v>
      </c>
      <c r="L45" s="234" t="s">
        <v>4981</v>
      </c>
      <c r="M45" s="234" t="s">
        <v>4943</v>
      </c>
      <c r="N45" s="237">
        <v>410</v>
      </c>
      <c r="O45" s="238" t="s">
        <v>5035</v>
      </c>
    </row>
    <row r="46" spans="1:15" ht="14.1">
      <c r="A46" s="251">
        <v>847233</v>
      </c>
      <c r="B46" s="234">
        <v>847233</v>
      </c>
      <c r="C46" s="234">
        <v>2024</v>
      </c>
      <c r="D46" s="234" t="s">
        <v>5040</v>
      </c>
      <c r="E46" s="235">
        <v>30498</v>
      </c>
      <c r="F46" s="235">
        <v>45514</v>
      </c>
      <c r="G46" s="235">
        <v>45523</v>
      </c>
      <c r="H46" s="236">
        <v>711</v>
      </c>
      <c r="I46" s="236">
        <v>711</v>
      </c>
      <c r="J46" s="234" t="s">
        <v>4940</v>
      </c>
      <c r="K46" s="234" t="s">
        <v>922</v>
      </c>
      <c r="L46" s="234" t="s">
        <v>4949</v>
      </c>
      <c r="M46" s="234" t="s">
        <v>4943</v>
      </c>
      <c r="N46" s="237" t="s">
        <v>5041</v>
      </c>
      <c r="O46" s="238" t="s">
        <v>850</v>
      </c>
    </row>
    <row r="47" spans="1:15" ht="69.599999999999994">
      <c r="A47" s="251">
        <v>6423875</v>
      </c>
      <c r="B47" s="234">
        <v>6423875</v>
      </c>
      <c r="C47" s="234">
        <v>2024</v>
      </c>
      <c r="D47" s="234" t="s">
        <v>5010</v>
      </c>
      <c r="E47" s="235">
        <v>15793</v>
      </c>
      <c r="F47" s="235">
        <v>45518</v>
      </c>
      <c r="G47" s="235">
        <v>45538</v>
      </c>
      <c r="H47" s="236">
        <v>316</v>
      </c>
      <c r="I47" s="236">
        <v>812</v>
      </c>
      <c r="J47" s="234" t="s">
        <v>4940</v>
      </c>
      <c r="K47" s="234" t="s">
        <v>917</v>
      </c>
      <c r="L47" s="234" t="s">
        <v>4949</v>
      </c>
      <c r="M47" s="234" t="s">
        <v>4943</v>
      </c>
      <c r="N47" s="237" t="s">
        <v>5042</v>
      </c>
      <c r="O47" s="238" t="s">
        <v>5012</v>
      </c>
    </row>
    <row r="48" spans="1:15" ht="69.599999999999994">
      <c r="A48" s="251">
        <v>670678</v>
      </c>
      <c r="B48" s="234">
        <v>670678</v>
      </c>
      <c r="C48" s="234">
        <v>2024</v>
      </c>
      <c r="D48" s="234" t="s">
        <v>5043</v>
      </c>
      <c r="E48" s="235">
        <v>22196</v>
      </c>
      <c r="F48" s="235">
        <v>45519</v>
      </c>
      <c r="G48" s="235">
        <v>45523</v>
      </c>
      <c r="H48" s="236">
        <v>609</v>
      </c>
      <c r="I48" s="236">
        <v>609</v>
      </c>
      <c r="J48" s="234" t="s">
        <v>4948</v>
      </c>
      <c r="K48" s="234" t="s">
        <v>5044</v>
      </c>
      <c r="L48" s="234" t="s">
        <v>4949</v>
      </c>
      <c r="M48" s="234" t="s">
        <v>4950</v>
      </c>
      <c r="N48" s="237">
        <v>609</v>
      </c>
      <c r="O48" s="238" t="s">
        <v>5045</v>
      </c>
    </row>
    <row r="49" spans="1:15" ht="92.45">
      <c r="A49" s="251">
        <v>863757</v>
      </c>
      <c r="B49" s="234">
        <v>863757</v>
      </c>
      <c r="C49" s="234">
        <v>2024</v>
      </c>
      <c r="D49" s="234" t="s">
        <v>5046</v>
      </c>
      <c r="E49" s="234">
        <v>0</v>
      </c>
      <c r="F49" s="235">
        <v>45519</v>
      </c>
      <c r="G49" s="235">
        <v>45534</v>
      </c>
      <c r="H49" s="236">
        <v>425</v>
      </c>
      <c r="I49" s="236">
        <v>425</v>
      </c>
      <c r="J49" s="234" t="s">
        <v>4940</v>
      </c>
      <c r="K49" s="234" t="s">
        <v>1390</v>
      </c>
      <c r="L49" s="234" t="s">
        <v>4981</v>
      </c>
      <c r="M49" s="234" t="s">
        <v>4943</v>
      </c>
      <c r="N49" s="237" t="s">
        <v>5047</v>
      </c>
      <c r="O49" s="238" t="s">
        <v>5048</v>
      </c>
    </row>
    <row r="50" spans="1:15" ht="69.599999999999994">
      <c r="A50" s="251">
        <v>6423102</v>
      </c>
      <c r="B50" s="234">
        <v>6423102</v>
      </c>
      <c r="C50" s="234">
        <v>2024</v>
      </c>
      <c r="D50" s="234" t="s">
        <v>5043</v>
      </c>
      <c r="E50" s="235">
        <v>22196</v>
      </c>
      <c r="F50" s="235">
        <v>45519</v>
      </c>
      <c r="G50" s="235">
        <v>45524</v>
      </c>
      <c r="H50" s="236">
        <v>609</v>
      </c>
      <c r="I50" s="236">
        <v>609</v>
      </c>
      <c r="J50" s="234" t="s">
        <v>4948</v>
      </c>
      <c r="K50" s="234" t="s">
        <v>5044</v>
      </c>
      <c r="L50" s="234" t="s">
        <v>4949</v>
      </c>
      <c r="M50" s="234" t="s">
        <v>4950</v>
      </c>
      <c r="N50" s="237">
        <v>609</v>
      </c>
      <c r="O50" s="238" t="s">
        <v>5045</v>
      </c>
    </row>
    <row r="51" spans="1:15" ht="92.45">
      <c r="A51" s="251">
        <v>670678</v>
      </c>
      <c r="B51" s="234">
        <v>6426102</v>
      </c>
      <c r="C51" s="234">
        <v>2024</v>
      </c>
      <c r="D51" s="234" t="s">
        <v>5046</v>
      </c>
      <c r="E51" s="234">
        <v>0</v>
      </c>
      <c r="F51" s="235">
        <v>45519</v>
      </c>
      <c r="G51" s="235">
        <v>45524</v>
      </c>
      <c r="H51" s="236" t="s">
        <v>5049</v>
      </c>
      <c r="I51" s="236" t="s">
        <v>5049</v>
      </c>
      <c r="J51" s="234" t="s">
        <v>4940</v>
      </c>
      <c r="K51" s="234" t="s">
        <v>1390</v>
      </c>
      <c r="L51" s="234" t="s">
        <v>4981</v>
      </c>
      <c r="M51" s="234" t="s">
        <v>4950</v>
      </c>
      <c r="N51" s="237" t="s">
        <v>5049</v>
      </c>
      <c r="O51" s="238" t="s">
        <v>5048</v>
      </c>
    </row>
    <row r="52" spans="1:15" ht="14.1">
      <c r="A52" s="251">
        <v>893715</v>
      </c>
      <c r="B52" s="234">
        <v>893715</v>
      </c>
      <c r="C52" s="234">
        <v>2024</v>
      </c>
      <c r="D52" s="234" t="s">
        <v>5050</v>
      </c>
      <c r="E52" s="235">
        <v>45517</v>
      </c>
      <c r="F52" s="235">
        <v>45517</v>
      </c>
      <c r="G52" s="235">
        <v>45527</v>
      </c>
      <c r="H52" s="236">
        <v>505</v>
      </c>
      <c r="I52" s="236">
        <v>505</v>
      </c>
      <c r="J52" s="234" t="s">
        <v>4940</v>
      </c>
      <c r="K52" s="234" t="s">
        <v>5029</v>
      </c>
      <c r="L52" s="234" t="s">
        <v>4977</v>
      </c>
      <c r="M52" s="234" t="s">
        <v>5051</v>
      </c>
      <c r="N52" s="237">
        <v>505</v>
      </c>
      <c r="O52" s="238" t="s">
        <v>850</v>
      </c>
    </row>
    <row r="53" spans="1:15" ht="14.1">
      <c r="A53" s="251">
        <v>142274</v>
      </c>
      <c r="B53" s="234">
        <v>142274</v>
      </c>
      <c r="C53" s="234">
        <v>2024</v>
      </c>
      <c r="D53" s="234" t="s">
        <v>5052</v>
      </c>
      <c r="E53" s="235">
        <v>12544</v>
      </c>
      <c r="F53" s="235">
        <v>45521</v>
      </c>
      <c r="G53" s="235">
        <v>45538</v>
      </c>
      <c r="H53" s="236">
        <v>308</v>
      </c>
      <c r="I53" s="236">
        <v>308</v>
      </c>
      <c r="J53" s="234" t="s">
        <v>4940</v>
      </c>
      <c r="K53" s="234" t="s">
        <v>5053</v>
      </c>
      <c r="L53" s="234" t="s">
        <v>4949</v>
      </c>
      <c r="M53" s="234" t="s">
        <v>4950</v>
      </c>
      <c r="N53" s="237">
        <v>308</v>
      </c>
      <c r="O53" s="238" t="s">
        <v>850</v>
      </c>
    </row>
    <row r="54" spans="1:15" ht="14.1">
      <c r="A54" s="251">
        <v>13544</v>
      </c>
      <c r="B54" s="234">
        <v>13544</v>
      </c>
      <c r="C54" s="234">
        <v>2024</v>
      </c>
      <c r="D54" s="234" t="s">
        <v>5054</v>
      </c>
      <c r="E54" s="235">
        <v>16669</v>
      </c>
      <c r="F54" s="235">
        <v>45524</v>
      </c>
      <c r="G54" s="235">
        <v>45558</v>
      </c>
      <c r="H54" s="236">
        <v>307</v>
      </c>
      <c r="I54" s="236">
        <v>331</v>
      </c>
      <c r="J54" s="234" t="s">
        <v>4940</v>
      </c>
      <c r="K54" s="234" t="s">
        <v>5055</v>
      </c>
      <c r="L54" s="234" t="s">
        <v>4990</v>
      </c>
      <c r="M54" s="234" t="s">
        <v>4943</v>
      </c>
      <c r="N54" s="237" t="s">
        <v>5056</v>
      </c>
      <c r="O54" s="238" t="s">
        <v>850</v>
      </c>
    </row>
    <row r="55" spans="1:15" ht="14.1">
      <c r="A55" s="251">
        <v>486241</v>
      </c>
      <c r="B55" s="234">
        <v>486241</v>
      </c>
      <c r="C55" s="234">
        <v>2024</v>
      </c>
      <c r="D55" s="234" t="s">
        <v>5057</v>
      </c>
      <c r="E55" s="235">
        <v>31697</v>
      </c>
      <c r="F55" s="235">
        <v>45526</v>
      </c>
      <c r="G55" s="235">
        <v>45531</v>
      </c>
      <c r="H55" s="236">
        <v>207</v>
      </c>
      <c r="I55" s="236">
        <v>207</v>
      </c>
      <c r="J55" s="234" t="s">
        <v>4940</v>
      </c>
      <c r="K55" s="234" t="s">
        <v>5058</v>
      </c>
      <c r="L55" s="234" t="s">
        <v>4957</v>
      </c>
      <c r="M55" s="234" t="s">
        <v>4943</v>
      </c>
      <c r="N55" s="237">
        <v>207</v>
      </c>
      <c r="O55" s="238" t="s">
        <v>850</v>
      </c>
    </row>
    <row r="56" spans="1:15" ht="14.1">
      <c r="A56" s="251">
        <v>413557</v>
      </c>
      <c r="B56" s="234">
        <v>413557</v>
      </c>
      <c r="C56" s="234">
        <v>2024</v>
      </c>
      <c r="D56" s="234" t="s">
        <v>5059</v>
      </c>
      <c r="E56" s="235">
        <v>21945</v>
      </c>
      <c r="F56" s="235">
        <v>45531</v>
      </c>
      <c r="G56" s="235">
        <v>45555</v>
      </c>
      <c r="H56" s="236">
        <v>110</v>
      </c>
      <c r="I56" s="236">
        <v>110</v>
      </c>
      <c r="J56" s="234" t="s">
        <v>4940</v>
      </c>
      <c r="K56" s="234" t="s">
        <v>4941</v>
      </c>
      <c r="L56" s="234" t="s">
        <v>4985</v>
      </c>
      <c r="M56" s="234" t="s">
        <v>4943</v>
      </c>
      <c r="N56" s="237">
        <v>110</v>
      </c>
      <c r="O56" s="238" t="s">
        <v>850</v>
      </c>
    </row>
    <row r="57" spans="1:15" ht="14.1">
      <c r="A57" s="251">
        <v>615676</v>
      </c>
      <c r="B57" s="234">
        <v>615676</v>
      </c>
      <c r="C57" s="234">
        <v>2024</v>
      </c>
      <c r="D57" s="234" t="s">
        <v>5060</v>
      </c>
      <c r="E57" s="235">
        <v>34765</v>
      </c>
      <c r="F57" s="235">
        <v>45527</v>
      </c>
      <c r="G57" s="235">
        <v>45534</v>
      </c>
      <c r="H57" s="236">
        <v>703</v>
      </c>
      <c r="I57" s="236">
        <v>703</v>
      </c>
      <c r="J57" s="234" t="s">
        <v>4940</v>
      </c>
      <c r="K57" s="234" t="s">
        <v>5061</v>
      </c>
      <c r="L57" s="234" t="s">
        <v>4957</v>
      </c>
      <c r="M57" s="234" t="s">
        <v>4943</v>
      </c>
      <c r="N57" s="237">
        <v>703</v>
      </c>
      <c r="O57" s="238" t="s">
        <v>850</v>
      </c>
    </row>
    <row r="58" spans="1:15" ht="14.1">
      <c r="A58" s="251">
        <v>894176</v>
      </c>
      <c r="B58" s="234">
        <v>894176</v>
      </c>
      <c r="C58" s="234">
        <v>2024</v>
      </c>
      <c r="D58" s="234" t="s">
        <v>5062</v>
      </c>
      <c r="E58" s="235">
        <v>22197</v>
      </c>
      <c r="F58" s="235">
        <v>45519</v>
      </c>
      <c r="G58" s="235">
        <v>45552</v>
      </c>
      <c r="H58" s="236" t="s">
        <v>4983</v>
      </c>
      <c r="I58" s="236" t="s">
        <v>4983</v>
      </c>
      <c r="J58" s="234" t="s">
        <v>4948</v>
      </c>
      <c r="K58" s="234" t="s">
        <v>5063</v>
      </c>
      <c r="L58" s="234" t="s">
        <v>4990</v>
      </c>
      <c r="M58" s="234" t="s">
        <v>4943</v>
      </c>
      <c r="N58" s="237" t="s">
        <v>4983</v>
      </c>
      <c r="O58" s="238" t="s">
        <v>850</v>
      </c>
    </row>
    <row r="59" spans="1:15" ht="14.1">
      <c r="A59" s="251">
        <v>895462</v>
      </c>
      <c r="B59" s="234">
        <v>895462</v>
      </c>
      <c r="C59" s="234">
        <v>2024</v>
      </c>
      <c r="D59" s="234" t="s">
        <v>5064</v>
      </c>
      <c r="E59" s="235">
        <v>29403</v>
      </c>
      <c r="F59" s="235">
        <v>45530</v>
      </c>
      <c r="G59" s="235">
        <v>45534</v>
      </c>
      <c r="H59" s="236">
        <v>704</v>
      </c>
      <c r="I59" s="236">
        <v>704</v>
      </c>
      <c r="J59" s="234" t="s">
        <v>4940</v>
      </c>
      <c r="K59" s="234" t="s">
        <v>922</v>
      </c>
      <c r="L59" s="234" t="s">
        <v>4981</v>
      </c>
      <c r="M59" s="234" t="s">
        <v>4943</v>
      </c>
      <c r="N59" s="237">
        <v>704</v>
      </c>
      <c r="O59" s="238" t="s">
        <v>850</v>
      </c>
    </row>
    <row r="60" spans="1:15" ht="57.95">
      <c r="A60" s="251">
        <v>138951</v>
      </c>
      <c r="B60" s="234">
        <v>138951</v>
      </c>
      <c r="C60" s="234">
        <v>2024</v>
      </c>
      <c r="D60" s="234" t="s">
        <v>5065</v>
      </c>
      <c r="E60" s="235">
        <v>12987</v>
      </c>
      <c r="F60" s="235">
        <v>45564</v>
      </c>
      <c r="G60" s="235">
        <v>45552</v>
      </c>
      <c r="H60" s="236">
        <v>404</v>
      </c>
      <c r="I60" s="236">
        <v>404</v>
      </c>
      <c r="J60" s="234" t="s">
        <v>4940</v>
      </c>
      <c r="K60" s="234" t="s">
        <v>5066</v>
      </c>
      <c r="L60" s="234" t="s">
        <v>4981</v>
      </c>
      <c r="M60" s="234" t="s">
        <v>4943</v>
      </c>
      <c r="N60" s="237">
        <v>404</v>
      </c>
      <c r="O60" s="238" t="s">
        <v>5067</v>
      </c>
    </row>
    <row r="61" spans="1:15" ht="14.1">
      <c r="A61" s="251">
        <v>896654</v>
      </c>
      <c r="B61" s="234">
        <v>896654</v>
      </c>
      <c r="C61" s="234">
        <v>2024</v>
      </c>
      <c r="D61" s="234" t="s">
        <v>5068</v>
      </c>
      <c r="E61" s="235">
        <v>43452</v>
      </c>
      <c r="F61" s="235">
        <v>45533</v>
      </c>
      <c r="G61" s="235">
        <v>45537</v>
      </c>
      <c r="H61" s="236">
        <v>430</v>
      </c>
      <c r="I61" s="236">
        <v>430</v>
      </c>
      <c r="J61" s="234" t="s">
        <v>4940</v>
      </c>
      <c r="K61" s="234" t="s">
        <v>4999</v>
      </c>
      <c r="L61" s="234" t="s">
        <v>4981</v>
      </c>
      <c r="M61" s="234" t="s">
        <v>4943</v>
      </c>
      <c r="N61" s="237">
        <v>430</v>
      </c>
      <c r="O61" s="238" t="s">
        <v>850</v>
      </c>
    </row>
    <row r="62" spans="1:15" ht="14.1">
      <c r="A62" s="251">
        <v>567117</v>
      </c>
      <c r="B62" s="234">
        <v>567117</v>
      </c>
      <c r="C62" s="234">
        <v>2024</v>
      </c>
      <c r="D62" s="234" t="s">
        <v>5069</v>
      </c>
      <c r="E62" s="235">
        <v>45308</v>
      </c>
      <c r="F62" s="235">
        <v>45537</v>
      </c>
      <c r="G62" s="235">
        <v>45540</v>
      </c>
      <c r="H62" s="236" t="s">
        <v>5070</v>
      </c>
      <c r="I62" s="236" t="s">
        <v>5070</v>
      </c>
      <c r="J62" s="234" t="s">
        <v>4940</v>
      </c>
      <c r="K62" s="234" t="s">
        <v>1939</v>
      </c>
      <c r="L62" s="234" t="s">
        <v>4990</v>
      </c>
      <c r="M62" s="234" t="s">
        <v>4943</v>
      </c>
      <c r="N62" s="237" t="s">
        <v>5070</v>
      </c>
      <c r="O62" s="238" t="s">
        <v>850</v>
      </c>
    </row>
    <row r="63" spans="1:15" ht="35.1">
      <c r="A63" s="251">
        <v>6464037</v>
      </c>
      <c r="B63" s="234">
        <v>6464037</v>
      </c>
      <c r="C63" s="234">
        <v>2024</v>
      </c>
      <c r="D63" s="234" t="s">
        <v>5071</v>
      </c>
      <c r="E63" s="235">
        <v>17659</v>
      </c>
      <c r="F63" s="235">
        <v>45538</v>
      </c>
      <c r="G63" s="235">
        <v>45551</v>
      </c>
      <c r="H63" s="236">
        <v>604</v>
      </c>
      <c r="I63" s="236" t="s">
        <v>5072</v>
      </c>
      <c r="J63" s="234" t="s">
        <v>4940</v>
      </c>
      <c r="K63" s="234" t="s">
        <v>1574</v>
      </c>
      <c r="L63" s="234" t="s">
        <v>4949</v>
      </c>
      <c r="M63" s="234" t="s">
        <v>4943</v>
      </c>
      <c r="N63" s="237" t="s">
        <v>5073</v>
      </c>
      <c r="O63" s="238" t="s">
        <v>4944</v>
      </c>
    </row>
    <row r="64" spans="1:15" ht="14.1">
      <c r="A64" s="251">
        <v>176466</v>
      </c>
      <c r="B64" s="234">
        <v>176466</v>
      </c>
      <c r="C64" s="234">
        <v>2024</v>
      </c>
      <c r="D64" s="234" t="s">
        <v>5074</v>
      </c>
      <c r="E64" s="235">
        <v>19683</v>
      </c>
      <c r="F64" s="235">
        <v>45528</v>
      </c>
      <c r="G64" s="235">
        <v>45572</v>
      </c>
      <c r="H64" s="236">
        <v>307</v>
      </c>
      <c r="I64" s="236">
        <v>303</v>
      </c>
      <c r="J64" s="234" t="s">
        <v>4940</v>
      </c>
      <c r="K64" s="234" t="s">
        <v>1939</v>
      </c>
      <c r="L64" s="234" t="s">
        <v>4990</v>
      </c>
      <c r="M64" s="234" t="s">
        <v>4950</v>
      </c>
      <c r="N64" s="237" t="s">
        <v>5075</v>
      </c>
      <c r="O64" s="238" t="s">
        <v>850</v>
      </c>
    </row>
    <row r="65" spans="1:15" ht="14.1">
      <c r="A65" s="251">
        <v>793173</v>
      </c>
      <c r="B65" s="234">
        <v>793173</v>
      </c>
      <c r="C65" s="234">
        <v>2024</v>
      </c>
      <c r="D65" s="234" t="s">
        <v>5076</v>
      </c>
      <c r="E65" s="235">
        <v>43007</v>
      </c>
      <c r="F65" s="235">
        <v>45540</v>
      </c>
      <c r="G65" s="235">
        <v>45544</v>
      </c>
      <c r="H65" s="236">
        <v>429</v>
      </c>
      <c r="I65" s="236">
        <v>429</v>
      </c>
      <c r="J65" s="234" t="s">
        <v>4940</v>
      </c>
      <c r="K65" s="234" t="s">
        <v>2624</v>
      </c>
      <c r="L65" s="234" t="s">
        <v>4981</v>
      </c>
      <c r="M65" s="234" t="s">
        <v>4943</v>
      </c>
      <c r="N65" s="237">
        <v>429</v>
      </c>
      <c r="O65" s="238" t="s">
        <v>850</v>
      </c>
    </row>
    <row r="66" spans="1:15" ht="14.1">
      <c r="A66" s="251">
        <v>770693</v>
      </c>
      <c r="B66" s="234">
        <v>770693</v>
      </c>
      <c r="C66" s="234">
        <v>2024</v>
      </c>
      <c r="D66" s="234" t="s">
        <v>5077</v>
      </c>
      <c r="E66" s="235">
        <v>43815</v>
      </c>
      <c r="F66" s="235">
        <v>45543</v>
      </c>
      <c r="G66" s="235">
        <v>45548</v>
      </c>
      <c r="H66" s="236">
        <v>430</v>
      </c>
      <c r="I66" s="236" t="s">
        <v>5078</v>
      </c>
      <c r="J66" s="234" t="s">
        <v>4940</v>
      </c>
      <c r="K66" s="234" t="s">
        <v>2624</v>
      </c>
      <c r="L66" s="234" t="s">
        <v>4981</v>
      </c>
      <c r="M66" s="234" t="s">
        <v>4943</v>
      </c>
      <c r="N66" s="237" t="s">
        <v>5079</v>
      </c>
      <c r="O66" s="238" t="s">
        <v>850</v>
      </c>
    </row>
    <row r="67" spans="1:15" ht="46.5">
      <c r="A67" s="251">
        <v>426986</v>
      </c>
      <c r="B67" s="234">
        <v>426986</v>
      </c>
      <c r="C67" s="234">
        <v>2024</v>
      </c>
      <c r="D67" s="234" t="s">
        <v>5080</v>
      </c>
      <c r="E67" s="235">
        <v>15266</v>
      </c>
      <c r="F67" s="235">
        <v>45505</v>
      </c>
      <c r="G67" s="235">
        <v>45546</v>
      </c>
      <c r="H67" s="236">
        <v>716</v>
      </c>
      <c r="I67" s="236">
        <v>716</v>
      </c>
      <c r="J67" s="234" t="s">
        <v>4940</v>
      </c>
      <c r="K67" s="234" t="s">
        <v>2624</v>
      </c>
      <c r="L67" s="234" t="s">
        <v>4981</v>
      </c>
      <c r="M67" s="234" t="s">
        <v>4943</v>
      </c>
      <c r="N67" s="237">
        <v>716</v>
      </c>
      <c r="O67" s="238" t="s">
        <v>5081</v>
      </c>
    </row>
    <row r="68" spans="1:15" ht="46.5">
      <c r="A68" s="251">
        <v>426986</v>
      </c>
      <c r="B68" s="234">
        <v>426986</v>
      </c>
      <c r="C68" s="234">
        <v>2024</v>
      </c>
      <c r="D68" s="234" t="s">
        <v>5082</v>
      </c>
      <c r="E68" s="235">
        <v>15266</v>
      </c>
      <c r="F68" s="235">
        <v>45552</v>
      </c>
      <c r="G68" s="235">
        <v>45561</v>
      </c>
      <c r="H68" s="236">
        <v>108</v>
      </c>
      <c r="I68" s="236">
        <v>108</v>
      </c>
      <c r="J68" s="234" t="s">
        <v>4940</v>
      </c>
      <c r="K68" s="234" t="s">
        <v>1939</v>
      </c>
      <c r="L68" s="234" t="s">
        <v>4949</v>
      </c>
      <c r="M68" s="234" t="s">
        <v>4943</v>
      </c>
      <c r="N68" s="237">
        <v>108</v>
      </c>
      <c r="O68" s="238" t="s">
        <v>5081</v>
      </c>
    </row>
    <row r="69" spans="1:15" ht="14.1">
      <c r="A69" s="251">
        <v>6472702</v>
      </c>
      <c r="B69" s="234">
        <v>6472702</v>
      </c>
      <c r="C69" s="234">
        <v>2024</v>
      </c>
      <c r="D69" s="234" t="s">
        <v>5083</v>
      </c>
      <c r="E69" s="235">
        <v>22848</v>
      </c>
      <c r="F69" s="235">
        <v>45541</v>
      </c>
      <c r="G69" s="235">
        <v>45558</v>
      </c>
      <c r="H69" s="236">
        <v>316</v>
      </c>
      <c r="I69" s="236">
        <v>316</v>
      </c>
      <c r="J69" s="234" t="s">
        <v>4940</v>
      </c>
      <c r="K69" s="234" t="s">
        <v>1574</v>
      </c>
      <c r="L69" s="239" t="s">
        <v>5084</v>
      </c>
      <c r="M69" s="234" t="s">
        <v>4943</v>
      </c>
      <c r="N69" s="237">
        <v>316</v>
      </c>
      <c r="O69" s="238" t="s">
        <v>850</v>
      </c>
    </row>
    <row r="70" spans="1:15" ht="14.1">
      <c r="A70" s="251">
        <v>868878</v>
      </c>
      <c r="B70" s="234">
        <v>868878</v>
      </c>
      <c r="C70" s="234">
        <v>2024</v>
      </c>
      <c r="D70" s="234" t="s">
        <v>5085</v>
      </c>
      <c r="E70" s="235">
        <v>21870</v>
      </c>
      <c r="F70" s="235">
        <v>45555</v>
      </c>
      <c r="G70" s="235">
        <v>45575</v>
      </c>
      <c r="H70" s="236">
        <v>318</v>
      </c>
      <c r="I70" s="236">
        <v>318</v>
      </c>
      <c r="J70" s="234" t="s">
        <v>4948</v>
      </c>
      <c r="K70" s="234" t="s">
        <v>4941</v>
      </c>
      <c r="L70" s="234" t="s">
        <v>5026</v>
      </c>
      <c r="M70" s="234" t="s">
        <v>4943</v>
      </c>
      <c r="N70" s="237">
        <v>318</v>
      </c>
      <c r="O70" s="238" t="s">
        <v>850</v>
      </c>
    </row>
    <row r="71" spans="1:15" ht="14.1">
      <c r="A71" s="251">
        <v>82610</v>
      </c>
      <c r="B71" s="234">
        <v>82610</v>
      </c>
      <c r="C71" s="234">
        <v>2024</v>
      </c>
      <c r="D71" s="234" t="s">
        <v>5086</v>
      </c>
      <c r="E71" s="235">
        <v>1952</v>
      </c>
      <c r="F71" s="235">
        <v>45518</v>
      </c>
      <c r="G71" s="235">
        <v>45572</v>
      </c>
      <c r="H71" s="236">
        <v>101</v>
      </c>
      <c r="I71" s="236">
        <v>320</v>
      </c>
      <c r="J71" s="234" t="s">
        <v>4948</v>
      </c>
      <c r="K71" s="234" t="s">
        <v>4941</v>
      </c>
      <c r="L71" s="234" t="s">
        <v>4985</v>
      </c>
      <c r="M71" s="234" t="s">
        <v>4950</v>
      </c>
      <c r="N71" s="237" t="s">
        <v>5087</v>
      </c>
      <c r="O71" s="238" t="s">
        <v>850</v>
      </c>
    </row>
    <row r="72" spans="1:15" ht="14.1">
      <c r="A72" s="251">
        <v>526828</v>
      </c>
      <c r="B72" s="234">
        <v>526828</v>
      </c>
      <c r="C72" s="234">
        <v>2024</v>
      </c>
      <c r="D72" s="234" t="s">
        <v>5088</v>
      </c>
      <c r="E72" s="235">
        <v>32506</v>
      </c>
      <c r="F72" s="235">
        <v>45561</v>
      </c>
      <c r="G72" s="235">
        <v>45565</v>
      </c>
      <c r="H72" s="236">
        <v>108</v>
      </c>
      <c r="I72" s="236">
        <v>108</v>
      </c>
      <c r="J72" s="234" t="s">
        <v>4940</v>
      </c>
      <c r="K72" s="234" t="s">
        <v>1939</v>
      </c>
      <c r="L72" s="234" t="s">
        <v>5089</v>
      </c>
      <c r="M72" s="234" t="s">
        <v>4943</v>
      </c>
      <c r="N72" s="237">
        <v>108</v>
      </c>
      <c r="O72" s="238" t="s">
        <v>850</v>
      </c>
    </row>
    <row r="73" spans="1:15" ht="14.1">
      <c r="A73" s="251">
        <v>92905</v>
      </c>
      <c r="B73" s="234">
        <v>92905</v>
      </c>
      <c r="C73" s="234">
        <v>2024</v>
      </c>
      <c r="D73" s="234" t="s">
        <v>5090</v>
      </c>
      <c r="E73" s="235">
        <v>17904</v>
      </c>
      <c r="F73" s="235">
        <v>45562</v>
      </c>
      <c r="G73" s="235">
        <v>45565</v>
      </c>
      <c r="H73" s="236">
        <v>114</v>
      </c>
      <c r="I73" s="236">
        <v>114</v>
      </c>
      <c r="J73" s="234" t="s">
        <v>4940</v>
      </c>
      <c r="K73" s="234" t="s">
        <v>4941</v>
      </c>
      <c r="L73" s="234" t="s">
        <v>4985</v>
      </c>
      <c r="M73" s="234" t="s">
        <v>4943</v>
      </c>
      <c r="N73" s="237">
        <v>114</v>
      </c>
      <c r="O73" s="238" t="s">
        <v>850</v>
      </c>
    </row>
    <row r="74" spans="1:15" ht="14.1">
      <c r="A74" s="251">
        <v>489641</v>
      </c>
      <c r="B74" s="234">
        <v>489641</v>
      </c>
      <c r="C74" s="234">
        <v>2024</v>
      </c>
      <c r="D74" s="234" t="s">
        <v>5091</v>
      </c>
      <c r="E74" s="235">
        <v>22904</v>
      </c>
      <c r="F74" s="235">
        <v>45564</v>
      </c>
      <c r="G74" s="235">
        <v>45566</v>
      </c>
      <c r="H74" s="236">
        <v>804</v>
      </c>
      <c r="I74" s="236">
        <v>804</v>
      </c>
      <c r="J74" s="234" t="s">
        <v>4940</v>
      </c>
      <c r="K74" s="234" t="s">
        <v>1939</v>
      </c>
      <c r="L74" s="239" t="s">
        <v>5084</v>
      </c>
      <c r="M74" s="234" t="s">
        <v>4943</v>
      </c>
      <c r="N74" s="237">
        <v>804</v>
      </c>
      <c r="O74" s="238" t="s">
        <v>850</v>
      </c>
    </row>
    <row r="75" spans="1:15" ht="14.1">
      <c r="A75" s="251">
        <v>365832</v>
      </c>
      <c r="B75" s="234">
        <v>365832</v>
      </c>
      <c r="C75" s="234">
        <v>2024</v>
      </c>
      <c r="D75" s="234" t="s">
        <v>5092</v>
      </c>
      <c r="E75" s="235">
        <v>24964</v>
      </c>
      <c r="F75" s="235">
        <v>45566</v>
      </c>
      <c r="G75" s="235">
        <v>45579</v>
      </c>
      <c r="H75" s="236">
        <v>102</v>
      </c>
      <c r="I75" s="236">
        <v>204</v>
      </c>
      <c r="J75" s="234" t="s">
        <v>4940</v>
      </c>
      <c r="K75" s="234" t="s">
        <v>4962</v>
      </c>
      <c r="L75" s="234" t="s">
        <v>4990</v>
      </c>
      <c r="M75" s="234" t="s">
        <v>4943</v>
      </c>
      <c r="N75" s="237" t="s">
        <v>5093</v>
      </c>
      <c r="O75" s="238" t="s">
        <v>850</v>
      </c>
    </row>
    <row r="76" spans="1:15" ht="14.1">
      <c r="A76" s="251">
        <v>75497</v>
      </c>
      <c r="B76" s="234">
        <v>75497</v>
      </c>
      <c r="C76" s="234">
        <v>2024</v>
      </c>
      <c r="D76" s="234" t="s">
        <v>5094</v>
      </c>
      <c r="E76" s="235">
        <v>12940</v>
      </c>
      <c r="F76" s="235">
        <v>45567</v>
      </c>
      <c r="G76" s="235">
        <v>45572</v>
      </c>
      <c r="H76" s="236">
        <v>411</v>
      </c>
      <c r="I76" s="236">
        <v>411</v>
      </c>
      <c r="J76" s="234" t="s">
        <v>4940</v>
      </c>
      <c r="K76" s="234" t="s">
        <v>1939</v>
      </c>
      <c r="L76" s="239" t="s">
        <v>5084</v>
      </c>
      <c r="M76" s="234" t="s">
        <v>4943</v>
      </c>
      <c r="N76" s="237">
        <v>411</v>
      </c>
      <c r="O76" s="238" t="s">
        <v>850</v>
      </c>
    </row>
    <row r="77" spans="1:15" ht="23.1">
      <c r="A77" s="251">
        <v>900876</v>
      </c>
      <c r="B77" s="234">
        <v>900876</v>
      </c>
      <c r="C77" s="234">
        <v>2024</v>
      </c>
      <c r="D77" s="234" t="s">
        <v>5095</v>
      </c>
      <c r="E77" s="235">
        <v>42643</v>
      </c>
      <c r="F77" s="235">
        <v>45568</v>
      </c>
      <c r="G77" s="235">
        <v>45588</v>
      </c>
      <c r="H77" s="236">
        <v>401</v>
      </c>
      <c r="I77" s="236" t="s">
        <v>5096</v>
      </c>
      <c r="J77" s="234" t="s">
        <v>4940</v>
      </c>
      <c r="K77" s="234" t="s">
        <v>2624</v>
      </c>
      <c r="L77" s="234" t="s">
        <v>4957</v>
      </c>
      <c r="M77" s="234" t="s">
        <v>4943</v>
      </c>
      <c r="N77" s="237" t="s">
        <v>5097</v>
      </c>
      <c r="O77" s="238" t="s">
        <v>850</v>
      </c>
    </row>
    <row r="78" spans="1:15" ht="14.1">
      <c r="A78" s="251">
        <v>788953</v>
      </c>
      <c r="B78" s="234">
        <v>788953</v>
      </c>
      <c r="C78" s="234">
        <v>2024</v>
      </c>
      <c r="D78" s="234" t="s">
        <v>5098</v>
      </c>
      <c r="E78" s="235">
        <v>36177</v>
      </c>
      <c r="F78" s="235">
        <v>45572</v>
      </c>
      <c r="G78" s="235">
        <v>45574</v>
      </c>
      <c r="H78" s="236">
        <v>313</v>
      </c>
      <c r="I78" s="236">
        <v>313</v>
      </c>
      <c r="J78" s="234" t="s">
        <v>4940</v>
      </c>
      <c r="K78" s="234" t="s">
        <v>1543</v>
      </c>
      <c r="L78" s="234" t="s">
        <v>5089</v>
      </c>
      <c r="M78" s="234" t="s">
        <v>4943</v>
      </c>
      <c r="N78" s="237">
        <v>313</v>
      </c>
      <c r="O78" s="238" t="s">
        <v>850</v>
      </c>
    </row>
    <row r="79" spans="1:15" ht="14.1">
      <c r="A79" s="251">
        <v>768549</v>
      </c>
      <c r="B79" s="234">
        <v>768549</v>
      </c>
      <c r="C79" s="234">
        <v>2024</v>
      </c>
      <c r="D79" s="234" t="s">
        <v>5099</v>
      </c>
      <c r="E79" s="235">
        <v>44298</v>
      </c>
      <c r="F79" s="235">
        <v>45567</v>
      </c>
      <c r="G79" s="235">
        <v>45575</v>
      </c>
      <c r="H79" s="236" t="s">
        <v>5038</v>
      </c>
      <c r="I79" s="236" t="s">
        <v>5038</v>
      </c>
      <c r="J79" s="234" t="s">
        <v>4940</v>
      </c>
      <c r="K79" s="234" t="s">
        <v>2624</v>
      </c>
      <c r="L79" s="234" t="s">
        <v>4957</v>
      </c>
      <c r="M79" s="234" t="s">
        <v>4943</v>
      </c>
      <c r="N79" s="237" t="s">
        <v>5038</v>
      </c>
      <c r="O79" s="238" t="s">
        <v>850</v>
      </c>
    </row>
    <row r="80" spans="1:15" ht="14.1">
      <c r="A80" s="251">
        <v>900848</v>
      </c>
      <c r="B80" s="234">
        <v>900848</v>
      </c>
      <c r="C80" s="234">
        <v>2024</v>
      </c>
      <c r="D80" s="234" t="s">
        <v>5100</v>
      </c>
      <c r="E80" s="235">
        <v>45038</v>
      </c>
      <c r="F80" s="235">
        <v>45569</v>
      </c>
      <c r="G80" s="235">
        <v>45579</v>
      </c>
      <c r="H80" s="236">
        <v>435</v>
      </c>
      <c r="I80" s="236">
        <v>435</v>
      </c>
      <c r="J80" s="234" t="s">
        <v>4940</v>
      </c>
      <c r="K80" s="234" t="s">
        <v>2624</v>
      </c>
      <c r="L80" s="234" t="s">
        <v>4957</v>
      </c>
      <c r="M80" s="234" t="s">
        <v>4943</v>
      </c>
      <c r="N80" s="237">
        <v>435</v>
      </c>
      <c r="O80" s="238" t="s">
        <v>850</v>
      </c>
    </row>
    <row r="81" spans="1:15" ht="14.1">
      <c r="A81" s="251">
        <v>209507</v>
      </c>
      <c r="B81" s="234">
        <v>209507</v>
      </c>
      <c r="C81" s="234">
        <v>2024</v>
      </c>
      <c r="D81" s="234" t="s">
        <v>5101</v>
      </c>
      <c r="E81" s="235">
        <v>14766</v>
      </c>
      <c r="F81" s="235">
        <v>45575</v>
      </c>
      <c r="G81" s="235">
        <v>45579</v>
      </c>
      <c r="H81" s="236">
        <v>111</v>
      </c>
      <c r="I81" s="236">
        <v>111</v>
      </c>
      <c r="J81" s="234" t="s">
        <v>4948</v>
      </c>
      <c r="K81" s="234" t="s">
        <v>4941</v>
      </c>
      <c r="L81" s="234" t="s">
        <v>4957</v>
      </c>
      <c r="M81" s="234" t="s">
        <v>4943</v>
      </c>
      <c r="N81" s="237">
        <v>111</v>
      </c>
      <c r="O81" s="238" t="s">
        <v>850</v>
      </c>
    </row>
    <row r="82" spans="1:15" ht="14.1">
      <c r="A82" s="251">
        <v>896188</v>
      </c>
      <c r="B82" s="234">
        <v>896188</v>
      </c>
      <c r="C82" s="234">
        <v>2024</v>
      </c>
      <c r="D82" s="234" t="s">
        <v>5102</v>
      </c>
      <c r="E82" s="235">
        <v>24932</v>
      </c>
      <c r="F82" s="235">
        <v>45575</v>
      </c>
      <c r="G82" s="235">
        <v>45579</v>
      </c>
      <c r="H82" s="236">
        <v>102</v>
      </c>
      <c r="I82" s="236">
        <v>102</v>
      </c>
      <c r="J82" s="234" t="s">
        <v>4948</v>
      </c>
      <c r="K82" s="234" t="s">
        <v>4941</v>
      </c>
      <c r="L82" s="234" t="s">
        <v>5089</v>
      </c>
      <c r="M82" s="234" t="s">
        <v>4943</v>
      </c>
      <c r="N82" s="237">
        <v>102</v>
      </c>
      <c r="O82" s="238" t="s">
        <v>850</v>
      </c>
    </row>
    <row r="83" spans="1:15" ht="14.1">
      <c r="A83" s="251">
        <v>329364</v>
      </c>
      <c r="B83" s="234">
        <v>329364</v>
      </c>
      <c r="C83" s="234">
        <v>2024</v>
      </c>
      <c r="D83" s="234" t="s">
        <v>5103</v>
      </c>
      <c r="E83" s="235">
        <v>19959</v>
      </c>
      <c r="F83" s="235">
        <v>45575</v>
      </c>
      <c r="G83" s="235">
        <v>45579</v>
      </c>
      <c r="H83" s="236">
        <v>209</v>
      </c>
      <c r="I83" s="236">
        <v>209</v>
      </c>
      <c r="J83" s="234" t="s">
        <v>4940</v>
      </c>
      <c r="K83" s="234" t="s">
        <v>1939</v>
      </c>
      <c r="L83" s="234" t="s">
        <v>5084</v>
      </c>
      <c r="M83" s="234" t="s">
        <v>4943</v>
      </c>
      <c r="N83" s="237">
        <v>209</v>
      </c>
      <c r="O83" s="238" t="s">
        <v>850</v>
      </c>
    </row>
    <row r="84" spans="1:15" ht="14.1">
      <c r="A84" s="251">
        <v>688014</v>
      </c>
      <c r="B84" s="234">
        <v>688014</v>
      </c>
      <c r="C84" s="234">
        <v>2024</v>
      </c>
      <c r="D84" s="234" t="s">
        <v>5104</v>
      </c>
      <c r="E84" s="235">
        <v>34925</v>
      </c>
      <c r="F84" s="235">
        <v>45579</v>
      </c>
      <c r="G84" s="235">
        <v>45659</v>
      </c>
      <c r="H84" s="236">
        <v>108</v>
      </c>
      <c r="I84" s="236">
        <v>111</v>
      </c>
      <c r="J84" s="234" t="s">
        <v>4940</v>
      </c>
      <c r="K84" s="234" t="s">
        <v>4941</v>
      </c>
      <c r="L84" s="234" t="s">
        <v>4985</v>
      </c>
      <c r="M84" s="234" t="s">
        <v>4943</v>
      </c>
      <c r="N84" s="237" t="s">
        <v>5105</v>
      </c>
      <c r="O84" s="238" t="s">
        <v>850</v>
      </c>
    </row>
    <row r="85" spans="1:15" ht="14.1">
      <c r="A85" s="251">
        <v>791367</v>
      </c>
      <c r="B85" s="234">
        <v>791367</v>
      </c>
      <c r="C85" s="234">
        <v>2024</v>
      </c>
      <c r="D85" s="234" t="s">
        <v>5106</v>
      </c>
      <c r="E85" s="235">
        <v>44687</v>
      </c>
      <c r="F85" s="235">
        <v>45561</v>
      </c>
      <c r="G85" s="235">
        <v>45582</v>
      </c>
      <c r="H85" s="236">
        <v>433</v>
      </c>
      <c r="I85" s="236">
        <v>433</v>
      </c>
      <c r="J85" s="234" t="s">
        <v>4940</v>
      </c>
      <c r="K85" s="234" t="s">
        <v>4999</v>
      </c>
      <c r="L85" s="234" t="s">
        <v>4957</v>
      </c>
      <c r="M85" s="234" t="s">
        <v>4943</v>
      </c>
      <c r="N85" s="237">
        <v>433</v>
      </c>
      <c r="O85" s="238" t="s">
        <v>850</v>
      </c>
    </row>
    <row r="86" spans="1:15" ht="14.1">
      <c r="A86" s="251">
        <v>900403</v>
      </c>
      <c r="B86" s="234">
        <v>900403</v>
      </c>
      <c r="C86" s="234">
        <v>2024</v>
      </c>
      <c r="D86" s="234" t="s">
        <v>5107</v>
      </c>
      <c r="E86" s="235">
        <v>45565</v>
      </c>
      <c r="F86" s="235">
        <v>45565</v>
      </c>
      <c r="G86" s="235">
        <v>45586</v>
      </c>
      <c r="H86" s="236">
        <v>506</v>
      </c>
      <c r="I86" s="236">
        <v>506</v>
      </c>
      <c r="J86" s="234" t="s">
        <v>4940</v>
      </c>
      <c r="K86" s="234" t="s">
        <v>5108</v>
      </c>
      <c r="L86" s="234" t="s">
        <v>4990</v>
      </c>
      <c r="M86" s="234" t="s">
        <v>4943</v>
      </c>
      <c r="N86" s="237">
        <v>506</v>
      </c>
      <c r="O86" s="238" t="s">
        <v>850</v>
      </c>
    </row>
    <row r="87" spans="1:15" ht="69.599999999999994">
      <c r="A87" s="251">
        <v>6541529</v>
      </c>
      <c r="B87" s="234">
        <v>6541529</v>
      </c>
      <c r="C87" s="234">
        <v>2024</v>
      </c>
      <c r="D87" s="234" t="s">
        <v>5013</v>
      </c>
      <c r="E87" s="235">
        <v>19863</v>
      </c>
      <c r="F87" s="235">
        <v>45581</v>
      </c>
      <c r="G87" s="235">
        <v>45607</v>
      </c>
      <c r="H87" s="236">
        <v>609</v>
      </c>
      <c r="I87" s="236">
        <v>806</v>
      </c>
      <c r="J87" s="234" t="s">
        <v>4940</v>
      </c>
      <c r="K87" s="234" t="s">
        <v>5109</v>
      </c>
      <c r="L87" s="234" t="s">
        <v>4949</v>
      </c>
      <c r="M87" s="234" t="s">
        <v>4943</v>
      </c>
      <c r="N87" s="237" t="s">
        <v>5110</v>
      </c>
      <c r="O87" s="238" t="s">
        <v>5111</v>
      </c>
    </row>
    <row r="88" spans="1:15" ht="14.1">
      <c r="A88" s="251">
        <v>830399</v>
      </c>
      <c r="B88" s="234">
        <v>830399</v>
      </c>
      <c r="C88" s="234">
        <v>2024</v>
      </c>
      <c r="D88" s="234" t="s">
        <v>5112</v>
      </c>
      <c r="E88" s="235">
        <v>38278</v>
      </c>
      <c r="F88" s="235">
        <v>45580</v>
      </c>
      <c r="G88" s="235">
        <v>45583</v>
      </c>
      <c r="H88" s="236" t="s">
        <v>5113</v>
      </c>
      <c r="I88" s="236" t="s">
        <v>5113</v>
      </c>
      <c r="J88" s="234" t="s">
        <v>4940</v>
      </c>
      <c r="K88" s="234" t="s">
        <v>1543</v>
      </c>
      <c r="L88" s="234" t="s">
        <v>5114</v>
      </c>
      <c r="M88" s="234" t="s">
        <v>4943</v>
      </c>
      <c r="N88" s="237" t="s">
        <v>5113</v>
      </c>
      <c r="O88" s="238" t="s">
        <v>850</v>
      </c>
    </row>
    <row r="89" spans="1:15" ht="14.1">
      <c r="A89" s="251">
        <v>762718</v>
      </c>
      <c r="B89" s="234">
        <v>762718</v>
      </c>
      <c r="C89" s="234">
        <v>2024</v>
      </c>
      <c r="D89" s="234" t="s">
        <v>5115</v>
      </c>
      <c r="E89" s="235">
        <v>20152</v>
      </c>
      <c r="F89" s="235">
        <v>45520</v>
      </c>
      <c r="G89" s="235">
        <v>45629</v>
      </c>
      <c r="H89" s="236">
        <v>804</v>
      </c>
      <c r="I89" s="236">
        <v>801</v>
      </c>
      <c r="J89" s="234" t="s">
        <v>4940</v>
      </c>
      <c r="K89" s="234" t="s">
        <v>1939</v>
      </c>
      <c r="L89" s="234" t="s">
        <v>4957</v>
      </c>
      <c r="M89" s="234" t="s">
        <v>4943</v>
      </c>
      <c r="N89" s="237" t="s">
        <v>5116</v>
      </c>
      <c r="O89" s="238" t="s">
        <v>850</v>
      </c>
    </row>
    <row r="90" spans="1:15" ht="14.1">
      <c r="A90" s="251">
        <v>775873</v>
      </c>
      <c r="B90" s="234">
        <v>775873</v>
      </c>
      <c r="C90" s="234">
        <v>2024</v>
      </c>
      <c r="D90" s="234" t="s">
        <v>5117</v>
      </c>
      <c r="E90" s="235">
        <v>24657</v>
      </c>
      <c r="F90" s="235">
        <v>45573</v>
      </c>
      <c r="G90" s="235">
        <v>45614</v>
      </c>
      <c r="H90" s="236">
        <v>301</v>
      </c>
      <c r="I90" s="236">
        <v>301</v>
      </c>
      <c r="J90" s="234" t="s">
        <v>4940</v>
      </c>
      <c r="K90" s="234" t="s">
        <v>1939</v>
      </c>
      <c r="L90" s="234" t="s">
        <v>4957</v>
      </c>
      <c r="M90" s="234" t="s">
        <v>4943</v>
      </c>
      <c r="N90" s="237">
        <v>301</v>
      </c>
      <c r="O90" s="238" t="s">
        <v>850</v>
      </c>
    </row>
    <row r="91" spans="1:15" ht="14.1">
      <c r="A91" s="251">
        <v>618970</v>
      </c>
      <c r="B91" s="234">
        <v>618970</v>
      </c>
      <c r="C91" s="234">
        <v>2024</v>
      </c>
      <c r="D91" s="234" t="s">
        <v>5118</v>
      </c>
      <c r="E91" s="235">
        <v>43559</v>
      </c>
      <c r="F91" s="235">
        <v>45584</v>
      </c>
      <c r="G91" s="235">
        <v>45589</v>
      </c>
      <c r="H91" s="236">
        <v>432</v>
      </c>
      <c r="I91" s="236">
        <v>432</v>
      </c>
      <c r="J91" s="234" t="s">
        <v>4940</v>
      </c>
      <c r="K91" s="234" t="s">
        <v>2624</v>
      </c>
      <c r="L91" s="234" t="s">
        <v>4957</v>
      </c>
      <c r="M91" s="234" t="s">
        <v>4943</v>
      </c>
      <c r="N91" s="237">
        <v>432</v>
      </c>
      <c r="O91" s="238" t="s">
        <v>850</v>
      </c>
    </row>
    <row r="92" spans="1:15" ht="14.1">
      <c r="A92" s="251">
        <v>108564</v>
      </c>
      <c r="B92" s="234">
        <v>108564</v>
      </c>
      <c r="C92" s="234">
        <v>2024</v>
      </c>
      <c r="D92" s="234" t="s">
        <v>5119</v>
      </c>
      <c r="E92" s="235">
        <v>15895</v>
      </c>
      <c r="F92" s="235">
        <v>45553</v>
      </c>
      <c r="G92" s="235">
        <v>45593</v>
      </c>
      <c r="H92" s="236">
        <v>412</v>
      </c>
      <c r="I92" s="236">
        <v>412</v>
      </c>
      <c r="J92" s="234" t="s">
        <v>4948</v>
      </c>
      <c r="K92" s="234" t="s">
        <v>1939</v>
      </c>
      <c r="L92" s="234" t="s">
        <v>5084</v>
      </c>
      <c r="M92" s="234" t="s">
        <v>4950</v>
      </c>
      <c r="N92" s="237">
        <v>412</v>
      </c>
      <c r="O92" s="238" t="s">
        <v>850</v>
      </c>
    </row>
    <row r="93" spans="1:15" ht="14.1">
      <c r="A93" s="251">
        <v>855898</v>
      </c>
      <c r="B93" s="234">
        <v>855898</v>
      </c>
      <c r="C93" s="234">
        <v>2024</v>
      </c>
      <c r="D93" s="234" t="s">
        <v>5120</v>
      </c>
      <c r="E93" s="235">
        <v>16706</v>
      </c>
      <c r="F93" s="235">
        <v>45569</v>
      </c>
      <c r="G93" s="235">
        <v>45593</v>
      </c>
      <c r="H93" s="236">
        <v>312</v>
      </c>
      <c r="I93" s="236">
        <v>312</v>
      </c>
      <c r="J93" s="234" t="s">
        <v>4940</v>
      </c>
      <c r="K93" s="234" t="s">
        <v>1939</v>
      </c>
      <c r="L93" s="234" t="s">
        <v>4957</v>
      </c>
      <c r="M93" s="234" t="s">
        <v>4943</v>
      </c>
      <c r="N93" s="237">
        <v>312</v>
      </c>
      <c r="O93" s="238" t="s">
        <v>850</v>
      </c>
    </row>
    <row r="94" spans="1:15" ht="14.1">
      <c r="A94" s="251">
        <v>6558494</v>
      </c>
      <c r="B94" s="234">
        <v>6558494</v>
      </c>
      <c r="C94" s="234">
        <v>2024</v>
      </c>
      <c r="D94" s="234" t="s">
        <v>5121</v>
      </c>
      <c r="E94" s="235">
        <v>21234</v>
      </c>
      <c r="F94" s="235">
        <v>45589</v>
      </c>
      <c r="G94" s="235">
        <v>45604</v>
      </c>
      <c r="H94" s="236">
        <v>607</v>
      </c>
      <c r="I94" s="236" t="s">
        <v>5122</v>
      </c>
      <c r="J94" s="234" t="s">
        <v>4940</v>
      </c>
      <c r="K94" s="234" t="s">
        <v>5123</v>
      </c>
      <c r="L94" s="234" t="s">
        <v>4949</v>
      </c>
      <c r="M94" s="234" t="s">
        <v>5051</v>
      </c>
      <c r="N94" s="237" t="s">
        <v>5124</v>
      </c>
      <c r="O94" s="238" t="s">
        <v>850</v>
      </c>
    </row>
    <row r="95" spans="1:15" ht="23.1">
      <c r="A95" s="251">
        <v>900150</v>
      </c>
      <c r="B95" s="234">
        <v>900150</v>
      </c>
      <c r="C95" s="234">
        <v>2024</v>
      </c>
      <c r="D95" s="234" t="s">
        <v>5125</v>
      </c>
      <c r="E95" s="235">
        <v>45562</v>
      </c>
      <c r="F95" s="235">
        <v>45562</v>
      </c>
      <c r="G95" s="235">
        <v>45723</v>
      </c>
      <c r="H95" s="236">
        <v>502</v>
      </c>
      <c r="I95" s="236" t="s">
        <v>5126</v>
      </c>
      <c r="J95" s="234" t="s">
        <v>4940</v>
      </c>
      <c r="K95" s="234" t="s">
        <v>2624</v>
      </c>
      <c r="L95" s="234" t="s">
        <v>4957</v>
      </c>
      <c r="M95" s="234" t="s">
        <v>4943</v>
      </c>
      <c r="N95" s="237" t="s">
        <v>5127</v>
      </c>
      <c r="O95" s="238" t="s">
        <v>850</v>
      </c>
    </row>
    <row r="96" spans="1:15" ht="14.1">
      <c r="A96" s="251">
        <v>903370</v>
      </c>
      <c r="B96" s="234">
        <v>903370</v>
      </c>
      <c r="C96" s="234">
        <v>2024</v>
      </c>
      <c r="D96" s="234" t="s">
        <v>5128</v>
      </c>
      <c r="E96" s="235">
        <v>45064</v>
      </c>
      <c r="F96" s="235">
        <v>45582</v>
      </c>
      <c r="G96" s="235">
        <v>45602</v>
      </c>
      <c r="H96" s="236">
        <v>432</v>
      </c>
      <c r="I96" s="236">
        <v>432</v>
      </c>
      <c r="J96" s="234" t="s">
        <v>4940</v>
      </c>
      <c r="K96" s="234" t="s">
        <v>2624</v>
      </c>
      <c r="L96" s="234" t="s">
        <v>4957</v>
      </c>
      <c r="M96" s="234" t="s">
        <v>4943</v>
      </c>
      <c r="N96" s="237">
        <v>432</v>
      </c>
      <c r="O96" s="238" t="s">
        <v>850</v>
      </c>
    </row>
    <row r="97" spans="1:15" ht="23.1">
      <c r="A97" s="251">
        <v>6560416</v>
      </c>
      <c r="B97" s="234">
        <v>6560416</v>
      </c>
      <c r="C97" s="234">
        <v>2024</v>
      </c>
      <c r="D97" s="234" t="s">
        <v>5129</v>
      </c>
      <c r="E97" s="235">
        <v>21067</v>
      </c>
      <c r="F97" s="235">
        <v>45590</v>
      </c>
      <c r="G97" s="235">
        <v>45604</v>
      </c>
      <c r="H97" s="236" t="s">
        <v>4979</v>
      </c>
      <c r="I97" s="236" t="s">
        <v>5130</v>
      </c>
      <c r="J97" s="234" t="s">
        <v>4940</v>
      </c>
      <c r="K97" s="234" t="s">
        <v>5109</v>
      </c>
      <c r="L97" s="234" t="s">
        <v>4949</v>
      </c>
      <c r="M97" s="234" t="s">
        <v>4943</v>
      </c>
      <c r="N97" s="237" t="s">
        <v>5131</v>
      </c>
      <c r="O97" s="238" t="s">
        <v>850</v>
      </c>
    </row>
    <row r="98" spans="1:15" ht="81">
      <c r="A98" s="251">
        <v>555596</v>
      </c>
      <c r="B98" s="234">
        <v>555596</v>
      </c>
      <c r="C98" s="234">
        <v>2024</v>
      </c>
      <c r="D98" s="234" t="s">
        <v>5132</v>
      </c>
      <c r="E98" s="235">
        <v>43229</v>
      </c>
      <c r="F98" s="234">
        <v>0</v>
      </c>
      <c r="G98" s="235">
        <v>45678</v>
      </c>
      <c r="H98" s="236">
        <v>434</v>
      </c>
      <c r="I98" s="236">
        <v>434</v>
      </c>
      <c r="J98" s="234" t="s">
        <v>4940</v>
      </c>
      <c r="K98" s="234" t="s">
        <v>2624</v>
      </c>
      <c r="L98" s="234" t="s">
        <v>4957</v>
      </c>
      <c r="M98" s="234" t="s">
        <v>4943</v>
      </c>
      <c r="N98" s="237">
        <v>434</v>
      </c>
      <c r="O98" s="238" t="s">
        <v>5133</v>
      </c>
    </row>
    <row r="99" spans="1:15" ht="14.1">
      <c r="A99" s="251">
        <v>6564223</v>
      </c>
      <c r="B99" s="234">
        <v>6564223</v>
      </c>
      <c r="C99" s="234">
        <v>2024</v>
      </c>
      <c r="D99" s="234" t="s">
        <v>5134</v>
      </c>
      <c r="E99" s="235">
        <v>21291</v>
      </c>
      <c r="F99" s="235">
        <v>45600</v>
      </c>
      <c r="G99" s="235">
        <v>45601</v>
      </c>
      <c r="H99" s="236">
        <v>314</v>
      </c>
      <c r="I99" s="236">
        <v>314</v>
      </c>
      <c r="J99" s="234" t="s">
        <v>4940</v>
      </c>
      <c r="K99" s="234" t="s">
        <v>1543</v>
      </c>
      <c r="L99" s="234" t="s">
        <v>4957</v>
      </c>
      <c r="M99" s="234" t="s">
        <v>4943</v>
      </c>
      <c r="N99" s="237">
        <v>314</v>
      </c>
      <c r="O99" s="238" t="s">
        <v>850</v>
      </c>
    </row>
    <row r="100" spans="1:15" ht="69.599999999999994">
      <c r="A100" s="251">
        <v>666136</v>
      </c>
      <c r="B100" s="234">
        <v>666136</v>
      </c>
      <c r="C100" s="234">
        <v>2024</v>
      </c>
      <c r="D100" s="234" t="s">
        <v>4982</v>
      </c>
      <c r="E100" s="235">
        <v>29762</v>
      </c>
      <c r="F100" s="235">
        <v>45591</v>
      </c>
      <c r="G100" s="235">
        <v>45632</v>
      </c>
      <c r="H100" s="236">
        <v>108</v>
      </c>
      <c r="I100" s="236">
        <v>108</v>
      </c>
      <c r="J100" s="234" t="s">
        <v>4948</v>
      </c>
      <c r="K100" s="234" t="s">
        <v>5135</v>
      </c>
      <c r="L100" s="234" t="s">
        <v>5084</v>
      </c>
      <c r="M100" s="234" t="s">
        <v>4943</v>
      </c>
      <c r="N100" s="237">
        <v>108</v>
      </c>
      <c r="O100" s="238" t="s">
        <v>4987</v>
      </c>
    </row>
    <row r="101" spans="1:15" ht="81">
      <c r="A101" s="251">
        <v>785950</v>
      </c>
      <c r="B101" s="234">
        <v>785950</v>
      </c>
      <c r="C101" s="234">
        <v>2024</v>
      </c>
      <c r="D101" s="234" t="s">
        <v>5136</v>
      </c>
      <c r="E101" s="235">
        <v>31717</v>
      </c>
      <c r="F101" s="235">
        <v>9074</v>
      </c>
      <c r="G101" s="235">
        <v>45614</v>
      </c>
      <c r="H101" s="236">
        <v>408</v>
      </c>
      <c r="I101" s="236">
        <v>408</v>
      </c>
      <c r="J101" s="234" t="s">
        <v>4940</v>
      </c>
      <c r="K101" s="234" t="s">
        <v>1939</v>
      </c>
      <c r="L101" s="234" t="s">
        <v>5084</v>
      </c>
      <c r="M101" s="234" t="s">
        <v>4943</v>
      </c>
      <c r="N101" s="237">
        <v>408</v>
      </c>
      <c r="O101" s="238" t="s">
        <v>5137</v>
      </c>
    </row>
    <row r="102" spans="1:15" ht="14.1">
      <c r="A102" s="251">
        <v>903304</v>
      </c>
      <c r="B102" s="234">
        <v>903304</v>
      </c>
      <c r="C102" s="234">
        <v>2024</v>
      </c>
      <c r="D102" s="234" t="s">
        <v>5138</v>
      </c>
      <c r="E102" s="235">
        <v>45567</v>
      </c>
      <c r="F102" s="235">
        <v>45591</v>
      </c>
      <c r="G102" s="235">
        <v>45607</v>
      </c>
      <c r="H102" s="236" t="s">
        <v>5139</v>
      </c>
      <c r="I102" s="236" t="s">
        <v>5139</v>
      </c>
      <c r="J102" s="234" t="s">
        <v>4940</v>
      </c>
      <c r="K102" s="234" t="s">
        <v>2624</v>
      </c>
      <c r="L102" s="234" t="s">
        <v>4957</v>
      </c>
      <c r="M102" s="234" t="s">
        <v>4943</v>
      </c>
      <c r="N102" s="237" t="s">
        <v>5139</v>
      </c>
      <c r="O102" s="238" t="s">
        <v>850</v>
      </c>
    </row>
    <row r="103" spans="1:15" ht="35.1">
      <c r="A103" s="251">
        <v>6576371</v>
      </c>
      <c r="B103" s="234">
        <v>6576371</v>
      </c>
      <c r="C103" s="234">
        <v>2024</v>
      </c>
      <c r="D103" s="234" t="s">
        <v>5140</v>
      </c>
      <c r="E103" s="235">
        <v>15665</v>
      </c>
      <c r="F103" s="235">
        <v>45601</v>
      </c>
      <c r="G103" s="235">
        <v>45614</v>
      </c>
      <c r="H103" s="236">
        <v>419</v>
      </c>
      <c r="I103" s="236" t="s">
        <v>5141</v>
      </c>
      <c r="J103" s="234" t="s">
        <v>4940</v>
      </c>
      <c r="K103" s="234" t="s">
        <v>1543</v>
      </c>
      <c r="L103" s="234" t="s">
        <v>4957</v>
      </c>
      <c r="M103" s="234" t="s">
        <v>5051</v>
      </c>
      <c r="N103" s="237" t="s">
        <v>5142</v>
      </c>
      <c r="O103" s="238" t="s">
        <v>4944</v>
      </c>
    </row>
    <row r="104" spans="1:15" ht="14.1">
      <c r="A104" s="251">
        <v>902659</v>
      </c>
      <c r="B104" s="234">
        <v>902659</v>
      </c>
      <c r="C104" s="234">
        <v>2024</v>
      </c>
      <c r="D104" s="234" t="s">
        <v>5143</v>
      </c>
      <c r="E104" s="235">
        <v>45585</v>
      </c>
      <c r="F104" s="235">
        <v>45585</v>
      </c>
      <c r="G104" s="235">
        <v>45615</v>
      </c>
      <c r="H104" s="236" t="s">
        <v>5144</v>
      </c>
      <c r="I104" s="236" t="s">
        <v>5144</v>
      </c>
      <c r="J104" s="234" t="s">
        <v>4940</v>
      </c>
      <c r="K104" s="234" t="s">
        <v>2624</v>
      </c>
      <c r="L104" s="234" t="s">
        <v>4957</v>
      </c>
      <c r="M104" s="234" t="s">
        <v>4943</v>
      </c>
      <c r="N104" s="237" t="s">
        <v>5144</v>
      </c>
      <c r="O104" s="238" t="s">
        <v>850</v>
      </c>
    </row>
    <row r="105" spans="1:15" ht="14.1">
      <c r="A105" s="251">
        <v>173347</v>
      </c>
      <c r="B105" s="234">
        <v>173347</v>
      </c>
      <c r="C105" s="234">
        <v>2024</v>
      </c>
      <c r="D105" s="234" t="s">
        <v>5145</v>
      </c>
      <c r="E105" s="235">
        <v>24202</v>
      </c>
      <c r="F105" s="235">
        <v>45600</v>
      </c>
      <c r="G105" s="235">
        <v>45608</v>
      </c>
      <c r="H105" s="236">
        <v>404</v>
      </c>
      <c r="I105" s="236">
        <v>404</v>
      </c>
      <c r="J105" s="234" t="s">
        <v>4940</v>
      </c>
      <c r="K105" s="234" t="s">
        <v>1939</v>
      </c>
      <c r="L105" s="234" t="s">
        <v>4957</v>
      </c>
      <c r="M105" s="234" t="s">
        <v>4943</v>
      </c>
      <c r="N105" s="237">
        <v>404</v>
      </c>
      <c r="O105" s="238" t="s">
        <v>850</v>
      </c>
    </row>
    <row r="106" spans="1:15" ht="14.1">
      <c r="A106" s="251">
        <v>390624</v>
      </c>
      <c r="B106" s="234">
        <v>390624</v>
      </c>
      <c r="C106" s="234">
        <v>2024</v>
      </c>
      <c r="D106" s="234" t="s">
        <v>5146</v>
      </c>
      <c r="E106" s="235">
        <v>18095</v>
      </c>
      <c r="F106" s="235">
        <v>45591</v>
      </c>
      <c r="G106" s="235">
        <v>45623</v>
      </c>
      <c r="H106" s="236">
        <v>112</v>
      </c>
      <c r="I106" s="236">
        <v>110</v>
      </c>
      <c r="J106" s="234" t="s">
        <v>4940</v>
      </c>
      <c r="K106" s="234" t="s">
        <v>1939</v>
      </c>
      <c r="L106" s="234" t="s">
        <v>4985</v>
      </c>
      <c r="M106" s="234" t="s">
        <v>4943</v>
      </c>
      <c r="N106" s="237" t="s">
        <v>5147</v>
      </c>
      <c r="O106" s="238" t="s">
        <v>850</v>
      </c>
    </row>
    <row r="107" spans="1:15" ht="14.1">
      <c r="A107" s="251">
        <v>646309</v>
      </c>
      <c r="B107" s="234">
        <v>646309</v>
      </c>
      <c r="C107" s="234">
        <v>2024</v>
      </c>
      <c r="D107" s="234" t="s">
        <v>5148</v>
      </c>
      <c r="E107" s="235">
        <v>30623</v>
      </c>
      <c r="F107" s="235">
        <v>45613</v>
      </c>
      <c r="G107" s="235">
        <v>45614</v>
      </c>
      <c r="H107" s="236" t="s">
        <v>5149</v>
      </c>
      <c r="I107" s="236" t="s">
        <v>5149</v>
      </c>
      <c r="J107" s="234" t="s">
        <v>4940</v>
      </c>
      <c r="K107" s="234" t="s">
        <v>1939</v>
      </c>
      <c r="L107" s="234" t="s">
        <v>4957</v>
      </c>
      <c r="M107" s="234" t="s">
        <v>4943</v>
      </c>
      <c r="N107" s="237" t="s">
        <v>5149</v>
      </c>
      <c r="O107" s="238" t="s">
        <v>850</v>
      </c>
    </row>
    <row r="108" spans="1:15" ht="14.1">
      <c r="A108" s="251">
        <v>357715</v>
      </c>
      <c r="B108" s="234">
        <v>357715</v>
      </c>
      <c r="C108" s="234">
        <v>2024</v>
      </c>
      <c r="D108" s="234" t="s">
        <v>5150</v>
      </c>
      <c r="E108" s="235">
        <v>20433</v>
      </c>
      <c r="F108" s="235">
        <v>45613</v>
      </c>
      <c r="G108" s="235">
        <v>45618</v>
      </c>
      <c r="H108" s="236">
        <v>203</v>
      </c>
      <c r="I108" s="236">
        <v>203</v>
      </c>
      <c r="J108" s="234" t="s">
        <v>4940</v>
      </c>
      <c r="K108" s="234" t="s">
        <v>1939</v>
      </c>
      <c r="L108" s="234" t="s">
        <v>5084</v>
      </c>
      <c r="M108" s="234" t="s">
        <v>4943</v>
      </c>
      <c r="N108" s="237">
        <v>203</v>
      </c>
      <c r="O108" s="238" t="s">
        <v>850</v>
      </c>
    </row>
    <row r="109" spans="1:15" ht="14.1">
      <c r="A109" s="251">
        <v>785950</v>
      </c>
      <c r="B109" s="234">
        <v>785950</v>
      </c>
      <c r="C109" s="234">
        <v>2024</v>
      </c>
      <c r="D109" s="234" t="s">
        <v>5136</v>
      </c>
      <c r="E109" s="235">
        <v>31717</v>
      </c>
      <c r="F109" s="235">
        <v>45581</v>
      </c>
      <c r="G109" s="235">
        <v>45621</v>
      </c>
      <c r="H109" s="236">
        <v>809</v>
      </c>
      <c r="I109" s="236">
        <v>809</v>
      </c>
      <c r="J109" s="234" t="s">
        <v>4940</v>
      </c>
      <c r="K109" s="234" t="s">
        <v>1939</v>
      </c>
      <c r="L109" s="234" t="s">
        <v>5084</v>
      </c>
      <c r="M109" s="234" t="s">
        <v>4943</v>
      </c>
      <c r="N109" s="237">
        <v>809</v>
      </c>
      <c r="O109" s="238" t="s">
        <v>850</v>
      </c>
    </row>
    <row r="110" spans="1:15" ht="14.1">
      <c r="A110" s="251">
        <v>678692</v>
      </c>
      <c r="B110" s="234">
        <v>678692</v>
      </c>
      <c r="C110" s="234">
        <v>2024</v>
      </c>
      <c r="D110" s="234" t="s">
        <v>5151</v>
      </c>
      <c r="E110" s="235">
        <v>30903</v>
      </c>
      <c r="F110" s="235">
        <v>45613</v>
      </c>
      <c r="G110" s="235">
        <v>45629</v>
      </c>
      <c r="H110" s="236">
        <v>703</v>
      </c>
      <c r="I110" s="236">
        <v>703</v>
      </c>
      <c r="J110" s="234" t="s">
        <v>4948</v>
      </c>
      <c r="K110" s="234" t="s">
        <v>2624</v>
      </c>
      <c r="L110" s="234" t="s">
        <v>5084</v>
      </c>
      <c r="M110" s="234" t="s">
        <v>4943</v>
      </c>
      <c r="N110" s="237">
        <v>703</v>
      </c>
      <c r="O110" s="238" t="s">
        <v>850</v>
      </c>
    </row>
    <row r="111" spans="1:15" ht="14.1">
      <c r="A111" s="251">
        <v>6602906</v>
      </c>
      <c r="B111" s="234">
        <v>6602906</v>
      </c>
      <c r="C111" s="234">
        <v>2024</v>
      </c>
      <c r="D111" s="234" t="s">
        <v>5152</v>
      </c>
      <c r="E111" s="235">
        <v>29304</v>
      </c>
      <c r="F111" s="235">
        <v>45616</v>
      </c>
      <c r="G111" s="235">
        <v>45637</v>
      </c>
      <c r="H111" s="236">
        <v>319</v>
      </c>
      <c r="I111" s="236">
        <v>602</v>
      </c>
      <c r="J111" s="234" t="s">
        <v>4940</v>
      </c>
      <c r="K111" s="234" t="s">
        <v>1543</v>
      </c>
      <c r="L111" s="234" t="s">
        <v>4949</v>
      </c>
      <c r="M111" s="234" t="s">
        <v>4943</v>
      </c>
      <c r="N111" s="237" t="s">
        <v>5153</v>
      </c>
      <c r="O111" s="238" t="s">
        <v>850</v>
      </c>
    </row>
    <row r="112" spans="1:15" ht="14.1">
      <c r="A112" s="251">
        <v>853316</v>
      </c>
      <c r="B112" s="234">
        <v>853316</v>
      </c>
      <c r="C112" s="234">
        <v>2024</v>
      </c>
      <c r="D112" s="234" t="s">
        <v>5154</v>
      </c>
      <c r="E112" s="235">
        <v>24676</v>
      </c>
      <c r="F112" s="235">
        <v>45597</v>
      </c>
      <c r="G112" s="235">
        <v>45659</v>
      </c>
      <c r="H112" s="236">
        <v>114</v>
      </c>
      <c r="I112" s="236">
        <v>320</v>
      </c>
      <c r="J112" s="234" t="s">
        <v>4948</v>
      </c>
      <c r="K112" s="234" t="s">
        <v>5135</v>
      </c>
      <c r="L112" s="234" t="s">
        <v>5084</v>
      </c>
      <c r="M112" s="234" t="s">
        <v>4943</v>
      </c>
      <c r="N112" s="237" t="s">
        <v>5155</v>
      </c>
      <c r="O112" s="238" t="s">
        <v>850</v>
      </c>
    </row>
    <row r="113" spans="1:15" ht="14.1">
      <c r="A113" s="251">
        <v>24798</v>
      </c>
      <c r="B113" s="234">
        <v>24798</v>
      </c>
      <c r="C113" s="234">
        <v>2024</v>
      </c>
      <c r="D113" s="234" t="s">
        <v>5156</v>
      </c>
      <c r="E113" s="235">
        <v>30827</v>
      </c>
      <c r="F113" s="235">
        <v>45616</v>
      </c>
      <c r="G113" s="235">
        <v>45623</v>
      </c>
      <c r="H113" s="236">
        <v>211</v>
      </c>
      <c r="I113" s="236">
        <v>211</v>
      </c>
      <c r="J113" s="234" t="s">
        <v>4940</v>
      </c>
      <c r="K113" s="234" t="s">
        <v>1939</v>
      </c>
      <c r="L113" s="234" t="s">
        <v>5084</v>
      </c>
      <c r="M113" s="234" t="s">
        <v>4943</v>
      </c>
      <c r="N113" s="237">
        <v>211</v>
      </c>
      <c r="O113" s="238" t="s">
        <v>850</v>
      </c>
    </row>
    <row r="114" spans="1:15" ht="23.1">
      <c r="A114" s="251">
        <v>906266</v>
      </c>
      <c r="B114" s="234">
        <v>906266</v>
      </c>
      <c r="C114" s="234">
        <v>2024</v>
      </c>
      <c r="D114" s="234" t="s">
        <v>5157</v>
      </c>
      <c r="E114" s="235">
        <v>30313</v>
      </c>
      <c r="F114" s="235">
        <v>45619</v>
      </c>
      <c r="G114" s="235">
        <v>45632</v>
      </c>
      <c r="H114" s="236">
        <v>204</v>
      </c>
      <c r="I114" s="236">
        <v>320</v>
      </c>
      <c r="J114" s="234" t="s">
        <v>4940</v>
      </c>
      <c r="K114" s="234" t="s">
        <v>5123</v>
      </c>
      <c r="L114" s="234" t="s">
        <v>4949</v>
      </c>
      <c r="M114" s="234" t="s">
        <v>4943</v>
      </c>
      <c r="N114" s="237" t="s">
        <v>5158</v>
      </c>
      <c r="O114" s="238" t="s">
        <v>850</v>
      </c>
    </row>
    <row r="115" spans="1:15" ht="69.599999999999994">
      <c r="A115" s="251">
        <v>19295</v>
      </c>
      <c r="B115" s="234">
        <v>906284</v>
      </c>
      <c r="C115" s="234">
        <v>2024</v>
      </c>
      <c r="D115" s="234" t="s">
        <v>5159</v>
      </c>
      <c r="E115" s="235">
        <v>19806</v>
      </c>
      <c r="F115" s="235">
        <v>45619</v>
      </c>
      <c r="G115" s="235">
        <v>45623</v>
      </c>
      <c r="H115" s="236">
        <v>102</v>
      </c>
      <c r="I115" s="236">
        <v>102</v>
      </c>
      <c r="J115" s="234" t="s">
        <v>4940</v>
      </c>
      <c r="K115" s="234" t="s">
        <v>1939</v>
      </c>
      <c r="L115" s="234" t="s">
        <v>5084</v>
      </c>
      <c r="M115" s="234" t="s">
        <v>4943</v>
      </c>
      <c r="N115" s="237">
        <v>102</v>
      </c>
      <c r="O115" s="238" t="s">
        <v>5160</v>
      </c>
    </row>
    <row r="116" spans="1:15" ht="69.599999999999994">
      <c r="A116" s="251">
        <v>6608038</v>
      </c>
      <c r="B116" s="234">
        <v>6608038</v>
      </c>
      <c r="C116" s="234">
        <v>2024</v>
      </c>
      <c r="D116" s="234" t="s">
        <v>5161</v>
      </c>
      <c r="E116" s="235">
        <v>19806</v>
      </c>
      <c r="F116" s="235">
        <v>45619</v>
      </c>
      <c r="G116" s="235">
        <v>45659</v>
      </c>
      <c r="H116" s="236">
        <v>102</v>
      </c>
      <c r="I116" s="236">
        <v>102</v>
      </c>
      <c r="J116" s="234" t="s">
        <v>4940</v>
      </c>
      <c r="K116" s="234" t="s">
        <v>5162</v>
      </c>
      <c r="L116" s="234" t="s">
        <v>5084</v>
      </c>
      <c r="M116" s="234" t="s">
        <v>4943</v>
      </c>
      <c r="N116" s="237">
        <v>102</v>
      </c>
      <c r="O116" s="238" t="s">
        <v>5160</v>
      </c>
    </row>
    <row r="117" spans="1:15" ht="46.5">
      <c r="A117" s="251">
        <v>427739</v>
      </c>
      <c r="B117" s="234">
        <v>427739</v>
      </c>
      <c r="C117" s="234">
        <v>2024</v>
      </c>
      <c r="D117" s="234" t="s">
        <v>5163</v>
      </c>
      <c r="E117" s="235">
        <v>45625</v>
      </c>
      <c r="F117" s="235">
        <v>45614</v>
      </c>
      <c r="G117" s="235">
        <v>45700</v>
      </c>
      <c r="H117" s="236">
        <v>501</v>
      </c>
      <c r="I117" s="236">
        <v>503</v>
      </c>
      <c r="J117" s="234" t="s">
        <v>4940</v>
      </c>
      <c r="K117" s="234" t="s">
        <v>2624</v>
      </c>
      <c r="L117" s="234" t="s">
        <v>4957</v>
      </c>
      <c r="M117" s="234" t="s">
        <v>4943</v>
      </c>
      <c r="N117" s="237" t="s">
        <v>5164</v>
      </c>
      <c r="O117" s="238" t="s">
        <v>5165</v>
      </c>
    </row>
    <row r="118" spans="1:15" ht="14.1">
      <c r="A118" s="251">
        <v>6615443</v>
      </c>
      <c r="B118" s="234">
        <v>6615443</v>
      </c>
      <c r="C118" s="234">
        <v>2024</v>
      </c>
      <c r="D118" s="234" t="s">
        <v>5166</v>
      </c>
      <c r="E118" s="235">
        <v>28364</v>
      </c>
      <c r="F118" s="235">
        <v>45624</v>
      </c>
      <c r="G118" s="235">
        <v>45631</v>
      </c>
      <c r="H118" s="236">
        <v>608</v>
      </c>
      <c r="I118" s="236">
        <v>608</v>
      </c>
      <c r="J118" s="234" t="s">
        <v>4948</v>
      </c>
      <c r="K118" s="234" t="s">
        <v>5167</v>
      </c>
      <c r="L118" s="234" t="s">
        <v>4949</v>
      </c>
      <c r="M118" s="234" t="s">
        <v>4950</v>
      </c>
      <c r="N118" s="237">
        <v>608</v>
      </c>
      <c r="O118" s="238" t="s">
        <v>850</v>
      </c>
    </row>
    <row r="119" spans="1:15" ht="35.1">
      <c r="A119" s="251">
        <v>907447</v>
      </c>
      <c r="B119" s="234">
        <v>907447</v>
      </c>
      <c r="C119" s="234">
        <v>2024</v>
      </c>
      <c r="D119" s="234" t="s">
        <v>5168</v>
      </c>
      <c r="E119" s="235">
        <v>45631</v>
      </c>
      <c r="F119" s="235">
        <v>45631</v>
      </c>
      <c r="G119" s="235">
        <v>45649</v>
      </c>
      <c r="H119" s="236">
        <v>506</v>
      </c>
      <c r="I119" s="236">
        <v>506</v>
      </c>
      <c r="J119" s="234" t="s">
        <v>4948</v>
      </c>
      <c r="K119" s="234" t="s">
        <v>2624</v>
      </c>
      <c r="L119" s="234" t="s">
        <v>5084</v>
      </c>
      <c r="M119" s="234" t="s">
        <v>4950</v>
      </c>
      <c r="N119" s="237">
        <v>506</v>
      </c>
      <c r="O119" s="238" t="s">
        <v>5169</v>
      </c>
    </row>
    <row r="120" spans="1:15" ht="14.1">
      <c r="A120" s="251">
        <v>121829</v>
      </c>
      <c r="B120" s="234">
        <v>121829</v>
      </c>
      <c r="C120" s="234">
        <v>2024</v>
      </c>
      <c r="D120" s="234" t="s">
        <v>5170</v>
      </c>
      <c r="E120" s="235">
        <v>14653</v>
      </c>
      <c r="F120" s="235">
        <v>45627</v>
      </c>
      <c r="G120" s="235">
        <v>45632</v>
      </c>
      <c r="H120" s="236">
        <v>810</v>
      </c>
      <c r="I120" s="236">
        <v>810</v>
      </c>
      <c r="J120" s="234" t="s">
        <v>4940</v>
      </c>
      <c r="K120" s="234" t="s">
        <v>1939</v>
      </c>
      <c r="L120" s="234" t="s">
        <v>5084</v>
      </c>
      <c r="M120" s="234" t="s">
        <v>4943</v>
      </c>
      <c r="N120" s="237">
        <v>810</v>
      </c>
      <c r="O120" s="238" t="s">
        <v>850</v>
      </c>
    </row>
    <row r="121" spans="1:15" ht="14.1">
      <c r="A121" s="251">
        <v>40868</v>
      </c>
      <c r="B121" s="234">
        <v>40868</v>
      </c>
      <c r="C121" s="234">
        <v>2024</v>
      </c>
      <c r="D121" s="234" t="s">
        <v>5171</v>
      </c>
      <c r="E121" s="235">
        <v>32599</v>
      </c>
      <c r="F121" s="235">
        <v>45631</v>
      </c>
      <c r="G121" s="235">
        <v>45649</v>
      </c>
      <c r="H121" s="236">
        <v>705</v>
      </c>
      <c r="I121" s="236">
        <v>705</v>
      </c>
      <c r="J121" s="234" t="s">
        <v>4948</v>
      </c>
      <c r="K121" s="234" t="s">
        <v>2624</v>
      </c>
      <c r="L121" s="234" t="s">
        <v>4957</v>
      </c>
      <c r="M121" s="234" t="s">
        <v>4943</v>
      </c>
      <c r="N121" s="237">
        <v>705</v>
      </c>
      <c r="O121" s="238" t="s">
        <v>850</v>
      </c>
    </row>
    <row r="122" spans="1:15" ht="14.1">
      <c r="A122" s="251">
        <v>404936</v>
      </c>
      <c r="B122" s="234">
        <v>768549</v>
      </c>
      <c r="C122" s="234">
        <v>2024</v>
      </c>
      <c r="D122" s="234" t="s">
        <v>5099</v>
      </c>
      <c r="E122" s="235">
        <v>44298</v>
      </c>
      <c r="F122" s="235">
        <v>45636</v>
      </c>
      <c r="G122" s="235">
        <v>45637</v>
      </c>
      <c r="H122" s="236">
        <v>426</v>
      </c>
      <c r="I122" s="236">
        <v>426</v>
      </c>
      <c r="J122" s="234" t="s">
        <v>4940</v>
      </c>
      <c r="K122" s="234" t="s">
        <v>2624</v>
      </c>
      <c r="L122" s="234" t="s">
        <v>4957</v>
      </c>
      <c r="M122" s="234" t="s">
        <v>4943</v>
      </c>
      <c r="N122" s="237">
        <v>426</v>
      </c>
      <c r="O122" s="238" t="s">
        <v>850</v>
      </c>
    </row>
    <row r="123" spans="1:15" ht="69.599999999999994">
      <c r="A123" s="251">
        <v>6656033</v>
      </c>
      <c r="B123" s="234">
        <v>6656033</v>
      </c>
      <c r="C123" s="234">
        <v>2024</v>
      </c>
      <c r="D123" s="234" t="s">
        <v>5172</v>
      </c>
      <c r="E123" s="235">
        <v>14992</v>
      </c>
      <c r="F123" s="235">
        <v>45649</v>
      </c>
      <c r="G123" s="235">
        <v>45667</v>
      </c>
      <c r="H123" s="236">
        <v>402</v>
      </c>
      <c r="I123" s="236">
        <v>402</v>
      </c>
      <c r="J123" s="234" t="s">
        <v>4940</v>
      </c>
      <c r="K123" s="234" t="s">
        <v>5173</v>
      </c>
      <c r="L123" s="234" t="s">
        <v>4949</v>
      </c>
      <c r="M123" s="234" t="s">
        <v>4943</v>
      </c>
      <c r="N123" s="237">
        <v>402</v>
      </c>
      <c r="O123" s="238" t="s">
        <v>5174</v>
      </c>
    </row>
    <row r="124" spans="1:15" ht="14.1">
      <c r="A124" s="251">
        <v>905573</v>
      </c>
      <c r="B124" s="234">
        <v>905573</v>
      </c>
      <c r="C124" s="234">
        <v>2024</v>
      </c>
      <c r="D124" s="234" t="s">
        <v>5175</v>
      </c>
      <c r="E124" s="235">
        <v>45544</v>
      </c>
      <c r="F124" s="235">
        <v>45645</v>
      </c>
      <c r="G124" s="235">
        <v>45663</v>
      </c>
      <c r="H124" s="236">
        <v>435</v>
      </c>
      <c r="I124" s="236">
        <v>435</v>
      </c>
      <c r="J124" s="234" t="s">
        <v>4940</v>
      </c>
      <c r="K124" s="234" t="s">
        <v>2624</v>
      </c>
      <c r="L124" s="234" t="s">
        <v>5084</v>
      </c>
      <c r="M124" s="234" t="s">
        <v>4943</v>
      </c>
      <c r="N124" s="237">
        <v>435</v>
      </c>
      <c r="O124" s="238" t="s">
        <v>850</v>
      </c>
    </row>
    <row r="125" spans="1:15" ht="14.1">
      <c r="A125" s="251">
        <v>883074</v>
      </c>
      <c r="B125" s="234">
        <v>883074</v>
      </c>
      <c r="C125" s="234">
        <v>2024</v>
      </c>
      <c r="D125" s="234" t="s">
        <v>5176</v>
      </c>
      <c r="E125" s="235">
        <v>45423</v>
      </c>
      <c r="F125" s="235">
        <v>45639</v>
      </c>
      <c r="G125" s="235">
        <v>45678</v>
      </c>
      <c r="H125" s="236">
        <v>432</v>
      </c>
      <c r="I125" s="236">
        <v>432</v>
      </c>
      <c r="J125" s="234" t="s">
        <v>4948</v>
      </c>
      <c r="K125" s="234" t="s">
        <v>2624</v>
      </c>
      <c r="L125" s="234" t="s">
        <v>5084</v>
      </c>
      <c r="M125" s="234" t="s">
        <v>4943</v>
      </c>
      <c r="N125" s="237">
        <v>432</v>
      </c>
      <c r="O125" s="238" t="s">
        <v>850</v>
      </c>
    </row>
    <row r="126" spans="1:15" ht="14.1">
      <c r="A126" s="251">
        <v>6673011</v>
      </c>
      <c r="B126" s="234">
        <v>6673011</v>
      </c>
      <c r="C126" s="234">
        <v>2024</v>
      </c>
      <c r="D126" s="234" t="s">
        <v>5177</v>
      </c>
      <c r="E126" s="235">
        <v>30250</v>
      </c>
      <c r="F126" s="235">
        <v>45666</v>
      </c>
      <c r="G126" s="235">
        <v>45670</v>
      </c>
      <c r="H126" s="236">
        <v>603</v>
      </c>
      <c r="I126" s="236">
        <v>603</v>
      </c>
      <c r="J126" s="234" t="s">
        <v>4940</v>
      </c>
      <c r="K126" s="234" t="s">
        <v>1543</v>
      </c>
      <c r="L126" s="234" t="s">
        <v>5178</v>
      </c>
      <c r="M126" s="234" t="s">
        <v>4943</v>
      </c>
      <c r="N126" s="237">
        <v>603</v>
      </c>
      <c r="O126" s="238" t="s">
        <v>850</v>
      </c>
    </row>
    <row r="127" spans="1:15" ht="14.1">
      <c r="A127" s="251">
        <v>6670903</v>
      </c>
      <c r="B127" s="234">
        <v>6670903</v>
      </c>
      <c r="C127" s="234">
        <v>2024</v>
      </c>
      <c r="D127" s="234" t="s">
        <v>5179</v>
      </c>
      <c r="E127" s="235">
        <v>12793</v>
      </c>
      <c r="F127" s="235">
        <v>45664</v>
      </c>
      <c r="G127" s="235">
        <v>45677</v>
      </c>
      <c r="H127" s="236">
        <v>801</v>
      </c>
      <c r="I127" s="236">
        <v>801</v>
      </c>
      <c r="J127" s="234" t="s">
        <v>4940</v>
      </c>
      <c r="K127" s="234" t="s">
        <v>5180</v>
      </c>
      <c r="L127" s="234" t="s">
        <v>4949</v>
      </c>
      <c r="M127" s="234" t="s">
        <v>4943</v>
      </c>
      <c r="N127" s="237">
        <v>801</v>
      </c>
      <c r="O127" s="238" t="s">
        <v>850</v>
      </c>
    </row>
    <row r="128" spans="1:15" ht="14.1">
      <c r="A128" s="251">
        <v>382360</v>
      </c>
      <c r="B128" s="234">
        <v>382360</v>
      </c>
      <c r="C128" s="234">
        <v>2024</v>
      </c>
      <c r="D128" s="234" t="s">
        <v>5181</v>
      </c>
      <c r="E128" s="235">
        <v>45656</v>
      </c>
      <c r="F128" s="235">
        <v>45656</v>
      </c>
      <c r="G128" s="235">
        <v>45677</v>
      </c>
      <c r="H128" s="236">
        <v>114</v>
      </c>
      <c r="I128" s="236">
        <v>114</v>
      </c>
      <c r="J128" s="234" t="s">
        <v>4940</v>
      </c>
      <c r="K128" s="234" t="s">
        <v>1939</v>
      </c>
      <c r="L128" s="239" t="s">
        <v>5084</v>
      </c>
      <c r="M128" s="234" t="s">
        <v>4943</v>
      </c>
      <c r="N128" s="237">
        <v>114</v>
      </c>
      <c r="O128" s="238" t="s">
        <v>850</v>
      </c>
    </row>
    <row r="129" spans="1:15" ht="81">
      <c r="A129" s="251">
        <v>596153</v>
      </c>
      <c r="B129" s="234">
        <v>596153</v>
      </c>
      <c r="C129" s="234">
        <v>2025</v>
      </c>
      <c r="D129" s="234" t="s">
        <v>5182</v>
      </c>
      <c r="E129" s="235">
        <v>43428</v>
      </c>
      <c r="F129" s="235">
        <v>45671</v>
      </c>
      <c r="G129" s="235">
        <v>45674</v>
      </c>
      <c r="H129" s="236">
        <v>435</v>
      </c>
      <c r="I129" s="236">
        <v>435</v>
      </c>
      <c r="J129" s="234" t="s">
        <v>4940</v>
      </c>
      <c r="K129" s="234" t="s">
        <v>2624</v>
      </c>
      <c r="L129" s="234" t="s">
        <v>4990</v>
      </c>
      <c r="M129" s="234" t="s">
        <v>4943</v>
      </c>
      <c r="N129" s="237">
        <v>435</v>
      </c>
      <c r="O129" s="238" t="s">
        <v>5183</v>
      </c>
    </row>
    <row r="130" spans="1:15" ht="14.1">
      <c r="A130" s="251">
        <v>73641</v>
      </c>
      <c r="B130" s="234">
        <v>73641</v>
      </c>
      <c r="C130" s="234">
        <v>2025</v>
      </c>
      <c r="D130" s="234" t="s">
        <v>5184</v>
      </c>
      <c r="E130" s="235">
        <v>22156</v>
      </c>
      <c r="F130" s="235">
        <v>45665</v>
      </c>
      <c r="G130" s="235">
        <v>45693</v>
      </c>
      <c r="H130" s="236">
        <v>111</v>
      </c>
      <c r="I130" s="236">
        <v>111</v>
      </c>
      <c r="J130" s="234" t="s">
        <v>4940</v>
      </c>
      <c r="K130" s="234" t="s">
        <v>1939</v>
      </c>
      <c r="L130" s="234" t="s">
        <v>4985</v>
      </c>
      <c r="M130" s="234" t="s">
        <v>4943</v>
      </c>
      <c r="N130" s="237">
        <v>111</v>
      </c>
      <c r="O130" s="238" t="s">
        <v>850</v>
      </c>
    </row>
    <row r="131" spans="1:15" ht="14.1">
      <c r="A131" s="251">
        <v>910774</v>
      </c>
      <c r="B131" s="234">
        <v>910774</v>
      </c>
      <c r="C131" s="234">
        <v>2025</v>
      </c>
      <c r="D131" s="234" t="s">
        <v>5185</v>
      </c>
      <c r="E131" s="235">
        <v>37205</v>
      </c>
      <c r="F131" s="235">
        <v>45669</v>
      </c>
      <c r="G131" s="235">
        <v>45673</v>
      </c>
      <c r="H131" s="236" t="s">
        <v>5070</v>
      </c>
      <c r="I131" s="236" t="s">
        <v>5070</v>
      </c>
      <c r="J131" s="234" t="s">
        <v>4940</v>
      </c>
      <c r="K131" s="234" t="s">
        <v>1939</v>
      </c>
      <c r="L131" s="234" t="s">
        <v>5084</v>
      </c>
      <c r="M131" s="234" t="s">
        <v>4943</v>
      </c>
      <c r="N131" s="237" t="s">
        <v>5070</v>
      </c>
      <c r="O131" s="238" t="s">
        <v>850</v>
      </c>
    </row>
    <row r="132" spans="1:15" ht="14.1">
      <c r="A132" s="251">
        <v>830490</v>
      </c>
      <c r="B132" s="234">
        <v>830490</v>
      </c>
      <c r="C132" s="234">
        <v>2025</v>
      </c>
      <c r="D132" s="234" t="s">
        <v>5186</v>
      </c>
      <c r="E132" s="235">
        <v>30199</v>
      </c>
      <c r="F132" s="235">
        <v>45663</v>
      </c>
      <c r="G132" s="235">
        <v>45684</v>
      </c>
      <c r="H132" s="236">
        <v>107</v>
      </c>
      <c r="I132" s="236">
        <v>107</v>
      </c>
      <c r="J132" s="234" t="s">
        <v>4940</v>
      </c>
      <c r="K132" s="234" t="s">
        <v>1939</v>
      </c>
      <c r="L132" s="234" t="s">
        <v>5084</v>
      </c>
      <c r="M132" s="234" t="s">
        <v>4943</v>
      </c>
      <c r="N132" s="237">
        <v>107</v>
      </c>
      <c r="O132" s="238" t="s">
        <v>850</v>
      </c>
    </row>
    <row r="133" spans="1:15" ht="14.1">
      <c r="A133" s="251">
        <v>887231</v>
      </c>
      <c r="B133" s="234">
        <v>887231</v>
      </c>
      <c r="C133" s="234">
        <v>2025</v>
      </c>
      <c r="D133" s="234" t="s">
        <v>5187</v>
      </c>
      <c r="E133" s="235">
        <v>34185</v>
      </c>
      <c r="F133" s="235">
        <v>45676</v>
      </c>
      <c r="G133" s="235">
        <v>45681</v>
      </c>
      <c r="H133" s="236">
        <v>703</v>
      </c>
      <c r="I133" s="236">
        <v>703</v>
      </c>
      <c r="J133" s="234" t="s">
        <v>4940</v>
      </c>
      <c r="K133" s="234" t="s">
        <v>2624</v>
      </c>
      <c r="L133" s="234" t="s">
        <v>5084</v>
      </c>
      <c r="M133" s="234" t="s">
        <v>4943</v>
      </c>
      <c r="N133" s="237">
        <v>703</v>
      </c>
      <c r="O133" s="238" t="s">
        <v>850</v>
      </c>
    </row>
    <row r="134" spans="1:15" ht="14.1">
      <c r="A134" s="251">
        <v>96669</v>
      </c>
      <c r="B134" s="234">
        <v>96669</v>
      </c>
      <c r="C134" s="234">
        <v>2025</v>
      </c>
      <c r="D134" s="234" t="s">
        <v>5188</v>
      </c>
      <c r="E134" s="235">
        <v>33213</v>
      </c>
      <c r="F134" s="235">
        <v>45675</v>
      </c>
      <c r="G134" s="235">
        <v>45681</v>
      </c>
      <c r="H134" s="236">
        <v>702</v>
      </c>
      <c r="I134" s="236" t="s">
        <v>5189</v>
      </c>
      <c r="J134" s="234" t="s">
        <v>4940</v>
      </c>
      <c r="K134" s="234" t="s">
        <v>2624</v>
      </c>
      <c r="L134" s="234" t="s">
        <v>4957</v>
      </c>
      <c r="M134" s="234" t="s">
        <v>4943</v>
      </c>
      <c r="N134" s="237" t="s">
        <v>5190</v>
      </c>
      <c r="O134" s="238" t="s">
        <v>850</v>
      </c>
    </row>
    <row r="135" spans="1:15" ht="69.599999999999994">
      <c r="A135" s="251">
        <v>6558101</v>
      </c>
      <c r="B135" s="234">
        <v>6558101</v>
      </c>
      <c r="C135" s="234">
        <v>2025</v>
      </c>
      <c r="D135" s="234" t="s">
        <v>5191</v>
      </c>
      <c r="E135" s="235">
        <v>15288</v>
      </c>
      <c r="F135" s="235">
        <v>45589</v>
      </c>
      <c r="G135" s="235">
        <v>45686</v>
      </c>
      <c r="H135" s="236">
        <v>319</v>
      </c>
      <c r="I135" s="236">
        <v>319</v>
      </c>
      <c r="J135" s="234" t="s">
        <v>5023</v>
      </c>
      <c r="K135" s="234" t="s">
        <v>1543</v>
      </c>
      <c r="L135" s="234" t="s">
        <v>4957</v>
      </c>
      <c r="M135" s="234" t="s">
        <v>4943</v>
      </c>
      <c r="N135" s="237">
        <v>319</v>
      </c>
      <c r="O135" s="238" t="s">
        <v>5192</v>
      </c>
    </row>
    <row r="136" spans="1:15" ht="14.1">
      <c r="A136" s="251">
        <v>6689309</v>
      </c>
      <c r="B136" s="234">
        <v>6689309</v>
      </c>
      <c r="C136" s="234">
        <v>2025</v>
      </c>
      <c r="D136" s="234" t="s">
        <v>5193</v>
      </c>
      <c r="E136" s="235">
        <v>26843</v>
      </c>
      <c r="F136" s="235">
        <v>45676</v>
      </c>
      <c r="G136" s="235">
        <v>45685</v>
      </c>
      <c r="H136" s="236">
        <v>415</v>
      </c>
      <c r="I136" s="236">
        <v>415</v>
      </c>
      <c r="J136" s="234" t="s">
        <v>4940</v>
      </c>
      <c r="K136" s="234" t="s">
        <v>1543</v>
      </c>
      <c r="L136" s="234" t="s">
        <v>5084</v>
      </c>
      <c r="M136" s="234" t="s">
        <v>4943</v>
      </c>
      <c r="N136" s="237">
        <v>415</v>
      </c>
      <c r="O136" s="238" t="s">
        <v>850</v>
      </c>
    </row>
    <row r="137" spans="1:15" ht="14.1">
      <c r="A137" s="251">
        <v>474353</v>
      </c>
      <c r="B137" s="234">
        <v>474353</v>
      </c>
      <c r="C137" s="234">
        <v>2025</v>
      </c>
      <c r="D137" s="234" t="s">
        <v>5194</v>
      </c>
      <c r="E137" s="235">
        <v>17631</v>
      </c>
      <c r="F137" s="235">
        <v>45686</v>
      </c>
      <c r="G137" s="235">
        <v>45705</v>
      </c>
      <c r="H137" s="236">
        <v>311</v>
      </c>
      <c r="I137" s="236">
        <v>311</v>
      </c>
      <c r="J137" s="234" t="s">
        <v>4940</v>
      </c>
      <c r="K137" s="234" t="s">
        <v>1939</v>
      </c>
      <c r="L137" s="234" t="s">
        <v>5084</v>
      </c>
      <c r="M137" s="234" t="s">
        <v>4943</v>
      </c>
      <c r="N137" s="237">
        <v>311</v>
      </c>
      <c r="O137" s="238" t="s">
        <v>850</v>
      </c>
    </row>
    <row r="138" spans="1:15" ht="14.1">
      <c r="A138" s="251">
        <v>886653</v>
      </c>
      <c r="B138" s="234">
        <v>886653</v>
      </c>
      <c r="C138" s="234">
        <v>2025</v>
      </c>
      <c r="D138" s="234" t="s">
        <v>5195</v>
      </c>
      <c r="E138" s="235">
        <v>29064</v>
      </c>
      <c r="F138" s="235">
        <v>45671</v>
      </c>
      <c r="G138" s="235">
        <v>45698</v>
      </c>
      <c r="H138" s="236">
        <v>101</v>
      </c>
      <c r="I138" s="236">
        <v>101</v>
      </c>
      <c r="J138" s="234" t="s">
        <v>4940</v>
      </c>
      <c r="K138" s="234" t="s">
        <v>1939</v>
      </c>
      <c r="L138" s="234" t="s">
        <v>5084</v>
      </c>
      <c r="M138" s="234" t="s">
        <v>4950</v>
      </c>
      <c r="N138" s="237">
        <v>101</v>
      </c>
      <c r="O138" s="238" t="s">
        <v>850</v>
      </c>
    </row>
    <row r="139" spans="1:15" ht="69.599999999999994">
      <c r="A139" s="251">
        <v>9709628</v>
      </c>
      <c r="B139" s="234">
        <v>9709628</v>
      </c>
      <c r="C139" s="234">
        <v>2025</v>
      </c>
      <c r="D139" s="234" t="s">
        <v>5191</v>
      </c>
      <c r="E139" s="235">
        <v>15288</v>
      </c>
      <c r="F139" s="235">
        <v>45687</v>
      </c>
      <c r="G139" s="235">
        <v>45726</v>
      </c>
      <c r="H139" s="236">
        <v>319</v>
      </c>
      <c r="I139" s="236">
        <v>319</v>
      </c>
      <c r="J139" s="234" t="s">
        <v>5023</v>
      </c>
      <c r="K139" s="234" t="s">
        <v>1543</v>
      </c>
      <c r="L139" s="234" t="s">
        <v>4957</v>
      </c>
      <c r="M139" s="234" t="s">
        <v>4950</v>
      </c>
      <c r="N139" s="237">
        <v>319</v>
      </c>
      <c r="O139" s="238" t="s">
        <v>5192</v>
      </c>
    </row>
    <row r="140" spans="1:15" ht="14.1">
      <c r="A140" s="251">
        <v>164743</v>
      </c>
      <c r="B140" s="234">
        <v>164743</v>
      </c>
      <c r="C140" s="234">
        <v>2025</v>
      </c>
      <c r="D140" s="234" t="s">
        <v>5196</v>
      </c>
      <c r="E140" s="235">
        <v>18672</v>
      </c>
      <c r="F140" s="235">
        <v>45685</v>
      </c>
      <c r="G140" s="235">
        <v>45699</v>
      </c>
      <c r="H140" s="236">
        <v>305</v>
      </c>
      <c r="I140" s="236">
        <v>305</v>
      </c>
      <c r="J140" s="234" t="s">
        <v>4940</v>
      </c>
      <c r="K140" s="234" t="s">
        <v>1939</v>
      </c>
      <c r="L140" s="234" t="s">
        <v>4990</v>
      </c>
      <c r="M140" s="234" t="s">
        <v>4943</v>
      </c>
      <c r="N140" s="237">
        <v>305</v>
      </c>
      <c r="O140" s="238" t="s">
        <v>850</v>
      </c>
    </row>
    <row r="141" spans="1:15" ht="14.1">
      <c r="A141" s="251">
        <v>357423</v>
      </c>
      <c r="B141" s="234">
        <v>357423</v>
      </c>
      <c r="C141" s="234">
        <v>2025</v>
      </c>
      <c r="D141" s="234" t="s">
        <v>5197</v>
      </c>
      <c r="E141" s="235">
        <v>34869</v>
      </c>
      <c r="F141" s="235">
        <v>45683</v>
      </c>
      <c r="G141" s="235">
        <v>45706</v>
      </c>
      <c r="H141" s="236">
        <v>711</v>
      </c>
      <c r="I141" s="236">
        <v>711</v>
      </c>
      <c r="J141" s="234" t="s">
        <v>4940</v>
      </c>
      <c r="K141" s="234" t="s">
        <v>2624</v>
      </c>
      <c r="L141" s="234" t="s">
        <v>4957</v>
      </c>
      <c r="M141" s="234" t="s">
        <v>4943</v>
      </c>
      <c r="N141" s="237">
        <v>711</v>
      </c>
      <c r="O141" s="238" t="s">
        <v>850</v>
      </c>
    </row>
    <row r="142" spans="1:15" ht="14.1">
      <c r="A142" s="251">
        <v>728702</v>
      </c>
      <c r="B142" s="234">
        <v>728702</v>
      </c>
      <c r="C142" s="234">
        <v>2025</v>
      </c>
      <c r="D142" s="234" t="s">
        <v>5198</v>
      </c>
      <c r="E142" s="235">
        <v>13319</v>
      </c>
      <c r="F142" s="235">
        <v>45696</v>
      </c>
      <c r="G142" s="235">
        <v>45705</v>
      </c>
      <c r="H142" s="236">
        <v>405</v>
      </c>
      <c r="I142" s="236">
        <v>405</v>
      </c>
      <c r="J142" s="234" t="s">
        <v>4940</v>
      </c>
      <c r="K142" s="234" t="s">
        <v>1939</v>
      </c>
      <c r="L142" s="234" t="s">
        <v>4957</v>
      </c>
      <c r="M142" s="234" t="s">
        <v>4943</v>
      </c>
      <c r="N142" s="237">
        <v>405</v>
      </c>
      <c r="O142" s="238" t="s">
        <v>850</v>
      </c>
    </row>
    <row r="143" spans="1:15" ht="14.1">
      <c r="A143" s="251">
        <v>708800</v>
      </c>
      <c r="B143" s="234">
        <v>708800</v>
      </c>
      <c r="C143" s="234">
        <v>2025</v>
      </c>
      <c r="D143" s="234" t="s">
        <v>5199</v>
      </c>
      <c r="E143" s="235">
        <v>28499</v>
      </c>
      <c r="F143" s="235">
        <v>45699</v>
      </c>
      <c r="G143" s="235">
        <v>45723</v>
      </c>
      <c r="H143" s="236">
        <v>106</v>
      </c>
      <c r="I143" s="236">
        <v>114</v>
      </c>
      <c r="J143" s="234" t="s">
        <v>4940</v>
      </c>
      <c r="K143" s="234" t="s">
        <v>1939</v>
      </c>
      <c r="L143" s="234" t="s">
        <v>4942</v>
      </c>
      <c r="M143" s="234" t="s">
        <v>4943</v>
      </c>
      <c r="N143" s="237" t="s">
        <v>5200</v>
      </c>
      <c r="O143" s="238" t="s">
        <v>850</v>
      </c>
    </row>
    <row r="144" spans="1:15" ht="14.1">
      <c r="A144" s="251">
        <v>911724</v>
      </c>
      <c r="B144" s="234">
        <v>911724</v>
      </c>
      <c r="C144" s="234">
        <v>2025</v>
      </c>
      <c r="D144" s="234" t="s">
        <v>5201</v>
      </c>
      <c r="E144" s="235">
        <v>45678</v>
      </c>
      <c r="F144" s="235">
        <v>45678</v>
      </c>
      <c r="G144" s="235">
        <v>45709</v>
      </c>
      <c r="H144" s="236">
        <v>510</v>
      </c>
      <c r="I144" s="236">
        <v>510</v>
      </c>
      <c r="J144" s="234" t="s">
        <v>4948</v>
      </c>
      <c r="K144" s="234" t="s">
        <v>2624</v>
      </c>
      <c r="L144" s="234" t="s">
        <v>5084</v>
      </c>
      <c r="M144" s="234" t="s">
        <v>4950</v>
      </c>
      <c r="N144" s="237">
        <v>510</v>
      </c>
      <c r="O144" s="238" t="s">
        <v>850</v>
      </c>
    </row>
    <row r="145" spans="1:15" ht="14.1">
      <c r="A145" s="251">
        <v>853550</v>
      </c>
      <c r="B145" s="234">
        <v>853550</v>
      </c>
      <c r="C145" s="234">
        <v>2025</v>
      </c>
      <c r="D145" s="234" t="s">
        <v>5202</v>
      </c>
      <c r="E145" s="235">
        <v>45299</v>
      </c>
      <c r="F145" s="235">
        <v>45700</v>
      </c>
      <c r="G145" s="235">
        <v>45714</v>
      </c>
      <c r="H145" s="236">
        <v>435</v>
      </c>
      <c r="I145" s="236">
        <v>435</v>
      </c>
      <c r="J145" s="234" t="s">
        <v>4940</v>
      </c>
      <c r="K145" s="234" t="s">
        <v>2624</v>
      </c>
      <c r="L145" s="234" t="s">
        <v>5084</v>
      </c>
      <c r="M145" s="234" t="s">
        <v>4943</v>
      </c>
      <c r="N145" s="237">
        <v>435</v>
      </c>
      <c r="O145" s="238" t="s">
        <v>850</v>
      </c>
    </row>
    <row r="146" spans="1:15" ht="69.599999999999994">
      <c r="A146" s="251">
        <v>6742539</v>
      </c>
      <c r="B146" s="234">
        <v>6742539</v>
      </c>
      <c r="C146" s="234">
        <v>2025</v>
      </c>
      <c r="D146" s="234" t="s">
        <v>5172</v>
      </c>
      <c r="E146" s="235">
        <v>14992</v>
      </c>
      <c r="F146" s="235">
        <v>45707</v>
      </c>
      <c r="G146" s="235">
        <v>45723</v>
      </c>
      <c r="H146" s="236">
        <v>603</v>
      </c>
      <c r="I146" s="236">
        <v>603</v>
      </c>
      <c r="J146" s="234" t="s">
        <v>4940</v>
      </c>
      <c r="K146" s="234" t="s">
        <v>5203</v>
      </c>
      <c r="L146" s="234" t="s">
        <v>4949</v>
      </c>
      <c r="M146" s="234" t="s">
        <v>4943</v>
      </c>
      <c r="N146" s="237">
        <v>603</v>
      </c>
      <c r="O146" s="238" t="s">
        <v>5174</v>
      </c>
    </row>
    <row r="147" spans="1:15" ht="14.1">
      <c r="A147" s="251">
        <v>638704</v>
      </c>
      <c r="B147" s="234">
        <v>638704</v>
      </c>
      <c r="C147" s="234">
        <v>2025</v>
      </c>
      <c r="D147" s="234" t="s">
        <v>5204</v>
      </c>
      <c r="E147" s="235">
        <v>44163</v>
      </c>
      <c r="F147" s="235">
        <v>45710</v>
      </c>
      <c r="G147" s="235">
        <v>45714</v>
      </c>
      <c r="H147" s="236">
        <v>404</v>
      </c>
      <c r="I147" s="236">
        <v>404</v>
      </c>
      <c r="J147" s="234" t="s">
        <v>4940</v>
      </c>
      <c r="K147" s="234" t="s">
        <v>1939</v>
      </c>
      <c r="L147" s="234" t="s">
        <v>4957</v>
      </c>
      <c r="M147" s="234" t="s">
        <v>4943</v>
      </c>
      <c r="N147" s="237">
        <v>404</v>
      </c>
      <c r="O147" s="238" t="s">
        <v>850</v>
      </c>
    </row>
    <row r="148" spans="1:15" ht="14.1">
      <c r="A148" s="251">
        <v>136644</v>
      </c>
      <c r="B148" s="234">
        <v>136644</v>
      </c>
      <c r="C148" s="234">
        <v>2025</v>
      </c>
      <c r="D148" s="234" t="s">
        <v>5205</v>
      </c>
      <c r="E148" s="235">
        <v>13526</v>
      </c>
      <c r="F148" s="235">
        <v>45712</v>
      </c>
      <c r="G148" s="235">
        <v>45714</v>
      </c>
      <c r="H148" s="236">
        <v>810</v>
      </c>
      <c r="I148" s="236">
        <v>810</v>
      </c>
      <c r="J148" s="234" t="s">
        <v>4940</v>
      </c>
      <c r="K148" s="234" t="s">
        <v>1939</v>
      </c>
      <c r="L148" s="234" t="s">
        <v>5084</v>
      </c>
      <c r="M148" s="234" t="s">
        <v>4943</v>
      </c>
      <c r="N148" s="237">
        <v>810</v>
      </c>
      <c r="O148" s="238" t="s">
        <v>850</v>
      </c>
    </row>
    <row r="149" spans="1:15" ht="14.1">
      <c r="A149" s="251">
        <v>376501</v>
      </c>
      <c r="B149" s="234">
        <v>406364</v>
      </c>
      <c r="C149" s="234">
        <v>2025</v>
      </c>
      <c r="D149" s="234" t="s">
        <v>5206</v>
      </c>
      <c r="E149" s="235">
        <v>19264</v>
      </c>
      <c r="F149" s="235">
        <v>45713</v>
      </c>
      <c r="G149" s="235">
        <v>45714</v>
      </c>
      <c r="H149" s="236">
        <v>411</v>
      </c>
      <c r="I149" s="236">
        <v>411</v>
      </c>
      <c r="J149" s="234" t="s">
        <v>4940</v>
      </c>
      <c r="K149" s="234" t="s">
        <v>1939</v>
      </c>
      <c r="L149" s="234" t="s">
        <v>5084</v>
      </c>
      <c r="M149" s="234" t="s">
        <v>4943</v>
      </c>
      <c r="N149" s="237">
        <v>411</v>
      </c>
      <c r="O149" s="238" t="s">
        <v>850</v>
      </c>
    </row>
    <row r="150" spans="1:15" ht="14.1">
      <c r="A150" s="251">
        <v>799664</v>
      </c>
      <c r="B150" s="234">
        <v>799664</v>
      </c>
      <c r="C150" s="234">
        <v>2025</v>
      </c>
      <c r="D150" s="234" t="s">
        <v>5207</v>
      </c>
      <c r="E150" s="235">
        <v>31516</v>
      </c>
      <c r="F150" s="235">
        <v>45713</v>
      </c>
      <c r="G150" s="235">
        <v>45714</v>
      </c>
      <c r="H150" s="236">
        <v>611</v>
      </c>
      <c r="I150" s="236">
        <v>611</v>
      </c>
      <c r="J150" s="234" t="s">
        <v>4940</v>
      </c>
      <c r="K150" s="234" t="s">
        <v>1939</v>
      </c>
      <c r="L150" s="234" t="s">
        <v>5084</v>
      </c>
      <c r="M150" s="234" t="s">
        <v>4943</v>
      </c>
      <c r="N150" s="237">
        <v>611</v>
      </c>
      <c r="O150" s="238" t="s">
        <v>850</v>
      </c>
    </row>
    <row r="151" spans="1:15" ht="14.1">
      <c r="A151" s="251">
        <v>915160</v>
      </c>
      <c r="B151" s="234">
        <v>915160</v>
      </c>
      <c r="C151" s="234">
        <v>2025</v>
      </c>
      <c r="D151" s="234" t="s">
        <v>5208</v>
      </c>
      <c r="E151" s="235">
        <v>22854</v>
      </c>
      <c r="F151" s="235">
        <v>45713</v>
      </c>
      <c r="G151" s="235">
        <v>45714</v>
      </c>
      <c r="H151" s="236" t="s">
        <v>4983</v>
      </c>
      <c r="I151" s="236" t="s">
        <v>4983</v>
      </c>
      <c r="J151" s="234" t="s">
        <v>4940</v>
      </c>
      <c r="K151" s="234" t="s">
        <v>1939</v>
      </c>
      <c r="L151" s="234" t="s">
        <v>4997</v>
      </c>
      <c r="M151" s="234" t="s">
        <v>4943</v>
      </c>
      <c r="N151" s="237" t="s">
        <v>4983</v>
      </c>
      <c r="O151" s="238" t="s">
        <v>850</v>
      </c>
    </row>
    <row r="152" spans="1:15" ht="81">
      <c r="A152" s="251">
        <v>112225</v>
      </c>
      <c r="B152" s="234">
        <v>112225</v>
      </c>
      <c r="C152" s="234">
        <v>2025</v>
      </c>
      <c r="D152" s="234" t="s">
        <v>5209</v>
      </c>
      <c r="E152" s="235">
        <v>45824</v>
      </c>
      <c r="F152" s="235">
        <v>45709</v>
      </c>
      <c r="G152" s="235">
        <v>45743</v>
      </c>
      <c r="H152" s="236" t="s">
        <v>5210</v>
      </c>
      <c r="I152" s="236">
        <v>609</v>
      </c>
      <c r="J152" s="234" t="s">
        <v>4940</v>
      </c>
      <c r="K152" s="234" t="s">
        <v>5211</v>
      </c>
      <c r="L152" s="234" t="s">
        <v>5084</v>
      </c>
      <c r="M152" s="234" t="s">
        <v>4943</v>
      </c>
      <c r="N152" s="237" t="s">
        <v>5212</v>
      </c>
      <c r="O152" s="238" t="s">
        <v>5213</v>
      </c>
    </row>
    <row r="153" spans="1:15" ht="14.1">
      <c r="A153" s="251">
        <v>288001</v>
      </c>
      <c r="B153" s="234">
        <v>288001</v>
      </c>
      <c r="C153" s="234">
        <v>2025</v>
      </c>
      <c r="D153" s="234" t="s">
        <v>5214</v>
      </c>
      <c r="E153" s="235">
        <v>21902</v>
      </c>
      <c r="F153" s="235">
        <v>45689</v>
      </c>
      <c r="G153" s="235">
        <v>45750</v>
      </c>
      <c r="H153" s="236">
        <v>311</v>
      </c>
      <c r="I153" s="236">
        <v>311</v>
      </c>
      <c r="J153" s="234" t="s">
        <v>4940</v>
      </c>
      <c r="K153" s="234" t="s">
        <v>1939</v>
      </c>
      <c r="L153" s="234" t="s">
        <v>4957</v>
      </c>
      <c r="M153" s="234" t="s">
        <v>4943</v>
      </c>
      <c r="N153" s="237">
        <v>311</v>
      </c>
      <c r="O153" s="238" t="s">
        <v>850</v>
      </c>
    </row>
    <row r="154" spans="1:15" ht="14.1">
      <c r="A154" s="251">
        <v>446444</v>
      </c>
      <c r="B154" s="234">
        <v>446444</v>
      </c>
      <c r="C154" s="234">
        <v>2025</v>
      </c>
      <c r="D154" s="234" t="s">
        <v>5215</v>
      </c>
      <c r="E154" s="235">
        <v>15536</v>
      </c>
      <c r="F154" s="235">
        <v>45702</v>
      </c>
      <c r="G154" s="235">
        <v>45723</v>
      </c>
      <c r="H154" s="236">
        <v>310</v>
      </c>
      <c r="I154" s="236">
        <v>310</v>
      </c>
      <c r="J154" s="234" t="s">
        <v>4940</v>
      </c>
      <c r="K154" s="234" t="s">
        <v>1939</v>
      </c>
      <c r="L154" s="234" t="s">
        <v>4957</v>
      </c>
      <c r="M154" s="234" t="s">
        <v>4950</v>
      </c>
      <c r="N154" s="237">
        <v>310</v>
      </c>
      <c r="O154" s="238" t="s">
        <v>850</v>
      </c>
    </row>
    <row r="155" spans="1:15" ht="14.1">
      <c r="A155" s="251">
        <v>358216</v>
      </c>
      <c r="B155" s="234">
        <v>358216</v>
      </c>
      <c r="C155" s="234">
        <v>2025</v>
      </c>
      <c r="D155" s="234" t="s">
        <v>5216</v>
      </c>
      <c r="E155" s="235">
        <v>24065</v>
      </c>
      <c r="F155" s="235">
        <v>45718</v>
      </c>
      <c r="G155" s="235">
        <v>45726</v>
      </c>
      <c r="H155" s="236">
        <v>210</v>
      </c>
      <c r="I155" s="236">
        <v>210</v>
      </c>
      <c r="J155" s="234" t="s">
        <v>4940</v>
      </c>
      <c r="K155" s="234" t="s">
        <v>1939</v>
      </c>
      <c r="L155" s="234" t="s">
        <v>5084</v>
      </c>
      <c r="M155" s="234" t="s">
        <v>4943</v>
      </c>
      <c r="N155" s="237">
        <v>210</v>
      </c>
      <c r="O155" s="238" t="s">
        <v>850</v>
      </c>
    </row>
    <row r="156" spans="1:15" ht="14.1">
      <c r="A156" s="251">
        <v>91605</v>
      </c>
      <c r="B156" s="234">
        <v>91605</v>
      </c>
      <c r="C156" s="234">
        <v>2025</v>
      </c>
      <c r="D156" s="234" t="s">
        <v>5217</v>
      </c>
      <c r="E156" s="235">
        <v>17196</v>
      </c>
      <c r="F156" s="235">
        <v>45721</v>
      </c>
      <c r="G156" s="235">
        <v>45742</v>
      </c>
      <c r="H156" s="236">
        <v>211</v>
      </c>
      <c r="I156" s="236">
        <v>211</v>
      </c>
      <c r="J156" s="234" t="s">
        <v>4940</v>
      </c>
      <c r="K156" s="234" t="s">
        <v>1939</v>
      </c>
      <c r="L156" s="234" t="s">
        <v>4990</v>
      </c>
      <c r="M156" s="234" t="s">
        <v>4943</v>
      </c>
      <c r="N156" s="237">
        <v>211</v>
      </c>
      <c r="O156" s="238" t="s">
        <v>850</v>
      </c>
    </row>
    <row r="157" spans="1:15" ht="14.1">
      <c r="A157" s="251">
        <v>151619</v>
      </c>
      <c r="B157" s="234">
        <v>151619</v>
      </c>
      <c r="C157" s="234">
        <v>2025</v>
      </c>
      <c r="D157" s="234" t="s">
        <v>5218</v>
      </c>
      <c r="E157" s="235">
        <v>19503</v>
      </c>
      <c r="F157" s="235">
        <v>45729</v>
      </c>
      <c r="G157" s="235">
        <v>45770</v>
      </c>
      <c r="H157" s="236">
        <v>112</v>
      </c>
      <c r="I157" s="236">
        <v>106</v>
      </c>
      <c r="J157" s="234" t="s">
        <v>4940</v>
      </c>
      <c r="K157" s="234" t="s">
        <v>3740</v>
      </c>
      <c r="L157" s="234" t="s">
        <v>4957</v>
      </c>
      <c r="M157" s="234" t="s">
        <v>4950</v>
      </c>
      <c r="N157" s="237" t="s">
        <v>5219</v>
      </c>
      <c r="O157" s="238" t="s">
        <v>850</v>
      </c>
    </row>
    <row r="158" spans="1:15" ht="14.1">
      <c r="A158" s="251">
        <v>318451</v>
      </c>
      <c r="B158" s="234">
        <v>318451</v>
      </c>
      <c r="C158" s="234">
        <v>2025</v>
      </c>
      <c r="D158" s="234" t="s">
        <v>5220</v>
      </c>
      <c r="E158" s="235">
        <v>29384</v>
      </c>
      <c r="F158" s="235">
        <v>45728</v>
      </c>
      <c r="G158" s="235">
        <v>45740</v>
      </c>
      <c r="H158" s="236">
        <v>603</v>
      </c>
      <c r="I158" s="236" t="s">
        <v>5221</v>
      </c>
      <c r="J158" s="234" t="s">
        <v>4940</v>
      </c>
      <c r="K158" s="234" t="s">
        <v>1543</v>
      </c>
      <c r="L158" s="234" t="s">
        <v>4957</v>
      </c>
      <c r="M158" s="234" t="s">
        <v>5222</v>
      </c>
      <c r="N158" s="237" t="s">
        <v>5223</v>
      </c>
      <c r="O158" s="238" t="s">
        <v>850</v>
      </c>
    </row>
    <row r="159" spans="1:15" ht="14.1">
      <c r="A159" s="251">
        <v>179431</v>
      </c>
      <c r="B159" s="234">
        <v>179431</v>
      </c>
      <c r="C159" s="234">
        <v>2025</v>
      </c>
      <c r="D159" s="234" t="s">
        <v>5224</v>
      </c>
      <c r="E159" s="235">
        <v>23277</v>
      </c>
      <c r="F159" s="235">
        <v>45726</v>
      </c>
      <c r="G159" s="235">
        <v>45730</v>
      </c>
      <c r="H159" s="236">
        <v>114</v>
      </c>
      <c r="I159" s="236">
        <v>114</v>
      </c>
      <c r="J159" s="234" t="s">
        <v>4940</v>
      </c>
      <c r="K159" s="234" t="s">
        <v>1939</v>
      </c>
      <c r="L159" s="234" t="s">
        <v>4957</v>
      </c>
      <c r="M159" s="234"/>
      <c r="N159" s="237">
        <v>114</v>
      </c>
      <c r="O159" s="238" t="s">
        <v>850</v>
      </c>
    </row>
    <row r="160" spans="1:15" ht="14.1">
      <c r="A160" s="251">
        <v>403588</v>
      </c>
      <c r="B160" s="234">
        <v>403588</v>
      </c>
      <c r="C160" s="234">
        <v>2025</v>
      </c>
      <c r="D160" s="234" t="s">
        <v>5225</v>
      </c>
      <c r="E160" s="235">
        <v>20920</v>
      </c>
      <c r="F160" s="235">
        <v>45727</v>
      </c>
      <c r="G160" s="235">
        <v>45730</v>
      </c>
      <c r="H160" s="236">
        <v>111</v>
      </c>
      <c r="I160" s="236">
        <v>111</v>
      </c>
      <c r="J160" s="234" t="s">
        <v>4940</v>
      </c>
      <c r="K160" s="234" t="s">
        <v>1939</v>
      </c>
      <c r="L160" s="234" t="s">
        <v>4990</v>
      </c>
      <c r="M160" s="234"/>
      <c r="N160" s="237">
        <v>111</v>
      </c>
      <c r="O160" s="238" t="s">
        <v>850</v>
      </c>
    </row>
    <row r="161" spans="1:15" ht="14.1">
      <c r="A161" s="251">
        <v>396414</v>
      </c>
      <c r="B161" s="234">
        <v>396414</v>
      </c>
      <c r="C161" s="234">
        <v>2025</v>
      </c>
      <c r="D161" s="234" t="s">
        <v>5226</v>
      </c>
      <c r="E161" s="235">
        <v>21680</v>
      </c>
      <c r="F161" s="235">
        <v>45728</v>
      </c>
      <c r="G161" s="235">
        <v>45799</v>
      </c>
      <c r="H161" s="236">
        <v>106</v>
      </c>
      <c r="I161" s="236">
        <v>314</v>
      </c>
      <c r="J161" s="234" t="s">
        <v>4940</v>
      </c>
      <c r="K161" s="234" t="s">
        <v>1939</v>
      </c>
      <c r="L161" s="234" t="s">
        <v>4990</v>
      </c>
      <c r="M161" s="234" t="s">
        <v>4950</v>
      </c>
      <c r="N161" s="237" t="s">
        <v>5227</v>
      </c>
      <c r="O161" s="238" t="s">
        <v>850</v>
      </c>
    </row>
    <row r="162" spans="1:15" ht="69.599999999999994">
      <c r="A162" s="251">
        <v>569372</v>
      </c>
      <c r="B162" s="234">
        <v>569372</v>
      </c>
      <c r="C162" s="234">
        <v>2025</v>
      </c>
      <c r="D162" s="234" t="s">
        <v>5228</v>
      </c>
      <c r="E162" s="235">
        <v>31879</v>
      </c>
      <c r="F162" s="235">
        <v>45720</v>
      </c>
      <c r="G162" s="235">
        <v>45742</v>
      </c>
      <c r="H162" s="236">
        <v>306</v>
      </c>
      <c r="I162" s="236">
        <v>306</v>
      </c>
      <c r="J162" s="234" t="s">
        <v>4940</v>
      </c>
      <c r="K162" s="234" t="s">
        <v>1939</v>
      </c>
      <c r="L162" s="234" t="s">
        <v>4957</v>
      </c>
      <c r="M162" s="234" t="s">
        <v>4943</v>
      </c>
      <c r="N162" s="237">
        <v>306</v>
      </c>
      <c r="O162" s="238" t="s">
        <v>5229</v>
      </c>
    </row>
    <row r="163" spans="1:15" ht="14.1">
      <c r="A163" s="251">
        <v>6784166</v>
      </c>
      <c r="B163" s="234">
        <v>6784166</v>
      </c>
      <c r="C163" s="234">
        <v>2025</v>
      </c>
      <c r="D163" s="234" t="s">
        <v>5230</v>
      </c>
      <c r="E163" s="235">
        <v>29892</v>
      </c>
      <c r="F163" s="235">
        <v>45729</v>
      </c>
      <c r="G163" s="235">
        <v>45747</v>
      </c>
      <c r="H163" s="236">
        <v>417</v>
      </c>
      <c r="I163" s="236">
        <v>417</v>
      </c>
      <c r="J163" s="234" t="s">
        <v>4940</v>
      </c>
      <c r="K163" s="234" t="s">
        <v>1543</v>
      </c>
      <c r="L163" s="234" t="s">
        <v>5084</v>
      </c>
      <c r="M163" s="234" t="s">
        <v>5222</v>
      </c>
      <c r="N163" s="237">
        <v>417</v>
      </c>
      <c r="O163" s="238" t="s">
        <v>850</v>
      </c>
    </row>
    <row r="164" spans="1:15" ht="14.1">
      <c r="A164" s="251">
        <v>10378</v>
      </c>
      <c r="B164" s="234">
        <v>10378</v>
      </c>
      <c r="C164" s="234">
        <v>2025</v>
      </c>
      <c r="D164" s="234" t="s">
        <v>5231</v>
      </c>
      <c r="E164" s="235">
        <v>8531</v>
      </c>
      <c r="F164" s="235">
        <v>45740</v>
      </c>
      <c r="G164" s="235">
        <v>45754</v>
      </c>
      <c r="H164" s="236">
        <v>343</v>
      </c>
      <c r="I164" s="236">
        <v>343</v>
      </c>
      <c r="J164" s="234" t="s">
        <v>4940</v>
      </c>
      <c r="K164" s="234" t="s">
        <v>1543</v>
      </c>
      <c r="L164" s="234" t="s">
        <v>5084</v>
      </c>
      <c r="M164" s="234" t="s">
        <v>4943</v>
      </c>
      <c r="N164" s="237">
        <v>343</v>
      </c>
      <c r="O164" s="238" t="s">
        <v>850</v>
      </c>
    </row>
    <row r="165" spans="1:15" ht="14.1">
      <c r="A165" s="251">
        <v>171397</v>
      </c>
      <c r="B165" s="234">
        <v>171397</v>
      </c>
      <c r="C165" s="234">
        <v>2025</v>
      </c>
      <c r="D165" s="234" t="s">
        <v>5232</v>
      </c>
      <c r="E165" s="235">
        <v>25032</v>
      </c>
      <c r="F165" s="235">
        <v>45740</v>
      </c>
      <c r="G165" s="235">
        <v>45758</v>
      </c>
      <c r="H165" s="236">
        <v>606</v>
      </c>
      <c r="I165" s="236" t="s">
        <v>5233</v>
      </c>
      <c r="J165" s="234" t="s">
        <v>4940</v>
      </c>
      <c r="K165" s="234" t="s">
        <v>5123</v>
      </c>
      <c r="L165" s="234" t="s">
        <v>4949</v>
      </c>
      <c r="M165" s="234" t="s">
        <v>4943</v>
      </c>
      <c r="N165" s="237" t="s">
        <v>5234</v>
      </c>
      <c r="O165" s="238" t="s">
        <v>850</v>
      </c>
    </row>
    <row r="166" spans="1:15" ht="14.1">
      <c r="A166" s="251">
        <v>606938</v>
      </c>
      <c r="B166" s="234">
        <v>606938</v>
      </c>
      <c r="C166" s="234">
        <v>2025</v>
      </c>
      <c r="D166" s="234" t="s">
        <v>5235</v>
      </c>
      <c r="E166" s="235">
        <v>13835</v>
      </c>
      <c r="F166" s="235">
        <v>45738</v>
      </c>
      <c r="G166" s="235">
        <v>45750</v>
      </c>
      <c r="H166" s="236">
        <v>404</v>
      </c>
      <c r="I166" s="236">
        <v>404</v>
      </c>
      <c r="J166" s="234" t="s">
        <v>4940</v>
      </c>
      <c r="K166" s="234" t="s">
        <v>1939</v>
      </c>
      <c r="L166" s="234" t="s">
        <v>4957</v>
      </c>
      <c r="M166" s="234" t="s">
        <v>4943</v>
      </c>
      <c r="N166" s="237">
        <v>404</v>
      </c>
      <c r="O166" s="238" t="s">
        <v>850</v>
      </c>
    </row>
    <row r="167" spans="1:15" ht="14.1">
      <c r="A167" s="251">
        <v>729469</v>
      </c>
      <c r="B167" s="234">
        <v>729469</v>
      </c>
      <c r="C167" s="234">
        <v>2025</v>
      </c>
      <c r="D167" s="234" t="s">
        <v>5236</v>
      </c>
      <c r="E167" s="235">
        <v>14384</v>
      </c>
      <c r="F167" s="235">
        <v>45738</v>
      </c>
      <c r="G167" s="235">
        <v>45750</v>
      </c>
      <c r="H167" s="236">
        <v>310</v>
      </c>
      <c r="I167" s="236">
        <v>310</v>
      </c>
      <c r="J167" s="234" t="s">
        <v>4940</v>
      </c>
      <c r="K167" s="234" t="s">
        <v>1939</v>
      </c>
      <c r="L167" s="234" t="s">
        <v>4957</v>
      </c>
      <c r="M167" s="234" t="s">
        <v>4943</v>
      </c>
      <c r="N167" s="237">
        <v>310</v>
      </c>
      <c r="O167" s="238" t="s">
        <v>850</v>
      </c>
    </row>
    <row r="168" spans="1:15" ht="69.599999999999994">
      <c r="A168" s="251">
        <v>6809421</v>
      </c>
      <c r="B168" s="234">
        <v>6809421</v>
      </c>
      <c r="C168" s="234">
        <v>2025</v>
      </c>
      <c r="D168" s="234" t="s">
        <v>5228</v>
      </c>
      <c r="E168" s="235">
        <v>31879</v>
      </c>
      <c r="F168" s="235">
        <v>45742</v>
      </c>
      <c r="G168" s="235">
        <v>45750</v>
      </c>
      <c r="H168" s="236">
        <v>419</v>
      </c>
      <c r="I168" s="236">
        <v>419</v>
      </c>
      <c r="J168" s="234" t="s">
        <v>4940</v>
      </c>
      <c r="K168" s="234" t="s">
        <v>1543</v>
      </c>
      <c r="L168" s="234" t="s">
        <v>5237</v>
      </c>
      <c r="M168" s="234" t="s">
        <v>4943</v>
      </c>
      <c r="N168" s="237">
        <v>419</v>
      </c>
      <c r="O168" s="238" t="s">
        <v>5229</v>
      </c>
    </row>
    <row r="169" spans="1:15" ht="14.1">
      <c r="A169" s="251">
        <v>755550</v>
      </c>
      <c r="B169" s="234">
        <v>755550</v>
      </c>
      <c r="C169" s="234">
        <v>2025</v>
      </c>
      <c r="D169" s="234" t="s">
        <v>5238</v>
      </c>
      <c r="E169" s="235">
        <v>27842</v>
      </c>
      <c r="F169" s="235">
        <v>45737</v>
      </c>
      <c r="G169" s="235">
        <v>45779</v>
      </c>
      <c r="H169" s="236">
        <v>208</v>
      </c>
      <c r="I169" s="236">
        <v>204</v>
      </c>
      <c r="J169" s="234" t="s">
        <v>4940</v>
      </c>
      <c r="K169" s="234" t="s">
        <v>1939</v>
      </c>
      <c r="L169" s="234" t="s">
        <v>4957</v>
      </c>
      <c r="M169" s="234" t="s">
        <v>4943</v>
      </c>
      <c r="N169" s="237" t="s">
        <v>5239</v>
      </c>
      <c r="O169" s="238" t="s">
        <v>850</v>
      </c>
    </row>
    <row r="170" spans="1:15" ht="14.1">
      <c r="A170" s="251">
        <v>638704</v>
      </c>
      <c r="B170" s="234">
        <v>638704</v>
      </c>
      <c r="C170" s="234">
        <v>2025</v>
      </c>
      <c r="D170" s="234" t="s">
        <v>5204</v>
      </c>
      <c r="E170" s="235">
        <v>44163</v>
      </c>
      <c r="F170" s="235">
        <v>45749</v>
      </c>
      <c r="G170" s="235">
        <v>45775</v>
      </c>
      <c r="H170" s="236">
        <v>429</v>
      </c>
      <c r="I170" s="236">
        <v>429</v>
      </c>
      <c r="J170" s="234" t="s">
        <v>4940</v>
      </c>
      <c r="K170" s="234" t="s">
        <v>2624</v>
      </c>
      <c r="L170" s="234" t="s">
        <v>5084</v>
      </c>
      <c r="M170" s="234" t="s">
        <v>4943</v>
      </c>
      <c r="N170" s="237">
        <v>429</v>
      </c>
      <c r="O170" s="238" t="s">
        <v>850</v>
      </c>
    </row>
    <row r="171" spans="1:15" ht="14.1">
      <c r="A171" s="251">
        <v>761640</v>
      </c>
      <c r="B171" s="234">
        <v>761640</v>
      </c>
      <c r="C171" s="234">
        <v>2025</v>
      </c>
      <c r="D171" s="234" t="s">
        <v>5240</v>
      </c>
      <c r="E171" s="235">
        <v>33079</v>
      </c>
      <c r="F171" s="235">
        <v>45711</v>
      </c>
      <c r="G171" s="235">
        <v>45756</v>
      </c>
      <c r="H171" s="236">
        <v>702</v>
      </c>
      <c r="I171" s="236">
        <v>702</v>
      </c>
      <c r="J171" s="234" t="s">
        <v>4940</v>
      </c>
      <c r="K171" s="234" t="s">
        <v>2624</v>
      </c>
      <c r="L171" s="234" t="s">
        <v>5084</v>
      </c>
      <c r="M171" s="234" t="s">
        <v>4943</v>
      </c>
      <c r="N171" s="237">
        <v>702</v>
      </c>
      <c r="O171" s="238" t="s">
        <v>850</v>
      </c>
    </row>
    <row r="172" spans="1:15" ht="14.1">
      <c r="A172" s="251">
        <v>900215</v>
      </c>
      <c r="B172" s="234">
        <v>900215</v>
      </c>
      <c r="C172" s="234">
        <v>2025</v>
      </c>
      <c r="D172" s="234" t="s">
        <v>5241</v>
      </c>
      <c r="E172" s="235">
        <v>45753</v>
      </c>
      <c r="F172" s="235">
        <v>45753</v>
      </c>
      <c r="G172" s="235">
        <v>45813</v>
      </c>
      <c r="H172" s="236">
        <v>505</v>
      </c>
      <c r="I172" s="236">
        <v>505</v>
      </c>
      <c r="J172" s="234" t="s">
        <v>4940</v>
      </c>
      <c r="K172" s="234" t="s">
        <v>2624</v>
      </c>
      <c r="L172" s="234" t="s">
        <v>5114</v>
      </c>
      <c r="M172" s="234" t="s">
        <v>4943</v>
      </c>
      <c r="N172" s="237" t="s">
        <v>5242</v>
      </c>
      <c r="O172" s="238" t="s">
        <v>850</v>
      </c>
    </row>
    <row r="173" spans="1:15" ht="92.45">
      <c r="A173" s="251">
        <v>919614</v>
      </c>
      <c r="B173" s="234">
        <v>919614</v>
      </c>
      <c r="C173" s="234">
        <v>2025</v>
      </c>
      <c r="D173" s="234" t="s">
        <v>5243</v>
      </c>
      <c r="E173" s="234">
        <v>0</v>
      </c>
      <c r="F173" s="235">
        <v>45752</v>
      </c>
      <c r="G173" s="235">
        <v>45756</v>
      </c>
      <c r="H173" s="236">
        <v>427</v>
      </c>
      <c r="I173" s="236">
        <v>427</v>
      </c>
      <c r="J173" s="234" t="s">
        <v>4940</v>
      </c>
      <c r="K173" s="234" t="s">
        <v>2624</v>
      </c>
      <c r="L173" s="234" t="s">
        <v>4957</v>
      </c>
      <c r="M173" s="234" t="s">
        <v>4943</v>
      </c>
      <c r="N173" s="237">
        <v>427</v>
      </c>
      <c r="O173" s="238" t="s">
        <v>5244</v>
      </c>
    </row>
    <row r="174" spans="1:15" ht="14.1">
      <c r="A174" s="251">
        <v>912756</v>
      </c>
      <c r="B174" s="234">
        <v>912756</v>
      </c>
      <c r="C174" s="234">
        <v>2025</v>
      </c>
      <c r="D174" s="234" t="s">
        <v>5245</v>
      </c>
      <c r="E174" s="235">
        <v>33556</v>
      </c>
      <c r="F174" s="235">
        <v>45755</v>
      </c>
      <c r="G174" s="235">
        <v>45761</v>
      </c>
      <c r="H174" s="236">
        <v>708</v>
      </c>
      <c r="I174" s="236">
        <v>708</v>
      </c>
      <c r="J174" s="234" t="s">
        <v>4940</v>
      </c>
      <c r="K174" s="234" t="s">
        <v>2624</v>
      </c>
      <c r="L174" s="234" t="s">
        <v>5084</v>
      </c>
      <c r="M174" s="234" t="s">
        <v>4943</v>
      </c>
      <c r="N174" s="237">
        <v>708</v>
      </c>
      <c r="O174" s="238" t="s">
        <v>850</v>
      </c>
    </row>
    <row r="175" spans="1:15" ht="14.1">
      <c r="A175" s="251">
        <v>916388</v>
      </c>
      <c r="B175" s="234">
        <v>916388</v>
      </c>
      <c r="C175" s="234">
        <v>2025</v>
      </c>
      <c r="D175" s="234" t="s">
        <v>5246</v>
      </c>
      <c r="E175" s="235">
        <v>45617</v>
      </c>
      <c r="F175" s="235">
        <v>45755</v>
      </c>
      <c r="G175" s="235">
        <v>45761</v>
      </c>
      <c r="H175" s="236">
        <v>430</v>
      </c>
      <c r="I175" s="236">
        <v>430</v>
      </c>
      <c r="J175" s="234" t="s">
        <v>4940</v>
      </c>
      <c r="K175" s="234" t="s">
        <v>2624</v>
      </c>
      <c r="L175" s="234" t="s">
        <v>4957</v>
      </c>
      <c r="M175" s="234" t="s">
        <v>4943</v>
      </c>
      <c r="N175" s="237">
        <v>430</v>
      </c>
      <c r="O175" s="238" t="s">
        <v>850</v>
      </c>
    </row>
    <row r="176" spans="1:15" ht="14.1">
      <c r="A176" s="251">
        <v>919244</v>
      </c>
      <c r="B176" s="234">
        <v>919244</v>
      </c>
      <c r="C176" s="234">
        <v>2025</v>
      </c>
      <c r="D176" s="234" t="s">
        <v>5247</v>
      </c>
      <c r="E176" s="235">
        <v>45746</v>
      </c>
      <c r="F176" s="235">
        <v>45746</v>
      </c>
      <c r="G176" s="235">
        <v>45799</v>
      </c>
      <c r="H176" s="236">
        <v>501</v>
      </c>
      <c r="I176" s="236">
        <v>501</v>
      </c>
      <c r="J176" s="234" t="s">
        <v>4940</v>
      </c>
      <c r="K176" s="234" t="s">
        <v>2624</v>
      </c>
      <c r="L176" s="234" t="s">
        <v>5084</v>
      </c>
      <c r="M176" s="234" t="s">
        <v>4943</v>
      </c>
      <c r="N176" s="237">
        <v>501</v>
      </c>
      <c r="O176" s="238" t="s">
        <v>850</v>
      </c>
    </row>
    <row r="177" spans="1:15" ht="14.1">
      <c r="A177" s="251">
        <v>747404</v>
      </c>
      <c r="B177" s="234">
        <v>747404</v>
      </c>
      <c r="C177" s="234">
        <v>2025</v>
      </c>
      <c r="D177" s="234" t="s">
        <v>5248</v>
      </c>
      <c r="E177" s="235">
        <v>36741</v>
      </c>
      <c r="F177" s="235">
        <v>45761</v>
      </c>
      <c r="G177" s="235">
        <v>45770</v>
      </c>
      <c r="H177" s="236">
        <v>706</v>
      </c>
      <c r="I177" s="236">
        <v>706</v>
      </c>
      <c r="J177" s="234" t="s">
        <v>4948</v>
      </c>
      <c r="K177" s="234" t="s">
        <v>2624</v>
      </c>
      <c r="L177" s="234" t="s">
        <v>5084</v>
      </c>
      <c r="M177" s="234" t="s">
        <v>4943</v>
      </c>
      <c r="N177" s="237">
        <v>706</v>
      </c>
      <c r="O177" s="238" t="s">
        <v>850</v>
      </c>
    </row>
    <row r="178" spans="1:15" ht="14.1">
      <c r="A178" s="251">
        <v>920803</v>
      </c>
      <c r="B178" s="234">
        <v>920803</v>
      </c>
      <c r="C178" s="234">
        <v>2025</v>
      </c>
      <c r="D178" s="234" t="s">
        <v>5249</v>
      </c>
      <c r="E178" s="235">
        <v>14416</v>
      </c>
      <c r="F178" s="235">
        <v>45758</v>
      </c>
      <c r="G178" s="235">
        <v>45762</v>
      </c>
      <c r="H178" s="236">
        <v>212</v>
      </c>
      <c r="I178" s="236">
        <v>212</v>
      </c>
      <c r="J178" s="234" t="s">
        <v>4948</v>
      </c>
      <c r="K178" s="234" t="s">
        <v>1939</v>
      </c>
      <c r="L178" s="234" t="s">
        <v>5084</v>
      </c>
      <c r="M178" s="234"/>
      <c r="N178" s="237">
        <v>212</v>
      </c>
      <c r="O178" s="238" t="s">
        <v>850</v>
      </c>
    </row>
    <row r="179" spans="1:15" ht="14.1">
      <c r="A179" s="251">
        <v>916711</v>
      </c>
      <c r="B179" s="234">
        <v>916711</v>
      </c>
      <c r="C179" s="234">
        <v>2025</v>
      </c>
      <c r="D179" s="234" t="s">
        <v>5250</v>
      </c>
      <c r="E179" s="235">
        <v>45507</v>
      </c>
      <c r="F179" s="235">
        <v>45760</v>
      </c>
      <c r="G179" s="235">
        <v>45770</v>
      </c>
      <c r="H179" s="236" t="s">
        <v>5251</v>
      </c>
      <c r="I179" s="236" t="s">
        <v>5251</v>
      </c>
      <c r="J179" s="234" t="s">
        <v>4940</v>
      </c>
      <c r="K179" s="234" t="s">
        <v>5252</v>
      </c>
      <c r="L179" s="234" t="s">
        <v>5084</v>
      </c>
      <c r="M179" s="234" t="s">
        <v>4943</v>
      </c>
      <c r="N179" s="237" t="s">
        <v>5251</v>
      </c>
      <c r="O179" s="238" t="s">
        <v>850</v>
      </c>
    </row>
    <row r="180" spans="1:15" ht="14.1">
      <c r="A180" s="251">
        <v>915966</v>
      </c>
      <c r="B180" s="234">
        <v>915966</v>
      </c>
      <c r="C180" s="234">
        <v>2025</v>
      </c>
      <c r="D180" s="234" t="s">
        <v>5253</v>
      </c>
      <c r="E180" s="235">
        <v>37902</v>
      </c>
      <c r="F180" s="235">
        <v>45768</v>
      </c>
      <c r="G180" s="235">
        <v>45775</v>
      </c>
      <c r="H180" s="236">
        <v>705</v>
      </c>
      <c r="I180" s="236">
        <v>705</v>
      </c>
      <c r="J180" s="234" t="s">
        <v>4940</v>
      </c>
      <c r="K180" s="234" t="s">
        <v>2624</v>
      </c>
      <c r="L180" s="234" t="s">
        <v>5084</v>
      </c>
      <c r="M180" s="234" t="s">
        <v>4943</v>
      </c>
      <c r="N180" s="237">
        <v>705</v>
      </c>
      <c r="O180" s="238" t="s">
        <v>850</v>
      </c>
    </row>
    <row r="181" spans="1:15" ht="14.1">
      <c r="A181" s="251">
        <v>200181</v>
      </c>
      <c r="B181" s="234">
        <v>200181</v>
      </c>
      <c r="C181" s="234">
        <v>2025</v>
      </c>
      <c r="D181" s="234" t="s">
        <v>5254</v>
      </c>
      <c r="E181" s="235">
        <v>13372</v>
      </c>
      <c r="F181" s="235">
        <v>45777</v>
      </c>
      <c r="G181" s="235">
        <v>45799</v>
      </c>
      <c r="H181" s="236">
        <v>418</v>
      </c>
      <c r="I181" s="236">
        <v>418</v>
      </c>
      <c r="J181" s="234" t="s">
        <v>4940</v>
      </c>
      <c r="K181" s="234" t="s">
        <v>5255</v>
      </c>
      <c r="L181" s="234" t="s">
        <v>4990</v>
      </c>
      <c r="M181" s="234" t="s">
        <v>4943</v>
      </c>
      <c r="N181" s="237">
        <v>418</v>
      </c>
      <c r="O181" s="238" t="s">
        <v>850</v>
      </c>
    </row>
    <row r="182" spans="1:15" ht="14.1">
      <c r="A182" s="251">
        <v>923134</v>
      </c>
      <c r="B182" s="234">
        <v>923134</v>
      </c>
      <c r="C182" s="234">
        <v>2025</v>
      </c>
      <c r="D182" s="234" t="s">
        <v>5256</v>
      </c>
      <c r="E182" s="235">
        <v>31665</v>
      </c>
      <c r="F182" s="235">
        <v>45777</v>
      </c>
      <c r="G182" s="235">
        <v>45799</v>
      </c>
      <c r="H182" s="236">
        <v>709</v>
      </c>
      <c r="I182" s="236">
        <v>709</v>
      </c>
      <c r="J182" s="234" t="s">
        <v>4940</v>
      </c>
      <c r="K182" s="234" t="s">
        <v>2624</v>
      </c>
      <c r="L182" s="234" t="s">
        <v>4957</v>
      </c>
      <c r="M182" s="234" t="s">
        <v>4943</v>
      </c>
      <c r="N182" s="237">
        <v>709</v>
      </c>
      <c r="O182" s="238" t="s">
        <v>850</v>
      </c>
    </row>
    <row r="183" spans="1:15" ht="14.1">
      <c r="A183" s="251">
        <v>6875514</v>
      </c>
      <c r="B183" s="234">
        <v>6875514</v>
      </c>
      <c r="C183" s="234">
        <v>2025</v>
      </c>
      <c r="D183" s="234" t="s">
        <v>5257</v>
      </c>
      <c r="E183" s="235">
        <v>30171</v>
      </c>
      <c r="F183" s="235">
        <v>45782</v>
      </c>
      <c r="G183" s="235">
        <v>45785</v>
      </c>
      <c r="H183" s="236">
        <v>604</v>
      </c>
      <c r="I183" s="236">
        <v>604</v>
      </c>
      <c r="J183" s="234" t="s">
        <v>4948</v>
      </c>
      <c r="K183" s="234" t="s">
        <v>1574</v>
      </c>
      <c r="L183" s="239" t="s">
        <v>5084</v>
      </c>
      <c r="M183" s="234" t="s">
        <v>850</v>
      </c>
      <c r="N183" s="237">
        <v>604</v>
      </c>
      <c r="O183" s="238" t="s">
        <v>850</v>
      </c>
    </row>
    <row r="184" spans="1:15" ht="14.1">
      <c r="A184" s="251">
        <v>923546</v>
      </c>
      <c r="B184" s="234">
        <v>923546</v>
      </c>
      <c r="C184" s="234">
        <v>2025</v>
      </c>
      <c r="D184" s="234" t="s">
        <v>5258</v>
      </c>
      <c r="E184" s="235">
        <v>33913</v>
      </c>
      <c r="F184" s="235">
        <v>45782</v>
      </c>
      <c r="G184" s="235">
        <v>45799</v>
      </c>
      <c r="H184" s="236" t="s">
        <v>5259</v>
      </c>
      <c r="I184" s="236" t="s">
        <v>5259</v>
      </c>
      <c r="J184" s="234" t="s">
        <v>4940</v>
      </c>
      <c r="K184" s="234" t="s">
        <v>1939</v>
      </c>
      <c r="L184" s="239" t="s">
        <v>5084</v>
      </c>
      <c r="M184" s="234" t="s">
        <v>4943</v>
      </c>
      <c r="N184" s="237" t="s">
        <v>5259</v>
      </c>
      <c r="O184" s="238" t="s">
        <v>850</v>
      </c>
    </row>
    <row r="185" spans="1:15" ht="23.1">
      <c r="A185" s="251">
        <v>444277</v>
      </c>
      <c r="B185" s="234">
        <v>444277</v>
      </c>
      <c r="C185" s="234">
        <v>2025</v>
      </c>
      <c r="D185" s="234" t="s">
        <v>5260</v>
      </c>
      <c r="E185" s="235">
        <v>41589</v>
      </c>
      <c r="F185" s="235">
        <v>45790</v>
      </c>
      <c r="G185" s="235">
        <v>45810</v>
      </c>
      <c r="H185" s="236" t="s">
        <v>5261</v>
      </c>
      <c r="I185" s="236" t="s">
        <v>5262</v>
      </c>
      <c r="J185" s="234" t="s">
        <v>4940</v>
      </c>
      <c r="K185" s="234" t="s">
        <v>5263</v>
      </c>
      <c r="L185" s="234" t="s">
        <v>4957</v>
      </c>
      <c r="M185" s="234" t="s">
        <v>4943</v>
      </c>
      <c r="N185" s="237" t="s">
        <v>5264</v>
      </c>
      <c r="O185" s="238" t="s">
        <v>850</v>
      </c>
    </row>
    <row r="186" spans="1:15" ht="14.1">
      <c r="A186" s="251">
        <v>923824</v>
      </c>
      <c r="B186" s="234">
        <v>923824</v>
      </c>
      <c r="C186" s="234">
        <v>2025</v>
      </c>
      <c r="D186" s="234" t="s">
        <v>5265</v>
      </c>
      <c r="E186" s="235">
        <v>45704</v>
      </c>
      <c r="F186" s="235">
        <v>45788</v>
      </c>
      <c r="G186" s="235">
        <v>45799</v>
      </c>
      <c r="H186" s="236">
        <v>429</v>
      </c>
      <c r="I186" s="236">
        <v>429</v>
      </c>
      <c r="J186" s="234" t="s">
        <v>4940</v>
      </c>
      <c r="K186" s="234" t="s">
        <v>2624</v>
      </c>
      <c r="L186" s="234" t="s">
        <v>4957</v>
      </c>
      <c r="M186" s="234" t="s">
        <v>4943</v>
      </c>
      <c r="N186" s="237">
        <v>429</v>
      </c>
      <c r="O186" s="238" t="s">
        <v>850</v>
      </c>
    </row>
    <row r="187" spans="1:15" ht="14.1">
      <c r="A187" s="251">
        <v>922627</v>
      </c>
      <c r="B187" s="234">
        <v>922627</v>
      </c>
      <c r="C187" s="234">
        <v>2025</v>
      </c>
      <c r="D187" s="234" t="s">
        <v>5266</v>
      </c>
      <c r="E187" s="235">
        <v>33252</v>
      </c>
      <c r="F187" s="235">
        <v>45798</v>
      </c>
      <c r="G187" s="235">
        <v>45810</v>
      </c>
      <c r="H187" s="236">
        <v>709</v>
      </c>
      <c r="I187" s="236">
        <v>709</v>
      </c>
      <c r="J187" s="234" t="s">
        <v>4940</v>
      </c>
      <c r="K187" s="234" t="s">
        <v>2624</v>
      </c>
      <c r="L187" s="234" t="s">
        <v>5084</v>
      </c>
      <c r="M187" s="234" t="s">
        <v>4943</v>
      </c>
      <c r="N187" s="237">
        <v>709</v>
      </c>
      <c r="O187" s="238" t="s">
        <v>850</v>
      </c>
    </row>
    <row r="188" spans="1:15" ht="14.1">
      <c r="A188" s="251">
        <v>925713</v>
      </c>
      <c r="B188" s="234">
        <v>925713</v>
      </c>
      <c r="C188" s="234">
        <v>2025</v>
      </c>
      <c r="D188" s="234" t="s">
        <v>5267</v>
      </c>
      <c r="E188" s="235">
        <v>35269</v>
      </c>
      <c r="F188" s="235">
        <v>45798</v>
      </c>
      <c r="G188" s="235">
        <v>45810</v>
      </c>
      <c r="H188" s="236">
        <v>702</v>
      </c>
      <c r="I188" s="236">
        <v>702</v>
      </c>
      <c r="J188" s="234" t="s">
        <v>4940</v>
      </c>
      <c r="K188" s="234" t="s">
        <v>2624</v>
      </c>
      <c r="L188" s="234" t="s">
        <v>5084</v>
      </c>
      <c r="M188" s="234" t="s">
        <v>4943</v>
      </c>
      <c r="N188" s="237">
        <v>702</v>
      </c>
      <c r="O188" s="238" t="s">
        <v>850</v>
      </c>
    </row>
    <row r="189" spans="1:15" ht="14.1">
      <c r="A189" s="251">
        <v>352126</v>
      </c>
      <c r="B189" s="234">
        <v>352126</v>
      </c>
      <c r="C189" s="234">
        <v>2025</v>
      </c>
      <c r="D189" s="234" t="s">
        <v>5268</v>
      </c>
      <c r="E189" s="235">
        <v>14947</v>
      </c>
      <c r="F189" s="235">
        <v>45804</v>
      </c>
      <c r="G189" s="235">
        <v>45810</v>
      </c>
      <c r="H189" s="236">
        <v>319</v>
      </c>
      <c r="I189" s="236">
        <v>716</v>
      </c>
      <c r="J189" s="234" t="s">
        <v>4940</v>
      </c>
      <c r="K189" s="234" t="s">
        <v>2624</v>
      </c>
      <c r="L189" s="234" t="s">
        <v>4957</v>
      </c>
      <c r="M189" s="234"/>
      <c r="N189" s="237" t="s">
        <v>5269</v>
      </c>
      <c r="O189" s="238" t="s">
        <v>850</v>
      </c>
    </row>
    <row r="190" spans="1:15" ht="14.1">
      <c r="A190" s="251">
        <v>523636</v>
      </c>
      <c r="B190" s="234">
        <v>523636</v>
      </c>
      <c r="C190" s="234">
        <v>2025</v>
      </c>
      <c r="D190" s="234" t="s">
        <v>5270</v>
      </c>
      <c r="E190" s="235">
        <v>41115</v>
      </c>
      <c r="F190" s="235">
        <v>45798</v>
      </c>
      <c r="G190" s="235">
        <v>45810</v>
      </c>
      <c r="H190" s="236">
        <v>429</v>
      </c>
      <c r="I190" s="236">
        <v>429</v>
      </c>
      <c r="J190" s="234" t="s">
        <v>4940</v>
      </c>
      <c r="K190" s="234" t="s">
        <v>2624</v>
      </c>
      <c r="L190" s="234" t="s">
        <v>4957</v>
      </c>
      <c r="M190" s="234" t="s">
        <v>4943</v>
      </c>
      <c r="N190" s="237">
        <v>429</v>
      </c>
      <c r="O190" s="238" t="s">
        <v>850</v>
      </c>
    </row>
    <row r="191" spans="1:15" ht="14.1">
      <c r="A191" s="251">
        <v>552481</v>
      </c>
      <c r="B191" s="234">
        <v>552481</v>
      </c>
      <c r="C191" s="234">
        <v>2025</v>
      </c>
      <c r="D191" s="234" t="s">
        <v>5271</v>
      </c>
      <c r="E191" s="235">
        <v>19937</v>
      </c>
      <c r="F191" s="235">
        <v>45805</v>
      </c>
      <c r="G191" s="235">
        <v>45811</v>
      </c>
      <c r="H191" s="236">
        <v>603</v>
      </c>
      <c r="I191" s="236">
        <v>603</v>
      </c>
      <c r="J191" s="234" t="s">
        <v>4948</v>
      </c>
      <c r="K191" s="234" t="s">
        <v>5272</v>
      </c>
      <c r="L191" s="234" t="s">
        <v>4957</v>
      </c>
      <c r="M191" s="234" t="s">
        <v>4950</v>
      </c>
      <c r="N191" s="237">
        <v>603</v>
      </c>
      <c r="O191" s="238" t="s">
        <v>850</v>
      </c>
    </row>
    <row r="192" spans="1:15" ht="14.1">
      <c r="A192" s="251">
        <v>430484</v>
      </c>
      <c r="B192" s="234">
        <v>430484</v>
      </c>
      <c r="C192" s="234">
        <v>2025</v>
      </c>
      <c r="D192" s="234" t="s">
        <v>5273</v>
      </c>
      <c r="E192" s="235">
        <v>27808</v>
      </c>
      <c r="F192" s="235">
        <v>45806</v>
      </c>
      <c r="G192" s="235">
        <v>45828</v>
      </c>
      <c r="H192" s="236">
        <v>114</v>
      </c>
      <c r="I192" s="236">
        <v>114</v>
      </c>
      <c r="J192" s="234" t="s">
        <v>4940</v>
      </c>
      <c r="K192" s="234" t="s">
        <v>1493</v>
      </c>
      <c r="L192" s="234" t="s">
        <v>5274</v>
      </c>
      <c r="M192" s="234" t="s">
        <v>4943</v>
      </c>
      <c r="N192" s="237">
        <v>114</v>
      </c>
      <c r="O192" s="238" t="s">
        <v>850</v>
      </c>
    </row>
    <row r="193" spans="1:15" ht="14.1">
      <c r="A193" s="251">
        <v>926758</v>
      </c>
      <c r="B193" s="234">
        <v>926758</v>
      </c>
      <c r="C193" s="234">
        <v>2025</v>
      </c>
      <c r="D193" s="234" t="s">
        <v>5275</v>
      </c>
      <c r="E193" s="235">
        <v>45418</v>
      </c>
      <c r="F193" s="235">
        <v>45807</v>
      </c>
      <c r="G193" s="235">
        <v>45817</v>
      </c>
      <c r="H193" s="236">
        <v>435</v>
      </c>
      <c r="I193" s="236">
        <v>435</v>
      </c>
      <c r="J193" s="234" t="s">
        <v>4940</v>
      </c>
      <c r="K193" s="234" t="s">
        <v>2624</v>
      </c>
      <c r="L193" s="234" t="s">
        <v>4957</v>
      </c>
      <c r="M193" s="234" t="s">
        <v>4943</v>
      </c>
      <c r="N193" s="237">
        <v>435</v>
      </c>
      <c r="O193" s="238" t="s">
        <v>850</v>
      </c>
    </row>
    <row r="194" spans="1:15" ht="14.1">
      <c r="A194" s="251">
        <v>907078</v>
      </c>
      <c r="B194" s="234">
        <v>907078</v>
      </c>
      <c r="C194" s="234">
        <v>2025</v>
      </c>
      <c r="D194" s="234" t="s">
        <v>5276</v>
      </c>
      <c r="E194" s="235">
        <v>45310</v>
      </c>
      <c r="F194" s="235">
        <v>45810</v>
      </c>
      <c r="G194" s="235">
        <v>45817</v>
      </c>
      <c r="H194" s="236">
        <v>426</v>
      </c>
      <c r="I194" s="236">
        <v>426</v>
      </c>
      <c r="J194" s="234" t="s">
        <v>4940</v>
      </c>
      <c r="K194" s="234" t="s">
        <v>2624</v>
      </c>
      <c r="L194" s="234" t="s">
        <v>4957</v>
      </c>
      <c r="M194" s="234" t="s">
        <v>4943</v>
      </c>
      <c r="N194" s="237">
        <v>426</v>
      </c>
      <c r="O194" s="238" t="s">
        <v>850</v>
      </c>
    </row>
    <row r="195" spans="1:15" ht="14.1">
      <c r="A195" s="251">
        <v>396579</v>
      </c>
      <c r="B195" s="234">
        <v>396579</v>
      </c>
      <c r="C195" s="234">
        <v>2025</v>
      </c>
      <c r="D195" s="234" t="s">
        <v>5074</v>
      </c>
      <c r="E195" s="235">
        <v>38893</v>
      </c>
      <c r="F195" s="235">
        <v>45814</v>
      </c>
      <c r="G195" s="235">
        <v>45819</v>
      </c>
      <c r="H195" s="236">
        <v>711</v>
      </c>
      <c r="I195" s="236">
        <v>711</v>
      </c>
      <c r="J195" s="234" t="s">
        <v>4940</v>
      </c>
      <c r="K195" s="234" t="s">
        <v>2624</v>
      </c>
      <c r="L195" s="234" t="s">
        <v>4957</v>
      </c>
      <c r="M195" s="234" t="s">
        <v>4943</v>
      </c>
      <c r="N195" s="237">
        <v>711</v>
      </c>
      <c r="O195" s="238" t="s">
        <v>850</v>
      </c>
    </row>
    <row r="196" spans="1:15" ht="14.1">
      <c r="A196" s="251">
        <v>107484</v>
      </c>
      <c r="B196" s="234">
        <v>107484</v>
      </c>
      <c r="C196" s="234">
        <v>2025</v>
      </c>
      <c r="D196" s="234" t="s">
        <v>5277</v>
      </c>
      <c r="E196" s="235">
        <v>15189</v>
      </c>
      <c r="F196" s="235">
        <v>45819</v>
      </c>
      <c r="G196" s="235">
        <v>45819</v>
      </c>
      <c r="H196" s="236">
        <v>604</v>
      </c>
      <c r="I196" s="236">
        <v>604</v>
      </c>
      <c r="J196" s="234" t="s">
        <v>4940</v>
      </c>
      <c r="K196" s="234" t="s">
        <v>1543</v>
      </c>
      <c r="L196" s="239" t="s">
        <v>5084</v>
      </c>
      <c r="M196" s="234" t="s">
        <v>850</v>
      </c>
      <c r="N196" s="237">
        <v>604</v>
      </c>
      <c r="O196" s="238" t="s">
        <v>850</v>
      </c>
    </row>
    <row r="197" spans="1:15" ht="14.1">
      <c r="A197" s="251">
        <v>559349</v>
      </c>
      <c r="B197" s="234">
        <v>559349</v>
      </c>
      <c r="C197" s="234">
        <v>2025</v>
      </c>
      <c r="D197" s="234" t="s">
        <v>5278</v>
      </c>
      <c r="E197" s="235">
        <v>37168</v>
      </c>
      <c r="F197" s="235">
        <v>45818</v>
      </c>
      <c r="G197" s="235">
        <v>45828</v>
      </c>
      <c r="H197" s="236">
        <v>605</v>
      </c>
      <c r="I197" s="236">
        <v>605</v>
      </c>
      <c r="J197" s="234" t="s">
        <v>4940</v>
      </c>
      <c r="K197" s="234" t="s">
        <v>1543</v>
      </c>
      <c r="L197" s="239" t="s">
        <v>5084</v>
      </c>
      <c r="M197" s="234" t="s">
        <v>4943</v>
      </c>
      <c r="N197" s="237">
        <v>605</v>
      </c>
      <c r="O197" s="238" t="s">
        <v>850</v>
      </c>
    </row>
    <row r="198" spans="1:15" ht="69.599999999999994">
      <c r="A198" s="251">
        <v>6940473</v>
      </c>
      <c r="B198" s="234">
        <v>6940473</v>
      </c>
      <c r="C198" s="234">
        <v>2025</v>
      </c>
      <c r="D198" s="234" t="s">
        <v>5279</v>
      </c>
      <c r="E198" s="235">
        <v>15189</v>
      </c>
      <c r="F198" s="235">
        <v>45812</v>
      </c>
      <c r="G198" s="235">
        <v>45831</v>
      </c>
      <c r="H198" s="236">
        <v>417</v>
      </c>
      <c r="I198" s="236" t="s">
        <v>5280</v>
      </c>
      <c r="J198" s="234" t="s">
        <v>4940</v>
      </c>
      <c r="K198" s="234" t="s">
        <v>1543</v>
      </c>
      <c r="L198" s="234" t="s">
        <v>5237</v>
      </c>
      <c r="M198" s="234" t="s">
        <v>4943</v>
      </c>
      <c r="N198" s="237" t="s">
        <v>5281</v>
      </c>
      <c r="O198" s="238" t="s">
        <v>5282</v>
      </c>
    </row>
    <row r="199" spans="1:15" ht="14.1">
      <c r="A199" s="251">
        <v>371017</v>
      </c>
      <c r="B199" s="234">
        <v>371017</v>
      </c>
      <c r="C199" s="234">
        <v>2025</v>
      </c>
      <c r="D199" s="234" t="s">
        <v>5283</v>
      </c>
      <c r="E199" s="235">
        <v>32280</v>
      </c>
      <c r="F199" s="235">
        <v>45818</v>
      </c>
      <c r="G199" s="235">
        <v>45824</v>
      </c>
      <c r="H199" s="236">
        <v>703</v>
      </c>
      <c r="I199" s="236">
        <v>703</v>
      </c>
      <c r="J199" s="234" t="s">
        <v>4940</v>
      </c>
      <c r="K199" s="234" t="s">
        <v>2624</v>
      </c>
      <c r="L199" s="234" t="s">
        <v>4957</v>
      </c>
      <c r="M199" s="234" t="s">
        <v>4943</v>
      </c>
      <c r="N199" s="237">
        <v>703</v>
      </c>
      <c r="O199" s="238" t="s">
        <v>850</v>
      </c>
    </row>
    <row r="200" spans="1:15" ht="23.1">
      <c r="A200" s="251">
        <v>903370</v>
      </c>
      <c r="B200" s="234">
        <v>903370</v>
      </c>
      <c r="C200" s="234">
        <v>2025</v>
      </c>
      <c r="D200" s="234" t="s">
        <v>5284</v>
      </c>
      <c r="E200" s="235">
        <v>45064</v>
      </c>
      <c r="F200" s="235">
        <v>45811</v>
      </c>
      <c r="G200" s="235">
        <v>45915</v>
      </c>
      <c r="H200" s="236">
        <v>430</v>
      </c>
      <c r="I200" s="236" t="s">
        <v>5285</v>
      </c>
      <c r="J200" s="234" t="s">
        <v>4940</v>
      </c>
      <c r="K200" s="234" t="s">
        <v>2624</v>
      </c>
      <c r="L200" s="234" t="s">
        <v>5237</v>
      </c>
      <c r="M200" s="234" t="s">
        <v>4943</v>
      </c>
      <c r="N200" s="237" t="s">
        <v>5286</v>
      </c>
      <c r="O200" s="238" t="s">
        <v>850</v>
      </c>
    </row>
    <row r="201" spans="1:15" ht="14.1">
      <c r="A201" s="251">
        <v>390649</v>
      </c>
      <c r="B201" s="234">
        <v>390649</v>
      </c>
      <c r="C201" s="234">
        <v>2025</v>
      </c>
      <c r="D201" s="234" t="s">
        <v>5287</v>
      </c>
      <c r="E201" s="235">
        <v>16731</v>
      </c>
      <c r="F201" s="235">
        <v>45819</v>
      </c>
      <c r="G201" s="235">
        <v>45828</v>
      </c>
      <c r="H201" s="236">
        <v>106</v>
      </c>
      <c r="I201" s="236">
        <v>106</v>
      </c>
      <c r="J201" s="234" t="s">
        <v>4940</v>
      </c>
      <c r="K201" s="234" t="s">
        <v>1939</v>
      </c>
      <c r="L201" s="234" t="s">
        <v>4957</v>
      </c>
      <c r="M201" s="234" t="s">
        <v>4943</v>
      </c>
      <c r="N201" s="237">
        <v>106</v>
      </c>
      <c r="O201" s="238" t="s">
        <v>850</v>
      </c>
    </row>
    <row r="202" spans="1:15" ht="14.1">
      <c r="A202" s="251">
        <v>686841</v>
      </c>
      <c r="B202" s="234">
        <v>686841</v>
      </c>
      <c r="C202" s="234">
        <v>2025</v>
      </c>
      <c r="D202" s="234" t="s">
        <v>5288</v>
      </c>
      <c r="E202" s="235">
        <v>14126</v>
      </c>
      <c r="F202" s="235">
        <v>45815</v>
      </c>
      <c r="G202" s="235">
        <v>45828</v>
      </c>
      <c r="H202" s="236" t="s">
        <v>5289</v>
      </c>
      <c r="I202" s="236" t="s">
        <v>5289</v>
      </c>
      <c r="J202" s="234" t="s">
        <v>4940</v>
      </c>
      <c r="K202" s="234" t="s">
        <v>1939</v>
      </c>
      <c r="L202" s="234" t="s">
        <v>4957</v>
      </c>
      <c r="M202" s="234" t="s">
        <v>4943</v>
      </c>
      <c r="N202" s="237" t="s">
        <v>5289</v>
      </c>
      <c r="O202" s="238" t="s">
        <v>850</v>
      </c>
    </row>
    <row r="203" spans="1:15" ht="69.599999999999994">
      <c r="A203" s="251">
        <v>830000</v>
      </c>
      <c r="B203" s="234">
        <v>830000</v>
      </c>
      <c r="C203" s="234">
        <v>2025</v>
      </c>
      <c r="D203" s="234" t="s">
        <v>5290</v>
      </c>
      <c r="E203" s="235">
        <v>24490</v>
      </c>
      <c r="F203" s="235">
        <v>45827</v>
      </c>
      <c r="G203" s="235">
        <v>45838</v>
      </c>
      <c r="H203" s="236">
        <v>417</v>
      </c>
      <c r="I203" s="236">
        <v>417</v>
      </c>
      <c r="J203" s="234" t="s">
        <v>4940</v>
      </c>
      <c r="K203" s="234" t="s">
        <v>1543</v>
      </c>
      <c r="L203" s="234" t="s">
        <v>5237</v>
      </c>
      <c r="M203" s="234" t="s">
        <v>4943</v>
      </c>
      <c r="N203" s="237">
        <v>417</v>
      </c>
      <c r="O203" s="238" t="s">
        <v>5291</v>
      </c>
    </row>
    <row r="204" spans="1:15" ht="14.1">
      <c r="A204" s="251">
        <v>6961785</v>
      </c>
      <c r="B204" s="234">
        <v>6961785</v>
      </c>
      <c r="C204" s="234">
        <v>2025</v>
      </c>
      <c r="D204" s="234" t="s">
        <v>5292</v>
      </c>
      <c r="E204" s="235">
        <v>15954</v>
      </c>
      <c r="F204" s="235">
        <v>45825</v>
      </c>
      <c r="G204" s="235">
        <v>45842</v>
      </c>
      <c r="H204" s="236">
        <v>606</v>
      </c>
      <c r="I204" s="236" t="s">
        <v>5293</v>
      </c>
      <c r="J204" s="234" t="s">
        <v>4940</v>
      </c>
      <c r="K204" s="234" t="s">
        <v>1543</v>
      </c>
      <c r="L204" s="234" t="s">
        <v>5237</v>
      </c>
      <c r="M204" s="234" t="s">
        <v>4943</v>
      </c>
      <c r="N204" s="237" t="s">
        <v>5294</v>
      </c>
      <c r="O204" s="238" t="s">
        <v>850</v>
      </c>
    </row>
    <row r="205" spans="1:15" ht="14.1">
      <c r="A205" s="251">
        <v>890143</v>
      </c>
      <c r="B205" s="234">
        <v>890143</v>
      </c>
      <c r="C205" s="234">
        <v>2025</v>
      </c>
      <c r="D205" s="234" t="s">
        <v>5295</v>
      </c>
      <c r="E205" s="235">
        <v>41345</v>
      </c>
      <c r="F205" s="235">
        <v>45829</v>
      </c>
      <c r="G205" s="235">
        <v>45842</v>
      </c>
      <c r="H205" s="236">
        <v>432</v>
      </c>
      <c r="I205" s="236">
        <v>432</v>
      </c>
      <c r="J205" s="234" t="s">
        <v>4948</v>
      </c>
      <c r="K205" s="234" t="s">
        <v>2624</v>
      </c>
      <c r="L205" s="239" t="s">
        <v>5084</v>
      </c>
      <c r="M205" s="234" t="s">
        <v>4943</v>
      </c>
      <c r="N205" s="237">
        <v>432</v>
      </c>
      <c r="O205" s="238" t="s">
        <v>850</v>
      </c>
    </row>
    <row r="206" spans="1:15" ht="46.5">
      <c r="A206" s="251">
        <v>929206</v>
      </c>
      <c r="B206" s="234">
        <v>929206</v>
      </c>
      <c r="C206" s="234">
        <v>2025</v>
      </c>
      <c r="D206" s="234" t="s">
        <v>5296</v>
      </c>
      <c r="E206" s="235">
        <v>45831</v>
      </c>
      <c r="F206" s="235">
        <v>45828</v>
      </c>
      <c r="G206" s="235">
        <v>45915</v>
      </c>
      <c r="H206" s="236">
        <v>504</v>
      </c>
      <c r="I206" s="236">
        <v>504</v>
      </c>
      <c r="J206" s="234" t="s">
        <v>4940</v>
      </c>
      <c r="K206" s="234" t="s">
        <v>2624</v>
      </c>
      <c r="L206" s="239" t="s">
        <v>5084</v>
      </c>
      <c r="M206" s="234" t="s">
        <v>4943</v>
      </c>
      <c r="N206" s="237">
        <v>504</v>
      </c>
      <c r="O206" s="238" t="s">
        <v>5165</v>
      </c>
    </row>
    <row r="207" spans="1:15" ht="23.1">
      <c r="A207" s="251">
        <v>322330</v>
      </c>
      <c r="B207" s="234">
        <v>322330</v>
      </c>
      <c r="C207" s="234">
        <v>2025</v>
      </c>
      <c r="D207" s="234" t="s">
        <v>5297</v>
      </c>
      <c r="E207" s="235">
        <v>22148</v>
      </c>
      <c r="F207" s="235">
        <v>45812</v>
      </c>
      <c r="G207" s="235">
        <v>45856</v>
      </c>
      <c r="H207" s="236">
        <v>212</v>
      </c>
      <c r="I207" s="236" t="s">
        <v>5298</v>
      </c>
      <c r="J207" s="234" t="s">
        <v>4940</v>
      </c>
      <c r="K207" s="234" t="s">
        <v>1939</v>
      </c>
      <c r="L207" s="239" t="s">
        <v>5084</v>
      </c>
      <c r="M207" s="234" t="s">
        <v>4943</v>
      </c>
      <c r="N207" s="237" t="s">
        <v>5299</v>
      </c>
      <c r="O207" s="238" t="s">
        <v>850</v>
      </c>
    </row>
    <row r="208" spans="1:15" ht="14.1">
      <c r="A208" s="251">
        <v>329141</v>
      </c>
      <c r="B208" s="234">
        <v>329141</v>
      </c>
      <c r="C208" s="234">
        <v>2025</v>
      </c>
      <c r="D208" s="234" t="s">
        <v>5300</v>
      </c>
      <c r="E208" s="235">
        <v>20408</v>
      </c>
      <c r="F208" s="235">
        <v>45826</v>
      </c>
      <c r="G208" s="235">
        <v>45834</v>
      </c>
      <c r="H208" s="236">
        <v>111</v>
      </c>
      <c r="I208" s="236">
        <v>111</v>
      </c>
      <c r="J208" s="234" t="s">
        <v>4940</v>
      </c>
      <c r="K208" s="234" t="s">
        <v>1939</v>
      </c>
      <c r="L208" s="239" t="s">
        <v>5084</v>
      </c>
      <c r="M208" s="234" t="s">
        <v>850</v>
      </c>
      <c r="N208" s="237">
        <v>111</v>
      </c>
      <c r="O208" s="238" t="s">
        <v>850</v>
      </c>
    </row>
    <row r="209" spans="1:15" ht="14.1">
      <c r="A209" s="251">
        <v>444547</v>
      </c>
      <c r="B209" s="234">
        <v>444547</v>
      </c>
      <c r="C209" s="234">
        <v>2025</v>
      </c>
      <c r="D209" s="234" t="s">
        <v>5301</v>
      </c>
      <c r="E209" s="235">
        <v>15034</v>
      </c>
      <c r="F209" s="235">
        <v>45829</v>
      </c>
      <c r="G209" s="235">
        <v>45834</v>
      </c>
      <c r="H209" s="236" t="s">
        <v>5302</v>
      </c>
      <c r="I209" s="236" t="s">
        <v>5302</v>
      </c>
      <c r="J209" s="234" t="s">
        <v>4940</v>
      </c>
      <c r="K209" s="234" t="s">
        <v>1939</v>
      </c>
      <c r="L209" s="239" t="s">
        <v>5084</v>
      </c>
      <c r="M209" s="234" t="s">
        <v>850</v>
      </c>
      <c r="N209" s="237" t="s">
        <v>5302</v>
      </c>
      <c r="O209" s="238" t="s">
        <v>850</v>
      </c>
    </row>
    <row r="210" spans="1:15" ht="69.599999999999994">
      <c r="A210" s="251">
        <v>610</v>
      </c>
      <c r="B210" s="234">
        <v>610</v>
      </c>
      <c r="C210" s="234">
        <v>2025</v>
      </c>
      <c r="D210" s="234" t="s">
        <v>5303</v>
      </c>
      <c r="E210" s="235">
        <v>15189</v>
      </c>
      <c r="F210" s="235">
        <v>45832</v>
      </c>
      <c r="G210" s="235">
        <v>45834</v>
      </c>
      <c r="H210" s="236" t="s">
        <v>5304</v>
      </c>
      <c r="I210" s="236" t="s">
        <v>5304</v>
      </c>
      <c r="J210" s="234" t="s">
        <v>4940</v>
      </c>
      <c r="K210" s="234" t="s">
        <v>5305</v>
      </c>
      <c r="L210" s="239" t="s">
        <v>5084</v>
      </c>
      <c r="M210" s="234" t="s">
        <v>850</v>
      </c>
      <c r="N210" s="237" t="s">
        <v>5304</v>
      </c>
      <c r="O210" s="238" t="s">
        <v>5282</v>
      </c>
    </row>
    <row r="211" spans="1:15" ht="69.599999999999994">
      <c r="A211" s="251">
        <v>6975283</v>
      </c>
      <c r="B211" s="234">
        <v>6975283</v>
      </c>
      <c r="C211" s="234">
        <v>2025</v>
      </c>
      <c r="D211" s="234" t="s">
        <v>5303</v>
      </c>
      <c r="E211" s="235">
        <v>15189</v>
      </c>
      <c r="F211" s="235">
        <v>45832</v>
      </c>
      <c r="G211" s="235">
        <v>45852</v>
      </c>
      <c r="H211" s="236" t="s">
        <v>5304</v>
      </c>
      <c r="I211" s="236" t="s">
        <v>5304</v>
      </c>
      <c r="J211" s="234" t="s">
        <v>4940</v>
      </c>
      <c r="K211" s="234" t="s">
        <v>5305</v>
      </c>
      <c r="L211" s="239" t="s">
        <v>5084</v>
      </c>
      <c r="M211" s="234" t="s">
        <v>4943</v>
      </c>
      <c r="N211" s="237" t="s">
        <v>5306</v>
      </c>
      <c r="O211" s="238" t="s">
        <v>5282</v>
      </c>
    </row>
    <row r="212" spans="1:15" ht="14.1">
      <c r="A212" s="251">
        <v>6980674</v>
      </c>
      <c r="B212" s="234">
        <v>6980674</v>
      </c>
      <c r="C212" s="234">
        <v>2025</v>
      </c>
      <c r="D212" s="234" t="s">
        <v>5307</v>
      </c>
      <c r="E212" s="235">
        <v>11365</v>
      </c>
      <c r="F212" s="235">
        <v>45835</v>
      </c>
      <c r="G212" s="235">
        <v>45852</v>
      </c>
      <c r="H212" s="236">
        <v>315</v>
      </c>
      <c r="I212" s="236">
        <v>315</v>
      </c>
      <c r="J212" s="234" t="s">
        <v>4940</v>
      </c>
      <c r="K212" s="234" t="s">
        <v>1543</v>
      </c>
      <c r="L212" s="239" t="s">
        <v>5084</v>
      </c>
      <c r="M212" s="234" t="s">
        <v>4943</v>
      </c>
      <c r="N212" s="237">
        <v>315</v>
      </c>
      <c r="O212" s="238" t="s">
        <v>850</v>
      </c>
    </row>
    <row r="213" spans="1:15" ht="14.1">
      <c r="A213" s="251">
        <v>930192</v>
      </c>
      <c r="B213" s="234">
        <v>930192</v>
      </c>
      <c r="C213" s="234">
        <v>2025</v>
      </c>
      <c r="D213" s="234" t="s">
        <v>5308</v>
      </c>
      <c r="E213" s="235">
        <v>34592</v>
      </c>
      <c r="F213" s="235">
        <v>45840</v>
      </c>
      <c r="G213" s="235">
        <v>45842</v>
      </c>
      <c r="H213" s="236">
        <v>706</v>
      </c>
      <c r="I213" s="236">
        <v>706</v>
      </c>
      <c r="J213" s="234" t="s">
        <v>4940</v>
      </c>
      <c r="K213" s="234" t="s">
        <v>2624</v>
      </c>
      <c r="L213" s="234" t="s">
        <v>4957</v>
      </c>
      <c r="M213" s="234" t="s">
        <v>4943</v>
      </c>
      <c r="N213" s="237">
        <v>706</v>
      </c>
      <c r="O213" s="238" t="s">
        <v>850</v>
      </c>
    </row>
    <row r="214" spans="1:15" ht="46.5">
      <c r="A214" s="251">
        <v>98739</v>
      </c>
      <c r="B214" s="234">
        <v>98739</v>
      </c>
      <c r="C214" s="234">
        <v>2025</v>
      </c>
      <c r="D214" s="234" t="s">
        <v>5309</v>
      </c>
      <c r="E214" s="235">
        <v>27560</v>
      </c>
      <c r="F214" s="235">
        <v>45838</v>
      </c>
      <c r="G214" s="235">
        <v>45875</v>
      </c>
      <c r="H214" s="236" t="s">
        <v>5310</v>
      </c>
      <c r="I214" s="236" t="s">
        <v>5311</v>
      </c>
      <c r="J214" s="234" t="s">
        <v>4940</v>
      </c>
      <c r="K214" s="234" t="s">
        <v>5312</v>
      </c>
      <c r="L214" s="234" t="s">
        <v>4957</v>
      </c>
      <c r="M214" s="234" t="s">
        <v>4943</v>
      </c>
      <c r="N214" s="237" t="s">
        <v>5313</v>
      </c>
      <c r="O214" s="238" t="s">
        <v>5314</v>
      </c>
    </row>
    <row r="215" spans="1:15" ht="14.1">
      <c r="A215" s="251">
        <v>6979269</v>
      </c>
      <c r="B215" s="234">
        <v>6979269</v>
      </c>
      <c r="C215" s="234">
        <v>2025</v>
      </c>
      <c r="D215" s="234" t="s">
        <v>5315</v>
      </c>
      <c r="E215" s="235">
        <v>16247</v>
      </c>
      <c r="F215" s="235">
        <v>45834</v>
      </c>
      <c r="G215" s="235">
        <v>45852</v>
      </c>
      <c r="H215" s="236" t="s">
        <v>5316</v>
      </c>
      <c r="I215" s="236" t="s">
        <v>5316</v>
      </c>
      <c r="J215" s="234" t="s">
        <v>4940</v>
      </c>
      <c r="K215" s="234" t="s">
        <v>5317</v>
      </c>
      <c r="L215" s="234" t="s">
        <v>5318</v>
      </c>
      <c r="M215" s="234" t="s">
        <v>4943</v>
      </c>
      <c r="N215" s="237" t="s">
        <v>5319</v>
      </c>
      <c r="O215" s="238" t="s">
        <v>850</v>
      </c>
    </row>
    <row r="216" spans="1:15" ht="81">
      <c r="A216" s="251">
        <v>335635</v>
      </c>
      <c r="B216" s="234">
        <v>335635</v>
      </c>
      <c r="C216" s="234">
        <v>2025</v>
      </c>
      <c r="D216" s="234" t="s">
        <v>5320</v>
      </c>
      <c r="E216" s="235">
        <v>45999</v>
      </c>
      <c r="F216" s="235">
        <v>45838</v>
      </c>
      <c r="G216" s="235">
        <v>45845</v>
      </c>
      <c r="H216" s="236" t="s">
        <v>5321</v>
      </c>
      <c r="I216" s="236" t="s">
        <v>5321</v>
      </c>
      <c r="J216" s="234" t="s">
        <v>4940</v>
      </c>
      <c r="K216" s="234" t="s">
        <v>1939</v>
      </c>
      <c r="L216" s="239" t="s">
        <v>5084</v>
      </c>
      <c r="M216" s="234" t="s">
        <v>850</v>
      </c>
      <c r="N216" s="237" t="s">
        <v>5321</v>
      </c>
      <c r="O216" s="238" t="s">
        <v>5213</v>
      </c>
    </row>
    <row r="217" spans="1:15" ht="34.5">
      <c r="A217" s="251">
        <v>357599</v>
      </c>
      <c r="B217" s="234">
        <v>357599</v>
      </c>
      <c r="C217" s="234">
        <v>2025</v>
      </c>
      <c r="D217" s="234" t="s">
        <v>5322</v>
      </c>
      <c r="E217" s="235">
        <v>22381</v>
      </c>
      <c r="F217" s="235">
        <v>45838</v>
      </c>
      <c r="G217" s="235">
        <v>45867</v>
      </c>
      <c r="H217" s="236">
        <v>111</v>
      </c>
      <c r="I217" s="236">
        <v>337</v>
      </c>
      <c r="J217" s="234" t="s">
        <v>5023</v>
      </c>
      <c r="K217" s="234" t="s">
        <v>1996</v>
      </c>
      <c r="L217" s="239" t="s">
        <v>5084</v>
      </c>
      <c r="M217" s="234" t="s">
        <v>4943</v>
      </c>
      <c r="N217" s="237" t="s">
        <v>5323</v>
      </c>
      <c r="O217" s="238" t="s">
        <v>850</v>
      </c>
    </row>
    <row r="218" spans="1:15" ht="14.1">
      <c r="A218" s="251">
        <v>366445</v>
      </c>
      <c r="B218" s="234">
        <v>366445</v>
      </c>
      <c r="C218" s="234">
        <v>2025</v>
      </c>
      <c r="D218" s="234" t="s">
        <v>5324</v>
      </c>
      <c r="E218" s="235">
        <v>32330</v>
      </c>
      <c r="F218" s="235">
        <v>45848</v>
      </c>
      <c r="G218" s="235">
        <v>45852</v>
      </c>
      <c r="H218" s="236">
        <v>707</v>
      </c>
      <c r="I218" s="236">
        <v>707</v>
      </c>
      <c r="J218" s="234" t="s">
        <v>4940</v>
      </c>
      <c r="K218" s="234" t="s">
        <v>2624</v>
      </c>
      <c r="L218" s="239" t="s">
        <v>5084</v>
      </c>
      <c r="M218" s="234" t="s">
        <v>4943</v>
      </c>
      <c r="N218" s="237">
        <v>707</v>
      </c>
      <c r="O218" s="238" t="s">
        <v>850</v>
      </c>
    </row>
    <row r="219" spans="1:15" ht="14.1">
      <c r="A219" s="251">
        <v>52004</v>
      </c>
      <c r="B219" s="234">
        <v>52004</v>
      </c>
      <c r="C219" s="234">
        <v>2025</v>
      </c>
      <c r="D219" s="234" t="s">
        <v>5325</v>
      </c>
      <c r="E219" s="235">
        <v>26939</v>
      </c>
      <c r="F219" s="235">
        <v>45833</v>
      </c>
      <c r="G219" s="235">
        <v>45848</v>
      </c>
      <c r="H219" s="236">
        <v>301</v>
      </c>
      <c r="I219" s="236">
        <v>301</v>
      </c>
      <c r="J219" s="234" t="s">
        <v>4940</v>
      </c>
      <c r="K219" s="234" t="s">
        <v>1939</v>
      </c>
      <c r="L219" s="239" t="s">
        <v>5084</v>
      </c>
      <c r="M219" s="234" t="s">
        <v>850</v>
      </c>
      <c r="N219" s="237">
        <v>301</v>
      </c>
      <c r="O219" s="238" t="s">
        <v>850</v>
      </c>
    </row>
    <row r="220" spans="1:15" ht="46.5">
      <c r="A220" s="251">
        <v>749302</v>
      </c>
      <c r="B220" s="234">
        <v>749302</v>
      </c>
      <c r="C220" s="234">
        <v>2025</v>
      </c>
      <c r="D220" s="234" t="s">
        <v>5326</v>
      </c>
      <c r="E220" s="235">
        <v>18732</v>
      </c>
      <c r="F220" s="235">
        <v>45846</v>
      </c>
      <c r="G220" s="235">
        <v>45848</v>
      </c>
      <c r="H220" s="236" t="s">
        <v>5327</v>
      </c>
      <c r="I220" s="236" t="s">
        <v>5327</v>
      </c>
      <c r="J220" s="234" t="s">
        <v>4948</v>
      </c>
      <c r="K220" s="234" t="s">
        <v>5328</v>
      </c>
      <c r="L220" s="239" t="s">
        <v>5084</v>
      </c>
      <c r="M220" s="234" t="s">
        <v>850</v>
      </c>
      <c r="N220" s="237" t="s">
        <v>5327</v>
      </c>
      <c r="O220" s="238" t="s">
        <v>5081</v>
      </c>
    </row>
    <row r="221" spans="1:15" ht="14.1">
      <c r="A221" s="251">
        <v>801563</v>
      </c>
      <c r="B221" s="234">
        <v>801563</v>
      </c>
      <c r="C221" s="234">
        <v>2025</v>
      </c>
      <c r="D221" s="234" t="s">
        <v>5329</v>
      </c>
      <c r="E221" s="235">
        <v>19684</v>
      </c>
      <c r="F221" s="235">
        <v>45838</v>
      </c>
      <c r="G221" s="235">
        <v>45848</v>
      </c>
      <c r="H221" s="236">
        <v>106</v>
      </c>
      <c r="I221" s="236">
        <v>106</v>
      </c>
      <c r="J221" s="234" t="s">
        <v>4940</v>
      </c>
      <c r="K221" s="234" t="s">
        <v>1939</v>
      </c>
      <c r="L221" s="234" t="s">
        <v>5237</v>
      </c>
      <c r="M221" s="234"/>
      <c r="N221" s="237">
        <v>106</v>
      </c>
      <c r="O221" s="238" t="s">
        <v>850</v>
      </c>
    </row>
    <row r="222" spans="1:15" ht="14.1">
      <c r="A222" s="251">
        <v>931191</v>
      </c>
      <c r="B222" s="234">
        <v>931191</v>
      </c>
      <c r="C222" s="234">
        <v>2025</v>
      </c>
      <c r="D222" s="234" t="s">
        <v>5330</v>
      </c>
      <c r="E222" s="235">
        <v>40368</v>
      </c>
      <c r="F222" s="235">
        <v>45847</v>
      </c>
      <c r="G222" s="235">
        <v>45848</v>
      </c>
      <c r="H222" s="236">
        <v>114</v>
      </c>
      <c r="I222" s="236">
        <v>114</v>
      </c>
      <c r="J222" s="234" t="s">
        <v>4940</v>
      </c>
      <c r="K222" s="234" t="s">
        <v>1939</v>
      </c>
      <c r="L222" s="239" t="s">
        <v>5084</v>
      </c>
      <c r="M222" s="234" t="s">
        <v>4943</v>
      </c>
      <c r="N222" s="237">
        <v>114</v>
      </c>
      <c r="O222" s="238" t="s">
        <v>850</v>
      </c>
    </row>
    <row r="223" spans="1:15" ht="14.1">
      <c r="A223" s="251">
        <v>931044</v>
      </c>
      <c r="B223" s="234">
        <v>931044</v>
      </c>
      <c r="C223" s="234">
        <v>2025</v>
      </c>
      <c r="D223" s="234" t="s">
        <v>5331</v>
      </c>
      <c r="E223" s="235">
        <v>37546</v>
      </c>
      <c r="F223" s="235">
        <v>45846</v>
      </c>
      <c r="G223" s="235">
        <v>45855</v>
      </c>
      <c r="H223" s="236">
        <v>709</v>
      </c>
      <c r="I223" s="236">
        <v>709</v>
      </c>
      <c r="J223" s="234" t="s">
        <v>4940</v>
      </c>
      <c r="K223" s="234" t="s">
        <v>2624</v>
      </c>
      <c r="L223" s="239" t="s">
        <v>5084</v>
      </c>
      <c r="M223" s="234" t="s">
        <v>850</v>
      </c>
      <c r="N223" s="237">
        <v>709</v>
      </c>
      <c r="O223" s="238" t="s">
        <v>850</v>
      </c>
    </row>
    <row r="224" spans="1:15" ht="14.1">
      <c r="A224" s="251">
        <v>19343</v>
      </c>
      <c r="B224" s="234">
        <v>19343</v>
      </c>
      <c r="C224" s="234">
        <v>2025</v>
      </c>
      <c r="D224" s="234" t="s">
        <v>5332</v>
      </c>
      <c r="E224" s="235">
        <v>19344</v>
      </c>
      <c r="F224" s="235">
        <v>45841</v>
      </c>
      <c r="G224" s="235">
        <v>45877</v>
      </c>
      <c r="H224" s="236" t="s">
        <v>5333</v>
      </c>
      <c r="I224" s="236" t="s">
        <v>5333</v>
      </c>
      <c r="J224" s="234" t="s">
        <v>4948</v>
      </c>
      <c r="K224" s="234" t="s">
        <v>1543</v>
      </c>
      <c r="L224" s="239" t="s">
        <v>5084</v>
      </c>
      <c r="M224" s="234" t="s">
        <v>4950</v>
      </c>
      <c r="N224" s="237" t="s">
        <v>5333</v>
      </c>
      <c r="O224" s="238" t="s">
        <v>850</v>
      </c>
    </row>
    <row r="225" spans="1:15" ht="14.1">
      <c r="A225" s="251">
        <v>655295</v>
      </c>
      <c r="B225" s="234">
        <v>655295</v>
      </c>
      <c r="C225" s="234">
        <v>2025</v>
      </c>
      <c r="D225" s="234" t="s">
        <v>5334</v>
      </c>
      <c r="E225" s="235">
        <v>16115</v>
      </c>
      <c r="F225" s="235">
        <v>45828</v>
      </c>
      <c r="G225" s="235">
        <v>45925</v>
      </c>
      <c r="H225" s="236">
        <v>812</v>
      </c>
      <c r="I225" s="236">
        <v>812</v>
      </c>
      <c r="J225" s="234" t="s">
        <v>4940</v>
      </c>
      <c r="K225" s="234" t="s">
        <v>1939</v>
      </c>
      <c r="L225" s="239" t="s">
        <v>5084</v>
      </c>
      <c r="M225" s="234" t="s">
        <v>4943</v>
      </c>
      <c r="N225" s="237">
        <v>812</v>
      </c>
      <c r="O225" s="238" t="s">
        <v>850</v>
      </c>
    </row>
    <row r="226" spans="1:15" ht="14.1">
      <c r="A226" s="251">
        <v>7011201</v>
      </c>
      <c r="B226" s="234">
        <v>7011201</v>
      </c>
      <c r="C226" s="234">
        <v>2025</v>
      </c>
      <c r="D226" s="234" t="s">
        <v>5335</v>
      </c>
      <c r="E226" s="235">
        <v>31755</v>
      </c>
      <c r="F226" s="235">
        <v>45854</v>
      </c>
      <c r="G226" s="235">
        <v>45861</v>
      </c>
      <c r="H226" s="236">
        <v>610</v>
      </c>
      <c r="I226" s="236">
        <v>610</v>
      </c>
      <c r="J226" s="234" t="s">
        <v>4940</v>
      </c>
      <c r="K226" s="234" t="s">
        <v>1543</v>
      </c>
      <c r="L226" s="234" t="s">
        <v>5089</v>
      </c>
      <c r="M226" s="234" t="s">
        <v>4943</v>
      </c>
      <c r="N226" s="237">
        <v>610</v>
      </c>
      <c r="O226" s="238" t="s">
        <v>850</v>
      </c>
    </row>
    <row r="227" spans="1:15" ht="14.1">
      <c r="A227" s="251">
        <v>931136</v>
      </c>
      <c r="B227" s="234">
        <v>931136</v>
      </c>
      <c r="C227" s="234">
        <v>2025</v>
      </c>
      <c r="D227" s="234" t="s">
        <v>5331</v>
      </c>
      <c r="E227" s="235">
        <v>45847</v>
      </c>
      <c r="F227" s="235">
        <v>45849</v>
      </c>
      <c r="G227" s="235">
        <v>45861</v>
      </c>
      <c r="H227" s="236">
        <v>507</v>
      </c>
      <c r="I227" s="236">
        <v>507</v>
      </c>
      <c r="J227" s="234" t="s">
        <v>4940</v>
      </c>
      <c r="K227" s="234" t="s">
        <v>2624</v>
      </c>
      <c r="L227" s="239" t="s">
        <v>5084</v>
      </c>
      <c r="M227" s="234" t="s">
        <v>4943</v>
      </c>
      <c r="N227" s="237">
        <v>507</v>
      </c>
      <c r="O227" s="238" t="s">
        <v>850</v>
      </c>
    </row>
    <row r="228" spans="1:15" ht="14.1">
      <c r="A228" s="251">
        <v>467127</v>
      </c>
      <c r="B228" s="234">
        <v>467127</v>
      </c>
      <c r="C228" s="234">
        <v>2025</v>
      </c>
      <c r="D228" s="234" t="s">
        <v>5336</v>
      </c>
      <c r="E228" s="235">
        <v>41884</v>
      </c>
      <c r="F228" s="235">
        <v>45861</v>
      </c>
      <c r="G228" s="235">
        <v>45873</v>
      </c>
      <c r="H228" s="236" t="s">
        <v>5139</v>
      </c>
      <c r="I228" s="236" t="s">
        <v>5139</v>
      </c>
      <c r="J228" s="234" t="s">
        <v>4940</v>
      </c>
      <c r="K228" s="234" t="s">
        <v>2624</v>
      </c>
      <c r="L228" s="239" t="s">
        <v>5084</v>
      </c>
      <c r="M228" s="234" t="s">
        <v>4943</v>
      </c>
      <c r="N228" s="237" t="s">
        <v>5139</v>
      </c>
      <c r="O228" s="238" t="s">
        <v>850</v>
      </c>
    </row>
    <row r="229" spans="1:15" ht="14.1">
      <c r="A229" s="251">
        <v>581881</v>
      </c>
      <c r="B229" s="234">
        <v>581881</v>
      </c>
      <c r="C229" s="234">
        <v>2025</v>
      </c>
      <c r="D229" s="234" t="s">
        <v>5337</v>
      </c>
      <c r="E229" s="235">
        <v>30280</v>
      </c>
      <c r="F229" s="235">
        <v>45861</v>
      </c>
      <c r="G229" s="235">
        <v>45873</v>
      </c>
      <c r="H229" s="236">
        <v>703</v>
      </c>
      <c r="I229" s="236">
        <v>703</v>
      </c>
      <c r="J229" s="234" t="s">
        <v>4940</v>
      </c>
      <c r="K229" s="234" t="s">
        <v>2624</v>
      </c>
      <c r="L229" s="239" t="s">
        <v>5084</v>
      </c>
      <c r="M229" s="234" t="s">
        <v>4943</v>
      </c>
      <c r="N229" s="237">
        <v>703</v>
      </c>
      <c r="O229" s="238" t="s">
        <v>850</v>
      </c>
    </row>
    <row r="230" spans="1:15" ht="14.1">
      <c r="A230" s="251">
        <v>13388</v>
      </c>
      <c r="B230" s="234">
        <v>13388</v>
      </c>
      <c r="C230" s="234">
        <v>2025</v>
      </c>
      <c r="D230" s="234" t="s">
        <v>5338</v>
      </c>
      <c r="E230" s="235">
        <v>19505</v>
      </c>
      <c r="F230" s="235">
        <v>45867</v>
      </c>
      <c r="G230" s="235">
        <v>45868</v>
      </c>
      <c r="H230" s="236">
        <v>608</v>
      </c>
      <c r="I230" s="236">
        <v>608</v>
      </c>
      <c r="J230" s="234" t="s">
        <v>4948</v>
      </c>
      <c r="K230" s="234" t="s">
        <v>1543</v>
      </c>
      <c r="L230" s="239" t="s">
        <v>5084</v>
      </c>
      <c r="M230" s="234" t="s">
        <v>4950</v>
      </c>
      <c r="N230" s="237">
        <v>608</v>
      </c>
      <c r="O230" s="238" t="s">
        <v>850</v>
      </c>
    </row>
    <row r="231" spans="1:15" ht="14.1">
      <c r="A231" s="251">
        <v>933808</v>
      </c>
      <c r="B231" s="234">
        <v>933808</v>
      </c>
      <c r="C231" s="234">
        <v>2025</v>
      </c>
      <c r="D231" s="234" t="s">
        <v>5339</v>
      </c>
      <c r="E231" s="235">
        <v>43758</v>
      </c>
      <c r="F231" s="235">
        <v>45871</v>
      </c>
      <c r="G231" s="235">
        <v>45938</v>
      </c>
      <c r="H231" s="236">
        <v>434</v>
      </c>
      <c r="I231" s="236">
        <v>434</v>
      </c>
      <c r="J231" s="234" t="s">
        <v>4940</v>
      </c>
      <c r="K231" s="234" t="s">
        <v>3176</v>
      </c>
      <c r="L231" s="239" t="s">
        <v>5084</v>
      </c>
      <c r="M231" s="234" t="s">
        <v>850</v>
      </c>
      <c r="N231" s="237">
        <v>434</v>
      </c>
      <c r="O231" s="238" t="s">
        <v>850</v>
      </c>
    </row>
    <row r="232" spans="1:15" ht="14.1">
      <c r="A232" s="251">
        <v>7045143</v>
      </c>
      <c r="B232" s="234">
        <v>7045143</v>
      </c>
      <c r="C232" s="234">
        <v>2025</v>
      </c>
      <c r="D232" s="234" t="s">
        <v>5340</v>
      </c>
      <c r="E232" s="235">
        <v>27041</v>
      </c>
      <c r="F232" s="235">
        <v>45871</v>
      </c>
      <c r="G232" s="235">
        <v>45911</v>
      </c>
      <c r="H232" s="236">
        <v>315</v>
      </c>
      <c r="I232" s="236">
        <v>315</v>
      </c>
      <c r="J232" s="234" t="s">
        <v>4940</v>
      </c>
      <c r="K232" s="234" t="s">
        <v>1543</v>
      </c>
      <c r="L232" s="234" t="s">
        <v>5237</v>
      </c>
      <c r="M232" s="234" t="s">
        <v>4943</v>
      </c>
      <c r="N232" s="237">
        <v>315</v>
      </c>
      <c r="O232" s="238" t="s">
        <v>850</v>
      </c>
    </row>
    <row r="233" spans="1:15" ht="14.1">
      <c r="A233" s="251">
        <v>197010</v>
      </c>
      <c r="B233" s="234">
        <v>197010</v>
      </c>
      <c r="C233" s="234">
        <v>2025</v>
      </c>
      <c r="D233" s="234" t="s">
        <v>5341</v>
      </c>
      <c r="E233" s="235">
        <v>30882</v>
      </c>
      <c r="F233" s="235">
        <v>45882</v>
      </c>
      <c r="G233" s="235">
        <v>45887</v>
      </c>
      <c r="H233" s="236">
        <v>416</v>
      </c>
      <c r="I233" s="236">
        <v>416</v>
      </c>
      <c r="J233" s="234" t="s">
        <v>4940</v>
      </c>
      <c r="K233" s="234" t="s">
        <v>1543</v>
      </c>
      <c r="L233" s="239" t="s">
        <v>5084</v>
      </c>
      <c r="M233" s="234" t="s">
        <v>4943</v>
      </c>
      <c r="N233" s="237">
        <v>416</v>
      </c>
      <c r="O233" s="238" t="s">
        <v>850</v>
      </c>
    </row>
    <row r="234" spans="1:15" ht="14.1">
      <c r="A234" s="251">
        <v>334129</v>
      </c>
      <c r="B234" s="234">
        <v>334129</v>
      </c>
      <c r="C234" s="234">
        <v>2025</v>
      </c>
      <c r="D234" s="234" t="s">
        <v>5342</v>
      </c>
      <c r="E234" s="235">
        <v>31502</v>
      </c>
      <c r="F234" s="235">
        <v>45881</v>
      </c>
      <c r="G234" s="235">
        <v>45891</v>
      </c>
      <c r="H234" s="236">
        <v>711</v>
      </c>
      <c r="I234" s="236">
        <v>711</v>
      </c>
      <c r="J234" s="234" t="s">
        <v>4940</v>
      </c>
      <c r="K234" s="234" t="s">
        <v>2624</v>
      </c>
      <c r="L234" s="239" t="s">
        <v>5084</v>
      </c>
      <c r="M234" s="234" t="s">
        <v>4943</v>
      </c>
      <c r="N234" s="237">
        <v>711</v>
      </c>
      <c r="O234" s="238" t="s">
        <v>850</v>
      </c>
    </row>
    <row r="235" spans="1:15" ht="14.1">
      <c r="A235" s="251">
        <v>396771</v>
      </c>
      <c r="B235" s="234">
        <v>396771</v>
      </c>
      <c r="C235" s="234">
        <v>2025</v>
      </c>
      <c r="D235" s="234" t="s">
        <v>5343</v>
      </c>
      <c r="E235" s="235">
        <v>28659</v>
      </c>
      <c r="F235" s="235">
        <v>45872</v>
      </c>
      <c r="G235" s="235">
        <v>45915</v>
      </c>
      <c r="H235" s="236">
        <v>704</v>
      </c>
      <c r="I235" s="236">
        <v>704</v>
      </c>
      <c r="J235" s="234" t="s">
        <v>4948</v>
      </c>
      <c r="K235" s="234" t="s">
        <v>2624</v>
      </c>
      <c r="L235" s="239" t="s">
        <v>5084</v>
      </c>
      <c r="M235" s="234" t="s">
        <v>4943</v>
      </c>
      <c r="N235" s="237" t="s">
        <v>5344</v>
      </c>
      <c r="O235" s="238" t="s">
        <v>850</v>
      </c>
    </row>
    <row r="236" spans="1:15" ht="57.95">
      <c r="A236" s="251">
        <v>0</v>
      </c>
      <c r="B236" s="234">
        <v>0</v>
      </c>
      <c r="C236" s="234">
        <v>2025</v>
      </c>
      <c r="D236" s="234" t="s">
        <v>5345</v>
      </c>
      <c r="E236" s="234">
        <v>0</v>
      </c>
      <c r="F236" s="235">
        <v>45887</v>
      </c>
      <c r="G236" s="235">
        <v>45891</v>
      </c>
      <c r="H236" s="236">
        <v>305</v>
      </c>
      <c r="I236" s="236">
        <v>305</v>
      </c>
      <c r="J236" s="234" t="s">
        <v>4940</v>
      </c>
      <c r="K236" s="234" t="s">
        <v>850</v>
      </c>
      <c r="L236" s="234" t="s">
        <v>5237</v>
      </c>
      <c r="M236" s="234" t="s">
        <v>4943</v>
      </c>
      <c r="N236" s="237">
        <v>305</v>
      </c>
      <c r="O236" s="238" t="s">
        <v>4966</v>
      </c>
    </row>
    <row r="237" spans="1:15" ht="46.5">
      <c r="A237" s="251">
        <v>98739</v>
      </c>
      <c r="B237" s="234">
        <v>98739</v>
      </c>
      <c r="C237" s="234">
        <v>2025</v>
      </c>
      <c r="D237" s="234" t="s">
        <v>5309</v>
      </c>
      <c r="E237" s="235">
        <v>16603</v>
      </c>
      <c r="F237" s="235">
        <v>45875</v>
      </c>
      <c r="G237" s="235">
        <v>45936</v>
      </c>
      <c r="H237" s="236">
        <v>810</v>
      </c>
      <c r="I237" s="236" t="s">
        <v>5346</v>
      </c>
      <c r="J237" s="234" t="s">
        <v>4940</v>
      </c>
      <c r="K237" s="234" t="s">
        <v>2700</v>
      </c>
      <c r="L237" s="234" t="s">
        <v>5237</v>
      </c>
      <c r="M237" s="234"/>
      <c r="N237" s="237" t="s">
        <v>5347</v>
      </c>
      <c r="O237" s="238" t="s">
        <v>5314</v>
      </c>
    </row>
    <row r="238" spans="1:15" ht="14.1">
      <c r="A238" s="251">
        <v>23817</v>
      </c>
      <c r="B238" s="234">
        <v>23817</v>
      </c>
      <c r="C238" s="234">
        <v>2025</v>
      </c>
      <c r="D238" s="234" t="s">
        <v>5348</v>
      </c>
      <c r="E238" s="235">
        <v>15330</v>
      </c>
      <c r="F238" s="235">
        <v>45868</v>
      </c>
      <c r="G238" s="235">
        <v>45891</v>
      </c>
      <c r="H238" s="236">
        <v>303</v>
      </c>
      <c r="I238" s="236">
        <v>303</v>
      </c>
      <c r="J238" s="234" t="s">
        <v>4940</v>
      </c>
      <c r="K238" s="234" t="s">
        <v>2700</v>
      </c>
      <c r="L238" s="239" t="s">
        <v>5084</v>
      </c>
      <c r="M238" s="234" t="s">
        <v>850</v>
      </c>
      <c r="N238" s="237">
        <v>303</v>
      </c>
      <c r="O238" s="238" t="s">
        <v>850</v>
      </c>
    </row>
    <row r="239" spans="1:15" ht="14.1">
      <c r="A239" s="251">
        <v>935271</v>
      </c>
      <c r="B239" s="234">
        <v>935271</v>
      </c>
      <c r="C239" s="234">
        <v>2025</v>
      </c>
      <c r="D239" s="234" t="s">
        <v>5349</v>
      </c>
      <c r="E239" s="235">
        <v>45884</v>
      </c>
      <c r="F239" s="235">
        <v>45884</v>
      </c>
      <c r="G239" s="235">
        <v>45915</v>
      </c>
      <c r="H239" s="236">
        <v>714</v>
      </c>
      <c r="I239" s="236">
        <v>714</v>
      </c>
      <c r="J239" s="234" t="s">
        <v>4940</v>
      </c>
      <c r="K239" s="234" t="s">
        <v>2624</v>
      </c>
      <c r="L239" s="239" t="s">
        <v>5084</v>
      </c>
      <c r="M239" s="234" t="s">
        <v>4943</v>
      </c>
      <c r="N239" s="237">
        <v>714</v>
      </c>
      <c r="O239" s="238" t="s">
        <v>850</v>
      </c>
    </row>
    <row r="240" spans="1:15" ht="46.5">
      <c r="A240" s="251">
        <v>935919</v>
      </c>
      <c r="B240" s="234">
        <v>935919</v>
      </c>
      <c r="C240" s="234">
        <v>2025</v>
      </c>
      <c r="D240" s="234" t="s">
        <v>5350</v>
      </c>
      <c r="E240" s="235">
        <v>45889</v>
      </c>
      <c r="F240" s="235">
        <v>45889</v>
      </c>
      <c r="G240" s="235">
        <v>45972</v>
      </c>
      <c r="H240" s="236">
        <v>502</v>
      </c>
      <c r="I240" s="236">
        <v>502</v>
      </c>
      <c r="J240" s="234" t="s">
        <v>4948</v>
      </c>
      <c r="K240" s="234" t="s">
        <v>3176</v>
      </c>
      <c r="L240" s="239" t="s">
        <v>5084</v>
      </c>
      <c r="M240" s="234" t="s">
        <v>4950</v>
      </c>
      <c r="N240" s="237">
        <v>502</v>
      </c>
      <c r="O240" s="238" t="s">
        <v>5081</v>
      </c>
    </row>
    <row r="241" spans="1:15" ht="69.599999999999994">
      <c r="A241" s="251">
        <v>7045923</v>
      </c>
      <c r="B241" s="234">
        <v>7045923</v>
      </c>
      <c r="C241" s="234">
        <v>2025</v>
      </c>
      <c r="D241" s="234" t="s">
        <v>5351</v>
      </c>
      <c r="E241" s="235">
        <v>13655</v>
      </c>
      <c r="F241" s="235">
        <v>45895</v>
      </c>
      <c r="G241" s="235">
        <v>45925</v>
      </c>
      <c r="H241" s="236">
        <v>808</v>
      </c>
      <c r="I241" s="236">
        <v>802</v>
      </c>
      <c r="J241" s="234" t="s">
        <v>4940</v>
      </c>
      <c r="K241" s="234" t="s">
        <v>2700</v>
      </c>
      <c r="L241" s="239" t="s">
        <v>5084</v>
      </c>
      <c r="M241" s="234" t="s">
        <v>850</v>
      </c>
      <c r="N241" s="237" t="s">
        <v>5352</v>
      </c>
      <c r="O241" s="238" t="s">
        <v>5353</v>
      </c>
    </row>
    <row r="242" spans="1:15" ht="69.599999999999994">
      <c r="A242" s="251">
        <v>88976</v>
      </c>
      <c r="B242" s="234">
        <v>88976</v>
      </c>
      <c r="C242" s="234">
        <v>2025</v>
      </c>
      <c r="D242" s="234" t="s">
        <v>5351</v>
      </c>
      <c r="E242" s="235">
        <v>13655</v>
      </c>
      <c r="F242" s="235">
        <v>45895</v>
      </c>
      <c r="G242" s="235">
        <v>45947</v>
      </c>
      <c r="H242" s="236">
        <v>808</v>
      </c>
      <c r="I242" s="236">
        <v>802</v>
      </c>
      <c r="J242" s="234" t="s">
        <v>4940</v>
      </c>
      <c r="K242" s="234" t="s">
        <v>2700</v>
      </c>
      <c r="L242" s="239" t="s">
        <v>5084</v>
      </c>
      <c r="M242" s="234" t="s">
        <v>4950</v>
      </c>
      <c r="N242" s="237" t="s">
        <v>5352</v>
      </c>
      <c r="O242" s="238" t="s">
        <v>5353</v>
      </c>
    </row>
    <row r="243" spans="1:15" ht="14.1">
      <c r="A243" s="251">
        <v>938017</v>
      </c>
      <c r="B243" s="234">
        <v>938017</v>
      </c>
      <c r="C243" s="234">
        <v>2025</v>
      </c>
      <c r="D243" s="234" t="s">
        <v>5354</v>
      </c>
      <c r="E243" s="235">
        <v>43757</v>
      </c>
      <c r="F243" s="235">
        <v>45907</v>
      </c>
      <c r="G243" s="235">
        <v>45938</v>
      </c>
      <c r="H243" s="236" t="s">
        <v>5355</v>
      </c>
      <c r="I243" s="236" t="s">
        <v>5355</v>
      </c>
      <c r="J243" s="234" t="s">
        <v>4940</v>
      </c>
      <c r="K243" s="234" t="s">
        <v>3176</v>
      </c>
      <c r="L243" s="239" t="s">
        <v>5084</v>
      </c>
      <c r="M243" s="234" t="s">
        <v>850</v>
      </c>
      <c r="N243" s="237" t="s">
        <v>5355</v>
      </c>
      <c r="O243" s="238" t="s">
        <v>850</v>
      </c>
    </row>
    <row r="244" spans="1:15" ht="14.1">
      <c r="A244" s="251">
        <v>82659</v>
      </c>
      <c r="B244" s="234">
        <v>82659</v>
      </c>
      <c r="C244" s="234">
        <v>2025</v>
      </c>
      <c r="D244" s="234" t="s">
        <v>5356</v>
      </c>
      <c r="E244" s="235">
        <v>30846</v>
      </c>
      <c r="F244" s="235">
        <v>45926</v>
      </c>
      <c r="G244" s="235">
        <v>45931</v>
      </c>
      <c r="H244" s="236">
        <v>329</v>
      </c>
      <c r="I244" s="236">
        <v>329</v>
      </c>
      <c r="J244" s="234" t="s">
        <v>4940</v>
      </c>
      <c r="K244" s="234" t="s">
        <v>1543</v>
      </c>
      <c r="L244" s="239" t="s">
        <v>5084</v>
      </c>
      <c r="M244" s="234" t="s">
        <v>4943</v>
      </c>
      <c r="N244" s="237">
        <v>329</v>
      </c>
      <c r="O244" s="238" t="s">
        <v>850</v>
      </c>
    </row>
    <row r="245" spans="1:15" ht="35.1">
      <c r="A245" s="251">
        <v>553151</v>
      </c>
      <c r="B245" s="234">
        <v>553151</v>
      </c>
      <c r="C245" s="234">
        <v>2025</v>
      </c>
      <c r="D245" s="234" t="s">
        <v>5357</v>
      </c>
      <c r="E245" s="235">
        <v>35744</v>
      </c>
      <c r="F245" s="235">
        <v>45946</v>
      </c>
      <c r="G245" s="235">
        <v>45967</v>
      </c>
      <c r="H245" s="236">
        <v>406</v>
      </c>
      <c r="I245" s="236">
        <v>406</v>
      </c>
      <c r="J245" s="234" t="s">
        <v>4940</v>
      </c>
      <c r="K245" s="234" t="s">
        <v>2700</v>
      </c>
      <c r="L245" s="239" t="s">
        <v>5084</v>
      </c>
      <c r="M245" s="234" t="s">
        <v>850</v>
      </c>
      <c r="N245" s="237">
        <v>406</v>
      </c>
      <c r="O245" s="238" t="s">
        <v>5358</v>
      </c>
    </row>
    <row r="246" spans="1:15" ht="35.1">
      <c r="A246" s="251">
        <v>7198969</v>
      </c>
      <c r="B246" s="234">
        <v>7198969</v>
      </c>
      <c r="C246" s="234">
        <v>2025</v>
      </c>
      <c r="D246" s="234" t="s">
        <v>5359</v>
      </c>
      <c r="E246" s="235">
        <v>23663</v>
      </c>
      <c r="F246" s="235">
        <v>45952</v>
      </c>
      <c r="G246" s="235">
        <v>45971</v>
      </c>
      <c r="H246" s="236">
        <v>342</v>
      </c>
      <c r="I246" s="236">
        <v>342</v>
      </c>
      <c r="J246" s="234" t="s">
        <v>4940</v>
      </c>
      <c r="K246" s="234" t="s">
        <v>1574</v>
      </c>
      <c r="L246" s="239" t="s">
        <v>5084</v>
      </c>
      <c r="M246" s="234" t="s">
        <v>4943</v>
      </c>
      <c r="N246" s="237">
        <v>342</v>
      </c>
      <c r="O246" s="238" t="s">
        <v>5358</v>
      </c>
    </row>
    <row r="247" spans="1:15" ht="14.1">
      <c r="A247" s="251">
        <v>941270</v>
      </c>
      <c r="B247" s="234">
        <v>941270</v>
      </c>
      <c r="C247" s="234">
        <v>2025</v>
      </c>
      <c r="D247" s="234" t="s">
        <v>5360</v>
      </c>
      <c r="E247" s="235">
        <v>45933</v>
      </c>
      <c r="F247" s="235">
        <v>45933</v>
      </c>
      <c r="G247" s="235">
        <v>46001</v>
      </c>
      <c r="H247" s="236">
        <v>501</v>
      </c>
      <c r="I247" s="236">
        <v>501</v>
      </c>
      <c r="J247" s="234" t="s">
        <v>4948</v>
      </c>
      <c r="K247" s="234" t="s">
        <v>3176</v>
      </c>
      <c r="L247" s="239" t="s">
        <v>5084</v>
      </c>
      <c r="M247" s="234" t="s">
        <v>850</v>
      </c>
      <c r="N247" s="237">
        <v>501</v>
      </c>
      <c r="O247" s="238" t="s">
        <v>850</v>
      </c>
    </row>
    <row r="248" spans="1:15" ht="150">
      <c r="A248" s="251">
        <v>942676</v>
      </c>
      <c r="B248" s="234">
        <v>942676</v>
      </c>
      <c r="C248" s="234">
        <v>2025</v>
      </c>
      <c r="D248" s="234" t="s">
        <v>5361</v>
      </c>
      <c r="E248" s="235">
        <v>46296</v>
      </c>
      <c r="F248" s="235">
        <v>45945</v>
      </c>
      <c r="G248" s="235">
        <v>46001</v>
      </c>
      <c r="H248" s="236">
        <v>508</v>
      </c>
      <c r="I248" s="236">
        <v>508</v>
      </c>
      <c r="J248" s="234" t="s">
        <v>4940</v>
      </c>
      <c r="K248" s="234" t="s">
        <v>3176</v>
      </c>
      <c r="L248" s="239" t="s">
        <v>5084</v>
      </c>
      <c r="M248" s="234" t="s">
        <v>850</v>
      </c>
      <c r="N248" s="237">
        <v>508</v>
      </c>
      <c r="O248" s="238" t="s">
        <v>5362</v>
      </c>
    </row>
    <row r="249" spans="1:15" ht="46.5">
      <c r="A249" s="251">
        <v>749302</v>
      </c>
      <c r="B249" s="234">
        <v>749302</v>
      </c>
      <c r="C249" s="234">
        <v>2025</v>
      </c>
      <c r="D249" s="234" t="s">
        <v>5326</v>
      </c>
      <c r="E249" s="235">
        <v>18732</v>
      </c>
      <c r="F249" s="235">
        <v>45927</v>
      </c>
      <c r="G249" s="235">
        <v>45939</v>
      </c>
      <c r="H249" s="236" t="s">
        <v>5363</v>
      </c>
      <c r="I249" s="236" t="s">
        <v>5363</v>
      </c>
      <c r="J249" s="234" t="s">
        <v>4940</v>
      </c>
      <c r="K249" s="234" t="s">
        <v>1543</v>
      </c>
      <c r="L249" s="239" t="s">
        <v>5084</v>
      </c>
      <c r="M249" s="234" t="s">
        <v>850</v>
      </c>
      <c r="N249" s="237" t="s">
        <v>5363</v>
      </c>
      <c r="O249" s="238" t="s">
        <v>5081</v>
      </c>
    </row>
    <row r="250" spans="1:15" ht="14.1">
      <c r="A250" s="251">
        <v>936881</v>
      </c>
      <c r="B250" s="234">
        <v>936881</v>
      </c>
      <c r="C250" s="234">
        <v>2025</v>
      </c>
      <c r="D250" s="234" t="s">
        <v>5364</v>
      </c>
      <c r="E250" s="235">
        <v>45897</v>
      </c>
      <c r="F250" s="235">
        <v>45897</v>
      </c>
      <c r="G250" s="235">
        <v>45944</v>
      </c>
      <c r="H250" s="236">
        <v>434</v>
      </c>
      <c r="I250" s="236">
        <v>434</v>
      </c>
      <c r="J250" s="234" t="s">
        <v>4940</v>
      </c>
      <c r="K250" s="234" t="s">
        <v>3176</v>
      </c>
      <c r="L250" s="239" t="s">
        <v>5084</v>
      </c>
      <c r="M250" s="234" t="s">
        <v>850</v>
      </c>
      <c r="N250" s="237">
        <v>434</v>
      </c>
      <c r="O250" s="238" t="s">
        <v>850</v>
      </c>
    </row>
    <row r="251" spans="1:15" ht="14.1">
      <c r="A251" s="251">
        <v>551940</v>
      </c>
      <c r="B251" s="234">
        <v>551940</v>
      </c>
      <c r="C251" s="234">
        <v>2025</v>
      </c>
      <c r="D251" s="234" t="s">
        <v>5365</v>
      </c>
      <c r="E251" s="235">
        <v>27041</v>
      </c>
      <c r="F251" s="235">
        <v>45950</v>
      </c>
      <c r="G251" s="235">
        <v>45954</v>
      </c>
      <c r="H251" s="236">
        <v>329</v>
      </c>
      <c r="I251" s="236">
        <v>329</v>
      </c>
      <c r="J251" s="234" t="s">
        <v>4940</v>
      </c>
      <c r="K251" s="234" t="s">
        <v>1543</v>
      </c>
      <c r="L251" s="239" t="s">
        <v>5084</v>
      </c>
      <c r="M251" s="234" t="s">
        <v>4943</v>
      </c>
      <c r="N251" s="237">
        <v>329</v>
      </c>
      <c r="O251" s="238" t="s">
        <v>850</v>
      </c>
    </row>
    <row r="252" spans="1:15" ht="69.599999999999994">
      <c r="A252" s="251">
        <v>830000</v>
      </c>
      <c r="B252" s="234">
        <v>830000</v>
      </c>
      <c r="C252" s="234">
        <v>2025</v>
      </c>
      <c r="D252" s="234" t="s">
        <v>5290</v>
      </c>
      <c r="E252" s="235">
        <v>24490</v>
      </c>
      <c r="F252" s="235">
        <v>45950</v>
      </c>
      <c r="G252" s="235">
        <v>45957</v>
      </c>
      <c r="H252" s="236">
        <v>417</v>
      </c>
      <c r="I252" s="236">
        <v>417</v>
      </c>
      <c r="J252" s="234" t="s">
        <v>4940</v>
      </c>
      <c r="K252" s="234" t="s">
        <v>1543</v>
      </c>
      <c r="L252" s="234" t="s">
        <v>5237</v>
      </c>
      <c r="M252" s="234" t="s">
        <v>4943</v>
      </c>
      <c r="N252" s="237">
        <v>417</v>
      </c>
      <c r="O252" s="238" t="s">
        <v>5291</v>
      </c>
    </row>
    <row r="253" spans="1:15" ht="69.599999999999994">
      <c r="A253" s="251">
        <v>7221239</v>
      </c>
      <c r="B253" s="234">
        <v>7221239</v>
      </c>
      <c r="C253" s="234">
        <v>2025</v>
      </c>
      <c r="D253" s="234" t="s">
        <v>5290</v>
      </c>
      <c r="E253" s="235">
        <v>24490</v>
      </c>
      <c r="F253" s="235">
        <v>45963</v>
      </c>
      <c r="G253" s="235">
        <v>45968</v>
      </c>
      <c r="H253" s="236">
        <v>610</v>
      </c>
      <c r="I253" s="236">
        <v>610</v>
      </c>
      <c r="J253" s="234" t="s">
        <v>4940</v>
      </c>
      <c r="K253" s="234" t="s">
        <v>1574</v>
      </c>
      <c r="L253" s="234" t="s">
        <v>5237</v>
      </c>
      <c r="M253" s="234" t="s">
        <v>4943</v>
      </c>
      <c r="N253" s="237">
        <v>610</v>
      </c>
      <c r="O253" s="238" t="s">
        <v>5291</v>
      </c>
    </row>
    <row r="254" spans="1:15" ht="14.1">
      <c r="A254" s="251">
        <v>337338</v>
      </c>
      <c r="B254" s="234">
        <v>337338</v>
      </c>
      <c r="C254" s="234">
        <v>2025</v>
      </c>
      <c r="D254" s="234" t="s">
        <v>5366</v>
      </c>
      <c r="E254" s="235">
        <v>21831</v>
      </c>
      <c r="F254" s="235">
        <v>45910</v>
      </c>
      <c r="G254" s="235">
        <v>46001</v>
      </c>
      <c r="H254" s="236">
        <v>808</v>
      </c>
      <c r="I254" s="236">
        <v>808</v>
      </c>
      <c r="J254" s="234" t="s">
        <v>4940</v>
      </c>
      <c r="K254" s="234" t="s">
        <v>2700</v>
      </c>
      <c r="L254" s="239" t="s">
        <v>5084</v>
      </c>
      <c r="M254" s="234" t="s">
        <v>850</v>
      </c>
      <c r="N254" s="237">
        <v>808</v>
      </c>
      <c r="O254" s="238" t="s">
        <v>850</v>
      </c>
    </row>
    <row r="255" spans="1:15" ht="81">
      <c r="A255" s="251">
        <v>749302</v>
      </c>
      <c r="B255" s="234">
        <v>749302</v>
      </c>
      <c r="C255" s="234">
        <v>2025</v>
      </c>
      <c r="D255" s="234" t="s">
        <v>5326</v>
      </c>
      <c r="E255" s="235">
        <v>18732</v>
      </c>
      <c r="F255" s="235">
        <v>45988</v>
      </c>
      <c r="G255" s="235">
        <v>45967</v>
      </c>
      <c r="H255" s="236" t="s">
        <v>5367</v>
      </c>
      <c r="I255" s="236" t="s">
        <v>5367</v>
      </c>
      <c r="J255" s="234" t="s">
        <v>4940</v>
      </c>
      <c r="K255" s="234" t="s">
        <v>2700</v>
      </c>
      <c r="L255" s="239" t="s">
        <v>5084</v>
      </c>
      <c r="M255" s="234" t="s">
        <v>850</v>
      </c>
      <c r="N255" s="237" t="s">
        <v>5367</v>
      </c>
      <c r="O255" s="238" t="s">
        <v>5368</v>
      </c>
    </row>
    <row r="256" spans="1:15" ht="14.1">
      <c r="A256" s="251">
        <v>944687</v>
      </c>
      <c r="B256" s="234">
        <v>944687</v>
      </c>
      <c r="C256" s="234">
        <v>2025</v>
      </c>
      <c r="D256" s="234" t="s">
        <v>5369</v>
      </c>
      <c r="E256" s="235">
        <v>18172</v>
      </c>
      <c r="F256" s="235">
        <v>45961</v>
      </c>
      <c r="G256" s="235">
        <v>45967</v>
      </c>
      <c r="H256" s="236">
        <v>406</v>
      </c>
      <c r="I256" s="236">
        <v>406</v>
      </c>
      <c r="J256" s="234" t="s">
        <v>4940</v>
      </c>
      <c r="K256" s="234" t="s">
        <v>2700</v>
      </c>
      <c r="L256" s="239" t="s">
        <v>5084</v>
      </c>
      <c r="M256" s="234" t="s">
        <v>850</v>
      </c>
      <c r="N256" s="237">
        <v>406</v>
      </c>
      <c r="O256" s="238" t="s">
        <v>850</v>
      </c>
    </row>
    <row r="257" spans="1:15" ht="115.5">
      <c r="A257" s="251">
        <v>749302</v>
      </c>
      <c r="B257" s="234">
        <v>749302</v>
      </c>
      <c r="C257" s="234">
        <v>2025</v>
      </c>
      <c r="D257" s="234" t="s">
        <v>5326</v>
      </c>
      <c r="E257" s="240">
        <v>18732</v>
      </c>
      <c r="F257" s="234">
        <v>0</v>
      </c>
      <c r="G257" s="235">
        <v>45974</v>
      </c>
      <c r="H257" s="236" t="s">
        <v>5370</v>
      </c>
      <c r="I257" s="236">
        <v>0</v>
      </c>
      <c r="J257" s="234">
        <v>0</v>
      </c>
      <c r="K257" s="234" t="s">
        <v>850</v>
      </c>
      <c r="L257" s="239" t="s">
        <v>5084</v>
      </c>
      <c r="M257" s="234" t="s">
        <v>850</v>
      </c>
      <c r="N257" s="237" t="s">
        <v>850</v>
      </c>
      <c r="O257" s="238" t="s">
        <v>5371</v>
      </c>
    </row>
    <row r="258" spans="1:15" ht="69.599999999999994">
      <c r="A258" s="251">
        <v>7234381</v>
      </c>
      <c r="B258" s="234">
        <v>7234381</v>
      </c>
      <c r="C258" s="234">
        <v>2025</v>
      </c>
      <c r="D258" s="234" t="s">
        <v>5372</v>
      </c>
      <c r="E258" s="235">
        <v>16240</v>
      </c>
      <c r="F258" s="235">
        <v>45974</v>
      </c>
      <c r="G258" s="235">
        <v>45979</v>
      </c>
      <c r="H258" s="236">
        <v>602</v>
      </c>
      <c r="I258" s="236">
        <v>602</v>
      </c>
      <c r="J258" s="234" t="s">
        <v>4948</v>
      </c>
      <c r="K258" s="234" t="s">
        <v>850</v>
      </c>
      <c r="L258" s="239" t="s">
        <v>5084</v>
      </c>
      <c r="M258" s="234" t="s">
        <v>850</v>
      </c>
      <c r="N258" s="237">
        <v>602</v>
      </c>
      <c r="O258" s="238" t="s">
        <v>5373</v>
      </c>
    </row>
    <row r="259" spans="1:15" ht="14.1">
      <c r="A259" s="251">
        <v>946305</v>
      </c>
      <c r="B259" s="234">
        <v>946305</v>
      </c>
      <c r="C259" s="234">
        <v>2025</v>
      </c>
      <c r="D259" s="234" t="s">
        <v>5374</v>
      </c>
      <c r="E259" s="235">
        <v>21605</v>
      </c>
      <c r="F259" s="235">
        <v>45974</v>
      </c>
      <c r="G259" s="235">
        <v>46001</v>
      </c>
      <c r="H259" s="236">
        <v>414</v>
      </c>
      <c r="I259" s="236" t="s">
        <v>5375</v>
      </c>
      <c r="J259" s="234" t="s">
        <v>4940</v>
      </c>
      <c r="K259" s="234" t="s">
        <v>1543</v>
      </c>
      <c r="L259" s="239" t="s">
        <v>5084</v>
      </c>
      <c r="M259" s="234" t="s">
        <v>850</v>
      </c>
      <c r="N259" s="237" t="s">
        <v>5376</v>
      </c>
      <c r="O259" s="238" t="s">
        <v>850</v>
      </c>
    </row>
    <row r="260" spans="1:15" ht="69.599999999999994">
      <c r="A260" s="251">
        <v>80698</v>
      </c>
      <c r="B260" s="234">
        <v>80698</v>
      </c>
      <c r="C260" s="234">
        <v>2025</v>
      </c>
      <c r="D260" s="234" t="s">
        <v>5372</v>
      </c>
      <c r="E260" s="235">
        <v>16240</v>
      </c>
      <c r="F260" s="235">
        <v>45974</v>
      </c>
      <c r="G260" s="235">
        <v>46001</v>
      </c>
      <c r="H260" s="236">
        <v>602</v>
      </c>
      <c r="I260" s="236" t="s">
        <v>5377</v>
      </c>
      <c r="J260" s="234" t="s">
        <v>4940</v>
      </c>
      <c r="K260" s="234" t="s">
        <v>1543</v>
      </c>
      <c r="L260" s="239" t="s">
        <v>5084</v>
      </c>
      <c r="M260" s="234" t="s">
        <v>850</v>
      </c>
      <c r="N260" s="237" t="s">
        <v>5378</v>
      </c>
      <c r="O260" s="238" t="s">
        <v>5373</v>
      </c>
    </row>
    <row r="261" spans="1:15" ht="14.1">
      <c r="A261" s="251">
        <v>944830</v>
      </c>
      <c r="B261" s="234">
        <v>944830</v>
      </c>
      <c r="C261" s="234">
        <v>2025</v>
      </c>
      <c r="D261" s="234" t="s">
        <v>5379</v>
      </c>
      <c r="E261" s="235">
        <v>16403</v>
      </c>
      <c r="F261" s="235">
        <v>45975</v>
      </c>
      <c r="G261" s="235">
        <v>46001</v>
      </c>
      <c r="H261" s="236">
        <v>313</v>
      </c>
      <c r="I261" s="236">
        <v>313</v>
      </c>
      <c r="J261" s="234" t="s">
        <v>4948</v>
      </c>
      <c r="K261" s="234" t="s">
        <v>1543</v>
      </c>
      <c r="L261" s="239" t="s">
        <v>5084</v>
      </c>
      <c r="M261" s="234" t="s">
        <v>850</v>
      </c>
      <c r="N261" s="237">
        <v>313</v>
      </c>
      <c r="O261" s="238" t="s">
        <v>850</v>
      </c>
    </row>
    <row r="262" spans="1:15" ht="46.5">
      <c r="A262" s="251">
        <v>749302</v>
      </c>
      <c r="B262" s="234">
        <v>749302</v>
      </c>
      <c r="C262" s="234">
        <v>2025</v>
      </c>
      <c r="D262" s="234" t="s">
        <v>5380</v>
      </c>
      <c r="E262" s="235">
        <v>18732</v>
      </c>
      <c r="F262" s="235">
        <v>45983</v>
      </c>
      <c r="G262" s="235">
        <v>46001</v>
      </c>
      <c r="H262" s="236" t="s">
        <v>5381</v>
      </c>
      <c r="I262" s="236" t="s">
        <v>5381</v>
      </c>
      <c r="J262" s="234" t="s">
        <v>4940</v>
      </c>
      <c r="K262" s="234" t="s">
        <v>1543</v>
      </c>
      <c r="L262" s="239" t="s">
        <v>5084</v>
      </c>
      <c r="M262" s="234" t="s">
        <v>850</v>
      </c>
      <c r="N262" s="237" t="s">
        <v>5381</v>
      </c>
      <c r="O262" s="238" t="s">
        <v>5081</v>
      </c>
    </row>
    <row r="263" spans="1:15" ht="14.1">
      <c r="A263" s="251">
        <v>165448</v>
      </c>
      <c r="B263" s="234">
        <v>165448</v>
      </c>
      <c r="C263" s="234">
        <v>2025</v>
      </c>
      <c r="D263" s="234" t="s">
        <v>5382</v>
      </c>
      <c r="E263" s="235">
        <v>11419</v>
      </c>
      <c r="F263" s="235">
        <v>46003</v>
      </c>
      <c r="G263" s="235">
        <v>46063</v>
      </c>
      <c r="H263" s="236" t="s">
        <v>5383</v>
      </c>
      <c r="I263" s="236" t="s">
        <v>5383</v>
      </c>
      <c r="J263" s="234" t="s">
        <v>4940</v>
      </c>
      <c r="K263" s="234" t="s">
        <v>4105</v>
      </c>
      <c r="L263" s="234" t="s">
        <v>5237</v>
      </c>
      <c r="M263" s="234"/>
      <c r="N263" s="237" t="s">
        <v>5383</v>
      </c>
      <c r="O263" s="238" t="s">
        <v>850</v>
      </c>
    </row>
    <row r="264" spans="1:15" ht="14.1">
      <c r="A264" s="251">
        <v>88308</v>
      </c>
      <c r="B264" s="234">
        <v>88308</v>
      </c>
      <c r="C264" s="234">
        <v>2025</v>
      </c>
      <c r="D264" s="234" t="s">
        <v>5384</v>
      </c>
      <c r="E264" s="235">
        <v>15481</v>
      </c>
      <c r="F264" s="235">
        <v>46003</v>
      </c>
      <c r="G264" s="235">
        <v>46063</v>
      </c>
      <c r="H264" s="236" t="s">
        <v>5385</v>
      </c>
      <c r="I264" s="236" t="s">
        <v>5385</v>
      </c>
      <c r="J264" s="234" t="s">
        <v>4940</v>
      </c>
      <c r="K264" s="234" t="s">
        <v>4105</v>
      </c>
      <c r="L264" s="234" t="s">
        <v>5237</v>
      </c>
      <c r="M264" s="234"/>
      <c r="N264" s="237" t="s">
        <v>5385</v>
      </c>
      <c r="O264" s="238" t="s">
        <v>850</v>
      </c>
    </row>
    <row r="265" spans="1:15" ht="69.599999999999994">
      <c r="A265" s="251">
        <v>934940</v>
      </c>
      <c r="B265" s="234">
        <v>934940</v>
      </c>
      <c r="C265" s="234">
        <v>2025</v>
      </c>
      <c r="D265" s="234" t="s">
        <v>5386</v>
      </c>
      <c r="E265" s="235">
        <v>45643</v>
      </c>
      <c r="F265" s="235">
        <v>46009</v>
      </c>
      <c r="G265" s="235">
        <v>46076</v>
      </c>
      <c r="H265" s="236" t="s">
        <v>4999</v>
      </c>
      <c r="I265" s="236" t="s">
        <v>4999</v>
      </c>
      <c r="J265" s="234" t="s">
        <v>4948</v>
      </c>
      <c r="K265" s="234" t="s">
        <v>5387</v>
      </c>
      <c r="L265" s="239" t="s">
        <v>5084</v>
      </c>
      <c r="M265" s="234" t="s">
        <v>4943</v>
      </c>
      <c r="N265" s="237" t="s">
        <v>4999</v>
      </c>
      <c r="O265" s="238" t="s">
        <v>5388</v>
      </c>
    </row>
    <row r="266" spans="1:15" ht="69.599999999999994">
      <c r="A266" s="251">
        <v>924940</v>
      </c>
      <c r="B266" s="234">
        <v>924940</v>
      </c>
      <c r="C266" s="234">
        <v>2025</v>
      </c>
      <c r="D266" s="234" t="s">
        <v>5386</v>
      </c>
      <c r="E266" s="235">
        <v>45643</v>
      </c>
      <c r="F266" s="235">
        <v>46009</v>
      </c>
      <c r="G266" s="235">
        <v>46027</v>
      </c>
      <c r="H266" s="236" t="s">
        <v>4999</v>
      </c>
      <c r="I266" s="236" t="s">
        <v>4999</v>
      </c>
      <c r="J266" s="234" t="s">
        <v>4948</v>
      </c>
      <c r="K266" s="234" t="s">
        <v>5387</v>
      </c>
      <c r="L266" s="239" t="s">
        <v>5084</v>
      </c>
      <c r="M266" s="234" t="s">
        <v>850</v>
      </c>
      <c r="N266" s="237" t="s">
        <v>4999</v>
      </c>
      <c r="O266" s="238" t="s">
        <v>5388</v>
      </c>
    </row>
    <row r="267" spans="1:15" ht="14.1">
      <c r="A267" s="251">
        <v>520083</v>
      </c>
      <c r="B267" s="234">
        <v>520083</v>
      </c>
      <c r="C267" s="234">
        <v>2026</v>
      </c>
      <c r="D267" s="234" t="s">
        <v>5389</v>
      </c>
      <c r="E267" s="235">
        <v>28327</v>
      </c>
      <c r="F267" s="235">
        <v>46024</v>
      </c>
      <c r="G267" s="235">
        <v>46042</v>
      </c>
      <c r="H267" s="236" t="s">
        <v>5390</v>
      </c>
      <c r="I267" s="236" t="s">
        <v>5390</v>
      </c>
      <c r="J267" s="234" t="s">
        <v>4940</v>
      </c>
      <c r="K267" s="234" t="s">
        <v>912</v>
      </c>
      <c r="L267" s="239" t="s">
        <v>5084</v>
      </c>
      <c r="M267" s="234" t="s">
        <v>850</v>
      </c>
      <c r="N267" s="237" t="s">
        <v>5390</v>
      </c>
      <c r="O267" s="238" t="s">
        <v>850</v>
      </c>
    </row>
    <row r="268" spans="1:15" ht="14.1">
      <c r="A268" s="251">
        <v>916388</v>
      </c>
      <c r="B268" s="234">
        <v>916388</v>
      </c>
      <c r="C268" s="234">
        <v>2026</v>
      </c>
      <c r="D268" s="234" t="s">
        <v>5246</v>
      </c>
      <c r="E268" s="235">
        <v>45617</v>
      </c>
      <c r="F268" s="235">
        <v>46038</v>
      </c>
      <c r="G268" s="235">
        <v>46042</v>
      </c>
      <c r="H268" s="236" t="s">
        <v>4999</v>
      </c>
      <c r="I268" s="236" t="s">
        <v>4999</v>
      </c>
      <c r="J268" s="234" t="s">
        <v>4940</v>
      </c>
      <c r="K268" s="234" t="s">
        <v>3836</v>
      </c>
      <c r="L268" s="239" t="s">
        <v>5084</v>
      </c>
      <c r="M268" s="234" t="s">
        <v>4950</v>
      </c>
      <c r="N268" s="237" t="s">
        <v>4999</v>
      </c>
      <c r="O268" s="238" t="s">
        <v>850</v>
      </c>
    </row>
    <row r="269" spans="1:15" ht="14.1">
      <c r="A269" s="251">
        <v>954074</v>
      </c>
      <c r="B269" s="234">
        <v>954074</v>
      </c>
      <c r="C269" s="234">
        <v>2026</v>
      </c>
      <c r="D269" s="234" t="s">
        <v>5391</v>
      </c>
      <c r="E269" s="235">
        <v>13691</v>
      </c>
      <c r="F269" s="235">
        <v>46050</v>
      </c>
      <c r="G269" s="235">
        <v>46050</v>
      </c>
      <c r="H269" s="236" t="s">
        <v>5392</v>
      </c>
      <c r="I269" s="236" t="s">
        <v>5392</v>
      </c>
      <c r="J269" s="234" t="s">
        <v>4940</v>
      </c>
      <c r="K269" s="234" t="s">
        <v>4105</v>
      </c>
      <c r="L269" s="234" t="s">
        <v>5114</v>
      </c>
      <c r="M269" s="234"/>
      <c r="N269" s="237" t="s">
        <v>5392</v>
      </c>
      <c r="O269" s="238" t="s">
        <v>850</v>
      </c>
    </row>
    <row r="270" spans="1:15" ht="14.1">
      <c r="A270" s="251">
        <v>356415</v>
      </c>
      <c r="B270" s="234">
        <v>356415</v>
      </c>
      <c r="C270" s="234">
        <v>2026</v>
      </c>
      <c r="D270" s="234" t="s">
        <v>5393</v>
      </c>
      <c r="E270" s="235">
        <v>20216</v>
      </c>
      <c r="F270" s="235">
        <v>46057</v>
      </c>
      <c r="G270" s="235">
        <v>46057</v>
      </c>
      <c r="H270" s="236" t="s">
        <v>5044</v>
      </c>
      <c r="I270" s="236" t="s">
        <v>5044</v>
      </c>
      <c r="J270" s="234" t="s">
        <v>4948</v>
      </c>
      <c r="K270" s="234" t="s">
        <v>5394</v>
      </c>
      <c r="L270" s="239" t="s">
        <v>5084</v>
      </c>
      <c r="M270" s="234" t="s">
        <v>850</v>
      </c>
      <c r="N270" s="237" t="s">
        <v>5044</v>
      </c>
      <c r="O270" s="238" t="s">
        <v>850</v>
      </c>
    </row>
    <row r="271" spans="1:15" ht="14.1">
      <c r="A271" s="251">
        <v>868713</v>
      </c>
      <c r="B271" s="234">
        <v>868713</v>
      </c>
      <c r="C271" s="234">
        <v>2026</v>
      </c>
      <c r="D271" s="234" t="s">
        <v>5395</v>
      </c>
      <c r="E271" s="235">
        <v>44958</v>
      </c>
      <c r="F271" s="235">
        <v>46062</v>
      </c>
      <c r="G271" s="235">
        <v>46063</v>
      </c>
      <c r="H271" s="236" t="s">
        <v>5396</v>
      </c>
      <c r="I271" s="236" t="s">
        <v>5396</v>
      </c>
      <c r="J271" s="234" t="s">
        <v>4940</v>
      </c>
      <c r="K271" s="234" t="s">
        <v>5387</v>
      </c>
      <c r="L271" s="239" t="s">
        <v>5084</v>
      </c>
      <c r="M271" s="234" t="s">
        <v>850</v>
      </c>
      <c r="N271" s="237" t="s">
        <v>5396</v>
      </c>
      <c r="O271" s="238" t="s">
        <v>850</v>
      </c>
    </row>
    <row r="272" spans="1:15" ht="14.1">
      <c r="A272" s="251">
        <v>781260</v>
      </c>
      <c r="B272" s="234">
        <v>781260</v>
      </c>
      <c r="C272" s="234">
        <v>2026</v>
      </c>
      <c r="D272" s="234" t="s">
        <v>5397</v>
      </c>
      <c r="E272" s="235">
        <v>15086</v>
      </c>
      <c r="F272" s="235">
        <v>46056</v>
      </c>
      <c r="G272" s="235">
        <v>46076</v>
      </c>
      <c r="H272" s="236" t="s">
        <v>5398</v>
      </c>
      <c r="I272" s="236" t="s">
        <v>5398</v>
      </c>
      <c r="J272" s="234" t="s">
        <v>5023</v>
      </c>
      <c r="K272" s="234" t="s">
        <v>5399</v>
      </c>
      <c r="L272" s="234" t="s">
        <v>5400</v>
      </c>
      <c r="M272" s="234" t="s">
        <v>4943</v>
      </c>
      <c r="N272" s="237" t="s">
        <v>5398</v>
      </c>
      <c r="O272" s="238" t="s">
        <v>850</v>
      </c>
    </row>
    <row r="273" spans="1:15" ht="14.1">
      <c r="A273" s="251">
        <v>34932</v>
      </c>
      <c r="B273" s="234">
        <v>34932</v>
      </c>
      <c r="C273" s="234">
        <v>2026</v>
      </c>
      <c r="D273" s="234" t="s">
        <v>5401</v>
      </c>
      <c r="E273" s="235">
        <v>13806</v>
      </c>
      <c r="F273" s="235">
        <v>46067</v>
      </c>
      <c r="G273" s="235">
        <v>46078</v>
      </c>
      <c r="H273" s="236" t="s">
        <v>5402</v>
      </c>
      <c r="I273" s="236" t="s">
        <v>5402</v>
      </c>
      <c r="J273" s="234" t="s">
        <v>4940</v>
      </c>
      <c r="K273" s="234" t="s">
        <v>2700</v>
      </c>
      <c r="L273" s="239" t="s">
        <v>5084</v>
      </c>
      <c r="M273" s="234" t="s">
        <v>4943</v>
      </c>
      <c r="N273" s="237" t="s">
        <v>5402</v>
      </c>
      <c r="O273" s="238" t="s">
        <v>850</v>
      </c>
    </row>
    <row r="274" spans="1:15" ht="14.1">
      <c r="A274" s="251">
        <v>82348</v>
      </c>
      <c r="B274" s="234">
        <v>82348</v>
      </c>
      <c r="C274" s="234">
        <v>2026</v>
      </c>
      <c r="D274" s="234" t="s">
        <v>5403</v>
      </c>
      <c r="E274" s="235">
        <v>15294</v>
      </c>
      <c r="F274" s="235">
        <v>46068</v>
      </c>
      <c r="G274" s="235">
        <v>46076</v>
      </c>
      <c r="H274" s="236" t="s">
        <v>5404</v>
      </c>
      <c r="I274" s="236" t="s">
        <v>5404</v>
      </c>
      <c r="J274" s="234" t="s">
        <v>4948</v>
      </c>
      <c r="K274" s="234" t="s">
        <v>5405</v>
      </c>
      <c r="L274" s="234" t="s">
        <v>5400</v>
      </c>
      <c r="M274" s="234" t="s">
        <v>4943</v>
      </c>
      <c r="N274" s="237" t="s">
        <v>5404</v>
      </c>
      <c r="O274" s="238" t="s">
        <v>850</v>
      </c>
    </row>
    <row r="275" spans="1:15" ht="14.1">
      <c r="A275" s="251">
        <v>943838</v>
      </c>
      <c r="B275" s="234">
        <v>943838</v>
      </c>
      <c r="C275" s="234">
        <v>2026</v>
      </c>
      <c r="D275" s="234" t="s">
        <v>5406</v>
      </c>
      <c r="E275" s="235">
        <v>26030</v>
      </c>
      <c r="F275" s="235">
        <v>46072</v>
      </c>
      <c r="G275" s="235">
        <v>46097</v>
      </c>
      <c r="H275" s="236" t="s">
        <v>5407</v>
      </c>
      <c r="I275" s="236" t="s">
        <v>5407</v>
      </c>
      <c r="J275" s="234" t="s">
        <v>4948</v>
      </c>
      <c r="K275" s="234" t="s">
        <v>5405</v>
      </c>
      <c r="L275" s="234" t="s">
        <v>5408</v>
      </c>
      <c r="M275" s="234" t="s">
        <v>4943</v>
      </c>
      <c r="N275" s="237" t="s">
        <v>5407</v>
      </c>
      <c r="O275" s="238" t="s">
        <v>850</v>
      </c>
    </row>
    <row r="276" spans="1:15" ht="14.1">
      <c r="A276" s="251">
        <v>251631</v>
      </c>
      <c r="B276" s="234">
        <v>251631</v>
      </c>
      <c r="C276" s="234">
        <v>2026</v>
      </c>
      <c r="D276" s="234" t="s">
        <v>5409</v>
      </c>
      <c r="E276" s="235">
        <v>12699</v>
      </c>
      <c r="F276" s="235">
        <v>46070</v>
      </c>
      <c r="G276" s="235">
        <v>46085</v>
      </c>
      <c r="H276" s="236">
        <v>804</v>
      </c>
      <c r="I276" s="236">
        <v>804</v>
      </c>
      <c r="J276" s="234" t="s">
        <v>4940</v>
      </c>
      <c r="K276" s="234" t="s">
        <v>2700</v>
      </c>
      <c r="L276" s="239" t="s">
        <v>5084</v>
      </c>
      <c r="M276" s="234" t="s">
        <v>4943</v>
      </c>
      <c r="N276" s="237">
        <v>804</v>
      </c>
      <c r="O276" s="238" t="s">
        <v>850</v>
      </c>
    </row>
    <row r="277" spans="1:15" ht="35.1">
      <c r="A277" s="251">
        <v>393934</v>
      </c>
      <c r="B277" s="234">
        <v>393934</v>
      </c>
      <c r="C277" s="234">
        <v>2026</v>
      </c>
      <c r="D277" s="234" t="s">
        <v>5410</v>
      </c>
      <c r="E277" s="235">
        <v>17983</v>
      </c>
      <c r="F277" s="235">
        <v>46094</v>
      </c>
      <c r="G277" s="235">
        <v>46079</v>
      </c>
      <c r="H277" s="236">
        <v>317</v>
      </c>
      <c r="I277" s="236">
        <v>317</v>
      </c>
      <c r="J277" s="234" t="s">
        <v>4940</v>
      </c>
      <c r="K277" s="234" t="s">
        <v>5411</v>
      </c>
      <c r="L277" s="234" t="s">
        <v>5400</v>
      </c>
      <c r="M277" s="234"/>
      <c r="N277" s="237">
        <v>317</v>
      </c>
      <c r="O277" s="238" t="s">
        <v>5358</v>
      </c>
    </row>
    <row r="278" spans="1:15" ht="14.1">
      <c r="A278" s="251">
        <v>334062</v>
      </c>
      <c r="B278" s="234">
        <v>334062</v>
      </c>
      <c r="C278" s="234">
        <v>2026</v>
      </c>
      <c r="D278" s="234" t="s">
        <v>5412</v>
      </c>
      <c r="E278" s="235">
        <v>30744</v>
      </c>
      <c r="F278" s="235">
        <v>46080</v>
      </c>
      <c r="G278" s="235">
        <v>46080</v>
      </c>
      <c r="H278" s="236">
        <v>802</v>
      </c>
      <c r="I278" s="236">
        <v>802</v>
      </c>
      <c r="J278" s="234" t="s">
        <v>4940</v>
      </c>
      <c r="K278" s="234" t="s">
        <v>2700</v>
      </c>
      <c r="L278" s="239" t="s">
        <v>5084</v>
      </c>
      <c r="M278" s="234" t="s">
        <v>850</v>
      </c>
      <c r="N278" s="237">
        <v>802</v>
      </c>
      <c r="O278" s="238" t="s">
        <v>850</v>
      </c>
    </row>
    <row r="279" spans="1:15" ht="14.1">
      <c r="A279" s="251">
        <v>952676</v>
      </c>
      <c r="B279" s="234">
        <v>952676</v>
      </c>
      <c r="C279" s="234">
        <v>2026</v>
      </c>
      <c r="D279" s="234" t="s">
        <v>5413</v>
      </c>
      <c r="E279" s="235">
        <v>20834</v>
      </c>
      <c r="F279" s="235">
        <v>46085</v>
      </c>
      <c r="G279" s="235">
        <v>46097</v>
      </c>
      <c r="H279" s="236">
        <v>608</v>
      </c>
      <c r="I279" s="236">
        <v>608</v>
      </c>
      <c r="J279" s="234" t="s">
        <v>4948</v>
      </c>
      <c r="K279" s="234" t="s">
        <v>5405</v>
      </c>
      <c r="L279" s="234" t="s">
        <v>5400</v>
      </c>
      <c r="M279" s="234" t="s">
        <v>4950</v>
      </c>
      <c r="N279" s="237">
        <v>608</v>
      </c>
      <c r="O279" s="238" t="s">
        <v>850</v>
      </c>
    </row>
    <row r="280" spans="1:15" ht="14.1">
      <c r="A280" s="251">
        <v>130542</v>
      </c>
      <c r="B280" s="234">
        <v>130542</v>
      </c>
      <c r="C280" s="234">
        <v>2026</v>
      </c>
      <c r="D280" s="234" t="s">
        <v>5414</v>
      </c>
      <c r="E280" s="235">
        <v>16793</v>
      </c>
      <c r="F280" s="235">
        <v>46092</v>
      </c>
      <c r="G280" s="235">
        <v>46106</v>
      </c>
      <c r="H280" s="236" t="s">
        <v>5367</v>
      </c>
      <c r="I280" s="236" t="s">
        <v>5367</v>
      </c>
      <c r="J280" s="234" t="s">
        <v>4940</v>
      </c>
      <c r="K280" s="234" t="s">
        <v>2700</v>
      </c>
      <c r="L280" s="239" t="s">
        <v>5084</v>
      </c>
      <c r="M280" s="234" t="s">
        <v>4943</v>
      </c>
      <c r="N280" s="237" t="s">
        <v>5367</v>
      </c>
      <c r="O280" s="238" t="s">
        <v>850</v>
      </c>
    </row>
    <row r="281" spans="1:15" ht="14.1">
      <c r="A281" s="251">
        <v>247533</v>
      </c>
      <c r="B281" s="234">
        <v>247533</v>
      </c>
      <c r="C281" s="234">
        <v>2026</v>
      </c>
      <c r="D281" s="234" t="s">
        <v>5415</v>
      </c>
      <c r="E281" s="235">
        <v>17864</v>
      </c>
      <c r="F281" s="235">
        <v>46099</v>
      </c>
      <c r="G281" s="235">
        <v>46111</v>
      </c>
      <c r="H281" s="236">
        <v>412</v>
      </c>
      <c r="I281" s="236">
        <v>412</v>
      </c>
      <c r="J281" s="234" t="s">
        <v>4940</v>
      </c>
      <c r="K281" s="234" t="s">
        <v>2700</v>
      </c>
      <c r="L281" s="239" t="s">
        <v>5084</v>
      </c>
      <c r="M281" s="234" t="s">
        <v>4943</v>
      </c>
      <c r="N281" s="237">
        <v>412</v>
      </c>
      <c r="O281" s="238" t="s">
        <v>850</v>
      </c>
    </row>
    <row r="282" spans="1:15" ht="46.5">
      <c r="A282" s="251">
        <v>42080</v>
      </c>
      <c r="B282" s="234">
        <v>42080</v>
      </c>
      <c r="C282" s="234">
        <v>2026</v>
      </c>
      <c r="D282" s="234" t="s">
        <v>5416</v>
      </c>
      <c r="E282" s="235">
        <v>19863</v>
      </c>
      <c r="F282" s="235">
        <v>46074</v>
      </c>
      <c r="G282" s="235">
        <v>46153</v>
      </c>
      <c r="H282" s="236">
        <v>401</v>
      </c>
      <c r="I282" s="236">
        <v>709</v>
      </c>
      <c r="J282" s="234" t="s">
        <v>4940</v>
      </c>
      <c r="K282" s="234" t="s">
        <v>2700</v>
      </c>
      <c r="L282" s="234" t="s">
        <v>5400</v>
      </c>
      <c r="M282" s="234" t="s">
        <v>4943</v>
      </c>
      <c r="N282" s="237" t="s">
        <v>5417</v>
      </c>
      <c r="O282" s="238" t="s">
        <v>5081</v>
      </c>
    </row>
    <row r="283" spans="1:15" ht="14.1">
      <c r="A283" s="251">
        <v>89349</v>
      </c>
      <c r="B283" s="234">
        <v>89349</v>
      </c>
      <c r="C283" s="234">
        <v>2026</v>
      </c>
      <c r="D283" s="234" t="s">
        <v>5418</v>
      </c>
      <c r="E283" s="235">
        <v>20086</v>
      </c>
      <c r="F283" s="235">
        <v>46092</v>
      </c>
      <c r="G283" s="235">
        <v>46106</v>
      </c>
      <c r="H283" s="236" t="s">
        <v>5419</v>
      </c>
      <c r="I283" s="236" t="s">
        <v>5419</v>
      </c>
      <c r="J283" s="234" t="s">
        <v>4940</v>
      </c>
      <c r="K283" s="234" t="s">
        <v>5405</v>
      </c>
      <c r="L283" s="234" t="s">
        <v>5400</v>
      </c>
      <c r="M283" s="234" t="s">
        <v>4943</v>
      </c>
      <c r="N283" s="237" t="s">
        <v>5419</v>
      </c>
      <c r="O283" s="238" t="s">
        <v>850</v>
      </c>
    </row>
    <row r="284" spans="1:15" ht="14.1">
      <c r="A284" s="251">
        <v>605357</v>
      </c>
      <c r="B284" s="234">
        <v>605357</v>
      </c>
      <c r="C284" s="234">
        <v>2026</v>
      </c>
      <c r="D284" s="234" t="s">
        <v>5420</v>
      </c>
      <c r="E284" s="235">
        <v>33300</v>
      </c>
      <c r="F284" s="235">
        <v>46098</v>
      </c>
      <c r="G284" s="235">
        <v>46153</v>
      </c>
      <c r="H284" s="236">
        <v>114</v>
      </c>
      <c r="I284" s="236" t="s">
        <v>5421</v>
      </c>
      <c r="J284" s="234" t="s">
        <v>4940</v>
      </c>
      <c r="K284" s="234" t="s">
        <v>5422</v>
      </c>
      <c r="L284" s="234" t="s">
        <v>5400</v>
      </c>
      <c r="M284" s="234" t="s">
        <v>4943</v>
      </c>
      <c r="N284" s="237" t="s">
        <v>5423</v>
      </c>
      <c r="O284" s="238" t="s">
        <v>850</v>
      </c>
    </row>
    <row r="285" spans="1:15" ht="14.1">
      <c r="A285" s="251">
        <v>954793</v>
      </c>
      <c r="B285" s="234">
        <v>954793</v>
      </c>
      <c r="C285" s="234">
        <v>2026</v>
      </c>
      <c r="D285" s="234" t="s">
        <v>5424</v>
      </c>
      <c r="E285" s="235">
        <v>32006</v>
      </c>
      <c r="F285" s="235">
        <v>46097</v>
      </c>
      <c r="G285" s="235">
        <v>46107</v>
      </c>
      <c r="H285" s="236">
        <v>208</v>
      </c>
      <c r="I285" s="236">
        <v>208</v>
      </c>
      <c r="J285" s="234" t="s">
        <v>4940</v>
      </c>
      <c r="K285" s="234" t="s">
        <v>5405</v>
      </c>
      <c r="L285" s="234" t="s">
        <v>5400</v>
      </c>
      <c r="M285" s="234"/>
      <c r="N285" s="237">
        <v>208</v>
      </c>
      <c r="O285" s="238" t="s">
        <v>850</v>
      </c>
    </row>
    <row r="286" spans="1:15" ht="14.1">
      <c r="A286" s="251">
        <v>204399</v>
      </c>
      <c r="B286" s="234">
        <v>204399</v>
      </c>
      <c r="C286" s="234">
        <v>2026</v>
      </c>
      <c r="D286" s="234" t="s">
        <v>5425</v>
      </c>
      <c r="E286" s="235">
        <v>36252</v>
      </c>
      <c r="F286" s="235">
        <v>46115</v>
      </c>
      <c r="G286" s="235">
        <v>46153</v>
      </c>
      <c r="H286" s="236">
        <v>610</v>
      </c>
      <c r="I286" s="236" t="s">
        <v>5426</v>
      </c>
      <c r="J286" s="234" t="s">
        <v>4948</v>
      </c>
      <c r="K286" s="234" t="s">
        <v>5405</v>
      </c>
      <c r="L286" s="234" t="s">
        <v>5400</v>
      </c>
      <c r="M286" s="234" t="s">
        <v>4943</v>
      </c>
      <c r="N286" s="237" t="s">
        <v>5427</v>
      </c>
      <c r="O286" s="238" t="s">
        <v>850</v>
      </c>
    </row>
    <row r="287" spans="1:15" ht="14.1">
      <c r="A287" s="251">
        <v>954855</v>
      </c>
      <c r="B287" s="234">
        <v>954855</v>
      </c>
      <c r="C287" s="234">
        <v>2026</v>
      </c>
      <c r="D287" s="234" t="s">
        <v>5428</v>
      </c>
      <c r="E287" s="235">
        <v>23248</v>
      </c>
      <c r="F287" s="235">
        <v>46119</v>
      </c>
      <c r="G287" s="235">
        <v>46153</v>
      </c>
      <c r="H287" s="236">
        <v>303</v>
      </c>
      <c r="I287" s="236" t="s">
        <v>5429</v>
      </c>
      <c r="J287" s="234" t="s">
        <v>4940</v>
      </c>
      <c r="K287" s="234" t="s">
        <v>2700</v>
      </c>
      <c r="L287" s="234" t="s">
        <v>5237</v>
      </c>
      <c r="M287" s="234" t="s">
        <v>4943</v>
      </c>
      <c r="N287" s="237" t="s">
        <v>5430</v>
      </c>
      <c r="O287" s="238" t="s">
        <v>850</v>
      </c>
    </row>
    <row r="288" spans="1:15" ht="14.1">
      <c r="A288" s="251">
        <v>963105</v>
      </c>
      <c r="B288" s="234">
        <v>963105</v>
      </c>
      <c r="C288" s="234">
        <v>2026</v>
      </c>
      <c r="D288" s="234" t="s">
        <v>5431</v>
      </c>
      <c r="E288" s="235">
        <v>32772</v>
      </c>
      <c r="F288" s="235">
        <v>46126</v>
      </c>
      <c r="G288" s="235">
        <v>46132</v>
      </c>
      <c r="H288" s="241" t="s">
        <v>5432</v>
      </c>
      <c r="I288" s="236">
        <v>412</v>
      </c>
      <c r="J288" s="234" t="s">
        <v>4940</v>
      </c>
      <c r="K288" s="234" t="s">
        <v>912</v>
      </c>
      <c r="L288" s="239" t="s">
        <v>5084</v>
      </c>
      <c r="M288" s="234" t="s">
        <v>4943</v>
      </c>
      <c r="N288" s="242" t="s">
        <v>5433</v>
      </c>
      <c r="O288" s="238" t="s">
        <v>850</v>
      </c>
    </row>
    <row r="289" spans="1:15" ht="14.1">
      <c r="A289" s="251">
        <v>148130</v>
      </c>
      <c r="B289" s="234">
        <v>148130</v>
      </c>
      <c r="C289" s="234">
        <v>2026</v>
      </c>
      <c r="D289" s="234" t="s">
        <v>5434</v>
      </c>
      <c r="E289" s="235">
        <v>18068</v>
      </c>
      <c r="F289" s="235">
        <v>46117</v>
      </c>
      <c r="G289" s="235">
        <v>46153</v>
      </c>
      <c r="H289" s="236">
        <v>319</v>
      </c>
      <c r="I289" s="236">
        <v>319</v>
      </c>
      <c r="J289" s="234" t="s">
        <v>4940</v>
      </c>
      <c r="K289" s="234" t="s">
        <v>5405</v>
      </c>
      <c r="L289" s="234" t="s">
        <v>5400</v>
      </c>
      <c r="M289" s="234" t="s">
        <v>4943</v>
      </c>
      <c r="N289" s="237">
        <v>319</v>
      </c>
      <c r="O289" s="238" t="s">
        <v>850</v>
      </c>
    </row>
    <row r="290" spans="1:15" ht="14.1">
      <c r="A290" s="251">
        <v>203601</v>
      </c>
      <c r="B290" s="234">
        <v>203601</v>
      </c>
      <c r="C290" s="234">
        <v>2026</v>
      </c>
      <c r="D290" s="234" t="s">
        <v>5435</v>
      </c>
      <c r="E290" s="235">
        <v>19567</v>
      </c>
      <c r="F290" s="235">
        <v>46126</v>
      </c>
      <c r="G290" s="235">
        <v>46153</v>
      </c>
      <c r="H290" s="236" t="s">
        <v>4983</v>
      </c>
      <c r="I290" s="236" t="s">
        <v>4983</v>
      </c>
      <c r="J290" s="234" t="s">
        <v>4940</v>
      </c>
      <c r="K290" s="234" t="s">
        <v>5405</v>
      </c>
      <c r="L290" s="234" t="s">
        <v>5400</v>
      </c>
      <c r="M290" s="234" t="s">
        <v>4943</v>
      </c>
      <c r="N290" s="237" t="s">
        <v>4983</v>
      </c>
      <c r="O290" s="238" t="s">
        <v>850</v>
      </c>
    </row>
    <row r="291" spans="1:15" ht="14.1">
      <c r="A291" s="251">
        <v>425095</v>
      </c>
      <c r="B291" s="234">
        <v>425095</v>
      </c>
      <c r="C291" s="234">
        <v>2026</v>
      </c>
      <c r="D291" s="234" t="s">
        <v>5436</v>
      </c>
      <c r="E291" s="235">
        <v>27610</v>
      </c>
      <c r="F291" s="235">
        <v>46139</v>
      </c>
      <c r="G291" s="235">
        <v>46139</v>
      </c>
      <c r="H291" s="236" t="s">
        <v>5437</v>
      </c>
      <c r="I291" s="236" t="s">
        <v>5437</v>
      </c>
      <c r="J291" s="234" t="s">
        <v>4948</v>
      </c>
      <c r="K291" s="234" t="s">
        <v>5405</v>
      </c>
      <c r="L291" s="234" t="s">
        <v>5438</v>
      </c>
      <c r="M291" s="234"/>
      <c r="N291" s="237" t="s">
        <v>5437</v>
      </c>
      <c r="O291" s="238" t="s">
        <v>850</v>
      </c>
    </row>
    <row r="292" spans="1:15" ht="14.1">
      <c r="A292" s="251">
        <v>148130</v>
      </c>
      <c r="B292" s="234">
        <v>148130</v>
      </c>
      <c r="C292" s="234">
        <v>2026</v>
      </c>
      <c r="D292" s="234" t="s">
        <v>5434</v>
      </c>
      <c r="E292" s="235">
        <v>18068</v>
      </c>
      <c r="F292" s="235">
        <v>46149</v>
      </c>
      <c r="G292" s="235">
        <v>46176</v>
      </c>
      <c r="H292" s="236" t="s">
        <v>5439</v>
      </c>
      <c r="I292" s="236" t="s">
        <v>5439</v>
      </c>
      <c r="J292" s="234" t="s">
        <v>4940</v>
      </c>
      <c r="K292" s="234" t="s">
        <v>2700</v>
      </c>
      <c r="L292" s="234" t="s">
        <v>5237</v>
      </c>
      <c r="M292" s="234" t="s">
        <v>4943</v>
      </c>
      <c r="N292" s="237" t="s">
        <v>5439</v>
      </c>
      <c r="O292" s="238" t="s">
        <v>850</v>
      </c>
    </row>
    <row r="293" spans="1:15" ht="14.1">
      <c r="A293" s="251">
        <v>428352</v>
      </c>
      <c r="B293" s="234">
        <v>428352</v>
      </c>
      <c r="C293" s="234">
        <v>2026</v>
      </c>
      <c r="D293" s="234" t="s">
        <v>5440</v>
      </c>
      <c r="E293" s="235">
        <v>22512</v>
      </c>
      <c r="F293" s="235">
        <v>46128</v>
      </c>
      <c r="G293" s="235">
        <v>46185</v>
      </c>
      <c r="H293" s="236">
        <v>315</v>
      </c>
      <c r="I293" s="236">
        <v>315</v>
      </c>
      <c r="J293" s="234" t="s">
        <v>4940</v>
      </c>
      <c r="K293" s="234" t="s">
        <v>2700</v>
      </c>
      <c r="L293" s="234" t="s">
        <v>5400</v>
      </c>
      <c r="M293" s="234" t="s">
        <v>4943</v>
      </c>
      <c r="N293" s="237">
        <v>315</v>
      </c>
      <c r="O293" s="238" t="s">
        <v>850</v>
      </c>
    </row>
    <row r="294" spans="1:15" ht="14.1">
      <c r="A294" s="251">
        <v>935645</v>
      </c>
      <c r="B294" s="234">
        <v>935645</v>
      </c>
      <c r="C294" s="234">
        <v>2026</v>
      </c>
      <c r="D294" s="234" t="s">
        <v>5441</v>
      </c>
      <c r="E294" s="235">
        <v>20780</v>
      </c>
      <c r="F294" s="235">
        <v>46145</v>
      </c>
      <c r="G294" s="235">
        <v>46174</v>
      </c>
      <c r="H294" s="236">
        <v>312</v>
      </c>
      <c r="I294" s="236">
        <v>312</v>
      </c>
      <c r="J294" s="234" t="s">
        <v>4940</v>
      </c>
      <c r="K294" s="234" t="s">
        <v>2700</v>
      </c>
      <c r="L294" s="239" t="s">
        <v>5084</v>
      </c>
      <c r="M294" s="234" t="s">
        <v>4943</v>
      </c>
      <c r="N294" s="237">
        <v>312</v>
      </c>
      <c r="O294" s="238" t="s">
        <v>850</v>
      </c>
    </row>
    <row r="295" spans="1:15" ht="14.1">
      <c r="A295" s="251">
        <v>959559</v>
      </c>
      <c r="B295" s="234">
        <v>959559</v>
      </c>
      <c r="C295" s="234">
        <v>2026</v>
      </c>
      <c r="D295" s="234" t="s">
        <v>5442</v>
      </c>
      <c r="E295" s="235">
        <v>23601</v>
      </c>
      <c r="F295" s="235">
        <v>46148</v>
      </c>
      <c r="G295" s="235">
        <v>46176</v>
      </c>
      <c r="H295" s="236">
        <v>108</v>
      </c>
      <c r="I295" s="236">
        <v>108</v>
      </c>
      <c r="J295" s="234" t="s">
        <v>4940</v>
      </c>
      <c r="K295" s="234" t="s">
        <v>2700</v>
      </c>
      <c r="L295" s="234" t="s">
        <v>5274</v>
      </c>
      <c r="M295" s="234" t="s">
        <v>4943</v>
      </c>
      <c r="N295" s="237">
        <v>108</v>
      </c>
      <c r="O295" s="238" t="s">
        <v>850</v>
      </c>
    </row>
    <row r="296" spans="1:15" ht="14.1">
      <c r="A296" s="251">
        <v>942600</v>
      </c>
      <c r="B296" s="234">
        <v>942600</v>
      </c>
      <c r="C296" s="234">
        <v>2026</v>
      </c>
      <c r="D296" s="234" t="s">
        <v>5443</v>
      </c>
      <c r="E296" s="235">
        <v>36868</v>
      </c>
      <c r="F296" s="235">
        <v>46177</v>
      </c>
      <c r="G296" s="235">
        <v>46189</v>
      </c>
      <c r="H296" s="236">
        <v>214</v>
      </c>
      <c r="I296" s="236">
        <v>214</v>
      </c>
      <c r="J296" s="234" t="s">
        <v>4940</v>
      </c>
      <c r="K296" s="234" t="s">
        <v>2700</v>
      </c>
      <c r="L296" s="239" t="s">
        <v>5084</v>
      </c>
      <c r="M296" s="234" t="s">
        <v>4943</v>
      </c>
      <c r="N296" s="237">
        <v>214</v>
      </c>
      <c r="O296" s="238" t="s">
        <v>850</v>
      </c>
    </row>
    <row r="297" spans="1:15" ht="14.1">
      <c r="A297" s="251">
        <v>259997</v>
      </c>
      <c r="B297" s="234">
        <v>259997</v>
      </c>
      <c r="C297" s="234">
        <v>2026</v>
      </c>
      <c r="D297" s="234" t="s">
        <v>5444</v>
      </c>
      <c r="E297" s="235">
        <v>12135</v>
      </c>
      <c r="F297" s="235">
        <v>46180</v>
      </c>
      <c r="G297" s="235">
        <v>46195</v>
      </c>
      <c r="H297" s="236">
        <v>338</v>
      </c>
      <c r="I297" s="236">
        <v>338</v>
      </c>
      <c r="J297" s="234" t="s">
        <v>4940</v>
      </c>
      <c r="K297" s="234" t="s">
        <v>5445</v>
      </c>
      <c r="L297" s="239" t="s">
        <v>5084</v>
      </c>
      <c r="M297" s="234" t="s">
        <v>4943</v>
      </c>
      <c r="N297" s="237" t="s">
        <v>5446</v>
      </c>
      <c r="O297" s="238" t="s">
        <v>850</v>
      </c>
    </row>
    <row r="298" spans="1:15" ht="14.1">
      <c r="A298" s="251">
        <v>451042</v>
      </c>
      <c r="B298" s="234">
        <v>451042</v>
      </c>
      <c r="C298" s="234">
        <v>2026</v>
      </c>
      <c r="D298" s="234" t="s">
        <v>5447</v>
      </c>
      <c r="E298" s="235">
        <v>16045</v>
      </c>
      <c r="F298" s="235">
        <v>46169</v>
      </c>
      <c r="G298" s="235">
        <v>46204</v>
      </c>
      <c r="H298" s="236">
        <v>804</v>
      </c>
      <c r="I298" s="236">
        <v>804</v>
      </c>
      <c r="J298" s="234" t="s">
        <v>4940</v>
      </c>
      <c r="K298" s="234" t="s">
        <v>2700</v>
      </c>
      <c r="L298" s="239" t="s">
        <v>5084</v>
      </c>
      <c r="M298" s="234" t="s">
        <v>4943</v>
      </c>
      <c r="N298" s="237">
        <v>804</v>
      </c>
      <c r="O298" s="238" t="s">
        <v>850</v>
      </c>
    </row>
    <row r="299" spans="1:15" ht="14.1">
      <c r="A299" s="251">
        <v>480805</v>
      </c>
      <c r="B299" s="234">
        <v>480805</v>
      </c>
      <c r="C299" s="234">
        <v>2026</v>
      </c>
      <c r="D299" s="234" t="s">
        <v>5448</v>
      </c>
      <c r="E299" s="235">
        <v>16964</v>
      </c>
      <c r="F299" s="235">
        <v>46185</v>
      </c>
      <c r="G299" s="235">
        <v>46195</v>
      </c>
      <c r="H299" s="236">
        <v>607</v>
      </c>
      <c r="I299" s="236">
        <v>607</v>
      </c>
      <c r="J299" s="234" t="s">
        <v>4940</v>
      </c>
      <c r="K299" s="234" t="s">
        <v>59</v>
      </c>
      <c r="L299" s="239" t="s">
        <v>5084</v>
      </c>
      <c r="M299" s="234" t="s">
        <v>4950</v>
      </c>
      <c r="N299" s="237">
        <v>607</v>
      </c>
      <c r="O299" s="238" t="s">
        <v>850</v>
      </c>
    </row>
    <row r="300" spans="1:15" ht="14.1">
      <c r="A300" s="251">
        <v>942600</v>
      </c>
      <c r="B300" s="234">
        <v>942600</v>
      </c>
      <c r="C300" s="234">
        <v>2026</v>
      </c>
      <c r="D300" s="234" t="s">
        <v>5443</v>
      </c>
      <c r="E300" s="235">
        <v>36868</v>
      </c>
      <c r="F300" s="235">
        <v>46185</v>
      </c>
      <c r="G300" s="235">
        <v>46195</v>
      </c>
      <c r="H300" s="236">
        <v>103</v>
      </c>
      <c r="I300" s="236">
        <v>103</v>
      </c>
      <c r="J300" s="234" t="s">
        <v>4940</v>
      </c>
      <c r="K300" s="234" t="s">
        <v>2700</v>
      </c>
      <c r="L300" s="234" t="s">
        <v>5237</v>
      </c>
      <c r="M300" s="234" t="s">
        <v>4943</v>
      </c>
      <c r="N300" s="237">
        <v>103</v>
      </c>
      <c r="O300" s="238" t="s">
        <v>850</v>
      </c>
    </row>
    <row r="301" spans="1:15" ht="14.1">
      <c r="A301" s="251">
        <v>88308</v>
      </c>
      <c r="B301" s="234">
        <v>88308</v>
      </c>
      <c r="C301" s="234">
        <v>2026</v>
      </c>
      <c r="D301" s="234" t="s">
        <v>5449</v>
      </c>
      <c r="E301" s="235">
        <v>15481</v>
      </c>
      <c r="F301" s="235">
        <v>46186</v>
      </c>
      <c r="G301" s="235">
        <v>46192</v>
      </c>
      <c r="H301" s="236">
        <v>703</v>
      </c>
      <c r="I301" s="236">
        <v>703</v>
      </c>
      <c r="J301" s="234" t="s">
        <v>4940</v>
      </c>
      <c r="K301" s="234" t="s">
        <v>2700</v>
      </c>
      <c r="L301" s="239" t="s">
        <v>5084</v>
      </c>
      <c r="M301" s="234" t="s">
        <v>4943</v>
      </c>
      <c r="N301" s="237">
        <v>703</v>
      </c>
      <c r="O301" s="238" t="s">
        <v>850</v>
      </c>
    </row>
    <row r="302" spans="1:15" ht="14.1">
      <c r="A302" s="251">
        <v>573571</v>
      </c>
      <c r="B302" s="234">
        <v>573571</v>
      </c>
      <c r="C302" s="234">
        <v>2026</v>
      </c>
      <c r="D302" s="234" t="s">
        <v>5450</v>
      </c>
      <c r="E302" s="235">
        <v>43399</v>
      </c>
      <c r="F302" s="235">
        <v>46191</v>
      </c>
      <c r="G302" s="235">
        <v>46195</v>
      </c>
      <c r="H302" s="236">
        <v>303</v>
      </c>
      <c r="I302" s="236">
        <v>303</v>
      </c>
      <c r="J302" s="234" t="s">
        <v>4940</v>
      </c>
      <c r="K302" s="234" t="s">
        <v>5451</v>
      </c>
      <c r="L302" s="239" t="s">
        <v>5084</v>
      </c>
      <c r="M302" s="234" t="s">
        <v>4943</v>
      </c>
      <c r="N302" s="237">
        <v>303</v>
      </c>
      <c r="O302" s="238" t="s">
        <v>850</v>
      </c>
    </row>
    <row r="303" spans="1:15" ht="14.1">
      <c r="A303" s="251">
        <v>227950</v>
      </c>
      <c r="B303" s="234">
        <v>227950</v>
      </c>
      <c r="C303" s="234">
        <v>2026</v>
      </c>
      <c r="D303" s="234" t="s">
        <v>5452</v>
      </c>
      <c r="E303" s="235">
        <v>20224</v>
      </c>
      <c r="F303" s="243">
        <v>46162</v>
      </c>
      <c r="G303" s="235">
        <v>46210</v>
      </c>
      <c r="H303" s="236">
        <v>605</v>
      </c>
      <c r="I303" s="236">
        <v>605</v>
      </c>
      <c r="J303" s="234" t="s">
        <v>4940</v>
      </c>
      <c r="K303" s="234" t="s">
        <v>5453</v>
      </c>
      <c r="L303" s="234" t="s">
        <v>5400</v>
      </c>
      <c r="M303" s="234"/>
      <c r="N303" s="237">
        <v>605</v>
      </c>
      <c r="O303" s="238" t="s">
        <v>850</v>
      </c>
    </row>
    <row r="304" spans="1:15" ht="14.1">
      <c r="A304" s="251">
        <v>442934</v>
      </c>
      <c r="B304" s="234">
        <v>442934</v>
      </c>
      <c r="C304" s="234">
        <v>2026</v>
      </c>
      <c r="D304" s="234" t="s">
        <v>5454</v>
      </c>
      <c r="E304" s="235">
        <v>34749</v>
      </c>
      <c r="F304" s="235">
        <v>46201</v>
      </c>
      <c r="G304" s="235">
        <v>46210</v>
      </c>
      <c r="H304" s="236">
        <v>710</v>
      </c>
      <c r="I304" s="236">
        <v>710</v>
      </c>
      <c r="J304" s="234" t="s">
        <v>4948</v>
      </c>
      <c r="K304" s="234" t="s">
        <v>5455</v>
      </c>
      <c r="L304" s="234" t="s">
        <v>5318</v>
      </c>
      <c r="M304" s="234" t="s">
        <v>4943</v>
      </c>
      <c r="N304" s="237">
        <v>710</v>
      </c>
      <c r="O304" s="238" t="s">
        <v>850</v>
      </c>
    </row>
    <row r="305" spans="1:15" ht="14.1">
      <c r="A305" s="251">
        <v>917165</v>
      </c>
      <c r="B305" s="234">
        <v>917165</v>
      </c>
      <c r="C305" s="234">
        <v>2026</v>
      </c>
      <c r="D305" s="234" t="s">
        <v>5456</v>
      </c>
      <c r="E305" s="235">
        <v>31565</v>
      </c>
      <c r="F305" s="235">
        <v>46198</v>
      </c>
      <c r="G305" s="235">
        <v>46203</v>
      </c>
      <c r="H305" s="236">
        <v>609</v>
      </c>
      <c r="I305" s="236">
        <v>609</v>
      </c>
      <c r="J305" s="234" t="s">
        <v>4948</v>
      </c>
      <c r="K305" s="234" t="s">
        <v>5453</v>
      </c>
      <c r="L305" s="234" t="s">
        <v>5438</v>
      </c>
      <c r="M305" s="234" t="s">
        <v>4950</v>
      </c>
      <c r="N305" s="237">
        <v>609</v>
      </c>
      <c r="O305" s="238" t="s">
        <v>850</v>
      </c>
    </row>
    <row r="306" spans="1:15" ht="14.1">
      <c r="A306" s="251">
        <v>603284</v>
      </c>
      <c r="B306" s="234">
        <v>603284</v>
      </c>
      <c r="C306" s="234">
        <v>2026</v>
      </c>
      <c r="D306" s="234" t="s">
        <v>5457</v>
      </c>
      <c r="E306" s="235">
        <v>19776</v>
      </c>
      <c r="F306" s="235">
        <v>46203</v>
      </c>
      <c r="G306" s="235">
        <v>46252</v>
      </c>
      <c r="H306" s="236" t="s">
        <v>5070</v>
      </c>
      <c r="I306" s="236">
        <v>312</v>
      </c>
      <c r="J306" s="234" t="s">
        <v>4940</v>
      </c>
      <c r="K306" s="234" t="s">
        <v>2700</v>
      </c>
      <c r="L306" s="234" t="s">
        <v>5400</v>
      </c>
      <c r="M306" s="235" t="s">
        <v>4943</v>
      </c>
      <c r="N306" s="237" t="s">
        <v>5458</v>
      </c>
      <c r="O306" s="238" t="s">
        <v>850</v>
      </c>
    </row>
    <row r="307" spans="1:15" ht="14.1">
      <c r="A307" s="251">
        <v>889178</v>
      </c>
      <c r="B307" s="234">
        <v>7536217</v>
      </c>
      <c r="C307" s="234">
        <v>2026</v>
      </c>
      <c r="D307" s="234" t="s">
        <v>5459</v>
      </c>
      <c r="E307" s="235">
        <v>34746</v>
      </c>
      <c r="F307" s="235">
        <v>46135</v>
      </c>
      <c r="G307" s="235">
        <v>46281</v>
      </c>
      <c r="H307" s="236">
        <v>104</v>
      </c>
      <c r="I307" s="236">
        <v>104</v>
      </c>
      <c r="J307" s="234" t="s">
        <v>4940</v>
      </c>
      <c r="K307" s="234" t="s">
        <v>2700</v>
      </c>
      <c r="L307" s="239" t="s">
        <v>5084</v>
      </c>
      <c r="M307" s="235" t="s">
        <v>4950</v>
      </c>
      <c r="N307" s="237">
        <v>104</v>
      </c>
      <c r="O307" s="238" t="s">
        <v>850</v>
      </c>
    </row>
    <row r="308" spans="1:15" ht="14.1">
      <c r="A308" s="251">
        <v>972793</v>
      </c>
      <c r="B308" s="234">
        <v>7672239</v>
      </c>
      <c r="C308" s="234">
        <v>2026</v>
      </c>
      <c r="D308" s="234" t="s">
        <v>5460</v>
      </c>
      <c r="E308" s="235">
        <v>27220</v>
      </c>
      <c r="F308" s="235">
        <v>46203</v>
      </c>
      <c r="G308" s="235">
        <v>46205</v>
      </c>
      <c r="H308" s="236" t="s">
        <v>5461</v>
      </c>
      <c r="I308" s="236" t="s">
        <v>5461</v>
      </c>
      <c r="J308" s="234" t="s">
        <v>4940</v>
      </c>
      <c r="K308" s="234" t="s">
        <v>2700</v>
      </c>
      <c r="L308" s="234" t="s">
        <v>5400</v>
      </c>
      <c r="M308" s="235" t="s">
        <v>4943</v>
      </c>
      <c r="N308" s="237" t="s">
        <v>5461</v>
      </c>
      <c r="O308" s="238" t="s">
        <v>850</v>
      </c>
    </row>
    <row r="309" spans="1:15" ht="14.1">
      <c r="A309" s="251">
        <v>21312</v>
      </c>
      <c r="B309" s="234">
        <v>7739867</v>
      </c>
      <c r="C309" s="234">
        <v>2026</v>
      </c>
      <c r="D309" s="234" t="s">
        <v>5462</v>
      </c>
      <c r="E309" s="235">
        <v>17532</v>
      </c>
      <c r="F309" s="235">
        <v>46237</v>
      </c>
      <c r="G309" s="235">
        <v>46246</v>
      </c>
      <c r="H309" s="236">
        <v>404</v>
      </c>
      <c r="I309" s="236">
        <v>404</v>
      </c>
      <c r="J309" s="234" t="s">
        <v>4940</v>
      </c>
      <c r="K309" s="234" t="s">
        <v>5463</v>
      </c>
      <c r="L309" s="234" t="s">
        <v>5114</v>
      </c>
      <c r="M309" s="235" t="s">
        <v>4943</v>
      </c>
      <c r="N309" s="237">
        <v>404</v>
      </c>
      <c r="O309" s="238" t="s">
        <v>850</v>
      </c>
    </row>
    <row r="310" spans="1:15" ht="14.1">
      <c r="A310" s="251">
        <v>317751</v>
      </c>
      <c r="B310" s="234">
        <v>7733161</v>
      </c>
      <c r="C310" s="234">
        <v>2026</v>
      </c>
      <c r="D310" s="234" t="s">
        <v>5464</v>
      </c>
      <c r="E310" s="235">
        <v>18868</v>
      </c>
      <c r="F310" s="235">
        <v>46233</v>
      </c>
      <c r="G310" s="235">
        <v>46241</v>
      </c>
      <c r="H310" s="236">
        <v>805</v>
      </c>
      <c r="I310" s="236">
        <v>805</v>
      </c>
      <c r="J310" s="234" t="s">
        <v>4940</v>
      </c>
      <c r="K310" s="234" t="s">
        <v>2700</v>
      </c>
      <c r="L310" s="239" t="s">
        <v>5084</v>
      </c>
      <c r="M310" s="235" t="s">
        <v>4943</v>
      </c>
      <c r="N310" s="237">
        <v>805</v>
      </c>
      <c r="O310" s="238" t="s">
        <v>850</v>
      </c>
    </row>
    <row r="311" spans="1:15" ht="14.1">
      <c r="A311" s="251">
        <v>351583</v>
      </c>
      <c r="B311" s="234">
        <v>7784005</v>
      </c>
      <c r="C311" s="234">
        <v>2026</v>
      </c>
      <c r="D311" s="234" t="s">
        <v>5465</v>
      </c>
      <c r="E311" s="235">
        <v>13742</v>
      </c>
      <c r="F311" s="235">
        <v>46232</v>
      </c>
      <c r="G311" s="235">
        <v>46244</v>
      </c>
      <c r="H311" s="236">
        <v>804</v>
      </c>
      <c r="I311" s="236">
        <v>804</v>
      </c>
      <c r="J311" s="234" t="s">
        <v>4940</v>
      </c>
      <c r="K311" s="234" t="s">
        <v>2700</v>
      </c>
      <c r="L311" s="239" t="s">
        <v>5084</v>
      </c>
      <c r="M311" s="235" t="s">
        <v>4943</v>
      </c>
      <c r="N311" s="237">
        <v>804</v>
      </c>
      <c r="O311" s="238" t="s">
        <v>850</v>
      </c>
    </row>
    <row r="312" spans="1:15" ht="14.1">
      <c r="A312" s="251">
        <v>475741</v>
      </c>
      <c r="B312" s="234">
        <v>7739971</v>
      </c>
      <c r="C312" s="234">
        <v>2026</v>
      </c>
      <c r="D312" s="234" t="s">
        <v>5466</v>
      </c>
      <c r="E312" s="235">
        <v>15649</v>
      </c>
      <c r="F312" s="235">
        <v>46237</v>
      </c>
      <c r="G312" s="235">
        <v>46245</v>
      </c>
      <c r="H312" s="236">
        <v>405</v>
      </c>
      <c r="I312" s="236">
        <v>405</v>
      </c>
      <c r="J312" s="234" t="s">
        <v>4940</v>
      </c>
      <c r="K312" s="234" t="s">
        <v>5463</v>
      </c>
      <c r="L312" s="234" t="s">
        <v>5467</v>
      </c>
      <c r="M312" s="235" t="s">
        <v>4943</v>
      </c>
      <c r="N312" s="237">
        <v>405</v>
      </c>
      <c r="O312" s="238" t="s">
        <v>850</v>
      </c>
    </row>
    <row r="313" spans="1:15" ht="14.1">
      <c r="A313" s="251">
        <v>476967</v>
      </c>
      <c r="B313" s="234">
        <v>7736688</v>
      </c>
      <c r="C313" s="234">
        <v>2026</v>
      </c>
      <c r="D313" s="234" t="s">
        <v>5468</v>
      </c>
      <c r="E313" s="235">
        <v>19961</v>
      </c>
      <c r="F313" s="235">
        <v>46235</v>
      </c>
      <c r="G313" s="235">
        <v>46241</v>
      </c>
      <c r="H313" s="236">
        <v>307</v>
      </c>
      <c r="I313" s="236">
        <v>307</v>
      </c>
      <c r="J313" s="234" t="s">
        <v>4948</v>
      </c>
      <c r="K313" s="234" t="s">
        <v>5453</v>
      </c>
      <c r="L313" s="234" t="s">
        <v>5467</v>
      </c>
      <c r="M313" s="235" t="s">
        <v>4950</v>
      </c>
      <c r="N313" s="237">
        <v>307</v>
      </c>
      <c r="O313" s="238" t="s">
        <v>850</v>
      </c>
    </row>
    <row r="314" spans="1:15" ht="14.25" customHeight="1">
      <c r="A314" s="251">
        <v>317751</v>
      </c>
      <c r="B314" s="234">
        <v>7751530</v>
      </c>
      <c r="C314" s="234">
        <v>2026</v>
      </c>
      <c r="D314" s="234" t="s">
        <v>5464</v>
      </c>
      <c r="E314" s="235">
        <v>18868</v>
      </c>
      <c r="F314" s="244">
        <v>46243</v>
      </c>
      <c r="G314" s="244">
        <v>46248</v>
      </c>
      <c r="H314" s="245">
        <v>306</v>
      </c>
      <c r="I314" s="245">
        <v>305</v>
      </c>
      <c r="J314" s="246" t="s">
        <v>4940</v>
      </c>
      <c r="K314" s="246" t="s">
        <v>5469</v>
      </c>
      <c r="L314" s="246" t="s">
        <v>5237</v>
      </c>
      <c r="M314" s="235" t="s">
        <v>4943</v>
      </c>
      <c r="N314" s="237" t="s">
        <v>5470</v>
      </c>
      <c r="O314" s="246"/>
    </row>
    <row r="315" spans="1:15" ht="14.25" customHeight="1">
      <c r="A315" s="251">
        <v>928660</v>
      </c>
      <c r="B315" s="234">
        <v>7784756</v>
      </c>
      <c r="C315" s="234">
        <v>2026</v>
      </c>
      <c r="D315" s="234" t="s">
        <v>5471</v>
      </c>
      <c r="E315" s="235">
        <v>41778</v>
      </c>
      <c r="F315" s="235">
        <v>46249</v>
      </c>
      <c r="G315" s="235">
        <v>46251</v>
      </c>
      <c r="H315" s="236">
        <v>435</v>
      </c>
      <c r="I315" s="236">
        <v>435</v>
      </c>
      <c r="J315" s="234" t="s">
        <v>4948</v>
      </c>
      <c r="K315" s="235" t="s">
        <v>4339</v>
      </c>
      <c r="L315" s="235" t="s">
        <v>5089</v>
      </c>
      <c r="M315" s="235" t="s">
        <v>4943</v>
      </c>
      <c r="N315" s="237">
        <v>435</v>
      </c>
      <c r="O315" s="235"/>
    </row>
    <row r="316" spans="1:15" ht="15" customHeight="1">
      <c r="A316" s="251">
        <v>964879</v>
      </c>
      <c r="B316" s="234">
        <v>7673655</v>
      </c>
      <c r="C316" s="234">
        <v>2026</v>
      </c>
      <c r="D316" s="235" t="s">
        <v>5472</v>
      </c>
      <c r="E316" s="235">
        <v>34944</v>
      </c>
      <c r="F316" s="235">
        <v>46204</v>
      </c>
      <c r="G316" s="235">
        <v>46259</v>
      </c>
      <c r="H316" s="247">
        <v>712</v>
      </c>
      <c r="I316" s="247">
        <v>106</v>
      </c>
      <c r="J316" s="235" t="s">
        <v>4940</v>
      </c>
      <c r="K316" s="235" t="s">
        <v>4339</v>
      </c>
      <c r="L316" s="235" t="s">
        <v>5473</v>
      </c>
      <c r="M316" s="235" t="s">
        <v>4943</v>
      </c>
      <c r="N316" s="248" t="s">
        <v>5474</v>
      </c>
      <c r="O316" s="235"/>
    </row>
    <row r="317" spans="1:15" ht="14.25" customHeight="1">
      <c r="A317" s="251">
        <v>975097</v>
      </c>
      <c r="B317" s="234">
        <v>7762687</v>
      </c>
      <c r="C317" s="234">
        <v>2026</v>
      </c>
      <c r="D317" s="235" t="s">
        <v>5475</v>
      </c>
      <c r="E317" s="235">
        <v>15770</v>
      </c>
      <c r="F317" s="235">
        <v>46248</v>
      </c>
      <c r="G317" s="235">
        <v>46276</v>
      </c>
      <c r="H317" s="247">
        <v>303</v>
      </c>
      <c r="I317" s="247">
        <v>329</v>
      </c>
      <c r="J317" s="235" t="s">
        <v>4940</v>
      </c>
      <c r="K317" s="235" t="s">
        <v>5469</v>
      </c>
      <c r="L317" s="234" t="s">
        <v>5400</v>
      </c>
      <c r="M317" s="235" t="s">
        <v>4943</v>
      </c>
      <c r="N317" s="248" t="s">
        <v>5476</v>
      </c>
      <c r="O317" s="235"/>
    </row>
    <row r="318" spans="1:15" ht="14.25" customHeight="1">
      <c r="A318" s="251">
        <v>124097</v>
      </c>
      <c r="B318" s="234">
        <v>7759976</v>
      </c>
      <c r="C318" s="234">
        <v>2026</v>
      </c>
      <c r="D318" s="235" t="s">
        <v>5477</v>
      </c>
      <c r="E318" s="235">
        <v>15795</v>
      </c>
      <c r="F318" s="235">
        <v>46247</v>
      </c>
      <c r="G318" s="235">
        <v>46255</v>
      </c>
      <c r="H318" s="247">
        <v>306</v>
      </c>
      <c r="I318" s="234">
        <v>306</v>
      </c>
      <c r="J318" s="235" t="s">
        <v>4940</v>
      </c>
      <c r="K318" s="235" t="s">
        <v>5469</v>
      </c>
      <c r="L318" s="235" t="s">
        <v>5467</v>
      </c>
      <c r="M318" s="235" t="s">
        <v>4943</v>
      </c>
      <c r="N318" s="249">
        <v>306</v>
      </c>
      <c r="O318" s="235"/>
    </row>
    <row r="319" spans="1:15" ht="14.25" customHeight="1">
      <c r="A319" s="251">
        <v>155604</v>
      </c>
      <c r="B319" s="234">
        <v>7782606</v>
      </c>
      <c r="C319" s="234">
        <v>2026</v>
      </c>
      <c r="D319" s="234" t="s">
        <v>5478</v>
      </c>
      <c r="E319" s="235">
        <v>13950</v>
      </c>
      <c r="F319" s="235">
        <v>46259</v>
      </c>
      <c r="G319" s="235">
        <v>46271</v>
      </c>
      <c r="H319" s="234">
        <v>410</v>
      </c>
      <c r="I319" s="234">
        <v>311</v>
      </c>
      <c r="J319" s="234" t="s">
        <v>4940</v>
      </c>
      <c r="K319" s="234" t="s">
        <v>5469</v>
      </c>
      <c r="L319" s="234" t="s">
        <v>5473</v>
      </c>
      <c r="M319" s="234" t="s">
        <v>4943</v>
      </c>
      <c r="N319" s="234" t="s">
        <v>5479</v>
      </c>
      <c r="O319" s="234"/>
    </row>
    <row r="320" spans="1:15" ht="14.25" customHeight="1">
      <c r="A320" s="270" t="s">
        <v>5480</v>
      </c>
      <c r="B320" s="234">
        <v>7802133</v>
      </c>
      <c r="C320" s="234">
        <v>2026</v>
      </c>
      <c r="D320" s="234" t="s">
        <v>5481</v>
      </c>
      <c r="E320" s="235">
        <v>23230</v>
      </c>
      <c r="F320" s="235">
        <v>46268</v>
      </c>
      <c r="G320" s="235">
        <v>46285</v>
      </c>
      <c r="H320" s="234">
        <v>418</v>
      </c>
      <c r="I320" s="234">
        <v>608</v>
      </c>
      <c r="J320" s="234" t="s">
        <v>4940</v>
      </c>
      <c r="K320" s="234" t="s">
        <v>3740</v>
      </c>
      <c r="L320" s="272"/>
      <c r="M320" s="235" t="s">
        <v>4950</v>
      </c>
      <c r="N320" s="234" t="s">
        <v>5482</v>
      </c>
      <c r="O320" s="234"/>
    </row>
    <row r="321" spans="1:15">
      <c r="A321" s="251">
        <v>126082</v>
      </c>
      <c r="B321" s="234">
        <v>7811681</v>
      </c>
      <c r="C321" s="234">
        <v>2026</v>
      </c>
      <c r="D321" s="234" t="s">
        <v>5483</v>
      </c>
      <c r="E321" s="235">
        <v>14581</v>
      </c>
      <c r="F321" s="235">
        <v>46273</v>
      </c>
      <c r="G321" s="235">
        <v>46322</v>
      </c>
      <c r="H321" s="234">
        <v>208</v>
      </c>
      <c r="I321" s="234">
        <v>312</v>
      </c>
      <c r="J321" s="234" t="s">
        <v>5023</v>
      </c>
      <c r="K321" s="234" t="s">
        <v>5484</v>
      </c>
      <c r="L321" s="234" t="s">
        <v>3491</v>
      </c>
      <c r="M321" s="235" t="s">
        <v>4950</v>
      </c>
      <c r="N321" s="234" t="s">
        <v>5485</v>
      </c>
      <c r="O321" s="234"/>
    </row>
    <row r="322" spans="1:15">
      <c r="A322" s="251">
        <v>26018</v>
      </c>
      <c r="B322" s="234">
        <v>7820253</v>
      </c>
      <c r="C322" s="234">
        <v>2026</v>
      </c>
      <c r="D322" s="234" t="s">
        <v>5486</v>
      </c>
      <c r="E322" s="235">
        <v>14789</v>
      </c>
      <c r="F322" s="235">
        <v>46278</v>
      </c>
      <c r="G322" s="235">
        <v>46318</v>
      </c>
      <c r="H322" s="234">
        <v>301</v>
      </c>
      <c r="I322" s="234">
        <v>301</v>
      </c>
      <c r="J322" s="234" t="s">
        <v>4940</v>
      </c>
      <c r="K322" s="234" t="s">
        <v>5484</v>
      </c>
      <c r="L322" s="234" t="s">
        <v>3491</v>
      </c>
      <c r="M322" s="234" t="s">
        <v>4943</v>
      </c>
      <c r="N322" s="234">
        <v>301</v>
      </c>
      <c r="O322" s="234"/>
    </row>
    <row r="323" spans="1:15">
      <c r="A323" s="251">
        <v>451042</v>
      </c>
      <c r="B323" s="234">
        <v>7816723</v>
      </c>
      <c r="C323" s="234">
        <v>2026</v>
      </c>
      <c r="D323" s="234" t="s">
        <v>5447</v>
      </c>
      <c r="E323" s="235">
        <v>16045</v>
      </c>
      <c r="F323" s="235">
        <v>46275</v>
      </c>
      <c r="G323" s="235"/>
      <c r="H323" s="234">
        <v>303</v>
      </c>
      <c r="I323" s="234">
        <v>812</v>
      </c>
      <c r="J323" s="234" t="s">
        <v>4940</v>
      </c>
      <c r="K323" s="234" t="s">
        <v>5484</v>
      </c>
      <c r="L323" s="234" t="s">
        <v>3491</v>
      </c>
      <c r="M323" s="234" t="s">
        <v>5487</v>
      </c>
      <c r="N323" s="234" t="s">
        <v>5488</v>
      </c>
      <c r="O323" s="234" t="s">
        <v>5489</v>
      </c>
    </row>
    <row r="324" spans="1:15">
      <c r="A324" s="251">
        <v>88809</v>
      </c>
      <c r="B324" s="234">
        <v>7813699</v>
      </c>
      <c r="C324" s="234">
        <v>2026</v>
      </c>
      <c r="D324" s="234" t="s">
        <v>5490</v>
      </c>
      <c r="E324" s="235">
        <v>14472</v>
      </c>
      <c r="F324" s="235">
        <v>46274</v>
      </c>
      <c r="G324" s="235">
        <v>46289</v>
      </c>
      <c r="H324" s="234">
        <v>340</v>
      </c>
      <c r="I324" s="234">
        <v>808</v>
      </c>
      <c r="J324" s="234" t="s">
        <v>5023</v>
      </c>
      <c r="K324" s="234" t="s">
        <v>5484</v>
      </c>
      <c r="L324" s="234" t="s">
        <v>3491</v>
      </c>
      <c r="M324" s="235" t="s">
        <v>4950</v>
      </c>
      <c r="N324" s="234" t="s">
        <v>5491</v>
      </c>
      <c r="O324" s="234"/>
    </row>
    <row r="325" spans="1:15">
      <c r="A325" s="251">
        <v>857989</v>
      </c>
      <c r="B325" s="234">
        <v>7823253</v>
      </c>
      <c r="C325" s="234">
        <v>2026</v>
      </c>
      <c r="D325" s="234" t="s">
        <v>5492</v>
      </c>
      <c r="E325" s="235">
        <v>18024</v>
      </c>
      <c r="F325" s="235">
        <v>46279</v>
      </c>
      <c r="G325" s="235">
        <v>46286</v>
      </c>
      <c r="H325" s="234">
        <v>404</v>
      </c>
      <c r="I325" s="234">
        <v>404</v>
      </c>
      <c r="J325" s="234" t="s">
        <v>4940</v>
      </c>
      <c r="K325" s="234" t="s">
        <v>5493</v>
      </c>
      <c r="L325" s="234" t="s">
        <v>5473</v>
      </c>
      <c r="M325" s="234" t="s">
        <v>4943</v>
      </c>
      <c r="N325" s="234">
        <v>404</v>
      </c>
      <c r="O325" s="234"/>
    </row>
    <row r="326" spans="1:15">
      <c r="A326" s="251">
        <v>434628</v>
      </c>
      <c r="B326" s="234">
        <v>7818868</v>
      </c>
      <c r="C326" s="234">
        <v>2026</v>
      </c>
      <c r="D326" s="234" t="s">
        <v>5494</v>
      </c>
      <c r="E326" s="235">
        <v>16010</v>
      </c>
      <c r="F326" s="235">
        <v>46276</v>
      </c>
      <c r="G326" s="235">
        <v>46293</v>
      </c>
      <c r="H326" s="234">
        <v>609</v>
      </c>
      <c r="I326" s="234">
        <v>304</v>
      </c>
      <c r="J326" s="271" t="s">
        <v>4948</v>
      </c>
      <c r="K326" s="234" t="s">
        <v>5453</v>
      </c>
      <c r="L326" s="234" t="s">
        <v>5473</v>
      </c>
      <c r="M326" s="234" t="s">
        <v>4943</v>
      </c>
      <c r="N326" s="234" t="s">
        <v>5495</v>
      </c>
      <c r="O326" s="234"/>
    </row>
    <row r="327" spans="1:15" ht="51">
      <c r="A327" s="251">
        <v>940693</v>
      </c>
      <c r="B327" s="234">
        <v>7792721</v>
      </c>
      <c r="C327" s="234">
        <v>2026</v>
      </c>
      <c r="D327" s="234" t="s">
        <v>5496</v>
      </c>
      <c r="E327" s="235">
        <v>27983</v>
      </c>
      <c r="F327" s="235">
        <v>46263</v>
      </c>
      <c r="G327" s="235">
        <v>46291</v>
      </c>
      <c r="H327" s="234">
        <v>223</v>
      </c>
      <c r="I327" s="234">
        <v>104</v>
      </c>
      <c r="J327" s="234" t="s">
        <v>4940</v>
      </c>
      <c r="K327" s="234" t="s">
        <v>5484</v>
      </c>
      <c r="L327" s="234" t="s">
        <v>5473</v>
      </c>
      <c r="M327" s="235" t="s">
        <v>5497</v>
      </c>
      <c r="N327" s="238" t="s">
        <v>5498</v>
      </c>
      <c r="O327" s="234"/>
    </row>
    <row r="328" spans="1:15">
      <c r="A328" s="251">
        <v>729930</v>
      </c>
      <c r="B328" s="251">
        <v>7831233</v>
      </c>
      <c r="C328" s="234">
        <v>2026</v>
      </c>
      <c r="D328" s="234" t="s">
        <v>5499</v>
      </c>
      <c r="E328" s="235">
        <v>27612</v>
      </c>
      <c r="F328" s="235">
        <v>46282</v>
      </c>
      <c r="G328" s="235"/>
      <c r="H328" s="234">
        <v>415</v>
      </c>
      <c r="I328" s="234">
        <v>606</v>
      </c>
      <c r="J328" s="234" t="s">
        <v>4940</v>
      </c>
      <c r="K328" s="234" t="s">
        <v>1493</v>
      </c>
      <c r="L328" s="234" t="s">
        <v>5500</v>
      </c>
      <c r="M328" s="234" t="s">
        <v>5487</v>
      </c>
      <c r="N328" s="234" t="s">
        <v>5501</v>
      </c>
      <c r="O328" s="234"/>
    </row>
    <row r="329" spans="1:15" ht="14.25" customHeight="1">
      <c r="A329" s="251">
        <v>40740</v>
      </c>
      <c r="B329" s="234">
        <v>7811568</v>
      </c>
      <c r="C329" s="234">
        <v>2026</v>
      </c>
      <c r="D329" s="234" t="s">
        <v>5502</v>
      </c>
      <c r="E329" s="235">
        <v>25902</v>
      </c>
      <c r="F329" s="235">
        <v>46273</v>
      </c>
      <c r="G329" s="235"/>
      <c r="H329" s="234">
        <v>107</v>
      </c>
      <c r="I329" s="234">
        <v>801</v>
      </c>
      <c r="J329" s="234" t="s">
        <v>4940</v>
      </c>
      <c r="K329" s="234" t="s">
        <v>5484</v>
      </c>
      <c r="L329" s="234" t="s">
        <v>3491</v>
      </c>
      <c r="M329" s="234" t="s">
        <v>5487</v>
      </c>
      <c r="N329" s="234" t="s">
        <v>5503</v>
      </c>
      <c r="O329" s="234"/>
    </row>
    <row r="330" spans="1:15" ht="14.25" customHeight="1">
      <c r="A330" s="251">
        <v>105488</v>
      </c>
      <c r="B330" s="234">
        <v>7850023</v>
      </c>
      <c r="C330" s="234">
        <v>2026</v>
      </c>
      <c r="D330" s="234" t="s">
        <v>5504</v>
      </c>
      <c r="E330" s="235">
        <v>17818</v>
      </c>
      <c r="F330" s="235">
        <v>46292</v>
      </c>
      <c r="G330" s="235"/>
      <c r="H330" s="273" t="s">
        <v>4975</v>
      </c>
      <c r="I330" s="234"/>
      <c r="J330" s="234" t="s">
        <v>4940</v>
      </c>
      <c r="K330" s="234" t="s">
        <v>5493</v>
      </c>
      <c r="L330" s="234" t="s">
        <v>5400</v>
      </c>
      <c r="M330" s="234" t="s">
        <v>5487</v>
      </c>
      <c r="N330" s="234" t="s">
        <v>5505</v>
      </c>
      <c r="O330" s="234"/>
    </row>
    <row r="331" spans="1:15" ht="14.25" customHeight="1">
      <c r="A331" s="251">
        <v>903861</v>
      </c>
      <c r="B331" s="234">
        <v>7835269</v>
      </c>
      <c r="C331" s="234">
        <v>2026</v>
      </c>
      <c r="D331" s="234" t="s">
        <v>5506</v>
      </c>
      <c r="E331" s="235">
        <v>20575</v>
      </c>
      <c r="F331" s="235">
        <v>46286</v>
      </c>
      <c r="G331" s="235"/>
      <c r="H331" s="234">
        <v>211</v>
      </c>
      <c r="I331" s="234"/>
      <c r="J331" s="234" t="s">
        <v>4940</v>
      </c>
      <c r="K331" s="234" t="s">
        <v>1493</v>
      </c>
      <c r="L331" s="234" t="s">
        <v>3491</v>
      </c>
      <c r="M331" s="234" t="s">
        <v>5487</v>
      </c>
      <c r="N331" s="234" t="s">
        <v>5507</v>
      </c>
      <c r="O331" s="234"/>
    </row>
    <row r="332" spans="1:15" ht="14.25" customHeight="1">
      <c r="A332" s="251"/>
      <c r="B332" s="234"/>
      <c r="C332" s="234"/>
      <c r="D332" s="234"/>
      <c r="E332" s="235"/>
      <c r="F332" s="235"/>
      <c r="G332" s="235"/>
      <c r="H332" s="234"/>
      <c r="I332" s="234"/>
      <c r="J332" s="234"/>
      <c r="K332" s="234"/>
      <c r="L332" s="234"/>
      <c r="M332" s="234"/>
      <c r="N332" s="234"/>
      <c r="O332" s="234"/>
    </row>
    <row r="333" spans="1:15" ht="14.25" customHeight="1">
      <c r="A333" s="251"/>
      <c r="B333" s="234"/>
      <c r="C333" s="234"/>
      <c r="D333" s="234"/>
      <c r="E333" s="235"/>
      <c r="F333" s="235"/>
      <c r="G333" s="235"/>
      <c r="H333" s="234"/>
      <c r="I333" s="234"/>
      <c r="J333" s="234"/>
      <c r="K333" s="234"/>
      <c r="L333" s="234"/>
      <c r="M333" s="234"/>
      <c r="N333" s="234"/>
      <c r="O333" s="234"/>
    </row>
    <row r="334" spans="1:15" ht="14.25" customHeight="1">
      <c r="A334" s="251"/>
      <c r="B334" s="234"/>
      <c r="C334" s="234"/>
      <c r="D334" s="234"/>
      <c r="E334" s="235"/>
      <c r="F334" s="235"/>
      <c r="G334" s="235"/>
      <c r="H334" s="234"/>
      <c r="I334" s="234"/>
      <c r="J334" s="234"/>
      <c r="K334" s="234"/>
      <c r="L334" s="234"/>
      <c r="M334" s="234"/>
      <c r="N334" s="234"/>
      <c r="O334" s="234"/>
    </row>
    <row r="335" spans="1:15" ht="14.25" customHeight="1">
      <c r="A335" s="251"/>
      <c r="B335" s="234"/>
      <c r="C335" s="234"/>
      <c r="D335" s="234"/>
      <c r="E335" s="235"/>
      <c r="F335" s="235"/>
      <c r="G335" s="235"/>
      <c r="H335" s="234"/>
      <c r="I335" s="234"/>
      <c r="J335" s="234"/>
      <c r="K335" s="234"/>
      <c r="L335" s="234"/>
      <c r="M335" s="234"/>
      <c r="N335" s="234"/>
      <c r="O335" s="234"/>
    </row>
    <row r="336" spans="1:15" ht="14.25" customHeight="1">
      <c r="A336" s="251"/>
      <c r="B336" s="234"/>
      <c r="C336" s="234"/>
      <c r="D336" s="234"/>
      <c r="E336" s="235"/>
      <c r="F336" s="235"/>
      <c r="G336" s="235"/>
      <c r="H336" s="234"/>
      <c r="I336" s="234"/>
      <c r="J336" s="234"/>
      <c r="K336" s="234"/>
      <c r="L336" s="234"/>
      <c r="M336" s="234"/>
      <c r="N336" s="234"/>
      <c r="O336" s="234"/>
    </row>
    <row r="337" spans="1:15" ht="14.25" customHeight="1">
      <c r="A337" s="251"/>
      <c r="B337" s="234"/>
      <c r="C337" s="234"/>
      <c r="D337" s="234"/>
      <c r="E337" s="235"/>
      <c r="F337" s="235"/>
      <c r="G337" s="235"/>
      <c r="H337" s="234"/>
      <c r="I337" s="234"/>
      <c r="J337" s="234"/>
      <c r="K337" s="234"/>
      <c r="L337" s="234"/>
      <c r="M337" s="234"/>
      <c r="N337" s="234"/>
      <c r="O337" s="234"/>
    </row>
  </sheetData>
  <autoFilter ref="A1:O330" xr:uid="{880B5B1D-D7D8-417F-90BA-410ECD107CBF}"/>
  <conditionalFormatting sqref="J326">
    <cfRule type="cellIs" dxfId="57" priority="4" operator="equal">
      <formula>"Paliativo"</formula>
    </cfRule>
    <cfRule type="cellIs" dxfId="56" priority="5" operator="equal">
      <formula>"Crítico"</formula>
    </cfRule>
    <cfRule type="cellIs" dxfId="55" priority="6" operator="equal">
      <formula>"Estável"</formula>
    </cfRule>
  </conditionalFormatting>
  <dataValidations count="1">
    <dataValidation type="list" allowBlank="1" showErrorMessage="1" sqref="J326" xr:uid="{82DCE920-7FF3-480C-8EC4-2FDDF8813E32}">
      <formula1>"Estável, Crítico, Paliativo, Terminal"</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12F30-C565-4FED-BB8F-FA99BD125BE0}">
  <dimension ref="A1:I4107"/>
  <sheetViews>
    <sheetView topLeftCell="A4075" workbookViewId="0">
      <selection activeCell="E4113" sqref="E4113"/>
    </sheetView>
  </sheetViews>
  <sheetFormatPr defaultRowHeight="14.25" customHeight="1"/>
  <cols>
    <col min="1" max="1" width="24.375" style="199" customWidth="1"/>
    <col min="2" max="2" width="24.375" customWidth="1"/>
    <col min="3" max="3" width="24.375" style="151" customWidth="1"/>
    <col min="4" max="9" width="24.375" customWidth="1"/>
  </cols>
  <sheetData>
    <row r="1" spans="1:9" ht="14.1">
      <c r="A1" s="191" t="s">
        <v>5508</v>
      </c>
      <c r="B1" s="143" t="s">
        <v>818</v>
      </c>
      <c r="C1" s="149" t="s">
        <v>899</v>
      </c>
      <c r="D1" s="200" t="s">
        <v>1428</v>
      </c>
      <c r="E1" s="143" t="s">
        <v>5509</v>
      </c>
      <c r="F1" s="143" t="s">
        <v>927</v>
      </c>
      <c r="G1" s="143" t="s">
        <v>5510</v>
      </c>
      <c r="H1" s="143" t="s">
        <v>16</v>
      </c>
      <c r="I1" s="143" t="s">
        <v>4933</v>
      </c>
    </row>
    <row r="2" spans="1:9" ht="14.1">
      <c r="A2" s="192">
        <v>45518</v>
      </c>
      <c r="B2" s="145" t="s">
        <v>830</v>
      </c>
      <c r="C2" s="150">
        <v>2024</v>
      </c>
      <c r="D2" s="201" t="s">
        <v>1431</v>
      </c>
      <c r="E2" s="144" t="s">
        <v>1432</v>
      </c>
      <c r="F2" s="139" t="s">
        <v>88</v>
      </c>
      <c r="G2" s="144" t="s">
        <v>1433</v>
      </c>
      <c r="H2" s="146" t="s">
        <v>26</v>
      </c>
      <c r="I2" s="144" t="s">
        <v>59</v>
      </c>
    </row>
    <row r="3" spans="1:9" ht="14.1">
      <c r="A3" s="192">
        <v>45518</v>
      </c>
      <c r="B3" s="145" t="s">
        <v>830</v>
      </c>
      <c r="C3" s="150">
        <v>2024</v>
      </c>
      <c r="D3" s="201" t="s">
        <v>1431</v>
      </c>
      <c r="E3" s="144" t="s">
        <v>1434</v>
      </c>
      <c r="F3" s="139" t="s">
        <v>88</v>
      </c>
      <c r="G3" s="144" t="s">
        <v>1435</v>
      </c>
      <c r="H3" s="146" t="s">
        <v>130</v>
      </c>
      <c r="I3" s="144" t="s">
        <v>1436</v>
      </c>
    </row>
    <row r="4" spans="1:9" ht="25.5">
      <c r="A4" s="192">
        <v>45518</v>
      </c>
      <c r="B4" s="145" t="s">
        <v>830</v>
      </c>
      <c r="C4" s="150">
        <v>2024</v>
      </c>
      <c r="D4" s="201" t="s">
        <v>1431</v>
      </c>
      <c r="E4" s="144" t="s">
        <v>1438</v>
      </c>
      <c r="F4" s="140" t="s">
        <v>1439</v>
      </c>
      <c r="G4" s="144" t="s">
        <v>1440</v>
      </c>
      <c r="H4" s="146" t="s">
        <v>130</v>
      </c>
      <c r="I4" s="144" t="s">
        <v>1441</v>
      </c>
    </row>
    <row r="5" spans="1:9" ht="14.1">
      <c r="A5" s="192">
        <v>45518</v>
      </c>
      <c r="B5" s="145" t="s">
        <v>830</v>
      </c>
      <c r="C5" s="150">
        <v>2024</v>
      </c>
      <c r="D5" s="201" t="s">
        <v>1431</v>
      </c>
      <c r="E5" s="144" t="s">
        <v>1432</v>
      </c>
      <c r="F5" s="139" t="s">
        <v>88</v>
      </c>
      <c r="G5" s="144" t="s">
        <v>1443</v>
      </c>
      <c r="H5" s="146" t="s">
        <v>26</v>
      </c>
      <c r="I5" s="144" t="s">
        <v>59</v>
      </c>
    </row>
    <row r="6" spans="1:9" ht="14.1">
      <c r="A6" s="192">
        <v>45518</v>
      </c>
      <c r="B6" s="145" t="s">
        <v>830</v>
      </c>
      <c r="C6" s="150">
        <v>2024</v>
      </c>
      <c r="D6" s="201" t="s">
        <v>1431</v>
      </c>
      <c r="E6" s="144" t="s">
        <v>1432</v>
      </c>
      <c r="F6" s="141" t="s">
        <v>821</v>
      </c>
      <c r="G6" s="144" t="s">
        <v>1445</v>
      </c>
      <c r="H6" s="146" t="s">
        <v>26</v>
      </c>
      <c r="I6" s="144" t="s">
        <v>59</v>
      </c>
    </row>
    <row r="7" spans="1:9" ht="14.1">
      <c r="A7" s="192">
        <v>45518</v>
      </c>
      <c r="B7" s="145" t="s">
        <v>830</v>
      </c>
      <c r="C7" s="150">
        <v>2024</v>
      </c>
      <c r="D7" s="201" t="s">
        <v>1431</v>
      </c>
      <c r="E7" s="144" t="s">
        <v>1432</v>
      </c>
      <c r="F7" s="141" t="s">
        <v>821</v>
      </c>
      <c r="G7" s="144" t="s">
        <v>1447</v>
      </c>
      <c r="H7" s="146" t="s">
        <v>130</v>
      </c>
      <c r="I7" s="144" t="s">
        <v>59</v>
      </c>
    </row>
    <row r="8" spans="1:9" ht="25.5">
      <c r="A8" s="192">
        <v>45518</v>
      </c>
      <c r="B8" s="145" t="s">
        <v>830</v>
      </c>
      <c r="C8" s="150">
        <v>2024</v>
      </c>
      <c r="D8" s="201" t="s">
        <v>1431</v>
      </c>
      <c r="E8" s="144" t="s">
        <v>1449</v>
      </c>
      <c r="F8" s="139" t="s">
        <v>88</v>
      </c>
      <c r="G8" s="144" t="s">
        <v>1450</v>
      </c>
      <c r="H8" s="146" t="s">
        <v>26</v>
      </c>
      <c r="I8" s="144" t="s">
        <v>1436</v>
      </c>
    </row>
    <row r="9" spans="1:9" ht="25.5">
      <c r="A9" s="192">
        <v>45518</v>
      </c>
      <c r="B9" s="145" t="s">
        <v>830</v>
      </c>
      <c r="C9" s="150">
        <v>2024</v>
      </c>
      <c r="D9" s="201" t="s">
        <v>1431</v>
      </c>
      <c r="E9" s="144" t="s">
        <v>1449</v>
      </c>
      <c r="F9" s="139" t="s">
        <v>88</v>
      </c>
      <c r="G9" s="144" t="s">
        <v>1452</v>
      </c>
      <c r="H9" s="146" t="s">
        <v>130</v>
      </c>
      <c r="I9" s="144" t="s">
        <v>1453</v>
      </c>
    </row>
    <row r="10" spans="1:9" ht="25.5">
      <c r="A10" s="192">
        <v>45518</v>
      </c>
      <c r="B10" s="145" t="s">
        <v>830</v>
      </c>
      <c r="C10" s="150">
        <v>2024</v>
      </c>
      <c r="D10" s="201" t="s">
        <v>1431</v>
      </c>
      <c r="E10" s="144" t="s">
        <v>988</v>
      </c>
      <c r="F10" s="139" t="s">
        <v>88</v>
      </c>
      <c r="G10" s="144" t="s">
        <v>1455</v>
      </c>
      <c r="H10" s="146" t="s">
        <v>26</v>
      </c>
      <c r="I10" s="144" t="s">
        <v>1436</v>
      </c>
    </row>
    <row r="11" spans="1:9" ht="25.5">
      <c r="A11" s="192">
        <v>45518</v>
      </c>
      <c r="B11" s="145" t="s">
        <v>830</v>
      </c>
      <c r="C11" s="150">
        <v>2024</v>
      </c>
      <c r="D11" s="201" t="s">
        <v>1431</v>
      </c>
      <c r="E11" s="144" t="s">
        <v>1432</v>
      </c>
      <c r="F11" s="141" t="s">
        <v>821</v>
      </c>
      <c r="G11" s="144" t="s">
        <v>1456</v>
      </c>
      <c r="H11" s="146" t="s">
        <v>26</v>
      </c>
      <c r="I11" s="144" t="s">
        <v>149</v>
      </c>
    </row>
    <row r="12" spans="1:9" ht="25.5">
      <c r="A12" s="192">
        <v>45518</v>
      </c>
      <c r="B12" s="145" t="s">
        <v>830</v>
      </c>
      <c r="C12" s="150">
        <v>2024</v>
      </c>
      <c r="D12" s="201" t="s">
        <v>1431</v>
      </c>
      <c r="E12" s="144" t="s">
        <v>1438</v>
      </c>
      <c r="F12" s="140" t="s">
        <v>1439</v>
      </c>
      <c r="G12" s="144" t="s">
        <v>1457</v>
      </c>
      <c r="H12" s="146" t="s">
        <v>130</v>
      </c>
      <c r="I12" s="144" t="s">
        <v>1458</v>
      </c>
    </row>
    <row r="13" spans="1:9" ht="14.1">
      <c r="A13" s="192">
        <v>45519</v>
      </c>
      <c r="B13" s="145" t="s">
        <v>830</v>
      </c>
      <c r="C13" s="150">
        <v>2024</v>
      </c>
      <c r="D13" s="201" t="s">
        <v>1431</v>
      </c>
      <c r="E13" s="144" t="s">
        <v>988</v>
      </c>
      <c r="F13" s="140" t="s">
        <v>1439</v>
      </c>
      <c r="G13" s="144" t="s">
        <v>1459</v>
      </c>
      <c r="H13" s="146" t="s">
        <v>26</v>
      </c>
      <c r="I13" s="144" t="s">
        <v>452</v>
      </c>
    </row>
    <row r="14" spans="1:9" ht="75.599999999999994">
      <c r="A14" s="192">
        <v>45519</v>
      </c>
      <c r="B14" s="145" t="s">
        <v>830</v>
      </c>
      <c r="C14" s="150">
        <v>2024</v>
      </c>
      <c r="D14" s="201" t="s">
        <v>1431</v>
      </c>
      <c r="E14" s="144" t="s">
        <v>1432</v>
      </c>
      <c r="F14" s="147" t="s">
        <v>859</v>
      </c>
      <c r="G14" s="144" t="s">
        <v>1460</v>
      </c>
      <c r="H14" s="146" t="s">
        <v>26</v>
      </c>
      <c r="I14" s="144" t="s">
        <v>1461</v>
      </c>
    </row>
    <row r="15" spans="1:9" ht="14.1">
      <c r="A15" s="192">
        <v>45519</v>
      </c>
      <c r="B15" s="145" t="s">
        <v>830</v>
      </c>
      <c r="C15" s="150">
        <v>2024</v>
      </c>
      <c r="D15" s="201" t="s">
        <v>1431</v>
      </c>
      <c r="E15" s="144" t="s">
        <v>1432</v>
      </c>
      <c r="F15" s="141" t="s">
        <v>821</v>
      </c>
      <c r="G15" s="144" t="s">
        <v>1463</v>
      </c>
      <c r="H15" s="146" t="s">
        <v>26</v>
      </c>
      <c r="I15" s="144" t="s">
        <v>1436</v>
      </c>
    </row>
    <row r="16" spans="1:9" ht="14.1">
      <c r="A16" s="192">
        <v>45519</v>
      </c>
      <c r="B16" s="145" t="s">
        <v>830</v>
      </c>
      <c r="C16" s="150">
        <v>2024</v>
      </c>
      <c r="D16" s="201" t="s">
        <v>1431</v>
      </c>
      <c r="E16" s="144" t="s">
        <v>1432</v>
      </c>
      <c r="F16" s="141" t="s">
        <v>821</v>
      </c>
      <c r="G16" s="144" t="s">
        <v>1464</v>
      </c>
      <c r="H16" s="146" t="s">
        <v>26</v>
      </c>
      <c r="I16" s="144" t="s">
        <v>149</v>
      </c>
    </row>
    <row r="17" spans="1:9" ht="14.1">
      <c r="A17" s="192">
        <v>45520</v>
      </c>
      <c r="B17" s="145" t="s">
        <v>830</v>
      </c>
      <c r="C17" s="150">
        <v>2024</v>
      </c>
      <c r="D17" s="201" t="s">
        <v>1431</v>
      </c>
      <c r="E17" s="144" t="s">
        <v>88</v>
      </c>
      <c r="F17" s="139" t="s">
        <v>88</v>
      </c>
      <c r="G17" s="144" t="s">
        <v>1465</v>
      </c>
      <c r="H17" s="146" t="s">
        <v>26</v>
      </c>
      <c r="I17" s="144" t="s">
        <v>1466</v>
      </c>
    </row>
    <row r="18" spans="1:9" ht="14.1">
      <c r="A18" s="192">
        <v>45520</v>
      </c>
      <c r="B18" s="145" t="s">
        <v>830</v>
      </c>
      <c r="C18" s="150">
        <v>2024</v>
      </c>
      <c r="D18" s="201" t="s">
        <v>1431</v>
      </c>
      <c r="E18" s="144" t="s">
        <v>88</v>
      </c>
      <c r="F18" s="142" t="s">
        <v>872</v>
      </c>
      <c r="G18" s="144" t="s">
        <v>1468</v>
      </c>
      <c r="H18" s="146" t="s">
        <v>26</v>
      </c>
      <c r="I18" s="144" t="s">
        <v>1469</v>
      </c>
    </row>
    <row r="19" spans="1:9" ht="25.5">
      <c r="A19" s="192">
        <v>45520</v>
      </c>
      <c r="B19" s="145" t="s">
        <v>830</v>
      </c>
      <c r="C19" s="150">
        <v>2024</v>
      </c>
      <c r="D19" s="201" t="s">
        <v>1431</v>
      </c>
      <c r="E19" s="144" t="s">
        <v>1449</v>
      </c>
      <c r="F19" s="139" t="s">
        <v>88</v>
      </c>
      <c r="G19" s="144" t="s">
        <v>1470</v>
      </c>
      <c r="H19" s="146" t="s">
        <v>26</v>
      </c>
      <c r="I19" s="144" t="s">
        <v>1471</v>
      </c>
    </row>
    <row r="20" spans="1:9" ht="38.1">
      <c r="A20" s="192">
        <v>45520</v>
      </c>
      <c r="B20" s="145" t="s">
        <v>830</v>
      </c>
      <c r="C20" s="150">
        <v>2024</v>
      </c>
      <c r="D20" s="201" t="s">
        <v>1431</v>
      </c>
      <c r="E20" s="144" t="s">
        <v>1473</v>
      </c>
      <c r="F20" s="147" t="s">
        <v>859</v>
      </c>
      <c r="G20" s="144" t="s">
        <v>1474</v>
      </c>
      <c r="H20" s="146" t="s">
        <v>26</v>
      </c>
      <c r="I20" s="144" t="s">
        <v>1475</v>
      </c>
    </row>
    <row r="21" spans="1:9" ht="25.5">
      <c r="A21" s="192">
        <v>45520</v>
      </c>
      <c r="B21" s="145" t="s">
        <v>830</v>
      </c>
      <c r="C21" s="150">
        <v>2024</v>
      </c>
      <c r="D21" s="201" t="s">
        <v>1431</v>
      </c>
      <c r="E21" s="144" t="s">
        <v>1449</v>
      </c>
      <c r="F21" s="139" t="s">
        <v>88</v>
      </c>
      <c r="G21" s="144" t="s">
        <v>1477</v>
      </c>
      <c r="H21" s="146" t="s">
        <v>26</v>
      </c>
      <c r="I21" s="144" t="s">
        <v>1436</v>
      </c>
    </row>
    <row r="22" spans="1:9" ht="25.5">
      <c r="A22" s="192">
        <v>45523</v>
      </c>
      <c r="B22" s="145" t="s">
        <v>830</v>
      </c>
      <c r="C22" s="150">
        <v>2024</v>
      </c>
      <c r="D22" s="201" t="s">
        <v>1431</v>
      </c>
      <c r="E22" s="144" t="s">
        <v>1438</v>
      </c>
      <c r="F22" s="141" t="s">
        <v>821</v>
      </c>
      <c r="G22" s="144" t="s">
        <v>1479</v>
      </c>
      <c r="H22" s="146" t="s">
        <v>26</v>
      </c>
      <c r="I22" s="144" t="s">
        <v>1436</v>
      </c>
    </row>
    <row r="23" spans="1:9" ht="25.5">
      <c r="A23" s="192">
        <v>45523</v>
      </c>
      <c r="B23" s="145" t="s">
        <v>830</v>
      </c>
      <c r="C23" s="150">
        <v>2024</v>
      </c>
      <c r="D23" s="201" t="s">
        <v>1431</v>
      </c>
      <c r="E23" s="144" t="s">
        <v>1432</v>
      </c>
      <c r="F23" s="141" t="s">
        <v>821</v>
      </c>
      <c r="G23" s="144" t="s">
        <v>1481</v>
      </c>
      <c r="H23" s="146" t="s">
        <v>130</v>
      </c>
      <c r="I23" s="144" t="s">
        <v>149</v>
      </c>
    </row>
    <row r="24" spans="1:9" ht="14.1">
      <c r="A24" s="192">
        <v>45523</v>
      </c>
      <c r="B24" s="145" t="s">
        <v>830</v>
      </c>
      <c r="C24" s="150">
        <v>2024</v>
      </c>
      <c r="D24" s="201" t="s">
        <v>1431</v>
      </c>
      <c r="E24" s="144" t="s">
        <v>1432</v>
      </c>
      <c r="F24" s="140" t="s">
        <v>1439</v>
      </c>
      <c r="G24" s="144" t="s">
        <v>1483</v>
      </c>
      <c r="H24" s="146" t="s">
        <v>130</v>
      </c>
      <c r="I24" s="144" t="s">
        <v>1458</v>
      </c>
    </row>
    <row r="25" spans="1:9" ht="25.5">
      <c r="A25" s="192">
        <v>45524</v>
      </c>
      <c r="B25" s="145" t="s">
        <v>830</v>
      </c>
      <c r="C25" s="150">
        <v>2024</v>
      </c>
      <c r="D25" s="201" t="s">
        <v>1431</v>
      </c>
      <c r="E25" s="144" t="s">
        <v>1300</v>
      </c>
      <c r="F25" s="139" t="s">
        <v>88</v>
      </c>
      <c r="G25" s="144" t="s">
        <v>1484</v>
      </c>
      <c r="H25" s="146" t="s">
        <v>26</v>
      </c>
      <c r="I25" s="144" t="s">
        <v>452</v>
      </c>
    </row>
    <row r="26" spans="1:9" ht="38.1">
      <c r="A26" s="192">
        <v>45524</v>
      </c>
      <c r="B26" s="145" t="s">
        <v>830</v>
      </c>
      <c r="C26" s="150">
        <v>2024</v>
      </c>
      <c r="D26" s="201" t="s">
        <v>1431</v>
      </c>
      <c r="E26" s="144" t="s">
        <v>1432</v>
      </c>
      <c r="F26" s="141" t="s">
        <v>821</v>
      </c>
      <c r="G26" s="144" t="s">
        <v>1485</v>
      </c>
      <c r="H26" s="146" t="s">
        <v>26</v>
      </c>
      <c r="I26" s="144" t="s">
        <v>59</v>
      </c>
    </row>
    <row r="27" spans="1:9" ht="25.5">
      <c r="A27" s="192">
        <v>45524</v>
      </c>
      <c r="B27" s="145" t="s">
        <v>830</v>
      </c>
      <c r="C27" s="150">
        <v>2024</v>
      </c>
      <c r="D27" s="201" t="s">
        <v>1431</v>
      </c>
      <c r="E27" s="144" t="s">
        <v>1432</v>
      </c>
      <c r="F27" s="141" t="s">
        <v>821</v>
      </c>
      <c r="G27" s="144" t="s">
        <v>1487</v>
      </c>
      <c r="H27" s="146" t="s">
        <v>26</v>
      </c>
      <c r="I27" s="144" t="s">
        <v>59</v>
      </c>
    </row>
    <row r="28" spans="1:9" ht="25.5">
      <c r="A28" s="192">
        <v>45524</v>
      </c>
      <c r="B28" s="145" t="s">
        <v>830</v>
      </c>
      <c r="C28" s="150">
        <v>2024</v>
      </c>
      <c r="D28" s="201" t="s">
        <v>1431</v>
      </c>
      <c r="E28" s="144" t="s">
        <v>1432</v>
      </c>
      <c r="F28" s="141" t="s">
        <v>821</v>
      </c>
      <c r="G28" s="144" t="s">
        <v>1488</v>
      </c>
      <c r="H28" s="146" t="s">
        <v>26</v>
      </c>
      <c r="I28" s="144" t="s">
        <v>59</v>
      </c>
    </row>
    <row r="29" spans="1:9" ht="63">
      <c r="A29" s="192">
        <v>45524</v>
      </c>
      <c r="B29" s="145" t="s">
        <v>830</v>
      </c>
      <c r="C29" s="150">
        <v>2024</v>
      </c>
      <c r="D29" s="201" t="s">
        <v>1431</v>
      </c>
      <c r="E29" s="144" t="s">
        <v>1432</v>
      </c>
      <c r="F29" s="140" t="s">
        <v>1439</v>
      </c>
      <c r="G29" s="144" t="s">
        <v>1489</v>
      </c>
      <c r="H29" s="146" t="s">
        <v>26</v>
      </c>
      <c r="I29" s="144" t="s">
        <v>1490</v>
      </c>
    </row>
    <row r="30" spans="1:9" ht="14.1">
      <c r="A30" s="192">
        <v>45524</v>
      </c>
      <c r="B30" s="145" t="s">
        <v>830</v>
      </c>
      <c r="C30" s="150">
        <v>2024</v>
      </c>
      <c r="D30" s="201" t="s">
        <v>1431</v>
      </c>
      <c r="E30" s="144" t="s">
        <v>1491</v>
      </c>
      <c r="F30" s="139" t="s">
        <v>88</v>
      </c>
      <c r="G30" s="144" t="s">
        <v>1492</v>
      </c>
      <c r="H30" s="146" t="s">
        <v>130</v>
      </c>
      <c r="I30" s="144" t="s">
        <v>1493</v>
      </c>
    </row>
    <row r="31" spans="1:9" ht="14.1">
      <c r="A31" s="192">
        <v>45524</v>
      </c>
      <c r="B31" s="145" t="s">
        <v>830</v>
      </c>
      <c r="C31" s="150">
        <v>2024</v>
      </c>
      <c r="D31" s="201" t="s">
        <v>1431</v>
      </c>
      <c r="E31" s="144" t="s">
        <v>1432</v>
      </c>
      <c r="F31" s="141" t="s">
        <v>821</v>
      </c>
      <c r="G31" s="144" t="s">
        <v>1494</v>
      </c>
      <c r="H31" s="146" t="s">
        <v>26</v>
      </c>
      <c r="I31" s="144" t="s">
        <v>59</v>
      </c>
    </row>
    <row r="32" spans="1:9" ht="25.5">
      <c r="A32" s="192">
        <v>45525</v>
      </c>
      <c r="B32" s="145" t="s">
        <v>830</v>
      </c>
      <c r="C32" s="150">
        <v>2024</v>
      </c>
      <c r="D32" s="201" t="s">
        <v>1431</v>
      </c>
      <c r="E32" s="144" t="s">
        <v>1495</v>
      </c>
      <c r="F32" s="147" t="s">
        <v>859</v>
      </c>
      <c r="G32" s="144" t="s">
        <v>1496</v>
      </c>
      <c r="H32" s="146" t="s">
        <v>26</v>
      </c>
      <c r="I32" s="144" t="s">
        <v>1436</v>
      </c>
    </row>
    <row r="33" spans="1:9" ht="25.5">
      <c r="A33" s="192">
        <v>45525</v>
      </c>
      <c r="B33" s="145" t="s">
        <v>830</v>
      </c>
      <c r="C33" s="150">
        <v>2024</v>
      </c>
      <c r="D33" s="201" t="s">
        <v>1431</v>
      </c>
      <c r="E33" s="144" t="s">
        <v>1432</v>
      </c>
      <c r="F33" s="141" t="s">
        <v>821</v>
      </c>
      <c r="G33" s="144" t="s">
        <v>1498</v>
      </c>
      <c r="H33" s="146" t="s">
        <v>26</v>
      </c>
      <c r="I33" s="144" t="s">
        <v>59</v>
      </c>
    </row>
    <row r="34" spans="1:9" ht="25.5">
      <c r="A34" s="192">
        <v>45525</v>
      </c>
      <c r="B34" s="145" t="s">
        <v>830</v>
      </c>
      <c r="C34" s="150">
        <v>2024</v>
      </c>
      <c r="D34" s="201" t="s">
        <v>1431</v>
      </c>
      <c r="E34" s="144" t="s">
        <v>988</v>
      </c>
      <c r="F34" s="139" t="s">
        <v>88</v>
      </c>
      <c r="G34" s="144" t="s">
        <v>1499</v>
      </c>
      <c r="H34" s="146" t="s">
        <v>26</v>
      </c>
      <c r="I34" s="144" t="s">
        <v>910</v>
      </c>
    </row>
    <row r="35" spans="1:9" ht="75.599999999999994">
      <c r="A35" s="192">
        <v>45525</v>
      </c>
      <c r="B35" s="145" t="s">
        <v>830</v>
      </c>
      <c r="C35" s="150">
        <v>2024</v>
      </c>
      <c r="D35" s="201" t="s">
        <v>1431</v>
      </c>
      <c r="E35" s="144" t="s">
        <v>1432</v>
      </c>
      <c r="F35" s="140" t="s">
        <v>1439</v>
      </c>
      <c r="G35" s="144" t="s">
        <v>1501</v>
      </c>
      <c r="H35" s="146" t="s">
        <v>26</v>
      </c>
      <c r="I35" s="144" t="s">
        <v>59</v>
      </c>
    </row>
    <row r="36" spans="1:9" ht="38.1">
      <c r="A36" s="192">
        <v>45526</v>
      </c>
      <c r="B36" s="145" t="s">
        <v>830</v>
      </c>
      <c r="C36" s="150">
        <v>2024</v>
      </c>
      <c r="D36" s="201" t="s">
        <v>1431</v>
      </c>
      <c r="E36" s="144" t="s">
        <v>574</v>
      </c>
      <c r="F36" s="139" t="s">
        <v>88</v>
      </c>
      <c r="G36" s="144" t="s">
        <v>1503</v>
      </c>
      <c r="H36" s="146" t="s">
        <v>26</v>
      </c>
      <c r="I36" s="144" t="s">
        <v>1436</v>
      </c>
    </row>
    <row r="37" spans="1:9" ht="14.1">
      <c r="A37" s="192">
        <v>45526</v>
      </c>
      <c r="B37" s="145" t="s">
        <v>830</v>
      </c>
      <c r="C37" s="150">
        <v>2024</v>
      </c>
      <c r="D37" s="201" t="s">
        <v>1431</v>
      </c>
      <c r="E37" s="144" t="s">
        <v>1504</v>
      </c>
      <c r="F37" s="141" t="s">
        <v>821</v>
      </c>
      <c r="G37" s="144" t="s">
        <v>1505</v>
      </c>
      <c r="H37" s="146" t="s">
        <v>26</v>
      </c>
      <c r="I37" s="144" t="s">
        <v>59</v>
      </c>
    </row>
    <row r="38" spans="1:9" ht="25.5">
      <c r="A38" s="192">
        <v>45526</v>
      </c>
      <c r="B38" s="145" t="s">
        <v>830</v>
      </c>
      <c r="C38" s="150">
        <v>2024</v>
      </c>
      <c r="D38" s="201" t="s">
        <v>1431</v>
      </c>
      <c r="E38" s="144" t="s">
        <v>1506</v>
      </c>
      <c r="F38" s="139" t="s">
        <v>88</v>
      </c>
      <c r="G38" s="144" t="s">
        <v>1507</v>
      </c>
      <c r="H38" s="146" t="s">
        <v>26</v>
      </c>
      <c r="I38" s="144" t="s">
        <v>1436</v>
      </c>
    </row>
    <row r="39" spans="1:9" ht="63">
      <c r="A39" s="192">
        <v>45526</v>
      </c>
      <c r="B39" s="145" t="s">
        <v>830</v>
      </c>
      <c r="C39" s="150">
        <v>2024</v>
      </c>
      <c r="D39" s="201" t="s">
        <v>1431</v>
      </c>
      <c r="E39" s="144" t="s">
        <v>1508</v>
      </c>
      <c r="F39" s="139" t="s">
        <v>88</v>
      </c>
      <c r="G39" s="144" t="s">
        <v>1509</v>
      </c>
      <c r="H39" s="146" t="s">
        <v>26</v>
      </c>
      <c r="I39" s="144" t="s">
        <v>1436</v>
      </c>
    </row>
    <row r="40" spans="1:9" ht="25.5">
      <c r="A40" s="192">
        <v>45526</v>
      </c>
      <c r="B40" s="145" t="s">
        <v>830</v>
      </c>
      <c r="C40" s="150">
        <v>2024</v>
      </c>
      <c r="D40" s="201" t="s">
        <v>1431</v>
      </c>
      <c r="E40" s="144" t="s">
        <v>1511</v>
      </c>
      <c r="F40" s="141" t="s">
        <v>821</v>
      </c>
      <c r="G40" s="144" t="s">
        <v>1512</v>
      </c>
      <c r="H40" s="146" t="s">
        <v>26</v>
      </c>
      <c r="I40" s="144" t="s">
        <v>59</v>
      </c>
    </row>
    <row r="41" spans="1:9" ht="14.1">
      <c r="A41" s="192">
        <v>45526</v>
      </c>
      <c r="B41" s="145" t="s">
        <v>830</v>
      </c>
      <c r="C41" s="150">
        <v>2024</v>
      </c>
      <c r="D41" s="201" t="s">
        <v>1431</v>
      </c>
      <c r="E41" s="144" t="s">
        <v>913</v>
      </c>
      <c r="F41" s="142" t="s">
        <v>872</v>
      </c>
      <c r="G41" s="144" t="s">
        <v>1514</v>
      </c>
      <c r="H41" s="146" t="s">
        <v>26</v>
      </c>
      <c r="I41" s="144" t="s">
        <v>1441</v>
      </c>
    </row>
    <row r="42" spans="1:9" ht="63">
      <c r="A42" s="192">
        <v>45526</v>
      </c>
      <c r="B42" s="145" t="s">
        <v>830</v>
      </c>
      <c r="C42" s="150">
        <v>2024</v>
      </c>
      <c r="D42" s="201" t="s">
        <v>1431</v>
      </c>
      <c r="E42" s="144" t="s">
        <v>1432</v>
      </c>
      <c r="F42" s="140" t="s">
        <v>1439</v>
      </c>
      <c r="G42" s="144" t="s">
        <v>1515</v>
      </c>
      <c r="H42" s="146" t="s">
        <v>26</v>
      </c>
      <c r="I42" s="144" t="s">
        <v>59</v>
      </c>
    </row>
    <row r="43" spans="1:9" ht="25.5">
      <c r="A43" s="192">
        <v>45530</v>
      </c>
      <c r="B43" s="145" t="s">
        <v>830</v>
      </c>
      <c r="C43" s="150">
        <v>2024</v>
      </c>
      <c r="D43" s="201" t="s">
        <v>1431</v>
      </c>
      <c r="E43" s="144" t="s">
        <v>988</v>
      </c>
      <c r="F43" s="139" t="s">
        <v>88</v>
      </c>
      <c r="G43" s="144" t="s">
        <v>1516</v>
      </c>
      <c r="H43" s="146" t="s">
        <v>26</v>
      </c>
      <c r="I43" s="144" t="s">
        <v>1436</v>
      </c>
    </row>
    <row r="44" spans="1:9" ht="25.5">
      <c r="A44" s="192">
        <v>45530</v>
      </c>
      <c r="B44" s="145" t="s">
        <v>830</v>
      </c>
      <c r="C44" s="150">
        <v>2024</v>
      </c>
      <c r="D44" s="201" t="s">
        <v>1431</v>
      </c>
      <c r="E44" s="144" t="s">
        <v>1506</v>
      </c>
      <c r="F44" s="141" t="s">
        <v>821</v>
      </c>
      <c r="G44" s="144" t="s">
        <v>1517</v>
      </c>
      <c r="H44" s="146" t="s">
        <v>26</v>
      </c>
      <c r="I44" s="144" t="s">
        <v>59</v>
      </c>
    </row>
    <row r="45" spans="1:9" ht="25.5">
      <c r="A45" s="192">
        <v>45530</v>
      </c>
      <c r="B45" s="145" t="s">
        <v>830</v>
      </c>
      <c r="C45" s="150">
        <v>2024</v>
      </c>
      <c r="D45" s="201" t="s">
        <v>1431</v>
      </c>
      <c r="E45" s="144" t="s">
        <v>1518</v>
      </c>
      <c r="F45" s="141" t="s">
        <v>821</v>
      </c>
      <c r="G45" s="144" t="s">
        <v>1519</v>
      </c>
      <c r="H45" s="146" t="s">
        <v>26</v>
      </c>
      <c r="I45" s="144" t="s">
        <v>1493</v>
      </c>
    </row>
    <row r="46" spans="1:9" ht="25.5">
      <c r="A46" s="192">
        <v>45530</v>
      </c>
      <c r="B46" s="145" t="s">
        <v>830</v>
      </c>
      <c r="C46" s="150">
        <v>2024</v>
      </c>
      <c r="D46" s="201" t="s">
        <v>1431</v>
      </c>
      <c r="E46" s="144" t="s">
        <v>1520</v>
      </c>
      <c r="F46" s="139" t="s">
        <v>88</v>
      </c>
      <c r="G46" s="144" t="s">
        <v>1521</v>
      </c>
      <c r="H46" s="146" t="s">
        <v>26</v>
      </c>
      <c r="I46" s="144" t="s">
        <v>1436</v>
      </c>
    </row>
    <row r="47" spans="1:9" ht="75.599999999999994">
      <c r="A47" s="192">
        <v>45530</v>
      </c>
      <c r="B47" s="145" t="s">
        <v>830</v>
      </c>
      <c r="C47" s="150">
        <v>2024</v>
      </c>
      <c r="D47" s="201" t="s">
        <v>1431</v>
      </c>
      <c r="E47" s="144" t="s">
        <v>1432</v>
      </c>
      <c r="F47" s="140" t="s">
        <v>1439</v>
      </c>
      <c r="G47" s="144" t="s">
        <v>1523</v>
      </c>
      <c r="H47" s="146" t="s">
        <v>26</v>
      </c>
      <c r="I47" s="144" t="s">
        <v>59</v>
      </c>
    </row>
    <row r="48" spans="1:9" ht="50.45">
      <c r="A48" s="192">
        <v>45530</v>
      </c>
      <c r="B48" s="145" t="s">
        <v>830</v>
      </c>
      <c r="C48" s="150">
        <v>2024</v>
      </c>
      <c r="D48" s="201" t="s">
        <v>1431</v>
      </c>
      <c r="E48" s="144" t="s">
        <v>924</v>
      </c>
      <c r="F48" s="139" t="s">
        <v>88</v>
      </c>
      <c r="G48" s="144" t="s">
        <v>1524</v>
      </c>
      <c r="H48" s="146" t="s">
        <v>130</v>
      </c>
      <c r="I48" s="144" t="s">
        <v>1525</v>
      </c>
    </row>
    <row r="49" spans="1:9" ht="25.5">
      <c r="A49" s="192">
        <v>45531</v>
      </c>
      <c r="B49" s="145" t="s">
        <v>830</v>
      </c>
      <c r="C49" s="150">
        <v>2024</v>
      </c>
      <c r="D49" s="201" t="s">
        <v>1431</v>
      </c>
      <c r="E49" s="144" t="s">
        <v>1506</v>
      </c>
      <c r="F49" s="141" t="s">
        <v>821</v>
      </c>
      <c r="G49" s="144" t="s">
        <v>1526</v>
      </c>
      <c r="H49" s="146" t="s">
        <v>26</v>
      </c>
      <c r="I49" s="144" t="s">
        <v>59</v>
      </c>
    </row>
    <row r="50" spans="1:9" ht="38.1">
      <c r="A50" s="192">
        <v>45531</v>
      </c>
      <c r="B50" s="145" t="s">
        <v>830</v>
      </c>
      <c r="C50" s="150">
        <v>2024</v>
      </c>
      <c r="D50" s="201" t="s">
        <v>1431</v>
      </c>
      <c r="E50" s="144" t="s">
        <v>1506</v>
      </c>
      <c r="F50" s="139" t="s">
        <v>88</v>
      </c>
      <c r="G50" s="144" t="s">
        <v>1527</v>
      </c>
      <c r="H50" s="146" t="s">
        <v>26</v>
      </c>
      <c r="I50" s="144" t="s">
        <v>59</v>
      </c>
    </row>
    <row r="51" spans="1:9" ht="14.1">
      <c r="A51" s="192">
        <v>45531</v>
      </c>
      <c r="B51" s="145" t="s">
        <v>830</v>
      </c>
      <c r="C51" s="150">
        <v>2024</v>
      </c>
      <c r="D51" s="201" t="s">
        <v>1431</v>
      </c>
      <c r="E51" s="144" t="s">
        <v>1528</v>
      </c>
      <c r="F51" s="139" t="s">
        <v>88</v>
      </c>
      <c r="G51" s="144" t="s">
        <v>1529</v>
      </c>
      <c r="H51" s="146" t="s">
        <v>26</v>
      </c>
      <c r="I51" s="144" t="s">
        <v>1436</v>
      </c>
    </row>
    <row r="52" spans="1:9" ht="25.5">
      <c r="A52" s="192">
        <v>45531</v>
      </c>
      <c r="B52" s="145" t="s">
        <v>830</v>
      </c>
      <c r="C52" s="150">
        <v>2024</v>
      </c>
      <c r="D52" s="201" t="s">
        <v>1431</v>
      </c>
      <c r="E52" s="144" t="s">
        <v>1511</v>
      </c>
      <c r="F52" s="147" t="s">
        <v>859</v>
      </c>
      <c r="G52" s="144" t="s">
        <v>1530</v>
      </c>
      <c r="H52" s="146" t="s">
        <v>26</v>
      </c>
      <c r="I52" s="144" t="s">
        <v>1436</v>
      </c>
    </row>
    <row r="53" spans="1:9" ht="25.5">
      <c r="A53" s="192">
        <v>45531</v>
      </c>
      <c r="B53" s="145" t="s">
        <v>830</v>
      </c>
      <c r="C53" s="150">
        <v>2024</v>
      </c>
      <c r="D53" s="201" t="s">
        <v>1431</v>
      </c>
      <c r="E53" s="144" t="s">
        <v>1520</v>
      </c>
      <c r="F53" s="139" t="s">
        <v>88</v>
      </c>
      <c r="G53" s="144" t="s">
        <v>1531</v>
      </c>
      <c r="H53" s="146" t="s">
        <v>26</v>
      </c>
      <c r="I53" s="144" t="s">
        <v>1436</v>
      </c>
    </row>
    <row r="54" spans="1:9" ht="25.5">
      <c r="A54" s="192">
        <v>45531</v>
      </c>
      <c r="B54" s="145" t="s">
        <v>830</v>
      </c>
      <c r="C54" s="150">
        <v>2024</v>
      </c>
      <c r="D54" s="201" t="s">
        <v>1431</v>
      </c>
      <c r="E54" s="144" t="s">
        <v>1511</v>
      </c>
      <c r="F54" s="147" t="s">
        <v>859</v>
      </c>
      <c r="G54" s="144" t="s">
        <v>1532</v>
      </c>
      <c r="H54" s="146" t="s">
        <v>26</v>
      </c>
      <c r="I54" s="144" t="s">
        <v>1436</v>
      </c>
    </row>
    <row r="55" spans="1:9" ht="38.1">
      <c r="A55" s="193">
        <v>45532</v>
      </c>
      <c r="B55" s="145" t="s">
        <v>830</v>
      </c>
      <c r="C55" s="150">
        <v>2024</v>
      </c>
      <c r="D55" s="201" t="s">
        <v>1431</v>
      </c>
      <c r="E55" s="144" t="s">
        <v>1506</v>
      </c>
      <c r="F55" s="139" t="s">
        <v>88</v>
      </c>
      <c r="G55" s="144" t="s">
        <v>1533</v>
      </c>
      <c r="H55" s="146" t="s">
        <v>26</v>
      </c>
      <c r="I55" s="144" t="s">
        <v>1453</v>
      </c>
    </row>
    <row r="56" spans="1:9" ht="14.1">
      <c r="A56" s="193">
        <v>45532</v>
      </c>
      <c r="B56" s="145" t="s">
        <v>830</v>
      </c>
      <c r="C56" s="150">
        <v>2024</v>
      </c>
      <c r="D56" s="201" t="s">
        <v>1431</v>
      </c>
      <c r="E56" s="144" t="s">
        <v>1518</v>
      </c>
      <c r="F56" s="139" t="s">
        <v>88</v>
      </c>
      <c r="G56" s="144" t="s">
        <v>1534</v>
      </c>
      <c r="H56" s="146" t="s">
        <v>130</v>
      </c>
      <c r="I56" s="144" t="s">
        <v>1493</v>
      </c>
    </row>
    <row r="57" spans="1:9" ht="14.1">
      <c r="A57" s="193">
        <v>45532</v>
      </c>
      <c r="B57" s="145" t="s">
        <v>830</v>
      </c>
      <c r="C57" s="150">
        <v>2024</v>
      </c>
      <c r="D57" s="201" t="s">
        <v>1431</v>
      </c>
      <c r="E57" s="144" t="s">
        <v>1528</v>
      </c>
      <c r="F57" s="142" t="s">
        <v>872</v>
      </c>
      <c r="G57" s="144" t="s">
        <v>1535</v>
      </c>
      <c r="H57" s="146" t="s">
        <v>26</v>
      </c>
      <c r="I57" s="144" t="s">
        <v>1436</v>
      </c>
    </row>
    <row r="58" spans="1:9" ht="14.1">
      <c r="A58" s="193">
        <v>45532</v>
      </c>
      <c r="B58" s="145" t="s">
        <v>830</v>
      </c>
      <c r="C58" s="150">
        <v>2024</v>
      </c>
      <c r="D58" s="201" t="s">
        <v>1431</v>
      </c>
      <c r="E58" s="144" t="s">
        <v>574</v>
      </c>
      <c r="F58" s="139" t="s">
        <v>88</v>
      </c>
      <c r="G58" s="144" t="s">
        <v>1536</v>
      </c>
      <c r="H58" s="146" t="s">
        <v>130</v>
      </c>
      <c r="I58" s="144" t="s">
        <v>1537</v>
      </c>
    </row>
    <row r="59" spans="1:9" ht="25.5">
      <c r="A59" s="193">
        <v>45532</v>
      </c>
      <c r="B59" s="145" t="s">
        <v>830</v>
      </c>
      <c r="C59" s="150">
        <v>2024</v>
      </c>
      <c r="D59" s="201" t="s">
        <v>1431</v>
      </c>
      <c r="E59" s="144" t="s">
        <v>1432</v>
      </c>
      <c r="F59" s="141" t="s">
        <v>821</v>
      </c>
      <c r="G59" s="144" t="s">
        <v>1538</v>
      </c>
      <c r="H59" s="146" t="s">
        <v>26</v>
      </c>
      <c r="I59" s="144" t="s">
        <v>59</v>
      </c>
    </row>
    <row r="60" spans="1:9" ht="38.1">
      <c r="A60" s="193">
        <v>45532</v>
      </c>
      <c r="B60" s="145" t="s">
        <v>830</v>
      </c>
      <c r="C60" s="150">
        <v>2024</v>
      </c>
      <c r="D60" s="201" t="s">
        <v>1431</v>
      </c>
      <c r="E60" s="144" t="s">
        <v>1539</v>
      </c>
      <c r="F60" s="142" t="s">
        <v>872</v>
      </c>
      <c r="G60" s="144" t="s">
        <v>1540</v>
      </c>
      <c r="H60" s="146" t="s">
        <v>130</v>
      </c>
      <c r="I60" s="144" t="s">
        <v>1541</v>
      </c>
    </row>
    <row r="61" spans="1:9" ht="25.5">
      <c r="A61" s="193">
        <v>45532</v>
      </c>
      <c r="B61" s="145" t="s">
        <v>830</v>
      </c>
      <c r="C61" s="150">
        <v>2024</v>
      </c>
      <c r="D61" s="201" t="s">
        <v>1431</v>
      </c>
      <c r="E61" s="144" t="s">
        <v>1520</v>
      </c>
      <c r="F61" s="140" t="s">
        <v>1439</v>
      </c>
      <c r="G61" s="144" t="s">
        <v>1542</v>
      </c>
      <c r="H61" s="146" t="s">
        <v>26</v>
      </c>
      <c r="I61" s="144" t="s">
        <v>1543</v>
      </c>
    </row>
    <row r="62" spans="1:9" ht="38.1">
      <c r="A62" s="193">
        <v>45533</v>
      </c>
      <c r="B62" s="145" t="s">
        <v>830</v>
      </c>
      <c r="C62" s="150">
        <v>2024</v>
      </c>
      <c r="D62" s="201" t="s">
        <v>1431</v>
      </c>
      <c r="E62" s="144" t="s">
        <v>1506</v>
      </c>
      <c r="F62" s="139" t="s">
        <v>88</v>
      </c>
      <c r="G62" s="144" t="s">
        <v>1545</v>
      </c>
      <c r="H62" s="146" t="s">
        <v>130</v>
      </c>
      <c r="I62" s="144" t="s">
        <v>1537</v>
      </c>
    </row>
    <row r="63" spans="1:9" ht="25.5">
      <c r="A63" s="193">
        <v>45533</v>
      </c>
      <c r="B63" s="145" t="s">
        <v>830</v>
      </c>
      <c r="C63" s="150">
        <v>2024</v>
      </c>
      <c r="D63" s="201" t="s">
        <v>1431</v>
      </c>
      <c r="E63" s="144" t="s">
        <v>1390</v>
      </c>
      <c r="F63" s="139" t="s">
        <v>88</v>
      </c>
      <c r="G63" s="144" t="s">
        <v>1546</v>
      </c>
      <c r="H63" s="146" t="s">
        <v>26</v>
      </c>
      <c r="I63" s="144" t="s">
        <v>1436</v>
      </c>
    </row>
    <row r="64" spans="1:9" ht="25.5">
      <c r="A64" s="193">
        <v>45533</v>
      </c>
      <c r="B64" s="145" t="s">
        <v>830</v>
      </c>
      <c r="C64" s="150">
        <v>2024</v>
      </c>
      <c r="D64" s="201" t="s">
        <v>1431</v>
      </c>
      <c r="E64" s="144" t="s">
        <v>574</v>
      </c>
      <c r="F64" s="139" t="s">
        <v>88</v>
      </c>
      <c r="G64" s="144" t="s">
        <v>1547</v>
      </c>
      <c r="H64" s="146" t="s">
        <v>26</v>
      </c>
      <c r="I64" s="144" t="s">
        <v>1436</v>
      </c>
    </row>
    <row r="65" spans="1:9" ht="38.1">
      <c r="A65" s="193">
        <v>45533</v>
      </c>
      <c r="B65" s="145" t="s">
        <v>830</v>
      </c>
      <c r="C65" s="150">
        <v>2024</v>
      </c>
      <c r="D65" s="201" t="s">
        <v>1431</v>
      </c>
      <c r="E65" s="144" t="s">
        <v>1539</v>
      </c>
      <c r="F65" s="139" t="s">
        <v>88</v>
      </c>
      <c r="G65" s="144" t="s">
        <v>1549</v>
      </c>
      <c r="H65" s="146" t="s">
        <v>130</v>
      </c>
      <c r="I65" s="144" t="s">
        <v>1436</v>
      </c>
    </row>
    <row r="66" spans="1:9" ht="38.1">
      <c r="A66" s="193">
        <v>45533</v>
      </c>
      <c r="B66" s="145" t="s">
        <v>830</v>
      </c>
      <c r="C66" s="150">
        <v>2024</v>
      </c>
      <c r="D66" s="201" t="s">
        <v>1431</v>
      </c>
      <c r="E66" s="144" t="s">
        <v>1539</v>
      </c>
      <c r="F66" s="141" t="s">
        <v>821</v>
      </c>
      <c r="G66" s="144" t="s">
        <v>1550</v>
      </c>
      <c r="H66" s="146" t="s">
        <v>26</v>
      </c>
      <c r="I66" s="144" t="s">
        <v>59</v>
      </c>
    </row>
    <row r="67" spans="1:9" ht="25.5">
      <c r="A67" s="193">
        <v>45534</v>
      </c>
      <c r="B67" s="145" t="s">
        <v>830</v>
      </c>
      <c r="C67" s="150">
        <v>2024</v>
      </c>
      <c r="D67" s="201" t="s">
        <v>1431</v>
      </c>
      <c r="E67" s="144" t="s">
        <v>1518</v>
      </c>
      <c r="F67" s="139" t="s">
        <v>88</v>
      </c>
      <c r="G67" s="144" t="s">
        <v>1551</v>
      </c>
      <c r="H67" s="146" t="s">
        <v>26</v>
      </c>
      <c r="I67" s="144" t="s">
        <v>1436</v>
      </c>
    </row>
    <row r="68" spans="1:9" ht="25.5">
      <c r="A68" s="193">
        <v>45534</v>
      </c>
      <c r="B68" s="145" t="s">
        <v>830</v>
      </c>
      <c r="C68" s="150">
        <v>2024</v>
      </c>
      <c r="D68" s="201" t="s">
        <v>1431</v>
      </c>
      <c r="E68" s="144" t="s">
        <v>1539</v>
      </c>
      <c r="F68" s="142" t="s">
        <v>872</v>
      </c>
      <c r="G68" s="144" t="s">
        <v>1552</v>
      </c>
      <c r="H68" s="146" t="s">
        <v>130</v>
      </c>
      <c r="I68" s="144" t="s">
        <v>1436</v>
      </c>
    </row>
    <row r="69" spans="1:9" ht="25.5">
      <c r="A69" s="193">
        <v>45537</v>
      </c>
      <c r="B69" s="145" t="s">
        <v>831</v>
      </c>
      <c r="C69" s="150">
        <v>2024</v>
      </c>
      <c r="D69" s="201" t="s">
        <v>1431</v>
      </c>
      <c r="E69" s="144" t="s">
        <v>1506</v>
      </c>
      <c r="F69" s="139" t="s">
        <v>88</v>
      </c>
      <c r="G69" s="144" t="s">
        <v>1553</v>
      </c>
      <c r="H69" s="146" t="s">
        <v>26</v>
      </c>
      <c r="I69" s="144" t="s">
        <v>1436</v>
      </c>
    </row>
    <row r="70" spans="1:9" ht="14.1">
      <c r="A70" s="193">
        <v>45537</v>
      </c>
      <c r="B70" s="145" t="s">
        <v>831</v>
      </c>
      <c r="C70" s="150">
        <v>2024</v>
      </c>
      <c r="D70" s="201" t="s">
        <v>1431</v>
      </c>
      <c r="E70" s="144" t="s">
        <v>1508</v>
      </c>
      <c r="F70" s="139" t="s">
        <v>88</v>
      </c>
      <c r="G70" s="144" t="s">
        <v>1554</v>
      </c>
      <c r="H70" s="146" t="s">
        <v>26</v>
      </c>
      <c r="I70" s="144" t="s">
        <v>1436</v>
      </c>
    </row>
    <row r="71" spans="1:9" ht="25.5">
      <c r="A71" s="193">
        <v>45537</v>
      </c>
      <c r="B71" s="145" t="s">
        <v>831</v>
      </c>
      <c r="C71" s="150">
        <v>2024</v>
      </c>
      <c r="D71" s="201" t="s">
        <v>1431</v>
      </c>
      <c r="E71" s="144" t="s">
        <v>1539</v>
      </c>
      <c r="F71" s="142" t="s">
        <v>872</v>
      </c>
      <c r="G71" s="144" t="s">
        <v>1555</v>
      </c>
      <c r="H71" s="146" t="s">
        <v>26</v>
      </c>
      <c r="I71" s="144" t="s">
        <v>1436</v>
      </c>
    </row>
    <row r="72" spans="1:9" ht="14.1">
      <c r="A72" s="193">
        <v>45538</v>
      </c>
      <c r="B72" s="145" t="s">
        <v>831</v>
      </c>
      <c r="C72" s="150">
        <v>2024</v>
      </c>
      <c r="D72" s="201" t="s">
        <v>1431</v>
      </c>
      <c r="E72" s="144" t="s">
        <v>1436</v>
      </c>
      <c r="F72" s="141" t="s">
        <v>821</v>
      </c>
      <c r="G72" s="144" t="s">
        <v>1556</v>
      </c>
      <c r="H72" s="146" t="s">
        <v>26</v>
      </c>
      <c r="I72" s="144" t="s">
        <v>1436</v>
      </c>
    </row>
    <row r="73" spans="1:9" ht="38.1">
      <c r="A73" s="193">
        <v>45538</v>
      </c>
      <c r="B73" s="145" t="s">
        <v>831</v>
      </c>
      <c r="C73" s="150">
        <v>2024</v>
      </c>
      <c r="D73" s="201" t="s">
        <v>1431</v>
      </c>
      <c r="E73" s="144" t="s">
        <v>1506</v>
      </c>
      <c r="F73" s="139" t="s">
        <v>88</v>
      </c>
      <c r="G73" s="144" t="s">
        <v>1557</v>
      </c>
      <c r="H73" s="146" t="s">
        <v>26</v>
      </c>
      <c r="I73" s="144" t="s">
        <v>1436</v>
      </c>
    </row>
    <row r="74" spans="1:9" ht="38.1">
      <c r="A74" s="193">
        <v>45538</v>
      </c>
      <c r="B74" s="145" t="s">
        <v>831</v>
      </c>
      <c r="C74" s="150">
        <v>2024</v>
      </c>
      <c r="D74" s="201" t="s">
        <v>1431</v>
      </c>
      <c r="E74" s="144" t="s">
        <v>1449</v>
      </c>
      <c r="F74" s="139" t="s">
        <v>88</v>
      </c>
      <c r="G74" s="144" t="s">
        <v>1558</v>
      </c>
      <c r="H74" s="146" t="s">
        <v>26</v>
      </c>
      <c r="I74" s="144" t="s">
        <v>1436</v>
      </c>
    </row>
    <row r="75" spans="1:9" ht="38.1">
      <c r="A75" s="193">
        <v>45538</v>
      </c>
      <c r="B75" s="145" t="s">
        <v>831</v>
      </c>
      <c r="C75" s="150">
        <v>2024</v>
      </c>
      <c r="D75" s="201" t="s">
        <v>1431</v>
      </c>
      <c r="E75" s="144" t="s">
        <v>1560</v>
      </c>
      <c r="F75" s="147" t="s">
        <v>859</v>
      </c>
      <c r="G75" s="144" t="s">
        <v>1561</v>
      </c>
      <c r="H75" s="146" t="s">
        <v>26</v>
      </c>
      <c r="I75" s="144" t="s">
        <v>1436</v>
      </c>
    </row>
    <row r="76" spans="1:9" ht="25.5">
      <c r="A76" s="193">
        <v>45538</v>
      </c>
      <c r="B76" s="145" t="s">
        <v>831</v>
      </c>
      <c r="C76" s="150">
        <v>2024</v>
      </c>
      <c r="D76" s="201" t="s">
        <v>1431</v>
      </c>
      <c r="E76" s="144" t="s">
        <v>1506</v>
      </c>
      <c r="F76" s="139" t="s">
        <v>88</v>
      </c>
      <c r="G76" s="144" t="s">
        <v>1562</v>
      </c>
      <c r="H76" s="146" t="s">
        <v>26</v>
      </c>
      <c r="I76" s="144" t="s">
        <v>1436</v>
      </c>
    </row>
    <row r="77" spans="1:9" ht="25.5">
      <c r="A77" s="193">
        <v>45538</v>
      </c>
      <c r="B77" s="145" t="s">
        <v>831</v>
      </c>
      <c r="C77" s="150">
        <v>2024</v>
      </c>
      <c r="D77" s="201" t="s">
        <v>1431</v>
      </c>
      <c r="E77" s="144" t="s">
        <v>1506</v>
      </c>
      <c r="F77" s="139" t="s">
        <v>88</v>
      </c>
      <c r="G77" s="144" t="s">
        <v>1563</v>
      </c>
      <c r="H77" s="146" t="s">
        <v>26</v>
      </c>
      <c r="I77" s="144" t="s">
        <v>1436</v>
      </c>
    </row>
    <row r="78" spans="1:9" ht="25.5">
      <c r="A78" s="193">
        <v>45538</v>
      </c>
      <c r="B78" s="145" t="s">
        <v>831</v>
      </c>
      <c r="C78" s="150">
        <v>2024</v>
      </c>
      <c r="D78" s="201" t="s">
        <v>1431</v>
      </c>
      <c r="E78" s="144" t="s">
        <v>216</v>
      </c>
      <c r="F78" s="142" t="s">
        <v>872</v>
      </c>
      <c r="G78" s="144" t="s">
        <v>1564</v>
      </c>
      <c r="H78" s="146" t="s">
        <v>26</v>
      </c>
      <c r="I78" s="144" t="s">
        <v>1436</v>
      </c>
    </row>
    <row r="79" spans="1:9" ht="14.1">
      <c r="A79" s="193">
        <v>45538</v>
      </c>
      <c r="B79" s="145" t="s">
        <v>831</v>
      </c>
      <c r="C79" s="150">
        <v>2024</v>
      </c>
      <c r="D79" s="201" t="s">
        <v>1431</v>
      </c>
      <c r="E79" s="144" t="s">
        <v>1449</v>
      </c>
      <c r="F79" s="139" t="s">
        <v>88</v>
      </c>
      <c r="G79" s="144" t="s">
        <v>1565</v>
      </c>
      <c r="H79" s="146" t="s">
        <v>26</v>
      </c>
      <c r="I79" s="144" t="s">
        <v>1436</v>
      </c>
    </row>
    <row r="80" spans="1:9" ht="38.1">
      <c r="A80" s="193">
        <v>45538</v>
      </c>
      <c r="B80" s="145" t="s">
        <v>831</v>
      </c>
      <c r="C80" s="150">
        <v>2024</v>
      </c>
      <c r="D80" s="201" t="s">
        <v>1431</v>
      </c>
      <c r="E80" s="144" t="s">
        <v>1566</v>
      </c>
      <c r="F80" s="142" t="s">
        <v>872</v>
      </c>
      <c r="G80" s="144" t="s">
        <v>1567</v>
      </c>
      <c r="H80" s="146" t="s">
        <v>26</v>
      </c>
      <c r="I80" s="144" t="s">
        <v>1436</v>
      </c>
    </row>
    <row r="81" spans="1:9" ht="25.5">
      <c r="A81" s="193">
        <v>45539</v>
      </c>
      <c r="B81" s="145" t="s">
        <v>831</v>
      </c>
      <c r="C81" s="150">
        <v>2024</v>
      </c>
      <c r="D81" s="201" t="s">
        <v>1431</v>
      </c>
      <c r="E81" s="144" t="s">
        <v>574</v>
      </c>
      <c r="F81" s="141" t="s">
        <v>821</v>
      </c>
      <c r="G81" s="144" t="s">
        <v>1568</v>
      </c>
      <c r="H81" s="146" t="s">
        <v>26</v>
      </c>
      <c r="I81" s="144" t="s">
        <v>149</v>
      </c>
    </row>
    <row r="82" spans="1:9" ht="38.1">
      <c r="A82" s="193">
        <v>45539</v>
      </c>
      <c r="B82" s="145" t="s">
        <v>831</v>
      </c>
      <c r="C82" s="150">
        <v>2024</v>
      </c>
      <c r="D82" s="201" t="s">
        <v>1431</v>
      </c>
      <c r="E82" s="144" t="s">
        <v>377</v>
      </c>
      <c r="F82" s="139" t="s">
        <v>88</v>
      </c>
      <c r="G82" s="144" t="s">
        <v>1569</v>
      </c>
      <c r="H82" s="146" t="s">
        <v>26</v>
      </c>
      <c r="I82" s="144" t="s">
        <v>76</v>
      </c>
    </row>
    <row r="83" spans="1:9" ht="63">
      <c r="A83" s="193">
        <v>45539</v>
      </c>
      <c r="B83" s="145" t="s">
        <v>831</v>
      </c>
      <c r="C83" s="150">
        <v>2024</v>
      </c>
      <c r="D83" s="201" t="s">
        <v>1431</v>
      </c>
      <c r="E83" s="144" t="s">
        <v>1539</v>
      </c>
      <c r="F83" s="142" t="s">
        <v>872</v>
      </c>
      <c r="G83" s="144" t="s">
        <v>1570</v>
      </c>
      <c r="H83" s="146" t="s">
        <v>26</v>
      </c>
      <c r="I83" s="144" t="s">
        <v>1571</v>
      </c>
    </row>
    <row r="84" spans="1:9" ht="25.5">
      <c r="A84" s="193">
        <v>45539</v>
      </c>
      <c r="B84" s="145" t="s">
        <v>831</v>
      </c>
      <c r="C84" s="150">
        <v>2024</v>
      </c>
      <c r="D84" s="201" t="s">
        <v>1431</v>
      </c>
      <c r="E84" s="144" t="s">
        <v>1572</v>
      </c>
      <c r="F84" s="147" t="s">
        <v>859</v>
      </c>
      <c r="G84" s="144" t="s">
        <v>1573</v>
      </c>
      <c r="H84" s="146" t="s">
        <v>26</v>
      </c>
      <c r="I84" s="144" t="s">
        <v>1574</v>
      </c>
    </row>
    <row r="85" spans="1:9" ht="50.45">
      <c r="A85" s="193">
        <v>45539</v>
      </c>
      <c r="B85" s="145" t="s">
        <v>831</v>
      </c>
      <c r="C85" s="150">
        <v>2024</v>
      </c>
      <c r="D85" s="201" t="s">
        <v>1431</v>
      </c>
      <c r="E85" s="144" t="s">
        <v>1539</v>
      </c>
      <c r="F85" s="142" t="s">
        <v>872</v>
      </c>
      <c r="G85" s="144" t="s">
        <v>1575</v>
      </c>
      <c r="H85" s="146" t="s">
        <v>26</v>
      </c>
      <c r="I85" s="144" t="s">
        <v>1541</v>
      </c>
    </row>
    <row r="86" spans="1:9" ht="25.5">
      <c r="A86" s="193">
        <v>45539</v>
      </c>
      <c r="B86" s="145" t="s">
        <v>831</v>
      </c>
      <c r="C86" s="150">
        <v>2024</v>
      </c>
      <c r="D86" s="201" t="s">
        <v>1431</v>
      </c>
      <c r="E86" s="144" t="s">
        <v>1539</v>
      </c>
      <c r="F86" s="142" t="s">
        <v>872</v>
      </c>
      <c r="G86" s="144" t="s">
        <v>1576</v>
      </c>
      <c r="H86" s="146" t="s">
        <v>26</v>
      </c>
      <c r="I86" s="144" t="s">
        <v>1541</v>
      </c>
    </row>
    <row r="87" spans="1:9" ht="38.1">
      <c r="A87" s="193">
        <v>45539</v>
      </c>
      <c r="B87" s="145" t="s">
        <v>831</v>
      </c>
      <c r="C87" s="150">
        <v>2024</v>
      </c>
      <c r="D87" s="201" t="s">
        <v>1431</v>
      </c>
      <c r="E87" s="144" t="s">
        <v>1539</v>
      </c>
      <c r="F87" s="142" t="s">
        <v>872</v>
      </c>
      <c r="G87" s="144" t="s">
        <v>1577</v>
      </c>
      <c r="H87" s="146" t="s">
        <v>26</v>
      </c>
      <c r="I87" s="144" t="s">
        <v>1578</v>
      </c>
    </row>
    <row r="88" spans="1:9" ht="25.5">
      <c r="A88" s="193">
        <v>45540</v>
      </c>
      <c r="B88" s="145" t="s">
        <v>831</v>
      </c>
      <c r="C88" s="150">
        <v>2024</v>
      </c>
      <c r="D88" s="201" t="s">
        <v>1431</v>
      </c>
      <c r="E88" s="144" t="s">
        <v>1518</v>
      </c>
      <c r="F88" s="140" t="s">
        <v>1439</v>
      </c>
      <c r="G88" s="144" t="s">
        <v>1579</v>
      </c>
      <c r="H88" s="146" t="s">
        <v>26</v>
      </c>
      <c r="I88" s="144" t="s">
        <v>1493</v>
      </c>
    </row>
    <row r="89" spans="1:9" ht="14.1">
      <c r="A89" s="193">
        <v>45540</v>
      </c>
      <c r="B89" s="145" t="s">
        <v>831</v>
      </c>
      <c r="C89" s="150">
        <v>2024</v>
      </c>
      <c r="D89" s="201" t="s">
        <v>1431</v>
      </c>
      <c r="E89" s="144" t="s">
        <v>1580</v>
      </c>
      <c r="F89" s="140" t="s">
        <v>1439</v>
      </c>
      <c r="G89" s="144" t="s">
        <v>1581</v>
      </c>
      <c r="H89" s="146" t="s">
        <v>26</v>
      </c>
      <c r="I89" s="144" t="s">
        <v>1436</v>
      </c>
    </row>
    <row r="90" spans="1:9" ht="25.5">
      <c r="A90" s="193">
        <v>45540</v>
      </c>
      <c r="B90" s="145" t="s">
        <v>831</v>
      </c>
      <c r="C90" s="150">
        <v>2024</v>
      </c>
      <c r="D90" s="201" t="s">
        <v>1431</v>
      </c>
      <c r="E90" s="144" t="s">
        <v>1572</v>
      </c>
      <c r="F90" s="142" t="s">
        <v>872</v>
      </c>
      <c r="G90" s="144" t="s">
        <v>1583</v>
      </c>
      <c r="H90" s="146" t="s">
        <v>26</v>
      </c>
      <c r="I90" s="144" t="s">
        <v>1436</v>
      </c>
    </row>
    <row r="91" spans="1:9" ht="25.5">
      <c r="A91" s="193">
        <v>45540</v>
      </c>
      <c r="B91" s="145" t="s">
        <v>831</v>
      </c>
      <c r="C91" s="150">
        <v>2024</v>
      </c>
      <c r="D91" s="201" t="s">
        <v>1431</v>
      </c>
      <c r="E91" s="144" t="s">
        <v>1584</v>
      </c>
      <c r="F91" s="141" t="s">
        <v>821</v>
      </c>
      <c r="G91" s="144" t="s">
        <v>1585</v>
      </c>
      <c r="H91" s="146" t="s">
        <v>26</v>
      </c>
      <c r="I91" s="144" t="s">
        <v>1436</v>
      </c>
    </row>
    <row r="92" spans="1:9" ht="14.1">
      <c r="A92" s="193">
        <v>45541</v>
      </c>
      <c r="B92" s="145" t="s">
        <v>831</v>
      </c>
      <c r="C92" s="150">
        <v>2024</v>
      </c>
      <c r="D92" s="201" t="s">
        <v>1431</v>
      </c>
      <c r="E92" s="144" t="s">
        <v>1586</v>
      </c>
      <c r="F92" s="139" t="s">
        <v>88</v>
      </c>
      <c r="G92" s="144" t="s">
        <v>1587</v>
      </c>
      <c r="H92" s="146" t="s">
        <v>26</v>
      </c>
      <c r="I92" s="144" t="s">
        <v>1588</v>
      </c>
    </row>
    <row r="93" spans="1:9" ht="25.5">
      <c r="A93" s="193">
        <v>45541</v>
      </c>
      <c r="B93" s="145" t="s">
        <v>831</v>
      </c>
      <c r="C93" s="150">
        <v>2024</v>
      </c>
      <c r="D93" s="201" t="s">
        <v>1431</v>
      </c>
      <c r="E93" s="144" t="s">
        <v>1449</v>
      </c>
      <c r="F93" s="139" t="s">
        <v>88</v>
      </c>
      <c r="G93" s="144" t="s">
        <v>1589</v>
      </c>
      <c r="H93" s="146" t="s">
        <v>26</v>
      </c>
      <c r="I93" s="144" t="s">
        <v>1436</v>
      </c>
    </row>
    <row r="94" spans="1:9" ht="14.1">
      <c r="A94" s="193">
        <v>45541</v>
      </c>
      <c r="B94" s="145" t="s">
        <v>831</v>
      </c>
      <c r="C94" s="150">
        <v>2024</v>
      </c>
      <c r="D94" s="201" t="s">
        <v>1431</v>
      </c>
      <c r="E94" s="144" t="s">
        <v>1449</v>
      </c>
      <c r="F94" s="139" t="s">
        <v>88</v>
      </c>
      <c r="G94" s="144" t="s">
        <v>1590</v>
      </c>
      <c r="H94" s="146" t="s">
        <v>26</v>
      </c>
      <c r="I94" s="144" t="s">
        <v>1436</v>
      </c>
    </row>
    <row r="95" spans="1:9" ht="50.45">
      <c r="A95" s="193">
        <v>45541</v>
      </c>
      <c r="B95" s="145" t="s">
        <v>831</v>
      </c>
      <c r="C95" s="150">
        <v>2024</v>
      </c>
      <c r="D95" s="201" t="s">
        <v>1431</v>
      </c>
      <c r="E95" s="144" t="s">
        <v>1560</v>
      </c>
      <c r="F95" s="139" t="s">
        <v>88</v>
      </c>
      <c r="G95" s="144" t="s">
        <v>1591</v>
      </c>
      <c r="H95" s="146" t="s">
        <v>26</v>
      </c>
      <c r="I95" s="144" t="s">
        <v>1436</v>
      </c>
    </row>
    <row r="96" spans="1:9" ht="25.5">
      <c r="A96" s="193">
        <v>45544</v>
      </c>
      <c r="B96" s="145" t="s">
        <v>831</v>
      </c>
      <c r="C96" s="150">
        <v>2024</v>
      </c>
      <c r="D96" s="201" t="s">
        <v>1431</v>
      </c>
      <c r="E96" s="144" t="s">
        <v>1506</v>
      </c>
      <c r="F96" s="139" t="s">
        <v>88</v>
      </c>
      <c r="G96" s="144" t="s">
        <v>1592</v>
      </c>
      <c r="H96" s="146" t="s">
        <v>26</v>
      </c>
      <c r="I96" s="144" t="s">
        <v>1436</v>
      </c>
    </row>
    <row r="97" spans="1:9" ht="25.5">
      <c r="A97" s="193">
        <v>45544</v>
      </c>
      <c r="B97" s="145" t="s">
        <v>831</v>
      </c>
      <c r="C97" s="150">
        <v>2024</v>
      </c>
      <c r="D97" s="201" t="s">
        <v>1431</v>
      </c>
      <c r="E97" s="144" t="s">
        <v>1449</v>
      </c>
      <c r="F97" s="139" t="s">
        <v>88</v>
      </c>
      <c r="G97" s="144" t="s">
        <v>1593</v>
      </c>
      <c r="H97" s="146" t="s">
        <v>26</v>
      </c>
      <c r="I97" s="144" t="s">
        <v>1436</v>
      </c>
    </row>
    <row r="98" spans="1:9" ht="25.5">
      <c r="A98" s="193">
        <v>45544</v>
      </c>
      <c r="B98" s="145" t="s">
        <v>831</v>
      </c>
      <c r="C98" s="150">
        <v>2024</v>
      </c>
      <c r="D98" s="201" t="s">
        <v>1431</v>
      </c>
      <c r="E98" s="144" t="s">
        <v>1449</v>
      </c>
      <c r="F98" s="139" t="s">
        <v>88</v>
      </c>
      <c r="G98" s="144" t="s">
        <v>1594</v>
      </c>
      <c r="H98" s="146" t="s">
        <v>26</v>
      </c>
      <c r="I98" s="144" t="s">
        <v>1436</v>
      </c>
    </row>
    <row r="99" spans="1:9" ht="14.1">
      <c r="A99" s="193">
        <v>45544</v>
      </c>
      <c r="B99" s="145" t="s">
        <v>831</v>
      </c>
      <c r="C99" s="150">
        <v>2024</v>
      </c>
      <c r="D99" s="201" t="s">
        <v>1431</v>
      </c>
      <c r="E99" s="144" t="s">
        <v>1506</v>
      </c>
      <c r="F99" s="139" t="s">
        <v>88</v>
      </c>
      <c r="G99" s="144" t="s">
        <v>1595</v>
      </c>
      <c r="H99" s="146" t="s">
        <v>26</v>
      </c>
      <c r="I99" s="144" t="s">
        <v>1436</v>
      </c>
    </row>
    <row r="100" spans="1:9" ht="25.5">
      <c r="A100" s="193">
        <v>45544</v>
      </c>
      <c r="B100" s="145" t="s">
        <v>831</v>
      </c>
      <c r="C100" s="150">
        <v>2024</v>
      </c>
      <c r="D100" s="201" t="s">
        <v>1431</v>
      </c>
      <c r="E100" s="144" t="s">
        <v>1518</v>
      </c>
      <c r="F100" s="141" t="s">
        <v>821</v>
      </c>
      <c r="G100" s="144" t="s">
        <v>1596</v>
      </c>
      <c r="H100" s="146" t="s">
        <v>26</v>
      </c>
      <c r="I100" s="144" t="s">
        <v>1436</v>
      </c>
    </row>
    <row r="101" spans="1:9" ht="25.5">
      <c r="A101" s="193">
        <v>45545</v>
      </c>
      <c r="B101" s="145" t="s">
        <v>831</v>
      </c>
      <c r="C101" s="150">
        <v>2024</v>
      </c>
      <c r="D101" s="201" t="s">
        <v>1431</v>
      </c>
      <c r="E101" s="144" t="s">
        <v>1449</v>
      </c>
      <c r="F101" s="139" t="s">
        <v>88</v>
      </c>
      <c r="G101" s="144" t="s">
        <v>1597</v>
      </c>
      <c r="H101" s="146" t="s">
        <v>26</v>
      </c>
      <c r="I101" s="144" t="s">
        <v>1436</v>
      </c>
    </row>
    <row r="102" spans="1:9" ht="25.5">
      <c r="A102" s="193">
        <v>45545</v>
      </c>
      <c r="B102" s="145" t="s">
        <v>831</v>
      </c>
      <c r="C102" s="150">
        <v>2024</v>
      </c>
      <c r="D102" s="201" t="s">
        <v>1431</v>
      </c>
      <c r="E102" s="144" t="s">
        <v>1449</v>
      </c>
      <c r="F102" s="139" t="s">
        <v>88</v>
      </c>
      <c r="G102" s="144" t="s">
        <v>1598</v>
      </c>
      <c r="H102" s="146" t="s">
        <v>26</v>
      </c>
      <c r="I102" s="144" t="s">
        <v>1436</v>
      </c>
    </row>
    <row r="103" spans="1:9" ht="38.1">
      <c r="A103" s="193">
        <v>45546</v>
      </c>
      <c r="B103" s="145" t="s">
        <v>831</v>
      </c>
      <c r="C103" s="150">
        <v>2024</v>
      </c>
      <c r="D103" s="201" t="s">
        <v>1431</v>
      </c>
      <c r="E103" s="144" t="s">
        <v>1225</v>
      </c>
      <c r="F103" s="139" t="s">
        <v>88</v>
      </c>
      <c r="G103" s="144" t="s">
        <v>1599</v>
      </c>
      <c r="H103" s="146" t="s">
        <v>26</v>
      </c>
      <c r="I103" s="144" t="s">
        <v>1436</v>
      </c>
    </row>
    <row r="104" spans="1:9" ht="38.1">
      <c r="A104" s="193">
        <v>45546</v>
      </c>
      <c r="B104" s="145" t="s">
        <v>831</v>
      </c>
      <c r="C104" s="150">
        <v>2024</v>
      </c>
      <c r="D104" s="201" t="s">
        <v>1431</v>
      </c>
      <c r="E104" s="144" t="s">
        <v>216</v>
      </c>
      <c r="F104" s="141" t="s">
        <v>821</v>
      </c>
      <c r="G104" s="144" t="s">
        <v>1600</v>
      </c>
      <c r="H104" s="146" t="s">
        <v>26</v>
      </c>
      <c r="I104" s="144" t="s">
        <v>1436</v>
      </c>
    </row>
    <row r="105" spans="1:9" ht="25.5">
      <c r="A105" s="193">
        <v>45546</v>
      </c>
      <c r="B105" s="145" t="s">
        <v>831</v>
      </c>
      <c r="C105" s="150">
        <v>2024</v>
      </c>
      <c r="D105" s="201" t="s">
        <v>1431</v>
      </c>
      <c r="E105" s="144" t="s">
        <v>1449</v>
      </c>
      <c r="F105" s="139" t="s">
        <v>88</v>
      </c>
      <c r="G105" s="144" t="s">
        <v>1602</v>
      </c>
      <c r="H105" s="146" t="s">
        <v>26</v>
      </c>
      <c r="I105" s="144" t="s">
        <v>1436</v>
      </c>
    </row>
    <row r="106" spans="1:9" ht="14.1">
      <c r="A106" s="193">
        <v>45546</v>
      </c>
      <c r="B106" s="145" t="s">
        <v>831</v>
      </c>
      <c r="C106" s="150">
        <v>2024</v>
      </c>
      <c r="D106" s="201" t="s">
        <v>1431</v>
      </c>
      <c r="E106" s="144" t="s">
        <v>1539</v>
      </c>
      <c r="F106" s="142" t="s">
        <v>872</v>
      </c>
      <c r="G106" s="144" t="s">
        <v>1603</v>
      </c>
      <c r="H106" s="146" t="s">
        <v>26</v>
      </c>
      <c r="I106" s="144" t="s">
        <v>1436</v>
      </c>
    </row>
    <row r="107" spans="1:9" ht="25.5">
      <c r="A107" s="193">
        <v>45546</v>
      </c>
      <c r="B107" s="145" t="s">
        <v>831</v>
      </c>
      <c r="C107" s="150">
        <v>2024</v>
      </c>
      <c r="D107" s="201" t="s">
        <v>1431</v>
      </c>
      <c r="E107" s="144" t="s">
        <v>1436</v>
      </c>
      <c r="F107" s="147" t="s">
        <v>859</v>
      </c>
      <c r="G107" s="144" t="s">
        <v>1604</v>
      </c>
      <c r="H107" s="146" t="s">
        <v>26</v>
      </c>
      <c r="I107" s="144" t="s">
        <v>1436</v>
      </c>
    </row>
    <row r="108" spans="1:9" ht="38.1">
      <c r="A108" s="193">
        <v>45547</v>
      </c>
      <c r="B108" s="145" t="s">
        <v>831</v>
      </c>
      <c r="C108" s="150">
        <v>2024</v>
      </c>
      <c r="D108" s="201" t="s">
        <v>1431</v>
      </c>
      <c r="E108" s="144" t="s">
        <v>21</v>
      </c>
      <c r="F108" s="141" t="s">
        <v>821</v>
      </c>
      <c r="G108" s="144" t="s">
        <v>1606</v>
      </c>
      <c r="H108" s="146" t="s">
        <v>26</v>
      </c>
      <c r="I108" s="144" t="s">
        <v>1436</v>
      </c>
    </row>
    <row r="109" spans="1:9" ht="50.45">
      <c r="A109" s="193">
        <v>45547</v>
      </c>
      <c r="B109" s="145" t="s">
        <v>831</v>
      </c>
      <c r="C109" s="150">
        <v>2024</v>
      </c>
      <c r="D109" s="201" t="s">
        <v>1431</v>
      </c>
      <c r="E109" s="144" t="s">
        <v>21</v>
      </c>
      <c r="F109" s="141" t="s">
        <v>821</v>
      </c>
      <c r="G109" s="144" t="s">
        <v>1607</v>
      </c>
      <c r="H109" s="146" t="s">
        <v>26</v>
      </c>
      <c r="I109" s="144" t="s">
        <v>1436</v>
      </c>
    </row>
    <row r="110" spans="1:9" ht="38.1">
      <c r="A110" s="193">
        <v>45547</v>
      </c>
      <c r="B110" s="145" t="s">
        <v>831</v>
      </c>
      <c r="C110" s="150">
        <v>2024</v>
      </c>
      <c r="D110" s="201" t="s">
        <v>1431</v>
      </c>
      <c r="E110" s="144" t="s">
        <v>1608</v>
      </c>
      <c r="F110" s="140" t="s">
        <v>1439</v>
      </c>
      <c r="G110" s="144" t="s">
        <v>1609</v>
      </c>
      <c r="H110" s="146" t="s">
        <v>26</v>
      </c>
      <c r="I110" s="144" t="s">
        <v>1436</v>
      </c>
    </row>
    <row r="111" spans="1:9" ht="14.1">
      <c r="A111" s="193">
        <v>45548</v>
      </c>
      <c r="B111" s="145" t="s">
        <v>831</v>
      </c>
      <c r="C111" s="150">
        <v>2024</v>
      </c>
      <c r="D111" s="201" t="s">
        <v>1431</v>
      </c>
      <c r="E111" s="144" t="s">
        <v>1580</v>
      </c>
      <c r="F111" s="140" t="s">
        <v>1439</v>
      </c>
      <c r="G111" s="144" t="s">
        <v>1610</v>
      </c>
      <c r="H111" s="146" t="s">
        <v>26</v>
      </c>
      <c r="I111" s="144" t="s">
        <v>1436</v>
      </c>
    </row>
    <row r="112" spans="1:9" ht="38.1">
      <c r="A112" s="193">
        <v>45548</v>
      </c>
      <c r="B112" s="145" t="s">
        <v>831</v>
      </c>
      <c r="C112" s="150">
        <v>2024</v>
      </c>
      <c r="D112" s="201" t="s">
        <v>1431</v>
      </c>
      <c r="E112" s="144" t="s">
        <v>1539</v>
      </c>
      <c r="F112" s="139" t="s">
        <v>88</v>
      </c>
      <c r="G112" s="144" t="s">
        <v>1611</v>
      </c>
      <c r="H112" s="146" t="s">
        <v>26</v>
      </c>
      <c r="I112" s="144" t="s">
        <v>1436</v>
      </c>
    </row>
    <row r="113" spans="1:9" ht="14.1">
      <c r="A113" s="193">
        <v>45548</v>
      </c>
      <c r="B113" s="145" t="s">
        <v>831</v>
      </c>
      <c r="C113" s="150">
        <v>2024</v>
      </c>
      <c r="D113" s="201" t="s">
        <v>1431</v>
      </c>
      <c r="E113" s="144" t="s">
        <v>1436</v>
      </c>
      <c r="F113" s="139" t="s">
        <v>88</v>
      </c>
      <c r="G113" s="144" t="s">
        <v>1612</v>
      </c>
      <c r="H113" s="146" t="s">
        <v>26</v>
      </c>
      <c r="I113" s="144" t="s">
        <v>1436</v>
      </c>
    </row>
    <row r="114" spans="1:9" ht="25.5">
      <c r="A114" s="193">
        <v>45548</v>
      </c>
      <c r="B114" s="145" t="s">
        <v>831</v>
      </c>
      <c r="C114" s="150">
        <v>2024</v>
      </c>
      <c r="D114" s="201" t="s">
        <v>1431</v>
      </c>
      <c r="E114" s="144" t="s">
        <v>1539</v>
      </c>
      <c r="F114" s="139" t="s">
        <v>88</v>
      </c>
      <c r="G114" s="144" t="s">
        <v>1613</v>
      </c>
      <c r="H114" s="146" t="s">
        <v>26</v>
      </c>
      <c r="I114" s="144" t="s">
        <v>1436</v>
      </c>
    </row>
    <row r="115" spans="1:9" ht="25.5">
      <c r="A115" s="193">
        <v>45551</v>
      </c>
      <c r="B115" s="145" t="s">
        <v>831</v>
      </c>
      <c r="C115" s="150">
        <v>2024</v>
      </c>
      <c r="D115" s="201" t="s">
        <v>1431</v>
      </c>
      <c r="E115" s="144" t="s">
        <v>1580</v>
      </c>
      <c r="F115" s="140" t="s">
        <v>1439</v>
      </c>
      <c r="G115" s="144" t="s">
        <v>1614</v>
      </c>
      <c r="H115" s="146" t="s">
        <v>26</v>
      </c>
      <c r="I115" s="144" t="s">
        <v>1436</v>
      </c>
    </row>
    <row r="116" spans="1:9" ht="38.1">
      <c r="A116" s="193">
        <v>45551</v>
      </c>
      <c r="B116" s="145" t="s">
        <v>831</v>
      </c>
      <c r="C116" s="150">
        <v>2024</v>
      </c>
      <c r="D116" s="201" t="s">
        <v>1431</v>
      </c>
      <c r="E116" s="144" t="s">
        <v>1506</v>
      </c>
      <c r="F116" s="139" t="s">
        <v>88</v>
      </c>
      <c r="G116" s="144" t="s">
        <v>1615</v>
      </c>
      <c r="H116" s="146" t="s">
        <v>26</v>
      </c>
      <c r="I116" s="144" t="s">
        <v>1436</v>
      </c>
    </row>
    <row r="117" spans="1:9" ht="38.1">
      <c r="A117" s="193">
        <v>45551</v>
      </c>
      <c r="B117" s="145" t="s">
        <v>831</v>
      </c>
      <c r="C117" s="150">
        <v>2024</v>
      </c>
      <c r="D117" s="201" t="s">
        <v>1431</v>
      </c>
      <c r="E117" s="144" t="s">
        <v>21</v>
      </c>
      <c r="F117" s="141" t="s">
        <v>821</v>
      </c>
      <c r="G117" s="144" t="s">
        <v>1616</v>
      </c>
      <c r="H117" s="146" t="s">
        <v>26</v>
      </c>
      <c r="I117" s="144" t="s">
        <v>1436</v>
      </c>
    </row>
    <row r="118" spans="1:9" ht="14.1">
      <c r="A118" s="193">
        <v>45551</v>
      </c>
      <c r="B118" s="145" t="s">
        <v>831</v>
      </c>
      <c r="C118" s="150">
        <v>2024</v>
      </c>
      <c r="D118" s="201" t="s">
        <v>1431</v>
      </c>
      <c r="E118" s="144" t="s">
        <v>1449</v>
      </c>
      <c r="F118" s="139" t="s">
        <v>88</v>
      </c>
      <c r="G118" s="144" t="s">
        <v>1617</v>
      </c>
      <c r="H118" s="146" t="s">
        <v>26</v>
      </c>
      <c r="I118" s="144" t="s">
        <v>1436</v>
      </c>
    </row>
    <row r="119" spans="1:9" ht="14.1">
      <c r="A119" s="193">
        <v>45551</v>
      </c>
      <c r="B119" s="145" t="s">
        <v>831</v>
      </c>
      <c r="C119" s="150">
        <v>2024</v>
      </c>
      <c r="D119" s="201" t="s">
        <v>1431</v>
      </c>
      <c r="E119" s="144" t="s">
        <v>1449</v>
      </c>
      <c r="F119" s="139" t="s">
        <v>88</v>
      </c>
      <c r="G119" s="144" t="s">
        <v>1618</v>
      </c>
      <c r="H119" s="146" t="s">
        <v>26</v>
      </c>
      <c r="I119" s="144" t="s">
        <v>1436</v>
      </c>
    </row>
    <row r="120" spans="1:9" ht="14.1">
      <c r="A120" s="193">
        <v>45551</v>
      </c>
      <c r="B120" s="145" t="s">
        <v>831</v>
      </c>
      <c r="C120" s="150">
        <v>2024</v>
      </c>
      <c r="D120" s="201" t="s">
        <v>1431</v>
      </c>
      <c r="E120" s="144" t="s">
        <v>1449</v>
      </c>
      <c r="F120" s="139" t="s">
        <v>88</v>
      </c>
      <c r="G120" s="144" t="s">
        <v>1619</v>
      </c>
      <c r="H120" s="146" t="s">
        <v>26</v>
      </c>
      <c r="I120" s="144" t="s">
        <v>1436</v>
      </c>
    </row>
    <row r="121" spans="1:9" ht="25.5">
      <c r="A121" s="193">
        <v>45551</v>
      </c>
      <c r="B121" s="145" t="s">
        <v>831</v>
      </c>
      <c r="C121" s="150">
        <v>2024</v>
      </c>
      <c r="D121" s="201" t="s">
        <v>1431</v>
      </c>
      <c r="E121" s="144" t="s">
        <v>1158</v>
      </c>
      <c r="F121" s="139" t="s">
        <v>88</v>
      </c>
      <c r="G121" s="144" t="s">
        <v>1620</v>
      </c>
      <c r="H121" s="146" t="s">
        <v>26</v>
      </c>
      <c r="I121" s="144" t="s">
        <v>1436</v>
      </c>
    </row>
    <row r="122" spans="1:9" ht="38.1">
      <c r="A122" s="193">
        <v>45552</v>
      </c>
      <c r="B122" s="145" t="s">
        <v>831</v>
      </c>
      <c r="C122" s="150">
        <v>2024</v>
      </c>
      <c r="D122" s="201" t="s">
        <v>1431</v>
      </c>
      <c r="E122" s="144" t="s">
        <v>1449</v>
      </c>
      <c r="F122" s="139" t="s">
        <v>88</v>
      </c>
      <c r="G122" s="144" t="s">
        <v>1621</v>
      </c>
      <c r="H122" s="146" t="s">
        <v>26</v>
      </c>
      <c r="I122" s="144" t="s">
        <v>1436</v>
      </c>
    </row>
    <row r="123" spans="1:9" ht="25.5">
      <c r="A123" s="193">
        <v>45552</v>
      </c>
      <c r="B123" s="145" t="s">
        <v>831</v>
      </c>
      <c r="C123" s="150">
        <v>2024</v>
      </c>
      <c r="D123" s="201" t="s">
        <v>1431</v>
      </c>
      <c r="E123" s="144" t="s">
        <v>1436</v>
      </c>
      <c r="F123" s="139" t="s">
        <v>88</v>
      </c>
      <c r="G123" s="144" t="s">
        <v>1622</v>
      </c>
      <c r="H123" s="146" t="s">
        <v>26</v>
      </c>
      <c r="I123" s="144" t="s">
        <v>1436</v>
      </c>
    </row>
    <row r="124" spans="1:9" ht="25.5">
      <c r="A124" s="193">
        <v>45552</v>
      </c>
      <c r="B124" s="145" t="s">
        <v>831</v>
      </c>
      <c r="C124" s="150">
        <v>2024</v>
      </c>
      <c r="D124" s="201" t="s">
        <v>1431</v>
      </c>
      <c r="E124" s="144" t="s">
        <v>1436</v>
      </c>
      <c r="F124" s="139" t="s">
        <v>88</v>
      </c>
      <c r="G124" s="144" t="s">
        <v>1623</v>
      </c>
      <c r="H124" s="146" t="s">
        <v>26</v>
      </c>
      <c r="I124" s="144" t="s">
        <v>1436</v>
      </c>
    </row>
    <row r="125" spans="1:9" ht="63">
      <c r="A125" s="193">
        <v>45553</v>
      </c>
      <c r="B125" s="145" t="s">
        <v>831</v>
      </c>
      <c r="C125" s="150">
        <v>2024</v>
      </c>
      <c r="D125" s="201" t="s">
        <v>1431</v>
      </c>
      <c r="E125" s="144" t="s">
        <v>1158</v>
      </c>
      <c r="F125" s="139" t="s">
        <v>88</v>
      </c>
      <c r="G125" s="144" t="s">
        <v>1624</v>
      </c>
      <c r="H125" s="146" t="s">
        <v>26</v>
      </c>
      <c r="I125" s="144" t="s">
        <v>1436</v>
      </c>
    </row>
    <row r="126" spans="1:9" ht="14.1">
      <c r="A126" s="193">
        <v>45553</v>
      </c>
      <c r="B126" s="145" t="s">
        <v>831</v>
      </c>
      <c r="C126" s="150">
        <v>2024</v>
      </c>
      <c r="D126" s="201" t="s">
        <v>1431</v>
      </c>
      <c r="E126" s="144" t="s">
        <v>1449</v>
      </c>
      <c r="F126" s="139" t="s">
        <v>88</v>
      </c>
      <c r="G126" s="144" t="s">
        <v>1625</v>
      </c>
      <c r="H126" s="146" t="s">
        <v>26</v>
      </c>
      <c r="I126" s="144" t="s">
        <v>1436</v>
      </c>
    </row>
    <row r="127" spans="1:9" ht="25.5">
      <c r="A127" s="193">
        <v>45553</v>
      </c>
      <c r="B127" s="145" t="s">
        <v>831</v>
      </c>
      <c r="C127" s="150">
        <v>2024</v>
      </c>
      <c r="D127" s="201" t="s">
        <v>1431</v>
      </c>
      <c r="E127" s="144" t="s">
        <v>1449</v>
      </c>
      <c r="F127" s="139" t="s">
        <v>88</v>
      </c>
      <c r="G127" s="144" t="s">
        <v>1626</v>
      </c>
      <c r="H127" s="146" t="s">
        <v>26</v>
      </c>
      <c r="I127" s="144" t="s">
        <v>1436</v>
      </c>
    </row>
    <row r="128" spans="1:9" ht="25.5">
      <c r="A128" s="193">
        <v>45553</v>
      </c>
      <c r="B128" s="145" t="s">
        <v>831</v>
      </c>
      <c r="C128" s="150">
        <v>2024</v>
      </c>
      <c r="D128" s="201" t="s">
        <v>1431</v>
      </c>
      <c r="E128" s="144" t="s">
        <v>1539</v>
      </c>
      <c r="F128" s="142" t="s">
        <v>872</v>
      </c>
      <c r="G128" s="144" t="s">
        <v>1627</v>
      </c>
      <c r="H128" s="146" t="s">
        <v>26</v>
      </c>
      <c r="I128" s="144" t="s">
        <v>1436</v>
      </c>
    </row>
    <row r="129" spans="1:9" ht="50.45">
      <c r="A129" s="193">
        <v>45554</v>
      </c>
      <c r="B129" s="145" t="s">
        <v>831</v>
      </c>
      <c r="C129" s="150">
        <v>2024</v>
      </c>
      <c r="D129" s="201" t="s">
        <v>1431</v>
      </c>
      <c r="E129" s="144" t="s">
        <v>574</v>
      </c>
      <c r="F129" s="139" t="s">
        <v>88</v>
      </c>
      <c r="G129" s="144" t="s">
        <v>1628</v>
      </c>
      <c r="H129" s="146" t="s">
        <v>26</v>
      </c>
      <c r="I129" s="144" t="s">
        <v>1436</v>
      </c>
    </row>
    <row r="130" spans="1:9" ht="25.5">
      <c r="A130" s="193">
        <v>45554</v>
      </c>
      <c r="B130" s="145" t="s">
        <v>831</v>
      </c>
      <c r="C130" s="150">
        <v>2024</v>
      </c>
      <c r="D130" s="201" t="s">
        <v>1431</v>
      </c>
      <c r="E130" s="144" t="s">
        <v>1449</v>
      </c>
      <c r="F130" s="139" t="s">
        <v>88</v>
      </c>
      <c r="G130" s="144" t="s">
        <v>1629</v>
      </c>
      <c r="H130" s="146" t="s">
        <v>26</v>
      </c>
      <c r="I130" s="144" t="s">
        <v>1436</v>
      </c>
    </row>
    <row r="131" spans="1:9" ht="14.1">
      <c r="A131" s="193">
        <v>45554</v>
      </c>
      <c r="B131" s="145" t="s">
        <v>831</v>
      </c>
      <c r="C131" s="150">
        <v>2024</v>
      </c>
      <c r="D131" s="201" t="s">
        <v>1431</v>
      </c>
      <c r="E131" s="144" t="s">
        <v>1539</v>
      </c>
      <c r="F131" s="142" t="s">
        <v>872</v>
      </c>
      <c r="G131" s="144" t="s">
        <v>1630</v>
      </c>
      <c r="H131" s="146" t="s">
        <v>26</v>
      </c>
      <c r="I131" s="144" t="s">
        <v>1436</v>
      </c>
    </row>
    <row r="132" spans="1:9" ht="38.1">
      <c r="A132" s="193">
        <v>45555</v>
      </c>
      <c r="B132" s="145" t="s">
        <v>831</v>
      </c>
      <c r="C132" s="150">
        <v>2024</v>
      </c>
      <c r="D132" s="201" t="s">
        <v>1431</v>
      </c>
      <c r="E132" s="144" t="s">
        <v>216</v>
      </c>
      <c r="F132" s="141" t="s">
        <v>821</v>
      </c>
      <c r="G132" s="144" t="s">
        <v>1631</v>
      </c>
      <c r="H132" s="146" t="s">
        <v>26</v>
      </c>
      <c r="I132" s="144" t="s">
        <v>1436</v>
      </c>
    </row>
    <row r="133" spans="1:9" ht="25.5">
      <c r="A133" s="193">
        <v>45555</v>
      </c>
      <c r="B133" s="145" t="s">
        <v>831</v>
      </c>
      <c r="C133" s="150">
        <v>2024</v>
      </c>
      <c r="D133" s="201" t="s">
        <v>1431</v>
      </c>
      <c r="E133" s="144" t="s">
        <v>1518</v>
      </c>
      <c r="F133" s="141" t="s">
        <v>821</v>
      </c>
      <c r="G133" s="144" t="s">
        <v>1632</v>
      </c>
      <c r="H133" s="146" t="s">
        <v>26</v>
      </c>
      <c r="I133" s="144" t="s">
        <v>1436</v>
      </c>
    </row>
    <row r="134" spans="1:9" ht="14.1">
      <c r="A134" s="193">
        <v>45555</v>
      </c>
      <c r="B134" s="145" t="s">
        <v>831</v>
      </c>
      <c r="C134" s="150">
        <v>2024</v>
      </c>
      <c r="D134" s="201" t="s">
        <v>1431</v>
      </c>
      <c r="E134" s="144" t="s">
        <v>1449</v>
      </c>
      <c r="F134" s="139" t="s">
        <v>88</v>
      </c>
      <c r="G134" s="144" t="s">
        <v>1633</v>
      </c>
      <c r="H134" s="146" t="s">
        <v>26</v>
      </c>
      <c r="I134" s="144" t="s">
        <v>1436</v>
      </c>
    </row>
    <row r="135" spans="1:9" ht="25.5">
      <c r="A135" s="193">
        <v>45555</v>
      </c>
      <c r="B135" s="145" t="s">
        <v>831</v>
      </c>
      <c r="C135" s="150">
        <v>2024</v>
      </c>
      <c r="D135" s="201" t="s">
        <v>1431</v>
      </c>
      <c r="E135" s="144" t="s">
        <v>1449</v>
      </c>
      <c r="F135" s="139" t="s">
        <v>88</v>
      </c>
      <c r="G135" s="144" t="s">
        <v>1634</v>
      </c>
      <c r="H135" s="146" t="s">
        <v>26</v>
      </c>
      <c r="I135" s="144" t="s">
        <v>1436</v>
      </c>
    </row>
    <row r="136" spans="1:9" ht="25.5">
      <c r="A136" s="193">
        <v>45558</v>
      </c>
      <c r="B136" s="145" t="s">
        <v>831</v>
      </c>
      <c r="C136" s="150">
        <v>2024</v>
      </c>
      <c r="D136" s="201" t="s">
        <v>1431</v>
      </c>
      <c r="E136" s="144" t="s">
        <v>216</v>
      </c>
      <c r="F136" s="141" t="s">
        <v>821</v>
      </c>
      <c r="G136" s="144" t="s">
        <v>1635</v>
      </c>
      <c r="H136" s="146" t="s">
        <v>26</v>
      </c>
      <c r="I136" s="144" t="s">
        <v>1436</v>
      </c>
    </row>
    <row r="137" spans="1:9" ht="25.5">
      <c r="A137" s="193">
        <v>45558</v>
      </c>
      <c r="B137" s="145" t="s">
        <v>831</v>
      </c>
      <c r="C137" s="150">
        <v>2024</v>
      </c>
      <c r="D137" s="201" t="s">
        <v>1431</v>
      </c>
      <c r="E137" s="144" t="s">
        <v>21</v>
      </c>
      <c r="F137" s="141" t="s">
        <v>821</v>
      </c>
      <c r="G137" s="144" t="s">
        <v>1636</v>
      </c>
      <c r="H137" s="146" t="s">
        <v>26</v>
      </c>
      <c r="I137" s="144" t="s">
        <v>1436</v>
      </c>
    </row>
    <row r="138" spans="1:9" ht="38.1">
      <c r="A138" s="193">
        <v>45558</v>
      </c>
      <c r="B138" s="145" t="s">
        <v>831</v>
      </c>
      <c r="C138" s="150">
        <v>2024</v>
      </c>
      <c r="D138" s="201" t="s">
        <v>1431</v>
      </c>
      <c r="E138" s="144" t="s">
        <v>1449</v>
      </c>
      <c r="F138" s="139" t="s">
        <v>88</v>
      </c>
      <c r="G138" s="144" t="s">
        <v>1637</v>
      </c>
      <c r="H138" s="146" t="s">
        <v>26</v>
      </c>
      <c r="I138" s="144" t="s">
        <v>1436</v>
      </c>
    </row>
    <row r="139" spans="1:9" ht="14.1">
      <c r="A139" s="193">
        <v>45558</v>
      </c>
      <c r="B139" s="145" t="s">
        <v>831</v>
      </c>
      <c r="C139" s="150">
        <v>2024</v>
      </c>
      <c r="D139" s="201" t="s">
        <v>1431</v>
      </c>
      <c r="E139" s="144" t="s">
        <v>1436</v>
      </c>
      <c r="F139" s="139" t="s">
        <v>88</v>
      </c>
      <c r="G139" s="144" t="s">
        <v>1638</v>
      </c>
      <c r="H139" s="146" t="s">
        <v>26</v>
      </c>
      <c r="I139" s="144" t="s">
        <v>1436</v>
      </c>
    </row>
    <row r="140" spans="1:9" ht="38.1">
      <c r="A140" s="193">
        <v>45558</v>
      </c>
      <c r="B140" s="145" t="s">
        <v>831</v>
      </c>
      <c r="C140" s="150">
        <v>2024</v>
      </c>
      <c r="D140" s="201" t="s">
        <v>1431</v>
      </c>
      <c r="E140" s="144" t="s">
        <v>1539</v>
      </c>
      <c r="F140" s="139" t="s">
        <v>88</v>
      </c>
      <c r="G140" s="144" t="s">
        <v>1639</v>
      </c>
      <c r="H140" s="146" t="s">
        <v>26</v>
      </c>
      <c r="I140" s="144" t="s">
        <v>1436</v>
      </c>
    </row>
    <row r="141" spans="1:9" ht="50.45">
      <c r="A141" s="193">
        <v>45558</v>
      </c>
      <c r="B141" s="145" t="s">
        <v>831</v>
      </c>
      <c r="C141" s="150">
        <v>2024</v>
      </c>
      <c r="D141" s="201" t="s">
        <v>1431</v>
      </c>
      <c r="E141" s="144" t="s">
        <v>1506</v>
      </c>
      <c r="F141" s="139" t="s">
        <v>88</v>
      </c>
      <c r="G141" s="144" t="s">
        <v>1640</v>
      </c>
      <c r="H141" s="146" t="s">
        <v>26</v>
      </c>
      <c r="I141" s="144" t="s">
        <v>1436</v>
      </c>
    </row>
    <row r="142" spans="1:9" ht="38.1">
      <c r="A142" s="193">
        <v>45558</v>
      </c>
      <c r="B142" s="145" t="s">
        <v>831</v>
      </c>
      <c r="C142" s="150">
        <v>2024</v>
      </c>
      <c r="D142" s="201" t="s">
        <v>1431</v>
      </c>
      <c r="E142" s="144" t="s">
        <v>1580</v>
      </c>
      <c r="F142" s="139" t="s">
        <v>88</v>
      </c>
      <c r="G142" s="144" t="s">
        <v>1641</v>
      </c>
      <c r="H142" s="146" t="s">
        <v>26</v>
      </c>
      <c r="I142" s="144" t="s">
        <v>1436</v>
      </c>
    </row>
    <row r="143" spans="1:9" ht="75.599999999999994">
      <c r="A143" s="193">
        <v>45559</v>
      </c>
      <c r="B143" s="145" t="s">
        <v>831</v>
      </c>
      <c r="C143" s="150">
        <v>2024</v>
      </c>
      <c r="D143" s="201" t="s">
        <v>1431</v>
      </c>
      <c r="E143" s="144" t="s">
        <v>1436</v>
      </c>
      <c r="F143" s="139" t="s">
        <v>88</v>
      </c>
      <c r="G143" s="144" t="s">
        <v>1642</v>
      </c>
      <c r="H143" s="146" t="s">
        <v>26</v>
      </c>
      <c r="I143" s="144" t="s">
        <v>1436</v>
      </c>
    </row>
    <row r="144" spans="1:9" ht="25.5">
      <c r="A144" s="193">
        <v>45559</v>
      </c>
      <c r="B144" s="145" t="s">
        <v>831</v>
      </c>
      <c r="C144" s="150">
        <v>2024</v>
      </c>
      <c r="D144" s="201" t="s">
        <v>1431</v>
      </c>
      <c r="E144" s="144" t="s">
        <v>1449</v>
      </c>
      <c r="F144" s="139" t="s">
        <v>88</v>
      </c>
      <c r="G144" s="144" t="s">
        <v>1643</v>
      </c>
      <c r="H144" s="146" t="s">
        <v>26</v>
      </c>
      <c r="I144" s="144" t="s">
        <v>1436</v>
      </c>
    </row>
    <row r="145" spans="1:9" ht="25.5">
      <c r="A145" s="193">
        <v>45559</v>
      </c>
      <c r="B145" s="145" t="s">
        <v>831</v>
      </c>
      <c r="C145" s="150">
        <v>2024</v>
      </c>
      <c r="D145" s="201" t="s">
        <v>1431</v>
      </c>
      <c r="E145" s="144" t="s">
        <v>216</v>
      </c>
      <c r="F145" s="141" t="s">
        <v>821</v>
      </c>
      <c r="G145" s="144" t="s">
        <v>1635</v>
      </c>
      <c r="H145" s="146" t="s">
        <v>26</v>
      </c>
      <c r="I145" s="144" t="s">
        <v>1436</v>
      </c>
    </row>
    <row r="146" spans="1:9" ht="25.5">
      <c r="A146" s="193">
        <v>45560</v>
      </c>
      <c r="B146" s="145" t="s">
        <v>831</v>
      </c>
      <c r="C146" s="150">
        <v>2024</v>
      </c>
      <c r="D146" s="201" t="s">
        <v>1431</v>
      </c>
      <c r="E146" s="144" t="s">
        <v>1608</v>
      </c>
      <c r="F146" s="140" t="s">
        <v>1439</v>
      </c>
      <c r="G146" s="144" t="s">
        <v>1644</v>
      </c>
      <c r="H146" s="146" t="s">
        <v>26</v>
      </c>
      <c r="I146" s="144" t="s">
        <v>1436</v>
      </c>
    </row>
    <row r="147" spans="1:9" ht="25.5">
      <c r="A147" s="193">
        <v>45560</v>
      </c>
      <c r="B147" s="145" t="s">
        <v>831</v>
      </c>
      <c r="C147" s="150">
        <v>2024</v>
      </c>
      <c r="D147" s="201" t="s">
        <v>1431</v>
      </c>
      <c r="E147" s="144" t="s">
        <v>1436</v>
      </c>
      <c r="F147" s="139" t="s">
        <v>88</v>
      </c>
      <c r="G147" s="144" t="s">
        <v>1645</v>
      </c>
      <c r="H147" s="146" t="s">
        <v>26</v>
      </c>
      <c r="I147" s="144" t="s">
        <v>1436</v>
      </c>
    </row>
    <row r="148" spans="1:9" ht="25.5">
      <c r="A148" s="193">
        <v>45560</v>
      </c>
      <c r="B148" s="145" t="s">
        <v>831</v>
      </c>
      <c r="C148" s="150">
        <v>2024</v>
      </c>
      <c r="D148" s="201" t="s">
        <v>1431</v>
      </c>
      <c r="E148" s="144" t="s">
        <v>1436</v>
      </c>
      <c r="F148" s="139" t="s">
        <v>88</v>
      </c>
      <c r="G148" s="144" t="s">
        <v>1646</v>
      </c>
      <c r="H148" s="146" t="s">
        <v>26</v>
      </c>
      <c r="I148" s="144" t="s">
        <v>1436</v>
      </c>
    </row>
    <row r="149" spans="1:9" ht="25.5">
      <c r="A149" s="193">
        <v>45560</v>
      </c>
      <c r="B149" s="145" t="s">
        <v>831</v>
      </c>
      <c r="C149" s="150">
        <v>2024</v>
      </c>
      <c r="D149" s="201" t="s">
        <v>1431</v>
      </c>
      <c r="E149" s="144" t="s">
        <v>1566</v>
      </c>
      <c r="F149" s="139" t="s">
        <v>88</v>
      </c>
      <c r="G149" s="144" t="s">
        <v>1647</v>
      </c>
      <c r="H149" s="146" t="s">
        <v>26</v>
      </c>
      <c r="I149" s="144" t="s">
        <v>1436</v>
      </c>
    </row>
    <row r="150" spans="1:9" ht="25.5">
      <c r="A150" s="193">
        <v>45560</v>
      </c>
      <c r="B150" s="145" t="s">
        <v>831</v>
      </c>
      <c r="C150" s="150">
        <v>2024</v>
      </c>
      <c r="D150" s="201" t="s">
        <v>1431</v>
      </c>
      <c r="E150" s="144" t="s">
        <v>1539</v>
      </c>
      <c r="F150" s="139" t="s">
        <v>88</v>
      </c>
      <c r="G150" s="144" t="s">
        <v>1648</v>
      </c>
      <c r="H150" s="146" t="s">
        <v>26</v>
      </c>
      <c r="I150" s="144" t="s">
        <v>1436</v>
      </c>
    </row>
    <row r="151" spans="1:9" ht="14.1">
      <c r="A151" s="193">
        <v>45560</v>
      </c>
      <c r="B151" s="145" t="s">
        <v>831</v>
      </c>
      <c r="C151" s="150">
        <v>2024</v>
      </c>
      <c r="D151" s="201" t="s">
        <v>1431</v>
      </c>
      <c r="E151" s="144" t="s">
        <v>1539</v>
      </c>
      <c r="F151" s="142" t="s">
        <v>872</v>
      </c>
      <c r="G151" s="144" t="s">
        <v>1649</v>
      </c>
      <c r="H151" s="146" t="s">
        <v>26</v>
      </c>
      <c r="I151" s="144" t="s">
        <v>1436</v>
      </c>
    </row>
    <row r="152" spans="1:9" ht="25.5">
      <c r="A152" s="193">
        <v>45561</v>
      </c>
      <c r="B152" s="145" t="s">
        <v>831</v>
      </c>
      <c r="C152" s="150">
        <v>2024</v>
      </c>
      <c r="D152" s="201" t="s">
        <v>1431</v>
      </c>
      <c r="E152" s="144" t="s">
        <v>1436</v>
      </c>
      <c r="F152" s="139" t="s">
        <v>88</v>
      </c>
      <c r="G152" s="144" t="s">
        <v>1645</v>
      </c>
      <c r="H152" s="146" t="s">
        <v>26</v>
      </c>
      <c r="I152" s="144" t="s">
        <v>1436</v>
      </c>
    </row>
    <row r="153" spans="1:9" ht="25.5">
      <c r="A153" s="193">
        <v>45561</v>
      </c>
      <c r="B153" s="145" t="s">
        <v>831</v>
      </c>
      <c r="C153" s="150">
        <v>2024</v>
      </c>
      <c r="D153" s="201" t="s">
        <v>1431</v>
      </c>
      <c r="E153" s="144" t="s">
        <v>216</v>
      </c>
      <c r="F153" s="141" t="s">
        <v>821</v>
      </c>
      <c r="G153" s="144" t="s">
        <v>1650</v>
      </c>
      <c r="H153" s="146" t="s">
        <v>26</v>
      </c>
      <c r="I153" s="144" t="s">
        <v>1436</v>
      </c>
    </row>
    <row r="154" spans="1:9" ht="14.1">
      <c r="A154" s="193">
        <v>45561</v>
      </c>
      <c r="B154" s="145" t="s">
        <v>831</v>
      </c>
      <c r="C154" s="150">
        <v>2024</v>
      </c>
      <c r="D154" s="201" t="s">
        <v>1431</v>
      </c>
      <c r="E154" s="144" t="s">
        <v>1449</v>
      </c>
      <c r="F154" s="139" t="s">
        <v>88</v>
      </c>
      <c r="G154" s="144" t="s">
        <v>1651</v>
      </c>
      <c r="H154" s="146" t="s">
        <v>26</v>
      </c>
      <c r="I154" s="144" t="s">
        <v>1436</v>
      </c>
    </row>
    <row r="155" spans="1:9" ht="14.1">
      <c r="A155" s="193">
        <v>45561</v>
      </c>
      <c r="B155" s="145" t="s">
        <v>831</v>
      </c>
      <c r="C155" s="150">
        <v>2024</v>
      </c>
      <c r="D155" s="201" t="s">
        <v>1431</v>
      </c>
      <c r="E155" s="144" t="s">
        <v>1436</v>
      </c>
      <c r="F155" s="139" t="s">
        <v>88</v>
      </c>
      <c r="G155" s="144" t="s">
        <v>1652</v>
      </c>
      <c r="H155" s="146" t="s">
        <v>26</v>
      </c>
      <c r="I155" s="144" t="s">
        <v>1436</v>
      </c>
    </row>
    <row r="156" spans="1:9" ht="14.1">
      <c r="A156" s="193">
        <v>45561</v>
      </c>
      <c r="B156" s="145" t="s">
        <v>831</v>
      </c>
      <c r="C156" s="150">
        <v>2024</v>
      </c>
      <c r="D156" s="201" t="s">
        <v>1431</v>
      </c>
      <c r="E156" s="144" t="s">
        <v>1518</v>
      </c>
      <c r="F156" s="139" t="s">
        <v>88</v>
      </c>
      <c r="G156" s="144" t="s">
        <v>1653</v>
      </c>
      <c r="H156" s="146" t="s">
        <v>26</v>
      </c>
      <c r="I156" s="144" t="s">
        <v>1436</v>
      </c>
    </row>
    <row r="157" spans="1:9" ht="25.5">
      <c r="A157" s="193">
        <v>45561</v>
      </c>
      <c r="B157" s="145" t="s">
        <v>831</v>
      </c>
      <c r="C157" s="150">
        <v>2024</v>
      </c>
      <c r="D157" s="201" t="s">
        <v>1431</v>
      </c>
      <c r="E157" s="144" t="s">
        <v>1539</v>
      </c>
      <c r="F157" s="142" t="s">
        <v>872</v>
      </c>
      <c r="G157" s="144" t="s">
        <v>1654</v>
      </c>
      <c r="H157" s="146" t="s">
        <v>26</v>
      </c>
      <c r="I157" s="144" t="s">
        <v>1436</v>
      </c>
    </row>
    <row r="158" spans="1:9" ht="14.1">
      <c r="A158" s="193">
        <v>45561</v>
      </c>
      <c r="B158" s="145" t="s">
        <v>831</v>
      </c>
      <c r="C158" s="150">
        <v>2024</v>
      </c>
      <c r="D158" s="201" t="s">
        <v>1431</v>
      </c>
      <c r="E158" s="144" t="s">
        <v>1566</v>
      </c>
      <c r="F158" s="142" t="s">
        <v>872</v>
      </c>
      <c r="G158" s="144" t="s">
        <v>1655</v>
      </c>
      <c r="H158" s="146" t="s">
        <v>26</v>
      </c>
      <c r="I158" s="144" t="s">
        <v>1436</v>
      </c>
    </row>
    <row r="159" spans="1:9" ht="38.1">
      <c r="A159" s="193">
        <v>45562</v>
      </c>
      <c r="B159" s="145" t="s">
        <v>831</v>
      </c>
      <c r="C159" s="150">
        <v>2024</v>
      </c>
      <c r="D159" s="201" t="s">
        <v>1431</v>
      </c>
      <c r="E159" s="144" t="s">
        <v>1436</v>
      </c>
      <c r="F159" s="139" t="s">
        <v>88</v>
      </c>
      <c r="G159" s="144" t="s">
        <v>1656</v>
      </c>
      <c r="H159" s="146" t="s">
        <v>26</v>
      </c>
      <c r="I159" s="144" t="s">
        <v>1436</v>
      </c>
    </row>
    <row r="160" spans="1:9" ht="25.5">
      <c r="A160" s="193">
        <v>45562</v>
      </c>
      <c r="B160" s="145" t="s">
        <v>831</v>
      </c>
      <c r="C160" s="150">
        <v>2024</v>
      </c>
      <c r="D160" s="201" t="s">
        <v>1431</v>
      </c>
      <c r="E160" s="144" t="s">
        <v>1584</v>
      </c>
      <c r="F160" s="139" t="s">
        <v>88</v>
      </c>
      <c r="G160" s="144" t="s">
        <v>1657</v>
      </c>
      <c r="H160" s="146" t="s">
        <v>26</v>
      </c>
      <c r="I160" s="144" t="s">
        <v>1436</v>
      </c>
    </row>
    <row r="161" spans="1:9" ht="25.5">
      <c r="A161" s="193">
        <v>45562</v>
      </c>
      <c r="B161" s="145" t="s">
        <v>831</v>
      </c>
      <c r="C161" s="150">
        <v>2024</v>
      </c>
      <c r="D161" s="201" t="s">
        <v>1431</v>
      </c>
      <c r="E161" s="144" t="s">
        <v>216</v>
      </c>
      <c r="F161" s="141" t="s">
        <v>821</v>
      </c>
      <c r="G161" s="144" t="s">
        <v>1658</v>
      </c>
      <c r="H161" s="146" t="s">
        <v>26</v>
      </c>
      <c r="I161" s="144" t="s">
        <v>1436</v>
      </c>
    </row>
    <row r="162" spans="1:9" ht="38.1">
      <c r="A162" s="193">
        <v>45562</v>
      </c>
      <c r="B162" s="145" t="s">
        <v>831</v>
      </c>
      <c r="C162" s="150">
        <v>2024</v>
      </c>
      <c r="D162" s="201" t="s">
        <v>1431</v>
      </c>
      <c r="E162" s="144" t="s">
        <v>216</v>
      </c>
      <c r="F162" s="141" t="s">
        <v>821</v>
      </c>
      <c r="G162" s="144" t="s">
        <v>1659</v>
      </c>
      <c r="H162" s="146" t="s">
        <v>26</v>
      </c>
      <c r="I162" s="144" t="s">
        <v>1436</v>
      </c>
    </row>
    <row r="163" spans="1:9" ht="25.5">
      <c r="A163" s="193">
        <v>45562</v>
      </c>
      <c r="B163" s="145" t="s">
        <v>831</v>
      </c>
      <c r="C163" s="150">
        <v>2024</v>
      </c>
      <c r="D163" s="201" t="s">
        <v>1431</v>
      </c>
      <c r="E163" s="144" t="s">
        <v>1608</v>
      </c>
      <c r="F163" s="140" t="s">
        <v>1439</v>
      </c>
      <c r="G163" s="144" t="s">
        <v>1660</v>
      </c>
      <c r="H163" s="146" t="s">
        <v>26</v>
      </c>
      <c r="I163" s="144" t="s">
        <v>1436</v>
      </c>
    </row>
    <row r="164" spans="1:9" ht="25.5">
      <c r="A164" s="193">
        <v>45565</v>
      </c>
      <c r="B164" s="145" t="s">
        <v>831</v>
      </c>
      <c r="C164" s="150">
        <v>2024</v>
      </c>
      <c r="D164" s="201" t="s">
        <v>1431</v>
      </c>
      <c r="E164" s="144" t="s">
        <v>216</v>
      </c>
      <c r="F164" s="141" t="s">
        <v>821</v>
      </c>
      <c r="G164" s="144" t="s">
        <v>1658</v>
      </c>
      <c r="H164" s="146" t="s">
        <v>26</v>
      </c>
      <c r="I164" s="144" t="s">
        <v>1436</v>
      </c>
    </row>
    <row r="165" spans="1:9" ht="38.1">
      <c r="A165" s="193">
        <v>45565</v>
      </c>
      <c r="B165" s="145" t="s">
        <v>831</v>
      </c>
      <c r="C165" s="150">
        <v>2024</v>
      </c>
      <c r="D165" s="201" t="s">
        <v>1431</v>
      </c>
      <c r="E165" s="144" t="s">
        <v>1506</v>
      </c>
      <c r="F165" s="139" t="s">
        <v>88</v>
      </c>
      <c r="G165" s="144" t="s">
        <v>1661</v>
      </c>
      <c r="H165" s="146" t="s">
        <v>26</v>
      </c>
      <c r="I165" s="144" t="s">
        <v>1436</v>
      </c>
    </row>
    <row r="166" spans="1:9" ht="14.1">
      <c r="A166" s="193">
        <v>45565</v>
      </c>
      <c r="B166" s="145" t="s">
        <v>831</v>
      </c>
      <c r="C166" s="150">
        <v>2024</v>
      </c>
      <c r="D166" s="201" t="s">
        <v>1431</v>
      </c>
      <c r="E166" s="144" t="s">
        <v>1449</v>
      </c>
      <c r="F166" s="139" t="s">
        <v>88</v>
      </c>
      <c r="G166" s="144" t="s">
        <v>1662</v>
      </c>
      <c r="H166" s="146" t="s">
        <v>26</v>
      </c>
      <c r="I166" s="144" t="s">
        <v>1436</v>
      </c>
    </row>
    <row r="167" spans="1:9" ht="38.1">
      <c r="A167" s="193">
        <v>45565</v>
      </c>
      <c r="B167" s="145" t="s">
        <v>831</v>
      </c>
      <c r="C167" s="150">
        <v>2024</v>
      </c>
      <c r="D167" s="201" t="s">
        <v>1431</v>
      </c>
      <c r="E167" s="144" t="s">
        <v>216</v>
      </c>
      <c r="F167" s="141" t="s">
        <v>821</v>
      </c>
      <c r="G167" s="144" t="s">
        <v>1663</v>
      </c>
      <c r="H167" s="146" t="s">
        <v>26</v>
      </c>
      <c r="I167" s="144" t="s">
        <v>1436</v>
      </c>
    </row>
    <row r="168" spans="1:9" ht="63">
      <c r="A168" s="193">
        <v>45565</v>
      </c>
      <c r="B168" s="145" t="s">
        <v>831</v>
      </c>
      <c r="C168" s="150">
        <v>2024</v>
      </c>
      <c r="D168" s="201" t="s">
        <v>1431</v>
      </c>
      <c r="E168" s="144" t="s">
        <v>1158</v>
      </c>
      <c r="F168" s="139" t="s">
        <v>88</v>
      </c>
      <c r="G168" s="144" t="s">
        <v>1664</v>
      </c>
      <c r="H168" s="146" t="s">
        <v>26</v>
      </c>
      <c r="I168" s="144" t="s">
        <v>1436</v>
      </c>
    </row>
    <row r="169" spans="1:9" ht="25.5">
      <c r="A169" s="193">
        <v>45566</v>
      </c>
      <c r="B169" s="145" t="s">
        <v>832</v>
      </c>
      <c r="C169" s="150">
        <v>2024</v>
      </c>
      <c r="D169" s="201" t="s">
        <v>1431</v>
      </c>
      <c r="E169" s="144" t="s">
        <v>1608</v>
      </c>
      <c r="F169" s="140" t="s">
        <v>1439</v>
      </c>
      <c r="G169" s="144" t="s">
        <v>1665</v>
      </c>
      <c r="H169" s="146" t="s">
        <v>26</v>
      </c>
      <c r="I169" s="144" t="s">
        <v>1436</v>
      </c>
    </row>
    <row r="170" spans="1:9" ht="50.45">
      <c r="A170" s="193">
        <v>45566</v>
      </c>
      <c r="B170" s="145" t="s">
        <v>832</v>
      </c>
      <c r="C170" s="150">
        <v>2024</v>
      </c>
      <c r="D170" s="201" t="s">
        <v>1431</v>
      </c>
      <c r="E170" s="144" t="s">
        <v>574</v>
      </c>
      <c r="F170" s="139" t="s">
        <v>88</v>
      </c>
      <c r="G170" s="144" t="s">
        <v>1666</v>
      </c>
      <c r="H170" s="146" t="s">
        <v>26</v>
      </c>
      <c r="I170" s="144" t="s">
        <v>1436</v>
      </c>
    </row>
    <row r="171" spans="1:9" ht="50.45">
      <c r="A171" s="193">
        <v>45566</v>
      </c>
      <c r="B171" s="145" t="s">
        <v>832</v>
      </c>
      <c r="C171" s="150">
        <v>2024</v>
      </c>
      <c r="D171" s="201" t="s">
        <v>1431</v>
      </c>
      <c r="E171" s="144" t="s">
        <v>1506</v>
      </c>
      <c r="F171" s="139" t="s">
        <v>88</v>
      </c>
      <c r="G171" s="144" t="s">
        <v>1667</v>
      </c>
      <c r="H171" s="146" t="s">
        <v>26</v>
      </c>
      <c r="I171" s="144" t="s">
        <v>1436</v>
      </c>
    </row>
    <row r="172" spans="1:9" ht="38.1">
      <c r="A172" s="193">
        <v>45566</v>
      </c>
      <c r="B172" s="145" t="s">
        <v>832</v>
      </c>
      <c r="C172" s="150">
        <v>2024</v>
      </c>
      <c r="D172" s="201" t="s">
        <v>1431</v>
      </c>
      <c r="E172" s="144" t="s">
        <v>1436</v>
      </c>
      <c r="F172" s="139" t="s">
        <v>88</v>
      </c>
      <c r="G172" s="144" t="s">
        <v>1668</v>
      </c>
      <c r="H172" s="146" t="s">
        <v>26</v>
      </c>
      <c r="I172" s="144" t="s">
        <v>1436</v>
      </c>
    </row>
    <row r="173" spans="1:9" ht="38.1">
      <c r="A173" s="193">
        <v>45566</v>
      </c>
      <c r="B173" s="145" t="s">
        <v>832</v>
      </c>
      <c r="C173" s="150">
        <v>2024</v>
      </c>
      <c r="D173" s="201" t="s">
        <v>1431</v>
      </c>
      <c r="E173" s="144" t="s">
        <v>1436</v>
      </c>
      <c r="F173" s="141" t="s">
        <v>821</v>
      </c>
      <c r="G173" s="144" t="s">
        <v>1669</v>
      </c>
      <c r="H173" s="146" t="s">
        <v>26</v>
      </c>
      <c r="I173" s="144" t="s">
        <v>1436</v>
      </c>
    </row>
    <row r="174" spans="1:9" ht="14.1">
      <c r="A174" s="193">
        <v>45566</v>
      </c>
      <c r="B174" s="145" t="s">
        <v>832</v>
      </c>
      <c r="C174" s="150">
        <v>2024</v>
      </c>
      <c r="D174" s="201" t="s">
        <v>1431</v>
      </c>
      <c r="E174" s="144" t="s">
        <v>1436</v>
      </c>
      <c r="F174" s="139" t="s">
        <v>88</v>
      </c>
      <c r="G174" s="144" t="s">
        <v>1670</v>
      </c>
      <c r="H174" s="146" t="s">
        <v>26</v>
      </c>
      <c r="I174" s="144" t="s">
        <v>1436</v>
      </c>
    </row>
    <row r="175" spans="1:9" ht="14.1">
      <c r="A175" s="193">
        <v>45566</v>
      </c>
      <c r="B175" s="145" t="s">
        <v>832</v>
      </c>
      <c r="C175" s="150">
        <v>2024</v>
      </c>
      <c r="D175" s="201" t="s">
        <v>1431</v>
      </c>
      <c r="E175" s="144" t="s">
        <v>1506</v>
      </c>
      <c r="F175" s="139" t="s">
        <v>88</v>
      </c>
      <c r="G175" s="144" t="s">
        <v>1671</v>
      </c>
      <c r="H175" s="146" t="s">
        <v>26</v>
      </c>
      <c r="I175" s="144" t="s">
        <v>1436</v>
      </c>
    </row>
    <row r="176" spans="1:9" ht="25.5">
      <c r="A176" s="193">
        <v>45566</v>
      </c>
      <c r="B176" s="145" t="s">
        <v>832</v>
      </c>
      <c r="C176" s="150">
        <v>2024</v>
      </c>
      <c r="D176" s="201" t="s">
        <v>1431</v>
      </c>
      <c r="E176" s="144" t="s">
        <v>1449</v>
      </c>
      <c r="F176" s="139" t="s">
        <v>88</v>
      </c>
      <c r="G176" s="144" t="s">
        <v>1672</v>
      </c>
      <c r="H176" s="146" t="s">
        <v>26</v>
      </c>
      <c r="I176" s="144" t="s">
        <v>1436</v>
      </c>
    </row>
    <row r="177" spans="1:9" ht="25.5">
      <c r="A177" s="193">
        <v>45566</v>
      </c>
      <c r="B177" s="145" t="s">
        <v>832</v>
      </c>
      <c r="C177" s="150">
        <v>2024</v>
      </c>
      <c r="D177" s="201" t="s">
        <v>1431</v>
      </c>
      <c r="E177" s="144" t="s">
        <v>574</v>
      </c>
      <c r="F177" s="139" t="s">
        <v>88</v>
      </c>
      <c r="G177" s="144" t="s">
        <v>1673</v>
      </c>
      <c r="H177" s="146" t="s">
        <v>26</v>
      </c>
      <c r="I177" s="144" t="s">
        <v>1436</v>
      </c>
    </row>
    <row r="178" spans="1:9" ht="14.1">
      <c r="A178" s="193">
        <v>45566</v>
      </c>
      <c r="B178" s="145" t="s">
        <v>832</v>
      </c>
      <c r="C178" s="150">
        <v>2024</v>
      </c>
      <c r="D178" s="201" t="s">
        <v>1431</v>
      </c>
      <c r="E178" s="144" t="s">
        <v>1449</v>
      </c>
      <c r="F178" s="139" t="s">
        <v>88</v>
      </c>
      <c r="G178" s="144" t="s">
        <v>1674</v>
      </c>
      <c r="H178" s="146" t="s">
        <v>26</v>
      </c>
      <c r="I178" s="144" t="s">
        <v>1436</v>
      </c>
    </row>
    <row r="179" spans="1:9" ht="14.1">
      <c r="A179" s="193">
        <v>45566</v>
      </c>
      <c r="B179" s="145" t="s">
        <v>832</v>
      </c>
      <c r="C179" s="150">
        <v>2024</v>
      </c>
      <c r="D179" s="201" t="s">
        <v>1431</v>
      </c>
      <c r="E179" s="144" t="s">
        <v>1449</v>
      </c>
      <c r="F179" s="139" t="s">
        <v>88</v>
      </c>
      <c r="G179" s="144" t="s">
        <v>1675</v>
      </c>
      <c r="H179" s="146" t="s">
        <v>26</v>
      </c>
      <c r="I179" s="144" t="s">
        <v>1436</v>
      </c>
    </row>
    <row r="180" spans="1:9" ht="25.5">
      <c r="A180" s="193">
        <v>45567</v>
      </c>
      <c r="B180" s="145" t="s">
        <v>832</v>
      </c>
      <c r="C180" s="150">
        <v>2024</v>
      </c>
      <c r="D180" s="201" t="s">
        <v>1431</v>
      </c>
      <c r="E180" s="144" t="s">
        <v>1608</v>
      </c>
      <c r="F180" s="140" t="s">
        <v>1439</v>
      </c>
      <c r="G180" s="144" t="s">
        <v>1676</v>
      </c>
      <c r="H180" s="146" t="s">
        <v>26</v>
      </c>
      <c r="I180" s="144" t="s">
        <v>1436</v>
      </c>
    </row>
    <row r="181" spans="1:9" ht="38.1">
      <c r="A181" s="193">
        <v>45567</v>
      </c>
      <c r="B181" s="145" t="s">
        <v>832</v>
      </c>
      <c r="C181" s="150">
        <v>2024</v>
      </c>
      <c r="D181" s="201" t="s">
        <v>1431</v>
      </c>
      <c r="E181" s="144" t="s">
        <v>574</v>
      </c>
      <c r="F181" s="139" t="s">
        <v>88</v>
      </c>
      <c r="G181" s="144" t="s">
        <v>1677</v>
      </c>
      <c r="H181" s="146" t="s">
        <v>26</v>
      </c>
      <c r="I181" s="144" t="s">
        <v>1436</v>
      </c>
    </row>
    <row r="182" spans="1:9" ht="50.45">
      <c r="A182" s="193">
        <v>45567</v>
      </c>
      <c r="B182" s="145" t="s">
        <v>832</v>
      </c>
      <c r="C182" s="150">
        <v>2024</v>
      </c>
      <c r="D182" s="201" t="s">
        <v>1431</v>
      </c>
      <c r="E182" s="144" t="s">
        <v>1436</v>
      </c>
      <c r="F182" s="139" t="s">
        <v>88</v>
      </c>
      <c r="G182" s="144" t="s">
        <v>1678</v>
      </c>
      <c r="H182" s="146" t="s">
        <v>26</v>
      </c>
      <c r="I182" s="144" t="s">
        <v>1436</v>
      </c>
    </row>
    <row r="183" spans="1:9" ht="38.1">
      <c r="A183" s="193">
        <v>45567</v>
      </c>
      <c r="B183" s="145" t="s">
        <v>832</v>
      </c>
      <c r="C183" s="150">
        <v>2024</v>
      </c>
      <c r="D183" s="201" t="s">
        <v>1431</v>
      </c>
      <c r="E183" s="144" t="s">
        <v>1539</v>
      </c>
      <c r="F183" s="139" t="s">
        <v>88</v>
      </c>
      <c r="G183" s="144" t="s">
        <v>1679</v>
      </c>
      <c r="H183" s="146" t="s">
        <v>26</v>
      </c>
      <c r="I183" s="144" t="s">
        <v>1436</v>
      </c>
    </row>
    <row r="184" spans="1:9" ht="25.5">
      <c r="A184" s="193">
        <v>45567</v>
      </c>
      <c r="B184" s="145" t="s">
        <v>832</v>
      </c>
      <c r="C184" s="150">
        <v>2024</v>
      </c>
      <c r="D184" s="201" t="s">
        <v>1431</v>
      </c>
      <c r="E184" s="144" t="s">
        <v>1449</v>
      </c>
      <c r="F184" s="139" t="s">
        <v>88</v>
      </c>
      <c r="G184" s="144" t="s">
        <v>1680</v>
      </c>
      <c r="H184" s="146" t="s">
        <v>26</v>
      </c>
      <c r="I184" s="144" t="s">
        <v>1436</v>
      </c>
    </row>
    <row r="185" spans="1:9" ht="25.5">
      <c r="A185" s="193">
        <v>45567</v>
      </c>
      <c r="B185" s="145" t="s">
        <v>832</v>
      </c>
      <c r="C185" s="150">
        <v>2024</v>
      </c>
      <c r="D185" s="201" t="s">
        <v>1431</v>
      </c>
      <c r="E185" s="144" t="s">
        <v>1449</v>
      </c>
      <c r="F185" s="139" t="s">
        <v>88</v>
      </c>
      <c r="G185" s="144" t="s">
        <v>1681</v>
      </c>
      <c r="H185" s="146" t="s">
        <v>26</v>
      </c>
      <c r="I185" s="144" t="s">
        <v>1436</v>
      </c>
    </row>
    <row r="186" spans="1:9" ht="14.1">
      <c r="A186" s="193">
        <v>45568</v>
      </c>
      <c r="B186" s="145" t="s">
        <v>832</v>
      </c>
      <c r="C186" s="150">
        <v>2024</v>
      </c>
      <c r="D186" s="201" t="s">
        <v>1431</v>
      </c>
      <c r="E186" s="144" t="s">
        <v>1449</v>
      </c>
      <c r="F186" s="139" t="s">
        <v>88</v>
      </c>
      <c r="G186" s="144" t="s">
        <v>1682</v>
      </c>
      <c r="H186" s="146" t="s">
        <v>26</v>
      </c>
      <c r="I186" s="144" t="s">
        <v>1436</v>
      </c>
    </row>
    <row r="187" spans="1:9" ht="38.1">
      <c r="A187" s="193">
        <v>45568</v>
      </c>
      <c r="B187" s="145" t="s">
        <v>832</v>
      </c>
      <c r="C187" s="150">
        <v>2024</v>
      </c>
      <c r="D187" s="201" t="s">
        <v>1431</v>
      </c>
      <c r="E187" s="144" t="s">
        <v>1436</v>
      </c>
      <c r="F187" s="147" t="s">
        <v>859</v>
      </c>
      <c r="G187" s="144" t="s">
        <v>1683</v>
      </c>
      <c r="H187" s="146" t="s">
        <v>26</v>
      </c>
      <c r="I187" s="144" t="s">
        <v>1436</v>
      </c>
    </row>
    <row r="188" spans="1:9" ht="25.5">
      <c r="A188" s="193">
        <v>45569</v>
      </c>
      <c r="B188" s="145" t="s">
        <v>832</v>
      </c>
      <c r="C188" s="150">
        <v>2024</v>
      </c>
      <c r="D188" s="201" t="s">
        <v>1431</v>
      </c>
      <c r="E188" s="144" t="s">
        <v>1449</v>
      </c>
      <c r="F188" s="139" t="s">
        <v>88</v>
      </c>
      <c r="G188" s="144" t="s">
        <v>1684</v>
      </c>
      <c r="H188" s="146" t="s">
        <v>26</v>
      </c>
      <c r="I188" s="144" t="s">
        <v>1436</v>
      </c>
    </row>
    <row r="189" spans="1:9" ht="14.1">
      <c r="A189" s="193">
        <v>45569</v>
      </c>
      <c r="B189" s="145" t="s">
        <v>832</v>
      </c>
      <c r="C189" s="150">
        <v>2024</v>
      </c>
      <c r="D189" s="201" t="s">
        <v>1431</v>
      </c>
      <c r="E189" s="144" t="s">
        <v>1449</v>
      </c>
      <c r="F189" s="139" t="s">
        <v>88</v>
      </c>
      <c r="G189" s="144" t="s">
        <v>1685</v>
      </c>
      <c r="H189" s="146" t="s">
        <v>26</v>
      </c>
      <c r="I189" s="144" t="s">
        <v>1436</v>
      </c>
    </row>
    <row r="190" spans="1:9" ht="25.5">
      <c r="A190" s="193">
        <v>45569</v>
      </c>
      <c r="B190" s="145" t="s">
        <v>832</v>
      </c>
      <c r="C190" s="150">
        <v>2024</v>
      </c>
      <c r="D190" s="201" t="s">
        <v>1431</v>
      </c>
      <c r="E190" s="144" t="s">
        <v>21</v>
      </c>
      <c r="F190" s="141" t="s">
        <v>821</v>
      </c>
      <c r="G190" s="144" t="s">
        <v>1686</v>
      </c>
      <c r="H190" s="146" t="s">
        <v>26</v>
      </c>
      <c r="I190" s="144" t="s">
        <v>1436</v>
      </c>
    </row>
    <row r="191" spans="1:9" ht="25.5">
      <c r="A191" s="193">
        <v>45569</v>
      </c>
      <c r="B191" s="145" t="s">
        <v>832</v>
      </c>
      <c r="C191" s="150">
        <v>2024</v>
      </c>
      <c r="D191" s="201" t="s">
        <v>1431</v>
      </c>
      <c r="E191" s="144" t="s">
        <v>1518</v>
      </c>
      <c r="F191" s="139" t="s">
        <v>88</v>
      </c>
      <c r="G191" s="144" t="s">
        <v>1687</v>
      </c>
      <c r="H191" s="146" t="s">
        <v>26</v>
      </c>
      <c r="I191" s="144" t="s">
        <v>1436</v>
      </c>
    </row>
    <row r="192" spans="1:9" ht="14.1">
      <c r="A192" s="193">
        <v>45569</v>
      </c>
      <c r="B192" s="145" t="s">
        <v>832</v>
      </c>
      <c r="C192" s="150">
        <v>2024</v>
      </c>
      <c r="D192" s="201" t="s">
        <v>1431</v>
      </c>
      <c r="E192" s="144" t="s">
        <v>21</v>
      </c>
      <c r="F192" s="141" t="s">
        <v>821</v>
      </c>
      <c r="G192" s="144" t="s">
        <v>1688</v>
      </c>
      <c r="H192" s="146" t="s">
        <v>26</v>
      </c>
      <c r="I192" s="144" t="s">
        <v>1436</v>
      </c>
    </row>
    <row r="193" spans="1:9" ht="14.1">
      <c r="A193" s="193">
        <v>45572</v>
      </c>
      <c r="B193" s="145" t="s">
        <v>832</v>
      </c>
      <c r="C193" s="150">
        <v>2024</v>
      </c>
      <c r="D193" s="201" t="s">
        <v>1431</v>
      </c>
      <c r="E193" s="144" t="s">
        <v>1436</v>
      </c>
      <c r="F193" s="139" t="s">
        <v>88</v>
      </c>
      <c r="G193" s="144" t="s">
        <v>1689</v>
      </c>
      <c r="H193" s="146" t="s">
        <v>26</v>
      </c>
      <c r="I193" s="144" t="s">
        <v>1436</v>
      </c>
    </row>
    <row r="194" spans="1:9" ht="14.1">
      <c r="A194" s="193">
        <v>45572</v>
      </c>
      <c r="B194" s="145" t="s">
        <v>832</v>
      </c>
      <c r="C194" s="150">
        <v>2024</v>
      </c>
      <c r="D194" s="201" t="s">
        <v>1431</v>
      </c>
      <c r="E194" s="144" t="s">
        <v>1506</v>
      </c>
      <c r="F194" s="139" t="s">
        <v>88</v>
      </c>
      <c r="G194" s="144" t="s">
        <v>1690</v>
      </c>
      <c r="H194" s="146" t="s">
        <v>26</v>
      </c>
      <c r="I194" s="144" t="s">
        <v>1436</v>
      </c>
    </row>
    <row r="195" spans="1:9" ht="25.5">
      <c r="A195" s="193">
        <v>45572</v>
      </c>
      <c r="B195" s="145" t="s">
        <v>832</v>
      </c>
      <c r="C195" s="150">
        <v>2024</v>
      </c>
      <c r="D195" s="201" t="s">
        <v>1431</v>
      </c>
      <c r="E195" s="144" t="s">
        <v>1449</v>
      </c>
      <c r="F195" s="139" t="s">
        <v>88</v>
      </c>
      <c r="G195" s="144" t="s">
        <v>1691</v>
      </c>
      <c r="H195" s="146" t="s">
        <v>26</v>
      </c>
      <c r="I195" s="144" t="s">
        <v>1436</v>
      </c>
    </row>
    <row r="196" spans="1:9" ht="14.1">
      <c r="A196" s="193">
        <v>45572</v>
      </c>
      <c r="B196" s="145" t="s">
        <v>832</v>
      </c>
      <c r="C196" s="150">
        <v>2024</v>
      </c>
      <c r="D196" s="201" t="s">
        <v>1431</v>
      </c>
      <c r="E196" s="144" t="s">
        <v>1449</v>
      </c>
      <c r="F196" s="139" t="s">
        <v>88</v>
      </c>
      <c r="G196" s="144" t="s">
        <v>1692</v>
      </c>
      <c r="H196" s="146" t="s">
        <v>26</v>
      </c>
      <c r="I196" s="144" t="s">
        <v>1436</v>
      </c>
    </row>
    <row r="197" spans="1:9" ht="25.5">
      <c r="A197" s="193">
        <v>45572</v>
      </c>
      <c r="B197" s="145" t="s">
        <v>832</v>
      </c>
      <c r="C197" s="150">
        <v>2024</v>
      </c>
      <c r="D197" s="201" t="s">
        <v>1431</v>
      </c>
      <c r="E197" s="144" t="s">
        <v>1436</v>
      </c>
      <c r="F197" s="141" t="s">
        <v>821</v>
      </c>
      <c r="G197" s="144" t="s">
        <v>1693</v>
      </c>
      <c r="H197" s="146" t="s">
        <v>26</v>
      </c>
      <c r="I197" s="144" t="s">
        <v>1436</v>
      </c>
    </row>
    <row r="198" spans="1:9" ht="38.1">
      <c r="A198" s="193">
        <v>45572</v>
      </c>
      <c r="B198" s="145" t="s">
        <v>832</v>
      </c>
      <c r="C198" s="150">
        <v>2024</v>
      </c>
      <c r="D198" s="201" t="s">
        <v>1431</v>
      </c>
      <c r="E198" s="144" t="s">
        <v>1539</v>
      </c>
      <c r="F198" s="139" t="s">
        <v>88</v>
      </c>
      <c r="G198" s="144" t="s">
        <v>1694</v>
      </c>
      <c r="H198" s="146" t="s">
        <v>26</v>
      </c>
      <c r="I198" s="144" t="s">
        <v>1436</v>
      </c>
    </row>
    <row r="199" spans="1:9" ht="75.599999999999994">
      <c r="A199" s="193">
        <v>45573</v>
      </c>
      <c r="B199" s="145" t="s">
        <v>832</v>
      </c>
      <c r="C199" s="150">
        <v>2024</v>
      </c>
      <c r="D199" s="201" t="s">
        <v>1431</v>
      </c>
      <c r="E199" s="144" t="s">
        <v>1506</v>
      </c>
      <c r="F199" s="139" t="s">
        <v>88</v>
      </c>
      <c r="G199" s="144" t="s">
        <v>1695</v>
      </c>
      <c r="H199" s="146" t="s">
        <v>26</v>
      </c>
      <c r="I199" s="144" t="s">
        <v>1436</v>
      </c>
    </row>
    <row r="200" spans="1:9" ht="38.1">
      <c r="A200" s="193">
        <v>45573</v>
      </c>
      <c r="B200" s="145" t="s">
        <v>832</v>
      </c>
      <c r="C200" s="150">
        <v>2024</v>
      </c>
      <c r="D200" s="201" t="s">
        <v>1431</v>
      </c>
      <c r="E200" s="144" t="s">
        <v>1608</v>
      </c>
      <c r="F200" s="140" t="s">
        <v>1439</v>
      </c>
      <c r="G200" s="144" t="s">
        <v>1696</v>
      </c>
      <c r="H200" s="146" t="s">
        <v>26</v>
      </c>
      <c r="I200" s="144" t="s">
        <v>1436</v>
      </c>
    </row>
    <row r="201" spans="1:9" ht="14.1">
      <c r="A201" s="193">
        <v>45573</v>
      </c>
      <c r="B201" s="145" t="s">
        <v>832</v>
      </c>
      <c r="C201" s="150">
        <v>2024</v>
      </c>
      <c r="D201" s="201" t="s">
        <v>1431</v>
      </c>
      <c r="E201" s="144" t="s">
        <v>1504</v>
      </c>
      <c r="F201" s="141" t="s">
        <v>821</v>
      </c>
      <c r="G201" s="144" t="s">
        <v>1697</v>
      </c>
      <c r="H201" s="146" t="s">
        <v>26</v>
      </c>
      <c r="I201" s="144" t="s">
        <v>1436</v>
      </c>
    </row>
    <row r="202" spans="1:9" ht="25.5">
      <c r="A202" s="193">
        <v>45573</v>
      </c>
      <c r="B202" s="145" t="s">
        <v>832</v>
      </c>
      <c r="C202" s="150">
        <v>2024</v>
      </c>
      <c r="D202" s="201" t="s">
        <v>1431</v>
      </c>
      <c r="E202" s="144" t="s">
        <v>1449</v>
      </c>
      <c r="F202" s="139" t="s">
        <v>88</v>
      </c>
      <c r="G202" s="144" t="s">
        <v>1698</v>
      </c>
      <c r="H202" s="146" t="s">
        <v>26</v>
      </c>
      <c r="I202" s="144" t="s">
        <v>1436</v>
      </c>
    </row>
    <row r="203" spans="1:9" ht="38.1">
      <c r="A203" s="193">
        <v>45573</v>
      </c>
      <c r="B203" s="145" t="s">
        <v>832</v>
      </c>
      <c r="C203" s="150">
        <v>2024</v>
      </c>
      <c r="D203" s="201" t="s">
        <v>1431</v>
      </c>
      <c r="E203" s="144" t="s">
        <v>1506</v>
      </c>
      <c r="F203" s="139" t="s">
        <v>88</v>
      </c>
      <c r="G203" s="144" t="s">
        <v>1699</v>
      </c>
      <c r="H203" s="146" t="s">
        <v>26</v>
      </c>
      <c r="I203" s="144" t="s">
        <v>1436</v>
      </c>
    </row>
    <row r="204" spans="1:9" ht="14.1">
      <c r="A204" s="193">
        <v>45573</v>
      </c>
      <c r="B204" s="145" t="s">
        <v>832</v>
      </c>
      <c r="C204" s="150">
        <v>2024</v>
      </c>
      <c r="D204" s="201" t="s">
        <v>1431</v>
      </c>
      <c r="E204" s="144" t="s">
        <v>1449</v>
      </c>
      <c r="F204" s="139" t="s">
        <v>88</v>
      </c>
      <c r="G204" s="144" t="s">
        <v>1700</v>
      </c>
      <c r="H204" s="146" t="s">
        <v>26</v>
      </c>
      <c r="I204" s="144" t="s">
        <v>1436</v>
      </c>
    </row>
    <row r="205" spans="1:9" ht="38.1">
      <c r="A205" s="193">
        <v>45573</v>
      </c>
      <c r="B205" s="145" t="s">
        <v>832</v>
      </c>
      <c r="C205" s="150">
        <v>2024</v>
      </c>
      <c r="D205" s="201" t="s">
        <v>1431</v>
      </c>
      <c r="E205" s="144" t="s">
        <v>1539</v>
      </c>
      <c r="F205" s="142" t="s">
        <v>872</v>
      </c>
      <c r="G205" s="144" t="s">
        <v>1701</v>
      </c>
      <c r="H205" s="146" t="s">
        <v>26</v>
      </c>
      <c r="I205" s="144" t="s">
        <v>1436</v>
      </c>
    </row>
    <row r="206" spans="1:9" ht="25.5">
      <c r="A206" s="193">
        <v>45574</v>
      </c>
      <c r="B206" s="145" t="s">
        <v>832</v>
      </c>
      <c r="C206" s="150">
        <v>2024</v>
      </c>
      <c r="D206" s="201" t="s">
        <v>1431</v>
      </c>
      <c r="E206" s="144" t="s">
        <v>1506</v>
      </c>
      <c r="F206" s="139" t="s">
        <v>88</v>
      </c>
      <c r="G206" s="144" t="s">
        <v>1702</v>
      </c>
      <c r="H206" s="146" t="s">
        <v>26</v>
      </c>
      <c r="I206" s="144" t="s">
        <v>1436</v>
      </c>
    </row>
    <row r="207" spans="1:9" ht="63">
      <c r="A207" s="193">
        <v>45574</v>
      </c>
      <c r="B207" s="145" t="s">
        <v>832</v>
      </c>
      <c r="C207" s="150">
        <v>2024</v>
      </c>
      <c r="D207" s="201" t="s">
        <v>1431</v>
      </c>
      <c r="E207" s="144" t="s">
        <v>1436</v>
      </c>
      <c r="F207" s="139" t="s">
        <v>88</v>
      </c>
      <c r="G207" s="144" t="s">
        <v>1703</v>
      </c>
      <c r="H207" s="146" t="s">
        <v>26</v>
      </c>
      <c r="I207" s="144" t="s">
        <v>1436</v>
      </c>
    </row>
    <row r="208" spans="1:9" ht="50.45">
      <c r="A208" s="193">
        <v>45575</v>
      </c>
      <c r="B208" s="145" t="s">
        <v>832</v>
      </c>
      <c r="C208" s="150">
        <v>2024</v>
      </c>
      <c r="D208" s="201" t="s">
        <v>1431</v>
      </c>
      <c r="E208" s="144" t="s">
        <v>1508</v>
      </c>
      <c r="F208" s="139" t="s">
        <v>88</v>
      </c>
      <c r="G208" s="144" t="s">
        <v>1704</v>
      </c>
      <c r="H208" s="146" t="s">
        <v>26</v>
      </c>
      <c r="I208" s="144" t="s">
        <v>1436</v>
      </c>
    </row>
    <row r="209" spans="1:9" ht="50.45">
      <c r="A209" s="193">
        <v>45575</v>
      </c>
      <c r="B209" s="145" t="s">
        <v>832</v>
      </c>
      <c r="C209" s="150">
        <v>2024</v>
      </c>
      <c r="D209" s="201" t="s">
        <v>1431</v>
      </c>
      <c r="E209" s="144" t="s">
        <v>574</v>
      </c>
      <c r="F209" s="139" t="s">
        <v>88</v>
      </c>
      <c r="G209" s="144" t="s">
        <v>1705</v>
      </c>
      <c r="H209" s="146" t="s">
        <v>26</v>
      </c>
      <c r="I209" s="144" t="s">
        <v>1436</v>
      </c>
    </row>
    <row r="210" spans="1:9" ht="14.1">
      <c r="A210" s="193">
        <v>45575</v>
      </c>
      <c r="B210" s="145" t="s">
        <v>832</v>
      </c>
      <c r="C210" s="150">
        <v>2024</v>
      </c>
      <c r="D210" s="201" t="s">
        <v>1431</v>
      </c>
      <c r="E210" s="144" t="s">
        <v>1506</v>
      </c>
      <c r="F210" s="139" t="s">
        <v>88</v>
      </c>
      <c r="G210" s="144" t="s">
        <v>1706</v>
      </c>
      <c r="H210" s="146" t="s">
        <v>26</v>
      </c>
      <c r="I210" s="144" t="s">
        <v>1436</v>
      </c>
    </row>
    <row r="211" spans="1:9" ht="25.5">
      <c r="A211" s="193">
        <v>45575</v>
      </c>
      <c r="B211" s="145" t="s">
        <v>832</v>
      </c>
      <c r="C211" s="150">
        <v>2024</v>
      </c>
      <c r="D211" s="201" t="s">
        <v>1431</v>
      </c>
      <c r="E211" s="144" t="s">
        <v>1506</v>
      </c>
      <c r="F211" s="139" t="s">
        <v>88</v>
      </c>
      <c r="G211" s="144" t="s">
        <v>1707</v>
      </c>
      <c r="H211" s="146" t="s">
        <v>26</v>
      </c>
      <c r="I211" s="144" t="s">
        <v>1436</v>
      </c>
    </row>
    <row r="212" spans="1:9" ht="25.5">
      <c r="A212" s="193">
        <v>45575</v>
      </c>
      <c r="B212" s="145" t="s">
        <v>832</v>
      </c>
      <c r="C212" s="150">
        <v>2024</v>
      </c>
      <c r="D212" s="201" t="s">
        <v>1431</v>
      </c>
      <c r="E212" s="144" t="s">
        <v>1506</v>
      </c>
      <c r="F212" s="139" t="s">
        <v>88</v>
      </c>
      <c r="G212" s="144" t="s">
        <v>1708</v>
      </c>
      <c r="H212" s="146" t="s">
        <v>26</v>
      </c>
      <c r="I212" s="144" t="s">
        <v>1436</v>
      </c>
    </row>
    <row r="213" spans="1:9" ht="25.5">
      <c r="A213" s="193">
        <v>45575</v>
      </c>
      <c r="B213" s="145" t="s">
        <v>832</v>
      </c>
      <c r="C213" s="150">
        <v>2024</v>
      </c>
      <c r="D213" s="201" t="s">
        <v>1431</v>
      </c>
      <c r="E213" s="144" t="s">
        <v>1449</v>
      </c>
      <c r="F213" s="139" t="s">
        <v>88</v>
      </c>
      <c r="G213" s="144" t="s">
        <v>1709</v>
      </c>
      <c r="H213" s="146" t="s">
        <v>26</v>
      </c>
      <c r="I213" s="144" t="s">
        <v>1436</v>
      </c>
    </row>
    <row r="214" spans="1:9" ht="25.5">
      <c r="A214" s="193">
        <v>45576</v>
      </c>
      <c r="B214" s="145" t="s">
        <v>832</v>
      </c>
      <c r="C214" s="150">
        <v>2024</v>
      </c>
      <c r="D214" s="201" t="s">
        <v>1431</v>
      </c>
      <c r="E214" s="144" t="s">
        <v>1506</v>
      </c>
      <c r="F214" s="139" t="s">
        <v>88</v>
      </c>
      <c r="G214" s="144" t="s">
        <v>1710</v>
      </c>
      <c r="H214" s="146" t="s">
        <v>26</v>
      </c>
      <c r="I214" s="144" t="s">
        <v>1436</v>
      </c>
    </row>
    <row r="215" spans="1:9" ht="38.1">
      <c r="A215" s="193">
        <v>45576</v>
      </c>
      <c r="B215" s="145" t="s">
        <v>832</v>
      </c>
      <c r="C215" s="150">
        <v>2024</v>
      </c>
      <c r="D215" s="201" t="s">
        <v>1431</v>
      </c>
      <c r="E215" s="144" t="s">
        <v>1449</v>
      </c>
      <c r="F215" s="139" t="s">
        <v>88</v>
      </c>
      <c r="G215" s="144" t="s">
        <v>1711</v>
      </c>
      <c r="H215" s="146" t="s">
        <v>26</v>
      </c>
      <c r="I215" s="144" t="s">
        <v>1436</v>
      </c>
    </row>
    <row r="216" spans="1:9" ht="25.5">
      <c r="A216" s="193">
        <v>45576</v>
      </c>
      <c r="B216" s="145" t="s">
        <v>832</v>
      </c>
      <c r="C216" s="150">
        <v>2024</v>
      </c>
      <c r="D216" s="201" t="s">
        <v>1431</v>
      </c>
      <c r="E216" s="144" t="s">
        <v>1506</v>
      </c>
      <c r="F216" s="139" t="s">
        <v>88</v>
      </c>
      <c r="G216" s="144" t="s">
        <v>1712</v>
      </c>
      <c r="H216" s="146" t="s">
        <v>26</v>
      </c>
      <c r="I216" s="144" t="s">
        <v>1436</v>
      </c>
    </row>
    <row r="217" spans="1:9" ht="25.5">
      <c r="A217" s="193">
        <v>45576</v>
      </c>
      <c r="B217" s="145" t="s">
        <v>832</v>
      </c>
      <c r="C217" s="150">
        <v>2024</v>
      </c>
      <c r="D217" s="201" t="s">
        <v>1431</v>
      </c>
      <c r="E217" s="144" t="s">
        <v>1506</v>
      </c>
      <c r="F217" s="139" t="s">
        <v>88</v>
      </c>
      <c r="G217" s="144" t="s">
        <v>1713</v>
      </c>
      <c r="H217" s="146" t="s">
        <v>26</v>
      </c>
      <c r="I217" s="144" t="s">
        <v>1436</v>
      </c>
    </row>
    <row r="218" spans="1:9" ht="38.1">
      <c r="A218" s="193">
        <v>45576</v>
      </c>
      <c r="B218" s="145" t="s">
        <v>832</v>
      </c>
      <c r="C218" s="150">
        <v>2024</v>
      </c>
      <c r="D218" s="201" t="s">
        <v>1431</v>
      </c>
      <c r="E218" s="144" t="s">
        <v>1560</v>
      </c>
      <c r="F218" s="147" t="s">
        <v>859</v>
      </c>
      <c r="G218" s="144" t="s">
        <v>1714</v>
      </c>
      <c r="H218" s="146" t="s">
        <v>26</v>
      </c>
      <c r="I218" s="144" t="s">
        <v>1436</v>
      </c>
    </row>
    <row r="219" spans="1:9" ht="38.1">
      <c r="A219" s="193">
        <v>45579</v>
      </c>
      <c r="B219" s="145" t="s">
        <v>832</v>
      </c>
      <c r="C219" s="150">
        <v>2024</v>
      </c>
      <c r="D219" s="201" t="s">
        <v>1431</v>
      </c>
      <c r="E219" s="144" t="s">
        <v>1506</v>
      </c>
      <c r="F219" s="139" t="s">
        <v>88</v>
      </c>
      <c r="G219" s="144" t="s">
        <v>1715</v>
      </c>
      <c r="H219" s="146" t="s">
        <v>26</v>
      </c>
      <c r="I219" s="144" t="s">
        <v>1436</v>
      </c>
    </row>
    <row r="220" spans="1:9" ht="50.45">
      <c r="A220" s="193">
        <v>45579</v>
      </c>
      <c r="B220" s="145" t="s">
        <v>832</v>
      </c>
      <c r="C220" s="150">
        <v>2024</v>
      </c>
      <c r="D220" s="201" t="s">
        <v>1431</v>
      </c>
      <c r="E220" s="144" t="s">
        <v>216</v>
      </c>
      <c r="F220" s="142" t="s">
        <v>872</v>
      </c>
      <c r="G220" s="144" t="s">
        <v>1716</v>
      </c>
      <c r="H220" s="146" t="s">
        <v>26</v>
      </c>
      <c r="I220" s="144" t="s">
        <v>1436</v>
      </c>
    </row>
    <row r="221" spans="1:9" ht="14.1">
      <c r="A221" s="193">
        <v>45579</v>
      </c>
      <c r="B221" s="145" t="s">
        <v>832</v>
      </c>
      <c r="C221" s="150">
        <v>2024</v>
      </c>
      <c r="D221" s="201" t="s">
        <v>1431</v>
      </c>
      <c r="E221" s="144" t="s">
        <v>1436</v>
      </c>
      <c r="F221" s="139" t="s">
        <v>88</v>
      </c>
      <c r="G221" s="144" t="s">
        <v>1717</v>
      </c>
      <c r="H221" s="146" t="s">
        <v>26</v>
      </c>
      <c r="I221" s="144" t="s">
        <v>1436</v>
      </c>
    </row>
    <row r="222" spans="1:9" ht="25.5">
      <c r="A222" s="193">
        <v>45579</v>
      </c>
      <c r="B222" s="145" t="s">
        <v>832</v>
      </c>
      <c r="C222" s="150">
        <v>2024</v>
      </c>
      <c r="D222" s="201" t="s">
        <v>1431</v>
      </c>
      <c r="E222" s="144" t="s">
        <v>1436</v>
      </c>
      <c r="F222" s="139" t="s">
        <v>88</v>
      </c>
      <c r="G222" s="144" t="s">
        <v>1718</v>
      </c>
      <c r="H222" s="146" t="s">
        <v>26</v>
      </c>
      <c r="I222" s="144" t="s">
        <v>1436</v>
      </c>
    </row>
    <row r="223" spans="1:9" ht="25.5">
      <c r="A223" s="193">
        <v>45579</v>
      </c>
      <c r="B223" s="145" t="s">
        <v>832</v>
      </c>
      <c r="C223" s="150">
        <v>2024</v>
      </c>
      <c r="D223" s="201" t="s">
        <v>1431</v>
      </c>
      <c r="E223" s="144" t="s">
        <v>1449</v>
      </c>
      <c r="F223" s="139" t="s">
        <v>88</v>
      </c>
      <c r="G223" s="144" t="s">
        <v>1719</v>
      </c>
      <c r="H223" s="146" t="s">
        <v>26</v>
      </c>
      <c r="I223" s="144" t="s">
        <v>1436</v>
      </c>
    </row>
    <row r="224" spans="1:9" ht="25.5">
      <c r="A224" s="193">
        <v>45579</v>
      </c>
      <c r="B224" s="145" t="s">
        <v>832</v>
      </c>
      <c r="C224" s="150">
        <v>2024</v>
      </c>
      <c r="D224" s="201" t="s">
        <v>1431</v>
      </c>
      <c r="E224" s="144" t="s">
        <v>1449</v>
      </c>
      <c r="F224" s="139" t="s">
        <v>88</v>
      </c>
      <c r="G224" s="144" t="s">
        <v>1720</v>
      </c>
      <c r="H224" s="146" t="s">
        <v>26</v>
      </c>
      <c r="I224" s="144" t="s">
        <v>1436</v>
      </c>
    </row>
    <row r="225" spans="1:9" ht="38.1">
      <c r="A225" s="193">
        <v>45579</v>
      </c>
      <c r="B225" s="145" t="s">
        <v>832</v>
      </c>
      <c r="C225" s="150">
        <v>2024</v>
      </c>
      <c r="D225" s="201" t="s">
        <v>1431</v>
      </c>
      <c r="E225" s="144" t="s">
        <v>1449</v>
      </c>
      <c r="F225" s="139" t="s">
        <v>88</v>
      </c>
      <c r="G225" s="144" t="s">
        <v>1721</v>
      </c>
      <c r="H225" s="146" t="s">
        <v>26</v>
      </c>
      <c r="I225" s="144" t="s">
        <v>1436</v>
      </c>
    </row>
    <row r="226" spans="1:9" ht="25.5">
      <c r="A226" s="193">
        <v>45579</v>
      </c>
      <c r="B226" s="145" t="s">
        <v>832</v>
      </c>
      <c r="C226" s="150">
        <v>2024</v>
      </c>
      <c r="D226" s="201" t="s">
        <v>1431</v>
      </c>
      <c r="E226" s="144" t="s">
        <v>1506</v>
      </c>
      <c r="F226" s="139" t="s">
        <v>88</v>
      </c>
      <c r="G226" s="144" t="s">
        <v>1722</v>
      </c>
      <c r="H226" s="146" t="s">
        <v>26</v>
      </c>
      <c r="I226" s="144" t="s">
        <v>1436</v>
      </c>
    </row>
    <row r="227" spans="1:9" ht="25.5">
      <c r="A227" s="193">
        <v>45579</v>
      </c>
      <c r="B227" s="145" t="s">
        <v>832</v>
      </c>
      <c r="C227" s="150">
        <v>2024</v>
      </c>
      <c r="D227" s="201" t="s">
        <v>1431</v>
      </c>
      <c r="E227" s="144" t="s">
        <v>1506</v>
      </c>
      <c r="F227" s="139" t="s">
        <v>88</v>
      </c>
      <c r="G227" s="144" t="s">
        <v>1723</v>
      </c>
      <c r="H227" s="146" t="s">
        <v>26</v>
      </c>
      <c r="I227" s="144" t="s">
        <v>1436</v>
      </c>
    </row>
    <row r="228" spans="1:9" ht="25.5">
      <c r="A228" s="193">
        <v>45579</v>
      </c>
      <c r="B228" s="145" t="s">
        <v>832</v>
      </c>
      <c r="C228" s="150">
        <v>2024</v>
      </c>
      <c r="D228" s="201" t="s">
        <v>1431</v>
      </c>
      <c r="E228" s="144" t="s">
        <v>1436</v>
      </c>
      <c r="F228" s="139" t="s">
        <v>88</v>
      </c>
      <c r="G228" s="144" t="s">
        <v>1724</v>
      </c>
      <c r="H228" s="146" t="s">
        <v>26</v>
      </c>
      <c r="I228" s="144" t="s">
        <v>1436</v>
      </c>
    </row>
    <row r="229" spans="1:9" ht="38.1">
      <c r="A229" s="193">
        <v>45580</v>
      </c>
      <c r="B229" s="145" t="s">
        <v>832</v>
      </c>
      <c r="C229" s="150">
        <v>2024</v>
      </c>
      <c r="D229" s="201" t="s">
        <v>1431</v>
      </c>
      <c r="E229" s="144" t="s">
        <v>1225</v>
      </c>
      <c r="F229" s="147" t="s">
        <v>859</v>
      </c>
      <c r="G229" s="144" t="s">
        <v>1725</v>
      </c>
      <c r="H229" s="146" t="s">
        <v>26</v>
      </c>
      <c r="I229" s="144" t="s">
        <v>1436</v>
      </c>
    </row>
    <row r="230" spans="1:9" ht="25.5">
      <c r="A230" s="193">
        <v>45580</v>
      </c>
      <c r="B230" s="145" t="s">
        <v>832</v>
      </c>
      <c r="C230" s="150">
        <v>2024</v>
      </c>
      <c r="D230" s="201" t="s">
        <v>1431</v>
      </c>
      <c r="E230" s="144" t="s">
        <v>574</v>
      </c>
      <c r="F230" s="139" t="s">
        <v>88</v>
      </c>
      <c r="G230" s="144" t="s">
        <v>1726</v>
      </c>
      <c r="H230" s="146" t="s">
        <v>26</v>
      </c>
      <c r="I230" s="144" t="s">
        <v>1436</v>
      </c>
    </row>
    <row r="231" spans="1:9" ht="25.5">
      <c r="A231" s="193">
        <v>45580</v>
      </c>
      <c r="B231" s="145" t="s">
        <v>832</v>
      </c>
      <c r="C231" s="150">
        <v>2024</v>
      </c>
      <c r="D231" s="201" t="s">
        <v>1431</v>
      </c>
      <c r="E231" s="144" t="s">
        <v>1506</v>
      </c>
      <c r="F231" s="139" t="s">
        <v>88</v>
      </c>
      <c r="G231" s="144" t="s">
        <v>1727</v>
      </c>
      <c r="H231" s="146" t="s">
        <v>26</v>
      </c>
      <c r="I231" s="144" t="s">
        <v>1436</v>
      </c>
    </row>
    <row r="232" spans="1:9" ht="38.1">
      <c r="A232" s="193">
        <v>45581</v>
      </c>
      <c r="B232" s="145" t="s">
        <v>832</v>
      </c>
      <c r="C232" s="150">
        <v>2024</v>
      </c>
      <c r="D232" s="201" t="s">
        <v>1431</v>
      </c>
      <c r="E232" s="144" t="s">
        <v>1449</v>
      </c>
      <c r="F232" s="139" t="s">
        <v>88</v>
      </c>
      <c r="G232" s="144" t="s">
        <v>1728</v>
      </c>
      <c r="H232" s="146" t="s">
        <v>26</v>
      </c>
      <c r="I232" s="144" t="s">
        <v>1436</v>
      </c>
    </row>
    <row r="233" spans="1:9" ht="25.5">
      <c r="A233" s="193">
        <v>45581</v>
      </c>
      <c r="B233" s="145" t="s">
        <v>832</v>
      </c>
      <c r="C233" s="150">
        <v>2024</v>
      </c>
      <c r="D233" s="201" t="s">
        <v>1431</v>
      </c>
      <c r="E233" s="144" t="s">
        <v>1608</v>
      </c>
      <c r="F233" s="140" t="s">
        <v>1439</v>
      </c>
      <c r="G233" s="144" t="s">
        <v>1729</v>
      </c>
      <c r="H233" s="146" t="s">
        <v>26</v>
      </c>
      <c r="I233" s="144" t="s">
        <v>1436</v>
      </c>
    </row>
    <row r="234" spans="1:9" ht="25.5">
      <c r="A234" s="193">
        <v>45581</v>
      </c>
      <c r="B234" s="145" t="s">
        <v>832</v>
      </c>
      <c r="C234" s="150">
        <v>2024</v>
      </c>
      <c r="D234" s="201" t="s">
        <v>1431</v>
      </c>
      <c r="E234" s="144" t="s">
        <v>1504</v>
      </c>
      <c r="F234" s="139" t="s">
        <v>88</v>
      </c>
      <c r="G234" s="144" t="s">
        <v>1730</v>
      </c>
      <c r="H234" s="146" t="s">
        <v>26</v>
      </c>
      <c r="I234" s="144" t="s">
        <v>1436</v>
      </c>
    </row>
    <row r="235" spans="1:9" ht="38.1">
      <c r="A235" s="193">
        <v>45581</v>
      </c>
      <c r="B235" s="145" t="s">
        <v>832</v>
      </c>
      <c r="C235" s="150">
        <v>2024</v>
      </c>
      <c r="D235" s="201" t="s">
        <v>1431</v>
      </c>
      <c r="E235" s="144" t="s">
        <v>1566</v>
      </c>
      <c r="F235" s="139" t="s">
        <v>88</v>
      </c>
      <c r="G235" s="144" t="s">
        <v>1731</v>
      </c>
      <c r="H235" s="146" t="s">
        <v>26</v>
      </c>
      <c r="I235" s="144" t="s">
        <v>1436</v>
      </c>
    </row>
    <row r="236" spans="1:9" ht="38.1">
      <c r="A236" s="193">
        <v>45582</v>
      </c>
      <c r="B236" s="145" t="s">
        <v>832</v>
      </c>
      <c r="C236" s="150">
        <v>2024</v>
      </c>
      <c r="D236" s="201" t="s">
        <v>1431</v>
      </c>
      <c r="E236" s="144" t="s">
        <v>21</v>
      </c>
      <c r="F236" s="141" t="s">
        <v>821</v>
      </c>
      <c r="G236" s="144" t="s">
        <v>1732</v>
      </c>
      <c r="H236" s="146" t="s">
        <v>26</v>
      </c>
      <c r="I236" s="144" t="s">
        <v>1436</v>
      </c>
    </row>
    <row r="237" spans="1:9" ht="38.1">
      <c r="A237" s="193">
        <v>45582</v>
      </c>
      <c r="B237" s="145" t="s">
        <v>832</v>
      </c>
      <c r="C237" s="150">
        <v>2024</v>
      </c>
      <c r="D237" s="201" t="s">
        <v>1431</v>
      </c>
      <c r="E237" s="144" t="s">
        <v>1436</v>
      </c>
      <c r="F237" s="142" t="s">
        <v>872</v>
      </c>
      <c r="G237" s="144" t="s">
        <v>1733</v>
      </c>
      <c r="H237" s="146" t="s">
        <v>26</v>
      </c>
      <c r="I237" s="144" t="s">
        <v>1436</v>
      </c>
    </row>
    <row r="238" spans="1:9" ht="38.1">
      <c r="A238" s="193">
        <v>45582</v>
      </c>
      <c r="B238" s="145" t="s">
        <v>832</v>
      </c>
      <c r="C238" s="150">
        <v>2024</v>
      </c>
      <c r="D238" s="201" t="s">
        <v>1431</v>
      </c>
      <c r="E238" s="144" t="s">
        <v>1566</v>
      </c>
      <c r="F238" s="142" t="s">
        <v>872</v>
      </c>
      <c r="G238" s="144" t="s">
        <v>1734</v>
      </c>
      <c r="H238" s="146" t="s">
        <v>26</v>
      </c>
      <c r="I238" s="144" t="s">
        <v>1436</v>
      </c>
    </row>
    <row r="239" spans="1:9" ht="38.1">
      <c r="A239" s="193">
        <v>45582</v>
      </c>
      <c r="B239" s="145" t="s">
        <v>832</v>
      </c>
      <c r="C239" s="150">
        <v>2024</v>
      </c>
      <c r="D239" s="201" t="s">
        <v>1431</v>
      </c>
      <c r="E239" s="144" t="s">
        <v>1436</v>
      </c>
      <c r="F239" s="139" t="s">
        <v>88</v>
      </c>
      <c r="G239" s="144" t="s">
        <v>1735</v>
      </c>
      <c r="H239" s="146" t="s">
        <v>26</v>
      </c>
      <c r="I239" s="144" t="s">
        <v>1436</v>
      </c>
    </row>
    <row r="240" spans="1:9" ht="25.5">
      <c r="A240" s="193">
        <v>45582</v>
      </c>
      <c r="B240" s="145" t="s">
        <v>832</v>
      </c>
      <c r="C240" s="150">
        <v>2024</v>
      </c>
      <c r="D240" s="201" t="s">
        <v>1431</v>
      </c>
      <c r="E240" s="144" t="s">
        <v>1158</v>
      </c>
      <c r="F240" s="140" t="s">
        <v>1439</v>
      </c>
      <c r="G240" s="144" t="s">
        <v>1736</v>
      </c>
      <c r="H240" s="146" t="s">
        <v>26</v>
      </c>
      <c r="I240" s="144" t="s">
        <v>1436</v>
      </c>
    </row>
    <row r="241" spans="1:9" ht="25.5">
      <c r="A241" s="193">
        <v>45583</v>
      </c>
      <c r="B241" s="145" t="s">
        <v>832</v>
      </c>
      <c r="C241" s="150">
        <v>2024</v>
      </c>
      <c r="D241" s="201" t="s">
        <v>1431</v>
      </c>
      <c r="E241" s="144" t="s">
        <v>1584</v>
      </c>
      <c r="F241" s="141" t="s">
        <v>821</v>
      </c>
      <c r="G241" s="144" t="s">
        <v>1737</v>
      </c>
      <c r="H241" s="146" t="s">
        <v>26</v>
      </c>
      <c r="I241" s="144" t="s">
        <v>1436</v>
      </c>
    </row>
    <row r="242" spans="1:9" ht="63">
      <c r="A242" s="193">
        <v>45583</v>
      </c>
      <c r="B242" s="145" t="s">
        <v>832</v>
      </c>
      <c r="C242" s="150">
        <v>2024</v>
      </c>
      <c r="D242" s="201" t="s">
        <v>1431</v>
      </c>
      <c r="E242" s="144" t="s">
        <v>1506</v>
      </c>
      <c r="F242" s="139" t="s">
        <v>88</v>
      </c>
      <c r="G242" s="144" t="s">
        <v>1738</v>
      </c>
      <c r="H242" s="146" t="s">
        <v>26</v>
      </c>
      <c r="I242" s="144" t="s">
        <v>1436</v>
      </c>
    </row>
    <row r="243" spans="1:9" ht="38.1">
      <c r="A243" s="193">
        <v>45583</v>
      </c>
      <c r="B243" s="145" t="s">
        <v>832</v>
      </c>
      <c r="C243" s="150">
        <v>2024</v>
      </c>
      <c r="D243" s="201" t="s">
        <v>1431</v>
      </c>
      <c r="E243" s="144" t="s">
        <v>1506</v>
      </c>
      <c r="F243" s="139" t="s">
        <v>88</v>
      </c>
      <c r="G243" s="144" t="s">
        <v>1739</v>
      </c>
      <c r="H243" s="146" t="s">
        <v>26</v>
      </c>
      <c r="I243" s="144" t="s">
        <v>1436</v>
      </c>
    </row>
    <row r="244" spans="1:9" ht="38.1">
      <c r="A244" s="193">
        <v>45583</v>
      </c>
      <c r="B244" s="145" t="s">
        <v>832</v>
      </c>
      <c r="C244" s="150">
        <v>2024</v>
      </c>
      <c r="D244" s="201" t="s">
        <v>1431</v>
      </c>
      <c r="E244" s="144" t="s">
        <v>1436</v>
      </c>
      <c r="F244" s="139" t="s">
        <v>88</v>
      </c>
      <c r="G244" s="144" t="s">
        <v>1740</v>
      </c>
      <c r="H244" s="146" t="s">
        <v>26</v>
      </c>
      <c r="I244" s="144" t="s">
        <v>1436</v>
      </c>
    </row>
    <row r="245" spans="1:9" ht="38.1">
      <c r="A245" s="193">
        <v>45583</v>
      </c>
      <c r="B245" s="145" t="s">
        <v>832</v>
      </c>
      <c r="C245" s="150">
        <v>2024</v>
      </c>
      <c r="D245" s="201" t="s">
        <v>1431</v>
      </c>
      <c r="E245" s="144" t="s">
        <v>1436</v>
      </c>
      <c r="F245" s="147" t="s">
        <v>859</v>
      </c>
      <c r="G245" s="144" t="s">
        <v>1741</v>
      </c>
      <c r="H245" s="146" t="s">
        <v>26</v>
      </c>
      <c r="I245" s="144" t="s">
        <v>1436</v>
      </c>
    </row>
    <row r="246" spans="1:9" ht="14.1">
      <c r="A246" s="193">
        <v>45583</v>
      </c>
      <c r="B246" s="145" t="s">
        <v>832</v>
      </c>
      <c r="C246" s="150">
        <v>2024</v>
      </c>
      <c r="D246" s="201" t="s">
        <v>1431</v>
      </c>
      <c r="E246" s="144" t="s">
        <v>1504</v>
      </c>
      <c r="F246" s="139" t="s">
        <v>88</v>
      </c>
      <c r="G246" s="144" t="s">
        <v>1742</v>
      </c>
      <c r="H246" s="146" t="s">
        <v>26</v>
      </c>
      <c r="I246" s="144" t="s">
        <v>1743</v>
      </c>
    </row>
    <row r="247" spans="1:9" ht="50.45">
      <c r="A247" s="193">
        <v>45583</v>
      </c>
      <c r="B247" s="145" t="s">
        <v>832</v>
      </c>
      <c r="C247" s="150">
        <v>2024</v>
      </c>
      <c r="D247" s="201" t="s">
        <v>1431</v>
      </c>
      <c r="E247" s="144" t="s">
        <v>1449</v>
      </c>
      <c r="F247" s="139" t="s">
        <v>88</v>
      </c>
      <c r="G247" s="144" t="s">
        <v>1744</v>
      </c>
      <c r="H247" s="146" t="s">
        <v>26</v>
      </c>
      <c r="I247" s="144" t="s">
        <v>1436</v>
      </c>
    </row>
    <row r="248" spans="1:9" ht="38.1">
      <c r="A248" s="193">
        <v>45583</v>
      </c>
      <c r="B248" s="145" t="s">
        <v>832</v>
      </c>
      <c r="C248" s="150">
        <v>2024</v>
      </c>
      <c r="D248" s="201" t="s">
        <v>1431</v>
      </c>
      <c r="E248" s="144" t="s">
        <v>1449</v>
      </c>
      <c r="F248" s="139" t="s">
        <v>88</v>
      </c>
      <c r="G248" s="144" t="s">
        <v>1745</v>
      </c>
      <c r="H248" s="146" t="s">
        <v>26</v>
      </c>
      <c r="I248" s="144" t="s">
        <v>1436</v>
      </c>
    </row>
    <row r="249" spans="1:9" ht="38.1">
      <c r="A249" s="193">
        <v>45586</v>
      </c>
      <c r="B249" s="145" t="s">
        <v>832</v>
      </c>
      <c r="C249" s="150">
        <v>2024</v>
      </c>
      <c r="D249" s="201" t="s">
        <v>1431</v>
      </c>
      <c r="E249" s="144" t="s">
        <v>1506</v>
      </c>
      <c r="F249" s="139" t="s">
        <v>88</v>
      </c>
      <c r="G249" s="144" t="s">
        <v>1746</v>
      </c>
      <c r="H249" s="146" t="s">
        <v>26</v>
      </c>
      <c r="I249" s="144" t="s">
        <v>1436</v>
      </c>
    </row>
    <row r="250" spans="1:9" ht="25.5">
      <c r="A250" s="193">
        <v>45586</v>
      </c>
      <c r="B250" s="145" t="s">
        <v>832</v>
      </c>
      <c r="C250" s="150">
        <v>2024</v>
      </c>
      <c r="D250" s="201" t="s">
        <v>1431</v>
      </c>
      <c r="E250" s="144" t="s">
        <v>1506</v>
      </c>
      <c r="F250" s="139" t="s">
        <v>88</v>
      </c>
      <c r="G250" s="144" t="s">
        <v>1747</v>
      </c>
      <c r="H250" s="146" t="s">
        <v>26</v>
      </c>
      <c r="I250" s="144" t="s">
        <v>1436</v>
      </c>
    </row>
    <row r="251" spans="1:9" ht="25.5">
      <c r="A251" s="193">
        <v>45586</v>
      </c>
      <c r="B251" s="145" t="s">
        <v>832</v>
      </c>
      <c r="C251" s="150">
        <v>2024</v>
      </c>
      <c r="D251" s="201" t="s">
        <v>1431</v>
      </c>
      <c r="E251" s="144" t="s">
        <v>1436</v>
      </c>
      <c r="F251" s="141" t="s">
        <v>821</v>
      </c>
      <c r="G251" s="144" t="s">
        <v>1748</v>
      </c>
      <c r="H251" s="146" t="s">
        <v>26</v>
      </c>
      <c r="I251" s="144" t="s">
        <v>1436</v>
      </c>
    </row>
    <row r="252" spans="1:9" ht="14.1">
      <c r="A252" s="193">
        <v>45586</v>
      </c>
      <c r="B252" s="145" t="s">
        <v>832</v>
      </c>
      <c r="C252" s="150">
        <v>2024</v>
      </c>
      <c r="D252" s="201" t="s">
        <v>1431</v>
      </c>
      <c r="E252" s="144" t="s">
        <v>1449</v>
      </c>
      <c r="F252" s="139" t="s">
        <v>88</v>
      </c>
      <c r="G252" s="144" t="s">
        <v>1749</v>
      </c>
      <c r="H252" s="146" t="s">
        <v>26</v>
      </c>
      <c r="I252" s="144" t="s">
        <v>1436</v>
      </c>
    </row>
    <row r="253" spans="1:9" ht="25.5">
      <c r="A253" s="193">
        <v>45586</v>
      </c>
      <c r="B253" s="145" t="s">
        <v>832</v>
      </c>
      <c r="C253" s="150">
        <v>2024</v>
      </c>
      <c r="D253" s="201" t="s">
        <v>1431</v>
      </c>
      <c r="E253" s="144" t="s">
        <v>1580</v>
      </c>
      <c r="F253" s="140" t="s">
        <v>1439</v>
      </c>
      <c r="G253" s="144" t="s">
        <v>1750</v>
      </c>
      <c r="H253" s="146" t="s">
        <v>26</v>
      </c>
      <c r="I253" s="144" t="s">
        <v>1436</v>
      </c>
    </row>
    <row r="254" spans="1:9" ht="50.45">
      <c r="A254" s="193">
        <v>45587</v>
      </c>
      <c r="B254" s="145" t="s">
        <v>832</v>
      </c>
      <c r="C254" s="150">
        <v>2024</v>
      </c>
      <c r="D254" s="201" t="s">
        <v>1431</v>
      </c>
      <c r="E254" s="144" t="s">
        <v>1506</v>
      </c>
      <c r="F254" s="139" t="s">
        <v>88</v>
      </c>
      <c r="G254" s="144" t="s">
        <v>1751</v>
      </c>
      <c r="H254" s="146" t="s">
        <v>26</v>
      </c>
      <c r="I254" s="144" t="s">
        <v>1436</v>
      </c>
    </row>
    <row r="255" spans="1:9" ht="14.1">
      <c r="A255" s="193">
        <v>45587</v>
      </c>
      <c r="B255" s="145" t="s">
        <v>832</v>
      </c>
      <c r="C255" s="150">
        <v>2024</v>
      </c>
      <c r="D255" s="201" t="s">
        <v>1431</v>
      </c>
      <c r="E255" s="144" t="s">
        <v>1436</v>
      </c>
      <c r="F255" s="139" t="s">
        <v>88</v>
      </c>
      <c r="G255" s="144" t="s">
        <v>1752</v>
      </c>
      <c r="H255" s="146" t="s">
        <v>26</v>
      </c>
      <c r="I255" s="144" t="s">
        <v>1436</v>
      </c>
    </row>
    <row r="256" spans="1:9" ht="14.1">
      <c r="A256" s="193">
        <v>45587</v>
      </c>
      <c r="B256" s="145" t="s">
        <v>832</v>
      </c>
      <c r="C256" s="150">
        <v>2024</v>
      </c>
      <c r="D256" s="201" t="s">
        <v>1431</v>
      </c>
      <c r="E256" s="144" t="s">
        <v>1449</v>
      </c>
      <c r="F256" s="139" t="s">
        <v>88</v>
      </c>
      <c r="G256" s="144" t="s">
        <v>1753</v>
      </c>
      <c r="H256" s="146" t="s">
        <v>26</v>
      </c>
      <c r="I256" s="144" t="s">
        <v>1436</v>
      </c>
    </row>
    <row r="257" spans="1:9" ht="38.1">
      <c r="A257" s="193">
        <v>45587</v>
      </c>
      <c r="B257" s="145" t="s">
        <v>832</v>
      </c>
      <c r="C257" s="150">
        <v>2024</v>
      </c>
      <c r="D257" s="201" t="s">
        <v>1431</v>
      </c>
      <c r="E257" s="144" t="s">
        <v>574</v>
      </c>
      <c r="F257" s="139" t="s">
        <v>88</v>
      </c>
      <c r="G257" s="144" t="s">
        <v>1754</v>
      </c>
      <c r="H257" s="146" t="s">
        <v>26</v>
      </c>
      <c r="I257" s="144" t="s">
        <v>1436</v>
      </c>
    </row>
    <row r="258" spans="1:9" ht="25.5">
      <c r="A258" s="193">
        <v>45587</v>
      </c>
      <c r="B258" s="145" t="s">
        <v>832</v>
      </c>
      <c r="C258" s="150">
        <v>2024</v>
      </c>
      <c r="D258" s="201" t="s">
        <v>1431</v>
      </c>
      <c r="E258" s="144" t="s">
        <v>1449</v>
      </c>
      <c r="F258" s="139" t="s">
        <v>88</v>
      </c>
      <c r="G258" s="144" t="s">
        <v>1755</v>
      </c>
      <c r="H258" s="146" t="s">
        <v>26</v>
      </c>
      <c r="I258" s="144" t="s">
        <v>1436</v>
      </c>
    </row>
    <row r="259" spans="1:9" ht="125.45">
      <c r="A259" s="193">
        <v>45587</v>
      </c>
      <c r="B259" s="145" t="s">
        <v>832</v>
      </c>
      <c r="C259" s="150">
        <v>2024</v>
      </c>
      <c r="D259" s="201" t="s">
        <v>1431</v>
      </c>
      <c r="E259" s="144" t="s">
        <v>1225</v>
      </c>
      <c r="F259" s="147" t="s">
        <v>859</v>
      </c>
      <c r="G259" s="144" t="s">
        <v>1756</v>
      </c>
      <c r="H259" s="146" t="s">
        <v>26</v>
      </c>
      <c r="I259" s="144" t="s">
        <v>1436</v>
      </c>
    </row>
    <row r="260" spans="1:9" ht="50.45">
      <c r="A260" s="193">
        <v>45587</v>
      </c>
      <c r="B260" s="145" t="s">
        <v>832</v>
      </c>
      <c r="C260" s="150">
        <v>2024</v>
      </c>
      <c r="D260" s="201" t="s">
        <v>1431</v>
      </c>
      <c r="E260" s="144" t="s">
        <v>1436</v>
      </c>
      <c r="F260" s="139" t="s">
        <v>88</v>
      </c>
      <c r="G260" s="144" t="s">
        <v>1757</v>
      </c>
      <c r="H260" s="146" t="s">
        <v>26</v>
      </c>
      <c r="I260" s="144" t="s">
        <v>1436</v>
      </c>
    </row>
    <row r="261" spans="1:9" ht="75.599999999999994">
      <c r="A261" s="193">
        <v>45588</v>
      </c>
      <c r="B261" s="145" t="s">
        <v>832</v>
      </c>
      <c r="C261" s="150">
        <v>2024</v>
      </c>
      <c r="D261" s="201" t="s">
        <v>1431</v>
      </c>
      <c r="E261" s="144" t="s">
        <v>1518</v>
      </c>
      <c r="F261" s="139" t="s">
        <v>88</v>
      </c>
      <c r="G261" s="144" t="s">
        <v>1758</v>
      </c>
      <c r="H261" s="146" t="s">
        <v>26</v>
      </c>
      <c r="I261" s="144" t="s">
        <v>1436</v>
      </c>
    </row>
    <row r="262" spans="1:9" ht="25.5">
      <c r="A262" s="193">
        <v>45588</v>
      </c>
      <c r="B262" s="145" t="s">
        <v>832</v>
      </c>
      <c r="C262" s="150">
        <v>2024</v>
      </c>
      <c r="D262" s="201" t="s">
        <v>1431</v>
      </c>
      <c r="E262" s="144" t="s">
        <v>21</v>
      </c>
      <c r="F262" s="141" t="s">
        <v>821</v>
      </c>
      <c r="G262" s="144" t="s">
        <v>1759</v>
      </c>
      <c r="H262" s="146" t="s">
        <v>26</v>
      </c>
      <c r="I262" s="144" t="s">
        <v>1436</v>
      </c>
    </row>
    <row r="263" spans="1:9" ht="38.1">
      <c r="A263" s="193">
        <v>45588</v>
      </c>
      <c r="B263" s="145" t="s">
        <v>832</v>
      </c>
      <c r="C263" s="150">
        <v>2024</v>
      </c>
      <c r="D263" s="201" t="s">
        <v>1431</v>
      </c>
      <c r="E263" s="144" t="s">
        <v>1436</v>
      </c>
      <c r="F263" s="139" t="s">
        <v>88</v>
      </c>
      <c r="G263" s="144" t="s">
        <v>1760</v>
      </c>
      <c r="H263" s="146" t="s">
        <v>26</v>
      </c>
      <c r="I263" s="144" t="s">
        <v>1436</v>
      </c>
    </row>
    <row r="264" spans="1:9" ht="38.1">
      <c r="A264" s="193">
        <v>45588</v>
      </c>
      <c r="B264" s="145" t="s">
        <v>832</v>
      </c>
      <c r="C264" s="150">
        <v>2024</v>
      </c>
      <c r="D264" s="201" t="s">
        <v>1431</v>
      </c>
      <c r="E264" s="144" t="s">
        <v>1436</v>
      </c>
      <c r="F264" s="139" t="s">
        <v>88</v>
      </c>
      <c r="G264" s="144" t="s">
        <v>1761</v>
      </c>
      <c r="H264" s="146" t="s">
        <v>26</v>
      </c>
      <c r="I264" s="144" t="s">
        <v>1436</v>
      </c>
    </row>
    <row r="265" spans="1:9" ht="63">
      <c r="A265" s="193">
        <v>45589</v>
      </c>
      <c r="B265" s="145" t="s">
        <v>832</v>
      </c>
      <c r="C265" s="150">
        <v>2024</v>
      </c>
      <c r="D265" s="201" t="s">
        <v>1431</v>
      </c>
      <c r="E265" s="144" t="s">
        <v>1506</v>
      </c>
      <c r="F265" s="139" t="s">
        <v>88</v>
      </c>
      <c r="G265" s="144" t="s">
        <v>1762</v>
      </c>
      <c r="H265" s="146" t="s">
        <v>26</v>
      </c>
      <c r="I265" s="144" t="s">
        <v>1436</v>
      </c>
    </row>
    <row r="266" spans="1:9" ht="38.1">
      <c r="A266" s="193">
        <v>45589</v>
      </c>
      <c r="B266" s="145" t="s">
        <v>832</v>
      </c>
      <c r="C266" s="150">
        <v>2024</v>
      </c>
      <c r="D266" s="201" t="s">
        <v>1431</v>
      </c>
      <c r="E266" s="144" t="s">
        <v>1506</v>
      </c>
      <c r="F266" s="139" t="s">
        <v>88</v>
      </c>
      <c r="G266" s="144" t="s">
        <v>1763</v>
      </c>
      <c r="H266" s="146" t="s">
        <v>26</v>
      </c>
      <c r="I266" s="144" t="s">
        <v>1436</v>
      </c>
    </row>
    <row r="267" spans="1:9" ht="14.1">
      <c r="A267" s="193">
        <v>45589</v>
      </c>
      <c r="B267" s="145" t="s">
        <v>832</v>
      </c>
      <c r="C267" s="150">
        <v>2024</v>
      </c>
      <c r="D267" s="201" t="s">
        <v>1431</v>
      </c>
      <c r="E267" s="144" t="s">
        <v>1449</v>
      </c>
      <c r="F267" s="139" t="s">
        <v>88</v>
      </c>
      <c r="G267" s="144" t="s">
        <v>1764</v>
      </c>
      <c r="H267" s="146" t="s">
        <v>26</v>
      </c>
      <c r="I267" s="144" t="s">
        <v>1436</v>
      </c>
    </row>
    <row r="268" spans="1:9" ht="14.1">
      <c r="A268" s="193">
        <v>45589</v>
      </c>
      <c r="B268" s="145" t="s">
        <v>832</v>
      </c>
      <c r="C268" s="150">
        <v>2024</v>
      </c>
      <c r="D268" s="201" t="s">
        <v>1431</v>
      </c>
      <c r="E268" s="144" t="s">
        <v>1436</v>
      </c>
      <c r="F268" s="139" t="s">
        <v>88</v>
      </c>
      <c r="G268" s="144" t="s">
        <v>1765</v>
      </c>
      <c r="H268" s="146" t="s">
        <v>26</v>
      </c>
      <c r="I268" s="144" t="s">
        <v>1436</v>
      </c>
    </row>
    <row r="269" spans="1:9" ht="14.1">
      <c r="A269" s="193">
        <v>45589</v>
      </c>
      <c r="B269" s="145" t="s">
        <v>832</v>
      </c>
      <c r="C269" s="150">
        <v>2024</v>
      </c>
      <c r="D269" s="201" t="s">
        <v>1431</v>
      </c>
      <c r="E269" s="144" t="s">
        <v>1436</v>
      </c>
      <c r="F269" s="147" t="s">
        <v>859</v>
      </c>
      <c r="G269" s="144" t="s">
        <v>1766</v>
      </c>
      <c r="H269" s="146" t="s">
        <v>26</v>
      </c>
      <c r="I269" s="144" t="s">
        <v>1436</v>
      </c>
    </row>
    <row r="270" spans="1:9" ht="14.1">
      <c r="A270" s="193">
        <v>45589</v>
      </c>
      <c r="B270" s="145" t="s">
        <v>832</v>
      </c>
      <c r="C270" s="150">
        <v>2024</v>
      </c>
      <c r="D270" s="201" t="s">
        <v>1431</v>
      </c>
      <c r="E270" s="144" t="s">
        <v>1436</v>
      </c>
      <c r="F270" s="141" t="s">
        <v>821</v>
      </c>
      <c r="G270" s="144" t="s">
        <v>1767</v>
      </c>
      <c r="H270" s="146" t="s">
        <v>26</v>
      </c>
      <c r="I270" s="144" t="s">
        <v>1436</v>
      </c>
    </row>
    <row r="271" spans="1:9" ht="63">
      <c r="A271" s="193">
        <v>45589</v>
      </c>
      <c r="B271" s="145" t="s">
        <v>832</v>
      </c>
      <c r="C271" s="150">
        <v>2024</v>
      </c>
      <c r="D271" s="201" t="s">
        <v>1431</v>
      </c>
      <c r="E271" s="144" t="s">
        <v>574</v>
      </c>
      <c r="F271" s="139" t="s">
        <v>88</v>
      </c>
      <c r="G271" s="144" t="s">
        <v>1768</v>
      </c>
      <c r="H271" s="146" t="s">
        <v>26</v>
      </c>
      <c r="I271" s="144" t="s">
        <v>1436</v>
      </c>
    </row>
    <row r="272" spans="1:9" ht="63">
      <c r="A272" s="193">
        <v>45590</v>
      </c>
      <c r="B272" s="145" t="s">
        <v>832</v>
      </c>
      <c r="C272" s="150">
        <v>2024</v>
      </c>
      <c r="D272" s="201" t="s">
        <v>1431</v>
      </c>
      <c r="E272" s="144" t="s">
        <v>1508</v>
      </c>
      <c r="F272" s="139" t="s">
        <v>88</v>
      </c>
      <c r="G272" s="144" t="s">
        <v>1769</v>
      </c>
      <c r="H272" s="146" t="s">
        <v>26</v>
      </c>
      <c r="I272" s="144" t="s">
        <v>1436</v>
      </c>
    </row>
    <row r="273" spans="1:9" ht="25.5">
      <c r="A273" s="193">
        <v>45590</v>
      </c>
      <c r="B273" s="145" t="s">
        <v>832</v>
      </c>
      <c r="C273" s="150">
        <v>2024</v>
      </c>
      <c r="D273" s="201" t="s">
        <v>1431</v>
      </c>
      <c r="E273" s="144" t="s">
        <v>1436</v>
      </c>
      <c r="F273" s="141" t="s">
        <v>821</v>
      </c>
      <c r="G273" s="144" t="s">
        <v>1770</v>
      </c>
      <c r="H273" s="146" t="s">
        <v>26</v>
      </c>
      <c r="I273" s="144" t="s">
        <v>1436</v>
      </c>
    </row>
    <row r="274" spans="1:9" ht="25.5">
      <c r="A274" s="193">
        <v>45590</v>
      </c>
      <c r="B274" s="145" t="s">
        <v>832</v>
      </c>
      <c r="C274" s="150">
        <v>2024</v>
      </c>
      <c r="D274" s="201" t="s">
        <v>1431</v>
      </c>
      <c r="E274" s="144" t="s">
        <v>1436</v>
      </c>
      <c r="F274" s="141" t="s">
        <v>821</v>
      </c>
      <c r="G274" s="144" t="s">
        <v>1771</v>
      </c>
      <c r="H274" s="146" t="s">
        <v>26</v>
      </c>
      <c r="I274" s="144" t="s">
        <v>1436</v>
      </c>
    </row>
    <row r="275" spans="1:9" ht="14.1">
      <c r="A275" s="193">
        <v>45590</v>
      </c>
      <c r="B275" s="145" t="s">
        <v>832</v>
      </c>
      <c r="C275" s="150">
        <v>2024</v>
      </c>
      <c r="D275" s="201" t="s">
        <v>1431</v>
      </c>
      <c r="E275" s="144" t="s">
        <v>1449</v>
      </c>
      <c r="F275" s="139" t="s">
        <v>88</v>
      </c>
      <c r="G275" s="144" t="s">
        <v>1772</v>
      </c>
      <c r="H275" s="146" t="s">
        <v>26</v>
      </c>
      <c r="I275" s="144" t="s">
        <v>1436</v>
      </c>
    </row>
    <row r="276" spans="1:9" ht="50.45">
      <c r="A276" s="193">
        <v>45590</v>
      </c>
      <c r="B276" s="145" t="s">
        <v>832</v>
      </c>
      <c r="C276" s="150">
        <v>2024</v>
      </c>
      <c r="D276" s="201" t="s">
        <v>1431</v>
      </c>
      <c r="E276" s="144" t="s">
        <v>1449</v>
      </c>
      <c r="F276" s="139" t="s">
        <v>88</v>
      </c>
      <c r="G276" s="144" t="s">
        <v>1773</v>
      </c>
      <c r="H276" s="146" t="s">
        <v>26</v>
      </c>
      <c r="I276" s="144" t="s">
        <v>1436</v>
      </c>
    </row>
    <row r="277" spans="1:9" ht="25.5">
      <c r="A277" s="193">
        <v>45590</v>
      </c>
      <c r="B277" s="145" t="s">
        <v>832</v>
      </c>
      <c r="C277" s="150">
        <v>2024</v>
      </c>
      <c r="D277" s="201" t="s">
        <v>1431</v>
      </c>
      <c r="E277" s="144" t="s">
        <v>216</v>
      </c>
      <c r="F277" s="141" t="s">
        <v>821</v>
      </c>
      <c r="G277" s="144" t="s">
        <v>1774</v>
      </c>
      <c r="H277" s="146" t="s">
        <v>26</v>
      </c>
      <c r="I277" s="144" t="s">
        <v>1436</v>
      </c>
    </row>
    <row r="278" spans="1:9" ht="14.1">
      <c r="A278" s="193">
        <v>45590</v>
      </c>
      <c r="B278" s="145" t="s">
        <v>832</v>
      </c>
      <c r="C278" s="150">
        <v>2024</v>
      </c>
      <c r="D278" s="201" t="s">
        <v>1431</v>
      </c>
      <c r="E278" s="144" t="s">
        <v>1539</v>
      </c>
      <c r="F278" s="141" t="s">
        <v>821</v>
      </c>
      <c r="G278" s="144" t="s">
        <v>1775</v>
      </c>
      <c r="H278" s="146" t="s">
        <v>26</v>
      </c>
      <c r="I278" s="144" t="s">
        <v>1436</v>
      </c>
    </row>
    <row r="279" spans="1:9" ht="25.5">
      <c r="A279" s="193">
        <v>45590</v>
      </c>
      <c r="B279" s="145" t="s">
        <v>832</v>
      </c>
      <c r="C279" s="150">
        <v>2024</v>
      </c>
      <c r="D279" s="201" t="s">
        <v>1431</v>
      </c>
      <c r="E279" s="144" t="s">
        <v>1560</v>
      </c>
      <c r="F279" s="139" t="s">
        <v>88</v>
      </c>
      <c r="G279" s="144" t="s">
        <v>1776</v>
      </c>
      <c r="H279" s="146" t="s">
        <v>26</v>
      </c>
      <c r="I279" s="144" t="s">
        <v>1436</v>
      </c>
    </row>
    <row r="280" spans="1:9" ht="14.1">
      <c r="A280" s="193">
        <v>45593</v>
      </c>
      <c r="B280" s="145" t="s">
        <v>832</v>
      </c>
      <c r="C280" s="150">
        <v>2024</v>
      </c>
      <c r="D280" s="201" t="s">
        <v>1431</v>
      </c>
      <c r="E280" s="144" t="s">
        <v>1608</v>
      </c>
      <c r="F280" s="140" t="s">
        <v>1439</v>
      </c>
      <c r="G280" s="144" t="s">
        <v>1777</v>
      </c>
      <c r="H280" s="146" t="s">
        <v>26</v>
      </c>
      <c r="I280" s="144" t="s">
        <v>1436</v>
      </c>
    </row>
    <row r="281" spans="1:9" ht="38.1">
      <c r="A281" s="193">
        <v>45593</v>
      </c>
      <c r="B281" s="145" t="s">
        <v>832</v>
      </c>
      <c r="C281" s="150">
        <v>2024</v>
      </c>
      <c r="D281" s="201" t="s">
        <v>1431</v>
      </c>
      <c r="E281" s="144" t="s">
        <v>1580</v>
      </c>
      <c r="F281" s="140" t="s">
        <v>1439</v>
      </c>
      <c r="G281" s="144" t="s">
        <v>1778</v>
      </c>
      <c r="H281" s="146" t="s">
        <v>26</v>
      </c>
      <c r="I281" s="144" t="s">
        <v>1436</v>
      </c>
    </row>
    <row r="282" spans="1:9" ht="50.45">
      <c r="A282" s="193">
        <v>45593</v>
      </c>
      <c r="B282" s="145" t="s">
        <v>832</v>
      </c>
      <c r="C282" s="150">
        <v>2024</v>
      </c>
      <c r="D282" s="201" t="s">
        <v>1431</v>
      </c>
      <c r="E282" s="144" t="s">
        <v>1560</v>
      </c>
      <c r="F282" s="139" t="s">
        <v>88</v>
      </c>
      <c r="G282" s="144" t="s">
        <v>1779</v>
      </c>
      <c r="H282" s="146" t="s">
        <v>26</v>
      </c>
      <c r="I282" s="144" t="s">
        <v>1436</v>
      </c>
    </row>
    <row r="283" spans="1:9" ht="25.5">
      <c r="A283" s="193">
        <v>45593</v>
      </c>
      <c r="B283" s="145" t="s">
        <v>832</v>
      </c>
      <c r="C283" s="150">
        <v>2024</v>
      </c>
      <c r="D283" s="201" t="s">
        <v>1431</v>
      </c>
      <c r="E283" s="144" t="s">
        <v>1506</v>
      </c>
      <c r="F283" s="139" t="s">
        <v>88</v>
      </c>
      <c r="G283" s="144" t="s">
        <v>1780</v>
      </c>
      <c r="H283" s="146" t="s">
        <v>26</v>
      </c>
      <c r="I283" s="144" t="s">
        <v>1436</v>
      </c>
    </row>
    <row r="284" spans="1:9" ht="25.5">
      <c r="A284" s="193">
        <v>45593</v>
      </c>
      <c r="B284" s="145" t="s">
        <v>832</v>
      </c>
      <c r="C284" s="150">
        <v>2024</v>
      </c>
      <c r="D284" s="201" t="s">
        <v>1431</v>
      </c>
      <c r="E284" s="144" t="s">
        <v>1436</v>
      </c>
      <c r="F284" s="141" t="s">
        <v>821</v>
      </c>
      <c r="G284" s="144" t="s">
        <v>1781</v>
      </c>
      <c r="H284" s="146" t="s">
        <v>26</v>
      </c>
      <c r="I284" s="144" t="s">
        <v>1436</v>
      </c>
    </row>
    <row r="285" spans="1:9" ht="25.5">
      <c r="A285" s="193">
        <v>45593</v>
      </c>
      <c r="B285" s="145" t="s">
        <v>832</v>
      </c>
      <c r="C285" s="150">
        <v>2024</v>
      </c>
      <c r="D285" s="201" t="s">
        <v>1431</v>
      </c>
      <c r="E285" s="144" t="s">
        <v>1584</v>
      </c>
      <c r="F285" s="141" t="s">
        <v>821</v>
      </c>
      <c r="G285" s="144" t="s">
        <v>1782</v>
      </c>
      <c r="H285" s="146" t="s">
        <v>26</v>
      </c>
      <c r="I285" s="144" t="s">
        <v>1436</v>
      </c>
    </row>
    <row r="286" spans="1:9" ht="38.1">
      <c r="A286" s="193">
        <v>45593</v>
      </c>
      <c r="B286" s="145" t="s">
        <v>832</v>
      </c>
      <c r="C286" s="150">
        <v>2024</v>
      </c>
      <c r="D286" s="201" t="s">
        <v>1431</v>
      </c>
      <c r="E286" s="144" t="s">
        <v>1584</v>
      </c>
      <c r="F286" s="141" t="s">
        <v>821</v>
      </c>
      <c r="G286" s="144" t="s">
        <v>1783</v>
      </c>
      <c r="H286" s="146" t="s">
        <v>26</v>
      </c>
      <c r="I286" s="144" t="s">
        <v>1436</v>
      </c>
    </row>
    <row r="287" spans="1:9" ht="38.1">
      <c r="A287" s="193">
        <v>45593</v>
      </c>
      <c r="B287" s="145" t="s">
        <v>832</v>
      </c>
      <c r="C287" s="150">
        <v>2024</v>
      </c>
      <c r="D287" s="201" t="s">
        <v>1431</v>
      </c>
      <c r="E287" s="144" t="s">
        <v>1449</v>
      </c>
      <c r="F287" s="139" t="s">
        <v>88</v>
      </c>
      <c r="G287" s="144" t="s">
        <v>1784</v>
      </c>
      <c r="H287" s="146" t="s">
        <v>26</v>
      </c>
      <c r="I287" s="144" t="s">
        <v>1436</v>
      </c>
    </row>
    <row r="288" spans="1:9" ht="25.5">
      <c r="A288" s="193">
        <v>45594</v>
      </c>
      <c r="B288" s="145" t="s">
        <v>832</v>
      </c>
      <c r="C288" s="150">
        <v>2024</v>
      </c>
      <c r="D288" s="201" t="s">
        <v>1431</v>
      </c>
      <c r="E288" s="144" t="s">
        <v>1518</v>
      </c>
      <c r="F288" s="139" t="s">
        <v>88</v>
      </c>
      <c r="G288" s="144" t="s">
        <v>1785</v>
      </c>
      <c r="H288" s="146" t="s">
        <v>26</v>
      </c>
      <c r="I288" s="144" t="s">
        <v>1436</v>
      </c>
    </row>
    <row r="289" spans="1:9" ht="25.5">
      <c r="A289" s="193">
        <v>45594</v>
      </c>
      <c r="B289" s="145" t="s">
        <v>832</v>
      </c>
      <c r="C289" s="150">
        <v>2024</v>
      </c>
      <c r="D289" s="201" t="s">
        <v>1431</v>
      </c>
      <c r="E289" s="144" t="s">
        <v>1506</v>
      </c>
      <c r="F289" s="139" t="s">
        <v>88</v>
      </c>
      <c r="G289" s="144" t="s">
        <v>1786</v>
      </c>
      <c r="H289" s="146" t="s">
        <v>26</v>
      </c>
      <c r="I289" s="144" t="s">
        <v>1436</v>
      </c>
    </row>
    <row r="290" spans="1:9" ht="25.5">
      <c r="A290" s="193">
        <v>45594</v>
      </c>
      <c r="B290" s="145" t="s">
        <v>832</v>
      </c>
      <c r="C290" s="150">
        <v>2024</v>
      </c>
      <c r="D290" s="201" t="s">
        <v>1431</v>
      </c>
      <c r="E290" s="144" t="s">
        <v>1506</v>
      </c>
      <c r="F290" s="139" t="s">
        <v>88</v>
      </c>
      <c r="G290" s="144" t="s">
        <v>1787</v>
      </c>
      <c r="H290" s="146" t="s">
        <v>26</v>
      </c>
      <c r="I290" s="144" t="s">
        <v>1436</v>
      </c>
    </row>
    <row r="291" spans="1:9" ht="25.5">
      <c r="A291" s="193">
        <v>45594</v>
      </c>
      <c r="B291" s="145" t="s">
        <v>832</v>
      </c>
      <c r="C291" s="150">
        <v>2024</v>
      </c>
      <c r="D291" s="201" t="s">
        <v>1431</v>
      </c>
      <c r="E291" s="144" t="s">
        <v>1436</v>
      </c>
      <c r="F291" s="139" t="s">
        <v>88</v>
      </c>
      <c r="G291" s="144" t="s">
        <v>1788</v>
      </c>
      <c r="H291" s="146" t="s">
        <v>26</v>
      </c>
      <c r="I291" s="144" t="s">
        <v>1436</v>
      </c>
    </row>
    <row r="292" spans="1:9" ht="25.5">
      <c r="A292" s="193">
        <v>45594</v>
      </c>
      <c r="B292" s="145" t="s">
        <v>832</v>
      </c>
      <c r="C292" s="150">
        <v>2024</v>
      </c>
      <c r="D292" s="201" t="s">
        <v>1431</v>
      </c>
      <c r="E292" s="144" t="s">
        <v>1506</v>
      </c>
      <c r="F292" s="139" t="s">
        <v>88</v>
      </c>
      <c r="G292" s="144" t="s">
        <v>1789</v>
      </c>
      <c r="H292" s="146" t="s">
        <v>26</v>
      </c>
      <c r="I292" s="144" t="s">
        <v>1436</v>
      </c>
    </row>
    <row r="293" spans="1:9" ht="25.5">
      <c r="A293" s="193">
        <v>45594</v>
      </c>
      <c r="B293" s="145" t="s">
        <v>832</v>
      </c>
      <c r="C293" s="150">
        <v>2024</v>
      </c>
      <c r="D293" s="201" t="s">
        <v>1431</v>
      </c>
      <c r="E293" s="144" t="s">
        <v>1436</v>
      </c>
      <c r="F293" s="141" t="s">
        <v>821</v>
      </c>
      <c r="G293" s="144" t="s">
        <v>1790</v>
      </c>
      <c r="H293" s="146" t="s">
        <v>26</v>
      </c>
      <c r="I293" s="144" t="s">
        <v>1436</v>
      </c>
    </row>
    <row r="294" spans="1:9" ht="25.5">
      <c r="A294" s="193">
        <v>45594</v>
      </c>
      <c r="B294" s="145" t="s">
        <v>832</v>
      </c>
      <c r="C294" s="150">
        <v>2024</v>
      </c>
      <c r="D294" s="201" t="s">
        <v>1431</v>
      </c>
      <c r="E294" s="144" t="s">
        <v>1506</v>
      </c>
      <c r="F294" s="139" t="s">
        <v>88</v>
      </c>
      <c r="G294" s="144" t="s">
        <v>1791</v>
      </c>
      <c r="H294" s="146" t="s">
        <v>26</v>
      </c>
      <c r="I294" s="144" t="s">
        <v>1436</v>
      </c>
    </row>
    <row r="295" spans="1:9" ht="38.1">
      <c r="A295" s="193">
        <v>45595</v>
      </c>
      <c r="B295" s="145" t="s">
        <v>832</v>
      </c>
      <c r="C295" s="150">
        <v>2024</v>
      </c>
      <c r="D295" s="201" t="s">
        <v>1431</v>
      </c>
      <c r="E295" s="144" t="s">
        <v>216</v>
      </c>
      <c r="F295" s="141" t="s">
        <v>821</v>
      </c>
      <c r="G295" s="144" t="s">
        <v>1792</v>
      </c>
      <c r="H295" s="146" t="s">
        <v>26</v>
      </c>
      <c r="I295" s="144" t="s">
        <v>1436</v>
      </c>
    </row>
    <row r="296" spans="1:9" ht="25.5">
      <c r="A296" s="193">
        <v>45595</v>
      </c>
      <c r="B296" s="145" t="s">
        <v>832</v>
      </c>
      <c r="C296" s="150">
        <v>2024</v>
      </c>
      <c r="D296" s="201" t="s">
        <v>1431</v>
      </c>
      <c r="E296" s="144" t="s">
        <v>1506</v>
      </c>
      <c r="F296" s="139" t="s">
        <v>88</v>
      </c>
      <c r="G296" s="144" t="s">
        <v>1793</v>
      </c>
      <c r="H296" s="146" t="s">
        <v>26</v>
      </c>
      <c r="I296" s="144" t="s">
        <v>1436</v>
      </c>
    </row>
    <row r="297" spans="1:9" ht="25.5">
      <c r="A297" s="193">
        <v>45595</v>
      </c>
      <c r="B297" s="145" t="s">
        <v>832</v>
      </c>
      <c r="C297" s="150">
        <v>2024</v>
      </c>
      <c r="D297" s="201" t="s">
        <v>1431</v>
      </c>
      <c r="E297" s="144" t="s">
        <v>21</v>
      </c>
      <c r="F297" s="141" t="s">
        <v>821</v>
      </c>
      <c r="G297" s="144" t="s">
        <v>1794</v>
      </c>
      <c r="H297" s="146" t="s">
        <v>26</v>
      </c>
      <c r="I297" s="144" t="s">
        <v>1436</v>
      </c>
    </row>
    <row r="298" spans="1:9" ht="38.1">
      <c r="A298" s="193">
        <v>45595</v>
      </c>
      <c r="B298" s="145" t="s">
        <v>832</v>
      </c>
      <c r="C298" s="150">
        <v>2024</v>
      </c>
      <c r="D298" s="201" t="s">
        <v>1431</v>
      </c>
      <c r="E298" s="144" t="s">
        <v>1449</v>
      </c>
      <c r="F298" s="139" t="s">
        <v>88</v>
      </c>
      <c r="G298" s="144" t="s">
        <v>1795</v>
      </c>
      <c r="H298" s="146" t="s">
        <v>26</v>
      </c>
      <c r="I298" s="144" t="s">
        <v>1436</v>
      </c>
    </row>
    <row r="299" spans="1:9" ht="25.5">
      <c r="A299" s="193">
        <v>45595</v>
      </c>
      <c r="B299" s="145" t="s">
        <v>832</v>
      </c>
      <c r="C299" s="150">
        <v>2024</v>
      </c>
      <c r="D299" s="201" t="s">
        <v>1431</v>
      </c>
      <c r="E299" s="144" t="s">
        <v>1449</v>
      </c>
      <c r="F299" s="139" t="s">
        <v>88</v>
      </c>
      <c r="G299" s="144" t="s">
        <v>1796</v>
      </c>
      <c r="H299" s="146" t="s">
        <v>26</v>
      </c>
      <c r="I299" s="144" t="s">
        <v>1436</v>
      </c>
    </row>
    <row r="300" spans="1:9" ht="50.45">
      <c r="A300" s="193">
        <v>45595</v>
      </c>
      <c r="B300" s="145" t="s">
        <v>832</v>
      </c>
      <c r="C300" s="150">
        <v>2024</v>
      </c>
      <c r="D300" s="201" t="s">
        <v>1431</v>
      </c>
      <c r="E300" s="144" t="s">
        <v>1506</v>
      </c>
      <c r="F300" s="139" t="s">
        <v>88</v>
      </c>
      <c r="G300" s="144" t="s">
        <v>1797</v>
      </c>
      <c r="H300" s="146" t="s">
        <v>26</v>
      </c>
      <c r="I300" s="144" t="s">
        <v>1436</v>
      </c>
    </row>
    <row r="301" spans="1:9" ht="50.45">
      <c r="A301" s="193">
        <v>45595</v>
      </c>
      <c r="B301" s="145" t="s">
        <v>832</v>
      </c>
      <c r="C301" s="150">
        <v>2024</v>
      </c>
      <c r="D301" s="201" t="s">
        <v>1431</v>
      </c>
      <c r="E301" s="144" t="s">
        <v>1436</v>
      </c>
      <c r="F301" s="141" t="s">
        <v>821</v>
      </c>
      <c r="G301" s="144" t="s">
        <v>1798</v>
      </c>
      <c r="H301" s="146" t="s">
        <v>26</v>
      </c>
      <c r="I301" s="144" t="s">
        <v>1436</v>
      </c>
    </row>
    <row r="302" spans="1:9" ht="38.1">
      <c r="A302" s="193">
        <v>45596</v>
      </c>
      <c r="B302" s="145" t="s">
        <v>832</v>
      </c>
      <c r="C302" s="150">
        <v>2024</v>
      </c>
      <c r="D302" s="201" t="s">
        <v>1431</v>
      </c>
      <c r="E302" s="144" t="s">
        <v>574</v>
      </c>
      <c r="F302" s="139" t="s">
        <v>88</v>
      </c>
      <c r="G302" s="144" t="s">
        <v>1799</v>
      </c>
      <c r="H302" s="146" t="s">
        <v>26</v>
      </c>
      <c r="I302" s="144" t="s">
        <v>1436</v>
      </c>
    </row>
    <row r="303" spans="1:9" ht="25.5">
      <c r="A303" s="193">
        <v>45596</v>
      </c>
      <c r="B303" s="145" t="s">
        <v>832</v>
      </c>
      <c r="C303" s="150">
        <v>2024</v>
      </c>
      <c r="D303" s="201" t="s">
        <v>1431</v>
      </c>
      <c r="E303" s="144" t="s">
        <v>1518</v>
      </c>
      <c r="F303" s="139" t="s">
        <v>88</v>
      </c>
      <c r="G303" s="144" t="s">
        <v>1800</v>
      </c>
      <c r="H303" s="146" t="s">
        <v>26</v>
      </c>
      <c r="I303" s="144" t="s">
        <v>1436</v>
      </c>
    </row>
    <row r="304" spans="1:9" ht="14.1">
      <c r="A304" s="193">
        <v>45596</v>
      </c>
      <c r="B304" s="145" t="s">
        <v>832</v>
      </c>
      <c r="C304" s="150">
        <v>2024</v>
      </c>
      <c r="D304" s="201" t="s">
        <v>1431</v>
      </c>
      <c r="E304" s="144" t="s">
        <v>21</v>
      </c>
      <c r="F304" s="141" t="s">
        <v>821</v>
      </c>
      <c r="G304" s="144" t="s">
        <v>1801</v>
      </c>
      <c r="H304" s="146" t="s">
        <v>26</v>
      </c>
      <c r="I304" s="144" t="s">
        <v>1436</v>
      </c>
    </row>
    <row r="305" spans="1:9" ht="25.5">
      <c r="A305" s="193">
        <v>45596</v>
      </c>
      <c r="B305" s="145" t="s">
        <v>832</v>
      </c>
      <c r="C305" s="150">
        <v>2024</v>
      </c>
      <c r="D305" s="201" t="s">
        <v>1431</v>
      </c>
      <c r="E305" s="144" t="s">
        <v>1449</v>
      </c>
      <c r="F305" s="139" t="s">
        <v>88</v>
      </c>
      <c r="G305" s="144" t="s">
        <v>1802</v>
      </c>
      <c r="H305" s="146" t="s">
        <v>26</v>
      </c>
      <c r="I305" s="144" t="s">
        <v>1436</v>
      </c>
    </row>
    <row r="306" spans="1:9" ht="25.5">
      <c r="A306" s="193">
        <v>45596</v>
      </c>
      <c r="B306" s="145" t="s">
        <v>832</v>
      </c>
      <c r="C306" s="150">
        <v>2024</v>
      </c>
      <c r="D306" s="201" t="s">
        <v>1431</v>
      </c>
      <c r="E306" s="144" t="s">
        <v>1539</v>
      </c>
      <c r="F306" s="139" t="s">
        <v>88</v>
      </c>
      <c r="G306" s="144" t="s">
        <v>1803</v>
      </c>
      <c r="H306" s="146" t="s">
        <v>26</v>
      </c>
      <c r="I306" s="144" t="s">
        <v>1436</v>
      </c>
    </row>
    <row r="307" spans="1:9" ht="25.5">
      <c r="A307" s="193">
        <v>45596</v>
      </c>
      <c r="B307" s="145" t="s">
        <v>832</v>
      </c>
      <c r="C307" s="150">
        <v>2024</v>
      </c>
      <c r="D307" s="201" t="s">
        <v>1431</v>
      </c>
      <c r="E307" s="144" t="s">
        <v>1449</v>
      </c>
      <c r="F307" s="139" t="s">
        <v>88</v>
      </c>
      <c r="G307" s="144" t="s">
        <v>1804</v>
      </c>
      <c r="H307" s="146" t="s">
        <v>26</v>
      </c>
      <c r="I307" s="144" t="s">
        <v>1436</v>
      </c>
    </row>
    <row r="308" spans="1:9" ht="63">
      <c r="A308" s="193">
        <v>45596</v>
      </c>
      <c r="B308" s="145" t="s">
        <v>832</v>
      </c>
      <c r="C308" s="150">
        <v>2024</v>
      </c>
      <c r="D308" s="201" t="s">
        <v>1431</v>
      </c>
      <c r="E308" s="144" t="s">
        <v>216</v>
      </c>
      <c r="F308" s="139" t="s">
        <v>88</v>
      </c>
      <c r="G308" s="144" t="s">
        <v>1805</v>
      </c>
      <c r="H308" s="146" t="s">
        <v>26</v>
      </c>
      <c r="I308" s="144" t="s">
        <v>1436</v>
      </c>
    </row>
    <row r="309" spans="1:9" ht="38.1">
      <c r="A309" s="193">
        <v>45597</v>
      </c>
      <c r="B309" s="145" t="s">
        <v>833</v>
      </c>
      <c r="C309" s="150">
        <v>2024</v>
      </c>
      <c r="D309" s="201" t="s">
        <v>1431</v>
      </c>
      <c r="E309" s="144" t="s">
        <v>1560</v>
      </c>
      <c r="F309" s="147" t="s">
        <v>859</v>
      </c>
      <c r="G309" s="144" t="s">
        <v>1806</v>
      </c>
      <c r="H309" s="146" t="s">
        <v>26</v>
      </c>
      <c r="I309" s="144" t="s">
        <v>1436</v>
      </c>
    </row>
    <row r="310" spans="1:9" ht="25.5">
      <c r="A310" s="193">
        <v>45597</v>
      </c>
      <c r="B310" s="145" t="s">
        <v>833</v>
      </c>
      <c r="C310" s="150">
        <v>2024</v>
      </c>
      <c r="D310" s="201" t="s">
        <v>1431</v>
      </c>
      <c r="E310" s="144" t="s">
        <v>1518</v>
      </c>
      <c r="F310" s="139" t="s">
        <v>88</v>
      </c>
      <c r="G310" s="144" t="s">
        <v>1807</v>
      </c>
      <c r="H310" s="146" t="s">
        <v>26</v>
      </c>
      <c r="I310" s="144" t="s">
        <v>1436</v>
      </c>
    </row>
    <row r="311" spans="1:9" ht="14.1">
      <c r="A311" s="193">
        <v>45597</v>
      </c>
      <c r="B311" s="145" t="s">
        <v>833</v>
      </c>
      <c r="C311" s="150">
        <v>2024</v>
      </c>
      <c r="D311" s="201" t="s">
        <v>1431</v>
      </c>
      <c r="E311" s="144" t="s">
        <v>216</v>
      </c>
      <c r="F311" s="142" t="s">
        <v>872</v>
      </c>
      <c r="G311" s="144" t="s">
        <v>1808</v>
      </c>
      <c r="H311" s="146" t="s">
        <v>26</v>
      </c>
      <c r="I311" s="144" t="s">
        <v>1436</v>
      </c>
    </row>
    <row r="312" spans="1:9" ht="14.1">
      <c r="A312" s="193">
        <v>45597</v>
      </c>
      <c r="B312" s="145" t="s">
        <v>833</v>
      </c>
      <c r="C312" s="150">
        <v>2024</v>
      </c>
      <c r="D312" s="201" t="s">
        <v>1431</v>
      </c>
      <c r="E312" s="144" t="s">
        <v>1539</v>
      </c>
      <c r="F312" s="142" t="s">
        <v>872</v>
      </c>
      <c r="G312" s="144" t="s">
        <v>1809</v>
      </c>
      <c r="H312" s="146" t="s">
        <v>26</v>
      </c>
      <c r="I312" s="144" t="s">
        <v>1436</v>
      </c>
    </row>
    <row r="313" spans="1:9" ht="38.1">
      <c r="A313" s="193">
        <v>45600</v>
      </c>
      <c r="B313" s="145" t="s">
        <v>833</v>
      </c>
      <c r="C313" s="150">
        <v>2024</v>
      </c>
      <c r="D313" s="201" t="s">
        <v>1431</v>
      </c>
      <c r="E313" s="144" t="s">
        <v>1506</v>
      </c>
      <c r="F313" s="139" t="s">
        <v>88</v>
      </c>
      <c r="G313" s="144" t="s">
        <v>1810</v>
      </c>
      <c r="H313" s="146" t="s">
        <v>26</v>
      </c>
      <c r="I313" s="144" t="s">
        <v>1436</v>
      </c>
    </row>
    <row r="314" spans="1:9" ht="25.5">
      <c r="A314" s="193">
        <v>45600</v>
      </c>
      <c r="B314" s="145" t="s">
        <v>833</v>
      </c>
      <c r="C314" s="150">
        <v>2024</v>
      </c>
      <c r="D314" s="201" t="s">
        <v>1431</v>
      </c>
      <c r="E314" s="144" t="s">
        <v>216</v>
      </c>
      <c r="F314" s="141" t="s">
        <v>821</v>
      </c>
      <c r="G314" s="144" t="s">
        <v>1811</v>
      </c>
      <c r="H314" s="146" t="s">
        <v>26</v>
      </c>
      <c r="I314" s="144" t="s">
        <v>1436</v>
      </c>
    </row>
    <row r="315" spans="1:9" ht="25.5">
      <c r="A315" s="193">
        <v>45600</v>
      </c>
      <c r="B315" s="145" t="s">
        <v>833</v>
      </c>
      <c r="C315" s="150">
        <v>2024</v>
      </c>
      <c r="D315" s="201" t="s">
        <v>1431</v>
      </c>
      <c r="E315" s="144" t="s">
        <v>1506</v>
      </c>
      <c r="F315" s="139" t="s">
        <v>88</v>
      </c>
      <c r="G315" s="144" t="s">
        <v>1812</v>
      </c>
      <c r="H315" s="146" t="s">
        <v>26</v>
      </c>
      <c r="I315" s="144" t="s">
        <v>1436</v>
      </c>
    </row>
    <row r="316" spans="1:9" ht="14.1">
      <c r="A316" s="193">
        <v>45600</v>
      </c>
      <c r="B316" s="145" t="s">
        <v>833</v>
      </c>
      <c r="C316" s="150">
        <v>2024</v>
      </c>
      <c r="D316" s="201" t="s">
        <v>1431</v>
      </c>
      <c r="E316" s="144" t="s">
        <v>1506</v>
      </c>
      <c r="F316" s="139" t="s">
        <v>88</v>
      </c>
      <c r="G316" s="144" t="s">
        <v>1813</v>
      </c>
      <c r="H316" s="146" t="s">
        <v>26</v>
      </c>
      <c r="I316" s="144" t="s">
        <v>1436</v>
      </c>
    </row>
    <row r="317" spans="1:9" ht="25.5">
      <c r="A317" s="193">
        <v>45600</v>
      </c>
      <c r="B317" s="145" t="s">
        <v>833</v>
      </c>
      <c r="C317" s="150">
        <v>2024</v>
      </c>
      <c r="D317" s="201" t="s">
        <v>1431</v>
      </c>
      <c r="E317" s="144" t="s">
        <v>1506</v>
      </c>
      <c r="F317" s="139" t="s">
        <v>88</v>
      </c>
      <c r="G317" s="144" t="s">
        <v>1814</v>
      </c>
      <c r="H317" s="146" t="s">
        <v>26</v>
      </c>
      <c r="I317" s="144" t="s">
        <v>1436</v>
      </c>
    </row>
    <row r="318" spans="1:9" ht="25.5">
      <c r="A318" s="193">
        <v>45600</v>
      </c>
      <c r="B318" s="145" t="s">
        <v>833</v>
      </c>
      <c r="C318" s="150">
        <v>2024</v>
      </c>
      <c r="D318" s="201" t="s">
        <v>1431</v>
      </c>
      <c r="E318" s="144" t="s">
        <v>1506</v>
      </c>
      <c r="F318" s="139" t="s">
        <v>88</v>
      </c>
      <c r="G318" s="144" t="s">
        <v>1815</v>
      </c>
      <c r="H318" s="146" t="s">
        <v>26</v>
      </c>
      <c r="I318" s="144" t="s">
        <v>1436</v>
      </c>
    </row>
    <row r="319" spans="1:9" ht="25.5">
      <c r="A319" s="193">
        <v>45600</v>
      </c>
      <c r="B319" s="145" t="s">
        <v>833</v>
      </c>
      <c r="C319" s="150">
        <v>2024</v>
      </c>
      <c r="D319" s="201" t="s">
        <v>1431</v>
      </c>
      <c r="E319" s="144" t="s">
        <v>574</v>
      </c>
      <c r="F319" s="139" t="s">
        <v>88</v>
      </c>
      <c r="G319" s="144" t="s">
        <v>1816</v>
      </c>
      <c r="H319" s="146" t="s">
        <v>26</v>
      </c>
      <c r="I319" s="144" t="s">
        <v>1436</v>
      </c>
    </row>
    <row r="320" spans="1:9" ht="14.1">
      <c r="A320" s="193">
        <v>45601</v>
      </c>
      <c r="B320" s="145" t="s">
        <v>833</v>
      </c>
      <c r="C320" s="150">
        <v>2024</v>
      </c>
      <c r="D320" s="201" t="s">
        <v>1431</v>
      </c>
      <c r="E320" s="144" t="s">
        <v>1449</v>
      </c>
      <c r="F320" s="139" t="s">
        <v>88</v>
      </c>
      <c r="G320" s="144" t="s">
        <v>1817</v>
      </c>
      <c r="H320" s="146" t="s">
        <v>26</v>
      </c>
      <c r="I320" s="144" t="s">
        <v>1436</v>
      </c>
    </row>
    <row r="321" spans="1:9" ht="14.1">
      <c r="A321" s="193">
        <v>45601</v>
      </c>
      <c r="B321" s="145" t="s">
        <v>833</v>
      </c>
      <c r="C321" s="150">
        <v>2024</v>
      </c>
      <c r="D321" s="201" t="s">
        <v>1431</v>
      </c>
      <c r="E321" s="144" t="s">
        <v>1436</v>
      </c>
      <c r="F321" s="139" t="s">
        <v>88</v>
      </c>
      <c r="G321" s="144" t="s">
        <v>1818</v>
      </c>
      <c r="H321" s="146" t="s">
        <v>26</v>
      </c>
      <c r="I321" s="144" t="s">
        <v>1436</v>
      </c>
    </row>
    <row r="322" spans="1:9" ht="25.5">
      <c r="A322" s="193">
        <v>45601</v>
      </c>
      <c r="B322" s="145" t="s">
        <v>833</v>
      </c>
      <c r="C322" s="150">
        <v>2024</v>
      </c>
      <c r="D322" s="201" t="s">
        <v>1431</v>
      </c>
      <c r="E322" s="144" t="s">
        <v>1506</v>
      </c>
      <c r="F322" s="139" t="s">
        <v>88</v>
      </c>
      <c r="G322" s="144" t="s">
        <v>1819</v>
      </c>
      <c r="H322" s="146" t="s">
        <v>26</v>
      </c>
      <c r="I322" s="144" t="s">
        <v>1436</v>
      </c>
    </row>
    <row r="323" spans="1:9" ht="25.5">
      <c r="A323" s="193">
        <v>45601</v>
      </c>
      <c r="B323" s="145" t="s">
        <v>833</v>
      </c>
      <c r="C323" s="150">
        <v>2024</v>
      </c>
      <c r="D323" s="201" t="s">
        <v>1431</v>
      </c>
      <c r="E323" s="144" t="s">
        <v>1584</v>
      </c>
      <c r="F323" s="141" t="s">
        <v>821</v>
      </c>
      <c r="G323" s="144" t="s">
        <v>1820</v>
      </c>
      <c r="H323" s="146" t="s">
        <v>26</v>
      </c>
      <c r="I323" s="144" t="s">
        <v>1436</v>
      </c>
    </row>
    <row r="324" spans="1:9" ht="25.5">
      <c r="A324" s="193">
        <v>45602</v>
      </c>
      <c r="B324" s="145" t="s">
        <v>833</v>
      </c>
      <c r="C324" s="150">
        <v>2024</v>
      </c>
      <c r="D324" s="201" t="s">
        <v>1431</v>
      </c>
      <c r="E324" s="144" t="s">
        <v>1518</v>
      </c>
      <c r="F324" s="139" t="s">
        <v>88</v>
      </c>
      <c r="G324" s="144" t="s">
        <v>1821</v>
      </c>
      <c r="H324" s="146" t="s">
        <v>26</v>
      </c>
      <c r="I324" s="144" t="s">
        <v>1436</v>
      </c>
    </row>
    <row r="325" spans="1:9" ht="25.5">
      <c r="A325" s="193">
        <v>45602</v>
      </c>
      <c r="B325" s="145" t="s">
        <v>833</v>
      </c>
      <c r="C325" s="150">
        <v>2024</v>
      </c>
      <c r="D325" s="201" t="s">
        <v>1431</v>
      </c>
      <c r="E325" s="144" t="s">
        <v>1518</v>
      </c>
      <c r="F325" s="139" t="s">
        <v>88</v>
      </c>
      <c r="G325" s="144" t="s">
        <v>1822</v>
      </c>
      <c r="H325" s="146" t="s">
        <v>26</v>
      </c>
      <c r="I325" s="144" t="s">
        <v>1436</v>
      </c>
    </row>
    <row r="326" spans="1:9" ht="25.5">
      <c r="A326" s="193">
        <v>45602</v>
      </c>
      <c r="B326" s="145" t="s">
        <v>833</v>
      </c>
      <c r="C326" s="150">
        <v>2024</v>
      </c>
      <c r="D326" s="201" t="s">
        <v>1431</v>
      </c>
      <c r="E326" s="144" t="s">
        <v>216</v>
      </c>
      <c r="F326" s="141" t="s">
        <v>821</v>
      </c>
      <c r="G326" s="144" t="s">
        <v>1823</v>
      </c>
      <c r="H326" s="146" t="s">
        <v>26</v>
      </c>
      <c r="I326" s="144" t="s">
        <v>1436</v>
      </c>
    </row>
    <row r="327" spans="1:9" ht="38.1">
      <c r="A327" s="193">
        <v>45602</v>
      </c>
      <c r="B327" s="145" t="s">
        <v>833</v>
      </c>
      <c r="C327" s="150">
        <v>2024</v>
      </c>
      <c r="D327" s="201" t="s">
        <v>1431</v>
      </c>
      <c r="E327" s="144" t="s">
        <v>1436</v>
      </c>
      <c r="F327" s="139" t="s">
        <v>88</v>
      </c>
      <c r="G327" s="144" t="s">
        <v>1824</v>
      </c>
      <c r="H327" s="146" t="s">
        <v>26</v>
      </c>
      <c r="I327" s="144" t="s">
        <v>1436</v>
      </c>
    </row>
    <row r="328" spans="1:9" ht="38.1">
      <c r="A328" s="193">
        <v>45602</v>
      </c>
      <c r="B328" s="145" t="s">
        <v>833</v>
      </c>
      <c r="C328" s="150">
        <v>2024</v>
      </c>
      <c r="D328" s="201" t="s">
        <v>1431</v>
      </c>
      <c r="E328" s="144" t="s">
        <v>1449</v>
      </c>
      <c r="F328" s="139" t="s">
        <v>88</v>
      </c>
      <c r="G328" s="144" t="s">
        <v>1825</v>
      </c>
      <c r="H328" s="146" t="s">
        <v>26</v>
      </c>
      <c r="I328" s="144" t="s">
        <v>1436</v>
      </c>
    </row>
    <row r="329" spans="1:9" ht="25.5">
      <c r="A329" s="193">
        <v>45602</v>
      </c>
      <c r="B329" s="145" t="s">
        <v>833</v>
      </c>
      <c r="C329" s="150">
        <v>2024</v>
      </c>
      <c r="D329" s="201" t="s">
        <v>1431</v>
      </c>
      <c r="E329" s="144" t="s">
        <v>1449</v>
      </c>
      <c r="F329" s="139" t="s">
        <v>88</v>
      </c>
      <c r="G329" s="144" t="s">
        <v>1826</v>
      </c>
      <c r="H329" s="146" t="s">
        <v>26</v>
      </c>
      <c r="I329" s="144" t="s">
        <v>1436</v>
      </c>
    </row>
    <row r="330" spans="1:9" ht="50.45">
      <c r="A330" s="193">
        <v>45602</v>
      </c>
      <c r="B330" s="145" t="s">
        <v>833</v>
      </c>
      <c r="C330" s="150">
        <v>2024</v>
      </c>
      <c r="D330" s="201" t="s">
        <v>1431</v>
      </c>
      <c r="E330" s="144" t="s">
        <v>1560</v>
      </c>
      <c r="F330" s="147" t="s">
        <v>859</v>
      </c>
      <c r="G330" s="144" t="s">
        <v>1827</v>
      </c>
      <c r="H330" s="146" t="s">
        <v>26</v>
      </c>
      <c r="I330" s="144" t="s">
        <v>1828</v>
      </c>
    </row>
    <row r="331" spans="1:9" ht="75.599999999999994">
      <c r="A331" s="193">
        <v>45604</v>
      </c>
      <c r="B331" s="145" t="s">
        <v>833</v>
      </c>
      <c r="C331" s="150">
        <v>2024</v>
      </c>
      <c r="D331" s="201" t="s">
        <v>1431</v>
      </c>
      <c r="E331" s="144" t="s">
        <v>21</v>
      </c>
      <c r="F331" s="141" t="s">
        <v>821</v>
      </c>
      <c r="G331" s="144" t="s">
        <v>1829</v>
      </c>
      <c r="H331" s="146" t="s">
        <v>26</v>
      </c>
      <c r="I331" s="144" t="s">
        <v>1436</v>
      </c>
    </row>
    <row r="332" spans="1:9" ht="38.1">
      <c r="A332" s="193">
        <v>45604</v>
      </c>
      <c r="B332" s="145" t="s">
        <v>833</v>
      </c>
      <c r="C332" s="150">
        <v>2024</v>
      </c>
      <c r="D332" s="201" t="s">
        <v>1431</v>
      </c>
      <c r="E332" s="144" t="s">
        <v>1449</v>
      </c>
      <c r="F332" s="139" t="s">
        <v>88</v>
      </c>
      <c r="G332" s="144" t="s">
        <v>1830</v>
      </c>
      <c r="H332" s="146" t="s">
        <v>26</v>
      </c>
      <c r="I332" s="144" t="s">
        <v>1436</v>
      </c>
    </row>
    <row r="333" spans="1:9" ht="14.1">
      <c r="A333" s="193">
        <v>45604</v>
      </c>
      <c r="B333" s="145" t="s">
        <v>833</v>
      </c>
      <c r="C333" s="150">
        <v>2024</v>
      </c>
      <c r="D333" s="201" t="s">
        <v>1431</v>
      </c>
      <c r="E333" s="144" t="s">
        <v>1584</v>
      </c>
      <c r="F333" s="141" t="s">
        <v>821</v>
      </c>
      <c r="G333" s="144" t="s">
        <v>1831</v>
      </c>
      <c r="H333" s="146" t="s">
        <v>26</v>
      </c>
      <c r="I333" s="144" t="s">
        <v>1436</v>
      </c>
    </row>
    <row r="334" spans="1:9" ht="38.1">
      <c r="A334" s="193">
        <v>45607</v>
      </c>
      <c r="B334" s="145" t="s">
        <v>833</v>
      </c>
      <c r="C334" s="150">
        <v>2024</v>
      </c>
      <c r="D334" s="201" t="s">
        <v>1431</v>
      </c>
      <c r="E334" s="144" t="s">
        <v>1436</v>
      </c>
      <c r="F334" s="139" t="s">
        <v>88</v>
      </c>
      <c r="G334" s="144" t="s">
        <v>1832</v>
      </c>
      <c r="H334" s="146" t="s">
        <v>26</v>
      </c>
      <c r="I334" s="144" t="s">
        <v>1436</v>
      </c>
    </row>
    <row r="335" spans="1:9" ht="38.1">
      <c r="A335" s="193">
        <v>45607</v>
      </c>
      <c r="B335" s="145" t="s">
        <v>833</v>
      </c>
      <c r="C335" s="150">
        <v>2024</v>
      </c>
      <c r="D335" s="201" t="s">
        <v>1431</v>
      </c>
      <c r="E335" s="144" t="s">
        <v>1506</v>
      </c>
      <c r="F335" s="139" t="s">
        <v>88</v>
      </c>
      <c r="G335" s="144" t="s">
        <v>1833</v>
      </c>
      <c r="H335" s="146" t="s">
        <v>26</v>
      </c>
      <c r="I335" s="144" t="s">
        <v>1436</v>
      </c>
    </row>
    <row r="336" spans="1:9" ht="14.1">
      <c r="A336" s="193">
        <v>45607</v>
      </c>
      <c r="B336" s="145" t="s">
        <v>833</v>
      </c>
      <c r="C336" s="150">
        <v>2024</v>
      </c>
      <c r="D336" s="201" t="s">
        <v>1431</v>
      </c>
      <c r="E336" s="144" t="s">
        <v>1436</v>
      </c>
      <c r="F336" s="139" t="s">
        <v>88</v>
      </c>
      <c r="G336" s="144" t="s">
        <v>1834</v>
      </c>
      <c r="H336" s="146" t="s">
        <v>26</v>
      </c>
      <c r="I336" s="144" t="s">
        <v>1436</v>
      </c>
    </row>
    <row r="337" spans="1:9" ht="25.5">
      <c r="A337" s="193">
        <v>45607</v>
      </c>
      <c r="B337" s="145" t="s">
        <v>833</v>
      </c>
      <c r="C337" s="150">
        <v>2024</v>
      </c>
      <c r="D337" s="201" t="s">
        <v>1431</v>
      </c>
      <c r="E337" s="144" t="s">
        <v>21</v>
      </c>
      <c r="F337" s="139" t="s">
        <v>88</v>
      </c>
      <c r="G337" s="144" t="s">
        <v>1835</v>
      </c>
      <c r="H337" s="146" t="s">
        <v>26</v>
      </c>
      <c r="I337" s="144" t="s">
        <v>1436</v>
      </c>
    </row>
    <row r="338" spans="1:9" ht="25.5">
      <c r="A338" s="193">
        <v>45607</v>
      </c>
      <c r="B338" s="145" t="s">
        <v>833</v>
      </c>
      <c r="C338" s="150">
        <v>2024</v>
      </c>
      <c r="D338" s="201" t="s">
        <v>1431</v>
      </c>
      <c r="E338" s="144" t="s">
        <v>1449</v>
      </c>
      <c r="F338" s="139" t="s">
        <v>88</v>
      </c>
      <c r="G338" s="144" t="s">
        <v>1836</v>
      </c>
      <c r="H338" s="146" t="s">
        <v>26</v>
      </c>
      <c r="I338" s="144" t="s">
        <v>1436</v>
      </c>
    </row>
    <row r="339" spans="1:9" ht="14.1">
      <c r="A339" s="193">
        <v>45607</v>
      </c>
      <c r="B339" s="145" t="s">
        <v>833</v>
      </c>
      <c r="C339" s="150">
        <v>2024</v>
      </c>
      <c r="D339" s="201" t="s">
        <v>1431</v>
      </c>
      <c r="E339" s="144" t="s">
        <v>1449</v>
      </c>
      <c r="F339" s="139" t="s">
        <v>88</v>
      </c>
      <c r="G339" s="144" t="s">
        <v>1837</v>
      </c>
      <c r="H339" s="146" t="s">
        <v>26</v>
      </c>
      <c r="I339" s="144" t="s">
        <v>1436</v>
      </c>
    </row>
    <row r="340" spans="1:9" ht="38.1">
      <c r="A340" s="193">
        <v>45607</v>
      </c>
      <c r="B340" s="145" t="s">
        <v>833</v>
      </c>
      <c r="C340" s="150">
        <v>2024</v>
      </c>
      <c r="D340" s="201" t="s">
        <v>1431</v>
      </c>
      <c r="E340" s="144" t="s">
        <v>1449</v>
      </c>
      <c r="F340" s="139" t="s">
        <v>88</v>
      </c>
      <c r="G340" s="144" t="s">
        <v>1838</v>
      </c>
      <c r="H340" s="146" t="s">
        <v>26</v>
      </c>
      <c r="I340" s="144" t="s">
        <v>1436</v>
      </c>
    </row>
    <row r="341" spans="1:9" ht="38.1">
      <c r="A341" s="193">
        <v>45607</v>
      </c>
      <c r="B341" s="145" t="s">
        <v>833</v>
      </c>
      <c r="C341" s="150">
        <v>2024</v>
      </c>
      <c r="D341" s="201" t="s">
        <v>1431</v>
      </c>
      <c r="E341" s="144" t="s">
        <v>1158</v>
      </c>
      <c r="F341" s="139" t="s">
        <v>88</v>
      </c>
      <c r="G341" s="144" t="s">
        <v>1839</v>
      </c>
      <c r="H341" s="146" t="s">
        <v>26</v>
      </c>
      <c r="I341" s="144" t="s">
        <v>1436</v>
      </c>
    </row>
    <row r="342" spans="1:9" ht="38.1">
      <c r="A342" s="193">
        <v>45608</v>
      </c>
      <c r="B342" s="145" t="s">
        <v>833</v>
      </c>
      <c r="C342" s="150">
        <v>2024</v>
      </c>
      <c r="D342" s="201" t="s">
        <v>1431</v>
      </c>
      <c r="E342" s="144" t="s">
        <v>21</v>
      </c>
      <c r="F342" s="141" t="s">
        <v>821</v>
      </c>
      <c r="G342" s="144" t="s">
        <v>1840</v>
      </c>
      <c r="H342" s="146" t="s">
        <v>26</v>
      </c>
      <c r="I342" s="144" t="s">
        <v>1436</v>
      </c>
    </row>
    <row r="343" spans="1:9" ht="63">
      <c r="A343" s="193">
        <v>45608</v>
      </c>
      <c r="B343" s="145" t="s">
        <v>833</v>
      </c>
      <c r="C343" s="150">
        <v>2024</v>
      </c>
      <c r="D343" s="201" t="s">
        <v>1431</v>
      </c>
      <c r="E343" s="144" t="s">
        <v>1560</v>
      </c>
      <c r="F343" s="147" t="s">
        <v>859</v>
      </c>
      <c r="G343" s="144" t="s">
        <v>1841</v>
      </c>
      <c r="H343" s="146" t="s">
        <v>26</v>
      </c>
      <c r="I343" s="144" t="s">
        <v>1436</v>
      </c>
    </row>
    <row r="344" spans="1:9" ht="25.5">
      <c r="A344" s="193">
        <v>45608</v>
      </c>
      <c r="B344" s="145" t="s">
        <v>833</v>
      </c>
      <c r="C344" s="150">
        <v>2024</v>
      </c>
      <c r="D344" s="201" t="s">
        <v>1431</v>
      </c>
      <c r="E344" s="144" t="s">
        <v>1436</v>
      </c>
      <c r="F344" s="139" t="s">
        <v>88</v>
      </c>
      <c r="G344" s="144" t="s">
        <v>1842</v>
      </c>
      <c r="H344" s="146" t="s">
        <v>26</v>
      </c>
      <c r="I344" s="144" t="s">
        <v>1436</v>
      </c>
    </row>
    <row r="345" spans="1:9" ht="50.45">
      <c r="A345" s="193">
        <v>45608</v>
      </c>
      <c r="B345" s="145" t="s">
        <v>833</v>
      </c>
      <c r="C345" s="150">
        <v>2024</v>
      </c>
      <c r="D345" s="201" t="s">
        <v>1431</v>
      </c>
      <c r="E345" s="144" t="s">
        <v>1158</v>
      </c>
      <c r="F345" s="139" t="s">
        <v>88</v>
      </c>
      <c r="G345" s="144" t="s">
        <v>1843</v>
      </c>
      <c r="H345" s="146" t="s">
        <v>26</v>
      </c>
      <c r="I345" s="144" t="s">
        <v>1436</v>
      </c>
    </row>
    <row r="346" spans="1:9" ht="50.45">
      <c r="A346" s="193">
        <v>45608</v>
      </c>
      <c r="B346" s="145" t="s">
        <v>833</v>
      </c>
      <c r="C346" s="150">
        <v>2024</v>
      </c>
      <c r="D346" s="201" t="s">
        <v>1431</v>
      </c>
      <c r="E346" s="144" t="s">
        <v>1539</v>
      </c>
      <c r="F346" s="142" t="s">
        <v>872</v>
      </c>
      <c r="G346" s="144" t="s">
        <v>1844</v>
      </c>
      <c r="H346" s="146" t="s">
        <v>130</v>
      </c>
      <c r="I346" s="144" t="s">
        <v>1436</v>
      </c>
    </row>
    <row r="347" spans="1:9" ht="25.5">
      <c r="A347" s="193">
        <v>45608</v>
      </c>
      <c r="B347" s="145" t="s">
        <v>833</v>
      </c>
      <c r="C347" s="150">
        <v>2024</v>
      </c>
      <c r="D347" s="201" t="s">
        <v>1431</v>
      </c>
      <c r="E347" s="144" t="s">
        <v>1506</v>
      </c>
      <c r="F347" s="139" t="s">
        <v>88</v>
      </c>
      <c r="G347" s="144" t="s">
        <v>1845</v>
      </c>
      <c r="H347" s="146" t="s">
        <v>26</v>
      </c>
      <c r="I347" s="144" t="s">
        <v>1436</v>
      </c>
    </row>
    <row r="348" spans="1:9" ht="25.5">
      <c r="A348" s="193">
        <v>45609</v>
      </c>
      <c r="B348" s="145" t="s">
        <v>833</v>
      </c>
      <c r="C348" s="150">
        <v>2024</v>
      </c>
      <c r="D348" s="201" t="s">
        <v>1431</v>
      </c>
      <c r="E348" s="144" t="s">
        <v>1436</v>
      </c>
      <c r="F348" s="139" t="s">
        <v>88</v>
      </c>
      <c r="G348" s="144" t="s">
        <v>1846</v>
      </c>
      <c r="H348" s="146" t="s">
        <v>26</v>
      </c>
      <c r="I348" s="144" t="s">
        <v>1436</v>
      </c>
    </row>
    <row r="349" spans="1:9" ht="25.5">
      <c r="A349" s="193">
        <v>45609</v>
      </c>
      <c r="B349" s="145" t="s">
        <v>833</v>
      </c>
      <c r="C349" s="150">
        <v>2024</v>
      </c>
      <c r="D349" s="201" t="s">
        <v>1431</v>
      </c>
      <c r="E349" s="144" t="s">
        <v>21</v>
      </c>
      <c r="F349" s="139" t="s">
        <v>88</v>
      </c>
      <c r="G349" s="144" t="s">
        <v>1847</v>
      </c>
      <c r="H349" s="146" t="s">
        <v>26</v>
      </c>
      <c r="I349" s="144" t="s">
        <v>1436</v>
      </c>
    </row>
    <row r="350" spans="1:9" ht="14.1">
      <c r="A350" s="193">
        <v>45610</v>
      </c>
      <c r="B350" s="145" t="s">
        <v>833</v>
      </c>
      <c r="C350" s="150">
        <v>2024</v>
      </c>
      <c r="D350" s="201" t="s">
        <v>1431</v>
      </c>
      <c r="E350" s="144" t="s">
        <v>1539</v>
      </c>
      <c r="F350" s="139" t="s">
        <v>88</v>
      </c>
      <c r="G350" s="144" t="s">
        <v>1848</v>
      </c>
      <c r="H350" s="146" t="s">
        <v>26</v>
      </c>
      <c r="I350" s="144" t="s">
        <v>1436</v>
      </c>
    </row>
    <row r="351" spans="1:9" ht="25.5">
      <c r="A351" s="193">
        <v>45614</v>
      </c>
      <c r="B351" s="145" t="s">
        <v>833</v>
      </c>
      <c r="C351" s="150">
        <v>2024</v>
      </c>
      <c r="D351" s="201" t="s">
        <v>1431</v>
      </c>
      <c r="E351" s="144" t="s">
        <v>21</v>
      </c>
      <c r="F351" s="141" t="s">
        <v>821</v>
      </c>
      <c r="G351" s="144" t="s">
        <v>1849</v>
      </c>
      <c r="H351" s="146" t="s">
        <v>26</v>
      </c>
      <c r="I351" s="144" t="s">
        <v>1436</v>
      </c>
    </row>
    <row r="352" spans="1:9" ht="25.5">
      <c r="A352" s="193">
        <v>45614</v>
      </c>
      <c r="B352" s="145" t="s">
        <v>833</v>
      </c>
      <c r="C352" s="150">
        <v>2024</v>
      </c>
      <c r="D352" s="201" t="s">
        <v>1431</v>
      </c>
      <c r="E352" s="144" t="s">
        <v>1506</v>
      </c>
      <c r="F352" s="139" t="s">
        <v>88</v>
      </c>
      <c r="G352" s="144" t="s">
        <v>1850</v>
      </c>
      <c r="H352" s="146" t="s">
        <v>26</v>
      </c>
      <c r="I352" s="144" t="s">
        <v>1436</v>
      </c>
    </row>
    <row r="353" spans="1:9" ht="25.5">
      <c r="A353" s="193">
        <v>45614</v>
      </c>
      <c r="B353" s="145" t="s">
        <v>833</v>
      </c>
      <c r="C353" s="150">
        <v>2024</v>
      </c>
      <c r="D353" s="201" t="s">
        <v>1431</v>
      </c>
      <c r="E353" s="144" t="s">
        <v>1506</v>
      </c>
      <c r="F353" s="139" t="s">
        <v>88</v>
      </c>
      <c r="G353" s="144" t="s">
        <v>1851</v>
      </c>
      <c r="H353" s="146" t="s">
        <v>26</v>
      </c>
      <c r="I353" s="144" t="s">
        <v>1436</v>
      </c>
    </row>
    <row r="354" spans="1:9" ht="25.5">
      <c r="A354" s="193">
        <v>45614</v>
      </c>
      <c r="B354" s="145" t="s">
        <v>833</v>
      </c>
      <c r="C354" s="150">
        <v>2024</v>
      </c>
      <c r="D354" s="201" t="s">
        <v>1431</v>
      </c>
      <c r="E354" s="144" t="s">
        <v>1504</v>
      </c>
      <c r="F354" s="139" t="s">
        <v>88</v>
      </c>
      <c r="G354" s="144" t="s">
        <v>1852</v>
      </c>
      <c r="H354" s="146" t="s">
        <v>26</v>
      </c>
      <c r="I354" s="144" t="s">
        <v>1743</v>
      </c>
    </row>
    <row r="355" spans="1:9" ht="25.5">
      <c r="A355" s="193">
        <v>45614</v>
      </c>
      <c r="B355" s="145" t="s">
        <v>833</v>
      </c>
      <c r="C355" s="150">
        <v>2024</v>
      </c>
      <c r="D355" s="201" t="s">
        <v>1431</v>
      </c>
      <c r="E355" s="144" t="s">
        <v>1449</v>
      </c>
      <c r="F355" s="139" t="s">
        <v>88</v>
      </c>
      <c r="G355" s="144" t="s">
        <v>1853</v>
      </c>
      <c r="H355" s="146" t="s">
        <v>26</v>
      </c>
      <c r="I355" s="144" t="s">
        <v>1436</v>
      </c>
    </row>
    <row r="356" spans="1:9" ht="25.5">
      <c r="A356" s="193">
        <v>45614</v>
      </c>
      <c r="B356" s="145" t="s">
        <v>833</v>
      </c>
      <c r="C356" s="150">
        <v>2024</v>
      </c>
      <c r="D356" s="201" t="s">
        <v>1431</v>
      </c>
      <c r="E356" s="144" t="s">
        <v>1449</v>
      </c>
      <c r="F356" s="139" t="s">
        <v>88</v>
      </c>
      <c r="G356" s="144" t="s">
        <v>1854</v>
      </c>
      <c r="H356" s="146" t="s">
        <v>26</v>
      </c>
      <c r="I356" s="144" t="s">
        <v>1436</v>
      </c>
    </row>
    <row r="357" spans="1:9" ht="14.1">
      <c r="A357" s="193">
        <v>45615</v>
      </c>
      <c r="B357" s="145" t="s">
        <v>833</v>
      </c>
      <c r="C357" s="150">
        <v>2024</v>
      </c>
      <c r="D357" s="201" t="s">
        <v>1431</v>
      </c>
      <c r="E357" s="144" t="s">
        <v>1436</v>
      </c>
      <c r="F357" s="139" t="s">
        <v>88</v>
      </c>
      <c r="G357" s="144" t="s">
        <v>1855</v>
      </c>
      <c r="H357" s="146" t="s">
        <v>26</v>
      </c>
      <c r="I357" s="144" t="s">
        <v>1436</v>
      </c>
    </row>
    <row r="358" spans="1:9" ht="25.5">
      <c r="A358" s="193">
        <v>45615</v>
      </c>
      <c r="B358" s="145" t="s">
        <v>833</v>
      </c>
      <c r="C358" s="150">
        <v>2024</v>
      </c>
      <c r="D358" s="201" t="s">
        <v>1431</v>
      </c>
      <c r="E358" s="144" t="s">
        <v>1436</v>
      </c>
      <c r="F358" s="139" t="s">
        <v>88</v>
      </c>
      <c r="G358" s="144" t="s">
        <v>1856</v>
      </c>
      <c r="H358" s="146" t="s">
        <v>26</v>
      </c>
      <c r="I358" s="144" t="s">
        <v>1436</v>
      </c>
    </row>
    <row r="359" spans="1:9" ht="14.1">
      <c r="A359" s="193">
        <v>45617</v>
      </c>
      <c r="B359" s="145" t="s">
        <v>833</v>
      </c>
      <c r="C359" s="150">
        <v>2024</v>
      </c>
      <c r="D359" s="201" t="s">
        <v>1431</v>
      </c>
      <c r="E359" s="144" t="s">
        <v>21</v>
      </c>
      <c r="F359" s="141" t="s">
        <v>821</v>
      </c>
      <c r="G359" s="144" t="s">
        <v>1857</v>
      </c>
      <c r="H359" s="146" t="s">
        <v>26</v>
      </c>
      <c r="I359" s="144" t="s">
        <v>1436</v>
      </c>
    </row>
    <row r="360" spans="1:9" ht="14.1">
      <c r="A360" s="193">
        <v>45617</v>
      </c>
      <c r="B360" s="145" t="s">
        <v>833</v>
      </c>
      <c r="C360" s="150">
        <v>2024</v>
      </c>
      <c r="D360" s="201" t="s">
        <v>1431</v>
      </c>
      <c r="E360" s="144" t="s">
        <v>1518</v>
      </c>
      <c r="F360" s="139" t="s">
        <v>88</v>
      </c>
      <c r="G360" s="144" t="s">
        <v>1858</v>
      </c>
      <c r="H360" s="146" t="s">
        <v>26</v>
      </c>
      <c r="I360" s="144" t="s">
        <v>1436</v>
      </c>
    </row>
    <row r="361" spans="1:9" ht="25.5">
      <c r="A361" s="193">
        <v>45617</v>
      </c>
      <c r="B361" s="145" t="s">
        <v>833</v>
      </c>
      <c r="C361" s="150">
        <v>2024</v>
      </c>
      <c r="D361" s="201" t="s">
        <v>1431</v>
      </c>
      <c r="E361" s="144" t="s">
        <v>216</v>
      </c>
      <c r="F361" s="141" t="s">
        <v>821</v>
      </c>
      <c r="G361" s="144" t="s">
        <v>1859</v>
      </c>
      <c r="H361" s="146" t="s">
        <v>130</v>
      </c>
      <c r="I361" s="144" t="s">
        <v>1436</v>
      </c>
    </row>
    <row r="362" spans="1:9" ht="25.5">
      <c r="A362" s="193">
        <v>45617</v>
      </c>
      <c r="B362" s="145" t="s">
        <v>833</v>
      </c>
      <c r="C362" s="150">
        <v>2024</v>
      </c>
      <c r="D362" s="201" t="s">
        <v>1431</v>
      </c>
      <c r="E362" s="144" t="s">
        <v>1584</v>
      </c>
      <c r="F362" s="141" t="s">
        <v>821</v>
      </c>
      <c r="G362" s="144" t="s">
        <v>1860</v>
      </c>
      <c r="H362" s="146" t="s">
        <v>26</v>
      </c>
      <c r="I362" s="144" t="s">
        <v>1436</v>
      </c>
    </row>
    <row r="363" spans="1:9" ht="38.1">
      <c r="A363" s="193">
        <v>45617</v>
      </c>
      <c r="B363" s="145" t="s">
        <v>833</v>
      </c>
      <c r="C363" s="150">
        <v>2024</v>
      </c>
      <c r="D363" s="201" t="s">
        <v>1431</v>
      </c>
      <c r="E363" s="144" t="s">
        <v>1508</v>
      </c>
      <c r="F363" s="139" t="s">
        <v>88</v>
      </c>
      <c r="G363" s="144" t="s">
        <v>1861</v>
      </c>
      <c r="H363" s="146" t="s">
        <v>26</v>
      </c>
      <c r="I363" s="144" t="s">
        <v>1436</v>
      </c>
    </row>
    <row r="364" spans="1:9" ht="25.5">
      <c r="A364" s="193">
        <v>45617</v>
      </c>
      <c r="B364" s="145" t="s">
        <v>833</v>
      </c>
      <c r="C364" s="150">
        <v>2024</v>
      </c>
      <c r="D364" s="201" t="s">
        <v>1431</v>
      </c>
      <c r="E364" s="144" t="s">
        <v>1539</v>
      </c>
      <c r="F364" s="142" t="s">
        <v>872</v>
      </c>
      <c r="G364" s="144" t="s">
        <v>1862</v>
      </c>
      <c r="H364" s="146" t="s">
        <v>26</v>
      </c>
      <c r="I364" s="144" t="s">
        <v>1436</v>
      </c>
    </row>
    <row r="365" spans="1:9" ht="50.45">
      <c r="A365" s="193">
        <v>45618</v>
      </c>
      <c r="B365" s="145" t="s">
        <v>833</v>
      </c>
      <c r="C365" s="150">
        <v>2024</v>
      </c>
      <c r="D365" s="201" t="s">
        <v>1431</v>
      </c>
      <c r="E365" s="144" t="s">
        <v>574</v>
      </c>
      <c r="F365" s="139" t="s">
        <v>88</v>
      </c>
      <c r="G365" s="144" t="s">
        <v>1863</v>
      </c>
      <c r="H365" s="146" t="s">
        <v>26</v>
      </c>
      <c r="I365" s="144" t="s">
        <v>1436</v>
      </c>
    </row>
    <row r="366" spans="1:9" ht="14.1">
      <c r="A366" s="193">
        <v>45618</v>
      </c>
      <c r="B366" s="145" t="s">
        <v>833</v>
      </c>
      <c r="C366" s="150">
        <v>2024</v>
      </c>
      <c r="D366" s="201" t="s">
        <v>1431</v>
      </c>
      <c r="E366" s="144" t="s">
        <v>1436</v>
      </c>
      <c r="F366" s="139" t="s">
        <v>88</v>
      </c>
      <c r="G366" s="144" t="s">
        <v>1864</v>
      </c>
      <c r="H366" s="146" t="s">
        <v>26</v>
      </c>
      <c r="I366" s="144" t="s">
        <v>1436</v>
      </c>
    </row>
    <row r="367" spans="1:9" ht="25.5">
      <c r="A367" s="193">
        <v>45618</v>
      </c>
      <c r="B367" s="145" t="s">
        <v>833</v>
      </c>
      <c r="C367" s="150">
        <v>2024</v>
      </c>
      <c r="D367" s="201" t="s">
        <v>1431</v>
      </c>
      <c r="E367" s="144" t="s">
        <v>1539</v>
      </c>
      <c r="F367" s="139" t="s">
        <v>88</v>
      </c>
      <c r="G367" s="144" t="s">
        <v>1865</v>
      </c>
      <c r="H367" s="146" t="s">
        <v>26</v>
      </c>
      <c r="I367" s="144" t="s">
        <v>1436</v>
      </c>
    </row>
    <row r="368" spans="1:9" ht="25.5">
      <c r="A368" s="193">
        <v>45618</v>
      </c>
      <c r="B368" s="145" t="s">
        <v>833</v>
      </c>
      <c r="C368" s="150">
        <v>2024</v>
      </c>
      <c r="D368" s="201" t="s">
        <v>1431</v>
      </c>
      <c r="E368" s="144" t="s">
        <v>1449</v>
      </c>
      <c r="F368" s="139" t="s">
        <v>88</v>
      </c>
      <c r="G368" s="144" t="s">
        <v>1866</v>
      </c>
      <c r="H368" s="146" t="s">
        <v>26</v>
      </c>
      <c r="I368" s="144" t="s">
        <v>1436</v>
      </c>
    </row>
    <row r="369" spans="1:9" ht="25.5">
      <c r="A369" s="193">
        <v>45618</v>
      </c>
      <c r="B369" s="145" t="s">
        <v>833</v>
      </c>
      <c r="C369" s="150">
        <v>2024</v>
      </c>
      <c r="D369" s="201" t="s">
        <v>1431</v>
      </c>
      <c r="E369" s="144" t="s">
        <v>1518</v>
      </c>
      <c r="F369" s="139" t="s">
        <v>88</v>
      </c>
      <c r="G369" s="144" t="s">
        <v>1867</v>
      </c>
      <c r="H369" s="146" t="s">
        <v>26</v>
      </c>
      <c r="I369" s="144" t="s">
        <v>1436</v>
      </c>
    </row>
    <row r="370" spans="1:9" ht="25.5">
      <c r="A370" s="193">
        <v>45618</v>
      </c>
      <c r="B370" s="145" t="s">
        <v>833</v>
      </c>
      <c r="C370" s="150">
        <v>2024</v>
      </c>
      <c r="D370" s="201" t="s">
        <v>1431</v>
      </c>
      <c r="E370" s="144" t="s">
        <v>1436</v>
      </c>
      <c r="F370" s="147" t="s">
        <v>859</v>
      </c>
      <c r="G370" s="144" t="s">
        <v>1868</v>
      </c>
      <c r="H370" s="146" t="s">
        <v>26</v>
      </c>
      <c r="I370" s="144" t="s">
        <v>1436</v>
      </c>
    </row>
    <row r="371" spans="1:9" ht="14.1">
      <c r="A371" s="193">
        <v>45618</v>
      </c>
      <c r="B371" s="145" t="s">
        <v>833</v>
      </c>
      <c r="C371" s="150">
        <v>2024</v>
      </c>
      <c r="D371" s="201" t="s">
        <v>1431</v>
      </c>
      <c r="E371" s="144" t="s">
        <v>1506</v>
      </c>
      <c r="F371" s="139" t="s">
        <v>88</v>
      </c>
      <c r="G371" s="144" t="s">
        <v>1869</v>
      </c>
      <c r="H371" s="146" t="s">
        <v>130</v>
      </c>
      <c r="I371" s="144" t="s">
        <v>1436</v>
      </c>
    </row>
    <row r="372" spans="1:9" ht="38.1">
      <c r="A372" s="193">
        <v>45621</v>
      </c>
      <c r="B372" s="145" t="s">
        <v>833</v>
      </c>
      <c r="C372" s="150">
        <v>2024</v>
      </c>
      <c r="D372" s="201" t="s">
        <v>1431</v>
      </c>
      <c r="E372" s="144" t="s">
        <v>1506</v>
      </c>
      <c r="F372" s="139" t="s">
        <v>88</v>
      </c>
      <c r="G372" s="144" t="s">
        <v>1870</v>
      </c>
      <c r="H372" s="146" t="s">
        <v>26</v>
      </c>
      <c r="I372" s="144" t="s">
        <v>1436</v>
      </c>
    </row>
    <row r="373" spans="1:9" ht="25.5">
      <c r="A373" s="193">
        <v>45621</v>
      </c>
      <c r="B373" s="145" t="s">
        <v>833</v>
      </c>
      <c r="C373" s="150">
        <v>2024</v>
      </c>
      <c r="D373" s="201" t="s">
        <v>1431</v>
      </c>
      <c r="E373" s="144" t="s">
        <v>1539</v>
      </c>
      <c r="F373" s="139" t="s">
        <v>88</v>
      </c>
      <c r="G373" s="144" t="s">
        <v>1871</v>
      </c>
      <c r="H373" s="146" t="s">
        <v>26</v>
      </c>
      <c r="I373" s="144" t="s">
        <v>1436</v>
      </c>
    </row>
    <row r="374" spans="1:9" ht="25.5">
      <c r="A374" s="193">
        <v>45622</v>
      </c>
      <c r="B374" s="145" t="s">
        <v>833</v>
      </c>
      <c r="C374" s="150">
        <v>2024</v>
      </c>
      <c r="D374" s="201" t="s">
        <v>1431</v>
      </c>
      <c r="E374" s="144" t="s">
        <v>1584</v>
      </c>
      <c r="F374" s="141" t="s">
        <v>821</v>
      </c>
      <c r="G374" s="144" t="s">
        <v>1872</v>
      </c>
      <c r="H374" s="146" t="s">
        <v>26</v>
      </c>
      <c r="I374" s="144" t="s">
        <v>1436</v>
      </c>
    </row>
    <row r="375" spans="1:9" ht="50.45">
      <c r="A375" s="193">
        <v>45622</v>
      </c>
      <c r="B375" s="145" t="s">
        <v>833</v>
      </c>
      <c r="C375" s="150">
        <v>2024</v>
      </c>
      <c r="D375" s="201" t="s">
        <v>1431</v>
      </c>
      <c r="E375" s="144" t="s">
        <v>1580</v>
      </c>
      <c r="F375" s="139" t="s">
        <v>88</v>
      </c>
      <c r="G375" s="144" t="s">
        <v>1873</v>
      </c>
      <c r="H375" s="146" t="s">
        <v>26</v>
      </c>
      <c r="I375" s="144" t="s">
        <v>1436</v>
      </c>
    </row>
    <row r="376" spans="1:9" ht="14.1">
      <c r="A376" s="193">
        <v>45622</v>
      </c>
      <c r="B376" s="145" t="s">
        <v>833</v>
      </c>
      <c r="C376" s="150">
        <v>2024</v>
      </c>
      <c r="D376" s="201" t="s">
        <v>1431</v>
      </c>
      <c r="E376" s="144" t="s">
        <v>1506</v>
      </c>
      <c r="F376" s="139" t="s">
        <v>88</v>
      </c>
      <c r="G376" s="144" t="s">
        <v>1874</v>
      </c>
      <c r="H376" s="146" t="s">
        <v>26</v>
      </c>
      <c r="I376" s="144" t="s">
        <v>1436</v>
      </c>
    </row>
    <row r="377" spans="1:9" ht="38.1">
      <c r="A377" s="193">
        <v>45623</v>
      </c>
      <c r="B377" s="145" t="s">
        <v>833</v>
      </c>
      <c r="C377" s="150">
        <v>2024</v>
      </c>
      <c r="D377" s="201" t="s">
        <v>1431</v>
      </c>
      <c r="E377" s="144" t="s">
        <v>1436</v>
      </c>
      <c r="F377" s="139" t="s">
        <v>88</v>
      </c>
      <c r="G377" s="144" t="s">
        <v>1875</v>
      </c>
      <c r="H377" s="146" t="s">
        <v>26</v>
      </c>
      <c r="I377" s="144" t="s">
        <v>1436</v>
      </c>
    </row>
    <row r="378" spans="1:9" ht="25.5">
      <c r="A378" s="193">
        <v>45623</v>
      </c>
      <c r="B378" s="145" t="s">
        <v>833</v>
      </c>
      <c r="C378" s="150">
        <v>2024</v>
      </c>
      <c r="D378" s="201" t="s">
        <v>1431</v>
      </c>
      <c r="E378" s="144" t="s">
        <v>1436</v>
      </c>
      <c r="F378" s="139" t="s">
        <v>88</v>
      </c>
      <c r="G378" s="144" t="s">
        <v>1876</v>
      </c>
      <c r="H378" s="146" t="s">
        <v>26</v>
      </c>
      <c r="I378" s="144" t="s">
        <v>1436</v>
      </c>
    </row>
    <row r="379" spans="1:9" ht="14.1">
      <c r="A379" s="193">
        <v>45623</v>
      </c>
      <c r="B379" s="145" t="s">
        <v>833</v>
      </c>
      <c r="C379" s="150">
        <v>2024</v>
      </c>
      <c r="D379" s="201" t="s">
        <v>1431</v>
      </c>
      <c r="E379" s="144" t="s">
        <v>1449</v>
      </c>
      <c r="F379" s="139" t="s">
        <v>88</v>
      </c>
      <c r="G379" s="144" t="s">
        <v>1877</v>
      </c>
      <c r="H379" s="146" t="s">
        <v>26</v>
      </c>
      <c r="I379" s="144" t="s">
        <v>1436</v>
      </c>
    </row>
    <row r="380" spans="1:9" ht="14.1">
      <c r="A380" s="193">
        <v>45623</v>
      </c>
      <c r="B380" s="145" t="s">
        <v>833</v>
      </c>
      <c r="C380" s="150">
        <v>2024</v>
      </c>
      <c r="D380" s="201" t="s">
        <v>1431</v>
      </c>
      <c r="E380" s="144" t="s">
        <v>1436</v>
      </c>
      <c r="F380" s="139" t="s">
        <v>88</v>
      </c>
      <c r="G380" s="144" t="s">
        <v>1878</v>
      </c>
      <c r="H380" s="146" t="s">
        <v>26</v>
      </c>
      <c r="I380" s="144" t="s">
        <v>1436</v>
      </c>
    </row>
    <row r="381" spans="1:9" ht="25.5">
      <c r="A381" s="193">
        <v>45623</v>
      </c>
      <c r="B381" s="145" t="s">
        <v>833</v>
      </c>
      <c r="C381" s="150">
        <v>2024</v>
      </c>
      <c r="D381" s="201" t="s">
        <v>1431</v>
      </c>
      <c r="E381" s="144" t="s">
        <v>1436</v>
      </c>
      <c r="F381" s="141" t="s">
        <v>821</v>
      </c>
      <c r="G381" s="144" t="s">
        <v>1879</v>
      </c>
      <c r="H381" s="146" t="s">
        <v>26</v>
      </c>
      <c r="I381" s="144" t="s">
        <v>1436</v>
      </c>
    </row>
    <row r="382" spans="1:9" ht="25.5">
      <c r="A382" s="193">
        <v>45623</v>
      </c>
      <c r="B382" s="145" t="s">
        <v>833</v>
      </c>
      <c r="C382" s="150">
        <v>2024</v>
      </c>
      <c r="D382" s="201" t="s">
        <v>1431</v>
      </c>
      <c r="E382" s="144" t="s">
        <v>1566</v>
      </c>
      <c r="F382" s="147" t="s">
        <v>859</v>
      </c>
      <c r="G382" s="144" t="s">
        <v>1880</v>
      </c>
      <c r="H382" s="146" t="s">
        <v>26</v>
      </c>
      <c r="I382" s="144" t="s">
        <v>1436</v>
      </c>
    </row>
    <row r="383" spans="1:9" ht="14.1">
      <c r="A383" s="193">
        <v>45624</v>
      </c>
      <c r="B383" s="145" t="s">
        <v>833</v>
      </c>
      <c r="C383" s="150">
        <v>2024</v>
      </c>
      <c r="D383" s="201" t="s">
        <v>1431</v>
      </c>
      <c r="E383" s="144" t="s">
        <v>1436</v>
      </c>
      <c r="F383" s="147" t="s">
        <v>859</v>
      </c>
      <c r="G383" s="144" t="s">
        <v>1881</v>
      </c>
      <c r="H383" s="146" t="s">
        <v>26</v>
      </c>
      <c r="I383" s="144" t="s">
        <v>1436</v>
      </c>
    </row>
    <row r="384" spans="1:9" ht="38.1">
      <c r="A384" s="193">
        <v>45624</v>
      </c>
      <c r="B384" s="145" t="s">
        <v>833</v>
      </c>
      <c r="C384" s="150">
        <v>2024</v>
      </c>
      <c r="D384" s="201" t="s">
        <v>1431</v>
      </c>
      <c r="E384" s="144" t="s">
        <v>1506</v>
      </c>
      <c r="F384" s="139" t="s">
        <v>88</v>
      </c>
      <c r="G384" s="144" t="s">
        <v>1882</v>
      </c>
      <c r="H384" s="146" t="s">
        <v>26</v>
      </c>
      <c r="I384" s="144" t="s">
        <v>1436</v>
      </c>
    </row>
    <row r="385" spans="1:9" ht="14.1">
      <c r="A385" s="193">
        <v>45624</v>
      </c>
      <c r="B385" s="145" t="s">
        <v>833</v>
      </c>
      <c r="C385" s="150">
        <v>2024</v>
      </c>
      <c r="D385" s="201" t="s">
        <v>1431</v>
      </c>
      <c r="E385" s="144" t="s">
        <v>216</v>
      </c>
      <c r="F385" s="141" t="s">
        <v>821</v>
      </c>
      <c r="G385" s="144" t="s">
        <v>1883</v>
      </c>
      <c r="H385" s="146" t="s">
        <v>26</v>
      </c>
      <c r="I385" s="144" t="s">
        <v>1436</v>
      </c>
    </row>
    <row r="386" spans="1:9" ht="25.5">
      <c r="A386" s="193">
        <v>45624</v>
      </c>
      <c r="B386" s="145" t="s">
        <v>833</v>
      </c>
      <c r="C386" s="150">
        <v>2024</v>
      </c>
      <c r="D386" s="201" t="s">
        <v>1431</v>
      </c>
      <c r="E386" s="144" t="s">
        <v>1584</v>
      </c>
      <c r="F386" s="141" t="s">
        <v>821</v>
      </c>
      <c r="G386" s="144" t="s">
        <v>1884</v>
      </c>
      <c r="H386" s="146" t="s">
        <v>26</v>
      </c>
      <c r="I386" s="144" t="s">
        <v>1436</v>
      </c>
    </row>
    <row r="387" spans="1:9" ht="25.5">
      <c r="A387" s="193">
        <v>45625</v>
      </c>
      <c r="B387" s="145" t="s">
        <v>833</v>
      </c>
      <c r="C387" s="150">
        <v>2024</v>
      </c>
      <c r="D387" s="201" t="s">
        <v>1431</v>
      </c>
      <c r="E387" s="144" t="s">
        <v>1449</v>
      </c>
      <c r="F387" s="139" t="s">
        <v>88</v>
      </c>
      <c r="G387" s="144" t="s">
        <v>1885</v>
      </c>
      <c r="H387" s="146" t="s">
        <v>26</v>
      </c>
      <c r="I387" s="144" t="s">
        <v>1436</v>
      </c>
    </row>
    <row r="388" spans="1:9" ht="14.1">
      <c r="A388" s="193">
        <v>45625</v>
      </c>
      <c r="B388" s="145" t="s">
        <v>833</v>
      </c>
      <c r="C388" s="150">
        <v>2024</v>
      </c>
      <c r="D388" s="201" t="s">
        <v>1431</v>
      </c>
      <c r="E388" s="144" t="s">
        <v>1436</v>
      </c>
      <c r="F388" s="139" t="s">
        <v>88</v>
      </c>
      <c r="G388" s="144" t="s">
        <v>1886</v>
      </c>
      <c r="H388" s="146" t="s">
        <v>26</v>
      </c>
      <c r="I388" s="144" t="s">
        <v>1436</v>
      </c>
    </row>
    <row r="389" spans="1:9" ht="14.1">
      <c r="A389" s="193">
        <v>45625</v>
      </c>
      <c r="B389" s="145" t="s">
        <v>833</v>
      </c>
      <c r="C389" s="150">
        <v>2024</v>
      </c>
      <c r="D389" s="201" t="s">
        <v>1431</v>
      </c>
      <c r="E389" s="144" t="s">
        <v>1449</v>
      </c>
      <c r="F389" s="139" t="s">
        <v>88</v>
      </c>
      <c r="G389" s="144" t="s">
        <v>1887</v>
      </c>
      <c r="H389" s="146" t="s">
        <v>26</v>
      </c>
      <c r="I389" s="144" t="s">
        <v>1436</v>
      </c>
    </row>
    <row r="390" spans="1:9" ht="25.5">
      <c r="A390" s="193">
        <v>45628</v>
      </c>
      <c r="B390" s="145" t="s">
        <v>834</v>
      </c>
      <c r="C390" s="150">
        <v>2024</v>
      </c>
      <c r="D390" s="201" t="s">
        <v>1431</v>
      </c>
      <c r="E390" s="144" t="s">
        <v>1506</v>
      </c>
      <c r="F390" s="139" t="s">
        <v>88</v>
      </c>
      <c r="G390" s="144" t="s">
        <v>1888</v>
      </c>
      <c r="H390" s="146" t="s">
        <v>26</v>
      </c>
      <c r="I390" s="144" t="s">
        <v>1436</v>
      </c>
    </row>
    <row r="391" spans="1:9" ht="14.1">
      <c r="A391" s="193">
        <v>45628</v>
      </c>
      <c r="B391" s="145" t="s">
        <v>834</v>
      </c>
      <c r="C391" s="150">
        <v>2024</v>
      </c>
      <c r="D391" s="201" t="s">
        <v>1431</v>
      </c>
      <c r="E391" s="144" t="s">
        <v>1449</v>
      </c>
      <c r="F391" s="139" t="s">
        <v>88</v>
      </c>
      <c r="G391" s="144" t="s">
        <v>1889</v>
      </c>
      <c r="H391" s="146" t="s">
        <v>26</v>
      </c>
      <c r="I391" s="144" t="s">
        <v>1436</v>
      </c>
    </row>
    <row r="392" spans="1:9" ht="14.1">
      <c r="A392" s="193">
        <v>45628</v>
      </c>
      <c r="B392" s="145" t="s">
        <v>834</v>
      </c>
      <c r="C392" s="150">
        <v>2024</v>
      </c>
      <c r="D392" s="201" t="s">
        <v>1431</v>
      </c>
      <c r="E392" s="144" t="s">
        <v>1518</v>
      </c>
      <c r="F392" s="139" t="s">
        <v>88</v>
      </c>
      <c r="G392" s="144" t="s">
        <v>1890</v>
      </c>
      <c r="H392" s="146" t="s">
        <v>26</v>
      </c>
      <c r="I392" s="144" t="s">
        <v>1891</v>
      </c>
    </row>
    <row r="393" spans="1:9" ht="25.5">
      <c r="A393" s="193">
        <v>45628</v>
      </c>
      <c r="B393" s="145" t="s">
        <v>834</v>
      </c>
      <c r="C393" s="150">
        <v>2024</v>
      </c>
      <c r="D393" s="201" t="s">
        <v>1431</v>
      </c>
      <c r="E393" s="144" t="s">
        <v>1518</v>
      </c>
      <c r="F393" s="139" t="s">
        <v>88</v>
      </c>
      <c r="G393" s="144" t="s">
        <v>1892</v>
      </c>
      <c r="H393" s="146" t="s">
        <v>26</v>
      </c>
      <c r="I393" s="144" t="s">
        <v>1891</v>
      </c>
    </row>
    <row r="394" spans="1:9" ht="14.1">
      <c r="A394" s="193">
        <v>45628</v>
      </c>
      <c r="B394" s="145" t="s">
        <v>834</v>
      </c>
      <c r="C394" s="150">
        <v>2024</v>
      </c>
      <c r="D394" s="201" t="s">
        <v>1431</v>
      </c>
      <c r="E394" s="144" t="s">
        <v>1449</v>
      </c>
      <c r="F394" s="139" t="s">
        <v>88</v>
      </c>
      <c r="G394" s="144" t="s">
        <v>1893</v>
      </c>
      <c r="H394" s="146" t="s">
        <v>26</v>
      </c>
      <c r="I394" s="144" t="s">
        <v>1436</v>
      </c>
    </row>
    <row r="395" spans="1:9" ht="25.5">
      <c r="A395" s="193">
        <v>45628</v>
      </c>
      <c r="B395" s="145" t="s">
        <v>834</v>
      </c>
      <c r="C395" s="150">
        <v>2024</v>
      </c>
      <c r="D395" s="201" t="s">
        <v>1431</v>
      </c>
      <c r="E395" s="144" t="s">
        <v>1449</v>
      </c>
      <c r="F395" s="139" t="s">
        <v>88</v>
      </c>
      <c r="G395" s="144" t="s">
        <v>1894</v>
      </c>
      <c r="H395" s="146" t="s">
        <v>26</v>
      </c>
      <c r="I395" s="144" t="s">
        <v>1436</v>
      </c>
    </row>
    <row r="396" spans="1:9" ht="25.5">
      <c r="A396" s="193">
        <v>45628</v>
      </c>
      <c r="B396" s="145" t="s">
        <v>834</v>
      </c>
      <c r="C396" s="150">
        <v>2024</v>
      </c>
      <c r="D396" s="201" t="s">
        <v>1431</v>
      </c>
      <c r="E396" s="144" t="s">
        <v>1449</v>
      </c>
      <c r="F396" s="139" t="s">
        <v>88</v>
      </c>
      <c r="G396" s="144" t="s">
        <v>1895</v>
      </c>
      <c r="H396" s="146" t="s">
        <v>26</v>
      </c>
      <c r="I396" s="144" t="s">
        <v>1436</v>
      </c>
    </row>
    <row r="397" spans="1:9" ht="14.1">
      <c r="A397" s="193">
        <v>45628</v>
      </c>
      <c r="B397" s="145" t="s">
        <v>834</v>
      </c>
      <c r="C397" s="150">
        <v>2024</v>
      </c>
      <c r="D397" s="201" t="s">
        <v>1431</v>
      </c>
      <c r="E397" s="144" t="s">
        <v>1449</v>
      </c>
      <c r="F397" s="139" t="s">
        <v>88</v>
      </c>
      <c r="G397" s="144" t="s">
        <v>1896</v>
      </c>
      <c r="H397" s="146" t="s">
        <v>26</v>
      </c>
      <c r="I397" s="144" t="s">
        <v>1436</v>
      </c>
    </row>
    <row r="398" spans="1:9" ht="25.5">
      <c r="A398" s="193">
        <v>45628</v>
      </c>
      <c r="B398" s="145" t="s">
        <v>834</v>
      </c>
      <c r="C398" s="150">
        <v>2024</v>
      </c>
      <c r="D398" s="201" t="s">
        <v>1431</v>
      </c>
      <c r="E398" s="144" t="s">
        <v>1506</v>
      </c>
      <c r="F398" s="139" t="s">
        <v>88</v>
      </c>
      <c r="G398" s="144" t="s">
        <v>1897</v>
      </c>
      <c r="H398" s="146" t="s">
        <v>26</v>
      </c>
      <c r="I398" s="144" t="s">
        <v>1436</v>
      </c>
    </row>
    <row r="399" spans="1:9" ht="14.1">
      <c r="A399" s="193">
        <v>45629</v>
      </c>
      <c r="B399" s="145" t="s">
        <v>834</v>
      </c>
      <c r="C399" s="150">
        <v>2024</v>
      </c>
      <c r="D399" s="201" t="s">
        <v>1431</v>
      </c>
      <c r="E399" s="144" t="s">
        <v>21</v>
      </c>
      <c r="F399" s="141" t="s">
        <v>821</v>
      </c>
      <c r="G399" s="144" t="s">
        <v>1898</v>
      </c>
      <c r="H399" s="146" t="s">
        <v>26</v>
      </c>
      <c r="I399" s="144" t="s">
        <v>1899</v>
      </c>
    </row>
    <row r="400" spans="1:9" ht="14.1">
      <c r="A400" s="193">
        <v>45629</v>
      </c>
      <c r="B400" s="145" t="s">
        <v>834</v>
      </c>
      <c r="C400" s="150">
        <v>2024</v>
      </c>
      <c r="D400" s="201" t="s">
        <v>1431</v>
      </c>
      <c r="E400" s="144" t="s">
        <v>1518</v>
      </c>
      <c r="F400" s="139" t="s">
        <v>88</v>
      </c>
      <c r="G400" s="144" t="s">
        <v>1900</v>
      </c>
      <c r="H400" s="146" t="s">
        <v>26</v>
      </c>
      <c r="I400" s="144" t="s">
        <v>1891</v>
      </c>
    </row>
    <row r="401" spans="1:9" ht="25.5">
      <c r="A401" s="193">
        <v>45629</v>
      </c>
      <c r="B401" s="145" t="s">
        <v>834</v>
      </c>
      <c r="C401" s="150">
        <v>2024</v>
      </c>
      <c r="D401" s="201" t="s">
        <v>1431</v>
      </c>
      <c r="E401" s="144" t="s">
        <v>1584</v>
      </c>
      <c r="F401" s="139" t="s">
        <v>88</v>
      </c>
      <c r="G401" s="144" t="s">
        <v>1901</v>
      </c>
      <c r="H401" s="146" t="s">
        <v>26</v>
      </c>
      <c r="I401" s="144" t="s">
        <v>1902</v>
      </c>
    </row>
    <row r="402" spans="1:9" ht="25.5">
      <c r="A402" s="193">
        <v>45629</v>
      </c>
      <c r="B402" s="145" t="s">
        <v>834</v>
      </c>
      <c r="C402" s="150">
        <v>2024</v>
      </c>
      <c r="D402" s="201" t="s">
        <v>1431</v>
      </c>
      <c r="E402" s="144" t="s">
        <v>1506</v>
      </c>
      <c r="F402" s="139" t="s">
        <v>88</v>
      </c>
      <c r="G402" s="144" t="s">
        <v>1903</v>
      </c>
      <c r="H402" s="146" t="s">
        <v>26</v>
      </c>
      <c r="I402" s="144" t="s">
        <v>1904</v>
      </c>
    </row>
    <row r="403" spans="1:9" ht="38.1">
      <c r="A403" s="193">
        <v>45629</v>
      </c>
      <c r="B403" s="145" t="s">
        <v>834</v>
      </c>
      <c r="C403" s="150">
        <v>2024</v>
      </c>
      <c r="D403" s="201" t="s">
        <v>1431</v>
      </c>
      <c r="E403" s="144" t="s">
        <v>1158</v>
      </c>
      <c r="F403" s="139" t="s">
        <v>88</v>
      </c>
      <c r="G403" s="144" t="s">
        <v>1905</v>
      </c>
      <c r="H403" s="146" t="s">
        <v>26</v>
      </c>
      <c r="I403" s="144" t="s">
        <v>1436</v>
      </c>
    </row>
    <row r="404" spans="1:9" ht="38.1">
      <c r="A404" s="193">
        <v>45629</v>
      </c>
      <c r="B404" s="145" t="s">
        <v>834</v>
      </c>
      <c r="C404" s="150">
        <v>2024</v>
      </c>
      <c r="D404" s="201" t="s">
        <v>1431</v>
      </c>
      <c r="E404" s="144" t="s">
        <v>21</v>
      </c>
      <c r="F404" s="141" t="s">
        <v>821</v>
      </c>
      <c r="G404" s="144" t="s">
        <v>1906</v>
      </c>
      <c r="H404" s="146" t="s">
        <v>26</v>
      </c>
      <c r="I404" s="144" t="s">
        <v>1907</v>
      </c>
    </row>
    <row r="405" spans="1:9" ht="25.5">
      <c r="A405" s="193">
        <v>45630</v>
      </c>
      <c r="B405" s="145" t="s">
        <v>834</v>
      </c>
      <c r="C405" s="150">
        <v>2024</v>
      </c>
      <c r="D405" s="201" t="s">
        <v>1431</v>
      </c>
      <c r="E405" s="144" t="s">
        <v>1584</v>
      </c>
      <c r="F405" s="141" t="s">
        <v>821</v>
      </c>
      <c r="G405" s="144" t="s">
        <v>1908</v>
      </c>
      <c r="H405" s="146" t="s">
        <v>26</v>
      </c>
      <c r="I405" s="144" t="s">
        <v>1902</v>
      </c>
    </row>
    <row r="406" spans="1:9" ht="25.5">
      <c r="A406" s="193">
        <v>45630</v>
      </c>
      <c r="B406" s="145" t="s">
        <v>834</v>
      </c>
      <c r="C406" s="150">
        <v>2024</v>
      </c>
      <c r="D406" s="201" t="s">
        <v>1431</v>
      </c>
      <c r="E406" s="144" t="s">
        <v>1506</v>
      </c>
      <c r="F406" s="139" t="s">
        <v>88</v>
      </c>
      <c r="G406" s="144" t="s">
        <v>1909</v>
      </c>
      <c r="H406" s="146" t="s">
        <v>26</v>
      </c>
      <c r="I406" s="144" t="s">
        <v>1436</v>
      </c>
    </row>
    <row r="407" spans="1:9" ht="25.5">
      <c r="A407" s="193">
        <v>45630</v>
      </c>
      <c r="B407" s="145" t="s">
        <v>834</v>
      </c>
      <c r="C407" s="150">
        <v>2024</v>
      </c>
      <c r="D407" s="201" t="s">
        <v>1431</v>
      </c>
      <c r="E407" s="144" t="s">
        <v>1584</v>
      </c>
      <c r="F407" s="141" t="s">
        <v>821</v>
      </c>
      <c r="G407" s="144" t="s">
        <v>1910</v>
      </c>
      <c r="H407" s="146" t="s">
        <v>26</v>
      </c>
      <c r="I407" s="144" t="s">
        <v>1902</v>
      </c>
    </row>
    <row r="408" spans="1:9" ht="25.5">
      <c r="A408" s="193">
        <v>45630</v>
      </c>
      <c r="B408" s="145" t="s">
        <v>834</v>
      </c>
      <c r="C408" s="150">
        <v>2024</v>
      </c>
      <c r="D408" s="201" t="s">
        <v>1431</v>
      </c>
      <c r="E408" s="144" t="s">
        <v>1436</v>
      </c>
      <c r="F408" s="139" t="s">
        <v>88</v>
      </c>
      <c r="G408" s="144" t="s">
        <v>1911</v>
      </c>
      <c r="H408" s="146" t="s">
        <v>26</v>
      </c>
      <c r="I408" s="144" t="s">
        <v>1436</v>
      </c>
    </row>
    <row r="409" spans="1:9" ht="14.1">
      <c r="A409" s="193">
        <v>45630</v>
      </c>
      <c r="B409" s="145" t="s">
        <v>834</v>
      </c>
      <c r="C409" s="150">
        <v>2024</v>
      </c>
      <c r="D409" s="201" t="s">
        <v>1431</v>
      </c>
      <c r="E409" s="144" t="s">
        <v>1449</v>
      </c>
      <c r="F409" s="139" t="s">
        <v>88</v>
      </c>
      <c r="G409" s="144" t="s">
        <v>1912</v>
      </c>
      <c r="H409" s="146" t="s">
        <v>26</v>
      </c>
      <c r="I409" s="144" t="s">
        <v>1436</v>
      </c>
    </row>
    <row r="410" spans="1:9" ht="25.5">
      <c r="A410" s="193">
        <v>45631</v>
      </c>
      <c r="B410" s="145" t="s">
        <v>834</v>
      </c>
      <c r="C410" s="150">
        <v>2024</v>
      </c>
      <c r="D410" s="201" t="s">
        <v>1431</v>
      </c>
      <c r="E410" s="144" t="s">
        <v>216</v>
      </c>
      <c r="F410" s="141" t="s">
        <v>821</v>
      </c>
      <c r="G410" s="144" t="s">
        <v>1913</v>
      </c>
      <c r="H410" s="146" t="s">
        <v>26</v>
      </c>
      <c r="I410" s="144" t="s">
        <v>492</v>
      </c>
    </row>
    <row r="411" spans="1:9" ht="25.5">
      <c r="A411" s="193">
        <v>45631</v>
      </c>
      <c r="B411" s="145" t="s">
        <v>834</v>
      </c>
      <c r="C411" s="150">
        <v>2024</v>
      </c>
      <c r="D411" s="201" t="s">
        <v>1431</v>
      </c>
      <c r="E411" s="144" t="s">
        <v>1584</v>
      </c>
      <c r="F411" s="141" t="s">
        <v>821</v>
      </c>
      <c r="G411" s="144" t="s">
        <v>1914</v>
      </c>
      <c r="H411" s="146" t="s">
        <v>26</v>
      </c>
      <c r="I411" s="144" t="s">
        <v>1902</v>
      </c>
    </row>
    <row r="412" spans="1:9" ht="25.5">
      <c r="A412" s="193">
        <v>45631</v>
      </c>
      <c r="B412" s="145" t="s">
        <v>834</v>
      </c>
      <c r="C412" s="150">
        <v>2024</v>
      </c>
      <c r="D412" s="201" t="s">
        <v>1431</v>
      </c>
      <c r="E412" s="144" t="s">
        <v>1436</v>
      </c>
      <c r="F412" s="147" t="s">
        <v>859</v>
      </c>
      <c r="G412" s="144" t="s">
        <v>1915</v>
      </c>
      <c r="H412" s="146" t="s">
        <v>26</v>
      </c>
      <c r="I412" s="144" t="s">
        <v>1916</v>
      </c>
    </row>
    <row r="413" spans="1:9" ht="25.5">
      <c r="A413" s="193">
        <v>45631</v>
      </c>
      <c r="B413" s="145" t="s">
        <v>834</v>
      </c>
      <c r="C413" s="150">
        <v>2024</v>
      </c>
      <c r="D413" s="201" t="s">
        <v>1431</v>
      </c>
      <c r="E413" s="144" t="s">
        <v>1539</v>
      </c>
      <c r="F413" s="139" t="s">
        <v>88</v>
      </c>
      <c r="G413" s="144" t="s">
        <v>1917</v>
      </c>
      <c r="H413" s="146" t="s">
        <v>26</v>
      </c>
      <c r="I413" s="144" t="s">
        <v>1436</v>
      </c>
    </row>
    <row r="414" spans="1:9" ht="14.1">
      <c r="A414" s="193">
        <v>45632</v>
      </c>
      <c r="B414" s="145" t="s">
        <v>834</v>
      </c>
      <c r="C414" s="150">
        <v>2024</v>
      </c>
      <c r="D414" s="201" t="s">
        <v>1431</v>
      </c>
      <c r="E414" s="144" t="s">
        <v>1436</v>
      </c>
      <c r="F414" s="147" t="s">
        <v>859</v>
      </c>
      <c r="G414" s="144" t="s">
        <v>1918</v>
      </c>
      <c r="H414" s="146" t="s">
        <v>26</v>
      </c>
      <c r="I414" s="144" t="s">
        <v>1436</v>
      </c>
    </row>
    <row r="415" spans="1:9" ht="25.5">
      <c r="A415" s="193">
        <v>45632</v>
      </c>
      <c r="B415" s="145" t="s">
        <v>834</v>
      </c>
      <c r="C415" s="150">
        <v>2024</v>
      </c>
      <c r="D415" s="201" t="s">
        <v>1431</v>
      </c>
      <c r="E415" s="144" t="s">
        <v>1506</v>
      </c>
      <c r="F415" s="139" t="s">
        <v>88</v>
      </c>
      <c r="G415" s="144" t="s">
        <v>1919</v>
      </c>
      <c r="H415" s="146" t="s">
        <v>26</v>
      </c>
      <c r="I415" s="144" t="s">
        <v>1436</v>
      </c>
    </row>
    <row r="416" spans="1:9" ht="38.1">
      <c r="A416" s="193">
        <v>45632</v>
      </c>
      <c r="B416" s="145" t="s">
        <v>834</v>
      </c>
      <c r="C416" s="150">
        <v>2024</v>
      </c>
      <c r="D416" s="201" t="s">
        <v>1431</v>
      </c>
      <c r="E416" s="144" t="s">
        <v>1506</v>
      </c>
      <c r="F416" s="139" t="s">
        <v>88</v>
      </c>
      <c r="G416" s="144" t="s">
        <v>1920</v>
      </c>
      <c r="H416" s="146" t="s">
        <v>26</v>
      </c>
      <c r="I416" s="144" t="s">
        <v>1436</v>
      </c>
    </row>
    <row r="417" spans="1:9" ht="25.5">
      <c r="A417" s="193">
        <v>45632</v>
      </c>
      <c r="B417" s="145" t="s">
        <v>834</v>
      </c>
      <c r="C417" s="150">
        <v>2024</v>
      </c>
      <c r="D417" s="201" t="s">
        <v>1431</v>
      </c>
      <c r="E417" s="144" t="s">
        <v>1506</v>
      </c>
      <c r="F417" s="139" t="s">
        <v>88</v>
      </c>
      <c r="G417" s="144" t="s">
        <v>1921</v>
      </c>
      <c r="H417" s="146" t="s">
        <v>26</v>
      </c>
      <c r="I417" s="144" t="s">
        <v>1436</v>
      </c>
    </row>
    <row r="418" spans="1:9" ht="14.1">
      <c r="A418" s="193">
        <v>45632</v>
      </c>
      <c r="B418" s="145" t="s">
        <v>834</v>
      </c>
      <c r="C418" s="150">
        <v>2024</v>
      </c>
      <c r="D418" s="201" t="s">
        <v>1431</v>
      </c>
      <c r="E418" s="144" t="s">
        <v>1506</v>
      </c>
      <c r="F418" s="139" t="s">
        <v>88</v>
      </c>
      <c r="G418" s="144" t="s">
        <v>1922</v>
      </c>
      <c r="H418" s="146" t="s">
        <v>26</v>
      </c>
      <c r="I418" s="144" t="s">
        <v>1436</v>
      </c>
    </row>
    <row r="419" spans="1:9" ht="25.5">
      <c r="A419" s="193">
        <v>45632</v>
      </c>
      <c r="B419" s="145" t="s">
        <v>834</v>
      </c>
      <c r="C419" s="150">
        <v>2024</v>
      </c>
      <c r="D419" s="201" t="s">
        <v>1431</v>
      </c>
      <c r="E419" s="144" t="s">
        <v>1506</v>
      </c>
      <c r="F419" s="139" t="s">
        <v>88</v>
      </c>
      <c r="G419" s="144" t="s">
        <v>1923</v>
      </c>
      <c r="H419" s="146" t="s">
        <v>26</v>
      </c>
      <c r="I419" s="144" t="s">
        <v>1436</v>
      </c>
    </row>
    <row r="420" spans="1:9" ht="25.5">
      <c r="A420" s="193">
        <v>45632</v>
      </c>
      <c r="B420" s="145" t="s">
        <v>834</v>
      </c>
      <c r="C420" s="150">
        <v>2024</v>
      </c>
      <c r="D420" s="201" t="s">
        <v>1431</v>
      </c>
      <c r="E420" s="144" t="s">
        <v>1449</v>
      </c>
      <c r="F420" s="139" t="s">
        <v>88</v>
      </c>
      <c r="G420" s="144" t="s">
        <v>1924</v>
      </c>
      <c r="H420" s="146" t="s">
        <v>26</v>
      </c>
      <c r="I420" s="144" t="s">
        <v>1436</v>
      </c>
    </row>
    <row r="421" spans="1:9" ht="50.45">
      <c r="A421" s="193">
        <v>45632</v>
      </c>
      <c r="B421" s="145" t="s">
        <v>834</v>
      </c>
      <c r="C421" s="150">
        <v>2024</v>
      </c>
      <c r="D421" s="201" t="s">
        <v>1431</v>
      </c>
      <c r="E421" s="144" t="s">
        <v>1539</v>
      </c>
      <c r="F421" s="147" t="s">
        <v>859</v>
      </c>
      <c r="G421" s="144" t="s">
        <v>1925</v>
      </c>
      <c r="H421" s="146" t="s">
        <v>26</v>
      </c>
      <c r="I421" s="144" t="s">
        <v>1436</v>
      </c>
    </row>
    <row r="422" spans="1:9" ht="38.1">
      <c r="A422" s="193">
        <v>45632</v>
      </c>
      <c r="B422" s="145" t="s">
        <v>834</v>
      </c>
      <c r="C422" s="150">
        <v>2024</v>
      </c>
      <c r="D422" s="201" t="s">
        <v>1431</v>
      </c>
      <c r="E422" s="144" t="s">
        <v>1225</v>
      </c>
      <c r="F422" s="147" t="s">
        <v>859</v>
      </c>
      <c r="G422" s="144" t="s">
        <v>1926</v>
      </c>
      <c r="H422" s="146" t="s">
        <v>26</v>
      </c>
      <c r="I422" s="144" t="s">
        <v>1436</v>
      </c>
    </row>
    <row r="423" spans="1:9" ht="14.1">
      <c r="A423" s="193">
        <v>45635</v>
      </c>
      <c r="B423" s="145" t="s">
        <v>834</v>
      </c>
      <c r="C423" s="150">
        <v>2024</v>
      </c>
      <c r="D423" s="201" t="s">
        <v>1431</v>
      </c>
      <c r="E423" s="144" t="s">
        <v>216</v>
      </c>
      <c r="F423" s="141" t="s">
        <v>821</v>
      </c>
      <c r="G423" s="144" t="s">
        <v>1927</v>
      </c>
      <c r="H423" s="146" t="s">
        <v>26</v>
      </c>
      <c r="I423" s="144" t="s">
        <v>1436</v>
      </c>
    </row>
    <row r="424" spans="1:9" ht="14.1">
      <c r="A424" s="193">
        <v>45635</v>
      </c>
      <c r="B424" s="145" t="s">
        <v>834</v>
      </c>
      <c r="C424" s="150">
        <v>2024</v>
      </c>
      <c r="D424" s="201" t="s">
        <v>1431</v>
      </c>
      <c r="E424" s="144" t="s">
        <v>1158</v>
      </c>
      <c r="F424" s="139" t="s">
        <v>88</v>
      </c>
      <c r="G424" s="144" t="s">
        <v>1928</v>
      </c>
      <c r="H424" s="146" t="s">
        <v>26</v>
      </c>
      <c r="I424" s="144" t="s">
        <v>1436</v>
      </c>
    </row>
    <row r="425" spans="1:9" ht="25.5">
      <c r="A425" s="193">
        <v>45635</v>
      </c>
      <c r="B425" s="145" t="s">
        <v>834</v>
      </c>
      <c r="C425" s="150">
        <v>2024</v>
      </c>
      <c r="D425" s="201" t="s">
        <v>1431</v>
      </c>
      <c r="E425" s="144" t="s">
        <v>1449</v>
      </c>
      <c r="F425" s="139" t="s">
        <v>88</v>
      </c>
      <c r="G425" s="144" t="s">
        <v>1929</v>
      </c>
      <c r="H425" s="146" t="s">
        <v>26</v>
      </c>
      <c r="I425" s="144" t="s">
        <v>1436</v>
      </c>
    </row>
    <row r="426" spans="1:9" ht="25.5">
      <c r="A426" s="193">
        <v>45635</v>
      </c>
      <c r="B426" s="145" t="s">
        <v>834</v>
      </c>
      <c r="C426" s="150">
        <v>2024</v>
      </c>
      <c r="D426" s="201" t="s">
        <v>1431</v>
      </c>
      <c r="E426" s="144" t="s">
        <v>1449</v>
      </c>
      <c r="F426" s="139" t="s">
        <v>88</v>
      </c>
      <c r="G426" s="144" t="s">
        <v>1930</v>
      </c>
      <c r="H426" s="146" t="s">
        <v>26</v>
      </c>
      <c r="I426" s="144" t="s">
        <v>1436</v>
      </c>
    </row>
    <row r="427" spans="1:9" ht="25.5">
      <c r="A427" s="193">
        <v>45635</v>
      </c>
      <c r="B427" s="145" t="s">
        <v>834</v>
      </c>
      <c r="C427" s="150">
        <v>2024</v>
      </c>
      <c r="D427" s="201" t="s">
        <v>1431</v>
      </c>
      <c r="E427" s="144" t="s">
        <v>1449</v>
      </c>
      <c r="F427" s="139" t="s">
        <v>88</v>
      </c>
      <c r="G427" s="144" t="s">
        <v>1931</v>
      </c>
      <c r="H427" s="146" t="s">
        <v>26</v>
      </c>
      <c r="I427" s="144" t="s">
        <v>1436</v>
      </c>
    </row>
    <row r="428" spans="1:9" ht="63">
      <c r="A428" s="193">
        <v>45635</v>
      </c>
      <c r="B428" s="145" t="s">
        <v>834</v>
      </c>
      <c r="C428" s="150">
        <v>2024</v>
      </c>
      <c r="D428" s="201" t="s">
        <v>1431</v>
      </c>
      <c r="E428" s="144" t="s">
        <v>1506</v>
      </c>
      <c r="F428" s="139" t="s">
        <v>88</v>
      </c>
      <c r="G428" s="144" t="s">
        <v>1932</v>
      </c>
      <c r="H428" s="146" t="s">
        <v>26</v>
      </c>
      <c r="I428" s="144" t="s">
        <v>1436</v>
      </c>
    </row>
    <row r="429" spans="1:9" ht="38.1">
      <c r="A429" s="193">
        <v>45635</v>
      </c>
      <c r="B429" s="145" t="s">
        <v>834</v>
      </c>
      <c r="C429" s="150">
        <v>2024</v>
      </c>
      <c r="D429" s="201" t="s">
        <v>1431</v>
      </c>
      <c r="E429" s="144" t="s">
        <v>1506</v>
      </c>
      <c r="F429" s="139" t="s">
        <v>88</v>
      </c>
      <c r="G429" s="144" t="s">
        <v>1933</v>
      </c>
      <c r="H429" s="146" t="s">
        <v>26</v>
      </c>
      <c r="I429" s="144" t="s">
        <v>1436</v>
      </c>
    </row>
    <row r="430" spans="1:9" ht="38.1">
      <c r="A430" s="193">
        <v>45635</v>
      </c>
      <c r="B430" s="145" t="s">
        <v>834</v>
      </c>
      <c r="C430" s="150">
        <v>2024</v>
      </c>
      <c r="D430" s="201" t="s">
        <v>1431</v>
      </c>
      <c r="E430" s="144" t="s">
        <v>1518</v>
      </c>
      <c r="F430" s="139" t="s">
        <v>88</v>
      </c>
      <c r="G430" s="144" t="s">
        <v>1934</v>
      </c>
      <c r="H430" s="146" t="s">
        <v>26</v>
      </c>
      <c r="I430" s="144" t="s">
        <v>1902</v>
      </c>
    </row>
    <row r="431" spans="1:9" ht="38.1">
      <c r="A431" s="193">
        <v>45635</v>
      </c>
      <c r="B431" s="145" t="s">
        <v>834</v>
      </c>
      <c r="C431" s="150">
        <v>2024</v>
      </c>
      <c r="D431" s="201" t="s">
        <v>1431</v>
      </c>
      <c r="E431" s="144" t="s">
        <v>1580</v>
      </c>
      <c r="F431" s="139" t="s">
        <v>88</v>
      </c>
      <c r="G431" s="144" t="s">
        <v>1935</v>
      </c>
      <c r="H431" s="146" t="s">
        <v>26</v>
      </c>
      <c r="I431" s="144" t="s">
        <v>1436</v>
      </c>
    </row>
    <row r="432" spans="1:9" ht="25.5">
      <c r="A432" s="193">
        <v>45636</v>
      </c>
      <c r="B432" s="145" t="s">
        <v>834</v>
      </c>
      <c r="C432" s="150">
        <v>2024</v>
      </c>
      <c r="D432" s="201" t="s">
        <v>1431</v>
      </c>
      <c r="E432" s="144" t="s">
        <v>1158</v>
      </c>
      <c r="F432" s="141" t="s">
        <v>821</v>
      </c>
      <c r="G432" s="144" t="s">
        <v>1936</v>
      </c>
      <c r="H432" s="146" t="s">
        <v>26</v>
      </c>
      <c r="I432" s="144" t="s">
        <v>1436</v>
      </c>
    </row>
    <row r="433" spans="1:9" ht="25.5">
      <c r="A433" s="193">
        <v>45636</v>
      </c>
      <c r="B433" s="145" t="s">
        <v>834</v>
      </c>
      <c r="C433" s="150">
        <v>2024</v>
      </c>
      <c r="D433" s="201" t="s">
        <v>1431</v>
      </c>
      <c r="E433" s="144" t="s">
        <v>1539</v>
      </c>
      <c r="F433" s="139" t="s">
        <v>88</v>
      </c>
      <c r="G433" s="144" t="s">
        <v>1937</v>
      </c>
      <c r="H433" s="146" t="s">
        <v>26</v>
      </c>
      <c r="I433" s="144" t="s">
        <v>1938</v>
      </c>
    </row>
    <row r="434" spans="1:9" ht="14.1">
      <c r="A434" s="193">
        <v>45636</v>
      </c>
      <c r="B434" s="145" t="s">
        <v>834</v>
      </c>
      <c r="C434" s="150">
        <v>2024</v>
      </c>
      <c r="D434" s="201" t="s">
        <v>1431</v>
      </c>
      <c r="E434" s="144" t="s">
        <v>1449</v>
      </c>
      <c r="F434" s="139" t="s">
        <v>88</v>
      </c>
      <c r="G434" s="144" t="s">
        <v>1753</v>
      </c>
      <c r="H434" s="146" t="s">
        <v>26</v>
      </c>
      <c r="I434" s="144" t="s">
        <v>1939</v>
      </c>
    </row>
    <row r="435" spans="1:9" ht="25.5">
      <c r="A435" s="193">
        <v>45637</v>
      </c>
      <c r="B435" s="145" t="s">
        <v>834</v>
      </c>
      <c r="C435" s="150">
        <v>2024</v>
      </c>
      <c r="D435" s="201" t="s">
        <v>1431</v>
      </c>
      <c r="E435" s="144" t="s">
        <v>216</v>
      </c>
      <c r="F435" s="141" t="s">
        <v>821</v>
      </c>
      <c r="G435" s="144" t="s">
        <v>1940</v>
      </c>
      <c r="H435" s="146" t="s">
        <v>26</v>
      </c>
      <c r="I435" s="144" t="s">
        <v>492</v>
      </c>
    </row>
    <row r="436" spans="1:9" ht="38.1">
      <c r="A436" s="193">
        <v>45637</v>
      </c>
      <c r="B436" s="145" t="s">
        <v>834</v>
      </c>
      <c r="C436" s="150">
        <v>2024</v>
      </c>
      <c r="D436" s="201" t="s">
        <v>1431</v>
      </c>
      <c r="E436" s="144" t="s">
        <v>1506</v>
      </c>
      <c r="F436" s="139" t="s">
        <v>88</v>
      </c>
      <c r="G436" s="144" t="s">
        <v>1941</v>
      </c>
      <c r="H436" s="146" t="s">
        <v>26</v>
      </c>
      <c r="I436" s="144" t="s">
        <v>1436</v>
      </c>
    </row>
    <row r="437" spans="1:9" ht="38.1">
      <c r="A437" s="193">
        <v>45637</v>
      </c>
      <c r="B437" s="145" t="s">
        <v>834</v>
      </c>
      <c r="C437" s="150">
        <v>2024</v>
      </c>
      <c r="D437" s="201" t="s">
        <v>1431</v>
      </c>
      <c r="E437" s="144" t="s">
        <v>1506</v>
      </c>
      <c r="F437" s="139" t="s">
        <v>88</v>
      </c>
      <c r="G437" s="144" t="s">
        <v>1942</v>
      </c>
      <c r="H437" s="146" t="s">
        <v>26</v>
      </c>
      <c r="I437" s="144" t="s">
        <v>1436</v>
      </c>
    </row>
    <row r="438" spans="1:9" ht="25.5">
      <c r="A438" s="193">
        <v>45637</v>
      </c>
      <c r="B438" s="145" t="s">
        <v>834</v>
      </c>
      <c r="C438" s="150">
        <v>2024</v>
      </c>
      <c r="D438" s="201" t="s">
        <v>1431</v>
      </c>
      <c r="E438" s="144" t="s">
        <v>1449</v>
      </c>
      <c r="F438" s="139" t="s">
        <v>88</v>
      </c>
      <c r="G438" s="144" t="s">
        <v>1943</v>
      </c>
      <c r="H438" s="146" t="s">
        <v>26</v>
      </c>
      <c r="I438" s="144" t="s">
        <v>1436</v>
      </c>
    </row>
    <row r="439" spans="1:9" ht="25.5">
      <c r="A439" s="193">
        <v>45637</v>
      </c>
      <c r="B439" s="145" t="s">
        <v>834</v>
      </c>
      <c r="C439" s="150">
        <v>2024</v>
      </c>
      <c r="D439" s="201" t="s">
        <v>1431</v>
      </c>
      <c r="E439" s="144" t="s">
        <v>1449</v>
      </c>
      <c r="F439" s="139" t="s">
        <v>88</v>
      </c>
      <c r="G439" s="144" t="s">
        <v>1944</v>
      </c>
      <c r="H439" s="146" t="s">
        <v>26</v>
      </c>
      <c r="I439" s="144" t="s">
        <v>1436</v>
      </c>
    </row>
    <row r="440" spans="1:9" ht="14.1">
      <c r="A440" s="193">
        <v>45637</v>
      </c>
      <c r="B440" s="145" t="s">
        <v>834</v>
      </c>
      <c r="C440" s="150">
        <v>2024</v>
      </c>
      <c r="D440" s="201" t="s">
        <v>1431</v>
      </c>
      <c r="E440" s="144" t="s">
        <v>1449</v>
      </c>
      <c r="F440" s="139" t="s">
        <v>88</v>
      </c>
      <c r="G440" s="144" t="s">
        <v>1945</v>
      </c>
      <c r="H440" s="146" t="s">
        <v>26</v>
      </c>
      <c r="I440" s="144" t="s">
        <v>1436</v>
      </c>
    </row>
    <row r="441" spans="1:9" ht="14.1">
      <c r="A441" s="193">
        <v>45637</v>
      </c>
      <c r="B441" s="145" t="s">
        <v>834</v>
      </c>
      <c r="C441" s="150">
        <v>2024</v>
      </c>
      <c r="D441" s="201" t="s">
        <v>1431</v>
      </c>
      <c r="E441" s="144" t="s">
        <v>1449</v>
      </c>
      <c r="F441" s="139" t="s">
        <v>88</v>
      </c>
      <c r="G441" s="144" t="s">
        <v>1946</v>
      </c>
      <c r="H441" s="146" t="s">
        <v>26</v>
      </c>
      <c r="I441" s="144" t="s">
        <v>1436</v>
      </c>
    </row>
    <row r="442" spans="1:9" ht="25.5">
      <c r="A442" s="193">
        <v>45637</v>
      </c>
      <c r="B442" s="145" t="s">
        <v>834</v>
      </c>
      <c r="C442" s="150">
        <v>2024</v>
      </c>
      <c r="D442" s="201" t="s">
        <v>1431</v>
      </c>
      <c r="E442" s="144" t="s">
        <v>1436</v>
      </c>
      <c r="F442" s="139" t="s">
        <v>88</v>
      </c>
      <c r="G442" s="144" t="s">
        <v>1947</v>
      </c>
      <c r="H442" s="146" t="s">
        <v>26</v>
      </c>
      <c r="I442" s="144" t="s">
        <v>1436</v>
      </c>
    </row>
    <row r="443" spans="1:9" ht="25.5">
      <c r="A443" s="193">
        <v>45638</v>
      </c>
      <c r="B443" s="145" t="s">
        <v>834</v>
      </c>
      <c r="C443" s="150">
        <v>2024</v>
      </c>
      <c r="D443" s="201" t="s">
        <v>1431</v>
      </c>
      <c r="E443" s="144" t="s">
        <v>1506</v>
      </c>
      <c r="F443" s="141" t="s">
        <v>821</v>
      </c>
      <c r="G443" s="144" t="s">
        <v>1948</v>
      </c>
      <c r="H443" s="146" t="s">
        <v>26</v>
      </c>
      <c r="I443" s="144" t="s">
        <v>1436</v>
      </c>
    </row>
    <row r="444" spans="1:9" ht="25.5">
      <c r="A444" s="193">
        <v>45638</v>
      </c>
      <c r="B444" s="145" t="s">
        <v>834</v>
      </c>
      <c r="C444" s="150">
        <v>2024</v>
      </c>
      <c r="D444" s="201" t="s">
        <v>1431</v>
      </c>
      <c r="E444" s="144" t="s">
        <v>1506</v>
      </c>
      <c r="F444" s="139" t="s">
        <v>88</v>
      </c>
      <c r="G444" s="144" t="s">
        <v>1949</v>
      </c>
      <c r="H444" s="146" t="s">
        <v>26</v>
      </c>
      <c r="I444" s="144" t="s">
        <v>1436</v>
      </c>
    </row>
    <row r="445" spans="1:9" ht="14.1">
      <c r="A445" s="193">
        <v>45638</v>
      </c>
      <c r="B445" s="145" t="s">
        <v>834</v>
      </c>
      <c r="C445" s="150">
        <v>2024</v>
      </c>
      <c r="D445" s="201" t="s">
        <v>1431</v>
      </c>
      <c r="E445" s="144" t="s">
        <v>574</v>
      </c>
      <c r="F445" s="139" t="s">
        <v>88</v>
      </c>
      <c r="G445" s="144" t="s">
        <v>1950</v>
      </c>
      <c r="H445" s="146" t="s">
        <v>26</v>
      </c>
      <c r="I445" s="144" t="s">
        <v>1436</v>
      </c>
    </row>
    <row r="446" spans="1:9" ht="25.5">
      <c r="A446" s="193">
        <v>45638</v>
      </c>
      <c r="B446" s="145" t="s">
        <v>834</v>
      </c>
      <c r="C446" s="150">
        <v>2024</v>
      </c>
      <c r="D446" s="201" t="s">
        <v>1431</v>
      </c>
      <c r="E446" s="144" t="s">
        <v>1436</v>
      </c>
      <c r="F446" s="139" t="s">
        <v>88</v>
      </c>
      <c r="G446" s="144" t="s">
        <v>1951</v>
      </c>
      <c r="H446" s="146" t="s">
        <v>26</v>
      </c>
      <c r="I446" s="144" t="s">
        <v>1436</v>
      </c>
    </row>
    <row r="447" spans="1:9" ht="14.1">
      <c r="A447" s="193">
        <v>45638</v>
      </c>
      <c r="B447" s="145" t="s">
        <v>834</v>
      </c>
      <c r="C447" s="150">
        <v>2024</v>
      </c>
      <c r="D447" s="201" t="s">
        <v>1431</v>
      </c>
      <c r="E447" s="144" t="s">
        <v>1506</v>
      </c>
      <c r="F447" s="139" t="s">
        <v>88</v>
      </c>
      <c r="G447" s="144" t="s">
        <v>1952</v>
      </c>
      <c r="H447" s="146" t="s">
        <v>26</v>
      </c>
      <c r="I447" s="144" t="s">
        <v>1436</v>
      </c>
    </row>
    <row r="448" spans="1:9" ht="14.1">
      <c r="A448" s="193">
        <v>45638</v>
      </c>
      <c r="B448" s="145" t="s">
        <v>834</v>
      </c>
      <c r="C448" s="150">
        <v>2024</v>
      </c>
      <c r="D448" s="201" t="s">
        <v>1431</v>
      </c>
      <c r="E448" s="144" t="s">
        <v>1584</v>
      </c>
      <c r="F448" s="141" t="s">
        <v>821</v>
      </c>
      <c r="G448" s="144" t="s">
        <v>1953</v>
      </c>
      <c r="H448" s="146" t="s">
        <v>26</v>
      </c>
      <c r="I448" s="144" t="s">
        <v>1436</v>
      </c>
    </row>
    <row r="449" spans="1:9" ht="25.5">
      <c r="A449" s="193">
        <v>45639</v>
      </c>
      <c r="B449" s="145" t="s">
        <v>834</v>
      </c>
      <c r="C449" s="150">
        <v>2024</v>
      </c>
      <c r="D449" s="201" t="s">
        <v>1431</v>
      </c>
      <c r="E449" s="144" t="s">
        <v>1506</v>
      </c>
      <c r="F449" s="139" t="s">
        <v>88</v>
      </c>
      <c r="G449" s="144" t="s">
        <v>1954</v>
      </c>
      <c r="H449" s="146" t="s">
        <v>26</v>
      </c>
      <c r="I449" s="144" t="s">
        <v>1436</v>
      </c>
    </row>
    <row r="450" spans="1:9" ht="14.1">
      <c r="A450" s="193">
        <v>45639</v>
      </c>
      <c r="B450" s="145" t="s">
        <v>834</v>
      </c>
      <c r="C450" s="150">
        <v>2024</v>
      </c>
      <c r="D450" s="201" t="s">
        <v>1431</v>
      </c>
      <c r="E450" s="144" t="s">
        <v>1518</v>
      </c>
      <c r="F450" s="139" t="s">
        <v>88</v>
      </c>
      <c r="G450" s="144" t="s">
        <v>1955</v>
      </c>
      <c r="H450" s="146" t="s">
        <v>26</v>
      </c>
      <c r="I450" s="144" t="s">
        <v>1436</v>
      </c>
    </row>
    <row r="451" spans="1:9" ht="25.5">
      <c r="A451" s="193">
        <v>45639</v>
      </c>
      <c r="B451" s="145" t="s">
        <v>834</v>
      </c>
      <c r="C451" s="150">
        <v>2024</v>
      </c>
      <c r="D451" s="201" t="s">
        <v>1431</v>
      </c>
      <c r="E451" s="144" t="s">
        <v>1584</v>
      </c>
      <c r="F451" s="141" t="s">
        <v>821</v>
      </c>
      <c r="G451" s="144" t="s">
        <v>1956</v>
      </c>
      <c r="H451" s="146" t="s">
        <v>26</v>
      </c>
      <c r="I451" s="144" t="s">
        <v>1436</v>
      </c>
    </row>
    <row r="452" spans="1:9" ht="14.1">
      <c r="A452" s="193">
        <v>45639</v>
      </c>
      <c r="B452" s="145" t="s">
        <v>834</v>
      </c>
      <c r="C452" s="150">
        <v>2024</v>
      </c>
      <c r="D452" s="201" t="s">
        <v>1431</v>
      </c>
      <c r="E452" s="144" t="s">
        <v>1449</v>
      </c>
      <c r="F452" s="139" t="s">
        <v>88</v>
      </c>
      <c r="G452" s="144" t="s">
        <v>1957</v>
      </c>
      <c r="H452" s="146" t="s">
        <v>26</v>
      </c>
      <c r="I452" s="144" t="s">
        <v>1436</v>
      </c>
    </row>
    <row r="453" spans="1:9" ht="25.5">
      <c r="A453" s="193">
        <v>45639</v>
      </c>
      <c r="B453" s="145" t="s">
        <v>834</v>
      </c>
      <c r="C453" s="150">
        <v>2024</v>
      </c>
      <c r="D453" s="201" t="s">
        <v>1431</v>
      </c>
      <c r="E453" s="144" t="s">
        <v>1449</v>
      </c>
      <c r="F453" s="139" t="s">
        <v>88</v>
      </c>
      <c r="G453" s="144" t="s">
        <v>1958</v>
      </c>
      <c r="H453" s="146" t="s">
        <v>26</v>
      </c>
      <c r="I453" s="144" t="s">
        <v>1436</v>
      </c>
    </row>
    <row r="454" spans="1:9" ht="25.5">
      <c r="A454" s="193">
        <v>45649</v>
      </c>
      <c r="B454" s="145" t="s">
        <v>834</v>
      </c>
      <c r="C454" s="150">
        <v>2024</v>
      </c>
      <c r="D454" s="201" t="s">
        <v>1431</v>
      </c>
      <c r="E454" s="144" t="s">
        <v>1508</v>
      </c>
      <c r="F454" s="139" t="s">
        <v>88</v>
      </c>
      <c r="G454" s="144" t="s">
        <v>1959</v>
      </c>
      <c r="H454" s="146" t="s">
        <v>26</v>
      </c>
      <c r="I454" s="144" t="s">
        <v>1436</v>
      </c>
    </row>
    <row r="455" spans="1:9" ht="25.5">
      <c r="A455" s="193">
        <v>45649</v>
      </c>
      <c r="B455" s="145" t="s">
        <v>834</v>
      </c>
      <c r="C455" s="150">
        <v>2024</v>
      </c>
      <c r="D455" s="201" t="s">
        <v>1431</v>
      </c>
      <c r="E455" s="144" t="s">
        <v>1436</v>
      </c>
      <c r="F455" s="139" t="s">
        <v>88</v>
      </c>
      <c r="G455" s="144" t="s">
        <v>1960</v>
      </c>
      <c r="H455" s="146" t="s">
        <v>26</v>
      </c>
      <c r="I455" s="144" t="s">
        <v>1436</v>
      </c>
    </row>
    <row r="456" spans="1:9" ht="38.1">
      <c r="A456" s="193">
        <v>45649</v>
      </c>
      <c r="B456" s="145" t="s">
        <v>834</v>
      </c>
      <c r="C456" s="150">
        <v>2024</v>
      </c>
      <c r="D456" s="201" t="s">
        <v>1431</v>
      </c>
      <c r="E456" s="144" t="s">
        <v>1566</v>
      </c>
      <c r="F456" s="139" t="s">
        <v>88</v>
      </c>
      <c r="G456" s="144" t="s">
        <v>1961</v>
      </c>
      <c r="H456" s="146" t="s">
        <v>26</v>
      </c>
      <c r="I456" s="144" t="s">
        <v>1436</v>
      </c>
    </row>
    <row r="457" spans="1:9" ht="25.5">
      <c r="A457" s="193">
        <v>45649</v>
      </c>
      <c r="B457" s="145" t="s">
        <v>834</v>
      </c>
      <c r="C457" s="150">
        <v>2024</v>
      </c>
      <c r="D457" s="201" t="s">
        <v>1431</v>
      </c>
      <c r="E457" s="144" t="s">
        <v>1449</v>
      </c>
      <c r="F457" s="139" t="s">
        <v>88</v>
      </c>
      <c r="G457" s="144" t="s">
        <v>1962</v>
      </c>
      <c r="H457" s="146" t="s">
        <v>26</v>
      </c>
      <c r="I457" s="144" t="s">
        <v>1436</v>
      </c>
    </row>
    <row r="458" spans="1:9" ht="25.5">
      <c r="A458" s="193">
        <v>45649</v>
      </c>
      <c r="B458" s="145" t="s">
        <v>834</v>
      </c>
      <c r="C458" s="150">
        <v>2024</v>
      </c>
      <c r="D458" s="201" t="s">
        <v>1431</v>
      </c>
      <c r="E458" s="144" t="s">
        <v>1449</v>
      </c>
      <c r="F458" s="139" t="s">
        <v>88</v>
      </c>
      <c r="G458" s="144" t="s">
        <v>1963</v>
      </c>
      <c r="H458" s="146" t="s">
        <v>26</v>
      </c>
      <c r="I458" s="144" t="s">
        <v>1436</v>
      </c>
    </row>
    <row r="459" spans="1:9" ht="25.5">
      <c r="A459" s="193">
        <v>45649</v>
      </c>
      <c r="B459" s="145" t="s">
        <v>834</v>
      </c>
      <c r="C459" s="150">
        <v>2024</v>
      </c>
      <c r="D459" s="201" t="s">
        <v>1431</v>
      </c>
      <c r="E459" s="144" t="s">
        <v>21</v>
      </c>
      <c r="F459" s="139" t="s">
        <v>88</v>
      </c>
      <c r="G459" s="144" t="s">
        <v>1964</v>
      </c>
      <c r="H459" s="146" t="s">
        <v>26</v>
      </c>
      <c r="I459" s="144" t="s">
        <v>1436</v>
      </c>
    </row>
    <row r="460" spans="1:9" ht="38.1">
      <c r="A460" s="193">
        <v>45650</v>
      </c>
      <c r="B460" s="145" t="s">
        <v>834</v>
      </c>
      <c r="C460" s="150">
        <v>2024</v>
      </c>
      <c r="D460" s="201" t="s">
        <v>1431</v>
      </c>
      <c r="E460" s="144" t="s">
        <v>1506</v>
      </c>
      <c r="F460" s="139" t="s">
        <v>88</v>
      </c>
      <c r="G460" s="144" t="s">
        <v>1965</v>
      </c>
      <c r="H460" s="146" t="s">
        <v>26</v>
      </c>
      <c r="I460" s="144" t="s">
        <v>1436</v>
      </c>
    </row>
    <row r="461" spans="1:9" ht="25.5">
      <c r="A461" s="193">
        <v>45650</v>
      </c>
      <c r="B461" s="145" t="s">
        <v>834</v>
      </c>
      <c r="C461" s="150">
        <v>2024</v>
      </c>
      <c r="D461" s="201" t="s">
        <v>1431</v>
      </c>
      <c r="E461" s="144" t="s">
        <v>1508</v>
      </c>
      <c r="F461" s="139" t="s">
        <v>88</v>
      </c>
      <c r="G461" s="144" t="s">
        <v>1966</v>
      </c>
      <c r="H461" s="146" t="s">
        <v>26</v>
      </c>
      <c r="I461" s="144" t="s">
        <v>1436</v>
      </c>
    </row>
    <row r="462" spans="1:9" ht="14.1">
      <c r="A462" s="193">
        <v>45650</v>
      </c>
      <c r="B462" s="145" t="s">
        <v>834</v>
      </c>
      <c r="C462" s="150">
        <v>2024</v>
      </c>
      <c r="D462" s="201" t="s">
        <v>1431</v>
      </c>
      <c r="E462" s="144" t="s">
        <v>1518</v>
      </c>
      <c r="F462" s="139" t="s">
        <v>88</v>
      </c>
      <c r="G462" s="144" t="s">
        <v>1967</v>
      </c>
      <c r="H462" s="146" t="s">
        <v>26</v>
      </c>
      <c r="I462" s="144" t="s">
        <v>1436</v>
      </c>
    </row>
    <row r="463" spans="1:9" ht="25.5">
      <c r="A463" s="193">
        <v>45652</v>
      </c>
      <c r="B463" s="145" t="s">
        <v>834</v>
      </c>
      <c r="C463" s="150">
        <v>2024</v>
      </c>
      <c r="D463" s="201" t="s">
        <v>1431</v>
      </c>
      <c r="E463" s="144" t="s">
        <v>1506</v>
      </c>
      <c r="F463" s="139" t="s">
        <v>88</v>
      </c>
      <c r="G463" s="144" t="s">
        <v>1968</v>
      </c>
      <c r="H463" s="146" t="s">
        <v>26</v>
      </c>
      <c r="I463" s="144" t="s">
        <v>1436</v>
      </c>
    </row>
    <row r="464" spans="1:9" ht="50.45">
      <c r="A464" s="193">
        <v>45653</v>
      </c>
      <c r="B464" s="145" t="s">
        <v>834</v>
      </c>
      <c r="C464" s="150">
        <v>2024</v>
      </c>
      <c r="D464" s="201" t="s">
        <v>1431</v>
      </c>
      <c r="E464" s="144" t="s">
        <v>1158</v>
      </c>
      <c r="F464" s="139" t="s">
        <v>88</v>
      </c>
      <c r="G464" s="144" t="s">
        <v>1969</v>
      </c>
      <c r="H464" s="146" t="s">
        <v>26</v>
      </c>
      <c r="I464" s="144" t="s">
        <v>1970</v>
      </c>
    </row>
    <row r="465" spans="1:9" ht="14.1">
      <c r="A465" s="193">
        <v>45656</v>
      </c>
      <c r="B465" s="145" t="s">
        <v>834</v>
      </c>
      <c r="C465" s="150">
        <v>2024</v>
      </c>
      <c r="D465" s="201" t="s">
        <v>1431</v>
      </c>
      <c r="E465" s="144" t="s">
        <v>1436</v>
      </c>
      <c r="F465" s="139" t="s">
        <v>88</v>
      </c>
      <c r="G465" s="144" t="s">
        <v>1971</v>
      </c>
      <c r="H465" s="146" t="s">
        <v>26</v>
      </c>
      <c r="I465" s="144" t="s">
        <v>1436</v>
      </c>
    </row>
    <row r="466" spans="1:9" ht="14.1">
      <c r="A466" s="193">
        <v>45656</v>
      </c>
      <c r="B466" s="145" t="s">
        <v>834</v>
      </c>
      <c r="C466" s="150">
        <v>2024</v>
      </c>
      <c r="D466" s="201" t="s">
        <v>1431</v>
      </c>
      <c r="E466" s="144" t="s">
        <v>1158</v>
      </c>
      <c r="F466" s="139" t="s">
        <v>88</v>
      </c>
      <c r="G466" s="144" t="s">
        <v>1972</v>
      </c>
      <c r="H466" s="146" t="s">
        <v>26</v>
      </c>
      <c r="I466" s="144" t="s">
        <v>1436</v>
      </c>
    </row>
    <row r="467" spans="1:9" ht="38.1">
      <c r="A467" s="193">
        <v>45656</v>
      </c>
      <c r="B467" s="145" t="s">
        <v>834</v>
      </c>
      <c r="C467" s="150">
        <v>2024</v>
      </c>
      <c r="D467" s="201" t="s">
        <v>1431</v>
      </c>
      <c r="E467" s="144" t="s">
        <v>1518</v>
      </c>
      <c r="F467" s="139" t="s">
        <v>88</v>
      </c>
      <c r="G467" s="144" t="s">
        <v>1973</v>
      </c>
      <c r="H467" s="146" t="s">
        <v>26</v>
      </c>
      <c r="I467" s="144" t="s">
        <v>1436</v>
      </c>
    </row>
    <row r="468" spans="1:9" ht="25.5">
      <c r="A468" s="193">
        <v>45656</v>
      </c>
      <c r="B468" s="145" t="s">
        <v>834</v>
      </c>
      <c r="C468" s="150">
        <v>2024</v>
      </c>
      <c r="D468" s="201" t="s">
        <v>1431</v>
      </c>
      <c r="E468" s="144" t="s">
        <v>1506</v>
      </c>
      <c r="F468" s="139" t="s">
        <v>88</v>
      </c>
      <c r="G468" s="144" t="s">
        <v>1974</v>
      </c>
      <c r="H468" s="146" t="s">
        <v>26</v>
      </c>
      <c r="I468" s="144" t="s">
        <v>1436</v>
      </c>
    </row>
    <row r="469" spans="1:9" ht="38.1">
      <c r="A469" s="193">
        <v>45656</v>
      </c>
      <c r="B469" s="145" t="s">
        <v>834</v>
      </c>
      <c r="C469" s="150">
        <v>2024</v>
      </c>
      <c r="D469" s="201" t="s">
        <v>1431</v>
      </c>
      <c r="E469" s="144" t="s">
        <v>1449</v>
      </c>
      <c r="F469" s="139" t="s">
        <v>88</v>
      </c>
      <c r="G469" s="144" t="s">
        <v>1975</v>
      </c>
      <c r="H469" s="146" t="s">
        <v>26</v>
      </c>
      <c r="I469" s="144" t="s">
        <v>1436</v>
      </c>
    </row>
    <row r="470" spans="1:9" ht="25.5">
      <c r="A470" s="193">
        <v>45657</v>
      </c>
      <c r="B470" s="145" t="s">
        <v>834</v>
      </c>
      <c r="C470" s="150">
        <v>2024</v>
      </c>
      <c r="D470" s="201" t="s">
        <v>1431</v>
      </c>
      <c r="E470" s="144" t="s">
        <v>1518</v>
      </c>
      <c r="F470" s="141" t="s">
        <v>821</v>
      </c>
      <c r="G470" s="144" t="s">
        <v>1976</v>
      </c>
      <c r="H470" s="146" t="s">
        <v>26</v>
      </c>
      <c r="I470" s="144" t="s">
        <v>1436</v>
      </c>
    </row>
    <row r="471" spans="1:9" ht="25.5">
      <c r="A471" s="193">
        <v>45657</v>
      </c>
      <c r="B471" s="145" t="s">
        <v>834</v>
      </c>
      <c r="C471" s="150">
        <v>2024</v>
      </c>
      <c r="D471" s="201" t="s">
        <v>1431</v>
      </c>
      <c r="E471" s="144" t="s">
        <v>1506</v>
      </c>
      <c r="F471" s="139" t="s">
        <v>88</v>
      </c>
      <c r="G471" s="144" t="s">
        <v>1977</v>
      </c>
      <c r="H471" s="146" t="s">
        <v>26</v>
      </c>
      <c r="I471" s="144" t="s">
        <v>1436</v>
      </c>
    </row>
    <row r="472" spans="1:9" ht="14.1">
      <c r="A472" s="193">
        <v>45657</v>
      </c>
      <c r="B472" s="145" t="s">
        <v>834</v>
      </c>
      <c r="C472" s="150">
        <v>2024</v>
      </c>
      <c r="D472" s="201" t="s">
        <v>1431</v>
      </c>
      <c r="E472" s="144" t="s">
        <v>1449</v>
      </c>
      <c r="F472" s="139" t="s">
        <v>88</v>
      </c>
      <c r="G472" s="144" t="s">
        <v>1978</v>
      </c>
      <c r="H472" s="146" t="s">
        <v>26</v>
      </c>
      <c r="I472" s="144" t="s">
        <v>1436</v>
      </c>
    </row>
    <row r="473" spans="1:9" ht="25.5">
      <c r="A473" s="193">
        <v>45657</v>
      </c>
      <c r="B473" s="145" t="s">
        <v>834</v>
      </c>
      <c r="C473" s="150">
        <v>2024</v>
      </c>
      <c r="D473" s="201" t="s">
        <v>1431</v>
      </c>
      <c r="E473" s="144" t="s">
        <v>1539</v>
      </c>
      <c r="F473" s="139" t="s">
        <v>88</v>
      </c>
      <c r="G473" s="144" t="s">
        <v>1979</v>
      </c>
      <c r="H473" s="146" t="s">
        <v>26</v>
      </c>
      <c r="I473" s="144" t="s">
        <v>1436</v>
      </c>
    </row>
    <row r="474" spans="1:9" ht="25.5">
      <c r="A474" s="193">
        <v>45657</v>
      </c>
      <c r="B474" s="145" t="s">
        <v>834</v>
      </c>
      <c r="C474" s="150">
        <v>2024</v>
      </c>
      <c r="D474" s="201" t="s">
        <v>1431</v>
      </c>
      <c r="E474" s="144" t="s">
        <v>1449</v>
      </c>
      <c r="F474" s="139" t="s">
        <v>88</v>
      </c>
      <c r="G474" s="144" t="s">
        <v>1980</v>
      </c>
      <c r="H474" s="146" t="s">
        <v>26</v>
      </c>
      <c r="I474" s="144" t="s">
        <v>1436</v>
      </c>
    </row>
    <row r="475" spans="1:9" ht="25.5">
      <c r="A475" s="193">
        <v>45659</v>
      </c>
      <c r="B475" s="145" t="s">
        <v>823</v>
      </c>
      <c r="C475" s="150">
        <v>2025</v>
      </c>
      <c r="D475" s="201" t="s">
        <v>1431</v>
      </c>
      <c r="E475" s="144" t="s">
        <v>216</v>
      </c>
      <c r="F475" s="141" t="s">
        <v>821</v>
      </c>
      <c r="G475" s="144" t="s">
        <v>1981</v>
      </c>
      <c r="H475" s="146" t="s">
        <v>26</v>
      </c>
      <c r="I475" s="144" t="s">
        <v>1938</v>
      </c>
    </row>
    <row r="476" spans="1:9" ht="25.5">
      <c r="A476" s="193">
        <v>45659</v>
      </c>
      <c r="B476" s="145" t="s">
        <v>823</v>
      </c>
      <c r="C476" s="150">
        <v>2025</v>
      </c>
      <c r="D476" s="201" t="s">
        <v>1431</v>
      </c>
      <c r="E476" s="144" t="s">
        <v>1436</v>
      </c>
      <c r="F476" s="139" t="s">
        <v>88</v>
      </c>
      <c r="G476" s="144" t="s">
        <v>1982</v>
      </c>
      <c r="H476" s="146" t="s">
        <v>26</v>
      </c>
      <c r="I476" s="144" t="s">
        <v>1436</v>
      </c>
    </row>
    <row r="477" spans="1:9" ht="25.5">
      <c r="A477" s="193">
        <v>45659</v>
      </c>
      <c r="B477" s="145" t="s">
        <v>823</v>
      </c>
      <c r="C477" s="150">
        <v>2025</v>
      </c>
      <c r="D477" s="201" t="s">
        <v>1431</v>
      </c>
      <c r="E477" s="144" t="s">
        <v>1449</v>
      </c>
      <c r="F477" s="139" t="s">
        <v>88</v>
      </c>
      <c r="G477" s="144" t="s">
        <v>1983</v>
      </c>
      <c r="H477" s="146" t="s">
        <v>26</v>
      </c>
      <c r="I477" s="144" t="s">
        <v>1436</v>
      </c>
    </row>
    <row r="478" spans="1:9" ht="50.45">
      <c r="A478" s="193">
        <v>45659</v>
      </c>
      <c r="B478" s="145" t="s">
        <v>823</v>
      </c>
      <c r="C478" s="150">
        <v>2025</v>
      </c>
      <c r="D478" s="201" t="s">
        <v>1431</v>
      </c>
      <c r="E478" s="144" t="s">
        <v>1506</v>
      </c>
      <c r="F478" s="139" t="s">
        <v>88</v>
      </c>
      <c r="G478" s="144" t="s">
        <v>1984</v>
      </c>
      <c r="H478" s="146" t="s">
        <v>26</v>
      </c>
      <c r="I478" s="144" t="s">
        <v>1436</v>
      </c>
    </row>
    <row r="479" spans="1:9" ht="25.5">
      <c r="A479" s="193">
        <v>45660</v>
      </c>
      <c r="B479" s="145" t="s">
        <v>823</v>
      </c>
      <c r="C479" s="150">
        <v>2025</v>
      </c>
      <c r="D479" s="201" t="s">
        <v>1431</v>
      </c>
      <c r="E479" s="144" t="s">
        <v>1539</v>
      </c>
      <c r="F479" s="139" t="s">
        <v>88</v>
      </c>
      <c r="G479" s="144" t="s">
        <v>1985</v>
      </c>
      <c r="H479" s="146" t="s">
        <v>26</v>
      </c>
      <c r="I479" s="144" t="s">
        <v>1436</v>
      </c>
    </row>
    <row r="480" spans="1:9" ht="75.599999999999994">
      <c r="A480" s="193">
        <v>45660</v>
      </c>
      <c r="B480" s="145" t="s">
        <v>823</v>
      </c>
      <c r="C480" s="150">
        <v>2025</v>
      </c>
      <c r="D480" s="201" t="s">
        <v>1431</v>
      </c>
      <c r="E480" s="144" t="s">
        <v>1449</v>
      </c>
      <c r="F480" s="139" t="s">
        <v>88</v>
      </c>
      <c r="G480" s="144" t="s">
        <v>1986</v>
      </c>
      <c r="H480" s="146" t="s">
        <v>26</v>
      </c>
      <c r="I480" s="144" t="s">
        <v>1436</v>
      </c>
    </row>
    <row r="481" spans="1:9" ht="25.5">
      <c r="A481" s="193">
        <v>45663</v>
      </c>
      <c r="B481" s="145" t="s">
        <v>823</v>
      </c>
      <c r="C481" s="150">
        <v>2025</v>
      </c>
      <c r="D481" s="201" t="s">
        <v>1431</v>
      </c>
      <c r="E481" s="144" t="s">
        <v>21</v>
      </c>
      <c r="F481" s="141" t="s">
        <v>821</v>
      </c>
      <c r="G481" s="144" t="s">
        <v>1987</v>
      </c>
      <c r="H481" s="146" t="s">
        <v>26</v>
      </c>
      <c r="I481" s="144" t="s">
        <v>149</v>
      </c>
    </row>
    <row r="482" spans="1:9" ht="50.45">
      <c r="A482" s="193">
        <v>45663</v>
      </c>
      <c r="B482" s="145" t="s">
        <v>823</v>
      </c>
      <c r="C482" s="150">
        <v>2025</v>
      </c>
      <c r="D482" s="201" t="s">
        <v>1431</v>
      </c>
      <c r="E482" s="144" t="s">
        <v>1506</v>
      </c>
      <c r="F482" s="139" t="s">
        <v>88</v>
      </c>
      <c r="G482" s="144" t="s">
        <v>1988</v>
      </c>
      <c r="H482" s="146" t="s">
        <v>26</v>
      </c>
      <c r="I482" s="144" t="s">
        <v>1436</v>
      </c>
    </row>
    <row r="483" spans="1:9" ht="75.599999999999994">
      <c r="A483" s="193">
        <v>45663</v>
      </c>
      <c r="B483" s="145" t="s">
        <v>823</v>
      </c>
      <c r="C483" s="150">
        <v>2025</v>
      </c>
      <c r="D483" s="201" t="s">
        <v>1431</v>
      </c>
      <c r="E483" s="144" t="s">
        <v>1506</v>
      </c>
      <c r="F483" s="139" t="s">
        <v>88</v>
      </c>
      <c r="G483" s="144" t="s">
        <v>1989</v>
      </c>
      <c r="H483" s="146" t="s">
        <v>26</v>
      </c>
      <c r="I483" s="144" t="s">
        <v>1436</v>
      </c>
    </row>
    <row r="484" spans="1:9" ht="63">
      <c r="A484" s="193">
        <v>45663</v>
      </c>
      <c r="B484" s="145" t="s">
        <v>823</v>
      </c>
      <c r="C484" s="150">
        <v>2025</v>
      </c>
      <c r="D484" s="201" t="s">
        <v>1431</v>
      </c>
      <c r="E484" s="144" t="s">
        <v>1506</v>
      </c>
      <c r="F484" s="139" t="s">
        <v>88</v>
      </c>
      <c r="G484" s="144" t="s">
        <v>1990</v>
      </c>
      <c r="H484" s="146" t="s">
        <v>26</v>
      </c>
      <c r="I484" s="144" t="s">
        <v>1436</v>
      </c>
    </row>
    <row r="485" spans="1:9" ht="113.1">
      <c r="A485" s="193">
        <v>45663</v>
      </c>
      <c r="B485" s="145" t="s">
        <v>823</v>
      </c>
      <c r="C485" s="150">
        <v>2025</v>
      </c>
      <c r="D485" s="201" t="s">
        <v>1431</v>
      </c>
      <c r="E485" s="144" t="s">
        <v>1506</v>
      </c>
      <c r="F485" s="139" t="s">
        <v>88</v>
      </c>
      <c r="G485" s="144" t="s">
        <v>1991</v>
      </c>
      <c r="H485" s="146" t="s">
        <v>26</v>
      </c>
      <c r="I485" s="144" t="s">
        <v>1436</v>
      </c>
    </row>
    <row r="486" spans="1:9" ht="75.599999999999994">
      <c r="A486" s="193">
        <v>45663</v>
      </c>
      <c r="B486" s="145" t="s">
        <v>823</v>
      </c>
      <c r="C486" s="150">
        <v>2025</v>
      </c>
      <c r="D486" s="201" t="s">
        <v>1431</v>
      </c>
      <c r="E486" s="144" t="s">
        <v>1506</v>
      </c>
      <c r="F486" s="139" t="s">
        <v>88</v>
      </c>
      <c r="G486" s="144" t="s">
        <v>1992</v>
      </c>
      <c r="H486" s="146" t="s">
        <v>26</v>
      </c>
      <c r="I486" s="144" t="s">
        <v>1436</v>
      </c>
    </row>
    <row r="487" spans="1:9" ht="87.95">
      <c r="A487" s="193">
        <v>45663</v>
      </c>
      <c r="B487" s="145" t="s">
        <v>823</v>
      </c>
      <c r="C487" s="150">
        <v>2025</v>
      </c>
      <c r="D487" s="201" t="s">
        <v>1431</v>
      </c>
      <c r="E487" s="144" t="s">
        <v>1506</v>
      </c>
      <c r="F487" s="139" t="s">
        <v>88</v>
      </c>
      <c r="G487" s="144" t="s">
        <v>1993</v>
      </c>
      <c r="H487" s="146" t="s">
        <v>26</v>
      </c>
      <c r="I487" s="144" t="s">
        <v>1436</v>
      </c>
    </row>
    <row r="488" spans="1:9" ht="63">
      <c r="A488" s="193">
        <v>45663</v>
      </c>
      <c r="B488" s="145" t="s">
        <v>823</v>
      </c>
      <c r="C488" s="150">
        <v>2025</v>
      </c>
      <c r="D488" s="201" t="s">
        <v>1431</v>
      </c>
      <c r="E488" s="144" t="s">
        <v>1506</v>
      </c>
      <c r="F488" s="139" t="s">
        <v>88</v>
      </c>
      <c r="G488" s="144" t="s">
        <v>1994</v>
      </c>
      <c r="H488" s="146" t="s">
        <v>26</v>
      </c>
      <c r="I488" s="144" t="s">
        <v>1436</v>
      </c>
    </row>
    <row r="489" spans="1:9" ht="25.5">
      <c r="A489" s="193">
        <v>45664</v>
      </c>
      <c r="B489" s="145" t="s">
        <v>823</v>
      </c>
      <c r="C489" s="150">
        <v>2025</v>
      </c>
      <c r="D489" s="201" t="s">
        <v>1431</v>
      </c>
      <c r="E489" s="144" t="s">
        <v>1436</v>
      </c>
      <c r="F489" s="141" t="s">
        <v>821</v>
      </c>
      <c r="G489" s="144" t="s">
        <v>1995</v>
      </c>
      <c r="H489" s="146" t="s">
        <v>26</v>
      </c>
      <c r="I489" s="144" t="s">
        <v>1996</v>
      </c>
    </row>
    <row r="490" spans="1:9" ht="25.5">
      <c r="A490" s="193">
        <v>45664</v>
      </c>
      <c r="B490" s="145" t="s">
        <v>823</v>
      </c>
      <c r="C490" s="150">
        <v>2025</v>
      </c>
      <c r="D490" s="201" t="s">
        <v>1431</v>
      </c>
      <c r="E490" s="144" t="s">
        <v>1436</v>
      </c>
      <c r="F490" s="139" t="s">
        <v>88</v>
      </c>
      <c r="G490" s="144" t="s">
        <v>1997</v>
      </c>
      <c r="H490" s="146" t="s">
        <v>26</v>
      </c>
      <c r="I490" s="144" t="s">
        <v>1998</v>
      </c>
    </row>
    <row r="491" spans="1:9" ht="14.1">
      <c r="A491" s="193">
        <v>45664</v>
      </c>
      <c r="B491" s="145" t="s">
        <v>823</v>
      </c>
      <c r="C491" s="150">
        <v>2025</v>
      </c>
      <c r="D491" s="201" t="s">
        <v>1431</v>
      </c>
      <c r="E491" s="144" t="s">
        <v>1449</v>
      </c>
      <c r="F491" s="139" t="s">
        <v>88</v>
      </c>
      <c r="G491" s="144" t="s">
        <v>1999</v>
      </c>
      <c r="H491" s="146" t="s">
        <v>26</v>
      </c>
      <c r="I491" s="144" t="s">
        <v>1436</v>
      </c>
    </row>
    <row r="492" spans="1:9" ht="38.1">
      <c r="A492" s="193">
        <v>45664</v>
      </c>
      <c r="B492" s="145" t="s">
        <v>823</v>
      </c>
      <c r="C492" s="150">
        <v>2025</v>
      </c>
      <c r="D492" s="201" t="s">
        <v>1431</v>
      </c>
      <c r="E492" s="144" t="s">
        <v>1449</v>
      </c>
      <c r="F492" s="139" t="s">
        <v>88</v>
      </c>
      <c r="G492" s="144" t="s">
        <v>2000</v>
      </c>
      <c r="H492" s="146" t="s">
        <v>26</v>
      </c>
      <c r="I492" s="144" t="s">
        <v>1436</v>
      </c>
    </row>
    <row r="493" spans="1:9" ht="38.1">
      <c r="A493" s="193">
        <v>45665</v>
      </c>
      <c r="B493" s="145" t="s">
        <v>823</v>
      </c>
      <c r="C493" s="150">
        <v>2025</v>
      </c>
      <c r="D493" s="201" t="s">
        <v>1431</v>
      </c>
      <c r="E493" s="144" t="s">
        <v>1584</v>
      </c>
      <c r="F493" s="139" t="s">
        <v>88</v>
      </c>
      <c r="G493" s="144" t="s">
        <v>2001</v>
      </c>
      <c r="H493" s="146" t="s">
        <v>26</v>
      </c>
      <c r="I493" s="144" t="s">
        <v>1436</v>
      </c>
    </row>
    <row r="494" spans="1:9" ht="25.5">
      <c r="A494" s="193">
        <v>45665</v>
      </c>
      <c r="B494" s="145" t="s">
        <v>823</v>
      </c>
      <c r="C494" s="150">
        <v>2025</v>
      </c>
      <c r="D494" s="201" t="s">
        <v>1431</v>
      </c>
      <c r="E494" s="144" t="s">
        <v>1449</v>
      </c>
      <c r="F494" s="139" t="s">
        <v>88</v>
      </c>
      <c r="G494" s="144" t="s">
        <v>2002</v>
      </c>
      <c r="H494" s="146" t="s">
        <v>26</v>
      </c>
      <c r="I494" s="144" t="s">
        <v>1436</v>
      </c>
    </row>
    <row r="495" spans="1:9" ht="38.1">
      <c r="A495" s="193">
        <v>45665</v>
      </c>
      <c r="B495" s="145" t="s">
        <v>823</v>
      </c>
      <c r="C495" s="150">
        <v>2025</v>
      </c>
      <c r="D495" s="201" t="s">
        <v>1431</v>
      </c>
      <c r="E495" s="144" t="s">
        <v>216</v>
      </c>
      <c r="F495" s="141" t="s">
        <v>821</v>
      </c>
      <c r="G495" s="144" t="s">
        <v>2003</v>
      </c>
      <c r="H495" s="146" t="s">
        <v>26</v>
      </c>
      <c r="I495" s="144" t="s">
        <v>2004</v>
      </c>
    </row>
    <row r="496" spans="1:9" ht="100.5">
      <c r="A496" s="193">
        <v>45665</v>
      </c>
      <c r="B496" s="145" t="s">
        <v>823</v>
      </c>
      <c r="C496" s="150">
        <v>2025</v>
      </c>
      <c r="D496" s="201" t="s">
        <v>1431</v>
      </c>
      <c r="E496" s="144" t="s">
        <v>1506</v>
      </c>
      <c r="F496" s="139" t="s">
        <v>88</v>
      </c>
      <c r="G496" s="144" t="s">
        <v>2005</v>
      </c>
      <c r="H496" s="146" t="s">
        <v>26</v>
      </c>
      <c r="I496" s="144" t="s">
        <v>1436</v>
      </c>
    </row>
    <row r="497" spans="1:9" ht="63">
      <c r="A497" s="193">
        <v>45665</v>
      </c>
      <c r="B497" s="145" t="s">
        <v>823</v>
      </c>
      <c r="C497" s="150">
        <v>2025</v>
      </c>
      <c r="D497" s="201" t="s">
        <v>1431</v>
      </c>
      <c r="E497" s="144" t="s">
        <v>1506</v>
      </c>
      <c r="F497" s="139" t="s">
        <v>88</v>
      </c>
      <c r="G497" s="144" t="s">
        <v>2006</v>
      </c>
      <c r="H497" s="146" t="s">
        <v>26</v>
      </c>
      <c r="I497" s="144" t="s">
        <v>1436</v>
      </c>
    </row>
    <row r="498" spans="1:9" ht="50.45">
      <c r="A498" s="193">
        <v>45665</v>
      </c>
      <c r="B498" s="145" t="s">
        <v>823</v>
      </c>
      <c r="C498" s="150">
        <v>2025</v>
      </c>
      <c r="D498" s="201" t="s">
        <v>1431</v>
      </c>
      <c r="E498" s="144" t="s">
        <v>1506</v>
      </c>
      <c r="F498" s="139" t="s">
        <v>88</v>
      </c>
      <c r="G498" s="144" t="s">
        <v>2007</v>
      </c>
      <c r="H498" s="146" t="s">
        <v>130</v>
      </c>
      <c r="I498" s="144" t="s">
        <v>1904</v>
      </c>
    </row>
    <row r="499" spans="1:9" ht="63">
      <c r="A499" s="193">
        <v>45665</v>
      </c>
      <c r="B499" s="145" t="s">
        <v>823</v>
      </c>
      <c r="C499" s="150">
        <v>2025</v>
      </c>
      <c r="D499" s="201" t="s">
        <v>1431</v>
      </c>
      <c r="E499" s="144" t="s">
        <v>574</v>
      </c>
      <c r="F499" s="139" t="s">
        <v>88</v>
      </c>
      <c r="G499" s="144" t="s">
        <v>2008</v>
      </c>
      <c r="H499" s="146" t="s">
        <v>26</v>
      </c>
      <c r="I499" s="144" t="s">
        <v>1436</v>
      </c>
    </row>
    <row r="500" spans="1:9" ht="25.5">
      <c r="A500" s="193">
        <v>45665</v>
      </c>
      <c r="B500" s="145" t="s">
        <v>823</v>
      </c>
      <c r="C500" s="150">
        <v>2025</v>
      </c>
      <c r="D500" s="201" t="s">
        <v>1431</v>
      </c>
      <c r="E500" s="144" t="s">
        <v>1584</v>
      </c>
      <c r="F500" s="141" t="s">
        <v>821</v>
      </c>
      <c r="G500" s="144" t="s">
        <v>2009</v>
      </c>
      <c r="H500" s="146" t="s">
        <v>26</v>
      </c>
      <c r="I500" s="144" t="s">
        <v>1996</v>
      </c>
    </row>
    <row r="501" spans="1:9" ht="50.45">
      <c r="A501" s="193">
        <v>45665</v>
      </c>
      <c r="B501" s="145" t="s">
        <v>823</v>
      </c>
      <c r="C501" s="150">
        <v>2025</v>
      </c>
      <c r="D501" s="201" t="s">
        <v>1431</v>
      </c>
      <c r="E501" s="144" t="s">
        <v>1584</v>
      </c>
      <c r="F501" s="141" t="s">
        <v>821</v>
      </c>
      <c r="G501" s="144" t="s">
        <v>2010</v>
      </c>
      <c r="H501" s="146" t="s">
        <v>26</v>
      </c>
      <c r="I501" s="144" t="s">
        <v>1996</v>
      </c>
    </row>
    <row r="502" spans="1:9" ht="14.1">
      <c r="A502" s="193">
        <v>45666</v>
      </c>
      <c r="B502" s="145" t="s">
        <v>823</v>
      </c>
      <c r="C502" s="150">
        <v>2025</v>
      </c>
      <c r="D502" s="201" t="s">
        <v>1431</v>
      </c>
      <c r="E502" s="144" t="s">
        <v>1584</v>
      </c>
      <c r="F502" s="141" t="s">
        <v>821</v>
      </c>
      <c r="G502" s="144" t="s">
        <v>2011</v>
      </c>
      <c r="H502" s="146" t="s">
        <v>26</v>
      </c>
      <c r="I502" s="144" t="s">
        <v>1996</v>
      </c>
    </row>
    <row r="503" spans="1:9" ht="25.5">
      <c r="A503" s="193">
        <v>45666</v>
      </c>
      <c r="B503" s="145" t="s">
        <v>823</v>
      </c>
      <c r="C503" s="150">
        <v>2025</v>
      </c>
      <c r="D503" s="201" t="s">
        <v>1431</v>
      </c>
      <c r="E503" s="144" t="s">
        <v>1506</v>
      </c>
      <c r="F503" s="139" t="s">
        <v>88</v>
      </c>
      <c r="G503" s="144" t="s">
        <v>2012</v>
      </c>
      <c r="H503" s="146" t="s">
        <v>26</v>
      </c>
      <c r="I503" s="144" t="s">
        <v>1436</v>
      </c>
    </row>
    <row r="504" spans="1:9" ht="14.1">
      <c r="A504" s="193">
        <v>45666</v>
      </c>
      <c r="B504" s="145" t="s">
        <v>823</v>
      </c>
      <c r="C504" s="150">
        <v>2025</v>
      </c>
      <c r="D504" s="201" t="s">
        <v>1431</v>
      </c>
      <c r="E504" s="144" t="s">
        <v>1506</v>
      </c>
      <c r="F504" s="139" t="s">
        <v>88</v>
      </c>
      <c r="G504" s="144" t="s">
        <v>2013</v>
      </c>
      <c r="H504" s="146" t="s">
        <v>26</v>
      </c>
      <c r="I504" s="144" t="s">
        <v>1436</v>
      </c>
    </row>
    <row r="505" spans="1:9" ht="25.5">
      <c r="A505" s="193">
        <v>45666</v>
      </c>
      <c r="B505" s="145" t="s">
        <v>823</v>
      </c>
      <c r="C505" s="150">
        <v>2025</v>
      </c>
      <c r="D505" s="201" t="s">
        <v>1431</v>
      </c>
      <c r="E505" s="144" t="s">
        <v>1506</v>
      </c>
      <c r="F505" s="139" t="s">
        <v>88</v>
      </c>
      <c r="G505" s="144" t="s">
        <v>2014</v>
      </c>
      <c r="H505" s="146" t="s">
        <v>26</v>
      </c>
      <c r="I505" s="144" t="s">
        <v>1436</v>
      </c>
    </row>
    <row r="506" spans="1:9" ht="25.5">
      <c r="A506" s="193">
        <v>45666</v>
      </c>
      <c r="B506" s="145" t="s">
        <v>823</v>
      </c>
      <c r="C506" s="150">
        <v>2025</v>
      </c>
      <c r="D506" s="201" t="s">
        <v>1431</v>
      </c>
      <c r="E506" s="144" t="s">
        <v>1584</v>
      </c>
      <c r="F506" s="141" t="s">
        <v>821</v>
      </c>
      <c r="G506" s="144" t="s">
        <v>2015</v>
      </c>
      <c r="H506" s="146" t="s">
        <v>26</v>
      </c>
      <c r="I506" s="144" t="s">
        <v>1996</v>
      </c>
    </row>
    <row r="507" spans="1:9" ht="25.5">
      <c r="A507" s="193">
        <v>45666</v>
      </c>
      <c r="B507" s="145" t="s">
        <v>823</v>
      </c>
      <c r="C507" s="150">
        <v>2025</v>
      </c>
      <c r="D507" s="201" t="s">
        <v>1431</v>
      </c>
      <c r="E507" s="144" t="s">
        <v>1539</v>
      </c>
      <c r="F507" s="139" t="s">
        <v>88</v>
      </c>
      <c r="G507" s="144" t="s">
        <v>2016</v>
      </c>
      <c r="H507" s="146" t="s">
        <v>26</v>
      </c>
      <c r="I507" s="144" t="s">
        <v>1436</v>
      </c>
    </row>
    <row r="508" spans="1:9" ht="14.1">
      <c r="A508" s="193">
        <v>45666</v>
      </c>
      <c r="B508" s="145" t="s">
        <v>823</v>
      </c>
      <c r="C508" s="150">
        <v>2025</v>
      </c>
      <c r="D508" s="201" t="s">
        <v>1431</v>
      </c>
      <c r="E508" s="144" t="s">
        <v>1436</v>
      </c>
      <c r="F508" s="139" t="s">
        <v>88</v>
      </c>
      <c r="G508" s="144" t="s">
        <v>2017</v>
      </c>
      <c r="H508" s="146" t="s">
        <v>26</v>
      </c>
      <c r="I508" s="144" t="s">
        <v>1436</v>
      </c>
    </row>
    <row r="509" spans="1:9" ht="25.5">
      <c r="A509" s="193">
        <v>45666</v>
      </c>
      <c r="B509" s="145" t="s">
        <v>823</v>
      </c>
      <c r="C509" s="150">
        <v>2025</v>
      </c>
      <c r="D509" s="201" t="s">
        <v>1431</v>
      </c>
      <c r="E509" s="144" t="s">
        <v>1539</v>
      </c>
      <c r="F509" s="139" t="s">
        <v>88</v>
      </c>
      <c r="G509" s="144" t="s">
        <v>2018</v>
      </c>
      <c r="H509" s="146" t="s">
        <v>26</v>
      </c>
      <c r="I509" s="144" t="s">
        <v>1436</v>
      </c>
    </row>
    <row r="510" spans="1:9" ht="38.1">
      <c r="A510" s="193">
        <v>45666</v>
      </c>
      <c r="B510" s="145" t="s">
        <v>823</v>
      </c>
      <c r="C510" s="150">
        <v>2025</v>
      </c>
      <c r="D510" s="201" t="s">
        <v>1431</v>
      </c>
      <c r="E510" s="144" t="s">
        <v>1506</v>
      </c>
      <c r="F510" s="139" t="s">
        <v>88</v>
      </c>
      <c r="G510" s="144" t="s">
        <v>2019</v>
      </c>
      <c r="H510" s="146" t="s">
        <v>26</v>
      </c>
      <c r="I510" s="144" t="s">
        <v>1436</v>
      </c>
    </row>
    <row r="511" spans="1:9" ht="25.5">
      <c r="A511" s="193">
        <v>45667</v>
      </c>
      <c r="B511" s="145" t="s">
        <v>823</v>
      </c>
      <c r="C511" s="150">
        <v>2025</v>
      </c>
      <c r="D511" s="201" t="s">
        <v>1431</v>
      </c>
      <c r="E511" s="144" t="s">
        <v>21</v>
      </c>
      <c r="F511" s="141" t="s">
        <v>821</v>
      </c>
      <c r="G511" s="144" t="s">
        <v>2020</v>
      </c>
      <c r="H511" s="146" t="s">
        <v>26</v>
      </c>
      <c r="I511" s="144" t="s">
        <v>149</v>
      </c>
    </row>
    <row r="512" spans="1:9" ht="25.5">
      <c r="A512" s="193">
        <v>45667</v>
      </c>
      <c r="B512" s="145" t="s">
        <v>823</v>
      </c>
      <c r="C512" s="150">
        <v>2025</v>
      </c>
      <c r="D512" s="201" t="s">
        <v>1431</v>
      </c>
      <c r="E512" s="144" t="s">
        <v>21</v>
      </c>
      <c r="F512" s="141" t="s">
        <v>821</v>
      </c>
      <c r="G512" s="144" t="s">
        <v>2021</v>
      </c>
      <c r="H512" s="146" t="s">
        <v>26</v>
      </c>
      <c r="I512" s="144" t="s">
        <v>149</v>
      </c>
    </row>
    <row r="513" spans="1:9" ht="25.5">
      <c r="A513" s="193">
        <v>45667</v>
      </c>
      <c r="B513" s="145" t="s">
        <v>823</v>
      </c>
      <c r="C513" s="150">
        <v>2025</v>
      </c>
      <c r="D513" s="201" t="s">
        <v>1431</v>
      </c>
      <c r="E513" s="144" t="s">
        <v>1506</v>
      </c>
      <c r="F513" s="139" t="s">
        <v>88</v>
      </c>
      <c r="G513" s="144" t="s">
        <v>2022</v>
      </c>
      <c r="H513" s="146" t="s">
        <v>26</v>
      </c>
      <c r="I513" s="144" t="s">
        <v>1436</v>
      </c>
    </row>
    <row r="514" spans="1:9" ht="25.5">
      <c r="A514" s="193">
        <v>45667</v>
      </c>
      <c r="B514" s="145" t="s">
        <v>823</v>
      </c>
      <c r="C514" s="150">
        <v>2025</v>
      </c>
      <c r="D514" s="201" t="s">
        <v>1431</v>
      </c>
      <c r="E514" s="144" t="s">
        <v>1506</v>
      </c>
      <c r="F514" s="139" t="s">
        <v>88</v>
      </c>
      <c r="G514" s="144" t="s">
        <v>2023</v>
      </c>
      <c r="H514" s="146" t="s">
        <v>26</v>
      </c>
      <c r="I514" s="144" t="s">
        <v>1436</v>
      </c>
    </row>
    <row r="515" spans="1:9" ht="25.5">
      <c r="A515" s="193">
        <v>45667</v>
      </c>
      <c r="B515" s="145" t="s">
        <v>823</v>
      </c>
      <c r="C515" s="150">
        <v>2025</v>
      </c>
      <c r="D515" s="201" t="s">
        <v>1431</v>
      </c>
      <c r="E515" s="144" t="s">
        <v>1449</v>
      </c>
      <c r="F515" s="139" t="s">
        <v>88</v>
      </c>
      <c r="G515" s="144" t="s">
        <v>2024</v>
      </c>
      <c r="H515" s="146" t="s">
        <v>26</v>
      </c>
      <c r="I515" s="144" t="s">
        <v>1436</v>
      </c>
    </row>
    <row r="516" spans="1:9" ht="25.5">
      <c r="A516" s="193">
        <v>45667</v>
      </c>
      <c r="B516" s="145" t="s">
        <v>823</v>
      </c>
      <c r="C516" s="150">
        <v>2025</v>
      </c>
      <c r="D516" s="201" t="s">
        <v>1431</v>
      </c>
      <c r="E516" s="144" t="s">
        <v>1449</v>
      </c>
      <c r="F516" s="139" t="s">
        <v>88</v>
      </c>
      <c r="G516" s="144" t="s">
        <v>2025</v>
      </c>
      <c r="H516" s="146" t="s">
        <v>26</v>
      </c>
      <c r="I516" s="144" t="s">
        <v>1436</v>
      </c>
    </row>
    <row r="517" spans="1:9" ht="14.1">
      <c r="A517" s="193">
        <v>45667</v>
      </c>
      <c r="B517" s="145" t="s">
        <v>823</v>
      </c>
      <c r="C517" s="150">
        <v>2025</v>
      </c>
      <c r="D517" s="201" t="s">
        <v>1431</v>
      </c>
      <c r="E517" s="144" t="s">
        <v>21</v>
      </c>
      <c r="F517" s="141" t="s">
        <v>821</v>
      </c>
      <c r="G517" s="144" t="s">
        <v>2026</v>
      </c>
      <c r="H517" s="146" t="s">
        <v>26</v>
      </c>
      <c r="I517" s="144" t="s">
        <v>1436</v>
      </c>
    </row>
    <row r="518" spans="1:9" ht="50.45">
      <c r="A518" s="193">
        <v>45667</v>
      </c>
      <c r="B518" s="145" t="s">
        <v>823</v>
      </c>
      <c r="C518" s="150">
        <v>2025</v>
      </c>
      <c r="D518" s="201" t="s">
        <v>1431</v>
      </c>
      <c r="E518" s="144" t="s">
        <v>1506</v>
      </c>
      <c r="F518" s="139" t="s">
        <v>88</v>
      </c>
      <c r="G518" s="144" t="s">
        <v>2027</v>
      </c>
      <c r="H518" s="146" t="s">
        <v>26</v>
      </c>
      <c r="I518" s="144" t="s">
        <v>1436</v>
      </c>
    </row>
    <row r="519" spans="1:9" ht="38.1">
      <c r="A519" s="193">
        <v>45667</v>
      </c>
      <c r="B519" s="145" t="s">
        <v>823</v>
      </c>
      <c r="C519" s="150">
        <v>2025</v>
      </c>
      <c r="D519" s="201" t="s">
        <v>1431</v>
      </c>
      <c r="E519" s="144" t="s">
        <v>1584</v>
      </c>
      <c r="F519" s="141" t="s">
        <v>821</v>
      </c>
      <c r="G519" s="144" t="s">
        <v>2028</v>
      </c>
      <c r="H519" s="146" t="s">
        <v>26</v>
      </c>
      <c r="I519" s="144" t="s">
        <v>1996</v>
      </c>
    </row>
    <row r="520" spans="1:9" ht="25.5">
      <c r="A520" s="193">
        <v>45667</v>
      </c>
      <c r="B520" s="145" t="s">
        <v>823</v>
      </c>
      <c r="C520" s="150">
        <v>2025</v>
      </c>
      <c r="D520" s="201" t="s">
        <v>1431</v>
      </c>
      <c r="E520" s="144" t="s">
        <v>1436</v>
      </c>
      <c r="F520" s="147" t="s">
        <v>859</v>
      </c>
      <c r="G520" s="144" t="s">
        <v>2029</v>
      </c>
      <c r="H520" s="146" t="s">
        <v>130</v>
      </c>
      <c r="I520" s="144" t="s">
        <v>1828</v>
      </c>
    </row>
    <row r="521" spans="1:9" ht="25.5">
      <c r="A521" s="193">
        <v>45670</v>
      </c>
      <c r="B521" s="145" t="s">
        <v>823</v>
      </c>
      <c r="C521" s="150">
        <v>2025</v>
      </c>
      <c r="D521" s="201" t="s">
        <v>1431</v>
      </c>
      <c r="E521" s="144" t="s">
        <v>1506</v>
      </c>
      <c r="F521" s="139" t="s">
        <v>88</v>
      </c>
      <c r="G521" s="144" t="s">
        <v>2030</v>
      </c>
      <c r="H521" s="146" t="s">
        <v>26</v>
      </c>
      <c r="I521" s="144" t="s">
        <v>1436</v>
      </c>
    </row>
    <row r="522" spans="1:9" ht="25.5">
      <c r="A522" s="193">
        <v>45670</v>
      </c>
      <c r="B522" s="145" t="s">
        <v>823</v>
      </c>
      <c r="C522" s="150">
        <v>2025</v>
      </c>
      <c r="D522" s="201" t="s">
        <v>1431</v>
      </c>
      <c r="E522" s="144" t="s">
        <v>1539</v>
      </c>
      <c r="F522" s="139" t="s">
        <v>88</v>
      </c>
      <c r="G522" s="144" t="s">
        <v>2031</v>
      </c>
      <c r="H522" s="146" t="s">
        <v>26</v>
      </c>
      <c r="I522" s="144" t="s">
        <v>1436</v>
      </c>
    </row>
    <row r="523" spans="1:9" ht="14.1">
      <c r="A523" s="193">
        <v>45670</v>
      </c>
      <c r="B523" s="145" t="s">
        <v>823</v>
      </c>
      <c r="C523" s="150">
        <v>2025</v>
      </c>
      <c r="D523" s="201" t="s">
        <v>1431</v>
      </c>
      <c r="E523" s="144" t="s">
        <v>1584</v>
      </c>
      <c r="F523" s="141" t="s">
        <v>821</v>
      </c>
      <c r="G523" s="144" t="s">
        <v>2032</v>
      </c>
      <c r="H523" s="146" t="s">
        <v>26</v>
      </c>
      <c r="I523" s="144" t="s">
        <v>1996</v>
      </c>
    </row>
    <row r="524" spans="1:9" ht="25.5">
      <c r="A524" s="193">
        <v>45670</v>
      </c>
      <c r="B524" s="145" t="s">
        <v>823</v>
      </c>
      <c r="C524" s="150">
        <v>2025</v>
      </c>
      <c r="D524" s="201" t="s">
        <v>1431</v>
      </c>
      <c r="E524" s="144" t="s">
        <v>1449</v>
      </c>
      <c r="F524" s="139" t="s">
        <v>88</v>
      </c>
      <c r="G524" s="144" t="s">
        <v>2033</v>
      </c>
      <c r="H524" s="146" t="s">
        <v>26</v>
      </c>
      <c r="I524" s="144" t="s">
        <v>1436</v>
      </c>
    </row>
    <row r="525" spans="1:9" ht="14.1">
      <c r="A525" s="193">
        <v>45670</v>
      </c>
      <c r="B525" s="145" t="s">
        <v>823</v>
      </c>
      <c r="C525" s="150">
        <v>2025</v>
      </c>
      <c r="D525" s="201" t="s">
        <v>1431</v>
      </c>
      <c r="E525" s="144" t="s">
        <v>1506</v>
      </c>
      <c r="F525" s="139" t="s">
        <v>88</v>
      </c>
      <c r="G525" s="144" t="s">
        <v>2034</v>
      </c>
      <c r="H525" s="146" t="s">
        <v>26</v>
      </c>
      <c r="I525" s="144" t="s">
        <v>1436</v>
      </c>
    </row>
    <row r="526" spans="1:9" ht="25.5">
      <c r="A526" s="193">
        <v>45671</v>
      </c>
      <c r="B526" s="145" t="s">
        <v>823</v>
      </c>
      <c r="C526" s="150">
        <v>2025</v>
      </c>
      <c r="D526" s="201" t="s">
        <v>1431</v>
      </c>
      <c r="E526" s="144" t="s">
        <v>1506</v>
      </c>
      <c r="F526" s="139" t="s">
        <v>88</v>
      </c>
      <c r="G526" s="144" t="s">
        <v>2035</v>
      </c>
      <c r="H526" s="146" t="s">
        <v>26</v>
      </c>
      <c r="I526" s="144" t="s">
        <v>1436</v>
      </c>
    </row>
    <row r="527" spans="1:9" ht="25.5">
      <c r="A527" s="193">
        <v>45671</v>
      </c>
      <c r="B527" s="145" t="s">
        <v>823</v>
      </c>
      <c r="C527" s="150">
        <v>2025</v>
      </c>
      <c r="D527" s="201" t="s">
        <v>1431</v>
      </c>
      <c r="E527" s="144" t="s">
        <v>1506</v>
      </c>
      <c r="F527" s="139" t="s">
        <v>88</v>
      </c>
      <c r="G527" s="144" t="s">
        <v>2036</v>
      </c>
      <c r="H527" s="146" t="s">
        <v>26</v>
      </c>
      <c r="I527" s="144" t="s">
        <v>1436</v>
      </c>
    </row>
    <row r="528" spans="1:9" ht="38.1">
      <c r="A528" s="193">
        <v>45671</v>
      </c>
      <c r="B528" s="145" t="s">
        <v>823</v>
      </c>
      <c r="C528" s="150">
        <v>2025</v>
      </c>
      <c r="D528" s="201" t="s">
        <v>1431</v>
      </c>
      <c r="E528" s="144" t="s">
        <v>1506</v>
      </c>
      <c r="F528" s="139" t="s">
        <v>88</v>
      </c>
      <c r="G528" s="144" t="s">
        <v>2037</v>
      </c>
      <c r="H528" s="146" t="s">
        <v>26</v>
      </c>
      <c r="I528" s="144" t="s">
        <v>1436</v>
      </c>
    </row>
    <row r="529" spans="1:9" ht="38.1">
      <c r="A529" s="193">
        <v>45671</v>
      </c>
      <c r="B529" s="145" t="s">
        <v>823</v>
      </c>
      <c r="C529" s="150">
        <v>2025</v>
      </c>
      <c r="D529" s="201" t="s">
        <v>1431</v>
      </c>
      <c r="E529" s="144" t="s">
        <v>1506</v>
      </c>
      <c r="F529" s="139" t="s">
        <v>88</v>
      </c>
      <c r="G529" s="144" t="s">
        <v>2038</v>
      </c>
      <c r="H529" s="146" t="s">
        <v>26</v>
      </c>
      <c r="I529" s="144" t="s">
        <v>1436</v>
      </c>
    </row>
    <row r="530" spans="1:9" ht="14.1">
      <c r="A530" s="193">
        <v>45671</v>
      </c>
      <c r="B530" s="145" t="s">
        <v>823</v>
      </c>
      <c r="C530" s="150">
        <v>2025</v>
      </c>
      <c r="D530" s="201" t="s">
        <v>1431</v>
      </c>
      <c r="E530" s="144" t="s">
        <v>1539</v>
      </c>
      <c r="F530" s="139" t="s">
        <v>88</v>
      </c>
      <c r="G530" s="144" t="s">
        <v>2039</v>
      </c>
      <c r="H530" s="146" t="s">
        <v>26</v>
      </c>
      <c r="I530" s="144" t="s">
        <v>1436</v>
      </c>
    </row>
    <row r="531" spans="1:9" ht="25.5">
      <c r="A531" s="193">
        <v>45671</v>
      </c>
      <c r="B531" s="145" t="s">
        <v>823</v>
      </c>
      <c r="C531" s="150">
        <v>2025</v>
      </c>
      <c r="D531" s="201" t="s">
        <v>1431</v>
      </c>
      <c r="E531" s="144" t="s">
        <v>1539</v>
      </c>
      <c r="F531" s="139" t="s">
        <v>88</v>
      </c>
      <c r="G531" s="144" t="s">
        <v>2040</v>
      </c>
      <c r="H531" s="146" t="s">
        <v>26</v>
      </c>
      <c r="I531" s="144" t="s">
        <v>1436</v>
      </c>
    </row>
    <row r="532" spans="1:9" ht="25.5">
      <c r="A532" s="193">
        <v>45672</v>
      </c>
      <c r="B532" s="145" t="s">
        <v>823</v>
      </c>
      <c r="C532" s="150">
        <v>2025</v>
      </c>
      <c r="D532" s="201" t="s">
        <v>1431</v>
      </c>
      <c r="E532" s="144" t="s">
        <v>1580</v>
      </c>
      <c r="F532" s="141" t="s">
        <v>821</v>
      </c>
      <c r="G532" s="144" t="s">
        <v>2041</v>
      </c>
      <c r="H532" s="146" t="s">
        <v>26</v>
      </c>
      <c r="I532" s="144" t="s">
        <v>1996</v>
      </c>
    </row>
    <row r="533" spans="1:9" ht="38.1">
      <c r="A533" s="193">
        <v>45672</v>
      </c>
      <c r="B533" s="145" t="s">
        <v>823</v>
      </c>
      <c r="C533" s="150">
        <v>2025</v>
      </c>
      <c r="D533" s="201" t="s">
        <v>1431</v>
      </c>
      <c r="E533" s="144" t="s">
        <v>1225</v>
      </c>
      <c r="F533" s="139" t="s">
        <v>88</v>
      </c>
      <c r="G533" s="144" t="s">
        <v>2042</v>
      </c>
      <c r="H533" s="146" t="s">
        <v>26</v>
      </c>
      <c r="I533" s="144" t="s">
        <v>1436</v>
      </c>
    </row>
    <row r="534" spans="1:9" ht="25.5">
      <c r="A534" s="193">
        <v>45672</v>
      </c>
      <c r="B534" s="145" t="s">
        <v>823</v>
      </c>
      <c r="C534" s="150">
        <v>2025</v>
      </c>
      <c r="D534" s="201" t="s">
        <v>1431</v>
      </c>
      <c r="E534" s="144" t="s">
        <v>1449</v>
      </c>
      <c r="F534" s="139" t="s">
        <v>88</v>
      </c>
      <c r="G534" s="144" t="s">
        <v>2043</v>
      </c>
      <c r="H534" s="146" t="s">
        <v>26</v>
      </c>
      <c r="I534" s="144" t="s">
        <v>1436</v>
      </c>
    </row>
    <row r="535" spans="1:9" ht="38.1">
      <c r="A535" s="193">
        <v>45672</v>
      </c>
      <c r="B535" s="145" t="s">
        <v>823</v>
      </c>
      <c r="C535" s="150">
        <v>2025</v>
      </c>
      <c r="D535" s="201" t="s">
        <v>1431</v>
      </c>
      <c r="E535" s="144" t="s">
        <v>1584</v>
      </c>
      <c r="F535" s="141" t="s">
        <v>821</v>
      </c>
      <c r="G535" s="144" t="s">
        <v>2044</v>
      </c>
      <c r="H535" s="146" t="s">
        <v>26</v>
      </c>
      <c r="I535" s="144" t="s">
        <v>1996</v>
      </c>
    </row>
    <row r="536" spans="1:9" ht="38.1">
      <c r="A536" s="193">
        <v>45672</v>
      </c>
      <c r="B536" s="145" t="s">
        <v>823</v>
      </c>
      <c r="C536" s="150">
        <v>2025</v>
      </c>
      <c r="D536" s="201" t="s">
        <v>1431</v>
      </c>
      <c r="E536" s="144" t="s">
        <v>1584</v>
      </c>
      <c r="F536" s="141" t="s">
        <v>821</v>
      </c>
      <c r="G536" s="144" t="s">
        <v>2045</v>
      </c>
      <c r="H536" s="146" t="s">
        <v>26</v>
      </c>
      <c r="I536" s="144" t="s">
        <v>1996</v>
      </c>
    </row>
    <row r="537" spans="1:9" ht="63">
      <c r="A537" s="193">
        <v>45672</v>
      </c>
      <c r="B537" s="145" t="s">
        <v>823</v>
      </c>
      <c r="C537" s="150">
        <v>2025</v>
      </c>
      <c r="D537" s="201" t="s">
        <v>1431</v>
      </c>
      <c r="E537" s="144" t="s">
        <v>1506</v>
      </c>
      <c r="F537" s="139" t="s">
        <v>88</v>
      </c>
      <c r="G537" s="144" t="s">
        <v>2046</v>
      </c>
      <c r="H537" s="146" t="s">
        <v>26</v>
      </c>
      <c r="I537" s="144" t="s">
        <v>1436</v>
      </c>
    </row>
    <row r="538" spans="1:9" ht="63">
      <c r="A538" s="193">
        <v>45672</v>
      </c>
      <c r="B538" s="145" t="s">
        <v>823</v>
      </c>
      <c r="C538" s="150">
        <v>2025</v>
      </c>
      <c r="D538" s="201" t="s">
        <v>1431</v>
      </c>
      <c r="E538" s="144" t="s">
        <v>1584</v>
      </c>
      <c r="F538" s="141" t="s">
        <v>821</v>
      </c>
      <c r="G538" s="144" t="s">
        <v>2047</v>
      </c>
      <c r="H538" s="146" t="s">
        <v>26</v>
      </c>
      <c r="I538" s="144" t="s">
        <v>1996</v>
      </c>
    </row>
    <row r="539" spans="1:9" ht="25.5">
      <c r="A539" s="193">
        <v>45673</v>
      </c>
      <c r="B539" s="145" t="s">
        <v>823</v>
      </c>
      <c r="C539" s="150">
        <v>2025</v>
      </c>
      <c r="D539" s="201" t="s">
        <v>1431</v>
      </c>
      <c r="E539" s="144" t="s">
        <v>1506</v>
      </c>
      <c r="F539" s="139" t="s">
        <v>88</v>
      </c>
      <c r="G539" s="144" t="s">
        <v>2048</v>
      </c>
      <c r="H539" s="146" t="s">
        <v>26</v>
      </c>
      <c r="I539" s="144" t="s">
        <v>1436</v>
      </c>
    </row>
    <row r="540" spans="1:9" ht="50.45">
      <c r="A540" s="193">
        <v>45673</v>
      </c>
      <c r="B540" s="145" t="s">
        <v>823</v>
      </c>
      <c r="C540" s="150">
        <v>2025</v>
      </c>
      <c r="D540" s="201" t="s">
        <v>1431</v>
      </c>
      <c r="E540" s="144" t="s">
        <v>1580</v>
      </c>
      <c r="F540" s="147" t="s">
        <v>859</v>
      </c>
      <c r="G540" s="144" t="s">
        <v>2049</v>
      </c>
      <c r="H540" s="146" t="s">
        <v>130</v>
      </c>
      <c r="I540" s="144" t="s">
        <v>1828</v>
      </c>
    </row>
    <row r="541" spans="1:9" ht="175.5">
      <c r="A541" s="193">
        <v>45673</v>
      </c>
      <c r="B541" s="145" t="s">
        <v>823</v>
      </c>
      <c r="C541" s="150">
        <v>2025</v>
      </c>
      <c r="D541" s="201" t="s">
        <v>1431</v>
      </c>
      <c r="E541" s="144" t="s">
        <v>1449</v>
      </c>
      <c r="F541" s="139" t="s">
        <v>88</v>
      </c>
      <c r="G541" s="144" t="s">
        <v>2050</v>
      </c>
      <c r="H541" s="146" t="s">
        <v>26</v>
      </c>
      <c r="I541" s="144" t="s">
        <v>1436</v>
      </c>
    </row>
    <row r="542" spans="1:9" ht="38.1">
      <c r="A542" s="193">
        <v>45673</v>
      </c>
      <c r="B542" s="145" t="s">
        <v>823</v>
      </c>
      <c r="C542" s="150">
        <v>2025</v>
      </c>
      <c r="D542" s="201" t="s">
        <v>1431</v>
      </c>
      <c r="E542" s="144" t="s">
        <v>1566</v>
      </c>
      <c r="F542" s="139" t="s">
        <v>88</v>
      </c>
      <c r="G542" s="144" t="s">
        <v>2051</v>
      </c>
      <c r="H542" s="146" t="s">
        <v>26</v>
      </c>
      <c r="I542" s="144" t="s">
        <v>1436</v>
      </c>
    </row>
    <row r="543" spans="1:9" ht="50.45">
      <c r="A543" s="193">
        <v>45674</v>
      </c>
      <c r="B543" s="145" t="s">
        <v>823</v>
      </c>
      <c r="C543" s="150">
        <v>2025</v>
      </c>
      <c r="D543" s="201" t="s">
        <v>1431</v>
      </c>
      <c r="E543" s="144" t="s">
        <v>1225</v>
      </c>
      <c r="F543" s="147" t="s">
        <v>859</v>
      </c>
      <c r="G543" s="144" t="s">
        <v>2052</v>
      </c>
      <c r="H543" s="146" t="s">
        <v>26</v>
      </c>
      <c r="I543" s="144" t="s">
        <v>1436</v>
      </c>
    </row>
    <row r="544" spans="1:9" ht="87.95">
      <c r="A544" s="193">
        <v>45674</v>
      </c>
      <c r="B544" s="145" t="s">
        <v>823</v>
      </c>
      <c r="C544" s="150">
        <v>2025</v>
      </c>
      <c r="D544" s="201" t="s">
        <v>1431</v>
      </c>
      <c r="E544" s="144" t="s">
        <v>1608</v>
      </c>
      <c r="F544" s="140" t="s">
        <v>1439</v>
      </c>
      <c r="G544" s="144" t="s">
        <v>2053</v>
      </c>
      <c r="H544" s="146" t="s">
        <v>130</v>
      </c>
      <c r="I544" s="144" t="s">
        <v>2054</v>
      </c>
    </row>
    <row r="545" spans="1:9" ht="113.1">
      <c r="A545" s="193">
        <v>45674</v>
      </c>
      <c r="B545" s="145" t="s">
        <v>823</v>
      </c>
      <c r="C545" s="150">
        <v>2025</v>
      </c>
      <c r="D545" s="201" t="s">
        <v>1431</v>
      </c>
      <c r="E545" s="144" t="s">
        <v>1608</v>
      </c>
      <c r="F545" s="140" t="s">
        <v>1439</v>
      </c>
      <c r="G545" s="144" t="s">
        <v>2055</v>
      </c>
      <c r="H545" s="146" t="s">
        <v>130</v>
      </c>
      <c r="I545" s="144" t="s">
        <v>2056</v>
      </c>
    </row>
    <row r="546" spans="1:9" ht="14.1">
      <c r="A546" s="193">
        <v>45674</v>
      </c>
      <c r="B546" s="145" t="s">
        <v>823</v>
      </c>
      <c r="C546" s="150">
        <v>2025</v>
      </c>
      <c r="D546" s="201" t="s">
        <v>1431</v>
      </c>
      <c r="E546" s="144" t="s">
        <v>1506</v>
      </c>
      <c r="F546" s="139" t="s">
        <v>88</v>
      </c>
      <c r="G546" s="144" t="s">
        <v>2057</v>
      </c>
      <c r="H546" s="146" t="s">
        <v>26</v>
      </c>
      <c r="I546" s="144" t="s">
        <v>1436</v>
      </c>
    </row>
    <row r="547" spans="1:9" ht="38.1">
      <c r="A547" s="193">
        <v>45674</v>
      </c>
      <c r="B547" s="145" t="s">
        <v>823</v>
      </c>
      <c r="C547" s="150">
        <v>2025</v>
      </c>
      <c r="D547" s="201" t="s">
        <v>1431</v>
      </c>
      <c r="E547" s="144" t="s">
        <v>216</v>
      </c>
      <c r="F547" s="141" t="s">
        <v>821</v>
      </c>
      <c r="G547" s="144" t="s">
        <v>2058</v>
      </c>
      <c r="H547" s="146" t="s">
        <v>26</v>
      </c>
      <c r="I547" s="144" t="s">
        <v>492</v>
      </c>
    </row>
    <row r="548" spans="1:9" ht="25.5">
      <c r="A548" s="193">
        <v>45674</v>
      </c>
      <c r="B548" s="145" t="s">
        <v>823</v>
      </c>
      <c r="C548" s="150">
        <v>2025</v>
      </c>
      <c r="D548" s="201" t="s">
        <v>1431</v>
      </c>
      <c r="E548" s="144" t="s">
        <v>21</v>
      </c>
      <c r="F548" s="139" t="s">
        <v>88</v>
      </c>
      <c r="G548" s="144" t="s">
        <v>2059</v>
      </c>
      <c r="H548" s="146" t="s">
        <v>26</v>
      </c>
      <c r="I548" s="144" t="s">
        <v>1436</v>
      </c>
    </row>
    <row r="549" spans="1:9" ht="14.1">
      <c r="A549" s="193">
        <v>45677</v>
      </c>
      <c r="B549" s="145" t="s">
        <v>823</v>
      </c>
      <c r="C549" s="150">
        <v>2025</v>
      </c>
      <c r="D549" s="201" t="s">
        <v>1431</v>
      </c>
      <c r="E549" s="144" t="s">
        <v>21</v>
      </c>
      <c r="F549" s="141" t="s">
        <v>821</v>
      </c>
      <c r="G549" s="144" t="s">
        <v>2060</v>
      </c>
      <c r="H549" s="146" t="s">
        <v>26</v>
      </c>
      <c r="I549" s="144" t="s">
        <v>1436</v>
      </c>
    </row>
    <row r="550" spans="1:9" ht="14.1">
      <c r="A550" s="193">
        <v>45677</v>
      </c>
      <c r="B550" s="145" t="s">
        <v>823</v>
      </c>
      <c r="C550" s="150">
        <v>2025</v>
      </c>
      <c r="D550" s="201" t="s">
        <v>1431</v>
      </c>
      <c r="E550" s="144" t="s">
        <v>21</v>
      </c>
      <c r="F550" s="141" t="s">
        <v>821</v>
      </c>
      <c r="G550" s="144" t="s">
        <v>2061</v>
      </c>
      <c r="H550" s="146" t="s">
        <v>26</v>
      </c>
      <c r="I550" s="144" t="s">
        <v>1436</v>
      </c>
    </row>
    <row r="551" spans="1:9" ht="25.5">
      <c r="A551" s="193">
        <v>45677</v>
      </c>
      <c r="B551" s="145" t="s">
        <v>823</v>
      </c>
      <c r="C551" s="150">
        <v>2025</v>
      </c>
      <c r="D551" s="201" t="s">
        <v>1431</v>
      </c>
      <c r="E551" s="144" t="s">
        <v>1584</v>
      </c>
      <c r="F551" s="141" t="s">
        <v>821</v>
      </c>
      <c r="G551" s="144" t="s">
        <v>2062</v>
      </c>
      <c r="H551" s="146" t="s">
        <v>26</v>
      </c>
      <c r="I551" s="144" t="s">
        <v>1436</v>
      </c>
    </row>
    <row r="552" spans="1:9" ht="25.5">
      <c r="A552" s="193">
        <v>45677</v>
      </c>
      <c r="B552" s="145" t="s">
        <v>823</v>
      </c>
      <c r="C552" s="150">
        <v>2025</v>
      </c>
      <c r="D552" s="201" t="s">
        <v>1431</v>
      </c>
      <c r="E552" s="144" t="s">
        <v>1449</v>
      </c>
      <c r="F552" s="139" t="s">
        <v>88</v>
      </c>
      <c r="G552" s="144" t="s">
        <v>2063</v>
      </c>
      <c r="H552" s="146" t="s">
        <v>26</v>
      </c>
      <c r="I552" s="144" t="s">
        <v>1436</v>
      </c>
    </row>
    <row r="553" spans="1:9" ht="14.1">
      <c r="A553" s="193">
        <v>45677</v>
      </c>
      <c r="B553" s="145" t="s">
        <v>823</v>
      </c>
      <c r="C553" s="150">
        <v>2025</v>
      </c>
      <c r="D553" s="201" t="s">
        <v>1431</v>
      </c>
      <c r="E553" s="144" t="s">
        <v>21</v>
      </c>
      <c r="F553" s="141" t="s">
        <v>821</v>
      </c>
      <c r="G553" s="144" t="s">
        <v>2064</v>
      </c>
      <c r="H553" s="146" t="s">
        <v>26</v>
      </c>
      <c r="I553" s="144" t="s">
        <v>1436</v>
      </c>
    </row>
    <row r="554" spans="1:9" ht="25.5">
      <c r="A554" s="193">
        <v>45677</v>
      </c>
      <c r="B554" s="145" t="s">
        <v>823</v>
      </c>
      <c r="C554" s="150">
        <v>2025</v>
      </c>
      <c r="D554" s="201" t="s">
        <v>1431</v>
      </c>
      <c r="E554" s="144" t="s">
        <v>1584</v>
      </c>
      <c r="F554" s="141" t="s">
        <v>821</v>
      </c>
      <c r="G554" s="144" t="s">
        <v>2065</v>
      </c>
      <c r="H554" s="146" t="s">
        <v>26</v>
      </c>
      <c r="I554" s="144" t="s">
        <v>1436</v>
      </c>
    </row>
    <row r="555" spans="1:9" ht="38.1">
      <c r="A555" s="193">
        <v>45677</v>
      </c>
      <c r="B555" s="145" t="s">
        <v>823</v>
      </c>
      <c r="C555" s="150">
        <v>2025</v>
      </c>
      <c r="D555" s="201" t="s">
        <v>1431</v>
      </c>
      <c r="E555" s="144" t="s">
        <v>1584</v>
      </c>
      <c r="F555" s="141" t="s">
        <v>821</v>
      </c>
      <c r="G555" s="144" t="s">
        <v>2066</v>
      </c>
      <c r="H555" s="146" t="s">
        <v>26</v>
      </c>
      <c r="I555" s="144" t="s">
        <v>1436</v>
      </c>
    </row>
    <row r="556" spans="1:9" ht="14.1">
      <c r="A556" s="193">
        <v>45677</v>
      </c>
      <c r="B556" s="145" t="s">
        <v>823</v>
      </c>
      <c r="C556" s="150">
        <v>2025</v>
      </c>
      <c r="D556" s="201" t="s">
        <v>1431</v>
      </c>
      <c r="E556" s="144" t="s">
        <v>1436</v>
      </c>
      <c r="F556" s="139" t="s">
        <v>88</v>
      </c>
      <c r="G556" s="144" t="s">
        <v>2067</v>
      </c>
      <c r="H556" s="146" t="s">
        <v>26</v>
      </c>
      <c r="I556" s="144" t="s">
        <v>1436</v>
      </c>
    </row>
    <row r="557" spans="1:9" ht="14.1">
      <c r="A557" s="193">
        <v>45677</v>
      </c>
      <c r="B557" s="145" t="s">
        <v>823</v>
      </c>
      <c r="C557" s="150">
        <v>2025</v>
      </c>
      <c r="D557" s="201" t="s">
        <v>1431</v>
      </c>
      <c r="E557" s="144" t="s">
        <v>1436</v>
      </c>
      <c r="F557" s="139" t="s">
        <v>88</v>
      </c>
      <c r="G557" s="144" t="s">
        <v>2068</v>
      </c>
      <c r="H557" s="146" t="s">
        <v>26</v>
      </c>
      <c r="I557" s="144" t="s">
        <v>1436</v>
      </c>
    </row>
    <row r="558" spans="1:9" ht="63">
      <c r="A558" s="193">
        <v>45677</v>
      </c>
      <c r="B558" s="145" t="s">
        <v>823</v>
      </c>
      <c r="C558" s="150">
        <v>2025</v>
      </c>
      <c r="D558" s="201" t="s">
        <v>1431</v>
      </c>
      <c r="E558" s="144" t="s">
        <v>1608</v>
      </c>
      <c r="F558" s="140" t="s">
        <v>1439</v>
      </c>
      <c r="G558" s="144" t="s">
        <v>2069</v>
      </c>
      <c r="H558" s="146" t="s">
        <v>130</v>
      </c>
      <c r="I558" s="144" t="s">
        <v>2070</v>
      </c>
    </row>
    <row r="559" spans="1:9" ht="25.5">
      <c r="A559" s="193">
        <v>45678</v>
      </c>
      <c r="B559" s="145" t="s">
        <v>823</v>
      </c>
      <c r="C559" s="150">
        <v>2025</v>
      </c>
      <c r="D559" s="201" t="s">
        <v>1431</v>
      </c>
      <c r="E559" s="144" t="s">
        <v>1449</v>
      </c>
      <c r="F559" s="139" t="s">
        <v>88</v>
      </c>
      <c r="G559" s="144" t="s">
        <v>2071</v>
      </c>
      <c r="H559" s="146" t="s">
        <v>26</v>
      </c>
      <c r="I559" s="144" t="s">
        <v>1436</v>
      </c>
    </row>
    <row r="560" spans="1:9" ht="14.1">
      <c r="A560" s="193">
        <v>45678</v>
      </c>
      <c r="B560" s="145" t="s">
        <v>823</v>
      </c>
      <c r="C560" s="150">
        <v>2025</v>
      </c>
      <c r="D560" s="201" t="s">
        <v>1431</v>
      </c>
      <c r="E560" s="144" t="s">
        <v>216</v>
      </c>
      <c r="F560" s="141" t="s">
        <v>821</v>
      </c>
      <c r="G560" s="144" t="s">
        <v>2072</v>
      </c>
      <c r="H560" s="146" t="s">
        <v>26</v>
      </c>
      <c r="I560" s="144" t="s">
        <v>1436</v>
      </c>
    </row>
    <row r="561" spans="1:9" ht="14.1">
      <c r="A561" s="193">
        <v>45678</v>
      </c>
      <c r="B561" s="145" t="s">
        <v>823</v>
      </c>
      <c r="C561" s="150">
        <v>2025</v>
      </c>
      <c r="D561" s="201" t="s">
        <v>1431</v>
      </c>
      <c r="E561" s="144" t="s">
        <v>1436</v>
      </c>
      <c r="F561" s="139" t="s">
        <v>88</v>
      </c>
      <c r="G561" s="144" t="s">
        <v>2073</v>
      </c>
      <c r="H561" s="146" t="s">
        <v>26</v>
      </c>
      <c r="I561" s="144" t="s">
        <v>1436</v>
      </c>
    </row>
    <row r="562" spans="1:9" ht="14.1">
      <c r="A562" s="193">
        <v>45678</v>
      </c>
      <c r="B562" s="145" t="s">
        <v>823</v>
      </c>
      <c r="C562" s="150">
        <v>2025</v>
      </c>
      <c r="D562" s="201" t="s">
        <v>1431</v>
      </c>
      <c r="E562" s="144" t="s">
        <v>1584</v>
      </c>
      <c r="F562" s="141" t="s">
        <v>821</v>
      </c>
      <c r="G562" s="144" t="s">
        <v>2074</v>
      </c>
      <c r="H562" s="146" t="s">
        <v>26</v>
      </c>
      <c r="I562" s="144" t="s">
        <v>1436</v>
      </c>
    </row>
    <row r="563" spans="1:9" ht="14.1">
      <c r="A563" s="193">
        <v>45678</v>
      </c>
      <c r="B563" s="145" t="s">
        <v>823</v>
      </c>
      <c r="C563" s="150">
        <v>2025</v>
      </c>
      <c r="D563" s="201" t="s">
        <v>1431</v>
      </c>
      <c r="E563" s="144" t="s">
        <v>1449</v>
      </c>
      <c r="F563" s="139" t="s">
        <v>88</v>
      </c>
      <c r="G563" s="144" t="s">
        <v>2075</v>
      </c>
      <c r="H563" s="146" t="s">
        <v>26</v>
      </c>
      <c r="I563" s="144" t="s">
        <v>1436</v>
      </c>
    </row>
    <row r="564" spans="1:9" ht="14.1">
      <c r="A564" s="193">
        <v>45678</v>
      </c>
      <c r="B564" s="145" t="s">
        <v>823</v>
      </c>
      <c r="C564" s="150">
        <v>2025</v>
      </c>
      <c r="D564" s="201" t="s">
        <v>1431</v>
      </c>
      <c r="E564" s="144" t="s">
        <v>1436</v>
      </c>
      <c r="F564" s="139" t="s">
        <v>88</v>
      </c>
      <c r="G564" s="144" t="s">
        <v>2076</v>
      </c>
      <c r="H564" s="146" t="s">
        <v>26</v>
      </c>
      <c r="I564" s="144" t="s">
        <v>1436</v>
      </c>
    </row>
    <row r="565" spans="1:9" ht="14.1">
      <c r="A565" s="193">
        <v>45679</v>
      </c>
      <c r="B565" s="145" t="s">
        <v>823</v>
      </c>
      <c r="C565" s="150">
        <v>2025</v>
      </c>
      <c r="D565" s="201" t="s">
        <v>1431</v>
      </c>
      <c r="E565" s="144" t="s">
        <v>1449</v>
      </c>
      <c r="F565" s="139" t="s">
        <v>88</v>
      </c>
      <c r="G565" s="144" t="s">
        <v>2077</v>
      </c>
      <c r="H565" s="146" t="s">
        <v>26</v>
      </c>
      <c r="I565" s="144" t="s">
        <v>1436</v>
      </c>
    </row>
    <row r="566" spans="1:9" ht="25.5">
      <c r="A566" s="193">
        <v>45679</v>
      </c>
      <c r="B566" s="145" t="s">
        <v>823</v>
      </c>
      <c r="C566" s="150">
        <v>2025</v>
      </c>
      <c r="D566" s="201" t="s">
        <v>1431</v>
      </c>
      <c r="E566" s="144" t="s">
        <v>1436</v>
      </c>
      <c r="F566" s="139" t="s">
        <v>88</v>
      </c>
      <c r="G566" s="144" t="s">
        <v>2078</v>
      </c>
      <c r="H566" s="146" t="s">
        <v>26</v>
      </c>
      <c r="I566" s="144" t="s">
        <v>1436</v>
      </c>
    </row>
    <row r="567" spans="1:9" ht="25.5">
      <c r="A567" s="193">
        <v>45679</v>
      </c>
      <c r="B567" s="145" t="s">
        <v>823</v>
      </c>
      <c r="C567" s="150">
        <v>2025</v>
      </c>
      <c r="D567" s="201" t="s">
        <v>1431</v>
      </c>
      <c r="E567" s="144" t="s">
        <v>1449</v>
      </c>
      <c r="F567" s="139" t="s">
        <v>88</v>
      </c>
      <c r="G567" s="144" t="s">
        <v>2079</v>
      </c>
      <c r="H567" s="146" t="s">
        <v>26</v>
      </c>
      <c r="I567" s="144" t="s">
        <v>1436</v>
      </c>
    </row>
    <row r="568" spans="1:9" ht="25.5">
      <c r="A568" s="193">
        <v>45679</v>
      </c>
      <c r="B568" s="145" t="s">
        <v>823</v>
      </c>
      <c r="C568" s="150">
        <v>2025</v>
      </c>
      <c r="D568" s="201" t="s">
        <v>1431</v>
      </c>
      <c r="E568" s="144" t="s">
        <v>1506</v>
      </c>
      <c r="F568" s="139" t="s">
        <v>88</v>
      </c>
      <c r="G568" s="144" t="s">
        <v>2080</v>
      </c>
      <c r="H568" s="146" t="s">
        <v>26</v>
      </c>
      <c r="I568" s="144" t="s">
        <v>1436</v>
      </c>
    </row>
    <row r="569" spans="1:9" ht="14.1">
      <c r="A569" s="193">
        <v>45679</v>
      </c>
      <c r="B569" s="145" t="s">
        <v>823</v>
      </c>
      <c r="C569" s="150">
        <v>2025</v>
      </c>
      <c r="D569" s="201" t="s">
        <v>1431</v>
      </c>
      <c r="E569" s="144" t="s">
        <v>1584</v>
      </c>
      <c r="F569" s="141" t="s">
        <v>821</v>
      </c>
      <c r="G569" s="144" t="s">
        <v>2081</v>
      </c>
      <c r="H569" s="146" t="s">
        <v>26</v>
      </c>
      <c r="I569" s="144" t="s">
        <v>1436</v>
      </c>
    </row>
    <row r="570" spans="1:9" ht="25.5">
      <c r="A570" s="193">
        <v>45679</v>
      </c>
      <c r="B570" s="145" t="s">
        <v>823</v>
      </c>
      <c r="C570" s="150">
        <v>2025</v>
      </c>
      <c r="D570" s="201" t="s">
        <v>1431</v>
      </c>
      <c r="E570" s="144" t="s">
        <v>21</v>
      </c>
      <c r="F570" s="139" t="s">
        <v>88</v>
      </c>
      <c r="G570" s="144" t="s">
        <v>2082</v>
      </c>
      <c r="H570" s="146" t="s">
        <v>26</v>
      </c>
      <c r="I570" s="144" t="s">
        <v>1436</v>
      </c>
    </row>
    <row r="571" spans="1:9" ht="14.1">
      <c r="A571" s="193">
        <v>45679</v>
      </c>
      <c r="B571" s="145" t="s">
        <v>823</v>
      </c>
      <c r="C571" s="150">
        <v>2025</v>
      </c>
      <c r="D571" s="201" t="s">
        <v>1431</v>
      </c>
      <c r="E571" s="144" t="s">
        <v>1539</v>
      </c>
      <c r="F571" s="139" t="s">
        <v>88</v>
      </c>
      <c r="G571" s="144" t="s">
        <v>2083</v>
      </c>
      <c r="H571" s="146" t="s">
        <v>26</v>
      </c>
      <c r="I571" s="144" t="s">
        <v>1436</v>
      </c>
    </row>
    <row r="572" spans="1:9" ht="14.1">
      <c r="A572" s="193">
        <v>45679</v>
      </c>
      <c r="B572" s="145" t="s">
        <v>823</v>
      </c>
      <c r="C572" s="150">
        <v>2025</v>
      </c>
      <c r="D572" s="201" t="s">
        <v>1431</v>
      </c>
      <c r="E572" s="144" t="s">
        <v>574</v>
      </c>
      <c r="F572" s="139" t="s">
        <v>88</v>
      </c>
      <c r="G572" s="144" t="s">
        <v>2084</v>
      </c>
      <c r="H572" s="146" t="s">
        <v>26</v>
      </c>
      <c r="I572" s="144" t="s">
        <v>1436</v>
      </c>
    </row>
    <row r="573" spans="1:9" ht="14.1">
      <c r="A573" s="193">
        <v>45679</v>
      </c>
      <c r="B573" s="145" t="s">
        <v>823</v>
      </c>
      <c r="C573" s="150">
        <v>2025</v>
      </c>
      <c r="D573" s="201" t="s">
        <v>1431</v>
      </c>
      <c r="E573" s="144" t="s">
        <v>1436</v>
      </c>
      <c r="F573" s="139" t="s">
        <v>88</v>
      </c>
      <c r="G573" s="144" t="s">
        <v>2085</v>
      </c>
      <c r="H573" s="146" t="s">
        <v>26</v>
      </c>
      <c r="I573" s="144" t="s">
        <v>1436</v>
      </c>
    </row>
    <row r="574" spans="1:9" ht="14.1">
      <c r="A574" s="193">
        <v>45679</v>
      </c>
      <c r="B574" s="145" t="s">
        <v>823</v>
      </c>
      <c r="C574" s="150">
        <v>2025</v>
      </c>
      <c r="D574" s="201" t="s">
        <v>1431</v>
      </c>
      <c r="E574" s="144" t="s">
        <v>1449</v>
      </c>
      <c r="F574" s="139" t="s">
        <v>88</v>
      </c>
      <c r="G574" s="144" t="s">
        <v>2086</v>
      </c>
      <c r="H574" s="146" t="s">
        <v>26</v>
      </c>
      <c r="I574" s="144" t="s">
        <v>1436</v>
      </c>
    </row>
    <row r="575" spans="1:9" ht="25.5">
      <c r="A575" s="193">
        <v>45680</v>
      </c>
      <c r="B575" s="145" t="s">
        <v>823</v>
      </c>
      <c r="C575" s="150">
        <v>2025</v>
      </c>
      <c r="D575" s="201" t="s">
        <v>1431</v>
      </c>
      <c r="E575" s="144" t="s">
        <v>21</v>
      </c>
      <c r="F575" s="141" t="s">
        <v>821</v>
      </c>
      <c r="G575" s="144" t="s">
        <v>2087</v>
      </c>
      <c r="H575" s="146" t="s">
        <v>26</v>
      </c>
      <c r="I575" s="144" t="s">
        <v>1436</v>
      </c>
    </row>
    <row r="576" spans="1:9" ht="25.5">
      <c r="A576" s="193">
        <v>45680</v>
      </c>
      <c r="B576" s="145" t="s">
        <v>823</v>
      </c>
      <c r="C576" s="150">
        <v>2025</v>
      </c>
      <c r="D576" s="201" t="s">
        <v>1431</v>
      </c>
      <c r="E576" s="144" t="s">
        <v>1506</v>
      </c>
      <c r="F576" s="139" t="s">
        <v>88</v>
      </c>
      <c r="G576" s="144" t="s">
        <v>2088</v>
      </c>
      <c r="H576" s="146" t="s">
        <v>26</v>
      </c>
      <c r="I576" s="144" t="s">
        <v>1436</v>
      </c>
    </row>
    <row r="577" spans="1:9" ht="25.5">
      <c r="A577" s="193">
        <v>45680</v>
      </c>
      <c r="B577" s="145" t="s">
        <v>823</v>
      </c>
      <c r="C577" s="150">
        <v>2025</v>
      </c>
      <c r="D577" s="201" t="s">
        <v>1431</v>
      </c>
      <c r="E577" s="144" t="s">
        <v>1449</v>
      </c>
      <c r="F577" s="139" t="s">
        <v>88</v>
      </c>
      <c r="G577" s="144" t="s">
        <v>2089</v>
      </c>
      <c r="H577" s="146" t="s">
        <v>26</v>
      </c>
      <c r="I577" s="144" t="s">
        <v>1436</v>
      </c>
    </row>
    <row r="578" spans="1:9" ht="25.5">
      <c r="A578" s="193">
        <v>45681</v>
      </c>
      <c r="B578" s="145" t="s">
        <v>823</v>
      </c>
      <c r="C578" s="150">
        <v>2025</v>
      </c>
      <c r="D578" s="201" t="s">
        <v>1431</v>
      </c>
      <c r="E578" s="144" t="s">
        <v>1506</v>
      </c>
      <c r="F578" s="139" t="s">
        <v>88</v>
      </c>
      <c r="G578" s="144" t="s">
        <v>2090</v>
      </c>
      <c r="H578" s="146" t="s">
        <v>26</v>
      </c>
      <c r="I578" s="144" t="s">
        <v>1436</v>
      </c>
    </row>
    <row r="579" spans="1:9" ht="25.5">
      <c r="A579" s="193">
        <v>45681</v>
      </c>
      <c r="B579" s="145" t="s">
        <v>823</v>
      </c>
      <c r="C579" s="150">
        <v>2025</v>
      </c>
      <c r="D579" s="201" t="s">
        <v>1431</v>
      </c>
      <c r="E579" s="144" t="s">
        <v>1506</v>
      </c>
      <c r="F579" s="139" t="s">
        <v>88</v>
      </c>
      <c r="G579" s="144" t="s">
        <v>2091</v>
      </c>
      <c r="H579" s="146" t="s">
        <v>26</v>
      </c>
      <c r="I579" s="144" t="s">
        <v>1436</v>
      </c>
    </row>
    <row r="580" spans="1:9" ht="14.1">
      <c r="A580" s="193">
        <v>45681</v>
      </c>
      <c r="B580" s="145" t="s">
        <v>823</v>
      </c>
      <c r="C580" s="150">
        <v>2025</v>
      </c>
      <c r="D580" s="201" t="s">
        <v>1431</v>
      </c>
      <c r="E580" s="144" t="s">
        <v>1436</v>
      </c>
      <c r="F580" s="139" t="s">
        <v>88</v>
      </c>
      <c r="G580" s="144" t="s">
        <v>2092</v>
      </c>
      <c r="H580" s="146" t="s">
        <v>26</v>
      </c>
      <c r="I580" s="144" t="s">
        <v>1436</v>
      </c>
    </row>
    <row r="581" spans="1:9" ht="25.5">
      <c r="A581" s="193">
        <v>45681</v>
      </c>
      <c r="B581" s="145" t="s">
        <v>823</v>
      </c>
      <c r="C581" s="150">
        <v>2025</v>
      </c>
      <c r="D581" s="201" t="s">
        <v>1431</v>
      </c>
      <c r="E581" s="144" t="s">
        <v>1449</v>
      </c>
      <c r="F581" s="139" t="s">
        <v>88</v>
      </c>
      <c r="G581" s="144" t="s">
        <v>2093</v>
      </c>
      <c r="H581" s="146" t="s">
        <v>26</v>
      </c>
      <c r="I581" s="144" t="s">
        <v>1436</v>
      </c>
    </row>
    <row r="582" spans="1:9" ht="14.1">
      <c r="A582" s="193">
        <v>45681</v>
      </c>
      <c r="B582" s="145" t="s">
        <v>823</v>
      </c>
      <c r="C582" s="150">
        <v>2025</v>
      </c>
      <c r="D582" s="201" t="s">
        <v>1431</v>
      </c>
      <c r="E582" s="144" t="s">
        <v>1449</v>
      </c>
      <c r="F582" s="139" t="s">
        <v>88</v>
      </c>
      <c r="G582" s="144" t="s">
        <v>2094</v>
      </c>
      <c r="H582" s="146" t="s">
        <v>26</v>
      </c>
      <c r="I582" s="144" t="s">
        <v>1436</v>
      </c>
    </row>
    <row r="583" spans="1:9" ht="14.1">
      <c r="A583" s="193">
        <v>45681</v>
      </c>
      <c r="B583" s="145" t="s">
        <v>823</v>
      </c>
      <c r="C583" s="150">
        <v>2025</v>
      </c>
      <c r="D583" s="201" t="s">
        <v>1431</v>
      </c>
      <c r="E583" s="144" t="s">
        <v>1436</v>
      </c>
      <c r="F583" s="139" t="s">
        <v>88</v>
      </c>
      <c r="G583" s="144" t="s">
        <v>2095</v>
      </c>
      <c r="H583" s="146" t="s">
        <v>26</v>
      </c>
      <c r="I583" s="144" t="s">
        <v>1436</v>
      </c>
    </row>
    <row r="584" spans="1:9" ht="25.5">
      <c r="A584" s="193">
        <v>45684</v>
      </c>
      <c r="B584" s="145" t="s">
        <v>823</v>
      </c>
      <c r="C584" s="150">
        <v>2025</v>
      </c>
      <c r="D584" s="201" t="s">
        <v>1431</v>
      </c>
      <c r="E584" s="144" t="s">
        <v>1506</v>
      </c>
      <c r="F584" s="139" t="s">
        <v>88</v>
      </c>
      <c r="G584" s="144" t="s">
        <v>2096</v>
      </c>
      <c r="H584" s="146" t="s">
        <v>26</v>
      </c>
      <c r="I584" s="144" t="s">
        <v>1436</v>
      </c>
    </row>
    <row r="585" spans="1:9" ht="14.1">
      <c r="A585" s="193">
        <v>45684</v>
      </c>
      <c r="B585" s="145" t="s">
        <v>823</v>
      </c>
      <c r="C585" s="150">
        <v>2025</v>
      </c>
      <c r="D585" s="201" t="s">
        <v>1431</v>
      </c>
      <c r="E585" s="144" t="s">
        <v>1506</v>
      </c>
      <c r="F585" s="139" t="s">
        <v>88</v>
      </c>
      <c r="G585" s="144" t="s">
        <v>2097</v>
      </c>
      <c r="H585" s="146" t="s">
        <v>26</v>
      </c>
      <c r="I585" s="144" t="s">
        <v>1436</v>
      </c>
    </row>
    <row r="586" spans="1:9" ht="25.5">
      <c r="A586" s="193">
        <v>45684</v>
      </c>
      <c r="B586" s="145" t="s">
        <v>823</v>
      </c>
      <c r="C586" s="150">
        <v>2025</v>
      </c>
      <c r="D586" s="201" t="s">
        <v>1431</v>
      </c>
      <c r="E586" s="144" t="s">
        <v>1506</v>
      </c>
      <c r="F586" s="139" t="s">
        <v>88</v>
      </c>
      <c r="G586" s="144" t="s">
        <v>2098</v>
      </c>
      <c r="H586" s="146" t="s">
        <v>26</v>
      </c>
      <c r="I586" s="144" t="s">
        <v>1436</v>
      </c>
    </row>
    <row r="587" spans="1:9" ht="14.1">
      <c r="A587" s="193">
        <v>45684</v>
      </c>
      <c r="B587" s="145" t="s">
        <v>823</v>
      </c>
      <c r="C587" s="150">
        <v>2025</v>
      </c>
      <c r="D587" s="201" t="s">
        <v>1431</v>
      </c>
      <c r="E587" s="144" t="s">
        <v>21</v>
      </c>
      <c r="F587" s="141" t="s">
        <v>821</v>
      </c>
      <c r="G587" s="144" t="s">
        <v>2099</v>
      </c>
      <c r="H587" s="146" t="s">
        <v>26</v>
      </c>
      <c r="I587" s="144" t="s">
        <v>1436</v>
      </c>
    </row>
    <row r="588" spans="1:9" ht="14.1">
      <c r="A588" s="193">
        <v>45684</v>
      </c>
      <c r="B588" s="145" t="s">
        <v>823</v>
      </c>
      <c r="C588" s="150">
        <v>2025</v>
      </c>
      <c r="D588" s="201" t="s">
        <v>1431</v>
      </c>
      <c r="E588" s="144" t="s">
        <v>1506</v>
      </c>
      <c r="F588" s="139" t="s">
        <v>88</v>
      </c>
      <c r="G588" s="144" t="s">
        <v>2100</v>
      </c>
      <c r="H588" s="146" t="s">
        <v>26</v>
      </c>
      <c r="I588" s="144" t="s">
        <v>1436</v>
      </c>
    </row>
    <row r="589" spans="1:9" ht="25.5">
      <c r="A589" s="193">
        <v>45684</v>
      </c>
      <c r="B589" s="145" t="s">
        <v>823</v>
      </c>
      <c r="C589" s="150">
        <v>2025</v>
      </c>
      <c r="D589" s="201" t="s">
        <v>1431</v>
      </c>
      <c r="E589" s="144" t="s">
        <v>1504</v>
      </c>
      <c r="F589" s="139" t="s">
        <v>88</v>
      </c>
      <c r="G589" s="144" t="s">
        <v>2101</v>
      </c>
      <c r="H589" s="146" t="s">
        <v>26</v>
      </c>
      <c r="I589" s="144" t="s">
        <v>1436</v>
      </c>
    </row>
    <row r="590" spans="1:9" ht="25.5">
      <c r="A590" s="193">
        <v>45684</v>
      </c>
      <c r="B590" s="145" t="s">
        <v>823</v>
      </c>
      <c r="C590" s="150">
        <v>2025</v>
      </c>
      <c r="D590" s="201" t="s">
        <v>1431</v>
      </c>
      <c r="E590" s="144" t="s">
        <v>1518</v>
      </c>
      <c r="F590" s="139" t="s">
        <v>88</v>
      </c>
      <c r="G590" s="144" t="s">
        <v>2102</v>
      </c>
      <c r="H590" s="146" t="s">
        <v>26</v>
      </c>
      <c r="I590" s="144" t="s">
        <v>1436</v>
      </c>
    </row>
    <row r="591" spans="1:9" ht="14.1">
      <c r="A591" s="193">
        <v>45684</v>
      </c>
      <c r="B591" s="145" t="s">
        <v>823</v>
      </c>
      <c r="C591" s="150">
        <v>2025</v>
      </c>
      <c r="D591" s="201" t="s">
        <v>1431</v>
      </c>
      <c r="E591" s="144" t="s">
        <v>1449</v>
      </c>
      <c r="F591" s="139" t="s">
        <v>88</v>
      </c>
      <c r="G591" s="144" t="s">
        <v>2103</v>
      </c>
      <c r="H591" s="146" t="s">
        <v>26</v>
      </c>
      <c r="I591" s="144" t="s">
        <v>1436</v>
      </c>
    </row>
    <row r="592" spans="1:9" ht="14.1">
      <c r="A592" s="193">
        <v>45684</v>
      </c>
      <c r="B592" s="145" t="s">
        <v>823</v>
      </c>
      <c r="C592" s="150">
        <v>2025</v>
      </c>
      <c r="D592" s="201" t="s">
        <v>1431</v>
      </c>
      <c r="E592" s="144" t="s">
        <v>1436</v>
      </c>
      <c r="F592" s="139" t="s">
        <v>88</v>
      </c>
      <c r="G592" s="144" t="s">
        <v>2067</v>
      </c>
      <c r="H592" s="146" t="s">
        <v>26</v>
      </c>
      <c r="I592" s="144" t="s">
        <v>1436</v>
      </c>
    </row>
    <row r="593" spans="1:9" ht="25.5">
      <c r="A593" s="193">
        <v>45684</v>
      </c>
      <c r="B593" s="145" t="s">
        <v>823</v>
      </c>
      <c r="C593" s="150">
        <v>2025</v>
      </c>
      <c r="D593" s="201" t="s">
        <v>1431</v>
      </c>
      <c r="E593" s="144" t="s">
        <v>1506</v>
      </c>
      <c r="F593" s="139" t="s">
        <v>88</v>
      </c>
      <c r="G593" s="144" t="s">
        <v>2104</v>
      </c>
      <c r="H593" s="146" t="s">
        <v>26</v>
      </c>
      <c r="I593" s="144" t="s">
        <v>1436</v>
      </c>
    </row>
    <row r="594" spans="1:9" ht="25.5">
      <c r="A594" s="193">
        <v>45685</v>
      </c>
      <c r="B594" s="145" t="s">
        <v>823</v>
      </c>
      <c r="C594" s="150">
        <v>2025</v>
      </c>
      <c r="D594" s="201" t="s">
        <v>1431</v>
      </c>
      <c r="E594" s="144" t="s">
        <v>1504</v>
      </c>
      <c r="F594" s="139" t="s">
        <v>88</v>
      </c>
      <c r="G594" s="144" t="s">
        <v>2105</v>
      </c>
      <c r="H594" s="146" t="s">
        <v>26</v>
      </c>
      <c r="I594" s="144" t="s">
        <v>1436</v>
      </c>
    </row>
    <row r="595" spans="1:9" ht="25.5">
      <c r="A595" s="193">
        <v>45685</v>
      </c>
      <c r="B595" s="145" t="s">
        <v>823</v>
      </c>
      <c r="C595" s="150">
        <v>2025</v>
      </c>
      <c r="D595" s="201" t="s">
        <v>1431</v>
      </c>
      <c r="E595" s="144" t="s">
        <v>1506</v>
      </c>
      <c r="F595" s="139" t="s">
        <v>88</v>
      </c>
      <c r="G595" s="144" t="s">
        <v>2106</v>
      </c>
      <c r="H595" s="146" t="s">
        <v>26</v>
      </c>
      <c r="I595" s="144" t="s">
        <v>1436</v>
      </c>
    </row>
    <row r="596" spans="1:9" ht="14.1">
      <c r="A596" s="193">
        <v>45685</v>
      </c>
      <c r="B596" s="145" t="s">
        <v>823</v>
      </c>
      <c r="C596" s="150">
        <v>2025</v>
      </c>
      <c r="D596" s="201" t="s">
        <v>1431</v>
      </c>
      <c r="E596" s="144" t="s">
        <v>1584</v>
      </c>
      <c r="F596" s="141" t="s">
        <v>821</v>
      </c>
      <c r="G596" s="144" t="s">
        <v>2107</v>
      </c>
      <c r="H596" s="146" t="s">
        <v>26</v>
      </c>
      <c r="I596" s="144" t="s">
        <v>1436</v>
      </c>
    </row>
    <row r="597" spans="1:9" ht="25.5">
      <c r="A597" s="193">
        <v>45685</v>
      </c>
      <c r="B597" s="145" t="s">
        <v>823</v>
      </c>
      <c r="C597" s="150">
        <v>2025</v>
      </c>
      <c r="D597" s="201" t="s">
        <v>1431</v>
      </c>
      <c r="E597" s="144" t="s">
        <v>1449</v>
      </c>
      <c r="F597" s="139" t="s">
        <v>88</v>
      </c>
      <c r="G597" s="144" t="s">
        <v>2108</v>
      </c>
      <c r="H597" s="146" t="s">
        <v>26</v>
      </c>
      <c r="I597" s="144" t="s">
        <v>1436</v>
      </c>
    </row>
    <row r="598" spans="1:9" ht="38.1">
      <c r="A598" s="193">
        <v>45686</v>
      </c>
      <c r="B598" s="145" t="s">
        <v>823</v>
      </c>
      <c r="C598" s="150">
        <v>2025</v>
      </c>
      <c r="D598" s="201" t="s">
        <v>1431</v>
      </c>
      <c r="E598" s="144" t="s">
        <v>1506</v>
      </c>
      <c r="F598" s="139" t="s">
        <v>88</v>
      </c>
      <c r="G598" s="144" t="s">
        <v>2109</v>
      </c>
      <c r="H598" s="146" t="s">
        <v>26</v>
      </c>
      <c r="I598" s="144" t="s">
        <v>1436</v>
      </c>
    </row>
    <row r="599" spans="1:9" ht="25.5">
      <c r="A599" s="193">
        <v>45686</v>
      </c>
      <c r="B599" s="145" t="s">
        <v>823</v>
      </c>
      <c r="C599" s="150">
        <v>2025</v>
      </c>
      <c r="D599" s="201" t="s">
        <v>1431</v>
      </c>
      <c r="E599" s="144" t="s">
        <v>1506</v>
      </c>
      <c r="F599" s="139" t="s">
        <v>88</v>
      </c>
      <c r="G599" s="144" t="s">
        <v>2110</v>
      </c>
      <c r="H599" s="146" t="s">
        <v>26</v>
      </c>
      <c r="I599" s="144" t="s">
        <v>1436</v>
      </c>
    </row>
    <row r="600" spans="1:9" ht="25.5">
      <c r="A600" s="193">
        <v>45686</v>
      </c>
      <c r="B600" s="145" t="s">
        <v>823</v>
      </c>
      <c r="C600" s="150">
        <v>2025</v>
      </c>
      <c r="D600" s="201" t="s">
        <v>1431</v>
      </c>
      <c r="E600" s="144" t="s">
        <v>1506</v>
      </c>
      <c r="F600" s="139" t="s">
        <v>88</v>
      </c>
      <c r="G600" s="144" t="s">
        <v>2111</v>
      </c>
      <c r="H600" s="146" t="s">
        <v>26</v>
      </c>
      <c r="I600" s="144" t="s">
        <v>1436</v>
      </c>
    </row>
    <row r="601" spans="1:9" ht="25.5">
      <c r="A601" s="193">
        <v>45686</v>
      </c>
      <c r="B601" s="145" t="s">
        <v>823</v>
      </c>
      <c r="C601" s="150">
        <v>2025</v>
      </c>
      <c r="D601" s="201" t="s">
        <v>1431</v>
      </c>
      <c r="E601" s="144" t="s">
        <v>21</v>
      </c>
      <c r="F601" s="141" t="s">
        <v>821</v>
      </c>
      <c r="G601" s="144" t="s">
        <v>2112</v>
      </c>
      <c r="H601" s="146" t="s">
        <v>26</v>
      </c>
      <c r="I601" s="144" t="s">
        <v>1436</v>
      </c>
    </row>
    <row r="602" spans="1:9" ht="38.1">
      <c r="A602" s="193">
        <v>45686</v>
      </c>
      <c r="B602" s="145" t="s">
        <v>823</v>
      </c>
      <c r="C602" s="150">
        <v>2025</v>
      </c>
      <c r="D602" s="201" t="s">
        <v>1431</v>
      </c>
      <c r="E602" s="144" t="s">
        <v>216</v>
      </c>
      <c r="F602" s="141" t="s">
        <v>821</v>
      </c>
      <c r="G602" s="144" t="s">
        <v>2113</v>
      </c>
      <c r="H602" s="146" t="s">
        <v>26</v>
      </c>
      <c r="I602" s="144" t="s">
        <v>1436</v>
      </c>
    </row>
    <row r="603" spans="1:9" ht="38.1">
      <c r="A603" s="193">
        <v>45686</v>
      </c>
      <c r="B603" s="145" t="s">
        <v>823</v>
      </c>
      <c r="C603" s="150">
        <v>2025</v>
      </c>
      <c r="D603" s="201" t="s">
        <v>1431</v>
      </c>
      <c r="E603" s="144" t="s">
        <v>1449</v>
      </c>
      <c r="F603" s="139" t="s">
        <v>88</v>
      </c>
      <c r="G603" s="144" t="s">
        <v>2114</v>
      </c>
      <c r="H603" s="146" t="s">
        <v>26</v>
      </c>
      <c r="I603" s="144" t="s">
        <v>1436</v>
      </c>
    </row>
    <row r="604" spans="1:9" ht="50.45">
      <c r="A604" s="193">
        <v>45686</v>
      </c>
      <c r="B604" s="145" t="s">
        <v>823</v>
      </c>
      <c r="C604" s="150">
        <v>2025</v>
      </c>
      <c r="D604" s="201" t="s">
        <v>1431</v>
      </c>
      <c r="E604" s="144" t="s">
        <v>21</v>
      </c>
      <c r="F604" s="139" t="s">
        <v>88</v>
      </c>
      <c r="G604" s="144" t="s">
        <v>2115</v>
      </c>
      <c r="H604" s="146" t="s">
        <v>26</v>
      </c>
      <c r="I604" s="144" t="s">
        <v>1436</v>
      </c>
    </row>
    <row r="605" spans="1:9" ht="50.45">
      <c r="A605" s="193">
        <v>45686</v>
      </c>
      <c r="B605" s="145" t="s">
        <v>823</v>
      </c>
      <c r="C605" s="150">
        <v>2025</v>
      </c>
      <c r="D605" s="201" t="s">
        <v>1431</v>
      </c>
      <c r="E605" s="144" t="s">
        <v>1225</v>
      </c>
      <c r="F605" s="139" t="s">
        <v>88</v>
      </c>
      <c r="G605" s="144" t="s">
        <v>2116</v>
      </c>
      <c r="H605" s="146" t="s">
        <v>26</v>
      </c>
      <c r="I605" s="144" t="s">
        <v>1436</v>
      </c>
    </row>
    <row r="606" spans="1:9" ht="38.1">
      <c r="A606" s="193">
        <v>45686</v>
      </c>
      <c r="B606" s="145" t="s">
        <v>823</v>
      </c>
      <c r="C606" s="150">
        <v>2025</v>
      </c>
      <c r="D606" s="201" t="s">
        <v>1431</v>
      </c>
      <c r="E606" s="144" t="s">
        <v>216</v>
      </c>
      <c r="F606" s="141" t="s">
        <v>821</v>
      </c>
      <c r="G606" s="144" t="s">
        <v>2117</v>
      </c>
      <c r="H606" s="146" t="s">
        <v>26</v>
      </c>
      <c r="I606" s="144" t="s">
        <v>1436</v>
      </c>
    </row>
    <row r="607" spans="1:9" ht="38.1">
      <c r="A607" s="193">
        <v>45687</v>
      </c>
      <c r="B607" s="145" t="s">
        <v>823</v>
      </c>
      <c r="C607" s="150">
        <v>2025</v>
      </c>
      <c r="D607" s="201" t="s">
        <v>1431</v>
      </c>
      <c r="E607" s="144" t="s">
        <v>1506</v>
      </c>
      <c r="F607" s="139" t="s">
        <v>88</v>
      </c>
      <c r="G607" s="144" t="s">
        <v>2118</v>
      </c>
      <c r="H607" s="146" t="s">
        <v>26</v>
      </c>
      <c r="I607" s="144" t="s">
        <v>1436</v>
      </c>
    </row>
    <row r="608" spans="1:9" ht="38.1">
      <c r="A608" s="193">
        <v>45687</v>
      </c>
      <c r="B608" s="145" t="s">
        <v>823</v>
      </c>
      <c r="C608" s="150">
        <v>2025</v>
      </c>
      <c r="D608" s="201" t="s">
        <v>1431</v>
      </c>
      <c r="E608" s="144" t="s">
        <v>574</v>
      </c>
      <c r="F608" s="139" t="s">
        <v>88</v>
      </c>
      <c r="G608" s="144" t="s">
        <v>2119</v>
      </c>
      <c r="H608" s="146" t="s">
        <v>26</v>
      </c>
      <c r="I608" s="144" t="s">
        <v>1436</v>
      </c>
    </row>
    <row r="609" spans="1:9" ht="50.45">
      <c r="A609" s="193">
        <v>45687</v>
      </c>
      <c r="B609" s="145" t="s">
        <v>823</v>
      </c>
      <c r="C609" s="150">
        <v>2025</v>
      </c>
      <c r="D609" s="201" t="s">
        <v>1431</v>
      </c>
      <c r="E609" s="144" t="s">
        <v>574</v>
      </c>
      <c r="F609" s="139" t="s">
        <v>88</v>
      </c>
      <c r="G609" s="144" t="s">
        <v>2120</v>
      </c>
      <c r="H609" s="146" t="s">
        <v>26</v>
      </c>
      <c r="I609" s="144" t="s">
        <v>1436</v>
      </c>
    </row>
    <row r="610" spans="1:9" ht="25.5">
      <c r="A610" s="193">
        <v>45688</v>
      </c>
      <c r="B610" s="145" t="s">
        <v>823</v>
      </c>
      <c r="C610" s="150">
        <v>2025</v>
      </c>
      <c r="D610" s="201" t="s">
        <v>1431</v>
      </c>
      <c r="E610" s="144" t="s">
        <v>1566</v>
      </c>
      <c r="F610" s="139" t="s">
        <v>88</v>
      </c>
      <c r="G610" s="144" t="s">
        <v>2121</v>
      </c>
      <c r="H610" s="146" t="s">
        <v>26</v>
      </c>
      <c r="I610" s="144" t="s">
        <v>1436</v>
      </c>
    </row>
    <row r="611" spans="1:9" ht="25.5">
      <c r="A611" s="193">
        <v>45688</v>
      </c>
      <c r="B611" s="145" t="s">
        <v>823</v>
      </c>
      <c r="C611" s="150">
        <v>2025</v>
      </c>
      <c r="D611" s="201" t="s">
        <v>1431</v>
      </c>
      <c r="E611" s="144" t="s">
        <v>1506</v>
      </c>
      <c r="F611" s="139" t="s">
        <v>88</v>
      </c>
      <c r="G611" s="144" t="s">
        <v>2122</v>
      </c>
      <c r="H611" s="146" t="s">
        <v>26</v>
      </c>
      <c r="I611" s="144" t="s">
        <v>1436</v>
      </c>
    </row>
    <row r="612" spans="1:9" ht="25.5">
      <c r="A612" s="193">
        <v>45691</v>
      </c>
      <c r="B612" s="145" t="s">
        <v>824</v>
      </c>
      <c r="C612" s="150">
        <v>2025</v>
      </c>
      <c r="D612" s="201" t="s">
        <v>1431</v>
      </c>
      <c r="E612" s="144" t="s">
        <v>1584</v>
      </c>
      <c r="F612" s="141" t="s">
        <v>821</v>
      </c>
      <c r="G612" s="144" t="s">
        <v>2123</v>
      </c>
      <c r="H612" s="146" t="s">
        <v>26</v>
      </c>
      <c r="I612" s="144" t="s">
        <v>1436</v>
      </c>
    </row>
    <row r="613" spans="1:9" ht="25.5">
      <c r="A613" s="193">
        <v>45691</v>
      </c>
      <c r="B613" s="145" t="s">
        <v>824</v>
      </c>
      <c r="C613" s="150">
        <v>2025</v>
      </c>
      <c r="D613" s="201" t="s">
        <v>1431</v>
      </c>
      <c r="E613" s="144" t="s">
        <v>1436</v>
      </c>
      <c r="F613" s="141" t="s">
        <v>821</v>
      </c>
      <c r="G613" s="144" t="s">
        <v>2124</v>
      </c>
      <c r="H613" s="146" t="s">
        <v>26</v>
      </c>
      <c r="I613" s="144" t="s">
        <v>1436</v>
      </c>
    </row>
    <row r="614" spans="1:9" ht="25.5">
      <c r="A614" s="193">
        <v>45691</v>
      </c>
      <c r="B614" s="145" t="s">
        <v>824</v>
      </c>
      <c r="C614" s="150">
        <v>2025</v>
      </c>
      <c r="D614" s="201" t="s">
        <v>1431</v>
      </c>
      <c r="E614" s="144" t="s">
        <v>21</v>
      </c>
      <c r="F614" s="141" t="s">
        <v>821</v>
      </c>
      <c r="G614" s="144" t="s">
        <v>2125</v>
      </c>
      <c r="H614" s="146" t="s">
        <v>26</v>
      </c>
      <c r="I614" s="144" t="s">
        <v>1436</v>
      </c>
    </row>
    <row r="615" spans="1:9" ht="14.1">
      <c r="A615" s="193">
        <v>45691</v>
      </c>
      <c r="B615" s="145" t="s">
        <v>824</v>
      </c>
      <c r="C615" s="150">
        <v>2025</v>
      </c>
      <c r="D615" s="201" t="s">
        <v>1431</v>
      </c>
      <c r="E615" s="144" t="s">
        <v>216</v>
      </c>
      <c r="F615" s="141" t="s">
        <v>821</v>
      </c>
      <c r="G615" s="144" t="s">
        <v>2126</v>
      </c>
      <c r="H615" s="146" t="s">
        <v>26</v>
      </c>
      <c r="I615" s="144" t="s">
        <v>1436</v>
      </c>
    </row>
    <row r="616" spans="1:9" ht="14.1">
      <c r="A616" s="193">
        <v>45691</v>
      </c>
      <c r="B616" s="145" t="s">
        <v>824</v>
      </c>
      <c r="C616" s="150">
        <v>2025</v>
      </c>
      <c r="D616" s="201" t="s">
        <v>1431</v>
      </c>
      <c r="E616" s="144" t="s">
        <v>1506</v>
      </c>
      <c r="F616" s="139" t="s">
        <v>88</v>
      </c>
      <c r="G616" s="144" t="s">
        <v>2127</v>
      </c>
      <c r="H616" s="146" t="s">
        <v>26</v>
      </c>
      <c r="I616" s="144" t="s">
        <v>1436</v>
      </c>
    </row>
    <row r="617" spans="1:9" ht="25.5">
      <c r="A617" s="193">
        <v>45691</v>
      </c>
      <c r="B617" s="145" t="s">
        <v>824</v>
      </c>
      <c r="C617" s="150">
        <v>2025</v>
      </c>
      <c r="D617" s="201" t="s">
        <v>1431</v>
      </c>
      <c r="E617" s="144" t="s">
        <v>1436</v>
      </c>
      <c r="F617" s="139" t="s">
        <v>88</v>
      </c>
      <c r="G617" s="144" t="s">
        <v>2128</v>
      </c>
      <c r="H617" s="146" t="s">
        <v>26</v>
      </c>
      <c r="I617" s="144" t="s">
        <v>1436</v>
      </c>
    </row>
    <row r="618" spans="1:9" ht="14.1">
      <c r="A618" s="193">
        <v>45691</v>
      </c>
      <c r="B618" s="145" t="s">
        <v>824</v>
      </c>
      <c r="C618" s="150">
        <v>2025</v>
      </c>
      <c r="D618" s="201" t="s">
        <v>1431</v>
      </c>
      <c r="E618" s="144" t="s">
        <v>1436</v>
      </c>
      <c r="F618" s="139" t="s">
        <v>88</v>
      </c>
      <c r="G618" s="144" t="s">
        <v>2129</v>
      </c>
      <c r="H618" s="146" t="s">
        <v>26</v>
      </c>
      <c r="I618" s="144" t="s">
        <v>1436</v>
      </c>
    </row>
    <row r="619" spans="1:9" ht="25.5">
      <c r="A619" s="193">
        <v>45691</v>
      </c>
      <c r="B619" s="145" t="s">
        <v>824</v>
      </c>
      <c r="C619" s="150">
        <v>2025</v>
      </c>
      <c r="D619" s="201" t="s">
        <v>1431</v>
      </c>
      <c r="E619" s="144" t="s">
        <v>1506</v>
      </c>
      <c r="F619" s="139" t="s">
        <v>88</v>
      </c>
      <c r="G619" s="144" t="s">
        <v>2130</v>
      </c>
      <c r="H619" s="146" t="s">
        <v>26</v>
      </c>
      <c r="I619" s="144" t="s">
        <v>1436</v>
      </c>
    </row>
    <row r="620" spans="1:9" ht="25.5">
      <c r="A620" s="193">
        <v>45691</v>
      </c>
      <c r="B620" s="145" t="s">
        <v>824</v>
      </c>
      <c r="C620" s="150">
        <v>2025</v>
      </c>
      <c r="D620" s="201" t="s">
        <v>1431</v>
      </c>
      <c r="E620" s="144" t="s">
        <v>1506</v>
      </c>
      <c r="F620" s="139" t="s">
        <v>88</v>
      </c>
      <c r="G620" s="144" t="s">
        <v>2131</v>
      </c>
      <c r="H620" s="146" t="s">
        <v>26</v>
      </c>
      <c r="I620" s="144" t="s">
        <v>1436</v>
      </c>
    </row>
    <row r="621" spans="1:9" ht="25.5">
      <c r="A621" s="193">
        <v>45691</v>
      </c>
      <c r="B621" s="145" t="s">
        <v>824</v>
      </c>
      <c r="C621" s="150">
        <v>2025</v>
      </c>
      <c r="D621" s="201" t="s">
        <v>1431</v>
      </c>
      <c r="E621" s="144" t="s">
        <v>1506</v>
      </c>
      <c r="F621" s="139" t="s">
        <v>88</v>
      </c>
      <c r="G621" s="144" t="s">
        <v>2132</v>
      </c>
      <c r="H621" s="146" t="s">
        <v>26</v>
      </c>
      <c r="I621" s="144" t="s">
        <v>1436</v>
      </c>
    </row>
    <row r="622" spans="1:9" ht="25.5">
      <c r="A622" s="193">
        <v>45691</v>
      </c>
      <c r="B622" s="145" t="s">
        <v>824</v>
      </c>
      <c r="C622" s="150">
        <v>2025</v>
      </c>
      <c r="D622" s="201" t="s">
        <v>1431</v>
      </c>
      <c r="E622" s="144" t="s">
        <v>1436</v>
      </c>
      <c r="F622" s="139" t="s">
        <v>88</v>
      </c>
      <c r="G622" s="144" t="s">
        <v>2133</v>
      </c>
      <c r="H622" s="146" t="s">
        <v>26</v>
      </c>
      <c r="I622" s="144" t="s">
        <v>1436</v>
      </c>
    </row>
    <row r="623" spans="1:9" ht="25.5">
      <c r="A623" s="193">
        <v>45691</v>
      </c>
      <c r="B623" s="145" t="s">
        <v>824</v>
      </c>
      <c r="C623" s="150">
        <v>2025</v>
      </c>
      <c r="D623" s="201" t="s">
        <v>1431</v>
      </c>
      <c r="E623" s="144" t="s">
        <v>1449</v>
      </c>
      <c r="F623" s="139" t="s">
        <v>88</v>
      </c>
      <c r="G623" s="144" t="s">
        <v>2134</v>
      </c>
      <c r="H623" s="146" t="s">
        <v>26</v>
      </c>
      <c r="I623" s="144" t="s">
        <v>1436</v>
      </c>
    </row>
    <row r="624" spans="1:9" ht="25.5">
      <c r="A624" s="193">
        <v>45692</v>
      </c>
      <c r="B624" s="145" t="s">
        <v>824</v>
      </c>
      <c r="C624" s="150">
        <v>2025</v>
      </c>
      <c r="D624" s="201" t="s">
        <v>1431</v>
      </c>
      <c r="E624" s="144" t="s">
        <v>574</v>
      </c>
      <c r="F624" s="139" t="s">
        <v>88</v>
      </c>
      <c r="G624" s="144" t="s">
        <v>2135</v>
      </c>
      <c r="H624" s="146" t="s">
        <v>26</v>
      </c>
      <c r="I624" s="144" t="s">
        <v>1436</v>
      </c>
    </row>
    <row r="625" spans="1:9" ht="25.5">
      <c r="A625" s="193">
        <v>45692</v>
      </c>
      <c r="B625" s="145" t="s">
        <v>824</v>
      </c>
      <c r="C625" s="150">
        <v>2025</v>
      </c>
      <c r="D625" s="201" t="s">
        <v>1431</v>
      </c>
      <c r="E625" s="144" t="s">
        <v>1449</v>
      </c>
      <c r="F625" s="139" t="s">
        <v>88</v>
      </c>
      <c r="G625" s="144" t="s">
        <v>2136</v>
      </c>
      <c r="H625" s="146" t="s">
        <v>26</v>
      </c>
      <c r="I625" s="144" t="s">
        <v>1436</v>
      </c>
    </row>
    <row r="626" spans="1:9" ht="25.5">
      <c r="A626" s="193">
        <v>45692</v>
      </c>
      <c r="B626" s="145" t="s">
        <v>824</v>
      </c>
      <c r="C626" s="150">
        <v>2025</v>
      </c>
      <c r="D626" s="201" t="s">
        <v>1431</v>
      </c>
      <c r="E626" s="144" t="s">
        <v>1436</v>
      </c>
      <c r="F626" s="139" t="s">
        <v>88</v>
      </c>
      <c r="G626" s="144" t="s">
        <v>2137</v>
      </c>
      <c r="H626" s="146" t="s">
        <v>26</v>
      </c>
      <c r="I626" s="144" t="s">
        <v>1436</v>
      </c>
    </row>
    <row r="627" spans="1:9" ht="25.5">
      <c r="A627" s="193">
        <v>45692</v>
      </c>
      <c r="B627" s="145" t="s">
        <v>824</v>
      </c>
      <c r="C627" s="150">
        <v>2025</v>
      </c>
      <c r="D627" s="201" t="s">
        <v>1431</v>
      </c>
      <c r="E627" s="144" t="s">
        <v>1449</v>
      </c>
      <c r="F627" s="139" t="s">
        <v>88</v>
      </c>
      <c r="G627" s="144" t="s">
        <v>2138</v>
      </c>
      <c r="H627" s="146" t="s">
        <v>26</v>
      </c>
      <c r="I627" s="144" t="s">
        <v>1436</v>
      </c>
    </row>
    <row r="628" spans="1:9" ht="25.5">
      <c r="A628" s="193">
        <v>45693</v>
      </c>
      <c r="B628" s="145" t="s">
        <v>824</v>
      </c>
      <c r="C628" s="150">
        <v>2025</v>
      </c>
      <c r="D628" s="201" t="s">
        <v>1431</v>
      </c>
      <c r="E628" s="144" t="s">
        <v>1560</v>
      </c>
      <c r="F628" s="147" t="s">
        <v>859</v>
      </c>
      <c r="G628" s="144" t="s">
        <v>2139</v>
      </c>
      <c r="H628" s="146" t="s">
        <v>26</v>
      </c>
      <c r="I628" s="144" t="s">
        <v>2140</v>
      </c>
    </row>
    <row r="629" spans="1:9" ht="25.5">
      <c r="A629" s="193">
        <v>45693</v>
      </c>
      <c r="B629" s="145" t="s">
        <v>824</v>
      </c>
      <c r="C629" s="150">
        <v>2025</v>
      </c>
      <c r="D629" s="201" t="s">
        <v>1431</v>
      </c>
      <c r="E629" s="144" t="s">
        <v>1506</v>
      </c>
      <c r="F629" s="139" t="s">
        <v>88</v>
      </c>
      <c r="G629" s="144" t="s">
        <v>2141</v>
      </c>
      <c r="H629" s="146" t="s">
        <v>26</v>
      </c>
      <c r="I629" s="144" t="s">
        <v>1436</v>
      </c>
    </row>
    <row r="630" spans="1:9" ht="25.5">
      <c r="A630" s="193">
        <v>45693</v>
      </c>
      <c r="B630" s="145" t="s">
        <v>824</v>
      </c>
      <c r="C630" s="150">
        <v>2025</v>
      </c>
      <c r="D630" s="201" t="s">
        <v>1431</v>
      </c>
      <c r="E630" s="144" t="s">
        <v>1449</v>
      </c>
      <c r="F630" s="139" t="s">
        <v>88</v>
      </c>
      <c r="G630" s="144" t="s">
        <v>2142</v>
      </c>
      <c r="H630" s="146" t="s">
        <v>26</v>
      </c>
      <c r="I630" s="144" t="s">
        <v>1436</v>
      </c>
    </row>
    <row r="631" spans="1:9" ht="25.5">
      <c r="A631" s="193">
        <v>45694</v>
      </c>
      <c r="B631" s="145" t="s">
        <v>824</v>
      </c>
      <c r="C631" s="150">
        <v>2025</v>
      </c>
      <c r="D631" s="201" t="s">
        <v>1431</v>
      </c>
      <c r="E631" s="144" t="s">
        <v>1436</v>
      </c>
      <c r="F631" s="140" t="s">
        <v>1439</v>
      </c>
      <c r="G631" s="144" t="s">
        <v>2143</v>
      </c>
      <c r="H631" s="146" t="s">
        <v>26</v>
      </c>
      <c r="I631" s="144" t="s">
        <v>1436</v>
      </c>
    </row>
    <row r="632" spans="1:9" ht="38.1">
      <c r="A632" s="193">
        <v>45694</v>
      </c>
      <c r="B632" s="145" t="s">
        <v>824</v>
      </c>
      <c r="C632" s="150">
        <v>2025</v>
      </c>
      <c r="D632" s="201" t="s">
        <v>1431</v>
      </c>
      <c r="E632" s="144" t="s">
        <v>1506</v>
      </c>
      <c r="F632" s="139" t="s">
        <v>88</v>
      </c>
      <c r="G632" s="144" t="s">
        <v>2144</v>
      </c>
      <c r="H632" s="146" t="s">
        <v>26</v>
      </c>
      <c r="I632" s="144" t="s">
        <v>1436</v>
      </c>
    </row>
    <row r="633" spans="1:9" ht="25.5">
      <c r="A633" s="193">
        <v>45694</v>
      </c>
      <c r="B633" s="145" t="s">
        <v>824</v>
      </c>
      <c r="C633" s="150">
        <v>2025</v>
      </c>
      <c r="D633" s="201" t="s">
        <v>1431</v>
      </c>
      <c r="E633" s="144" t="s">
        <v>1539</v>
      </c>
      <c r="F633" s="139" t="s">
        <v>88</v>
      </c>
      <c r="G633" s="144" t="s">
        <v>2145</v>
      </c>
      <c r="H633" s="146" t="s">
        <v>26</v>
      </c>
      <c r="I633" s="144" t="s">
        <v>1436</v>
      </c>
    </row>
    <row r="634" spans="1:9" ht="25.5">
      <c r="A634" s="193">
        <v>45694</v>
      </c>
      <c r="B634" s="145" t="s">
        <v>824</v>
      </c>
      <c r="C634" s="150">
        <v>2025</v>
      </c>
      <c r="D634" s="201" t="s">
        <v>1431</v>
      </c>
      <c r="E634" s="144" t="s">
        <v>1449</v>
      </c>
      <c r="F634" s="139" t="s">
        <v>88</v>
      </c>
      <c r="G634" s="144" t="s">
        <v>2146</v>
      </c>
      <c r="H634" s="146" t="s">
        <v>26</v>
      </c>
      <c r="I634" s="144" t="s">
        <v>1436</v>
      </c>
    </row>
    <row r="635" spans="1:9" ht="25.5">
      <c r="A635" s="193">
        <v>45694</v>
      </c>
      <c r="B635" s="145" t="s">
        <v>824</v>
      </c>
      <c r="C635" s="150">
        <v>2025</v>
      </c>
      <c r="D635" s="201" t="s">
        <v>1431</v>
      </c>
      <c r="E635" s="144" t="s">
        <v>1436</v>
      </c>
      <c r="F635" s="139" t="s">
        <v>88</v>
      </c>
      <c r="G635" s="144" t="s">
        <v>2147</v>
      </c>
      <c r="H635" s="146" t="s">
        <v>26</v>
      </c>
      <c r="I635" s="144" t="s">
        <v>1436</v>
      </c>
    </row>
    <row r="636" spans="1:9" ht="14.1">
      <c r="A636" s="193">
        <v>45694</v>
      </c>
      <c r="B636" s="145" t="s">
        <v>824</v>
      </c>
      <c r="C636" s="150">
        <v>2025</v>
      </c>
      <c r="D636" s="201" t="s">
        <v>1431</v>
      </c>
      <c r="E636" s="144" t="s">
        <v>1449</v>
      </c>
      <c r="F636" s="139" t="s">
        <v>88</v>
      </c>
      <c r="G636" s="144" t="s">
        <v>2148</v>
      </c>
      <c r="H636" s="146" t="s">
        <v>26</v>
      </c>
      <c r="I636" s="144" t="s">
        <v>1436</v>
      </c>
    </row>
    <row r="637" spans="1:9" ht="25.5">
      <c r="A637" s="193">
        <v>45698</v>
      </c>
      <c r="B637" s="145" t="s">
        <v>824</v>
      </c>
      <c r="C637" s="150">
        <v>2025</v>
      </c>
      <c r="D637" s="201" t="s">
        <v>1431</v>
      </c>
      <c r="E637" s="144" t="s">
        <v>1506</v>
      </c>
      <c r="F637" s="139" t="s">
        <v>88</v>
      </c>
      <c r="G637" s="144" t="s">
        <v>2149</v>
      </c>
      <c r="H637" s="146" t="s">
        <v>130</v>
      </c>
      <c r="I637" s="144" t="s">
        <v>2150</v>
      </c>
    </row>
    <row r="638" spans="1:9" ht="25.5">
      <c r="A638" s="193">
        <v>45698</v>
      </c>
      <c r="B638" s="145" t="s">
        <v>824</v>
      </c>
      <c r="C638" s="150">
        <v>2025</v>
      </c>
      <c r="D638" s="201" t="s">
        <v>1431</v>
      </c>
      <c r="E638" s="144" t="s">
        <v>1584</v>
      </c>
      <c r="F638" s="141" t="s">
        <v>821</v>
      </c>
      <c r="G638" s="144" t="s">
        <v>2151</v>
      </c>
      <c r="H638" s="146" t="s">
        <v>26</v>
      </c>
      <c r="I638" s="144" t="s">
        <v>1436</v>
      </c>
    </row>
    <row r="639" spans="1:9" ht="63">
      <c r="A639" s="193">
        <v>45698</v>
      </c>
      <c r="B639" s="145" t="s">
        <v>824</v>
      </c>
      <c r="C639" s="150">
        <v>2025</v>
      </c>
      <c r="D639" s="201" t="s">
        <v>1431</v>
      </c>
      <c r="E639" s="144" t="s">
        <v>1539</v>
      </c>
      <c r="F639" s="139" t="s">
        <v>88</v>
      </c>
      <c r="G639" s="144" t="s">
        <v>2152</v>
      </c>
      <c r="H639" s="146" t="s">
        <v>26</v>
      </c>
      <c r="I639" s="144" t="s">
        <v>1436</v>
      </c>
    </row>
    <row r="640" spans="1:9" ht="25.5">
      <c r="A640" s="193">
        <v>45699</v>
      </c>
      <c r="B640" s="145" t="s">
        <v>824</v>
      </c>
      <c r="C640" s="150">
        <v>2025</v>
      </c>
      <c r="D640" s="201" t="s">
        <v>1431</v>
      </c>
      <c r="E640" s="144" t="s">
        <v>1436</v>
      </c>
      <c r="F640" s="139" t="s">
        <v>88</v>
      </c>
      <c r="G640" s="144" t="s">
        <v>2153</v>
      </c>
      <c r="H640" s="146" t="s">
        <v>26</v>
      </c>
      <c r="I640" s="144" t="s">
        <v>1436</v>
      </c>
    </row>
    <row r="641" spans="1:9" ht="25.5">
      <c r="A641" s="193">
        <v>45699</v>
      </c>
      <c r="B641" s="145" t="s">
        <v>824</v>
      </c>
      <c r="C641" s="150">
        <v>2025</v>
      </c>
      <c r="D641" s="201" t="s">
        <v>1431</v>
      </c>
      <c r="E641" s="144" t="s">
        <v>216</v>
      </c>
      <c r="F641" s="141" t="s">
        <v>821</v>
      </c>
      <c r="G641" s="144" t="s">
        <v>2154</v>
      </c>
      <c r="H641" s="146" t="s">
        <v>26</v>
      </c>
      <c r="I641" s="144" t="s">
        <v>492</v>
      </c>
    </row>
    <row r="642" spans="1:9" ht="14.1">
      <c r="A642" s="193">
        <v>45699</v>
      </c>
      <c r="B642" s="145" t="s">
        <v>824</v>
      </c>
      <c r="C642" s="150">
        <v>2025</v>
      </c>
      <c r="D642" s="201" t="s">
        <v>1431</v>
      </c>
      <c r="E642" s="144" t="s">
        <v>1436</v>
      </c>
      <c r="F642" s="141" t="s">
        <v>821</v>
      </c>
      <c r="G642" s="144" t="s">
        <v>2155</v>
      </c>
      <c r="H642" s="146" t="s">
        <v>26</v>
      </c>
      <c r="I642" s="144" t="s">
        <v>1436</v>
      </c>
    </row>
    <row r="643" spans="1:9" ht="25.5">
      <c r="A643" s="193">
        <v>45700</v>
      </c>
      <c r="B643" s="145" t="s">
        <v>824</v>
      </c>
      <c r="C643" s="150">
        <v>2025</v>
      </c>
      <c r="D643" s="201" t="s">
        <v>1431</v>
      </c>
      <c r="E643" s="144" t="s">
        <v>21</v>
      </c>
      <c r="F643" s="141" t="s">
        <v>821</v>
      </c>
      <c r="G643" s="144" t="s">
        <v>2156</v>
      </c>
      <c r="H643" s="146" t="s">
        <v>26</v>
      </c>
      <c r="I643" s="144" t="s">
        <v>1436</v>
      </c>
    </row>
    <row r="644" spans="1:9" ht="25.5">
      <c r="A644" s="193">
        <v>45700</v>
      </c>
      <c r="B644" s="145" t="s">
        <v>824</v>
      </c>
      <c r="C644" s="150">
        <v>2025</v>
      </c>
      <c r="D644" s="201" t="s">
        <v>1431</v>
      </c>
      <c r="E644" s="144" t="s">
        <v>1584</v>
      </c>
      <c r="F644" s="141" t="s">
        <v>821</v>
      </c>
      <c r="G644" s="144" t="s">
        <v>2157</v>
      </c>
      <c r="H644" s="146" t="s">
        <v>26</v>
      </c>
      <c r="I644" s="144" t="s">
        <v>1436</v>
      </c>
    </row>
    <row r="645" spans="1:9" ht="38.1">
      <c r="A645" s="193">
        <v>45701</v>
      </c>
      <c r="B645" s="145" t="s">
        <v>824</v>
      </c>
      <c r="C645" s="150">
        <v>2025</v>
      </c>
      <c r="D645" s="201" t="s">
        <v>1431</v>
      </c>
      <c r="E645" s="144" t="s">
        <v>1436</v>
      </c>
      <c r="F645" s="139" t="s">
        <v>88</v>
      </c>
      <c r="G645" s="144" t="s">
        <v>2158</v>
      </c>
      <c r="H645" s="146" t="s">
        <v>26</v>
      </c>
      <c r="I645" s="144" t="s">
        <v>1436</v>
      </c>
    </row>
    <row r="646" spans="1:9" ht="25.5">
      <c r="A646" s="193">
        <v>45701</v>
      </c>
      <c r="B646" s="145" t="s">
        <v>824</v>
      </c>
      <c r="C646" s="150">
        <v>2025</v>
      </c>
      <c r="D646" s="201" t="s">
        <v>1431</v>
      </c>
      <c r="E646" s="144" t="s">
        <v>1584</v>
      </c>
      <c r="F646" s="141" t="s">
        <v>821</v>
      </c>
      <c r="G646" s="144" t="s">
        <v>2159</v>
      </c>
      <c r="H646" s="146" t="s">
        <v>26</v>
      </c>
      <c r="I646" s="144" t="s">
        <v>1436</v>
      </c>
    </row>
    <row r="647" spans="1:9" ht="25.5">
      <c r="A647" s="193">
        <v>45701</v>
      </c>
      <c r="B647" s="145" t="s">
        <v>824</v>
      </c>
      <c r="C647" s="150">
        <v>2025</v>
      </c>
      <c r="D647" s="201" t="s">
        <v>1431</v>
      </c>
      <c r="E647" s="144" t="s">
        <v>1436</v>
      </c>
      <c r="F647" s="147" t="s">
        <v>859</v>
      </c>
      <c r="G647" s="144" t="s">
        <v>2160</v>
      </c>
      <c r="H647" s="146" t="s">
        <v>26</v>
      </c>
      <c r="I647" s="144" t="s">
        <v>1436</v>
      </c>
    </row>
    <row r="648" spans="1:9" ht="25.5">
      <c r="A648" s="193">
        <v>45702</v>
      </c>
      <c r="B648" s="145" t="s">
        <v>824</v>
      </c>
      <c r="C648" s="150">
        <v>2025</v>
      </c>
      <c r="D648" s="201" t="s">
        <v>1431</v>
      </c>
      <c r="E648" s="144" t="s">
        <v>1436</v>
      </c>
      <c r="F648" s="147" t="s">
        <v>859</v>
      </c>
      <c r="G648" s="144" t="s">
        <v>2161</v>
      </c>
      <c r="H648" s="146" t="s">
        <v>26</v>
      </c>
      <c r="I648" s="144" t="s">
        <v>1436</v>
      </c>
    </row>
    <row r="649" spans="1:9" ht="14.1">
      <c r="A649" s="193">
        <v>45702</v>
      </c>
      <c r="B649" s="145" t="s">
        <v>824</v>
      </c>
      <c r="C649" s="150">
        <v>2025</v>
      </c>
      <c r="D649" s="201" t="s">
        <v>1431</v>
      </c>
      <c r="E649" s="144" t="s">
        <v>1436</v>
      </c>
      <c r="F649" s="141" t="s">
        <v>821</v>
      </c>
      <c r="G649" s="144" t="s">
        <v>2162</v>
      </c>
      <c r="H649" s="146" t="s">
        <v>26</v>
      </c>
      <c r="I649" s="144" t="s">
        <v>1436</v>
      </c>
    </row>
    <row r="650" spans="1:9" ht="14.1">
      <c r="A650" s="193">
        <v>45702</v>
      </c>
      <c r="B650" s="145" t="s">
        <v>824</v>
      </c>
      <c r="C650" s="150">
        <v>2025</v>
      </c>
      <c r="D650" s="201" t="s">
        <v>1431</v>
      </c>
      <c r="E650" s="144" t="s">
        <v>21</v>
      </c>
      <c r="F650" s="141" t="s">
        <v>821</v>
      </c>
      <c r="G650" s="144" t="s">
        <v>2163</v>
      </c>
      <c r="H650" s="146" t="s">
        <v>26</v>
      </c>
      <c r="I650" s="144" t="s">
        <v>1436</v>
      </c>
    </row>
    <row r="651" spans="1:9" ht="14.1">
      <c r="A651" s="193">
        <v>45702</v>
      </c>
      <c r="B651" s="145" t="s">
        <v>824</v>
      </c>
      <c r="C651" s="150">
        <v>2025</v>
      </c>
      <c r="D651" s="201" t="s">
        <v>1431</v>
      </c>
      <c r="E651" s="144" t="s">
        <v>1436</v>
      </c>
      <c r="F651" s="141" t="s">
        <v>821</v>
      </c>
      <c r="G651" s="144" t="s">
        <v>2164</v>
      </c>
      <c r="H651" s="146" t="s">
        <v>26</v>
      </c>
      <c r="I651" s="144" t="s">
        <v>1436</v>
      </c>
    </row>
    <row r="652" spans="1:9" ht="25.5">
      <c r="A652" s="193">
        <v>45702</v>
      </c>
      <c r="B652" s="145" t="s">
        <v>824</v>
      </c>
      <c r="C652" s="150">
        <v>2025</v>
      </c>
      <c r="D652" s="201" t="s">
        <v>1431</v>
      </c>
      <c r="E652" s="144" t="s">
        <v>21</v>
      </c>
      <c r="F652" s="141" t="s">
        <v>821</v>
      </c>
      <c r="G652" s="144" t="s">
        <v>2165</v>
      </c>
      <c r="H652" s="146" t="s">
        <v>26</v>
      </c>
      <c r="I652" s="144" t="s">
        <v>1436</v>
      </c>
    </row>
    <row r="653" spans="1:9" ht="25.5">
      <c r="A653" s="193">
        <v>45702</v>
      </c>
      <c r="B653" s="145" t="s">
        <v>824</v>
      </c>
      <c r="C653" s="150">
        <v>2025</v>
      </c>
      <c r="D653" s="201" t="s">
        <v>1431</v>
      </c>
      <c r="E653" s="144" t="s">
        <v>21</v>
      </c>
      <c r="F653" s="141" t="s">
        <v>821</v>
      </c>
      <c r="G653" s="144" t="s">
        <v>2166</v>
      </c>
      <c r="H653" s="146" t="s">
        <v>26</v>
      </c>
      <c r="I653" s="144" t="s">
        <v>1436</v>
      </c>
    </row>
    <row r="654" spans="1:9" ht="25.5">
      <c r="A654" s="193">
        <v>45702</v>
      </c>
      <c r="B654" s="145" t="s">
        <v>824</v>
      </c>
      <c r="C654" s="150">
        <v>2025</v>
      </c>
      <c r="D654" s="201" t="s">
        <v>1431</v>
      </c>
      <c r="E654" s="144" t="s">
        <v>21</v>
      </c>
      <c r="F654" s="141" t="s">
        <v>821</v>
      </c>
      <c r="G654" s="144" t="s">
        <v>2167</v>
      </c>
      <c r="H654" s="146" t="s">
        <v>26</v>
      </c>
      <c r="I654" s="144" t="s">
        <v>1436</v>
      </c>
    </row>
    <row r="655" spans="1:9" ht="14.1">
      <c r="A655" s="193">
        <v>45705</v>
      </c>
      <c r="B655" s="145" t="s">
        <v>824</v>
      </c>
      <c r="C655" s="150">
        <v>2025</v>
      </c>
      <c r="D655" s="201" t="s">
        <v>1431</v>
      </c>
      <c r="E655" s="144" t="s">
        <v>21</v>
      </c>
      <c r="F655" s="141" t="s">
        <v>821</v>
      </c>
      <c r="G655" s="144" t="s">
        <v>2168</v>
      </c>
      <c r="H655" s="146" t="s">
        <v>26</v>
      </c>
      <c r="I655" s="144" t="s">
        <v>1436</v>
      </c>
    </row>
    <row r="656" spans="1:9" ht="14.1">
      <c r="A656" s="193">
        <v>45705</v>
      </c>
      <c r="B656" s="145" t="s">
        <v>824</v>
      </c>
      <c r="C656" s="150">
        <v>2025</v>
      </c>
      <c r="D656" s="201" t="s">
        <v>1431</v>
      </c>
      <c r="E656" s="144" t="s">
        <v>1436</v>
      </c>
      <c r="F656" s="141" t="s">
        <v>821</v>
      </c>
      <c r="G656" s="144" t="s">
        <v>2169</v>
      </c>
      <c r="H656" s="146" t="s">
        <v>26</v>
      </c>
      <c r="I656" s="144" t="s">
        <v>1436</v>
      </c>
    </row>
    <row r="657" spans="1:9" ht="25.5">
      <c r="A657" s="193">
        <v>45705</v>
      </c>
      <c r="B657" s="145" t="s">
        <v>824</v>
      </c>
      <c r="C657" s="150">
        <v>2025</v>
      </c>
      <c r="D657" s="201" t="s">
        <v>1431</v>
      </c>
      <c r="E657" s="144" t="s">
        <v>1580</v>
      </c>
      <c r="F657" s="140" t="s">
        <v>1439</v>
      </c>
      <c r="G657" s="144" t="s">
        <v>2170</v>
      </c>
      <c r="H657" s="146" t="s">
        <v>26</v>
      </c>
      <c r="I657" s="144" t="s">
        <v>1436</v>
      </c>
    </row>
    <row r="658" spans="1:9" ht="25.5">
      <c r="A658" s="193">
        <v>45705</v>
      </c>
      <c r="B658" s="145" t="s">
        <v>824</v>
      </c>
      <c r="C658" s="150">
        <v>2025</v>
      </c>
      <c r="D658" s="201" t="s">
        <v>1431</v>
      </c>
      <c r="E658" s="144" t="s">
        <v>1506</v>
      </c>
      <c r="F658" s="139" t="s">
        <v>88</v>
      </c>
      <c r="G658" s="144" t="s">
        <v>2171</v>
      </c>
      <c r="H658" s="146" t="s">
        <v>26</v>
      </c>
      <c r="I658" s="144" t="s">
        <v>1436</v>
      </c>
    </row>
    <row r="659" spans="1:9" ht="14.1">
      <c r="A659" s="193">
        <v>45706</v>
      </c>
      <c r="B659" s="145" t="s">
        <v>824</v>
      </c>
      <c r="C659" s="150">
        <v>2025</v>
      </c>
      <c r="D659" s="201" t="s">
        <v>1431</v>
      </c>
      <c r="E659" s="144" t="s">
        <v>21</v>
      </c>
      <c r="F659" s="141" t="s">
        <v>821</v>
      </c>
      <c r="G659" s="144" t="s">
        <v>2168</v>
      </c>
      <c r="H659" s="146" t="s">
        <v>26</v>
      </c>
      <c r="I659" s="144" t="s">
        <v>1436</v>
      </c>
    </row>
    <row r="660" spans="1:9" ht="25.5">
      <c r="A660" s="193">
        <v>45706</v>
      </c>
      <c r="B660" s="145" t="s">
        <v>824</v>
      </c>
      <c r="C660" s="150">
        <v>2025</v>
      </c>
      <c r="D660" s="201" t="s">
        <v>1431</v>
      </c>
      <c r="E660" s="144" t="s">
        <v>1436</v>
      </c>
      <c r="F660" s="139" t="s">
        <v>88</v>
      </c>
      <c r="G660" s="144" t="s">
        <v>2172</v>
      </c>
      <c r="H660" s="146" t="s">
        <v>26</v>
      </c>
      <c r="I660" s="144" t="s">
        <v>1436</v>
      </c>
    </row>
    <row r="661" spans="1:9" ht="25.5">
      <c r="A661" s="193">
        <v>45706</v>
      </c>
      <c r="B661" s="145" t="s">
        <v>824</v>
      </c>
      <c r="C661" s="150">
        <v>2025</v>
      </c>
      <c r="D661" s="201" t="s">
        <v>1431</v>
      </c>
      <c r="E661" s="144" t="s">
        <v>1506</v>
      </c>
      <c r="F661" s="139" t="s">
        <v>88</v>
      </c>
      <c r="G661" s="144" t="s">
        <v>2173</v>
      </c>
      <c r="H661" s="146" t="s">
        <v>26</v>
      </c>
      <c r="I661" s="144" t="s">
        <v>1436</v>
      </c>
    </row>
    <row r="662" spans="1:9" ht="25.5">
      <c r="A662" s="193">
        <v>45706</v>
      </c>
      <c r="B662" s="145" t="s">
        <v>824</v>
      </c>
      <c r="C662" s="150">
        <v>2025</v>
      </c>
      <c r="D662" s="201" t="s">
        <v>1431</v>
      </c>
      <c r="E662" s="144" t="s">
        <v>1436</v>
      </c>
      <c r="F662" s="139" t="s">
        <v>88</v>
      </c>
      <c r="G662" s="144" t="s">
        <v>2174</v>
      </c>
      <c r="H662" s="146" t="s">
        <v>26</v>
      </c>
      <c r="I662" s="144" t="s">
        <v>1436</v>
      </c>
    </row>
    <row r="663" spans="1:9" ht="25.5">
      <c r="A663" s="193">
        <v>45707</v>
      </c>
      <c r="B663" s="145" t="s">
        <v>824</v>
      </c>
      <c r="C663" s="150">
        <v>2025</v>
      </c>
      <c r="D663" s="201" t="s">
        <v>1431</v>
      </c>
      <c r="E663" s="144" t="s">
        <v>1566</v>
      </c>
      <c r="F663" s="142" t="s">
        <v>872</v>
      </c>
      <c r="G663" s="144" t="s">
        <v>2175</v>
      </c>
      <c r="H663" s="146" t="s">
        <v>26</v>
      </c>
      <c r="I663" s="144" t="s">
        <v>1436</v>
      </c>
    </row>
    <row r="664" spans="1:9" ht="14.1">
      <c r="A664" s="193">
        <v>45707</v>
      </c>
      <c r="B664" s="145" t="s">
        <v>824</v>
      </c>
      <c r="C664" s="150">
        <v>2025</v>
      </c>
      <c r="D664" s="201" t="s">
        <v>1431</v>
      </c>
      <c r="E664" s="144" t="s">
        <v>1225</v>
      </c>
      <c r="F664" s="147" t="s">
        <v>859</v>
      </c>
      <c r="G664" s="144" t="s">
        <v>2176</v>
      </c>
      <c r="H664" s="146" t="s">
        <v>26</v>
      </c>
      <c r="I664" s="144" t="s">
        <v>1436</v>
      </c>
    </row>
    <row r="665" spans="1:9" ht="38.1">
      <c r="A665" s="193">
        <v>45707</v>
      </c>
      <c r="B665" s="145" t="s">
        <v>824</v>
      </c>
      <c r="C665" s="150">
        <v>2025</v>
      </c>
      <c r="D665" s="201" t="s">
        <v>1431</v>
      </c>
      <c r="E665" s="144" t="s">
        <v>1539</v>
      </c>
      <c r="F665" s="139" t="s">
        <v>88</v>
      </c>
      <c r="G665" s="144" t="s">
        <v>2177</v>
      </c>
      <c r="H665" s="146" t="s">
        <v>26</v>
      </c>
      <c r="I665" s="144" t="s">
        <v>1436</v>
      </c>
    </row>
    <row r="666" spans="1:9" ht="14.1">
      <c r="A666" s="193">
        <v>45707</v>
      </c>
      <c r="B666" s="145" t="s">
        <v>824</v>
      </c>
      <c r="C666" s="150">
        <v>2025</v>
      </c>
      <c r="D666" s="201" t="s">
        <v>1431</v>
      </c>
      <c r="E666" s="144" t="s">
        <v>1158</v>
      </c>
      <c r="F666" s="141" t="s">
        <v>821</v>
      </c>
      <c r="G666" s="144" t="s">
        <v>2178</v>
      </c>
      <c r="H666" s="146" t="s">
        <v>26</v>
      </c>
      <c r="I666" s="144" t="s">
        <v>1436</v>
      </c>
    </row>
    <row r="667" spans="1:9" ht="38.1">
      <c r="A667" s="193">
        <v>45708</v>
      </c>
      <c r="B667" s="145" t="s">
        <v>824</v>
      </c>
      <c r="C667" s="150">
        <v>2025</v>
      </c>
      <c r="D667" s="201" t="s">
        <v>1431</v>
      </c>
      <c r="E667" s="144" t="s">
        <v>21</v>
      </c>
      <c r="F667" s="141" t="s">
        <v>821</v>
      </c>
      <c r="G667" s="144" t="s">
        <v>2179</v>
      </c>
      <c r="H667" s="146" t="s">
        <v>26</v>
      </c>
      <c r="I667" s="144" t="s">
        <v>1436</v>
      </c>
    </row>
    <row r="668" spans="1:9" ht="25.5">
      <c r="A668" s="193">
        <v>45708</v>
      </c>
      <c r="B668" s="145" t="s">
        <v>824</v>
      </c>
      <c r="C668" s="150">
        <v>2025</v>
      </c>
      <c r="D668" s="201" t="s">
        <v>1431</v>
      </c>
      <c r="E668" s="144" t="s">
        <v>21</v>
      </c>
      <c r="F668" s="141" t="s">
        <v>821</v>
      </c>
      <c r="G668" s="144" t="s">
        <v>2180</v>
      </c>
      <c r="H668" s="146" t="s">
        <v>26</v>
      </c>
      <c r="I668" s="144" t="s">
        <v>1436</v>
      </c>
    </row>
    <row r="669" spans="1:9" ht="25.5">
      <c r="A669" s="193">
        <v>45708</v>
      </c>
      <c r="B669" s="145" t="s">
        <v>824</v>
      </c>
      <c r="C669" s="150">
        <v>2025</v>
      </c>
      <c r="D669" s="201" t="s">
        <v>1431</v>
      </c>
      <c r="E669" s="144" t="s">
        <v>21</v>
      </c>
      <c r="F669" s="141" t="s">
        <v>821</v>
      </c>
      <c r="G669" s="144" t="s">
        <v>2181</v>
      </c>
      <c r="H669" s="146" t="s">
        <v>26</v>
      </c>
      <c r="I669" s="144" t="s">
        <v>1436</v>
      </c>
    </row>
    <row r="670" spans="1:9" ht="25.5">
      <c r="A670" s="193">
        <v>45708</v>
      </c>
      <c r="B670" s="145" t="s">
        <v>824</v>
      </c>
      <c r="C670" s="150">
        <v>2025</v>
      </c>
      <c r="D670" s="201" t="s">
        <v>1431</v>
      </c>
      <c r="E670" s="144" t="s">
        <v>1436</v>
      </c>
      <c r="F670" s="139" t="s">
        <v>88</v>
      </c>
      <c r="G670" s="144" t="s">
        <v>2182</v>
      </c>
      <c r="H670" s="146" t="s">
        <v>26</v>
      </c>
      <c r="I670" s="144" t="s">
        <v>1436</v>
      </c>
    </row>
    <row r="671" spans="1:9" ht="25.5">
      <c r="A671" s="193">
        <v>45709</v>
      </c>
      <c r="B671" s="145" t="s">
        <v>824</v>
      </c>
      <c r="C671" s="150">
        <v>2025</v>
      </c>
      <c r="D671" s="201" t="s">
        <v>1431</v>
      </c>
      <c r="E671" s="144" t="s">
        <v>21</v>
      </c>
      <c r="F671" s="141" t="s">
        <v>821</v>
      </c>
      <c r="G671" s="144" t="s">
        <v>2183</v>
      </c>
      <c r="H671" s="146" t="s">
        <v>26</v>
      </c>
      <c r="I671" s="144" t="s">
        <v>1436</v>
      </c>
    </row>
    <row r="672" spans="1:9" ht="25.5">
      <c r="A672" s="193">
        <v>45709</v>
      </c>
      <c r="B672" s="145" t="s">
        <v>824</v>
      </c>
      <c r="C672" s="150">
        <v>2025</v>
      </c>
      <c r="D672" s="201" t="s">
        <v>1431</v>
      </c>
      <c r="E672" s="144" t="s">
        <v>21</v>
      </c>
      <c r="F672" s="141" t="s">
        <v>821</v>
      </c>
      <c r="G672" s="144" t="s">
        <v>2184</v>
      </c>
      <c r="H672" s="146" t="s">
        <v>26</v>
      </c>
      <c r="I672" s="144" t="s">
        <v>1436</v>
      </c>
    </row>
    <row r="673" spans="1:9" ht="25.5">
      <c r="A673" s="193">
        <v>45709</v>
      </c>
      <c r="B673" s="145" t="s">
        <v>824</v>
      </c>
      <c r="C673" s="150">
        <v>2025</v>
      </c>
      <c r="D673" s="201" t="s">
        <v>1431</v>
      </c>
      <c r="E673" s="144" t="s">
        <v>21</v>
      </c>
      <c r="F673" s="141" t="s">
        <v>821</v>
      </c>
      <c r="G673" s="144" t="s">
        <v>2185</v>
      </c>
      <c r="H673" s="146" t="s">
        <v>26</v>
      </c>
      <c r="I673" s="144" t="s">
        <v>1436</v>
      </c>
    </row>
    <row r="674" spans="1:9" ht="25.5">
      <c r="A674" s="193">
        <v>45709</v>
      </c>
      <c r="B674" s="145" t="s">
        <v>824</v>
      </c>
      <c r="C674" s="150">
        <v>2025</v>
      </c>
      <c r="D674" s="201" t="s">
        <v>1431</v>
      </c>
      <c r="E674" s="144" t="s">
        <v>21</v>
      </c>
      <c r="F674" s="141" t="s">
        <v>821</v>
      </c>
      <c r="G674" s="144" t="s">
        <v>2180</v>
      </c>
      <c r="H674" s="146" t="s">
        <v>26</v>
      </c>
      <c r="I674" s="144" t="s">
        <v>1436</v>
      </c>
    </row>
    <row r="675" spans="1:9" ht="25.5">
      <c r="A675" s="193">
        <v>45709</v>
      </c>
      <c r="B675" s="145" t="s">
        <v>824</v>
      </c>
      <c r="C675" s="150">
        <v>2025</v>
      </c>
      <c r="D675" s="201" t="s">
        <v>1431</v>
      </c>
      <c r="E675" s="144" t="s">
        <v>21</v>
      </c>
      <c r="F675" s="141" t="s">
        <v>821</v>
      </c>
      <c r="G675" s="144" t="s">
        <v>2186</v>
      </c>
      <c r="H675" s="146" t="s">
        <v>26</v>
      </c>
      <c r="I675" s="144" t="s">
        <v>1436</v>
      </c>
    </row>
    <row r="676" spans="1:9" ht="25.5">
      <c r="A676" s="193">
        <v>45712</v>
      </c>
      <c r="B676" s="145" t="s">
        <v>824</v>
      </c>
      <c r="C676" s="150">
        <v>2025</v>
      </c>
      <c r="D676" s="201" t="s">
        <v>1431</v>
      </c>
      <c r="E676" s="144" t="s">
        <v>21</v>
      </c>
      <c r="F676" s="141" t="s">
        <v>821</v>
      </c>
      <c r="G676" s="144" t="s">
        <v>2187</v>
      </c>
      <c r="H676" s="146" t="s">
        <v>26</v>
      </c>
      <c r="I676" s="144" t="s">
        <v>1436</v>
      </c>
    </row>
    <row r="677" spans="1:9" ht="14.1">
      <c r="A677" s="193">
        <v>45712</v>
      </c>
      <c r="B677" s="145" t="s">
        <v>824</v>
      </c>
      <c r="C677" s="150">
        <v>2025</v>
      </c>
      <c r="D677" s="201" t="s">
        <v>1431</v>
      </c>
      <c r="E677" s="144" t="s">
        <v>21</v>
      </c>
      <c r="F677" s="141" t="s">
        <v>821</v>
      </c>
      <c r="G677" s="144" t="s">
        <v>2188</v>
      </c>
      <c r="H677" s="146" t="s">
        <v>26</v>
      </c>
      <c r="I677" s="144" t="s">
        <v>1436</v>
      </c>
    </row>
    <row r="678" spans="1:9" ht="25.5">
      <c r="A678" s="193">
        <v>45712</v>
      </c>
      <c r="B678" s="145" t="s">
        <v>824</v>
      </c>
      <c r="C678" s="150">
        <v>2025</v>
      </c>
      <c r="D678" s="201" t="s">
        <v>1431</v>
      </c>
      <c r="E678" s="144" t="s">
        <v>21</v>
      </c>
      <c r="F678" s="141" t="s">
        <v>821</v>
      </c>
      <c r="G678" s="144" t="s">
        <v>2189</v>
      </c>
      <c r="H678" s="146" t="s">
        <v>26</v>
      </c>
      <c r="I678" s="144" t="s">
        <v>1436</v>
      </c>
    </row>
    <row r="679" spans="1:9" ht="25.5">
      <c r="A679" s="193">
        <v>45712</v>
      </c>
      <c r="B679" s="145" t="s">
        <v>824</v>
      </c>
      <c r="C679" s="150">
        <v>2025</v>
      </c>
      <c r="D679" s="201" t="s">
        <v>1431</v>
      </c>
      <c r="E679" s="144" t="s">
        <v>21</v>
      </c>
      <c r="F679" s="141" t="s">
        <v>821</v>
      </c>
      <c r="G679" s="144" t="s">
        <v>2190</v>
      </c>
      <c r="H679" s="146" t="s">
        <v>26</v>
      </c>
      <c r="I679" s="144" t="s">
        <v>1436</v>
      </c>
    </row>
    <row r="680" spans="1:9" ht="25.5">
      <c r="A680" s="193">
        <v>45712</v>
      </c>
      <c r="B680" s="145" t="s">
        <v>824</v>
      </c>
      <c r="C680" s="150">
        <v>2025</v>
      </c>
      <c r="D680" s="201" t="s">
        <v>1431</v>
      </c>
      <c r="E680" s="144" t="s">
        <v>1580</v>
      </c>
      <c r="F680" s="147" t="s">
        <v>859</v>
      </c>
      <c r="G680" s="144" t="s">
        <v>2191</v>
      </c>
      <c r="H680" s="146" t="s">
        <v>26</v>
      </c>
      <c r="I680" s="144" t="s">
        <v>1436</v>
      </c>
    </row>
    <row r="681" spans="1:9" ht="63">
      <c r="A681" s="193">
        <v>45712</v>
      </c>
      <c r="B681" s="145" t="s">
        <v>824</v>
      </c>
      <c r="C681" s="150">
        <v>2025</v>
      </c>
      <c r="D681" s="201" t="s">
        <v>1431</v>
      </c>
      <c r="E681" s="144" t="s">
        <v>2192</v>
      </c>
      <c r="F681" s="147" t="s">
        <v>859</v>
      </c>
      <c r="G681" s="144" t="s">
        <v>2193</v>
      </c>
      <c r="H681" s="146" t="s">
        <v>26</v>
      </c>
      <c r="I681" s="144" t="s">
        <v>1436</v>
      </c>
    </row>
    <row r="682" spans="1:9" ht="14.1">
      <c r="A682" s="193">
        <v>45713</v>
      </c>
      <c r="B682" s="145" t="s">
        <v>824</v>
      </c>
      <c r="C682" s="150">
        <v>2025</v>
      </c>
      <c r="D682" s="201" t="s">
        <v>1431</v>
      </c>
      <c r="E682" s="144" t="s">
        <v>21</v>
      </c>
      <c r="F682" s="141" t="s">
        <v>821</v>
      </c>
      <c r="G682" s="144" t="s">
        <v>2194</v>
      </c>
      <c r="H682" s="146" t="s">
        <v>26</v>
      </c>
      <c r="I682" s="144" t="s">
        <v>1436</v>
      </c>
    </row>
    <row r="683" spans="1:9" ht="14.1">
      <c r="A683" s="193">
        <v>45713</v>
      </c>
      <c r="B683" s="145" t="s">
        <v>824</v>
      </c>
      <c r="C683" s="150">
        <v>2025</v>
      </c>
      <c r="D683" s="201" t="s">
        <v>1431</v>
      </c>
      <c r="E683" s="144" t="s">
        <v>21</v>
      </c>
      <c r="F683" s="141" t="s">
        <v>821</v>
      </c>
      <c r="G683" s="144" t="s">
        <v>2195</v>
      </c>
      <c r="H683" s="146" t="s">
        <v>26</v>
      </c>
      <c r="I683" s="144" t="s">
        <v>1436</v>
      </c>
    </row>
    <row r="684" spans="1:9" ht="25.5">
      <c r="A684" s="193">
        <v>45713</v>
      </c>
      <c r="B684" s="145" t="s">
        <v>824</v>
      </c>
      <c r="C684" s="150">
        <v>2025</v>
      </c>
      <c r="D684" s="201" t="s">
        <v>1431</v>
      </c>
      <c r="E684" s="144" t="s">
        <v>21</v>
      </c>
      <c r="F684" s="141" t="s">
        <v>821</v>
      </c>
      <c r="G684" s="144" t="s">
        <v>2196</v>
      </c>
      <c r="H684" s="146" t="s">
        <v>26</v>
      </c>
      <c r="I684" s="144" t="s">
        <v>1436</v>
      </c>
    </row>
    <row r="685" spans="1:9" ht="25.5">
      <c r="A685" s="193">
        <v>45713</v>
      </c>
      <c r="B685" s="145" t="s">
        <v>824</v>
      </c>
      <c r="C685" s="150">
        <v>2025</v>
      </c>
      <c r="D685" s="201" t="s">
        <v>2197</v>
      </c>
      <c r="E685" s="144" t="s">
        <v>1436</v>
      </c>
      <c r="F685" s="141" t="s">
        <v>821</v>
      </c>
      <c r="G685" s="144" t="s">
        <v>2198</v>
      </c>
      <c r="H685" s="146" t="s">
        <v>26</v>
      </c>
      <c r="I685" s="144" t="s">
        <v>1436</v>
      </c>
    </row>
    <row r="686" spans="1:9" ht="25.5">
      <c r="A686" s="193">
        <v>45713</v>
      </c>
      <c r="B686" s="145" t="s">
        <v>824</v>
      </c>
      <c r="C686" s="150">
        <v>2025</v>
      </c>
      <c r="D686" s="201" t="s">
        <v>1431</v>
      </c>
      <c r="E686" s="144" t="s">
        <v>1436</v>
      </c>
      <c r="F686" s="141" t="s">
        <v>821</v>
      </c>
      <c r="G686" s="144" t="s">
        <v>2199</v>
      </c>
      <c r="H686" s="146" t="s">
        <v>26</v>
      </c>
      <c r="I686" s="144" t="s">
        <v>1436</v>
      </c>
    </row>
    <row r="687" spans="1:9" ht="63">
      <c r="A687" s="193">
        <v>45713</v>
      </c>
      <c r="B687" s="145" t="s">
        <v>824</v>
      </c>
      <c r="C687" s="150">
        <v>2025</v>
      </c>
      <c r="D687" s="201" t="s">
        <v>1431</v>
      </c>
      <c r="E687" s="144" t="s">
        <v>1518</v>
      </c>
      <c r="F687" s="139" t="s">
        <v>88</v>
      </c>
      <c r="G687" s="144" t="s">
        <v>2200</v>
      </c>
      <c r="H687" s="146" t="s">
        <v>26</v>
      </c>
      <c r="I687" s="144" t="s">
        <v>59</v>
      </c>
    </row>
    <row r="688" spans="1:9" ht="25.5">
      <c r="A688" s="193">
        <v>45714</v>
      </c>
      <c r="B688" s="145" t="s">
        <v>824</v>
      </c>
      <c r="C688" s="150">
        <v>2025</v>
      </c>
      <c r="D688" s="201" t="s">
        <v>1431</v>
      </c>
      <c r="E688" s="144" t="s">
        <v>21</v>
      </c>
      <c r="F688" s="141" t="s">
        <v>821</v>
      </c>
      <c r="G688" s="144" t="s">
        <v>2201</v>
      </c>
      <c r="H688" s="146" t="s">
        <v>26</v>
      </c>
      <c r="I688" s="144" t="s">
        <v>1436</v>
      </c>
    </row>
    <row r="689" spans="1:9" ht="38.1">
      <c r="A689" s="193">
        <v>45714</v>
      </c>
      <c r="B689" s="145" t="s">
        <v>824</v>
      </c>
      <c r="C689" s="150">
        <v>2025</v>
      </c>
      <c r="D689" s="201" t="s">
        <v>1431</v>
      </c>
      <c r="E689" s="144" t="s">
        <v>216</v>
      </c>
      <c r="F689" s="141" t="s">
        <v>821</v>
      </c>
      <c r="G689" s="144" t="s">
        <v>2202</v>
      </c>
      <c r="H689" s="146" t="s">
        <v>26</v>
      </c>
      <c r="I689" s="144" t="s">
        <v>1436</v>
      </c>
    </row>
    <row r="690" spans="1:9" ht="25.5">
      <c r="A690" s="193">
        <v>45714</v>
      </c>
      <c r="B690" s="145" t="s">
        <v>824</v>
      </c>
      <c r="C690" s="150">
        <v>2025</v>
      </c>
      <c r="D690" s="201" t="s">
        <v>1431</v>
      </c>
      <c r="E690" s="144" t="s">
        <v>21</v>
      </c>
      <c r="F690" s="141" t="s">
        <v>821</v>
      </c>
      <c r="G690" s="144" t="s">
        <v>2203</v>
      </c>
      <c r="H690" s="146" t="s">
        <v>26</v>
      </c>
      <c r="I690" s="144" t="s">
        <v>1436</v>
      </c>
    </row>
    <row r="691" spans="1:9" ht="25.5">
      <c r="A691" s="193">
        <v>45714</v>
      </c>
      <c r="B691" s="145" t="s">
        <v>824</v>
      </c>
      <c r="C691" s="150">
        <v>2025</v>
      </c>
      <c r="D691" s="201" t="s">
        <v>1431</v>
      </c>
      <c r="E691" s="144" t="s">
        <v>1518</v>
      </c>
      <c r="F691" s="139" t="s">
        <v>88</v>
      </c>
      <c r="G691" s="144" t="s">
        <v>2204</v>
      </c>
      <c r="H691" s="146" t="s">
        <v>26</v>
      </c>
      <c r="I691" s="144" t="s">
        <v>1436</v>
      </c>
    </row>
    <row r="692" spans="1:9" ht="25.5">
      <c r="A692" s="193">
        <v>45714</v>
      </c>
      <c r="B692" s="145" t="s">
        <v>824</v>
      </c>
      <c r="C692" s="150">
        <v>2025</v>
      </c>
      <c r="D692" s="201" t="s">
        <v>1431</v>
      </c>
      <c r="E692" s="144" t="s">
        <v>1225</v>
      </c>
      <c r="F692" s="147" t="s">
        <v>859</v>
      </c>
      <c r="G692" s="144" t="s">
        <v>2205</v>
      </c>
      <c r="H692" s="146" t="s">
        <v>26</v>
      </c>
      <c r="I692" s="144" t="s">
        <v>1436</v>
      </c>
    </row>
    <row r="693" spans="1:9" ht="25.5">
      <c r="A693" s="193">
        <v>45715</v>
      </c>
      <c r="B693" s="145" t="s">
        <v>824</v>
      </c>
      <c r="C693" s="150">
        <v>2025</v>
      </c>
      <c r="D693" s="201" t="s">
        <v>1431</v>
      </c>
      <c r="E693" s="144" t="s">
        <v>216</v>
      </c>
      <c r="F693" s="141" t="s">
        <v>821</v>
      </c>
      <c r="G693" s="144" t="s">
        <v>2206</v>
      </c>
      <c r="H693" s="146" t="s">
        <v>26</v>
      </c>
      <c r="I693" s="144" t="s">
        <v>1436</v>
      </c>
    </row>
    <row r="694" spans="1:9" ht="25.5">
      <c r="A694" s="193">
        <v>45715</v>
      </c>
      <c r="B694" s="145" t="s">
        <v>824</v>
      </c>
      <c r="C694" s="150">
        <v>2025</v>
      </c>
      <c r="D694" s="201" t="s">
        <v>1431</v>
      </c>
      <c r="E694" s="144" t="s">
        <v>1436</v>
      </c>
      <c r="F694" s="140" t="s">
        <v>1439</v>
      </c>
      <c r="G694" s="144" t="s">
        <v>2207</v>
      </c>
      <c r="H694" s="146" t="s">
        <v>26</v>
      </c>
      <c r="I694" s="144" t="s">
        <v>1436</v>
      </c>
    </row>
    <row r="695" spans="1:9" ht="38.1">
      <c r="A695" s="193">
        <v>45721</v>
      </c>
      <c r="B695" s="145" t="s">
        <v>825</v>
      </c>
      <c r="C695" s="150">
        <v>2025</v>
      </c>
      <c r="D695" s="201" t="s">
        <v>1431</v>
      </c>
      <c r="E695" s="144" t="s">
        <v>1276</v>
      </c>
      <c r="F695" s="147" t="s">
        <v>859</v>
      </c>
      <c r="G695" s="144" t="s">
        <v>2208</v>
      </c>
      <c r="H695" s="146" t="s">
        <v>26</v>
      </c>
      <c r="I695" s="144" t="s">
        <v>1436</v>
      </c>
    </row>
    <row r="696" spans="1:9" ht="38.1">
      <c r="A696" s="193">
        <v>45721</v>
      </c>
      <c r="B696" s="145" t="s">
        <v>825</v>
      </c>
      <c r="C696" s="150">
        <v>2025</v>
      </c>
      <c r="D696" s="201" t="s">
        <v>1431</v>
      </c>
      <c r="E696" s="144" t="s">
        <v>2192</v>
      </c>
      <c r="F696" s="141" t="s">
        <v>821</v>
      </c>
      <c r="G696" s="144" t="s">
        <v>2209</v>
      </c>
      <c r="H696" s="146" t="s">
        <v>26</v>
      </c>
      <c r="I696" s="144" t="s">
        <v>1436</v>
      </c>
    </row>
    <row r="697" spans="1:9" ht="38.1">
      <c r="A697" s="193">
        <v>45721</v>
      </c>
      <c r="B697" s="145" t="s">
        <v>825</v>
      </c>
      <c r="C697" s="150">
        <v>2025</v>
      </c>
      <c r="D697" s="201" t="s">
        <v>1431</v>
      </c>
      <c r="E697" s="144" t="s">
        <v>1584</v>
      </c>
      <c r="F697" s="141" t="s">
        <v>821</v>
      </c>
      <c r="G697" s="144" t="s">
        <v>2210</v>
      </c>
      <c r="H697" s="146" t="s">
        <v>26</v>
      </c>
      <c r="I697" s="144" t="s">
        <v>1436</v>
      </c>
    </row>
    <row r="698" spans="1:9" ht="14.1">
      <c r="A698" s="193">
        <v>45722</v>
      </c>
      <c r="B698" s="145" t="s">
        <v>825</v>
      </c>
      <c r="C698" s="150">
        <v>2025</v>
      </c>
      <c r="D698" s="201" t="s">
        <v>1431</v>
      </c>
      <c r="E698" s="144" t="s">
        <v>21</v>
      </c>
      <c r="F698" s="141" t="s">
        <v>821</v>
      </c>
      <c r="G698" s="144" t="s">
        <v>2211</v>
      </c>
      <c r="H698" s="146" t="s">
        <v>26</v>
      </c>
      <c r="I698" s="144" t="s">
        <v>1436</v>
      </c>
    </row>
    <row r="699" spans="1:9" ht="38.1">
      <c r="A699" s="193">
        <v>45723</v>
      </c>
      <c r="B699" s="145" t="s">
        <v>825</v>
      </c>
      <c r="C699" s="150">
        <v>2025</v>
      </c>
      <c r="D699" s="201" t="s">
        <v>1431</v>
      </c>
      <c r="E699" s="144" t="s">
        <v>988</v>
      </c>
      <c r="F699" s="139" t="s">
        <v>88</v>
      </c>
      <c r="G699" s="144" t="s">
        <v>2212</v>
      </c>
      <c r="H699" s="146" t="s">
        <v>26</v>
      </c>
      <c r="I699" s="144" t="s">
        <v>1436</v>
      </c>
    </row>
    <row r="700" spans="1:9" ht="25.5">
      <c r="A700" s="193">
        <v>45733</v>
      </c>
      <c r="B700" s="145" t="s">
        <v>825</v>
      </c>
      <c r="C700" s="150">
        <v>2025</v>
      </c>
      <c r="D700" s="201" t="s">
        <v>1431</v>
      </c>
      <c r="E700" s="144" t="s">
        <v>1225</v>
      </c>
      <c r="F700" s="147" t="s">
        <v>859</v>
      </c>
      <c r="G700" s="144" t="s">
        <v>2213</v>
      </c>
      <c r="H700" s="146" t="s">
        <v>26</v>
      </c>
      <c r="I700" s="144" t="s">
        <v>1436</v>
      </c>
    </row>
    <row r="701" spans="1:9" ht="50.45">
      <c r="A701" s="193">
        <v>45733</v>
      </c>
      <c r="B701" s="145" t="s">
        <v>825</v>
      </c>
      <c r="C701" s="150">
        <v>2025</v>
      </c>
      <c r="D701" s="201" t="s">
        <v>1431</v>
      </c>
      <c r="E701" s="144" t="s">
        <v>1506</v>
      </c>
      <c r="F701" s="139" t="s">
        <v>88</v>
      </c>
      <c r="G701" s="144" t="s">
        <v>2214</v>
      </c>
      <c r="H701" s="146" t="s">
        <v>26</v>
      </c>
      <c r="I701" s="144" t="s">
        <v>1436</v>
      </c>
    </row>
    <row r="702" spans="1:9" ht="25.5">
      <c r="A702" s="193">
        <v>45733</v>
      </c>
      <c r="B702" s="145" t="s">
        <v>825</v>
      </c>
      <c r="C702" s="150">
        <v>2025</v>
      </c>
      <c r="D702" s="201" t="s">
        <v>1431</v>
      </c>
      <c r="E702" s="144" t="s">
        <v>1506</v>
      </c>
      <c r="F702" s="139" t="s">
        <v>88</v>
      </c>
      <c r="G702" s="144" t="s">
        <v>2215</v>
      </c>
      <c r="H702" s="146" t="s">
        <v>26</v>
      </c>
      <c r="I702" s="144" t="s">
        <v>1436</v>
      </c>
    </row>
    <row r="703" spans="1:9" ht="14.1">
      <c r="A703" s="193">
        <v>45734</v>
      </c>
      <c r="B703" s="145" t="s">
        <v>825</v>
      </c>
      <c r="C703" s="150">
        <v>2025</v>
      </c>
      <c r="D703" s="201" t="s">
        <v>1431</v>
      </c>
      <c r="E703" s="144" t="s">
        <v>216</v>
      </c>
      <c r="F703" s="141" t="s">
        <v>821</v>
      </c>
      <c r="G703" s="144" t="s">
        <v>1505</v>
      </c>
      <c r="H703" s="146" t="s">
        <v>26</v>
      </c>
      <c r="I703" s="144" t="s">
        <v>492</v>
      </c>
    </row>
    <row r="704" spans="1:9" ht="25.5">
      <c r="A704" s="193">
        <v>45735</v>
      </c>
      <c r="B704" s="145" t="s">
        <v>825</v>
      </c>
      <c r="C704" s="150">
        <v>2025</v>
      </c>
      <c r="D704" s="201" t="s">
        <v>1431</v>
      </c>
      <c r="E704" s="144" t="s">
        <v>2192</v>
      </c>
      <c r="F704" s="147" t="s">
        <v>859</v>
      </c>
      <c r="G704" s="144" t="s">
        <v>2216</v>
      </c>
      <c r="H704" s="146" t="s">
        <v>26</v>
      </c>
      <c r="I704" s="144" t="s">
        <v>1436</v>
      </c>
    </row>
    <row r="705" spans="1:9" ht="50.45">
      <c r="A705" s="193">
        <v>45735</v>
      </c>
      <c r="B705" s="145" t="s">
        <v>825</v>
      </c>
      <c r="C705" s="150">
        <v>2025</v>
      </c>
      <c r="D705" s="201" t="s">
        <v>1431</v>
      </c>
      <c r="E705" s="144" t="s">
        <v>2192</v>
      </c>
      <c r="F705" s="147" t="s">
        <v>859</v>
      </c>
      <c r="G705" s="144" t="s">
        <v>2217</v>
      </c>
      <c r="H705" s="146" t="s">
        <v>26</v>
      </c>
      <c r="I705" s="144" t="s">
        <v>1436</v>
      </c>
    </row>
    <row r="706" spans="1:9" ht="14.1">
      <c r="A706" s="193">
        <v>45735</v>
      </c>
      <c r="B706" s="145" t="s">
        <v>825</v>
      </c>
      <c r="C706" s="150">
        <v>2025</v>
      </c>
      <c r="D706" s="201" t="s">
        <v>1431</v>
      </c>
      <c r="E706" s="144" t="s">
        <v>2218</v>
      </c>
      <c r="F706" s="140" t="s">
        <v>1439</v>
      </c>
      <c r="G706" s="144" t="s">
        <v>2219</v>
      </c>
      <c r="H706" s="146" t="s">
        <v>26</v>
      </c>
      <c r="I706" s="144" t="s">
        <v>1436</v>
      </c>
    </row>
    <row r="707" spans="1:9" ht="14.1">
      <c r="A707" s="193">
        <v>45735</v>
      </c>
      <c r="B707" s="145" t="s">
        <v>825</v>
      </c>
      <c r="C707" s="150">
        <v>2025</v>
      </c>
      <c r="D707" s="201" t="s">
        <v>1431</v>
      </c>
      <c r="E707" s="144" t="s">
        <v>1584</v>
      </c>
      <c r="F707" s="141" t="s">
        <v>821</v>
      </c>
      <c r="G707" s="144" t="s">
        <v>2220</v>
      </c>
      <c r="H707" s="146" t="s">
        <v>26</v>
      </c>
      <c r="I707" s="144" t="s">
        <v>1436</v>
      </c>
    </row>
    <row r="708" spans="1:9" ht="38.1">
      <c r="A708" s="193">
        <v>45735</v>
      </c>
      <c r="B708" s="145" t="s">
        <v>825</v>
      </c>
      <c r="C708" s="150">
        <v>2025</v>
      </c>
      <c r="D708" s="201" t="s">
        <v>1431</v>
      </c>
      <c r="E708" s="144" t="s">
        <v>2192</v>
      </c>
      <c r="F708" s="147" t="s">
        <v>859</v>
      </c>
      <c r="G708" s="144" t="s">
        <v>2221</v>
      </c>
      <c r="H708" s="146" t="s">
        <v>26</v>
      </c>
      <c r="I708" s="144" t="s">
        <v>1436</v>
      </c>
    </row>
    <row r="709" spans="1:9" ht="38.1">
      <c r="A709" s="193">
        <v>45737</v>
      </c>
      <c r="B709" s="145" t="s">
        <v>825</v>
      </c>
      <c r="C709" s="150">
        <v>2025</v>
      </c>
      <c r="D709" s="201" t="s">
        <v>1431</v>
      </c>
      <c r="E709" s="144" t="s">
        <v>1560</v>
      </c>
      <c r="F709" s="147" t="s">
        <v>859</v>
      </c>
      <c r="G709" s="144" t="s">
        <v>2222</v>
      </c>
      <c r="H709" s="146" t="s">
        <v>26</v>
      </c>
      <c r="I709" s="144" t="s">
        <v>1436</v>
      </c>
    </row>
    <row r="710" spans="1:9" ht="25.5">
      <c r="A710" s="193">
        <v>45737</v>
      </c>
      <c r="B710" s="145" t="s">
        <v>825</v>
      </c>
      <c r="C710" s="150">
        <v>2025</v>
      </c>
      <c r="D710" s="201" t="s">
        <v>1431</v>
      </c>
      <c r="E710" s="144" t="s">
        <v>1584</v>
      </c>
      <c r="F710" s="141" t="s">
        <v>821</v>
      </c>
      <c r="G710" s="144" t="s">
        <v>2223</v>
      </c>
      <c r="H710" s="146" t="s">
        <v>26</v>
      </c>
      <c r="I710" s="144" t="s">
        <v>1436</v>
      </c>
    </row>
    <row r="711" spans="1:9" ht="38.1">
      <c r="A711" s="193">
        <v>45737</v>
      </c>
      <c r="B711" s="145" t="s">
        <v>825</v>
      </c>
      <c r="C711" s="150">
        <v>2025</v>
      </c>
      <c r="D711" s="201" t="s">
        <v>2224</v>
      </c>
      <c r="E711" s="144" t="s">
        <v>1560</v>
      </c>
      <c r="F711" s="147" t="s">
        <v>859</v>
      </c>
      <c r="G711" s="144" t="s">
        <v>2225</v>
      </c>
      <c r="H711" s="146" t="s">
        <v>26</v>
      </c>
      <c r="I711" s="144" t="s">
        <v>1436</v>
      </c>
    </row>
    <row r="712" spans="1:9" ht="25.5">
      <c r="A712" s="193">
        <v>45737</v>
      </c>
      <c r="B712" s="145" t="s">
        <v>825</v>
      </c>
      <c r="C712" s="150">
        <v>2025</v>
      </c>
      <c r="D712" s="201" t="s">
        <v>1431</v>
      </c>
      <c r="E712" s="144" t="s">
        <v>1436</v>
      </c>
      <c r="F712" s="139" t="s">
        <v>88</v>
      </c>
      <c r="G712" s="144" t="s">
        <v>2226</v>
      </c>
      <c r="H712" s="146" t="s">
        <v>26</v>
      </c>
      <c r="I712" s="144" t="s">
        <v>1436</v>
      </c>
    </row>
    <row r="713" spans="1:9" ht="25.5">
      <c r="A713" s="193">
        <v>45743</v>
      </c>
      <c r="B713" s="145" t="s">
        <v>825</v>
      </c>
      <c r="C713" s="150">
        <v>2025</v>
      </c>
      <c r="D713" s="201" t="s">
        <v>1431</v>
      </c>
      <c r="E713" s="144" t="s">
        <v>2218</v>
      </c>
      <c r="F713" s="140" t="s">
        <v>1439</v>
      </c>
      <c r="G713" s="144" t="s">
        <v>2227</v>
      </c>
      <c r="H713" s="146" t="s">
        <v>26</v>
      </c>
      <c r="I713" s="144" t="s">
        <v>1436</v>
      </c>
    </row>
    <row r="714" spans="1:9" ht="25.5">
      <c r="A714" s="193">
        <v>45743</v>
      </c>
      <c r="B714" s="145" t="s">
        <v>825</v>
      </c>
      <c r="C714" s="150">
        <v>2025</v>
      </c>
      <c r="D714" s="201" t="s">
        <v>1431</v>
      </c>
      <c r="E714" s="144" t="s">
        <v>216</v>
      </c>
      <c r="F714" s="141" t="s">
        <v>821</v>
      </c>
      <c r="G714" s="144" t="s">
        <v>2228</v>
      </c>
      <c r="H714" s="146" t="s">
        <v>26</v>
      </c>
      <c r="I714" s="144" t="s">
        <v>1436</v>
      </c>
    </row>
    <row r="715" spans="1:9" ht="50.45">
      <c r="A715" s="193">
        <v>45743</v>
      </c>
      <c r="B715" s="145" t="s">
        <v>825</v>
      </c>
      <c r="C715" s="150">
        <v>2025</v>
      </c>
      <c r="D715" s="201" t="s">
        <v>1431</v>
      </c>
      <c r="E715" s="144" t="s">
        <v>21</v>
      </c>
      <c r="F715" s="141" t="s">
        <v>821</v>
      </c>
      <c r="G715" s="144" t="s">
        <v>2229</v>
      </c>
      <c r="H715" s="146" t="s">
        <v>26</v>
      </c>
      <c r="I715" s="144" t="s">
        <v>1436</v>
      </c>
    </row>
    <row r="716" spans="1:9" ht="25.5">
      <c r="A716" s="193">
        <v>45747</v>
      </c>
      <c r="B716" s="145" t="s">
        <v>825</v>
      </c>
      <c r="C716" s="150">
        <v>2025</v>
      </c>
      <c r="D716" s="201" t="s">
        <v>1431</v>
      </c>
      <c r="E716" s="144" t="s">
        <v>216</v>
      </c>
      <c r="F716" s="141" t="s">
        <v>821</v>
      </c>
      <c r="G716" s="144" t="s">
        <v>2230</v>
      </c>
      <c r="H716" s="146" t="s">
        <v>26</v>
      </c>
      <c r="I716" s="144" t="s">
        <v>1436</v>
      </c>
    </row>
    <row r="717" spans="1:9" ht="50.45">
      <c r="A717" s="193">
        <v>45747</v>
      </c>
      <c r="B717" s="145" t="s">
        <v>825</v>
      </c>
      <c r="C717" s="150">
        <v>2025</v>
      </c>
      <c r="D717" s="201" t="s">
        <v>1431</v>
      </c>
      <c r="E717" s="144" t="s">
        <v>1473</v>
      </c>
      <c r="F717" s="147" t="s">
        <v>859</v>
      </c>
      <c r="G717" s="144" t="s">
        <v>2231</v>
      </c>
      <c r="H717" s="146" t="s">
        <v>26</v>
      </c>
      <c r="I717" s="144" t="s">
        <v>1436</v>
      </c>
    </row>
    <row r="718" spans="1:9" ht="14.1">
      <c r="A718" s="193">
        <v>45748</v>
      </c>
      <c r="B718" s="145" t="s">
        <v>826</v>
      </c>
      <c r="C718" s="150">
        <v>2025</v>
      </c>
      <c r="D718" s="201" t="s">
        <v>1431</v>
      </c>
      <c r="E718" s="144" t="s">
        <v>377</v>
      </c>
      <c r="F718" s="139" t="s">
        <v>88</v>
      </c>
      <c r="G718" s="144" t="s">
        <v>2232</v>
      </c>
      <c r="H718" s="146" t="s">
        <v>26</v>
      </c>
      <c r="I718" s="144" t="s">
        <v>1436</v>
      </c>
    </row>
    <row r="719" spans="1:9" ht="25.5">
      <c r="A719" s="193">
        <v>45748</v>
      </c>
      <c r="B719" s="145" t="s">
        <v>826</v>
      </c>
      <c r="C719" s="150">
        <v>2025</v>
      </c>
      <c r="D719" s="201" t="s">
        <v>1431</v>
      </c>
      <c r="E719" s="144" t="s">
        <v>377</v>
      </c>
      <c r="F719" s="139" t="s">
        <v>88</v>
      </c>
      <c r="G719" s="144" t="s">
        <v>2233</v>
      </c>
      <c r="H719" s="146" t="s">
        <v>26</v>
      </c>
      <c r="I719" s="144" t="s">
        <v>1436</v>
      </c>
    </row>
    <row r="720" spans="1:9" ht="38.1">
      <c r="A720" s="193">
        <v>45748</v>
      </c>
      <c r="B720" s="145" t="s">
        <v>826</v>
      </c>
      <c r="C720" s="150">
        <v>2025</v>
      </c>
      <c r="D720" s="201" t="s">
        <v>1431</v>
      </c>
      <c r="E720" s="144" t="s">
        <v>97</v>
      </c>
      <c r="F720" s="141" t="s">
        <v>821</v>
      </c>
      <c r="G720" s="144" t="s">
        <v>2234</v>
      </c>
      <c r="H720" s="146" t="s">
        <v>26</v>
      </c>
      <c r="I720" s="144" t="s">
        <v>1436</v>
      </c>
    </row>
    <row r="721" spans="1:9" ht="25.5">
      <c r="A721" s="193">
        <v>45750</v>
      </c>
      <c r="B721" s="145" t="s">
        <v>826</v>
      </c>
      <c r="C721" s="150">
        <v>2025</v>
      </c>
      <c r="D721" s="201" t="s">
        <v>1431</v>
      </c>
      <c r="E721" s="144" t="s">
        <v>21</v>
      </c>
      <c r="F721" s="141" t="s">
        <v>821</v>
      </c>
      <c r="G721" s="144" t="s">
        <v>2235</v>
      </c>
      <c r="H721" s="146" t="s">
        <v>26</v>
      </c>
      <c r="I721" s="144" t="s">
        <v>1436</v>
      </c>
    </row>
    <row r="722" spans="1:9" ht="25.5">
      <c r="A722" s="193">
        <v>45743</v>
      </c>
      <c r="B722" s="145" t="s">
        <v>826</v>
      </c>
      <c r="C722" s="150">
        <v>2025</v>
      </c>
      <c r="D722" s="201" t="s">
        <v>1431</v>
      </c>
      <c r="E722" s="144" t="s">
        <v>216</v>
      </c>
      <c r="F722" s="141" t="s">
        <v>821</v>
      </c>
      <c r="G722" s="144" t="s">
        <v>2228</v>
      </c>
      <c r="H722" s="146" t="s">
        <v>26</v>
      </c>
      <c r="I722" s="144" t="s">
        <v>1436</v>
      </c>
    </row>
    <row r="723" spans="1:9" ht="50.45">
      <c r="A723" s="193">
        <v>45743</v>
      </c>
      <c r="B723" s="145" t="s">
        <v>826</v>
      </c>
      <c r="C723" s="150">
        <v>2025</v>
      </c>
      <c r="D723" s="201" t="s">
        <v>1431</v>
      </c>
      <c r="E723" s="144" t="s">
        <v>21</v>
      </c>
      <c r="F723" s="141" t="s">
        <v>821</v>
      </c>
      <c r="G723" s="144" t="s">
        <v>2229</v>
      </c>
      <c r="H723" s="146" t="s">
        <v>26</v>
      </c>
      <c r="I723" s="144" t="s">
        <v>1436</v>
      </c>
    </row>
    <row r="724" spans="1:9" ht="50.45">
      <c r="A724" s="193">
        <v>45747</v>
      </c>
      <c r="B724" s="145" t="s">
        <v>826</v>
      </c>
      <c r="C724" s="150">
        <v>2025</v>
      </c>
      <c r="D724" s="201" t="s">
        <v>1431</v>
      </c>
      <c r="E724" s="144" t="s">
        <v>1473</v>
      </c>
      <c r="F724" s="147" t="s">
        <v>859</v>
      </c>
      <c r="G724" s="144" t="s">
        <v>2231</v>
      </c>
      <c r="H724" s="146" t="s">
        <v>26</v>
      </c>
      <c r="I724" s="144" t="s">
        <v>1436</v>
      </c>
    </row>
    <row r="725" spans="1:9" ht="38.1">
      <c r="A725" s="193">
        <v>45751</v>
      </c>
      <c r="B725" s="145" t="s">
        <v>826</v>
      </c>
      <c r="C725" s="150">
        <v>2025</v>
      </c>
      <c r="D725" s="201" t="s">
        <v>1431</v>
      </c>
      <c r="E725" s="144" t="s">
        <v>1584</v>
      </c>
      <c r="F725" s="141" t="s">
        <v>821</v>
      </c>
      <c r="G725" s="144" t="s">
        <v>2236</v>
      </c>
      <c r="H725" s="146" t="s">
        <v>26</v>
      </c>
      <c r="I725" s="144" t="s">
        <v>910</v>
      </c>
    </row>
    <row r="726" spans="1:9" ht="50.45">
      <c r="A726" s="193">
        <v>45751</v>
      </c>
      <c r="B726" s="145" t="s">
        <v>826</v>
      </c>
      <c r="C726" s="150">
        <v>2025</v>
      </c>
      <c r="D726" s="201" t="s">
        <v>2224</v>
      </c>
      <c r="E726" s="144" t="s">
        <v>1560</v>
      </c>
      <c r="F726" s="147" t="s">
        <v>859</v>
      </c>
      <c r="G726" s="144" t="s">
        <v>2237</v>
      </c>
      <c r="H726" s="146" t="s">
        <v>26</v>
      </c>
      <c r="I726" s="144" t="s">
        <v>1436</v>
      </c>
    </row>
    <row r="727" spans="1:9" ht="25.5">
      <c r="A727" s="193">
        <v>45751</v>
      </c>
      <c r="B727" s="145" t="s">
        <v>826</v>
      </c>
      <c r="C727" s="150">
        <v>2025</v>
      </c>
      <c r="D727" s="201" t="s">
        <v>1431</v>
      </c>
      <c r="E727" s="144" t="s">
        <v>216</v>
      </c>
      <c r="F727" s="141" t="s">
        <v>821</v>
      </c>
      <c r="G727" s="144" t="s">
        <v>2238</v>
      </c>
      <c r="H727" s="146" t="s">
        <v>26</v>
      </c>
      <c r="I727" s="144" t="s">
        <v>1436</v>
      </c>
    </row>
    <row r="728" spans="1:9" ht="25.5">
      <c r="A728" s="193">
        <v>45751</v>
      </c>
      <c r="B728" s="145" t="s">
        <v>826</v>
      </c>
      <c r="C728" s="150">
        <v>2025</v>
      </c>
      <c r="D728" s="201" t="s">
        <v>1431</v>
      </c>
      <c r="E728" s="144" t="s">
        <v>21</v>
      </c>
      <c r="F728" s="141" t="s">
        <v>821</v>
      </c>
      <c r="G728" s="144" t="s">
        <v>2239</v>
      </c>
      <c r="H728" s="146" t="s">
        <v>26</v>
      </c>
      <c r="I728" s="144" t="s">
        <v>1436</v>
      </c>
    </row>
    <row r="729" spans="1:9" ht="25.5">
      <c r="A729" s="193">
        <v>45751</v>
      </c>
      <c r="B729" s="145" t="s">
        <v>826</v>
      </c>
      <c r="C729" s="150">
        <v>2025</v>
      </c>
      <c r="D729" s="201" t="s">
        <v>1431</v>
      </c>
      <c r="E729" s="144" t="s">
        <v>21</v>
      </c>
      <c r="F729" s="141" t="s">
        <v>821</v>
      </c>
      <c r="G729" s="144" t="s">
        <v>2240</v>
      </c>
      <c r="H729" s="146" t="s">
        <v>26</v>
      </c>
      <c r="I729" s="144" t="s">
        <v>1436</v>
      </c>
    </row>
    <row r="730" spans="1:9" ht="25.5">
      <c r="A730" s="193">
        <v>45751</v>
      </c>
      <c r="B730" s="145" t="s">
        <v>826</v>
      </c>
      <c r="C730" s="150">
        <v>2025</v>
      </c>
      <c r="D730" s="201" t="s">
        <v>1431</v>
      </c>
      <c r="E730" s="144" t="s">
        <v>21</v>
      </c>
      <c r="F730" s="141" t="s">
        <v>821</v>
      </c>
      <c r="G730" s="144" t="s">
        <v>2241</v>
      </c>
      <c r="H730" s="146" t="s">
        <v>26</v>
      </c>
      <c r="I730" s="144" t="s">
        <v>1436</v>
      </c>
    </row>
    <row r="731" spans="1:9" ht="50.45">
      <c r="A731" s="193">
        <v>45754</v>
      </c>
      <c r="B731" s="145" t="s">
        <v>826</v>
      </c>
      <c r="C731" s="150">
        <v>2025</v>
      </c>
      <c r="D731" s="201" t="s">
        <v>1431</v>
      </c>
      <c r="E731" s="144" t="s">
        <v>21</v>
      </c>
      <c r="F731" s="141" t="s">
        <v>821</v>
      </c>
      <c r="G731" s="144" t="s">
        <v>2242</v>
      </c>
      <c r="H731" s="146" t="s">
        <v>26</v>
      </c>
      <c r="I731" s="144" t="s">
        <v>1436</v>
      </c>
    </row>
    <row r="732" spans="1:9" ht="25.5">
      <c r="A732" s="193">
        <v>45754</v>
      </c>
      <c r="B732" s="145" t="s">
        <v>826</v>
      </c>
      <c r="C732" s="150">
        <v>2025</v>
      </c>
      <c r="D732" s="201" t="s">
        <v>1431</v>
      </c>
      <c r="E732" s="144" t="s">
        <v>21</v>
      </c>
      <c r="F732" s="141" t="s">
        <v>821</v>
      </c>
      <c r="G732" s="144" t="s">
        <v>2243</v>
      </c>
      <c r="H732" s="146" t="s">
        <v>26</v>
      </c>
      <c r="I732" s="144" t="s">
        <v>1436</v>
      </c>
    </row>
    <row r="733" spans="1:9" ht="38.1">
      <c r="A733" s="193">
        <v>45754</v>
      </c>
      <c r="B733" s="145" t="s">
        <v>826</v>
      </c>
      <c r="C733" s="150">
        <v>2025</v>
      </c>
      <c r="D733" s="201" t="s">
        <v>1431</v>
      </c>
      <c r="E733" s="144" t="s">
        <v>2244</v>
      </c>
      <c r="F733" s="147" t="s">
        <v>859</v>
      </c>
      <c r="G733" s="144" t="s">
        <v>2245</v>
      </c>
      <c r="H733" s="146" t="s">
        <v>26</v>
      </c>
      <c r="I733" s="144" t="s">
        <v>1436</v>
      </c>
    </row>
    <row r="734" spans="1:9" ht="38.1">
      <c r="A734" s="193">
        <v>45754</v>
      </c>
      <c r="B734" s="145" t="s">
        <v>826</v>
      </c>
      <c r="C734" s="150">
        <v>2025</v>
      </c>
      <c r="D734" s="201" t="s">
        <v>1431</v>
      </c>
      <c r="E734" s="144" t="s">
        <v>1518</v>
      </c>
      <c r="F734" s="139" t="s">
        <v>88</v>
      </c>
      <c r="G734" s="144" t="s">
        <v>2246</v>
      </c>
      <c r="H734" s="146" t="s">
        <v>130</v>
      </c>
      <c r="I734" s="144" t="s">
        <v>1436</v>
      </c>
    </row>
    <row r="735" spans="1:9" ht="25.5">
      <c r="A735" s="193">
        <v>45755</v>
      </c>
      <c r="B735" s="145" t="s">
        <v>826</v>
      </c>
      <c r="C735" s="150">
        <v>2025</v>
      </c>
      <c r="D735" s="201" t="s">
        <v>1431</v>
      </c>
      <c r="E735" s="144" t="s">
        <v>21</v>
      </c>
      <c r="F735" s="141" t="s">
        <v>821</v>
      </c>
      <c r="G735" s="144" t="s">
        <v>2247</v>
      </c>
      <c r="H735" s="146" t="s">
        <v>26</v>
      </c>
      <c r="I735" s="144" t="s">
        <v>1436</v>
      </c>
    </row>
    <row r="736" spans="1:9" ht="25.5">
      <c r="A736" s="193">
        <v>45755</v>
      </c>
      <c r="B736" s="145" t="s">
        <v>826</v>
      </c>
      <c r="C736" s="150">
        <v>2025</v>
      </c>
      <c r="D736" s="201" t="s">
        <v>1431</v>
      </c>
      <c r="E736" s="144" t="s">
        <v>1473</v>
      </c>
      <c r="F736" s="147" t="s">
        <v>859</v>
      </c>
      <c r="G736" s="144" t="s">
        <v>2248</v>
      </c>
      <c r="H736" s="146" t="s">
        <v>130</v>
      </c>
      <c r="I736" s="144" t="s">
        <v>1436</v>
      </c>
    </row>
    <row r="737" spans="1:9" ht="14.1">
      <c r="A737" s="193">
        <v>45755</v>
      </c>
      <c r="B737" s="145" t="s">
        <v>826</v>
      </c>
      <c r="C737" s="150">
        <v>2025</v>
      </c>
      <c r="D737" s="201" t="s">
        <v>1431</v>
      </c>
      <c r="E737" s="144" t="s">
        <v>1506</v>
      </c>
      <c r="F737" s="139" t="s">
        <v>88</v>
      </c>
      <c r="G737" s="144" t="s">
        <v>2249</v>
      </c>
      <c r="H737" s="146" t="s">
        <v>130</v>
      </c>
      <c r="I737" s="144" t="s">
        <v>1436</v>
      </c>
    </row>
    <row r="738" spans="1:9" ht="25.5">
      <c r="A738" s="193">
        <v>45755</v>
      </c>
      <c r="B738" s="145" t="s">
        <v>826</v>
      </c>
      <c r="C738" s="150">
        <v>2025</v>
      </c>
      <c r="D738" s="201" t="s">
        <v>1431</v>
      </c>
      <c r="E738" s="144" t="s">
        <v>1518</v>
      </c>
      <c r="F738" s="139" t="s">
        <v>88</v>
      </c>
      <c r="G738" s="144" t="s">
        <v>2250</v>
      </c>
      <c r="H738" s="146" t="s">
        <v>130</v>
      </c>
      <c r="I738" s="144" t="s">
        <v>1436</v>
      </c>
    </row>
    <row r="739" spans="1:9" ht="25.5">
      <c r="A739" s="193">
        <v>45755</v>
      </c>
      <c r="B739" s="145" t="s">
        <v>826</v>
      </c>
      <c r="C739" s="150">
        <v>2025</v>
      </c>
      <c r="D739" s="201" t="s">
        <v>1431</v>
      </c>
      <c r="E739" s="144" t="s">
        <v>2192</v>
      </c>
      <c r="F739" s="147" t="s">
        <v>859</v>
      </c>
      <c r="G739" s="144" t="s">
        <v>2251</v>
      </c>
      <c r="H739" s="146" t="s">
        <v>130</v>
      </c>
      <c r="I739" s="144" t="s">
        <v>923</v>
      </c>
    </row>
    <row r="740" spans="1:9" ht="38.1">
      <c r="A740" s="193">
        <v>45756</v>
      </c>
      <c r="B740" s="145" t="s">
        <v>826</v>
      </c>
      <c r="C740" s="150">
        <v>2025</v>
      </c>
      <c r="D740" s="201" t="s">
        <v>2252</v>
      </c>
      <c r="E740" s="144" t="s">
        <v>21</v>
      </c>
      <c r="F740" s="141" t="s">
        <v>821</v>
      </c>
      <c r="G740" s="144" t="s">
        <v>2253</v>
      </c>
      <c r="H740" s="146" t="s">
        <v>26</v>
      </c>
      <c r="I740" s="144" t="s">
        <v>1436</v>
      </c>
    </row>
    <row r="741" spans="1:9" ht="14.1">
      <c r="A741" s="193">
        <v>45757</v>
      </c>
      <c r="B741" s="145" t="s">
        <v>826</v>
      </c>
      <c r="C741" s="150">
        <v>2025</v>
      </c>
      <c r="D741" s="201" t="s">
        <v>2252</v>
      </c>
      <c r="E741" s="144" t="s">
        <v>21</v>
      </c>
      <c r="F741" s="141" t="s">
        <v>821</v>
      </c>
      <c r="G741" s="144" t="s">
        <v>2254</v>
      </c>
      <c r="H741" s="146" t="s">
        <v>26</v>
      </c>
      <c r="I741" s="144" t="s">
        <v>1436</v>
      </c>
    </row>
    <row r="742" spans="1:9" ht="38.1">
      <c r="A742" s="193">
        <v>45757</v>
      </c>
      <c r="B742" s="145" t="s">
        <v>826</v>
      </c>
      <c r="C742" s="150">
        <v>2025</v>
      </c>
      <c r="D742" s="201" t="s">
        <v>1431</v>
      </c>
      <c r="E742" s="144" t="s">
        <v>1518</v>
      </c>
      <c r="F742" s="139" t="s">
        <v>88</v>
      </c>
      <c r="G742" s="144" t="s">
        <v>2255</v>
      </c>
      <c r="H742" s="146" t="s">
        <v>26</v>
      </c>
      <c r="I742" s="144" t="s">
        <v>1436</v>
      </c>
    </row>
    <row r="743" spans="1:9" ht="25.5">
      <c r="A743" s="193">
        <v>45758</v>
      </c>
      <c r="B743" s="145" t="s">
        <v>826</v>
      </c>
      <c r="C743" s="150">
        <v>2025</v>
      </c>
      <c r="D743" s="201" t="s">
        <v>1431</v>
      </c>
      <c r="E743" s="144" t="s">
        <v>21</v>
      </c>
      <c r="F743" s="141" t="s">
        <v>821</v>
      </c>
      <c r="G743" s="144" t="s">
        <v>2256</v>
      </c>
      <c r="H743" s="146" t="s">
        <v>26</v>
      </c>
      <c r="I743" s="144" t="s">
        <v>1436</v>
      </c>
    </row>
    <row r="744" spans="1:9" ht="38.1">
      <c r="A744" s="193">
        <v>45758</v>
      </c>
      <c r="B744" s="145" t="s">
        <v>826</v>
      </c>
      <c r="C744" s="150">
        <v>2025</v>
      </c>
      <c r="D744" s="201" t="s">
        <v>1431</v>
      </c>
      <c r="E744" s="144" t="s">
        <v>1225</v>
      </c>
      <c r="F744" s="147" t="s">
        <v>859</v>
      </c>
      <c r="G744" s="144" t="s">
        <v>2257</v>
      </c>
      <c r="H744" s="146" t="s">
        <v>26</v>
      </c>
      <c r="I744" s="144" t="s">
        <v>1436</v>
      </c>
    </row>
    <row r="745" spans="1:9" ht="38.1">
      <c r="A745" s="193">
        <v>45758</v>
      </c>
      <c r="B745" s="145" t="s">
        <v>826</v>
      </c>
      <c r="C745" s="150">
        <v>2025</v>
      </c>
      <c r="D745" s="201" t="s">
        <v>1431</v>
      </c>
      <c r="E745" s="144" t="s">
        <v>216</v>
      </c>
      <c r="F745" s="141" t="s">
        <v>821</v>
      </c>
      <c r="G745" s="144" t="s">
        <v>2258</v>
      </c>
      <c r="H745" s="146" t="s">
        <v>26</v>
      </c>
      <c r="I745" s="144" t="s">
        <v>1588</v>
      </c>
    </row>
    <row r="746" spans="1:9" ht="38.1">
      <c r="A746" s="193">
        <v>45761</v>
      </c>
      <c r="B746" s="145" t="s">
        <v>826</v>
      </c>
      <c r="C746" s="150">
        <v>2025</v>
      </c>
      <c r="D746" s="201" t="s">
        <v>1431</v>
      </c>
      <c r="E746" s="144" t="s">
        <v>21</v>
      </c>
      <c r="F746" s="141" t="s">
        <v>821</v>
      </c>
      <c r="G746" s="144" t="s">
        <v>2259</v>
      </c>
      <c r="H746" s="146" t="s">
        <v>130</v>
      </c>
      <c r="I746" s="144" t="s">
        <v>149</v>
      </c>
    </row>
    <row r="747" spans="1:9" ht="25.5">
      <c r="A747" s="193">
        <v>45761</v>
      </c>
      <c r="B747" s="145" t="s">
        <v>826</v>
      </c>
      <c r="C747" s="150">
        <v>2025</v>
      </c>
      <c r="D747" s="201" t="s">
        <v>1431</v>
      </c>
      <c r="E747" s="144" t="s">
        <v>1506</v>
      </c>
      <c r="F747" s="139" t="s">
        <v>88</v>
      </c>
      <c r="G747" s="144" t="s">
        <v>2260</v>
      </c>
      <c r="H747" s="146" t="s">
        <v>130</v>
      </c>
      <c r="I747" s="144" t="s">
        <v>1904</v>
      </c>
    </row>
    <row r="748" spans="1:9" ht="25.5">
      <c r="A748" s="193">
        <v>45761</v>
      </c>
      <c r="B748" s="145" t="s">
        <v>826</v>
      </c>
      <c r="C748" s="150">
        <v>2025</v>
      </c>
      <c r="D748" s="201" t="s">
        <v>1431</v>
      </c>
      <c r="E748" s="144" t="s">
        <v>1518</v>
      </c>
      <c r="F748" s="139" t="s">
        <v>88</v>
      </c>
      <c r="G748" s="144" t="s">
        <v>2261</v>
      </c>
      <c r="H748" s="146" t="s">
        <v>130</v>
      </c>
      <c r="I748" s="144" t="s">
        <v>1493</v>
      </c>
    </row>
    <row r="749" spans="1:9" ht="25.5">
      <c r="A749" s="193">
        <v>45762</v>
      </c>
      <c r="B749" s="145" t="s">
        <v>826</v>
      </c>
      <c r="C749" s="150">
        <v>2025</v>
      </c>
      <c r="D749" s="201" t="s">
        <v>1431</v>
      </c>
      <c r="E749" s="144" t="s">
        <v>216</v>
      </c>
      <c r="F749" s="141" t="s">
        <v>821</v>
      </c>
      <c r="G749" s="144" t="s">
        <v>2262</v>
      </c>
      <c r="H749" s="146" t="s">
        <v>26</v>
      </c>
      <c r="I749" s="144" t="s">
        <v>1436</v>
      </c>
    </row>
    <row r="750" spans="1:9" ht="38.1">
      <c r="A750" s="193">
        <v>45762</v>
      </c>
      <c r="B750" s="145" t="s">
        <v>826</v>
      </c>
      <c r="C750" s="150">
        <v>2025</v>
      </c>
      <c r="D750" s="201" t="s">
        <v>1431</v>
      </c>
      <c r="E750" s="144" t="s">
        <v>216</v>
      </c>
      <c r="F750" s="141" t="s">
        <v>821</v>
      </c>
      <c r="G750" s="144" t="s">
        <v>2263</v>
      </c>
      <c r="H750" s="146" t="s">
        <v>130</v>
      </c>
      <c r="I750" s="144" t="s">
        <v>1436</v>
      </c>
    </row>
    <row r="751" spans="1:9" ht="25.5">
      <c r="A751" s="193">
        <v>45763</v>
      </c>
      <c r="B751" s="145" t="s">
        <v>826</v>
      </c>
      <c r="C751" s="150">
        <v>2025</v>
      </c>
      <c r="D751" s="201" t="s">
        <v>1431</v>
      </c>
      <c r="E751" s="144" t="s">
        <v>216</v>
      </c>
      <c r="F751" s="141" t="s">
        <v>821</v>
      </c>
      <c r="G751" s="144" t="s">
        <v>2264</v>
      </c>
      <c r="H751" s="146" t="s">
        <v>26</v>
      </c>
      <c r="I751" s="144" t="s">
        <v>1436</v>
      </c>
    </row>
    <row r="752" spans="1:9" ht="25.5">
      <c r="A752" s="193">
        <v>45763</v>
      </c>
      <c r="B752" s="145" t="s">
        <v>826</v>
      </c>
      <c r="C752" s="150">
        <v>2025</v>
      </c>
      <c r="D752" s="201" t="s">
        <v>1431</v>
      </c>
      <c r="E752" s="144" t="s">
        <v>1539</v>
      </c>
      <c r="F752" s="147" t="s">
        <v>859</v>
      </c>
      <c r="G752" s="144" t="s">
        <v>2265</v>
      </c>
      <c r="H752" s="146" t="s">
        <v>130</v>
      </c>
      <c r="I752" s="144" t="s">
        <v>1436</v>
      </c>
    </row>
    <row r="753" spans="1:9" ht="50.45">
      <c r="A753" s="193">
        <v>45764</v>
      </c>
      <c r="B753" s="145" t="s">
        <v>826</v>
      </c>
      <c r="C753" s="150">
        <v>2025</v>
      </c>
      <c r="D753" s="201" t="s">
        <v>1431</v>
      </c>
      <c r="E753" s="144" t="s">
        <v>1506</v>
      </c>
      <c r="F753" s="139" t="s">
        <v>88</v>
      </c>
      <c r="G753" s="144" t="s">
        <v>2266</v>
      </c>
      <c r="H753" s="146" t="s">
        <v>26</v>
      </c>
      <c r="I753" s="144" t="s">
        <v>1436</v>
      </c>
    </row>
    <row r="754" spans="1:9" ht="25.5">
      <c r="A754" s="193">
        <v>45769</v>
      </c>
      <c r="B754" s="145" t="s">
        <v>826</v>
      </c>
      <c r="C754" s="150">
        <v>2025</v>
      </c>
      <c r="D754" s="201" t="s">
        <v>1431</v>
      </c>
      <c r="E754" s="144" t="s">
        <v>1506</v>
      </c>
      <c r="F754" s="139" t="s">
        <v>88</v>
      </c>
      <c r="G754" s="144" t="s">
        <v>2267</v>
      </c>
      <c r="H754" s="146" t="s">
        <v>130</v>
      </c>
      <c r="I754" s="144" t="s">
        <v>1904</v>
      </c>
    </row>
    <row r="755" spans="1:9" ht="38.1">
      <c r="A755" s="193">
        <v>45769</v>
      </c>
      <c r="B755" s="145" t="s">
        <v>826</v>
      </c>
      <c r="C755" s="150">
        <v>2025</v>
      </c>
      <c r="D755" s="201" t="s">
        <v>1431</v>
      </c>
      <c r="E755" s="144" t="s">
        <v>1506</v>
      </c>
      <c r="F755" s="139" t="s">
        <v>88</v>
      </c>
      <c r="G755" s="144" t="s">
        <v>2268</v>
      </c>
      <c r="H755" s="146" t="s">
        <v>130</v>
      </c>
      <c r="I755" s="144" t="s">
        <v>1436</v>
      </c>
    </row>
    <row r="756" spans="1:9" ht="25.5">
      <c r="A756" s="193">
        <v>45769</v>
      </c>
      <c r="B756" s="145" t="s">
        <v>826</v>
      </c>
      <c r="C756" s="150">
        <v>2025</v>
      </c>
      <c r="D756" s="201" t="s">
        <v>1431</v>
      </c>
      <c r="E756" s="144" t="s">
        <v>216</v>
      </c>
      <c r="F756" s="141" t="s">
        <v>821</v>
      </c>
      <c r="G756" s="144" t="s">
        <v>2269</v>
      </c>
      <c r="H756" s="146" t="s">
        <v>26</v>
      </c>
      <c r="I756" s="144" t="s">
        <v>1436</v>
      </c>
    </row>
    <row r="757" spans="1:9" ht="14.1">
      <c r="A757" s="193">
        <v>45769</v>
      </c>
      <c r="B757" s="145" t="s">
        <v>826</v>
      </c>
      <c r="C757" s="150">
        <v>2025</v>
      </c>
      <c r="D757" s="201" t="s">
        <v>1431</v>
      </c>
      <c r="E757" s="144" t="s">
        <v>21</v>
      </c>
      <c r="F757" s="141" t="s">
        <v>821</v>
      </c>
      <c r="G757" s="144" t="s">
        <v>2270</v>
      </c>
      <c r="H757" s="146" t="s">
        <v>26</v>
      </c>
      <c r="I757" s="144" t="s">
        <v>1436</v>
      </c>
    </row>
    <row r="758" spans="1:9" ht="25.5">
      <c r="A758" s="193">
        <v>45769</v>
      </c>
      <c r="B758" s="145" t="s">
        <v>826</v>
      </c>
      <c r="C758" s="150">
        <v>2025</v>
      </c>
      <c r="D758" s="201" t="s">
        <v>1431</v>
      </c>
      <c r="E758" s="144" t="s">
        <v>21</v>
      </c>
      <c r="F758" s="141" t="s">
        <v>821</v>
      </c>
      <c r="G758" s="144" t="s">
        <v>2271</v>
      </c>
      <c r="H758" s="146" t="s">
        <v>26</v>
      </c>
      <c r="I758" s="144" t="s">
        <v>1436</v>
      </c>
    </row>
    <row r="759" spans="1:9" ht="25.5">
      <c r="A759" s="193">
        <v>45769</v>
      </c>
      <c r="B759" s="145" t="s">
        <v>826</v>
      </c>
      <c r="C759" s="150">
        <v>2025</v>
      </c>
      <c r="D759" s="201" t="s">
        <v>1431</v>
      </c>
      <c r="E759" s="144" t="s">
        <v>1566</v>
      </c>
      <c r="F759" s="142" t="s">
        <v>872</v>
      </c>
      <c r="G759" s="144" t="s">
        <v>2272</v>
      </c>
      <c r="H759" s="146" t="s">
        <v>26</v>
      </c>
      <c r="I759" s="144" t="s">
        <v>1436</v>
      </c>
    </row>
    <row r="760" spans="1:9" ht="38.1">
      <c r="A760" s="193">
        <v>45769</v>
      </c>
      <c r="B760" s="145" t="s">
        <v>826</v>
      </c>
      <c r="C760" s="150">
        <v>2025</v>
      </c>
      <c r="D760" s="201" t="s">
        <v>1431</v>
      </c>
      <c r="E760" s="144" t="s">
        <v>988</v>
      </c>
      <c r="F760" s="139" t="s">
        <v>88</v>
      </c>
      <c r="G760" s="144" t="s">
        <v>2273</v>
      </c>
      <c r="H760" s="146" t="s">
        <v>26</v>
      </c>
      <c r="I760" s="144" t="s">
        <v>1436</v>
      </c>
    </row>
    <row r="761" spans="1:9" ht="50.45">
      <c r="A761" s="193">
        <v>45769</v>
      </c>
      <c r="B761" s="145" t="s">
        <v>826</v>
      </c>
      <c r="C761" s="150">
        <v>2025</v>
      </c>
      <c r="D761" s="201" t="s">
        <v>1431</v>
      </c>
      <c r="E761" s="144" t="s">
        <v>1539</v>
      </c>
      <c r="F761" s="147" t="s">
        <v>859</v>
      </c>
      <c r="G761" s="144" t="s">
        <v>2274</v>
      </c>
      <c r="H761" s="146" t="s">
        <v>130</v>
      </c>
      <c r="I761" s="144" t="s">
        <v>1436</v>
      </c>
    </row>
    <row r="762" spans="1:9" ht="25.5">
      <c r="A762" s="193">
        <v>45769</v>
      </c>
      <c r="B762" s="145" t="s">
        <v>826</v>
      </c>
      <c r="C762" s="150">
        <v>2025</v>
      </c>
      <c r="D762" s="201" t="s">
        <v>1431</v>
      </c>
      <c r="E762" s="144" t="s">
        <v>21</v>
      </c>
      <c r="F762" s="141" t="s">
        <v>821</v>
      </c>
      <c r="G762" s="144" t="s">
        <v>2275</v>
      </c>
      <c r="H762" s="146" t="s">
        <v>130</v>
      </c>
      <c r="I762" s="144" t="s">
        <v>1436</v>
      </c>
    </row>
    <row r="763" spans="1:9" ht="38.1">
      <c r="A763" s="193">
        <v>45770</v>
      </c>
      <c r="B763" s="145" t="s">
        <v>826</v>
      </c>
      <c r="C763" s="150">
        <v>2025</v>
      </c>
      <c r="D763" s="201" t="s">
        <v>1431</v>
      </c>
      <c r="E763" s="144" t="s">
        <v>216</v>
      </c>
      <c r="F763" s="141" t="s">
        <v>821</v>
      </c>
      <c r="G763" s="144" t="s">
        <v>2276</v>
      </c>
      <c r="H763" s="146" t="s">
        <v>130</v>
      </c>
      <c r="I763" s="144" t="s">
        <v>1436</v>
      </c>
    </row>
    <row r="764" spans="1:9" ht="38.1">
      <c r="A764" s="193">
        <v>45770</v>
      </c>
      <c r="B764" s="145" t="s">
        <v>826</v>
      </c>
      <c r="C764" s="150">
        <v>2025</v>
      </c>
      <c r="D764" s="201" t="s">
        <v>1431</v>
      </c>
      <c r="E764" s="144" t="s">
        <v>216</v>
      </c>
      <c r="F764" s="141" t="s">
        <v>821</v>
      </c>
      <c r="G764" s="144" t="s">
        <v>2277</v>
      </c>
      <c r="H764" s="146" t="s">
        <v>26</v>
      </c>
      <c r="I764" s="144" t="s">
        <v>1436</v>
      </c>
    </row>
    <row r="765" spans="1:9" ht="38.1">
      <c r="A765" s="193">
        <v>45770</v>
      </c>
      <c r="B765" s="145" t="s">
        <v>826</v>
      </c>
      <c r="C765" s="150">
        <v>2025</v>
      </c>
      <c r="D765" s="201" t="s">
        <v>1431</v>
      </c>
      <c r="E765" s="144" t="s">
        <v>216</v>
      </c>
      <c r="F765" s="141" t="s">
        <v>821</v>
      </c>
      <c r="G765" s="144" t="s">
        <v>2278</v>
      </c>
      <c r="H765" s="146" t="s">
        <v>26</v>
      </c>
      <c r="I765" s="144" t="s">
        <v>1436</v>
      </c>
    </row>
    <row r="766" spans="1:9" ht="38.1">
      <c r="A766" s="193">
        <v>45771</v>
      </c>
      <c r="B766" s="145" t="s">
        <v>826</v>
      </c>
      <c r="C766" s="150">
        <v>2025</v>
      </c>
      <c r="D766" s="201" t="s">
        <v>1431</v>
      </c>
      <c r="E766" s="144" t="s">
        <v>21</v>
      </c>
      <c r="F766" s="141" t="s">
        <v>821</v>
      </c>
      <c r="G766" s="144" t="s">
        <v>2279</v>
      </c>
      <c r="H766" s="146" t="s">
        <v>26</v>
      </c>
      <c r="I766" s="144" t="s">
        <v>149</v>
      </c>
    </row>
    <row r="767" spans="1:9" ht="50.45">
      <c r="A767" s="193">
        <v>45771</v>
      </c>
      <c r="B767" s="145" t="s">
        <v>826</v>
      </c>
      <c r="C767" s="150">
        <v>2025</v>
      </c>
      <c r="D767" s="201" t="s">
        <v>1431</v>
      </c>
      <c r="E767" s="144" t="s">
        <v>1225</v>
      </c>
      <c r="F767" s="147" t="s">
        <v>859</v>
      </c>
      <c r="G767" s="144" t="s">
        <v>2280</v>
      </c>
      <c r="H767" s="146" t="s">
        <v>130</v>
      </c>
      <c r="I767" s="144" t="s">
        <v>1436</v>
      </c>
    </row>
    <row r="768" spans="1:9" ht="25.5">
      <c r="A768" s="193">
        <v>45771</v>
      </c>
      <c r="B768" s="145" t="s">
        <v>826</v>
      </c>
      <c r="C768" s="150">
        <v>2025</v>
      </c>
      <c r="D768" s="201" t="s">
        <v>1431</v>
      </c>
      <c r="E768" s="144" t="s">
        <v>1518</v>
      </c>
      <c r="F768" s="139" t="s">
        <v>88</v>
      </c>
      <c r="G768" s="144" t="s">
        <v>2281</v>
      </c>
      <c r="H768" s="146" t="s">
        <v>26</v>
      </c>
      <c r="I768" s="144" t="s">
        <v>1436</v>
      </c>
    </row>
    <row r="769" spans="1:9" ht="25.5">
      <c r="A769" s="193">
        <v>45748</v>
      </c>
      <c r="B769" s="145" t="s">
        <v>826</v>
      </c>
      <c r="C769" s="150">
        <v>2025</v>
      </c>
      <c r="D769" s="201" t="s">
        <v>1431</v>
      </c>
      <c r="E769" s="144" t="s">
        <v>1436</v>
      </c>
      <c r="F769" s="140" t="s">
        <v>1439</v>
      </c>
      <c r="G769" s="144" t="s">
        <v>2282</v>
      </c>
      <c r="H769" s="146" t="s">
        <v>26</v>
      </c>
      <c r="I769" s="144" t="s">
        <v>1436</v>
      </c>
    </row>
    <row r="770" spans="1:9" ht="14.1">
      <c r="A770" s="193">
        <v>45771</v>
      </c>
      <c r="B770" s="145" t="s">
        <v>826</v>
      </c>
      <c r="C770" s="150">
        <v>2025</v>
      </c>
      <c r="D770" s="201" t="s">
        <v>1431</v>
      </c>
      <c r="E770" s="144" t="s">
        <v>21</v>
      </c>
      <c r="F770" s="141" t="s">
        <v>821</v>
      </c>
      <c r="G770" s="144" t="s">
        <v>2283</v>
      </c>
      <c r="H770" s="146" t="s">
        <v>130</v>
      </c>
      <c r="I770" s="144" t="s">
        <v>1436</v>
      </c>
    </row>
    <row r="771" spans="1:9" ht="14.1">
      <c r="A771" s="193">
        <v>45771</v>
      </c>
      <c r="B771" s="145" t="s">
        <v>826</v>
      </c>
      <c r="C771" s="150">
        <v>2025</v>
      </c>
      <c r="D771" s="201" t="s">
        <v>1431</v>
      </c>
      <c r="E771" s="144" t="s">
        <v>1566</v>
      </c>
      <c r="F771" s="139" t="s">
        <v>88</v>
      </c>
      <c r="G771" s="144" t="s">
        <v>2284</v>
      </c>
      <c r="H771" s="146" t="s">
        <v>26</v>
      </c>
      <c r="I771" s="144" t="s">
        <v>1436</v>
      </c>
    </row>
    <row r="772" spans="1:9" ht="25.5">
      <c r="A772" s="193">
        <v>45772</v>
      </c>
      <c r="B772" s="145" t="s">
        <v>826</v>
      </c>
      <c r="C772" s="150">
        <v>2025</v>
      </c>
      <c r="D772" s="201" t="s">
        <v>1431</v>
      </c>
      <c r="E772" s="144" t="s">
        <v>1225</v>
      </c>
      <c r="F772" s="147" t="s">
        <v>859</v>
      </c>
      <c r="G772" s="144" t="s">
        <v>2285</v>
      </c>
      <c r="H772" s="146" t="s">
        <v>26</v>
      </c>
      <c r="I772" s="144" t="s">
        <v>1436</v>
      </c>
    </row>
    <row r="773" spans="1:9" ht="25.5">
      <c r="A773" s="193">
        <v>45772</v>
      </c>
      <c r="B773" s="145" t="s">
        <v>826</v>
      </c>
      <c r="C773" s="150">
        <v>2025</v>
      </c>
      <c r="D773" s="201" t="s">
        <v>1431</v>
      </c>
      <c r="E773" s="144" t="s">
        <v>2192</v>
      </c>
      <c r="F773" s="141" t="s">
        <v>821</v>
      </c>
      <c r="G773" s="144" t="s">
        <v>2286</v>
      </c>
      <c r="H773" s="146" t="s">
        <v>26</v>
      </c>
      <c r="I773" s="144" t="s">
        <v>1436</v>
      </c>
    </row>
    <row r="774" spans="1:9" ht="25.5">
      <c r="A774" s="193">
        <v>45775</v>
      </c>
      <c r="B774" s="145" t="s">
        <v>826</v>
      </c>
      <c r="C774" s="150">
        <v>2025</v>
      </c>
      <c r="D774" s="201" t="s">
        <v>1431</v>
      </c>
      <c r="E774" s="144" t="s">
        <v>2287</v>
      </c>
      <c r="F774" s="140" t="s">
        <v>1439</v>
      </c>
      <c r="G774" s="144" t="s">
        <v>2288</v>
      </c>
      <c r="H774" s="146" t="s">
        <v>26</v>
      </c>
      <c r="I774" s="144" t="s">
        <v>1436</v>
      </c>
    </row>
    <row r="775" spans="1:9" ht="50.45">
      <c r="A775" s="193">
        <v>45775</v>
      </c>
      <c r="B775" s="145" t="s">
        <v>826</v>
      </c>
      <c r="C775" s="150">
        <v>2025</v>
      </c>
      <c r="D775" s="201" t="s">
        <v>1431</v>
      </c>
      <c r="E775" s="144" t="s">
        <v>1506</v>
      </c>
      <c r="F775" s="147" t="s">
        <v>859</v>
      </c>
      <c r="G775" s="144" t="s">
        <v>2289</v>
      </c>
      <c r="H775" s="146" t="s">
        <v>26</v>
      </c>
      <c r="I775" s="144" t="s">
        <v>1436</v>
      </c>
    </row>
    <row r="776" spans="1:9" ht="25.5">
      <c r="A776" s="193">
        <v>45775</v>
      </c>
      <c r="B776" s="145" t="s">
        <v>826</v>
      </c>
      <c r="C776" s="150">
        <v>2025</v>
      </c>
      <c r="D776" s="201" t="s">
        <v>1431</v>
      </c>
      <c r="E776" s="144" t="s">
        <v>1518</v>
      </c>
      <c r="F776" s="139" t="s">
        <v>88</v>
      </c>
      <c r="G776" s="144" t="s">
        <v>2290</v>
      </c>
      <c r="H776" s="146" t="s">
        <v>26</v>
      </c>
      <c r="I776" s="144" t="s">
        <v>1436</v>
      </c>
    </row>
    <row r="777" spans="1:9" ht="25.5">
      <c r="A777" s="193">
        <v>45775</v>
      </c>
      <c r="B777" s="145" t="s">
        <v>826</v>
      </c>
      <c r="C777" s="150">
        <v>2025</v>
      </c>
      <c r="D777" s="201" t="s">
        <v>1431</v>
      </c>
      <c r="E777" s="144" t="s">
        <v>988</v>
      </c>
      <c r="F777" s="139" t="s">
        <v>88</v>
      </c>
      <c r="G777" s="144" t="s">
        <v>2291</v>
      </c>
      <c r="H777" s="146" t="s">
        <v>26</v>
      </c>
      <c r="I777" s="144" t="s">
        <v>1436</v>
      </c>
    </row>
    <row r="778" spans="1:9" ht="25.5">
      <c r="A778" s="193">
        <v>45779</v>
      </c>
      <c r="B778" s="145" t="s">
        <v>826</v>
      </c>
      <c r="C778" s="150">
        <v>2025</v>
      </c>
      <c r="D778" s="201" t="s">
        <v>1431</v>
      </c>
      <c r="E778" s="144" t="s">
        <v>216</v>
      </c>
      <c r="F778" s="141" t="s">
        <v>821</v>
      </c>
      <c r="G778" s="144" t="s">
        <v>2292</v>
      </c>
      <c r="H778" s="146" t="s">
        <v>26</v>
      </c>
      <c r="I778" s="144" t="s">
        <v>1436</v>
      </c>
    </row>
    <row r="779" spans="1:9" ht="25.5">
      <c r="A779" s="193">
        <v>45779</v>
      </c>
      <c r="B779" s="145" t="s">
        <v>826</v>
      </c>
      <c r="C779" s="150">
        <v>2025</v>
      </c>
      <c r="D779" s="201" t="s">
        <v>1431</v>
      </c>
      <c r="E779" s="144" t="s">
        <v>216</v>
      </c>
      <c r="F779" s="141" t="s">
        <v>821</v>
      </c>
      <c r="G779" s="144" t="s">
        <v>2293</v>
      </c>
      <c r="H779" s="146" t="s">
        <v>26</v>
      </c>
      <c r="I779" s="144" t="s">
        <v>1436</v>
      </c>
    </row>
    <row r="780" spans="1:9" ht="25.5">
      <c r="A780" s="193">
        <v>45779</v>
      </c>
      <c r="B780" s="145" t="s">
        <v>826</v>
      </c>
      <c r="C780" s="150">
        <v>2025</v>
      </c>
      <c r="D780" s="201" t="s">
        <v>1431</v>
      </c>
      <c r="E780" s="144" t="s">
        <v>21</v>
      </c>
      <c r="F780" s="141" t="s">
        <v>821</v>
      </c>
      <c r="G780" s="144" t="s">
        <v>2294</v>
      </c>
      <c r="H780" s="146" t="s">
        <v>26</v>
      </c>
      <c r="I780" s="144" t="s">
        <v>1436</v>
      </c>
    </row>
    <row r="781" spans="1:9" ht="38.1">
      <c r="A781" s="193">
        <v>45779</v>
      </c>
      <c r="B781" s="145" t="s">
        <v>826</v>
      </c>
      <c r="C781" s="150">
        <v>2025</v>
      </c>
      <c r="D781" s="201" t="s">
        <v>1431</v>
      </c>
      <c r="E781" s="144" t="s">
        <v>1518</v>
      </c>
      <c r="F781" s="139" t="s">
        <v>88</v>
      </c>
      <c r="G781" s="144" t="s">
        <v>2295</v>
      </c>
      <c r="H781" s="146" t="s">
        <v>26</v>
      </c>
      <c r="I781" s="144" t="s">
        <v>1436</v>
      </c>
    </row>
    <row r="782" spans="1:9" ht="25.5">
      <c r="A782" s="193">
        <v>45782</v>
      </c>
      <c r="B782" s="145" t="s">
        <v>827</v>
      </c>
      <c r="C782" s="150">
        <v>2025</v>
      </c>
      <c r="D782" s="201" t="s">
        <v>1431</v>
      </c>
      <c r="E782" s="144" t="s">
        <v>21</v>
      </c>
      <c r="F782" s="141" t="s">
        <v>821</v>
      </c>
      <c r="G782" s="144" t="s">
        <v>2296</v>
      </c>
      <c r="H782" s="146" t="s">
        <v>130</v>
      </c>
      <c r="I782" s="144" t="s">
        <v>149</v>
      </c>
    </row>
    <row r="783" spans="1:9" ht="25.5">
      <c r="A783" s="193">
        <v>45782</v>
      </c>
      <c r="B783" s="145" t="s">
        <v>827</v>
      </c>
      <c r="C783" s="150">
        <v>2025</v>
      </c>
      <c r="D783" s="201" t="s">
        <v>1431</v>
      </c>
      <c r="E783" s="144" t="s">
        <v>21</v>
      </c>
      <c r="F783" s="141" t="s">
        <v>821</v>
      </c>
      <c r="G783" s="144" t="s">
        <v>2297</v>
      </c>
      <c r="H783" s="146" t="s">
        <v>26</v>
      </c>
      <c r="I783" s="144" t="s">
        <v>149</v>
      </c>
    </row>
    <row r="784" spans="1:9" ht="25.5">
      <c r="A784" s="193">
        <v>45782</v>
      </c>
      <c r="B784" s="145" t="s">
        <v>827</v>
      </c>
      <c r="C784" s="150">
        <v>2025</v>
      </c>
      <c r="D784" s="201" t="s">
        <v>1431</v>
      </c>
      <c r="E784" s="144" t="s">
        <v>2287</v>
      </c>
      <c r="F784" s="147" t="s">
        <v>859</v>
      </c>
      <c r="G784" s="144" t="s">
        <v>2298</v>
      </c>
      <c r="H784" s="146" t="s">
        <v>26</v>
      </c>
      <c r="I784" s="144" t="s">
        <v>2299</v>
      </c>
    </row>
    <row r="785" spans="1:9" ht="25.5">
      <c r="A785" s="193">
        <v>45782</v>
      </c>
      <c r="B785" s="145" t="s">
        <v>827</v>
      </c>
      <c r="C785" s="150">
        <v>2025</v>
      </c>
      <c r="D785" s="201" t="s">
        <v>1431</v>
      </c>
      <c r="E785" s="144" t="s">
        <v>574</v>
      </c>
      <c r="F785" s="139" t="s">
        <v>88</v>
      </c>
      <c r="G785" s="144" t="s">
        <v>2300</v>
      </c>
      <c r="H785" s="146" t="s">
        <v>26</v>
      </c>
      <c r="I785" s="144" t="s">
        <v>492</v>
      </c>
    </row>
    <row r="786" spans="1:9" ht="25.5">
      <c r="A786" s="193">
        <v>45782</v>
      </c>
      <c r="B786" s="145" t="s">
        <v>827</v>
      </c>
      <c r="C786" s="150">
        <v>2025</v>
      </c>
      <c r="D786" s="201" t="s">
        <v>1431</v>
      </c>
      <c r="E786" s="144" t="s">
        <v>574</v>
      </c>
      <c r="F786" s="139" t="s">
        <v>88</v>
      </c>
      <c r="G786" s="144" t="s">
        <v>2301</v>
      </c>
      <c r="H786" s="146" t="s">
        <v>26</v>
      </c>
      <c r="I786" s="144" t="s">
        <v>492</v>
      </c>
    </row>
    <row r="787" spans="1:9" ht="50.45">
      <c r="A787" s="193">
        <v>45784</v>
      </c>
      <c r="B787" s="145" t="s">
        <v>827</v>
      </c>
      <c r="C787" s="150">
        <v>2025</v>
      </c>
      <c r="D787" s="201" t="s">
        <v>1431</v>
      </c>
      <c r="E787" s="144" t="s">
        <v>21</v>
      </c>
      <c r="F787" s="141" t="s">
        <v>821</v>
      </c>
      <c r="G787" s="144" t="s">
        <v>2302</v>
      </c>
      <c r="H787" s="146" t="s">
        <v>26</v>
      </c>
      <c r="I787" s="144" t="s">
        <v>149</v>
      </c>
    </row>
    <row r="788" spans="1:9" ht="63">
      <c r="A788" s="193">
        <v>45784</v>
      </c>
      <c r="B788" s="145" t="s">
        <v>827</v>
      </c>
      <c r="C788" s="150">
        <v>2025</v>
      </c>
      <c r="D788" s="201" t="s">
        <v>1431</v>
      </c>
      <c r="E788" s="144" t="s">
        <v>216</v>
      </c>
      <c r="F788" s="141" t="s">
        <v>821</v>
      </c>
      <c r="G788" s="144" t="s">
        <v>2303</v>
      </c>
      <c r="H788" s="146" t="s">
        <v>26</v>
      </c>
      <c r="I788" s="144" t="s">
        <v>492</v>
      </c>
    </row>
    <row r="789" spans="1:9" ht="38.1">
      <c r="A789" s="193">
        <v>45784</v>
      </c>
      <c r="B789" s="145" t="s">
        <v>827</v>
      </c>
      <c r="C789" s="150">
        <v>2025</v>
      </c>
      <c r="D789" s="201" t="s">
        <v>1431</v>
      </c>
      <c r="E789" s="144" t="s">
        <v>21</v>
      </c>
      <c r="F789" s="141" t="s">
        <v>821</v>
      </c>
      <c r="G789" s="144" t="s">
        <v>2304</v>
      </c>
      <c r="H789" s="146" t="s">
        <v>26</v>
      </c>
      <c r="I789" s="144" t="s">
        <v>149</v>
      </c>
    </row>
    <row r="790" spans="1:9" ht="38.1">
      <c r="A790" s="193">
        <v>45785</v>
      </c>
      <c r="B790" s="145" t="s">
        <v>827</v>
      </c>
      <c r="C790" s="150">
        <v>2025</v>
      </c>
      <c r="D790" s="201" t="s">
        <v>1431</v>
      </c>
      <c r="E790" s="144" t="s">
        <v>21</v>
      </c>
      <c r="F790" s="141" t="s">
        <v>821</v>
      </c>
      <c r="G790" s="144" t="s">
        <v>2305</v>
      </c>
      <c r="H790" s="146" t="s">
        <v>26</v>
      </c>
      <c r="I790" s="144" t="s">
        <v>1436</v>
      </c>
    </row>
    <row r="791" spans="1:9" ht="25.5">
      <c r="A791" s="193">
        <v>45785</v>
      </c>
      <c r="B791" s="145" t="s">
        <v>827</v>
      </c>
      <c r="C791" s="150">
        <v>2025</v>
      </c>
      <c r="D791" s="201" t="s">
        <v>1431</v>
      </c>
      <c r="E791" s="144" t="s">
        <v>21</v>
      </c>
      <c r="F791" s="141" t="s">
        <v>821</v>
      </c>
      <c r="G791" s="144" t="s">
        <v>2306</v>
      </c>
      <c r="H791" s="146" t="s">
        <v>26</v>
      </c>
      <c r="I791" s="144" t="s">
        <v>1436</v>
      </c>
    </row>
    <row r="792" spans="1:9" ht="38.1">
      <c r="A792" s="193">
        <v>45785</v>
      </c>
      <c r="B792" s="145" t="s">
        <v>827</v>
      </c>
      <c r="C792" s="150">
        <v>2025</v>
      </c>
      <c r="D792" s="201" t="s">
        <v>1431</v>
      </c>
      <c r="E792" s="144" t="s">
        <v>988</v>
      </c>
      <c r="F792" s="139" t="s">
        <v>88</v>
      </c>
      <c r="G792" s="144" t="s">
        <v>2307</v>
      </c>
      <c r="H792" s="146" t="s">
        <v>26</v>
      </c>
      <c r="I792" s="144" t="s">
        <v>1436</v>
      </c>
    </row>
    <row r="793" spans="1:9" ht="50.45">
      <c r="A793" s="193">
        <v>45785</v>
      </c>
      <c r="B793" s="145" t="s">
        <v>827</v>
      </c>
      <c r="C793" s="150">
        <v>2025</v>
      </c>
      <c r="D793" s="201" t="s">
        <v>1431</v>
      </c>
      <c r="E793" s="144" t="s">
        <v>988</v>
      </c>
      <c r="F793" s="139" t="s">
        <v>88</v>
      </c>
      <c r="G793" s="144" t="s">
        <v>2308</v>
      </c>
      <c r="H793" s="146" t="s">
        <v>26</v>
      </c>
      <c r="I793" s="144" t="s">
        <v>1436</v>
      </c>
    </row>
    <row r="794" spans="1:9" ht="25.5">
      <c r="A794" s="193">
        <v>45785</v>
      </c>
      <c r="B794" s="145" t="s">
        <v>827</v>
      </c>
      <c r="C794" s="150">
        <v>2025</v>
      </c>
      <c r="D794" s="201" t="s">
        <v>1431</v>
      </c>
      <c r="E794" s="144" t="s">
        <v>1518</v>
      </c>
      <c r="F794" s="139" t="s">
        <v>88</v>
      </c>
      <c r="G794" s="144" t="s">
        <v>2309</v>
      </c>
      <c r="H794" s="146" t="s">
        <v>26</v>
      </c>
      <c r="I794" s="144" t="s">
        <v>1436</v>
      </c>
    </row>
    <row r="795" spans="1:9" ht="50.45">
      <c r="A795" s="193">
        <v>45785</v>
      </c>
      <c r="B795" s="145" t="s">
        <v>827</v>
      </c>
      <c r="C795" s="150">
        <v>2025</v>
      </c>
      <c r="D795" s="201" t="s">
        <v>1431</v>
      </c>
      <c r="E795" s="144" t="s">
        <v>1225</v>
      </c>
      <c r="F795" s="147" t="s">
        <v>859</v>
      </c>
      <c r="G795" s="144" t="s">
        <v>2310</v>
      </c>
      <c r="H795" s="146" t="s">
        <v>26</v>
      </c>
      <c r="I795" s="144" t="s">
        <v>1436</v>
      </c>
    </row>
    <row r="796" spans="1:9" ht="25.5">
      <c r="A796" s="193">
        <v>45786</v>
      </c>
      <c r="B796" s="145" t="s">
        <v>827</v>
      </c>
      <c r="C796" s="150">
        <v>2025</v>
      </c>
      <c r="D796" s="201" t="s">
        <v>1431</v>
      </c>
      <c r="E796" s="144" t="s">
        <v>21</v>
      </c>
      <c r="F796" s="141" t="s">
        <v>821</v>
      </c>
      <c r="G796" s="144" t="s">
        <v>2311</v>
      </c>
      <c r="H796" s="146" t="s">
        <v>26</v>
      </c>
      <c r="I796" s="144" t="s">
        <v>1436</v>
      </c>
    </row>
    <row r="797" spans="1:9" ht="14.1">
      <c r="A797" s="193">
        <v>45778</v>
      </c>
      <c r="B797" s="145" t="s">
        <v>827</v>
      </c>
      <c r="C797" s="150">
        <v>2025</v>
      </c>
      <c r="D797" s="201" t="s">
        <v>1431</v>
      </c>
      <c r="E797" s="144" t="s">
        <v>1436</v>
      </c>
      <c r="F797" s="140" t="s">
        <v>1439</v>
      </c>
      <c r="G797" s="144" t="s">
        <v>2312</v>
      </c>
      <c r="H797" s="146" t="s">
        <v>26</v>
      </c>
      <c r="I797" s="144" t="s">
        <v>1436</v>
      </c>
    </row>
    <row r="798" spans="1:9" ht="25.5">
      <c r="A798" s="193">
        <v>45786</v>
      </c>
      <c r="B798" s="145" t="s">
        <v>827</v>
      </c>
      <c r="C798" s="150">
        <v>2025</v>
      </c>
      <c r="D798" s="201" t="s">
        <v>1431</v>
      </c>
      <c r="E798" s="144" t="s">
        <v>21</v>
      </c>
      <c r="F798" s="141" t="s">
        <v>821</v>
      </c>
      <c r="G798" s="144" t="s">
        <v>2313</v>
      </c>
      <c r="H798" s="146" t="s">
        <v>26</v>
      </c>
      <c r="I798" s="144" t="s">
        <v>1436</v>
      </c>
    </row>
    <row r="799" spans="1:9" ht="38.1">
      <c r="A799" s="193">
        <v>45786</v>
      </c>
      <c r="B799" s="145" t="s">
        <v>827</v>
      </c>
      <c r="C799" s="150">
        <v>2025</v>
      </c>
      <c r="D799" s="201" t="s">
        <v>1431</v>
      </c>
      <c r="E799" s="144" t="s">
        <v>21</v>
      </c>
      <c r="F799" s="141" t="s">
        <v>821</v>
      </c>
      <c r="G799" s="144" t="s">
        <v>2314</v>
      </c>
      <c r="H799" s="146" t="s">
        <v>26</v>
      </c>
      <c r="I799" s="144" t="s">
        <v>1436</v>
      </c>
    </row>
    <row r="800" spans="1:9" ht="50.45">
      <c r="A800" s="193">
        <v>45786</v>
      </c>
      <c r="B800" s="145" t="s">
        <v>827</v>
      </c>
      <c r="C800" s="150">
        <v>2025</v>
      </c>
      <c r="D800" s="201" t="s">
        <v>1431</v>
      </c>
      <c r="E800" s="144" t="s">
        <v>1539</v>
      </c>
      <c r="F800" s="147" t="s">
        <v>859</v>
      </c>
      <c r="G800" s="144" t="s">
        <v>2315</v>
      </c>
      <c r="H800" s="146" t="s">
        <v>26</v>
      </c>
      <c r="I800" s="144" t="s">
        <v>1436</v>
      </c>
    </row>
    <row r="801" spans="1:9" ht="25.5">
      <c r="A801" s="193">
        <v>45789</v>
      </c>
      <c r="B801" s="145" t="s">
        <v>827</v>
      </c>
      <c r="C801" s="150">
        <v>2025</v>
      </c>
      <c r="D801" s="201" t="s">
        <v>1431</v>
      </c>
      <c r="E801" s="144" t="s">
        <v>2244</v>
      </c>
      <c r="F801" s="147" t="s">
        <v>859</v>
      </c>
      <c r="G801" s="144" t="s">
        <v>2316</v>
      </c>
      <c r="H801" s="146" t="s">
        <v>26</v>
      </c>
      <c r="I801" s="144" t="s">
        <v>1436</v>
      </c>
    </row>
    <row r="802" spans="1:9" ht="25.5">
      <c r="A802" s="193">
        <v>45789</v>
      </c>
      <c r="B802" s="145" t="s">
        <v>827</v>
      </c>
      <c r="C802" s="150">
        <v>2025</v>
      </c>
      <c r="D802" s="201" t="s">
        <v>1431</v>
      </c>
      <c r="E802" s="144" t="s">
        <v>1506</v>
      </c>
      <c r="F802" s="141" t="s">
        <v>821</v>
      </c>
      <c r="G802" s="144" t="s">
        <v>2317</v>
      </c>
      <c r="H802" s="146" t="s">
        <v>26</v>
      </c>
      <c r="I802" s="144" t="s">
        <v>2318</v>
      </c>
    </row>
    <row r="803" spans="1:9" ht="25.5">
      <c r="A803" s="193">
        <v>45789</v>
      </c>
      <c r="B803" s="145" t="s">
        <v>827</v>
      </c>
      <c r="C803" s="150">
        <v>2025</v>
      </c>
      <c r="D803" s="201" t="s">
        <v>1431</v>
      </c>
      <c r="E803" s="144" t="s">
        <v>1506</v>
      </c>
      <c r="F803" s="139" t="s">
        <v>88</v>
      </c>
      <c r="G803" s="144" t="s">
        <v>2319</v>
      </c>
      <c r="H803" s="146" t="s">
        <v>26</v>
      </c>
      <c r="I803" s="144" t="s">
        <v>1436</v>
      </c>
    </row>
    <row r="804" spans="1:9" ht="25.5">
      <c r="A804" s="193">
        <v>45789</v>
      </c>
      <c r="B804" s="145" t="s">
        <v>827</v>
      </c>
      <c r="C804" s="150">
        <v>2025</v>
      </c>
      <c r="D804" s="201" t="s">
        <v>1431</v>
      </c>
      <c r="E804" s="144" t="s">
        <v>1506</v>
      </c>
      <c r="F804" s="141" t="s">
        <v>821</v>
      </c>
      <c r="G804" s="144" t="s">
        <v>2320</v>
      </c>
      <c r="H804" s="146" t="s">
        <v>26</v>
      </c>
      <c r="I804" s="144" t="s">
        <v>2321</v>
      </c>
    </row>
    <row r="805" spans="1:9" ht="38.1">
      <c r="A805" s="193">
        <v>45789</v>
      </c>
      <c r="B805" s="145" t="s">
        <v>827</v>
      </c>
      <c r="C805" s="150">
        <v>2025</v>
      </c>
      <c r="D805" s="201" t="s">
        <v>1431</v>
      </c>
      <c r="E805" s="144" t="s">
        <v>1518</v>
      </c>
      <c r="F805" s="141" t="s">
        <v>821</v>
      </c>
      <c r="G805" s="144" t="s">
        <v>2322</v>
      </c>
      <c r="H805" s="146" t="s">
        <v>26</v>
      </c>
      <c r="I805" s="144" t="s">
        <v>2318</v>
      </c>
    </row>
    <row r="806" spans="1:9" ht="25.5">
      <c r="A806" s="193">
        <v>45789</v>
      </c>
      <c r="B806" s="145" t="s">
        <v>827</v>
      </c>
      <c r="C806" s="150">
        <v>2025</v>
      </c>
      <c r="D806" s="201" t="s">
        <v>1431</v>
      </c>
      <c r="E806" s="144" t="s">
        <v>574</v>
      </c>
      <c r="F806" s="139" t="s">
        <v>88</v>
      </c>
      <c r="G806" s="144" t="s">
        <v>2323</v>
      </c>
      <c r="H806" s="146" t="s">
        <v>26</v>
      </c>
      <c r="I806" s="144" t="s">
        <v>2318</v>
      </c>
    </row>
    <row r="807" spans="1:9" ht="25.5">
      <c r="A807" s="193">
        <v>45789</v>
      </c>
      <c r="B807" s="145" t="s">
        <v>827</v>
      </c>
      <c r="C807" s="150">
        <v>2025</v>
      </c>
      <c r="D807" s="201" t="s">
        <v>1431</v>
      </c>
      <c r="E807" s="144" t="s">
        <v>988</v>
      </c>
      <c r="F807" s="139" t="s">
        <v>88</v>
      </c>
      <c r="G807" s="144" t="s">
        <v>2324</v>
      </c>
      <c r="H807" s="146" t="s">
        <v>26</v>
      </c>
      <c r="I807" s="144" t="s">
        <v>1436</v>
      </c>
    </row>
    <row r="808" spans="1:9" ht="14.1">
      <c r="A808" s="193">
        <v>45790</v>
      </c>
      <c r="B808" s="145" t="s">
        <v>827</v>
      </c>
      <c r="C808" s="150">
        <v>2025</v>
      </c>
      <c r="D808" s="201" t="s">
        <v>1431</v>
      </c>
      <c r="E808" s="144" t="s">
        <v>1608</v>
      </c>
      <c r="F808" s="140" t="s">
        <v>1439</v>
      </c>
      <c r="G808" s="144" t="s">
        <v>2325</v>
      </c>
      <c r="H808" s="146" t="s">
        <v>26</v>
      </c>
      <c r="I808" s="144" t="s">
        <v>1436</v>
      </c>
    </row>
    <row r="809" spans="1:9" ht="14.1">
      <c r="A809" s="193">
        <v>45790</v>
      </c>
      <c r="B809" s="145" t="s">
        <v>827</v>
      </c>
      <c r="C809" s="150">
        <v>2025</v>
      </c>
      <c r="D809" s="201" t="s">
        <v>1431</v>
      </c>
      <c r="E809" s="144" t="s">
        <v>216</v>
      </c>
      <c r="F809" s="141" t="s">
        <v>821</v>
      </c>
      <c r="G809" s="144" t="s">
        <v>2326</v>
      </c>
      <c r="H809" s="146" t="s">
        <v>26</v>
      </c>
      <c r="I809" s="144" t="s">
        <v>2327</v>
      </c>
    </row>
    <row r="810" spans="1:9" ht="25.5">
      <c r="A810" s="193">
        <v>45790</v>
      </c>
      <c r="B810" s="145" t="s">
        <v>827</v>
      </c>
      <c r="C810" s="150">
        <v>2025</v>
      </c>
      <c r="D810" s="201" t="s">
        <v>1431</v>
      </c>
      <c r="E810" s="144" t="s">
        <v>21</v>
      </c>
      <c r="F810" s="141" t="s">
        <v>821</v>
      </c>
      <c r="G810" s="144" t="s">
        <v>2328</v>
      </c>
      <c r="H810" s="146" t="s">
        <v>26</v>
      </c>
      <c r="I810" s="144" t="s">
        <v>149</v>
      </c>
    </row>
    <row r="811" spans="1:9" ht="38.1">
      <c r="A811" s="193">
        <v>45790</v>
      </c>
      <c r="B811" s="145" t="s">
        <v>827</v>
      </c>
      <c r="C811" s="150">
        <v>2025</v>
      </c>
      <c r="D811" s="201" t="s">
        <v>1431</v>
      </c>
      <c r="E811" s="144" t="s">
        <v>2329</v>
      </c>
      <c r="F811" s="141" t="s">
        <v>821</v>
      </c>
      <c r="G811" s="144" t="s">
        <v>2330</v>
      </c>
      <c r="H811" s="146" t="s">
        <v>26</v>
      </c>
      <c r="I811" s="144" t="s">
        <v>1436</v>
      </c>
    </row>
    <row r="812" spans="1:9" ht="14.1">
      <c r="A812" s="193">
        <v>45790</v>
      </c>
      <c r="B812" s="145" t="s">
        <v>827</v>
      </c>
      <c r="C812" s="150">
        <v>2025</v>
      </c>
      <c r="D812" s="201" t="s">
        <v>1431</v>
      </c>
      <c r="E812" s="144" t="s">
        <v>1584</v>
      </c>
      <c r="F812" s="141" t="s">
        <v>821</v>
      </c>
      <c r="G812" s="144" t="s">
        <v>2331</v>
      </c>
      <c r="H812" s="146" t="s">
        <v>26</v>
      </c>
      <c r="I812" s="144" t="s">
        <v>1436</v>
      </c>
    </row>
    <row r="813" spans="1:9" ht="25.5">
      <c r="A813" s="193">
        <v>45792</v>
      </c>
      <c r="B813" s="145" t="s">
        <v>827</v>
      </c>
      <c r="C813" s="150">
        <v>2025</v>
      </c>
      <c r="D813" s="201" t="s">
        <v>1431</v>
      </c>
      <c r="E813" s="144" t="s">
        <v>1225</v>
      </c>
      <c r="F813" s="147" t="s">
        <v>859</v>
      </c>
      <c r="G813" s="144" t="s">
        <v>2332</v>
      </c>
      <c r="H813" s="146" t="s">
        <v>26</v>
      </c>
      <c r="I813" s="144" t="s">
        <v>1436</v>
      </c>
    </row>
    <row r="814" spans="1:9" ht="14.1">
      <c r="A814" s="193">
        <v>45792</v>
      </c>
      <c r="B814" s="145" t="s">
        <v>827</v>
      </c>
      <c r="C814" s="150">
        <v>2025</v>
      </c>
      <c r="D814" s="201" t="s">
        <v>1431</v>
      </c>
      <c r="E814" s="144" t="s">
        <v>574</v>
      </c>
      <c r="F814" s="139" t="s">
        <v>88</v>
      </c>
      <c r="G814" s="144" t="s">
        <v>2333</v>
      </c>
      <c r="H814" s="146" t="s">
        <v>26</v>
      </c>
      <c r="I814" s="144" t="s">
        <v>1436</v>
      </c>
    </row>
    <row r="815" spans="1:9" ht="14.1">
      <c r="A815" s="193">
        <v>45792</v>
      </c>
      <c r="B815" s="145" t="s">
        <v>827</v>
      </c>
      <c r="C815" s="150">
        <v>2025</v>
      </c>
      <c r="D815" s="201" t="s">
        <v>1431</v>
      </c>
      <c r="E815" s="144" t="s">
        <v>2244</v>
      </c>
      <c r="F815" s="147" t="s">
        <v>859</v>
      </c>
      <c r="G815" s="144" t="s">
        <v>2334</v>
      </c>
      <c r="H815" s="146" t="s">
        <v>26</v>
      </c>
      <c r="I815" s="144" t="s">
        <v>1436</v>
      </c>
    </row>
    <row r="816" spans="1:9" ht="25.5">
      <c r="A816" s="193">
        <v>45792</v>
      </c>
      <c r="B816" s="145" t="s">
        <v>827</v>
      </c>
      <c r="C816" s="150">
        <v>2025</v>
      </c>
      <c r="D816" s="201" t="s">
        <v>1431</v>
      </c>
      <c r="E816" s="144" t="s">
        <v>216</v>
      </c>
      <c r="F816" s="141" t="s">
        <v>821</v>
      </c>
      <c r="G816" s="144" t="s">
        <v>2335</v>
      </c>
      <c r="H816" s="146" t="s">
        <v>26</v>
      </c>
      <c r="I816" s="144" t="s">
        <v>1436</v>
      </c>
    </row>
    <row r="817" spans="1:9" ht="25.5">
      <c r="A817" s="193">
        <v>45792</v>
      </c>
      <c r="B817" s="145" t="s">
        <v>827</v>
      </c>
      <c r="C817" s="150">
        <v>2025</v>
      </c>
      <c r="D817" s="201" t="s">
        <v>1431</v>
      </c>
      <c r="E817" s="144" t="s">
        <v>1436</v>
      </c>
      <c r="F817" s="139" t="s">
        <v>88</v>
      </c>
      <c r="G817" s="144" t="s">
        <v>2336</v>
      </c>
      <c r="H817" s="146" t="s">
        <v>26</v>
      </c>
      <c r="I817" s="144" t="s">
        <v>1436</v>
      </c>
    </row>
    <row r="818" spans="1:9" ht="25.5">
      <c r="A818" s="193">
        <v>45793</v>
      </c>
      <c r="B818" s="145" t="s">
        <v>827</v>
      </c>
      <c r="C818" s="150">
        <v>2025</v>
      </c>
      <c r="D818" s="201" t="s">
        <v>1431</v>
      </c>
      <c r="E818" s="144" t="s">
        <v>21</v>
      </c>
      <c r="F818" s="141" t="s">
        <v>821</v>
      </c>
      <c r="G818" s="144" t="s">
        <v>2337</v>
      </c>
      <c r="H818" s="146" t="s">
        <v>26</v>
      </c>
      <c r="I818" s="144" t="s">
        <v>1436</v>
      </c>
    </row>
    <row r="819" spans="1:9" ht="63">
      <c r="A819" s="193">
        <v>45793</v>
      </c>
      <c r="B819" s="145" t="s">
        <v>827</v>
      </c>
      <c r="C819" s="150">
        <v>2025</v>
      </c>
      <c r="D819" s="201" t="s">
        <v>1431</v>
      </c>
      <c r="E819" s="144" t="s">
        <v>2338</v>
      </c>
      <c r="F819" s="139" t="s">
        <v>88</v>
      </c>
      <c r="G819" s="144" t="s">
        <v>2339</v>
      </c>
      <c r="H819" s="146" t="s">
        <v>26</v>
      </c>
      <c r="I819" s="144" t="s">
        <v>1436</v>
      </c>
    </row>
    <row r="820" spans="1:9" ht="25.5">
      <c r="A820" s="193">
        <v>45793</v>
      </c>
      <c r="B820" s="145" t="s">
        <v>827</v>
      </c>
      <c r="C820" s="150">
        <v>2025</v>
      </c>
      <c r="D820" s="201" t="s">
        <v>1431</v>
      </c>
      <c r="E820" s="144" t="s">
        <v>1539</v>
      </c>
      <c r="F820" s="139" t="s">
        <v>88</v>
      </c>
      <c r="G820" s="144" t="s">
        <v>2340</v>
      </c>
      <c r="H820" s="146" t="s">
        <v>26</v>
      </c>
      <c r="I820" s="144" t="s">
        <v>1541</v>
      </c>
    </row>
    <row r="821" spans="1:9" ht="25.5">
      <c r="A821" s="193">
        <v>45793</v>
      </c>
      <c r="B821" s="145" t="s">
        <v>827</v>
      </c>
      <c r="C821" s="150">
        <v>2025</v>
      </c>
      <c r="D821" s="201" t="s">
        <v>1431</v>
      </c>
      <c r="E821" s="144" t="s">
        <v>1449</v>
      </c>
      <c r="F821" s="139" t="s">
        <v>88</v>
      </c>
      <c r="G821" s="144" t="s">
        <v>2341</v>
      </c>
      <c r="H821" s="146" t="s">
        <v>26</v>
      </c>
      <c r="I821" s="144" t="s">
        <v>1436</v>
      </c>
    </row>
    <row r="822" spans="1:9" ht="25.5">
      <c r="A822" s="193">
        <v>45793</v>
      </c>
      <c r="B822" s="145" t="s">
        <v>827</v>
      </c>
      <c r="C822" s="150">
        <v>2025</v>
      </c>
      <c r="D822" s="201" t="s">
        <v>1431</v>
      </c>
      <c r="E822" s="144" t="s">
        <v>1436</v>
      </c>
      <c r="F822" s="139" t="s">
        <v>88</v>
      </c>
      <c r="G822" s="144" t="s">
        <v>2342</v>
      </c>
      <c r="H822" s="146" t="s">
        <v>26</v>
      </c>
      <c r="I822" s="144" t="s">
        <v>1436</v>
      </c>
    </row>
    <row r="823" spans="1:9" ht="25.5">
      <c r="A823" s="193">
        <v>45796</v>
      </c>
      <c r="B823" s="145" t="s">
        <v>827</v>
      </c>
      <c r="C823" s="150">
        <v>2025</v>
      </c>
      <c r="D823" s="201" t="s">
        <v>1431</v>
      </c>
      <c r="E823" s="144" t="s">
        <v>1506</v>
      </c>
      <c r="F823" s="139" t="s">
        <v>88</v>
      </c>
      <c r="G823" s="144" t="s">
        <v>2343</v>
      </c>
      <c r="H823" s="146" t="s">
        <v>26</v>
      </c>
      <c r="I823" s="144" t="s">
        <v>1436</v>
      </c>
    </row>
    <row r="824" spans="1:9" ht="25.5">
      <c r="A824" s="193">
        <v>45796</v>
      </c>
      <c r="B824" s="145" t="s">
        <v>827</v>
      </c>
      <c r="C824" s="150">
        <v>2025</v>
      </c>
      <c r="D824" s="201" t="s">
        <v>1431</v>
      </c>
      <c r="E824" s="144" t="s">
        <v>1518</v>
      </c>
      <c r="F824" s="139" t="s">
        <v>88</v>
      </c>
      <c r="G824" s="144" t="s">
        <v>2344</v>
      </c>
      <c r="H824" s="146" t="s">
        <v>26</v>
      </c>
      <c r="I824" s="144" t="s">
        <v>1436</v>
      </c>
    </row>
    <row r="825" spans="1:9" ht="25.5">
      <c r="A825" s="193">
        <v>45796</v>
      </c>
      <c r="B825" s="145" t="s">
        <v>827</v>
      </c>
      <c r="C825" s="150">
        <v>2025</v>
      </c>
      <c r="D825" s="201" t="s">
        <v>1431</v>
      </c>
      <c r="E825" s="144" t="s">
        <v>21</v>
      </c>
      <c r="F825" s="141" t="s">
        <v>821</v>
      </c>
      <c r="G825" s="144" t="s">
        <v>2345</v>
      </c>
      <c r="H825" s="146" t="s">
        <v>26</v>
      </c>
      <c r="I825" s="144" t="s">
        <v>2318</v>
      </c>
    </row>
    <row r="826" spans="1:9" ht="50.45">
      <c r="A826" s="193">
        <v>45796</v>
      </c>
      <c r="B826" s="145" t="s">
        <v>827</v>
      </c>
      <c r="C826" s="150">
        <v>2025</v>
      </c>
      <c r="D826" s="201" t="s">
        <v>1431</v>
      </c>
      <c r="E826" s="144" t="s">
        <v>988</v>
      </c>
      <c r="F826" s="139" t="s">
        <v>88</v>
      </c>
      <c r="G826" s="144" t="s">
        <v>2346</v>
      </c>
      <c r="H826" s="146" t="s">
        <v>26</v>
      </c>
      <c r="I826" s="144" t="s">
        <v>1436</v>
      </c>
    </row>
    <row r="827" spans="1:9" ht="50.45">
      <c r="A827" s="193">
        <v>45796</v>
      </c>
      <c r="B827" s="145" t="s">
        <v>827</v>
      </c>
      <c r="C827" s="150">
        <v>2025</v>
      </c>
      <c r="D827" s="201" t="s">
        <v>1431</v>
      </c>
      <c r="E827" s="144" t="s">
        <v>2347</v>
      </c>
      <c r="F827" s="139" t="s">
        <v>88</v>
      </c>
      <c r="G827" s="144" t="s">
        <v>2348</v>
      </c>
      <c r="H827" s="146" t="s">
        <v>26</v>
      </c>
      <c r="I827" s="144" t="s">
        <v>1436</v>
      </c>
    </row>
    <row r="828" spans="1:9" ht="25.5">
      <c r="A828" s="193">
        <v>45796</v>
      </c>
      <c r="B828" s="145" t="s">
        <v>827</v>
      </c>
      <c r="C828" s="150">
        <v>2025</v>
      </c>
      <c r="D828" s="201" t="s">
        <v>1431</v>
      </c>
      <c r="E828" s="144" t="s">
        <v>574</v>
      </c>
      <c r="F828" s="147" t="s">
        <v>859</v>
      </c>
      <c r="G828" s="144" t="s">
        <v>2349</v>
      </c>
      <c r="H828" s="146" t="s">
        <v>26</v>
      </c>
      <c r="I828" s="144" t="s">
        <v>1436</v>
      </c>
    </row>
    <row r="829" spans="1:9" ht="25.5">
      <c r="A829" s="193">
        <v>45798</v>
      </c>
      <c r="B829" s="145" t="s">
        <v>827</v>
      </c>
      <c r="C829" s="150">
        <v>2025</v>
      </c>
      <c r="D829" s="201" t="s">
        <v>1431</v>
      </c>
      <c r="E829" s="144" t="s">
        <v>1518</v>
      </c>
      <c r="F829" s="139" t="s">
        <v>88</v>
      </c>
      <c r="G829" s="144" t="s">
        <v>2350</v>
      </c>
      <c r="H829" s="146" t="s">
        <v>26</v>
      </c>
      <c r="I829" s="144" t="s">
        <v>1436</v>
      </c>
    </row>
    <row r="830" spans="1:9" ht="14.1">
      <c r="A830" s="193">
        <v>45798</v>
      </c>
      <c r="B830" s="145" t="s">
        <v>827</v>
      </c>
      <c r="C830" s="150">
        <v>2025</v>
      </c>
      <c r="D830" s="201" t="s">
        <v>1431</v>
      </c>
      <c r="E830" s="144" t="s">
        <v>216</v>
      </c>
      <c r="F830" s="141" t="s">
        <v>821</v>
      </c>
      <c r="G830" s="144" t="s">
        <v>2326</v>
      </c>
      <c r="H830" s="146" t="s">
        <v>130</v>
      </c>
      <c r="I830" s="144" t="s">
        <v>2318</v>
      </c>
    </row>
    <row r="831" spans="1:9" ht="14.1">
      <c r="A831" s="193">
        <v>45798</v>
      </c>
      <c r="B831" s="145" t="s">
        <v>827</v>
      </c>
      <c r="C831" s="150">
        <v>2025</v>
      </c>
      <c r="D831" s="201" t="s">
        <v>1431</v>
      </c>
      <c r="E831" s="144" t="s">
        <v>1436</v>
      </c>
      <c r="F831" s="141" t="s">
        <v>821</v>
      </c>
      <c r="G831" s="144" t="s">
        <v>2351</v>
      </c>
      <c r="H831" s="146" t="s">
        <v>26</v>
      </c>
      <c r="I831" s="144" t="s">
        <v>1436</v>
      </c>
    </row>
    <row r="832" spans="1:9" ht="25.5">
      <c r="A832" s="193">
        <v>45798</v>
      </c>
      <c r="B832" s="145" t="s">
        <v>827</v>
      </c>
      <c r="C832" s="150">
        <v>2025</v>
      </c>
      <c r="D832" s="201" t="s">
        <v>1431</v>
      </c>
      <c r="E832" s="144" t="s">
        <v>2224</v>
      </c>
      <c r="F832" s="139" t="s">
        <v>88</v>
      </c>
      <c r="G832" s="144" t="s">
        <v>2352</v>
      </c>
      <c r="H832" s="146" t="s">
        <v>26</v>
      </c>
      <c r="I832" s="144" t="s">
        <v>1436</v>
      </c>
    </row>
    <row r="833" spans="1:9" ht="14.1">
      <c r="A833" s="193">
        <v>45798</v>
      </c>
      <c r="B833" s="145" t="s">
        <v>827</v>
      </c>
      <c r="C833" s="150">
        <v>2025</v>
      </c>
      <c r="D833" s="201" t="s">
        <v>1431</v>
      </c>
      <c r="E833" s="144" t="s">
        <v>216</v>
      </c>
      <c r="F833" s="141" t="s">
        <v>821</v>
      </c>
      <c r="G833" s="144" t="s">
        <v>2353</v>
      </c>
      <c r="H833" s="146" t="s">
        <v>26</v>
      </c>
      <c r="I833" s="144" t="s">
        <v>1436</v>
      </c>
    </row>
    <row r="834" spans="1:9" ht="14.1">
      <c r="A834" s="193">
        <v>45799</v>
      </c>
      <c r="B834" s="145" t="s">
        <v>827</v>
      </c>
      <c r="C834" s="150">
        <v>2025</v>
      </c>
      <c r="D834" s="201" t="s">
        <v>1431</v>
      </c>
      <c r="E834" s="144" t="s">
        <v>574</v>
      </c>
      <c r="F834" s="139" t="s">
        <v>88</v>
      </c>
      <c r="G834" s="144" t="s">
        <v>2354</v>
      </c>
      <c r="H834" s="146" t="s">
        <v>26</v>
      </c>
      <c r="I834" s="144" t="s">
        <v>1436</v>
      </c>
    </row>
    <row r="835" spans="1:9" ht="25.5">
      <c r="A835" s="193">
        <v>45799</v>
      </c>
      <c r="B835" s="145" t="s">
        <v>827</v>
      </c>
      <c r="C835" s="150">
        <v>2025</v>
      </c>
      <c r="D835" s="201" t="s">
        <v>1431</v>
      </c>
      <c r="E835" s="144" t="s">
        <v>1225</v>
      </c>
      <c r="F835" s="147" t="s">
        <v>859</v>
      </c>
      <c r="G835" s="144" t="s">
        <v>2355</v>
      </c>
      <c r="H835" s="146" t="s">
        <v>26</v>
      </c>
      <c r="I835" s="144" t="s">
        <v>1436</v>
      </c>
    </row>
    <row r="836" spans="1:9" ht="25.5">
      <c r="A836" s="193">
        <v>45799</v>
      </c>
      <c r="B836" s="145" t="s">
        <v>827</v>
      </c>
      <c r="C836" s="150">
        <v>2025</v>
      </c>
      <c r="D836" s="201" t="s">
        <v>1431</v>
      </c>
      <c r="E836" s="144" t="s">
        <v>2224</v>
      </c>
      <c r="F836" s="141" t="s">
        <v>821</v>
      </c>
      <c r="G836" s="144" t="s">
        <v>2356</v>
      </c>
      <c r="H836" s="146" t="s">
        <v>26</v>
      </c>
      <c r="I836" s="144" t="s">
        <v>1436</v>
      </c>
    </row>
    <row r="837" spans="1:9" ht="14.1">
      <c r="A837" s="193">
        <v>45800</v>
      </c>
      <c r="B837" s="145" t="s">
        <v>827</v>
      </c>
      <c r="C837" s="150">
        <v>2025</v>
      </c>
      <c r="D837" s="201" t="s">
        <v>1431</v>
      </c>
      <c r="E837" s="144" t="s">
        <v>574</v>
      </c>
      <c r="F837" s="139" t="s">
        <v>88</v>
      </c>
      <c r="G837" s="144" t="s">
        <v>2357</v>
      </c>
      <c r="H837" s="146" t="s">
        <v>26</v>
      </c>
      <c r="I837" s="144" t="s">
        <v>1436</v>
      </c>
    </row>
    <row r="838" spans="1:9" ht="14.1">
      <c r="A838" s="193">
        <v>45800</v>
      </c>
      <c r="B838" s="145" t="s">
        <v>827</v>
      </c>
      <c r="C838" s="150">
        <v>2025</v>
      </c>
      <c r="D838" s="201" t="s">
        <v>1431</v>
      </c>
      <c r="E838" s="144" t="s">
        <v>21</v>
      </c>
      <c r="F838" s="141" t="s">
        <v>821</v>
      </c>
      <c r="G838" s="144" t="s">
        <v>2358</v>
      </c>
      <c r="H838" s="146" t="s">
        <v>26</v>
      </c>
      <c r="I838" s="144" t="s">
        <v>1436</v>
      </c>
    </row>
    <row r="839" spans="1:9" ht="25.5">
      <c r="A839" s="193">
        <v>45800</v>
      </c>
      <c r="B839" s="145" t="s">
        <v>827</v>
      </c>
      <c r="C839" s="150">
        <v>2025</v>
      </c>
      <c r="D839" s="201" t="s">
        <v>1431</v>
      </c>
      <c r="E839" s="144" t="s">
        <v>1539</v>
      </c>
      <c r="F839" s="139" t="s">
        <v>88</v>
      </c>
      <c r="G839" s="144" t="s">
        <v>2359</v>
      </c>
      <c r="H839" s="146" t="s">
        <v>26</v>
      </c>
      <c r="I839" s="144" t="s">
        <v>1436</v>
      </c>
    </row>
    <row r="840" spans="1:9" ht="38.1">
      <c r="A840" s="193">
        <v>45803</v>
      </c>
      <c r="B840" s="145" t="s">
        <v>827</v>
      </c>
      <c r="C840" s="150">
        <v>2025</v>
      </c>
      <c r="D840" s="201" t="s">
        <v>1431</v>
      </c>
      <c r="E840" s="144" t="s">
        <v>2224</v>
      </c>
      <c r="F840" s="147" t="s">
        <v>859</v>
      </c>
      <c r="G840" s="144" t="s">
        <v>2360</v>
      </c>
      <c r="H840" s="146" t="s">
        <v>26</v>
      </c>
      <c r="I840" s="144" t="s">
        <v>1436</v>
      </c>
    </row>
    <row r="841" spans="1:9" ht="25.5">
      <c r="A841" s="193">
        <v>45803</v>
      </c>
      <c r="B841" s="145" t="s">
        <v>827</v>
      </c>
      <c r="C841" s="150">
        <v>2025</v>
      </c>
      <c r="D841" s="201" t="s">
        <v>1431</v>
      </c>
      <c r="E841" s="144" t="s">
        <v>21</v>
      </c>
      <c r="F841" s="141" t="s">
        <v>821</v>
      </c>
      <c r="G841" s="144" t="s">
        <v>2361</v>
      </c>
      <c r="H841" s="146" t="s">
        <v>26</v>
      </c>
      <c r="I841" s="144" t="s">
        <v>1436</v>
      </c>
    </row>
    <row r="842" spans="1:9" ht="25.5">
      <c r="A842" s="193">
        <v>45803</v>
      </c>
      <c r="B842" s="145" t="s">
        <v>827</v>
      </c>
      <c r="C842" s="150">
        <v>2025</v>
      </c>
      <c r="D842" s="201" t="s">
        <v>1431</v>
      </c>
      <c r="E842" s="144" t="s">
        <v>216</v>
      </c>
      <c r="F842" s="141" t="s">
        <v>821</v>
      </c>
      <c r="G842" s="144" t="s">
        <v>2362</v>
      </c>
      <c r="H842" s="146" t="s">
        <v>26</v>
      </c>
      <c r="I842" s="144" t="s">
        <v>492</v>
      </c>
    </row>
    <row r="843" spans="1:9" ht="25.5">
      <c r="A843" s="193">
        <v>45803</v>
      </c>
      <c r="B843" s="145" t="s">
        <v>827</v>
      </c>
      <c r="C843" s="150">
        <v>2025</v>
      </c>
      <c r="D843" s="201" t="s">
        <v>1431</v>
      </c>
      <c r="E843" s="144" t="s">
        <v>1225</v>
      </c>
      <c r="F843" s="147" t="s">
        <v>859</v>
      </c>
      <c r="G843" s="144" t="s">
        <v>2363</v>
      </c>
      <c r="H843" s="146" t="s">
        <v>26</v>
      </c>
      <c r="I843" s="144" t="s">
        <v>1436</v>
      </c>
    </row>
    <row r="844" spans="1:9" ht="14.1">
      <c r="A844" s="193">
        <v>45804</v>
      </c>
      <c r="B844" s="145" t="s">
        <v>827</v>
      </c>
      <c r="C844" s="150">
        <v>2025</v>
      </c>
      <c r="D844" s="201" t="s">
        <v>1431</v>
      </c>
      <c r="E844" s="144" t="s">
        <v>574</v>
      </c>
      <c r="F844" s="141" t="s">
        <v>821</v>
      </c>
      <c r="G844" s="144" t="s">
        <v>2364</v>
      </c>
      <c r="H844" s="146" t="s">
        <v>26</v>
      </c>
      <c r="I844" s="144" t="s">
        <v>1436</v>
      </c>
    </row>
    <row r="845" spans="1:9" ht="14.1">
      <c r="A845" s="193">
        <v>45804</v>
      </c>
      <c r="B845" s="145" t="s">
        <v>827</v>
      </c>
      <c r="C845" s="150">
        <v>2025</v>
      </c>
      <c r="D845" s="201" t="s">
        <v>1431</v>
      </c>
      <c r="E845" s="144" t="s">
        <v>1539</v>
      </c>
      <c r="F845" s="141" t="s">
        <v>821</v>
      </c>
      <c r="G845" s="144" t="s">
        <v>2365</v>
      </c>
      <c r="H845" s="146" t="s">
        <v>26</v>
      </c>
      <c r="I845" s="144" t="s">
        <v>1436</v>
      </c>
    </row>
    <row r="846" spans="1:9" ht="25.5">
      <c r="A846" s="193">
        <v>45804</v>
      </c>
      <c r="B846" s="145" t="s">
        <v>827</v>
      </c>
      <c r="C846" s="150">
        <v>2025</v>
      </c>
      <c r="D846" s="201" t="s">
        <v>1431</v>
      </c>
      <c r="E846" s="144" t="s">
        <v>2366</v>
      </c>
      <c r="F846" s="141" t="s">
        <v>821</v>
      </c>
      <c r="G846" s="144" t="s">
        <v>2367</v>
      </c>
      <c r="H846" s="146" t="s">
        <v>26</v>
      </c>
      <c r="I846" s="144" t="s">
        <v>1436</v>
      </c>
    </row>
    <row r="847" spans="1:9" ht="14.1">
      <c r="A847" s="193">
        <v>45804</v>
      </c>
      <c r="B847" s="145" t="s">
        <v>827</v>
      </c>
      <c r="C847" s="150">
        <v>2025</v>
      </c>
      <c r="D847" s="201" t="s">
        <v>1431</v>
      </c>
      <c r="E847" s="144" t="s">
        <v>574</v>
      </c>
      <c r="F847" s="141" t="s">
        <v>821</v>
      </c>
      <c r="G847" s="144" t="s">
        <v>2368</v>
      </c>
      <c r="H847" s="146" t="s">
        <v>26</v>
      </c>
      <c r="I847" s="144" t="s">
        <v>1436</v>
      </c>
    </row>
    <row r="848" spans="1:9" ht="14.1">
      <c r="A848" s="193">
        <v>45804</v>
      </c>
      <c r="B848" s="145" t="s">
        <v>827</v>
      </c>
      <c r="C848" s="150">
        <v>2025</v>
      </c>
      <c r="D848" s="201" t="s">
        <v>1431</v>
      </c>
      <c r="E848" s="144" t="s">
        <v>216</v>
      </c>
      <c r="F848" s="141" t="s">
        <v>821</v>
      </c>
      <c r="G848" s="144" t="s">
        <v>2369</v>
      </c>
      <c r="H848" s="146" t="s">
        <v>26</v>
      </c>
      <c r="I848" s="144" t="s">
        <v>1436</v>
      </c>
    </row>
    <row r="849" spans="1:9" ht="25.5">
      <c r="A849" s="193">
        <v>45804</v>
      </c>
      <c r="B849" s="145" t="s">
        <v>827</v>
      </c>
      <c r="C849" s="150">
        <v>2025</v>
      </c>
      <c r="D849" s="201" t="s">
        <v>1431</v>
      </c>
      <c r="E849" s="144" t="s">
        <v>216</v>
      </c>
      <c r="F849" s="141" t="s">
        <v>821</v>
      </c>
      <c r="G849" s="144" t="s">
        <v>2370</v>
      </c>
      <c r="H849" s="146" t="s">
        <v>26</v>
      </c>
      <c r="I849" s="144" t="s">
        <v>1436</v>
      </c>
    </row>
    <row r="850" spans="1:9" ht="14.1">
      <c r="A850" s="193">
        <v>45805</v>
      </c>
      <c r="B850" s="145" t="s">
        <v>827</v>
      </c>
      <c r="C850" s="150">
        <v>2025</v>
      </c>
      <c r="D850" s="201" t="s">
        <v>1431</v>
      </c>
      <c r="E850" s="144" t="s">
        <v>21</v>
      </c>
      <c r="F850" s="141" t="s">
        <v>821</v>
      </c>
      <c r="G850" s="144" t="s">
        <v>2371</v>
      </c>
      <c r="H850" s="146" t="s">
        <v>26</v>
      </c>
      <c r="I850" s="144" t="s">
        <v>1436</v>
      </c>
    </row>
    <row r="851" spans="1:9" ht="38.1">
      <c r="A851" s="193">
        <v>45805</v>
      </c>
      <c r="B851" s="145" t="s">
        <v>827</v>
      </c>
      <c r="C851" s="150">
        <v>2025</v>
      </c>
      <c r="D851" s="201" t="s">
        <v>1431</v>
      </c>
      <c r="E851" s="144" t="s">
        <v>1225</v>
      </c>
      <c r="F851" s="139" t="s">
        <v>88</v>
      </c>
      <c r="G851" s="144" t="s">
        <v>2372</v>
      </c>
      <c r="H851" s="146" t="s">
        <v>26</v>
      </c>
      <c r="I851" s="144" t="s">
        <v>1436</v>
      </c>
    </row>
    <row r="852" spans="1:9" ht="38.1">
      <c r="A852" s="193">
        <v>45805</v>
      </c>
      <c r="B852" s="145" t="s">
        <v>827</v>
      </c>
      <c r="C852" s="150">
        <v>2025</v>
      </c>
      <c r="D852" s="201" t="s">
        <v>1431</v>
      </c>
      <c r="E852" s="144" t="s">
        <v>1566</v>
      </c>
      <c r="F852" s="139" t="s">
        <v>88</v>
      </c>
      <c r="G852" s="144" t="s">
        <v>2373</v>
      </c>
      <c r="H852" s="146" t="s">
        <v>26</v>
      </c>
      <c r="I852" s="144" t="s">
        <v>1436</v>
      </c>
    </row>
    <row r="853" spans="1:9" ht="25.5">
      <c r="A853" s="193">
        <v>45805</v>
      </c>
      <c r="B853" s="145" t="s">
        <v>827</v>
      </c>
      <c r="C853" s="150">
        <v>2025</v>
      </c>
      <c r="D853" s="201" t="s">
        <v>1431</v>
      </c>
      <c r="E853" s="144" t="s">
        <v>216</v>
      </c>
      <c r="F853" s="141" t="s">
        <v>821</v>
      </c>
      <c r="G853" s="144" t="s">
        <v>2374</v>
      </c>
      <c r="H853" s="146" t="s">
        <v>26</v>
      </c>
      <c r="I853" s="144" t="s">
        <v>1436</v>
      </c>
    </row>
    <row r="854" spans="1:9" ht="25.5">
      <c r="A854" s="193">
        <v>45806</v>
      </c>
      <c r="B854" s="145" t="s">
        <v>827</v>
      </c>
      <c r="C854" s="150">
        <v>2025</v>
      </c>
      <c r="D854" s="201" t="s">
        <v>1431</v>
      </c>
      <c r="E854" s="144" t="s">
        <v>216</v>
      </c>
      <c r="F854" s="141" t="s">
        <v>821</v>
      </c>
      <c r="G854" s="144" t="s">
        <v>2375</v>
      </c>
      <c r="H854" s="146" t="s">
        <v>26</v>
      </c>
      <c r="I854" s="144" t="s">
        <v>1436</v>
      </c>
    </row>
    <row r="855" spans="1:9" ht="25.5">
      <c r="A855" s="193">
        <v>45806</v>
      </c>
      <c r="B855" s="145" t="s">
        <v>827</v>
      </c>
      <c r="C855" s="150">
        <v>2025</v>
      </c>
      <c r="D855" s="201" t="s">
        <v>1431</v>
      </c>
      <c r="E855" s="144" t="s">
        <v>988</v>
      </c>
      <c r="F855" s="139" t="s">
        <v>88</v>
      </c>
      <c r="G855" s="144" t="s">
        <v>2376</v>
      </c>
      <c r="H855" s="146" t="s">
        <v>26</v>
      </c>
      <c r="I855" s="144" t="s">
        <v>1436</v>
      </c>
    </row>
    <row r="856" spans="1:9" ht="14.1">
      <c r="A856" s="193">
        <v>45806</v>
      </c>
      <c r="B856" s="145" t="s">
        <v>827</v>
      </c>
      <c r="C856" s="150">
        <v>2025</v>
      </c>
      <c r="D856" s="201" t="s">
        <v>1431</v>
      </c>
      <c r="E856" s="144" t="s">
        <v>1436</v>
      </c>
      <c r="F856" s="141" t="s">
        <v>821</v>
      </c>
      <c r="G856" s="144" t="s">
        <v>2377</v>
      </c>
      <c r="H856" s="146" t="s">
        <v>26</v>
      </c>
      <c r="I856" s="144" t="s">
        <v>1436</v>
      </c>
    </row>
    <row r="857" spans="1:9" ht="50.45">
      <c r="A857" s="193">
        <v>45806</v>
      </c>
      <c r="B857" s="145" t="s">
        <v>827</v>
      </c>
      <c r="C857" s="150">
        <v>2025</v>
      </c>
      <c r="D857" s="201" t="s">
        <v>1431</v>
      </c>
      <c r="E857" s="144" t="s">
        <v>1566</v>
      </c>
      <c r="F857" s="139" t="s">
        <v>88</v>
      </c>
      <c r="G857" s="144" t="s">
        <v>2378</v>
      </c>
      <c r="H857" s="146" t="s">
        <v>26</v>
      </c>
      <c r="I857" s="144" t="s">
        <v>1436</v>
      </c>
    </row>
    <row r="858" spans="1:9" ht="50.45">
      <c r="A858" s="193">
        <v>45806</v>
      </c>
      <c r="B858" s="145" t="s">
        <v>827</v>
      </c>
      <c r="C858" s="150">
        <v>2025</v>
      </c>
      <c r="D858" s="201" t="s">
        <v>1431</v>
      </c>
      <c r="E858" s="144" t="s">
        <v>1560</v>
      </c>
      <c r="F858" s="147" t="s">
        <v>859</v>
      </c>
      <c r="G858" s="144" t="s">
        <v>2379</v>
      </c>
      <c r="H858" s="146" t="s">
        <v>26</v>
      </c>
      <c r="I858" s="144" t="s">
        <v>1436</v>
      </c>
    </row>
    <row r="859" spans="1:9" ht="38.1">
      <c r="A859" s="193">
        <v>45838</v>
      </c>
      <c r="B859" s="145" t="s">
        <v>828</v>
      </c>
      <c r="C859" s="150">
        <v>2025</v>
      </c>
      <c r="D859" s="201" t="s">
        <v>1431</v>
      </c>
      <c r="E859" s="144" t="s">
        <v>21</v>
      </c>
      <c r="F859" s="141" t="s">
        <v>821</v>
      </c>
      <c r="G859" s="144" t="s">
        <v>2380</v>
      </c>
      <c r="H859" s="146" t="s">
        <v>26</v>
      </c>
      <c r="I859" s="144" t="s">
        <v>149</v>
      </c>
    </row>
    <row r="860" spans="1:9" ht="38.1">
      <c r="A860" s="193">
        <v>45838</v>
      </c>
      <c r="B860" s="145" t="s">
        <v>828</v>
      </c>
      <c r="C860" s="150">
        <v>2025</v>
      </c>
      <c r="D860" s="201" t="s">
        <v>1431</v>
      </c>
      <c r="E860" s="144" t="s">
        <v>1434</v>
      </c>
      <c r="F860" s="139" t="s">
        <v>88</v>
      </c>
      <c r="G860" s="144" t="s">
        <v>2381</v>
      </c>
      <c r="H860" s="146" t="s">
        <v>26</v>
      </c>
      <c r="I860" s="144" t="s">
        <v>2382</v>
      </c>
    </row>
    <row r="861" spans="1:9" ht="14.1">
      <c r="A861" s="193">
        <v>45838</v>
      </c>
      <c r="B861" s="145" t="s">
        <v>828</v>
      </c>
      <c r="C861" s="150">
        <v>2025</v>
      </c>
      <c r="D861" s="201" t="s">
        <v>1431</v>
      </c>
      <c r="E861" s="144" t="s">
        <v>2383</v>
      </c>
      <c r="F861" s="139" t="s">
        <v>88</v>
      </c>
      <c r="G861" s="144" t="s">
        <v>2384</v>
      </c>
      <c r="H861" s="146" t="s">
        <v>26</v>
      </c>
      <c r="I861" s="144" t="s">
        <v>1904</v>
      </c>
    </row>
    <row r="862" spans="1:9" ht="25.5">
      <c r="A862" s="193">
        <v>45838</v>
      </c>
      <c r="B862" s="145" t="s">
        <v>828</v>
      </c>
      <c r="C862" s="150">
        <v>2025</v>
      </c>
      <c r="D862" s="201" t="s">
        <v>1431</v>
      </c>
      <c r="E862" s="144" t="s">
        <v>21</v>
      </c>
      <c r="F862" s="141" t="s">
        <v>821</v>
      </c>
      <c r="G862" s="144" t="s">
        <v>2385</v>
      </c>
      <c r="H862" s="146" t="s">
        <v>26</v>
      </c>
      <c r="I862" s="144" t="s">
        <v>1436</v>
      </c>
    </row>
    <row r="863" spans="1:9" ht="25.5">
      <c r="A863" s="193">
        <v>45838</v>
      </c>
      <c r="B863" s="145" t="s">
        <v>828</v>
      </c>
      <c r="C863" s="150">
        <v>2025</v>
      </c>
      <c r="D863" s="201" t="s">
        <v>1431</v>
      </c>
      <c r="E863" s="144" t="s">
        <v>988</v>
      </c>
      <c r="F863" s="139" t="s">
        <v>88</v>
      </c>
      <c r="G863" s="144" t="s">
        <v>2386</v>
      </c>
      <c r="H863" s="146" t="s">
        <v>26</v>
      </c>
      <c r="I863" s="144" t="s">
        <v>1436</v>
      </c>
    </row>
    <row r="864" spans="1:9" ht="14.1">
      <c r="A864" s="193">
        <v>45839</v>
      </c>
      <c r="B864" s="145" t="s">
        <v>828</v>
      </c>
      <c r="C864" s="150">
        <v>2025</v>
      </c>
      <c r="D864" s="201" t="s">
        <v>1431</v>
      </c>
      <c r="E864" s="144" t="s">
        <v>216</v>
      </c>
      <c r="F864" s="141" t="s">
        <v>821</v>
      </c>
      <c r="G864" s="144" t="s">
        <v>2387</v>
      </c>
      <c r="H864" s="146" t="s">
        <v>26</v>
      </c>
      <c r="I864" s="144" t="s">
        <v>1436</v>
      </c>
    </row>
    <row r="865" spans="1:9" ht="25.5">
      <c r="A865" s="193">
        <v>45839</v>
      </c>
      <c r="B865" s="145" t="s">
        <v>828</v>
      </c>
      <c r="C865" s="150">
        <v>2025</v>
      </c>
      <c r="D865" s="201" t="s">
        <v>1431</v>
      </c>
      <c r="E865" s="144" t="s">
        <v>216</v>
      </c>
      <c r="F865" s="141" t="s">
        <v>821</v>
      </c>
      <c r="G865" s="144" t="s">
        <v>2388</v>
      </c>
      <c r="H865" s="146" t="s">
        <v>26</v>
      </c>
      <c r="I865" s="144" t="s">
        <v>1436</v>
      </c>
    </row>
    <row r="866" spans="1:9" ht="25.5">
      <c r="A866" s="193">
        <v>45839</v>
      </c>
      <c r="B866" s="145" t="s">
        <v>828</v>
      </c>
      <c r="C866" s="150">
        <v>2025</v>
      </c>
      <c r="D866" s="201" t="s">
        <v>1431</v>
      </c>
      <c r="E866" s="144" t="s">
        <v>21</v>
      </c>
      <c r="F866" s="141" t="s">
        <v>821</v>
      </c>
      <c r="G866" s="144" t="s">
        <v>2389</v>
      </c>
      <c r="H866" s="146" t="s">
        <v>26</v>
      </c>
      <c r="I866" s="144" t="s">
        <v>1436</v>
      </c>
    </row>
    <row r="867" spans="1:9" ht="38.1">
      <c r="A867" s="193">
        <v>45840</v>
      </c>
      <c r="B867" s="145" t="s">
        <v>828</v>
      </c>
      <c r="C867" s="150">
        <v>2025</v>
      </c>
      <c r="D867" s="201" t="s">
        <v>1431</v>
      </c>
      <c r="E867" s="144" t="s">
        <v>2390</v>
      </c>
      <c r="F867" s="147" t="s">
        <v>859</v>
      </c>
      <c r="G867" s="144" t="s">
        <v>2391</v>
      </c>
      <c r="H867" s="146" t="s">
        <v>26</v>
      </c>
      <c r="I867" s="144" t="s">
        <v>1436</v>
      </c>
    </row>
    <row r="868" spans="1:9" ht="25.5">
      <c r="A868" s="193">
        <v>45840</v>
      </c>
      <c r="B868" s="145" t="s">
        <v>828</v>
      </c>
      <c r="C868" s="150">
        <v>2025</v>
      </c>
      <c r="D868" s="201" t="s">
        <v>1431</v>
      </c>
      <c r="E868" s="144" t="s">
        <v>574</v>
      </c>
      <c r="F868" s="139" t="s">
        <v>88</v>
      </c>
      <c r="G868" s="144" t="s">
        <v>2392</v>
      </c>
      <c r="H868" s="146" t="s">
        <v>26</v>
      </c>
      <c r="I868" s="144" t="s">
        <v>1436</v>
      </c>
    </row>
    <row r="869" spans="1:9" ht="25.5">
      <c r="A869" s="193">
        <v>45840</v>
      </c>
      <c r="B869" s="145" t="s">
        <v>828</v>
      </c>
      <c r="C869" s="150">
        <v>2025</v>
      </c>
      <c r="D869" s="201" t="s">
        <v>1431</v>
      </c>
      <c r="E869" s="144" t="s">
        <v>1506</v>
      </c>
      <c r="F869" s="139" t="s">
        <v>88</v>
      </c>
      <c r="G869" s="144" t="s">
        <v>2393</v>
      </c>
      <c r="H869" s="146" t="s">
        <v>26</v>
      </c>
      <c r="I869" s="144" t="s">
        <v>1436</v>
      </c>
    </row>
    <row r="870" spans="1:9" ht="25.5">
      <c r="A870" s="193">
        <v>45840</v>
      </c>
      <c r="B870" s="145" t="s">
        <v>828</v>
      </c>
      <c r="C870" s="150">
        <v>2025</v>
      </c>
      <c r="D870" s="201" t="s">
        <v>1431</v>
      </c>
      <c r="E870" s="144" t="s">
        <v>1506</v>
      </c>
      <c r="F870" s="139" t="s">
        <v>88</v>
      </c>
      <c r="G870" s="144" t="s">
        <v>2394</v>
      </c>
      <c r="H870" s="146" t="s">
        <v>26</v>
      </c>
      <c r="I870" s="144" t="s">
        <v>1436</v>
      </c>
    </row>
    <row r="871" spans="1:9" ht="25.5">
      <c r="A871" s="193">
        <v>45840</v>
      </c>
      <c r="B871" s="145" t="s">
        <v>828</v>
      </c>
      <c r="C871" s="150">
        <v>2025</v>
      </c>
      <c r="D871" s="201" t="s">
        <v>1431</v>
      </c>
      <c r="E871" s="144" t="s">
        <v>216</v>
      </c>
      <c r="F871" s="141" t="s">
        <v>821</v>
      </c>
      <c r="G871" s="144" t="s">
        <v>2395</v>
      </c>
      <c r="H871" s="146" t="s">
        <v>26</v>
      </c>
      <c r="I871" s="144" t="s">
        <v>1436</v>
      </c>
    </row>
    <row r="872" spans="1:9" ht="25.5">
      <c r="A872" s="193">
        <v>45840</v>
      </c>
      <c r="B872" s="145" t="s">
        <v>828</v>
      </c>
      <c r="C872" s="150">
        <v>2025</v>
      </c>
      <c r="D872" s="201" t="s">
        <v>1431</v>
      </c>
      <c r="E872" s="144" t="s">
        <v>21</v>
      </c>
      <c r="F872" s="141" t="s">
        <v>821</v>
      </c>
      <c r="G872" s="144" t="s">
        <v>2396</v>
      </c>
      <c r="H872" s="146" t="s">
        <v>26</v>
      </c>
      <c r="I872" s="144" t="s">
        <v>1436</v>
      </c>
    </row>
    <row r="873" spans="1:9" ht="25.5">
      <c r="A873" s="193">
        <v>45840</v>
      </c>
      <c r="B873" s="145" t="s">
        <v>828</v>
      </c>
      <c r="C873" s="150">
        <v>2025</v>
      </c>
      <c r="D873" s="201" t="s">
        <v>1431</v>
      </c>
      <c r="E873" s="144" t="s">
        <v>1506</v>
      </c>
      <c r="F873" s="139" t="s">
        <v>88</v>
      </c>
      <c r="G873" s="144" t="s">
        <v>2397</v>
      </c>
      <c r="H873" s="146" t="s">
        <v>26</v>
      </c>
      <c r="I873" s="144" t="s">
        <v>1436</v>
      </c>
    </row>
    <row r="874" spans="1:9" ht="38.1">
      <c r="A874" s="193">
        <v>45840</v>
      </c>
      <c r="B874" s="145" t="s">
        <v>828</v>
      </c>
      <c r="C874" s="150">
        <v>2025</v>
      </c>
      <c r="D874" s="201" t="s">
        <v>1431</v>
      </c>
      <c r="E874" s="144" t="s">
        <v>1225</v>
      </c>
      <c r="F874" s="147" t="s">
        <v>859</v>
      </c>
      <c r="G874" s="144" t="s">
        <v>2398</v>
      </c>
      <c r="H874" s="146" t="s">
        <v>26</v>
      </c>
      <c r="I874" s="144" t="s">
        <v>1436</v>
      </c>
    </row>
    <row r="875" spans="1:9" ht="25.5">
      <c r="A875" s="193">
        <v>45840</v>
      </c>
      <c r="B875" s="145" t="s">
        <v>828</v>
      </c>
      <c r="C875" s="150">
        <v>2025</v>
      </c>
      <c r="D875" s="201" t="s">
        <v>1431</v>
      </c>
      <c r="E875" s="144" t="s">
        <v>1506</v>
      </c>
      <c r="F875" s="139" t="s">
        <v>88</v>
      </c>
      <c r="G875" s="144" t="s">
        <v>2399</v>
      </c>
      <c r="H875" s="146" t="s">
        <v>26</v>
      </c>
      <c r="I875" s="144" t="s">
        <v>1436</v>
      </c>
    </row>
    <row r="876" spans="1:9" ht="25.5">
      <c r="A876" s="193">
        <v>45840</v>
      </c>
      <c r="B876" s="145" t="s">
        <v>828</v>
      </c>
      <c r="C876" s="150">
        <v>2025</v>
      </c>
      <c r="D876" s="201" t="s">
        <v>1431</v>
      </c>
      <c r="E876" s="144" t="s">
        <v>1506</v>
      </c>
      <c r="F876" s="139" t="s">
        <v>88</v>
      </c>
      <c r="G876" s="144" t="s">
        <v>2400</v>
      </c>
      <c r="H876" s="146" t="s">
        <v>26</v>
      </c>
      <c r="I876" s="144" t="s">
        <v>1436</v>
      </c>
    </row>
    <row r="877" spans="1:9" ht="25.5">
      <c r="A877" s="193">
        <v>45818</v>
      </c>
      <c r="B877" s="145" t="s">
        <v>828</v>
      </c>
      <c r="C877" s="150">
        <v>2025</v>
      </c>
      <c r="D877" s="201" t="s">
        <v>1431</v>
      </c>
      <c r="E877" s="144" t="s">
        <v>21</v>
      </c>
      <c r="F877" s="141" t="s">
        <v>821</v>
      </c>
      <c r="G877" s="144" t="s">
        <v>2401</v>
      </c>
      <c r="H877" s="146" t="s">
        <v>26</v>
      </c>
      <c r="I877" s="144" t="s">
        <v>1436</v>
      </c>
    </row>
    <row r="878" spans="1:9" ht="25.5">
      <c r="A878" s="193">
        <v>45818</v>
      </c>
      <c r="B878" s="145" t="s">
        <v>828</v>
      </c>
      <c r="C878" s="150">
        <v>2025</v>
      </c>
      <c r="D878" s="201" t="s">
        <v>1431</v>
      </c>
      <c r="E878" s="144" t="s">
        <v>216</v>
      </c>
      <c r="F878" s="141" t="s">
        <v>821</v>
      </c>
      <c r="G878" s="144" t="s">
        <v>2402</v>
      </c>
      <c r="H878" s="146" t="s">
        <v>26</v>
      </c>
      <c r="I878" s="144" t="s">
        <v>1436</v>
      </c>
    </row>
    <row r="879" spans="1:9" ht="25.5">
      <c r="A879" s="193">
        <v>45819</v>
      </c>
      <c r="B879" s="145" t="s">
        <v>828</v>
      </c>
      <c r="C879" s="150">
        <v>2025</v>
      </c>
      <c r="D879" s="201" t="s">
        <v>1431</v>
      </c>
      <c r="E879" s="144" t="s">
        <v>216</v>
      </c>
      <c r="F879" s="141" t="s">
        <v>821</v>
      </c>
      <c r="G879" s="144" t="s">
        <v>2403</v>
      </c>
      <c r="H879" s="146" t="s">
        <v>26</v>
      </c>
      <c r="I879" s="144" t="s">
        <v>1436</v>
      </c>
    </row>
    <row r="880" spans="1:9" ht="25.5">
      <c r="A880" s="193">
        <v>45819</v>
      </c>
      <c r="B880" s="145" t="s">
        <v>828</v>
      </c>
      <c r="C880" s="150">
        <v>2025</v>
      </c>
      <c r="D880" s="201" t="s">
        <v>1431</v>
      </c>
      <c r="E880" s="144" t="s">
        <v>2244</v>
      </c>
      <c r="F880" s="147" t="s">
        <v>859</v>
      </c>
      <c r="G880" s="144" t="s">
        <v>2404</v>
      </c>
      <c r="H880" s="146" t="s">
        <v>26</v>
      </c>
      <c r="I880" s="144" t="s">
        <v>1436</v>
      </c>
    </row>
    <row r="881" spans="1:9" ht="14.1">
      <c r="A881" s="193">
        <v>45820</v>
      </c>
      <c r="B881" s="145" t="s">
        <v>828</v>
      </c>
      <c r="C881" s="150">
        <v>2025</v>
      </c>
      <c r="D881" s="201" t="s">
        <v>1431</v>
      </c>
      <c r="E881" s="144" t="s">
        <v>216</v>
      </c>
      <c r="F881" s="141" t="s">
        <v>821</v>
      </c>
      <c r="G881" s="144" t="s">
        <v>2405</v>
      </c>
      <c r="H881" s="146" t="s">
        <v>26</v>
      </c>
      <c r="I881" s="144" t="s">
        <v>1436</v>
      </c>
    </row>
    <row r="882" spans="1:9" ht="25.5">
      <c r="A882" s="193">
        <v>45820</v>
      </c>
      <c r="B882" s="145" t="s">
        <v>828</v>
      </c>
      <c r="C882" s="150">
        <v>2025</v>
      </c>
      <c r="D882" s="201" t="s">
        <v>2252</v>
      </c>
      <c r="E882" s="144" t="s">
        <v>216</v>
      </c>
      <c r="F882" s="141" t="s">
        <v>821</v>
      </c>
      <c r="G882" s="144" t="s">
        <v>2406</v>
      </c>
      <c r="H882" s="146" t="s">
        <v>26</v>
      </c>
      <c r="I882" s="144" t="s">
        <v>1436</v>
      </c>
    </row>
    <row r="883" spans="1:9" ht="25.5">
      <c r="A883" s="193">
        <v>45820</v>
      </c>
      <c r="B883" s="145" t="s">
        <v>828</v>
      </c>
      <c r="C883" s="150">
        <v>2025</v>
      </c>
      <c r="D883" s="201" t="s">
        <v>1431</v>
      </c>
      <c r="E883" s="144" t="s">
        <v>216</v>
      </c>
      <c r="F883" s="141" t="s">
        <v>821</v>
      </c>
      <c r="G883" s="144" t="s">
        <v>2407</v>
      </c>
      <c r="H883" s="146" t="s">
        <v>26</v>
      </c>
      <c r="I883" s="144" t="s">
        <v>1436</v>
      </c>
    </row>
    <row r="884" spans="1:9" ht="14.1">
      <c r="A884" s="193">
        <v>45820</v>
      </c>
      <c r="B884" s="145" t="s">
        <v>828</v>
      </c>
      <c r="C884" s="150">
        <v>2025</v>
      </c>
      <c r="D884" s="201" t="s">
        <v>1431</v>
      </c>
      <c r="E884" s="144" t="s">
        <v>21</v>
      </c>
      <c r="F884" s="141" t="s">
        <v>821</v>
      </c>
      <c r="G884" s="144" t="s">
        <v>2408</v>
      </c>
      <c r="H884" s="146" t="s">
        <v>26</v>
      </c>
      <c r="I884" s="144" t="s">
        <v>1436</v>
      </c>
    </row>
    <row r="885" spans="1:9" ht="25.5">
      <c r="A885" s="193">
        <v>45820</v>
      </c>
      <c r="B885" s="145" t="s">
        <v>828</v>
      </c>
      <c r="C885" s="150">
        <v>2025</v>
      </c>
      <c r="D885" s="201" t="s">
        <v>1431</v>
      </c>
      <c r="E885" s="144" t="s">
        <v>1436</v>
      </c>
      <c r="F885" s="139" t="s">
        <v>88</v>
      </c>
      <c r="G885" s="144" t="s">
        <v>2409</v>
      </c>
      <c r="H885" s="146" t="s">
        <v>26</v>
      </c>
      <c r="I885" s="144" t="s">
        <v>1436</v>
      </c>
    </row>
    <row r="886" spans="1:9" ht="25.5">
      <c r="A886" s="193">
        <v>45820</v>
      </c>
      <c r="B886" s="145" t="s">
        <v>828</v>
      </c>
      <c r="C886" s="150">
        <v>2025</v>
      </c>
      <c r="D886" s="201" t="s">
        <v>1431</v>
      </c>
      <c r="E886" s="144" t="s">
        <v>2244</v>
      </c>
      <c r="F886" s="147" t="s">
        <v>859</v>
      </c>
      <c r="G886" s="144" t="s">
        <v>2410</v>
      </c>
      <c r="H886" s="146" t="s">
        <v>26</v>
      </c>
      <c r="I886" s="144" t="s">
        <v>1436</v>
      </c>
    </row>
    <row r="887" spans="1:9" ht="38.1">
      <c r="A887" s="193">
        <v>45820</v>
      </c>
      <c r="B887" s="145" t="s">
        <v>828</v>
      </c>
      <c r="C887" s="150">
        <v>2025</v>
      </c>
      <c r="D887" s="201" t="s">
        <v>1431</v>
      </c>
      <c r="E887" s="144" t="s">
        <v>1225</v>
      </c>
      <c r="F887" s="147" t="s">
        <v>859</v>
      </c>
      <c r="G887" s="144" t="s">
        <v>2411</v>
      </c>
      <c r="H887" s="146" t="s">
        <v>26</v>
      </c>
      <c r="I887" s="144" t="s">
        <v>1436</v>
      </c>
    </row>
    <row r="888" spans="1:9" ht="50.45">
      <c r="A888" s="193">
        <v>45821</v>
      </c>
      <c r="B888" s="145" t="s">
        <v>828</v>
      </c>
      <c r="C888" s="150">
        <v>2025</v>
      </c>
      <c r="D888" s="201" t="s">
        <v>1431</v>
      </c>
      <c r="E888" s="144" t="s">
        <v>1432</v>
      </c>
      <c r="F888" s="141" t="s">
        <v>821</v>
      </c>
      <c r="G888" s="144" t="s">
        <v>2412</v>
      </c>
      <c r="H888" s="146" t="s">
        <v>26</v>
      </c>
      <c r="I888" s="144" t="s">
        <v>1436</v>
      </c>
    </row>
    <row r="889" spans="1:9" ht="25.5">
      <c r="A889" s="193">
        <v>45821</v>
      </c>
      <c r="B889" s="145" t="s">
        <v>828</v>
      </c>
      <c r="C889" s="150">
        <v>2025</v>
      </c>
      <c r="D889" s="201" t="s">
        <v>1431</v>
      </c>
      <c r="E889" s="144" t="s">
        <v>2192</v>
      </c>
      <c r="F889" s="147" t="s">
        <v>859</v>
      </c>
      <c r="G889" s="144" t="s">
        <v>2413</v>
      </c>
      <c r="H889" s="146" t="s">
        <v>26</v>
      </c>
      <c r="I889" s="144" t="s">
        <v>1436</v>
      </c>
    </row>
    <row r="890" spans="1:9" ht="14.1">
      <c r="A890" s="193">
        <v>45821</v>
      </c>
      <c r="B890" s="145" t="s">
        <v>828</v>
      </c>
      <c r="C890" s="150">
        <v>2025</v>
      </c>
      <c r="D890" s="201" t="s">
        <v>1431</v>
      </c>
      <c r="E890" s="144" t="s">
        <v>988</v>
      </c>
      <c r="F890" s="139" t="s">
        <v>88</v>
      </c>
      <c r="G890" s="144" t="s">
        <v>2414</v>
      </c>
      <c r="H890" s="146" t="s">
        <v>26</v>
      </c>
      <c r="I890" s="144" t="s">
        <v>1436</v>
      </c>
    </row>
    <row r="891" spans="1:9" ht="25.5">
      <c r="A891" s="193">
        <v>45824</v>
      </c>
      <c r="B891" s="145" t="s">
        <v>828</v>
      </c>
      <c r="C891" s="150">
        <v>2025</v>
      </c>
      <c r="D891" s="201" t="s">
        <v>2252</v>
      </c>
      <c r="E891" s="144" t="s">
        <v>216</v>
      </c>
      <c r="F891" s="141" t="s">
        <v>821</v>
      </c>
      <c r="G891" s="144" t="s">
        <v>2415</v>
      </c>
      <c r="H891" s="146" t="s">
        <v>26</v>
      </c>
      <c r="I891" s="144" t="s">
        <v>1436</v>
      </c>
    </row>
    <row r="892" spans="1:9" ht="50.45">
      <c r="A892" s="193">
        <v>45824</v>
      </c>
      <c r="B892" s="145" t="s">
        <v>828</v>
      </c>
      <c r="C892" s="150">
        <v>2025</v>
      </c>
      <c r="D892" s="201" t="s">
        <v>1431</v>
      </c>
      <c r="E892" s="144" t="s">
        <v>1584</v>
      </c>
      <c r="F892" s="141" t="s">
        <v>821</v>
      </c>
      <c r="G892" s="144" t="s">
        <v>2416</v>
      </c>
      <c r="H892" s="146" t="s">
        <v>26</v>
      </c>
      <c r="I892" s="144" t="s">
        <v>1436</v>
      </c>
    </row>
    <row r="893" spans="1:9" ht="38.1">
      <c r="A893" s="193">
        <v>45824</v>
      </c>
      <c r="B893" s="145" t="s">
        <v>828</v>
      </c>
      <c r="C893" s="150">
        <v>2025</v>
      </c>
      <c r="D893" s="201" t="s">
        <v>1431</v>
      </c>
      <c r="E893" s="144" t="s">
        <v>1539</v>
      </c>
      <c r="F893" s="147" t="s">
        <v>859</v>
      </c>
      <c r="G893" s="144" t="s">
        <v>2417</v>
      </c>
      <c r="H893" s="146" t="s">
        <v>26</v>
      </c>
      <c r="I893" s="144" t="s">
        <v>1436</v>
      </c>
    </row>
    <row r="894" spans="1:9" ht="25.5">
      <c r="A894" s="193">
        <v>45824</v>
      </c>
      <c r="B894" s="145" t="s">
        <v>828</v>
      </c>
      <c r="C894" s="150">
        <v>2025</v>
      </c>
      <c r="D894" s="201" t="s">
        <v>1431</v>
      </c>
      <c r="E894" s="144" t="s">
        <v>21</v>
      </c>
      <c r="F894" s="141" t="s">
        <v>821</v>
      </c>
      <c r="G894" s="144" t="s">
        <v>2418</v>
      </c>
      <c r="H894" s="146" t="s">
        <v>26</v>
      </c>
      <c r="I894" s="144" t="s">
        <v>1436</v>
      </c>
    </row>
    <row r="895" spans="1:9" ht="38.1">
      <c r="A895" s="193">
        <v>45825</v>
      </c>
      <c r="B895" s="145" t="s">
        <v>828</v>
      </c>
      <c r="C895" s="150">
        <v>2025</v>
      </c>
      <c r="D895" s="201" t="s">
        <v>1431</v>
      </c>
      <c r="E895" s="144" t="s">
        <v>21</v>
      </c>
      <c r="F895" s="141" t="s">
        <v>821</v>
      </c>
      <c r="G895" s="144" t="s">
        <v>2419</v>
      </c>
      <c r="H895" s="146" t="s">
        <v>26</v>
      </c>
      <c r="I895" s="144" t="s">
        <v>1436</v>
      </c>
    </row>
    <row r="896" spans="1:9" ht="25.5">
      <c r="A896" s="193">
        <v>45825</v>
      </c>
      <c r="B896" s="145" t="s">
        <v>828</v>
      </c>
      <c r="C896" s="150">
        <v>2025</v>
      </c>
      <c r="D896" s="201" t="s">
        <v>1431</v>
      </c>
      <c r="E896" s="144" t="s">
        <v>1560</v>
      </c>
      <c r="F896" s="141" t="s">
        <v>821</v>
      </c>
      <c r="G896" s="144" t="s">
        <v>2420</v>
      </c>
      <c r="H896" s="146" t="s">
        <v>26</v>
      </c>
      <c r="I896" s="144" t="s">
        <v>1436</v>
      </c>
    </row>
    <row r="897" spans="1:9" ht="25.5">
      <c r="A897" s="193">
        <v>45825</v>
      </c>
      <c r="B897" s="145" t="s">
        <v>828</v>
      </c>
      <c r="C897" s="150">
        <v>2025</v>
      </c>
      <c r="D897" s="201" t="s">
        <v>1431</v>
      </c>
      <c r="E897" s="144" t="s">
        <v>21</v>
      </c>
      <c r="F897" s="141" t="s">
        <v>821</v>
      </c>
      <c r="G897" s="144" t="s">
        <v>2421</v>
      </c>
      <c r="H897" s="146" t="s">
        <v>26</v>
      </c>
      <c r="I897" s="144" t="s">
        <v>1436</v>
      </c>
    </row>
    <row r="898" spans="1:9" ht="25.5">
      <c r="A898" s="193">
        <v>45825</v>
      </c>
      <c r="B898" s="145" t="s">
        <v>828</v>
      </c>
      <c r="C898" s="150">
        <v>2025</v>
      </c>
      <c r="D898" s="201" t="s">
        <v>1431</v>
      </c>
      <c r="E898" s="144" t="s">
        <v>21</v>
      </c>
      <c r="F898" s="141" t="s">
        <v>821</v>
      </c>
      <c r="G898" s="144" t="s">
        <v>2422</v>
      </c>
      <c r="H898" s="146" t="s">
        <v>26</v>
      </c>
      <c r="I898" s="144" t="s">
        <v>1436</v>
      </c>
    </row>
    <row r="899" spans="1:9" ht="38.1">
      <c r="A899" s="193">
        <v>45825</v>
      </c>
      <c r="B899" s="145" t="s">
        <v>828</v>
      </c>
      <c r="C899" s="150">
        <v>2025</v>
      </c>
      <c r="D899" s="201" t="s">
        <v>1431</v>
      </c>
      <c r="E899" s="144" t="s">
        <v>2423</v>
      </c>
      <c r="F899" s="141" t="s">
        <v>821</v>
      </c>
      <c r="G899" s="144" t="s">
        <v>2424</v>
      </c>
      <c r="H899" s="146" t="s">
        <v>26</v>
      </c>
      <c r="I899" s="144" t="s">
        <v>1436</v>
      </c>
    </row>
    <row r="900" spans="1:9" ht="38.1">
      <c r="A900" s="193">
        <v>45825</v>
      </c>
      <c r="B900" s="145" t="s">
        <v>828</v>
      </c>
      <c r="C900" s="150">
        <v>2025</v>
      </c>
      <c r="D900" s="201" t="s">
        <v>1431</v>
      </c>
      <c r="E900" s="144" t="s">
        <v>1518</v>
      </c>
      <c r="F900" s="139" t="s">
        <v>88</v>
      </c>
      <c r="G900" s="144" t="s">
        <v>2425</v>
      </c>
      <c r="H900" s="146" t="s">
        <v>26</v>
      </c>
      <c r="I900" s="144" t="s">
        <v>1436</v>
      </c>
    </row>
    <row r="901" spans="1:9" ht="25.5">
      <c r="A901" s="193">
        <v>45825</v>
      </c>
      <c r="B901" s="145" t="s">
        <v>828</v>
      </c>
      <c r="C901" s="150">
        <v>2025</v>
      </c>
      <c r="D901" s="201" t="s">
        <v>1431</v>
      </c>
      <c r="E901" s="144" t="s">
        <v>216</v>
      </c>
      <c r="F901" s="141" t="s">
        <v>821</v>
      </c>
      <c r="G901" s="144" t="s">
        <v>2426</v>
      </c>
      <c r="H901" s="146" t="s">
        <v>26</v>
      </c>
      <c r="I901" s="144" t="s">
        <v>1436</v>
      </c>
    </row>
    <row r="902" spans="1:9" ht="25.5">
      <c r="A902" s="193">
        <v>45825</v>
      </c>
      <c r="B902" s="145" t="s">
        <v>828</v>
      </c>
      <c r="C902" s="150">
        <v>2025</v>
      </c>
      <c r="D902" s="201" t="s">
        <v>1431</v>
      </c>
      <c r="E902" s="144" t="s">
        <v>21</v>
      </c>
      <c r="F902" s="141" t="s">
        <v>821</v>
      </c>
      <c r="G902" s="144" t="s">
        <v>2427</v>
      </c>
      <c r="H902" s="146" t="s">
        <v>26</v>
      </c>
      <c r="I902" s="144" t="s">
        <v>1436</v>
      </c>
    </row>
    <row r="903" spans="1:9" ht="25.5">
      <c r="A903" s="193">
        <v>45825</v>
      </c>
      <c r="B903" s="145" t="s">
        <v>828</v>
      </c>
      <c r="C903" s="150">
        <v>2025</v>
      </c>
      <c r="D903" s="201" t="s">
        <v>1431</v>
      </c>
      <c r="E903" s="144" t="s">
        <v>1436</v>
      </c>
      <c r="F903" s="140" t="s">
        <v>1439</v>
      </c>
      <c r="G903" s="144" t="s">
        <v>2428</v>
      </c>
      <c r="H903" s="146" t="s">
        <v>26</v>
      </c>
      <c r="I903" s="144" t="s">
        <v>1436</v>
      </c>
    </row>
    <row r="904" spans="1:9" ht="25.5">
      <c r="A904" s="193">
        <v>45825</v>
      </c>
      <c r="B904" s="145" t="s">
        <v>828</v>
      </c>
      <c r="C904" s="150">
        <v>2025</v>
      </c>
      <c r="D904" s="201" t="s">
        <v>1431</v>
      </c>
      <c r="E904" s="144" t="s">
        <v>1508</v>
      </c>
      <c r="F904" s="139" t="s">
        <v>88</v>
      </c>
      <c r="G904" s="144" t="s">
        <v>2429</v>
      </c>
      <c r="H904" s="146" t="s">
        <v>26</v>
      </c>
      <c r="I904" s="144" t="s">
        <v>1436</v>
      </c>
    </row>
    <row r="905" spans="1:9" ht="25.5">
      <c r="A905" s="193">
        <v>45825</v>
      </c>
      <c r="B905" s="145" t="s">
        <v>828</v>
      </c>
      <c r="C905" s="150">
        <v>2025</v>
      </c>
      <c r="D905" s="201" t="s">
        <v>2252</v>
      </c>
      <c r="E905" s="144" t="s">
        <v>216</v>
      </c>
      <c r="F905" s="141" t="s">
        <v>821</v>
      </c>
      <c r="G905" s="144" t="s">
        <v>2430</v>
      </c>
      <c r="H905" s="146" t="s">
        <v>26</v>
      </c>
      <c r="I905" s="144" t="s">
        <v>1436</v>
      </c>
    </row>
    <row r="906" spans="1:9" ht="14.1">
      <c r="A906" s="193">
        <v>45825</v>
      </c>
      <c r="B906" s="145" t="s">
        <v>828</v>
      </c>
      <c r="C906" s="150">
        <v>2025</v>
      </c>
      <c r="D906" s="201" t="s">
        <v>1431</v>
      </c>
      <c r="E906" s="144" t="s">
        <v>216</v>
      </c>
      <c r="F906" s="141" t="s">
        <v>821</v>
      </c>
      <c r="G906" s="144" t="s">
        <v>2431</v>
      </c>
      <c r="H906" s="146" t="s">
        <v>26</v>
      </c>
      <c r="I906" s="144" t="s">
        <v>1436</v>
      </c>
    </row>
    <row r="907" spans="1:9" ht="25.5">
      <c r="A907" s="193">
        <v>45826</v>
      </c>
      <c r="B907" s="145" t="s">
        <v>828</v>
      </c>
      <c r="C907" s="150">
        <v>2025</v>
      </c>
      <c r="D907" s="201" t="s">
        <v>1431</v>
      </c>
      <c r="E907" s="144" t="s">
        <v>21</v>
      </c>
      <c r="F907" s="141" t="s">
        <v>821</v>
      </c>
      <c r="G907" s="144" t="s">
        <v>2432</v>
      </c>
      <c r="H907" s="146" t="s">
        <v>26</v>
      </c>
      <c r="I907" s="144" t="s">
        <v>1436</v>
      </c>
    </row>
    <row r="908" spans="1:9" ht="38.1">
      <c r="A908" s="193">
        <v>45826</v>
      </c>
      <c r="B908" s="145" t="s">
        <v>828</v>
      </c>
      <c r="C908" s="150">
        <v>2025</v>
      </c>
      <c r="D908" s="201" t="s">
        <v>1431</v>
      </c>
      <c r="E908" s="144" t="s">
        <v>1504</v>
      </c>
      <c r="F908" s="139" t="s">
        <v>88</v>
      </c>
      <c r="G908" s="144" t="s">
        <v>2433</v>
      </c>
      <c r="H908" s="146" t="s">
        <v>26</v>
      </c>
      <c r="I908" s="144" t="s">
        <v>1436</v>
      </c>
    </row>
    <row r="909" spans="1:9" ht="25.5">
      <c r="A909" s="193">
        <v>45826</v>
      </c>
      <c r="B909" s="145" t="s">
        <v>828</v>
      </c>
      <c r="C909" s="150">
        <v>2025</v>
      </c>
      <c r="D909" s="201" t="s">
        <v>1431</v>
      </c>
      <c r="E909" s="144" t="s">
        <v>2434</v>
      </c>
      <c r="F909" s="142" t="s">
        <v>872</v>
      </c>
      <c r="G909" s="144" t="s">
        <v>2435</v>
      </c>
      <c r="H909" s="146" t="s">
        <v>26</v>
      </c>
      <c r="I909" s="144" t="s">
        <v>1436</v>
      </c>
    </row>
    <row r="910" spans="1:9" ht="38.1">
      <c r="A910" s="193">
        <v>45826</v>
      </c>
      <c r="B910" s="145" t="s">
        <v>828</v>
      </c>
      <c r="C910" s="150">
        <v>2025</v>
      </c>
      <c r="D910" s="201" t="s">
        <v>1431</v>
      </c>
      <c r="E910" s="144" t="s">
        <v>1225</v>
      </c>
      <c r="F910" s="147" t="s">
        <v>859</v>
      </c>
      <c r="G910" s="144" t="s">
        <v>2436</v>
      </c>
      <c r="H910" s="146" t="s">
        <v>26</v>
      </c>
      <c r="I910" s="144" t="s">
        <v>1436</v>
      </c>
    </row>
    <row r="911" spans="1:9" ht="50.45">
      <c r="A911" s="193">
        <v>45826</v>
      </c>
      <c r="B911" s="145" t="s">
        <v>828</v>
      </c>
      <c r="C911" s="150">
        <v>2025</v>
      </c>
      <c r="D911" s="201" t="s">
        <v>1431</v>
      </c>
      <c r="E911" s="144" t="s">
        <v>2437</v>
      </c>
      <c r="F911" s="147" t="s">
        <v>859</v>
      </c>
      <c r="G911" s="144" t="s">
        <v>2438</v>
      </c>
      <c r="H911" s="146" t="s">
        <v>26</v>
      </c>
      <c r="I911" s="144" t="s">
        <v>1436</v>
      </c>
    </row>
    <row r="912" spans="1:9" ht="25.5">
      <c r="A912" s="193">
        <v>45828</v>
      </c>
      <c r="B912" s="145" t="s">
        <v>828</v>
      </c>
      <c r="C912" s="150">
        <v>2025</v>
      </c>
      <c r="D912" s="201" t="s">
        <v>2252</v>
      </c>
      <c r="E912" s="144" t="s">
        <v>216</v>
      </c>
      <c r="F912" s="141" t="s">
        <v>821</v>
      </c>
      <c r="G912" s="144" t="s">
        <v>2439</v>
      </c>
      <c r="H912" s="146" t="s">
        <v>26</v>
      </c>
      <c r="I912" s="144" t="s">
        <v>1436</v>
      </c>
    </row>
    <row r="913" spans="1:9" ht="25.5">
      <c r="A913" s="193">
        <v>45828</v>
      </c>
      <c r="B913" s="145" t="s">
        <v>828</v>
      </c>
      <c r="C913" s="150">
        <v>2025</v>
      </c>
      <c r="D913" s="201" t="s">
        <v>1431</v>
      </c>
      <c r="E913" s="144" t="s">
        <v>1506</v>
      </c>
      <c r="F913" s="139" t="s">
        <v>88</v>
      </c>
      <c r="G913" s="144" t="s">
        <v>2440</v>
      </c>
      <c r="H913" s="146" t="s">
        <v>26</v>
      </c>
      <c r="I913" s="144" t="s">
        <v>1436</v>
      </c>
    </row>
    <row r="914" spans="1:9" ht="38.1">
      <c r="A914" s="193">
        <v>45828</v>
      </c>
      <c r="B914" s="145" t="s">
        <v>828</v>
      </c>
      <c r="C914" s="150">
        <v>2025</v>
      </c>
      <c r="D914" s="201" t="s">
        <v>1431</v>
      </c>
      <c r="E914" s="144" t="s">
        <v>2441</v>
      </c>
      <c r="F914" s="139" t="s">
        <v>88</v>
      </c>
      <c r="G914" s="144" t="s">
        <v>2442</v>
      </c>
      <c r="H914" s="146" t="s">
        <v>26</v>
      </c>
      <c r="I914" s="144" t="s">
        <v>1436</v>
      </c>
    </row>
    <row r="915" spans="1:9" ht="14.1">
      <c r="A915" s="193">
        <v>45828</v>
      </c>
      <c r="B915" s="145" t="s">
        <v>828</v>
      </c>
      <c r="C915" s="150">
        <v>2025</v>
      </c>
      <c r="D915" s="201" t="s">
        <v>1431</v>
      </c>
      <c r="E915" s="144" t="s">
        <v>1506</v>
      </c>
      <c r="F915" s="139" t="s">
        <v>88</v>
      </c>
      <c r="G915" s="144" t="s">
        <v>2443</v>
      </c>
      <c r="H915" s="146" t="s">
        <v>26</v>
      </c>
      <c r="I915" s="144" t="s">
        <v>1436</v>
      </c>
    </row>
    <row r="916" spans="1:9" ht="25.5">
      <c r="A916" s="193">
        <v>45831</v>
      </c>
      <c r="B916" s="145" t="s">
        <v>828</v>
      </c>
      <c r="C916" s="150">
        <v>2025</v>
      </c>
      <c r="D916" s="201" t="s">
        <v>1431</v>
      </c>
      <c r="E916" s="144" t="s">
        <v>988</v>
      </c>
      <c r="F916" s="139" t="s">
        <v>88</v>
      </c>
      <c r="G916" s="144" t="s">
        <v>2444</v>
      </c>
      <c r="H916" s="146" t="s">
        <v>26</v>
      </c>
      <c r="I916" s="144" t="s">
        <v>1436</v>
      </c>
    </row>
    <row r="917" spans="1:9" ht="25.5">
      <c r="A917" s="193">
        <v>45831</v>
      </c>
      <c r="B917" s="145" t="s">
        <v>828</v>
      </c>
      <c r="C917" s="150">
        <v>2025</v>
      </c>
      <c r="D917" s="201" t="s">
        <v>1431</v>
      </c>
      <c r="E917" s="144" t="s">
        <v>1436</v>
      </c>
      <c r="F917" s="147" t="s">
        <v>859</v>
      </c>
      <c r="G917" s="144" t="s">
        <v>2445</v>
      </c>
      <c r="H917" s="146" t="s">
        <v>26</v>
      </c>
      <c r="I917" s="144" t="s">
        <v>1436</v>
      </c>
    </row>
    <row r="918" spans="1:9" ht="14.1">
      <c r="A918" s="193">
        <v>45831</v>
      </c>
      <c r="B918" s="145" t="s">
        <v>828</v>
      </c>
      <c r="C918" s="150">
        <v>2025</v>
      </c>
      <c r="D918" s="201" t="s">
        <v>1431</v>
      </c>
      <c r="E918" s="144" t="s">
        <v>1436</v>
      </c>
      <c r="F918" s="139" t="s">
        <v>88</v>
      </c>
      <c r="G918" s="144" t="s">
        <v>2446</v>
      </c>
      <c r="H918" s="146" t="s">
        <v>26</v>
      </c>
      <c r="I918" s="144" t="s">
        <v>1436</v>
      </c>
    </row>
    <row r="919" spans="1:9" ht="38.1">
      <c r="A919" s="193">
        <v>45831</v>
      </c>
      <c r="B919" s="145" t="s">
        <v>828</v>
      </c>
      <c r="C919" s="150">
        <v>2025</v>
      </c>
      <c r="D919" s="201" t="s">
        <v>1431</v>
      </c>
      <c r="E919" s="144" t="s">
        <v>1436</v>
      </c>
      <c r="F919" s="147" t="s">
        <v>859</v>
      </c>
      <c r="G919" s="144" t="s">
        <v>2447</v>
      </c>
      <c r="H919" s="146" t="s">
        <v>26</v>
      </c>
      <c r="I919" s="144" t="s">
        <v>1436</v>
      </c>
    </row>
    <row r="920" spans="1:9" ht="38.1">
      <c r="A920" s="193">
        <v>45831</v>
      </c>
      <c r="B920" s="145" t="s">
        <v>828</v>
      </c>
      <c r="C920" s="150">
        <v>2025</v>
      </c>
      <c r="D920" s="201" t="s">
        <v>1431</v>
      </c>
      <c r="E920" s="144" t="s">
        <v>1436</v>
      </c>
      <c r="F920" s="147" t="s">
        <v>859</v>
      </c>
      <c r="G920" s="144" t="s">
        <v>2448</v>
      </c>
      <c r="H920" s="146" t="s">
        <v>26</v>
      </c>
      <c r="I920" s="144" t="s">
        <v>1436</v>
      </c>
    </row>
    <row r="921" spans="1:9" ht="38.1">
      <c r="A921" s="193">
        <v>45831</v>
      </c>
      <c r="B921" s="145" t="s">
        <v>828</v>
      </c>
      <c r="C921" s="150">
        <v>2025</v>
      </c>
      <c r="D921" s="201" t="s">
        <v>1431</v>
      </c>
      <c r="E921" s="144" t="s">
        <v>21</v>
      </c>
      <c r="F921" s="141" t="s">
        <v>821</v>
      </c>
      <c r="G921" s="144" t="s">
        <v>2449</v>
      </c>
      <c r="H921" s="146" t="s">
        <v>26</v>
      </c>
      <c r="I921" s="144" t="s">
        <v>1436</v>
      </c>
    </row>
    <row r="922" spans="1:9" ht="25.5">
      <c r="A922" s="193">
        <v>45834</v>
      </c>
      <c r="B922" s="145" t="s">
        <v>828</v>
      </c>
      <c r="C922" s="150">
        <v>2025</v>
      </c>
      <c r="D922" s="201" t="s">
        <v>1431</v>
      </c>
      <c r="E922" s="144" t="s">
        <v>21</v>
      </c>
      <c r="F922" s="141" t="s">
        <v>821</v>
      </c>
      <c r="G922" s="144" t="s">
        <v>2450</v>
      </c>
      <c r="H922" s="146" t="s">
        <v>26</v>
      </c>
      <c r="I922" s="144" t="s">
        <v>1436</v>
      </c>
    </row>
    <row r="923" spans="1:9" ht="25.5">
      <c r="A923" s="193">
        <v>45834</v>
      </c>
      <c r="B923" s="145" t="s">
        <v>828</v>
      </c>
      <c r="C923" s="150">
        <v>2025</v>
      </c>
      <c r="D923" s="201" t="s">
        <v>1431</v>
      </c>
      <c r="E923" s="144" t="s">
        <v>2244</v>
      </c>
      <c r="F923" s="147" t="s">
        <v>859</v>
      </c>
      <c r="G923" s="144" t="s">
        <v>2451</v>
      </c>
      <c r="H923" s="146" t="s">
        <v>26</v>
      </c>
      <c r="I923" s="144" t="s">
        <v>1436</v>
      </c>
    </row>
    <row r="924" spans="1:9" ht="14.1">
      <c r="A924" s="193">
        <v>45834</v>
      </c>
      <c r="B924" s="145" t="s">
        <v>828</v>
      </c>
      <c r="C924" s="150">
        <v>2025</v>
      </c>
      <c r="D924" s="201" t="s">
        <v>1431</v>
      </c>
      <c r="E924" s="144" t="s">
        <v>1158</v>
      </c>
      <c r="F924" s="147" t="s">
        <v>859</v>
      </c>
      <c r="G924" s="144" t="s">
        <v>2452</v>
      </c>
      <c r="H924" s="146" t="s">
        <v>26</v>
      </c>
      <c r="I924" s="144" t="s">
        <v>1436</v>
      </c>
    </row>
    <row r="925" spans="1:9" ht="14.1">
      <c r="A925" s="193">
        <v>45834</v>
      </c>
      <c r="B925" s="145" t="s">
        <v>828</v>
      </c>
      <c r="C925" s="150">
        <v>2025</v>
      </c>
      <c r="D925" s="201" t="s">
        <v>1431</v>
      </c>
      <c r="E925" s="144" t="s">
        <v>1539</v>
      </c>
      <c r="F925" s="139" t="s">
        <v>88</v>
      </c>
      <c r="G925" s="144" t="s">
        <v>2453</v>
      </c>
      <c r="H925" s="146" t="s">
        <v>26</v>
      </c>
      <c r="I925" s="144" t="s">
        <v>1436</v>
      </c>
    </row>
    <row r="926" spans="1:9" ht="14.1">
      <c r="A926" s="193">
        <v>45834</v>
      </c>
      <c r="B926" s="145" t="s">
        <v>828</v>
      </c>
      <c r="C926" s="150">
        <v>2025</v>
      </c>
      <c r="D926" s="201" t="s">
        <v>1431</v>
      </c>
      <c r="E926" s="144" t="s">
        <v>216</v>
      </c>
      <c r="F926" s="141" t="s">
        <v>821</v>
      </c>
      <c r="G926" s="144" t="s">
        <v>2454</v>
      </c>
      <c r="H926" s="146" t="s">
        <v>26</v>
      </c>
      <c r="I926" s="144" t="s">
        <v>1436</v>
      </c>
    </row>
    <row r="927" spans="1:9" ht="25.5">
      <c r="A927" s="193">
        <v>45834</v>
      </c>
      <c r="B927" s="145" t="s">
        <v>828</v>
      </c>
      <c r="C927" s="150">
        <v>2025</v>
      </c>
      <c r="D927" s="201" t="s">
        <v>1431</v>
      </c>
      <c r="E927" s="144" t="s">
        <v>21</v>
      </c>
      <c r="F927" s="141" t="s">
        <v>821</v>
      </c>
      <c r="G927" s="144" t="s">
        <v>2455</v>
      </c>
      <c r="H927" s="146" t="s">
        <v>26</v>
      </c>
      <c r="I927" s="144" t="s">
        <v>1436</v>
      </c>
    </row>
    <row r="928" spans="1:9" ht="14.1">
      <c r="A928" s="193">
        <v>45834</v>
      </c>
      <c r="B928" s="145" t="s">
        <v>828</v>
      </c>
      <c r="C928" s="150">
        <v>2025</v>
      </c>
      <c r="D928" s="201" t="s">
        <v>1431</v>
      </c>
      <c r="E928" s="144" t="s">
        <v>21</v>
      </c>
      <c r="F928" s="141" t="s">
        <v>821</v>
      </c>
      <c r="G928" s="144" t="s">
        <v>2456</v>
      </c>
      <c r="H928" s="146" t="s">
        <v>26</v>
      </c>
      <c r="I928" s="144" t="s">
        <v>1436</v>
      </c>
    </row>
    <row r="929" spans="1:9" ht="14.1">
      <c r="A929" s="193">
        <v>45834</v>
      </c>
      <c r="B929" s="145" t="s">
        <v>828</v>
      </c>
      <c r="C929" s="150">
        <v>2025</v>
      </c>
      <c r="D929" s="201" t="s">
        <v>1431</v>
      </c>
      <c r="E929" s="144" t="s">
        <v>1436</v>
      </c>
      <c r="F929" s="139" t="s">
        <v>88</v>
      </c>
      <c r="G929" s="144" t="s">
        <v>2457</v>
      </c>
      <c r="H929" s="146" t="s">
        <v>26</v>
      </c>
      <c r="I929" s="144" t="s">
        <v>1436</v>
      </c>
    </row>
    <row r="930" spans="1:9" ht="25.5">
      <c r="A930" s="193">
        <v>45835</v>
      </c>
      <c r="B930" s="145" t="s">
        <v>828</v>
      </c>
      <c r="C930" s="150">
        <v>2025</v>
      </c>
      <c r="D930" s="201" t="s">
        <v>1431</v>
      </c>
      <c r="E930" s="144" t="s">
        <v>1432</v>
      </c>
      <c r="F930" s="141" t="s">
        <v>821</v>
      </c>
      <c r="G930" s="144" t="s">
        <v>2458</v>
      </c>
      <c r="H930" s="146" t="s">
        <v>26</v>
      </c>
      <c r="I930" s="144" t="s">
        <v>1436</v>
      </c>
    </row>
    <row r="931" spans="1:9" ht="25.5">
      <c r="A931" s="193">
        <v>45835</v>
      </c>
      <c r="B931" s="145" t="s">
        <v>828</v>
      </c>
      <c r="C931" s="150">
        <v>2025</v>
      </c>
      <c r="D931" s="201" t="s">
        <v>1431</v>
      </c>
      <c r="E931" s="144" t="s">
        <v>216</v>
      </c>
      <c r="F931" s="141" t="s">
        <v>821</v>
      </c>
      <c r="G931" s="144" t="s">
        <v>2459</v>
      </c>
      <c r="H931" s="146" t="s">
        <v>26</v>
      </c>
      <c r="I931" s="144" t="s">
        <v>1436</v>
      </c>
    </row>
    <row r="932" spans="1:9" ht="50.45">
      <c r="A932" s="193">
        <v>45835</v>
      </c>
      <c r="B932" s="145" t="s">
        <v>828</v>
      </c>
      <c r="C932" s="150">
        <v>2025</v>
      </c>
      <c r="D932" s="201" t="s">
        <v>1431</v>
      </c>
      <c r="E932" s="144" t="s">
        <v>988</v>
      </c>
      <c r="F932" s="139" t="s">
        <v>88</v>
      </c>
      <c r="G932" s="144" t="s">
        <v>2460</v>
      </c>
      <c r="H932" s="146" t="s">
        <v>26</v>
      </c>
      <c r="I932" s="144" t="s">
        <v>1436</v>
      </c>
    </row>
    <row r="933" spans="1:9" ht="50.45">
      <c r="A933" s="193">
        <v>45835</v>
      </c>
      <c r="B933" s="145" t="s">
        <v>828</v>
      </c>
      <c r="C933" s="150">
        <v>2025</v>
      </c>
      <c r="D933" s="201" t="s">
        <v>1431</v>
      </c>
      <c r="E933" s="144" t="s">
        <v>988</v>
      </c>
      <c r="F933" s="139" t="s">
        <v>88</v>
      </c>
      <c r="G933" s="144" t="s">
        <v>2461</v>
      </c>
      <c r="H933" s="146" t="s">
        <v>26</v>
      </c>
      <c r="I933" s="144" t="s">
        <v>1436</v>
      </c>
    </row>
    <row r="934" spans="1:9" ht="14.1">
      <c r="A934" s="193">
        <v>45835</v>
      </c>
      <c r="B934" s="145" t="s">
        <v>828</v>
      </c>
      <c r="C934" s="150">
        <v>2025</v>
      </c>
      <c r="D934" s="201" t="s">
        <v>1431</v>
      </c>
      <c r="E934" s="144" t="s">
        <v>216</v>
      </c>
      <c r="F934" s="141" t="s">
        <v>821</v>
      </c>
      <c r="G934" s="144" t="s">
        <v>2462</v>
      </c>
      <c r="H934" s="146" t="s">
        <v>26</v>
      </c>
      <c r="I934" s="144" t="s">
        <v>1436</v>
      </c>
    </row>
    <row r="935" spans="1:9" ht="38.1">
      <c r="A935" s="193">
        <v>45838</v>
      </c>
      <c r="B935" s="145" t="s">
        <v>828</v>
      </c>
      <c r="C935" s="150">
        <v>2025</v>
      </c>
      <c r="D935" s="201" t="s">
        <v>1431</v>
      </c>
      <c r="E935" s="144" t="s">
        <v>2244</v>
      </c>
      <c r="F935" s="141" t="s">
        <v>821</v>
      </c>
      <c r="G935" s="144" t="s">
        <v>2380</v>
      </c>
      <c r="H935" s="146" t="s">
        <v>26</v>
      </c>
      <c r="I935" s="144" t="s">
        <v>1436</v>
      </c>
    </row>
    <row r="936" spans="1:9" ht="38.1">
      <c r="A936" s="193">
        <v>45838</v>
      </c>
      <c r="B936" s="145" t="s">
        <v>828</v>
      </c>
      <c r="C936" s="150">
        <v>2025</v>
      </c>
      <c r="D936" s="201" t="s">
        <v>1431</v>
      </c>
      <c r="E936" s="144" t="s">
        <v>1434</v>
      </c>
      <c r="F936" s="139" t="s">
        <v>88</v>
      </c>
      <c r="G936" s="144" t="s">
        <v>2381</v>
      </c>
      <c r="H936" s="146" t="s">
        <v>26</v>
      </c>
      <c r="I936" s="144" t="s">
        <v>1436</v>
      </c>
    </row>
    <row r="937" spans="1:9" ht="14.1">
      <c r="A937" s="193">
        <v>45838</v>
      </c>
      <c r="B937" s="145" t="s">
        <v>828</v>
      </c>
      <c r="C937" s="150">
        <v>2025</v>
      </c>
      <c r="D937" s="201" t="s">
        <v>1431</v>
      </c>
      <c r="E937" s="144" t="s">
        <v>2383</v>
      </c>
      <c r="F937" s="139" t="s">
        <v>88</v>
      </c>
      <c r="G937" s="144" t="s">
        <v>2384</v>
      </c>
      <c r="H937" s="146" t="s">
        <v>26</v>
      </c>
      <c r="I937" s="144" t="s">
        <v>1436</v>
      </c>
    </row>
    <row r="938" spans="1:9" ht="25.5">
      <c r="A938" s="193">
        <v>45838</v>
      </c>
      <c r="B938" s="145" t="s">
        <v>828</v>
      </c>
      <c r="C938" s="150">
        <v>2025</v>
      </c>
      <c r="D938" s="201" t="s">
        <v>1431</v>
      </c>
      <c r="E938" s="144" t="s">
        <v>21</v>
      </c>
      <c r="F938" s="141" t="s">
        <v>821</v>
      </c>
      <c r="G938" s="144" t="s">
        <v>2385</v>
      </c>
      <c r="H938" s="146" t="s">
        <v>26</v>
      </c>
      <c r="I938" s="144" t="s">
        <v>1436</v>
      </c>
    </row>
    <row r="939" spans="1:9" ht="25.5">
      <c r="A939" s="193">
        <v>45838</v>
      </c>
      <c r="B939" s="145" t="s">
        <v>828</v>
      </c>
      <c r="C939" s="150">
        <v>2025</v>
      </c>
      <c r="D939" s="201" t="s">
        <v>1431</v>
      </c>
      <c r="E939" s="144" t="s">
        <v>988</v>
      </c>
      <c r="F939" s="139" t="s">
        <v>88</v>
      </c>
      <c r="G939" s="144" t="s">
        <v>2386</v>
      </c>
      <c r="H939" s="146" t="s">
        <v>26</v>
      </c>
      <c r="I939" s="144" t="s">
        <v>1436</v>
      </c>
    </row>
    <row r="940" spans="1:9" ht="14.1">
      <c r="A940" s="193">
        <v>45839</v>
      </c>
      <c r="B940" s="145" t="s">
        <v>828</v>
      </c>
      <c r="C940" s="150">
        <v>2025</v>
      </c>
      <c r="D940" s="201" t="s">
        <v>1431</v>
      </c>
      <c r="E940" s="144" t="s">
        <v>216</v>
      </c>
      <c r="F940" s="141" t="s">
        <v>821</v>
      </c>
      <c r="G940" s="144" t="s">
        <v>2387</v>
      </c>
      <c r="H940" s="146" t="s">
        <v>26</v>
      </c>
      <c r="I940" s="144" t="s">
        <v>1436</v>
      </c>
    </row>
    <row r="941" spans="1:9" ht="25.5">
      <c r="A941" s="193">
        <v>45839</v>
      </c>
      <c r="B941" s="145" t="s">
        <v>828</v>
      </c>
      <c r="C941" s="150">
        <v>2025</v>
      </c>
      <c r="D941" s="201" t="s">
        <v>1431</v>
      </c>
      <c r="E941" s="144" t="s">
        <v>216</v>
      </c>
      <c r="F941" s="141" t="s">
        <v>821</v>
      </c>
      <c r="G941" s="144" t="s">
        <v>2388</v>
      </c>
      <c r="H941" s="146" t="s">
        <v>26</v>
      </c>
      <c r="I941" s="144" t="s">
        <v>1436</v>
      </c>
    </row>
    <row r="942" spans="1:9" ht="25.5">
      <c r="A942" s="193">
        <v>45839</v>
      </c>
      <c r="B942" s="145" t="s">
        <v>828</v>
      </c>
      <c r="C942" s="150">
        <v>2025</v>
      </c>
      <c r="D942" s="201" t="s">
        <v>1431</v>
      </c>
      <c r="E942" s="144" t="s">
        <v>21</v>
      </c>
      <c r="F942" s="141" t="s">
        <v>821</v>
      </c>
      <c r="G942" s="144" t="s">
        <v>2389</v>
      </c>
      <c r="H942" s="146" t="s">
        <v>26</v>
      </c>
      <c r="I942" s="144" t="s">
        <v>1436</v>
      </c>
    </row>
    <row r="943" spans="1:9" ht="38.1">
      <c r="A943" s="193">
        <v>45840</v>
      </c>
      <c r="B943" s="145" t="s">
        <v>828</v>
      </c>
      <c r="C943" s="150">
        <v>2025</v>
      </c>
      <c r="D943" s="201" t="s">
        <v>1431</v>
      </c>
      <c r="E943" s="144" t="s">
        <v>2390</v>
      </c>
      <c r="F943" s="147" t="s">
        <v>859</v>
      </c>
      <c r="G943" s="144" t="s">
        <v>2391</v>
      </c>
      <c r="H943" s="146" t="s">
        <v>26</v>
      </c>
      <c r="I943" s="144" t="s">
        <v>1436</v>
      </c>
    </row>
    <row r="944" spans="1:9" ht="25.5">
      <c r="A944" s="193">
        <v>45840</v>
      </c>
      <c r="B944" s="145" t="s">
        <v>828</v>
      </c>
      <c r="C944" s="150">
        <v>2025</v>
      </c>
      <c r="D944" s="201" t="s">
        <v>1431</v>
      </c>
      <c r="E944" s="144" t="s">
        <v>574</v>
      </c>
      <c r="F944" s="139" t="s">
        <v>88</v>
      </c>
      <c r="G944" s="144" t="s">
        <v>2392</v>
      </c>
      <c r="H944" s="146" t="s">
        <v>26</v>
      </c>
      <c r="I944" s="144" t="s">
        <v>1436</v>
      </c>
    </row>
    <row r="945" spans="1:9" ht="25.5">
      <c r="A945" s="193">
        <v>45840</v>
      </c>
      <c r="B945" s="145" t="s">
        <v>828</v>
      </c>
      <c r="C945" s="150">
        <v>2025</v>
      </c>
      <c r="D945" s="201" t="s">
        <v>1431</v>
      </c>
      <c r="E945" s="144" t="s">
        <v>1506</v>
      </c>
      <c r="F945" s="139" t="s">
        <v>88</v>
      </c>
      <c r="G945" s="144" t="s">
        <v>2393</v>
      </c>
      <c r="H945" s="146" t="s">
        <v>26</v>
      </c>
      <c r="I945" s="144" t="s">
        <v>1436</v>
      </c>
    </row>
    <row r="946" spans="1:9" ht="25.5">
      <c r="A946" s="193">
        <v>45840</v>
      </c>
      <c r="B946" s="145" t="s">
        <v>828</v>
      </c>
      <c r="C946" s="150">
        <v>2025</v>
      </c>
      <c r="D946" s="201" t="s">
        <v>1431</v>
      </c>
      <c r="E946" s="144" t="s">
        <v>1506</v>
      </c>
      <c r="F946" s="139" t="s">
        <v>88</v>
      </c>
      <c r="G946" s="144" t="s">
        <v>2394</v>
      </c>
      <c r="H946" s="146" t="s">
        <v>26</v>
      </c>
      <c r="I946" s="144" t="s">
        <v>1436</v>
      </c>
    </row>
    <row r="947" spans="1:9" ht="25.5">
      <c r="A947" s="193">
        <v>45840</v>
      </c>
      <c r="B947" s="145" t="s">
        <v>828</v>
      </c>
      <c r="C947" s="150">
        <v>2025</v>
      </c>
      <c r="D947" s="201" t="s">
        <v>1431</v>
      </c>
      <c r="E947" s="144" t="s">
        <v>216</v>
      </c>
      <c r="F947" s="141" t="s">
        <v>821</v>
      </c>
      <c r="G947" s="144" t="s">
        <v>2395</v>
      </c>
      <c r="H947" s="146" t="s">
        <v>26</v>
      </c>
      <c r="I947" s="144" t="s">
        <v>1436</v>
      </c>
    </row>
    <row r="948" spans="1:9" ht="25.5">
      <c r="A948" s="193">
        <v>45840</v>
      </c>
      <c r="B948" s="145" t="s">
        <v>828</v>
      </c>
      <c r="C948" s="150">
        <v>2025</v>
      </c>
      <c r="D948" s="201" t="s">
        <v>1431</v>
      </c>
      <c r="E948" s="144" t="s">
        <v>21</v>
      </c>
      <c r="F948" s="141" t="s">
        <v>821</v>
      </c>
      <c r="G948" s="144" t="s">
        <v>2396</v>
      </c>
      <c r="H948" s="146" t="s">
        <v>26</v>
      </c>
      <c r="I948" s="144" t="s">
        <v>1436</v>
      </c>
    </row>
    <row r="949" spans="1:9" ht="25.5">
      <c r="A949" s="193">
        <v>45840</v>
      </c>
      <c r="B949" s="145" t="s">
        <v>828</v>
      </c>
      <c r="C949" s="150">
        <v>2025</v>
      </c>
      <c r="D949" s="201" t="s">
        <v>1431</v>
      </c>
      <c r="E949" s="144" t="s">
        <v>1506</v>
      </c>
      <c r="F949" s="139" t="s">
        <v>88</v>
      </c>
      <c r="G949" s="144" t="s">
        <v>2397</v>
      </c>
      <c r="H949" s="146" t="s">
        <v>26</v>
      </c>
      <c r="I949" s="144" t="s">
        <v>1436</v>
      </c>
    </row>
    <row r="950" spans="1:9" ht="38.1">
      <c r="A950" s="193">
        <v>45840</v>
      </c>
      <c r="B950" s="145" t="s">
        <v>828</v>
      </c>
      <c r="C950" s="150">
        <v>2025</v>
      </c>
      <c r="D950" s="201" t="s">
        <v>1431</v>
      </c>
      <c r="E950" s="144" t="s">
        <v>1225</v>
      </c>
      <c r="F950" s="147" t="s">
        <v>859</v>
      </c>
      <c r="G950" s="144" t="s">
        <v>2398</v>
      </c>
      <c r="H950" s="146" t="s">
        <v>26</v>
      </c>
      <c r="I950" s="144" t="s">
        <v>1436</v>
      </c>
    </row>
    <row r="951" spans="1:9" ht="25.5">
      <c r="A951" s="193">
        <v>45840</v>
      </c>
      <c r="B951" s="145" t="s">
        <v>828</v>
      </c>
      <c r="C951" s="150">
        <v>2025</v>
      </c>
      <c r="D951" s="201" t="s">
        <v>1431</v>
      </c>
      <c r="E951" s="144" t="s">
        <v>1506</v>
      </c>
      <c r="F951" s="139" t="s">
        <v>88</v>
      </c>
      <c r="G951" s="144" t="s">
        <v>2399</v>
      </c>
      <c r="H951" s="146" t="s">
        <v>26</v>
      </c>
      <c r="I951" s="144" t="s">
        <v>1436</v>
      </c>
    </row>
    <row r="952" spans="1:9" ht="38.1">
      <c r="A952" s="193">
        <v>45838</v>
      </c>
      <c r="B952" s="145" t="s">
        <v>829</v>
      </c>
      <c r="C952" s="150">
        <v>2025</v>
      </c>
      <c r="D952" s="201" t="s">
        <v>1431</v>
      </c>
      <c r="E952" s="144" t="s">
        <v>21</v>
      </c>
      <c r="F952" s="141" t="s">
        <v>821</v>
      </c>
      <c r="G952" s="144" t="s">
        <v>2380</v>
      </c>
      <c r="H952" s="146" t="s">
        <v>26</v>
      </c>
      <c r="I952" s="144" t="s">
        <v>1436</v>
      </c>
    </row>
    <row r="953" spans="1:9" ht="38.1">
      <c r="A953" s="193">
        <v>45838</v>
      </c>
      <c r="B953" s="145" t="s">
        <v>829</v>
      </c>
      <c r="C953" s="150">
        <v>2025</v>
      </c>
      <c r="D953" s="201" t="s">
        <v>1431</v>
      </c>
      <c r="E953" s="144" t="s">
        <v>1434</v>
      </c>
      <c r="F953" s="139" t="s">
        <v>88</v>
      </c>
      <c r="G953" s="144" t="s">
        <v>2381</v>
      </c>
      <c r="H953" s="146" t="s">
        <v>26</v>
      </c>
      <c r="I953" s="144" t="s">
        <v>1436</v>
      </c>
    </row>
    <row r="954" spans="1:9" ht="14.1">
      <c r="A954" s="193">
        <v>45838</v>
      </c>
      <c r="B954" s="145" t="s">
        <v>829</v>
      </c>
      <c r="C954" s="150">
        <v>2025</v>
      </c>
      <c r="D954" s="201" t="s">
        <v>1431</v>
      </c>
      <c r="E954" s="144" t="s">
        <v>2383</v>
      </c>
      <c r="F954" s="139" t="s">
        <v>88</v>
      </c>
      <c r="G954" s="144" t="s">
        <v>2384</v>
      </c>
      <c r="H954" s="146" t="s">
        <v>26</v>
      </c>
      <c r="I954" s="144" t="s">
        <v>1436</v>
      </c>
    </row>
    <row r="955" spans="1:9" ht="25.5">
      <c r="A955" s="193">
        <v>45838</v>
      </c>
      <c r="B955" s="145" t="s">
        <v>829</v>
      </c>
      <c r="C955" s="150">
        <v>2025</v>
      </c>
      <c r="D955" s="201" t="s">
        <v>1431</v>
      </c>
      <c r="E955" s="144" t="s">
        <v>21</v>
      </c>
      <c r="F955" s="141" t="s">
        <v>821</v>
      </c>
      <c r="G955" s="144" t="s">
        <v>2385</v>
      </c>
      <c r="H955" s="146" t="s">
        <v>26</v>
      </c>
      <c r="I955" s="144" t="s">
        <v>1436</v>
      </c>
    </row>
    <row r="956" spans="1:9" ht="25.5">
      <c r="A956" s="193">
        <v>45838</v>
      </c>
      <c r="B956" s="145" t="s">
        <v>829</v>
      </c>
      <c r="C956" s="150">
        <v>2025</v>
      </c>
      <c r="D956" s="201" t="s">
        <v>1431</v>
      </c>
      <c r="E956" s="144" t="s">
        <v>988</v>
      </c>
      <c r="F956" s="139" t="s">
        <v>88</v>
      </c>
      <c r="G956" s="144" t="s">
        <v>2386</v>
      </c>
      <c r="H956" s="146" t="s">
        <v>26</v>
      </c>
      <c r="I956" s="144" t="s">
        <v>1436</v>
      </c>
    </row>
    <row r="957" spans="1:9" ht="14.1">
      <c r="A957" s="193">
        <v>45839</v>
      </c>
      <c r="B957" s="145" t="s">
        <v>829</v>
      </c>
      <c r="C957" s="150">
        <v>2025</v>
      </c>
      <c r="D957" s="201" t="s">
        <v>1431</v>
      </c>
      <c r="E957" s="144" t="s">
        <v>216</v>
      </c>
      <c r="F957" s="141" t="s">
        <v>821</v>
      </c>
      <c r="G957" s="144" t="s">
        <v>2387</v>
      </c>
      <c r="H957" s="146" t="s">
        <v>26</v>
      </c>
      <c r="I957" s="144" t="s">
        <v>1436</v>
      </c>
    </row>
    <row r="958" spans="1:9" ht="25.5">
      <c r="A958" s="193">
        <v>45839</v>
      </c>
      <c r="B958" s="145" t="s">
        <v>829</v>
      </c>
      <c r="C958" s="150">
        <v>2025</v>
      </c>
      <c r="D958" s="201" t="s">
        <v>1431</v>
      </c>
      <c r="E958" s="144" t="s">
        <v>216</v>
      </c>
      <c r="F958" s="141" t="s">
        <v>821</v>
      </c>
      <c r="G958" s="144" t="s">
        <v>2388</v>
      </c>
      <c r="H958" s="146" t="s">
        <v>26</v>
      </c>
      <c r="I958" s="144" t="s">
        <v>1436</v>
      </c>
    </row>
    <row r="959" spans="1:9" ht="25.5">
      <c r="A959" s="193">
        <v>45839</v>
      </c>
      <c r="B959" s="145" t="s">
        <v>829</v>
      </c>
      <c r="C959" s="150">
        <v>2025</v>
      </c>
      <c r="D959" s="201" t="s">
        <v>1431</v>
      </c>
      <c r="E959" s="144" t="s">
        <v>21</v>
      </c>
      <c r="F959" s="141" t="s">
        <v>821</v>
      </c>
      <c r="G959" s="144" t="s">
        <v>2389</v>
      </c>
      <c r="H959" s="146" t="s">
        <v>26</v>
      </c>
      <c r="I959" s="144" t="s">
        <v>1436</v>
      </c>
    </row>
    <row r="960" spans="1:9" ht="38.1">
      <c r="A960" s="193">
        <v>45840</v>
      </c>
      <c r="B960" s="145" t="s">
        <v>829</v>
      </c>
      <c r="C960" s="150">
        <v>2025</v>
      </c>
      <c r="D960" s="201" t="s">
        <v>1431</v>
      </c>
      <c r="E960" s="144" t="s">
        <v>2390</v>
      </c>
      <c r="F960" s="147" t="s">
        <v>859</v>
      </c>
      <c r="G960" s="144" t="s">
        <v>2391</v>
      </c>
      <c r="H960" s="146" t="s">
        <v>26</v>
      </c>
      <c r="I960" s="144" t="s">
        <v>1436</v>
      </c>
    </row>
    <row r="961" spans="1:9" ht="25.5">
      <c r="A961" s="193">
        <v>45840</v>
      </c>
      <c r="B961" s="145" t="s">
        <v>829</v>
      </c>
      <c r="C961" s="150">
        <v>2025</v>
      </c>
      <c r="D961" s="201" t="s">
        <v>1431</v>
      </c>
      <c r="E961" s="144" t="s">
        <v>574</v>
      </c>
      <c r="F961" s="139" t="s">
        <v>88</v>
      </c>
      <c r="G961" s="144" t="s">
        <v>2392</v>
      </c>
      <c r="H961" s="146" t="s">
        <v>26</v>
      </c>
      <c r="I961" s="144" t="s">
        <v>1436</v>
      </c>
    </row>
    <row r="962" spans="1:9" ht="25.5">
      <c r="A962" s="193">
        <v>45840</v>
      </c>
      <c r="B962" s="145" t="s">
        <v>829</v>
      </c>
      <c r="C962" s="150">
        <v>2025</v>
      </c>
      <c r="D962" s="201" t="s">
        <v>1431</v>
      </c>
      <c r="E962" s="144" t="s">
        <v>1506</v>
      </c>
      <c r="F962" s="139" t="s">
        <v>88</v>
      </c>
      <c r="G962" s="144" t="s">
        <v>2393</v>
      </c>
      <c r="H962" s="146" t="s">
        <v>26</v>
      </c>
      <c r="I962" s="144" t="s">
        <v>1436</v>
      </c>
    </row>
    <row r="963" spans="1:9" ht="25.5">
      <c r="A963" s="193">
        <v>45840</v>
      </c>
      <c r="B963" s="145" t="s">
        <v>829</v>
      </c>
      <c r="C963" s="150">
        <v>2025</v>
      </c>
      <c r="D963" s="201" t="s">
        <v>1431</v>
      </c>
      <c r="E963" s="144" t="s">
        <v>1506</v>
      </c>
      <c r="F963" s="139" t="s">
        <v>88</v>
      </c>
      <c r="G963" s="144" t="s">
        <v>2394</v>
      </c>
      <c r="H963" s="146" t="s">
        <v>26</v>
      </c>
      <c r="I963" s="144" t="s">
        <v>1436</v>
      </c>
    </row>
    <row r="964" spans="1:9" ht="25.5">
      <c r="A964" s="193">
        <v>45840</v>
      </c>
      <c r="B964" s="145" t="s">
        <v>829</v>
      </c>
      <c r="C964" s="150">
        <v>2025</v>
      </c>
      <c r="D964" s="201" t="s">
        <v>1431</v>
      </c>
      <c r="E964" s="144" t="s">
        <v>216</v>
      </c>
      <c r="F964" s="141" t="s">
        <v>821</v>
      </c>
      <c r="G964" s="144" t="s">
        <v>2395</v>
      </c>
      <c r="H964" s="146" t="s">
        <v>26</v>
      </c>
      <c r="I964" s="144" t="s">
        <v>1436</v>
      </c>
    </row>
    <row r="965" spans="1:9" ht="25.5">
      <c r="A965" s="193">
        <v>45840</v>
      </c>
      <c r="B965" s="145" t="s">
        <v>829</v>
      </c>
      <c r="C965" s="150">
        <v>2025</v>
      </c>
      <c r="D965" s="201" t="s">
        <v>1431</v>
      </c>
      <c r="E965" s="144" t="s">
        <v>21</v>
      </c>
      <c r="F965" s="141" t="s">
        <v>821</v>
      </c>
      <c r="G965" s="144" t="s">
        <v>2396</v>
      </c>
      <c r="H965" s="146" t="s">
        <v>26</v>
      </c>
      <c r="I965" s="144" t="s">
        <v>1436</v>
      </c>
    </row>
    <row r="966" spans="1:9" ht="25.5">
      <c r="A966" s="193">
        <v>45840</v>
      </c>
      <c r="B966" s="145" t="s">
        <v>829</v>
      </c>
      <c r="C966" s="150">
        <v>2025</v>
      </c>
      <c r="D966" s="201" t="s">
        <v>1431</v>
      </c>
      <c r="E966" s="144" t="s">
        <v>1506</v>
      </c>
      <c r="F966" s="139" t="s">
        <v>88</v>
      </c>
      <c r="G966" s="144" t="s">
        <v>2397</v>
      </c>
      <c r="H966" s="146" t="s">
        <v>26</v>
      </c>
      <c r="I966" s="144" t="s">
        <v>1436</v>
      </c>
    </row>
    <row r="967" spans="1:9" ht="38.1">
      <c r="A967" s="193">
        <v>45840</v>
      </c>
      <c r="B967" s="145" t="s">
        <v>829</v>
      </c>
      <c r="C967" s="150">
        <v>2025</v>
      </c>
      <c r="D967" s="201" t="s">
        <v>1431</v>
      </c>
      <c r="E967" s="144" t="s">
        <v>1225</v>
      </c>
      <c r="F967" s="147" t="s">
        <v>859</v>
      </c>
      <c r="G967" s="144" t="s">
        <v>2398</v>
      </c>
      <c r="H967" s="146" t="s">
        <v>26</v>
      </c>
      <c r="I967" s="144" t="s">
        <v>1436</v>
      </c>
    </row>
    <row r="968" spans="1:9" ht="25.5">
      <c r="A968" s="193">
        <v>45840</v>
      </c>
      <c r="B968" s="145" t="s">
        <v>829</v>
      </c>
      <c r="C968" s="150">
        <v>2025</v>
      </c>
      <c r="D968" s="201" t="s">
        <v>1431</v>
      </c>
      <c r="E968" s="144" t="s">
        <v>1506</v>
      </c>
      <c r="F968" s="139" t="s">
        <v>88</v>
      </c>
      <c r="G968" s="144" t="s">
        <v>2399</v>
      </c>
      <c r="H968" s="146" t="s">
        <v>26</v>
      </c>
      <c r="I968" s="144" t="s">
        <v>1436</v>
      </c>
    </row>
    <row r="969" spans="1:9" ht="25.5">
      <c r="A969" s="193">
        <v>45840</v>
      </c>
      <c r="B969" s="145" t="s">
        <v>829</v>
      </c>
      <c r="C969" s="150">
        <v>2025</v>
      </c>
      <c r="D969" s="201" t="s">
        <v>1431</v>
      </c>
      <c r="E969" s="144" t="s">
        <v>1506</v>
      </c>
      <c r="F969" s="139" t="s">
        <v>88</v>
      </c>
      <c r="G969" s="144" t="s">
        <v>2400</v>
      </c>
      <c r="H969" s="146" t="s">
        <v>26</v>
      </c>
      <c r="I969" s="144" t="s">
        <v>1436</v>
      </c>
    </row>
    <row r="970" spans="1:9" ht="25.5">
      <c r="A970" s="193">
        <v>45841</v>
      </c>
      <c r="B970" s="145" t="s">
        <v>829</v>
      </c>
      <c r="C970" s="150">
        <v>2025</v>
      </c>
      <c r="D970" s="201" t="s">
        <v>1431</v>
      </c>
      <c r="E970" s="144" t="s">
        <v>1225</v>
      </c>
      <c r="F970" s="147" t="s">
        <v>859</v>
      </c>
      <c r="G970" s="144" t="s">
        <v>2463</v>
      </c>
      <c r="H970" s="146" t="s">
        <v>26</v>
      </c>
      <c r="I970" s="144" t="s">
        <v>1436</v>
      </c>
    </row>
    <row r="971" spans="1:9" ht="25.5">
      <c r="A971" s="193">
        <v>45841</v>
      </c>
      <c r="B971" s="145" t="s">
        <v>829</v>
      </c>
      <c r="C971" s="150">
        <v>2025</v>
      </c>
      <c r="D971" s="201" t="s">
        <v>2252</v>
      </c>
      <c r="E971" s="144" t="s">
        <v>216</v>
      </c>
      <c r="F971" s="141" t="s">
        <v>821</v>
      </c>
      <c r="G971" s="144" t="s">
        <v>2464</v>
      </c>
      <c r="H971" s="146" t="s">
        <v>26</v>
      </c>
      <c r="I971" s="144" t="s">
        <v>1436</v>
      </c>
    </row>
    <row r="972" spans="1:9" ht="14.1">
      <c r="A972" s="193">
        <v>45841</v>
      </c>
      <c r="B972" s="145" t="s">
        <v>829</v>
      </c>
      <c r="C972" s="150">
        <v>2025</v>
      </c>
      <c r="D972" s="201" t="s">
        <v>1431</v>
      </c>
      <c r="E972" s="144" t="s">
        <v>216</v>
      </c>
      <c r="F972" s="141" t="s">
        <v>821</v>
      </c>
      <c r="G972" s="144" t="s">
        <v>2465</v>
      </c>
      <c r="H972" s="146" t="s">
        <v>26</v>
      </c>
      <c r="I972" s="144" t="s">
        <v>1436</v>
      </c>
    </row>
    <row r="973" spans="1:9" ht="25.5">
      <c r="A973" s="193">
        <v>45841</v>
      </c>
      <c r="B973" s="145" t="s">
        <v>829</v>
      </c>
      <c r="C973" s="150">
        <v>2025</v>
      </c>
      <c r="D973" s="201" t="s">
        <v>1431</v>
      </c>
      <c r="E973" s="144" t="s">
        <v>21</v>
      </c>
      <c r="F973" s="141" t="s">
        <v>821</v>
      </c>
      <c r="G973" s="144" t="s">
        <v>2466</v>
      </c>
      <c r="H973" s="146" t="s">
        <v>26</v>
      </c>
      <c r="I973" s="144" t="s">
        <v>1436</v>
      </c>
    </row>
    <row r="974" spans="1:9" ht="25.5">
      <c r="A974" s="193">
        <v>45841</v>
      </c>
      <c r="B974" s="145" t="s">
        <v>829</v>
      </c>
      <c r="C974" s="150">
        <v>2025</v>
      </c>
      <c r="D974" s="201" t="s">
        <v>1431</v>
      </c>
      <c r="E974" s="144" t="s">
        <v>21</v>
      </c>
      <c r="F974" s="141" t="s">
        <v>821</v>
      </c>
      <c r="G974" s="144" t="s">
        <v>2467</v>
      </c>
      <c r="H974" s="146" t="s">
        <v>26</v>
      </c>
      <c r="I974" s="144" t="s">
        <v>1436</v>
      </c>
    </row>
    <row r="975" spans="1:9" ht="38.1">
      <c r="A975" s="193">
        <v>45841</v>
      </c>
      <c r="B975" s="145" t="s">
        <v>829</v>
      </c>
      <c r="C975" s="150">
        <v>2025</v>
      </c>
      <c r="D975" s="201" t="s">
        <v>1431</v>
      </c>
      <c r="E975" s="144" t="s">
        <v>2468</v>
      </c>
      <c r="F975" s="147" t="s">
        <v>859</v>
      </c>
      <c r="G975" s="144" t="s">
        <v>2469</v>
      </c>
      <c r="H975" s="146" t="s">
        <v>26</v>
      </c>
      <c r="I975" s="144" t="s">
        <v>1436</v>
      </c>
    </row>
    <row r="976" spans="1:9" ht="38.1">
      <c r="A976" s="193">
        <v>45842</v>
      </c>
      <c r="B976" s="145" t="s">
        <v>829</v>
      </c>
      <c r="C976" s="150">
        <v>2025</v>
      </c>
      <c r="D976" s="201" t="s">
        <v>1431</v>
      </c>
      <c r="E976" s="144" t="s">
        <v>988</v>
      </c>
      <c r="F976" s="139" t="s">
        <v>88</v>
      </c>
      <c r="G976" s="144" t="s">
        <v>2470</v>
      </c>
      <c r="H976" s="146" t="s">
        <v>26</v>
      </c>
      <c r="I976" s="144" t="s">
        <v>1436</v>
      </c>
    </row>
    <row r="977" spans="1:9" ht="38.1">
      <c r="A977" s="193">
        <v>45845</v>
      </c>
      <c r="B977" s="145" t="s">
        <v>829</v>
      </c>
      <c r="C977" s="150">
        <v>2025</v>
      </c>
      <c r="D977" s="201" t="s">
        <v>1431</v>
      </c>
      <c r="E977" s="144" t="s">
        <v>2192</v>
      </c>
      <c r="F977" s="141" t="s">
        <v>821</v>
      </c>
      <c r="G977" s="144" t="s">
        <v>2471</v>
      </c>
      <c r="H977" s="146" t="s">
        <v>26</v>
      </c>
      <c r="I977" s="144" t="s">
        <v>1436</v>
      </c>
    </row>
    <row r="978" spans="1:9" ht="25.5">
      <c r="A978" s="193">
        <v>45845</v>
      </c>
      <c r="B978" s="145" t="s">
        <v>829</v>
      </c>
      <c r="C978" s="150">
        <v>2025</v>
      </c>
      <c r="D978" s="201" t="s">
        <v>1431</v>
      </c>
      <c r="E978" s="144" t="s">
        <v>574</v>
      </c>
      <c r="F978" s="139" t="s">
        <v>88</v>
      </c>
      <c r="G978" s="144" t="s">
        <v>2472</v>
      </c>
      <c r="H978" s="146" t="s">
        <v>26</v>
      </c>
      <c r="I978" s="144" t="s">
        <v>1436</v>
      </c>
    </row>
    <row r="979" spans="1:9" ht="50.45">
      <c r="A979" s="193">
        <v>45845</v>
      </c>
      <c r="B979" s="145" t="s">
        <v>829</v>
      </c>
      <c r="C979" s="150">
        <v>2025</v>
      </c>
      <c r="D979" s="201" t="s">
        <v>1431</v>
      </c>
      <c r="E979" s="144" t="s">
        <v>1518</v>
      </c>
      <c r="F979" s="139" t="s">
        <v>88</v>
      </c>
      <c r="G979" s="144" t="s">
        <v>2473</v>
      </c>
      <c r="H979" s="146" t="s">
        <v>26</v>
      </c>
      <c r="I979" s="144" t="s">
        <v>1436</v>
      </c>
    </row>
    <row r="980" spans="1:9" ht="38.1">
      <c r="A980" s="193">
        <v>45846</v>
      </c>
      <c r="B980" s="145" t="s">
        <v>829</v>
      </c>
      <c r="C980" s="150">
        <v>2025</v>
      </c>
      <c r="D980" s="201" t="s">
        <v>1431</v>
      </c>
      <c r="E980" s="144" t="s">
        <v>1584</v>
      </c>
      <c r="F980" s="141" t="s">
        <v>821</v>
      </c>
      <c r="G980" s="144" t="s">
        <v>2474</v>
      </c>
      <c r="H980" s="146" t="s">
        <v>26</v>
      </c>
      <c r="I980" s="144" t="s">
        <v>1436</v>
      </c>
    </row>
    <row r="981" spans="1:9" ht="38.1">
      <c r="A981" s="193">
        <v>45846</v>
      </c>
      <c r="B981" s="145" t="s">
        <v>829</v>
      </c>
      <c r="C981" s="150">
        <v>2025</v>
      </c>
      <c r="D981" s="201" t="s">
        <v>1431</v>
      </c>
      <c r="E981" s="144" t="s">
        <v>1518</v>
      </c>
      <c r="F981" s="139" t="s">
        <v>88</v>
      </c>
      <c r="G981" s="144" t="s">
        <v>2475</v>
      </c>
      <c r="H981" s="146" t="s">
        <v>26</v>
      </c>
      <c r="I981" s="144" t="s">
        <v>1436</v>
      </c>
    </row>
    <row r="982" spans="1:9" ht="25.5">
      <c r="A982" s="193">
        <v>45846</v>
      </c>
      <c r="B982" s="145" t="s">
        <v>829</v>
      </c>
      <c r="C982" s="150">
        <v>2025</v>
      </c>
      <c r="D982" s="201" t="s">
        <v>1431</v>
      </c>
      <c r="E982" s="144" t="s">
        <v>21</v>
      </c>
      <c r="F982" s="141" t="s">
        <v>821</v>
      </c>
      <c r="G982" s="144" t="s">
        <v>2476</v>
      </c>
      <c r="H982" s="146" t="s">
        <v>26</v>
      </c>
      <c r="I982" s="144" t="s">
        <v>1436</v>
      </c>
    </row>
    <row r="983" spans="1:9" ht="14.1">
      <c r="A983" s="193">
        <v>45846</v>
      </c>
      <c r="B983" s="145" t="s">
        <v>829</v>
      </c>
      <c r="C983" s="150">
        <v>2025</v>
      </c>
      <c r="D983" s="201" t="s">
        <v>1431</v>
      </c>
      <c r="E983" s="144" t="s">
        <v>21</v>
      </c>
      <c r="F983" s="141" t="s">
        <v>821</v>
      </c>
      <c r="G983" s="144" t="s">
        <v>2477</v>
      </c>
      <c r="H983" s="146" t="s">
        <v>26</v>
      </c>
      <c r="I983" s="144" t="s">
        <v>1436</v>
      </c>
    </row>
    <row r="984" spans="1:9" ht="14.1">
      <c r="A984" s="193">
        <v>45846</v>
      </c>
      <c r="B984" s="145" t="s">
        <v>829</v>
      </c>
      <c r="C984" s="150">
        <v>2025</v>
      </c>
      <c r="D984" s="201" t="s">
        <v>1431</v>
      </c>
      <c r="E984" s="144" t="s">
        <v>21</v>
      </c>
      <c r="F984" s="141" t="s">
        <v>821</v>
      </c>
      <c r="G984" s="144" t="s">
        <v>2478</v>
      </c>
      <c r="H984" s="146" t="s">
        <v>26</v>
      </c>
      <c r="I984" s="144" t="s">
        <v>1436</v>
      </c>
    </row>
    <row r="985" spans="1:9" ht="25.5">
      <c r="A985" s="193">
        <v>45846</v>
      </c>
      <c r="B985" s="145" t="s">
        <v>829</v>
      </c>
      <c r="C985" s="150">
        <v>2025</v>
      </c>
      <c r="D985" s="201" t="s">
        <v>1431</v>
      </c>
      <c r="E985" s="144" t="s">
        <v>1580</v>
      </c>
      <c r="F985" s="140" t="s">
        <v>1439</v>
      </c>
      <c r="G985" s="144" t="s">
        <v>2479</v>
      </c>
      <c r="H985" s="146" t="s">
        <v>26</v>
      </c>
      <c r="I985" s="144" t="s">
        <v>1436</v>
      </c>
    </row>
    <row r="986" spans="1:9" ht="25.5">
      <c r="A986" s="193">
        <v>45846</v>
      </c>
      <c r="B986" s="145" t="s">
        <v>829</v>
      </c>
      <c r="C986" s="150">
        <v>2025</v>
      </c>
      <c r="D986" s="201" t="s">
        <v>1431</v>
      </c>
      <c r="E986" s="144" t="s">
        <v>216</v>
      </c>
      <c r="F986" s="141" t="s">
        <v>821</v>
      </c>
      <c r="G986" s="144" t="s">
        <v>2480</v>
      </c>
      <c r="H986" s="146" t="s">
        <v>26</v>
      </c>
      <c r="I986" s="144" t="s">
        <v>1436</v>
      </c>
    </row>
    <row r="987" spans="1:9" ht="25.5">
      <c r="A987" s="193">
        <v>45847</v>
      </c>
      <c r="B987" s="145" t="s">
        <v>829</v>
      </c>
      <c r="C987" s="150">
        <v>2025</v>
      </c>
      <c r="D987" s="201" t="s">
        <v>1431</v>
      </c>
      <c r="E987" s="144" t="s">
        <v>216</v>
      </c>
      <c r="F987" s="141" t="s">
        <v>821</v>
      </c>
      <c r="G987" s="144" t="s">
        <v>2481</v>
      </c>
      <c r="H987" s="146" t="s">
        <v>26</v>
      </c>
      <c r="I987" s="144" t="s">
        <v>1436</v>
      </c>
    </row>
    <row r="988" spans="1:9" ht="14.1">
      <c r="A988" s="193">
        <v>45847</v>
      </c>
      <c r="B988" s="145" t="s">
        <v>829</v>
      </c>
      <c r="C988" s="150">
        <v>2025</v>
      </c>
      <c r="D988" s="201" t="s">
        <v>2252</v>
      </c>
      <c r="E988" s="144" t="s">
        <v>216</v>
      </c>
      <c r="F988" s="141" t="s">
        <v>821</v>
      </c>
      <c r="G988" s="144" t="s">
        <v>2482</v>
      </c>
      <c r="H988" s="146" t="s">
        <v>26</v>
      </c>
      <c r="I988" s="144" t="s">
        <v>1436</v>
      </c>
    </row>
    <row r="989" spans="1:9" ht="25.5">
      <c r="A989" s="193">
        <v>45849</v>
      </c>
      <c r="B989" s="145" t="s">
        <v>829</v>
      </c>
      <c r="C989" s="150">
        <v>2025</v>
      </c>
      <c r="D989" s="201" t="s">
        <v>1431</v>
      </c>
      <c r="E989" s="144" t="s">
        <v>1506</v>
      </c>
      <c r="F989" s="139" t="s">
        <v>88</v>
      </c>
      <c r="G989" s="144" t="s">
        <v>2483</v>
      </c>
      <c r="H989" s="146" t="s">
        <v>26</v>
      </c>
      <c r="I989" s="144" t="s">
        <v>1436</v>
      </c>
    </row>
    <row r="990" spans="1:9" ht="38.1">
      <c r="A990" s="193">
        <v>45849</v>
      </c>
      <c r="B990" s="145" t="s">
        <v>829</v>
      </c>
      <c r="C990" s="150">
        <v>2025</v>
      </c>
      <c r="D990" s="201" t="s">
        <v>1431</v>
      </c>
      <c r="E990" s="144" t="s">
        <v>1506</v>
      </c>
      <c r="F990" s="139" t="s">
        <v>88</v>
      </c>
      <c r="G990" s="144" t="s">
        <v>2484</v>
      </c>
      <c r="H990" s="146" t="s">
        <v>26</v>
      </c>
      <c r="I990" s="144" t="s">
        <v>1436</v>
      </c>
    </row>
    <row r="991" spans="1:9" ht="25.5">
      <c r="A991" s="193">
        <v>45850</v>
      </c>
      <c r="B991" s="145" t="s">
        <v>829</v>
      </c>
      <c r="C991" s="150">
        <v>2025</v>
      </c>
      <c r="D991" s="201" t="s">
        <v>1431</v>
      </c>
      <c r="E991" s="144" t="s">
        <v>1506</v>
      </c>
      <c r="F991" s="139" t="s">
        <v>88</v>
      </c>
      <c r="G991" s="144" t="s">
        <v>2485</v>
      </c>
      <c r="H991" s="146" t="s">
        <v>26</v>
      </c>
      <c r="I991" s="144" t="s">
        <v>1436</v>
      </c>
    </row>
    <row r="992" spans="1:9" ht="25.5">
      <c r="A992" s="193">
        <v>45850</v>
      </c>
      <c r="B992" s="145" t="s">
        <v>829</v>
      </c>
      <c r="C992" s="150">
        <v>2025</v>
      </c>
      <c r="D992" s="201" t="s">
        <v>2252</v>
      </c>
      <c r="E992" s="144" t="s">
        <v>216</v>
      </c>
      <c r="F992" s="141" t="s">
        <v>821</v>
      </c>
      <c r="G992" s="144" t="s">
        <v>2486</v>
      </c>
      <c r="H992" s="146" t="s">
        <v>26</v>
      </c>
      <c r="I992" s="144" t="s">
        <v>1436</v>
      </c>
    </row>
    <row r="993" spans="1:9" ht="25.5">
      <c r="A993" s="193">
        <v>45853</v>
      </c>
      <c r="B993" s="145" t="s">
        <v>829</v>
      </c>
      <c r="C993" s="150">
        <v>2025</v>
      </c>
      <c r="D993" s="201" t="s">
        <v>1431</v>
      </c>
      <c r="E993" s="144" t="s">
        <v>1580</v>
      </c>
      <c r="F993" s="140" t="s">
        <v>1439</v>
      </c>
      <c r="G993" s="144" t="s">
        <v>2487</v>
      </c>
      <c r="H993" s="146" t="s">
        <v>26</v>
      </c>
      <c r="I993" s="144" t="s">
        <v>1436</v>
      </c>
    </row>
    <row r="994" spans="1:9" ht="38.1">
      <c r="A994" s="193">
        <v>45853</v>
      </c>
      <c r="B994" s="145" t="s">
        <v>829</v>
      </c>
      <c r="C994" s="150">
        <v>2025</v>
      </c>
      <c r="D994" s="201" t="s">
        <v>1431</v>
      </c>
      <c r="E994" s="144" t="s">
        <v>21</v>
      </c>
      <c r="F994" s="141" t="s">
        <v>821</v>
      </c>
      <c r="G994" s="144" t="s">
        <v>2488</v>
      </c>
      <c r="H994" s="146" t="s">
        <v>26</v>
      </c>
      <c r="I994" s="144" t="s">
        <v>1436</v>
      </c>
    </row>
    <row r="995" spans="1:9" ht="38.1">
      <c r="A995" s="193">
        <v>45853</v>
      </c>
      <c r="B995" s="145" t="s">
        <v>829</v>
      </c>
      <c r="C995" s="150">
        <v>2025</v>
      </c>
      <c r="D995" s="201" t="s">
        <v>1431</v>
      </c>
      <c r="E995" s="144" t="s">
        <v>1225</v>
      </c>
      <c r="F995" s="147" t="s">
        <v>859</v>
      </c>
      <c r="G995" s="144" t="s">
        <v>2489</v>
      </c>
      <c r="H995" s="146" t="s">
        <v>26</v>
      </c>
      <c r="I995" s="144" t="s">
        <v>1436</v>
      </c>
    </row>
    <row r="996" spans="1:9" ht="50.45">
      <c r="A996" s="193">
        <v>45853</v>
      </c>
      <c r="B996" s="145" t="s">
        <v>829</v>
      </c>
      <c r="C996" s="150">
        <v>2025</v>
      </c>
      <c r="D996" s="201" t="s">
        <v>1431</v>
      </c>
      <c r="E996" s="144" t="s">
        <v>324</v>
      </c>
      <c r="F996" s="147" t="s">
        <v>859</v>
      </c>
      <c r="G996" s="144" t="s">
        <v>2490</v>
      </c>
      <c r="H996" s="146" t="s">
        <v>26</v>
      </c>
      <c r="I996" s="144" t="s">
        <v>1436</v>
      </c>
    </row>
    <row r="997" spans="1:9" ht="38.1">
      <c r="A997" s="193">
        <v>45853</v>
      </c>
      <c r="B997" s="145" t="s">
        <v>829</v>
      </c>
      <c r="C997" s="150">
        <v>2025</v>
      </c>
      <c r="D997" s="201" t="s">
        <v>1431</v>
      </c>
      <c r="E997" s="144" t="s">
        <v>1225</v>
      </c>
      <c r="F997" s="147" t="s">
        <v>859</v>
      </c>
      <c r="G997" s="144" t="s">
        <v>2491</v>
      </c>
      <c r="H997" s="146" t="s">
        <v>26</v>
      </c>
      <c r="I997" s="144" t="s">
        <v>1436</v>
      </c>
    </row>
    <row r="998" spans="1:9" ht="38.1">
      <c r="A998" s="193">
        <v>45854</v>
      </c>
      <c r="B998" s="145" t="s">
        <v>829</v>
      </c>
      <c r="C998" s="150">
        <v>2025</v>
      </c>
      <c r="D998" s="201" t="s">
        <v>1431</v>
      </c>
      <c r="E998" s="144" t="s">
        <v>574</v>
      </c>
      <c r="F998" s="139" t="s">
        <v>88</v>
      </c>
      <c r="G998" s="144" t="s">
        <v>2492</v>
      </c>
      <c r="H998" s="146" t="s">
        <v>26</v>
      </c>
      <c r="I998" s="144" t="s">
        <v>1436</v>
      </c>
    </row>
    <row r="999" spans="1:9" ht="25.5">
      <c r="A999" s="193">
        <v>45854</v>
      </c>
      <c r="B999" s="145" t="s">
        <v>829</v>
      </c>
      <c r="C999" s="150">
        <v>2025</v>
      </c>
      <c r="D999" s="201" t="s">
        <v>1431</v>
      </c>
      <c r="E999" s="144" t="s">
        <v>21</v>
      </c>
      <c r="F999" s="141" t="s">
        <v>821</v>
      </c>
      <c r="G999" s="144" t="s">
        <v>2493</v>
      </c>
      <c r="H999" s="146" t="s">
        <v>26</v>
      </c>
      <c r="I999" s="144" t="s">
        <v>1436</v>
      </c>
    </row>
    <row r="1000" spans="1:9" ht="14.1">
      <c r="A1000" s="193">
        <v>45854</v>
      </c>
      <c r="B1000" s="145" t="s">
        <v>829</v>
      </c>
      <c r="C1000" s="150">
        <v>2025</v>
      </c>
      <c r="D1000" s="201" t="s">
        <v>1431</v>
      </c>
      <c r="E1000" s="144" t="s">
        <v>21</v>
      </c>
      <c r="F1000" s="141" t="s">
        <v>821</v>
      </c>
      <c r="G1000" s="144" t="s">
        <v>2494</v>
      </c>
      <c r="H1000" s="146" t="s">
        <v>26</v>
      </c>
      <c r="I1000" s="144" t="s">
        <v>1436</v>
      </c>
    </row>
    <row r="1001" spans="1:9" ht="38.1">
      <c r="A1001" s="193">
        <v>45854</v>
      </c>
      <c r="B1001" s="145" t="s">
        <v>829</v>
      </c>
      <c r="C1001" s="150">
        <v>2025</v>
      </c>
      <c r="D1001" s="201" t="s">
        <v>1431</v>
      </c>
      <c r="E1001" s="144" t="s">
        <v>1225</v>
      </c>
      <c r="F1001" s="147" t="s">
        <v>859</v>
      </c>
      <c r="G1001" s="144" t="s">
        <v>2495</v>
      </c>
      <c r="H1001" s="146" t="s">
        <v>26</v>
      </c>
      <c r="I1001" s="144" t="s">
        <v>1436</v>
      </c>
    </row>
    <row r="1002" spans="1:9" ht="25.5">
      <c r="A1002" s="193">
        <v>45854</v>
      </c>
      <c r="B1002" s="145" t="s">
        <v>829</v>
      </c>
      <c r="C1002" s="150">
        <v>2025</v>
      </c>
      <c r="D1002" s="201" t="s">
        <v>1431</v>
      </c>
      <c r="E1002" s="144" t="s">
        <v>1580</v>
      </c>
      <c r="F1002" s="140" t="s">
        <v>1439</v>
      </c>
      <c r="G1002" s="144" t="s">
        <v>2496</v>
      </c>
      <c r="H1002" s="146" t="s">
        <v>26</v>
      </c>
      <c r="I1002" s="144" t="s">
        <v>1436</v>
      </c>
    </row>
    <row r="1003" spans="1:9" ht="38.1">
      <c r="A1003" s="193">
        <v>45854</v>
      </c>
      <c r="B1003" s="145" t="s">
        <v>829</v>
      </c>
      <c r="C1003" s="150">
        <v>2025</v>
      </c>
      <c r="D1003" s="201" t="s">
        <v>1431</v>
      </c>
      <c r="E1003" s="144" t="s">
        <v>1506</v>
      </c>
      <c r="F1003" s="139" t="s">
        <v>88</v>
      </c>
      <c r="G1003" s="144" t="s">
        <v>2497</v>
      </c>
      <c r="H1003" s="146" t="s">
        <v>26</v>
      </c>
      <c r="I1003" s="144" t="s">
        <v>1436</v>
      </c>
    </row>
    <row r="1004" spans="1:9" ht="25.5">
      <c r="A1004" s="193">
        <v>45854</v>
      </c>
      <c r="B1004" s="145" t="s">
        <v>829</v>
      </c>
      <c r="C1004" s="150">
        <v>2025</v>
      </c>
      <c r="D1004" s="201" t="s">
        <v>1431</v>
      </c>
      <c r="E1004" s="144" t="s">
        <v>216</v>
      </c>
      <c r="F1004" s="141" t="s">
        <v>821</v>
      </c>
      <c r="G1004" s="144" t="s">
        <v>2498</v>
      </c>
      <c r="H1004" s="146" t="s">
        <v>26</v>
      </c>
      <c r="I1004" s="144" t="s">
        <v>1436</v>
      </c>
    </row>
    <row r="1005" spans="1:9" ht="14.1">
      <c r="A1005" s="193">
        <v>45854</v>
      </c>
      <c r="B1005" s="145" t="s">
        <v>829</v>
      </c>
      <c r="C1005" s="150">
        <v>2025</v>
      </c>
      <c r="D1005" s="201" t="s">
        <v>1431</v>
      </c>
      <c r="E1005" s="144" t="s">
        <v>21</v>
      </c>
      <c r="F1005" s="141" t="s">
        <v>821</v>
      </c>
      <c r="G1005" s="144" t="s">
        <v>2499</v>
      </c>
      <c r="H1005" s="146" t="s">
        <v>26</v>
      </c>
      <c r="I1005" s="144" t="s">
        <v>1436</v>
      </c>
    </row>
    <row r="1006" spans="1:9" ht="25.5">
      <c r="A1006" s="193">
        <v>45855</v>
      </c>
      <c r="B1006" s="145" t="s">
        <v>829</v>
      </c>
      <c r="C1006" s="150">
        <v>2025</v>
      </c>
      <c r="D1006" s="201" t="s">
        <v>1431</v>
      </c>
      <c r="E1006" s="144" t="s">
        <v>1580</v>
      </c>
      <c r="F1006" s="140" t="s">
        <v>1439</v>
      </c>
      <c r="G1006" s="144" t="s">
        <v>2500</v>
      </c>
      <c r="H1006" s="146" t="s">
        <v>26</v>
      </c>
      <c r="I1006" s="144" t="s">
        <v>2501</v>
      </c>
    </row>
    <row r="1007" spans="1:9" ht="14.1">
      <c r="A1007" s="193">
        <v>45856</v>
      </c>
      <c r="B1007" s="145" t="s">
        <v>829</v>
      </c>
      <c r="C1007" s="150">
        <v>2025</v>
      </c>
      <c r="D1007" s="201" t="s">
        <v>1431</v>
      </c>
      <c r="E1007" s="144" t="s">
        <v>21</v>
      </c>
      <c r="F1007" s="141" t="s">
        <v>821</v>
      </c>
      <c r="G1007" s="144" t="s">
        <v>2502</v>
      </c>
      <c r="H1007" s="146" t="s">
        <v>26</v>
      </c>
      <c r="I1007" s="144" t="s">
        <v>1436</v>
      </c>
    </row>
    <row r="1008" spans="1:9" ht="25.5">
      <c r="A1008" s="193">
        <v>45859</v>
      </c>
      <c r="B1008" s="145" t="s">
        <v>829</v>
      </c>
      <c r="C1008" s="150">
        <v>2025</v>
      </c>
      <c r="D1008" s="201" t="s">
        <v>1431</v>
      </c>
      <c r="E1008" s="144" t="s">
        <v>21</v>
      </c>
      <c r="F1008" s="141" t="s">
        <v>821</v>
      </c>
      <c r="G1008" s="144" t="s">
        <v>2503</v>
      </c>
      <c r="H1008" s="146" t="s">
        <v>26</v>
      </c>
      <c r="I1008" s="144" t="s">
        <v>1436</v>
      </c>
    </row>
    <row r="1009" spans="1:9" ht="38.1">
      <c r="A1009" s="193">
        <v>45860</v>
      </c>
      <c r="B1009" s="145" t="s">
        <v>829</v>
      </c>
      <c r="C1009" s="150">
        <v>2025</v>
      </c>
      <c r="D1009" s="201" t="s">
        <v>1431</v>
      </c>
      <c r="E1009" s="144" t="s">
        <v>988</v>
      </c>
      <c r="F1009" s="139" t="s">
        <v>88</v>
      </c>
      <c r="G1009" s="144" t="s">
        <v>2504</v>
      </c>
      <c r="H1009" s="146" t="s">
        <v>26</v>
      </c>
      <c r="I1009" s="144" t="s">
        <v>1436</v>
      </c>
    </row>
    <row r="1010" spans="1:9" ht="38.1">
      <c r="A1010" s="193">
        <v>45860</v>
      </c>
      <c r="B1010" s="145" t="s">
        <v>829</v>
      </c>
      <c r="C1010" s="150">
        <v>2025</v>
      </c>
      <c r="D1010" s="201" t="s">
        <v>1431</v>
      </c>
      <c r="E1010" s="144" t="s">
        <v>988</v>
      </c>
      <c r="F1010" s="139" t="s">
        <v>88</v>
      </c>
      <c r="G1010" s="144" t="s">
        <v>2505</v>
      </c>
      <c r="H1010" s="146" t="s">
        <v>26</v>
      </c>
      <c r="I1010" s="144" t="s">
        <v>1436</v>
      </c>
    </row>
    <row r="1011" spans="1:9" ht="38.1">
      <c r="A1011" s="193">
        <v>45860</v>
      </c>
      <c r="B1011" s="145" t="s">
        <v>829</v>
      </c>
      <c r="C1011" s="150">
        <v>2025</v>
      </c>
      <c r="D1011" s="201" t="s">
        <v>1431</v>
      </c>
      <c r="E1011" s="144" t="s">
        <v>1434</v>
      </c>
      <c r="F1011" s="139" t="s">
        <v>88</v>
      </c>
      <c r="G1011" s="144" t="s">
        <v>2506</v>
      </c>
      <c r="H1011" s="146" t="s">
        <v>26</v>
      </c>
      <c r="I1011" s="144" t="s">
        <v>1436</v>
      </c>
    </row>
    <row r="1012" spans="1:9" ht="14.1">
      <c r="A1012" s="193">
        <v>45861</v>
      </c>
      <c r="B1012" s="145" t="s">
        <v>829</v>
      </c>
      <c r="C1012" s="150">
        <v>2025</v>
      </c>
      <c r="D1012" s="201" t="s">
        <v>2224</v>
      </c>
      <c r="E1012" s="144" t="s">
        <v>21</v>
      </c>
      <c r="F1012" s="141" t="s">
        <v>821</v>
      </c>
      <c r="G1012" s="144" t="s">
        <v>2507</v>
      </c>
      <c r="H1012" s="146" t="s">
        <v>26</v>
      </c>
      <c r="I1012" s="144" t="s">
        <v>1436</v>
      </c>
    </row>
    <row r="1013" spans="1:9" ht="38.1">
      <c r="A1013" s="193">
        <v>45862</v>
      </c>
      <c r="B1013" s="145" t="s">
        <v>829</v>
      </c>
      <c r="C1013" s="150">
        <v>2025</v>
      </c>
      <c r="D1013" s="201" t="s">
        <v>1431</v>
      </c>
      <c r="E1013" s="144" t="s">
        <v>2508</v>
      </c>
      <c r="F1013" s="141" t="s">
        <v>821</v>
      </c>
      <c r="G1013" s="144" t="s">
        <v>2509</v>
      </c>
      <c r="H1013" s="146" t="s">
        <v>26</v>
      </c>
      <c r="I1013" s="144" t="s">
        <v>1436</v>
      </c>
    </row>
    <row r="1014" spans="1:9" ht="38.1">
      <c r="A1014" s="193">
        <v>45862</v>
      </c>
      <c r="B1014" s="145" t="s">
        <v>829</v>
      </c>
      <c r="C1014" s="150">
        <v>2025</v>
      </c>
      <c r="D1014" s="201" t="s">
        <v>1431</v>
      </c>
      <c r="E1014" s="144" t="s">
        <v>1560</v>
      </c>
      <c r="F1014" s="147" t="s">
        <v>859</v>
      </c>
      <c r="G1014" s="144" t="s">
        <v>2510</v>
      </c>
      <c r="H1014" s="146" t="s">
        <v>26</v>
      </c>
      <c r="I1014" s="144" t="s">
        <v>1436</v>
      </c>
    </row>
    <row r="1015" spans="1:9" ht="38.1">
      <c r="A1015" s="193">
        <v>45862</v>
      </c>
      <c r="B1015" s="145" t="s">
        <v>829</v>
      </c>
      <c r="C1015" s="150">
        <v>2025</v>
      </c>
      <c r="D1015" s="201" t="s">
        <v>1431</v>
      </c>
      <c r="E1015" s="144" t="s">
        <v>1518</v>
      </c>
      <c r="F1015" s="139" t="s">
        <v>88</v>
      </c>
      <c r="G1015" s="144" t="s">
        <v>2511</v>
      </c>
      <c r="H1015" s="146" t="s">
        <v>26</v>
      </c>
      <c r="I1015" s="144" t="s">
        <v>1436</v>
      </c>
    </row>
    <row r="1016" spans="1:9" ht="14.1">
      <c r="A1016" s="193">
        <v>45862</v>
      </c>
      <c r="B1016" s="145" t="s">
        <v>829</v>
      </c>
      <c r="C1016" s="150">
        <v>2025</v>
      </c>
      <c r="D1016" s="201" t="s">
        <v>1431</v>
      </c>
      <c r="E1016" s="144" t="s">
        <v>21</v>
      </c>
      <c r="F1016" s="141" t="s">
        <v>821</v>
      </c>
      <c r="G1016" s="144" t="s">
        <v>2512</v>
      </c>
      <c r="H1016" s="146" t="s">
        <v>26</v>
      </c>
      <c r="I1016" s="144" t="s">
        <v>1436</v>
      </c>
    </row>
    <row r="1017" spans="1:9" ht="25.5">
      <c r="A1017" s="193">
        <v>45862</v>
      </c>
      <c r="B1017" s="145" t="s">
        <v>829</v>
      </c>
      <c r="C1017" s="150">
        <v>2025</v>
      </c>
      <c r="D1017" s="201" t="s">
        <v>1431</v>
      </c>
      <c r="E1017" s="144" t="s">
        <v>1518</v>
      </c>
      <c r="F1017" s="139" t="s">
        <v>88</v>
      </c>
      <c r="G1017" s="144" t="s">
        <v>2513</v>
      </c>
      <c r="H1017" s="146" t="s">
        <v>26</v>
      </c>
      <c r="I1017" s="144" t="s">
        <v>1436</v>
      </c>
    </row>
    <row r="1018" spans="1:9" ht="38.1">
      <c r="A1018" s="193">
        <v>45862</v>
      </c>
      <c r="B1018" s="145" t="s">
        <v>829</v>
      </c>
      <c r="C1018" s="150">
        <v>2025</v>
      </c>
      <c r="D1018" s="201" t="s">
        <v>1431</v>
      </c>
      <c r="E1018" s="144" t="s">
        <v>1225</v>
      </c>
      <c r="F1018" s="147" t="s">
        <v>859</v>
      </c>
      <c r="G1018" s="144" t="s">
        <v>2514</v>
      </c>
      <c r="H1018" s="146" t="s">
        <v>26</v>
      </c>
      <c r="I1018" s="144" t="s">
        <v>1436</v>
      </c>
    </row>
    <row r="1019" spans="1:9" ht="38.1">
      <c r="A1019" s="193">
        <v>45862</v>
      </c>
      <c r="B1019" s="145" t="s">
        <v>829</v>
      </c>
      <c r="C1019" s="150">
        <v>2025</v>
      </c>
      <c r="D1019" s="201" t="s">
        <v>1431</v>
      </c>
      <c r="E1019" s="144" t="s">
        <v>1608</v>
      </c>
      <c r="F1019" s="140" t="s">
        <v>1439</v>
      </c>
      <c r="G1019" s="144" t="s">
        <v>2515</v>
      </c>
      <c r="H1019" s="146" t="s">
        <v>26</v>
      </c>
      <c r="I1019" s="144" t="s">
        <v>1436</v>
      </c>
    </row>
    <row r="1020" spans="1:9" ht="38.1">
      <c r="A1020" s="193">
        <v>45862</v>
      </c>
      <c r="B1020" s="145" t="s">
        <v>829</v>
      </c>
      <c r="C1020" s="150">
        <v>2025</v>
      </c>
      <c r="D1020" s="201" t="s">
        <v>2224</v>
      </c>
      <c r="E1020" s="144" t="s">
        <v>216</v>
      </c>
      <c r="F1020" s="141" t="s">
        <v>821</v>
      </c>
      <c r="G1020" s="144" t="s">
        <v>2516</v>
      </c>
      <c r="H1020" s="146" t="s">
        <v>130</v>
      </c>
      <c r="I1020" s="144" t="s">
        <v>1436</v>
      </c>
    </row>
    <row r="1021" spans="1:9" ht="25.5">
      <c r="A1021" s="193">
        <v>45862</v>
      </c>
      <c r="B1021" s="145" t="s">
        <v>829</v>
      </c>
      <c r="C1021" s="150">
        <v>2025</v>
      </c>
      <c r="D1021" s="201" t="s">
        <v>1431</v>
      </c>
      <c r="E1021" s="144" t="s">
        <v>216</v>
      </c>
      <c r="F1021" s="141" t="s">
        <v>821</v>
      </c>
      <c r="G1021" s="144" t="s">
        <v>2517</v>
      </c>
      <c r="H1021" s="146" t="s">
        <v>26</v>
      </c>
      <c r="I1021" s="144" t="s">
        <v>1436</v>
      </c>
    </row>
    <row r="1022" spans="1:9" ht="38.1">
      <c r="A1022" s="193">
        <v>45863</v>
      </c>
      <c r="B1022" s="145" t="s">
        <v>829</v>
      </c>
      <c r="C1022" s="150">
        <v>2025</v>
      </c>
      <c r="D1022" s="201" t="s">
        <v>1431</v>
      </c>
      <c r="E1022" s="144" t="s">
        <v>2192</v>
      </c>
      <c r="F1022" s="141" t="s">
        <v>821</v>
      </c>
      <c r="G1022" s="144" t="s">
        <v>2518</v>
      </c>
      <c r="H1022" s="146" t="s">
        <v>26</v>
      </c>
      <c r="I1022" s="144" t="s">
        <v>59</v>
      </c>
    </row>
    <row r="1023" spans="1:9" ht="50.45">
      <c r="A1023" s="193">
        <v>45863</v>
      </c>
      <c r="B1023" s="145" t="s">
        <v>829</v>
      </c>
      <c r="C1023" s="150">
        <v>2025</v>
      </c>
      <c r="D1023" s="201" t="s">
        <v>1431</v>
      </c>
      <c r="E1023" s="144" t="s">
        <v>2519</v>
      </c>
      <c r="F1023" s="139" t="s">
        <v>88</v>
      </c>
      <c r="G1023" s="144" t="s">
        <v>2520</v>
      </c>
      <c r="H1023" s="146" t="s">
        <v>26</v>
      </c>
      <c r="I1023" s="144" t="s">
        <v>1436</v>
      </c>
    </row>
    <row r="1024" spans="1:9" ht="38.1">
      <c r="A1024" s="193">
        <v>45863</v>
      </c>
      <c r="B1024" s="145" t="s">
        <v>829</v>
      </c>
      <c r="C1024" s="150">
        <v>2025</v>
      </c>
      <c r="D1024" s="201" t="s">
        <v>1431</v>
      </c>
      <c r="E1024" s="144" t="s">
        <v>1518</v>
      </c>
      <c r="F1024" s="139" t="s">
        <v>88</v>
      </c>
      <c r="G1024" s="144" t="s">
        <v>2521</v>
      </c>
      <c r="H1024" s="146" t="s">
        <v>26</v>
      </c>
      <c r="I1024" s="144" t="s">
        <v>1493</v>
      </c>
    </row>
    <row r="1025" spans="1:9" ht="25.5">
      <c r="A1025" s="193">
        <v>45863</v>
      </c>
      <c r="B1025" s="145" t="s">
        <v>829</v>
      </c>
      <c r="C1025" s="150">
        <v>2025</v>
      </c>
      <c r="D1025" s="201" t="s">
        <v>1431</v>
      </c>
      <c r="E1025" s="144" t="s">
        <v>21</v>
      </c>
      <c r="F1025" s="141" t="s">
        <v>821</v>
      </c>
      <c r="G1025" s="144" t="s">
        <v>2522</v>
      </c>
      <c r="H1025" s="146" t="s">
        <v>26</v>
      </c>
      <c r="I1025" s="144" t="s">
        <v>1436</v>
      </c>
    </row>
    <row r="1026" spans="1:9" ht="38.1">
      <c r="A1026" s="193">
        <v>45863</v>
      </c>
      <c r="B1026" s="145" t="s">
        <v>829</v>
      </c>
      <c r="C1026" s="150">
        <v>2025</v>
      </c>
      <c r="D1026" s="201" t="s">
        <v>1431</v>
      </c>
      <c r="E1026" s="144" t="s">
        <v>21</v>
      </c>
      <c r="F1026" s="141" t="s">
        <v>821</v>
      </c>
      <c r="G1026" s="144" t="s">
        <v>2523</v>
      </c>
      <c r="H1026" s="146" t="s">
        <v>130</v>
      </c>
      <c r="I1026" s="144" t="s">
        <v>59</v>
      </c>
    </row>
    <row r="1027" spans="1:9" ht="38.1">
      <c r="A1027" s="193">
        <v>45863</v>
      </c>
      <c r="B1027" s="145" t="s">
        <v>829</v>
      </c>
      <c r="C1027" s="150">
        <v>2025</v>
      </c>
      <c r="D1027" s="201" t="s">
        <v>1431</v>
      </c>
      <c r="E1027" s="144" t="s">
        <v>1225</v>
      </c>
      <c r="F1027" s="147" t="s">
        <v>859</v>
      </c>
      <c r="G1027" s="144" t="s">
        <v>2524</v>
      </c>
      <c r="H1027" s="146" t="s">
        <v>26</v>
      </c>
      <c r="I1027" s="144" t="s">
        <v>2525</v>
      </c>
    </row>
    <row r="1028" spans="1:9" ht="25.5">
      <c r="A1028" s="193">
        <v>45866</v>
      </c>
      <c r="B1028" s="145" t="s">
        <v>829</v>
      </c>
      <c r="C1028" s="150">
        <v>2025</v>
      </c>
      <c r="D1028" s="201" t="s">
        <v>1431</v>
      </c>
      <c r="E1028" s="144" t="s">
        <v>21</v>
      </c>
      <c r="F1028" s="141" t="s">
        <v>821</v>
      </c>
      <c r="G1028" s="144" t="s">
        <v>2526</v>
      </c>
      <c r="H1028" s="146" t="s">
        <v>26</v>
      </c>
      <c r="I1028" s="144" t="s">
        <v>1436</v>
      </c>
    </row>
    <row r="1029" spans="1:9" ht="25.5">
      <c r="A1029" s="193">
        <v>45866</v>
      </c>
      <c r="B1029" s="145" t="s">
        <v>829</v>
      </c>
      <c r="C1029" s="150">
        <v>2025</v>
      </c>
      <c r="D1029" s="201" t="s">
        <v>1431</v>
      </c>
      <c r="E1029" s="144" t="s">
        <v>1436</v>
      </c>
      <c r="F1029" s="147" t="s">
        <v>859</v>
      </c>
      <c r="G1029" s="144" t="s">
        <v>2527</v>
      </c>
      <c r="H1029" s="146" t="s">
        <v>26</v>
      </c>
      <c r="I1029" s="144" t="s">
        <v>1436</v>
      </c>
    </row>
    <row r="1030" spans="1:9" ht="25.5">
      <c r="A1030" s="193">
        <v>45866</v>
      </c>
      <c r="B1030" s="145" t="s">
        <v>829</v>
      </c>
      <c r="C1030" s="150">
        <v>2025</v>
      </c>
      <c r="D1030" s="201" t="s">
        <v>1431</v>
      </c>
      <c r="E1030" s="144" t="s">
        <v>1580</v>
      </c>
      <c r="F1030" s="140" t="s">
        <v>1439</v>
      </c>
      <c r="G1030" s="144" t="s">
        <v>2528</v>
      </c>
      <c r="H1030" s="146" t="s">
        <v>26</v>
      </c>
      <c r="I1030" s="144" t="s">
        <v>1436</v>
      </c>
    </row>
    <row r="1031" spans="1:9" ht="38.1">
      <c r="A1031" s="193">
        <v>45866</v>
      </c>
      <c r="B1031" s="145" t="s">
        <v>829</v>
      </c>
      <c r="C1031" s="150">
        <v>2025</v>
      </c>
      <c r="D1031" s="201" t="s">
        <v>1431</v>
      </c>
      <c r="E1031" s="144" t="s">
        <v>988</v>
      </c>
      <c r="F1031" s="139" t="s">
        <v>88</v>
      </c>
      <c r="G1031" s="144" t="s">
        <v>2529</v>
      </c>
      <c r="H1031" s="146" t="s">
        <v>26</v>
      </c>
      <c r="I1031" s="144" t="s">
        <v>1436</v>
      </c>
    </row>
    <row r="1032" spans="1:9" ht="25.5">
      <c r="A1032" s="193">
        <v>45866</v>
      </c>
      <c r="B1032" s="145" t="s">
        <v>829</v>
      </c>
      <c r="C1032" s="150">
        <v>2025</v>
      </c>
      <c r="D1032" s="201" t="s">
        <v>1431</v>
      </c>
      <c r="E1032" s="144" t="s">
        <v>2530</v>
      </c>
      <c r="F1032" s="139" t="s">
        <v>88</v>
      </c>
      <c r="G1032" s="144" t="s">
        <v>2531</v>
      </c>
      <c r="H1032" s="146" t="s">
        <v>26</v>
      </c>
      <c r="I1032" s="144" t="s">
        <v>1436</v>
      </c>
    </row>
    <row r="1033" spans="1:9" ht="14.1">
      <c r="A1033" s="193">
        <v>45866</v>
      </c>
      <c r="B1033" s="145" t="s">
        <v>829</v>
      </c>
      <c r="C1033" s="150">
        <v>2025</v>
      </c>
      <c r="D1033" s="201" t="s">
        <v>1431</v>
      </c>
      <c r="E1033" s="144" t="s">
        <v>1580</v>
      </c>
      <c r="F1033" s="140" t="s">
        <v>1439</v>
      </c>
      <c r="G1033" s="144" t="s">
        <v>2532</v>
      </c>
      <c r="H1033" s="146" t="s">
        <v>26</v>
      </c>
      <c r="I1033" s="144" t="s">
        <v>1436</v>
      </c>
    </row>
    <row r="1034" spans="1:9" ht="25.5">
      <c r="A1034" s="193">
        <v>45866</v>
      </c>
      <c r="B1034" s="145" t="s">
        <v>829</v>
      </c>
      <c r="C1034" s="150">
        <v>2025</v>
      </c>
      <c r="D1034" s="201" t="s">
        <v>1431</v>
      </c>
      <c r="E1034" s="144" t="s">
        <v>216</v>
      </c>
      <c r="F1034" s="141" t="s">
        <v>821</v>
      </c>
      <c r="G1034" s="144" t="s">
        <v>2533</v>
      </c>
      <c r="H1034" s="146" t="s">
        <v>26</v>
      </c>
      <c r="I1034" s="144" t="s">
        <v>1436</v>
      </c>
    </row>
    <row r="1035" spans="1:9" ht="25.5">
      <c r="A1035" s="193">
        <v>45866</v>
      </c>
      <c r="B1035" s="145" t="s">
        <v>829</v>
      </c>
      <c r="C1035" s="150">
        <v>2025</v>
      </c>
      <c r="D1035" s="201" t="s">
        <v>1431</v>
      </c>
      <c r="E1035" s="144" t="s">
        <v>216</v>
      </c>
      <c r="F1035" s="141" t="s">
        <v>821</v>
      </c>
      <c r="G1035" s="144" t="s">
        <v>2534</v>
      </c>
      <c r="H1035" s="146" t="s">
        <v>26</v>
      </c>
      <c r="I1035" s="144" t="s">
        <v>1436</v>
      </c>
    </row>
    <row r="1036" spans="1:9" ht="25.5">
      <c r="A1036" s="193">
        <v>45866</v>
      </c>
      <c r="B1036" s="145" t="s">
        <v>829</v>
      </c>
      <c r="C1036" s="150">
        <v>2025</v>
      </c>
      <c r="D1036" s="201" t="s">
        <v>1431</v>
      </c>
      <c r="E1036" s="144" t="s">
        <v>2535</v>
      </c>
      <c r="F1036" s="139" t="s">
        <v>88</v>
      </c>
      <c r="G1036" s="144" t="s">
        <v>2536</v>
      </c>
      <c r="H1036" s="146" t="s">
        <v>26</v>
      </c>
      <c r="I1036" s="144" t="s">
        <v>1436</v>
      </c>
    </row>
    <row r="1037" spans="1:9" ht="38.1">
      <c r="A1037" s="193">
        <v>45866</v>
      </c>
      <c r="B1037" s="145" t="s">
        <v>829</v>
      </c>
      <c r="C1037" s="150">
        <v>2025</v>
      </c>
      <c r="D1037" s="201" t="s">
        <v>1431</v>
      </c>
      <c r="E1037" s="144" t="s">
        <v>216</v>
      </c>
      <c r="F1037" s="141" t="s">
        <v>821</v>
      </c>
      <c r="G1037" s="144" t="s">
        <v>2537</v>
      </c>
      <c r="H1037" s="146" t="s">
        <v>26</v>
      </c>
      <c r="I1037" s="144" t="s">
        <v>1436</v>
      </c>
    </row>
    <row r="1038" spans="1:9" ht="38.1">
      <c r="A1038" s="193">
        <v>45867</v>
      </c>
      <c r="B1038" s="145" t="s">
        <v>829</v>
      </c>
      <c r="C1038" s="150">
        <v>2025</v>
      </c>
      <c r="D1038" s="201" t="s">
        <v>1431</v>
      </c>
      <c r="E1038" s="144" t="s">
        <v>216</v>
      </c>
      <c r="F1038" s="141" t="s">
        <v>821</v>
      </c>
      <c r="G1038" s="144" t="s">
        <v>2538</v>
      </c>
      <c r="H1038" s="146" t="s">
        <v>26</v>
      </c>
      <c r="I1038" s="144" t="s">
        <v>1436</v>
      </c>
    </row>
    <row r="1039" spans="1:9" ht="14.1">
      <c r="A1039" s="193">
        <v>45867</v>
      </c>
      <c r="B1039" s="145" t="s">
        <v>829</v>
      </c>
      <c r="C1039" s="150">
        <v>2025</v>
      </c>
      <c r="D1039" s="201" t="s">
        <v>1431</v>
      </c>
      <c r="E1039" s="144" t="s">
        <v>21</v>
      </c>
      <c r="F1039" s="141" t="s">
        <v>821</v>
      </c>
      <c r="G1039" s="144" t="s">
        <v>2539</v>
      </c>
      <c r="H1039" s="146" t="s">
        <v>26</v>
      </c>
      <c r="I1039" s="144" t="s">
        <v>1436</v>
      </c>
    </row>
    <row r="1040" spans="1:9" ht="25.5">
      <c r="A1040" s="193">
        <v>45867</v>
      </c>
      <c r="B1040" s="145" t="s">
        <v>829</v>
      </c>
      <c r="C1040" s="150">
        <v>2025</v>
      </c>
      <c r="D1040" s="201" t="s">
        <v>1431</v>
      </c>
      <c r="E1040" s="144" t="s">
        <v>1566</v>
      </c>
      <c r="F1040" s="147" t="s">
        <v>859</v>
      </c>
      <c r="G1040" s="144" t="s">
        <v>2540</v>
      </c>
      <c r="H1040" s="146" t="s">
        <v>26</v>
      </c>
      <c r="I1040" s="144" t="s">
        <v>1436</v>
      </c>
    </row>
    <row r="1041" spans="1:9" ht="25.5">
      <c r="A1041" s="193">
        <v>45867</v>
      </c>
      <c r="B1041" s="145" t="s">
        <v>829</v>
      </c>
      <c r="C1041" s="150">
        <v>2025</v>
      </c>
      <c r="D1041" s="201" t="s">
        <v>1431</v>
      </c>
      <c r="E1041" s="144" t="s">
        <v>2541</v>
      </c>
      <c r="F1041" s="140" t="s">
        <v>1439</v>
      </c>
      <c r="G1041" s="144" t="s">
        <v>2542</v>
      </c>
      <c r="H1041" s="146" t="s">
        <v>26</v>
      </c>
      <c r="I1041" s="144" t="s">
        <v>1436</v>
      </c>
    </row>
    <row r="1042" spans="1:9" ht="50.45">
      <c r="A1042" s="193">
        <v>45867</v>
      </c>
      <c r="B1042" s="145" t="s">
        <v>829</v>
      </c>
      <c r="C1042" s="150">
        <v>2025</v>
      </c>
      <c r="D1042" s="201" t="s">
        <v>1431</v>
      </c>
      <c r="E1042" s="144" t="s">
        <v>21</v>
      </c>
      <c r="F1042" s="141" t="s">
        <v>821</v>
      </c>
      <c r="G1042" s="144" t="s">
        <v>2543</v>
      </c>
      <c r="H1042" s="146" t="s">
        <v>26</v>
      </c>
      <c r="I1042" s="144" t="s">
        <v>1436</v>
      </c>
    </row>
    <row r="1043" spans="1:9" ht="25.5">
      <c r="A1043" s="193">
        <v>45867</v>
      </c>
      <c r="B1043" s="145" t="s">
        <v>829</v>
      </c>
      <c r="C1043" s="150">
        <v>2025</v>
      </c>
      <c r="D1043" s="201" t="s">
        <v>1431</v>
      </c>
      <c r="E1043" s="144" t="s">
        <v>988</v>
      </c>
      <c r="F1043" s="139" t="s">
        <v>88</v>
      </c>
      <c r="G1043" s="144" t="s">
        <v>2544</v>
      </c>
      <c r="H1043" s="146" t="s">
        <v>26</v>
      </c>
      <c r="I1043" s="144" t="s">
        <v>1436</v>
      </c>
    </row>
    <row r="1044" spans="1:9" ht="38.1">
      <c r="A1044" s="193">
        <v>45867</v>
      </c>
      <c r="B1044" s="145" t="s">
        <v>829</v>
      </c>
      <c r="C1044" s="150">
        <v>2025</v>
      </c>
      <c r="D1044" s="201" t="s">
        <v>2224</v>
      </c>
      <c r="E1044" s="144" t="s">
        <v>21</v>
      </c>
      <c r="F1044" s="141" t="s">
        <v>821</v>
      </c>
      <c r="G1044" s="144" t="s">
        <v>2545</v>
      </c>
      <c r="H1044" s="146" t="s">
        <v>26</v>
      </c>
      <c r="I1044" s="144" t="s">
        <v>1436</v>
      </c>
    </row>
    <row r="1045" spans="1:9" ht="14.1">
      <c r="A1045" s="193">
        <v>45868</v>
      </c>
      <c r="B1045" s="145" t="s">
        <v>829</v>
      </c>
      <c r="C1045" s="150">
        <v>2025</v>
      </c>
      <c r="D1045" s="201" t="s">
        <v>1431</v>
      </c>
      <c r="E1045" s="144" t="s">
        <v>1436</v>
      </c>
      <c r="F1045" s="140" t="s">
        <v>1439</v>
      </c>
      <c r="G1045" s="144" t="s">
        <v>2546</v>
      </c>
      <c r="H1045" s="146" t="s">
        <v>26</v>
      </c>
      <c r="I1045" s="144" t="s">
        <v>1436</v>
      </c>
    </row>
    <row r="1046" spans="1:9" ht="38.1">
      <c r="A1046" s="193">
        <v>45868</v>
      </c>
      <c r="B1046" s="145" t="s">
        <v>829</v>
      </c>
      <c r="C1046" s="150">
        <v>2025</v>
      </c>
      <c r="D1046" s="201" t="s">
        <v>1431</v>
      </c>
      <c r="E1046" s="144" t="s">
        <v>216</v>
      </c>
      <c r="F1046" s="141" t="s">
        <v>821</v>
      </c>
      <c r="G1046" s="144" t="s">
        <v>2547</v>
      </c>
      <c r="H1046" s="146" t="s">
        <v>26</v>
      </c>
      <c r="I1046" s="144" t="s">
        <v>1436</v>
      </c>
    </row>
    <row r="1047" spans="1:9" ht="14.1">
      <c r="A1047" s="193">
        <v>45868</v>
      </c>
      <c r="B1047" s="145" t="s">
        <v>829</v>
      </c>
      <c r="C1047" s="150">
        <v>2025</v>
      </c>
      <c r="D1047" s="201" t="s">
        <v>1431</v>
      </c>
      <c r="E1047" s="144" t="s">
        <v>21</v>
      </c>
      <c r="F1047" s="141" t="s">
        <v>821</v>
      </c>
      <c r="G1047" s="144" t="s">
        <v>2548</v>
      </c>
      <c r="H1047" s="146" t="s">
        <v>26</v>
      </c>
      <c r="I1047" s="144" t="s">
        <v>1436</v>
      </c>
    </row>
    <row r="1048" spans="1:9" ht="63">
      <c r="A1048" s="193">
        <v>45869</v>
      </c>
      <c r="B1048" s="145" t="s">
        <v>829</v>
      </c>
      <c r="C1048" s="150">
        <v>2025</v>
      </c>
      <c r="D1048" s="201" t="s">
        <v>1431</v>
      </c>
      <c r="E1048" s="144" t="s">
        <v>988</v>
      </c>
      <c r="F1048" s="139" t="s">
        <v>88</v>
      </c>
      <c r="G1048" s="144" t="s">
        <v>2549</v>
      </c>
      <c r="H1048" s="146" t="s">
        <v>26</v>
      </c>
      <c r="I1048" s="144" t="s">
        <v>1436</v>
      </c>
    </row>
    <row r="1049" spans="1:9" ht="75.599999999999994">
      <c r="A1049" s="193">
        <v>45869</v>
      </c>
      <c r="B1049" s="145" t="s">
        <v>829</v>
      </c>
      <c r="C1049" s="150">
        <v>2025</v>
      </c>
      <c r="D1049" s="201" t="s">
        <v>1431</v>
      </c>
      <c r="E1049" s="144" t="s">
        <v>1566</v>
      </c>
      <c r="F1049" s="147" t="s">
        <v>859</v>
      </c>
      <c r="G1049" s="144" t="s">
        <v>2550</v>
      </c>
      <c r="H1049" s="146" t="s">
        <v>26</v>
      </c>
      <c r="I1049" s="144" t="s">
        <v>1436</v>
      </c>
    </row>
    <row r="1050" spans="1:9" ht="25.5">
      <c r="A1050" s="193">
        <v>45869</v>
      </c>
      <c r="B1050" s="145" t="s">
        <v>829</v>
      </c>
      <c r="C1050" s="150">
        <v>2025</v>
      </c>
      <c r="D1050" s="201" t="s">
        <v>1431</v>
      </c>
      <c r="E1050" s="144" t="s">
        <v>1506</v>
      </c>
      <c r="F1050" s="139" t="s">
        <v>88</v>
      </c>
      <c r="G1050" s="144" t="s">
        <v>2551</v>
      </c>
      <c r="H1050" s="146" t="s">
        <v>26</v>
      </c>
      <c r="I1050" s="144" t="s">
        <v>1436</v>
      </c>
    </row>
    <row r="1051" spans="1:9" ht="25.5">
      <c r="A1051" s="193">
        <v>45869</v>
      </c>
      <c r="B1051" s="145" t="s">
        <v>829</v>
      </c>
      <c r="C1051" s="150">
        <v>2025</v>
      </c>
      <c r="D1051" s="201" t="s">
        <v>1431</v>
      </c>
      <c r="E1051" s="144" t="s">
        <v>21</v>
      </c>
      <c r="F1051" s="141" t="s">
        <v>821</v>
      </c>
      <c r="G1051" s="144" t="s">
        <v>2552</v>
      </c>
      <c r="H1051" s="146" t="s">
        <v>26</v>
      </c>
      <c r="I1051" s="144" t="s">
        <v>1436</v>
      </c>
    </row>
    <row r="1052" spans="1:9" ht="25.5">
      <c r="A1052" s="193">
        <v>45869</v>
      </c>
      <c r="B1052" s="145" t="s">
        <v>829</v>
      </c>
      <c r="C1052" s="150">
        <v>2025</v>
      </c>
      <c r="D1052" s="201" t="s">
        <v>1431</v>
      </c>
      <c r="E1052" s="144" t="s">
        <v>21</v>
      </c>
      <c r="F1052" s="141" t="s">
        <v>821</v>
      </c>
      <c r="G1052" s="144" t="s">
        <v>2553</v>
      </c>
      <c r="H1052" s="146" t="s">
        <v>26</v>
      </c>
      <c r="I1052" s="144" t="s">
        <v>1436</v>
      </c>
    </row>
    <row r="1053" spans="1:9" ht="38.1">
      <c r="A1053" s="193">
        <v>45869</v>
      </c>
      <c r="B1053" s="145" t="s">
        <v>829</v>
      </c>
      <c r="C1053" s="150">
        <v>2025</v>
      </c>
      <c r="D1053" s="201" t="s">
        <v>1431</v>
      </c>
      <c r="E1053" s="144" t="s">
        <v>216</v>
      </c>
      <c r="F1053" s="141" t="s">
        <v>821</v>
      </c>
      <c r="G1053" s="144" t="s">
        <v>2554</v>
      </c>
      <c r="H1053" s="146" t="s">
        <v>26</v>
      </c>
      <c r="I1053" s="144" t="s">
        <v>492</v>
      </c>
    </row>
    <row r="1054" spans="1:9" ht="25.5">
      <c r="A1054" s="193">
        <v>45839</v>
      </c>
      <c r="B1054" s="145" t="s">
        <v>829</v>
      </c>
      <c r="C1054" s="150">
        <v>2025</v>
      </c>
      <c r="D1054" s="201" t="s">
        <v>2224</v>
      </c>
      <c r="E1054" s="144" t="s">
        <v>2555</v>
      </c>
      <c r="F1054" s="147" t="s">
        <v>859</v>
      </c>
      <c r="G1054" s="144" t="s">
        <v>2556</v>
      </c>
      <c r="H1054" s="146" t="s">
        <v>26</v>
      </c>
      <c r="I1054" s="144" t="s">
        <v>1436</v>
      </c>
    </row>
    <row r="1055" spans="1:9" ht="38.1">
      <c r="A1055" s="193">
        <v>45839</v>
      </c>
      <c r="B1055" s="145" t="s">
        <v>829</v>
      </c>
      <c r="C1055" s="150">
        <v>2025</v>
      </c>
      <c r="D1055" s="201" t="s">
        <v>2224</v>
      </c>
      <c r="E1055" s="144" t="s">
        <v>216</v>
      </c>
      <c r="F1055" s="141" t="s">
        <v>821</v>
      </c>
      <c r="G1055" s="144" t="s">
        <v>2557</v>
      </c>
      <c r="H1055" s="146" t="s">
        <v>26</v>
      </c>
      <c r="I1055" s="144" t="s">
        <v>1436</v>
      </c>
    </row>
    <row r="1056" spans="1:9" ht="25.5">
      <c r="A1056" s="193">
        <v>45870</v>
      </c>
      <c r="B1056" s="145" t="s">
        <v>830</v>
      </c>
      <c r="C1056" s="150">
        <v>2025</v>
      </c>
      <c r="D1056" s="201" t="s">
        <v>1431</v>
      </c>
      <c r="E1056" s="144" t="s">
        <v>21</v>
      </c>
      <c r="F1056" s="141" t="s">
        <v>821</v>
      </c>
      <c r="G1056" s="144" t="s">
        <v>2558</v>
      </c>
      <c r="H1056" s="146" t="s">
        <v>26</v>
      </c>
      <c r="I1056" s="144" t="s">
        <v>149</v>
      </c>
    </row>
    <row r="1057" spans="1:9" ht="38.1">
      <c r="A1057" s="193">
        <v>45870</v>
      </c>
      <c r="B1057" s="145" t="s">
        <v>830</v>
      </c>
      <c r="C1057" s="150">
        <v>2025</v>
      </c>
      <c r="D1057" s="201" t="s">
        <v>1431</v>
      </c>
      <c r="E1057" s="144" t="s">
        <v>1506</v>
      </c>
      <c r="F1057" s="139" t="s">
        <v>88</v>
      </c>
      <c r="G1057" s="144" t="s">
        <v>2559</v>
      </c>
      <c r="H1057" s="146" t="s">
        <v>26</v>
      </c>
      <c r="I1057" s="144" t="s">
        <v>2560</v>
      </c>
    </row>
    <row r="1058" spans="1:9" ht="50.45">
      <c r="A1058" s="193">
        <v>45870</v>
      </c>
      <c r="B1058" s="145" t="s">
        <v>830</v>
      </c>
      <c r="C1058" s="150">
        <v>2025</v>
      </c>
      <c r="D1058" s="201" t="s">
        <v>1431</v>
      </c>
      <c r="E1058" s="144" t="s">
        <v>988</v>
      </c>
      <c r="F1058" s="139" t="s">
        <v>88</v>
      </c>
      <c r="G1058" s="144" t="s">
        <v>2561</v>
      </c>
      <c r="H1058" s="146" t="s">
        <v>26</v>
      </c>
      <c r="I1058" s="144" t="s">
        <v>2560</v>
      </c>
    </row>
    <row r="1059" spans="1:9" ht="14.1">
      <c r="A1059" s="193">
        <v>45870</v>
      </c>
      <c r="B1059" s="145" t="s">
        <v>830</v>
      </c>
      <c r="C1059" s="150">
        <v>2025</v>
      </c>
      <c r="D1059" s="201" t="s">
        <v>1431</v>
      </c>
      <c r="E1059" s="144" t="s">
        <v>2562</v>
      </c>
      <c r="F1059" s="141" t="s">
        <v>821</v>
      </c>
      <c r="G1059" s="144" t="s">
        <v>2563</v>
      </c>
      <c r="H1059" s="146" t="s">
        <v>26</v>
      </c>
      <c r="I1059" s="144" t="s">
        <v>2564</v>
      </c>
    </row>
    <row r="1060" spans="1:9" ht="25.5">
      <c r="A1060" s="193">
        <v>45870</v>
      </c>
      <c r="B1060" s="145" t="s">
        <v>830</v>
      </c>
      <c r="C1060" s="150">
        <v>2025</v>
      </c>
      <c r="D1060" s="201" t="s">
        <v>1431</v>
      </c>
      <c r="E1060" s="144" t="s">
        <v>21</v>
      </c>
      <c r="F1060" s="141" t="s">
        <v>821</v>
      </c>
      <c r="G1060" s="144" t="s">
        <v>2565</v>
      </c>
      <c r="H1060" s="146" t="s">
        <v>26</v>
      </c>
      <c r="I1060" s="144" t="s">
        <v>149</v>
      </c>
    </row>
    <row r="1061" spans="1:9" ht="25.5">
      <c r="A1061" s="193">
        <v>45870</v>
      </c>
      <c r="B1061" s="145" t="s">
        <v>830</v>
      </c>
      <c r="C1061" s="150">
        <v>2025</v>
      </c>
      <c r="D1061" s="201" t="s">
        <v>1431</v>
      </c>
      <c r="E1061" s="144" t="s">
        <v>21</v>
      </c>
      <c r="F1061" s="141" t="s">
        <v>821</v>
      </c>
      <c r="G1061" s="144" t="s">
        <v>2566</v>
      </c>
      <c r="H1061" s="146" t="s">
        <v>26</v>
      </c>
      <c r="I1061" s="144" t="s">
        <v>149</v>
      </c>
    </row>
    <row r="1062" spans="1:9" ht="38.1">
      <c r="A1062" s="193">
        <v>45870</v>
      </c>
      <c r="B1062" s="145" t="s">
        <v>830</v>
      </c>
      <c r="C1062" s="150">
        <v>2025</v>
      </c>
      <c r="D1062" s="201" t="s">
        <v>2224</v>
      </c>
      <c r="E1062" s="144" t="s">
        <v>2555</v>
      </c>
      <c r="F1062" s="147" t="s">
        <v>859</v>
      </c>
      <c r="G1062" s="144" t="s">
        <v>2567</v>
      </c>
      <c r="H1062" s="146" t="s">
        <v>26</v>
      </c>
      <c r="I1062" s="144" t="s">
        <v>2568</v>
      </c>
    </row>
    <row r="1063" spans="1:9" ht="25.5">
      <c r="A1063" s="193">
        <v>45870</v>
      </c>
      <c r="B1063" s="145" t="s">
        <v>830</v>
      </c>
      <c r="C1063" s="150">
        <v>2025</v>
      </c>
      <c r="D1063" s="201" t="s">
        <v>2224</v>
      </c>
      <c r="E1063" s="144" t="s">
        <v>21</v>
      </c>
      <c r="F1063" s="141" t="s">
        <v>821</v>
      </c>
      <c r="G1063" s="144" t="s">
        <v>2569</v>
      </c>
      <c r="H1063" s="146" t="s">
        <v>26</v>
      </c>
      <c r="I1063" s="144" t="s">
        <v>149</v>
      </c>
    </row>
    <row r="1064" spans="1:9" ht="25.5">
      <c r="A1064" s="193">
        <v>45870</v>
      </c>
      <c r="B1064" s="145" t="s">
        <v>830</v>
      </c>
      <c r="C1064" s="150">
        <v>2025</v>
      </c>
      <c r="D1064" s="201" t="s">
        <v>2224</v>
      </c>
      <c r="E1064" s="144" t="s">
        <v>21</v>
      </c>
      <c r="F1064" s="141" t="s">
        <v>821</v>
      </c>
      <c r="G1064" s="144" t="s">
        <v>2570</v>
      </c>
      <c r="H1064" s="146" t="s">
        <v>26</v>
      </c>
      <c r="I1064" s="144" t="s">
        <v>149</v>
      </c>
    </row>
    <row r="1065" spans="1:9" ht="38.1">
      <c r="A1065" s="193">
        <v>45870</v>
      </c>
      <c r="B1065" s="145" t="s">
        <v>830</v>
      </c>
      <c r="C1065" s="150">
        <v>2025</v>
      </c>
      <c r="D1065" s="201" t="s">
        <v>1431</v>
      </c>
      <c r="E1065" s="144" t="s">
        <v>2555</v>
      </c>
      <c r="F1065" s="147" t="s">
        <v>859</v>
      </c>
      <c r="G1065" s="144" t="s">
        <v>2571</v>
      </c>
      <c r="H1065" s="146" t="s">
        <v>26</v>
      </c>
      <c r="I1065" s="144" t="s">
        <v>2572</v>
      </c>
    </row>
    <row r="1066" spans="1:9" ht="38.1">
      <c r="A1066" s="193">
        <v>45873</v>
      </c>
      <c r="B1066" s="145" t="s">
        <v>830</v>
      </c>
      <c r="C1066" s="150">
        <v>2025</v>
      </c>
      <c r="D1066" s="201" t="s">
        <v>1431</v>
      </c>
      <c r="E1066" s="144" t="s">
        <v>21</v>
      </c>
      <c r="F1066" s="141" t="s">
        <v>821</v>
      </c>
      <c r="G1066" s="144" t="s">
        <v>2573</v>
      </c>
      <c r="H1066" s="146" t="s">
        <v>26</v>
      </c>
      <c r="I1066" s="144" t="s">
        <v>149</v>
      </c>
    </row>
    <row r="1067" spans="1:9" ht="38.1">
      <c r="A1067" s="193">
        <v>45873</v>
      </c>
      <c r="B1067" s="145" t="s">
        <v>830</v>
      </c>
      <c r="C1067" s="150">
        <v>2025</v>
      </c>
      <c r="D1067" s="201" t="s">
        <v>1431</v>
      </c>
      <c r="E1067" s="144" t="s">
        <v>2574</v>
      </c>
      <c r="F1067" s="139" t="s">
        <v>88</v>
      </c>
      <c r="G1067" s="144" t="s">
        <v>2575</v>
      </c>
      <c r="H1067" s="146" t="s">
        <v>26</v>
      </c>
      <c r="I1067" s="144" t="s">
        <v>2576</v>
      </c>
    </row>
    <row r="1068" spans="1:9" ht="25.5">
      <c r="A1068" s="193">
        <v>45873</v>
      </c>
      <c r="B1068" s="145" t="s">
        <v>830</v>
      </c>
      <c r="C1068" s="150">
        <v>2025</v>
      </c>
      <c r="D1068" s="201" t="s">
        <v>1431</v>
      </c>
      <c r="E1068" s="144" t="s">
        <v>1506</v>
      </c>
      <c r="F1068" s="139" t="s">
        <v>88</v>
      </c>
      <c r="G1068" s="144" t="s">
        <v>2577</v>
      </c>
      <c r="H1068" s="146" t="s">
        <v>26</v>
      </c>
      <c r="I1068" s="144" t="s">
        <v>1904</v>
      </c>
    </row>
    <row r="1069" spans="1:9" ht="25.5">
      <c r="A1069" s="193">
        <v>45873</v>
      </c>
      <c r="B1069" s="145" t="s">
        <v>830</v>
      </c>
      <c r="C1069" s="150">
        <v>2025</v>
      </c>
      <c r="D1069" s="201" t="s">
        <v>1431</v>
      </c>
      <c r="E1069" s="144" t="s">
        <v>1506</v>
      </c>
      <c r="F1069" s="139" t="s">
        <v>88</v>
      </c>
      <c r="G1069" s="144" t="s">
        <v>2578</v>
      </c>
      <c r="H1069" s="146" t="s">
        <v>26</v>
      </c>
      <c r="I1069" s="144" t="s">
        <v>1904</v>
      </c>
    </row>
    <row r="1070" spans="1:9" ht="38.1">
      <c r="A1070" s="193">
        <v>45873</v>
      </c>
      <c r="B1070" s="145" t="s">
        <v>830</v>
      </c>
      <c r="C1070" s="150">
        <v>2025</v>
      </c>
      <c r="D1070" s="201" t="s">
        <v>1431</v>
      </c>
      <c r="E1070" s="144" t="s">
        <v>1518</v>
      </c>
      <c r="F1070" s="139" t="s">
        <v>88</v>
      </c>
      <c r="G1070" s="144" t="s">
        <v>2579</v>
      </c>
      <c r="H1070" s="146" t="s">
        <v>26</v>
      </c>
      <c r="I1070" s="144" t="s">
        <v>1493</v>
      </c>
    </row>
    <row r="1071" spans="1:9" ht="25.5">
      <c r="A1071" s="193">
        <v>45873</v>
      </c>
      <c r="B1071" s="145" t="s">
        <v>830</v>
      </c>
      <c r="C1071" s="150">
        <v>2025</v>
      </c>
      <c r="D1071" s="201" t="s">
        <v>2224</v>
      </c>
      <c r="E1071" s="144" t="s">
        <v>21</v>
      </c>
      <c r="F1071" s="141" t="s">
        <v>821</v>
      </c>
      <c r="G1071" s="144" t="s">
        <v>2580</v>
      </c>
      <c r="H1071" s="146" t="s">
        <v>26</v>
      </c>
      <c r="I1071" s="144" t="s">
        <v>149</v>
      </c>
    </row>
    <row r="1072" spans="1:9" ht="25.5">
      <c r="A1072" s="193">
        <v>45874</v>
      </c>
      <c r="B1072" s="145" t="s">
        <v>830</v>
      </c>
      <c r="C1072" s="150">
        <v>2025</v>
      </c>
      <c r="D1072" s="201" t="s">
        <v>1431</v>
      </c>
      <c r="E1072" s="144" t="s">
        <v>216</v>
      </c>
      <c r="F1072" s="141" t="s">
        <v>821</v>
      </c>
      <c r="G1072" s="144" t="s">
        <v>2581</v>
      </c>
      <c r="H1072" s="146" t="s">
        <v>26</v>
      </c>
      <c r="I1072" s="144" t="s">
        <v>492</v>
      </c>
    </row>
    <row r="1073" spans="1:9" ht="25.5">
      <c r="A1073" s="193">
        <v>45874</v>
      </c>
      <c r="B1073" s="145" t="s">
        <v>830</v>
      </c>
      <c r="C1073" s="150">
        <v>2025</v>
      </c>
      <c r="D1073" s="201" t="s">
        <v>1431</v>
      </c>
      <c r="E1073" s="144" t="s">
        <v>574</v>
      </c>
      <c r="F1073" s="139" t="s">
        <v>88</v>
      </c>
      <c r="G1073" s="144" t="s">
        <v>2582</v>
      </c>
      <c r="H1073" s="146" t="s">
        <v>26</v>
      </c>
      <c r="I1073" s="144" t="s">
        <v>912</v>
      </c>
    </row>
    <row r="1074" spans="1:9" ht="38.1">
      <c r="A1074" s="193">
        <v>45874</v>
      </c>
      <c r="B1074" s="145" t="s">
        <v>830</v>
      </c>
      <c r="C1074" s="150">
        <v>2025</v>
      </c>
      <c r="D1074" s="201" t="s">
        <v>2224</v>
      </c>
      <c r="E1074" s="144" t="s">
        <v>21</v>
      </c>
      <c r="F1074" s="141" t="s">
        <v>821</v>
      </c>
      <c r="G1074" s="144" t="s">
        <v>2583</v>
      </c>
      <c r="H1074" s="146" t="s">
        <v>26</v>
      </c>
      <c r="I1074" s="144" t="s">
        <v>149</v>
      </c>
    </row>
    <row r="1075" spans="1:9" ht="14.1">
      <c r="A1075" s="193">
        <v>45874</v>
      </c>
      <c r="B1075" s="145" t="s">
        <v>830</v>
      </c>
      <c r="C1075" s="150">
        <v>2025</v>
      </c>
      <c r="D1075" s="201" t="s">
        <v>1431</v>
      </c>
      <c r="E1075" s="144" t="s">
        <v>216</v>
      </c>
      <c r="F1075" s="141" t="s">
        <v>821</v>
      </c>
      <c r="G1075" s="144" t="s">
        <v>2584</v>
      </c>
      <c r="H1075" s="146" t="s">
        <v>26</v>
      </c>
      <c r="I1075" s="144" t="s">
        <v>492</v>
      </c>
    </row>
    <row r="1076" spans="1:9" ht="14.1">
      <c r="A1076" s="193">
        <v>45875</v>
      </c>
      <c r="B1076" s="145" t="s">
        <v>830</v>
      </c>
      <c r="C1076" s="150">
        <v>2025</v>
      </c>
      <c r="D1076" s="201" t="s">
        <v>1431</v>
      </c>
      <c r="E1076" s="144" t="s">
        <v>2585</v>
      </c>
      <c r="F1076" s="139" t="s">
        <v>88</v>
      </c>
      <c r="G1076" s="144" t="s">
        <v>2586</v>
      </c>
      <c r="H1076" s="146" t="s">
        <v>26</v>
      </c>
      <c r="I1076" s="144" t="s">
        <v>452</v>
      </c>
    </row>
    <row r="1077" spans="1:9" ht="38.1">
      <c r="A1077" s="193">
        <v>45875</v>
      </c>
      <c r="B1077" s="145" t="s">
        <v>830</v>
      </c>
      <c r="C1077" s="150">
        <v>2025</v>
      </c>
      <c r="D1077" s="201" t="s">
        <v>1431</v>
      </c>
      <c r="E1077" s="144" t="s">
        <v>1506</v>
      </c>
      <c r="F1077" s="139" t="s">
        <v>88</v>
      </c>
      <c r="G1077" s="144" t="s">
        <v>2587</v>
      </c>
      <c r="H1077" s="146" t="s">
        <v>26</v>
      </c>
      <c r="I1077" s="144" t="s">
        <v>1904</v>
      </c>
    </row>
    <row r="1078" spans="1:9" ht="25.5">
      <c r="A1078" s="193">
        <v>45875</v>
      </c>
      <c r="B1078" s="145" t="s">
        <v>830</v>
      </c>
      <c r="C1078" s="150">
        <v>2025</v>
      </c>
      <c r="D1078" s="201" t="s">
        <v>1431</v>
      </c>
      <c r="E1078" s="144" t="s">
        <v>216</v>
      </c>
      <c r="F1078" s="141" t="s">
        <v>821</v>
      </c>
      <c r="G1078" s="144" t="s">
        <v>2588</v>
      </c>
      <c r="H1078" s="146" t="s">
        <v>26</v>
      </c>
      <c r="I1078" s="144" t="s">
        <v>492</v>
      </c>
    </row>
    <row r="1079" spans="1:9" ht="25.5">
      <c r="A1079" s="193">
        <v>45875</v>
      </c>
      <c r="B1079" s="145" t="s">
        <v>830</v>
      </c>
      <c r="C1079" s="150">
        <v>2025</v>
      </c>
      <c r="D1079" s="201" t="s">
        <v>1431</v>
      </c>
      <c r="E1079" s="144" t="s">
        <v>2585</v>
      </c>
      <c r="F1079" s="139" t="s">
        <v>88</v>
      </c>
      <c r="G1079" s="144" t="s">
        <v>2589</v>
      </c>
      <c r="H1079" s="146" t="s">
        <v>26</v>
      </c>
      <c r="I1079" s="144" t="s">
        <v>452</v>
      </c>
    </row>
    <row r="1080" spans="1:9" ht="38.1">
      <c r="A1080" s="193">
        <v>45875</v>
      </c>
      <c r="B1080" s="145" t="s">
        <v>830</v>
      </c>
      <c r="C1080" s="150">
        <v>2025</v>
      </c>
      <c r="D1080" s="201" t="s">
        <v>1431</v>
      </c>
      <c r="E1080" s="144" t="s">
        <v>1566</v>
      </c>
      <c r="F1080" s="139" t="s">
        <v>88</v>
      </c>
      <c r="G1080" s="144" t="s">
        <v>2590</v>
      </c>
      <c r="H1080" s="146" t="s">
        <v>26</v>
      </c>
      <c r="I1080" s="144" t="s">
        <v>1453</v>
      </c>
    </row>
    <row r="1081" spans="1:9" ht="38.1">
      <c r="A1081" s="193">
        <v>45875</v>
      </c>
      <c r="B1081" s="145" t="s">
        <v>830</v>
      </c>
      <c r="C1081" s="150">
        <v>2025</v>
      </c>
      <c r="D1081" s="201" t="s">
        <v>2224</v>
      </c>
      <c r="E1081" s="144" t="s">
        <v>2591</v>
      </c>
      <c r="F1081" s="139" t="s">
        <v>88</v>
      </c>
      <c r="G1081" s="144" t="s">
        <v>2592</v>
      </c>
      <c r="H1081" s="146" t="s">
        <v>26</v>
      </c>
      <c r="I1081" s="144" t="s">
        <v>2593</v>
      </c>
    </row>
    <row r="1082" spans="1:9" ht="50.45">
      <c r="A1082" s="193">
        <v>45875</v>
      </c>
      <c r="B1082" s="145" t="s">
        <v>830</v>
      </c>
      <c r="C1082" s="150">
        <v>2025</v>
      </c>
      <c r="D1082" s="201" t="s">
        <v>1431</v>
      </c>
      <c r="E1082" s="144" t="s">
        <v>1390</v>
      </c>
      <c r="F1082" s="139" t="s">
        <v>88</v>
      </c>
      <c r="G1082" s="144" t="s">
        <v>2594</v>
      </c>
      <c r="H1082" s="146" t="s">
        <v>26</v>
      </c>
      <c r="I1082" s="144" t="s">
        <v>492</v>
      </c>
    </row>
    <row r="1083" spans="1:9" ht="50.45">
      <c r="A1083" s="193">
        <v>45876</v>
      </c>
      <c r="B1083" s="145" t="s">
        <v>830</v>
      </c>
      <c r="C1083" s="150">
        <v>2025</v>
      </c>
      <c r="D1083" s="201" t="s">
        <v>1431</v>
      </c>
      <c r="E1083" s="144" t="s">
        <v>2595</v>
      </c>
      <c r="F1083" s="139" t="s">
        <v>88</v>
      </c>
      <c r="G1083" s="144" t="s">
        <v>2596</v>
      </c>
      <c r="H1083" s="146" t="s">
        <v>26</v>
      </c>
      <c r="I1083" s="144" t="s">
        <v>578</v>
      </c>
    </row>
    <row r="1084" spans="1:9" ht="14.1">
      <c r="A1084" s="193">
        <v>45876</v>
      </c>
      <c r="B1084" s="145" t="s">
        <v>830</v>
      </c>
      <c r="C1084" s="150">
        <v>2025</v>
      </c>
      <c r="D1084" s="201" t="s">
        <v>1431</v>
      </c>
      <c r="E1084" s="144" t="s">
        <v>2595</v>
      </c>
      <c r="F1084" s="139" t="s">
        <v>88</v>
      </c>
      <c r="G1084" s="144" t="s">
        <v>2597</v>
      </c>
      <c r="H1084" s="146" t="s">
        <v>26</v>
      </c>
      <c r="I1084" s="144" t="s">
        <v>492</v>
      </c>
    </row>
    <row r="1085" spans="1:9" ht="25.5">
      <c r="A1085" s="193">
        <v>45876</v>
      </c>
      <c r="B1085" s="145" t="s">
        <v>830</v>
      </c>
      <c r="C1085" s="150">
        <v>2025</v>
      </c>
      <c r="D1085" s="201" t="s">
        <v>1431</v>
      </c>
      <c r="E1085" s="144" t="s">
        <v>1560</v>
      </c>
      <c r="F1085" s="147" t="s">
        <v>859</v>
      </c>
      <c r="G1085" s="144" t="s">
        <v>2598</v>
      </c>
      <c r="H1085" s="146" t="s">
        <v>26</v>
      </c>
      <c r="I1085" s="144" t="s">
        <v>2599</v>
      </c>
    </row>
    <row r="1086" spans="1:9" ht="14.1">
      <c r="A1086" s="193">
        <v>45876</v>
      </c>
      <c r="B1086" s="145" t="s">
        <v>830</v>
      </c>
      <c r="C1086" s="150">
        <v>2025</v>
      </c>
      <c r="D1086" s="201" t="s">
        <v>1431</v>
      </c>
      <c r="E1086" s="144" t="s">
        <v>2244</v>
      </c>
      <c r="F1086" s="140" t="s">
        <v>1439</v>
      </c>
      <c r="G1086" s="144" t="s">
        <v>2600</v>
      </c>
      <c r="H1086" s="146" t="s">
        <v>26</v>
      </c>
      <c r="I1086" s="144" t="s">
        <v>916</v>
      </c>
    </row>
    <row r="1087" spans="1:9" ht="38.1">
      <c r="A1087" s="193">
        <v>45876</v>
      </c>
      <c r="B1087" s="145" t="s">
        <v>830</v>
      </c>
      <c r="C1087" s="150">
        <v>2025</v>
      </c>
      <c r="D1087" s="201" t="s">
        <v>1431</v>
      </c>
      <c r="E1087" s="144" t="s">
        <v>2244</v>
      </c>
      <c r="F1087" s="147" t="s">
        <v>859</v>
      </c>
      <c r="G1087" s="144" t="s">
        <v>2601</v>
      </c>
      <c r="H1087" s="146" t="s">
        <v>26</v>
      </c>
      <c r="I1087" s="144" t="s">
        <v>1998</v>
      </c>
    </row>
    <row r="1088" spans="1:9" ht="25.5">
      <c r="A1088" s="193">
        <v>45876</v>
      </c>
      <c r="B1088" s="145" t="s">
        <v>830</v>
      </c>
      <c r="C1088" s="150">
        <v>2025</v>
      </c>
      <c r="D1088" s="201" t="s">
        <v>1431</v>
      </c>
      <c r="E1088" s="144" t="s">
        <v>2244</v>
      </c>
      <c r="F1088" s="147" t="s">
        <v>859</v>
      </c>
      <c r="G1088" s="144" t="s">
        <v>2602</v>
      </c>
      <c r="H1088" s="146" t="s">
        <v>26</v>
      </c>
      <c r="I1088" s="144" t="s">
        <v>923</v>
      </c>
    </row>
    <row r="1089" spans="1:9" ht="38.1">
      <c r="A1089" s="193">
        <v>45876</v>
      </c>
      <c r="B1089" s="145" t="s">
        <v>830</v>
      </c>
      <c r="C1089" s="150">
        <v>2025</v>
      </c>
      <c r="D1089" s="201" t="s">
        <v>1431</v>
      </c>
      <c r="E1089" s="144" t="s">
        <v>1506</v>
      </c>
      <c r="F1089" s="139" t="s">
        <v>88</v>
      </c>
      <c r="G1089" s="144" t="s">
        <v>2603</v>
      </c>
      <c r="H1089" s="146" t="s">
        <v>26</v>
      </c>
      <c r="I1089" s="144" t="s">
        <v>1904</v>
      </c>
    </row>
    <row r="1090" spans="1:9" ht="14.1">
      <c r="A1090" s="193">
        <v>45876</v>
      </c>
      <c r="B1090" s="145" t="s">
        <v>830</v>
      </c>
      <c r="C1090" s="150">
        <v>2025</v>
      </c>
      <c r="D1090" s="201" t="s">
        <v>1431</v>
      </c>
      <c r="E1090" s="144" t="s">
        <v>216</v>
      </c>
      <c r="F1090" s="141" t="s">
        <v>821</v>
      </c>
      <c r="G1090" s="144" t="s">
        <v>2604</v>
      </c>
      <c r="H1090" s="146" t="s">
        <v>26</v>
      </c>
      <c r="I1090" s="144" t="s">
        <v>492</v>
      </c>
    </row>
    <row r="1091" spans="1:9" ht="25.5">
      <c r="A1091" s="193">
        <v>45876</v>
      </c>
      <c r="B1091" s="145" t="s">
        <v>830</v>
      </c>
      <c r="C1091" s="150">
        <v>2025</v>
      </c>
      <c r="D1091" s="201" t="s">
        <v>1431</v>
      </c>
      <c r="E1091" s="144" t="s">
        <v>216</v>
      </c>
      <c r="F1091" s="141" t="s">
        <v>821</v>
      </c>
      <c r="G1091" s="144" t="s">
        <v>2605</v>
      </c>
      <c r="H1091" s="146" t="s">
        <v>26</v>
      </c>
      <c r="I1091" s="144" t="s">
        <v>492</v>
      </c>
    </row>
    <row r="1092" spans="1:9" ht="14.1">
      <c r="A1092" s="193">
        <v>45876</v>
      </c>
      <c r="B1092" s="145" t="s">
        <v>830</v>
      </c>
      <c r="C1092" s="150">
        <v>2025</v>
      </c>
      <c r="D1092" s="201" t="s">
        <v>1431</v>
      </c>
      <c r="E1092" s="144" t="s">
        <v>216</v>
      </c>
      <c r="F1092" s="141" t="s">
        <v>821</v>
      </c>
      <c r="G1092" s="144" t="s">
        <v>2606</v>
      </c>
      <c r="H1092" s="146" t="s">
        <v>26</v>
      </c>
      <c r="I1092" s="144" t="s">
        <v>492</v>
      </c>
    </row>
    <row r="1093" spans="1:9" ht="25.5">
      <c r="A1093" s="193">
        <v>45876</v>
      </c>
      <c r="B1093" s="145" t="s">
        <v>830</v>
      </c>
      <c r="C1093" s="150">
        <v>2025</v>
      </c>
      <c r="D1093" s="201" t="s">
        <v>1431</v>
      </c>
      <c r="E1093" s="144" t="s">
        <v>216</v>
      </c>
      <c r="F1093" s="141" t="s">
        <v>821</v>
      </c>
      <c r="G1093" s="144" t="s">
        <v>2607</v>
      </c>
      <c r="H1093" s="146" t="s">
        <v>26</v>
      </c>
      <c r="I1093" s="144" t="s">
        <v>492</v>
      </c>
    </row>
    <row r="1094" spans="1:9" ht="25.5">
      <c r="A1094" s="193">
        <v>45876</v>
      </c>
      <c r="B1094" s="145" t="s">
        <v>830</v>
      </c>
      <c r="C1094" s="150">
        <v>2025</v>
      </c>
      <c r="D1094" s="201" t="s">
        <v>1431</v>
      </c>
      <c r="E1094" s="144" t="s">
        <v>216</v>
      </c>
      <c r="F1094" s="141" t="s">
        <v>821</v>
      </c>
      <c r="G1094" s="144" t="s">
        <v>2608</v>
      </c>
      <c r="H1094" s="146" t="s">
        <v>26</v>
      </c>
      <c r="I1094" s="144" t="s">
        <v>492</v>
      </c>
    </row>
    <row r="1095" spans="1:9" ht="25.5">
      <c r="A1095" s="193">
        <v>45876</v>
      </c>
      <c r="B1095" s="145" t="s">
        <v>830</v>
      </c>
      <c r="C1095" s="150">
        <v>2025</v>
      </c>
      <c r="D1095" s="201" t="s">
        <v>1431</v>
      </c>
      <c r="E1095" s="144" t="s">
        <v>1225</v>
      </c>
      <c r="F1095" s="147" t="s">
        <v>859</v>
      </c>
      <c r="G1095" s="144" t="s">
        <v>2609</v>
      </c>
      <c r="H1095" s="146" t="s">
        <v>26</v>
      </c>
      <c r="I1095" s="144" t="s">
        <v>925</v>
      </c>
    </row>
    <row r="1096" spans="1:9" ht="25.5">
      <c r="A1096" s="193">
        <v>45876</v>
      </c>
      <c r="B1096" s="145" t="s">
        <v>830</v>
      </c>
      <c r="C1096" s="150">
        <v>2025</v>
      </c>
      <c r="D1096" s="201" t="s">
        <v>1431</v>
      </c>
      <c r="E1096" s="144" t="s">
        <v>2591</v>
      </c>
      <c r="F1096" s="139" t="s">
        <v>88</v>
      </c>
      <c r="G1096" s="144" t="s">
        <v>2610</v>
      </c>
      <c r="H1096" s="146" t="s">
        <v>26</v>
      </c>
      <c r="I1096" s="144" t="s">
        <v>2593</v>
      </c>
    </row>
    <row r="1097" spans="1:9" ht="14.1">
      <c r="A1097" s="193">
        <v>45876</v>
      </c>
      <c r="B1097" s="145" t="s">
        <v>830</v>
      </c>
      <c r="C1097" s="150">
        <v>2025</v>
      </c>
      <c r="D1097" s="201" t="s">
        <v>1431</v>
      </c>
      <c r="E1097" s="144" t="s">
        <v>2591</v>
      </c>
      <c r="F1097" s="139" t="s">
        <v>88</v>
      </c>
      <c r="G1097" s="144" t="s">
        <v>2611</v>
      </c>
      <c r="H1097" s="146" t="s">
        <v>26</v>
      </c>
      <c r="I1097" s="144" t="s">
        <v>2593</v>
      </c>
    </row>
    <row r="1098" spans="1:9" ht="38.1">
      <c r="A1098" s="193">
        <v>45876</v>
      </c>
      <c r="B1098" s="145" t="s">
        <v>830</v>
      </c>
      <c r="C1098" s="150">
        <v>2025</v>
      </c>
      <c r="D1098" s="201" t="s">
        <v>1431</v>
      </c>
      <c r="E1098" s="144" t="s">
        <v>2591</v>
      </c>
      <c r="F1098" s="139" t="s">
        <v>88</v>
      </c>
      <c r="G1098" s="144" t="s">
        <v>2612</v>
      </c>
      <c r="H1098" s="146" t="s">
        <v>26</v>
      </c>
      <c r="I1098" s="144" t="s">
        <v>2593</v>
      </c>
    </row>
    <row r="1099" spans="1:9" ht="50.45">
      <c r="A1099" s="193">
        <v>45876</v>
      </c>
      <c r="B1099" s="145" t="s">
        <v>830</v>
      </c>
      <c r="C1099" s="150">
        <v>2025</v>
      </c>
      <c r="D1099" s="201" t="s">
        <v>2224</v>
      </c>
      <c r="E1099" s="144" t="s">
        <v>2613</v>
      </c>
      <c r="F1099" s="139" t="s">
        <v>88</v>
      </c>
      <c r="G1099" s="144" t="s">
        <v>2614</v>
      </c>
      <c r="H1099" s="146" t="s">
        <v>26</v>
      </c>
      <c r="I1099" s="144" t="s">
        <v>2568</v>
      </c>
    </row>
    <row r="1100" spans="1:9" ht="25.5">
      <c r="A1100" s="193">
        <v>45876</v>
      </c>
      <c r="B1100" s="145" t="s">
        <v>830</v>
      </c>
      <c r="C1100" s="150">
        <v>2025</v>
      </c>
      <c r="D1100" s="201" t="s">
        <v>1431</v>
      </c>
      <c r="E1100" s="144" t="s">
        <v>1436</v>
      </c>
      <c r="F1100" s="142" t="s">
        <v>872</v>
      </c>
      <c r="G1100" s="144" t="s">
        <v>2615</v>
      </c>
      <c r="H1100" s="146" t="s">
        <v>26</v>
      </c>
      <c r="I1100" s="144" t="s">
        <v>912</v>
      </c>
    </row>
    <row r="1101" spans="1:9" ht="25.5">
      <c r="A1101" s="193">
        <v>45876</v>
      </c>
      <c r="B1101" s="145" t="s">
        <v>830</v>
      </c>
      <c r="C1101" s="150">
        <v>2025</v>
      </c>
      <c r="D1101" s="201" t="s">
        <v>2224</v>
      </c>
      <c r="E1101" s="144" t="s">
        <v>216</v>
      </c>
      <c r="F1101" s="141" t="s">
        <v>821</v>
      </c>
      <c r="G1101" s="144" t="s">
        <v>2616</v>
      </c>
      <c r="H1101" s="146" t="s">
        <v>26</v>
      </c>
      <c r="I1101" s="144" t="s">
        <v>492</v>
      </c>
    </row>
    <row r="1102" spans="1:9" ht="50.45">
      <c r="A1102" s="193">
        <v>45876</v>
      </c>
      <c r="B1102" s="145" t="s">
        <v>830</v>
      </c>
      <c r="C1102" s="150">
        <v>2025</v>
      </c>
      <c r="D1102" s="201" t="s">
        <v>2224</v>
      </c>
      <c r="E1102" s="144" t="s">
        <v>2591</v>
      </c>
      <c r="F1102" s="139" t="s">
        <v>88</v>
      </c>
      <c r="G1102" s="144" t="s">
        <v>2617</v>
      </c>
      <c r="H1102" s="146" t="s">
        <v>26</v>
      </c>
      <c r="I1102" s="144" t="s">
        <v>2593</v>
      </c>
    </row>
    <row r="1103" spans="1:9" ht="14.1">
      <c r="A1103" s="193">
        <v>45877</v>
      </c>
      <c r="B1103" s="145" t="s">
        <v>830</v>
      </c>
      <c r="C1103" s="150">
        <v>2025</v>
      </c>
      <c r="D1103" s="201" t="s">
        <v>1431</v>
      </c>
      <c r="E1103" s="144" t="s">
        <v>21</v>
      </c>
      <c r="F1103" s="141" t="s">
        <v>821</v>
      </c>
      <c r="G1103" s="144" t="s">
        <v>2618</v>
      </c>
      <c r="H1103" s="146" t="s">
        <v>26</v>
      </c>
      <c r="I1103" s="144" t="s">
        <v>149</v>
      </c>
    </row>
    <row r="1104" spans="1:9" ht="38.1">
      <c r="A1104" s="193">
        <v>45877</v>
      </c>
      <c r="B1104" s="145" t="s">
        <v>830</v>
      </c>
      <c r="C1104" s="150">
        <v>2025</v>
      </c>
      <c r="D1104" s="201" t="s">
        <v>1431</v>
      </c>
      <c r="E1104" s="144" t="s">
        <v>1225</v>
      </c>
      <c r="F1104" s="147" t="s">
        <v>859</v>
      </c>
      <c r="G1104" s="144" t="s">
        <v>2619</v>
      </c>
      <c r="H1104" s="146" t="s">
        <v>26</v>
      </c>
      <c r="I1104" s="144" t="s">
        <v>925</v>
      </c>
    </row>
    <row r="1105" spans="1:9" ht="25.5">
      <c r="A1105" s="193">
        <v>45877</v>
      </c>
      <c r="B1105" s="145" t="s">
        <v>830</v>
      </c>
      <c r="C1105" s="150">
        <v>2025</v>
      </c>
      <c r="D1105" s="201" t="s">
        <v>1431</v>
      </c>
      <c r="E1105" s="144" t="s">
        <v>2620</v>
      </c>
      <c r="F1105" s="140" t="s">
        <v>1439</v>
      </c>
      <c r="G1105" s="144" t="s">
        <v>2621</v>
      </c>
      <c r="H1105" s="146" t="s">
        <v>26</v>
      </c>
      <c r="I1105" s="144" t="s">
        <v>1543</v>
      </c>
    </row>
    <row r="1106" spans="1:9" ht="38.1">
      <c r="A1106" s="193">
        <v>45877</v>
      </c>
      <c r="B1106" s="145" t="s">
        <v>830</v>
      </c>
      <c r="C1106" s="150">
        <v>2025</v>
      </c>
      <c r="D1106" s="201" t="s">
        <v>1431</v>
      </c>
      <c r="E1106" s="144" t="s">
        <v>988</v>
      </c>
      <c r="F1106" s="139" t="s">
        <v>88</v>
      </c>
      <c r="G1106" s="144" t="s">
        <v>2622</v>
      </c>
      <c r="H1106" s="146" t="s">
        <v>26</v>
      </c>
      <c r="I1106" s="144" t="s">
        <v>916</v>
      </c>
    </row>
    <row r="1107" spans="1:9" ht="38.1">
      <c r="A1107" s="193">
        <v>45877</v>
      </c>
      <c r="B1107" s="145" t="s">
        <v>830</v>
      </c>
      <c r="C1107" s="150">
        <v>2025</v>
      </c>
      <c r="D1107" s="201" t="s">
        <v>1431</v>
      </c>
      <c r="E1107" s="144" t="s">
        <v>1506</v>
      </c>
      <c r="F1107" s="139" t="s">
        <v>88</v>
      </c>
      <c r="G1107" s="144" t="s">
        <v>2623</v>
      </c>
      <c r="H1107" s="146" t="s">
        <v>26</v>
      </c>
      <c r="I1107" s="144" t="s">
        <v>2624</v>
      </c>
    </row>
    <row r="1108" spans="1:9" ht="38.1">
      <c r="A1108" s="193">
        <v>45877</v>
      </c>
      <c r="B1108" s="145" t="s">
        <v>830</v>
      </c>
      <c r="C1108" s="150">
        <v>2025</v>
      </c>
      <c r="D1108" s="201" t="s">
        <v>1431</v>
      </c>
      <c r="E1108" s="144" t="s">
        <v>1518</v>
      </c>
      <c r="F1108" s="139" t="s">
        <v>88</v>
      </c>
      <c r="G1108" s="144" t="s">
        <v>2625</v>
      </c>
      <c r="H1108" s="146" t="s">
        <v>26</v>
      </c>
      <c r="I1108" s="144" t="s">
        <v>910</v>
      </c>
    </row>
    <row r="1109" spans="1:9" ht="25.5">
      <c r="A1109" s="193">
        <v>45877</v>
      </c>
      <c r="B1109" s="145" t="s">
        <v>830</v>
      </c>
      <c r="C1109" s="150">
        <v>2025</v>
      </c>
      <c r="D1109" s="201" t="s">
        <v>1431</v>
      </c>
      <c r="E1109" s="144" t="s">
        <v>216</v>
      </c>
      <c r="F1109" s="141" t="s">
        <v>821</v>
      </c>
      <c r="G1109" s="144" t="s">
        <v>2626</v>
      </c>
      <c r="H1109" s="146" t="s">
        <v>26</v>
      </c>
      <c r="I1109" s="144" t="s">
        <v>492</v>
      </c>
    </row>
    <row r="1110" spans="1:9" ht="25.5">
      <c r="A1110" s="193">
        <v>45877</v>
      </c>
      <c r="B1110" s="145" t="s">
        <v>830</v>
      </c>
      <c r="C1110" s="150">
        <v>2025</v>
      </c>
      <c r="D1110" s="201" t="s">
        <v>1431</v>
      </c>
      <c r="E1110" s="144" t="s">
        <v>216</v>
      </c>
      <c r="F1110" s="141" t="s">
        <v>821</v>
      </c>
      <c r="G1110" s="144" t="s">
        <v>2627</v>
      </c>
      <c r="H1110" s="146" t="s">
        <v>26</v>
      </c>
      <c r="I1110" s="144" t="s">
        <v>492</v>
      </c>
    </row>
    <row r="1111" spans="1:9" ht="50.45">
      <c r="A1111" s="193">
        <v>45877</v>
      </c>
      <c r="B1111" s="145" t="s">
        <v>830</v>
      </c>
      <c r="C1111" s="150">
        <v>2025</v>
      </c>
      <c r="D1111" s="201" t="s">
        <v>1431</v>
      </c>
      <c r="E1111" s="144" t="s">
        <v>1566</v>
      </c>
      <c r="F1111" s="139" t="s">
        <v>88</v>
      </c>
      <c r="G1111" s="144" t="s">
        <v>2628</v>
      </c>
      <c r="H1111" s="146" t="s">
        <v>26</v>
      </c>
      <c r="I1111" s="144" t="s">
        <v>1588</v>
      </c>
    </row>
    <row r="1112" spans="1:9" ht="25.5">
      <c r="A1112" s="193">
        <v>45877</v>
      </c>
      <c r="B1112" s="145" t="s">
        <v>830</v>
      </c>
      <c r="C1112" s="150">
        <v>2025</v>
      </c>
      <c r="D1112" s="201" t="s">
        <v>1431</v>
      </c>
      <c r="E1112" s="144" t="s">
        <v>1566</v>
      </c>
      <c r="F1112" s="139" t="s">
        <v>88</v>
      </c>
      <c r="G1112" s="144" t="s">
        <v>2629</v>
      </c>
      <c r="H1112" s="146" t="s">
        <v>26</v>
      </c>
      <c r="I1112" s="144" t="s">
        <v>1588</v>
      </c>
    </row>
    <row r="1113" spans="1:9" ht="25.5">
      <c r="A1113" s="193">
        <v>45877</v>
      </c>
      <c r="B1113" s="145" t="s">
        <v>830</v>
      </c>
      <c r="C1113" s="150">
        <v>2025</v>
      </c>
      <c r="D1113" s="201" t="s">
        <v>1431</v>
      </c>
      <c r="E1113" s="144" t="s">
        <v>1566</v>
      </c>
      <c r="F1113" s="139" t="s">
        <v>88</v>
      </c>
      <c r="G1113" s="144" t="s">
        <v>2630</v>
      </c>
      <c r="H1113" s="146" t="s">
        <v>26</v>
      </c>
      <c r="I1113" s="144" t="s">
        <v>1588</v>
      </c>
    </row>
    <row r="1114" spans="1:9" ht="38.1">
      <c r="A1114" s="193">
        <v>45877</v>
      </c>
      <c r="B1114" s="145" t="s">
        <v>830</v>
      </c>
      <c r="C1114" s="150">
        <v>2025</v>
      </c>
      <c r="D1114" s="201" t="s">
        <v>1431</v>
      </c>
      <c r="E1114" s="144" t="s">
        <v>1566</v>
      </c>
      <c r="F1114" s="139" t="s">
        <v>88</v>
      </c>
      <c r="G1114" s="144" t="s">
        <v>2631</v>
      </c>
      <c r="H1114" s="146" t="s">
        <v>26</v>
      </c>
      <c r="I1114" s="144" t="s">
        <v>1588</v>
      </c>
    </row>
    <row r="1115" spans="1:9" ht="14.1">
      <c r="A1115" s="193">
        <v>45880</v>
      </c>
      <c r="B1115" s="145" t="s">
        <v>830</v>
      </c>
      <c r="C1115" s="150">
        <v>2025</v>
      </c>
      <c r="D1115" s="201" t="s">
        <v>1431</v>
      </c>
      <c r="E1115" s="144" t="s">
        <v>21</v>
      </c>
      <c r="F1115" s="141" t="s">
        <v>821</v>
      </c>
      <c r="G1115" s="144" t="s">
        <v>2632</v>
      </c>
      <c r="H1115" s="146" t="s">
        <v>26</v>
      </c>
      <c r="I1115" s="144" t="s">
        <v>149</v>
      </c>
    </row>
    <row r="1116" spans="1:9" ht="38.1">
      <c r="A1116" s="193">
        <v>45880</v>
      </c>
      <c r="B1116" s="145" t="s">
        <v>830</v>
      </c>
      <c r="C1116" s="150">
        <v>2025</v>
      </c>
      <c r="D1116" s="201" t="s">
        <v>1431</v>
      </c>
      <c r="E1116" s="144" t="s">
        <v>1506</v>
      </c>
      <c r="F1116" s="139" t="s">
        <v>88</v>
      </c>
      <c r="G1116" s="144" t="s">
        <v>2633</v>
      </c>
      <c r="H1116" s="146" t="s">
        <v>26</v>
      </c>
      <c r="I1116" s="144" t="s">
        <v>1904</v>
      </c>
    </row>
    <row r="1117" spans="1:9" ht="25.5">
      <c r="A1117" s="193">
        <v>45880</v>
      </c>
      <c r="B1117" s="145" t="s">
        <v>830</v>
      </c>
      <c r="C1117" s="150">
        <v>2025</v>
      </c>
      <c r="D1117" s="201" t="s">
        <v>1431</v>
      </c>
      <c r="E1117" s="144" t="s">
        <v>216</v>
      </c>
      <c r="F1117" s="141" t="s">
        <v>821</v>
      </c>
      <c r="G1117" s="144" t="s">
        <v>2634</v>
      </c>
      <c r="H1117" s="146" t="s">
        <v>26</v>
      </c>
      <c r="I1117" s="144" t="s">
        <v>492</v>
      </c>
    </row>
    <row r="1118" spans="1:9" ht="50.45">
      <c r="A1118" s="193">
        <v>45880</v>
      </c>
      <c r="B1118" s="145" t="s">
        <v>830</v>
      </c>
      <c r="C1118" s="150">
        <v>2025</v>
      </c>
      <c r="D1118" s="201" t="s">
        <v>1431</v>
      </c>
      <c r="E1118" s="144" t="s">
        <v>2591</v>
      </c>
      <c r="F1118" s="139" t="s">
        <v>88</v>
      </c>
      <c r="G1118" s="144" t="s">
        <v>2635</v>
      </c>
      <c r="H1118" s="146" t="s">
        <v>26</v>
      </c>
      <c r="I1118" s="144" t="s">
        <v>1543</v>
      </c>
    </row>
    <row r="1119" spans="1:9" ht="25.5">
      <c r="A1119" s="193">
        <v>45880</v>
      </c>
      <c r="B1119" s="145" t="s">
        <v>830</v>
      </c>
      <c r="C1119" s="150">
        <v>2025</v>
      </c>
      <c r="D1119" s="201" t="s">
        <v>1431</v>
      </c>
      <c r="E1119" s="144" t="s">
        <v>2591</v>
      </c>
      <c r="F1119" s="139" t="s">
        <v>88</v>
      </c>
      <c r="G1119" s="144" t="s">
        <v>2636</v>
      </c>
      <c r="H1119" s="146" t="s">
        <v>26</v>
      </c>
      <c r="I1119" s="144" t="s">
        <v>2593</v>
      </c>
    </row>
    <row r="1120" spans="1:9" ht="25.5">
      <c r="A1120" s="193">
        <v>45880</v>
      </c>
      <c r="B1120" s="145" t="s">
        <v>830</v>
      </c>
      <c r="C1120" s="150">
        <v>2025</v>
      </c>
      <c r="D1120" s="201" t="s">
        <v>1431</v>
      </c>
      <c r="E1120" s="144" t="s">
        <v>2591</v>
      </c>
      <c r="F1120" s="139" t="s">
        <v>88</v>
      </c>
      <c r="G1120" s="144" t="s">
        <v>2637</v>
      </c>
      <c r="H1120" s="146" t="s">
        <v>26</v>
      </c>
      <c r="I1120" s="144" t="s">
        <v>2593</v>
      </c>
    </row>
    <row r="1121" spans="1:9" ht="38.1">
      <c r="A1121" s="193">
        <v>45880</v>
      </c>
      <c r="B1121" s="145" t="s">
        <v>830</v>
      </c>
      <c r="C1121" s="150">
        <v>2025</v>
      </c>
      <c r="D1121" s="201" t="s">
        <v>1431</v>
      </c>
      <c r="E1121" s="144" t="s">
        <v>2591</v>
      </c>
      <c r="F1121" s="139" t="s">
        <v>88</v>
      </c>
      <c r="G1121" s="144" t="s">
        <v>2638</v>
      </c>
      <c r="H1121" s="146" t="s">
        <v>26</v>
      </c>
      <c r="I1121" s="144" t="s">
        <v>2593</v>
      </c>
    </row>
    <row r="1122" spans="1:9" ht="14.1">
      <c r="A1122" s="193">
        <v>45880</v>
      </c>
      <c r="B1122" s="145" t="s">
        <v>830</v>
      </c>
      <c r="C1122" s="150">
        <v>2025</v>
      </c>
      <c r="D1122" s="201" t="s">
        <v>1431</v>
      </c>
      <c r="E1122" s="144" t="s">
        <v>1566</v>
      </c>
      <c r="F1122" s="139" t="s">
        <v>88</v>
      </c>
      <c r="G1122" s="144" t="s">
        <v>2639</v>
      </c>
      <c r="H1122" s="146" t="s">
        <v>26</v>
      </c>
      <c r="I1122" s="144" t="s">
        <v>2640</v>
      </c>
    </row>
    <row r="1123" spans="1:9" ht="25.5">
      <c r="A1123" s="193">
        <v>45880</v>
      </c>
      <c r="B1123" s="145" t="s">
        <v>830</v>
      </c>
      <c r="C1123" s="150">
        <v>2025</v>
      </c>
      <c r="D1123" s="201" t="s">
        <v>1431</v>
      </c>
      <c r="E1123" s="144" t="s">
        <v>1566</v>
      </c>
      <c r="F1123" s="139" t="s">
        <v>88</v>
      </c>
      <c r="G1123" s="144" t="s">
        <v>1964</v>
      </c>
      <c r="H1123" s="146" t="s">
        <v>26</v>
      </c>
      <c r="I1123" s="144" t="s">
        <v>2640</v>
      </c>
    </row>
    <row r="1124" spans="1:9" ht="38.1">
      <c r="A1124" s="193">
        <v>45880</v>
      </c>
      <c r="B1124" s="145" t="s">
        <v>830</v>
      </c>
      <c r="C1124" s="150">
        <v>2025</v>
      </c>
      <c r="D1124" s="201" t="s">
        <v>1431</v>
      </c>
      <c r="E1124" s="144" t="s">
        <v>2613</v>
      </c>
      <c r="F1124" s="139" t="s">
        <v>88</v>
      </c>
      <c r="G1124" s="144" t="s">
        <v>2641</v>
      </c>
      <c r="H1124" s="146" t="s">
        <v>26</v>
      </c>
      <c r="I1124" s="144" t="s">
        <v>2568</v>
      </c>
    </row>
    <row r="1125" spans="1:9" ht="38.1">
      <c r="A1125" s="193">
        <v>45881</v>
      </c>
      <c r="B1125" s="145" t="s">
        <v>830</v>
      </c>
      <c r="C1125" s="150">
        <v>2025</v>
      </c>
      <c r="D1125" s="201" t="s">
        <v>1431</v>
      </c>
      <c r="E1125" s="144" t="s">
        <v>2585</v>
      </c>
      <c r="F1125" s="139" t="s">
        <v>88</v>
      </c>
      <c r="G1125" s="144" t="s">
        <v>2642</v>
      </c>
      <c r="H1125" s="146" t="s">
        <v>26</v>
      </c>
      <c r="I1125" s="144" t="s">
        <v>452</v>
      </c>
    </row>
    <row r="1126" spans="1:9" ht="38.1">
      <c r="A1126" s="193">
        <v>45881</v>
      </c>
      <c r="B1126" s="145" t="s">
        <v>830</v>
      </c>
      <c r="C1126" s="150">
        <v>2025</v>
      </c>
      <c r="D1126" s="201" t="s">
        <v>1431</v>
      </c>
      <c r="E1126" s="144" t="s">
        <v>574</v>
      </c>
      <c r="F1126" s="139" t="s">
        <v>88</v>
      </c>
      <c r="G1126" s="144" t="s">
        <v>2643</v>
      </c>
      <c r="H1126" s="146" t="s">
        <v>26</v>
      </c>
      <c r="I1126" s="144" t="s">
        <v>578</v>
      </c>
    </row>
    <row r="1127" spans="1:9" ht="63">
      <c r="A1127" s="193">
        <v>45881</v>
      </c>
      <c r="B1127" s="145" t="s">
        <v>830</v>
      </c>
      <c r="C1127" s="150">
        <v>2025</v>
      </c>
      <c r="D1127" s="201" t="s">
        <v>1431</v>
      </c>
      <c r="E1127" s="144" t="s">
        <v>2644</v>
      </c>
      <c r="F1127" s="141" t="s">
        <v>821</v>
      </c>
      <c r="G1127" s="144" t="s">
        <v>2645</v>
      </c>
      <c r="H1127" s="146" t="s">
        <v>26</v>
      </c>
      <c r="I1127" s="144" t="s">
        <v>1543</v>
      </c>
    </row>
    <row r="1128" spans="1:9" ht="87.95">
      <c r="A1128" s="193">
        <v>45881</v>
      </c>
      <c r="B1128" s="145" t="s">
        <v>830</v>
      </c>
      <c r="C1128" s="150">
        <v>2025</v>
      </c>
      <c r="D1128" s="201" t="s">
        <v>1431</v>
      </c>
      <c r="E1128" s="144" t="s">
        <v>1390</v>
      </c>
      <c r="F1128" s="139" t="s">
        <v>88</v>
      </c>
      <c r="G1128" s="144" t="s">
        <v>2646</v>
      </c>
      <c r="H1128" s="146" t="s">
        <v>26</v>
      </c>
      <c r="I1128" s="144" t="s">
        <v>2624</v>
      </c>
    </row>
    <row r="1129" spans="1:9" ht="25.5">
      <c r="A1129" s="193">
        <v>45881</v>
      </c>
      <c r="B1129" s="145" t="s">
        <v>830</v>
      </c>
      <c r="C1129" s="150">
        <v>2025</v>
      </c>
      <c r="D1129" s="201" t="s">
        <v>1431</v>
      </c>
      <c r="E1129" s="144" t="s">
        <v>2244</v>
      </c>
      <c r="F1129" s="147" t="s">
        <v>859</v>
      </c>
      <c r="G1129" s="144" t="s">
        <v>2647</v>
      </c>
      <c r="H1129" s="146" t="s">
        <v>26</v>
      </c>
      <c r="I1129" s="144" t="s">
        <v>1904</v>
      </c>
    </row>
    <row r="1130" spans="1:9" ht="25.5">
      <c r="A1130" s="193">
        <v>45881</v>
      </c>
      <c r="B1130" s="145" t="s">
        <v>830</v>
      </c>
      <c r="C1130" s="150">
        <v>2025</v>
      </c>
      <c r="D1130" s="201" t="s">
        <v>1431</v>
      </c>
      <c r="E1130" s="144" t="s">
        <v>216</v>
      </c>
      <c r="F1130" s="141" t="s">
        <v>821</v>
      </c>
      <c r="G1130" s="144" t="s">
        <v>2648</v>
      </c>
      <c r="H1130" s="146" t="s">
        <v>26</v>
      </c>
      <c r="I1130" s="144" t="s">
        <v>492</v>
      </c>
    </row>
    <row r="1131" spans="1:9" ht="25.5">
      <c r="A1131" s="193">
        <v>45881</v>
      </c>
      <c r="B1131" s="145" t="s">
        <v>830</v>
      </c>
      <c r="C1131" s="150">
        <v>2025</v>
      </c>
      <c r="D1131" s="201" t="s">
        <v>1431</v>
      </c>
      <c r="E1131" s="144" t="s">
        <v>216</v>
      </c>
      <c r="F1131" s="141" t="s">
        <v>821</v>
      </c>
      <c r="G1131" s="144" t="s">
        <v>2649</v>
      </c>
      <c r="H1131" s="146" t="s">
        <v>26</v>
      </c>
      <c r="I1131" s="144" t="s">
        <v>492</v>
      </c>
    </row>
    <row r="1132" spans="1:9" ht="25.5">
      <c r="A1132" s="193">
        <v>45881</v>
      </c>
      <c r="B1132" s="145" t="s">
        <v>830</v>
      </c>
      <c r="C1132" s="150">
        <v>2025</v>
      </c>
      <c r="D1132" s="201" t="s">
        <v>1431</v>
      </c>
      <c r="E1132" s="144" t="s">
        <v>2591</v>
      </c>
      <c r="F1132" s="147" t="s">
        <v>859</v>
      </c>
      <c r="G1132" s="144" t="s">
        <v>2650</v>
      </c>
      <c r="H1132" s="146" t="s">
        <v>26</v>
      </c>
      <c r="I1132" s="144" t="s">
        <v>925</v>
      </c>
    </row>
    <row r="1133" spans="1:9" ht="25.5">
      <c r="A1133" s="193">
        <v>45881</v>
      </c>
      <c r="B1133" s="145" t="s">
        <v>830</v>
      </c>
      <c r="C1133" s="150">
        <v>2025</v>
      </c>
      <c r="D1133" s="201" t="s">
        <v>1431</v>
      </c>
      <c r="E1133" s="144" t="s">
        <v>2591</v>
      </c>
      <c r="F1133" s="139" t="s">
        <v>88</v>
      </c>
      <c r="G1133" s="144" t="s">
        <v>2651</v>
      </c>
      <c r="H1133" s="146" t="s">
        <v>26</v>
      </c>
      <c r="I1133" s="144" t="s">
        <v>2593</v>
      </c>
    </row>
    <row r="1134" spans="1:9" ht="25.5">
      <c r="A1134" s="193">
        <v>45881</v>
      </c>
      <c r="B1134" s="145" t="s">
        <v>830</v>
      </c>
      <c r="C1134" s="150">
        <v>2025</v>
      </c>
      <c r="D1134" s="201" t="s">
        <v>1431</v>
      </c>
      <c r="E1134" s="144" t="s">
        <v>1566</v>
      </c>
      <c r="F1134" s="139" t="s">
        <v>88</v>
      </c>
      <c r="G1134" s="144" t="s">
        <v>2652</v>
      </c>
      <c r="H1134" s="146" t="s">
        <v>26</v>
      </c>
      <c r="I1134" s="144" t="s">
        <v>1453</v>
      </c>
    </row>
    <row r="1135" spans="1:9" ht="25.5">
      <c r="A1135" s="193">
        <v>45881</v>
      </c>
      <c r="B1135" s="145" t="s">
        <v>830</v>
      </c>
      <c r="C1135" s="150">
        <v>2025</v>
      </c>
      <c r="D1135" s="201" t="s">
        <v>1431</v>
      </c>
      <c r="E1135" s="144" t="s">
        <v>21</v>
      </c>
      <c r="F1135" s="141" t="s">
        <v>821</v>
      </c>
      <c r="G1135" s="144" t="s">
        <v>2653</v>
      </c>
      <c r="H1135" s="146" t="s">
        <v>26</v>
      </c>
      <c r="I1135" s="144" t="s">
        <v>468</v>
      </c>
    </row>
    <row r="1136" spans="1:9" ht="25.5">
      <c r="A1136" s="193">
        <v>45881</v>
      </c>
      <c r="B1136" s="145" t="s">
        <v>830</v>
      </c>
      <c r="C1136" s="150">
        <v>2025</v>
      </c>
      <c r="D1136" s="201" t="s">
        <v>1431</v>
      </c>
      <c r="E1136" s="144" t="s">
        <v>2613</v>
      </c>
      <c r="F1136" s="147" t="s">
        <v>859</v>
      </c>
      <c r="G1136" s="144" t="s">
        <v>2654</v>
      </c>
      <c r="H1136" s="146" t="s">
        <v>26</v>
      </c>
      <c r="I1136" s="144" t="s">
        <v>2568</v>
      </c>
    </row>
    <row r="1137" spans="1:9" ht="63">
      <c r="A1137" s="193">
        <v>45881</v>
      </c>
      <c r="B1137" s="145" t="s">
        <v>830</v>
      </c>
      <c r="C1137" s="150">
        <v>2025</v>
      </c>
      <c r="D1137" s="201" t="s">
        <v>1431</v>
      </c>
      <c r="E1137" s="144" t="s">
        <v>2591</v>
      </c>
      <c r="F1137" s="147" t="s">
        <v>859</v>
      </c>
      <c r="G1137" s="144" t="s">
        <v>2655</v>
      </c>
      <c r="H1137" s="146" t="s">
        <v>26</v>
      </c>
      <c r="I1137" s="144" t="s">
        <v>2593</v>
      </c>
    </row>
    <row r="1138" spans="1:9" ht="63">
      <c r="A1138" s="193">
        <v>45881</v>
      </c>
      <c r="B1138" s="145" t="s">
        <v>830</v>
      </c>
      <c r="C1138" s="150">
        <v>2025</v>
      </c>
      <c r="D1138" s="201" t="s">
        <v>1431</v>
      </c>
      <c r="E1138" s="144" t="s">
        <v>2591</v>
      </c>
      <c r="F1138" s="147" t="s">
        <v>859</v>
      </c>
      <c r="G1138" s="144" t="s">
        <v>2656</v>
      </c>
      <c r="H1138" s="146" t="s">
        <v>26</v>
      </c>
      <c r="I1138" s="144" t="s">
        <v>2593</v>
      </c>
    </row>
    <row r="1139" spans="1:9" ht="38.1">
      <c r="A1139" s="193">
        <v>45881</v>
      </c>
      <c r="B1139" s="145" t="s">
        <v>830</v>
      </c>
      <c r="C1139" s="150">
        <v>2025</v>
      </c>
      <c r="D1139" s="201" t="s">
        <v>1431</v>
      </c>
      <c r="E1139" s="144" t="s">
        <v>2591</v>
      </c>
      <c r="F1139" s="139" t="s">
        <v>88</v>
      </c>
      <c r="G1139" s="144" t="s">
        <v>2657</v>
      </c>
      <c r="H1139" s="146" t="s">
        <v>26</v>
      </c>
      <c r="I1139" s="144" t="s">
        <v>2593</v>
      </c>
    </row>
    <row r="1140" spans="1:9" ht="38.1">
      <c r="A1140" s="193">
        <v>45882</v>
      </c>
      <c r="B1140" s="145" t="s">
        <v>830</v>
      </c>
      <c r="C1140" s="150">
        <v>2025</v>
      </c>
      <c r="D1140" s="201" t="s">
        <v>1431</v>
      </c>
      <c r="E1140" s="144" t="s">
        <v>216</v>
      </c>
      <c r="F1140" s="141" t="s">
        <v>821</v>
      </c>
      <c r="G1140" s="144" t="s">
        <v>2658</v>
      </c>
      <c r="H1140" s="146" t="s">
        <v>26</v>
      </c>
      <c r="I1140" s="144" t="s">
        <v>492</v>
      </c>
    </row>
    <row r="1141" spans="1:9" ht="14.1">
      <c r="A1141" s="193">
        <v>45882</v>
      </c>
      <c r="B1141" s="145" t="s">
        <v>830</v>
      </c>
      <c r="C1141" s="150">
        <v>2025</v>
      </c>
      <c r="D1141" s="201" t="s">
        <v>1431</v>
      </c>
      <c r="E1141" s="144" t="s">
        <v>216</v>
      </c>
      <c r="F1141" s="141" t="s">
        <v>821</v>
      </c>
      <c r="G1141" s="144" t="s">
        <v>2659</v>
      </c>
      <c r="H1141" s="146" t="s">
        <v>26</v>
      </c>
      <c r="I1141" s="144" t="s">
        <v>492</v>
      </c>
    </row>
    <row r="1142" spans="1:9" ht="50.45">
      <c r="A1142" s="193">
        <v>45882</v>
      </c>
      <c r="B1142" s="145" t="s">
        <v>830</v>
      </c>
      <c r="C1142" s="150">
        <v>2025</v>
      </c>
      <c r="D1142" s="201" t="s">
        <v>1431</v>
      </c>
      <c r="E1142" s="144" t="s">
        <v>2591</v>
      </c>
      <c r="F1142" s="147" t="s">
        <v>859</v>
      </c>
      <c r="G1142" s="144" t="s">
        <v>2660</v>
      </c>
      <c r="H1142" s="146" t="s">
        <v>26</v>
      </c>
      <c r="I1142" s="144" t="s">
        <v>578</v>
      </c>
    </row>
    <row r="1143" spans="1:9" ht="25.5">
      <c r="A1143" s="193">
        <v>45882</v>
      </c>
      <c r="B1143" s="145" t="s">
        <v>830</v>
      </c>
      <c r="C1143" s="150">
        <v>2025</v>
      </c>
      <c r="D1143" s="201" t="s">
        <v>1431</v>
      </c>
      <c r="E1143" s="144" t="s">
        <v>2591</v>
      </c>
      <c r="F1143" s="147" t="s">
        <v>859</v>
      </c>
      <c r="G1143" s="144" t="s">
        <v>2661</v>
      </c>
      <c r="H1143" s="146" t="s">
        <v>26</v>
      </c>
      <c r="I1143" s="144" t="s">
        <v>2593</v>
      </c>
    </row>
    <row r="1144" spans="1:9" ht="38.1">
      <c r="A1144" s="193">
        <v>45882</v>
      </c>
      <c r="B1144" s="145" t="s">
        <v>830</v>
      </c>
      <c r="C1144" s="150">
        <v>2025</v>
      </c>
      <c r="D1144" s="201" t="s">
        <v>1431</v>
      </c>
      <c r="E1144" s="144" t="s">
        <v>2591</v>
      </c>
      <c r="F1144" s="139" t="s">
        <v>88</v>
      </c>
      <c r="G1144" s="144" t="s">
        <v>2662</v>
      </c>
      <c r="H1144" s="146" t="s">
        <v>26</v>
      </c>
      <c r="I1144" s="144" t="s">
        <v>2593</v>
      </c>
    </row>
    <row r="1145" spans="1:9" ht="14.1">
      <c r="A1145" s="193">
        <v>45883</v>
      </c>
      <c r="B1145" s="145" t="s">
        <v>830</v>
      </c>
      <c r="C1145" s="150">
        <v>2025</v>
      </c>
      <c r="D1145" s="201" t="s">
        <v>1431</v>
      </c>
      <c r="E1145" s="144" t="s">
        <v>1566</v>
      </c>
      <c r="F1145" s="139" t="s">
        <v>88</v>
      </c>
      <c r="G1145" s="144" t="s">
        <v>2663</v>
      </c>
      <c r="H1145" s="146" t="s">
        <v>26</v>
      </c>
      <c r="I1145" s="144" t="s">
        <v>2640</v>
      </c>
    </row>
    <row r="1146" spans="1:9" ht="14.1">
      <c r="A1146" s="193">
        <v>45883</v>
      </c>
      <c r="B1146" s="145" t="s">
        <v>830</v>
      </c>
      <c r="C1146" s="150">
        <v>2025</v>
      </c>
      <c r="D1146" s="201" t="s">
        <v>1431</v>
      </c>
      <c r="E1146" s="144" t="s">
        <v>1566</v>
      </c>
      <c r="F1146" s="139" t="s">
        <v>88</v>
      </c>
      <c r="G1146" s="144" t="s">
        <v>2664</v>
      </c>
      <c r="H1146" s="146" t="s">
        <v>26</v>
      </c>
      <c r="I1146" s="144" t="s">
        <v>2640</v>
      </c>
    </row>
    <row r="1147" spans="1:9" ht="25.5">
      <c r="A1147" s="193">
        <v>45883</v>
      </c>
      <c r="B1147" s="145" t="s">
        <v>830</v>
      </c>
      <c r="C1147" s="150">
        <v>2025</v>
      </c>
      <c r="D1147" s="201" t="s">
        <v>1431</v>
      </c>
      <c r="E1147" s="144" t="s">
        <v>1566</v>
      </c>
      <c r="F1147" s="139" t="s">
        <v>88</v>
      </c>
      <c r="G1147" s="144" t="s">
        <v>2665</v>
      </c>
      <c r="H1147" s="146" t="s">
        <v>26</v>
      </c>
      <c r="I1147" s="144" t="s">
        <v>2640</v>
      </c>
    </row>
    <row r="1148" spans="1:9" ht="38.1">
      <c r="A1148" s="193">
        <v>45883</v>
      </c>
      <c r="B1148" s="145" t="s">
        <v>830</v>
      </c>
      <c r="C1148" s="150">
        <v>2025</v>
      </c>
      <c r="D1148" s="201" t="s">
        <v>1431</v>
      </c>
      <c r="E1148" s="144" t="s">
        <v>216</v>
      </c>
      <c r="F1148" s="141" t="s">
        <v>821</v>
      </c>
      <c r="G1148" s="144" t="s">
        <v>2666</v>
      </c>
      <c r="H1148" s="146" t="s">
        <v>26</v>
      </c>
      <c r="I1148" s="144" t="s">
        <v>492</v>
      </c>
    </row>
    <row r="1149" spans="1:9" ht="38.1">
      <c r="A1149" s="193">
        <v>45883</v>
      </c>
      <c r="B1149" s="145" t="s">
        <v>830</v>
      </c>
      <c r="C1149" s="150">
        <v>2025</v>
      </c>
      <c r="D1149" s="201" t="s">
        <v>1431</v>
      </c>
      <c r="E1149" s="144" t="s">
        <v>2591</v>
      </c>
      <c r="F1149" s="139" t="s">
        <v>88</v>
      </c>
      <c r="G1149" s="144" t="s">
        <v>2667</v>
      </c>
      <c r="H1149" s="146" t="s">
        <v>26</v>
      </c>
      <c r="I1149" s="144" t="s">
        <v>2593</v>
      </c>
    </row>
    <row r="1150" spans="1:9" ht="50.45">
      <c r="A1150" s="193">
        <v>45883</v>
      </c>
      <c r="B1150" s="145" t="s">
        <v>830</v>
      </c>
      <c r="C1150" s="150">
        <v>2025</v>
      </c>
      <c r="D1150" s="201" t="s">
        <v>1431</v>
      </c>
      <c r="E1150" s="144" t="s">
        <v>2591</v>
      </c>
      <c r="F1150" s="139" t="s">
        <v>88</v>
      </c>
      <c r="G1150" s="144" t="s">
        <v>2668</v>
      </c>
      <c r="H1150" s="146" t="s">
        <v>26</v>
      </c>
      <c r="I1150" s="144" t="s">
        <v>2593</v>
      </c>
    </row>
    <row r="1151" spans="1:9" ht="25.5">
      <c r="A1151" s="193">
        <v>45884</v>
      </c>
      <c r="B1151" s="145" t="s">
        <v>830</v>
      </c>
      <c r="C1151" s="150">
        <v>2025</v>
      </c>
      <c r="D1151" s="201" t="s">
        <v>1431</v>
      </c>
      <c r="E1151" s="144" t="s">
        <v>2595</v>
      </c>
      <c r="F1151" s="139" t="s">
        <v>88</v>
      </c>
      <c r="G1151" s="144" t="s">
        <v>2669</v>
      </c>
      <c r="H1151" s="146" t="s">
        <v>26</v>
      </c>
      <c r="I1151" s="144" t="s">
        <v>578</v>
      </c>
    </row>
    <row r="1152" spans="1:9" ht="25.5">
      <c r="A1152" s="193">
        <v>45884</v>
      </c>
      <c r="B1152" s="145" t="s">
        <v>830</v>
      </c>
      <c r="C1152" s="150">
        <v>2025</v>
      </c>
      <c r="D1152" s="201" t="s">
        <v>1431</v>
      </c>
      <c r="E1152" s="144" t="s">
        <v>21</v>
      </c>
      <c r="F1152" s="141" t="s">
        <v>821</v>
      </c>
      <c r="G1152" s="144" t="s">
        <v>2670</v>
      </c>
      <c r="H1152" s="146" t="s">
        <v>26</v>
      </c>
      <c r="I1152" s="144" t="s">
        <v>149</v>
      </c>
    </row>
    <row r="1153" spans="1:9" ht="38.1">
      <c r="A1153" s="193">
        <v>45884</v>
      </c>
      <c r="B1153" s="145" t="s">
        <v>830</v>
      </c>
      <c r="C1153" s="150">
        <v>2025</v>
      </c>
      <c r="D1153" s="201" t="s">
        <v>1431</v>
      </c>
      <c r="E1153" s="144" t="s">
        <v>1225</v>
      </c>
      <c r="F1153" s="147" t="s">
        <v>859</v>
      </c>
      <c r="G1153" s="144" t="s">
        <v>2671</v>
      </c>
      <c r="H1153" s="146" t="s">
        <v>26</v>
      </c>
      <c r="I1153" s="144" t="s">
        <v>925</v>
      </c>
    </row>
    <row r="1154" spans="1:9" ht="25.5">
      <c r="A1154" s="193">
        <v>45884</v>
      </c>
      <c r="B1154" s="145" t="s">
        <v>830</v>
      </c>
      <c r="C1154" s="150">
        <v>2025</v>
      </c>
      <c r="D1154" s="201" t="s">
        <v>1431</v>
      </c>
      <c r="E1154" s="144" t="s">
        <v>1506</v>
      </c>
      <c r="F1154" s="139" t="s">
        <v>88</v>
      </c>
      <c r="G1154" s="144" t="s">
        <v>2672</v>
      </c>
      <c r="H1154" s="146" t="s">
        <v>26</v>
      </c>
      <c r="I1154" s="144" t="s">
        <v>1904</v>
      </c>
    </row>
    <row r="1155" spans="1:9" ht="38.1">
      <c r="A1155" s="193">
        <v>45884</v>
      </c>
      <c r="B1155" s="145" t="s">
        <v>830</v>
      </c>
      <c r="C1155" s="150">
        <v>2025</v>
      </c>
      <c r="D1155" s="201" t="s">
        <v>1431</v>
      </c>
      <c r="E1155" s="144" t="s">
        <v>216</v>
      </c>
      <c r="F1155" s="141" t="s">
        <v>821</v>
      </c>
      <c r="G1155" s="144" t="s">
        <v>2673</v>
      </c>
      <c r="H1155" s="146" t="s">
        <v>26</v>
      </c>
      <c r="I1155" s="144" t="s">
        <v>492</v>
      </c>
    </row>
    <row r="1156" spans="1:9" ht="25.5">
      <c r="A1156" s="193">
        <v>45884</v>
      </c>
      <c r="B1156" s="145" t="s">
        <v>830</v>
      </c>
      <c r="C1156" s="150">
        <v>2025</v>
      </c>
      <c r="D1156" s="201" t="s">
        <v>1431</v>
      </c>
      <c r="E1156" s="144" t="s">
        <v>216</v>
      </c>
      <c r="F1156" s="141" t="s">
        <v>821</v>
      </c>
      <c r="G1156" s="144" t="s">
        <v>2674</v>
      </c>
      <c r="H1156" s="146" t="s">
        <v>26</v>
      </c>
      <c r="I1156" s="144" t="s">
        <v>492</v>
      </c>
    </row>
    <row r="1157" spans="1:9" ht="14.1">
      <c r="A1157" s="193">
        <v>45884</v>
      </c>
      <c r="B1157" s="145" t="s">
        <v>830</v>
      </c>
      <c r="C1157" s="150">
        <v>2025</v>
      </c>
      <c r="D1157" s="201" t="s">
        <v>1431</v>
      </c>
      <c r="E1157" s="144" t="s">
        <v>1566</v>
      </c>
      <c r="F1157" s="139" t="s">
        <v>88</v>
      </c>
      <c r="G1157" s="144" t="s">
        <v>2675</v>
      </c>
      <c r="H1157" s="146" t="s">
        <v>26</v>
      </c>
      <c r="I1157" s="144" t="s">
        <v>1588</v>
      </c>
    </row>
    <row r="1158" spans="1:9" ht="38.1">
      <c r="A1158" s="193">
        <v>45884</v>
      </c>
      <c r="B1158" s="145" t="s">
        <v>830</v>
      </c>
      <c r="C1158" s="150">
        <v>2025</v>
      </c>
      <c r="D1158" s="201" t="s">
        <v>1431</v>
      </c>
      <c r="E1158" s="144" t="s">
        <v>1566</v>
      </c>
      <c r="F1158" s="139" t="s">
        <v>88</v>
      </c>
      <c r="G1158" s="144" t="s">
        <v>2676</v>
      </c>
      <c r="H1158" s="146" t="s">
        <v>26</v>
      </c>
      <c r="I1158" s="144" t="s">
        <v>1588</v>
      </c>
    </row>
    <row r="1159" spans="1:9" ht="38.1">
      <c r="A1159" s="193">
        <v>45884</v>
      </c>
      <c r="B1159" s="145" t="s">
        <v>830</v>
      </c>
      <c r="C1159" s="150">
        <v>2025</v>
      </c>
      <c r="D1159" s="201" t="s">
        <v>1431</v>
      </c>
      <c r="E1159" s="144" t="s">
        <v>2677</v>
      </c>
      <c r="F1159" s="140" t="s">
        <v>1439</v>
      </c>
      <c r="G1159" s="144" t="s">
        <v>2678</v>
      </c>
      <c r="H1159" s="146" t="s">
        <v>26</v>
      </c>
      <c r="I1159" s="144" t="s">
        <v>910</v>
      </c>
    </row>
    <row r="1160" spans="1:9" ht="25.5">
      <c r="A1160" s="193">
        <v>45887</v>
      </c>
      <c r="B1160" s="145" t="s">
        <v>830</v>
      </c>
      <c r="C1160" s="150">
        <v>2025</v>
      </c>
      <c r="D1160" s="201" t="s">
        <v>1431</v>
      </c>
      <c r="E1160" s="144" t="s">
        <v>21</v>
      </c>
      <c r="F1160" s="141" t="s">
        <v>821</v>
      </c>
      <c r="G1160" s="144" t="s">
        <v>2679</v>
      </c>
      <c r="H1160" s="146" t="s">
        <v>26</v>
      </c>
      <c r="I1160" s="144" t="s">
        <v>149</v>
      </c>
    </row>
    <row r="1161" spans="1:9" ht="25.5">
      <c r="A1161" s="193">
        <v>45887</v>
      </c>
      <c r="B1161" s="145" t="s">
        <v>830</v>
      </c>
      <c r="C1161" s="150">
        <v>2025</v>
      </c>
      <c r="D1161" s="201" t="s">
        <v>1431</v>
      </c>
      <c r="E1161" s="144" t="s">
        <v>2244</v>
      </c>
      <c r="F1161" s="147" t="s">
        <v>859</v>
      </c>
      <c r="G1161" s="144" t="s">
        <v>2680</v>
      </c>
      <c r="H1161" s="146" t="s">
        <v>26</v>
      </c>
      <c r="I1161" s="144" t="s">
        <v>923</v>
      </c>
    </row>
    <row r="1162" spans="1:9" ht="38.1">
      <c r="A1162" s="193">
        <v>45887</v>
      </c>
      <c r="B1162" s="145" t="s">
        <v>830</v>
      </c>
      <c r="C1162" s="150">
        <v>2025</v>
      </c>
      <c r="D1162" s="201" t="s">
        <v>1431</v>
      </c>
      <c r="E1162" s="144" t="s">
        <v>1506</v>
      </c>
      <c r="F1162" s="139" t="s">
        <v>88</v>
      </c>
      <c r="G1162" s="144" t="s">
        <v>2681</v>
      </c>
      <c r="H1162" s="146" t="s">
        <v>26</v>
      </c>
      <c r="I1162" s="144" t="s">
        <v>1904</v>
      </c>
    </row>
    <row r="1163" spans="1:9" ht="38.1">
      <c r="A1163" s="193">
        <v>45887</v>
      </c>
      <c r="B1163" s="145" t="s">
        <v>830</v>
      </c>
      <c r="C1163" s="150">
        <v>2025</v>
      </c>
      <c r="D1163" s="201" t="s">
        <v>1431</v>
      </c>
      <c r="E1163" s="144" t="s">
        <v>1506</v>
      </c>
      <c r="F1163" s="139" t="s">
        <v>88</v>
      </c>
      <c r="G1163" s="144" t="s">
        <v>2682</v>
      </c>
      <c r="H1163" s="146" t="s">
        <v>26</v>
      </c>
      <c r="I1163" s="144" t="s">
        <v>1904</v>
      </c>
    </row>
    <row r="1164" spans="1:9" ht="25.5">
      <c r="A1164" s="193">
        <v>45887</v>
      </c>
      <c r="B1164" s="145" t="s">
        <v>830</v>
      </c>
      <c r="C1164" s="150">
        <v>2025</v>
      </c>
      <c r="D1164" s="201" t="s">
        <v>1431</v>
      </c>
      <c r="E1164" s="144" t="s">
        <v>1506</v>
      </c>
      <c r="F1164" s="139" t="s">
        <v>88</v>
      </c>
      <c r="G1164" s="144" t="s">
        <v>2683</v>
      </c>
      <c r="H1164" s="146" t="s">
        <v>26</v>
      </c>
      <c r="I1164" s="144" t="s">
        <v>1904</v>
      </c>
    </row>
    <row r="1165" spans="1:9" ht="50.45">
      <c r="A1165" s="193">
        <v>45887</v>
      </c>
      <c r="B1165" s="145" t="s">
        <v>830</v>
      </c>
      <c r="C1165" s="150">
        <v>2025</v>
      </c>
      <c r="D1165" s="201" t="s">
        <v>1431</v>
      </c>
      <c r="E1165" s="144" t="s">
        <v>1506</v>
      </c>
      <c r="F1165" s="139" t="s">
        <v>88</v>
      </c>
      <c r="G1165" s="144" t="s">
        <v>2684</v>
      </c>
      <c r="H1165" s="146" t="s">
        <v>26</v>
      </c>
      <c r="I1165" s="144" t="s">
        <v>1904</v>
      </c>
    </row>
    <row r="1166" spans="1:9" ht="25.5">
      <c r="A1166" s="193">
        <v>45887</v>
      </c>
      <c r="B1166" s="145" t="s">
        <v>830</v>
      </c>
      <c r="C1166" s="150">
        <v>2025</v>
      </c>
      <c r="D1166" s="201" t="s">
        <v>1431</v>
      </c>
      <c r="E1166" s="144" t="s">
        <v>216</v>
      </c>
      <c r="F1166" s="141" t="s">
        <v>821</v>
      </c>
      <c r="G1166" s="144" t="s">
        <v>2685</v>
      </c>
      <c r="H1166" s="146" t="s">
        <v>26</v>
      </c>
      <c r="I1166" s="144" t="s">
        <v>492</v>
      </c>
    </row>
    <row r="1167" spans="1:9" ht="25.5">
      <c r="A1167" s="193">
        <v>45887</v>
      </c>
      <c r="B1167" s="145" t="s">
        <v>830</v>
      </c>
      <c r="C1167" s="150">
        <v>2025</v>
      </c>
      <c r="D1167" s="201" t="s">
        <v>1431</v>
      </c>
      <c r="E1167" s="144" t="s">
        <v>21</v>
      </c>
      <c r="F1167" s="141" t="s">
        <v>821</v>
      </c>
      <c r="G1167" s="144" t="s">
        <v>2686</v>
      </c>
      <c r="H1167" s="146" t="s">
        <v>26</v>
      </c>
      <c r="I1167" s="144" t="s">
        <v>149</v>
      </c>
    </row>
    <row r="1168" spans="1:9" ht="25.5">
      <c r="A1168" s="193">
        <v>45887</v>
      </c>
      <c r="B1168" s="145" t="s">
        <v>830</v>
      </c>
      <c r="C1168" s="150">
        <v>2025</v>
      </c>
      <c r="D1168" s="201" t="s">
        <v>1431</v>
      </c>
      <c r="E1168" s="144" t="s">
        <v>1508</v>
      </c>
      <c r="F1168" s="139" t="s">
        <v>88</v>
      </c>
      <c r="G1168" s="144" t="s">
        <v>2687</v>
      </c>
      <c r="H1168" s="146" t="s">
        <v>26</v>
      </c>
      <c r="I1168" s="144" t="s">
        <v>2688</v>
      </c>
    </row>
    <row r="1169" spans="1:9" ht="38.1">
      <c r="A1169" s="193">
        <v>45887</v>
      </c>
      <c r="B1169" s="145" t="s">
        <v>830</v>
      </c>
      <c r="C1169" s="150">
        <v>2025</v>
      </c>
      <c r="D1169" s="201" t="s">
        <v>1431</v>
      </c>
      <c r="E1169" s="144" t="s">
        <v>2591</v>
      </c>
      <c r="F1169" s="147" t="s">
        <v>859</v>
      </c>
      <c r="G1169" s="144" t="s">
        <v>2689</v>
      </c>
      <c r="H1169" s="146" t="s">
        <v>26</v>
      </c>
      <c r="I1169" s="144" t="s">
        <v>2593</v>
      </c>
    </row>
    <row r="1170" spans="1:9" ht="38.1">
      <c r="A1170" s="193">
        <v>45887</v>
      </c>
      <c r="B1170" s="145" t="s">
        <v>830</v>
      </c>
      <c r="C1170" s="150">
        <v>2025</v>
      </c>
      <c r="D1170" s="201" t="s">
        <v>2224</v>
      </c>
      <c r="E1170" s="144" t="s">
        <v>21</v>
      </c>
      <c r="F1170" s="141" t="s">
        <v>821</v>
      </c>
      <c r="G1170" s="144" t="s">
        <v>2690</v>
      </c>
      <c r="H1170" s="146" t="s">
        <v>26</v>
      </c>
      <c r="I1170" s="144" t="s">
        <v>468</v>
      </c>
    </row>
    <row r="1171" spans="1:9" ht="50.45">
      <c r="A1171" s="193">
        <v>45887</v>
      </c>
      <c r="B1171" s="145" t="s">
        <v>830</v>
      </c>
      <c r="C1171" s="150">
        <v>2025</v>
      </c>
      <c r="D1171" s="201" t="s">
        <v>2224</v>
      </c>
      <c r="E1171" s="144" t="s">
        <v>2591</v>
      </c>
      <c r="F1171" s="139" t="s">
        <v>88</v>
      </c>
      <c r="G1171" s="144" t="s">
        <v>2691</v>
      </c>
      <c r="H1171" s="146" t="s">
        <v>26</v>
      </c>
      <c r="I1171" s="144" t="s">
        <v>2593</v>
      </c>
    </row>
    <row r="1172" spans="1:9" ht="50.45">
      <c r="A1172" s="193">
        <v>45887</v>
      </c>
      <c r="B1172" s="145" t="s">
        <v>830</v>
      </c>
      <c r="C1172" s="150">
        <v>2025</v>
      </c>
      <c r="D1172" s="201" t="s">
        <v>1431</v>
      </c>
      <c r="E1172" s="144" t="s">
        <v>2591</v>
      </c>
      <c r="F1172" s="147" t="s">
        <v>859</v>
      </c>
      <c r="G1172" s="144" t="s">
        <v>2692</v>
      </c>
      <c r="H1172" s="146" t="s">
        <v>26</v>
      </c>
      <c r="I1172" s="144" t="s">
        <v>2593</v>
      </c>
    </row>
    <row r="1173" spans="1:9" ht="25.5">
      <c r="A1173" s="193">
        <v>45887</v>
      </c>
      <c r="B1173" s="145" t="s">
        <v>830</v>
      </c>
      <c r="C1173" s="150">
        <v>2025</v>
      </c>
      <c r="D1173" s="201" t="s">
        <v>1431</v>
      </c>
      <c r="E1173" s="144" t="s">
        <v>2591</v>
      </c>
      <c r="F1173" s="147" t="s">
        <v>859</v>
      </c>
      <c r="G1173" s="144" t="s">
        <v>2693</v>
      </c>
      <c r="H1173" s="146" t="s">
        <v>26</v>
      </c>
      <c r="I1173" s="144" t="s">
        <v>2593</v>
      </c>
    </row>
    <row r="1174" spans="1:9" ht="14.1">
      <c r="A1174" s="193">
        <v>45887</v>
      </c>
      <c r="B1174" s="145" t="s">
        <v>830</v>
      </c>
      <c r="C1174" s="150">
        <v>2025</v>
      </c>
      <c r="D1174" s="201" t="s">
        <v>1431</v>
      </c>
      <c r="E1174" s="144" t="s">
        <v>2591</v>
      </c>
      <c r="F1174" s="141" t="s">
        <v>821</v>
      </c>
      <c r="G1174" s="144" t="s">
        <v>2694</v>
      </c>
      <c r="H1174" s="146" t="s">
        <v>26</v>
      </c>
      <c r="I1174" s="144" t="s">
        <v>2593</v>
      </c>
    </row>
    <row r="1175" spans="1:9" ht="38.1">
      <c r="A1175" s="193">
        <v>45887</v>
      </c>
      <c r="B1175" s="145" t="s">
        <v>830</v>
      </c>
      <c r="C1175" s="150">
        <v>2025</v>
      </c>
      <c r="D1175" s="201" t="s">
        <v>1431</v>
      </c>
      <c r="E1175" s="144" t="s">
        <v>2591</v>
      </c>
      <c r="F1175" s="139" t="s">
        <v>88</v>
      </c>
      <c r="G1175" s="144" t="s">
        <v>2695</v>
      </c>
      <c r="H1175" s="146" t="s">
        <v>26</v>
      </c>
      <c r="I1175" s="144" t="s">
        <v>2593</v>
      </c>
    </row>
    <row r="1176" spans="1:9" ht="14.1">
      <c r="A1176" s="193">
        <v>45887</v>
      </c>
      <c r="B1176" s="145" t="s">
        <v>830</v>
      </c>
      <c r="C1176" s="150">
        <v>2025</v>
      </c>
      <c r="D1176" s="201" t="s">
        <v>1431</v>
      </c>
      <c r="E1176" s="144" t="s">
        <v>1566</v>
      </c>
      <c r="F1176" s="139" t="s">
        <v>88</v>
      </c>
      <c r="G1176" s="144" t="s">
        <v>2696</v>
      </c>
      <c r="H1176" s="146" t="s">
        <v>26</v>
      </c>
      <c r="I1176" s="144" t="s">
        <v>1588</v>
      </c>
    </row>
    <row r="1177" spans="1:9" ht="38.1">
      <c r="A1177" s="193">
        <v>45887</v>
      </c>
      <c r="B1177" s="145" t="s">
        <v>830</v>
      </c>
      <c r="C1177" s="150">
        <v>2025</v>
      </c>
      <c r="D1177" s="201" t="s">
        <v>1431</v>
      </c>
      <c r="E1177" s="144" t="s">
        <v>1566</v>
      </c>
      <c r="F1177" s="139" t="s">
        <v>88</v>
      </c>
      <c r="G1177" s="144" t="s">
        <v>2697</v>
      </c>
      <c r="H1177" s="146" t="s">
        <v>26</v>
      </c>
      <c r="I1177" s="144" t="s">
        <v>1588</v>
      </c>
    </row>
    <row r="1178" spans="1:9" ht="25.5">
      <c r="A1178" s="193">
        <v>45887</v>
      </c>
      <c r="B1178" s="145" t="s">
        <v>830</v>
      </c>
      <c r="C1178" s="150">
        <v>2025</v>
      </c>
      <c r="D1178" s="201" t="s">
        <v>1431</v>
      </c>
      <c r="E1178" s="144" t="s">
        <v>1566</v>
      </c>
      <c r="F1178" s="139" t="s">
        <v>88</v>
      </c>
      <c r="G1178" s="144" t="s">
        <v>2698</v>
      </c>
      <c r="H1178" s="146" t="s">
        <v>26</v>
      </c>
      <c r="I1178" s="144" t="s">
        <v>1588</v>
      </c>
    </row>
    <row r="1179" spans="1:9" ht="38.1">
      <c r="A1179" s="193">
        <v>45888</v>
      </c>
      <c r="B1179" s="145" t="s">
        <v>830</v>
      </c>
      <c r="C1179" s="150">
        <v>2025</v>
      </c>
      <c r="D1179" s="201" t="s">
        <v>1431</v>
      </c>
      <c r="E1179" s="144" t="s">
        <v>1511</v>
      </c>
      <c r="F1179" s="139" t="s">
        <v>88</v>
      </c>
      <c r="G1179" s="144" t="s">
        <v>2699</v>
      </c>
      <c r="H1179" s="146" t="s">
        <v>26</v>
      </c>
      <c r="I1179" s="144" t="s">
        <v>2700</v>
      </c>
    </row>
    <row r="1180" spans="1:9" ht="38.1">
      <c r="A1180" s="193">
        <v>45888</v>
      </c>
      <c r="B1180" s="145" t="s">
        <v>830</v>
      </c>
      <c r="C1180" s="150">
        <v>2025</v>
      </c>
      <c r="D1180" s="201" t="s">
        <v>1431</v>
      </c>
      <c r="E1180" s="144" t="s">
        <v>216</v>
      </c>
      <c r="F1180" s="141" t="s">
        <v>821</v>
      </c>
      <c r="G1180" s="144" t="s">
        <v>2701</v>
      </c>
      <c r="H1180" s="146" t="s">
        <v>26</v>
      </c>
      <c r="I1180" s="144" t="s">
        <v>923</v>
      </c>
    </row>
    <row r="1181" spans="1:9" ht="14.1">
      <c r="A1181" s="193">
        <v>45888</v>
      </c>
      <c r="B1181" s="145" t="s">
        <v>830</v>
      </c>
      <c r="C1181" s="150">
        <v>2025</v>
      </c>
      <c r="D1181" s="201" t="s">
        <v>1431</v>
      </c>
      <c r="E1181" s="144" t="s">
        <v>1566</v>
      </c>
      <c r="F1181" s="139" t="s">
        <v>88</v>
      </c>
      <c r="G1181" s="144" t="s">
        <v>2702</v>
      </c>
      <c r="H1181" s="146" t="s">
        <v>26</v>
      </c>
      <c r="I1181" s="144" t="s">
        <v>1453</v>
      </c>
    </row>
    <row r="1182" spans="1:9" ht="25.5">
      <c r="A1182" s="193">
        <v>45888</v>
      </c>
      <c r="B1182" s="145" t="s">
        <v>830</v>
      </c>
      <c r="C1182" s="150">
        <v>2025</v>
      </c>
      <c r="D1182" s="201" t="s">
        <v>1431</v>
      </c>
      <c r="E1182" s="144" t="s">
        <v>1566</v>
      </c>
      <c r="F1182" s="139" t="s">
        <v>88</v>
      </c>
      <c r="G1182" s="144" t="s">
        <v>2703</v>
      </c>
      <c r="H1182" s="146" t="s">
        <v>26</v>
      </c>
      <c r="I1182" s="144" t="s">
        <v>1453</v>
      </c>
    </row>
    <row r="1183" spans="1:9" ht="25.5">
      <c r="A1183" s="193">
        <v>45888</v>
      </c>
      <c r="B1183" s="145" t="s">
        <v>830</v>
      </c>
      <c r="C1183" s="150">
        <v>2025</v>
      </c>
      <c r="D1183" s="201" t="s">
        <v>1431</v>
      </c>
      <c r="E1183" s="144" t="s">
        <v>1608</v>
      </c>
      <c r="F1183" s="140" t="s">
        <v>1439</v>
      </c>
      <c r="G1183" s="144" t="s">
        <v>2704</v>
      </c>
      <c r="H1183" s="146" t="s">
        <v>26</v>
      </c>
      <c r="I1183" s="144" t="s">
        <v>921</v>
      </c>
    </row>
    <row r="1184" spans="1:9" ht="14.1">
      <c r="A1184" s="193">
        <v>45888</v>
      </c>
      <c r="B1184" s="145" t="s">
        <v>830</v>
      </c>
      <c r="C1184" s="150">
        <v>2025</v>
      </c>
      <c r="D1184" s="201" t="s">
        <v>1431</v>
      </c>
      <c r="E1184" s="144" t="s">
        <v>1608</v>
      </c>
      <c r="F1184" s="140" t="s">
        <v>1439</v>
      </c>
      <c r="G1184" s="144" t="s">
        <v>2705</v>
      </c>
      <c r="H1184" s="146" t="s">
        <v>26</v>
      </c>
      <c r="I1184" s="144" t="s">
        <v>1493</v>
      </c>
    </row>
    <row r="1185" spans="1:9" ht="25.5">
      <c r="A1185" s="193">
        <v>45888</v>
      </c>
      <c r="B1185" s="145" t="s">
        <v>830</v>
      </c>
      <c r="C1185" s="150">
        <v>2025</v>
      </c>
      <c r="D1185" s="201" t="s">
        <v>1431</v>
      </c>
      <c r="E1185" s="144" t="s">
        <v>1608</v>
      </c>
      <c r="F1185" s="140" t="s">
        <v>1439</v>
      </c>
      <c r="G1185" s="144" t="s">
        <v>2706</v>
      </c>
      <c r="H1185" s="146" t="s">
        <v>26</v>
      </c>
      <c r="I1185" s="144" t="s">
        <v>158</v>
      </c>
    </row>
    <row r="1186" spans="1:9" ht="25.5">
      <c r="A1186" s="193">
        <v>45889</v>
      </c>
      <c r="B1186" s="145" t="s">
        <v>830</v>
      </c>
      <c r="C1186" s="150">
        <v>2025</v>
      </c>
      <c r="D1186" s="201" t="s">
        <v>1431</v>
      </c>
      <c r="E1186" s="144" t="s">
        <v>2244</v>
      </c>
      <c r="F1186" s="147" t="s">
        <v>859</v>
      </c>
      <c r="G1186" s="144" t="s">
        <v>2680</v>
      </c>
      <c r="H1186" s="146" t="s">
        <v>26</v>
      </c>
      <c r="I1186" s="144" t="s">
        <v>923</v>
      </c>
    </row>
    <row r="1187" spans="1:9" ht="38.1">
      <c r="A1187" s="193">
        <v>45889</v>
      </c>
      <c r="B1187" s="145" t="s">
        <v>830</v>
      </c>
      <c r="C1187" s="150">
        <v>2025</v>
      </c>
      <c r="D1187" s="201" t="s">
        <v>1431</v>
      </c>
      <c r="E1187" s="144" t="s">
        <v>216</v>
      </c>
      <c r="F1187" s="141" t="s">
        <v>821</v>
      </c>
      <c r="G1187" s="144" t="s">
        <v>2707</v>
      </c>
      <c r="H1187" s="146" t="s">
        <v>26</v>
      </c>
      <c r="I1187" s="144" t="s">
        <v>492</v>
      </c>
    </row>
    <row r="1188" spans="1:9" ht="25.5">
      <c r="A1188" s="193">
        <v>45889</v>
      </c>
      <c r="B1188" s="145" t="s">
        <v>830</v>
      </c>
      <c r="C1188" s="150">
        <v>2025</v>
      </c>
      <c r="D1188" s="201" t="s">
        <v>1431</v>
      </c>
      <c r="E1188" s="144" t="s">
        <v>21</v>
      </c>
      <c r="F1188" s="141" t="s">
        <v>821</v>
      </c>
      <c r="G1188" s="144" t="s">
        <v>2708</v>
      </c>
      <c r="H1188" s="146" t="s">
        <v>26</v>
      </c>
      <c r="I1188" s="144" t="s">
        <v>468</v>
      </c>
    </row>
    <row r="1189" spans="1:9" ht="38.1">
      <c r="A1189" s="193">
        <v>45889</v>
      </c>
      <c r="B1189" s="145" t="s">
        <v>830</v>
      </c>
      <c r="C1189" s="150">
        <v>2025</v>
      </c>
      <c r="D1189" s="201" t="s">
        <v>1431</v>
      </c>
      <c r="E1189" s="144" t="s">
        <v>2591</v>
      </c>
      <c r="F1189" s="139" t="s">
        <v>88</v>
      </c>
      <c r="G1189" s="144" t="s">
        <v>2709</v>
      </c>
      <c r="H1189" s="146" t="s">
        <v>26</v>
      </c>
      <c r="I1189" s="144" t="s">
        <v>2593</v>
      </c>
    </row>
    <row r="1190" spans="1:9" ht="38.1">
      <c r="A1190" s="193">
        <v>45889</v>
      </c>
      <c r="B1190" s="145" t="s">
        <v>830</v>
      </c>
      <c r="C1190" s="150">
        <v>2025</v>
      </c>
      <c r="D1190" s="201" t="s">
        <v>1431</v>
      </c>
      <c r="E1190" s="144" t="s">
        <v>2591</v>
      </c>
      <c r="F1190" s="139" t="s">
        <v>88</v>
      </c>
      <c r="G1190" s="144" t="s">
        <v>2710</v>
      </c>
      <c r="H1190" s="146" t="s">
        <v>26</v>
      </c>
      <c r="I1190" s="144" t="s">
        <v>2593</v>
      </c>
    </row>
    <row r="1191" spans="1:9" ht="38.1">
      <c r="A1191" s="193">
        <v>45889</v>
      </c>
      <c r="B1191" s="145" t="s">
        <v>830</v>
      </c>
      <c r="C1191" s="150">
        <v>2025</v>
      </c>
      <c r="D1191" s="201" t="s">
        <v>1431</v>
      </c>
      <c r="E1191" s="144" t="s">
        <v>2591</v>
      </c>
      <c r="F1191" s="140" t="s">
        <v>1439</v>
      </c>
      <c r="G1191" s="144" t="s">
        <v>2711</v>
      </c>
      <c r="H1191" s="146" t="s">
        <v>26</v>
      </c>
      <c r="I1191" s="144" t="s">
        <v>2593</v>
      </c>
    </row>
    <row r="1192" spans="1:9" ht="25.5">
      <c r="A1192" s="193">
        <v>45889</v>
      </c>
      <c r="B1192" s="145" t="s">
        <v>830</v>
      </c>
      <c r="C1192" s="150">
        <v>2025</v>
      </c>
      <c r="D1192" s="201" t="s">
        <v>1431</v>
      </c>
      <c r="E1192" s="144" t="s">
        <v>1566</v>
      </c>
      <c r="F1192" s="139" t="s">
        <v>88</v>
      </c>
      <c r="G1192" s="144" t="s">
        <v>2712</v>
      </c>
      <c r="H1192" s="146" t="s">
        <v>26</v>
      </c>
      <c r="I1192" s="144" t="s">
        <v>1453</v>
      </c>
    </row>
    <row r="1193" spans="1:9" ht="38.1">
      <c r="A1193" s="193">
        <v>45889</v>
      </c>
      <c r="B1193" s="145" t="s">
        <v>830</v>
      </c>
      <c r="C1193" s="150">
        <v>2025</v>
      </c>
      <c r="D1193" s="201" t="s">
        <v>1431</v>
      </c>
      <c r="E1193" s="144" t="s">
        <v>1566</v>
      </c>
      <c r="F1193" s="139" t="s">
        <v>88</v>
      </c>
      <c r="G1193" s="144" t="s">
        <v>2713</v>
      </c>
      <c r="H1193" s="146" t="s">
        <v>26</v>
      </c>
      <c r="I1193" s="144" t="s">
        <v>1453</v>
      </c>
    </row>
    <row r="1194" spans="1:9" ht="14.1">
      <c r="A1194" s="193">
        <v>45889</v>
      </c>
      <c r="B1194" s="145" t="s">
        <v>830</v>
      </c>
      <c r="C1194" s="150">
        <v>2025</v>
      </c>
      <c r="D1194" s="201" t="s">
        <v>1431</v>
      </c>
      <c r="E1194" s="144" t="s">
        <v>1566</v>
      </c>
      <c r="F1194" s="139" t="s">
        <v>88</v>
      </c>
      <c r="G1194" s="144" t="s">
        <v>2714</v>
      </c>
      <c r="H1194" s="146" t="s">
        <v>26</v>
      </c>
      <c r="I1194" s="144" t="s">
        <v>1453</v>
      </c>
    </row>
    <row r="1195" spans="1:9" ht="25.5">
      <c r="A1195" s="193">
        <v>45889</v>
      </c>
      <c r="B1195" s="145" t="s">
        <v>830</v>
      </c>
      <c r="C1195" s="150">
        <v>2025</v>
      </c>
      <c r="D1195" s="201" t="s">
        <v>1431</v>
      </c>
      <c r="E1195" s="144" t="s">
        <v>1566</v>
      </c>
      <c r="F1195" s="139" t="s">
        <v>88</v>
      </c>
      <c r="G1195" s="144" t="s">
        <v>2715</v>
      </c>
      <c r="H1195" s="146" t="s">
        <v>26</v>
      </c>
      <c r="I1195" s="144" t="s">
        <v>1453</v>
      </c>
    </row>
    <row r="1196" spans="1:9" ht="25.5">
      <c r="A1196" s="193">
        <v>45890</v>
      </c>
      <c r="B1196" s="145" t="s">
        <v>830</v>
      </c>
      <c r="C1196" s="150">
        <v>2025</v>
      </c>
      <c r="D1196" s="201" t="s">
        <v>1431</v>
      </c>
      <c r="E1196" s="144" t="s">
        <v>21</v>
      </c>
      <c r="F1196" s="141" t="s">
        <v>821</v>
      </c>
      <c r="G1196" s="144" t="s">
        <v>2716</v>
      </c>
      <c r="H1196" s="146" t="s">
        <v>26</v>
      </c>
      <c r="I1196" s="144" t="s">
        <v>149</v>
      </c>
    </row>
    <row r="1197" spans="1:9" ht="25.5">
      <c r="A1197" s="193">
        <v>45890</v>
      </c>
      <c r="B1197" s="145" t="s">
        <v>830</v>
      </c>
      <c r="C1197" s="150">
        <v>2025</v>
      </c>
      <c r="D1197" s="201" t="s">
        <v>1431</v>
      </c>
      <c r="E1197" s="144" t="s">
        <v>1608</v>
      </c>
      <c r="F1197" s="140" t="s">
        <v>1439</v>
      </c>
      <c r="G1197" s="144" t="s">
        <v>2717</v>
      </c>
      <c r="H1197" s="146" t="s">
        <v>26</v>
      </c>
      <c r="I1197" s="144" t="s">
        <v>1458</v>
      </c>
    </row>
    <row r="1198" spans="1:9" ht="25.5">
      <c r="A1198" s="193">
        <v>45890</v>
      </c>
      <c r="B1198" s="145" t="s">
        <v>830</v>
      </c>
      <c r="C1198" s="150">
        <v>2025</v>
      </c>
      <c r="D1198" s="201" t="s">
        <v>1431</v>
      </c>
      <c r="E1198" s="144" t="s">
        <v>216</v>
      </c>
      <c r="F1198" s="141" t="s">
        <v>821</v>
      </c>
      <c r="G1198" s="144" t="s">
        <v>2718</v>
      </c>
      <c r="H1198" s="146" t="s">
        <v>26</v>
      </c>
      <c r="I1198" s="144" t="s">
        <v>492</v>
      </c>
    </row>
    <row r="1199" spans="1:9" ht="25.5">
      <c r="A1199" s="193">
        <v>45890</v>
      </c>
      <c r="B1199" s="145" t="s">
        <v>830</v>
      </c>
      <c r="C1199" s="150">
        <v>2025</v>
      </c>
      <c r="D1199" s="201" t="s">
        <v>1431</v>
      </c>
      <c r="E1199" s="144" t="s">
        <v>216</v>
      </c>
      <c r="F1199" s="141" t="s">
        <v>821</v>
      </c>
      <c r="G1199" s="144" t="s">
        <v>2719</v>
      </c>
      <c r="H1199" s="146" t="s">
        <v>26</v>
      </c>
      <c r="I1199" s="144" t="s">
        <v>492</v>
      </c>
    </row>
    <row r="1200" spans="1:9" ht="25.5">
      <c r="A1200" s="193">
        <v>45890</v>
      </c>
      <c r="B1200" s="145" t="s">
        <v>830</v>
      </c>
      <c r="C1200" s="150">
        <v>2025</v>
      </c>
      <c r="D1200" s="201" t="s">
        <v>1431</v>
      </c>
      <c r="E1200" s="144" t="s">
        <v>21</v>
      </c>
      <c r="F1200" s="141" t="s">
        <v>821</v>
      </c>
      <c r="G1200" s="144" t="s">
        <v>2720</v>
      </c>
      <c r="H1200" s="146" t="s">
        <v>26</v>
      </c>
      <c r="I1200" s="144" t="s">
        <v>468</v>
      </c>
    </row>
    <row r="1201" spans="1:9" ht="38.1">
      <c r="A1201" s="193">
        <v>45890</v>
      </c>
      <c r="B1201" s="145" t="s">
        <v>830</v>
      </c>
      <c r="C1201" s="150">
        <v>2025</v>
      </c>
      <c r="D1201" s="201" t="s">
        <v>1431</v>
      </c>
      <c r="E1201" s="144" t="s">
        <v>21</v>
      </c>
      <c r="F1201" s="141" t="s">
        <v>821</v>
      </c>
      <c r="G1201" s="144" t="s">
        <v>2721</v>
      </c>
      <c r="H1201" s="146" t="s">
        <v>26</v>
      </c>
      <c r="I1201" s="144" t="s">
        <v>149</v>
      </c>
    </row>
    <row r="1202" spans="1:9" ht="38.1">
      <c r="A1202" s="193">
        <v>45890</v>
      </c>
      <c r="B1202" s="145" t="s">
        <v>830</v>
      </c>
      <c r="C1202" s="150">
        <v>2025</v>
      </c>
      <c r="D1202" s="201" t="s">
        <v>1431</v>
      </c>
      <c r="E1202" s="144" t="s">
        <v>1566</v>
      </c>
      <c r="F1202" s="139" t="s">
        <v>88</v>
      </c>
      <c r="G1202" s="144" t="s">
        <v>2722</v>
      </c>
      <c r="H1202" s="146" t="s">
        <v>26</v>
      </c>
      <c r="I1202" s="144" t="s">
        <v>1453</v>
      </c>
    </row>
    <row r="1203" spans="1:9" ht="25.5">
      <c r="A1203" s="193">
        <v>45890</v>
      </c>
      <c r="B1203" s="145" t="s">
        <v>830</v>
      </c>
      <c r="C1203" s="150">
        <v>2025</v>
      </c>
      <c r="D1203" s="201" t="s">
        <v>1431</v>
      </c>
      <c r="E1203" s="144" t="s">
        <v>1225</v>
      </c>
      <c r="F1203" s="147" t="s">
        <v>859</v>
      </c>
      <c r="G1203" s="144" t="s">
        <v>2723</v>
      </c>
      <c r="H1203" s="146" t="s">
        <v>26</v>
      </c>
      <c r="I1203" s="144" t="s">
        <v>925</v>
      </c>
    </row>
    <row r="1204" spans="1:9" ht="38.1">
      <c r="A1204" s="193">
        <v>45890</v>
      </c>
      <c r="B1204" s="145" t="s">
        <v>830</v>
      </c>
      <c r="C1204" s="150">
        <v>2025</v>
      </c>
      <c r="D1204" s="201" t="s">
        <v>1431</v>
      </c>
      <c r="E1204" s="144" t="s">
        <v>1225</v>
      </c>
      <c r="F1204" s="147" t="s">
        <v>859</v>
      </c>
      <c r="G1204" s="144" t="s">
        <v>2724</v>
      </c>
      <c r="H1204" s="146" t="s">
        <v>26</v>
      </c>
      <c r="I1204" s="144" t="s">
        <v>925</v>
      </c>
    </row>
    <row r="1205" spans="1:9" ht="50.45">
      <c r="A1205" s="193">
        <v>45890</v>
      </c>
      <c r="B1205" s="145" t="s">
        <v>830</v>
      </c>
      <c r="C1205" s="150">
        <v>2025</v>
      </c>
      <c r="D1205" s="201" t="s">
        <v>2224</v>
      </c>
      <c r="E1205" s="144" t="s">
        <v>21</v>
      </c>
      <c r="F1205" s="141" t="s">
        <v>821</v>
      </c>
      <c r="G1205" s="144" t="s">
        <v>2725</v>
      </c>
      <c r="H1205" s="146" t="s">
        <v>26</v>
      </c>
      <c r="I1205" s="144" t="s">
        <v>149</v>
      </c>
    </row>
    <row r="1206" spans="1:9" ht="25.5">
      <c r="A1206" s="193">
        <v>45890</v>
      </c>
      <c r="B1206" s="145" t="s">
        <v>830</v>
      </c>
      <c r="C1206" s="150">
        <v>2025</v>
      </c>
      <c r="D1206" s="201" t="s">
        <v>1431</v>
      </c>
      <c r="E1206" s="144" t="s">
        <v>2591</v>
      </c>
      <c r="F1206" s="139" t="s">
        <v>88</v>
      </c>
      <c r="G1206" s="144" t="s">
        <v>2726</v>
      </c>
      <c r="H1206" s="146" t="s">
        <v>26</v>
      </c>
      <c r="I1206" s="144" t="s">
        <v>2593</v>
      </c>
    </row>
    <row r="1207" spans="1:9" ht="25.5">
      <c r="A1207" s="193">
        <v>45890</v>
      </c>
      <c r="B1207" s="145" t="s">
        <v>830</v>
      </c>
      <c r="C1207" s="150">
        <v>2025</v>
      </c>
      <c r="D1207" s="201" t="s">
        <v>2224</v>
      </c>
      <c r="E1207" s="144" t="s">
        <v>2591</v>
      </c>
      <c r="F1207" s="141" t="s">
        <v>821</v>
      </c>
      <c r="G1207" s="144" t="s">
        <v>2727</v>
      </c>
      <c r="H1207" s="146" t="s">
        <v>26</v>
      </c>
      <c r="I1207" s="144" t="s">
        <v>2593</v>
      </c>
    </row>
    <row r="1208" spans="1:9" ht="14.1">
      <c r="A1208" s="193">
        <v>45891</v>
      </c>
      <c r="B1208" s="145" t="s">
        <v>830</v>
      </c>
      <c r="C1208" s="150">
        <v>2025</v>
      </c>
      <c r="D1208" s="201" t="s">
        <v>1431</v>
      </c>
      <c r="E1208" s="144" t="s">
        <v>1608</v>
      </c>
      <c r="F1208" s="140" t="s">
        <v>1439</v>
      </c>
      <c r="G1208" s="144" t="s">
        <v>2728</v>
      </c>
      <c r="H1208" s="146" t="s">
        <v>26</v>
      </c>
      <c r="I1208" s="144" t="s">
        <v>1458</v>
      </c>
    </row>
    <row r="1209" spans="1:9" ht="25.5">
      <c r="A1209" s="193">
        <v>45891</v>
      </c>
      <c r="B1209" s="145" t="s">
        <v>830</v>
      </c>
      <c r="C1209" s="150">
        <v>2025</v>
      </c>
      <c r="D1209" s="201" t="s">
        <v>1431</v>
      </c>
      <c r="E1209" s="144" t="s">
        <v>1506</v>
      </c>
      <c r="F1209" s="139" t="s">
        <v>88</v>
      </c>
      <c r="G1209" s="144" t="s">
        <v>2729</v>
      </c>
      <c r="H1209" s="146" t="s">
        <v>26</v>
      </c>
      <c r="I1209" s="144" t="s">
        <v>1904</v>
      </c>
    </row>
    <row r="1210" spans="1:9" ht="38.1">
      <c r="A1210" s="193">
        <v>45891</v>
      </c>
      <c r="B1210" s="145" t="s">
        <v>830</v>
      </c>
      <c r="C1210" s="150">
        <v>2025</v>
      </c>
      <c r="D1210" s="201" t="s">
        <v>1431</v>
      </c>
      <c r="E1210" s="144" t="s">
        <v>1506</v>
      </c>
      <c r="F1210" s="139" t="s">
        <v>88</v>
      </c>
      <c r="G1210" s="144" t="s">
        <v>2730</v>
      </c>
      <c r="H1210" s="146" t="s">
        <v>26</v>
      </c>
      <c r="I1210" s="144" t="s">
        <v>1904</v>
      </c>
    </row>
    <row r="1211" spans="1:9" ht="25.5">
      <c r="A1211" s="193">
        <v>45891</v>
      </c>
      <c r="B1211" s="145" t="s">
        <v>830</v>
      </c>
      <c r="C1211" s="150">
        <v>2025</v>
      </c>
      <c r="D1211" s="201" t="s">
        <v>1431</v>
      </c>
      <c r="E1211" s="144" t="s">
        <v>1566</v>
      </c>
      <c r="F1211" s="139" t="s">
        <v>88</v>
      </c>
      <c r="G1211" s="144" t="s">
        <v>2731</v>
      </c>
      <c r="H1211" s="146" t="s">
        <v>26</v>
      </c>
      <c r="I1211" s="144" t="s">
        <v>1588</v>
      </c>
    </row>
    <row r="1212" spans="1:9" ht="25.5">
      <c r="A1212" s="193">
        <v>45891</v>
      </c>
      <c r="B1212" s="145" t="s">
        <v>830</v>
      </c>
      <c r="C1212" s="150">
        <v>2025</v>
      </c>
      <c r="D1212" s="201" t="s">
        <v>2224</v>
      </c>
      <c r="E1212" s="144" t="s">
        <v>2613</v>
      </c>
      <c r="F1212" s="139" t="s">
        <v>88</v>
      </c>
      <c r="G1212" s="144" t="s">
        <v>2732</v>
      </c>
      <c r="H1212" s="146" t="s">
        <v>26</v>
      </c>
      <c r="I1212" s="144" t="s">
        <v>2568</v>
      </c>
    </row>
    <row r="1213" spans="1:9" ht="25.5">
      <c r="A1213" s="193">
        <v>45891</v>
      </c>
      <c r="B1213" s="145" t="s">
        <v>830</v>
      </c>
      <c r="C1213" s="150">
        <v>2025</v>
      </c>
      <c r="D1213" s="201" t="s">
        <v>2224</v>
      </c>
      <c r="E1213" s="144" t="s">
        <v>21</v>
      </c>
      <c r="F1213" s="141" t="s">
        <v>821</v>
      </c>
      <c r="G1213" s="144" t="s">
        <v>2733</v>
      </c>
      <c r="H1213" s="146" t="s">
        <v>26</v>
      </c>
      <c r="I1213" s="144" t="s">
        <v>468</v>
      </c>
    </row>
    <row r="1214" spans="1:9" ht="38.1">
      <c r="A1214" s="193">
        <v>45891</v>
      </c>
      <c r="B1214" s="145" t="s">
        <v>830</v>
      </c>
      <c r="C1214" s="150">
        <v>2025</v>
      </c>
      <c r="D1214" s="201" t="s">
        <v>2224</v>
      </c>
      <c r="E1214" s="144" t="s">
        <v>73</v>
      </c>
      <c r="F1214" s="147" t="s">
        <v>859</v>
      </c>
      <c r="G1214" s="144" t="s">
        <v>2734</v>
      </c>
      <c r="H1214" s="146" t="s">
        <v>26</v>
      </c>
      <c r="I1214" s="144" t="s">
        <v>2735</v>
      </c>
    </row>
    <row r="1215" spans="1:9" ht="25.5">
      <c r="A1215" s="193">
        <v>45891</v>
      </c>
      <c r="B1215" s="145" t="s">
        <v>830</v>
      </c>
      <c r="C1215" s="150">
        <v>2025</v>
      </c>
      <c r="D1215" s="201" t="s">
        <v>1431</v>
      </c>
      <c r="E1215" s="144" t="s">
        <v>1566</v>
      </c>
      <c r="F1215" s="139" t="s">
        <v>88</v>
      </c>
      <c r="G1215" s="144" t="s">
        <v>2736</v>
      </c>
      <c r="H1215" s="146" t="s">
        <v>26</v>
      </c>
      <c r="I1215" s="144" t="s">
        <v>1588</v>
      </c>
    </row>
    <row r="1216" spans="1:9" ht="25.5">
      <c r="A1216" s="193">
        <v>45891</v>
      </c>
      <c r="B1216" s="145" t="s">
        <v>830</v>
      </c>
      <c r="C1216" s="150">
        <v>2025</v>
      </c>
      <c r="D1216" s="201" t="s">
        <v>1431</v>
      </c>
      <c r="E1216" s="144" t="s">
        <v>1566</v>
      </c>
      <c r="F1216" s="139" t="s">
        <v>88</v>
      </c>
      <c r="G1216" s="144" t="s">
        <v>2737</v>
      </c>
      <c r="H1216" s="146" t="s">
        <v>26</v>
      </c>
      <c r="I1216" s="144" t="s">
        <v>1588</v>
      </c>
    </row>
    <row r="1217" spans="1:9" ht="75.599999999999994">
      <c r="A1217" s="193">
        <v>45891</v>
      </c>
      <c r="B1217" s="145" t="s">
        <v>830</v>
      </c>
      <c r="C1217" s="150">
        <v>2025</v>
      </c>
      <c r="D1217" s="201" t="s">
        <v>1431</v>
      </c>
      <c r="E1217" s="144" t="s">
        <v>2591</v>
      </c>
      <c r="F1217" s="141" t="s">
        <v>821</v>
      </c>
      <c r="G1217" s="144" t="s">
        <v>2738</v>
      </c>
      <c r="H1217" s="146" t="s">
        <v>26</v>
      </c>
      <c r="I1217" s="144" t="s">
        <v>2739</v>
      </c>
    </row>
    <row r="1218" spans="1:9" ht="14.1">
      <c r="A1218" s="193">
        <v>45891</v>
      </c>
      <c r="B1218" s="145" t="s">
        <v>830</v>
      </c>
      <c r="C1218" s="150">
        <v>2025</v>
      </c>
      <c r="D1218" s="201" t="s">
        <v>1431</v>
      </c>
      <c r="E1218" s="144" t="s">
        <v>2591</v>
      </c>
      <c r="F1218" s="139" t="s">
        <v>88</v>
      </c>
      <c r="G1218" s="144" t="s">
        <v>2740</v>
      </c>
      <c r="H1218" s="146" t="s">
        <v>26</v>
      </c>
      <c r="I1218" s="144" t="s">
        <v>2739</v>
      </c>
    </row>
    <row r="1219" spans="1:9" ht="38.1">
      <c r="A1219" s="193">
        <v>45894</v>
      </c>
      <c r="B1219" s="145" t="s">
        <v>830</v>
      </c>
      <c r="C1219" s="150">
        <v>2025</v>
      </c>
      <c r="D1219" s="201" t="s">
        <v>1431</v>
      </c>
      <c r="E1219" s="144" t="s">
        <v>1506</v>
      </c>
      <c r="F1219" s="139" t="s">
        <v>88</v>
      </c>
      <c r="G1219" s="144" t="s">
        <v>2741</v>
      </c>
      <c r="H1219" s="146" t="s">
        <v>26</v>
      </c>
      <c r="I1219" s="144" t="s">
        <v>1904</v>
      </c>
    </row>
    <row r="1220" spans="1:9" ht="14.1">
      <c r="A1220" s="193">
        <v>45894</v>
      </c>
      <c r="B1220" s="145" t="s">
        <v>830</v>
      </c>
      <c r="C1220" s="150">
        <v>2025</v>
      </c>
      <c r="D1220" s="201" t="s">
        <v>1431</v>
      </c>
      <c r="E1220" s="144" t="s">
        <v>216</v>
      </c>
      <c r="F1220" s="141" t="s">
        <v>821</v>
      </c>
      <c r="G1220" s="144" t="s">
        <v>2742</v>
      </c>
      <c r="H1220" s="146" t="s">
        <v>26</v>
      </c>
      <c r="I1220" s="144" t="s">
        <v>492</v>
      </c>
    </row>
    <row r="1221" spans="1:9" ht="14.1">
      <c r="A1221" s="193">
        <v>45894</v>
      </c>
      <c r="B1221" s="145" t="s">
        <v>830</v>
      </c>
      <c r="C1221" s="150">
        <v>2025</v>
      </c>
      <c r="D1221" s="201" t="s">
        <v>1431</v>
      </c>
      <c r="E1221" s="144" t="s">
        <v>216</v>
      </c>
      <c r="F1221" s="141" t="s">
        <v>821</v>
      </c>
      <c r="G1221" s="144" t="s">
        <v>2743</v>
      </c>
      <c r="H1221" s="146" t="s">
        <v>26</v>
      </c>
      <c r="I1221" s="144" t="s">
        <v>492</v>
      </c>
    </row>
    <row r="1222" spans="1:9" ht="25.5">
      <c r="A1222" s="193">
        <v>45894</v>
      </c>
      <c r="B1222" s="145" t="s">
        <v>830</v>
      </c>
      <c r="C1222" s="150">
        <v>2025</v>
      </c>
      <c r="D1222" s="201" t="s">
        <v>1431</v>
      </c>
      <c r="E1222" s="144" t="s">
        <v>21</v>
      </c>
      <c r="F1222" s="141" t="s">
        <v>821</v>
      </c>
      <c r="G1222" s="144" t="s">
        <v>2744</v>
      </c>
      <c r="H1222" s="146" t="s">
        <v>26</v>
      </c>
      <c r="I1222" s="144" t="s">
        <v>468</v>
      </c>
    </row>
    <row r="1223" spans="1:9" ht="25.5">
      <c r="A1223" s="193">
        <v>45894</v>
      </c>
      <c r="B1223" s="145" t="s">
        <v>830</v>
      </c>
      <c r="C1223" s="150">
        <v>2025</v>
      </c>
      <c r="D1223" s="201" t="s">
        <v>1431</v>
      </c>
      <c r="E1223" s="144" t="s">
        <v>2591</v>
      </c>
      <c r="F1223" s="139" t="s">
        <v>88</v>
      </c>
      <c r="G1223" s="144" t="s">
        <v>2745</v>
      </c>
      <c r="H1223" s="146" t="s">
        <v>26</v>
      </c>
      <c r="I1223" s="144" t="s">
        <v>2593</v>
      </c>
    </row>
    <row r="1224" spans="1:9" ht="38.1">
      <c r="A1224" s="193">
        <v>45894</v>
      </c>
      <c r="B1224" s="145" t="s">
        <v>830</v>
      </c>
      <c r="C1224" s="150">
        <v>2025</v>
      </c>
      <c r="D1224" s="201" t="s">
        <v>1431</v>
      </c>
      <c r="E1224" s="144" t="s">
        <v>1566</v>
      </c>
      <c r="F1224" s="139" t="s">
        <v>88</v>
      </c>
      <c r="G1224" s="144" t="s">
        <v>2746</v>
      </c>
      <c r="H1224" s="146" t="s">
        <v>26</v>
      </c>
      <c r="I1224" s="144" t="s">
        <v>1588</v>
      </c>
    </row>
    <row r="1225" spans="1:9" ht="50.45">
      <c r="A1225" s="193">
        <v>45894</v>
      </c>
      <c r="B1225" s="145" t="s">
        <v>830</v>
      </c>
      <c r="C1225" s="150">
        <v>2025</v>
      </c>
      <c r="D1225" s="201" t="s">
        <v>1431</v>
      </c>
      <c r="E1225" s="144" t="s">
        <v>1566</v>
      </c>
      <c r="F1225" s="139" t="s">
        <v>88</v>
      </c>
      <c r="G1225" s="144" t="s">
        <v>2747</v>
      </c>
      <c r="H1225" s="146" t="s">
        <v>26</v>
      </c>
      <c r="I1225" s="144" t="s">
        <v>1588</v>
      </c>
    </row>
    <row r="1226" spans="1:9" ht="50.45">
      <c r="A1226" s="193">
        <v>45894</v>
      </c>
      <c r="B1226" s="145" t="s">
        <v>830</v>
      </c>
      <c r="C1226" s="150">
        <v>2025</v>
      </c>
      <c r="D1226" s="201" t="s">
        <v>1431</v>
      </c>
      <c r="E1226" s="144" t="s">
        <v>1566</v>
      </c>
      <c r="F1226" s="139" t="s">
        <v>88</v>
      </c>
      <c r="G1226" s="144" t="s">
        <v>2748</v>
      </c>
      <c r="H1226" s="146" t="s">
        <v>26</v>
      </c>
      <c r="I1226" s="144" t="s">
        <v>1588</v>
      </c>
    </row>
    <row r="1227" spans="1:9" ht="63">
      <c r="A1227" s="193">
        <v>45894</v>
      </c>
      <c r="B1227" s="145" t="s">
        <v>830</v>
      </c>
      <c r="C1227" s="150">
        <v>2025</v>
      </c>
      <c r="D1227" s="201" t="s">
        <v>1431</v>
      </c>
      <c r="E1227" s="144" t="s">
        <v>1566</v>
      </c>
      <c r="F1227" s="139" t="s">
        <v>88</v>
      </c>
      <c r="G1227" s="144" t="s">
        <v>2749</v>
      </c>
      <c r="H1227" s="146" t="s">
        <v>26</v>
      </c>
      <c r="I1227" s="144" t="s">
        <v>1588</v>
      </c>
    </row>
    <row r="1228" spans="1:9" ht="50.45">
      <c r="A1228" s="193">
        <v>45894</v>
      </c>
      <c r="B1228" s="145" t="s">
        <v>830</v>
      </c>
      <c r="C1228" s="150">
        <v>2025</v>
      </c>
      <c r="D1228" s="201" t="s">
        <v>1431</v>
      </c>
      <c r="E1228" s="144" t="s">
        <v>1566</v>
      </c>
      <c r="F1228" s="139" t="s">
        <v>88</v>
      </c>
      <c r="G1228" s="144" t="s">
        <v>2750</v>
      </c>
      <c r="H1228" s="146" t="s">
        <v>26</v>
      </c>
      <c r="I1228" s="144" t="s">
        <v>1588</v>
      </c>
    </row>
    <row r="1229" spans="1:9" ht="50.45">
      <c r="A1229" s="193">
        <v>45894</v>
      </c>
      <c r="B1229" s="145" t="s">
        <v>830</v>
      </c>
      <c r="C1229" s="150">
        <v>2025</v>
      </c>
      <c r="D1229" s="201" t="s">
        <v>1431</v>
      </c>
      <c r="E1229" s="144" t="s">
        <v>1566</v>
      </c>
      <c r="F1229" s="139" t="s">
        <v>88</v>
      </c>
      <c r="G1229" s="144" t="s">
        <v>2751</v>
      </c>
      <c r="H1229" s="146" t="s">
        <v>26</v>
      </c>
      <c r="I1229" s="144" t="s">
        <v>1588</v>
      </c>
    </row>
    <row r="1230" spans="1:9" ht="50.45">
      <c r="A1230" s="193">
        <v>45894</v>
      </c>
      <c r="B1230" s="145" t="s">
        <v>830</v>
      </c>
      <c r="C1230" s="150">
        <v>2025</v>
      </c>
      <c r="D1230" s="201" t="s">
        <v>1431</v>
      </c>
      <c r="E1230" s="144" t="s">
        <v>1566</v>
      </c>
      <c r="F1230" s="139" t="s">
        <v>88</v>
      </c>
      <c r="G1230" s="144" t="s">
        <v>2752</v>
      </c>
      <c r="H1230" s="146" t="s">
        <v>26</v>
      </c>
      <c r="I1230" s="144" t="s">
        <v>1588</v>
      </c>
    </row>
    <row r="1231" spans="1:9" ht="38.1">
      <c r="A1231" s="193">
        <v>45894</v>
      </c>
      <c r="B1231" s="145" t="s">
        <v>830</v>
      </c>
      <c r="C1231" s="150">
        <v>2025</v>
      </c>
      <c r="D1231" s="201" t="s">
        <v>1431</v>
      </c>
      <c r="E1231" s="144" t="s">
        <v>1566</v>
      </c>
      <c r="F1231" s="139" t="s">
        <v>88</v>
      </c>
      <c r="G1231" s="144" t="s">
        <v>2753</v>
      </c>
      <c r="H1231" s="146" t="s">
        <v>26</v>
      </c>
      <c r="I1231" s="144" t="s">
        <v>1588</v>
      </c>
    </row>
    <row r="1232" spans="1:9" ht="50.45">
      <c r="A1232" s="193">
        <v>45894</v>
      </c>
      <c r="B1232" s="145" t="s">
        <v>830</v>
      </c>
      <c r="C1232" s="150">
        <v>2025</v>
      </c>
      <c r="D1232" s="201" t="s">
        <v>1431</v>
      </c>
      <c r="E1232" s="144" t="s">
        <v>1566</v>
      </c>
      <c r="F1232" s="139" t="s">
        <v>88</v>
      </c>
      <c r="G1232" s="144" t="s">
        <v>2754</v>
      </c>
      <c r="H1232" s="146" t="s">
        <v>26</v>
      </c>
      <c r="I1232" s="144" t="s">
        <v>1588</v>
      </c>
    </row>
    <row r="1233" spans="1:9" ht="87.95">
      <c r="A1233" s="193">
        <v>45894</v>
      </c>
      <c r="B1233" s="145" t="s">
        <v>830</v>
      </c>
      <c r="C1233" s="150">
        <v>2025</v>
      </c>
      <c r="D1233" s="201" t="s">
        <v>1431</v>
      </c>
      <c r="E1233" s="144" t="s">
        <v>1566</v>
      </c>
      <c r="F1233" s="139" t="s">
        <v>88</v>
      </c>
      <c r="G1233" s="144" t="s">
        <v>2755</v>
      </c>
      <c r="H1233" s="146" t="s">
        <v>26</v>
      </c>
      <c r="I1233" s="144" t="s">
        <v>1588</v>
      </c>
    </row>
    <row r="1234" spans="1:9" ht="25.5">
      <c r="A1234" s="193">
        <v>45894</v>
      </c>
      <c r="B1234" s="145" t="s">
        <v>830</v>
      </c>
      <c r="C1234" s="150">
        <v>2025</v>
      </c>
      <c r="D1234" s="201" t="s">
        <v>1431</v>
      </c>
      <c r="E1234" s="144" t="s">
        <v>1608</v>
      </c>
      <c r="F1234" s="140" t="s">
        <v>1439</v>
      </c>
      <c r="G1234" s="144" t="s">
        <v>2756</v>
      </c>
      <c r="H1234" s="146" t="s">
        <v>26</v>
      </c>
      <c r="I1234" s="144" t="s">
        <v>578</v>
      </c>
    </row>
    <row r="1235" spans="1:9" ht="25.5">
      <c r="A1235" s="193">
        <v>45894</v>
      </c>
      <c r="B1235" s="145" t="s">
        <v>830</v>
      </c>
      <c r="C1235" s="150">
        <v>2025</v>
      </c>
      <c r="D1235" s="201" t="s">
        <v>1431</v>
      </c>
      <c r="E1235" s="144" t="s">
        <v>1608</v>
      </c>
      <c r="F1235" s="140" t="s">
        <v>1439</v>
      </c>
      <c r="G1235" s="144" t="s">
        <v>2757</v>
      </c>
      <c r="H1235" s="146" t="s">
        <v>26</v>
      </c>
      <c r="I1235" s="144" t="s">
        <v>925</v>
      </c>
    </row>
    <row r="1236" spans="1:9" ht="38.1">
      <c r="A1236" s="193">
        <v>45894</v>
      </c>
      <c r="B1236" s="145" t="s">
        <v>830</v>
      </c>
      <c r="C1236" s="150">
        <v>2025</v>
      </c>
      <c r="D1236" s="201" t="s">
        <v>1431</v>
      </c>
      <c r="E1236" s="144" t="s">
        <v>1566</v>
      </c>
      <c r="F1236" s="139" t="s">
        <v>88</v>
      </c>
      <c r="G1236" s="144" t="s">
        <v>2758</v>
      </c>
      <c r="H1236" s="146" t="s">
        <v>26</v>
      </c>
      <c r="I1236" s="144" t="s">
        <v>1588</v>
      </c>
    </row>
    <row r="1237" spans="1:9" ht="25.5">
      <c r="A1237" s="193">
        <v>45894</v>
      </c>
      <c r="B1237" s="145" t="s">
        <v>830</v>
      </c>
      <c r="C1237" s="150">
        <v>2025</v>
      </c>
      <c r="D1237" s="201" t="s">
        <v>1431</v>
      </c>
      <c r="E1237" s="144" t="s">
        <v>1566</v>
      </c>
      <c r="F1237" s="139" t="s">
        <v>88</v>
      </c>
      <c r="G1237" s="144" t="s">
        <v>2759</v>
      </c>
      <c r="H1237" s="146" t="s">
        <v>26</v>
      </c>
      <c r="I1237" s="144" t="s">
        <v>1588</v>
      </c>
    </row>
    <row r="1238" spans="1:9" ht="38.1">
      <c r="A1238" s="193">
        <v>45894</v>
      </c>
      <c r="B1238" s="145" t="s">
        <v>830</v>
      </c>
      <c r="C1238" s="150">
        <v>2025</v>
      </c>
      <c r="D1238" s="201" t="s">
        <v>1431</v>
      </c>
      <c r="E1238" s="144" t="s">
        <v>1566</v>
      </c>
      <c r="F1238" s="139" t="s">
        <v>88</v>
      </c>
      <c r="G1238" s="144" t="s">
        <v>2760</v>
      </c>
      <c r="H1238" s="146" t="s">
        <v>26</v>
      </c>
      <c r="I1238" s="144" t="s">
        <v>1588</v>
      </c>
    </row>
    <row r="1239" spans="1:9" ht="25.5">
      <c r="A1239" s="193">
        <v>45894</v>
      </c>
      <c r="B1239" s="145" t="s">
        <v>830</v>
      </c>
      <c r="C1239" s="150">
        <v>2025</v>
      </c>
      <c r="D1239" s="201" t="s">
        <v>1431</v>
      </c>
      <c r="E1239" s="144" t="s">
        <v>2591</v>
      </c>
      <c r="F1239" s="139" t="s">
        <v>88</v>
      </c>
      <c r="G1239" s="144" t="s">
        <v>2761</v>
      </c>
      <c r="H1239" s="146" t="s">
        <v>26</v>
      </c>
      <c r="I1239" s="144" t="s">
        <v>2593</v>
      </c>
    </row>
    <row r="1240" spans="1:9" ht="25.5">
      <c r="A1240" s="193">
        <v>45894</v>
      </c>
      <c r="B1240" s="145" t="s">
        <v>830</v>
      </c>
      <c r="C1240" s="150">
        <v>2025</v>
      </c>
      <c r="D1240" s="201" t="s">
        <v>1431</v>
      </c>
      <c r="E1240" s="144" t="s">
        <v>2591</v>
      </c>
      <c r="F1240" s="139" t="s">
        <v>88</v>
      </c>
      <c r="G1240" s="144" t="s">
        <v>2762</v>
      </c>
      <c r="H1240" s="146" t="s">
        <v>26</v>
      </c>
      <c r="I1240" s="144" t="s">
        <v>2593</v>
      </c>
    </row>
    <row r="1241" spans="1:9" ht="63">
      <c r="A1241" s="193">
        <v>45894</v>
      </c>
      <c r="B1241" s="145" t="s">
        <v>830</v>
      </c>
      <c r="C1241" s="150">
        <v>2025</v>
      </c>
      <c r="D1241" s="201" t="s">
        <v>1431</v>
      </c>
      <c r="E1241" s="144" t="s">
        <v>2591</v>
      </c>
      <c r="F1241" s="147" t="s">
        <v>859</v>
      </c>
      <c r="G1241" s="144" t="s">
        <v>2763</v>
      </c>
      <c r="H1241" s="146" t="s">
        <v>26</v>
      </c>
      <c r="I1241" s="144" t="s">
        <v>2593</v>
      </c>
    </row>
    <row r="1242" spans="1:9" ht="25.5">
      <c r="A1242" s="193">
        <v>45894</v>
      </c>
      <c r="B1242" s="145" t="s">
        <v>830</v>
      </c>
      <c r="C1242" s="150">
        <v>2025</v>
      </c>
      <c r="D1242" s="201" t="s">
        <v>1431</v>
      </c>
      <c r="E1242" s="144" t="s">
        <v>2591</v>
      </c>
      <c r="F1242" s="139" t="s">
        <v>88</v>
      </c>
      <c r="G1242" s="144" t="s">
        <v>2764</v>
      </c>
      <c r="H1242" s="146" t="s">
        <v>26</v>
      </c>
      <c r="I1242" s="144" t="s">
        <v>2593</v>
      </c>
    </row>
    <row r="1243" spans="1:9" ht="25.5">
      <c r="A1243" s="193">
        <v>45894</v>
      </c>
      <c r="B1243" s="145" t="s">
        <v>830</v>
      </c>
      <c r="C1243" s="150">
        <v>2025</v>
      </c>
      <c r="D1243" s="201" t="s">
        <v>1431</v>
      </c>
      <c r="E1243" s="144" t="s">
        <v>2591</v>
      </c>
      <c r="F1243" s="139" t="s">
        <v>88</v>
      </c>
      <c r="G1243" s="144" t="s">
        <v>2765</v>
      </c>
      <c r="H1243" s="146" t="s">
        <v>26</v>
      </c>
      <c r="I1243" s="144" t="s">
        <v>2593</v>
      </c>
    </row>
    <row r="1244" spans="1:9" ht="38.1">
      <c r="A1244" s="193">
        <v>45894</v>
      </c>
      <c r="B1244" s="145" t="s">
        <v>830</v>
      </c>
      <c r="C1244" s="150">
        <v>2025</v>
      </c>
      <c r="D1244" s="201" t="s">
        <v>1431</v>
      </c>
      <c r="E1244" s="144" t="s">
        <v>2591</v>
      </c>
      <c r="F1244" s="139" t="s">
        <v>88</v>
      </c>
      <c r="G1244" s="144" t="s">
        <v>2766</v>
      </c>
      <c r="H1244" s="146" t="s">
        <v>26</v>
      </c>
      <c r="I1244" s="144" t="s">
        <v>2593</v>
      </c>
    </row>
    <row r="1245" spans="1:9" ht="38.1">
      <c r="A1245" s="193">
        <v>45894</v>
      </c>
      <c r="B1245" s="145" t="s">
        <v>830</v>
      </c>
      <c r="C1245" s="150">
        <v>2025</v>
      </c>
      <c r="D1245" s="201" t="s">
        <v>1431</v>
      </c>
      <c r="E1245" s="144" t="s">
        <v>2591</v>
      </c>
      <c r="F1245" s="139" t="s">
        <v>88</v>
      </c>
      <c r="G1245" s="144" t="s">
        <v>2767</v>
      </c>
      <c r="H1245" s="146" t="s">
        <v>26</v>
      </c>
      <c r="I1245" s="144" t="s">
        <v>2593</v>
      </c>
    </row>
    <row r="1246" spans="1:9" ht="38.1">
      <c r="A1246" s="193">
        <v>45894</v>
      </c>
      <c r="B1246" s="145" t="s">
        <v>830</v>
      </c>
      <c r="C1246" s="150">
        <v>2025</v>
      </c>
      <c r="D1246" s="201" t="s">
        <v>1431</v>
      </c>
      <c r="E1246" s="144" t="s">
        <v>2591</v>
      </c>
      <c r="F1246" s="139" t="s">
        <v>88</v>
      </c>
      <c r="G1246" s="144" t="s">
        <v>2768</v>
      </c>
      <c r="H1246" s="146" t="s">
        <v>26</v>
      </c>
      <c r="I1246" s="144" t="s">
        <v>2593</v>
      </c>
    </row>
    <row r="1247" spans="1:9" ht="14.1">
      <c r="A1247" s="193">
        <v>45895</v>
      </c>
      <c r="B1247" s="145" t="s">
        <v>830</v>
      </c>
      <c r="C1247" s="150">
        <v>2025</v>
      </c>
      <c r="D1247" s="201" t="s">
        <v>1431</v>
      </c>
      <c r="E1247" s="144" t="s">
        <v>216</v>
      </c>
      <c r="F1247" s="141" t="s">
        <v>821</v>
      </c>
      <c r="G1247" s="144" t="s">
        <v>2769</v>
      </c>
      <c r="H1247" s="146" t="s">
        <v>26</v>
      </c>
      <c r="I1247" s="144" t="s">
        <v>492</v>
      </c>
    </row>
    <row r="1248" spans="1:9" ht="25.5">
      <c r="A1248" s="193">
        <v>45895</v>
      </c>
      <c r="B1248" s="145" t="s">
        <v>830</v>
      </c>
      <c r="C1248" s="150">
        <v>2025</v>
      </c>
      <c r="D1248" s="201" t="s">
        <v>1431</v>
      </c>
      <c r="E1248" s="144" t="s">
        <v>216</v>
      </c>
      <c r="F1248" s="141" t="s">
        <v>821</v>
      </c>
      <c r="G1248" s="144" t="s">
        <v>2770</v>
      </c>
      <c r="H1248" s="146" t="s">
        <v>26</v>
      </c>
      <c r="I1248" s="144" t="s">
        <v>492</v>
      </c>
    </row>
    <row r="1249" spans="1:9" ht="38.1">
      <c r="A1249" s="193">
        <v>45895</v>
      </c>
      <c r="B1249" s="145" t="s">
        <v>830</v>
      </c>
      <c r="C1249" s="150">
        <v>2025</v>
      </c>
      <c r="D1249" s="201" t="s">
        <v>1431</v>
      </c>
      <c r="E1249" s="144" t="s">
        <v>1566</v>
      </c>
      <c r="F1249" s="139" t="s">
        <v>88</v>
      </c>
      <c r="G1249" s="144" t="s">
        <v>2771</v>
      </c>
      <c r="H1249" s="146" t="s">
        <v>26</v>
      </c>
      <c r="I1249" s="144" t="s">
        <v>1453</v>
      </c>
    </row>
    <row r="1250" spans="1:9" ht="25.5">
      <c r="A1250" s="193">
        <v>45895</v>
      </c>
      <c r="B1250" s="145" t="s">
        <v>830</v>
      </c>
      <c r="C1250" s="150">
        <v>2025</v>
      </c>
      <c r="D1250" s="201" t="s">
        <v>1431</v>
      </c>
      <c r="E1250" s="144" t="s">
        <v>1566</v>
      </c>
      <c r="F1250" s="139" t="s">
        <v>88</v>
      </c>
      <c r="G1250" s="144" t="s">
        <v>2772</v>
      </c>
      <c r="H1250" s="146" t="s">
        <v>26</v>
      </c>
      <c r="I1250" s="144" t="s">
        <v>1453</v>
      </c>
    </row>
    <row r="1251" spans="1:9" ht="14.1">
      <c r="A1251" s="193">
        <v>45895</v>
      </c>
      <c r="B1251" s="145" t="s">
        <v>830</v>
      </c>
      <c r="C1251" s="150">
        <v>2025</v>
      </c>
      <c r="D1251" s="201" t="s">
        <v>1431</v>
      </c>
      <c r="E1251" s="144" t="s">
        <v>1566</v>
      </c>
      <c r="F1251" s="139" t="s">
        <v>88</v>
      </c>
      <c r="G1251" s="144" t="s">
        <v>2773</v>
      </c>
      <c r="H1251" s="146" t="s">
        <v>26</v>
      </c>
      <c r="I1251" s="144" t="s">
        <v>1453</v>
      </c>
    </row>
    <row r="1252" spans="1:9" ht="63">
      <c r="A1252" s="193">
        <v>45895</v>
      </c>
      <c r="B1252" s="145" t="s">
        <v>830</v>
      </c>
      <c r="C1252" s="150">
        <v>2025</v>
      </c>
      <c r="D1252" s="201" t="s">
        <v>1431</v>
      </c>
      <c r="E1252" s="144" t="s">
        <v>2591</v>
      </c>
      <c r="F1252" s="147" t="s">
        <v>859</v>
      </c>
      <c r="G1252" s="144" t="s">
        <v>2774</v>
      </c>
      <c r="H1252" s="146" t="s">
        <v>26</v>
      </c>
      <c r="I1252" s="144" t="s">
        <v>2593</v>
      </c>
    </row>
    <row r="1253" spans="1:9" ht="38.1">
      <c r="A1253" s="193">
        <v>45895</v>
      </c>
      <c r="B1253" s="145" t="s">
        <v>830</v>
      </c>
      <c r="C1253" s="150">
        <v>2025</v>
      </c>
      <c r="D1253" s="201" t="s">
        <v>1431</v>
      </c>
      <c r="E1253" s="144" t="s">
        <v>2591</v>
      </c>
      <c r="F1253" s="139" t="s">
        <v>88</v>
      </c>
      <c r="G1253" s="148" t="s">
        <v>2775</v>
      </c>
      <c r="H1253" s="146" t="s">
        <v>26</v>
      </c>
      <c r="I1253" s="144" t="s">
        <v>2593</v>
      </c>
    </row>
    <row r="1254" spans="1:9" ht="50.45">
      <c r="A1254" s="193">
        <v>45895</v>
      </c>
      <c r="B1254" s="145" t="s">
        <v>830</v>
      </c>
      <c r="C1254" s="150">
        <v>2025</v>
      </c>
      <c r="D1254" s="201" t="s">
        <v>2224</v>
      </c>
      <c r="E1254" s="144" t="s">
        <v>2591</v>
      </c>
      <c r="F1254" s="139" t="s">
        <v>88</v>
      </c>
      <c r="G1254" s="144" t="s">
        <v>2776</v>
      </c>
      <c r="H1254" s="146" t="s">
        <v>26</v>
      </c>
      <c r="I1254" s="144" t="s">
        <v>2593</v>
      </c>
    </row>
    <row r="1255" spans="1:9" ht="38.1">
      <c r="A1255" s="193">
        <v>45895</v>
      </c>
      <c r="B1255" s="145" t="s">
        <v>830</v>
      </c>
      <c r="C1255" s="150">
        <v>2025</v>
      </c>
      <c r="D1255" s="201" t="s">
        <v>2224</v>
      </c>
      <c r="E1255" s="144" t="s">
        <v>1566</v>
      </c>
      <c r="F1255" s="139" t="s">
        <v>88</v>
      </c>
      <c r="G1255" s="144" t="s">
        <v>2777</v>
      </c>
      <c r="H1255" s="146" t="s">
        <v>26</v>
      </c>
      <c r="I1255" s="144" t="s">
        <v>2593</v>
      </c>
    </row>
    <row r="1256" spans="1:9" ht="14.1">
      <c r="A1256" s="193">
        <v>45895</v>
      </c>
      <c r="B1256" s="145" t="s">
        <v>830</v>
      </c>
      <c r="C1256" s="150">
        <v>2025</v>
      </c>
      <c r="D1256" s="201" t="s">
        <v>1431</v>
      </c>
      <c r="E1256" s="144" t="s">
        <v>1566</v>
      </c>
      <c r="F1256" s="139" t="s">
        <v>88</v>
      </c>
      <c r="G1256" s="144" t="s">
        <v>2778</v>
      </c>
      <c r="H1256" s="146" t="s">
        <v>26</v>
      </c>
      <c r="I1256" s="144" t="s">
        <v>1453</v>
      </c>
    </row>
    <row r="1257" spans="1:9" ht="14.1">
      <c r="A1257" s="193">
        <v>45896</v>
      </c>
      <c r="B1257" s="145" t="s">
        <v>830</v>
      </c>
      <c r="C1257" s="150">
        <v>2025</v>
      </c>
      <c r="D1257" s="201" t="s">
        <v>1431</v>
      </c>
      <c r="E1257" s="144" t="s">
        <v>21</v>
      </c>
      <c r="F1257" s="141" t="s">
        <v>821</v>
      </c>
      <c r="G1257" s="144" t="s">
        <v>2779</v>
      </c>
      <c r="H1257" s="146" t="s">
        <v>26</v>
      </c>
      <c r="I1257" s="144" t="s">
        <v>149</v>
      </c>
    </row>
    <row r="1258" spans="1:9" ht="14.1">
      <c r="A1258" s="193">
        <v>45896</v>
      </c>
      <c r="B1258" s="145" t="s">
        <v>830</v>
      </c>
      <c r="C1258" s="150">
        <v>2025</v>
      </c>
      <c r="D1258" s="201" t="s">
        <v>1431</v>
      </c>
      <c r="E1258" s="144" t="s">
        <v>21</v>
      </c>
      <c r="F1258" s="141" t="s">
        <v>821</v>
      </c>
      <c r="G1258" s="144" t="s">
        <v>2780</v>
      </c>
      <c r="H1258" s="146" t="s">
        <v>26</v>
      </c>
      <c r="I1258" s="144" t="s">
        <v>149</v>
      </c>
    </row>
    <row r="1259" spans="1:9" ht="38.1">
      <c r="A1259" s="193">
        <v>45896</v>
      </c>
      <c r="B1259" s="145" t="s">
        <v>830</v>
      </c>
      <c r="C1259" s="150">
        <v>2025</v>
      </c>
      <c r="D1259" s="201" t="s">
        <v>1431</v>
      </c>
      <c r="E1259" s="144" t="s">
        <v>1539</v>
      </c>
      <c r="F1259" s="139" t="s">
        <v>88</v>
      </c>
      <c r="G1259" s="144" t="s">
        <v>2781</v>
      </c>
      <c r="H1259" s="146" t="s">
        <v>26</v>
      </c>
      <c r="I1259" s="144" t="s">
        <v>1541</v>
      </c>
    </row>
    <row r="1260" spans="1:9" ht="25.5">
      <c r="A1260" s="193">
        <v>45896</v>
      </c>
      <c r="B1260" s="145" t="s">
        <v>830</v>
      </c>
      <c r="C1260" s="150">
        <v>2025</v>
      </c>
      <c r="D1260" s="201" t="s">
        <v>1431</v>
      </c>
      <c r="E1260" s="144" t="s">
        <v>21</v>
      </c>
      <c r="F1260" s="141" t="s">
        <v>821</v>
      </c>
      <c r="G1260" s="144" t="s">
        <v>2782</v>
      </c>
      <c r="H1260" s="146" t="s">
        <v>26</v>
      </c>
      <c r="I1260" s="144" t="s">
        <v>149</v>
      </c>
    </row>
    <row r="1261" spans="1:9" ht="50.45">
      <c r="A1261" s="193">
        <v>45896</v>
      </c>
      <c r="B1261" s="145" t="s">
        <v>830</v>
      </c>
      <c r="C1261" s="150">
        <v>2025</v>
      </c>
      <c r="D1261" s="201" t="s">
        <v>1431</v>
      </c>
      <c r="E1261" s="144" t="s">
        <v>2591</v>
      </c>
      <c r="F1261" s="139" t="s">
        <v>88</v>
      </c>
      <c r="G1261" s="144" t="s">
        <v>2783</v>
      </c>
      <c r="H1261" s="146" t="s">
        <v>26</v>
      </c>
      <c r="I1261" s="144" t="s">
        <v>2593</v>
      </c>
    </row>
    <row r="1262" spans="1:9" ht="25.5">
      <c r="A1262" s="193">
        <v>45896</v>
      </c>
      <c r="B1262" s="145" t="s">
        <v>830</v>
      </c>
      <c r="C1262" s="150">
        <v>2025</v>
      </c>
      <c r="D1262" s="201" t="s">
        <v>1431</v>
      </c>
      <c r="E1262" s="144" t="s">
        <v>2591</v>
      </c>
      <c r="F1262" s="147" t="s">
        <v>859</v>
      </c>
      <c r="G1262" s="144" t="s">
        <v>2784</v>
      </c>
      <c r="H1262" s="146" t="s">
        <v>26</v>
      </c>
      <c r="I1262" s="144" t="s">
        <v>2593</v>
      </c>
    </row>
    <row r="1263" spans="1:9" ht="87.95">
      <c r="A1263" s="193">
        <v>45896</v>
      </c>
      <c r="B1263" s="145" t="s">
        <v>830</v>
      </c>
      <c r="C1263" s="150">
        <v>2025</v>
      </c>
      <c r="D1263" s="201" t="s">
        <v>1431</v>
      </c>
      <c r="E1263" s="144" t="s">
        <v>1566</v>
      </c>
      <c r="F1263" s="139" t="s">
        <v>88</v>
      </c>
      <c r="G1263" s="144" t="s">
        <v>2785</v>
      </c>
      <c r="H1263" s="146" t="s">
        <v>26</v>
      </c>
      <c r="I1263" s="144" t="s">
        <v>2786</v>
      </c>
    </row>
    <row r="1264" spans="1:9" ht="113.1">
      <c r="A1264" s="193">
        <v>45896</v>
      </c>
      <c r="B1264" s="145" t="s">
        <v>830</v>
      </c>
      <c r="C1264" s="150">
        <v>2025</v>
      </c>
      <c r="D1264" s="201" t="s">
        <v>1431</v>
      </c>
      <c r="E1264" s="144" t="s">
        <v>1566</v>
      </c>
      <c r="F1264" s="139" t="s">
        <v>88</v>
      </c>
      <c r="G1264" s="144" t="s">
        <v>2787</v>
      </c>
      <c r="H1264" s="146" t="s">
        <v>26</v>
      </c>
      <c r="I1264" s="144" t="s">
        <v>2786</v>
      </c>
    </row>
    <row r="1265" spans="1:9" ht="25.5">
      <c r="A1265" s="193">
        <v>45896</v>
      </c>
      <c r="B1265" s="145" t="s">
        <v>830</v>
      </c>
      <c r="C1265" s="150">
        <v>2025</v>
      </c>
      <c r="D1265" s="201" t="s">
        <v>1431</v>
      </c>
      <c r="E1265" s="144" t="s">
        <v>1566</v>
      </c>
      <c r="F1265" s="139" t="s">
        <v>88</v>
      </c>
      <c r="G1265" s="144" t="s">
        <v>2788</v>
      </c>
      <c r="H1265" s="146" t="s">
        <v>26</v>
      </c>
      <c r="I1265" s="144" t="s">
        <v>2786</v>
      </c>
    </row>
    <row r="1266" spans="1:9" ht="50.45">
      <c r="A1266" s="193">
        <v>45896</v>
      </c>
      <c r="B1266" s="145" t="s">
        <v>830</v>
      </c>
      <c r="C1266" s="150">
        <v>2025</v>
      </c>
      <c r="D1266" s="201" t="s">
        <v>1431</v>
      </c>
      <c r="E1266" s="144" t="s">
        <v>1566</v>
      </c>
      <c r="F1266" s="139" t="s">
        <v>88</v>
      </c>
      <c r="G1266" s="144" t="s">
        <v>2789</v>
      </c>
      <c r="H1266" s="146" t="s">
        <v>26</v>
      </c>
      <c r="I1266" s="144" t="s">
        <v>2786</v>
      </c>
    </row>
    <row r="1267" spans="1:9" ht="38.1">
      <c r="A1267" s="193">
        <v>45896</v>
      </c>
      <c r="B1267" s="145" t="s">
        <v>830</v>
      </c>
      <c r="C1267" s="150">
        <v>2025</v>
      </c>
      <c r="D1267" s="201" t="s">
        <v>1431</v>
      </c>
      <c r="E1267" s="144" t="s">
        <v>216</v>
      </c>
      <c r="F1267" s="141" t="s">
        <v>821</v>
      </c>
      <c r="G1267" s="144" t="s">
        <v>2790</v>
      </c>
      <c r="H1267" s="146" t="s">
        <v>26</v>
      </c>
      <c r="I1267" s="144" t="s">
        <v>492</v>
      </c>
    </row>
    <row r="1268" spans="1:9" ht="25.5">
      <c r="A1268" s="193">
        <v>45896</v>
      </c>
      <c r="B1268" s="145" t="s">
        <v>830</v>
      </c>
      <c r="C1268" s="150">
        <v>2025</v>
      </c>
      <c r="D1268" s="201" t="s">
        <v>1431</v>
      </c>
      <c r="E1268" s="144" t="s">
        <v>1566</v>
      </c>
      <c r="F1268" s="139" t="s">
        <v>88</v>
      </c>
      <c r="G1268" s="144" t="s">
        <v>2791</v>
      </c>
      <c r="H1268" s="146" t="s">
        <v>26</v>
      </c>
      <c r="I1268" s="144" t="s">
        <v>2786</v>
      </c>
    </row>
    <row r="1269" spans="1:9" ht="25.5">
      <c r="A1269" s="193">
        <v>45897</v>
      </c>
      <c r="B1269" s="145" t="s">
        <v>830</v>
      </c>
      <c r="C1269" s="150">
        <v>2025</v>
      </c>
      <c r="D1269" s="201" t="s">
        <v>1431</v>
      </c>
      <c r="E1269" s="144" t="s">
        <v>1518</v>
      </c>
      <c r="F1269" s="139" t="s">
        <v>88</v>
      </c>
      <c r="G1269" s="144" t="s">
        <v>2792</v>
      </c>
      <c r="H1269" s="146" t="s">
        <v>26</v>
      </c>
      <c r="I1269" s="144" t="s">
        <v>1493</v>
      </c>
    </row>
    <row r="1270" spans="1:9" ht="38.1">
      <c r="A1270" s="193">
        <v>45897</v>
      </c>
      <c r="B1270" s="145" t="s">
        <v>830</v>
      </c>
      <c r="C1270" s="150">
        <v>2025</v>
      </c>
      <c r="D1270" s="201" t="s">
        <v>1431</v>
      </c>
      <c r="E1270" s="144" t="s">
        <v>1506</v>
      </c>
      <c r="F1270" s="139" t="s">
        <v>88</v>
      </c>
      <c r="G1270" s="144" t="s">
        <v>2793</v>
      </c>
      <c r="H1270" s="146" t="s">
        <v>26</v>
      </c>
      <c r="I1270" s="144" t="s">
        <v>1904</v>
      </c>
    </row>
    <row r="1271" spans="1:9" ht="25.5">
      <c r="A1271" s="193">
        <v>45897</v>
      </c>
      <c r="B1271" s="145" t="s">
        <v>830</v>
      </c>
      <c r="C1271" s="150">
        <v>2025</v>
      </c>
      <c r="D1271" s="201" t="s">
        <v>1431</v>
      </c>
      <c r="E1271" s="144" t="s">
        <v>216</v>
      </c>
      <c r="F1271" s="141" t="s">
        <v>821</v>
      </c>
      <c r="G1271" s="144" t="s">
        <v>2794</v>
      </c>
      <c r="H1271" s="146" t="s">
        <v>26</v>
      </c>
      <c r="I1271" s="144" t="s">
        <v>492</v>
      </c>
    </row>
    <row r="1272" spans="1:9" ht="14.1">
      <c r="A1272" s="193">
        <v>45897</v>
      </c>
      <c r="B1272" s="145" t="s">
        <v>830</v>
      </c>
      <c r="C1272" s="150">
        <v>2025</v>
      </c>
      <c r="D1272" s="201" t="s">
        <v>1431</v>
      </c>
      <c r="E1272" s="144" t="s">
        <v>21</v>
      </c>
      <c r="F1272" s="141" t="s">
        <v>821</v>
      </c>
      <c r="G1272" s="144" t="s">
        <v>2795</v>
      </c>
      <c r="H1272" s="146" t="s">
        <v>26</v>
      </c>
      <c r="I1272" s="144" t="s">
        <v>149</v>
      </c>
    </row>
    <row r="1273" spans="1:9" ht="38.1">
      <c r="A1273" s="193">
        <v>45897</v>
      </c>
      <c r="B1273" s="145" t="s">
        <v>830</v>
      </c>
      <c r="C1273" s="150">
        <v>2025</v>
      </c>
      <c r="D1273" s="201" t="s">
        <v>1431</v>
      </c>
      <c r="E1273" s="144" t="s">
        <v>21</v>
      </c>
      <c r="F1273" s="141" t="s">
        <v>821</v>
      </c>
      <c r="G1273" s="144" t="s">
        <v>2796</v>
      </c>
      <c r="H1273" s="146" t="s">
        <v>26</v>
      </c>
      <c r="I1273" s="144" t="s">
        <v>149</v>
      </c>
    </row>
    <row r="1274" spans="1:9" ht="38.1">
      <c r="A1274" s="193">
        <v>45897</v>
      </c>
      <c r="B1274" s="145" t="s">
        <v>830</v>
      </c>
      <c r="C1274" s="150">
        <v>2025</v>
      </c>
      <c r="D1274" s="201" t="s">
        <v>1431</v>
      </c>
      <c r="E1274" s="144" t="s">
        <v>1566</v>
      </c>
      <c r="F1274" s="139" t="s">
        <v>88</v>
      </c>
      <c r="G1274" s="144" t="s">
        <v>2797</v>
      </c>
      <c r="H1274" s="146" t="s">
        <v>26</v>
      </c>
      <c r="I1274" s="144" t="s">
        <v>2798</v>
      </c>
    </row>
    <row r="1275" spans="1:9" ht="14.1">
      <c r="A1275" s="193">
        <v>45897</v>
      </c>
      <c r="B1275" s="145" t="s">
        <v>830</v>
      </c>
      <c r="C1275" s="150">
        <v>2025</v>
      </c>
      <c r="D1275" s="201" t="s">
        <v>1431</v>
      </c>
      <c r="E1275" s="144" t="s">
        <v>1566</v>
      </c>
      <c r="F1275" s="139" t="s">
        <v>88</v>
      </c>
      <c r="G1275" s="144" t="s">
        <v>2799</v>
      </c>
      <c r="H1275" s="146" t="s">
        <v>26</v>
      </c>
      <c r="I1275" s="144" t="s">
        <v>2798</v>
      </c>
    </row>
    <row r="1276" spans="1:9" ht="25.5">
      <c r="A1276" s="193">
        <v>45897</v>
      </c>
      <c r="B1276" s="145" t="s">
        <v>830</v>
      </c>
      <c r="C1276" s="150">
        <v>2025</v>
      </c>
      <c r="D1276" s="201" t="s">
        <v>1431</v>
      </c>
      <c r="E1276" s="144" t="s">
        <v>1566</v>
      </c>
      <c r="F1276" s="139" t="s">
        <v>88</v>
      </c>
      <c r="G1276" s="144" t="s">
        <v>2800</v>
      </c>
      <c r="H1276" s="146" t="s">
        <v>26</v>
      </c>
      <c r="I1276" s="144" t="s">
        <v>2798</v>
      </c>
    </row>
    <row r="1277" spans="1:9" ht="14.1">
      <c r="A1277" s="193">
        <v>45897</v>
      </c>
      <c r="B1277" s="145" t="s">
        <v>830</v>
      </c>
      <c r="C1277" s="150">
        <v>2025</v>
      </c>
      <c r="D1277" s="201" t="s">
        <v>1431</v>
      </c>
      <c r="E1277" s="144" t="s">
        <v>1566</v>
      </c>
      <c r="F1277" s="139" t="s">
        <v>88</v>
      </c>
      <c r="G1277" s="144" t="s">
        <v>2801</v>
      </c>
      <c r="H1277" s="146" t="s">
        <v>26</v>
      </c>
      <c r="I1277" s="144" t="s">
        <v>2798</v>
      </c>
    </row>
    <row r="1278" spans="1:9" ht="25.5">
      <c r="A1278" s="193">
        <v>45897</v>
      </c>
      <c r="B1278" s="145" t="s">
        <v>830</v>
      </c>
      <c r="C1278" s="150">
        <v>2025</v>
      </c>
      <c r="D1278" s="201" t="s">
        <v>1431</v>
      </c>
      <c r="E1278" s="144" t="s">
        <v>1566</v>
      </c>
      <c r="F1278" s="139" t="s">
        <v>88</v>
      </c>
      <c r="G1278" s="144" t="s">
        <v>2802</v>
      </c>
      <c r="H1278" s="146" t="s">
        <v>26</v>
      </c>
      <c r="I1278" s="144" t="s">
        <v>2798</v>
      </c>
    </row>
    <row r="1279" spans="1:9" ht="25.5">
      <c r="A1279" s="193">
        <v>45897</v>
      </c>
      <c r="B1279" s="145" t="s">
        <v>830</v>
      </c>
      <c r="C1279" s="150">
        <v>2025</v>
      </c>
      <c r="D1279" s="201" t="s">
        <v>1431</v>
      </c>
      <c r="E1279" s="144" t="s">
        <v>2591</v>
      </c>
      <c r="F1279" s="139" t="s">
        <v>88</v>
      </c>
      <c r="G1279" s="144" t="s">
        <v>2803</v>
      </c>
      <c r="H1279" s="146" t="s">
        <v>26</v>
      </c>
      <c r="I1279" s="144" t="s">
        <v>2593</v>
      </c>
    </row>
    <row r="1280" spans="1:9" ht="87.95">
      <c r="A1280" s="193">
        <v>45897</v>
      </c>
      <c r="B1280" s="145" t="s">
        <v>830</v>
      </c>
      <c r="C1280" s="150">
        <v>2025</v>
      </c>
      <c r="D1280" s="201" t="s">
        <v>1431</v>
      </c>
      <c r="E1280" s="144" t="s">
        <v>2591</v>
      </c>
      <c r="F1280" s="139" t="s">
        <v>88</v>
      </c>
      <c r="G1280" s="144" t="s">
        <v>2804</v>
      </c>
      <c r="H1280" s="146" t="s">
        <v>26</v>
      </c>
      <c r="I1280" s="144" t="s">
        <v>2593</v>
      </c>
    </row>
    <row r="1281" spans="1:9" ht="50.45">
      <c r="A1281" s="193">
        <v>45897</v>
      </c>
      <c r="B1281" s="145" t="s">
        <v>830</v>
      </c>
      <c r="C1281" s="150">
        <v>2025</v>
      </c>
      <c r="D1281" s="201" t="s">
        <v>1431</v>
      </c>
      <c r="E1281" s="144" t="s">
        <v>2591</v>
      </c>
      <c r="F1281" s="147" t="s">
        <v>859</v>
      </c>
      <c r="G1281" s="144" t="s">
        <v>2805</v>
      </c>
      <c r="H1281" s="146" t="s">
        <v>26</v>
      </c>
      <c r="I1281" s="144" t="s">
        <v>2593</v>
      </c>
    </row>
    <row r="1282" spans="1:9" ht="25.5">
      <c r="A1282" s="193">
        <v>45897</v>
      </c>
      <c r="B1282" s="145" t="s">
        <v>830</v>
      </c>
      <c r="C1282" s="150">
        <v>2025</v>
      </c>
      <c r="D1282" s="201" t="s">
        <v>1431</v>
      </c>
      <c r="E1282" s="144" t="s">
        <v>2591</v>
      </c>
      <c r="F1282" s="139" t="s">
        <v>88</v>
      </c>
      <c r="G1282" s="144" t="s">
        <v>2806</v>
      </c>
      <c r="H1282" s="146" t="s">
        <v>26</v>
      </c>
      <c r="I1282" s="144" t="s">
        <v>2593</v>
      </c>
    </row>
    <row r="1283" spans="1:9" ht="25.5">
      <c r="A1283" s="193">
        <v>45897</v>
      </c>
      <c r="B1283" s="145" t="s">
        <v>830</v>
      </c>
      <c r="C1283" s="150">
        <v>2025</v>
      </c>
      <c r="D1283" s="201" t="s">
        <v>1431</v>
      </c>
      <c r="E1283" s="144" t="s">
        <v>2591</v>
      </c>
      <c r="F1283" s="147" t="s">
        <v>859</v>
      </c>
      <c r="G1283" s="144" t="s">
        <v>2807</v>
      </c>
      <c r="H1283" s="146" t="s">
        <v>26</v>
      </c>
      <c r="I1283" s="144" t="s">
        <v>2593</v>
      </c>
    </row>
    <row r="1284" spans="1:9" ht="38.1">
      <c r="A1284" s="193">
        <v>45897</v>
      </c>
      <c r="B1284" s="145" t="s">
        <v>830</v>
      </c>
      <c r="C1284" s="150">
        <v>2025</v>
      </c>
      <c r="D1284" s="201" t="s">
        <v>1431</v>
      </c>
      <c r="E1284" s="144" t="s">
        <v>2591</v>
      </c>
      <c r="F1284" s="147" t="s">
        <v>859</v>
      </c>
      <c r="G1284" s="144" t="s">
        <v>2808</v>
      </c>
      <c r="H1284" s="146" t="s">
        <v>26</v>
      </c>
      <c r="I1284" s="144" t="s">
        <v>2593</v>
      </c>
    </row>
    <row r="1285" spans="1:9" ht="14.1">
      <c r="A1285" s="193">
        <v>45897</v>
      </c>
      <c r="B1285" s="145" t="s">
        <v>830</v>
      </c>
      <c r="C1285" s="150">
        <v>2025</v>
      </c>
      <c r="D1285" s="201" t="s">
        <v>1431</v>
      </c>
      <c r="E1285" s="144" t="s">
        <v>1608</v>
      </c>
      <c r="F1285" s="140" t="s">
        <v>1439</v>
      </c>
      <c r="G1285" s="144" t="s">
        <v>2809</v>
      </c>
      <c r="H1285" s="146" t="s">
        <v>26</v>
      </c>
      <c r="I1285" s="144" t="s">
        <v>1458</v>
      </c>
    </row>
    <row r="1286" spans="1:9" ht="14.1">
      <c r="A1286" s="193">
        <v>45897</v>
      </c>
      <c r="B1286" s="145" t="s">
        <v>830</v>
      </c>
      <c r="C1286" s="150">
        <v>2025</v>
      </c>
      <c r="D1286" s="201" t="s">
        <v>1431</v>
      </c>
      <c r="E1286" s="144" t="s">
        <v>1608</v>
      </c>
      <c r="F1286" s="140" t="s">
        <v>1439</v>
      </c>
      <c r="G1286" s="144" t="s">
        <v>2810</v>
      </c>
      <c r="H1286" s="146" t="s">
        <v>26</v>
      </c>
      <c r="I1286" s="144" t="s">
        <v>1458</v>
      </c>
    </row>
    <row r="1287" spans="1:9" ht="14.1">
      <c r="A1287" s="193">
        <v>45898</v>
      </c>
      <c r="B1287" s="145" t="s">
        <v>830</v>
      </c>
      <c r="C1287" s="150">
        <v>2025</v>
      </c>
      <c r="D1287" s="201" t="s">
        <v>1431</v>
      </c>
      <c r="E1287" s="144" t="s">
        <v>1506</v>
      </c>
      <c r="F1287" s="139" t="s">
        <v>88</v>
      </c>
      <c r="G1287" s="144" t="s">
        <v>2811</v>
      </c>
      <c r="H1287" s="146" t="s">
        <v>26</v>
      </c>
      <c r="I1287" s="144" t="s">
        <v>452</v>
      </c>
    </row>
    <row r="1288" spans="1:9" ht="14.1">
      <c r="A1288" s="193">
        <v>45898</v>
      </c>
      <c r="B1288" s="145" t="s">
        <v>830</v>
      </c>
      <c r="C1288" s="150">
        <v>2025</v>
      </c>
      <c r="D1288" s="201" t="s">
        <v>1431</v>
      </c>
      <c r="E1288" s="144" t="s">
        <v>988</v>
      </c>
      <c r="F1288" s="139" t="s">
        <v>88</v>
      </c>
      <c r="G1288" s="144" t="s">
        <v>2812</v>
      </c>
      <c r="H1288" s="146" t="s">
        <v>26</v>
      </c>
      <c r="I1288" s="144" t="s">
        <v>2813</v>
      </c>
    </row>
    <row r="1289" spans="1:9" ht="25.5">
      <c r="A1289" s="193">
        <v>45898</v>
      </c>
      <c r="B1289" s="145" t="s">
        <v>830</v>
      </c>
      <c r="C1289" s="150">
        <v>2025</v>
      </c>
      <c r="D1289" s="201" t="s">
        <v>1431</v>
      </c>
      <c r="E1289" s="144" t="s">
        <v>216</v>
      </c>
      <c r="F1289" s="141" t="s">
        <v>821</v>
      </c>
      <c r="G1289" s="144" t="s">
        <v>2814</v>
      </c>
      <c r="H1289" s="146" t="s">
        <v>26</v>
      </c>
      <c r="I1289" s="144" t="s">
        <v>492</v>
      </c>
    </row>
    <row r="1290" spans="1:9" ht="38.1">
      <c r="A1290" s="193">
        <v>45898</v>
      </c>
      <c r="B1290" s="145" t="s">
        <v>830</v>
      </c>
      <c r="C1290" s="150">
        <v>2025</v>
      </c>
      <c r="D1290" s="201" t="s">
        <v>1431</v>
      </c>
      <c r="E1290" s="144" t="s">
        <v>2591</v>
      </c>
      <c r="F1290" s="147" t="s">
        <v>859</v>
      </c>
      <c r="G1290" s="144" t="s">
        <v>2815</v>
      </c>
      <c r="H1290" s="146" t="s">
        <v>26</v>
      </c>
      <c r="I1290" s="144" t="s">
        <v>2593</v>
      </c>
    </row>
    <row r="1291" spans="1:9" ht="38.1">
      <c r="A1291" s="193">
        <v>45898</v>
      </c>
      <c r="B1291" s="145" t="s">
        <v>830</v>
      </c>
      <c r="C1291" s="150">
        <v>2025</v>
      </c>
      <c r="D1291" s="201" t="s">
        <v>1431</v>
      </c>
      <c r="E1291" s="144" t="s">
        <v>2591</v>
      </c>
      <c r="F1291" s="147" t="s">
        <v>859</v>
      </c>
      <c r="G1291" s="144" t="s">
        <v>2816</v>
      </c>
      <c r="H1291" s="146" t="s">
        <v>26</v>
      </c>
      <c r="I1291" s="144" t="s">
        <v>2593</v>
      </c>
    </row>
    <row r="1292" spans="1:9" ht="25.5">
      <c r="A1292" s="193">
        <v>45898</v>
      </c>
      <c r="B1292" s="145" t="s">
        <v>830</v>
      </c>
      <c r="C1292" s="150">
        <v>2025</v>
      </c>
      <c r="D1292" s="201" t="s">
        <v>1431</v>
      </c>
      <c r="E1292" s="144" t="s">
        <v>2591</v>
      </c>
      <c r="F1292" s="139" t="s">
        <v>88</v>
      </c>
      <c r="G1292" s="144" t="s">
        <v>2817</v>
      </c>
      <c r="H1292" s="146" t="s">
        <v>26</v>
      </c>
      <c r="I1292" s="144" t="s">
        <v>2593</v>
      </c>
    </row>
    <row r="1293" spans="1:9" ht="63">
      <c r="A1293" s="193">
        <v>45898</v>
      </c>
      <c r="B1293" s="145" t="s">
        <v>830</v>
      </c>
      <c r="C1293" s="150">
        <v>2025</v>
      </c>
      <c r="D1293" s="201" t="s">
        <v>1431</v>
      </c>
      <c r="E1293" s="144" t="s">
        <v>2591</v>
      </c>
      <c r="F1293" s="147" t="s">
        <v>859</v>
      </c>
      <c r="G1293" s="144" t="s">
        <v>2818</v>
      </c>
      <c r="H1293" s="146" t="s">
        <v>26</v>
      </c>
      <c r="I1293" s="144" t="s">
        <v>2593</v>
      </c>
    </row>
    <row r="1294" spans="1:9" ht="38.1">
      <c r="A1294" s="193">
        <v>45901</v>
      </c>
      <c r="B1294" s="145" t="s">
        <v>831</v>
      </c>
      <c r="C1294" s="150">
        <v>2025</v>
      </c>
      <c r="D1294" s="201" t="s">
        <v>1431</v>
      </c>
      <c r="E1294" s="144" t="s">
        <v>1506</v>
      </c>
      <c r="F1294" s="139" t="s">
        <v>88</v>
      </c>
      <c r="G1294" s="144" t="s">
        <v>2819</v>
      </c>
      <c r="H1294" s="146" t="s">
        <v>26</v>
      </c>
      <c r="I1294" s="144" t="s">
        <v>1904</v>
      </c>
    </row>
    <row r="1295" spans="1:9" ht="25.5">
      <c r="A1295" s="193">
        <v>45901</v>
      </c>
      <c r="B1295" s="145" t="s">
        <v>831</v>
      </c>
      <c r="C1295" s="150">
        <v>2025</v>
      </c>
      <c r="D1295" s="201" t="s">
        <v>1431</v>
      </c>
      <c r="E1295" s="144" t="s">
        <v>1506</v>
      </c>
      <c r="F1295" s="139" t="s">
        <v>88</v>
      </c>
      <c r="G1295" s="144" t="s">
        <v>2820</v>
      </c>
      <c r="H1295" s="146" t="s">
        <v>26</v>
      </c>
      <c r="I1295" s="144" t="s">
        <v>1904</v>
      </c>
    </row>
    <row r="1296" spans="1:9" ht="25.5">
      <c r="A1296" s="193">
        <v>45901</v>
      </c>
      <c r="B1296" s="145" t="s">
        <v>831</v>
      </c>
      <c r="C1296" s="150">
        <v>2025</v>
      </c>
      <c r="D1296" s="201" t="s">
        <v>1431</v>
      </c>
      <c r="E1296" s="144" t="s">
        <v>216</v>
      </c>
      <c r="F1296" s="141" t="s">
        <v>821</v>
      </c>
      <c r="G1296" s="144" t="s">
        <v>2821</v>
      </c>
      <c r="H1296" s="146" t="s">
        <v>26</v>
      </c>
      <c r="I1296" s="144" t="s">
        <v>492</v>
      </c>
    </row>
    <row r="1297" spans="1:9" ht="25.5">
      <c r="A1297" s="193">
        <v>45901</v>
      </c>
      <c r="B1297" s="145" t="s">
        <v>831</v>
      </c>
      <c r="C1297" s="150">
        <v>2025</v>
      </c>
      <c r="D1297" s="201" t="s">
        <v>1431</v>
      </c>
      <c r="E1297" s="144" t="s">
        <v>21</v>
      </c>
      <c r="F1297" s="141" t="s">
        <v>821</v>
      </c>
      <c r="G1297" s="144" t="s">
        <v>2822</v>
      </c>
      <c r="H1297" s="146" t="s">
        <v>26</v>
      </c>
      <c r="I1297" s="144" t="s">
        <v>149</v>
      </c>
    </row>
    <row r="1298" spans="1:9" ht="63">
      <c r="A1298" s="193">
        <v>45901</v>
      </c>
      <c r="B1298" s="145" t="s">
        <v>831</v>
      </c>
      <c r="C1298" s="150">
        <v>2025</v>
      </c>
      <c r="D1298" s="201" t="s">
        <v>1431</v>
      </c>
      <c r="E1298" s="144" t="s">
        <v>1511</v>
      </c>
      <c r="F1298" s="139" t="s">
        <v>88</v>
      </c>
      <c r="G1298" s="144" t="s">
        <v>2823</v>
      </c>
      <c r="H1298" s="146" t="s">
        <v>26</v>
      </c>
      <c r="I1298" s="144" t="s">
        <v>2824</v>
      </c>
    </row>
    <row r="1299" spans="1:9" ht="63">
      <c r="A1299" s="193">
        <v>45901</v>
      </c>
      <c r="B1299" s="145" t="s">
        <v>831</v>
      </c>
      <c r="C1299" s="150">
        <v>2025</v>
      </c>
      <c r="D1299" s="201" t="s">
        <v>2224</v>
      </c>
      <c r="E1299" s="144" t="s">
        <v>574</v>
      </c>
      <c r="F1299" s="139" t="s">
        <v>88</v>
      </c>
      <c r="G1299" s="144" t="s">
        <v>2825</v>
      </c>
      <c r="H1299" s="146" t="s">
        <v>26</v>
      </c>
      <c r="I1299" s="144" t="s">
        <v>2568</v>
      </c>
    </row>
    <row r="1300" spans="1:9" ht="25.5">
      <c r="A1300" s="193">
        <v>45901</v>
      </c>
      <c r="B1300" s="145" t="s">
        <v>831</v>
      </c>
      <c r="C1300" s="150">
        <v>2025</v>
      </c>
      <c r="D1300" s="201" t="s">
        <v>2224</v>
      </c>
      <c r="E1300" s="144" t="s">
        <v>1511</v>
      </c>
      <c r="F1300" s="139" t="s">
        <v>88</v>
      </c>
      <c r="G1300" s="144" t="s">
        <v>2826</v>
      </c>
      <c r="H1300" s="146" t="s">
        <v>26</v>
      </c>
      <c r="I1300" s="144" t="s">
        <v>2735</v>
      </c>
    </row>
    <row r="1301" spans="1:9" ht="38.1">
      <c r="A1301" s="193">
        <v>45901</v>
      </c>
      <c r="B1301" s="145" t="s">
        <v>831</v>
      </c>
      <c r="C1301" s="150">
        <v>2025</v>
      </c>
      <c r="D1301" s="201" t="s">
        <v>1431</v>
      </c>
      <c r="E1301" s="144" t="s">
        <v>2591</v>
      </c>
      <c r="F1301" s="139" t="s">
        <v>88</v>
      </c>
      <c r="G1301" s="144" t="s">
        <v>2827</v>
      </c>
      <c r="H1301" s="146" t="s">
        <v>26</v>
      </c>
      <c r="I1301" s="144" t="s">
        <v>2593</v>
      </c>
    </row>
    <row r="1302" spans="1:9" ht="38.1">
      <c r="A1302" s="193">
        <v>45901</v>
      </c>
      <c r="B1302" s="145" t="s">
        <v>831</v>
      </c>
      <c r="C1302" s="150">
        <v>2025</v>
      </c>
      <c r="D1302" s="201" t="s">
        <v>1431</v>
      </c>
      <c r="E1302" s="144" t="s">
        <v>2591</v>
      </c>
      <c r="F1302" s="139" t="s">
        <v>88</v>
      </c>
      <c r="G1302" s="144" t="s">
        <v>2828</v>
      </c>
      <c r="H1302" s="146" t="s">
        <v>26</v>
      </c>
      <c r="I1302" s="144" t="s">
        <v>2593</v>
      </c>
    </row>
    <row r="1303" spans="1:9" ht="14.1">
      <c r="A1303" s="193">
        <v>45901</v>
      </c>
      <c r="B1303" s="145" t="s">
        <v>831</v>
      </c>
      <c r="C1303" s="150">
        <v>2025</v>
      </c>
      <c r="D1303" s="201" t="s">
        <v>1431</v>
      </c>
      <c r="E1303" s="144" t="s">
        <v>2591</v>
      </c>
      <c r="F1303" s="139" t="s">
        <v>88</v>
      </c>
      <c r="G1303" s="144" t="s">
        <v>2829</v>
      </c>
      <c r="H1303" s="146" t="s">
        <v>26</v>
      </c>
      <c r="I1303" s="144" t="s">
        <v>2593</v>
      </c>
    </row>
    <row r="1304" spans="1:9" ht="25.5">
      <c r="A1304" s="193">
        <v>45901</v>
      </c>
      <c r="B1304" s="145" t="s">
        <v>831</v>
      </c>
      <c r="C1304" s="150">
        <v>2025</v>
      </c>
      <c r="D1304" s="201" t="s">
        <v>1431</v>
      </c>
      <c r="E1304" s="144" t="s">
        <v>2591</v>
      </c>
      <c r="F1304" s="139" t="s">
        <v>88</v>
      </c>
      <c r="G1304" s="144" t="s">
        <v>2830</v>
      </c>
      <c r="H1304" s="146" t="s">
        <v>26</v>
      </c>
      <c r="I1304" s="144" t="s">
        <v>2593</v>
      </c>
    </row>
    <row r="1305" spans="1:9" ht="25.5">
      <c r="A1305" s="193">
        <v>45901</v>
      </c>
      <c r="B1305" s="145" t="s">
        <v>831</v>
      </c>
      <c r="C1305" s="150">
        <v>2025</v>
      </c>
      <c r="D1305" s="201" t="s">
        <v>1431</v>
      </c>
      <c r="E1305" s="144" t="s">
        <v>2591</v>
      </c>
      <c r="F1305" s="139" t="s">
        <v>88</v>
      </c>
      <c r="G1305" s="144" t="s">
        <v>2831</v>
      </c>
      <c r="H1305" s="146" t="s">
        <v>26</v>
      </c>
      <c r="I1305" s="144" t="s">
        <v>2593</v>
      </c>
    </row>
    <row r="1306" spans="1:9" ht="50.45">
      <c r="A1306" s="193">
        <v>45901</v>
      </c>
      <c r="B1306" s="145" t="s">
        <v>831</v>
      </c>
      <c r="C1306" s="150">
        <v>2025</v>
      </c>
      <c r="D1306" s="201" t="s">
        <v>1431</v>
      </c>
      <c r="E1306" s="144" t="s">
        <v>2591</v>
      </c>
      <c r="F1306" s="139" t="s">
        <v>88</v>
      </c>
      <c r="G1306" s="144" t="s">
        <v>2832</v>
      </c>
      <c r="H1306" s="146" t="s">
        <v>26</v>
      </c>
      <c r="I1306" s="144" t="s">
        <v>2593</v>
      </c>
    </row>
    <row r="1307" spans="1:9" ht="50.45">
      <c r="A1307" s="193">
        <v>45901</v>
      </c>
      <c r="B1307" s="145" t="s">
        <v>831</v>
      </c>
      <c r="C1307" s="150">
        <v>2025</v>
      </c>
      <c r="D1307" s="201" t="s">
        <v>1431</v>
      </c>
      <c r="E1307" s="144" t="s">
        <v>2591</v>
      </c>
      <c r="F1307" s="139" t="s">
        <v>88</v>
      </c>
      <c r="G1307" s="144" t="s">
        <v>2833</v>
      </c>
      <c r="H1307" s="146" t="s">
        <v>26</v>
      </c>
      <c r="I1307" s="144" t="s">
        <v>2593</v>
      </c>
    </row>
    <row r="1308" spans="1:9" ht="63">
      <c r="A1308" s="193">
        <v>45901</v>
      </c>
      <c r="B1308" s="145" t="s">
        <v>831</v>
      </c>
      <c r="C1308" s="150">
        <v>2025</v>
      </c>
      <c r="D1308" s="201" t="s">
        <v>1431</v>
      </c>
      <c r="E1308" s="144" t="s">
        <v>2591</v>
      </c>
      <c r="F1308" s="139" t="s">
        <v>88</v>
      </c>
      <c r="G1308" s="144" t="s">
        <v>2834</v>
      </c>
      <c r="H1308" s="146" t="s">
        <v>26</v>
      </c>
      <c r="I1308" s="144" t="s">
        <v>2593</v>
      </c>
    </row>
    <row r="1309" spans="1:9" ht="50.45">
      <c r="A1309" s="193">
        <v>45901</v>
      </c>
      <c r="B1309" s="145" t="s">
        <v>831</v>
      </c>
      <c r="C1309" s="150">
        <v>2025</v>
      </c>
      <c r="D1309" s="201" t="s">
        <v>1431</v>
      </c>
      <c r="E1309" s="144" t="s">
        <v>2591</v>
      </c>
      <c r="F1309" s="139" t="s">
        <v>88</v>
      </c>
      <c r="G1309" s="144" t="s">
        <v>2835</v>
      </c>
      <c r="H1309" s="146" t="s">
        <v>26</v>
      </c>
      <c r="I1309" s="144" t="s">
        <v>2593</v>
      </c>
    </row>
    <row r="1310" spans="1:9" ht="14.1">
      <c r="A1310" s="193">
        <v>45901</v>
      </c>
      <c r="B1310" s="145" t="s">
        <v>831</v>
      </c>
      <c r="C1310" s="150">
        <v>2025</v>
      </c>
      <c r="D1310" s="201" t="s">
        <v>1431</v>
      </c>
      <c r="E1310" s="144" t="s">
        <v>1566</v>
      </c>
      <c r="F1310" s="139" t="s">
        <v>88</v>
      </c>
      <c r="G1310" s="144" t="s">
        <v>2836</v>
      </c>
      <c r="H1310" s="146" t="s">
        <v>26</v>
      </c>
      <c r="I1310" s="144" t="s">
        <v>1588</v>
      </c>
    </row>
    <row r="1311" spans="1:9" ht="38.1">
      <c r="A1311" s="193">
        <v>45901</v>
      </c>
      <c r="B1311" s="145" t="s">
        <v>831</v>
      </c>
      <c r="C1311" s="150">
        <v>2025</v>
      </c>
      <c r="D1311" s="201" t="s">
        <v>1431</v>
      </c>
      <c r="E1311" s="144" t="s">
        <v>1566</v>
      </c>
      <c r="F1311" s="139" t="s">
        <v>88</v>
      </c>
      <c r="G1311" s="144" t="s">
        <v>2837</v>
      </c>
      <c r="H1311" s="146" t="s">
        <v>26</v>
      </c>
      <c r="I1311" s="144" t="s">
        <v>1588</v>
      </c>
    </row>
    <row r="1312" spans="1:9" ht="14.1">
      <c r="A1312" s="193">
        <v>45901</v>
      </c>
      <c r="B1312" s="145" t="s">
        <v>831</v>
      </c>
      <c r="C1312" s="150">
        <v>2025</v>
      </c>
      <c r="D1312" s="201" t="s">
        <v>1431</v>
      </c>
      <c r="E1312" s="144" t="s">
        <v>1566</v>
      </c>
      <c r="F1312" s="139" t="s">
        <v>88</v>
      </c>
      <c r="G1312" s="144" t="s">
        <v>2838</v>
      </c>
      <c r="H1312" s="146" t="s">
        <v>26</v>
      </c>
      <c r="I1312" s="144" t="s">
        <v>1588</v>
      </c>
    </row>
    <row r="1313" spans="1:9" ht="25.5">
      <c r="A1313" s="193">
        <v>45901</v>
      </c>
      <c r="B1313" s="145" t="s">
        <v>831</v>
      </c>
      <c r="C1313" s="150">
        <v>2025</v>
      </c>
      <c r="D1313" s="201" t="s">
        <v>1431</v>
      </c>
      <c r="E1313" s="144" t="s">
        <v>1566</v>
      </c>
      <c r="F1313" s="139" t="s">
        <v>88</v>
      </c>
      <c r="G1313" s="144" t="s">
        <v>2839</v>
      </c>
      <c r="H1313" s="146" t="s">
        <v>26</v>
      </c>
      <c r="I1313" s="144" t="s">
        <v>1588</v>
      </c>
    </row>
    <row r="1314" spans="1:9" ht="87.95">
      <c r="A1314" s="193">
        <v>45901</v>
      </c>
      <c r="B1314" s="145" t="s">
        <v>831</v>
      </c>
      <c r="C1314" s="150">
        <v>2025</v>
      </c>
      <c r="D1314" s="201" t="s">
        <v>1431</v>
      </c>
      <c r="E1314" s="144" t="s">
        <v>1566</v>
      </c>
      <c r="F1314" s="139" t="s">
        <v>88</v>
      </c>
      <c r="G1314" s="144" t="s">
        <v>2840</v>
      </c>
      <c r="H1314" s="146" t="s">
        <v>26</v>
      </c>
      <c r="I1314" s="144" t="s">
        <v>1588</v>
      </c>
    </row>
    <row r="1315" spans="1:9" ht="38.1">
      <c r="A1315" s="193">
        <v>45901</v>
      </c>
      <c r="B1315" s="145" t="s">
        <v>831</v>
      </c>
      <c r="C1315" s="150">
        <v>2025</v>
      </c>
      <c r="D1315" s="201" t="s">
        <v>1431</v>
      </c>
      <c r="E1315" s="144" t="s">
        <v>1566</v>
      </c>
      <c r="F1315" s="139" t="s">
        <v>88</v>
      </c>
      <c r="G1315" s="144" t="s">
        <v>2841</v>
      </c>
      <c r="H1315" s="146" t="s">
        <v>26</v>
      </c>
      <c r="I1315" s="144" t="s">
        <v>1588</v>
      </c>
    </row>
    <row r="1316" spans="1:9" ht="25.5">
      <c r="A1316" s="193">
        <v>45901</v>
      </c>
      <c r="B1316" s="145" t="s">
        <v>831</v>
      </c>
      <c r="C1316" s="150">
        <v>2025</v>
      </c>
      <c r="D1316" s="201" t="s">
        <v>1431</v>
      </c>
      <c r="E1316" s="144" t="s">
        <v>1566</v>
      </c>
      <c r="F1316" s="139" t="s">
        <v>88</v>
      </c>
      <c r="G1316" s="144" t="s">
        <v>2842</v>
      </c>
      <c r="H1316" s="146" t="s">
        <v>26</v>
      </c>
      <c r="I1316" s="144" t="s">
        <v>1588</v>
      </c>
    </row>
    <row r="1317" spans="1:9" ht="113.1">
      <c r="A1317" s="193">
        <v>45901</v>
      </c>
      <c r="B1317" s="145" t="s">
        <v>831</v>
      </c>
      <c r="C1317" s="150">
        <v>2025</v>
      </c>
      <c r="D1317" s="201" t="s">
        <v>1431</v>
      </c>
      <c r="E1317" s="144" t="s">
        <v>1566</v>
      </c>
      <c r="F1317" s="139" t="s">
        <v>88</v>
      </c>
      <c r="G1317" s="144" t="s">
        <v>2843</v>
      </c>
      <c r="H1317" s="146" t="s">
        <v>26</v>
      </c>
      <c r="I1317" s="144" t="s">
        <v>1588</v>
      </c>
    </row>
    <row r="1318" spans="1:9" ht="25.5">
      <c r="A1318" s="193">
        <v>45902</v>
      </c>
      <c r="B1318" s="145" t="s">
        <v>831</v>
      </c>
      <c r="C1318" s="150">
        <v>2025</v>
      </c>
      <c r="D1318" s="201" t="s">
        <v>1431</v>
      </c>
      <c r="E1318" s="144" t="s">
        <v>21</v>
      </c>
      <c r="F1318" s="141" t="s">
        <v>821</v>
      </c>
      <c r="G1318" s="144" t="s">
        <v>2844</v>
      </c>
      <c r="H1318" s="146" t="s">
        <v>26</v>
      </c>
      <c r="I1318" s="144" t="s">
        <v>468</v>
      </c>
    </row>
    <row r="1319" spans="1:9" ht="38.1">
      <c r="A1319" s="193">
        <v>45902</v>
      </c>
      <c r="B1319" s="145" t="s">
        <v>831</v>
      </c>
      <c r="C1319" s="150">
        <v>2025</v>
      </c>
      <c r="D1319" s="201" t="s">
        <v>1431</v>
      </c>
      <c r="E1319" s="144" t="s">
        <v>2244</v>
      </c>
      <c r="F1319" s="147" t="s">
        <v>859</v>
      </c>
      <c r="G1319" s="144" t="s">
        <v>2845</v>
      </c>
      <c r="H1319" s="146" t="s">
        <v>26</v>
      </c>
      <c r="I1319" s="144" t="s">
        <v>1998</v>
      </c>
    </row>
    <row r="1320" spans="1:9" ht="38.1">
      <c r="A1320" s="193">
        <v>45902</v>
      </c>
      <c r="B1320" s="145" t="s">
        <v>831</v>
      </c>
      <c r="C1320" s="150">
        <v>2025</v>
      </c>
      <c r="D1320" s="201" t="s">
        <v>1431</v>
      </c>
      <c r="E1320" s="144" t="s">
        <v>2244</v>
      </c>
      <c r="F1320" s="139" t="s">
        <v>88</v>
      </c>
      <c r="G1320" s="144" t="s">
        <v>2846</v>
      </c>
      <c r="H1320" s="146" t="s">
        <v>26</v>
      </c>
      <c r="I1320" s="144" t="s">
        <v>1998</v>
      </c>
    </row>
    <row r="1321" spans="1:9" ht="38.1">
      <c r="A1321" s="193">
        <v>45902</v>
      </c>
      <c r="B1321" s="145" t="s">
        <v>831</v>
      </c>
      <c r="C1321" s="150">
        <v>2025</v>
      </c>
      <c r="D1321" s="201" t="s">
        <v>1431</v>
      </c>
      <c r="E1321" s="144" t="s">
        <v>21</v>
      </c>
      <c r="F1321" s="141" t="s">
        <v>821</v>
      </c>
      <c r="G1321" s="144" t="s">
        <v>2847</v>
      </c>
      <c r="H1321" s="146" t="s">
        <v>26</v>
      </c>
      <c r="I1321" s="144" t="s">
        <v>468</v>
      </c>
    </row>
    <row r="1322" spans="1:9" ht="14.1">
      <c r="A1322" s="193">
        <v>45902</v>
      </c>
      <c r="B1322" s="145" t="s">
        <v>831</v>
      </c>
      <c r="C1322" s="150">
        <v>2025</v>
      </c>
      <c r="D1322" s="201" t="s">
        <v>1431</v>
      </c>
      <c r="E1322" s="144" t="s">
        <v>216</v>
      </c>
      <c r="F1322" s="141" t="s">
        <v>821</v>
      </c>
      <c r="G1322" s="144" t="s">
        <v>2848</v>
      </c>
      <c r="H1322" s="146" t="s">
        <v>26</v>
      </c>
      <c r="I1322" s="144" t="s">
        <v>492</v>
      </c>
    </row>
    <row r="1323" spans="1:9" ht="25.5">
      <c r="A1323" s="193">
        <v>45902</v>
      </c>
      <c r="B1323" s="145" t="s">
        <v>831</v>
      </c>
      <c r="C1323" s="150">
        <v>2025</v>
      </c>
      <c r="D1323" s="201" t="s">
        <v>1431</v>
      </c>
      <c r="E1323" s="144" t="s">
        <v>1608</v>
      </c>
      <c r="F1323" s="140" t="s">
        <v>1439</v>
      </c>
      <c r="G1323" s="144" t="s">
        <v>2849</v>
      </c>
      <c r="H1323" s="146" t="s">
        <v>26</v>
      </c>
      <c r="I1323" s="144" t="s">
        <v>158</v>
      </c>
    </row>
    <row r="1324" spans="1:9" ht="25.5">
      <c r="A1324" s="193">
        <v>45902</v>
      </c>
      <c r="B1324" s="145" t="s">
        <v>831</v>
      </c>
      <c r="C1324" s="150">
        <v>2025</v>
      </c>
      <c r="D1324" s="201" t="s">
        <v>1431</v>
      </c>
      <c r="E1324" s="144" t="s">
        <v>2591</v>
      </c>
      <c r="F1324" s="139" t="s">
        <v>88</v>
      </c>
      <c r="G1324" s="144" t="s">
        <v>2850</v>
      </c>
      <c r="H1324" s="146" t="s">
        <v>26</v>
      </c>
      <c r="I1324" s="144" t="s">
        <v>2593</v>
      </c>
    </row>
    <row r="1325" spans="1:9" ht="100.5">
      <c r="A1325" s="193">
        <v>45902</v>
      </c>
      <c r="B1325" s="145" t="s">
        <v>831</v>
      </c>
      <c r="C1325" s="150">
        <v>2025</v>
      </c>
      <c r="D1325" s="201" t="s">
        <v>1431</v>
      </c>
      <c r="E1325" s="144" t="s">
        <v>2591</v>
      </c>
      <c r="F1325" s="139" t="s">
        <v>88</v>
      </c>
      <c r="G1325" s="144" t="s">
        <v>2851</v>
      </c>
      <c r="H1325" s="146" t="s">
        <v>26</v>
      </c>
      <c r="I1325" s="144" t="s">
        <v>2593</v>
      </c>
    </row>
    <row r="1326" spans="1:9" ht="50.45">
      <c r="A1326" s="193">
        <v>45902</v>
      </c>
      <c r="B1326" s="145" t="s">
        <v>831</v>
      </c>
      <c r="C1326" s="150">
        <v>2025</v>
      </c>
      <c r="D1326" s="201" t="s">
        <v>1431</v>
      </c>
      <c r="E1326" s="144" t="s">
        <v>2591</v>
      </c>
      <c r="F1326" s="139" t="s">
        <v>88</v>
      </c>
      <c r="G1326" s="144" t="s">
        <v>2852</v>
      </c>
      <c r="H1326" s="146" t="s">
        <v>26</v>
      </c>
      <c r="I1326" s="144" t="s">
        <v>2593</v>
      </c>
    </row>
    <row r="1327" spans="1:9" ht="25.5">
      <c r="A1327" s="193">
        <v>45902</v>
      </c>
      <c r="B1327" s="145" t="s">
        <v>831</v>
      </c>
      <c r="C1327" s="150">
        <v>2025</v>
      </c>
      <c r="D1327" s="201" t="s">
        <v>1431</v>
      </c>
      <c r="E1327" s="144" t="s">
        <v>2591</v>
      </c>
      <c r="F1327" s="139" t="s">
        <v>88</v>
      </c>
      <c r="G1327" s="144" t="s">
        <v>2853</v>
      </c>
      <c r="H1327" s="146" t="s">
        <v>26</v>
      </c>
      <c r="I1327" s="144" t="s">
        <v>2593</v>
      </c>
    </row>
    <row r="1328" spans="1:9" ht="14.1">
      <c r="A1328" s="193">
        <v>45902</v>
      </c>
      <c r="B1328" s="145" t="s">
        <v>831</v>
      </c>
      <c r="C1328" s="150">
        <v>2025</v>
      </c>
      <c r="D1328" s="201" t="s">
        <v>1431</v>
      </c>
      <c r="E1328" s="144" t="s">
        <v>1566</v>
      </c>
      <c r="F1328" s="139" t="s">
        <v>88</v>
      </c>
      <c r="G1328" s="144" t="s">
        <v>2854</v>
      </c>
      <c r="H1328" s="146" t="s">
        <v>26</v>
      </c>
      <c r="I1328" s="144" t="s">
        <v>1453</v>
      </c>
    </row>
    <row r="1329" spans="1:9" ht="14.1">
      <c r="A1329" s="193">
        <v>45902</v>
      </c>
      <c r="B1329" s="145" t="s">
        <v>831</v>
      </c>
      <c r="C1329" s="150">
        <v>2025</v>
      </c>
      <c r="D1329" s="201" t="s">
        <v>1431</v>
      </c>
      <c r="E1329" s="144" t="s">
        <v>1566</v>
      </c>
      <c r="F1329" s="139" t="s">
        <v>88</v>
      </c>
      <c r="G1329" s="144" t="s">
        <v>2855</v>
      </c>
      <c r="H1329" s="146" t="s">
        <v>26</v>
      </c>
      <c r="I1329" s="144" t="s">
        <v>1453</v>
      </c>
    </row>
    <row r="1330" spans="1:9" ht="14.1">
      <c r="A1330" s="193">
        <v>45902</v>
      </c>
      <c r="B1330" s="145" t="s">
        <v>831</v>
      </c>
      <c r="C1330" s="150">
        <v>2025</v>
      </c>
      <c r="D1330" s="201" t="s">
        <v>1431</v>
      </c>
      <c r="E1330" s="144" t="s">
        <v>1566</v>
      </c>
      <c r="F1330" s="139" t="s">
        <v>88</v>
      </c>
      <c r="G1330" s="144" t="s">
        <v>2856</v>
      </c>
      <c r="H1330" s="146" t="s">
        <v>26</v>
      </c>
      <c r="I1330" s="144" t="s">
        <v>1453</v>
      </c>
    </row>
    <row r="1331" spans="1:9" ht="38.1">
      <c r="A1331" s="193">
        <v>45903</v>
      </c>
      <c r="B1331" s="145" t="s">
        <v>831</v>
      </c>
      <c r="C1331" s="150">
        <v>2025</v>
      </c>
      <c r="D1331" s="201" t="s">
        <v>1431</v>
      </c>
      <c r="E1331" s="144" t="s">
        <v>216</v>
      </c>
      <c r="F1331" s="141" t="s">
        <v>821</v>
      </c>
      <c r="G1331" s="144" t="s">
        <v>2857</v>
      </c>
      <c r="H1331" s="146" t="s">
        <v>26</v>
      </c>
      <c r="I1331" s="144" t="s">
        <v>492</v>
      </c>
    </row>
    <row r="1332" spans="1:9" ht="14.1">
      <c r="A1332" s="193">
        <v>45903</v>
      </c>
      <c r="B1332" s="145" t="s">
        <v>831</v>
      </c>
      <c r="C1332" s="150">
        <v>2025</v>
      </c>
      <c r="D1332" s="201" t="s">
        <v>1431</v>
      </c>
      <c r="E1332" s="144" t="s">
        <v>1608</v>
      </c>
      <c r="F1332" s="140" t="s">
        <v>1439</v>
      </c>
      <c r="G1332" s="144" t="s">
        <v>2858</v>
      </c>
      <c r="H1332" s="146" t="s">
        <v>26</v>
      </c>
      <c r="I1332" s="144" t="s">
        <v>158</v>
      </c>
    </row>
    <row r="1333" spans="1:9" ht="38.1">
      <c r="A1333" s="193">
        <v>45903</v>
      </c>
      <c r="B1333" s="145" t="s">
        <v>831</v>
      </c>
      <c r="C1333" s="150">
        <v>2025</v>
      </c>
      <c r="D1333" s="201" t="s">
        <v>1431</v>
      </c>
      <c r="E1333" s="144" t="s">
        <v>2591</v>
      </c>
      <c r="F1333" s="139" t="s">
        <v>88</v>
      </c>
      <c r="G1333" s="144" t="s">
        <v>2859</v>
      </c>
      <c r="H1333" s="146" t="s">
        <v>26</v>
      </c>
      <c r="I1333" s="144" t="s">
        <v>2739</v>
      </c>
    </row>
    <row r="1334" spans="1:9" ht="38.1">
      <c r="A1334" s="193">
        <v>45903</v>
      </c>
      <c r="B1334" s="145" t="s">
        <v>831</v>
      </c>
      <c r="C1334" s="150">
        <v>2025</v>
      </c>
      <c r="D1334" s="201" t="s">
        <v>1431</v>
      </c>
      <c r="E1334" s="144" t="s">
        <v>2591</v>
      </c>
      <c r="F1334" s="139" t="s">
        <v>88</v>
      </c>
      <c r="G1334" s="144" t="s">
        <v>2860</v>
      </c>
      <c r="H1334" s="146" t="s">
        <v>26</v>
      </c>
      <c r="I1334" s="144" t="s">
        <v>2739</v>
      </c>
    </row>
    <row r="1335" spans="1:9" ht="38.1">
      <c r="A1335" s="193">
        <v>45903</v>
      </c>
      <c r="B1335" s="145" t="s">
        <v>831</v>
      </c>
      <c r="C1335" s="150">
        <v>2025</v>
      </c>
      <c r="D1335" s="201" t="s">
        <v>1431</v>
      </c>
      <c r="E1335" s="144" t="s">
        <v>2591</v>
      </c>
      <c r="F1335" s="139" t="s">
        <v>88</v>
      </c>
      <c r="G1335" s="144" t="s">
        <v>2861</v>
      </c>
      <c r="H1335" s="146" t="s">
        <v>26</v>
      </c>
      <c r="I1335" s="144" t="s">
        <v>2739</v>
      </c>
    </row>
    <row r="1336" spans="1:9" ht="50.45">
      <c r="A1336" s="193">
        <v>45903</v>
      </c>
      <c r="B1336" s="145" t="s">
        <v>831</v>
      </c>
      <c r="C1336" s="150">
        <v>2025</v>
      </c>
      <c r="D1336" s="201" t="s">
        <v>1431</v>
      </c>
      <c r="E1336" s="144" t="s">
        <v>2591</v>
      </c>
      <c r="F1336" s="139" t="s">
        <v>88</v>
      </c>
      <c r="G1336" s="144" t="s">
        <v>2862</v>
      </c>
      <c r="H1336" s="146" t="s">
        <v>26</v>
      </c>
      <c r="I1336" s="144" t="s">
        <v>2739</v>
      </c>
    </row>
    <row r="1337" spans="1:9" ht="25.5">
      <c r="A1337" s="193">
        <v>45903</v>
      </c>
      <c r="B1337" s="145" t="s">
        <v>831</v>
      </c>
      <c r="C1337" s="150">
        <v>2025</v>
      </c>
      <c r="D1337" s="201" t="s">
        <v>1431</v>
      </c>
      <c r="E1337" s="144" t="s">
        <v>2591</v>
      </c>
      <c r="F1337" s="139" t="s">
        <v>88</v>
      </c>
      <c r="G1337" s="144" t="s">
        <v>2863</v>
      </c>
      <c r="H1337" s="146" t="s">
        <v>26</v>
      </c>
      <c r="I1337" s="144" t="s">
        <v>2739</v>
      </c>
    </row>
    <row r="1338" spans="1:9" ht="14.1">
      <c r="A1338" s="193">
        <v>45903</v>
      </c>
      <c r="B1338" s="145" t="s">
        <v>831</v>
      </c>
      <c r="C1338" s="150">
        <v>2025</v>
      </c>
      <c r="D1338" s="201" t="s">
        <v>1431</v>
      </c>
      <c r="E1338" s="144" t="s">
        <v>1566</v>
      </c>
      <c r="F1338" s="139" t="s">
        <v>88</v>
      </c>
      <c r="G1338" s="144" t="s">
        <v>2864</v>
      </c>
      <c r="H1338" s="146" t="s">
        <v>26</v>
      </c>
      <c r="I1338" s="144" t="s">
        <v>1453</v>
      </c>
    </row>
    <row r="1339" spans="1:9" ht="14.1">
      <c r="A1339" s="193">
        <v>45903</v>
      </c>
      <c r="B1339" s="145" t="s">
        <v>831</v>
      </c>
      <c r="C1339" s="150">
        <v>2025</v>
      </c>
      <c r="D1339" s="201" t="s">
        <v>1431</v>
      </c>
      <c r="E1339" s="144" t="s">
        <v>1566</v>
      </c>
      <c r="F1339" s="139" t="s">
        <v>88</v>
      </c>
      <c r="G1339" s="144" t="s">
        <v>2865</v>
      </c>
      <c r="H1339" s="146" t="s">
        <v>26</v>
      </c>
      <c r="I1339" s="144" t="s">
        <v>1453</v>
      </c>
    </row>
    <row r="1340" spans="1:9" ht="25.5">
      <c r="A1340" s="193">
        <v>45903</v>
      </c>
      <c r="B1340" s="145" t="s">
        <v>831</v>
      </c>
      <c r="C1340" s="150">
        <v>2025</v>
      </c>
      <c r="D1340" s="201" t="s">
        <v>1431</v>
      </c>
      <c r="E1340" s="144" t="s">
        <v>1566</v>
      </c>
      <c r="F1340" s="139" t="s">
        <v>88</v>
      </c>
      <c r="G1340" s="144" t="s">
        <v>2866</v>
      </c>
      <c r="H1340" s="146" t="s">
        <v>26</v>
      </c>
      <c r="I1340" s="144" t="s">
        <v>1453</v>
      </c>
    </row>
    <row r="1341" spans="1:9" ht="38.1">
      <c r="A1341" s="193">
        <v>45904</v>
      </c>
      <c r="B1341" s="145" t="s">
        <v>831</v>
      </c>
      <c r="C1341" s="150">
        <v>2025</v>
      </c>
      <c r="D1341" s="201" t="s">
        <v>1431</v>
      </c>
      <c r="E1341" s="144" t="s">
        <v>1560</v>
      </c>
      <c r="F1341" s="141" t="s">
        <v>821</v>
      </c>
      <c r="G1341" s="144" t="s">
        <v>2867</v>
      </c>
      <c r="H1341" s="146" t="s">
        <v>26</v>
      </c>
      <c r="I1341" s="144" t="s">
        <v>2599</v>
      </c>
    </row>
    <row r="1342" spans="1:9" ht="25.5">
      <c r="A1342" s="193">
        <v>45904</v>
      </c>
      <c r="B1342" s="145" t="s">
        <v>831</v>
      </c>
      <c r="C1342" s="150">
        <v>2025</v>
      </c>
      <c r="D1342" s="201" t="s">
        <v>1431</v>
      </c>
      <c r="E1342" s="144" t="s">
        <v>1560</v>
      </c>
      <c r="F1342" s="139" t="s">
        <v>88</v>
      </c>
      <c r="G1342" s="144" t="s">
        <v>2868</v>
      </c>
      <c r="H1342" s="146" t="s">
        <v>26</v>
      </c>
      <c r="I1342" s="144" t="s">
        <v>2599</v>
      </c>
    </row>
    <row r="1343" spans="1:9" ht="25.5">
      <c r="A1343" s="193">
        <v>45904</v>
      </c>
      <c r="B1343" s="145" t="s">
        <v>831</v>
      </c>
      <c r="C1343" s="150">
        <v>2025</v>
      </c>
      <c r="D1343" s="201" t="s">
        <v>1431</v>
      </c>
      <c r="E1343" s="144" t="s">
        <v>21</v>
      </c>
      <c r="F1343" s="141" t="s">
        <v>821</v>
      </c>
      <c r="G1343" s="144" t="s">
        <v>2869</v>
      </c>
      <c r="H1343" s="146" t="s">
        <v>26</v>
      </c>
      <c r="I1343" s="144" t="s">
        <v>468</v>
      </c>
    </row>
    <row r="1344" spans="1:9" ht="25.5">
      <c r="A1344" s="193">
        <v>45904</v>
      </c>
      <c r="B1344" s="145" t="s">
        <v>831</v>
      </c>
      <c r="C1344" s="150">
        <v>2025</v>
      </c>
      <c r="D1344" s="201" t="s">
        <v>1431</v>
      </c>
      <c r="E1344" s="144" t="s">
        <v>21</v>
      </c>
      <c r="F1344" s="141" t="s">
        <v>821</v>
      </c>
      <c r="G1344" s="144" t="s">
        <v>2870</v>
      </c>
      <c r="H1344" s="146" t="s">
        <v>26</v>
      </c>
      <c r="I1344" s="144" t="s">
        <v>468</v>
      </c>
    </row>
    <row r="1345" spans="1:9" ht="38.1">
      <c r="A1345" s="193">
        <v>45904</v>
      </c>
      <c r="B1345" s="145" t="s">
        <v>831</v>
      </c>
      <c r="C1345" s="150">
        <v>2025</v>
      </c>
      <c r="D1345" s="201" t="s">
        <v>1431</v>
      </c>
      <c r="E1345" s="144" t="s">
        <v>216</v>
      </c>
      <c r="F1345" s="141" t="s">
        <v>821</v>
      </c>
      <c r="G1345" s="144" t="s">
        <v>2871</v>
      </c>
      <c r="H1345" s="146" t="s">
        <v>26</v>
      </c>
      <c r="I1345" s="144" t="s">
        <v>492</v>
      </c>
    </row>
    <row r="1346" spans="1:9" ht="38.1">
      <c r="A1346" s="193">
        <v>45904</v>
      </c>
      <c r="B1346" s="145" t="s">
        <v>831</v>
      </c>
      <c r="C1346" s="150">
        <v>2025</v>
      </c>
      <c r="D1346" s="201" t="s">
        <v>1431</v>
      </c>
      <c r="E1346" s="144" t="s">
        <v>1508</v>
      </c>
      <c r="F1346" s="139" t="s">
        <v>88</v>
      </c>
      <c r="G1346" s="144" t="s">
        <v>2872</v>
      </c>
      <c r="H1346" s="146" t="s">
        <v>26</v>
      </c>
      <c r="I1346" s="144" t="s">
        <v>2873</v>
      </c>
    </row>
    <row r="1347" spans="1:9" ht="25.5">
      <c r="A1347" s="193">
        <v>45904</v>
      </c>
      <c r="B1347" s="145" t="s">
        <v>831</v>
      </c>
      <c r="C1347" s="150">
        <v>2025</v>
      </c>
      <c r="D1347" s="201" t="s">
        <v>1431</v>
      </c>
      <c r="E1347" s="144" t="s">
        <v>1566</v>
      </c>
      <c r="F1347" s="139" t="s">
        <v>88</v>
      </c>
      <c r="G1347" s="144" t="s">
        <v>2874</v>
      </c>
      <c r="H1347" s="146" t="s">
        <v>26</v>
      </c>
      <c r="I1347" s="144" t="s">
        <v>2640</v>
      </c>
    </row>
    <row r="1348" spans="1:9" ht="14.1">
      <c r="A1348" s="193">
        <v>45904</v>
      </c>
      <c r="B1348" s="145" t="s">
        <v>831</v>
      </c>
      <c r="C1348" s="150">
        <v>2025</v>
      </c>
      <c r="D1348" s="201" t="s">
        <v>1431</v>
      </c>
      <c r="E1348" s="144" t="s">
        <v>1566</v>
      </c>
      <c r="F1348" s="139" t="s">
        <v>88</v>
      </c>
      <c r="G1348" s="144" t="s">
        <v>2875</v>
      </c>
      <c r="H1348" s="146" t="s">
        <v>26</v>
      </c>
      <c r="I1348" s="144" t="s">
        <v>2640</v>
      </c>
    </row>
    <row r="1349" spans="1:9" ht="14.1">
      <c r="A1349" s="193">
        <v>45904</v>
      </c>
      <c r="B1349" s="145" t="s">
        <v>831</v>
      </c>
      <c r="C1349" s="150">
        <v>2025</v>
      </c>
      <c r="D1349" s="201" t="s">
        <v>1431</v>
      </c>
      <c r="E1349" s="144" t="s">
        <v>1566</v>
      </c>
      <c r="F1349" s="139" t="s">
        <v>88</v>
      </c>
      <c r="G1349" s="144" t="s">
        <v>2876</v>
      </c>
      <c r="H1349" s="146" t="s">
        <v>26</v>
      </c>
      <c r="I1349" s="144" t="s">
        <v>2640</v>
      </c>
    </row>
    <row r="1350" spans="1:9" ht="38.1">
      <c r="A1350" s="193">
        <v>45904</v>
      </c>
      <c r="B1350" s="145" t="s">
        <v>831</v>
      </c>
      <c r="C1350" s="150">
        <v>2025</v>
      </c>
      <c r="D1350" s="201" t="s">
        <v>1431</v>
      </c>
      <c r="E1350" s="144" t="s">
        <v>2591</v>
      </c>
      <c r="F1350" s="139" t="s">
        <v>88</v>
      </c>
      <c r="G1350" s="144" t="s">
        <v>2877</v>
      </c>
      <c r="H1350" s="146" t="s">
        <v>26</v>
      </c>
      <c r="I1350" s="144" t="s">
        <v>2739</v>
      </c>
    </row>
    <row r="1351" spans="1:9" ht="25.5">
      <c r="A1351" s="193">
        <v>45904</v>
      </c>
      <c r="B1351" s="145" t="s">
        <v>831</v>
      </c>
      <c r="C1351" s="150">
        <v>2025</v>
      </c>
      <c r="D1351" s="201" t="s">
        <v>1431</v>
      </c>
      <c r="E1351" s="144" t="s">
        <v>2591</v>
      </c>
      <c r="F1351" s="139" t="s">
        <v>88</v>
      </c>
      <c r="G1351" s="144" t="s">
        <v>2878</v>
      </c>
      <c r="H1351" s="146" t="s">
        <v>26</v>
      </c>
      <c r="I1351" s="144" t="s">
        <v>2739</v>
      </c>
    </row>
    <row r="1352" spans="1:9" ht="38.1">
      <c r="A1352" s="193">
        <v>45904</v>
      </c>
      <c r="B1352" s="145" t="s">
        <v>831</v>
      </c>
      <c r="C1352" s="150">
        <v>2025</v>
      </c>
      <c r="D1352" s="201" t="s">
        <v>1431</v>
      </c>
      <c r="E1352" s="144" t="s">
        <v>2591</v>
      </c>
      <c r="F1352" s="139" t="s">
        <v>88</v>
      </c>
      <c r="G1352" s="144" t="s">
        <v>2879</v>
      </c>
      <c r="H1352" s="146" t="s">
        <v>26</v>
      </c>
      <c r="I1352" s="144" t="s">
        <v>2739</v>
      </c>
    </row>
    <row r="1353" spans="1:9" ht="63">
      <c r="A1353" s="193">
        <v>45904</v>
      </c>
      <c r="B1353" s="145" t="s">
        <v>831</v>
      </c>
      <c r="C1353" s="150">
        <v>2025</v>
      </c>
      <c r="D1353" s="201" t="s">
        <v>1431</v>
      </c>
      <c r="E1353" s="144" t="s">
        <v>1608</v>
      </c>
      <c r="F1353" s="140" t="s">
        <v>1439</v>
      </c>
      <c r="G1353" s="144" t="s">
        <v>2880</v>
      </c>
      <c r="H1353" s="146" t="s">
        <v>26</v>
      </c>
      <c r="I1353" s="144" t="s">
        <v>2599</v>
      </c>
    </row>
    <row r="1354" spans="1:9" ht="25.5">
      <c r="A1354" s="193">
        <v>45904</v>
      </c>
      <c r="B1354" s="145" t="s">
        <v>831</v>
      </c>
      <c r="C1354" s="150">
        <v>2025</v>
      </c>
      <c r="D1354" s="201" t="s">
        <v>1431</v>
      </c>
      <c r="E1354" s="144" t="s">
        <v>1566</v>
      </c>
      <c r="F1354" s="139" t="s">
        <v>88</v>
      </c>
      <c r="G1354" s="144" t="s">
        <v>2881</v>
      </c>
      <c r="H1354" s="146" t="s">
        <v>26</v>
      </c>
      <c r="I1354" s="144" t="s">
        <v>2640</v>
      </c>
    </row>
    <row r="1355" spans="1:9" ht="50.45">
      <c r="A1355" s="193">
        <v>45905</v>
      </c>
      <c r="B1355" s="145" t="s">
        <v>831</v>
      </c>
      <c r="C1355" s="150">
        <v>2025</v>
      </c>
      <c r="D1355" s="201" t="s">
        <v>1431</v>
      </c>
      <c r="E1355" s="144" t="s">
        <v>1518</v>
      </c>
      <c r="F1355" s="139" t="s">
        <v>88</v>
      </c>
      <c r="G1355" s="144" t="s">
        <v>2882</v>
      </c>
      <c r="H1355" s="146" t="s">
        <v>26</v>
      </c>
      <c r="I1355" s="144" t="s">
        <v>1493</v>
      </c>
    </row>
    <row r="1356" spans="1:9" ht="50.45">
      <c r="A1356" s="193">
        <v>45905</v>
      </c>
      <c r="B1356" s="145" t="s">
        <v>831</v>
      </c>
      <c r="C1356" s="150">
        <v>2025</v>
      </c>
      <c r="D1356" s="201" t="s">
        <v>1431</v>
      </c>
      <c r="E1356" s="144" t="s">
        <v>1539</v>
      </c>
      <c r="F1356" s="141" t="s">
        <v>821</v>
      </c>
      <c r="G1356" s="144" t="s">
        <v>2883</v>
      </c>
      <c r="H1356" s="146" t="s">
        <v>26</v>
      </c>
      <c r="I1356" s="144" t="s">
        <v>2884</v>
      </c>
    </row>
    <row r="1357" spans="1:9" ht="25.5">
      <c r="A1357" s="193">
        <v>45905</v>
      </c>
      <c r="B1357" s="145" t="s">
        <v>831</v>
      </c>
      <c r="C1357" s="150">
        <v>2025</v>
      </c>
      <c r="D1357" s="201" t="s">
        <v>1431</v>
      </c>
      <c r="E1357" s="144" t="s">
        <v>1608</v>
      </c>
      <c r="F1357" s="140" t="s">
        <v>1439</v>
      </c>
      <c r="G1357" s="144" t="s">
        <v>2885</v>
      </c>
      <c r="H1357" s="146" t="s">
        <v>26</v>
      </c>
      <c r="I1357" s="144" t="s">
        <v>158</v>
      </c>
    </row>
    <row r="1358" spans="1:9" ht="25.5">
      <c r="A1358" s="193">
        <v>45905</v>
      </c>
      <c r="B1358" s="145" t="s">
        <v>831</v>
      </c>
      <c r="C1358" s="150">
        <v>2025</v>
      </c>
      <c r="D1358" s="201" t="s">
        <v>1431</v>
      </c>
      <c r="E1358" s="144" t="s">
        <v>1608</v>
      </c>
      <c r="F1358" s="140" t="s">
        <v>1439</v>
      </c>
      <c r="G1358" s="144" t="s">
        <v>2886</v>
      </c>
      <c r="H1358" s="146" t="s">
        <v>26</v>
      </c>
      <c r="I1358" s="144" t="s">
        <v>158</v>
      </c>
    </row>
    <row r="1359" spans="1:9" ht="14.1">
      <c r="A1359" s="193">
        <v>45905</v>
      </c>
      <c r="B1359" s="145" t="s">
        <v>831</v>
      </c>
      <c r="C1359" s="150">
        <v>2025</v>
      </c>
      <c r="D1359" s="201" t="s">
        <v>1431</v>
      </c>
      <c r="E1359" s="144" t="s">
        <v>2591</v>
      </c>
      <c r="F1359" s="139" t="s">
        <v>88</v>
      </c>
      <c r="G1359" s="144" t="s">
        <v>2887</v>
      </c>
      <c r="H1359" s="146" t="s">
        <v>26</v>
      </c>
      <c r="I1359" s="144" t="s">
        <v>2593</v>
      </c>
    </row>
    <row r="1360" spans="1:9" ht="14.1">
      <c r="A1360" s="193">
        <v>45905</v>
      </c>
      <c r="B1360" s="145" t="s">
        <v>831</v>
      </c>
      <c r="C1360" s="150">
        <v>2025</v>
      </c>
      <c r="D1360" s="201" t="s">
        <v>1431</v>
      </c>
      <c r="E1360" s="144" t="s">
        <v>2591</v>
      </c>
      <c r="F1360" s="139" t="s">
        <v>88</v>
      </c>
      <c r="G1360" s="144" t="s">
        <v>2888</v>
      </c>
      <c r="H1360" s="146" t="s">
        <v>26</v>
      </c>
      <c r="I1360" s="144" t="s">
        <v>2593</v>
      </c>
    </row>
    <row r="1361" spans="1:9" ht="38.1">
      <c r="A1361" s="193">
        <v>45905</v>
      </c>
      <c r="B1361" s="145" t="s">
        <v>831</v>
      </c>
      <c r="C1361" s="150">
        <v>2025</v>
      </c>
      <c r="D1361" s="201" t="s">
        <v>1431</v>
      </c>
      <c r="E1361" s="144" t="s">
        <v>1566</v>
      </c>
      <c r="F1361" s="139" t="s">
        <v>88</v>
      </c>
      <c r="G1361" s="144" t="s">
        <v>2889</v>
      </c>
      <c r="H1361" s="146" t="s">
        <v>26</v>
      </c>
      <c r="I1361" s="144" t="s">
        <v>1453</v>
      </c>
    </row>
    <row r="1362" spans="1:9" ht="14.1">
      <c r="A1362" s="193">
        <v>45905</v>
      </c>
      <c r="B1362" s="145" t="s">
        <v>831</v>
      </c>
      <c r="C1362" s="150">
        <v>2025</v>
      </c>
      <c r="D1362" s="201" t="s">
        <v>1431</v>
      </c>
      <c r="E1362" s="144" t="s">
        <v>1539</v>
      </c>
      <c r="F1362" s="147" t="s">
        <v>859</v>
      </c>
      <c r="G1362" s="144" t="s">
        <v>2890</v>
      </c>
      <c r="H1362" s="146" t="s">
        <v>26</v>
      </c>
      <c r="I1362" s="144" t="s">
        <v>1541</v>
      </c>
    </row>
    <row r="1363" spans="1:9" ht="38.1">
      <c r="A1363" s="193">
        <v>45908</v>
      </c>
      <c r="B1363" s="145" t="s">
        <v>831</v>
      </c>
      <c r="C1363" s="150">
        <v>2025</v>
      </c>
      <c r="D1363" s="201" t="s">
        <v>1431</v>
      </c>
      <c r="E1363" s="144" t="s">
        <v>2891</v>
      </c>
      <c r="F1363" s="147" t="s">
        <v>859</v>
      </c>
      <c r="G1363" s="144" t="s">
        <v>2892</v>
      </c>
      <c r="H1363" s="146" t="s">
        <v>26</v>
      </c>
      <c r="I1363" s="144" t="s">
        <v>1436</v>
      </c>
    </row>
    <row r="1364" spans="1:9" ht="25.5">
      <c r="A1364" s="193">
        <v>45908</v>
      </c>
      <c r="B1364" s="145" t="s">
        <v>831</v>
      </c>
      <c r="C1364" s="150">
        <v>2025</v>
      </c>
      <c r="D1364" s="201" t="s">
        <v>1431</v>
      </c>
      <c r="E1364" s="144" t="s">
        <v>1608</v>
      </c>
      <c r="F1364" s="140" t="s">
        <v>1439</v>
      </c>
      <c r="G1364" s="144" t="s">
        <v>2893</v>
      </c>
      <c r="H1364" s="146" t="s">
        <v>26</v>
      </c>
      <c r="I1364" s="144" t="s">
        <v>468</v>
      </c>
    </row>
    <row r="1365" spans="1:9" ht="38.1">
      <c r="A1365" s="193">
        <v>45908</v>
      </c>
      <c r="B1365" s="145" t="s">
        <v>831</v>
      </c>
      <c r="C1365" s="150">
        <v>2025</v>
      </c>
      <c r="D1365" s="201" t="s">
        <v>1431</v>
      </c>
      <c r="E1365" s="144" t="s">
        <v>1506</v>
      </c>
      <c r="F1365" s="139" t="s">
        <v>88</v>
      </c>
      <c r="G1365" s="144" t="s">
        <v>2894</v>
      </c>
      <c r="H1365" s="146" t="s">
        <v>26</v>
      </c>
      <c r="I1365" s="144" t="s">
        <v>1904</v>
      </c>
    </row>
    <row r="1366" spans="1:9" ht="25.5">
      <c r="A1366" s="193">
        <v>45908</v>
      </c>
      <c r="B1366" s="145" t="s">
        <v>831</v>
      </c>
      <c r="C1366" s="150">
        <v>2025</v>
      </c>
      <c r="D1366" s="201" t="s">
        <v>1431</v>
      </c>
      <c r="E1366" s="144" t="s">
        <v>216</v>
      </c>
      <c r="F1366" s="141" t="s">
        <v>821</v>
      </c>
      <c r="G1366" s="144" t="s">
        <v>2895</v>
      </c>
      <c r="H1366" s="146" t="s">
        <v>26</v>
      </c>
      <c r="I1366" s="144" t="s">
        <v>492</v>
      </c>
    </row>
    <row r="1367" spans="1:9" ht="38.1">
      <c r="A1367" s="193">
        <v>45908</v>
      </c>
      <c r="B1367" s="145" t="s">
        <v>831</v>
      </c>
      <c r="C1367" s="150">
        <v>2025</v>
      </c>
      <c r="D1367" s="201" t="s">
        <v>1431</v>
      </c>
      <c r="E1367" s="144" t="s">
        <v>216</v>
      </c>
      <c r="F1367" s="141" t="s">
        <v>821</v>
      </c>
      <c r="G1367" s="144" t="s">
        <v>2896</v>
      </c>
      <c r="H1367" s="146" t="s">
        <v>26</v>
      </c>
      <c r="I1367" s="144" t="s">
        <v>492</v>
      </c>
    </row>
    <row r="1368" spans="1:9" ht="38.1">
      <c r="A1368" s="193">
        <v>45908</v>
      </c>
      <c r="B1368" s="145" t="s">
        <v>831</v>
      </c>
      <c r="C1368" s="150">
        <v>2025</v>
      </c>
      <c r="D1368" s="201" t="s">
        <v>1431</v>
      </c>
      <c r="E1368" s="144" t="s">
        <v>216</v>
      </c>
      <c r="F1368" s="141" t="s">
        <v>821</v>
      </c>
      <c r="G1368" s="144" t="s">
        <v>2897</v>
      </c>
      <c r="H1368" s="146" t="s">
        <v>26</v>
      </c>
      <c r="I1368" s="144" t="s">
        <v>492</v>
      </c>
    </row>
    <row r="1369" spans="1:9" ht="14.1">
      <c r="A1369" s="193">
        <v>45908</v>
      </c>
      <c r="B1369" s="145" t="s">
        <v>831</v>
      </c>
      <c r="C1369" s="150">
        <v>2025</v>
      </c>
      <c r="D1369" s="201" t="s">
        <v>1431</v>
      </c>
      <c r="E1369" s="144" t="s">
        <v>21</v>
      </c>
      <c r="F1369" s="141" t="s">
        <v>821</v>
      </c>
      <c r="G1369" s="144" t="s">
        <v>2898</v>
      </c>
      <c r="H1369" s="146" t="s">
        <v>26</v>
      </c>
      <c r="I1369" s="144" t="s">
        <v>468</v>
      </c>
    </row>
    <row r="1370" spans="1:9" ht="38.1">
      <c r="A1370" s="193">
        <v>45908</v>
      </c>
      <c r="B1370" s="145" t="s">
        <v>831</v>
      </c>
      <c r="C1370" s="150">
        <v>2025</v>
      </c>
      <c r="D1370" s="201" t="s">
        <v>1431</v>
      </c>
      <c r="E1370" s="144" t="s">
        <v>1539</v>
      </c>
      <c r="F1370" s="147" t="s">
        <v>859</v>
      </c>
      <c r="G1370" s="144" t="s">
        <v>2899</v>
      </c>
      <c r="H1370" s="146" t="s">
        <v>26</v>
      </c>
      <c r="I1370" s="144" t="s">
        <v>1541</v>
      </c>
    </row>
    <row r="1371" spans="1:9" ht="38.1">
      <c r="A1371" s="193">
        <v>45908</v>
      </c>
      <c r="B1371" s="145" t="s">
        <v>831</v>
      </c>
      <c r="C1371" s="150">
        <v>2025</v>
      </c>
      <c r="D1371" s="201" t="s">
        <v>1431</v>
      </c>
      <c r="E1371" s="144" t="s">
        <v>2591</v>
      </c>
      <c r="F1371" s="139" t="s">
        <v>88</v>
      </c>
      <c r="G1371" s="144" t="s">
        <v>2900</v>
      </c>
      <c r="H1371" s="146" t="s">
        <v>26</v>
      </c>
      <c r="I1371" s="144" t="s">
        <v>2593</v>
      </c>
    </row>
    <row r="1372" spans="1:9" ht="25.5">
      <c r="A1372" s="193">
        <v>45908</v>
      </c>
      <c r="B1372" s="145" t="s">
        <v>831</v>
      </c>
      <c r="C1372" s="150">
        <v>2025</v>
      </c>
      <c r="D1372" s="201" t="s">
        <v>1431</v>
      </c>
      <c r="E1372" s="144" t="s">
        <v>2591</v>
      </c>
      <c r="F1372" s="139" t="s">
        <v>88</v>
      </c>
      <c r="G1372" s="144" t="s">
        <v>2901</v>
      </c>
      <c r="H1372" s="146" t="s">
        <v>26</v>
      </c>
      <c r="I1372" s="144" t="s">
        <v>2593</v>
      </c>
    </row>
    <row r="1373" spans="1:9" ht="38.1">
      <c r="A1373" s="193">
        <v>45908</v>
      </c>
      <c r="B1373" s="145" t="s">
        <v>831</v>
      </c>
      <c r="C1373" s="150">
        <v>2025</v>
      </c>
      <c r="D1373" s="201" t="s">
        <v>1431</v>
      </c>
      <c r="E1373" s="144" t="s">
        <v>2591</v>
      </c>
      <c r="F1373" s="139" t="s">
        <v>88</v>
      </c>
      <c r="G1373" s="144" t="s">
        <v>2902</v>
      </c>
      <c r="H1373" s="146" t="s">
        <v>26</v>
      </c>
      <c r="I1373" s="144" t="s">
        <v>2593</v>
      </c>
    </row>
    <row r="1374" spans="1:9" ht="14.1">
      <c r="A1374" s="193">
        <v>45908</v>
      </c>
      <c r="B1374" s="145" t="s">
        <v>831</v>
      </c>
      <c r="C1374" s="150">
        <v>2025</v>
      </c>
      <c r="D1374" s="201" t="s">
        <v>1431</v>
      </c>
      <c r="E1374" s="144" t="s">
        <v>1566</v>
      </c>
      <c r="F1374" s="139" t="s">
        <v>88</v>
      </c>
      <c r="G1374" s="144" t="s">
        <v>2903</v>
      </c>
      <c r="H1374" s="146" t="s">
        <v>26</v>
      </c>
      <c r="I1374" s="144" t="s">
        <v>1588</v>
      </c>
    </row>
    <row r="1375" spans="1:9" ht="14.1">
      <c r="A1375" s="193">
        <v>45908</v>
      </c>
      <c r="B1375" s="145" t="s">
        <v>831</v>
      </c>
      <c r="C1375" s="150">
        <v>2025</v>
      </c>
      <c r="D1375" s="201" t="s">
        <v>1431</v>
      </c>
      <c r="E1375" s="144" t="s">
        <v>1566</v>
      </c>
      <c r="F1375" s="139" t="s">
        <v>88</v>
      </c>
      <c r="G1375" s="144" t="s">
        <v>2904</v>
      </c>
      <c r="H1375" s="146" t="s">
        <v>26</v>
      </c>
      <c r="I1375" s="144" t="s">
        <v>1588</v>
      </c>
    </row>
    <row r="1376" spans="1:9" ht="14.1">
      <c r="A1376" s="193">
        <v>45908</v>
      </c>
      <c r="B1376" s="145" t="s">
        <v>831</v>
      </c>
      <c r="C1376" s="150">
        <v>2025</v>
      </c>
      <c r="D1376" s="201" t="s">
        <v>1431</v>
      </c>
      <c r="E1376" s="144" t="s">
        <v>1566</v>
      </c>
      <c r="F1376" s="139" t="s">
        <v>88</v>
      </c>
      <c r="G1376" s="144" t="s">
        <v>2905</v>
      </c>
      <c r="H1376" s="146" t="s">
        <v>26</v>
      </c>
      <c r="I1376" s="144" t="s">
        <v>1588</v>
      </c>
    </row>
    <row r="1377" spans="1:9" ht="14.1">
      <c r="A1377" s="193">
        <v>45908</v>
      </c>
      <c r="B1377" s="145" t="s">
        <v>831</v>
      </c>
      <c r="C1377" s="150">
        <v>2025</v>
      </c>
      <c r="D1377" s="201" t="s">
        <v>1431</v>
      </c>
      <c r="E1377" s="144" t="s">
        <v>1566</v>
      </c>
      <c r="F1377" s="139" t="s">
        <v>88</v>
      </c>
      <c r="G1377" s="144" t="s">
        <v>2906</v>
      </c>
      <c r="H1377" s="146" t="s">
        <v>26</v>
      </c>
      <c r="I1377" s="144" t="s">
        <v>1588</v>
      </c>
    </row>
    <row r="1378" spans="1:9" ht="14.1">
      <c r="A1378" s="193">
        <v>45908</v>
      </c>
      <c r="B1378" s="145" t="s">
        <v>831</v>
      </c>
      <c r="C1378" s="150">
        <v>2025</v>
      </c>
      <c r="D1378" s="201" t="s">
        <v>1431</v>
      </c>
      <c r="E1378" s="144" t="s">
        <v>1566</v>
      </c>
      <c r="F1378" s="139" t="s">
        <v>88</v>
      </c>
      <c r="G1378" s="144" t="s">
        <v>2907</v>
      </c>
      <c r="H1378" s="146" t="s">
        <v>26</v>
      </c>
      <c r="I1378" s="144" t="s">
        <v>1588</v>
      </c>
    </row>
    <row r="1379" spans="1:9" ht="25.5">
      <c r="A1379" s="193">
        <v>45908</v>
      </c>
      <c r="B1379" s="145" t="s">
        <v>831</v>
      </c>
      <c r="C1379" s="150">
        <v>2025</v>
      </c>
      <c r="D1379" s="201" t="s">
        <v>1431</v>
      </c>
      <c r="E1379" s="144" t="s">
        <v>1566</v>
      </c>
      <c r="F1379" s="139" t="s">
        <v>88</v>
      </c>
      <c r="G1379" s="144" t="s">
        <v>2908</v>
      </c>
      <c r="H1379" s="146" t="s">
        <v>26</v>
      </c>
      <c r="I1379" s="144" t="s">
        <v>1588</v>
      </c>
    </row>
    <row r="1380" spans="1:9" ht="25.5">
      <c r="A1380" s="193">
        <v>45909</v>
      </c>
      <c r="B1380" s="145" t="s">
        <v>831</v>
      </c>
      <c r="C1380" s="150">
        <v>2025</v>
      </c>
      <c r="D1380" s="201" t="s">
        <v>1431</v>
      </c>
      <c r="E1380" s="144" t="s">
        <v>216</v>
      </c>
      <c r="F1380" s="141" t="s">
        <v>821</v>
      </c>
      <c r="G1380" s="144" t="s">
        <v>2909</v>
      </c>
      <c r="H1380" s="146" t="s">
        <v>26</v>
      </c>
      <c r="I1380" s="144" t="s">
        <v>492</v>
      </c>
    </row>
    <row r="1381" spans="1:9" ht="50.45">
      <c r="A1381" s="193">
        <v>45909</v>
      </c>
      <c r="B1381" s="145" t="s">
        <v>831</v>
      </c>
      <c r="C1381" s="150">
        <v>2025</v>
      </c>
      <c r="D1381" s="201" t="s">
        <v>1431</v>
      </c>
      <c r="E1381" s="144" t="s">
        <v>2535</v>
      </c>
      <c r="F1381" s="139" t="s">
        <v>88</v>
      </c>
      <c r="G1381" s="144" t="s">
        <v>2910</v>
      </c>
      <c r="H1381" s="146" t="s">
        <v>26</v>
      </c>
      <c r="I1381" s="144" t="s">
        <v>921</v>
      </c>
    </row>
    <row r="1382" spans="1:9" ht="14.1">
      <c r="A1382" s="193">
        <v>45909</v>
      </c>
      <c r="B1382" s="145" t="s">
        <v>831</v>
      </c>
      <c r="C1382" s="150">
        <v>2025</v>
      </c>
      <c r="D1382" s="201" t="s">
        <v>1431</v>
      </c>
      <c r="E1382" s="144" t="s">
        <v>21</v>
      </c>
      <c r="F1382" s="141" t="s">
        <v>821</v>
      </c>
      <c r="G1382" s="144" t="s">
        <v>2911</v>
      </c>
      <c r="H1382" s="146" t="s">
        <v>26</v>
      </c>
      <c r="I1382" s="144" t="s">
        <v>468</v>
      </c>
    </row>
    <row r="1383" spans="1:9" ht="25.5">
      <c r="A1383" s="193">
        <v>45909</v>
      </c>
      <c r="B1383" s="145" t="s">
        <v>831</v>
      </c>
      <c r="C1383" s="150">
        <v>2025</v>
      </c>
      <c r="D1383" s="201" t="s">
        <v>1431</v>
      </c>
      <c r="E1383" s="144" t="s">
        <v>2244</v>
      </c>
      <c r="F1383" s="147" t="s">
        <v>859</v>
      </c>
      <c r="G1383" s="144" t="s">
        <v>2912</v>
      </c>
      <c r="H1383" s="146" t="s">
        <v>26</v>
      </c>
      <c r="I1383" s="144" t="s">
        <v>1998</v>
      </c>
    </row>
    <row r="1384" spans="1:9" ht="38.1">
      <c r="A1384" s="193">
        <v>45909</v>
      </c>
      <c r="B1384" s="145" t="s">
        <v>831</v>
      </c>
      <c r="C1384" s="150">
        <v>2025</v>
      </c>
      <c r="D1384" s="201" t="s">
        <v>1431</v>
      </c>
      <c r="E1384" s="144" t="s">
        <v>2535</v>
      </c>
      <c r="F1384" s="139" t="s">
        <v>88</v>
      </c>
      <c r="G1384" s="144" t="s">
        <v>2913</v>
      </c>
      <c r="H1384" s="146" t="s">
        <v>26</v>
      </c>
      <c r="I1384" s="144" t="s">
        <v>158</v>
      </c>
    </row>
    <row r="1385" spans="1:9" ht="25.5">
      <c r="A1385" s="193">
        <v>45909</v>
      </c>
      <c r="B1385" s="145" t="s">
        <v>831</v>
      </c>
      <c r="C1385" s="150">
        <v>2025</v>
      </c>
      <c r="D1385" s="201" t="s">
        <v>1431</v>
      </c>
      <c r="E1385" s="144" t="s">
        <v>21</v>
      </c>
      <c r="F1385" s="141" t="s">
        <v>821</v>
      </c>
      <c r="G1385" s="144" t="s">
        <v>2914</v>
      </c>
      <c r="H1385" s="146" t="s">
        <v>26</v>
      </c>
      <c r="I1385" s="144" t="s">
        <v>468</v>
      </c>
    </row>
    <row r="1386" spans="1:9" ht="25.5">
      <c r="A1386" s="193">
        <v>45909</v>
      </c>
      <c r="B1386" s="145" t="s">
        <v>831</v>
      </c>
      <c r="C1386" s="150">
        <v>2025</v>
      </c>
      <c r="D1386" s="201" t="s">
        <v>1431</v>
      </c>
      <c r="E1386" s="144" t="s">
        <v>2591</v>
      </c>
      <c r="F1386" s="139" t="s">
        <v>88</v>
      </c>
      <c r="G1386" s="144" t="s">
        <v>2915</v>
      </c>
      <c r="H1386" s="146" t="s">
        <v>26</v>
      </c>
      <c r="I1386" s="144" t="s">
        <v>916</v>
      </c>
    </row>
    <row r="1387" spans="1:9" ht="25.5">
      <c r="A1387" s="193">
        <v>45909</v>
      </c>
      <c r="B1387" s="145" t="s">
        <v>831</v>
      </c>
      <c r="C1387" s="150">
        <v>2025</v>
      </c>
      <c r="D1387" s="201" t="s">
        <v>2224</v>
      </c>
      <c r="E1387" s="144" t="s">
        <v>2468</v>
      </c>
      <c r="F1387" s="141" t="s">
        <v>821</v>
      </c>
      <c r="G1387" s="144" t="s">
        <v>2916</v>
      </c>
      <c r="H1387" s="146" t="s">
        <v>26</v>
      </c>
      <c r="I1387" s="144" t="s">
        <v>2735</v>
      </c>
    </row>
    <row r="1388" spans="1:9" ht="14.1">
      <c r="A1388" s="193">
        <v>45909</v>
      </c>
      <c r="B1388" s="145" t="s">
        <v>831</v>
      </c>
      <c r="C1388" s="150">
        <v>2025</v>
      </c>
      <c r="D1388" s="201" t="s">
        <v>1431</v>
      </c>
      <c r="E1388" s="144" t="s">
        <v>1566</v>
      </c>
      <c r="F1388" s="139" t="s">
        <v>88</v>
      </c>
      <c r="G1388" s="144" t="s">
        <v>2917</v>
      </c>
      <c r="H1388" s="146" t="s">
        <v>26</v>
      </c>
      <c r="I1388" s="144" t="s">
        <v>2798</v>
      </c>
    </row>
    <row r="1389" spans="1:9" ht="25.5">
      <c r="A1389" s="193">
        <v>45909</v>
      </c>
      <c r="B1389" s="145" t="s">
        <v>831</v>
      </c>
      <c r="C1389" s="150">
        <v>2025</v>
      </c>
      <c r="D1389" s="201" t="s">
        <v>1431</v>
      </c>
      <c r="E1389" s="144" t="s">
        <v>2591</v>
      </c>
      <c r="F1389" s="139" t="s">
        <v>88</v>
      </c>
      <c r="G1389" s="144" t="s">
        <v>2918</v>
      </c>
      <c r="H1389" s="146" t="s">
        <v>26</v>
      </c>
      <c r="I1389" s="144" t="s">
        <v>2593</v>
      </c>
    </row>
    <row r="1390" spans="1:9" ht="25.5">
      <c r="A1390" s="193">
        <v>45909</v>
      </c>
      <c r="B1390" s="145" t="s">
        <v>831</v>
      </c>
      <c r="C1390" s="150">
        <v>2025</v>
      </c>
      <c r="D1390" s="201" t="s">
        <v>1431</v>
      </c>
      <c r="E1390" s="144" t="s">
        <v>2591</v>
      </c>
      <c r="F1390" s="139" t="s">
        <v>88</v>
      </c>
      <c r="G1390" s="144" t="s">
        <v>2919</v>
      </c>
      <c r="H1390" s="146" t="s">
        <v>26</v>
      </c>
      <c r="I1390" s="144" t="s">
        <v>2593</v>
      </c>
    </row>
    <row r="1391" spans="1:9" ht="38.1">
      <c r="A1391" s="193">
        <v>45910</v>
      </c>
      <c r="B1391" s="145" t="s">
        <v>831</v>
      </c>
      <c r="C1391" s="150">
        <v>2025</v>
      </c>
      <c r="D1391" s="201" t="s">
        <v>1431</v>
      </c>
      <c r="E1391" s="144" t="s">
        <v>2591</v>
      </c>
      <c r="F1391" s="139" t="s">
        <v>88</v>
      </c>
      <c r="G1391" s="144" t="s">
        <v>2920</v>
      </c>
      <c r="H1391" s="146" t="s">
        <v>26</v>
      </c>
      <c r="I1391" s="144" t="s">
        <v>2593</v>
      </c>
    </row>
    <row r="1392" spans="1:9" ht="14.1">
      <c r="A1392" s="193">
        <v>45910</v>
      </c>
      <c r="B1392" s="145" t="s">
        <v>831</v>
      </c>
      <c r="C1392" s="150">
        <v>2025</v>
      </c>
      <c r="D1392" s="201" t="s">
        <v>1431</v>
      </c>
      <c r="E1392" s="144" t="s">
        <v>2591</v>
      </c>
      <c r="F1392" s="139" t="s">
        <v>88</v>
      </c>
      <c r="G1392" s="144" t="s">
        <v>2921</v>
      </c>
      <c r="H1392" s="146" t="s">
        <v>26</v>
      </c>
      <c r="I1392" s="144" t="s">
        <v>2593</v>
      </c>
    </row>
    <row r="1393" spans="1:9" ht="25.5">
      <c r="A1393" s="193">
        <v>45910</v>
      </c>
      <c r="B1393" s="145" t="s">
        <v>831</v>
      </c>
      <c r="C1393" s="150">
        <v>2025</v>
      </c>
      <c r="D1393" s="201" t="s">
        <v>1431</v>
      </c>
      <c r="E1393" s="144" t="s">
        <v>1566</v>
      </c>
      <c r="F1393" s="139" t="s">
        <v>88</v>
      </c>
      <c r="G1393" s="144" t="s">
        <v>2922</v>
      </c>
      <c r="H1393" s="146" t="s">
        <v>26</v>
      </c>
      <c r="I1393" s="144" t="s">
        <v>1588</v>
      </c>
    </row>
    <row r="1394" spans="1:9" ht="14.1">
      <c r="A1394" s="193">
        <v>45910</v>
      </c>
      <c r="B1394" s="145" t="s">
        <v>831</v>
      </c>
      <c r="C1394" s="150">
        <v>2025</v>
      </c>
      <c r="D1394" s="201" t="s">
        <v>1431</v>
      </c>
      <c r="E1394" s="144" t="s">
        <v>1566</v>
      </c>
      <c r="F1394" s="139" t="s">
        <v>88</v>
      </c>
      <c r="G1394" s="144" t="s">
        <v>2923</v>
      </c>
      <c r="H1394" s="146" t="s">
        <v>26</v>
      </c>
      <c r="I1394" s="144" t="s">
        <v>1588</v>
      </c>
    </row>
    <row r="1395" spans="1:9" ht="50.45">
      <c r="A1395" s="193">
        <v>45910</v>
      </c>
      <c r="B1395" s="145" t="s">
        <v>831</v>
      </c>
      <c r="C1395" s="150">
        <v>2025</v>
      </c>
      <c r="D1395" s="201" t="s">
        <v>1431</v>
      </c>
      <c r="E1395" s="144" t="s">
        <v>1566</v>
      </c>
      <c r="F1395" s="139" t="s">
        <v>88</v>
      </c>
      <c r="G1395" s="144" t="s">
        <v>2924</v>
      </c>
      <c r="H1395" s="146" t="s">
        <v>26</v>
      </c>
      <c r="I1395" s="144" t="s">
        <v>1588</v>
      </c>
    </row>
    <row r="1396" spans="1:9" ht="25.5">
      <c r="A1396" s="193">
        <v>45910</v>
      </c>
      <c r="B1396" s="145" t="s">
        <v>831</v>
      </c>
      <c r="C1396" s="150">
        <v>2025</v>
      </c>
      <c r="D1396" s="201" t="s">
        <v>1431</v>
      </c>
      <c r="E1396" s="144" t="s">
        <v>1566</v>
      </c>
      <c r="F1396" s="139" t="s">
        <v>88</v>
      </c>
      <c r="G1396" s="144" t="s">
        <v>2925</v>
      </c>
      <c r="H1396" s="146" t="s">
        <v>26</v>
      </c>
      <c r="I1396" s="144" t="s">
        <v>1588</v>
      </c>
    </row>
    <row r="1397" spans="1:9" ht="25.5">
      <c r="A1397" s="193">
        <v>45910</v>
      </c>
      <c r="B1397" s="145" t="s">
        <v>831</v>
      </c>
      <c r="C1397" s="150">
        <v>2025</v>
      </c>
      <c r="D1397" s="201" t="s">
        <v>1431</v>
      </c>
      <c r="E1397" s="144" t="s">
        <v>216</v>
      </c>
      <c r="F1397" s="141" t="s">
        <v>821</v>
      </c>
      <c r="G1397" s="144" t="s">
        <v>2926</v>
      </c>
      <c r="H1397" s="146" t="s">
        <v>26</v>
      </c>
      <c r="I1397" s="144" t="s">
        <v>492</v>
      </c>
    </row>
    <row r="1398" spans="1:9" ht="14.1">
      <c r="A1398" s="193">
        <v>45910</v>
      </c>
      <c r="B1398" s="145" t="s">
        <v>831</v>
      </c>
      <c r="C1398" s="150">
        <v>2025</v>
      </c>
      <c r="D1398" s="201" t="s">
        <v>1431</v>
      </c>
      <c r="E1398" s="144" t="s">
        <v>21</v>
      </c>
      <c r="F1398" s="141" t="s">
        <v>821</v>
      </c>
      <c r="G1398" s="144" t="s">
        <v>2927</v>
      </c>
      <c r="H1398" s="146" t="s">
        <v>26</v>
      </c>
      <c r="I1398" s="144" t="s">
        <v>468</v>
      </c>
    </row>
    <row r="1399" spans="1:9" ht="75.599999999999994">
      <c r="A1399" s="193">
        <v>45911</v>
      </c>
      <c r="B1399" s="145" t="s">
        <v>831</v>
      </c>
      <c r="C1399" s="150">
        <v>2025</v>
      </c>
      <c r="D1399" s="201" t="s">
        <v>1431</v>
      </c>
      <c r="E1399" s="144" t="s">
        <v>2591</v>
      </c>
      <c r="F1399" s="139" t="s">
        <v>88</v>
      </c>
      <c r="G1399" s="144" t="s">
        <v>2928</v>
      </c>
      <c r="H1399" s="146" t="s">
        <v>26</v>
      </c>
      <c r="I1399" s="144" t="s">
        <v>2593</v>
      </c>
    </row>
    <row r="1400" spans="1:9" ht="25.5">
      <c r="A1400" s="193">
        <v>45911</v>
      </c>
      <c r="B1400" s="145" t="s">
        <v>831</v>
      </c>
      <c r="C1400" s="150">
        <v>2025</v>
      </c>
      <c r="D1400" s="201" t="s">
        <v>1431</v>
      </c>
      <c r="E1400" s="144" t="s">
        <v>2591</v>
      </c>
      <c r="F1400" s="139" t="s">
        <v>88</v>
      </c>
      <c r="G1400" s="144" t="s">
        <v>2929</v>
      </c>
      <c r="H1400" s="146" t="s">
        <v>26</v>
      </c>
      <c r="I1400" s="144" t="s">
        <v>2593</v>
      </c>
    </row>
    <row r="1401" spans="1:9" ht="87.95">
      <c r="A1401" s="193">
        <v>45911</v>
      </c>
      <c r="B1401" s="145" t="s">
        <v>831</v>
      </c>
      <c r="C1401" s="150">
        <v>2025</v>
      </c>
      <c r="D1401" s="201" t="s">
        <v>1431</v>
      </c>
      <c r="E1401" s="144" t="s">
        <v>2591</v>
      </c>
      <c r="F1401" s="139" t="s">
        <v>88</v>
      </c>
      <c r="G1401" s="144" t="s">
        <v>2930</v>
      </c>
      <c r="H1401" s="146" t="s">
        <v>26</v>
      </c>
      <c r="I1401" s="144" t="s">
        <v>2593</v>
      </c>
    </row>
    <row r="1402" spans="1:9" ht="50.45">
      <c r="A1402" s="193">
        <v>45911</v>
      </c>
      <c r="B1402" s="145" t="s">
        <v>831</v>
      </c>
      <c r="C1402" s="150">
        <v>2025</v>
      </c>
      <c r="D1402" s="201" t="s">
        <v>1431</v>
      </c>
      <c r="E1402" s="144" t="s">
        <v>2591</v>
      </c>
      <c r="F1402" s="139" t="s">
        <v>88</v>
      </c>
      <c r="G1402" s="144" t="s">
        <v>2931</v>
      </c>
      <c r="H1402" s="146" t="s">
        <v>26</v>
      </c>
      <c r="I1402" s="144" t="s">
        <v>2593</v>
      </c>
    </row>
    <row r="1403" spans="1:9" ht="25.5">
      <c r="A1403" s="193">
        <v>45911</v>
      </c>
      <c r="B1403" s="145" t="s">
        <v>831</v>
      </c>
      <c r="C1403" s="150">
        <v>2025</v>
      </c>
      <c r="D1403" s="201" t="s">
        <v>1431</v>
      </c>
      <c r="E1403" s="144" t="s">
        <v>21</v>
      </c>
      <c r="F1403" s="141" t="s">
        <v>821</v>
      </c>
      <c r="G1403" s="144" t="s">
        <v>2932</v>
      </c>
      <c r="H1403" s="146" t="s">
        <v>26</v>
      </c>
      <c r="I1403" s="144" t="s">
        <v>468</v>
      </c>
    </row>
    <row r="1404" spans="1:9" ht="25.5">
      <c r="A1404" s="193">
        <v>45911</v>
      </c>
      <c r="B1404" s="145" t="s">
        <v>831</v>
      </c>
      <c r="C1404" s="150">
        <v>2025</v>
      </c>
      <c r="D1404" s="201" t="s">
        <v>1431</v>
      </c>
      <c r="E1404" s="144" t="s">
        <v>216</v>
      </c>
      <c r="F1404" s="141" t="s">
        <v>821</v>
      </c>
      <c r="G1404" s="144" t="s">
        <v>2933</v>
      </c>
      <c r="H1404" s="146" t="s">
        <v>26</v>
      </c>
      <c r="I1404" s="144" t="s">
        <v>492</v>
      </c>
    </row>
    <row r="1405" spans="1:9" ht="14.1">
      <c r="A1405" s="193">
        <v>45911</v>
      </c>
      <c r="B1405" s="145" t="s">
        <v>831</v>
      </c>
      <c r="C1405" s="150">
        <v>2025</v>
      </c>
      <c r="D1405" s="201" t="s">
        <v>1431</v>
      </c>
      <c r="E1405" s="144" t="s">
        <v>1566</v>
      </c>
      <c r="F1405" s="139" t="s">
        <v>88</v>
      </c>
      <c r="G1405" s="144" t="s">
        <v>2934</v>
      </c>
      <c r="H1405" s="146" t="s">
        <v>26</v>
      </c>
      <c r="I1405" s="144" t="s">
        <v>1453</v>
      </c>
    </row>
    <row r="1406" spans="1:9" ht="25.5">
      <c r="A1406" s="193">
        <v>45911</v>
      </c>
      <c r="B1406" s="145" t="s">
        <v>831</v>
      </c>
      <c r="C1406" s="150">
        <v>2025</v>
      </c>
      <c r="D1406" s="201" t="s">
        <v>1431</v>
      </c>
      <c r="E1406" s="144" t="s">
        <v>1566</v>
      </c>
      <c r="F1406" s="139" t="s">
        <v>88</v>
      </c>
      <c r="G1406" s="144" t="s">
        <v>2935</v>
      </c>
      <c r="H1406" s="146" t="s">
        <v>26</v>
      </c>
      <c r="I1406" s="144" t="s">
        <v>1453</v>
      </c>
    </row>
    <row r="1407" spans="1:9" ht="63">
      <c r="A1407" s="193">
        <v>45912</v>
      </c>
      <c r="B1407" s="145" t="s">
        <v>831</v>
      </c>
      <c r="C1407" s="150">
        <v>2025</v>
      </c>
      <c r="D1407" s="201" t="s">
        <v>1431</v>
      </c>
      <c r="E1407" s="144" t="s">
        <v>1560</v>
      </c>
      <c r="F1407" s="147" t="s">
        <v>859</v>
      </c>
      <c r="G1407" s="144" t="s">
        <v>2936</v>
      </c>
      <c r="H1407" s="146" t="s">
        <v>26</v>
      </c>
      <c r="I1407" s="144" t="s">
        <v>2937</v>
      </c>
    </row>
    <row r="1408" spans="1:9" ht="14.1">
      <c r="A1408" s="193">
        <v>45912</v>
      </c>
      <c r="B1408" s="145" t="s">
        <v>831</v>
      </c>
      <c r="C1408" s="150">
        <v>2025</v>
      </c>
      <c r="D1408" s="201" t="s">
        <v>1431</v>
      </c>
      <c r="E1408" s="144" t="s">
        <v>2591</v>
      </c>
      <c r="F1408" s="139" t="s">
        <v>88</v>
      </c>
      <c r="G1408" s="144" t="s">
        <v>2938</v>
      </c>
      <c r="H1408" s="146" t="s">
        <v>26</v>
      </c>
      <c r="I1408" s="144" t="s">
        <v>2593</v>
      </c>
    </row>
    <row r="1409" spans="1:9" ht="25.5">
      <c r="A1409" s="193">
        <v>45912</v>
      </c>
      <c r="B1409" s="145" t="s">
        <v>831</v>
      </c>
      <c r="C1409" s="150">
        <v>2025</v>
      </c>
      <c r="D1409" s="201" t="s">
        <v>1431</v>
      </c>
      <c r="E1409" s="144" t="s">
        <v>2591</v>
      </c>
      <c r="F1409" s="139" t="s">
        <v>88</v>
      </c>
      <c r="G1409" s="144" t="s">
        <v>2939</v>
      </c>
      <c r="H1409" s="146" t="s">
        <v>26</v>
      </c>
      <c r="I1409" s="144" t="s">
        <v>2593</v>
      </c>
    </row>
    <row r="1410" spans="1:9" ht="14.1">
      <c r="A1410" s="193">
        <v>45912</v>
      </c>
      <c r="B1410" s="145" t="s">
        <v>831</v>
      </c>
      <c r="C1410" s="150">
        <v>2025</v>
      </c>
      <c r="D1410" s="201" t="s">
        <v>1431</v>
      </c>
      <c r="E1410" s="144" t="s">
        <v>2591</v>
      </c>
      <c r="F1410" s="139" t="s">
        <v>88</v>
      </c>
      <c r="G1410" s="144" t="s">
        <v>2940</v>
      </c>
      <c r="H1410" s="146" t="s">
        <v>26</v>
      </c>
      <c r="I1410" s="144" t="s">
        <v>2593</v>
      </c>
    </row>
    <row r="1411" spans="1:9" ht="25.5">
      <c r="A1411" s="193">
        <v>45912</v>
      </c>
      <c r="B1411" s="145" t="s">
        <v>831</v>
      </c>
      <c r="C1411" s="150">
        <v>2025</v>
      </c>
      <c r="D1411" s="201" t="s">
        <v>1431</v>
      </c>
      <c r="E1411" s="144" t="s">
        <v>2591</v>
      </c>
      <c r="F1411" s="139" t="s">
        <v>88</v>
      </c>
      <c r="G1411" s="144" t="s">
        <v>2941</v>
      </c>
      <c r="H1411" s="146" t="s">
        <v>26</v>
      </c>
      <c r="I1411" s="144" t="s">
        <v>2593</v>
      </c>
    </row>
    <row r="1412" spans="1:9" ht="25.5">
      <c r="A1412" s="193">
        <v>45912</v>
      </c>
      <c r="B1412" s="145" t="s">
        <v>831</v>
      </c>
      <c r="C1412" s="150">
        <v>2025</v>
      </c>
      <c r="D1412" s="201" t="s">
        <v>1431</v>
      </c>
      <c r="E1412" s="144" t="s">
        <v>2591</v>
      </c>
      <c r="F1412" s="139" t="s">
        <v>88</v>
      </c>
      <c r="G1412" s="144" t="s">
        <v>2942</v>
      </c>
      <c r="H1412" s="146" t="s">
        <v>26</v>
      </c>
      <c r="I1412" s="144" t="s">
        <v>2593</v>
      </c>
    </row>
    <row r="1413" spans="1:9" ht="25.5">
      <c r="A1413" s="193">
        <v>45912</v>
      </c>
      <c r="B1413" s="145" t="s">
        <v>831</v>
      </c>
      <c r="C1413" s="150">
        <v>2025</v>
      </c>
      <c r="D1413" s="201" t="s">
        <v>1431</v>
      </c>
      <c r="E1413" s="144" t="s">
        <v>1506</v>
      </c>
      <c r="F1413" s="139" t="s">
        <v>88</v>
      </c>
      <c r="G1413" s="144" t="s">
        <v>2943</v>
      </c>
      <c r="H1413" s="146" t="s">
        <v>26</v>
      </c>
      <c r="I1413" s="144" t="s">
        <v>1904</v>
      </c>
    </row>
    <row r="1414" spans="1:9" ht="25.5">
      <c r="A1414" s="193">
        <v>45912</v>
      </c>
      <c r="B1414" s="145" t="s">
        <v>831</v>
      </c>
      <c r="C1414" s="150">
        <v>2025</v>
      </c>
      <c r="D1414" s="201" t="s">
        <v>1431</v>
      </c>
      <c r="E1414" s="144" t="s">
        <v>1506</v>
      </c>
      <c r="F1414" s="139" t="s">
        <v>88</v>
      </c>
      <c r="G1414" s="144" t="s">
        <v>2944</v>
      </c>
      <c r="H1414" s="146" t="s">
        <v>26</v>
      </c>
      <c r="I1414" s="144" t="s">
        <v>1904</v>
      </c>
    </row>
    <row r="1415" spans="1:9" ht="25.5">
      <c r="A1415" s="193">
        <v>45912</v>
      </c>
      <c r="B1415" s="145" t="s">
        <v>831</v>
      </c>
      <c r="C1415" s="150">
        <v>2025</v>
      </c>
      <c r="D1415" s="201" t="s">
        <v>1431</v>
      </c>
      <c r="E1415" s="144" t="s">
        <v>1506</v>
      </c>
      <c r="F1415" s="139" t="s">
        <v>88</v>
      </c>
      <c r="G1415" s="144" t="s">
        <v>2945</v>
      </c>
      <c r="H1415" s="146" t="s">
        <v>26</v>
      </c>
      <c r="I1415" s="144" t="s">
        <v>1904</v>
      </c>
    </row>
    <row r="1416" spans="1:9" ht="25.5">
      <c r="A1416" s="193">
        <v>45912</v>
      </c>
      <c r="B1416" s="145" t="s">
        <v>831</v>
      </c>
      <c r="C1416" s="150">
        <v>2025</v>
      </c>
      <c r="D1416" s="201" t="s">
        <v>1431</v>
      </c>
      <c r="E1416" s="144" t="s">
        <v>1506</v>
      </c>
      <c r="F1416" s="139" t="s">
        <v>88</v>
      </c>
      <c r="G1416" s="144" t="s">
        <v>2946</v>
      </c>
      <c r="H1416" s="146" t="s">
        <v>26</v>
      </c>
      <c r="I1416" s="144" t="s">
        <v>1904</v>
      </c>
    </row>
    <row r="1417" spans="1:9" ht="14.1">
      <c r="A1417" s="193">
        <v>45912</v>
      </c>
      <c r="B1417" s="145" t="s">
        <v>831</v>
      </c>
      <c r="C1417" s="150">
        <v>2025</v>
      </c>
      <c r="D1417" s="201" t="s">
        <v>1431</v>
      </c>
      <c r="E1417" s="144" t="s">
        <v>1566</v>
      </c>
      <c r="F1417" s="139" t="s">
        <v>88</v>
      </c>
      <c r="G1417" s="144" t="s">
        <v>2947</v>
      </c>
      <c r="H1417" s="146" t="s">
        <v>26</v>
      </c>
      <c r="I1417" s="144" t="s">
        <v>1453</v>
      </c>
    </row>
    <row r="1418" spans="1:9" ht="14.1">
      <c r="A1418" s="193">
        <v>45912</v>
      </c>
      <c r="B1418" s="145" t="s">
        <v>831</v>
      </c>
      <c r="C1418" s="150">
        <v>2025</v>
      </c>
      <c r="D1418" s="201" t="s">
        <v>1431</v>
      </c>
      <c r="E1418" s="144" t="s">
        <v>1566</v>
      </c>
      <c r="F1418" s="139" t="s">
        <v>88</v>
      </c>
      <c r="G1418" s="144" t="s">
        <v>2948</v>
      </c>
      <c r="H1418" s="146" t="s">
        <v>26</v>
      </c>
      <c r="I1418" s="144" t="s">
        <v>1453</v>
      </c>
    </row>
    <row r="1419" spans="1:9" ht="25.5">
      <c r="A1419" s="193">
        <v>45912</v>
      </c>
      <c r="B1419" s="145" t="s">
        <v>831</v>
      </c>
      <c r="C1419" s="150">
        <v>2025</v>
      </c>
      <c r="D1419" s="201" t="s">
        <v>1431</v>
      </c>
      <c r="E1419" s="144" t="s">
        <v>1566</v>
      </c>
      <c r="F1419" s="139" t="s">
        <v>88</v>
      </c>
      <c r="G1419" s="144" t="s">
        <v>2949</v>
      </c>
      <c r="H1419" s="146" t="s">
        <v>26</v>
      </c>
      <c r="I1419" s="144" t="s">
        <v>1453</v>
      </c>
    </row>
    <row r="1420" spans="1:9" ht="25.5">
      <c r="A1420" s="193">
        <v>45915</v>
      </c>
      <c r="B1420" s="145" t="s">
        <v>831</v>
      </c>
      <c r="C1420" s="150">
        <v>2025</v>
      </c>
      <c r="D1420" s="201" t="s">
        <v>1431</v>
      </c>
      <c r="E1420" s="144" t="s">
        <v>2244</v>
      </c>
      <c r="F1420" s="147" t="s">
        <v>859</v>
      </c>
      <c r="G1420" s="144" t="s">
        <v>2950</v>
      </c>
      <c r="H1420" s="146" t="s">
        <v>26</v>
      </c>
      <c r="I1420" s="144" t="s">
        <v>1998</v>
      </c>
    </row>
    <row r="1421" spans="1:9" ht="38.1">
      <c r="A1421" s="193">
        <v>45915</v>
      </c>
      <c r="B1421" s="145" t="s">
        <v>831</v>
      </c>
      <c r="C1421" s="150">
        <v>2025</v>
      </c>
      <c r="D1421" s="201" t="s">
        <v>1431</v>
      </c>
      <c r="E1421" s="144" t="s">
        <v>1506</v>
      </c>
      <c r="F1421" s="139" t="s">
        <v>88</v>
      </c>
      <c r="G1421" s="144" t="s">
        <v>2951</v>
      </c>
      <c r="H1421" s="146" t="s">
        <v>26</v>
      </c>
      <c r="I1421" s="144" t="s">
        <v>1904</v>
      </c>
    </row>
    <row r="1422" spans="1:9" ht="25.5">
      <c r="A1422" s="193">
        <v>45915</v>
      </c>
      <c r="B1422" s="145" t="s">
        <v>831</v>
      </c>
      <c r="C1422" s="150">
        <v>2025</v>
      </c>
      <c r="D1422" s="201" t="s">
        <v>1431</v>
      </c>
      <c r="E1422" s="144" t="s">
        <v>1508</v>
      </c>
      <c r="F1422" s="139" t="s">
        <v>88</v>
      </c>
      <c r="G1422" s="144" t="s">
        <v>2952</v>
      </c>
      <c r="H1422" s="146" t="s">
        <v>26</v>
      </c>
      <c r="I1422" s="144" t="s">
        <v>2953</v>
      </c>
    </row>
    <row r="1423" spans="1:9" ht="25.5">
      <c r="A1423" s="193">
        <v>45915</v>
      </c>
      <c r="B1423" s="145" t="s">
        <v>831</v>
      </c>
      <c r="C1423" s="150">
        <v>2025</v>
      </c>
      <c r="D1423" s="201" t="s">
        <v>1431</v>
      </c>
      <c r="E1423" s="144" t="s">
        <v>1539</v>
      </c>
      <c r="F1423" s="139" t="s">
        <v>88</v>
      </c>
      <c r="G1423" s="144" t="s">
        <v>2954</v>
      </c>
      <c r="H1423" s="146" t="s">
        <v>26</v>
      </c>
      <c r="I1423" s="144" t="s">
        <v>1541</v>
      </c>
    </row>
    <row r="1424" spans="1:9" ht="87.95">
      <c r="A1424" s="193">
        <v>45915</v>
      </c>
      <c r="B1424" s="145" t="s">
        <v>831</v>
      </c>
      <c r="C1424" s="150">
        <v>2025</v>
      </c>
      <c r="D1424" s="201" t="s">
        <v>1431</v>
      </c>
      <c r="E1424" s="144" t="s">
        <v>2591</v>
      </c>
      <c r="F1424" s="139" t="s">
        <v>88</v>
      </c>
      <c r="G1424" s="144" t="s">
        <v>2955</v>
      </c>
      <c r="H1424" s="146" t="s">
        <v>26</v>
      </c>
      <c r="I1424" s="144" t="s">
        <v>2593</v>
      </c>
    </row>
    <row r="1425" spans="1:9" ht="38.1">
      <c r="A1425" s="193">
        <v>45915</v>
      </c>
      <c r="B1425" s="145" t="s">
        <v>831</v>
      </c>
      <c r="C1425" s="150">
        <v>2025</v>
      </c>
      <c r="D1425" s="201" t="s">
        <v>1431</v>
      </c>
      <c r="E1425" s="144" t="s">
        <v>2591</v>
      </c>
      <c r="F1425" s="139" t="s">
        <v>88</v>
      </c>
      <c r="G1425" s="144" t="s">
        <v>2956</v>
      </c>
      <c r="H1425" s="146" t="s">
        <v>26</v>
      </c>
      <c r="I1425" s="144" t="s">
        <v>2593</v>
      </c>
    </row>
    <row r="1426" spans="1:9" ht="38.1">
      <c r="A1426" s="193">
        <v>45915</v>
      </c>
      <c r="B1426" s="145" t="s">
        <v>831</v>
      </c>
      <c r="C1426" s="150">
        <v>2025</v>
      </c>
      <c r="D1426" s="201" t="s">
        <v>1431</v>
      </c>
      <c r="E1426" s="144" t="s">
        <v>1566</v>
      </c>
      <c r="F1426" s="139" t="s">
        <v>88</v>
      </c>
      <c r="G1426" s="144" t="s">
        <v>2957</v>
      </c>
      <c r="H1426" s="146" t="s">
        <v>26</v>
      </c>
      <c r="I1426" s="144" t="s">
        <v>1588</v>
      </c>
    </row>
    <row r="1427" spans="1:9" ht="75.599999999999994">
      <c r="A1427" s="193">
        <v>45915</v>
      </c>
      <c r="B1427" s="145" t="s">
        <v>831</v>
      </c>
      <c r="C1427" s="150">
        <v>2025</v>
      </c>
      <c r="D1427" s="201" t="s">
        <v>1431</v>
      </c>
      <c r="E1427" s="144" t="s">
        <v>1566</v>
      </c>
      <c r="F1427" s="139" t="s">
        <v>88</v>
      </c>
      <c r="G1427" s="144" t="s">
        <v>2958</v>
      </c>
      <c r="H1427" s="146" t="s">
        <v>26</v>
      </c>
      <c r="I1427" s="144" t="s">
        <v>1588</v>
      </c>
    </row>
    <row r="1428" spans="1:9" ht="38.1">
      <c r="A1428" s="193">
        <v>45915</v>
      </c>
      <c r="B1428" s="145" t="s">
        <v>831</v>
      </c>
      <c r="C1428" s="150">
        <v>2025</v>
      </c>
      <c r="D1428" s="201" t="s">
        <v>1431</v>
      </c>
      <c r="E1428" s="144" t="s">
        <v>1566</v>
      </c>
      <c r="F1428" s="139" t="s">
        <v>88</v>
      </c>
      <c r="G1428" s="144" t="s">
        <v>2959</v>
      </c>
      <c r="H1428" s="146" t="s">
        <v>26</v>
      </c>
      <c r="I1428" s="144" t="s">
        <v>1588</v>
      </c>
    </row>
    <row r="1429" spans="1:9" ht="87.95">
      <c r="A1429" s="193">
        <v>45915</v>
      </c>
      <c r="B1429" s="145" t="s">
        <v>831</v>
      </c>
      <c r="C1429" s="150">
        <v>2025</v>
      </c>
      <c r="D1429" s="201" t="s">
        <v>1431</v>
      </c>
      <c r="E1429" s="144" t="s">
        <v>1566</v>
      </c>
      <c r="F1429" s="139" t="s">
        <v>88</v>
      </c>
      <c r="G1429" s="144" t="s">
        <v>2960</v>
      </c>
      <c r="H1429" s="146" t="s">
        <v>26</v>
      </c>
      <c r="I1429" s="144" t="s">
        <v>1588</v>
      </c>
    </row>
    <row r="1430" spans="1:9" ht="25.5">
      <c r="A1430" s="193">
        <v>45915</v>
      </c>
      <c r="B1430" s="145" t="s">
        <v>831</v>
      </c>
      <c r="C1430" s="150">
        <v>2025</v>
      </c>
      <c r="D1430" s="201" t="s">
        <v>2224</v>
      </c>
      <c r="E1430" s="144" t="s">
        <v>988</v>
      </c>
      <c r="F1430" s="139" t="s">
        <v>88</v>
      </c>
      <c r="G1430" s="144" t="s">
        <v>2961</v>
      </c>
      <c r="H1430" s="146" t="s">
        <v>26</v>
      </c>
      <c r="I1430" s="144" t="s">
        <v>2568</v>
      </c>
    </row>
    <row r="1431" spans="1:9" ht="14.1">
      <c r="A1431" s="193">
        <v>45916</v>
      </c>
      <c r="B1431" s="145" t="s">
        <v>831</v>
      </c>
      <c r="C1431" s="150">
        <v>2025</v>
      </c>
      <c r="D1431" s="201" t="s">
        <v>1431</v>
      </c>
      <c r="E1431" s="144" t="s">
        <v>216</v>
      </c>
      <c r="F1431" s="141" t="s">
        <v>821</v>
      </c>
      <c r="G1431" s="144" t="s">
        <v>2962</v>
      </c>
      <c r="H1431" s="146" t="s">
        <v>26</v>
      </c>
      <c r="I1431" s="144" t="s">
        <v>2963</v>
      </c>
    </row>
    <row r="1432" spans="1:9" ht="14.1">
      <c r="A1432" s="193">
        <v>45916</v>
      </c>
      <c r="B1432" s="145" t="s">
        <v>831</v>
      </c>
      <c r="C1432" s="150">
        <v>2025</v>
      </c>
      <c r="D1432" s="201" t="s">
        <v>1431</v>
      </c>
      <c r="E1432" s="144" t="s">
        <v>21</v>
      </c>
      <c r="F1432" s="141" t="s">
        <v>821</v>
      </c>
      <c r="G1432" s="144" t="s">
        <v>2964</v>
      </c>
      <c r="H1432" s="146" t="s">
        <v>26</v>
      </c>
      <c r="I1432" s="144" t="s">
        <v>468</v>
      </c>
    </row>
    <row r="1433" spans="1:9" ht="38.1">
      <c r="A1433" s="193">
        <v>45916</v>
      </c>
      <c r="B1433" s="145" t="s">
        <v>831</v>
      </c>
      <c r="C1433" s="150">
        <v>2025</v>
      </c>
      <c r="D1433" s="201" t="s">
        <v>1431</v>
      </c>
      <c r="E1433" s="144" t="s">
        <v>2591</v>
      </c>
      <c r="F1433" s="139" t="s">
        <v>88</v>
      </c>
      <c r="G1433" s="144" t="s">
        <v>2965</v>
      </c>
      <c r="H1433" s="146" t="s">
        <v>26</v>
      </c>
      <c r="I1433" s="144" t="s">
        <v>2593</v>
      </c>
    </row>
    <row r="1434" spans="1:9" ht="38.1">
      <c r="A1434" s="193">
        <v>45916</v>
      </c>
      <c r="B1434" s="145" t="s">
        <v>831</v>
      </c>
      <c r="C1434" s="150">
        <v>2025</v>
      </c>
      <c r="D1434" s="201" t="s">
        <v>1431</v>
      </c>
      <c r="E1434" s="144" t="s">
        <v>2591</v>
      </c>
      <c r="F1434" s="139" t="s">
        <v>88</v>
      </c>
      <c r="G1434" s="144" t="s">
        <v>2966</v>
      </c>
      <c r="H1434" s="146" t="s">
        <v>26</v>
      </c>
      <c r="I1434" s="144" t="s">
        <v>2593</v>
      </c>
    </row>
    <row r="1435" spans="1:9" ht="14.1">
      <c r="A1435" s="193">
        <v>45916</v>
      </c>
      <c r="B1435" s="145" t="s">
        <v>831</v>
      </c>
      <c r="C1435" s="150">
        <v>2025</v>
      </c>
      <c r="D1435" s="201" t="s">
        <v>1431</v>
      </c>
      <c r="E1435" s="144" t="s">
        <v>1566</v>
      </c>
      <c r="F1435" s="139" t="s">
        <v>88</v>
      </c>
      <c r="G1435" s="144" t="s">
        <v>2967</v>
      </c>
      <c r="H1435" s="146" t="s">
        <v>26</v>
      </c>
      <c r="I1435" s="144" t="s">
        <v>2798</v>
      </c>
    </row>
    <row r="1436" spans="1:9" ht="25.5">
      <c r="A1436" s="193">
        <v>45916</v>
      </c>
      <c r="B1436" s="145" t="s">
        <v>831</v>
      </c>
      <c r="C1436" s="150">
        <v>2025</v>
      </c>
      <c r="D1436" s="201" t="s">
        <v>1431</v>
      </c>
      <c r="E1436" s="144" t="s">
        <v>1566</v>
      </c>
      <c r="F1436" s="139" t="s">
        <v>88</v>
      </c>
      <c r="G1436" s="144" t="s">
        <v>2968</v>
      </c>
      <c r="H1436" s="146" t="s">
        <v>26</v>
      </c>
      <c r="I1436" s="144" t="s">
        <v>2798</v>
      </c>
    </row>
    <row r="1437" spans="1:9" ht="25.5">
      <c r="A1437" s="193">
        <v>45917</v>
      </c>
      <c r="B1437" s="145" t="s">
        <v>831</v>
      </c>
      <c r="C1437" s="150">
        <v>2025</v>
      </c>
      <c r="D1437" s="201" t="s">
        <v>1431</v>
      </c>
      <c r="E1437" s="144" t="s">
        <v>1506</v>
      </c>
      <c r="F1437" s="139" t="s">
        <v>88</v>
      </c>
      <c r="G1437" s="144" t="s">
        <v>2969</v>
      </c>
      <c r="H1437" s="146" t="s">
        <v>26</v>
      </c>
      <c r="I1437" s="144" t="s">
        <v>1904</v>
      </c>
    </row>
    <row r="1438" spans="1:9" ht="25.5">
      <c r="A1438" s="193">
        <v>45917</v>
      </c>
      <c r="B1438" s="145" t="s">
        <v>831</v>
      </c>
      <c r="C1438" s="150">
        <v>2025</v>
      </c>
      <c r="D1438" s="201" t="s">
        <v>1431</v>
      </c>
      <c r="E1438" s="144" t="s">
        <v>1506</v>
      </c>
      <c r="F1438" s="139" t="s">
        <v>88</v>
      </c>
      <c r="G1438" s="144" t="s">
        <v>2970</v>
      </c>
      <c r="H1438" s="146" t="s">
        <v>26</v>
      </c>
      <c r="I1438" s="144" t="s">
        <v>1904</v>
      </c>
    </row>
    <row r="1439" spans="1:9" ht="14.1">
      <c r="A1439" s="193">
        <v>45917</v>
      </c>
      <c r="B1439" s="145" t="s">
        <v>831</v>
      </c>
      <c r="C1439" s="150">
        <v>2025</v>
      </c>
      <c r="D1439" s="201" t="s">
        <v>1431</v>
      </c>
      <c r="E1439" s="144" t="s">
        <v>216</v>
      </c>
      <c r="F1439" s="141" t="s">
        <v>821</v>
      </c>
      <c r="G1439" s="144" t="s">
        <v>2971</v>
      </c>
      <c r="H1439" s="146" t="s">
        <v>26</v>
      </c>
      <c r="I1439" s="144" t="s">
        <v>492</v>
      </c>
    </row>
    <row r="1440" spans="1:9" ht="25.5">
      <c r="A1440" s="193">
        <v>45917</v>
      </c>
      <c r="B1440" s="145" t="s">
        <v>831</v>
      </c>
      <c r="C1440" s="150">
        <v>2025</v>
      </c>
      <c r="D1440" s="201" t="s">
        <v>1431</v>
      </c>
      <c r="E1440" s="144" t="s">
        <v>2591</v>
      </c>
      <c r="F1440" s="139" t="s">
        <v>88</v>
      </c>
      <c r="G1440" s="144" t="s">
        <v>2972</v>
      </c>
      <c r="H1440" s="146" t="s">
        <v>26</v>
      </c>
      <c r="I1440" s="144" t="s">
        <v>2593</v>
      </c>
    </row>
    <row r="1441" spans="1:9" ht="25.5">
      <c r="A1441" s="193">
        <v>45917</v>
      </c>
      <c r="B1441" s="145" t="s">
        <v>831</v>
      </c>
      <c r="C1441" s="150">
        <v>2025</v>
      </c>
      <c r="D1441" s="201" t="s">
        <v>1431</v>
      </c>
      <c r="E1441" s="144" t="s">
        <v>2591</v>
      </c>
      <c r="F1441" s="139" t="s">
        <v>88</v>
      </c>
      <c r="G1441" s="148" t="s">
        <v>2973</v>
      </c>
      <c r="H1441" s="146" t="s">
        <v>26</v>
      </c>
      <c r="I1441" s="144" t="s">
        <v>2593</v>
      </c>
    </row>
    <row r="1442" spans="1:9" ht="38.1">
      <c r="A1442" s="193">
        <v>45917</v>
      </c>
      <c r="B1442" s="145" t="s">
        <v>831</v>
      </c>
      <c r="C1442" s="150">
        <v>2025</v>
      </c>
      <c r="D1442" s="201" t="s">
        <v>1431</v>
      </c>
      <c r="E1442" s="144" t="s">
        <v>2591</v>
      </c>
      <c r="F1442" s="139" t="s">
        <v>88</v>
      </c>
      <c r="G1442" s="148" t="s">
        <v>2974</v>
      </c>
      <c r="H1442" s="146" t="s">
        <v>26</v>
      </c>
      <c r="I1442" s="144" t="s">
        <v>2593</v>
      </c>
    </row>
    <row r="1443" spans="1:9" ht="25.5">
      <c r="A1443" s="193">
        <v>45917</v>
      </c>
      <c r="B1443" s="145" t="s">
        <v>831</v>
      </c>
      <c r="C1443" s="150">
        <v>2025</v>
      </c>
      <c r="D1443" s="201" t="s">
        <v>1431</v>
      </c>
      <c r="E1443" s="144" t="s">
        <v>2591</v>
      </c>
      <c r="F1443" s="139" t="s">
        <v>88</v>
      </c>
      <c r="G1443" s="144" t="s">
        <v>2975</v>
      </c>
      <c r="H1443" s="146" t="s">
        <v>26</v>
      </c>
      <c r="I1443" s="144" t="s">
        <v>2593</v>
      </c>
    </row>
    <row r="1444" spans="1:9" ht="14.1">
      <c r="A1444" s="193">
        <v>45917</v>
      </c>
      <c r="B1444" s="145" t="s">
        <v>831</v>
      </c>
      <c r="C1444" s="150">
        <v>2025</v>
      </c>
      <c r="D1444" s="201" t="s">
        <v>1431</v>
      </c>
      <c r="E1444" s="144" t="s">
        <v>1566</v>
      </c>
      <c r="F1444" s="139" t="s">
        <v>88</v>
      </c>
      <c r="G1444" s="144" t="s">
        <v>2976</v>
      </c>
      <c r="H1444" s="146" t="s">
        <v>26</v>
      </c>
      <c r="I1444" s="144" t="s">
        <v>1588</v>
      </c>
    </row>
    <row r="1445" spans="1:9" ht="38.1">
      <c r="A1445" s="193">
        <v>45917</v>
      </c>
      <c r="B1445" s="145" t="s">
        <v>831</v>
      </c>
      <c r="C1445" s="150">
        <v>2025</v>
      </c>
      <c r="D1445" s="201" t="s">
        <v>1431</v>
      </c>
      <c r="E1445" s="144" t="s">
        <v>1566</v>
      </c>
      <c r="F1445" s="139" t="s">
        <v>88</v>
      </c>
      <c r="G1445" s="144" t="s">
        <v>2977</v>
      </c>
      <c r="H1445" s="146" t="s">
        <v>26</v>
      </c>
      <c r="I1445" s="144" t="s">
        <v>1588</v>
      </c>
    </row>
    <row r="1446" spans="1:9" ht="38.1">
      <c r="A1446" s="193">
        <v>45917</v>
      </c>
      <c r="B1446" s="145" t="s">
        <v>831</v>
      </c>
      <c r="C1446" s="150">
        <v>2025</v>
      </c>
      <c r="D1446" s="201" t="s">
        <v>1431</v>
      </c>
      <c r="E1446" s="144" t="s">
        <v>1566</v>
      </c>
      <c r="F1446" s="139" t="s">
        <v>88</v>
      </c>
      <c r="G1446" s="144" t="s">
        <v>2978</v>
      </c>
      <c r="H1446" s="146" t="s">
        <v>26</v>
      </c>
      <c r="I1446" s="144" t="s">
        <v>1588</v>
      </c>
    </row>
    <row r="1447" spans="1:9" ht="25.5">
      <c r="A1447" s="193">
        <v>45917</v>
      </c>
      <c r="B1447" s="145" t="s">
        <v>831</v>
      </c>
      <c r="C1447" s="150">
        <v>2025</v>
      </c>
      <c r="D1447" s="201" t="s">
        <v>1431</v>
      </c>
      <c r="E1447" s="144" t="s">
        <v>1566</v>
      </c>
      <c r="F1447" s="139" t="s">
        <v>88</v>
      </c>
      <c r="G1447" s="144" t="s">
        <v>2979</v>
      </c>
      <c r="H1447" s="146" t="s">
        <v>26</v>
      </c>
      <c r="I1447" s="144" t="s">
        <v>1588</v>
      </c>
    </row>
    <row r="1448" spans="1:9" ht="38.1">
      <c r="A1448" s="193">
        <v>45917</v>
      </c>
      <c r="B1448" s="145" t="s">
        <v>831</v>
      </c>
      <c r="C1448" s="150">
        <v>2025</v>
      </c>
      <c r="D1448" s="201" t="s">
        <v>1431</v>
      </c>
      <c r="E1448" s="144" t="s">
        <v>1566</v>
      </c>
      <c r="F1448" s="139" t="s">
        <v>88</v>
      </c>
      <c r="G1448" s="144" t="s">
        <v>2980</v>
      </c>
      <c r="H1448" s="146" t="s">
        <v>26</v>
      </c>
      <c r="I1448" s="144" t="s">
        <v>1588</v>
      </c>
    </row>
    <row r="1449" spans="1:9" ht="14.1">
      <c r="A1449" s="193">
        <v>45918</v>
      </c>
      <c r="B1449" s="145" t="s">
        <v>831</v>
      </c>
      <c r="C1449" s="150">
        <v>2025</v>
      </c>
      <c r="D1449" s="201" t="s">
        <v>1431</v>
      </c>
      <c r="E1449" s="144" t="s">
        <v>2591</v>
      </c>
      <c r="F1449" s="139" t="s">
        <v>88</v>
      </c>
      <c r="G1449" s="144" t="s">
        <v>2981</v>
      </c>
      <c r="H1449" s="146" t="s">
        <v>26</v>
      </c>
      <c r="I1449" s="144" t="s">
        <v>2593</v>
      </c>
    </row>
    <row r="1450" spans="1:9" ht="50.45">
      <c r="A1450" s="193">
        <v>45918</v>
      </c>
      <c r="B1450" s="145" t="s">
        <v>831</v>
      </c>
      <c r="C1450" s="150">
        <v>2025</v>
      </c>
      <c r="D1450" s="201" t="s">
        <v>1431</v>
      </c>
      <c r="E1450" s="144" t="s">
        <v>2591</v>
      </c>
      <c r="F1450" s="139" t="s">
        <v>88</v>
      </c>
      <c r="G1450" s="144" t="s">
        <v>2982</v>
      </c>
      <c r="H1450" s="146" t="s">
        <v>26</v>
      </c>
      <c r="I1450" s="144" t="s">
        <v>2593</v>
      </c>
    </row>
    <row r="1451" spans="1:9" ht="50.45">
      <c r="A1451" s="193">
        <v>45918</v>
      </c>
      <c r="B1451" s="145" t="s">
        <v>831</v>
      </c>
      <c r="C1451" s="150">
        <v>2025</v>
      </c>
      <c r="D1451" s="201" t="s">
        <v>1431</v>
      </c>
      <c r="E1451" s="144" t="s">
        <v>2591</v>
      </c>
      <c r="F1451" s="139" t="s">
        <v>88</v>
      </c>
      <c r="G1451" s="144" t="s">
        <v>2983</v>
      </c>
      <c r="H1451" s="146" t="s">
        <v>26</v>
      </c>
      <c r="I1451" s="144" t="s">
        <v>2593</v>
      </c>
    </row>
    <row r="1452" spans="1:9" ht="38.1">
      <c r="A1452" s="193">
        <v>45918</v>
      </c>
      <c r="B1452" s="145" t="s">
        <v>831</v>
      </c>
      <c r="C1452" s="150">
        <v>2025</v>
      </c>
      <c r="D1452" s="201" t="s">
        <v>1431</v>
      </c>
      <c r="E1452" s="144" t="s">
        <v>2591</v>
      </c>
      <c r="F1452" s="139" t="s">
        <v>88</v>
      </c>
      <c r="G1452" s="144" t="s">
        <v>2984</v>
      </c>
      <c r="H1452" s="146" t="s">
        <v>26</v>
      </c>
      <c r="I1452" s="144" t="s">
        <v>2593</v>
      </c>
    </row>
    <row r="1453" spans="1:9" ht="63">
      <c r="A1453" s="193">
        <v>45919</v>
      </c>
      <c r="B1453" s="145" t="s">
        <v>831</v>
      </c>
      <c r="C1453" s="150">
        <v>2025</v>
      </c>
      <c r="D1453" s="201" t="s">
        <v>1431</v>
      </c>
      <c r="E1453" s="144" t="s">
        <v>1566</v>
      </c>
      <c r="F1453" s="139" t="s">
        <v>88</v>
      </c>
      <c r="G1453" s="144" t="s">
        <v>2985</v>
      </c>
      <c r="H1453" s="146" t="s">
        <v>26</v>
      </c>
      <c r="I1453" s="144" t="s">
        <v>1453</v>
      </c>
    </row>
    <row r="1454" spans="1:9" ht="50.45">
      <c r="A1454" s="193">
        <v>45919</v>
      </c>
      <c r="B1454" s="145" t="s">
        <v>831</v>
      </c>
      <c r="C1454" s="150">
        <v>2025</v>
      </c>
      <c r="D1454" s="201" t="s">
        <v>1431</v>
      </c>
      <c r="E1454" s="144" t="s">
        <v>1506</v>
      </c>
      <c r="F1454" s="139" t="s">
        <v>88</v>
      </c>
      <c r="G1454" s="144" t="s">
        <v>2986</v>
      </c>
      <c r="H1454" s="146" t="s">
        <v>26</v>
      </c>
      <c r="I1454" s="144" t="s">
        <v>2321</v>
      </c>
    </row>
    <row r="1455" spans="1:9" ht="14.1">
      <c r="A1455" s="193">
        <v>45919</v>
      </c>
      <c r="B1455" s="145" t="s">
        <v>831</v>
      </c>
      <c r="C1455" s="150">
        <v>2025</v>
      </c>
      <c r="D1455" s="201" t="s">
        <v>1431</v>
      </c>
      <c r="E1455" s="144" t="s">
        <v>21</v>
      </c>
      <c r="F1455" s="141" t="s">
        <v>821</v>
      </c>
      <c r="G1455" s="144" t="s">
        <v>2987</v>
      </c>
      <c r="H1455" s="146" t="s">
        <v>26</v>
      </c>
      <c r="I1455" s="144" t="s">
        <v>468</v>
      </c>
    </row>
    <row r="1456" spans="1:9" ht="25.5">
      <c r="A1456" s="193">
        <v>45919</v>
      </c>
      <c r="B1456" s="145" t="s">
        <v>831</v>
      </c>
      <c r="C1456" s="150">
        <v>2025</v>
      </c>
      <c r="D1456" s="201" t="s">
        <v>2224</v>
      </c>
      <c r="E1456" s="144" t="s">
        <v>21</v>
      </c>
      <c r="F1456" s="141" t="s">
        <v>821</v>
      </c>
      <c r="G1456" s="144" t="s">
        <v>2988</v>
      </c>
      <c r="H1456" s="146" t="s">
        <v>26</v>
      </c>
      <c r="I1456" s="144" t="s">
        <v>468</v>
      </c>
    </row>
    <row r="1457" spans="1:9" ht="38.1">
      <c r="A1457" s="193">
        <v>45919</v>
      </c>
      <c r="B1457" s="145" t="s">
        <v>831</v>
      </c>
      <c r="C1457" s="150">
        <v>2025</v>
      </c>
      <c r="D1457" s="201" t="s">
        <v>1431</v>
      </c>
      <c r="E1457" s="144" t="s">
        <v>2591</v>
      </c>
      <c r="F1457" s="139" t="s">
        <v>88</v>
      </c>
      <c r="G1457" s="144" t="s">
        <v>2989</v>
      </c>
      <c r="H1457" s="146" t="s">
        <v>26</v>
      </c>
      <c r="I1457" s="144" t="s">
        <v>2593</v>
      </c>
    </row>
    <row r="1458" spans="1:9" ht="25.5">
      <c r="A1458" s="193">
        <v>45919</v>
      </c>
      <c r="B1458" s="145" t="s">
        <v>831</v>
      </c>
      <c r="C1458" s="150">
        <v>2025</v>
      </c>
      <c r="D1458" s="201" t="s">
        <v>2224</v>
      </c>
      <c r="E1458" s="144" t="s">
        <v>2591</v>
      </c>
      <c r="F1458" s="139" t="s">
        <v>88</v>
      </c>
      <c r="G1458" s="144" t="s">
        <v>2990</v>
      </c>
      <c r="H1458" s="146" t="s">
        <v>26</v>
      </c>
      <c r="I1458" s="144" t="s">
        <v>2593</v>
      </c>
    </row>
    <row r="1459" spans="1:9" ht="25.5">
      <c r="A1459" s="193">
        <v>45919</v>
      </c>
      <c r="B1459" s="145" t="s">
        <v>831</v>
      </c>
      <c r="C1459" s="150">
        <v>2025</v>
      </c>
      <c r="D1459" s="201" t="s">
        <v>1431</v>
      </c>
      <c r="E1459" s="144" t="s">
        <v>1566</v>
      </c>
      <c r="F1459" s="139" t="s">
        <v>88</v>
      </c>
      <c r="G1459" s="144" t="s">
        <v>2991</v>
      </c>
      <c r="H1459" s="146" t="s">
        <v>26</v>
      </c>
      <c r="I1459" s="144" t="s">
        <v>1453</v>
      </c>
    </row>
    <row r="1460" spans="1:9" ht="25.5">
      <c r="A1460" s="193">
        <v>45922</v>
      </c>
      <c r="B1460" s="145" t="s">
        <v>831</v>
      </c>
      <c r="C1460" s="150">
        <v>2025</v>
      </c>
      <c r="D1460" s="201" t="s">
        <v>1431</v>
      </c>
      <c r="E1460" s="144" t="s">
        <v>574</v>
      </c>
      <c r="F1460" s="139" t="s">
        <v>88</v>
      </c>
      <c r="G1460" s="144" t="s">
        <v>2992</v>
      </c>
      <c r="H1460" s="146" t="s">
        <v>26</v>
      </c>
      <c r="I1460" s="144" t="s">
        <v>2993</v>
      </c>
    </row>
    <row r="1461" spans="1:9" ht="25.5">
      <c r="A1461" s="193">
        <v>45922</v>
      </c>
      <c r="B1461" s="145" t="s">
        <v>831</v>
      </c>
      <c r="C1461" s="150">
        <v>2025</v>
      </c>
      <c r="D1461" s="201" t="s">
        <v>1431</v>
      </c>
      <c r="E1461" s="144" t="s">
        <v>21</v>
      </c>
      <c r="F1461" s="141" t="s">
        <v>821</v>
      </c>
      <c r="G1461" s="144" t="s">
        <v>2994</v>
      </c>
      <c r="H1461" s="146" t="s">
        <v>26</v>
      </c>
      <c r="I1461" s="144" t="s">
        <v>2993</v>
      </c>
    </row>
    <row r="1462" spans="1:9" ht="25.5">
      <c r="A1462" s="193">
        <v>45922</v>
      </c>
      <c r="B1462" s="145" t="s">
        <v>831</v>
      </c>
      <c r="C1462" s="150">
        <v>2025</v>
      </c>
      <c r="D1462" s="201" t="s">
        <v>1431</v>
      </c>
      <c r="E1462" s="144" t="s">
        <v>21</v>
      </c>
      <c r="F1462" s="141" t="s">
        <v>821</v>
      </c>
      <c r="G1462" s="144" t="s">
        <v>2995</v>
      </c>
      <c r="H1462" s="146" t="s">
        <v>26</v>
      </c>
      <c r="I1462" s="144" t="s">
        <v>2993</v>
      </c>
    </row>
    <row r="1463" spans="1:9" ht="50.45">
      <c r="A1463" s="193">
        <v>45922</v>
      </c>
      <c r="B1463" s="145" t="s">
        <v>831</v>
      </c>
      <c r="C1463" s="150">
        <v>2025</v>
      </c>
      <c r="D1463" s="201" t="s">
        <v>1431</v>
      </c>
      <c r="E1463" s="144" t="s">
        <v>2591</v>
      </c>
      <c r="F1463" s="139" t="s">
        <v>88</v>
      </c>
      <c r="G1463" s="144" t="s">
        <v>2996</v>
      </c>
      <c r="H1463" s="146" t="s">
        <v>26</v>
      </c>
      <c r="I1463" s="144" t="s">
        <v>2593</v>
      </c>
    </row>
    <row r="1464" spans="1:9" ht="63">
      <c r="A1464" s="193">
        <v>45922</v>
      </c>
      <c r="B1464" s="145" t="s">
        <v>831</v>
      </c>
      <c r="C1464" s="150">
        <v>2025</v>
      </c>
      <c r="D1464" s="201" t="s">
        <v>1431</v>
      </c>
      <c r="E1464" s="144" t="s">
        <v>2591</v>
      </c>
      <c r="F1464" s="139" t="s">
        <v>88</v>
      </c>
      <c r="G1464" s="148" t="s">
        <v>2997</v>
      </c>
      <c r="H1464" s="146" t="s">
        <v>26</v>
      </c>
      <c r="I1464" s="144" t="s">
        <v>2593</v>
      </c>
    </row>
    <row r="1465" spans="1:9" ht="25.5">
      <c r="A1465" s="193">
        <v>45922</v>
      </c>
      <c r="B1465" s="145" t="s">
        <v>831</v>
      </c>
      <c r="C1465" s="150">
        <v>2025</v>
      </c>
      <c r="D1465" s="201" t="s">
        <v>1431</v>
      </c>
      <c r="E1465" s="144" t="s">
        <v>2591</v>
      </c>
      <c r="F1465" s="139" t="s">
        <v>88</v>
      </c>
      <c r="G1465" s="148" t="s">
        <v>2998</v>
      </c>
      <c r="H1465" s="146" t="s">
        <v>26</v>
      </c>
      <c r="I1465" s="144" t="s">
        <v>2593</v>
      </c>
    </row>
    <row r="1466" spans="1:9" ht="38.1">
      <c r="A1466" s="193">
        <v>45922</v>
      </c>
      <c r="B1466" s="145" t="s">
        <v>831</v>
      </c>
      <c r="C1466" s="150">
        <v>2025</v>
      </c>
      <c r="D1466" s="201" t="s">
        <v>1431</v>
      </c>
      <c r="E1466" s="144" t="s">
        <v>2591</v>
      </c>
      <c r="F1466" s="139" t="s">
        <v>88</v>
      </c>
      <c r="G1466" s="148" t="s">
        <v>2999</v>
      </c>
      <c r="H1466" s="146" t="s">
        <v>26</v>
      </c>
      <c r="I1466" s="144" t="s">
        <v>2593</v>
      </c>
    </row>
    <row r="1467" spans="1:9" ht="38.1">
      <c r="A1467" s="193">
        <v>45922</v>
      </c>
      <c r="B1467" s="145" t="s">
        <v>831</v>
      </c>
      <c r="C1467" s="150">
        <v>2025</v>
      </c>
      <c r="D1467" s="201" t="s">
        <v>1431</v>
      </c>
      <c r="E1467" s="144" t="s">
        <v>2591</v>
      </c>
      <c r="F1467" s="139" t="s">
        <v>88</v>
      </c>
      <c r="G1467" s="148" t="s">
        <v>3000</v>
      </c>
      <c r="H1467" s="146" t="s">
        <v>26</v>
      </c>
      <c r="I1467" s="144" t="s">
        <v>2593</v>
      </c>
    </row>
    <row r="1468" spans="1:9" ht="38.1">
      <c r="A1468" s="193">
        <v>45922</v>
      </c>
      <c r="B1468" s="145" t="s">
        <v>831</v>
      </c>
      <c r="C1468" s="150">
        <v>2025</v>
      </c>
      <c r="D1468" s="201" t="s">
        <v>1431</v>
      </c>
      <c r="E1468" s="144" t="s">
        <v>2591</v>
      </c>
      <c r="F1468" s="139" t="s">
        <v>88</v>
      </c>
      <c r="G1468" s="148" t="s">
        <v>3001</v>
      </c>
      <c r="H1468" s="146" t="s">
        <v>26</v>
      </c>
      <c r="I1468" s="144" t="s">
        <v>2593</v>
      </c>
    </row>
    <row r="1469" spans="1:9" ht="25.5">
      <c r="A1469" s="193">
        <v>45922</v>
      </c>
      <c r="B1469" s="145" t="s">
        <v>831</v>
      </c>
      <c r="C1469" s="150">
        <v>2025</v>
      </c>
      <c r="D1469" s="201" t="s">
        <v>1431</v>
      </c>
      <c r="E1469" s="144" t="s">
        <v>2591</v>
      </c>
      <c r="F1469" s="139" t="s">
        <v>88</v>
      </c>
      <c r="G1469" s="148" t="s">
        <v>3002</v>
      </c>
      <c r="H1469" s="146" t="s">
        <v>26</v>
      </c>
      <c r="I1469" s="144" t="s">
        <v>2593</v>
      </c>
    </row>
    <row r="1470" spans="1:9" ht="25.5">
      <c r="A1470" s="193">
        <v>45922</v>
      </c>
      <c r="B1470" s="145" t="s">
        <v>831</v>
      </c>
      <c r="C1470" s="150">
        <v>2025</v>
      </c>
      <c r="D1470" s="201" t="s">
        <v>1431</v>
      </c>
      <c r="E1470" s="144" t="s">
        <v>1566</v>
      </c>
      <c r="F1470" s="139" t="s">
        <v>88</v>
      </c>
      <c r="G1470" s="144" t="s">
        <v>3003</v>
      </c>
      <c r="H1470" s="146" t="s">
        <v>26</v>
      </c>
      <c r="I1470" s="144" t="s">
        <v>1588</v>
      </c>
    </row>
    <row r="1471" spans="1:9" ht="75.599999999999994">
      <c r="A1471" s="193">
        <v>45922</v>
      </c>
      <c r="B1471" s="145" t="s">
        <v>831</v>
      </c>
      <c r="C1471" s="150">
        <v>2025</v>
      </c>
      <c r="D1471" s="201" t="s">
        <v>1431</v>
      </c>
      <c r="E1471" s="144" t="s">
        <v>1566</v>
      </c>
      <c r="F1471" s="139" t="s">
        <v>88</v>
      </c>
      <c r="G1471" s="144" t="s">
        <v>3004</v>
      </c>
      <c r="H1471" s="146" t="s">
        <v>26</v>
      </c>
      <c r="I1471" s="144" t="s">
        <v>1588</v>
      </c>
    </row>
    <row r="1472" spans="1:9" ht="38.1">
      <c r="A1472" s="193">
        <v>45922</v>
      </c>
      <c r="B1472" s="145" t="s">
        <v>831</v>
      </c>
      <c r="C1472" s="150">
        <v>2025</v>
      </c>
      <c r="D1472" s="201" t="s">
        <v>1431</v>
      </c>
      <c r="E1472" s="144" t="s">
        <v>1566</v>
      </c>
      <c r="F1472" s="139" t="s">
        <v>88</v>
      </c>
      <c r="G1472" s="144" t="s">
        <v>3005</v>
      </c>
      <c r="H1472" s="146" t="s">
        <v>26</v>
      </c>
      <c r="I1472" s="144" t="s">
        <v>1588</v>
      </c>
    </row>
    <row r="1473" spans="1:9" ht="63">
      <c r="A1473" s="193">
        <v>45922</v>
      </c>
      <c r="B1473" s="145" t="s">
        <v>831</v>
      </c>
      <c r="C1473" s="150">
        <v>2025</v>
      </c>
      <c r="D1473" s="201" t="s">
        <v>1431</v>
      </c>
      <c r="E1473" s="144" t="s">
        <v>1566</v>
      </c>
      <c r="F1473" s="139" t="s">
        <v>88</v>
      </c>
      <c r="G1473" s="144" t="s">
        <v>3006</v>
      </c>
      <c r="H1473" s="146" t="s">
        <v>26</v>
      </c>
      <c r="I1473" s="144" t="s">
        <v>1588</v>
      </c>
    </row>
    <row r="1474" spans="1:9" ht="75.599999999999994">
      <c r="A1474" s="193">
        <v>45922</v>
      </c>
      <c r="B1474" s="145" t="s">
        <v>831</v>
      </c>
      <c r="C1474" s="150">
        <v>2025</v>
      </c>
      <c r="D1474" s="201" t="s">
        <v>1431</v>
      </c>
      <c r="E1474" s="144" t="s">
        <v>1566</v>
      </c>
      <c r="F1474" s="139" t="s">
        <v>88</v>
      </c>
      <c r="G1474" s="144" t="s">
        <v>3007</v>
      </c>
      <c r="H1474" s="146" t="s">
        <v>26</v>
      </c>
      <c r="I1474" s="144" t="s">
        <v>1453</v>
      </c>
    </row>
    <row r="1475" spans="1:9" ht="25.5">
      <c r="A1475" s="193">
        <v>45922</v>
      </c>
      <c r="B1475" s="145" t="s">
        <v>831</v>
      </c>
      <c r="C1475" s="150">
        <v>2025</v>
      </c>
      <c r="D1475" s="201" t="s">
        <v>1431</v>
      </c>
      <c r="E1475" s="144" t="s">
        <v>21</v>
      </c>
      <c r="F1475" s="141" t="s">
        <v>821</v>
      </c>
      <c r="G1475" s="144" t="s">
        <v>3008</v>
      </c>
      <c r="H1475" s="146" t="s">
        <v>26</v>
      </c>
      <c r="I1475" s="144" t="s">
        <v>468</v>
      </c>
    </row>
    <row r="1476" spans="1:9" ht="25.5">
      <c r="A1476" s="193">
        <v>45922</v>
      </c>
      <c r="B1476" s="145" t="s">
        <v>831</v>
      </c>
      <c r="C1476" s="150">
        <v>2025</v>
      </c>
      <c r="D1476" s="201" t="s">
        <v>1431</v>
      </c>
      <c r="E1476" s="144" t="s">
        <v>216</v>
      </c>
      <c r="F1476" s="141" t="s">
        <v>821</v>
      </c>
      <c r="G1476" s="144" t="s">
        <v>3009</v>
      </c>
      <c r="H1476" s="146" t="s">
        <v>26</v>
      </c>
      <c r="I1476" s="144" t="s">
        <v>492</v>
      </c>
    </row>
    <row r="1477" spans="1:9" ht="25.5">
      <c r="A1477" s="193">
        <v>45923</v>
      </c>
      <c r="B1477" s="145" t="s">
        <v>831</v>
      </c>
      <c r="C1477" s="150">
        <v>2025</v>
      </c>
      <c r="D1477" s="201" t="s">
        <v>1431</v>
      </c>
      <c r="E1477" s="144" t="s">
        <v>21</v>
      </c>
      <c r="F1477" s="141" t="s">
        <v>821</v>
      </c>
      <c r="G1477" s="144" t="s">
        <v>3010</v>
      </c>
      <c r="H1477" s="146" t="s">
        <v>26</v>
      </c>
      <c r="I1477" s="144" t="s">
        <v>468</v>
      </c>
    </row>
    <row r="1478" spans="1:9" ht="25.5">
      <c r="A1478" s="193">
        <v>45923</v>
      </c>
      <c r="B1478" s="145" t="s">
        <v>831</v>
      </c>
      <c r="C1478" s="150">
        <v>2025</v>
      </c>
      <c r="D1478" s="201" t="s">
        <v>1431</v>
      </c>
      <c r="E1478" s="144" t="s">
        <v>3011</v>
      </c>
      <c r="F1478" s="147" t="s">
        <v>859</v>
      </c>
      <c r="G1478" s="144" t="s">
        <v>3012</v>
      </c>
      <c r="H1478" s="146" t="s">
        <v>26</v>
      </c>
      <c r="I1478" s="144" t="s">
        <v>2599</v>
      </c>
    </row>
    <row r="1479" spans="1:9" ht="25.5">
      <c r="A1479" s="193">
        <v>45923</v>
      </c>
      <c r="B1479" s="145" t="s">
        <v>831</v>
      </c>
      <c r="C1479" s="150">
        <v>2025</v>
      </c>
      <c r="D1479" s="201" t="s">
        <v>1431</v>
      </c>
      <c r="E1479" s="144" t="s">
        <v>216</v>
      </c>
      <c r="F1479" s="141" t="s">
        <v>821</v>
      </c>
      <c r="G1479" s="144" t="s">
        <v>3013</v>
      </c>
      <c r="H1479" s="146" t="s">
        <v>26</v>
      </c>
      <c r="I1479" s="144" t="s">
        <v>492</v>
      </c>
    </row>
    <row r="1480" spans="1:9" ht="25.5">
      <c r="A1480" s="193">
        <v>45923</v>
      </c>
      <c r="B1480" s="145" t="s">
        <v>831</v>
      </c>
      <c r="C1480" s="150">
        <v>2025</v>
      </c>
      <c r="D1480" s="201" t="s">
        <v>1431</v>
      </c>
      <c r="E1480" s="144" t="s">
        <v>2591</v>
      </c>
      <c r="F1480" s="139" t="s">
        <v>88</v>
      </c>
      <c r="G1480" s="144" t="s">
        <v>3014</v>
      </c>
      <c r="H1480" s="146" t="s">
        <v>26</v>
      </c>
      <c r="I1480" s="144" t="s">
        <v>2593</v>
      </c>
    </row>
    <row r="1481" spans="1:9" ht="25.5">
      <c r="A1481" s="193">
        <v>45923</v>
      </c>
      <c r="B1481" s="145" t="s">
        <v>831</v>
      </c>
      <c r="C1481" s="150">
        <v>2025</v>
      </c>
      <c r="D1481" s="201" t="s">
        <v>1431</v>
      </c>
      <c r="E1481" s="144" t="s">
        <v>2591</v>
      </c>
      <c r="F1481" s="139" t="s">
        <v>88</v>
      </c>
      <c r="G1481" s="144" t="s">
        <v>3015</v>
      </c>
      <c r="H1481" s="146" t="s">
        <v>26</v>
      </c>
      <c r="I1481" s="144" t="s">
        <v>2593</v>
      </c>
    </row>
    <row r="1482" spans="1:9" ht="25.5">
      <c r="A1482" s="193">
        <v>45923</v>
      </c>
      <c r="B1482" s="145" t="s">
        <v>831</v>
      </c>
      <c r="C1482" s="150">
        <v>2025</v>
      </c>
      <c r="D1482" s="201" t="s">
        <v>1431</v>
      </c>
      <c r="E1482" s="144" t="s">
        <v>2591</v>
      </c>
      <c r="F1482" s="139" t="s">
        <v>88</v>
      </c>
      <c r="G1482" s="144" t="s">
        <v>3016</v>
      </c>
      <c r="H1482" s="146" t="s">
        <v>26</v>
      </c>
      <c r="I1482" s="144" t="s">
        <v>2593</v>
      </c>
    </row>
    <row r="1483" spans="1:9" ht="14.1">
      <c r="A1483" s="193">
        <v>45923</v>
      </c>
      <c r="B1483" s="145" t="s">
        <v>831</v>
      </c>
      <c r="C1483" s="150">
        <v>2025</v>
      </c>
      <c r="D1483" s="201" t="s">
        <v>1431</v>
      </c>
      <c r="E1483" s="144" t="s">
        <v>1566</v>
      </c>
      <c r="F1483" s="139" t="s">
        <v>88</v>
      </c>
      <c r="G1483" s="144" t="s">
        <v>3017</v>
      </c>
      <c r="H1483" s="146" t="s">
        <v>26</v>
      </c>
      <c r="I1483" s="144" t="s">
        <v>1453</v>
      </c>
    </row>
    <row r="1484" spans="1:9" ht="38.1">
      <c r="A1484" s="193">
        <v>45923</v>
      </c>
      <c r="B1484" s="145" t="s">
        <v>831</v>
      </c>
      <c r="C1484" s="150">
        <v>2025</v>
      </c>
      <c r="D1484" s="201" t="s">
        <v>1431</v>
      </c>
      <c r="E1484" s="144" t="s">
        <v>1566</v>
      </c>
      <c r="F1484" s="139" t="s">
        <v>88</v>
      </c>
      <c r="G1484" s="144" t="s">
        <v>3018</v>
      </c>
      <c r="H1484" s="146" t="s">
        <v>26</v>
      </c>
      <c r="I1484" s="144" t="s">
        <v>1453</v>
      </c>
    </row>
    <row r="1485" spans="1:9" ht="25.5">
      <c r="A1485" s="193">
        <v>45923</v>
      </c>
      <c r="B1485" s="145" t="s">
        <v>831</v>
      </c>
      <c r="C1485" s="150">
        <v>2025</v>
      </c>
      <c r="D1485" s="201" t="s">
        <v>1431</v>
      </c>
      <c r="E1485" s="144" t="s">
        <v>21</v>
      </c>
      <c r="F1485" s="141" t="s">
        <v>821</v>
      </c>
      <c r="G1485" s="144" t="s">
        <v>3019</v>
      </c>
      <c r="H1485" s="146" t="s">
        <v>26</v>
      </c>
      <c r="I1485" s="144" t="s">
        <v>468</v>
      </c>
    </row>
    <row r="1486" spans="1:9" ht="25.5">
      <c r="A1486" s="193">
        <v>45923</v>
      </c>
      <c r="B1486" s="145" t="s">
        <v>831</v>
      </c>
      <c r="C1486" s="150">
        <v>2025</v>
      </c>
      <c r="D1486" s="201" t="s">
        <v>1431</v>
      </c>
      <c r="E1486" s="144" t="s">
        <v>1566</v>
      </c>
      <c r="F1486" s="139" t="s">
        <v>88</v>
      </c>
      <c r="G1486" s="144" t="s">
        <v>3020</v>
      </c>
      <c r="H1486" s="146" t="s">
        <v>26</v>
      </c>
      <c r="I1486" s="144" t="s">
        <v>1453</v>
      </c>
    </row>
    <row r="1487" spans="1:9" ht="38.1">
      <c r="A1487" s="193">
        <v>45924</v>
      </c>
      <c r="B1487" s="145" t="s">
        <v>831</v>
      </c>
      <c r="C1487" s="150">
        <v>2025</v>
      </c>
      <c r="D1487" s="201" t="s">
        <v>1431</v>
      </c>
      <c r="E1487" s="144" t="s">
        <v>2244</v>
      </c>
      <c r="F1487" s="147" t="s">
        <v>859</v>
      </c>
      <c r="G1487" s="144" t="s">
        <v>3021</v>
      </c>
      <c r="H1487" s="146" t="s">
        <v>26</v>
      </c>
      <c r="I1487" s="144" t="s">
        <v>2576</v>
      </c>
    </row>
    <row r="1488" spans="1:9" ht="25.5">
      <c r="A1488" s="193">
        <v>45924</v>
      </c>
      <c r="B1488" s="145" t="s">
        <v>831</v>
      </c>
      <c r="C1488" s="150">
        <v>2025</v>
      </c>
      <c r="D1488" s="201" t="s">
        <v>1431</v>
      </c>
      <c r="E1488" s="144" t="s">
        <v>1506</v>
      </c>
      <c r="F1488" s="139" t="s">
        <v>88</v>
      </c>
      <c r="G1488" s="144" t="s">
        <v>3022</v>
      </c>
      <c r="H1488" s="146" t="s">
        <v>26</v>
      </c>
      <c r="I1488" s="144" t="s">
        <v>1904</v>
      </c>
    </row>
    <row r="1489" spans="1:9" ht="25.5">
      <c r="A1489" s="193">
        <v>45924</v>
      </c>
      <c r="B1489" s="145" t="s">
        <v>831</v>
      </c>
      <c r="C1489" s="150">
        <v>2025</v>
      </c>
      <c r="D1489" s="201" t="s">
        <v>1431</v>
      </c>
      <c r="E1489" s="144" t="s">
        <v>216</v>
      </c>
      <c r="F1489" s="141" t="s">
        <v>821</v>
      </c>
      <c r="G1489" s="144" t="s">
        <v>3023</v>
      </c>
      <c r="H1489" s="146" t="s">
        <v>26</v>
      </c>
      <c r="I1489" s="144" t="s">
        <v>492</v>
      </c>
    </row>
    <row r="1490" spans="1:9" ht="25.5">
      <c r="A1490" s="193">
        <v>45924</v>
      </c>
      <c r="B1490" s="145" t="s">
        <v>831</v>
      </c>
      <c r="C1490" s="150">
        <v>2025</v>
      </c>
      <c r="D1490" s="201" t="s">
        <v>1431</v>
      </c>
      <c r="E1490" s="144" t="s">
        <v>21</v>
      </c>
      <c r="F1490" s="141" t="s">
        <v>821</v>
      </c>
      <c r="G1490" s="144" t="s">
        <v>3024</v>
      </c>
      <c r="H1490" s="146" t="s">
        <v>26</v>
      </c>
      <c r="I1490" s="144" t="s">
        <v>468</v>
      </c>
    </row>
    <row r="1491" spans="1:9" ht="25.5">
      <c r="A1491" s="193">
        <v>45924</v>
      </c>
      <c r="B1491" s="145" t="s">
        <v>831</v>
      </c>
      <c r="C1491" s="150">
        <v>2025</v>
      </c>
      <c r="D1491" s="201" t="s">
        <v>1431</v>
      </c>
      <c r="E1491" s="144" t="s">
        <v>1508</v>
      </c>
      <c r="F1491" s="139" t="s">
        <v>88</v>
      </c>
      <c r="G1491" s="144" t="s">
        <v>3025</v>
      </c>
      <c r="H1491" s="146" t="s">
        <v>130</v>
      </c>
      <c r="I1491" s="144" t="s">
        <v>2953</v>
      </c>
    </row>
    <row r="1492" spans="1:9" ht="14.1">
      <c r="A1492" s="193">
        <v>45924</v>
      </c>
      <c r="B1492" s="145" t="s">
        <v>831</v>
      </c>
      <c r="C1492" s="150">
        <v>2025</v>
      </c>
      <c r="D1492" s="201" t="s">
        <v>1431</v>
      </c>
      <c r="E1492" s="144" t="s">
        <v>1566</v>
      </c>
      <c r="F1492" s="139" t="s">
        <v>88</v>
      </c>
      <c r="G1492" s="144" t="s">
        <v>3026</v>
      </c>
      <c r="H1492" s="146" t="s">
        <v>26</v>
      </c>
      <c r="I1492" s="144" t="s">
        <v>2786</v>
      </c>
    </row>
    <row r="1493" spans="1:9" ht="14.1">
      <c r="A1493" s="193">
        <v>45924</v>
      </c>
      <c r="B1493" s="145" t="s">
        <v>831</v>
      </c>
      <c r="C1493" s="150">
        <v>2025</v>
      </c>
      <c r="D1493" s="201" t="s">
        <v>1431</v>
      </c>
      <c r="E1493" s="144" t="s">
        <v>1566</v>
      </c>
      <c r="F1493" s="139" t="s">
        <v>88</v>
      </c>
      <c r="G1493" s="144" t="s">
        <v>3027</v>
      </c>
      <c r="H1493" s="146" t="s">
        <v>26</v>
      </c>
      <c r="I1493" s="144" t="s">
        <v>2786</v>
      </c>
    </row>
    <row r="1494" spans="1:9" ht="38.1">
      <c r="A1494" s="193">
        <v>45924</v>
      </c>
      <c r="B1494" s="145" t="s">
        <v>831</v>
      </c>
      <c r="C1494" s="150">
        <v>2025</v>
      </c>
      <c r="D1494" s="201" t="s">
        <v>1431</v>
      </c>
      <c r="E1494" s="144" t="s">
        <v>1566</v>
      </c>
      <c r="F1494" s="139" t="s">
        <v>88</v>
      </c>
      <c r="G1494" s="144" t="s">
        <v>3028</v>
      </c>
      <c r="H1494" s="146" t="s">
        <v>26</v>
      </c>
      <c r="I1494" s="144" t="s">
        <v>2786</v>
      </c>
    </row>
    <row r="1495" spans="1:9" ht="14.1">
      <c r="A1495" s="193">
        <v>45924</v>
      </c>
      <c r="B1495" s="145" t="s">
        <v>831</v>
      </c>
      <c r="C1495" s="150">
        <v>2025</v>
      </c>
      <c r="D1495" s="201" t="s">
        <v>1431</v>
      </c>
      <c r="E1495" s="144" t="s">
        <v>1566</v>
      </c>
      <c r="F1495" s="139" t="s">
        <v>88</v>
      </c>
      <c r="G1495" s="144" t="s">
        <v>3029</v>
      </c>
      <c r="H1495" s="146" t="s">
        <v>26</v>
      </c>
      <c r="I1495" s="144" t="s">
        <v>2786</v>
      </c>
    </row>
    <row r="1496" spans="1:9" ht="25.5">
      <c r="A1496" s="193">
        <v>45924</v>
      </c>
      <c r="B1496" s="145" t="s">
        <v>831</v>
      </c>
      <c r="C1496" s="150">
        <v>2025</v>
      </c>
      <c r="D1496" s="201" t="s">
        <v>1431</v>
      </c>
      <c r="E1496" s="144" t="s">
        <v>1566</v>
      </c>
      <c r="F1496" s="139" t="s">
        <v>88</v>
      </c>
      <c r="G1496" s="144" t="s">
        <v>3030</v>
      </c>
      <c r="H1496" s="146" t="s">
        <v>26</v>
      </c>
      <c r="I1496" s="144" t="s">
        <v>2786</v>
      </c>
    </row>
    <row r="1497" spans="1:9" ht="25.5">
      <c r="A1497" s="193">
        <v>45924</v>
      </c>
      <c r="B1497" s="145" t="s">
        <v>831</v>
      </c>
      <c r="C1497" s="150">
        <v>2025</v>
      </c>
      <c r="D1497" s="201" t="s">
        <v>1431</v>
      </c>
      <c r="E1497" s="144" t="s">
        <v>1566</v>
      </c>
      <c r="F1497" s="139" t="s">
        <v>88</v>
      </c>
      <c r="G1497" s="144" t="s">
        <v>3031</v>
      </c>
      <c r="H1497" s="146" t="s">
        <v>26</v>
      </c>
      <c r="I1497" s="144" t="s">
        <v>2786</v>
      </c>
    </row>
    <row r="1498" spans="1:9" ht="25.5">
      <c r="A1498" s="193">
        <v>45924</v>
      </c>
      <c r="B1498" s="145" t="s">
        <v>831</v>
      </c>
      <c r="C1498" s="150">
        <v>2025</v>
      </c>
      <c r="D1498" s="201" t="s">
        <v>1431</v>
      </c>
      <c r="E1498" s="144" t="s">
        <v>1566</v>
      </c>
      <c r="F1498" s="139" t="s">
        <v>88</v>
      </c>
      <c r="G1498" s="144" t="s">
        <v>3030</v>
      </c>
      <c r="H1498" s="146" t="s">
        <v>26</v>
      </c>
      <c r="I1498" s="144" t="s">
        <v>2786</v>
      </c>
    </row>
    <row r="1499" spans="1:9" ht="25.5">
      <c r="A1499" s="193">
        <v>45924</v>
      </c>
      <c r="B1499" s="145" t="s">
        <v>831</v>
      </c>
      <c r="C1499" s="150">
        <v>2025</v>
      </c>
      <c r="D1499" s="201" t="s">
        <v>2224</v>
      </c>
      <c r="E1499" s="144" t="s">
        <v>216</v>
      </c>
      <c r="F1499" s="141" t="s">
        <v>821</v>
      </c>
      <c r="G1499" s="144" t="s">
        <v>3032</v>
      </c>
      <c r="H1499" s="146" t="s">
        <v>26</v>
      </c>
      <c r="I1499" s="144" t="s">
        <v>492</v>
      </c>
    </row>
    <row r="1500" spans="1:9" ht="14.1">
      <c r="A1500" s="193">
        <v>45924</v>
      </c>
      <c r="B1500" s="145" t="s">
        <v>831</v>
      </c>
      <c r="C1500" s="150">
        <v>2025</v>
      </c>
      <c r="D1500" s="201" t="s">
        <v>2224</v>
      </c>
      <c r="E1500" s="144" t="s">
        <v>21</v>
      </c>
      <c r="F1500" s="141" t="s">
        <v>821</v>
      </c>
      <c r="G1500" s="144" t="s">
        <v>3033</v>
      </c>
      <c r="H1500" s="146" t="s">
        <v>26</v>
      </c>
      <c r="I1500" s="144" t="s">
        <v>468</v>
      </c>
    </row>
    <row r="1501" spans="1:9" ht="63">
      <c r="A1501" s="193">
        <v>45924</v>
      </c>
      <c r="B1501" s="145" t="s">
        <v>831</v>
      </c>
      <c r="C1501" s="150">
        <v>2025</v>
      </c>
      <c r="D1501" s="201" t="s">
        <v>2224</v>
      </c>
      <c r="E1501" s="144" t="s">
        <v>21</v>
      </c>
      <c r="F1501" s="141" t="s">
        <v>821</v>
      </c>
      <c r="G1501" s="144" t="s">
        <v>3034</v>
      </c>
      <c r="H1501" s="146" t="s">
        <v>130</v>
      </c>
      <c r="I1501" s="144" t="s">
        <v>149</v>
      </c>
    </row>
    <row r="1502" spans="1:9" ht="25.5">
      <c r="A1502" s="193">
        <v>45925</v>
      </c>
      <c r="B1502" s="145" t="s">
        <v>831</v>
      </c>
      <c r="C1502" s="150">
        <v>2025</v>
      </c>
      <c r="D1502" s="201" t="s">
        <v>1431</v>
      </c>
      <c r="E1502" s="144" t="s">
        <v>2591</v>
      </c>
      <c r="F1502" s="139" t="s">
        <v>88</v>
      </c>
      <c r="G1502" s="144" t="s">
        <v>3035</v>
      </c>
      <c r="H1502" s="146" t="s">
        <v>26</v>
      </c>
      <c r="I1502" s="144" t="s">
        <v>2593</v>
      </c>
    </row>
    <row r="1503" spans="1:9" ht="25.5">
      <c r="A1503" s="193">
        <v>45925</v>
      </c>
      <c r="B1503" s="145" t="s">
        <v>831</v>
      </c>
      <c r="C1503" s="150">
        <v>2025</v>
      </c>
      <c r="D1503" s="201" t="s">
        <v>1431</v>
      </c>
      <c r="E1503" s="144" t="s">
        <v>2591</v>
      </c>
      <c r="F1503" s="139" t="s">
        <v>88</v>
      </c>
      <c r="G1503" s="148" t="s">
        <v>3036</v>
      </c>
      <c r="H1503" s="146" t="s">
        <v>26</v>
      </c>
      <c r="I1503" s="144" t="s">
        <v>2593</v>
      </c>
    </row>
    <row r="1504" spans="1:9" ht="25.5">
      <c r="A1504" s="193">
        <v>45925</v>
      </c>
      <c r="B1504" s="145" t="s">
        <v>831</v>
      </c>
      <c r="C1504" s="150">
        <v>2025</v>
      </c>
      <c r="D1504" s="201" t="s">
        <v>1431</v>
      </c>
      <c r="E1504" s="144" t="s">
        <v>2591</v>
      </c>
      <c r="F1504" s="139" t="s">
        <v>88</v>
      </c>
      <c r="G1504" s="148" t="s">
        <v>3037</v>
      </c>
      <c r="H1504" s="146" t="s">
        <v>26</v>
      </c>
      <c r="I1504" s="144" t="s">
        <v>2593</v>
      </c>
    </row>
    <row r="1505" spans="1:9" ht="25.5">
      <c r="A1505" s="193">
        <v>45925</v>
      </c>
      <c r="B1505" s="145" t="s">
        <v>831</v>
      </c>
      <c r="C1505" s="150">
        <v>2025</v>
      </c>
      <c r="D1505" s="201" t="s">
        <v>1431</v>
      </c>
      <c r="E1505" s="144" t="s">
        <v>2591</v>
      </c>
      <c r="F1505" s="139" t="s">
        <v>88</v>
      </c>
      <c r="G1505" s="148" t="s">
        <v>3038</v>
      </c>
      <c r="H1505" s="146" t="s">
        <v>26</v>
      </c>
      <c r="I1505" s="144" t="s">
        <v>2593</v>
      </c>
    </row>
    <row r="1506" spans="1:9" ht="25.5">
      <c r="A1506" s="193">
        <v>45925</v>
      </c>
      <c r="B1506" s="145" t="s">
        <v>831</v>
      </c>
      <c r="C1506" s="150">
        <v>2025</v>
      </c>
      <c r="D1506" s="201" t="s">
        <v>1431</v>
      </c>
      <c r="E1506" s="144" t="s">
        <v>2591</v>
      </c>
      <c r="F1506" s="139" t="s">
        <v>88</v>
      </c>
      <c r="G1506" s="148" t="s">
        <v>3039</v>
      </c>
      <c r="H1506" s="146" t="s">
        <v>26</v>
      </c>
      <c r="I1506" s="144" t="s">
        <v>2593</v>
      </c>
    </row>
    <row r="1507" spans="1:9" ht="25.5">
      <c r="A1507" s="193">
        <v>45925</v>
      </c>
      <c r="B1507" s="145" t="s">
        <v>831</v>
      </c>
      <c r="C1507" s="150">
        <v>2025</v>
      </c>
      <c r="D1507" s="201" t="s">
        <v>1431</v>
      </c>
      <c r="E1507" s="144" t="s">
        <v>2591</v>
      </c>
      <c r="F1507" s="139" t="s">
        <v>88</v>
      </c>
      <c r="G1507" s="148" t="s">
        <v>3040</v>
      </c>
      <c r="H1507" s="146" t="s">
        <v>26</v>
      </c>
      <c r="I1507" s="144" t="s">
        <v>2593</v>
      </c>
    </row>
    <row r="1508" spans="1:9" ht="25.5">
      <c r="A1508" s="193">
        <v>45925</v>
      </c>
      <c r="B1508" s="145" t="s">
        <v>831</v>
      </c>
      <c r="C1508" s="150">
        <v>2025</v>
      </c>
      <c r="D1508" s="201" t="s">
        <v>1431</v>
      </c>
      <c r="E1508" s="144" t="s">
        <v>2591</v>
      </c>
      <c r="F1508" s="139" t="s">
        <v>88</v>
      </c>
      <c r="G1508" s="148" t="s">
        <v>3041</v>
      </c>
      <c r="H1508" s="146" t="s">
        <v>26</v>
      </c>
      <c r="I1508" s="144" t="s">
        <v>2593</v>
      </c>
    </row>
    <row r="1509" spans="1:9" ht="25.5">
      <c r="A1509" s="193">
        <v>45925</v>
      </c>
      <c r="B1509" s="145" t="s">
        <v>831</v>
      </c>
      <c r="C1509" s="150">
        <v>2025</v>
      </c>
      <c r="D1509" s="201" t="s">
        <v>1431</v>
      </c>
      <c r="E1509" s="144" t="s">
        <v>2591</v>
      </c>
      <c r="F1509" s="139" t="s">
        <v>88</v>
      </c>
      <c r="G1509" s="148" t="s">
        <v>3042</v>
      </c>
      <c r="H1509" s="146" t="s">
        <v>26</v>
      </c>
      <c r="I1509" s="144" t="s">
        <v>2593</v>
      </c>
    </row>
    <row r="1510" spans="1:9" ht="25.5">
      <c r="A1510" s="193">
        <v>45925</v>
      </c>
      <c r="B1510" s="145" t="s">
        <v>831</v>
      </c>
      <c r="C1510" s="150">
        <v>2025</v>
      </c>
      <c r="D1510" s="201" t="s">
        <v>1431</v>
      </c>
      <c r="E1510" s="144" t="s">
        <v>1566</v>
      </c>
      <c r="F1510" s="139" t="s">
        <v>88</v>
      </c>
      <c r="G1510" s="144" t="s">
        <v>3043</v>
      </c>
      <c r="H1510" s="146" t="s">
        <v>26</v>
      </c>
      <c r="I1510" s="144" t="s">
        <v>2593</v>
      </c>
    </row>
    <row r="1511" spans="1:9" ht="25.5">
      <c r="A1511" s="193">
        <v>45926</v>
      </c>
      <c r="B1511" s="145" t="s">
        <v>831</v>
      </c>
      <c r="C1511" s="150">
        <v>2025</v>
      </c>
      <c r="D1511" s="201" t="s">
        <v>1431</v>
      </c>
      <c r="E1511" s="144" t="s">
        <v>3011</v>
      </c>
      <c r="F1511" s="147" t="s">
        <v>859</v>
      </c>
      <c r="G1511" s="144" t="s">
        <v>3044</v>
      </c>
      <c r="H1511" s="146" t="s">
        <v>130</v>
      </c>
      <c r="I1511" s="144" t="s">
        <v>1904</v>
      </c>
    </row>
    <row r="1512" spans="1:9" ht="25.5">
      <c r="A1512" s="193">
        <v>45926</v>
      </c>
      <c r="B1512" s="145" t="s">
        <v>831</v>
      </c>
      <c r="C1512" s="150">
        <v>2025</v>
      </c>
      <c r="D1512" s="201" t="s">
        <v>1431</v>
      </c>
      <c r="E1512" s="144" t="s">
        <v>216</v>
      </c>
      <c r="F1512" s="141" t="s">
        <v>821</v>
      </c>
      <c r="G1512" s="144" t="s">
        <v>3045</v>
      </c>
      <c r="H1512" s="146" t="s">
        <v>5511</v>
      </c>
      <c r="I1512" s="144" t="s">
        <v>492</v>
      </c>
    </row>
    <row r="1513" spans="1:9" ht="25.5">
      <c r="A1513" s="193">
        <v>45926</v>
      </c>
      <c r="B1513" s="145" t="s">
        <v>831</v>
      </c>
      <c r="C1513" s="150">
        <v>2025</v>
      </c>
      <c r="D1513" s="201" t="s">
        <v>1431</v>
      </c>
      <c r="E1513" s="144" t="s">
        <v>216</v>
      </c>
      <c r="F1513" s="141" t="s">
        <v>821</v>
      </c>
      <c r="G1513" s="144" t="s">
        <v>3046</v>
      </c>
      <c r="H1513" s="146" t="s">
        <v>26</v>
      </c>
      <c r="I1513" s="144" t="s">
        <v>492</v>
      </c>
    </row>
    <row r="1514" spans="1:9" ht="75.599999999999994">
      <c r="A1514" s="193">
        <v>45926</v>
      </c>
      <c r="B1514" s="145" t="s">
        <v>831</v>
      </c>
      <c r="C1514" s="150">
        <v>2025</v>
      </c>
      <c r="D1514" s="201" t="s">
        <v>1431</v>
      </c>
      <c r="E1514" s="144" t="s">
        <v>2591</v>
      </c>
      <c r="F1514" s="139" t="s">
        <v>88</v>
      </c>
      <c r="G1514" s="144" t="s">
        <v>3047</v>
      </c>
      <c r="H1514" s="146" t="s">
        <v>26</v>
      </c>
      <c r="I1514" s="144" t="s">
        <v>2593</v>
      </c>
    </row>
    <row r="1515" spans="1:9" ht="125.45">
      <c r="A1515" s="193">
        <v>45926</v>
      </c>
      <c r="B1515" s="145" t="s">
        <v>831</v>
      </c>
      <c r="C1515" s="150">
        <v>2025</v>
      </c>
      <c r="D1515" s="201" t="s">
        <v>1431</v>
      </c>
      <c r="E1515" s="144" t="s">
        <v>2591</v>
      </c>
      <c r="F1515" s="139" t="s">
        <v>88</v>
      </c>
      <c r="G1515" s="148" t="s">
        <v>3048</v>
      </c>
      <c r="H1515" s="146" t="s">
        <v>26</v>
      </c>
      <c r="I1515" s="144" t="s">
        <v>2593</v>
      </c>
    </row>
    <row r="1516" spans="1:9" ht="75.599999999999994">
      <c r="A1516" s="193">
        <v>45926</v>
      </c>
      <c r="B1516" s="145" t="s">
        <v>831</v>
      </c>
      <c r="C1516" s="150">
        <v>2025</v>
      </c>
      <c r="D1516" s="201" t="s">
        <v>1431</v>
      </c>
      <c r="E1516" s="144" t="s">
        <v>2591</v>
      </c>
      <c r="F1516" s="139" t="s">
        <v>88</v>
      </c>
      <c r="G1516" s="148" t="s">
        <v>3049</v>
      </c>
      <c r="H1516" s="146" t="s">
        <v>26</v>
      </c>
      <c r="I1516" s="144" t="s">
        <v>2593</v>
      </c>
    </row>
    <row r="1517" spans="1:9" ht="75.599999999999994">
      <c r="A1517" s="193">
        <v>45926</v>
      </c>
      <c r="B1517" s="145" t="s">
        <v>831</v>
      </c>
      <c r="C1517" s="150">
        <v>2025</v>
      </c>
      <c r="D1517" s="201" t="s">
        <v>1431</v>
      </c>
      <c r="E1517" s="144" t="s">
        <v>2591</v>
      </c>
      <c r="F1517" s="139" t="s">
        <v>88</v>
      </c>
      <c r="G1517" s="148" t="s">
        <v>3050</v>
      </c>
      <c r="H1517" s="146" t="s">
        <v>26</v>
      </c>
      <c r="I1517" s="144" t="s">
        <v>2593</v>
      </c>
    </row>
    <row r="1518" spans="1:9" ht="38.1">
      <c r="A1518" s="193">
        <v>45926</v>
      </c>
      <c r="B1518" s="145" t="s">
        <v>831</v>
      </c>
      <c r="C1518" s="150">
        <v>2025</v>
      </c>
      <c r="D1518" s="201" t="s">
        <v>2224</v>
      </c>
      <c r="E1518" s="144" t="s">
        <v>3011</v>
      </c>
      <c r="F1518" s="147" t="s">
        <v>859</v>
      </c>
      <c r="G1518" s="144" t="s">
        <v>3051</v>
      </c>
      <c r="H1518" s="146" t="s">
        <v>26</v>
      </c>
      <c r="I1518" s="144" t="s">
        <v>2568</v>
      </c>
    </row>
    <row r="1519" spans="1:9" ht="25.5">
      <c r="A1519" s="193">
        <v>45926</v>
      </c>
      <c r="B1519" s="145" t="s">
        <v>831</v>
      </c>
      <c r="C1519" s="150">
        <v>2025</v>
      </c>
      <c r="D1519" s="201" t="s">
        <v>2224</v>
      </c>
      <c r="E1519" s="144" t="s">
        <v>2535</v>
      </c>
      <c r="F1519" s="139" t="s">
        <v>88</v>
      </c>
      <c r="G1519" s="144" t="s">
        <v>3052</v>
      </c>
      <c r="H1519" s="146" t="s">
        <v>26</v>
      </c>
      <c r="I1519" s="144" t="s">
        <v>2568</v>
      </c>
    </row>
    <row r="1520" spans="1:9" ht="25.5">
      <c r="A1520" s="193">
        <v>45926</v>
      </c>
      <c r="B1520" s="145" t="s">
        <v>831</v>
      </c>
      <c r="C1520" s="150">
        <v>2025</v>
      </c>
      <c r="D1520" s="201" t="s">
        <v>2224</v>
      </c>
      <c r="E1520" s="144" t="s">
        <v>2591</v>
      </c>
      <c r="F1520" s="139" t="s">
        <v>88</v>
      </c>
      <c r="G1520" s="144" t="s">
        <v>3053</v>
      </c>
      <c r="H1520" s="146" t="s">
        <v>26</v>
      </c>
      <c r="I1520" s="144" t="s">
        <v>2593</v>
      </c>
    </row>
    <row r="1521" spans="1:9" ht="25.5">
      <c r="A1521" s="193">
        <v>45929</v>
      </c>
      <c r="B1521" s="145" t="s">
        <v>831</v>
      </c>
      <c r="C1521" s="150">
        <v>2025</v>
      </c>
      <c r="D1521" s="201" t="s">
        <v>1431</v>
      </c>
      <c r="E1521" s="144" t="s">
        <v>3011</v>
      </c>
      <c r="F1521" s="147" t="s">
        <v>859</v>
      </c>
      <c r="G1521" s="144" t="s">
        <v>3054</v>
      </c>
      <c r="H1521" s="146" t="s">
        <v>130</v>
      </c>
      <c r="I1521" s="144" t="s">
        <v>2599</v>
      </c>
    </row>
    <row r="1522" spans="1:9" ht="14.1">
      <c r="A1522" s="193">
        <v>45929</v>
      </c>
      <c r="B1522" s="145" t="s">
        <v>831</v>
      </c>
      <c r="C1522" s="150">
        <v>2025</v>
      </c>
      <c r="D1522" s="201" t="s">
        <v>1431</v>
      </c>
      <c r="E1522" s="144" t="s">
        <v>1506</v>
      </c>
      <c r="F1522" s="139" t="s">
        <v>88</v>
      </c>
      <c r="G1522" s="144" t="s">
        <v>3055</v>
      </c>
      <c r="H1522" s="146" t="s">
        <v>130</v>
      </c>
      <c r="I1522" s="144" t="s">
        <v>1904</v>
      </c>
    </row>
    <row r="1523" spans="1:9" ht="25.5">
      <c r="A1523" s="193">
        <v>45929</v>
      </c>
      <c r="B1523" s="145" t="s">
        <v>831</v>
      </c>
      <c r="C1523" s="150">
        <v>2025</v>
      </c>
      <c r="D1523" s="201" t="s">
        <v>1431</v>
      </c>
      <c r="E1523" s="144" t="s">
        <v>1506</v>
      </c>
      <c r="F1523" s="139" t="s">
        <v>88</v>
      </c>
      <c r="G1523" s="144" t="s">
        <v>3056</v>
      </c>
      <c r="H1523" s="146" t="s">
        <v>26</v>
      </c>
      <c r="I1523" s="144" t="s">
        <v>1904</v>
      </c>
    </row>
    <row r="1524" spans="1:9" ht="25.5">
      <c r="A1524" s="193">
        <v>45929</v>
      </c>
      <c r="B1524" s="145" t="s">
        <v>831</v>
      </c>
      <c r="C1524" s="150">
        <v>2025</v>
      </c>
      <c r="D1524" s="201" t="s">
        <v>1431</v>
      </c>
      <c r="E1524" s="144" t="s">
        <v>1506</v>
      </c>
      <c r="F1524" s="139" t="s">
        <v>88</v>
      </c>
      <c r="G1524" s="144" t="s">
        <v>3057</v>
      </c>
      <c r="H1524" s="146" t="s">
        <v>26</v>
      </c>
      <c r="I1524" s="144" t="s">
        <v>1904</v>
      </c>
    </row>
    <row r="1525" spans="1:9" ht="25.5">
      <c r="A1525" s="193">
        <v>45929</v>
      </c>
      <c r="B1525" s="145" t="s">
        <v>831</v>
      </c>
      <c r="C1525" s="150">
        <v>2025</v>
      </c>
      <c r="D1525" s="201" t="s">
        <v>1431</v>
      </c>
      <c r="E1525" s="144" t="s">
        <v>1506</v>
      </c>
      <c r="F1525" s="139" t="s">
        <v>88</v>
      </c>
      <c r="G1525" s="144" t="s">
        <v>3058</v>
      </c>
      <c r="H1525" s="146" t="s">
        <v>26</v>
      </c>
      <c r="I1525" s="144" t="s">
        <v>1904</v>
      </c>
    </row>
    <row r="1526" spans="1:9" ht="25.5">
      <c r="A1526" s="193">
        <v>45929</v>
      </c>
      <c r="B1526" s="145" t="s">
        <v>831</v>
      </c>
      <c r="C1526" s="150">
        <v>2025</v>
      </c>
      <c r="D1526" s="201" t="s">
        <v>1431</v>
      </c>
      <c r="E1526" s="144" t="s">
        <v>216</v>
      </c>
      <c r="F1526" s="141" t="s">
        <v>821</v>
      </c>
      <c r="G1526" s="144" t="s">
        <v>3059</v>
      </c>
      <c r="H1526" s="146" t="s">
        <v>26</v>
      </c>
      <c r="I1526" s="144" t="s">
        <v>492</v>
      </c>
    </row>
    <row r="1527" spans="1:9" ht="14.1">
      <c r="A1527" s="193">
        <v>45929</v>
      </c>
      <c r="B1527" s="145" t="s">
        <v>831</v>
      </c>
      <c r="C1527" s="150">
        <v>2025</v>
      </c>
      <c r="D1527" s="201" t="s">
        <v>1431</v>
      </c>
      <c r="E1527" s="144" t="s">
        <v>21</v>
      </c>
      <c r="F1527" s="141" t="s">
        <v>821</v>
      </c>
      <c r="G1527" s="144" t="s">
        <v>3060</v>
      </c>
      <c r="H1527" s="146" t="s">
        <v>26</v>
      </c>
      <c r="I1527" s="144" t="s">
        <v>468</v>
      </c>
    </row>
    <row r="1528" spans="1:9" ht="25.5">
      <c r="A1528" s="193">
        <v>45929</v>
      </c>
      <c r="B1528" s="145" t="s">
        <v>831</v>
      </c>
      <c r="C1528" s="150">
        <v>2025</v>
      </c>
      <c r="D1528" s="201" t="s">
        <v>1431</v>
      </c>
      <c r="E1528" s="144" t="s">
        <v>2591</v>
      </c>
      <c r="F1528" s="139" t="s">
        <v>88</v>
      </c>
      <c r="G1528" s="144" t="s">
        <v>3061</v>
      </c>
      <c r="H1528" s="146" t="s">
        <v>26</v>
      </c>
      <c r="I1528" s="144" t="s">
        <v>2593</v>
      </c>
    </row>
    <row r="1529" spans="1:9" ht="25.5">
      <c r="A1529" s="193">
        <v>45929</v>
      </c>
      <c r="B1529" s="145" t="s">
        <v>831</v>
      </c>
      <c r="C1529" s="150">
        <v>2025</v>
      </c>
      <c r="D1529" s="201" t="s">
        <v>1431</v>
      </c>
      <c r="E1529" s="144" t="s">
        <v>2591</v>
      </c>
      <c r="F1529" s="139" t="s">
        <v>88</v>
      </c>
      <c r="G1529" s="144" t="s">
        <v>3062</v>
      </c>
      <c r="H1529" s="146" t="s">
        <v>26</v>
      </c>
      <c r="I1529" s="144" t="s">
        <v>2593</v>
      </c>
    </row>
    <row r="1530" spans="1:9" ht="200.45">
      <c r="A1530" s="193">
        <v>45929</v>
      </c>
      <c r="B1530" s="145" t="s">
        <v>831</v>
      </c>
      <c r="C1530" s="150">
        <v>2025</v>
      </c>
      <c r="D1530" s="201" t="s">
        <v>1431</v>
      </c>
      <c r="E1530" s="144" t="s">
        <v>2591</v>
      </c>
      <c r="F1530" s="139" t="s">
        <v>88</v>
      </c>
      <c r="G1530" s="144" t="s">
        <v>3063</v>
      </c>
      <c r="H1530" s="146" t="s">
        <v>26</v>
      </c>
      <c r="I1530" s="144" t="s">
        <v>2593</v>
      </c>
    </row>
    <row r="1531" spans="1:9" ht="14.1">
      <c r="A1531" s="193">
        <v>45929</v>
      </c>
      <c r="B1531" s="145" t="s">
        <v>831</v>
      </c>
      <c r="C1531" s="150">
        <v>2025</v>
      </c>
      <c r="D1531" s="201" t="s">
        <v>1431</v>
      </c>
      <c r="E1531" s="144" t="s">
        <v>2591</v>
      </c>
      <c r="F1531" s="139" t="s">
        <v>88</v>
      </c>
      <c r="G1531" s="144" t="s">
        <v>3064</v>
      </c>
      <c r="H1531" s="146" t="s">
        <v>26</v>
      </c>
      <c r="I1531" s="144" t="s">
        <v>2593</v>
      </c>
    </row>
    <row r="1532" spans="1:9" ht="38.1">
      <c r="A1532" s="193">
        <v>45929</v>
      </c>
      <c r="B1532" s="145" t="s">
        <v>831</v>
      </c>
      <c r="C1532" s="150">
        <v>2025</v>
      </c>
      <c r="D1532" s="201" t="s">
        <v>1431</v>
      </c>
      <c r="E1532" s="144" t="s">
        <v>2591</v>
      </c>
      <c r="F1532" s="139" t="s">
        <v>88</v>
      </c>
      <c r="G1532" s="144" t="s">
        <v>3065</v>
      </c>
      <c r="H1532" s="146" t="s">
        <v>26</v>
      </c>
      <c r="I1532" s="144" t="s">
        <v>2593</v>
      </c>
    </row>
    <row r="1533" spans="1:9" ht="38.1">
      <c r="A1533" s="193">
        <v>45929</v>
      </c>
      <c r="B1533" s="145" t="s">
        <v>831</v>
      </c>
      <c r="C1533" s="150">
        <v>2025</v>
      </c>
      <c r="D1533" s="201" t="s">
        <v>1431</v>
      </c>
      <c r="E1533" s="144" t="s">
        <v>2591</v>
      </c>
      <c r="F1533" s="139" t="s">
        <v>88</v>
      </c>
      <c r="G1533" s="144" t="s">
        <v>3066</v>
      </c>
      <c r="H1533" s="146" t="s">
        <v>26</v>
      </c>
      <c r="I1533" s="144" t="s">
        <v>2593</v>
      </c>
    </row>
    <row r="1534" spans="1:9" ht="25.5">
      <c r="A1534" s="193">
        <v>45929</v>
      </c>
      <c r="B1534" s="145" t="s">
        <v>831</v>
      </c>
      <c r="C1534" s="150">
        <v>2025</v>
      </c>
      <c r="D1534" s="201" t="s">
        <v>1431</v>
      </c>
      <c r="E1534" s="144" t="s">
        <v>1566</v>
      </c>
      <c r="F1534" s="139" t="s">
        <v>88</v>
      </c>
      <c r="G1534" s="144" t="s">
        <v>3067</v>
      </c>
      <c r="H1534" s="146" t="s">
        <v>26</v>
      </c>
      <c r="I1534" s="144" t="s">
        <v>1588</v>
      </c>
    </row>
    <row r="1535" spans="1:9" ht="14.1">
      <c r="A1535" s="193">
        <v>45929</v>
      </c>
      <c r="B1535" s="145" t="s">
        <v>831</v>
      </c>
      <c r="C1535" s="150">
        <v>2025</v>
      </c>
      <c r="D1535" s="201" t="s">
        <v>1431</v>
      </c>
      <c r="E1535" s="144" t="s">
        <v>1566</v>
      </c>
      <c r="F1535" s="139" t="s">
        <v>88</v>
      </c>
      <c r="G1535" s="144" t="s">
        <v>3068</v>
      </c>
      <c r="H1535" s="146" t="s">
        <v>26</v>
      </c>
      <c r="I1535" s="144" t="s">
        <v>1588</v>
      </c>
    </row>
    <row r="1536" spans="1:9" ht="138">
      <c r="A1536" s="193">
        <v>45929</v>
      </c>
      <c r="B1536" s="145" t="s">
        <v>831</v>
      </c>
      <c r="C1536" s="150">
        <v>2025</v>
      </c>
      <c r="D1536" s="201" t="s">
        <v>1431</v>
      </c>
      <c r="E1536" s="144" t="s">
        <v>1566</v>
      </c>
      <c r="F1536" s="139" t="s">
        <v>88</v>
      </c>
      <c r="G1536" s="144" t="s">
        <v>3069</v>
      </c>
      <c r="H1536" s="146" t="s">
        <v>26</v>
      </c>
      <c r="I1536" s="144" t="s">
        <v>1588</v>
      </c>
    </row>
    <row r="1537" spans="1:9" ht="75.599999999999994">
      <c r="A1537" s="193">
        <v>45929</v>
      </c>
      <c r="B1537" s="145" t="s">
        <v>831</v>
      </c>
      <c r="C1537" s="150">
        <v>2025</v>
      </c>
      <c r="D1537" s="201" t="s">
        <v>1431</v>
      </c>
      <c r="E1537" s="144" t="s">
        <v>1566</v>
      </c>
      <c r="F1537" s="139" t="s">
        <v>88</v>
      </c>
      <c r="G1537" s="144" t="s">
        <v>3070</v>
      </c>
      <c r="H1537" s="146" t="s">
        <v>26</v>
      </c>
      <c r="I1537" s="144" t="s">
        <v>1588</v>
      </c>
    </row>
    <row r="1538" spans="1:9" ht="50.45">
      <c r="A1538" s="193">
        <v>45929</v>
      </c>
      <c r="B1538" s="145" t="s">
        <v>831</v>
      </c>
      <c r="C1538" s="150">
        <v>2025</v>
      </c>
      <c r="D1538" s="201" t="s">
        <v>1431</v>
      </c>
      <c r="E1538" s="144" t="s">
        <v>1566</v>
      </c>
      <c r="F1538" s="139" t="s">
        <v>88</v>
      </c>
      <c r="G1538" s="144" t="s">
        <v>3071</v>
      </c>
      <c r="H1538" s="146" t="s">
        <v>26</v>
      </c>
      <c r="I1538" s="144" t="s">
        <v>1588</v>
      </c>
    </row>
    <row r="1539" spans="1:9" ht="125.45">
      <c r="A1539" s="193">
        <v>45929</v>
      </c>
      <c r="B1539" s="145" t="s">
        <v>831</v>
      </c>
      <c r="C1539" s="150">
        <v>2025</v>
      </c>
      <c r="D1539" s="201" t="s">
        <v>1431</v>
      </c>
      <c r="E1539" s="144" t="s">
        <v>1566</v>
      </c>
      <c r="F1539" s="139" t="s">
        <v>88</v>
      </c>
      <c r="G1539" s="144" t="s">
        <v>3072</v>
      </c>
      <c r="H1539" s="146" t="s">
        <v>26</v>
      </c>
      <c r="I1539" s="144" t="s">
        <v>1588</v>
      </c>
    </row>
    <row r="1540" spans="1:9" ht="25.5">
      <c r="A1540" s="193">
        <v>45929</v>
      </c>
      <c r="B1540" s="145" t="s">
        <v>831</v>
      </c>
      <c r="C1540" s="150">
        <v>2025</v>
      </c>
      <c r="D1540" s="201" t="s">
        <v>1431</v>
      </c>
      <c r="E1540" s="144" t="s">
        <v>1608</v>
      </c>
      <c r="F1540" s="140" t="s">
        <v>1439</v>
      </c>
      <c r="G1540" s="144" t="s">
        <v>3073</v>
      </c>
      <c r="H1540" s="146" t="s">
        <v>26</v>
      </c>
      <c r="I1540" s="144" t="s">
        <v>1458</v>
      </c>
    </row>
    <row r="1541" spans="1:9" ht="25.5">
      <c r="A1541" s="193">
        <v>45929</v>
      </c>
      <c r="B1541" s="145" t="s">
        <v>831</v>
      </c>
      <c r="C1541" s="150">
        <v>2025</v>
      </c>
      <c r="D1541" s="201" t="s">
        <v>1431</v>
      </c>
      <c r="E1541" s="144" t="s">
        <v>1608</v>
      </c>
      <c r="F1541" s="140" t="s">
        <v>1439</v>
      </c>
      <c r="G1541" s="144" t="s">
        <v>3074</v>
      </c>
      <c r="H1541" s="146" t="s">
        <v>26</v>
      </c>
      <c r="I1541" s="144" t="s">
        <v>1458</v>
      </c>
    </row>
    <row r="1542" spans="1:9" ht="25.5">
      <c r="A1542" s="193">
        <v>45929</v>
      </c>
      <c r="B1542" s="145" t="s">
        <v>831</v>
      </c>
      <c r="C1542" s="150">
        <v>2025</v>
      </c>
      <c r="D1542" s="201" t="s">
        <v>1431</v>
      </c>
      <c r="E1542" s="144" t="s">
        <v>1608</v>
      </c>
      <c r="F1542" s="140" t="s">
        <v>1439</v>
      </c>
      <c r="G1542" s="144" t="s">
        <v>3075</v>
      </c>
      <c r="H1542" s="146" t="s">
        <v>26</v>
      </c>
      <c r="I1542" s="144" t="s">
        <v>1458</v>
      </c>
    </row>
    <row r="1543" spans="1:9" ht="25.5">
      <c r="A1543" s="193">
        <v>45929</v>
      </c>
      <c r="B1543" s="145" t="s">
        <v>831</v>
      </c>
      <c r="C1543" s="150">
        <v>2025</v>
      </c>
      <c r="D1543" s="201" t="s">
        <v>2224</v>
      </c>
      <c r="E1543" s="144" t="s">
        <v>1566</v>
      </c>
      <c r="F1543" s="139" t="s">
        <v>88</v>
      </c>
      <c r="G1543" s="144" t="s">
        <v>3076</v>
      </c>
      <c r="H1543" s="146" t="s">
        <v>26</v>
      </c>
      <c r="I1543" s="144" t="s">
        <v>1588</v>
      </c>
    </row>
    <row r="1544" spans="1:9" ht="25.5">
      <c r="A1544" s="193">
        <v>45930</v>
      </c>
      <c r="B1544" s="145" t="s">
        <v>831</v>
      </c>
      <c r="C1544" s="150">
        <v>2025</v>
      </c>
      <c r="D1544" s="201" t="s">
        <v>1431</v>
      </c>
      <c r="E1544" s="144" t="s">
        <v>2347</v>
      </c>
      <c r="F1544" s="147" t="s">
        <v>859</v>
      </c>
      <c r="G1544" s="144" t="s">
        <v>3077</v>
      </c>
      <c r="H1544" s="146" t="s">
        <v>130</v>
      </c>
      <c r="I1544" s="144" t="s">
        <v>3078</v>
      </c>
    </row>
    <row r="1545" spans="1:9" ht="14.1">
      <c r="A1545" s="193">
        <v>45930</v>
      </c>
      <c r="B1545" s="145" t="s">
        <v>831</v>
      </c>
      <c r="C1545" s="150">
        <v>2025</v>
      </c>
      <c r="D1545" s="201" t="s">
        <v>1431</v>
      </c>
      <c r="E1545" s="144" t="s">
        <v>2591</v>
      </c>
      <c r="F1545" s="139" t="s">
        <v>88</v>
      </c>
      <c r="G1545" s="144" t="s">
        <v>3079</v>
      </c>
      <c r="H1545" s="146" t="s">
        <v>26</v>
      </c>
      <c r="I1545" s="144" t="s">
        <v>2593</v>
      </c>
    </row>
    <row r="1546" spans="1:9" ht="38.1">
      <c r="A1546" s="193">
        <v>45930</v>
      </c>
      <c r="B1546" s="145" t="s">
        <v>831</v>
      </c>
      <c r="C1546" s="150">
        <v>2025</v>
      </c>
      <c r="D1546" s="201" t="s">
        <v>1431</v>
      </c>
      <c r="E1546" s="144" t="s">
        <v>2591</v>
      </c>
      <c r="F1546" s="139" t="s">
        <v>88</v>
      </c>
      <c r="G1546" s="148" t="s">
        <v>3080</v>
      </c>
      <c r="H1546" s="146" t="s">
        <v>26</v>
      </c>
      <c r="I1546" s="144" t="s">
        <v>2593</v>
      </c>
    </row>
    <row r="1547" spans="1:9" ht="100.5">
      <c r="A1547" s="193">
        <v>45930</v>
      </c>
      <c r="B1547" s="145" t="s">
        <v>831</v>
      </c>
      <c r="C1547" s="150">
        <v>2025</v>
      </c>
      <c r="D1547" s="201" t="s">
        <v>1431</v>
      </c>
      <c r="E1547" s="144" t="s">
        <v>2591</v>
      </c>
      <c r="F1547" s="139" t="s">
        <v>88</v>
      </c>
      <c r="G1547" s="148" t="s">
        <v>3081</v>
      </c>
      <c r="H1547" s="146" t="s">
        <v>26</v>
      </c>
      <c r="I1547" s="144" t="s">
        <v>2593</v>
      </c>
    </row>
    <row r="1548" spans="1:9" ht="63">
      <c r="A1548" s="193">
        <v>45930</v>
      </c>
      <c r="B1548" s="145" t="s">
        <v>831</v>
      </c>
      <c r="C1548" s="150">
        <v>2025</v>
      </c>
      <c r="D1548" s="201" t="s">
        <v>1431</v>
      </c>
      <c r="E1548" s="144" t="s">
        <v>2591</v>
      </c>
      <c r="F1548" s="139" t="s">
        <v>88</v>
      </c>
      <c r="G1548" s="148" t="s">
        <v>3082</v>
      </c>
      <c r="H1548" s="146" t="s">
        <v>26</v>
      </c>
      <c r="I1548" s="144" t="s">
        <v>2593</v>
      </c>
    </row>
    <row r="1549" spans="1:9" ht="14.1">
      <c r="A1549" s="193">
        <v>45930</v>
      </c>
      <c r="B1549" s="145" t="s">
        <v>831</v>
      </c>
      <c r="C1549" s="150">
        <v>2025</v>
      </c>
      <c r="D1549" s="201" t="s">
        <v>1431</v>
      </c>
      <c r="E1549" s="144" t="s">
        <v>1566</v>
      </c>
      <c r="F1549" s="139" t="s">
        <v>88</v>
      </c>
      <c r="G1549" s="144" t="s">
        <v>3083</v>
      </c>
      <c r="H1549" s="146" t="s">
        <v>26</v>
      </c>
      <c r="I1549" s="144" t="s">
        <v>1453</v>
      </c>
    </row>
    <row r="1550" spans="1:9" ht="25.5">
      <c r="A1550" s="193">
        <v>45930</v>
      </c>
      <c r="B1550" s="145" t="s">
        <v>831</v>
      </c>
      <c r="C1550" s="150">
        <v>2025</v>
      </c>
      <c r="D1550" s="201" t="s">
        <v>1431</v>
      </c>
      <c r="E1550" s="144" t="s">
        <v>1566</v>
      </c>
      <c r="F1550" s="139" t="s">
        <v>88</v>
      </c>
      <c r="G1550" s="144" t="s">
        <v>3084</v>
      </c>
      <c r="H1550" s="146" t="s">
        <v>26</v>
      </c>
      <c r="I1550" s="144" t="s">
        <v>1453</v>
      </c>
    </row>
    <row r="1551" spans="1:9" ht="14.1">
      <c r="A1551" s="193">
        <v>45930</v>
      </c>
      <c r="B1551" s="145" t="s">
        <v>831</v>
      </c>
      <c r="C1551" s="150">
        <v>2025</v>
      </c>
      <c r="D1551" s="201" t="s">
        <v>1431</v>
      </c>
      <c r="E1551" s="144" t="s">
        <v>1566</v>
      </c>
      <c r="F1551" s="139" t="s">
        <v>88</v>
      </c>
      <c r="G1551" s="144" t="s">
        <v>3085</v>
      </c>
      <c r="H1551" s="146" t="s">
        <v>26</v>
      </c>
      <c r="I1551" s="144" t="s">
        <v>1453</v>
      </c>
    </row>
    <row r="1552" spans="1:9" ht="14.1">
      <c r="A1552" s="193">
        <v>45930</v>
      </c>
      <c r="B1552" s="145" t="s">
        <v>831</v>
      </c>
      <c r="C1552" s="150">
        <v>2025</v>
      </c>
      <c r="D1552" s="201" t="s">
        <v>1431</v>
      </c>
      <c r="E1552" s="144" t="s">
        <v>1566</v>
      </c>
      <c r="F1552" s="139" t="s">
        <v>88</v>
      </c>
      <c r="G1552" s="144" t="s">
        <v>3086</v>
      </c>
      <c r="H1552" s="146" t="s">
        <v>26</v>
      </c>
      <c r="I1552" s="144" t="s">
        <v>1453</v>
      </c>
    </row>
    <row r="1553" spans="1:9" ht="14.1">
      <c r="A1553" s="193">
        <v>45930</v>
      </c>
      <c r="B1553" s="145" t="s">
        <v>831</v>
      </c>
      <c r="C1553" s="150">
        <v>2025</v>
      </c>
      <c r="D1553" s="201" t="s">
        <v>1431</v>
      </c>
      <c r="E1553" s="144" t="s">
        <v>1566</v>
      </c>
      <c r="F1553" s="139" t="s">
        <v>88</v>
      </c>
      <c r="G1553" s="144" t="s">
        <v>3087</v>
      </c>
      <c r="H1553" s="146" t="s">
        <v>26</v>
      </c>
      <c r="I1553" s="144" t="s">
        <v>1453</v>
      </c>
    </row>
    <row r="1554" spans="1:9" ht="14.1">
      <c r="A1554" s="193">
        <v>45931</v>
      </c>
      <c r="B1554" s="145" t="s">
        <v>832</v>
      </c>
      <c r="C1554" s="150">
        <v>2025</v>
      </c>
      <c r="D1554" s="201" t="s">
        <v>1431</v>
      </c>
      <c r="E1554" s="144" t="s">
        <v>216</v>
      </c>
      <c r="F1554" s="141" t="s">
        <v>821</v>
      </c>
      <c r="G1554" s="144" t="s">
        <v>3088</v>
      </c>
      <c r="H1554" s="146" t="s">
        <v>26</v>
      </c>
      <c r="I1554" s="144" t="s">
        <v>492</v>
      </c>
    </row>
    <row r="1555" spans="1:9" ht="14.1">
      <c r="A1555" s="193">
        <v>45931</v>
      </c>
      <c r="B1555" s="145" t="s">
        <v>832</v>
      </c>
      <c r="C1555" s="150">
        <v>2025</v>
      </c>
      <c r="D1555" s="201" t="s">
        <v>1431</v>
      </c>
      <c r="E1555" s="144" t="s">
        <v>3011</v>
      </c>
      <c r="F1555" s="147" t="s">
        <v>859</v>
      </c>
      <c r="G1555" s="144" t="s">
        <v>3089</v>
      </c>
      <c r="H1555" s="146" t="s">
        <v>26</v>
      </c>
      <c r="I1555" s="144" t="s">
        <v>2599</v>
      </c>
    </row>
    <row r="1556" spans="1:9" ht="38.1">
      <c r="A1556" s="193">
        <v>45931</v>
      </c>
      <c r="B1556" s="145" t="s">
        <v>832</v>
      </c>
      <c r="C1556" s="150">
        <v>2025</v>
      </c>
      <c r="D1556" s="201" t="s">
        <v>1431</v>
      </c>
      <c r="E1556" s="144" t="s">
        <v>1506</v>
      </c>
      <c r="F1556" s="139" t="s">
        <v>88</v>
      </c>
      <c r="G1556" s="144" t="s">
        <v>3090</v>
      </c>
      <c r="H1556" s="146" t="s">
        <v>26</v>
      </c>
      <c r="I1556" s="144" t="s">
        <v>1904</v>
      </c>
    </row>
    <row r="1557" spans="1:9" ht="25.5">
      <c r="A1557" s="193">
        <v>45931</v>
      </c>
      <c r="B1557" s="145" t="s">
        <v>832</v>
      </c>
      <c r="C1557" s="150">
        <v>2025</v>
      </c>
      <c r="D1557" s="201" t="s">
        <v>1431</v>
      </c>
      <c r="E1557" s="144" t="s">
        <v>1506</v>
      </c>
      <c r="F1557" s="139" t="s">
        <v>88</v>
      </c>
      <c r="G1557" s="144" t="s">
        <v>3091</v>
      </c>
      <c r="H1557" s="146" t="s">
        <v>26</v>
      </c>
      <c r="I1557" s="144" t="s">
        <v>1904</v>
      </c>
    </row>
    <row r="1558" spans="1:9" ht="25.5">
      <c r="A1558" s="193">
        <v>45931</v>
      </c>
      <c r="B1558" s="145" t="s">
        <v>832</v>
      </c>
      <c r="C1558" s="150">
        <v>2025</v>
      </c>
      <c r="D1558" s="201" t="s">
        <v>1431</v>
      </c>
      <c r="E1558" s="144" t="s">
        <v>1506</v>
      </c>
      <c r="F1558" s="139" t="s">
        <v>88</v>
      </c>
      <c r="G1558" s="144" t="s">
        <v>3092</v>
      </c>
      <c r="H1558" s="146" t="s">
        <v>26</v>
      </c>
      <c r="I1558" s="144" t="s">
        <v>1904</v>
      </c>
    </row>
    <row r="1559" spans="1:9" ht="38.1">
      <c r="A1559" s="193">
        <v>45931</v>
      </c>
      <c r="B1559" s="145" t="s">
        <v>832</v>
      </c>
      <c r="C1559" s="150">
        <v>2025</v>
      </c>
      <c r="D1559" s="201" t="s">
        <v>1431</v>
      </c>
      <c r="E1559" s="144" t="s">
        <v>1506</v>
      </c>
      <c r="F1559" s="139" t="s">
        <v>88</v>
      </c>
      <c r="G1559" s="144" t="s">
        <v>3093</v>
      </c>
      <c r="H1559" s="146" t="s">
        <v>26</v>
      </c>
      <c r="I1559" s="144" t="s">
        <v>1904</v>
      </c>
    </row>
    <row r="1560" spans="1:9" ht="25.5">
      <c r="A1560" s="193">
        <v>45931</v>
      </c>
      <c r="B1560" s="145" t="s">
        <v>832</v>
      </c>
      <c r="C1560" s="150">
        <v>2025</v>
      </c>
      <c r="D1560" s="201" t="s">
        <v>1431</v>
      </c>
      <c r="E1560" s="144" t="s">
        <v>21</v>
      </c>
      <c r="F1560" s="141" t="s">
        <v>821</v>
      </c>
      <c r="G1560" s="144" t="s">
        <v>3094</v>
      </c>
      <c r="H1560" s="146" t="s">
        <v>26</v>
      </c>
      <c r="I1560" s="144" t="s">
        <v>468</v>
      </c>
    </row>
    <row r="1561" spans="1:9" ht="14.1">
      <c r="A1561" s="193">
        <v>45931</v>
      </c>
      <c r="B1561" s="145" t="s">
        <v>832</v>
      </c>
      <c r="C1561" s="150">
        <v>2025</v>
      </c>
      <c r="D1561" s="201" t="s">
        <v>1431</v>
      </c>
      <c r="E1561" s="144" t="s">
        <v>21</v>
      </c>
      <c r="F1561" s="141" t="s">
        <v>821</v>
      </c>
      <c r="G1561" s="144" t="s">
        <v>3095</v>
      </c>
      <c r="H1561" s="146" t="s">
        <v>26</v>
      </c>
      <c r="I1561" s="144" t="s">
        <v>468</v>
      </c>
    </row>
    <row r="1562" spans="1:9" ht="63">
      <c r="A1562" s="193">
        <v>45931</v>
      </c>
      <c r="B1562" s="145" t="s">
        <v>832</v>
      </c>
      <c r="C1562" s="150">
        <v>2025</v>
      </c>
      <c r="D1562" s="201" t="s">
        <v>1431</v>
      </c>
      <c r="E1562" s="144" t="s">
        <v>2591</v>
      </c>
      <c r="F1562" s="139" t="s">
        <v>88</v>
      </c>
      <c r="G1562" s="148" t="s">
        <v>3096</v>
      </c>
      <c r="H1562" s="146" t="s">
        <v>26</v>
      </c>
      <c r="I1562" s="144" t="s">
        <v>2593</v>
      </c>
    </row>
    <row r="1563" spans="1:9" ht="63">
      <c r="A1563" s="193">
        <v>45931</v>
      </c>
      <c r="B1563" s="145" t="s">
        <v>832</v>
      </c>
      <c r="C1563" s="150">
        <v>2025</v>
      </c>
      <c r="D1563" s="201" t="s">
        <v>1431</v>
      </c>
      <c r="E1563" s="144" t="s">
        <v>2591</v>
      </c>
      <c r="F1563" s="139" t="s">
        <v>88</v>
      </c>
      <c r="G1563" s="148" t="s">
        <v>3097</v>
      </c>
      <c r="H1563" s="146" t="s">
        <v>26</v>
      </c>
      <c r="I1563" s="144" t="s">
        <v>2593</v>
      </c>
    </row>
    <row r="1564" spans="1:9" ht="25.5">
      <c r="A1564" s="193">
        <v>45931</v>
      </c>
      <c r="B1564" s="145" t="s">
        <v>832</v>
      </c>
      <c r="C1564" s="150">
        <v>2025</v>
      </c>
      <c r="D1564" s="201" t="s">
        <v>1431</v>
      </c>
      <c r="E1564" s="144" t="s">
        <v>2591</v>
      </c>
      <c r="F1564" s="139" t="s">
        <v>88</v>
      </c>
      <c r="G1564" s="148" t="s">
        <v>3098</v>
      </c>
      <c r="H1564" s="146" t="s">
        <v>26</v>
      </c>
      <c r="I1564" s="144" t="s">
        <v>2593</v>
      </c>
    </row>
    <row r="1565" spans="1:9" ht="25.5">
      <c r="A1565" s="193">
        <v>45931</v>
      </c>
      <c r="B1565" s="145" t="s">
        <v>832</v>
      </c>
      <c r="C1565" s="150">
        <v>2025</v>
      </c>
      <c r="D1565" s="201" t="s">
        <v>1431</v>
      </c>
      <c r="E1565" s="144" t="s">
        <v>2591</v>
      </c>
      <c r="F1565" s="139" t="s">
        <v>88</v>
      </c>
      <c r="G1565" s="148" t="s">
        <v>3099</v>
      </c>
      <c r="H1565" s="146" t="s">
        <v>26</v>
      </c>
      <c r="I1565" s="144" t="s">
        <v>2593</v>
      </c>
    </row>
    <row r="1566" spans="1:9" ht="38.1">
      <c r="A1566" s="193">
        <v>45931</v>
      </c>
      <c r="B1566" s="145" t="s">
        <v>832</v>
      </c>
      <c r="C1566" s="150">
        <v>2025</v>
      </c>
      <c r="D1566" s="201" t="s">
        <v>1431</v>
      </c>
      <c r="E1566" s="144" t="s">
        <v>2591</v>
      </c>
      <c r="F1566" s="139" t="s">
        <v>88</v>
      </c>
      <c r="G1566" s="148" t="s">
        <v>3100</v>
      </c>
      <c r="H1566" s="146" t="s">
        <v>26</v>
      </c>
      <c r="I1566" s="144" t="s">
        <v>2593</v>
      </c>
    </row>
    <row r="1567" spans="1:9" ht="25.5">
      <c r="A1567" s="193">
        <v>45931</v>
      </c>
      <c r="B1567" s="145" t="s">
        <v>832</v>
      </c>
      <c r="C1567" s="150">
        <v>2025</v>
      </c>
      <c r="D1567" s="201" t="s">
        <v>1431</v>
      </c>
      <c r="E1567" s="144" t="s">
        <v>2591</v>
      </c>
      <c r="F1567" s="139" t="s">
        <v>88</v>
      </c>
      <c r="G1567" s="148" t="s">
        <v>3101</v>
      </c>
      <c r="H1567" s="146" t="s">
        <v>26</v>
      </c>
      <c r="I1567" s="144" t="s">
        <v>2593</v>
      </c>
    </row>
    <row r="1568" spans="1:9" ht="25.5">
      <c r="A1568" s="193">
        <v>45932</v>
      </c>
      <c r="B1568" s="145" t="s">
        <v>832</v>
      </c>
      <c r="C1568" s="150">
        <v>2025</v>
      </c>
      <c r="D1568" s="201" t="s">
        <v>1431</v>
      </c>
      <c r="E1568" s="144" t="s">
        <v>1506</v>
      </c>
      <c r="F1568" s="139" t="s">
        <v>88</v>
      </c>
      <c r="G1568" s="144" t="s">
        <v>3102</v>
      </c>
      <c r="H1568" s="146" t="s">
        <v>26</v>
      </c>
      <c r="I1568" s="144" t="s">
        <v>1904</v>
      </c>
    </row>
    <row r="1569" spans="1:9" ht="38.1">
      <c r="A1569" s="193">
        <v>45932</v>
      </c>
      <c r="B1569" s="145" t="s">
        <v>832</v>
      </c>
      <c r="C1569" s="150">
        <v>2025</v>
      </c>
      <c r="D1569" s="201" t="s">
        <v>1431</v>
      </c>
      <c r="E1569" s="144" t="s">
        <v>1506</v>
      </c>
      <c r="F1569" s="139" t="s">
        <v>88</v>
      </c>
      <c r="G1569" s="144" t="s">
        <v>3103</v>
      </c>
      <c r="H1569" s="146" t="s">
        <v>26</v>
      </c>
      <c r="I1569" s="144" t="s">
        <v>1904</v>
      </c>
    </row>
    <row r="1570" spans="1:9" ht="25.5">
      <c r="A1570" s="193">
        <v>45932</v>
      </c>
      <c r="B1570" s="145" t="s">
        <v>832</v>
      </c>
      <c r="C1570" s="150">
        <v>2025</v>
      </c>
      <c r="D1570" s="201" t="s">
        <v>1431</v>
      </c>
      <c r="E1570" s="144" t="s">
        <v>216</v>
      </c>
      <c r="F1570" s="141" t="s">
        <v>821</v>
      </c>
      <c r="G1570" s="144" t="s">
        <v>3104</v>
      </c>
      <c r="H1570" s="146" t="s">
        <v>26</v>
      </c>
      <c r="I1570" s="144" t="s">
        <v>492</v>
      </c>
    </row>
    <row r="1571" spans="1:9" ht="25.5">
      <c r="A1571" s="193">
        <v>45932</v>
      </c>
      <c r="B1571" s="145" t="s">
        <v>832</v>
      </c>
      <c r="C1571" s="150">
        <v>2025</v>
      </c>
      <c r="D1571" s="201" t="s">
        <v>1431</v>
      </c>
      <c r="E1571" s="144" t="s">
        <v>216</v>
      </c>
      <c r="F1571" s="141" t="s">
        <v>821</v>
      </c>
      <c r="G1571" s="144" t="s">
        <v>3105</v>
      </c>
      <c r="H1571" s="146" t="s">
        <v>26</v>
      </c>
      <c r="I1571" s="144" t="s">
        <v>492</v>
      </c>
    </row>
    <row r="1572" spans="1:9" ht="25.5">
      <c r="A1572" s="193">
        <v>45932</v>
      </c>
      <c r="B1572" s="145" t="s">
        <v>832</v>
      </c>
      <c r="C1572" s="150">
        <v>2025</v>
      </c>
      <c r="D1572" s="201" t="s">
        <v>1431</v>
      </c>
      <c r="E1572" s="144" t="s">
        <v>2591</v>
      </c>
      <c r="F1572" s="139" t="s">
        <v>88</v>
      </c>
      <c r="G1572" s="144" t="s">
        <v>3106</v>
      </c>
      <c r="H1572" s="146" t="s">
        <v>26</v>
      </c>
      <c r="I1572" s="144" t="s">
        <v>2593</v>
      </c>
    </row>
    <row r="1573" spans="1:9" ht="25.5">
      <c r="A1573" s="193">
        <v>45932</v>
      </c>
      <c r="B1573" s="145" t="s">
        <v>832</v>
      </c>
      <c r="C1573" s="150">
        <v>2025</v>
      </c>
      <c r="D1573" s="201" t="s">
        <v>1431</v>
      </c>
      <c r="E1573" s="144" t="s">
        <v>2585</v>
      </c>
      <c r="F1573" s="139" t="s">
        <v>88</v>
      </c>
      <c r="G1573" s="144" t="s">
        <v>3107</v>
      </c>
      <c r="H1573" s="146" t="s">
        <v>26</v>
      </c>
      <c r="I1573" s="144" t="s">
        <v>452</v>
      </c>
    </row>
    <row r="1574" spans="1:9" ht="50.45">
      <c r="A1574" s="193">
        <v>45932</v>
      </c>
      <c r="B1574" s="145" t="s">
        <v>832</v>
      </c>
      <c r="C1574" s="150">
        <v>2025</v>
      </c>
      <c r="D1574" s="201" t="s">
        <v>2224</v>
      </c>
      <c r="E1574" s="144" t="s">
        <v>3011</v>
      </c>
      <c r="F1574" s="147" t="s">
        <v>859</v>
      </c>
      <c r="G1574" s="144" t="s">
        <v>3108</v>
      </c>
      <c r="H1574" s="146" t="s">
        <v>26</v>
      </c>
      <c r="I1574" s="144" t="s">
        <v>2599</v>
      </c>
    </row>
    <row r="1575" spans="1:9" ht="25.5">
      <c r="A1575" s="193">
        <v>45932</v>
      </c>
      <c r="B1575" s="145" t="s">
        <v>832</v>
      </c>
      <c r="C1575" s="150">
        <v>2025</v>
      </c>
      <c r="D1575" s="201" t="s">
        <v>2224</v>
      </c>
      <c r="E1575" s="144" t="s">
        <v>1432</v>
      </c>
      <c r="F1575" s="141" t="s">
        <v>821</v>
      </c>
      <c r="G1575" s="144" t="s">
        <v>3109</v>
      </c>
      <c r="H1575" s="146" t="s">
        <v>26</v>
      </c>
      <c r="I1575" s="144" t="s">
        <v>925</v>
      </c>
    </row>
    <row r="1576" spans="1:9" ht="14.1">
      <c r="A1576" s="193">
        <v>45932</v>
      </c>
      <c r="B1576" s="145" t="s">
        <v>832</v>
      </c>
      <c r="C1576" s="150">
        <v>2025</v>
      </c>
      <c r="D1576" s="201" t="s">
        <v>1431</v>
      </c>
      <c r="E1576" s="144" t="s">
        <v>2591</v>
      </c>
      <c r="F1576" s="139" t="s">
        <v>88</v>
      </c>
      <c r="G1576" s="144" t="s">
        <v>3110</v>
      </c>
      <c r="H1576" s="146" t="s">
        <v>26</v>
      </c>
      <c r="I1576" s="144" t="s">
        <v>2593</v>
      </c>
    </row>
    <row r="1577" spans="1:9" ht="50.45">
      <c r="A1577" s="193">
        <v>45932</v>
      </c>
      <c r="B1577" s="145" t="s">
        <v>832</v>
      </c>
      <c r="C1577" s="150">
        <v>2025</v>
      </c>
      <c r="D1577" s="201" t="s">
        <v>1431</v>
      </c>
      <c r="E1577" s="144" t="s">
        <v>2591</v>
      </c>
      <c r="F1577" s="139" t="s">
        <v>88</v>
      </c>
      <c r="G1577" s="144" t="s">
        <v>3111</v>
      </c>
      <c r="H1577" s="146" t="s">
        <v>26</v>
      </c>
      <c r="I1577" s="144" t="s">
        <v>2593</v>
      </c>
    </row>
    <row r="1578" spans="1:9" ht="14.1">
      <c r="A1578" s="193">
        <v>45932</v>
      </c>
      <c r="B1578" s="145" t="s">
        <v>832</v>
      </c>
      <c r="C1578" s="150">
        <v>2025</v>
      </c>
      <c r="D1578" s="201" t="s">
        <v>1431</v>
      </c>
      <c r="E1578" s="144" t="s">
        <v>2591</v>
      </c>
      <c r="F1578" s="139" t="s">
        <v>88</v>
      </c>
      <c r="G1578" s="144" t="s">
        <v>3112</v>
      </c>
      <c r="H1578" s="146" t="s">
        <v>26</v>
      </c>
      <c r="I1578" s="144" t="s">
        <v>2593</v>
      </c>
    </row>
    <row r="1579" spans="1:9" ht="38.1">
      <c r="A1579" s="193">
        <v>45932</v>
      </c>
      <c r="B1579" s="145" t="s">
        <v>832</v>
      </c>
      <c r="C1579" s="150">
        <v>2025</v>
      </c>
      <c r="D1579" s="201" t="s">
        <v>1431</v>
      </c>
      <c r="E1579" s="144" t="s">
        <v>2591</v>
      </c>
      <c r="F1579" s="139" t="s">
        <v>88</v>
      </c>
      <c r="G1579" s="144" t="s">
        <v>3113</v>
      </c>
      <c r="H1579" s="146" t="s">
        <v>26</v>
      </c>
      <c r="I1579" s="144" t="s">
        <v>2593</v>
      </c>
    </row>
    <row r="1580" spans="1:9" ht="38.1">
      <c r="A1580" s="193">
        <v>45932</v>
      </c>
      <c r="B1580" s="145" t="s">
        <v>832</v>
      </c>
      <c r="C1580" s="150">
        <v>2025</v>
      </c>
      <c r="D1580" s="201" t="s">
        <v>1431</v>
      </c>
      <c r="E1580" s="144" t="s">
        <v>2591</v>
      </c>
      <c r="F1580" s="139" t="s">
        <v>88</v>
      </c>
      <c r="G1580" s="144" t="s">
        <v>3114</v>
      </c>
      <c r="H1580" s="146" t="s">
        <v>26</v>
      </c>
      <c r="I1580" s="144" t="s">
        <v>2593</v>
      </c>
    </row>
    <row r="1581" spans="1:9" ht="14.1">
      <c r="A1581" s="193">
        <v>45932</v>
      </c>
      <c r="B1581" s="145" t="s">
        <v>832</v>
      </c>
      <c r="C1581" s="150">
        <v>2025</v>
      </c>
      <c r="D1581" s="201" t="s">
        <v>1431</v>
      </c>
      <c r="E1581" s="144" t="s">
        <v>2591</v>
      </c>
      <c r="F1581" s="139" t="s">
        <v>88</v>
      </c>
      <c r="G1581" s="144" t="s">
        <v>3115</v>
      </c>
      <c r="H1581" s="146" t="s">
        <v>26</v>
      </c>
      <c r="I1581" s="144" t="s">
        <v>2593</v>
      </c>
    </row>
    <row r="1582" spans="1:9" ht="38.1">
      <c r="A1582" s="193">
        <v>45932</v>
      </c>
      <c r="B1582" s="145" t="s">
        <v>832</v>
      </c>
      <c r="C1582" s="150">
        <v>2025</v>
      </c>
      <c r="D1582" s="201" t="s">
        <v>1431</v>
      </c>
      <c r="E1582" s="144" t="s">
        <v>1566</v>
      </c>
      <c r="F1582" s="139" t="s">
        <v>88</v>
      </c>
      <c r="G1582" s="144" t="s">
        <v>3116</v>
      </c>
      <c r="H1582" s="146" t="s">
        <v>26</v>
      </c>
      <c r="I1582" s="144" t="s">
        <v>2640</v>
      </c>
    </row>
    <row r="1583" spans="1:9" ht="25.5">
      <c r="A1583" s="193">
        <v>45933</v>
      </c>
      <c r="B1583" s="145" t="s">
        <v>832</v>
      </c>
      <c r="C1583" s="150">
        <v>2025</v>
      </c>
      <c r="D1583" s="201" t="s">
        <v>1431</v>
      </c>
      <c r="E1583" s="144" t="s">
        <v>1506</v>
      </c>
      <c r="F1583" s="139" t="s">
        <v>88</v>
      </c>
      <c r="G1583" s="144" t="s">
        <v>3117</v>
      </c>
      <c r="H1583" s="146" t="s">
        <v>26</v>
      </c>
      <c r="I1583" s="144" t="s">
        <v>1904</v>
      </c>
    </row>
    <row r="1584" spans="1:9" ht="25.5">
      <c r="A1584" s="193">
        <v>45933</v>
      </c>
      <c r="B1584" s="145" t="s">
        <v>832</v>
      </c>
      <c r="C1584" s="150">
        <v>2025</v>
      </c>
      <c r="D1584" s="201" t="s">
        <v>1431</v>
      </c>
      <c r="E1584" s="144" t="s">
        <v>1506</v>
      </c>
      <c r="F1584" s="139" t="s">
        <v>88</v>
      </c>
      <c r="G1584" s="144" t="s">
        <v>3118</v>
      </c>
      <c r="H1584" s="146" t="s">
        <v>26</v>
      </c>
      <c r="I1584" s="144" t="s">
        <v>1904</v>
      </c>
    </row>
    <row r="1585" spans="1:9" ht="25.5">
      <c r="A1585" s="193">
        <v>45933</v>
      </c>
      <c r="B1585" s="145" t="s">
        <v>832</v>
      </c>
      <c r="C1585" s="150">
        <v>2025</v>
      </c>
      <c r="D1585" s="201" t="s">
        <v>1431</v>
      </c>
      <c r="E1585" s="144" t="s">
        <v>216</v>
      </c>
      <c r="F1585" s="141" t="s">
        <v>821</v>
      </c>
      <c r="G1585" s="144" t="s">
        <v>3119</v>
      </c>
      <c r="H1585" s="146" t="s">
        <v>26</v>
      </c>
      <c r="I1585" s="144" t="s">
        <v>492</v>
      </c>
    </row>
    <row r="1586" spans="1:9" ht="25.5">
      <c r="A1586" s="193">
        <v>45936</v>
      </c>
      <c r="B1586" s="145" t="s">
        <v>832</v>
      </c>
      <c r="C1586" s="150">
        <v>2025</v>
      </c>
      <c r="D1586" s="201" t="s">
        <v>1431</v>
      </c>
      <c r="E1586" s="144" t="s">
        <v>2535</v>
      </c>
      <c r="F1586" s="139" t="s">
        <v>88</v>
      </c>
      <c r="G1586" s="144" t="s">
        <v>3120</v>
      </c>
      <c r="H1586" s="146" t="s">
        <v>26</v>
      </c>
      <c r="I1586" s="144" t="s">
        <v>578</v>
      </c>
    </row>
    <row r="1587" spans="1:9" ht="50.45">
      <c r="A1587" s="193">
        <v>45936</v>
      </c>
      <c r="B1587" s="145" t="s">
        <v>832</v>
      </c>
      <c r="C1587" s="150">
        <v>2025</v>
      </c>
      <c r="D1587" s="201" t="s">
        <v>1431</v>
      </c>
      <c r="E1587" s="144" t="s">
        <v>1506</v>
      </c>
      <c r="F1587" s="139" t="s">
        <v>88</v>
      </c>
      <c r="G1587" s="144" t="s">
        <v>3121</v>
      </c>
      <c r="H1587" s="146" t="s">
        <v>26</v>
      </c>
      <c r="I1587" s="144" t="s">
        <v>1904</v>
      </c>
    </row>
    <row r="1588" spans="1:9" ht="50.45">
      <c r="A1588" s="193">
        <v>45936</v>
      </c>
      <c r="B1588" s="145" t="s">
        <v>832</v>
      </c>
      <c r="C1588" s="150">
        <v>2025</v>
      </c>
      <c r="D1588" s="201" t="s">
        <v>1431</v>
      </c>
      <c r="E1588" s="144" t="s">
        <v>1506</v>
      </c>
      <c r="F1588" s="139" t="s">
        <v>88</v>
      </c>
      <c r="G1588" s="144" t="s">
        <v>3122</v>
      </c>
      <c r="H1588" s="146" t="s">
        <v>26</v>
      </c>
      <c r="I1588" s="144" t="s">
        <v>1904</v>
      </c>
    </row>
    <row r="1589" spans="1:9" ht="14.1">
      <c r="A1589" s="193">
        <v>45936</v>
      </c>
      <c r="B1589" s="145" t="s">
        <v>832</v>
      </c>
      <c r="C1589" s="150">
        <v>2025</v>
      </c>
      <c r="D1589" s="201" t="s">
        <v>1431</v>
      </c>
      <c r="E1589" s="144" t="s">
        <v>216</v>
      </c>
      <c r="F1589" s="141" t="s">
        <v>821</v>
      </c>
      <c r="G1589" s="144" t="s">
        <v>3123</v>
      </c>
      <c r="H1589" s="146" t="s">
        <v>26</v>
      </c>
      <c r="I1589" s="144" t="s">
        <v>492</v>
      </c>
    </row>
    <row r="1590" spans="1:9" ht="38.1">
      <c r="A1590" s="193">
        <v>45936</v>
      </c>
      <c r="B1590" s="145" t="s">
        <v>832</v>
      </c>
      <c r="C1590" s="150">
        <v>2025</v>
      </c>
      <c r="D1590" s="201" t="s">
        <v>2224</v>
      </c>
      <c r="E1590" s="144" t="s">
        <v>1225</v>
      </c>
      <c r="F1590" s="147" t="s">
        <v>859</v>
      </c>
      <c r="G1590" s="144" t="s">
        <v>3124</v>
      </c>
      <c r="H1590" s="146" t="s">
        <v>26</v>
      </c>
      <c r="I1590" s="144" t="s">
        <v>925</v>
      </c>
    </row>
    <row r="1591" spans="1:9" ht="25.5">
      <c r="A1591" s="193">
        <v>45936</v>
      </c>
      <c r="B1591" s="145" t="s">
        <v>832</v>
      </c>
      <c r="C1591" s="150">
        <v>2025</v>
      </c>
      <c r="D1591" s="201" t="s">
        <v>1431</v>
      </c>
      <c r="E1591" s="144" t="s">
        <v>2591</v>
      </c>
      <c r="F1591" s="139" t="s">
        <v>88</v>
      </c>
      <c r="G1591" s="148" t="s">
        <v>3125</v>
      </c>
      <c r="H1591" s="146" t="s">
        <v>26</v>
      </c>
      <c r="I1591" s="144" t="s">
        <v>2593</v>
      </c>
    </row>
    <row r="1592" spans="1:9" ht="25.5">
      <c r="A1592" s="193">
        <v>45936</v>
      </c>
      <c r="B1592" s="145" t="s">
        <v>832</v>
      </c>
      <c r="C1592" s="150">
        <v>2025</v>
      </c>
      <c r="D1592" s="201" t="s">
        <v>1431</v>
      </c>
      <c r="E1592" s="144" t="s">
        <v>2591</v>
      </c>
      <c r="F1592" s="139" t="s">
        <v>88</v>
      </c>
      <c r="G1592" s="148" t="s">
        <v>3126</v>
      </c>
      <c r="H1592" s="146" t="s">
        <v>26</v>
      </c>
      <c r="I1592" s="144" t="s">
        <v>2593</v>
      </c>
    </row>
    <row r="1593" spans="1:9" ht="25.5">
      <c r="A1593" s="193">
        <v>45936</v>
      </c>
      <c r="B1593" s="145" t="s">
        <v>832</v>
      </c>
      <c r="C1593" s="150">
        <v>2025</v>
      </c>
      <c r="D1593" s="201" t="s">
        <v>1431</v>
      </c>
      <c r="E1593" s="144" t="s">
        <v>2591</v>
      </c>
      <c r="F1593" s="139" t="s">
        <v>88</v>
      </c>
      <c r="G1593" s="148" t="s">
        <v>3127</v>
      </c>
      <c r="H1593" s="146" t="s">
        <v>26</v>
      </c>
      <c r="I1593" s="144" t="s">
        <v>2593</v>
      </c>
    </row>
    <row r="1594" spans="1:9" ht="25.5">
      <c r="A1594" s="193">
        <v>45936</v>
      </c>
      <c r="B1594" s="145" t="s">
        <v>832</v>
      </c>
      <c r="C1594" s="150">
        <v>2025</v>
      </c>
      <c r="D1594" s="201" t="s">
        <v>1431</v>
      </c>
      <c r="E1594" s="144" t="s">
        <v>1566</v>
      </c>
      <c r="F1594" s="139" t="s">
        <v>88</v>
      </c>
      <c r="G1594" s="144" t="s">
        <v>3128</v>
      </c>
      <c r="H1594" s="146" t="s">
        <v>26</v>
      </c>
      <c r="I1594" s="144" t="s">
        <v>2786</v>
      </c>
    </row>
    <row r="1595" spans="1:9" ht="25.5">
      <c r="A1595" s="193">
        <v>45937</v>
      </c>
      <c r="B1595" s="145" t="s">
        <v>832</v>
      </c>
      <c r="C1595" s="150">
        <v>2025</v>
      </c>
      <c r="D1595" s="201" t="s">
        <v>1431</v>
      </c>
      <c r="E1595" s="144" t="s">
        <v>1504</v>
      </c>
      <c r="F1595" s="139" t="s">
        <v>88</v>
      </c>
      <c r="G1595" s="144" t="s">
        <v>3129</v>
      </c>
      <c r="H1595" s="146" t="s">
        <v>26</v>
      </c>
      <c r="I1595" s="144" t="s">
        <v>578</v>
      </c>
    </row>
    <row r="1596" spans="1:9" ht="14.1">
      <c r="A1596" s="193">
        <v>45937</v>
      </c>
      <c r="B1596" s="145" t="s">
        <v>832</v>
      </c>
      <c r="C1596" s="150">
        <v>2025</v>
      </c>
      <c r="D1596" s="201" t="s">
        <v>1431</v>
      </c>
      <c r="E1596" s="144" t="s">
        <v>21</v>
      </c>
      <c r="F1596" s="141" t="s">
        <v>821</v>
      </c>
      <c r="G1596" s="144" t="s">
        <v>3130</v>
      </c>
      <c r="H1596" s="146" t="s">
        <v>26</v>
      </c>
      <c r="I1596" s="144" t="s">
        <v>468</v>
      </c>
    </row>
    <row r="1597" spans="1:9" ht="38.1">
      <c r="A1597" s="193">
        <v>45937</v>
      </c>
      <c r="B1597" s="145" t="s">
        <v>832</v>
      </c>
      <c r="C1597" s="150">
        <v>2025</v>
      </c>
      <c r="D1597" s="201" t="s">
        <v>1431</v>
      </c>
      <c r="E1597" s="144" t="s">
        <v>1566</v>
      </c>
      <c r="F1597" s="139" t="s">
        <v>88</v>
      </c>
      <c r="G1597" s="144" t="s">
        <v>3131</v>
      </c>
      <c r="H1597" s="146" t="s">
        <v>26</v>
      </c>
      <c r="I1597" s="144" t="s">
        <v>1453</v>
      </c>
    </row>
    <row r="1598" spans="1:9" ht="38.1">
      <c r="A1598" s="193">
        <v>45937</v>
      </c>
      <c r="B1598" s="145" t="s">
        <v>832</v>
      </c>
      <c r="C1598" s="150">
        <v>2025</v>
      </c>
      <c r="D1598" s="201" t="s">
        <v>1431</v>
      </c>
      <c r="E1598" s="144" t="s">
        <v>1566</v>
      </c>
      <c r="F1598" s="139" t="s">
        <v>88</v>
      </c>
      <c r="G1598" s="144" t="s">
        <v>3132</v>
      </c>
      <c r="H1598" s="146" t="s">
        <v>26</v>
      </c>
      <c r="I1598" s="144" t="s">
        <v>1453</v>
      </c>
    </row>
    <row r="1599" spans="1:9" ht="25.5">
      <c r="A1599" s="193">
        <v>45937</v>
      </c>
      <c r="B1599" s="145" t="s">
        <v>832</v>
      </c>
      <c r="C1599" s="150">
        <v>2025</v>
      </c>
      <c r="D1599" s="201" t="s">
        <v>1431</v>
      </c>
      <c r="E1599" s="144" t="s">
        <v>1566</v>
      </c>
      <c r="F1599" s="139" t="s">
        <v>88</v>
      </c>
      <c r="G1599" s="144" t="s">
        <v>3133</v>
      </c>
      <c r="H1599" s="146" t="s">
        <v>26</v>
      </c>
      <c r="I1599" s="144" t="s">
        <v>1453</v>
      </c>
    </row>
    <row r="1600" spans="1:9" ht="14.1">
      <c r="A1600" s="193">
        <v>45937</v>
      </c>
      <c r="B1600" s="145" t="s">
        <v>832</v>
      </c>
      <c r="C1600" s="150">
        <v>2025</v>
      </c>
      <c r="D1600" s="201" t="s">
        <v>1431</v>
      </c>
      <c r="E1600" s="144" t="s">
        <v>1566</v>
      </c>
      <c r="F1600" s="139" t="s">
        <v>88</v>
      </c>
      <c r="G1600" s="144" t="s">
        <v>3134</v>
      </c>
      <c r="H1600" s="146" t="s">
        <v>26</v>
      </c>
      <c r="I1600" s="144" t="s">
        <v>1453</v>
      </c>
    </row>
    <row r="1601" spans="1:9" ht="14.1">
      <c r="A1601" s="193">
        <v>45937</v>
      </c>
      <c r="B1601" s="145" t="s">
        <v>832</v>
      </c>
      <c r="C1601" s="150">
        <v>2025</v>
      </c>
      <c r="D1601" s="201" t="s">
        <v>1431</v>
      </c>
      <c r="E1601" s="144" t="s">
        <v>1566</v>
      </c>
      <c r="F1601" s="139" t="s">
        <v>88</v>
      </c>
      <c r="G1601" s="144" t="s">
        <v>3135</v>
      </c>
      <c r="H1601" s="146" t="s">
        <v>26</v>
      </c>
      <c r="I1601" s="144" t="s">
        <v>1453</v>
      </c>
    </row>
    <row r="1602" spans="1:9" ht="63">
      <c r="A1602" s="193">
        <v>45937</v>
      </c>
      <c r="B1602" s="145" t="s">
        <v>832</v>
      </c>
      <c r="C1602" s="150">
        <v>2025</v>
      </c>
      <c r="D1602" s="201" t="s">
        <v>1431</v>
      </c>
      <c r="E1602" s="144" t="s">
        <v>2591</v>
      </c>
      <c r="F1602" s="139" t="s">
        <v>88</v>
      </c>
      <c r="G1602" s="144" t="s">
        <v>3136</v>
      </c>
      <c r="H1602" s="146" t="s">
        <v>26</v>
      </c>
      <c r="I1602" s="144" t="s">
        <v>2593</v>
      </c>
    </row>
    <row r="1603" spans="1:9" ht="50.45">
      <c r="A1603" s="193">
        <v>45937</v>
      </c>
      <c r="B1603" s="145" t="s">
        <v>832</v>
      </c>
      <c r="C1603" s="150">
        <v>2025</v>
      </c>
      <c r="D1603" s="201" t="s">
        <v>1431</v>
      </c>
      <c r="E1603" s="144" t="s">
        <v>2591</v>
      </c>
      <c r="F1603" s="139" t="s">
        <v>88</v>
      </c>
      <c r="G1603" s="148" t="s">
        <v>3137</v>
      </c>
      <c r="H1603" s="146" t="s">
        <v>26</v>
      </c>
      <c r="I1603" s="144" t="s">
        <v>2593</v>
      </c>
    </row>
    <row r="1604" spans="1:9" ht="14.1">
      <c r="A1604" s="193">
        <v>45938</v>
      </c>
      <c r="B1604" s="145" t="s">
        <v>832</v>
      </c>
      <c r="C1604" s="150">
        <v>2025</v>
      </c>
      <c r="D1604" s="201" t="s">
        <v>1431</v>
      </c>
      <c r="E1604" s="144" t="s">
        <v>1225</v>
      </c>
      <c r="F1604" s="147" t="s">
        <v>859</v>
      </c>
      <c r="G1604" s="144" t="s">
        <v>3138</v>
      </c>
      <c r="H1604" s="146" t="s">
        <v>26</v>
      </c>
      <c r="I1604" s="144" t="s">
        <v>925</v>
      </c>
    </row>
    <row r="1605" spans="1:9" ht="25.5">
      <c r="A1605" s="193">
        <v>45938</v>
      </c>
      <c r="B1605" s="145" t="s">
        <v>832</v>
      </c>
      <c r="C1605" s="150">
        <v>2025</v>
      </c>
      <c r="D1605" s="201" t="s">
        <v>1431</v>
      </c>
      <c r="E1605" s="144" t="s">
        <v>21</v>
      </c>
      <c r="F1605" s="141" t="s">
        <v>821</v>
      </c>
      <c r="G1605" s="144" t="s">
        <v>3139</v>
      </c>
      <c r="H1605" s="146" t="s">
        <v>26</v>
      </c>
      <c r="I1605" s="144" t="s">
        <v>468</v>
      </c>
    </row>
    <row r="1606" spans="1:9" ht="25.5">
      <c r="A1606" s="193">
        <v>45938</v>
      </c>
      <c r="B1606" s="145" t="s">
        <v>832</v>
      </c>
      <c r="C1606" s="150">
        <v>2025</v>
      </c>
      <c r="D1606" s="201" t="s">
        <v>1431</v>
      </c>
      <c r="E1606" s="144" t="s">
        <v>1506</v>
      </c>
      <c r="F1606" s="139" t="s">
        <v>88</v>
      </c>
      <c r="G1606" s="144" t="s">
        <v>3140</v>
      </c>
      <c r="H1606" s="146" t="s">
        <v>26</v>
      </c>
      <c r="I1606" s="144" t="s">
        <v>1904</v>
      </c>
    </row>
    <row r="1607" spans="1:9" ht="38.1">
      <c r="A1607" s="193">
        <v>45938</v>
      </c>
      <c r="B1607" s="145" t="s">
        <v>832</v>
      </c>
      <c r="C1607" s="150">
        <v>2025</v>
      </c>
      <c r="D1607" s="201" t="s">
        <v>1431</v>
      </c>
      <c r="E1607" s="144" t="s">
        <v>1506</v>
      </c>
      <c r="F1607" s="139" t="s">
        <v>88</v>
      </c>
      <c r="G1607" s="144" t="s">
        <v>3141</v>
      </c>
      <c r="H1607" s="146" t="s">
        <v>26</v>
      </c>
      <c r="I1607" s="144" t="s">
        <v>1904</v>
      </c>
    </row>
    <row r="1608" spans="1:9" ht="25.5">
      <c r="A1608" s="193">
        <v>45938</v>
      </c>
      <c r="B1608" s="145" t="s">
        <v>832</v>
      </c>
      <c r="C1608" s="150">
        <v>2025</v>
      </c>
      <c r="D1608" s="201" t="s">
        <v>1431</v>
      </c>
      <c r="E1608" s="144" t="s">
        <v>1506</v>
      </c>
      <c r="F1608" s="139" t="s">
        <v>88</v>
      </c>
      <c r="G1608" s="144" t="s">
        <v>3142</v>
      </c>
      <c r="H1608" s="146" t="s">
        <v>26</v>
      </c>
      <c r="I1608" s="144" t="s">
        <v>1904</v>
      </c>
    </row>
    <row r="1609" spans="1:9" ht="38.1">
      <c r="A1609" s="193">
        <v>45938</v>
      </c>
      <c r="B1609" s="145" t="s">
        <v>832</v>
      </c>
      <c r="C1609" s="150">
        <v>2025</v>
      </c>
      <c r="D1609" s="201" t="s">
        <v>1431</v>
      </c>
      <c r="E1609" s="144" t="s">
        <v>21</v>
      </c>
      <c r="F1609" s="141" t="s">
        <v>821</v>
      </c>
      <c r="G1609" s="144" t="s">
        <v>3143</v>
      </c>
      <c r="H1609" s="146" t="s">
        <v>26</v>
      </c>
      <c r="I1609" s="144" t="s">
        <v>468</v>
      </c>
    </row>
    <row r="1610" spans="1:9" ht="63">
      <c r="A1610" s="193">
        <v>45938</v>
      </c>
      <c r="B1610" s="145" t="s">
        <v>832</v>
      </c>
      <c r="C1610" s="150">
        <v>2025</v>
      </c>
      <c r="D1610" s="201" t="s">
        <v>1431</v>
      </c>
      <c r="E1610" s="144" t="s">
        <v>2591</v>
      </c>
      <c r="F1610" s="139" t="s">
        <v>88</v>
      </c>
      <c r="G1610" s="144" t="s">
        <v>3144</v>
      </c>
      <c r="H1610" s="146" t="s">
        <v>26</v>
      </c>
      <c r="I1610" s="144" t="s">
        <v>2593</v>
      </c>
    </row>
    <row r="1611" spans="1:9" ht="38.1">
      <c r="A1611" s="193">
        <v>45938</v>
      </c>
      <c r="B1611" s="145" t="s">
        <v>832</v>
      </c>
      <c r="C1611" s="150">
        <v>2025</v>
      </c>
      <c r="D1611" s="201" t="s">
        <v>1431</v>
      </c>
      <c r="E1611" s="144" t="s">
        <v>2591</v>
      </c>
      <c r="F1611" s="139" t="s">
        <v>88</v>
      </c>
      <c r="G1611" s="148" t="s">
        <v>3145</v>
      </c>
      <c r="H1611" s="146" t="s">
        <v>26</v>
      </c>
      <c r="I1611" s="144" t="s">
        <v>2593</v>
      </c>
    </row>
    <row r="1612" spans="1:9" ht="50.45">
      <c r="A1612" s="193">
        <v>45938</v>
      </c>
      <c r="B1612" s="145" t="s">
        <v>832</v>
      </c>
      <c r="C1612" s="150">
        <v>2025</v>
      </c>
      <c r="D1612" s="201" t="s">
        <v>1431</v>
      </c>
      <c r="E1612" s="144" t="s">
        <v>2591</v>
      </c>
      <c r="F1612" s="139" t="s">
        <v>88</v>
      </c>
      <c r="G1612" s="148" t="s">
        <v>3146</v>
      </c>
      <c r="H1612" s="146" t="s">
        <v>26</v>
      </c>
      <c r="I1612" s="144" t="s">
        <v>2593</v>
      </c>
    </row>
    <row r="1613" spans="1:9" ht="25.5">
      <c r="A1613" s="193">
        <v>45938</v>
      </c>
      <c r="B1613" s="145" t="s">
        <v>832</v>
      </c>
      <c r="C1613" s="150">
        <v>2025</v>
      </c>
      <c r="D1613" s="201" t="s">
        <v>1431</v>
      </c>
      <c r="E1613" s="144" t="s">
        <v>1566</v>
      </c>
      <c r="F1613" s="139" t="s">
        <v>88</v>
      </c>
      <c r="G1613" s="144" t="s">
        <v>3147</v>
      </c>
      <c r="H1613" s="146" t="s">
        <v>26</v>
      </c>
      <c r="I1613" s="144" t="s">
        <v>1453</v>
      </c>
    </row>
    <row r="1614" spans="1:9" ht="14.1">
      <c r="A1614" s="193">
        <v>45938</v>
      </c>
      <c r="B1614" s="145" t="s">
        <v>832</v>
      </c>
      <c r="C1614" s="150">
        <v>2025</v>
      </c>
      <c r="D1614" s="201" t="s">
        <v>1431</v>
      </c>
      <c r="E1614" s="144" t="s">
        <v>1566</v>
      </c>
      <c r="F1614" s="139" t="s">
        <v>88</v>
      </c>
      <c r="G1614" s="144" t="s">
        <v>3148</v>
      </c>
      <c r="H1614" s="146" t="s">
        <v>26</v>
      </c>
      <c r="I1614" s="144" t="s">
        <v>1453</v>
      </c>
    </row>
    <row r="1615" spans="1:9" ht="14.1">
      <c r="A1615" s="193">
        <v>45938</v>
      </c>
      <c r="B1615" s="145" t="s">
        <v>832</v>
      </c>
      <c r="C1615" s="150">
        <v>2025</v>
      </c>
      <c r="D1615" s="201" t="s">
        <v>1431</v>
      </c>
      <c r="E1615" s="144" t="s">
        <v>1566</v>
      </c>
      <c r="F1615" s="139" t="s">
        <v>88</v>
      </c>
      <c r="G1615" s="144" t="s">
        <v>3149</v>
      </c>
      <c r="H1615" s="146" t="s">
        <v>26</v>
      </c>
      <c r="I1615" s="144" t="s">
        <v>1453</v>
      </c>
    </row>
    <row r="1616" spans="1:9" ht="25.5">
      <c r="A1616" s="193">
        <v>45938</v>
      </c>
      <c r="B1616" s="145" t="s">
        <v>832</v>
      </c>
      <c r="C1616" s="150">
        <v>2025</v>
      </c>
      <c r="D1616" s="201" t="s">
        <v>1431</v>
      </c>
      <c r="E1616" s="144" t="s">
        <v>1566</v>
      </c>
      <c r="F1616" s="139" t="s">
        <v>88</v>
      </c>
      <c r="G1616" s="144" t="s">
        <v>3150</v>
      </c>
      <c r="H1616" s="146" t="s">
        <v>26</v>
      </c>
      <c r="I1616" s="144" t="s">
        <v>1453</v>
      </c>
    </row>
    <row r="1617" spans="1:9" ht="25.5">
      <c r="A1617" s="193">
        <v>45938</v>
      </c>
      <c r="B1617" s="145" t="s">
        <v>832</v>
      </c>
      <c r="C1617" s="150">
        <v>2025</v>
      </c>
      <c r="D1617" s="201" t="s">
        <v>1431</v>
      </c>
      <c r="E1617" s="144" t="s">
        <v>1518</v>
      </c>
      <c r="F1617" s="139" t="s">
        <v>88</v>
      </c>
      <c r="G1617" s="144" t="s">
        <v>3151</v>
      </c>
      <c r="H1617" s="146" t="s">
        <v>26</v>
      </c>
      <c r="I1617" s="144" t="s">
        <v>1493</v>
      </c>
    </row>
    <row r="1618" spans="1:9" ht="38.1">
      <c r="A1618" s="193">
        <v>45939</v>
      </c>
      <c r="B1618" s="145" t="s">
        <v>832</v>
      </c>
      <c r="C1618" s="150">
        <v>2025</v>
      </c>
      <c r="D1618" s="201" t="s">
        <v>1431</v>
      </c>
      <c r="E1618" s="144" t="s">
        <v>1506</v>
      </c>
      <c r="F1618" s="139" t="s">
        <v>88</v>
      </c>
      <c r="G1618" s="144" t="s">
        <v>3152</v>
      </c>
      <c r="H1618" s="146" t="s">
        <v>26</v>
      </c>
      <c r="I1618" s="144" t="s">
        <v>3153</v>
      </c>
    </row>
    <row r="1619" spans="1:9" ht="25.5">
      <c r="A1619" s="193">
        <v>45939</v>
      </c>
      <c r="B1619" s="145" t="s">
        <v>832</v>
      </c>
      <c r="C1619" s="150">
        <v>2025</v>
      </c>
      <c r="D1619" s="201" t="s">
        <v>1431</v>
      </c>
      <c r="E1619" s="144" t="s">
        <v>1506</v>
      </c>
      <c r="F1619" s="139" t="s">
        <v>88</v>
      </c>
      <c r="G1619" s="144" t="s">
        <v>3154</v>
      </c>
      <c r="H1619" s="146" t="s">
        <v>26</v>
      </c>
      <c r="I1619" s="144" t="s">
        <v>3153</v>
      </c>
    </row>
    <row r="1620" spans="1:9" ht="38.1">
      <c r="A1620" s="193">
        <v>45939</v>
      </c>
      <c r="B1620" s="145" t="s">
        <v>832</v>
      </c>
      <c r="C1620" s="150">
        <v>2025</v>
      </c>
      <c r="D1620" s="201" t="s">
        <v>1431</v>
      </c>
      <c r="E1620" s="144" t="s">
        <v>1506</v>
      </c>
      <c r="F1620" s="139" t="s">
        <v>88</v>
      </c>
      <c r="G1620" s="144" t="s">
        <v>3155</v>
      </c>
      <c r="H1620" s="146" t="s">
        <v>26</v>
      </c>
      <c r="I1620" s="144" t="s">
        <v>3153</v>
      </c>
    </row>
    <row r="1621" spans="1:9" ht="63">
      <c r="A1621" s="193">
        <v>45939</v>
      </c>
      <c r="B1621" s="145" t="s">
        <v>832</v>
      </c>
      <c r="C1621" s="150">
        <v>2025</v>
      </c>
      <c r="D1621" s="201" t="s">
        <v>1431</v>
      </c>
      <c r="E1621" s="144" t="s">
        <v>2591</v>
      </c>
      <c r="F1621" s="139" t="s">
        <v>88</v>
      </c>
      <c r="G1621" s="144" t="s">
        <v>3156</v>
      </c>
      <c r="H1621" s="146" t="s">
        <v>26</v>
      </c>
      <c r="I1621" s="144" t="s">
        <v>2593</v>
      </c>
    </row>
    <row r="1622" spans="1:9" ht="63">
      <c r="A1622" s="193">
        <v>45939</v>
      </c>
      <c r="B1622" s="145" t="s">
        <v>832</v>
      </c>
      <c r="C1622" s="150">
        <v>2025</v>
      </c>
      <c r="D1622" s="201" t="s">
        <v>1431</v>
      </c>
      <c r="E1622" s="144" t="s">
        <v>2591</v>
      </c>
      <c r="F1622" s="139" t="s">
        <v>88</v>
      </c>
      <c r="G1622" s="148" t="s">
        <v>3157</v>
      </c>
      <c r="H1622" s="146" t="s">
        <v>26</v>
      </c>
      <c r="I1622" s="144" t="s">
        <v>2593</v>
      </c>
    </row>
    <row r="1623" spans="1:9" ht="38.1">
      <c r="A1623" s="193">
        <v>45939</v>
      </c>
      <c r="B1623" s="145" t="s">
        <v>832</v>
      </c>
      <c r="C1623" s="150">
        <v>2025</v>
      </c>
      <c r="D1623" s="201" t="s">
        <v>1431</v>
      </c>
      <c r="E1623" s="144" t="s">
        <v>2591</v>
      </c>
      <c r="F1623" s="139" t="s">
        <v>88</v>
      </c>
      <c r="G1623" s="148" t="s">
        <v>3158</v>
      </c>
      <c r="H1623" s="146" t="s">
        <v>26</v>
      </c>
      <c r="I1623" s="144" t="s">
        <v>2593</v>
      </c>
    </row>
    <row r="1624" spans="1:9" ht="25.5">
      <c r="A1624" s="193">
        <v>45939</v>
      </c>
      <c r="B1624" s="145" t="s">
        <v>832</v>
      </c>
      <c r="C1624" s="150">
        <v>2025</v>
      </c>
      <c r="D1624" s="201" t="s">
        <v>1431</v>
      </c>
      <c r="E1624" s="144" t="s">
        <v>1566</v>
      </c>
      <c r="F1624" s="139" t="s">
        <v>88</v>
      </c>
      <c r="G1624" s="144" t="s">
        <v>3159</v>
      </c>
      <c r="H1624" s="146" t="s">
        <v>26</v>
      </c>
      <c r="I1624" s="144" t="s">
        <v>492</v>
      </c>
    </row>
    <row r="1625" spans="1:9" ht="63">
      <c r="A1625" s="193">
        <v>45939</v>
      </c>
      <c r="B1625" s="145" t="s">
        <v>832</v>
      </c>
      <c r="C1625" s="150">
        <v>2025</v>
      </c>
      <c r="D1625" s="201" t="s">
        <v>1431</v>
      </c>
      <c r="E1625" s="144" t="s">
        <v>216</v>
      </c>
      <c r="F1625" s="141" t="s">
        <v>821</v>
      </c>
      <c r="G1625" s="144" t="s">
        <v>3160</v>
      </c>
      <c r="H1625" s="146" t="s">
        <v>26</v>
      </c>
      <c r="I1625" s="144" t="s">
        <v>492</v>
      </c>
    </row>
    <row r="1626" spans="1:9" ht="25.5">
      <c r="A1626" s="193">
        <v>45940</v>
      </c>
      <c r="B1626" s="145" t="s">
        <v>832</v>
      </c>
      <c r="C1626" s="150">
        <v>2025</v>
      </c>
      <c r="D1626" s="201" t="s">
        <v>1431</v>
      </c>
      <c r="E1626" s="144" t="s">
        <v>2244</v>
      </c>
      <c r="F1626" s="139" t="s">
        <v>88</v>
      </c>
      <c r="G1626" s="144" t="s">
        <v>3161</v>
      </c>
      <c r="H1626" s="146" t="s">
        <v>26</v>
      </c>
      <c r="I1626" s="144" t="s">
        <v>1998</v>
      </c>
    </row>
    <row r="1627" spans="1:9" ht="25.5">
      <c r="A1627" s="193">
        <v>45940</v>
      </c>
      <c r="B1627" s="145" t="s">
        <v>832</v>
      </c>
      <c r="C1627" s="150">
        <v>2025</v>
      </c>
      <c r="D1627" s="201" t="s">
        <v>1431</v>
      </c>
      <c r="E1627" s="144" t="s">
        <v>1608</v>
      </c>
      <c r="F1627" s="140" t="s">
        <v>1439</v>
      </c>
      <c r="G1627" s="144" t="s">
        <v>3162</v>
      </c>
      <c r="H1627" s="146" t="s">
        <v>26</v>
      </c>
      <c r="I1627" s="144" t="s">
        <v>1458</v>
      </c>
    </row>
    <row r="1628" spans="1:9" ht="38.1">
      <c r="A1628" s="193">
        <v>45940</v>
      </c>
      <c r="B1628" s="145" t="s">
        <v>832</v>
      </c>
      <c r="C1628" s="150">
        <v>2025</v>
      </c>
      <c r="D1628" s="201" t="s">
        <v>1431</v>
      </c>
      <c r="E1628" s="144" t="s">
        <v>2434</v>
      </c>
      <c r="F1628" s="147" t="s">
        <v>859</v>
      </c>
      <c r="G1628" s="144" t="s">
        <v>3163</v>
      </c>
      <c r="H1628" s="146" t="s">
        <v>26</v>
      </c>
      <c r="I1628" s="144" t="s">
        <v>3164</v>
      </c>
    </row>
    <row r="1629" spans="1:9" ht="25.5">
      <c r="A1629" s="193">
        <v>45940</v>
      </c>
      <c r="B1629" s="145" t="s">
        <v>832</v>
      </c>
      <c r="C1629" s="150">
        <v>2025</v>
      </c>
      <c r="D1629" s="201" t="s">
        <v>1431</v>
      </c>
      <c r="E1629" s="144" t="s">
        <v>216</v>
      </c>
      <c r="F1629" s="141" t="s">
        <v>821</v>
      </c>
      <c r="G1629" s="144" t="s">
        <v>3165</v>
      </c>
      <c r="H1629" s="146" t="s">
        <v>26</v>
      </c>
      <c r="I1629" s="144" t="s">
        <v>492</v>
      </c>
    </row>
    <row r="1630" spans="1:9" ht="25.5">
      <c r="A1630" s="193">
        <v>45940</v>
      </c>
      <c r="B1630" s="145" t="s">
        <v>832</v>
      </c>
      <c r="C1630" s="150">
        <v>2025</v>
      </c>
      <c r="D1630" s="201" t="s">
        <v>1431</v>
      </c>
      <c r="E1630" s="144" t="s">
        <v>1506</v>
      </c>
      <c r="F1630" s="139" t="s">
        <v>88</v>
      </c>
      <c r="G1630" s="144" t="s">
        <v>3166</v>
      </c>
      <c r="H1630" s="146" t="s">
        <v>26</v>
      </c>
      <c r="I1630" s="144" t="s">
        <v>1904</v>
      </c>
    </row>
    <row r="1631" spans="1:9" ht="50.45">
      <c r="A1631" s="193">
        <v>45940</v>
      </c>
      <c r="B1631" s="145" t="s">
        <v>832</v>
      </c>
      <c r="C1631" s="150">
        <v>2025</v>
      </c>
      <c r="D1631" s="201" t="s">
        <v>2224</v>
      </c>
      <c r="E1631" s="144" t="s">
        <v>574</v>
      </c>
      <c r="F1631" s="139" t="s">
        <v>88</v>
      </c>
      <c r="G1631" s="144" t="s">
        <v>3167</v>
      </c>
      <c r="H1631" s="146" t="s">
        <v>26</v>
      </c>
      <c r="I1631" s="144" t="s">
        <v>2568</v>
      </c>
    </row>
    <row r="1632" spans="1:9" ht="25.5">
      <c r="A1632" s="193">
        <v>45940</v>
      </c>
      <c r="B1632" s="145" t="s">
        <v>832</v>
      </c>
      <c r="C1632" s="150">
        <v>2025</v>
      </c>
      <c r="D1632" s="201" t="s">
        <v>1431</v>
      </c>
      <c r="E1632" s="144" t="s">
        <v>216</v>
      </c>
      <c r="F1632" s="141" t="s">
        <v>821</v>
      </c>
      <c r="G1632" s="144" t="s">
        <v>3168</v>
      </c>
      <c r="H1632" s="146" t="s">
        <v>26</v>
      </c>
      <c r="I1632" s="144" t="s">
        <v>492</v>
      </c>
    </row>
    <row r="1633" spans="1:9" ht="25.5">
      <c r="A1633" s="193">
        <v>45940</v>
      </c>
      <c r="B1633" s="145" t="s">
        <v>832</v>
      </c>
      <c r="C1633" s="150">
        <v>2025</v>
      </c>
      <c r="D1633" s="201" t="s">
        <v>1431</v>
      </c>
      <c r="E1633" s="144" t="s">
        <v>2591</v>
      </c>
      <c r="F1633" s="147" t="s">
        <v>859</v>
      </c>
      <c r="G1633" s="144" t="s">
        <v>3169</v>
      </c>
      <c r="H1633" s="146" t="s">
        <v>26</v>
      </c>
      <c r="I1633" s="144" t="s">
        <v>2593</v>
      </c>
    </row>
    <row r="1634" spans="1:9" ht="25.5">
      <c r="A1634" s="193">
        <v>45940</v>
      </c>
      <c r="B1634" s="145" t="s">
        <v>832</v>
      </c>
      <c r="C1634" s="150">
        <v>2025</v>
      </c>
      <c r="D1634" s="201" t="s">
        <v>1431</v>
      </c>
      <c r="E1634" s="144" t="s">
        <v>2591</v>
      </c>
      <c r="F1634" s="139" t="s">
        <v>88</v>
      </c>
      <c r="G1634" s="148" t="s">
        <v>3170</v>
      </c>
      <c r="H1634" s="146" t="s">
        <v>26</v>
      </c>
      <c r="I1634" s="144" t="s">
        <v>2593</v>
      </c>
    </row>
    <row r="1635" spans="1:9" ht="63">
      <c r="A1635" s="193">
        <v>45940</v>
      </c>
      <c r="B1635" s="145" t="s">
        <v>832</v>
      </c>
      <c r="C1635" s="150">
        <v>2025</v>
      </c>
      <c r="D1635" s="201" t="s">
        <v>1431</v>
      </c>
      <c r="E1635" s="144" t="s">
        <v>2591</v>
      </c>
      <c r="F1635" s="139" t="s">
        <v>88</v>
      </c>
      <c r="G1635" s="148" t="s">
        <v>3171</v>
      </c>
      <c r="H1635" s="146" t="s">
        <v>26</v>
      </c>
      <c r="I1635" s="144" t="s">
        <v>2593</v>
      </c>
    </row>
    <row r="1636" spans="1:9" ht="14.1">
      <c r="A1636" s="193">
        <v>45940</v>
      </c>
      <c r="B1636" s="145" t="s">
        <v>832</v>
      </c>
      <c r="C1636" s="150">
        <v>2025</v>
      </c>
      <c r="D1636" s="201" t="s">
        <v>1431</v>
      </c>
      <c r="E1636" s="144" t="s">
        <v>1566</v>
      </c>
      <c r="F1636" s="139" t="s">
        <v>88</v>
      </c>
      <c r="G1636" s="144" t="s">
        <v>3172</v>
      </c>
      <c r="H1636" s="146" t="s">
        <v>26</v>
      </c>
      <c r="I1636" s="144" t="s">
        <v>2786</v>
      </c>
    </row>
    <row r="1637" spans="1:9" ht="14.1">
      <c r="A1637" s="193">
        <v>45940</v>
      </c>
      <c r="B1637" s="145" t="s">
        <v>832</v>
      </c>
      <c r="C1637" s="150">
        <v>2025</v>
      </c>
      <c r="D1637" s="201" t="s">
        <v>1431</v>
      </c>
      <c r="E1637" s="144" t="s">
        <v>1566</v>
      </c>
      <c r="F1637" s="139" t="s">
        <v>88</v>
      </c>
      <c r="G1637" s="144" t="s">
        <v>3173</v>
      </c>
      <c r="H1637" s="146" t="s">
        <v>26</v>
      </c>
      <c r="I1637" s="144" t="s">
        <v>2786</v>
      </c>
    </row>
    <row r="1638" spans="1:9" ht="188.1">
      <c r="A1638" s="193">
        <v>45940</v>
      </c>
      <c r="B1638" s="145" t="s">
        <v>832</v>
      </c>
      <c r="C1638" s="150">
        <v>2025</v>
      </c>
      <c r="D1638" s="201" t="s">
        <v>2224</v>
      </c>
      <c r="E1638" s="144" t="s">
        <v>2591</v>
      </c>
      <c r="F1638" s="139" t="s">
        <v>88</v>
      </c>
      <c r="G1638" s="144" t="s">
        <v>3174</v>
      </c>
      <c r="H1638" s="146" t="s">
        <v>26</v>
      </c>
      <c r="I1638" s="144" t="s">
        <v>2593</v>
      </c>
    </row>
    <row r="1639" spans="1:9" ht="25.5">
      <c r="A1639" s="193">
        <v>45943</v>
      </c>
      <c r="B1639" s="145" t="s">
        <v>832</v>
      </c>
      <c r="C1639" s="150">
        <v>2025</v>
      </c>
      <c r="D1639" s="201" t="s">
        <v>1431</v>
      </c>
      <c r="E1639" s="144" t="s">
        <v>922</v>
      </c>
      <c r="F1639" s="139" t="s">
        <v>88</v>
      </c>
      <c r="G1639" s="144" t="s">
        <v>3175</v>
      </c>
      <c r="H1639" s="146" t="s">
        <v>26</v>
      </c>
      <c r="I1639" s="144" t="s">
        <v>3176</v>
      </c>
    </row>
    <row r="1640" spans="1:9" ht="14.1">
      <c r="A1640" s="193">
        <v>45943</v>
      </c>
      <c r="B1640" s="145" t="s">
        <v>832</v>
      </c>
      <c r="C1640" s="150">
        <v>2025</v>
      </c>
      <c r="D1640" s="201" t="s">
        <v>1431</v>
      </c>
      <c r="E1640" s="144" t="s">
        <v>1539</v>
      </c>
      <c r="F1640" s="147" t="s">
        <v>859</v>
      </c>
      <c r="G1640" s="144" t="s">
        <v>3177</v>
      </c>
      <c r="H1640" s="146" t="s">
        <v>26</v>
      </c>
      <c r="I1640" s="144" t="s">
        <v>3178</v>
      </c>
    </row>
    <row r="1641" spans="1:9" ht="38.1">
      <c r="A1641" s="193">
        <v>45943</v>
      </c>
      <c r="B1641" s="145" t="s">
        <v>832</v>
      </c>
      <c r="C1641" s="150">
        <v>2025</v>
      </c>
      <c r="D1641" s="201" t="s">
        <v>1431</v>
      </c>
      <c r="E1641" s="144" t="s">
        <v>1434</v>
      </c>
      <c r="F1641" s="139" t="s">
        <v>88</v>
      </c>
      <c r="G1641" s="144" t="s">
        <v>3179</v>
      </c>
      <c r="H1641" s="146" t="s">
        <v>26</v>
      </c>
      <c r="I1641" s="144" t="s">
        <v>923</v>
      </c>
    </row>
    <row r="1642" spans="1:9" ht="25.5">
      <c r="A1642" s="193">
        <v>45943</v>
      </c>
      <c r="B1642" s="145" t="s">
        <v>832</v>
      </c>
      <c r="C1642" s="150">
        <v>2025</v>
      </c>
      <c r="D1642" s="201" t="s">
        <v>1431</v>
      </c>
      <c r="E1642" s="144" t="s">
        <v>988</v>
      </c>
      <c r="F1642" s="147" t="s">
        <v>859</v>
      </c>
      <c r="G1642" s="144" t="s">
        <v>3180</v>
      </c>
      <c r="H1642" s="146" t="s">
        <v>26</v>
      </c>
      <c r="I1642" s="144" t="s">
        <v>910</v>
      </c>
    </row>
    <row r="1643" spans="1:9" ht="38.1">
      <c r="A1643" s="193">
        <v>45943</v>
      </c>
      <c r="B1643" s="145" t="s">
        <v>832</v>
      </c>
      <c r="C1643" s="150">
        <v>2025</v>
      </c>
      <c r="D1643" s="201" t="s">
        <v>1431</v>
      </c>
      <c r="E1643" s="144" t="s">
        <v>97</v>
      </c>
      <c r="F1643" s="141" t="s">
        <v>821</v>
      </c>
      <c r="G1643" s="144" t="s">
        <v>3181</v>
      </c>
      <c r="H1643" s="146" t="s">
        <v>26</v>
      </c>
      <c r="I1643" s="144" t="s">
        <v>158</v>
      </c>
    </row>
    <row r="1644" spans="1:9" ht="25.5">
      <c r="A1644" s="193">
        <v>45943</v>
      </c>
      <c r="B1644" s="145" t="s">
        <v>832</v>
      </c>
      <c r="C1644" s="150">
        <v>2025</v>
      </c>
      <c r="D1644" s="201" t="s">
        <v>1431</v>
      </c>
      <c r="E1644" s="144" t="s">
        <v>2224</v>
      </c>
      <c r="F1644" s="147" t="s">
        <v>859</v>
      </c>
      <c r="G1644" s="144" t="s">
        <v>3182</v>
      </c>
      <c r="H1644" s="146" t="s">
        <v>26</v>
      </c>
      <c r="I1644" s="144" t="s">
        <v>3183</v>
      </c>
    </row>
    <row r="1645" spans="1:9" ht="25.5">
      <c r="A1645" s="193">
        <v>45943</v>
      </c>
      <c r="B1645" s="145" t="s">
        <v>832</v>
      </c>
      <c r="C1645" s="150">
        <v>2025</v>
      </c>
      <c r="D1645" s="201" t="s">
        <v>1431</v>
      </c>
      <c r="E1645" s="144" t="s">
        <v>2591</v>
      </c>
      <c r="F1645" s="139" t="s">
        <v>88</v>
      </c>
      <c r="G1645" s="144" t="s">
        <v>3184</v>
      </c>
      <c r="H1645" s="146" t="s">
        <v>26</v>
      </c>
      <c r="I1645" s="144" t="s">
        <v>2593</v>
      </c>
    </row>
    <row r="1646" spans="1:9" ht="25.5">
      <c r="A1646" s="193">
        <v>45943</v>
      </c>
      <c r="B1646" s="145" t="s">
        <v>832</v>
      </c>
      <c r="C1646" s="150">
        <v>2025</v>
      </c>
      <c r="D1646" s="201" t="s">
        <v>1431</v>
      </c>
      <c r="E1646" s="144" t="s">
        <v>2591</v>
      </c>
      <c r="F1646" s="139" t="s">
        <v>88</v>
      </c>
      <c r="G1646" s="148" t="s">
        <v>3185</v>
      </c>
      <c r="H1646" s="146" t="s">
        <v>26</v>
      </c>
      <c r="I1646" s="144" t="s">
        <v>2593</v>
      </c>
    </row>
    <row r="1647" spans="1:9" ht="50.45">
      <c r="A1647" s="193">
        <v>45943</v>
      </c>
      <c r="B1647" s="145" t="s">
        <v>832</v>
      </c>
      <c r="C1647" s="150">
        <v>2025</v>
      </c>
      <c r="D1647" s="201" t="s">
        <v>1431</v>
      </c>
      <c r="E1647" s="144" t="s">
        <v>2591</v>
      </c>
      <c r="F1647" s="139" t="s">
        <v>88</v>
      </c>
      <c r="G1647" s="148" t="s">
        <v>3186</v>
      </c>
      <c r="H1647" s="146" t="s">
        <v>26</v>
      </c>
      <c r="I1647" s="144" t="s">
        <v>2593</v>
      </c>
    </row>
    <row r="1648" spans="1:9" ht="25.5">
      <c r="A1648" s="193">
        <v>45943</v>
      </c>
      <c r="B1648" s="145" t="s">
        <v>832</v>
      </c>
      <c r="C1648" s="150">
        <v>2025</v>
      </c>
      <c r="D1648" s="201" t="s">
        <v>1431</v>
      </c>
      <c r="E1648" s="144" t="s">
        <v>2591</v>
      </c>
      <c r="F1648" s="141" t="s">
        <v>821</v>
      </c>
      <c r="G1648" s="148" t="s">
        <v>3187</v>
      </c>
      <c r="H1648" s="146" t="s">
        <v>26</v>
      </c>
      <c r="I1648" s="144" t="s">
        <v>2593</v>
      </c>
    </row>
    <row r="1649" spans="1:9" ht="38.1">
      <c r="A1649" s="193">
        <v>45943</v>
      </c>
      <c r="B1649" s="145" t="s">
        <v>832</v>
      </c>
      <c r="C1649" s="150">
        <v>2025</v>
      </c>
      <c r="D1649" s="201" t="s">
        <v>1431</v>
      </c>
      <c r="E1649" s="144" t="s">
        <v>1566</v>
      </c>
      <c r="F1649" s="139" t="s">
        <v>88</v>
      </c>
      <c r="G1649" s="144" t="s">
        <v>3188</v>
      </c>
      <c r="H1649" s="146" t="s">
        <v>26</v>
      </c>
      <c r="I1649" s="144" t="s">
        <v>1588</v>
      </c>
    </row>
    <row r="1650" spans="1:9" ht="25.5">
      <c r="A1650" s="193">
        <v>45943</v>
      </c>
      <c r="B1650" s="145" t="s">
        <v>832</v>
      </c>
      <c r="C1650" s="150">
        <v>2025</v>
      </c>
      <c r="D1650" s="201" t="s">
        <v>1431</v>
      </c>
      <c r="E1650" s="144" t="s">
        <v>1608</v>
      </c>
      <c r="F1650" s="140" t="s">
        <v>1439</v>
      </c>
      <c r="G1650" s="144" t="s">
        <v>3189</v>
      </c>
      <c r="H1650" s="146" t="s">
        <v>26</v>
      </c>
      <c r="I1650" s="144" t="s">
        <v>1458</v>
      </c>
    </row>
    <row r="1651" spans="1:9" ht="25.5">
      <c r="A1651" s="193">
        <v>45943</v>
      </c>
      <c r="B1651" s="145" t="s">
        <v>832</v>
      </c>
      <c r="C1651" s="150">
        <v>2025</v>
      </c>
      <c r="D1651" s="201" t="s">
        <v>1431</v>
      </c>
      <c r="E1651" s="144" t="s">
        <v>1608</v>
      </c>
      <c r="F1651" s="140" t="s">
        <v>1439</v>
      </c>
      <c r="G1651" s="144" t="s">
        <v>3190</v>
      </c>
      <c r="H1651" s="146" t="s">
        <v>26</v>
      </c>
      <c r="I1651" s="144" t="s">
        <v>1458</v>
      </c>
    </row>
    <row r="1652" spans="1:9" ht="25.5">
      <c r="A1652" s="193">
        <v>45943</v>
      </c>
      <c r="B1652" s="145" t="s">
        <v>832</v>
      </c>
      <c r="C1652" s="150">
        <v>2025</v>
      </c>
      <c r="D1652" s="201" t="s">
        <v>1431</v>
      </c>
      <c r="E1652" s="144" t="s">
        <v>1608</v>
      </c>
      <c r="F1652" s="140" t="s">
        <v>1439</v>
      </c>
      <c r="G1652" s="144" t="s">
        <v>3191</v>
      </c>
      <c r="H1652" s="146" t="s">
        <v>26</v>
      </c>
      <c r="I1652" s="144" t="s">
        <v>1458</v>
      </c>
    </row>
    <row r="1653" spans="1:9" ht="14.1">
      <c r="A1653" s="193">
        <v>45943</v>
      </c>
      <c r="B1653" s="145" t="s">
        <v>832</v>
      </c>
      <c r="C1653" s="150">
        <v>2025</v>
      </c>
      <c r="D1653" s="201" t="s">
        <v>2224</v>
      </c>
      <c r="E1653" s="144" t="s">
        <v>1566</v>
      </c>
      <c r="F1653" s="139" t="s">
        <v>88</v>
      </c>
      <c r="G1653" s="144" t="s">
        <v>3192</v>
      </c>
      <c r="H1653" s="146" t="s">
        <v>26</v>
      </c>
      <c r="I1653" s="144" t="s">
        <v>1588</v>
      </c>
    </row>
    <row r="1654" spans="1:9" ht="87.95">
      <c r="A1654" s="193">
        <v>45943</v>
      </c>
      <c r="B1654" s="145" t="s">
        <v>832</v>
      </c>
      <c r="C1654" s="150">
        <v>2025</v>
      </c>
      <c r="D1654" s="201" t="s">
        <v>2224</v>
      </c>
      <c r="E1654" s="144" t="s">
        <v>2591</v>
      </c>
      <c r="F1654" s="139" t="s">
        <v>88</v>
      </c>
      <c r="G1654" s="148" t="s">
        <v>3193</v>
      </c>
      <c r="H1654" s="146" t="s">
        <v>26</v>
      </c>
      <c r="I1654" s="144" t="s">
        <v>2593</v>
      </c>
    </row>
    <row r="1655" spans="1:9" ht="50.45">
      <c r="A1655" s="193">
        <v>45944</v>
      </c>
      <c r="B1655" s="145" t="s">
        <v>832</v>
      </c>
      <c r="C1655" s="150">
        <v>2025</v>
      </c>
      <c r="D1655" s="201" t="s">
        <v>1431</v>
      </c>
      <c r="E1655" s="144" t="s">
        <v>1225</v>
      </c>
      <c r="F1655" s="147" t="s">
        <v>859</v>
      </c>
      <c r="G1655" s="144" t="s">
        <v>3194</v>
      </c>
      <c r="H1655" s="146" t="s">
        <v>26</v>
      </c>
      <c r="I1655" s="144" t="s">
        <v>452</v>
      </c>
    </row>
    <row r="1656" spans="1:9" ht="25.5">
      <c r="A1656" s="193">
        <v>45944</v>
      </c>
      <c r="B1656" s="145" t="s">
        <v>832</v>
      </c>
      <c r="C1656" s="150">
        <v>2025</v>
      </c>
      <c r="D1656" s="201" t="s">
        <v>1431</v>
      </c>
      <c r="E1656" s="144" t="s">
        <v>1225</v>
      </c>
      <c r="F1656" s="147" t="s">
        <v>859</v>
      </c>
      <c r="G1656" s="144" t="s">
        <v>3195</v>
      </c>
      <c r="H1656" s="146" t="s">
        <v>26</v>
      </c>
      <c r="I1656" s="144" t="s">
        <v>1543</v>
      </c>
    </row>
    <row r="1657" spans="1:9" ht="25.5">
      <c r="A1657" s="193">
        <v>45944</v>
      </c>
      <c r="B1657" s="145" t="s">
        <v>832</v>
      </c>
      <c r="C1657" s="150">
        <v>2025</v>
      </c>
      <c r="D1657" s="201" t="s">
        <v>1431</v>
      </c>
      <c r="E1657" s="144" t="s">
        <v>1518</v>
      </c>
      <c r="F1657" s="139" t="s">
        <v>88</v>
      </c>
      <c r="G1657" s="144" t="s">
        <v>3196</v>
      </c>
      <c r="H1657" s="146" t="s">
        <v>26</v>
      </c>
      <c r="I1657" s="144" t="s">
        <v>3176</v>
      </c>
    </row>
    <row r="1658" spans="1:9" ht="25.5">
      <c r="A1658" s="193">
        <v>45944</v>
      </c>
      <c r="B1658" s="145" t="s">
        <v>832</v>
      </c>
      <c r="C1658" s="150">
        <v>2025</v>
      </c>
      <c r="D1658" s="201" t="s">
        <v>1431</v>
      </c>
      <c r="E1658" s="144" t="s">
        <v>216</v>
      </c>
      <c r="F1658" s="141" t="s">
        <v>821</v>
      </c>
      <c r="G1658" s="144" t="s">
        <v>3197</v>
      </c>
      <c r="H1658" s="146" t="s">
        <v>26</v>
      </c>
      <c r="I1658" s="144" t="s">
        <v>492</v>
      </c>
    </row>
    <row r="1659" spans="1:9" ht="25.5">
      <c r="A1659" s="193">
        <v>45944</v>
      </c>
      <c r="B1659" s="145" t="s">
        <v>832</v>
      </c>
      <c r="C1659" s="150">
        <v>2025</v>
      </c>
      <c r="D1659" s="201" t="s">
        <v>1431</v>
      </c>
      <c r="E1659" s="144" t="s">
        <v>1584</v>
      </c>
      <c r="F1659" s="141" t="s">
        <v>821</v>
      </c>
      <c r="G1659" s="144" t="s">
        <v>3198</v>
      </c>
      <c r="H1659" s="146" t="s">
        <v>26</v>
      </c>
      <c r="I1659" s="144" t="s">
        <v>158</v>
      </c>
    </row>
    <row r="1660" spans="1:9" ht="38.1">
      <c r="A1660" s="193">
        <v>45944</v>
      </c>
      <c r="B1660" s="145" t="s">
        <v>832</v>
      </c>
      <c r="C1660" s="150">
        <v>2025</v>
      </c>
      <c r="D1660" s="201" t="s">
        <v>2224</v>
      </c>
      <c r="E1660" s="144" t="s">
        <v>988</v>
      </c>
      <c r="F1660" s="139" t="s">
        <v>88</v>
      </c>
      <c r="G1660" s="144" t="s">
        <v>3199</v>
      </c>
      <c r="H1660" s="146" t="s">
        <v>26</v>
      </c>
      <c r="I1660" s="144" t="s">
        <v>2568</v>
      </c>
    </row>
    <row r="1661" spans="1:9" ht="25.5">
      <c r="A1661" s="193">
        <v>45944</v>
      </c>
      <c r="B1661" s="145" t="s">
        <v>832</v>
      </c>
      <c r="C1661" s="150">
        <v>2025</v>
      </c>
      <c r="D1661" s="201" t="s">
        <v>2224</v>
      </c>
      <c r="E1661" s="144" t="s">
        <v>216</v>
      </c>
      <c r="F1661" s="141" t="s">
        <v>821</v>
      </c>
      <c r="G1661" s="144" t="s">
        <v>3200</v>
      </c>
      <c r="H1661" s="146" t="s">
        <v>26</v>
      </c>
      <c r="I1661" s="144" t="s">
        <v>492</v>
      </c>
    </row>
    <row r="1662" spans="1:9" ht="38.1">
      <c r="A1662" s="193">
        <v>45944</v>
      </c>
      <c r="B1662" s="145" t="s">
        <v>832</v>
      </c>
      <c r="C1662" s="150">
        <v>2025</v>
      </c>
      <c r="D1662" s="201" t="s">
        <v>2224</v>
      </c>
      <c r="E1662" s="144" t="s">
        <v>1508</v>
      </c>
      <c r="F1662" s="141" t="s">
        <v>821</v>
      </c>
      <c r="G1662" s="144" t="s">
        <v>3201</v>
      </c>
      <c r="H1662" s="146" t="s">
        <v>26</v>
      </c>
      <c r="I1662" s="144" t="s">
        <v>2953</v>
      </c>
    </row>
    <row r="1663" spans="1:9" ht="25.5">
      <c r="A1663" s="193">
        <v>45944</v>
      </c>
      <c r="B1663" s="145" t="s">
        <v>832</v>
      </c>
      <c r="C1663" s="150">
        <v>2025</v>
      </c>
      <c r="D1663" s="201" t="s">
        <v>1431</v>
      </c>
      <c r="E1663" s="144" t="s">
        <v>2591</v>
      </c>
      <c r="F1663" s="139" t="s">
        <v>88</v>
      </c>
      <c r="G1663" s="148" t="s">
        <v>3202</v>
      </c>
      <c r="H1663" s="146" t="s">
        <v>26</v>
      </c>
      <c r="I1663" s="144" t="s">
        <v>2593</v>
      </c>
    </row>
    <row r="1664" spans="1:9" ht="38.1">
      <c r="A1664" s="193">
        <v>45944</v>
      </c>
      <c r="B1664" s="145" t="s">
        <v>832</v>
      </c>
      <c r="C1664" s="150">
        <v>2025</v>
      </c>
      <c r="D1664" s="201" t="s">
        <v>1431</v>
      </c>
      <c r="E1664" s="144" t="s">
        <v>2591</v>
      </c>
      <c r="F1664" s="139" t="s">
        <v>88</v>
      </c>
      <c r="G1664" s="148" t="s">
        <v>3203</v>
      </c>
      <c r="H1664" s="146" t="s">
        <v>26</v>
      </c>
      <c r="I1664" s="144" t="s">
        <v>2593</v>
      </c>
    </row>
    <row r="1665" spans="1:9" ht="50.45">
      <c r="A1665" s="193">
        <v>45944</v>
      </c>
      <c r="B1665" s="145" t="s">
        <v>832</v>
      </c>
      <c r="C1665" s="150">
        <v>2025</v>
      </c>
      <c r="D1665" s="201" t="s">
        <v>1431</v>
      </c>
      <c r="E1665" s="144" t="s">
        <v>2591</v>
      </c>
      <c r="F1665" s="139" t="s">
        <v>88</v>
      </c>
      <c r="G1665" s="148" t="s">
        <v>3204</v>
      </c>
      <c r="H1665" s="146" t="s">
        <v>26</v>
      </c>
      <c r="I1665" s="144" t="s">
        <v>2593</v>
      </c>
    </row>
    <row r="1666" spans="1:9" ht="25.5">
      <c r="A1666" s="193">
        <v>45944</v>
      </c>
      <c r="B1666" s="145" t="s">
        <v>832</v>
      </c>
      <c r="C1666" s="150">
        <v>2025</v>
      </c>
      <c r="D1666" s="201" t="s">
        <v>1431</v>
      </c>
      <c r="E1666" s="144" t="s">
        <v>2591</v>
      </c>
      <c r="F1666" s="139" t="s">
        <v>88</v>
      </c>
      <c r="G1666" s="148" t="s">
        <v>3205</v>
      </c>
      <c r="H1666" s="146" t="s">
        <v>26</v>
      </c>
      <c r="I1666" s="144" t="s">
        <v>2593</v>
      </c>
    </row>
    <row r="1667" spans="1:9" ht="63">
      <c r="A1667" s="193">
        <v>45944</v>
      </c>
      <c r="B1667" s="145" t="s">
        <v>832</v>
      </c>
      <c r="C1667" s="150">
        <v>2025</v>
      </c>
      <c r="D1667" s="201" t="s">
        <v>1431</v>
      </c>
      <c r="E1667" s="144" t="s">
        <v>2591</v>
      </c>
      <c r="F1667" s="139" t="s">
        <v>88</v>
      </c>
      <c r="G1667" s="148" t="s">
        <v>3206</v>
      </c>
      <c r="H1667" s="146" t="s">
        <v>26</v>
      </c>
      <c r="I1667" s="144" t="s">
        <v>2593</v>
      </c>
    </row>
    <row r="1668" spans="1:9" ht="25.5">
      <c r="A1668" s="193">
        <v>45945</v>
      </c>
      <c r="B1668" s="145" t="s">
        <v>832</v>
      </c>
      <c r="C1668" s="150">
        <v>2025</v>
      </c>
      <c r="D1668" s="201" t="s">
        <v>1431</v>
      </c>
      <c r="E1668" s="144" t="s">
        <v>1504</v>
      </c>
      <c r="F1668" s="139" t="s">
        <v>88</v>
      </c>
      <c r="G1668" s="144" t="s">
        <v>3207</v>
      </c>
      <c r="H1668" s="146" t="s">
        <v>26</v>
      </c>
      <c r="I1668" s="144" t="s">
        <v>921</v>
      </c>
    </row>
    <row r="1669" spans="1:9" ht="38.1">
      <c r="A1669" s="193">
        <v>45945</v>
      </c>
      <c r="B1669" s="145" t="s">
        <v>832</v>
      </c>
      <c r="C1669" s="150">
        <v>2025</v>
      </c>
      <c r="D1669" s="201" t="s">
        <v>1431</v>
      </c>
      <c r="E1669" s="144" t="s">
        <v>1504</v>
      </c>
      <c r="F1669" s="141" t="s">
        <v>821</v>
      </c>
      <c r="G1669" s="144" t="s">
        <v>3208</v>
      </c>
      <c r="H1669" s="146" t="s">
        <v>26</v>
      </c>
      <c r="I1669" s="144" t="s">
        <v>921</v>
      </c>
    </row>
    <row r="1670" spans="1:9" ht="50.45">
      <c r="A1670" s="193">
        <v>45945</v>
      </c>
      <c r="B1670" s="145" t="s">
        <v>832</v>
      </c>
      <c r="C1670" s="150">
        <v>2025</v>
      </c>
      <c r="D1670" s="201" t="s">
        <v>1431</v>
      </c>
      <c r="E1670" s="144" t="s">
        <v>21</v>
      </c>
      <c r="F1670" s="141" t="s">
        <v>821</v>
      </c>
      <c r="G1670" s="144" t="s">
        <v>3209</v>
      </c>
      <c r="H1670" s="146" t="s">
        <v>26</v>
      </c>
      <c r="I1670" s="144" t="s">
        <v>149</v>
      </c>
    </row>
    <row r="1671" spans="1:9" ht="14.1">
      <c r="A1671" s="193">
        <v>45945</v>
      </c>
      <c r="B1671" s="145" t="s">
        <v>832</v>
      </c>
      <c r="C1671" s="150">
        <v>2025</v>
      </c>
      <c r="D1671" s="201" t="s">
        <v>1431</v>
      </c>
      <c r="E1671" s="144" t="s">
        <v>21</v>
      </c>
      <c r="F1671" s="141" t="s">
        <v>821</v>
      </c>
      <c r="G1671" s="144" t="s">
        <v>3210</v>
      </c>
      <c r="H1671" s="146" t="s">
        <v>26</v>
      </c>
      <c r="I1671" s="144" t="s">
        <v>149</v>
      </c>
    </row>
    <row r="1672" spans="1:9" ht="25.5">
      <c r="A1672" s="193">
        <v>45945</v>
      </c>
      <c r="B1672" s="145" t="s">
        <v>832</v>
      </c>
      <c r="C1672" s="150">
        <v>2025</v>
      </c>
      <c r="D1672" s="201" t="s">
        <v>1431</v>
      </c>
      <c r="E1672" s="144" t="s">
        <v>1508</v>
      </c>
      <c r="F1672" s="139" t="s">
        <v>88</v>
      </c>
      <c r="G1672" s="144" t="s">
        <v>3211</v>
      </c>
      <c r="H1672" s="146" t="s">
        <v>26</v>
      </c>
      <c r="I1672" s="144" t="s">
        <v>3176</v>
      </c>
    </row>
    <row r="1673" spans="1:9" ht="38.1">
      <c r="A1673" s="193">
        <v>45945</v>
      </c>
      <c r="B1673" s="145" t="s">
        <v>832</v>
      </c>
      <c r="C1673" s="150">
        <v>2025</v>
      </c>
      <c r="D1673" s="201" t="s">
        <v>1431</v>
      </c>
      <c r="E1673" s="144" t="s">
        <v>3011</v>
      </c>
      <c r="F1673" s="140" t="s">
        <v>1439</v>
      </c>
      <c r="G1673" s="144" t="s">
        <v>3212</v>
      </c>
      <c r="H1673" s="146" t="s">
        <v>26</v>
      </c>
      <c r="I1673" s="144" t="s">
        <v>2599</v>
      </c>
    </row>
    <row r="1674" spans="1:9" ht="25.5">
      <c r="A1674" s="193">
        <v>45945</v>
      </c>
      <c r="B1674" s="145" t="s">
        <v>832</v>
      </c>
      <c r="C1674" s="150">
        <v>2025</v>
      </c>
      <c r="D1674" s="201" t="s">
        <v>1431</v>
      </c>
      <c r="E1674" s="144" t="s">
        <v>2434</v>
      </c>
      <c r="F1674" s="147" t="s">
        <v>859</v>
      </c>
      <c r="G1674" s="144" t="s">
        <v>3213</v>
      </c>
      <c r="H1674" s="146" t="s">
        <v>26</v>
      </c>
      <c r="I1674" s="144" t="s">
        <v>3164</v>
      </c>
    </row>
    <row r="1675" spans="1:9" ht="25.5">
      <c r="A1675" s="193">
        <v>45945</v>
      </c>
      <c r="B1675" s="145" t="s">
        <v>832</v>
      </c>
      <c r="C1675" s="150">
        <v>2025</v>
      </c>
      <c r="D1675" s="201" t="s">
        <v>1431</v>
      </c>
      <c r="E1675" s="144" t="s">
        <v>216</v>
      </c>
      <c r="F1675" s="141" t="s">
        <v>821</v>
      </c>
      <c r="G1675" s="144" t="s">
        <v>3214</v>
      </c>
      <c r="H1675" s="146" t="s">
        <v>26</v>
      </c>
      <c r="I1675" s="144" t="s">
        <v>492</v>
      </c>
    </row>
    <row r="1676" spans="1:9" ht="38.1">
      <c r="A1676" s="193">
        <v>45945</v>
      </c>
      <c r="B1676" s="145" t="s">
        <v>832</v>
      </c>
      <c r="C1676" s="150">
        <v>2025</v>
      </c>
      <c r="D1676" s="201" t="s">
        <v>2224</v>
      </c>
      <c r="E1676" s="144" t="s">
        <v>1225</v>
      </c>
      <c r="F1676" s="147" t="s">
        <v>859</v>
      </c>
      <c r="G1676" s="144" t="s">
        <v>3215</v>
      </c>
      <c r="H1676" s="146" t="s">
        <v>130</v>
      </c>
      <c r="I1676" s="144" t="s">
        <v>2735</v>
      </c>
    </row>
    <row r="1677" spans="1:9" ht="14.1">
      <c r="A1677" s="193">
        <v>45945</v>
      </c>
      <c r="B1677" s="145" t="s">
        <v>832</v>
      </c>
      <c r="C1677" s="150">
        <v>2025</v>
      </c>
      <c r="D1677" s="201" t="s">
        <v>1431</v>
      </c>
      <c r="E1677" s="144" t="s">
        <v>1566</v>
      </c>
      <c r="F1677" s="139" t="s">
        <v>88</v>
      </c>
      <c r="G1677" s="144" t="s">
        <v>3216</v>
      </c>
      <c r="H1677" s="146" t="s">
        <v>26</v>
      </c>
      <c r="I1677" s="144" t="s">
        <v>1588</v>
      </c>
    </row>
    <row r="1678" spans="1:9" ht="38.1">
      <c r="A1678" s="193">
        <v>45946</v>
      </c>
      <c r="B1678" s="145" t="s">
        <v>832</v>
      </c>
      <c r="C1678" s="150">
        <v>2025</v>
      </c>
      <c r="D1678" s="201" t="s">
        <v>1431</v>
      </c>
      <c r="E1678" s="144" t="s">
        <v>3217</v>
      </c>
      <c r="F1678" s="141" t="s">
        <v>821</v>
      </c>
      <c r="G1678" s="144" t="s">
        <v>3218</v>
      </c>
      <c r="H1678" s="146" t="s">
        <v>130</v>
      </c>
      <c r="I1678" s="144" t="s">
        <v>468</v>
      </c>
    </row>
    <row r="1679" spans="1:9" ht="38.1">
      <c r="A1679" s="193">
        <v>45946</v>
      </c>
      <c r="B1679" s="145" t="s">
        <v>832</v>
      </c>
      <c r="C1679" s="150">
        <v>2025</v>
      </c>
      <c r="D1679" s="201" t="s">
        <v>1431</v>
      </c>
      <c r="E1679" s="144" t="s">
        <v>3011</v>
      </c>
      <c r="F1679" s="140" t="s">
        <v>1439</v>
      </c>
      <c r="G1679" s="144" t="s">
        <v>3219</v>
      </c>
      <c r="H1679" s="146" t="s">
        <v>26</v>
      </c>
      <c r="I1679" s="144" t="s">
        <v>2599</v>
      </c>
    </row>
    <row r="1680" spans="1:9" ht="38.1">
      <c r="A1680" s="193">
        <v>45946</v>
      </c>
      <c r="B1680" s="145" t="s">
        <v>832</v>
      </c>
      <c r="C1680" s="150">
        <v>2025</v>
      </c>
      <c r="D1680" s="201" t="s">
        <v>1431</v>
      </c>
      <c r="E1680" s="144" t="s">
        <v>97</v>
      </c>
      <c r="F1680" s="141" t="s">
        <v>821</v>
      </c>
      <c r="G1680" s="144" t="s">
        <v>3220</v>
      </c>
      <c r="H1680" s="146" t="s">
        <v>26</v>
      </c>
      <c r="I1680" s="144" t="s">
        <v>158</v>
      </c>
    </row>
    <row r="1681" spans="1:9" ht="14.1">
      <c r="A1681" s="193">
        <v>45946</v>
      </c>
      <c r="B1681" s="145" t="s">
        <v>832</v>
      </c>
      <c r="C1681" s="150">
        <v>2025</v>
      </c>
      <c r="D1681" s="201" t="s">
        <v>1431</v>
      </c>
      <c r="E1681" s="144" t="s">
        <v>216</v>
      </c>
      <c r="F1681" s="141" t="s">
        <v>821</v>
      </c>
      <c r="G1681" s="144" t="s">
        <v>3221</v>
      </c>
      <c r="H1681" s="146" t="s">
        <v>26</v>
      </c>
      <c r="I1681" s="144" t="s">
        <v>492</v>
      </c>
    </row>
    <row r="1682" spans="1:9" ht="14.1">
      <c r="A1682" s="193">
        <v>45946</v>
      </c>
      <c r="B1682" s="145" t="s">
        <v>832</v>
      </c>
      <c r="C1682" s="150">
        <v>2025</v>
      </c>
      <c r="D1682" s="201" t="s">
        <v>1431</v>
      </c>
      <c r="E1682" s="144" t="s">
        <v>216</v>
      </c>
      <c r="F1682" s="141" t="s">
        <v>821</v>
      </c>
      <c r="G1682" s="144" t="s">
        <v>3222</v>
      </c>
      <c r="H1682" s="146" t="s">
        <v>130</v>
      </c>
      <c r="I1682" s="144" t="s">
        <v>492</v>
      </c>
    </row>
    <row r="1683" spans="1:9" ht="38.1">
      <c r="A1683" s="193">
        <v>45946</v>
      </c>
      <c r="B1683" s="145" t="s">
        <v>832</v>
      </c>
      <c r="C1683" s="150">
        <v>2025</v>
      </c>
      <c r="D1683" s="201" t="s">
        <v>1431</v>
      </c>
      <c r="E1683" s="144" t="s">
        <v>97</v>
      </c>
      <c r="F1683" s="141" t="s">
        <v>821</v>
      </c>
      <c r="G1683" s="144" t="s">
        <v>3223</v>
      </c>
      <c r="H1683" s="146" t="s">
        <v>26</v>
      </c>
      <c r="I1683" s="144" t="s">
        <v>158</v>
      </c>
    </row>
    <row r="1684" spans="1:9" ht="50.45">
      <c r="A1684" s="193">
        <v>45946</v>
      </c>
      <c r="B1684" s="145" t="s">
        <v>832</v>
      </c>
      <c r="C1684" s="150">
        <v>2025</v>
      </c>
      <c r="D1684" s="201" t="s">
        <v>1431</v>
      </c>
      <c r="E1684" s="144" t="s">
        <v>1566</v>
      </c>
      <c r="F1684" s="139" t="s">
        <v>88</v>
      </c>
      <c r="G1684" s="144" t="s">
        <v>3224</v>
      </c>
      <c r="H1684" s="146" t="s">
        <v>26</v>
      </c>
      <c r="I1684" s="144" t="s">
        <v>1453</v>
      </c>
    </row>
    <row r="1685" spans="1:9" ht="38.1">
      <c r="A1685" s="193">
        <v>45946</v>
      </c>
      <c r="B1685" s="145" t="s">
        <v>832</v>
      </c>
      <c r="C1685" s="150">
        <v>2025</v>
      </c>
      <c r="D1685" s="201" t="s">
        <v>2224</v>
      </c>
      <c r="E1685" s="144" t="s">
        <v>97</v>
      </c>
      <c r="F1685" s="141" t="s">
        <v>821</v>
      </c>
      <c r="G1685" s="144" t="s">
        <v>3225</v>
      </c>
      <c r="H1685" s="146" t="s">
        <v>130</v>
      </c>
      <c r="I1685" s="144" t="s">
        <v>2735</v>
      </c>
    </row>
    <row r="1686" spans="1:9" ht="87.95">
      <c r="A1686" s="193">
        <v>45946</v>
      </c>
      <c r="B1686" s="145" t="s">
        <v>832</v>
      </c>
      <c r="C1686" s="150">
        <v>2025</v>
      </c>
      <c r="D1686" s="201" t="s">
        <v>1431</v>
      </c>
      <c r="E1686" s="144" t="s">
        <v>2591</v>
      </c>
      <c r="F1686" s="139" t="s">
        <v>88</v>
      </c>
      <c r="G1686" s="144" t="s">
        <v>3226</v>
      </c>
      <c r="H1686" s="146" t="s">
        <v>26</v>
      </c>
      <c r="I1686" s="144" t="s">
        <v>2593</v>
      </c>
    </row>
    <row r="1687" spans="1:9" ht="14.1">
      <c r="A1687" s="193">
        <v>45946</v>
      </c>
      <c r="B1687" s="145" t="s">
        <v>832</v>
      </c>
      <c r="C1687" s="150">
        <v>2025</v>
      </c>
      <c r="D1687" s="201" t="s">
        <v>1431</v>
      </c>
      <c r="E1687" s="144" t="s">
        <v>1566</v>
      </c>
      <c r="F1687" s="139" t="s">
        <v>88</v>
      </c>
      <c r="G1687" s="144" t="s">
        <v>3227</v>
      </c>
      <c r="H1687" s="146" t="s">
        <v>26</v>
      </c>
      <c r="I1687" s="144" t="s">
        <v>1453</v>
      </c>
    </row>
    <row r="1688" spans="1:9" ht="50.45">
      <c r="A1688" s="193">
        <v>45947</v>
      </c>
      <c r="B1688" s="145" t="s">
        <v>832</v>
      </c>
      <c r="C1688" s="150">
        <v>2025</v>
      </c>
      <c r="D1688" s="201" t="s">
        <v>1431</v>
      </c>
      <c r="E1688" s="144" t="s">
        <v>97</v>
      </c>
      <c r="F1688" s="141" t="s">
        <v>821</v>
      </c>
      <c r="G1688" s="144" t="s">
        <v>3228</v>
      </c>
      <c r="H1688" s="146" t="s">
        <v>130</v>
      </c>
      <c r="I1688" s="144" t="s">
        <v>158</v>
      </c>
    </row>
    <row r="1689" spans="1:9" ht="25.5">
      <c r="A1689" s="193">
        <v>45947</v>
      </c>
      <c r="B1689" s="145" t="s">
        <v>832</v>
      </c>
      <c r="C1689" s="150">
        <v>2025</v>
      </c>
      <c r="D1689" s="201" t="s">
        <v>1431</v>
      </c>
      <c r="E1689" s="144" t="s">
        <v>1518</v>
      </c>
      <c r="F1689" s="141" t="s">
        <v>821</v>
      </c>
      <c r="G1689" s="144" t="s">
        <v>3229</v>
      </c>
      <c r="H1689" s="146" t="s">
        <v>130</v>
      </c>
      <c r="I1689" s="144" t="s">
        <v>1493</v>
      </c>
    </row>
    <row r="1690" spans="1:9" ht="25.5">
      <c r="A1690" s="193">
        <v>45947</v>
      </c>
      <c r="B1690" s="145" t="s">
        <v>832</v>
      </c>
      <c r="C1690" s="150">
        <v>2025</v>
      </c>
      <c r="D1690" s="201" t="s">
        <v>1431</v>
      </c>
      <c r="E1690" s="144" t="s">
        <v>216</v>
      </c>
      <c r="F1690" s="141" t="s">
        <v>821</v>
      </c>
      <c r="G1690" s="144" t="s">
        <v>3230</v>
      </c>
      <c r="H1690" s="146" t="s">
        <v>130</v>
      </c>
      <c r="I1690" s="144" t="s">
        <v>492</v>
      </c>
    </row>
    <row r="1691" spans="1:9" ht="25.5">
      <c r="A1691" s="193">
        <v>45947</v>
      </c>
      <c r="B1691" s="145" t="s">
        <v>832</v>
      </c>
      <c r="C1691" s="150">
        <v>2025</v>
      </c>
      <c r="D1691" s="201" t="s">
        <v>1431</v>
      </c>
      <c r="E1691" s="144" t="s">
        <v>216</v>
      </c>
      <c r="F1691" s="141" t="s">
        <v>821</v>
      </c>
      <c r="G1691" s="144" t="s">
        <v>3231</v>
      </c>
      <c r="H1691" s="146" t="s">
        <v>130</v>
      </c>
      <c r="I1691" s="144" t="s">
        <v>492</v>
      </c>
    </row>
    <row r="1692" spans="1:9" ht="25.5">
      <c r="A1692" s="193">
        <v>45947</v>
      </c>
      <c r="B1692" s="145" t="s">
        <v>832</v>
      </c>
      <c r="C1692" s="150">
        <v>2025</v>
      </c>
      <c r="D1692" s="201" t="s">
        <v>1431</v>
      </c>
      <c r="E1692" s="144" t="s">
        <v>988</v>
      </c>
      <c r="F1692" s="139" t="s">
        <v>88</v>
      </c>
      <c r="G1692" s="144" t="s">
        <v>3232</v>
      </c>
      <c r="H1692" s="146" t="s">
        <v>130</v>
      </c>
      <c r="I1692" s="144" t="s">
        <v>2576</v>
      </c>
    </row>
    <row r="1693" spans="1:9" ht="38.1">
      <c r="A1693" s="193">
        <v>45947</v>
      </c>
      <c r="B1693" s="145" t="s">
        <v>832</v>
      </c>
      <c r="C1693" s="150">
        <v>2025</v>
      </c>
      <c r="D1693" s="201" t="s">
        <v>1431</v>
      </c>
      <c r="E1693" s="144" t="s">
        <v>2591</v>
      </c>
      <c r="F1693" s="139" t="s">
        <v>88</v>
      </c>
      <c r="G1693" s="148" t="s">
        <v>3233</v>
      </c>
      <c r="H1693" s="146" t="s">
        <v>26</v>
      </c>
      <c r="I1693" s="144" t="s">
        <v>2593</v>
      </c>
    </row>
    <row r="1694" spans="1:9" ht="25.5">
      <c r="A1694" s="193">
        <v>45947</v>
      </c>
      <c r="B1694" s="145" t="s">
        <v>832</v>
      </c>
      <c r="C1694" s="150">
        <v>2025</v>
      </c>
      <c r="D1694" s="201" t="s">
        <v>1431</v>
      </c>
      <c r="E1694" s="144" t="s">
        <v>2591</v>
      </c>
      <c r="F1694" s="139" t="s">
        <v>88</v>
      </c>
      <c r="G1694" s="148" t="s">
        <v>3234</v>
      </c>
      <c r="H1694" s="146" t="s">
        <v>26</v>
      </c>
      <c r="I1694" s="144" t="s">
        <v>2593</v>
      </c>
    </row>
    <row r="1695" spans="1:9" ht="75.599999999999994">
      <c r="A1695" s="193">
        <v>45947</v>
      </c>
      <c r="B1695" s="145" t="s">
        <v>832</v>
      </c>
      <c r="C1695" s="150">
        <v>2025</v>
      </c>
      <c r="D1695" s="201" t="s">
        <v>1431</v>
      </c>
      <c r="E1695" s="144" t="s">
        <v>2591</v>
      </c>
      <c r="F1695" s="139" t="s">
        <v>88</v>
      </c>
      <c r="G1695" s="148" t="s">
        <v>3235</v>
      </c>
      <c r="H1695" s="146" t="s">
        <v>26</v>
      </c>
      <c r="I1695" s="144" t="s">
        <v>2593</v>
      </c>
    </row>
    <row r="1696" spans="1:9" ht="50.45">
      <c r="A1696" s="193">
        <v>45947</v>
      </c>
      <c r="B1696" s="145" t="s">
        <v>832</v>
      </c>
      <c r="C1696" s="150">
        <v>2025</v>
      </c>
      <c r="D1696" s="201" t="s">
        <v>1431</v>
      </c>
      <c r="E1696" s="144" t="s">
        <v>2591</v>
      </c>
      <c r="F1696" s="139" t="s">
        <v>88</v>
      </c>
      <c r="G1696" s="148" t="s">
        <v>3236</v>
      </c>
      <c r="H1696" s="146" t="s">
        <v>26</v>
      </c>
      <c r="I1696" s="144" t="s">
        <v>2593</v>
      </c>
    </row>
    <row r="1697" spans="1:9" ht="25.5">
      <c r="A1697" s="193">
        <v>45947</v>
      </c>
      <c r="B1697" s="145" t="s">
        <v>832</v>
      </c>
      <c r="C1697" s="150">
        <v>2025</v>
      </c>
      <c r="D1697" s="201" t="s">
        <v>1431</v>
      </c>
      <c r="E1697" s="144" t="s">
        <v>2591</v>
      </c>
      <c r="F1697" s="139" t="s">
        <v>88</v>
      </c>
      <c r="G1697" s="148" t="s">
        <v>3237</v>
      </c>
      <c r="H1697" s="146" t="s">
        <v>26</v>
      </c>
      <c r="I1697" s="144" t="s">
        <v>2593</v>
      </c>
    </row>
    <row r="1698" spans="1:9" ht="25.5">
      <c r="A1698" s="193">
        <v>45947</v>
      </c>
      <c r="B1698" s="145" t="s">
        <v>832</v>
      </c>
      <c r="C1698" s="150">
        <v>2025</v>
      </c>
      <c r="D1698" s="201" t="s">
        <v>1431</v>
      </c>
      <c r="E1698" s="144" t="s">
        <v>2591</v>
      </c>
      <c r="F1698" s="139" t="s">
        <v>88</v>
      </c>
      <c r="G1698" s="148" t="s">
        <v>3238</v>
      </c>
      <c r="H1698" s="146" t="s">
        <v>26</v>
      </c>
      <c r="I1698" s="144" t="s">
        <v>2593</v>
      </c>
    </row>
    <row r="1699" spans="1:9" ht="38.1">
      <c r="A1699" s="193">
        <v>45947</v>
      </c>
      <c r="B1699" s="145" t="s">
        <v>832</v>
      </c>
      <c r="C1699" s="150">
        <v>2025</v>
      </c>
      <c r="D1699" s="201" t="s">
        <v>1431</v>
      </c>
      <c r="E1699" s="144" t="s">
        <v>2591</v>
      </c>
      <c r="F1699" s="139" t="s">
        <v>88</v>
      </c>
      <c r="G1699" s="148" t="s">
        <v>3239</v>
      </c>
      <c r="H1699" s="146" t="s">
        <v>26</v>
      </c>
      <c r="I1699" s="144" t="s">
        <v>2593</v>
      </c>
    </row>
    <row r="1700" spans="1:9" ht="14.1">
      <c r="A1700" s="193">
        <v>45947</v>
      </c>
      <c r="B1700" s="145" t="s">
        <v>832</v>
      </c>
      <c r="C1700" s="150">
        <v>2025</v>
      </c>
      <c r="D1700" s="201" t="s">
        <v>1431</v>
      </c>
      <c r="E1700" s="144" t="s">
        <v>1566</v>
      </c>
      <c r="F1700" s="139" t="s">
        <v>88</v>
      </c>
      <c r="G1700" s="144" t="s">
        <v>3240</v>
      </c>
      <c r="H1700" s="146" t="s">
        <v>26</v>
      </c>
      <c r="I1700" s="144" t="s">
        <v>1453</v>
      </c>
    </row>
    <row r="1701" spans="1:9" ht="25.5">
      <c r="A1701" s="193">
        <v>45947</v>
      </c>
      <c r="B1701" s="145" t="s">
        <v>832</v>
      </c>
      <c r="C1701" s="150">
        <v>2025</v>
      </c>
      <c r="D1701" s="201" t="s">
        <v>1431</v>
      </c>
      <c r="E1701" s="144" t="s">
        <v>1566</v>
      </c>
      <c r="F1701" s="139" t="s">
        <v>88</v>
      </c>
      <c r="G1701" s="144" t="s">
        <v>3241</v>
      </c>
      <c r="H1701" s="146" t="s">
        <v>26</v>
      </c>
      <c r="I1701" s="144" t="s">
        <v>1453</v>
      </c>
    </row>
    <row r="1702" spans="1:9" ht="38.1">
      <c r="A1702" s="193">
        <v>45950</v>
      </c>
      <c r="B1702" s="145" t="s">
        <v>832</v>
      </c>
      <c r="C1702" s="150">
        <v>2025</v>
      </c>
      <c r="D1702" s="201" t="s">
        <v>1431</v>
      </c>
      <c r="E1702" s="144" t="s">
        <v>1580</v>
      </c>
      <c r="F1702" s="141" t="s">
        <v>821</v>
      </c>
      <c r="G1702" s="144" t="s">
        <v>3242</v>
      </c>
      <c r="H1702" s="146" t="s">
        <v>130</v>
      </c>
      <c r="I1702" s="144" t="s">
        <v>2501</v>
      </c>
    </row>
    <row r="1703" spans="1:9" ht="38.1">
      <c r="A1703" s="193">
        <v>45950</v>
      </c>
      <c r="B1703" s="145" t="s">
        <v>832</v>
      </c>
      <c r="C1703" s="150">
        <v>2025</v>
      </c>
      <c r="D1703" s="201" t="s">
        <v>1431</v>
      </c>
      <c r="E1703" s="144" t="s">
        <v>21</v>
      </c>
      <c r="F1703" s="141" t="s">
        <v>821</v>
      </c>
      <c r="G1703" s="144" t="s">
        <v>3243</v>
      </c>
      <c r="H1703" s="146" t="s">
        <v>130</v>
      </c>
      <c r="I1703" s="144" t="s">
        <v>468</v>
      </c>
    </row>
    <row r="1704" spans="1:9" ht="50.45">
      <c r="A1704" s="193">
        <v>45950</v>
      </c>
      <c r="B1704" s="145" t="s">
        <v>832</v>
      </c>
      <c r="C1704" s="150">
        <v>2025</v>
      </c>
      <c r="D1704" s="201" t="s">
        <v>1431</v>
      </c>
      <c r="E1704" s="144" t="s">
        <v>988</v>
      </c>
      <c r="F1704" s="139" t="s">
        <v>88</v>
      </c>
      <c r="G1704" s="144" t="s">
        <v>3244</v>
      </c>
      <c r="H1704" s="146" t="s">
        <v>130</v>
      </c>
      <c r="I1704" s="144" t="s">
        <v>2700</v>
      </c>
    </row>
    <row r="1705" spans="1:9" ht="25.5">
      <c r="A1705" s="193">
        <v>45950</v>
      </c>
      <c r="B1705" s="145" t="s">
        <v>832</v>
      </c>
      <c r="C1705" s="150">
        <v>2025</v>
      </c>
      <c r="D1705" s="201" t="s">
        <v>1431</v>
      </c>
      <c r="E1705" s="144" t="s">
        <v>1518</v>
      </c>
      <c r="F1705" s="139" t="s">
        <v>88</v>
      </c>
      <c r="G1705" s="144" t="s">
        <v>3245</v>
      </c>
      <c r="H1705" s="146" t="s">
        <v>130</v>
      </c>
      <c r="I1705" s="144" t="s">
        <v>1493</v>
      </c>
    </row>
    <row r="1706" spans="1:9" ht="25.5">
      <c r="A1706" s="193">
        <v>45950</v>
      </c>
      <c r="B1706" s="145" t="s">
        <v>832</v>
      </c>
      <c r="C1706" s="150">
        <v>2025</v>
      </c>
      <c r="D1706" s="201" t="s">
        <v>1431</v>
      </c>
      <c r="E1706" s="144" t="s">
        <v>1506</v>
      </c>
      <c r="F1706" s="139" t="s">
        <v>88</v>
      </c>
      <c r="G1706" s="144" t="s">
        <v>3246</v>
      </c>
      <c r="H1706" s="146" t="s">
        <v>26</v>
      </c>
      <c r="I1706" s="144" t="s">
        <v>3247</v>
      </c>
    </row>
    <row r="1707" spans="1:9" ht="25.5">
      <c r="A1707" s="193">
        <v>45950</v>
      </c>
      <c r="B1707" s="145" t="s">
        <v>832</v>
      </c>
      <c r="C1707" s="150">
        <v>2025</v>
      </c>
      <c r="D1707" s="201" t="s">
        <v>1431</v>
      </c>
      <c r="E1707" s="144" t="s">
        <v>1506</v>
      </c>
      <c r="F1707" s="139" t="s">
        <v>88</v>
      </c>
      <c r="G1707" s="144" t="s">
        <v>3248</v>
      </c>
      <c r="H1707" s="146" t="s">
        <v>26</v>
      </c>
      <c r="I1707" s="144" t="s">
        <v>3247</v>
      </c>
    </row>
    <row r="1708" spans="1:9" ht="25.5">
      <c r="A1708" s="193">
        <v>45950</v>
      </c>
      <c r="B1708" s="145" t="s">
        <v>832</v>
      </c>
      <c r="C1708" s="150">
        <v>2025</v>
      </c>
      <c r="D1708" s="201" t="s">
        <v>1431</v>
      </c>
      <c r="E1708" s="144" t="s">
        <v>1506</v>
      </c>
      <c r="F1708" s="139" t="s">
        <v>88</v>
      </c>
      <c r="G1708" s="144" t="s">
        <v>3249</v>
      </c>
      <c r="H1708" s="146" t="s">
        <v>130</v>
      </c>
      <c r="I1708" s="144" t="s">
        <v>3247</v>
      </c>
    </row>
    <row r="1709" spans="1:9" ht="38.1">
      <c r="A1709" s="193">
        <v>45950</v>
      </c>
      <c r="B1709" s="145" t="s">
        <v>832</v>
      </c>
      <c r="C1709" s="150">
        <v>2025</v>
      </c>
      <c r="D1709" s="201" t="s">
        <v>1431</v>
      </c>
      <c r="E1709" s="144" t="s">
        <v>21</v>
      </c>
      <c r="F1709" s="141" t="s">
        <v>821</v>
      </c>
      <c r="G1709" s="144" t="s">
        <v>3250</v>
      </c>
      <c r="H1709" s="146" t="s">
        <v>130</v>
      </c>
      <c r="I1709" s="144" t="s">
        <v>149</v>
      </c>
    </row>
    <row r="1710" spans="1:9" ht="38.1">
      <c r="A1710" s="193">
        <v>45950</v>
      </c>
      <c r="B1710" s="145" t="s">
        <v>832</v>
      </c>
      <c r="C1710" s="150">
        <v>2025</v>
      </c>
      <c r="D1710" s="201" t="s">
        <v>2224</v>
      </c>
      <c r="E1710" s="144" t="s">
        <v>2591</v>
      </c>
      <c r="F1710" s="139" t="s">
        <v>88</v>
      </c>
      <c r="G1710" s="144" t="s">
        <v>3251</v>
      </c>
      <c r="H1710" s="146" t="s">
        <v>130</v>
      </c>
      <c r="I1710" s="144" t="s">
        <v>2735</v>
      </c>
    </row>
    <row r="1711" spans="1:9" ht="50.45">
      <c r="A1711" s="193">
        <v>45950</v>
      </c>
      <c r="B1711" s="145" t="s">
        <v>832</v>
      </c>
      <c r="C1711" s="150">
        <v>2025</v>
      </c>
      <c r="D1711" s="201" t="s">
        <v>1431</v>
      </c>
      <c r="E1711" s="144" t="s">
        <v>97</v>
      </c>
      <c r="F1711" s="141" t="s">
        <v>821</v>
      </c>
      <c r="G1711" s="144" t="s">
        <v>3252</v>
      </c>
      <c r="H1711" s="146" t="s">
        <v>26</v>
      </c>
      <c r="I1711" s="144" t="s">
        <v>2593</v>
      </c>
    </row>
    <row r="1712" spans="1:9" ht="25.5">
      <c r="A1712" s="193">
        <v>45950</v>
      </c>
      <c r="B1712" s="145" t="s">
        <v>832</v>
      </c>
      <c r="C1712" s="150">
        <v>2025</v>
      </c>
      <c r="D1712" s="201" t="s">
        <v>1431</v>
      </c>
      <c r="E1712" s="144" t="s">
        <v>2591</v>
      </c>
      <c r="F1712" s="139" t="s">
        <v>88</v>
      </c>
      <c r="G1712" s="144" t="s">
        <v>3253</v>
      </c>
      <c r="H1712" s="146" t="s">
        <v>26</v>
      </c>
      <c r="I1712" s="144" t="s">
        <v>2593</v>
      </c>
    </row>
    <row r="1713" spans="1:9" ht="38.1">
      <c r="A1713" s="193">
        <v>45950</v>
      </c>
      <c r="B1713" s="145" t="s">
        <v>832</v>
      </c>
      <c r="C1713" s="150">
        <v>2025</v>
      </c>
      <c r="D1713" s="201" t="s">
        <v>1431</v>
      </c>
      <c r="E1713" s="144" t="s">
        <v>2591</v>
      </c>
      <c r="F1713" s="139" t="s">
        <v>88</v>
      </c>
      <c r="G1713" s="144" t="s">
        <v>3254</v>
      </c>
      <c r="H1713" s="146" t="s">
        <v>26</v>
      </c>
      <c r="I1713" s="144" t="s">
        <v>2593</v>
      </c>
    </row>
    <row r="1714" spans="1:9" ht="25.5">
      <c r="A1714" s="193">
        <v>45950</v>
      </c>
      <c r="B1714" s="145" t="s">
        <v>832</v>
      </c>
      <c r="C1714" s="150">
        <v>2025</v>
      </c>
      <c r="D1714" s="201" t="s">
        <v>1431</v>
      </c>
      <c r="E1714" s="144" t="s">
        <v>2591</v>
      </c>
      <c r="F1714" s="139" t="s">
        <v>88</v>
      </c>
      <c r="G1714" s="144" t="s">
        <v>3255</v>
      </c>
      <c r="H1714" s="146" t="s">
        <v>26</v>
      </c>
      <c r="I1714" s="144" t="s">
        <v>2593</v>
      </c>
    </row>
    <row r="1715" spans="1:9" ht="38.1">
      <c r="A1715" s="193">
        <v>45950</v>
      </c>
      <c r="B1715" s="145" t="s">
        <v>832</v>
      </c>
      <c r="C1715" s="150">
        <v>2025</v>
      </c>
      <c r="D1715" s="201" t="s">
        <v>1431</v>
      </c>
      <c r="E1715" s="144" t="s">
        <v>2591</v>
      </c>
      <c r="F1715" s="139" t="s">
        <v>88</v>
      </c>
      <c r="G1715" s="144" t="s">
        <v>3256</v>
      </c>
      <c r="H1715" s="146" t="s">
        <v>26</v>
      </c>
      <c r="I1715" s="144" t="s">
        <v>2593</v>
      </c>
    </row>
    <row r="1716" spans="1:9" ht="38.1">
      <c r="A1716" s="193">
        <v>45950</v>
      </c>
      <c r="B1716" s="145" t="s">
        <v>832</v>
      </c>
      <c r="C1716" s="150">
        <v>2025</v>
      </c>
      <c r="D1716" s="201" t="s">
        <v>1431</v>
      </c>
      <c r="E1716" s="144" t="s">
        <v>1566</v>
      </c>
      <c r="F1716" s="139" t="s">
        <v>88</v>
      </c>
      <c r="G1716" s="144" t="s">
        <v>3257</v>
      </c>
      <c r="H1716" s="146" t="s">
        <v>26</v>
      </c>
      <c r="I1716" s="144" t="s">
        <v>1453</v>
      </c>
    </row>
    <row r="1717" spans="1:9" ht="50.45">
      <c r="A1717" s="193">
        <v>45950</v>
      </c>
      <c r="B1717" s="145" t="s">
        <v>832</v>
      </c>
      <c r="C1717" s="150">
        <v>2025</v>
      </c>
      <c r="D1717" s="201" t="s">
        <v>1431</v>
      </c>
      <c r="E1717" s="144" t="s">
        <v>1566</v>
      </c>
      <c r="F1717" s="139" t="s">
        <v>88</v>
      </c>
      <c r="G1717" s="144" t="s">
        <v>3258</v>
      </c>
      <c r="H1717" s="146" t="s">
        <v>26</v>
      </c>
      <c r="I1717" s="144" t="s">
        <v>1453</v>
      </c>
    </row>
    <row r="1718" spans="1:9" ht="50.45">
      <c r="A1718" s="193">
        <v>45951</v>
      </c>
      <c r="B1718" s="145" t="s">
        <v>832</v>
      </c>
      <c r="C1718" s="150">
        <v>2025</v>
      </c>
      <c r="D1718" s="201" t="s">
        <v>1431</v>
      </c>
      <c r="E1718" s="144" t="s">
        <v>2591</v>
      </c>
      <c r="F1718" s="142" t="s">
        <v>872</v>
      </c>
      <c r="G1718" s="144" t="s">
        <v>3259</v>
      </c>
      <c r="H1718" s="146" t="s">
        <v>26</v>
      </c>
      <c r="I1718" s="144" t="s">
        <v>2593</v>
      </c>
    </row>
    <row r="1719" spans="1:9" ht="25.5">
      <c r="A1719" s="193">
        <v>45951</v>
      </c>
      <c r="B1719" s="145" t="s">
        <v>832</v>
      </c>
      <c r="C1719" s="150">
        <v>2025</v>
      </c>
      <c r="D1719" s="201" t="s">
        <v>1431</v>
      </c>
      <c r="E1719" s="144" t="s">
        <v>2591</v>
      </c>
      <c r="F1719" s="142" t="s">
        <v>872</v>
      </c>
      <c r="G1719" s="148" t="s">
        <v>3260</v>
      </c>
      <c r="H1719" s="146" t="s">
        <v>26</v>
      </c>
      <c r="I1719" s="144" t="s">
        <v>2593</v>
      </c>
    </row>
    <row r="1720" spans="1:9" ht="25.5">
      <c r="A1720" s="193">
        <v>45951</v>
      </c>
      <c r="B1720" s="145" t="s">
        <v>832</v>
      </c>
      <c r="C1720" s="150">
        <v>2025</v>
      </c>
      <c r="D1720" s="201" t="s">
        <v>1431</v>
      </c>
      <c r="E1720" s="144" t="s">
        <v>2591</v>
      </c>
      <c r="F1720" s="140" t="s">
        <v>1439</v>
      </c>
      <c r="G1720" s="148" t="s">
        <v>3261</v>
      </c>
      <c r="H1720" s="146" t="s">
        <v>26</v>
      </c>
      <c r="I1720" s="144" t="s">
        <v>2593</v>
      </c>
    </row>
    <row r="1721" spans="1:9" ht="38.1">
      <c r="A1721" s="193">
        <v>45951</v>
      </c>
      <c r="B1721" s="145" t="s">
        <v>832</v>
      </c>
      <c r="C1721" s="150">
        <v>2025</v>
      </c>
      <c r="D1721" s="201" t="s">
        <v>1431</v>
      </c>
      <c r="E1721" s="144" t="s">
        <v>97</v>
      </c>
      <c r="F1721" s="141" t="s">
        <v>821</v>
      </c>
      <c r="G1721" s="144" t="s">
        <v>3262</v>
      </c>
      <c r="H1721" s="146" t="s">
        <v>26</v>
      </c>
      <c r="I1721" s="144" t="s">
        <v>158</v>
      </c>
    </row>
    <row r="1722" spans="1:9" ht="25.5">
      <c r="A1722" s="193">
        <v>45951</v>
      </c>
      <c r="B1722" s="145" t="s">
        <v>832</v>
      </c>
      <c r="C1722" s="150">
        <v>2025</v>
      </c>
      <c r="D1722" s="201" t="s">
        <v>1431</v>
      </c>
      <c r="E1722" s="144" t="s">
        <v>21</v>
      </c>
      <c r="F1722" s="141" t="s">
        <v>821</v>
      </c>
      <c r="G1722" s="144" t="s">
        <v>3263</v>
      </c>
      <c r="H1722" s="146" t="s">
        <v>26</v>
      </c>
      <c r="I1722" s="144" t="s">
        <v>149</v>
      </c>
    </row>
    <row r="1723" spans="1:9" ht="50.45">
      <c r="A1723" s="193">
        <v>45951</v>
      </c>
      <c r="B1723" s="145" t="s">
        <v>832</v>
      </c>
      <c r="C1723" s="150">
        <v>2025</v>
      </c>
      <c r="D1723" s="201" t="s">
        <v>1431</v>
      </c>
      <c r="E1723" s="144" t="s">
        <v>2244</v>
      </c>
      <c r="F1723" s="139" t="s">
        <v>88</v>
      </c>
      <c r="G1723" s="144" t="s">
        <v>3264</v>
      </c>
      <c r="H1723" s="146" t="s">
        <v>130</v>
      </c>
      <c r="I1723" s="144" t="s">
        <v>1904</v>
      </c>
    </row>
    <row r="1724" spans="1:9" ht="75.599999999999994">
      <c r="A1724" s="193">
        <v>45951</v>
      </c>
      <c r="B1724" s="145" t="s">
        <v>832</v>
      </c>
      <c r="C1724" s="150">
        <v>2025</v>
      </c>
      <c r="D1724" s="201" t="s">
        <v>1431</v>
      </c>
      <c r="E1724" s="144" t="s">
        <v>1225</v>
      </c>
      <c r="F1724" s="139" t="s">
        <v>88</v>
      </c>
      <c r="G1724" s="144" t="s">
        <v>3265</v>
      </c>
      <c r="H1724" s="146" t="s">
        <v>26</v>
      </c>
      <c r="I1724" s="144" t="s">
        <v>925</v>
      </c>
    </row>
    <row r="1725" spans="1:9" ht="38.1">
      <c r="A1725" s="193">
        <v>45952</v>
      </c>
      <c r="B1725" s="145" t="s">
        <v>832</v>
      </c>
      <c r="C1725" s="150">
        <v>2025</v>
      </c>
      <c r="D1725" s="201" t="s">
        <v>1431</v>
      </c>
      <c r="E1725" s="144" t="s">
        <v>574</v>
      </c>
      <c r="F1725" s="139" t="s">
        <v>88</v>
      </c>
      <c r="G1725" s="144" t="s">
        <v>3266</v>
      </c>
      <c r="H1725" s="146" t="s">
        <v>130</v>
      </c>
      <c r="I1725" s="144" t="s">
        <v>921</v>
      </c>
    </row>
    <row r="1726" spans="1:9" ht="25.5">
      <c r="A1726" s="193">
        <v>45952</v>
      </c>
      <c r="B1726" s="145" t="s">
        <v>832</v>
      </c>
      <c r="C1726" s="150">
        <v>2025</v>
      </c>
      <c r="D1726" s="201" t="s">
        <v>1431</v>
      </c>
      <c r="E1726" s="144" t="s">
        <v>988</v>
      </c>
      <c r="F1726" s="147" t="s">
        <v>859</v>
      </c>
      <c r="G1726" s="144" t="s">
        <v>3267</v>
      </c>
      <c r="H1726" s="146" t="s">
        <v>130</v>
      </c>
      <c r="I1726" s="144" t="s">
        <v>452</v>
      </c>
    </row>
    <row r="1727" spans="1:9" ht="38.1">
      <c r="A1727" s="193">
        <v>45952</v>
      </c>
      <c r="B1727" s="145" t="s">
        <v>832</v>
      </c>
      <c r="C1727" s="150">
        <v>2025</v>
      </c>
      <c r="D1727" s="201" t="s">
        <v>1431</v>
      </c>
      <c r="E1727" s="144" t="s">
        <v>988</v>
      </c>
      <c r="F1727" s="139" t="s">
        <v>88</v>
      </c>
      <c r="G1727" s="144" t="s">
        <v>3268</v>
      </c>
      <c r="H1727" s="146" t="s">
        <v>26</v>
      </c>
      <c r="I1727" s="144" t="s">
        <v>1543</v>
      </c>
    </row>
    <row r="1728" spans="1:9" ht="25.5">
      <c r="A1728" s="193">
        <v>45952</v>
      </c>
      <c r="B1728" s="145" t="s">
        <v>832</v>
      </c>
      <c r="C1728" s="150">
        <v>2025</v>
      </c>
      <c r="D1728" s="201" t="s">
        <v>1431</v>
      </c>
      <c r="E1728" s="144" t="s">
        <v>988</v>
      </c>
      <c r="F1728" s="141" t="s">
        <v>821</v>
      </c>
      <c r="G1728" s="144" t="s">
        <v>3269</v>
      </c>
      <c r="H1728" s="146" t="s">
        <v>130</v>
      </c>
      <c r="I1728" s="144" t="s">
        <v>2700</v>
      </c>
    </row>
    <row r="1729" spans="1:9" ht="25.5">
      <c r="A1729" s="193">
        <v>45952</v>
      </c>
      <c r="B1729" s="145" t="s">
        <v>832</v>
      </c>
      <c r="C1729" s="150">
        <v>2025</v>
      </c>
      <c r="D1729" s="201" t="s">
        <v>1431</v>
      </c>
      <c r="E1729" s="144" t="s">
        <v>2244</v>
      </c>
      <c r="F1729" s="139" t="s">
        <v>88</v>
      </c>
      <c r="G1729" s="144" t="s">
        <v>3270</v>
      </c>
      <c r="H1729" s="146" t="s">
        <v>26</v>
      </c>
      <c r="I1729" s="144" t="s">
        <v>1904</v>
      </c>
    </row>
    <row r="1730" spans="1:9" ht="25.5">
      <c r="A1730" s="193">
        <v>45952</v>
      </c>
      <c r="B1730" s="145" t="s">
        <v>832</v>
      </c>
      <c r="C1730" s="150">
        <v>2025</v>
      </c>
      <c r="D1730" s="201" t="s">
        <v>1431</v>
      </c>
      <c r="E1730" s="144" t="s">
        <v>1506</v>
      </c>
      <c r="F1730" s="139" t="s">
        <v>88</v>
      </c>
      <c r="G1730" s="144" t="s">
        <v>3271</v>
      </c>
      <c r="H1730" s="146" t="s">
        <v>26</v>
      </c>
      <c r="I1730" s="144" t="s">
        <v>1904</v>
      </c>
    </row>
    <row r="1731" spans="1:9" ht="38.1">
      <c r="A1731" s="193">
        <v>45952</v>
      </c>
      <c r="B1731" s="145" t="s">
        <v>832</v>
      </c>
      <c r="C1731" s="150">
        <v>2025</v>
      </c>
      <c r="D1731" s="201" t="s">
        <v>1431</v>
      </c>
      <c r="E1731" s="144" t="s">
        <v>1539</v>
      </c>
      <c r="F1731" s="139" t="s">
        <v>88</v>
      </c>
      <c r="G1731" s="144" t="s">
        <v>3272</v>
      </c>
      <c r="H1731" s="146" t="s">
        <v>130</v>
      </c>
      <c r="I1731" s="144" t="s">
        <v>1541</v>
      </c>
    </row>
    <row r="1732" spans="1:9" ht="38.1">
      <c r="A1732" s="193">
        <v>45952</v>
      </c>
      <c r="B1732" s="145" t="s">
        <v>832</v>
      </c>
      <c r="C1732" s="150">
        <v>2025</v>
      </c>
      <c r="D1732" s="201" t="s">
        <v>1431</v>
      </c>
      <c r="E1732" s="144" t="s">
        <v>1539</v>
      </c>
      <c r="F1732" s="139" t="s">
        <v>88</v>
      </c>
      <c r="G1732" s="144" t="s">
        <v>3273</v>
      </c>
      <c r="H1732" s="146" t="s">
        <v>26</v>
      </c>
      <c r="I1732" s="144" t="s">
        <v>1541</v>
      </c>
    </row>
    <row r="1733" spans="1:9" ht="25.5">
      <c r="A1733" s="193">
        <v>45952</v>
      </c>
      <c r="B1733" s="145" t="s">
        <v>832</v>
      </c>
      <c r="C1733" s="150">
        <v>2025</v>
      </c>
      <c r="D1733" s="201" t="s">
        <v>2224</v>
      </c>
      <c r="E1733" s="144" t="s">
        <v>988</v>
      </c>
      <c r="F1733" s="139" t="s">
        <v>88</v>
      </c>
      <c r="G1733" s="144" t="s">
        <v>3274</v>
      </c>
      <c r="H1733" s="146" t="s">
        <v>130</v>
      </c>
      <c r="I1733" s="144" t="s">
        <v>2568</v>
      </c>
    </row>
    <row r="1734" spans="1:9" ht="38.1">
      <c r="A1734" s="193">
        <v>45952</v>
      </c>
      <c r="B1734" s="145" t="s">
        <v>832</v>
      </c>
      <c r="C1734" s="150">
        <v>2025</v>
      </c>
      <c r="D1734" s="201" t="s">
        <v>2224</v>
      </c>
      <c r="E1734" s="144" t="s">
        <v>21</v>
      </c>
      <c r="F1734" s="141" t="s">
        <v>821</v>
      </c>
      <c r="G1734" s="144" t="s">
        <v>3275</v>
      </c>
      <c r="H1734" s="146" t="s">
        <v>130</v>
      </c>
      <c r="I1734" s="144" t="s">
        <v>149</v>
      </c>
    </row>
    <row r="1735" spans="1:9" ht="38.1">
      <c r="A1735" s="193">
        <v>45952</v>
      </c>
      <c r="B1735" s="145" t="s">
        <v>832</v>
      </c>
      <c r="C1735" s="150">
        <v>2025</v>
      </c>
      <c r="D1735" s="201" t="s">
        <v>2224</v>
      </c>
      <c r="E1735" s="144" t="s">
        <v>21</v>
      </c>
      <c r="F1735" s="141" t="s">
        <v>821</v>
      </c>
      <c r="G1735" s="144" t="s">
        <v>3276</v>
      </c>
      <c r="H1735" s="146" t="s">
        <v>130</v>
      </c>
      <c r="I1735" s="144" t="s">
        <v>149</v>
      </c>
    </row>
    <row r="1736" spans="1:9" ht="50.45">
      <c r="A1736" s="193">
        <v>45952</v>
      </c>
      <c r="B1736" s="145" t="s">
        <v>832</v>
      </c>
      <c r="C1736" s="150">
        <v>2025</v>
      </c>
      <c r="D1736" s="201" t="s">
        <v>1431</v>
      </c>
      <c r="E1736" s="144" t="s">
        <v>2591</v>
      </c>
      <c r="F1736" s="139" t="s">
        <v>88</v>
      </c>
      <c r="G1736" s="144" t="s">
        <v>3277</v>
      </c>
      <c r="H1736" s="146" t="s">
        <v>26</v>
      </c>
      <c r="I1736" s="144" t="s">
        <v>2593</v>
      </c>
    </row>
    <row r="1737" spans="1:9" ht="50.45">
      <c r="A1737" s="193">
        <v>45952</v>
      </c>
      <c r="B1737" s="145" t="s">
        <v>832</v>
      </c>
      <c r="C1737" s="150">
        <v>2025</v>
      </c>
      <c r="D1737" s="201" t="s">
        <v>1431</v>
      </c>
      <c r="E1737" s="144" t="s">
        <v>2591</v>
      </c>
      <c r="F1737" s="141" t="s">
        <v>821</v>
      </c>
      <c r="G1737" s="144" t="s">
        <v>3278</v>
      </c>
      <c r="H1737" s="146" t="s">
        <v>26</v>
      </c>
      <c r="I1737" s="144" t="s">
        <v>2593</v>
      </c>
    </row>
    <row r="1738" spans="1:9" ht="25.5">
      <c r="A1738" s="193">
        <v>45952</v>
      </c>
      <c r="B1738" s="145" t="s">
        <v>832</v>
      </c>
      <c r="C1738" s="150">
        <v>2025</v>
      </c>
      <c r="D1738" s="201" t="s">
        <v>1431</v>
      </c>
      <c r="E1738" s="144" t="s">
        <v>2591</v>
      </c>
      <c r="F1738" s="141" t="s">
        <v>821</v>
      </c>
      <c r="G1738" s="144" t="s">
        <v>3279</v>
      </c>
      <c r="H1738" s="146" t="s">
        <v>26</v>
      </c>
      <c r="I1738" s="144" t="s">
        <v>2593</v>
      </c>
    </row>
    <row r="1739" spans="1:9" ht="25.5">
      <c r="A1739" s="193">
        <v>45952</v>
      </c>
      <c r="B1739" s="145" t="s">
        <v>832</v>
      </c>
      <c r="C1739" s="150">
        <v>2025</v>
      </c>
      <c r="D1739" s="201" t="s">
        <v>1431</v>
      </c>
      <c r="E1739" s="144" t="s">
        <v>2591</v>
      </c>
      <c r="F1739" s="139" t="s">
        <v>88</v>
      </c>
      <c r="G1739" s="144" t="s">
        <v>3280</v>
      </c>
      <c r="H1739" s="146" t="s">
        <v>26</v>
      </c>
      <c r="I1739" s="144" t="s">
        <v>2593</v>
      </c>
    </row>
    <row r="1740" spans="1:9" ht="38.1">
      <c r="A1740" s="193">
        <v>45952</v>
      </c>
      <c r="B1740" s="145" t="s">
        <v>832</v>
      </c>
      <c r="C1740" s="150">
        <v>2025</v>
      </c>
      <c r="D1740" s="201" t="s">
        <v>1431</v>
      </c>
      <c r="E1740" s="144" t="s">
        <v>2591</v>
      </c>
      <c r="F1740" s="139" t="s">
        <v>88</v>
      </c>
      <c r="G1740" s="144" t="s">
        <v>3281</v>
      </c>
      <c r="H1740" s="146" t="s">
        <v>26</v>
      </c>
      <c r="I1740" s="144" t="s">
        <v>2593</v>
      </c>
    </row>
    <row r="1741" spans="1:9" ht="25.5">
      <c r="A1741" s="193">
        <v>45952</v>
      </c>
      <c r="B1741" s="145" t="s">
        <v>832</v>
      </c>
      <c r="C1741" s="150">
        <v>2025</v>
      </c>
      <c r="D1741" s="201" t="s">
        <v>1431</v>
      </c>
      <c r="E1741" s="144" t="s">
        <v>1566</v>
      </c>
      <c r="F1741" s="139" t="s">
        <v>88</v>
      </c>
      <c r="G1741" s="144" t="s">
        <v>3282</v>
      </c>
      <c r="H1741" s="146" t="s">
        <v>26</v>
      </c>
      <c r="I1741" s="144" t="s">
        <v>1453</v>
      </c>
    </row>
    <row r="1742" spans="1:9" ht="25.5">
      <c r="A1742" s="193">
        <v>45952</v>
      </c>
      <c r="B1742" s="145" t="s">
        <v>832</v>
      </c>
      <c r="C1742" s="150">
        <v>2025</v>
      </c>
      <c r="D1742" s="201" t="s">
        <v>1431</v>
      </c>
      <c r="E1742" s="144" t="s">
        <v>1566</v>
      </c>
      <c r="F1742" s="139" t="s">
        <v>88</v>
      </c>
      <c r="G1742" s="144" t="s">
        <v>3283</v>
      </c>
      <c r="H1742" s="146" t="s">
        <v>26</v>
      </c>
      <c r="I1742" s="144" t="s">
        <v>1453</v>
      </c>
    </row>
    <row r="1743" spans="1:9" ht="25.5">
      <c r="A1743" s="193">
        <v>45952</v>
      </c>
      <c r="B1743" s="145" t="s">
        <v>832</v>
      </c>
      <c r="C1743" s="150">
        <v>2025</v>
      </c>
      <c r="D1743" s="201" t="s">
        <v>1431</v>
      </c>
      <c r="E1743" s="144" t="s">
        <v>1566</v>
      </c>
      <c r="F1743" s="139" t="s">
        <v>88</v>
      </c>
      <c r="G1743" s="144" t="s">
        <v>3284</v>
      </c>
      <c r="H1743" s="146" t="s">
        <v>26</v>
      </c>
      <c r="I1743" s="144" t="s">
        <v>1453</v>
      </c>
    </row>
    <row r="1744" spans="1:9" ht="14.1">
      <c r="A1744" s="193">
        <v>45952</v>
      </c>
      <c r="B1744" s="145" t="s">
        <v>832</v>
      </c>
      <c r="C1744" s="150">
        <v>2025</v>
      </c>
      <c r="D1744" s="201" t="s">
        <v>1431</v>
      </c>
      <c r="E1744" s="144" t="s">
        <v>1566</v>
      </c>
      <c r="F1744" s="139" t="s">
        <v>88</v>
      </c>
      <c r="G1744" s="144" t="s">
        <v>3285</v>
      </c>
      <c r="H1744" s="146" t="s">
        <v>26</v>
      </c>
      <c r="I1744" s="144" t="s">
        <v>1453</v>
      </c>
    </row>
    <row r="1745" spans="1:9" ht="25.5">
      <c r="A1745" s="193">
        <v>45953</v>
      </c>
      <c r="B1745" s="145" t="s">
        <v>832</v>
      </c>
      <c r="C1745" s="150">
        <v>2025</v>
      </c>
      <c r="D1745" s="201" t="s">
        <v>1431</v>
      </c>
      <c r="E1745" s="144" t="s">
        <v>988</v>
      </c>
      <c r="F1745" s="141" t="s">
        <v>821</v>
      </c>
      <c r="G1745" s="144" t="s">
        <v>3286</v>
      </c>
      <c r="H1745" s="146" t="s">
        <v>130</v>
      </c>
      <c r="I1745" s="144" t="s">
        <v>452</v>
      </c>
    </row>
    <row r="1746" spans="1:9" ht="25.5">
      <c r="A1746" s="193">
        <v>45953</v>
      </c>
      <c r="B1746" s="145" t="s">
        <v>832</v>
      </c>
      <c r="C1746" s="150">
        <v>2025</v>
      </c>
      <c r="D1746" s="201" t="s">
        <v>1431</v>
      </c>
      <c r="E1746" s="144" t="s">
        <v>1518</v>
      </c>
      <c r="F1746" s="139" t="s">
        <v>88</v>
      </c>
      <c r="G1746" s="144" t="s">
        <v>3287</v>
      </c>
      <c r="H1746" s="146" t="s">
        <v>130</v>
      </c>
      <c r="I1746" s="144" t="s">
        <v>1493</v>
      </c>
    </row>
    <row r="1747" spans="1:9" ht="50.45">
      <c r="A1747" s="193">
        <v>45953</v>
      </c>
      <c r="B1747" s="145" t="s">
        <v>832</v>
      </c>
      <c r="C1747" s="150">
        <v>2025</v>
      </c>
      <c r="D1747" s="201" t="s">
        <v>1431</v>
      </c>
      <c r="E1747" s="144" t="s">
        <v>988</v>
      </c>
      <c r="F1747" s="139" t="s">
        <v>88</v>
      </c>
      <c r="G1747" s="144" t="s">
        <v>3288</v>
      </c>
      <c r="H1747" s="146" t="s">
        <v>130</v>
      </c>
      <c r="I1747" s="144" t="s">
        <v>910</v>
      </c>
    </row>
    <row r="1748" spans="1:9" ht="50.45">
      <c r="A1748" s="193">
        <v>45953</v>
      </c>
      <c r="B1748" s="145" t="s">
        <v>832</v>
      </c>
      <c r="C1748" s="150">
        <v>2025</v>
      </c>
      <c r="D1748" s="201" t="s">
        <v>2224</v>
      </c>
      <c r="E1748" s="144" t="s">
        <v>21</v>
      </c>
      <c r="F1748" s="141" t="s">
        <v>821</v>
      </c>
      <c r="G1748" s="144" t="s">
        <v>3289</v>
      </c>
      <c r="H1748" s="146" t="s">
        <v>130</v>
      </c>
      <c r="I1748" s="144" t="s">
        <v>149</v>
      </c>
    </row>
    <row r="1749" spans="1:9" ht="63">
      <c r="A1749" s="193">
        <v>45953</v>
      </c>
      <c r="B1749" s="145" t="s">
        <v>832</v>
      </c>
      <c r="C1749" s="150">
        <v>2025</v>
      </c>
      <c r="D1749" s="201" t="s">
        <v>1431</v>
      </c>
      <c r="E1749" s="144" t="s">
        <v>2591</v>
      </c>
      <c r="F1749" s="139" t="s">
        <v>88</v>
      </c>
      <c r="G1749" s="144" t="s">
        <v>3290</v>
      </c>
      <c r="H1749" s="146" t="s">
        <v>26</v>
      </c>
      <c r="I1749" s="144" t="s">
        <v>2593</v>
      </c>
    </row>
    <row r="1750" spans="1:9" ht="14.1">
      <c r="A1750" s="193">
        <v>45953</v>
      </c>
      <c r="B1750" s="145" t="s">
        <v>832</v>
      </c>
      <c r="C1750" s="150">
        <v>2025</v>
      </c>
      <c r="D1750" s="201" t="s">
        <v>1431</v>
      </c>
      <c r="E1750" s="144" t="s">
        <v>2591</v>
      </c>
      <c r="F1750" s="139" t="s">
        <v>88</v>
      </c>
      <c r="G1750" s="148" t="s">
        <v>3291</v>
      </c>
      <c r="H1750" s="146" t="s">
        <v>26</v>
      </c>
      <c r="I1750" s="144" t="s">
        <v>2593</v>
      </c>
    </row>
    <row r="1751" spans="1:9" ht="25.5">
      <c r="A1751" s="193">
        <v>45953</v>
      </c>
      <c r="B1751" s="145" t="s">
        <v>832</v>
      </c>
      <c r="C1751" s="150">
        <v>2025</v>
      </c>
      <c r="D1751" s="201" t="s">
        <v>1431</v>
      </c>
      <c r="E1751" s="144" t="s">
        <v>2591</v>
      </c>
      <c r="F1751" s="139" t="s">
        <v>88</v>
      </c>
      <c r="G1751" s="148" t="s">
        <v>3292</v>
      </c>
      <c r="H1751" s="146" t="s">
        <v>26</v>
      </c>
      <c r="I1751" s="144" t="s">
        <v>2593</v>
      </c>
    </row>
    <row r="1752" spans="1:9" ht="14.1">
      <c r="A1752" s="193">
        <v>45953</v>
      </c>
      <c r="B1752" s="145" t="s">
        <v>832</v>
      </c>
      <c r="C1752" s="150">
        <v>2025</v>
      </c>
      <c r="D1752" s="201" t="s">
        <v>1431</v>
      </c>
      <c r="E1752" s="144" t="s">
        <v>2591</v>
      </c>
      <c r="F1752" s="139" t="s">
        <v>88</v>
      </c>
      <c r="G1752" s="148" t="s">
        <v>3293</v>
      </c>
      <c r="H1752" s="146" t="s">
        <v>26</v>
      </c>
      <c r="I1752" s="144" t="s">
        <v>2593</v>
      </c>
    </row>
    <row r="1753" spans="1:9" ht="14.1">
      <c r="A1753" s="193">
        <v>45953</v>
      </c>
      <c r="B1753" s="145" t="s">
        <v>832</v>
      </c>
      <c r="C1753" s="150">
        <v>2025</v>
      </c>
      <c r="D1753" s="201" t="s">
        <v>1431</v>
      </c>
      <c r="E1753" s="144" t="s">
        <v>1566</v>
      </c>
      <c r="F1753" s="139" t="s">
        <v>88</v>
      </c>
      <c r="G1753" s="144" t="s">
        <v>3294</v>
      </c>
      <c r="H1753" s="146" t="s">
        <v>26</v>
      </c>
      <c r="I1753" s="144" t="s">
        <v>2640</v>
      </c>
    </row>
    <row r="1754" spans="1:9" ht="25.5">
      <c r="A1754" s="193">
        <v>45954</v>
      </c>
      <c r="B1754" s="145" t="s">
        <v>832</v>
      </c>
      <c r="C1754" s="150">
        <v>2025</v>
      </c>
      <c r="D1754" s="201" t="s">
        <v>1431</v>
      </c>
      <c r="E1754" s="144" t="s">
        <v>21</v>
      </c>
      <c r="F1754" s="141" t="s">
        <v>821</v>
      </c>
      <c r="G1754" s="144" t="s">
        <v>3295</v>
      </c>
      <c r="H1754" s="146" t="s">
        <v>130</v>
      </c>
      <c r="I1754" s="144" t="s">
        <v>149</v>
      </c>
    </row>
    <row r="1755" spans="1:9" ht="25.5">
      <c r="A1755" s="193">
        <v>45954</v>
      </c>
      <c r="B1755" s="145" t="s">
        <v>832</v>
      </c>
      <c r="C1755" s="150">
        <v>2025</v>
      </c>
      <c r="D1755" s="201" t="s">
        <v>1431</v>
      </c>
      <c r="E1755" s="144" t="s">
        <v>1506</v>
      </c>
      <c r="F1755" s="139" t="s">
        <v>88</v>
      </c>
      <c r="G1755" s="144" t="s">
        <v>3296</v>
      </c>
      <c r="H1755" s="146" t="s">
        <v>130</v>
      </c>
      <c r="I1755" s="144" t="s">
        <v>3247</v>
      </c>
    </row>
    <row r="1756" spans="1:9" ht="25.5">
      <c r="A1756" s="193">
        <v>45954</v>
      </c>
      <c r="B1756" s="145" t="s">
        <v>832</v>
      </c>
      <c r="C1756" s="150">
        <v>2025</v>
      </c>
      <c r="D1756" s="201" t="s">
        <v>1431</v>
      </c>
      <c r="E1756" s="144" t="s">
        <v>1506</v>
      </c>
      <c r="F1756" s="139" t="s">
        <v>88</v>
      </c>
      <c r="G1756" s="144" t="s">
        <v>3297</v>
      </c>
      <c r="H1756" s="146" t="s">
        <v>130</v>
      </c>
      <c r="I1756" s="144" t="s">
        <v>3247</v>
      </c>
    </row>
    <row r="1757" spans="1:9" ht="50.45">
      <c r="A1757" s="193">
        <v>45954</v>
      </c>
      <c r="B1757" s="145" t="s">
        <v>832</v>
      </c>
      <c r="C1757" s="150">
        <v>2025</v>
      </c>
      <c r="D1757" s="201" t="s">
        <v>1431</v>
      </c>
      <c r="E1757" s="144" t="s">
        <v>2591</v>
      </c>
      <c r="F1757" s="139" t="s">
        <v>88</v>
      </c>
      <c r="G1757" s="148" t="s">
        <v>3298</v>
      </c>
      <c r="H1757" s="146" t="s">
        <v>26</v>
      </c>
      <c r="I1757" s="144" t="s">
        <v>2593</v>
      </c>
    </row>
    <row r="1758" spans="1:9" ht="75.599999999999994">
      <c r="A1758" s="193">
        <v>45954</v>
      </c>
      <c r="B1758" s="145" t="s">
        <v>832</v>
      </c>
      <c r="C1758" s="150">
        <v>2025</v>
      </c>
      <c r="D1758" s="201" t="s">
        <v>1431</v>
      </c>
      <c r="E1758" s="144" t="s">
        <v>2591</v>
      </c>
      <c r="F1758" s="139" t="s">
        <v>88</v>
      </c>
      <c r="G1758" s="148" t="s">
        <v>3299</v>
      </c>
      <c r="H1758" s="146" t="s">
        <v>26</v>
      </c>
      <c r="I1758" s="144" t="s">
        <v>2593</v>
      </c>
    </row>
    <row r="1759" spans="1:9" ht="87.95">
      <c r="A1759" s="193">
        <v>45954</v>
      </c>
      <c r="B1759" s="145" t="s">
        <v>832</v>
      </c>
      <c r="C1759" s="150">
        <v>2025</v>
      </c>
      <c r="D1759" s="201" t="s">
        <v>1431</v>
      </c>
      <c r="E1759" s="144" t="s">
        <v>2591</v>
      </c>
      <c r="F1759" s="139" t="s">
        <v>88</v>
      </c>
      <c r="G1759" s="148" t="s">
        <v>3300</v>
      </c>
      <c r="H1759" s="146" t="s">
        <v>26</v>
      </c>
      <c r="I1759" s="144" t="s">
        <v>2593</v>
      </c>
    </row>
    <row r="1760" spans="1:9" ht="38.1">
      <c r="A1760" s="193">
        <v>45954</v>
      </c>
      <c r="B1760" s="145" t="s">
        <v>832</v>
      </c>
      <c r="C1760" s="150">
        <v>2025</v>
      </c>
      <c r="D1760" s="201" t="s">
        <v>1431</v>
      </c>
      <c r="E1760" s="144" t="s">
        <v>2591</v>
      </c>
      <c r="F1760" s="139" t="s">
        <v>88</v>
      </c>
      <c r="G1760" s="148" t="s">
        <v>3301</v>
      </c>
      <c r="H1760" s="146" t="s">
        <v>26</v>
      </c>
      <c r="I1760" s="144" t="s">
        <v>2593</v>
      </c>
    </row>
    <row r="1761" spans="1:9" ht="14.1">
      <c r="A1761" s="193">
        <v>45954</v>
      </c>
      <c r="B1761" s="145" t="s">
        <v>832</v>
      </c>
      <c r="C1761" s="150">
        <v>2025</v>
      </c>
      <c r="D1761" s="201" t="s">
        <v>1431</v>
      </c>
      <c r="E1761" s="144" t="s">
        <v>2591</v>
      </c>
      <c r="F1761" s="139" t="s">
        <v>88</v>
      </c>
      <c r="G1761" s="148" t="s">
        <v>3302</v>
      </c>
      <c r="H1761" s="146" t="s">
        <v>26</v>
      </c>
      <c r="I1761" s="144" t="s">
        <v>2593</v>
      </c>
    </row>
    <row r="1762" spans="1:9" ht="38.1">
      <c r="A1762" s="193">
        <v>45954</v>
      </c>
      <c r="B1762" s="145" t="s">
        <v>832</v>
      </c>
      <c r="C1762" s="150">
        <v>2025</v>
      </c>
      <c r="D1762" s="201" t="s">
        <v>1431</v>
      </c>
      <c r="E1762" s="144" t="s">
        <v>2591</v>
      </c>
      <c r="F1762" s="139" t="s">
        <v>88</v>
      </c>
      <c r="G1762" s="148" t="s">
        <v>3303</v>
      </c>
      <c r="H1762" s="146" t="s">
        <v>26</v>
      </c>
      <c r="I1762" s="144" t="s">
        <v>2593</v>
      </c>
    </row>
    <row r="1763" spans="1:9" ht="25.5">
      <c r="A1763" s="193">
        <v>45954</v>
      </c>
      <c r="B1763" s="145" t="s">
        <v>832</v>
      </c>
      <c r="C1763" s="150">
        <v>2025</v>
      </c>
      <c r="D1763" s="201" t="s">
        <v>1431</v>
      </c>
      <c r="E1763" s="144" t="s">
        <v>1566</v>
      </c>
      <c r="F1763" s="139" t="s">
        <v>88</v>
      </c>
      <c r="G1763" s="144" t="s">
        <v>3304</v>
      </c>
      <c r="H1763" s="146" t="s">
        <v>26</v>
      </c>
      <c r="I1763" s="144" t="s">
        <v>1453</v>
      </c>
    </row>
    <row r="1764" spans="1:9" ht="25.5">
      <c r="A1764" s="193">
        <v>45954</v>
      </c>
      <c r="B1764" s="145" t="s">
        <v>832</v>
      </c>
      <c r="C1764" s="150">
        <v>2025</v>
      </c>
      <c r="D1764" s="201" t="s">
        <v>1431</v>
      </c>
      <c r="E1764" s="144" t="s">
        <v>1566</v>
      </c>
      <c r="F1764" s="139" t="s">
        <v>88</v>
      </c>
      <c r="G1764" s="144" t="s">
        <v>3305</v>
      </c>
      <c r="H1764" s="146" t="s">
        <v>26</v>
      </c>
      <c r="I1764" s="144" t="s">
        <v>1453</v>
      </c>
    </row>
    <row r="1765" spans="1:9" ht="25.5">
      <c r="A1765" s="193">
        <v>45954</v>
      </c>
      <c r="B1765" s="145" t="s">
        <v>832</v>
      </c>
      <c r="C1765" s="150">
        <v>2025</v>
      </c>
      <c r="D1765" s="201" t="s">
        <v>1431</v>
      </c>
      <c r="E1765" s="144" t="s">
        <v>1566</v>
      </c>
      <c r="F1765" s="139" t="s">
        <v>88</v>
      </c>
      <c r="G1765" s="144" t="s">
        <v>3306</v>
      </c>
      <c r="H1765" s="146" t="s">
        <v>26</v>
      </c>
      <c r="I1765" s="144" t="s">
        <v>1453</v>
      </c>
    </row>
    <row r="1766" spans="1:9" ht="38.1">
      <c r="A1766" s="193">
        <v>45954</v>
      </c>
      <c r="B1766" s="145" t="s">
        <v>832</v>
      </c>
      <c r="C1766" s="150">
        <v>2025</v>
      </c>
      <c r="D1766" s="201" t="s">
        <v>1431</v>
      </c>
      <c r="E1766" s="144" t="s">
        <v>1566</v>
      </c>
      <c r="F1766" s="139" t="s">
        <v>88</v>
      </c>
      <c r="G1766" s="144" t="s">
        <v>3307</v>
      </c>
      <c r="H1766" s="146" t="s">
        <v>26</v>
      </c>
      <c r="I1766" s="144" t="s">
        <v>1453</v>
      </c>
    </row>
    <row r="1767" spans="1:9" ht="38.1">
      <c r="A1767" s="193">
        <v>45957</v>
      </c>
      <c r="B1767" s="145" t="s">
        <v>832</v>
      </c>
      <c r="C1767" s="150">
        <v>2025</v>
      </c>
      <c r="D1767" s="201" t="s">
        <v>1431</v>
      </c>
      <c r="E1767" s="144" t="s">
        <v>1506</v>
      </c>
      <c r="F1767" s="139" t="s">
        <v>88</v>
      </c>
      <c r="G1767" s="144" t="s">
        <v>3308</v>
      </c>
      <c r="H1767" s="146" t="s">
        <v>26</v>
      </c>
      <c r="I1767" s="144" t="s">
        <v>1904</v>
      </c>
    </row>
    <row r="1768" spans="1:9" ht="38.1">
      <c r="A1768" s="193">
        <v>45957</v>
      </c>
      <c r="B1768" s="145" t="s">
        <v>832</v>
      </c>
      <c r="C1768" s="150">
        <v>2025</v>
      </c>
      <c r="D1768" s="201" t="s">
        <v>1431</v>
      </c>
      <c r="E1768" s="144" t="s">
        <v>1506</v>
      </c>
      <c r="F1768" s="139" t="s">
        <v>88</v>
      </c>
      <c r="G1768" s="144" t="s">
        <v>3309</v>
      </c>
      <c r="H1768" s="146" t="s">
        <v>26</v>
      </c>
      <c r="I1768" s="144" t="s">
        <v>1904</v>
      </c>
    </row>
    <row r="1769" spans="1:9" ht="14.1">
      <c r="A1769" s="193">
        <v>45957</v>
      </c>
      <c r="B1769" s="145" t="s">
        <v>832</v>
      </c>
      <c r="C1769" s="150">
        <v>2025</v>
      </c>
      <c r="D1769" s="201" t="s">
        <v>1431</v>
      </c>
      <c r="E1769" s="144" t="s">
        <v>216</v>
      </c>
      <c r="F1769" s="141" t="s">
        <v>821</v>
      </c>
      <c r="G1769" s="144" t="s">
        <v>3310</v>
      </c>
      <c r="H1769" s="146" t="s">
        <v>130</v>
      </c>
      <c r="I1769" s="144" t="s">
        <v>492</v>
      </c>
    </row>
    <row r="1770" spans="1:9" ht="25.5">
      <c r="A1770" s="193">
        <v>45957</v>
      </c>
      <c r="B1770" s="145" t="s">
        <v>832</v>
      </c>
      <c r="C1770" s="150">
        <v>2025</v>
      </c>
      <c r="D1770" s="201" t="s">
        <v>1431</v>
      </c>
      <c r="E1770" s="144" t="s">
        <v>216</v>
      </c>
      <c r="F1770" s="141" t="s">
        <v>821</v>
      </c>
      <c r="G1770" s="144" t="s">
        <v>3311</v>
      </c>
      <c r="H1770" s="146" t="s">
        <v>130</v>
      </c>
      <c r="I1770" s="144" t="s">
        <v>492</v>
      </c>
    </row>
    <row r="1771" spans="1:9" ht="38.1">
      <c r="A1771" s="193">
        <v>45957</v>
      </c>
      <c r="B1771" s="145" t="s">
        <v>832</v>
      </c>
      <c r="C1771" s="150">
        <v>2025</v>
      </c>
      <c r="D1771" s="201" t="s">
        <v>2224</v>
      </c>
      <c r="E1771" s="144" t="s">
        <v>988</v>
      </c>
      <c r="F1771" s="139" t="s">
        <v>88</v>
      </c>
      <c r="G1771" s="144" t="s">
        <v>3312</v>
      </c>
      <c r="H1771" s="146" t="s">
        <v>130</v>
      </c>
      <c r="I1771" s="144" t="s">
        <v>2568</v>
      </c>
    </row>
    <row r="1772" spans="1:9" ht="25.5">
      <c r="A1772" s="193">
        <v>45957</v>
      </c>
      <c r="B1772" s="145" t="s">
        <v>832</v>
      </c>
      <c r="C1772" s="150">
        <v>2025</v>
      </c>
      <c r="D1772" s="201" t="s">
        <v>2224</v>
      </c>
      <c r="E1772" s="144" t="s">
        <v>3011</v>
      </c>
      <c r="F1772" s="147" t="s">
        <v>859</v>
      </c>
      <c r="G1772" s="144" t="s">
        <v>3313</v>
      </c>
      <c r="H1772" s="146" t="s">
        <v>130</v>
      </c>
      <c r="I1772" s="144" t="s">
        <v>2735</v>
      </c>
    </row>
    <row r="1773" spans="1:9" ht="38.1">
      <c r="A1773" s="193">
        <v>45957</v>
      </c>
      <c r="B1773" s="145" t="s">
        <v>832</v>
      </c>
      <c r="C1773" s="150">
        <v>2025</v>
      </c>
      <c r="D1773" s="201" t="s">
        <v>1431</v>
      </c>
      <c r="E1773" s="144" t="s">
        <v>2591</v>
      </c>
      <c r="F1773" s="139" t="s">
        <v>88</v>
      </c>
      <c r="G1773" s="144" t="s">
        <v>3314</v>
      </c>
      <c r="H1773" s="146" t="s">
        <v>26</v>
      </c>
      <c r="I1773" s="144" t="s">
        <v>2593</v>
      </c>
    </row>
    <row r="1774" spans="1:9" ht="50.45">
      <c r="A1774" s="193">
        <v>45957</v>
      </c>
      <c r="B1774" s="145" t="s">
        <v>832</v>
      </c>
      <c r="C1774" s="150">
        <v>2025</v>
      </c>
      <c r="D1774" s="201" t="s">
        <v>1431</v>
      </c>
      <c r="E1774" s="144" t="s">
        <v>2591</v>
      </c>
      <c r="F1774" s="141" t="s">
        <v>821</v>
      </c>
      <c r="G1774" s="148" t="s">
        <v>3315</v>
      </c>
      <c r="H1774" s="146" t="s">
        <v>26</v>
      </c>
      <c r="I1774" s="144" t="s">
        <v>2593</v>
      </c>
    </row>
    <row r="1775" spans="1:9" ht="87.95">
      <c r="A1775" s="193">
        <v>45957</v>
      </c>
      <c r="B1775" s="145" t="s">
        <v>832</v>
      </c>
      <c r="C1775" s="150">
        <v>2025</v>
      </c>
      <c r="D1775" s="201" t="s">
        <v>1431</v>
      </c>
      <c r="E1775" s="144" t="s">
        <v>2591</v>
      </c>
      <c r="F1775" s="139" t="s">
        <v>88</v>
      </c>
      <c r="G1775" s="148" t="s">
        <v>3316</v>
      </c>
      <c r="H1775" s="146" t="s">
        <v>26</v>
      </c>
      <c r="I1775" s="144" t="s">
        <v>2593</v>
      </c>
    </row>
    <row r="1776" spans="1:9" ht="38.1">
      <c r="A1776" s="193">
        <v>45957</v>
      </c>
      <c r="B1776" s="145" t="s">
        <v>832</v>
      </c>
      <c r="C1776" s="150">
        <v>2025</v>
      </c>
      <c r="D1776" s="201" t="s">
        <v>1431</v>
      </c>
      <c r="E1776" s="144" t="s">
        <v>2591</v>
      </c>
      <c r="F1776" s="142" t="s">
        <v>872</v>
      </c>
      <c r="G1776" s="148" t="s">
        <v>3317</v>
      </c>
      <c r="H1776" s="146" t="s">
        <v>26</v>
      </c>
      <c r="I1776" s="144" t="s">
        <v>2593</v>
      </c>
    </row>
    <row r="1777" spans="1:9" ht="63">
      <c r="A1777" s="193">
        <v>45957</v>
      </c>
      <c r="B1777" s="145" t="s">
        <v>832</v>
      </c>
      <c r="C1777" s="150">
        <v>2025</v>
      </c>
      <c r="D1777" s="201" t="s">
        <v>1431</v>
      </c>
      <c r="E1777" s="144" t="s">
        <v>2591</v>
      </c>
      <c r="F1777" s="139" t="s">
        <v>88</v>
      </c>
      <c r="G1777" s="148" t="s">
        <v>3318</v>
      </c>
      <c r="H1777" s="146" t="s">
        <v>26</v>
      </c>
      <c r="I1777" s="144" t="s">
        <v>2593</v>
      </c>
    </row>
    <row r="1778" spans="1:9" ht="50.45">
      <c r="A1778" s="193">
        <v>45957</v>
      </c>
      <c r="B1778" s="145" t="s">
        <v>832</v>
      </c>
      <c r="C1778" s="150">
        <v>2025</v>
      </c>
      <c r="D1778" s="201" t="s">
        <v>1431</v>
      </c>
      <c r="E1778" s="144" t="s">
        <v>2591</v>
      </c>
      <c r="F1778" s="142" t="s">
        <v>872</v>
      </c>
      <c r="G1778" s="148" t="s">
        <v>3319</v>
      </c>
      <c r="H1778" s="146" t="s">
        <v>26</v>
      </c>
      <c r="I1778" s="144" t="s">
        <v>2593</v>
      </c>
    </row>
    <row r="1779" spans="1:9" ht="50.45">
      <c r="A1779" s="193">
        <v>45957</v>
      </c>
      <c r="B1779" s="145" t="s">
        <v>832</v>
      </c>
      <c r="C1779" s="150">
        <v>2025</v>
      </c>
      <c r="D1779" s="201" t="s">
        <v>1431</v>
      </c>
      <c r="E1779" s="144" t="s">
        <v>2591</v>
      </c>
      <c r="F1779" s="139" t="s">
        <v>88</v>
      </c>
      <c r="G1779" s="148" t="s">
        <v>3320</v>
      </c>
      <c r="H1779" s="146" t="s">
        <v>26</v>
      </c>
      <c r="I1779" s="144" t="s">
        <v>2593</v>
      </c>
    </row>
    <row r="1780" spans="1:9" ht="14.1">
      <c r="A1780" s="193">
        <v>45957</v>
      </c>
      <c r="B1780" s="145" t="s">
        <v>832</v>
      </c>
      <c r="C1780" s="150">
        <v>2025</v>
      </c>
      <c r="D1780" s="201" t="s">
        <v>1431</v>
      </c>
      <c r="E1780" s="144" t="s">
        <v>2591</v>
      </c>
      <c r="F1780" s="139" t="s">
        <v>88</v>
      </c>
      <c r="G1780" s="144" t="s">
        <v>3321</v>
      </c>
      <c r="H1780" s="146" t="s">
        <v>26</v>
      </c>
      <c r="I1780" s="144" t="s">
        <v>2593</v>
      </c>
    </row>
    <row r="1781" spans="1:9" ht="38.1">
      <c r="A1781" s="193">
        <v>45957</v>
      </c>
      <c r="B1781" s="145" t="s">
        <v>832</v>
      </c>
      <c r="C1781" s="150">
        <v>2025</v>
      </c>
      <c r="D1781" s="201" t="s">
        <v>1431</v>
      </c>
      <c r="E1781" s="144" t="s">
        <v>1566</v>
      </c>
      <c r="F1781" s="139" t="s">
        <v>88</v>
      </c>
      <c r="G1781" s="144" t="s">
        <v>3322</v>
      </c>
      <c r="H1781" s="146" t="s">
        <v>26</v>
      </c>
      <c r="I1781" s="144" t="s">
        <v>1588</v>
      </c>
    </row>
    <row r="1782" spans="1:9" ht="14.1">
      <c r="A1782" s="193">
        <v>45957</v>
      </c>
      <c r="B1782" s="145" t="s">
        <v>832</v>
      </c>
      <c r="C1782" s="150">
        <v>2025</v>
      </c>
      <c r="D1782" s="201" t="s">
        <v>1431</v>
      </c>
      <c r="E1782" s="144" t="s">
        <v>1566</v>
      </c>
      <c r="F1782" s="139" t="s">
        <v>88</v>
      </c>
      <c r="G1782" s="144" t="s">
        <v>3323</v>
      </c>
      <c r="H1782" s="146" t="s">
        <v>26</v>
      </c>
      <c r="I1782" s="144" t="s">
        <v>1588</v>
      </c>
    </row>
    <row r="1783" spans="1:9" ht="14.1">
      <c r="A1783" s="193">
        <v>45957</v>
      </c>
      <c r="B1783" s="145" t="s">
        <v>832</v>
      </c>
      <c r="C1783" s="150">
        <v>2025</v>
      </c>
      <c r="D1783" s="201" t="s">
        <v>1431</v>
      </c>
      <c r="E1783" s="144" t="s">
        <v>1566</v>
      </c>
      <c r="F1783" s="139" t="s">
        <v>88</v>
      </c>
      <c r="G1783" s="144" t="s">
        <v>3324</v>
      </c>
      <c r="H1783" s="146" t="s">
        <v>26</v>
      </c>
      <c r="I1783" s="144" t="s">
        <v>1588</v>
      </c>
    </row>
    <row r="1784" spans="1:9" ht="63">
      <c r="A1784" s="193">
        <v>45957</v>
      </c>
      <c r="B1784" s="145" t="s">
        <v>832</v>
      </c>
      <c r="C1784" s="150">
        <v>2025</v>
      </c>
      <c r="D1784" s="201" t="s">
        <v>1431</v>
      </c>
      <c r="E1784" s="144" t="s">
        <v>1566</v>
      </c>
      <c r="F1784" s="139" t="s">
        <v>88</v>
      </c>
      <c r="G1784" s="144" t="s">
        <v>3325</v>
      </c>
      <c r="H1784" s="146" t="s">
        <v>26</v>
      </c>
      <c r="I1784" s="144" t="s">
        <v>1588</v>
      </c>
    </row>
    <row r="1785" spans="1:9" ht="25.5">
      <c r="A1785" s="193">
        <v>45957</v>
      </c>
      <c r="B1785" s="145" t="s">
        <v>832</v>
      </c>
      <c r="C1785" s="150">
        <v>2025</v>
      </c>
      <c r="D1785" s="201" t="s">
        <v>1431</v>
      </c>
      <c r="E1785" s="144" t="s">
        <v>1566</v>
      </c>
      <c r="F1785" s="139" t="s">
        <v>88</v>
      </c>
      <c r="G1785" s="144" t="s">
        <v>3326</v>
      </c>
      <c r="H1785" s="146" t="s">
        <v>26</v>
      </c>
      <c r="I1785" s="144" t="s">
        <v>1588</v>
      </c>
    </row>
    <row r="1786" spans="1:9" ht="38.1">
      <c r="A1786" s="193">
        <v>45957</v>
      </c>
      <c r="B1786" s="145" t="s">
        <v>832</v>
      </c>
      <c r="C1786" s="150">
        <v>2025</v>
      </c>
      <c r="D1786" s="201" t="s">
        <v>1431</v>
      </c>
      <c r="E1786" s="144" t="s">
        <v>1566</v>
      </c>
      <c r="F1786" s="139" t="s">
        <v>88</v>
      </c>
      <c r="G1786" s="144" t="s">
        <v>3327</v>
      </c>
      <c r="H1786" s="146" t="s">
        <v>26</v>
      </c>
      <c r="I1786" s="144" t="s">
        <v>1588</v>
      </c>
    </row>
    <row r="1787" spans="1:9" ht="25.5">
      <c r="A1787" s="193">
        <v>45957</v>
      </c>
      <c r="B1787" s="145" t="s">
        <v>832</v>
      </c>
      <c r="C1787" s="150">
        <v>2025</v>
      </c>
      <c r="D1787" s="201" t="s">
        <v>2224</v>
      </c>
      <c r="E1787" s="144" t="s">
        <v>2591</v>
      </c>
      <c r="F1787" s="147" t="s">
        <v>859</v>
      </c>
      <c r="G1787" s="144" t="s">
        <v>3328</v>
      </c>
      <c r="H1787" s="146" t="s">
        <v>26</v>
      </c>
      <c r="I1787" s="144" t="s">
        <v>2593</v>
      </c>
    </row>
    <row r="1788" spans="1:9" ht="50.45">
      <c r="A1788" s="193">
        <v>45957</v>
      </c>
      <c r="B1788" s="145" t="s">
        <v>832</v>
      </c>
      <c r="C1788" s="150">
        <v>2025</v>
      </c>
      <c r="D1788" s="201" t="s">
        <v>2224</v>
      </c>
      <c r="E1788" s="144" t="s">
        <v>2591</v>
      </c>
      <c r="F1788" s="139" t="s">
        <v>88</v>
      </c>
      <c r="G1788" s="148" t="s">
        <v>3329</v>
      </c>
      <c r="H1788" s="146" t="s">
        <v>26</v>
      </c>
      <c r="I1788" s="144" t="s">
        <v>2593</v>
      </c>
    </row>
    <row r="1789" spans="1:9" ht="14.1">
      <c r="A1789" s="193">
        <v>45957</v>
      </c>
      <c r="B1789" s="145" t="s">
        <v>832</v>
      </c>
      <c r="C1789" s="150">
        <v>2025</v>
      </c>
      <c r="D1789" s="201" t="s">
        <v>2224</v>
      </c>
      <c r="E1789" s="144" t="s">
        <v>2591</v>
      </c>
      <c r="F1789" s="139" t="s">
        <v>88</v>
      </c>
      <c r="G1789" s="148" t="s">
        <v>3330</v>
      </c>
      <c r="H1789" s="146" t="s">
        <v>26</v>
      </c>
      <c r="I1789" s="144" t="s">
        <v>2593</v>
      </c>
    </row>
    <row r="1790" spans="1:9" ht="38.1">
      <c r="A1790" s="193">
        <v>45957</v>
      </c>
      <c r="B1790" s="145" t="s">
        <v>832</v>
      </c>
      <c r="C1790" s="150">
        <v>2025</v>
      </c>
      <c r="D1790" s="201" t="s">
        <v>2224</v>
      </c>
      <c r="E1790" s="144" t="s">
        <v>2591</v>
      </c>
      <c r="F1790" s="139" t="s">
        <v>88</v>
      </c>
      <c r="G1790" s="148" t="s">
        <v>3331</v>
      </c>
      <c r="H1790" s="146" t="s">
        <v>26</v>
      </c>
      <c r="I1790" s="144" t="s">
        <v>2593</v>
      </c>
    </row>
    <row r="1791" spans="1:9" ht="25.5">
      <c r="A1791" s="193">
        <v>45958</v>
      </c>
      <c r="B1791" s="145" t="s">
        <v>832</v>
      </c>
      <c r="C1791" s="150">
        <v>2025</v>
      </c>
      <c r="D1791" s="201" t="s">
        <v>2224</v>
      </c>
      <c r="E1791" s="144" t="s">
        <v>21</v>
      </c>
      <c r="F1791" s="141" t="s">
        <v>821</v>
      </c>
      <c r="G1791" s="144" t="s">
        <v>3332</v>
      </c>
      <c r="H1791" s="146" t="s">
        <v>130</v>
      </c>
      <c r="I1791" s="144" t="s">
        <v>149</v>
      </c>
    </row>
    <row r="1792" spans="1:9" ht="50.45">
      <c r="A1792" s="193">
        <v>45958</v>
      </c>
      <c r="B1792" s="145" t="s">
        <v>832</v>
      </c>
      <c r="C1792" s="150">
        <v>2025</v>
      </c>
      <c r="D1792" s="201" t="s">
        <v>1431</v>
      </c>
      <c r="E1792" s="144" t="s">
        <v>2591</v>
      </c>
      <c r="F1792" s="139" t="s">
        <v>88</v>
      </c>
      <c r="G1792" s="144" t="s">
        <v>3333</v>
      </c>
      <c r="H1792" s="146" t="s">
        <v>26</v>
      </c>
      <c r="I1792" s="144" t="s">
        <v>2593</v>
      </c>
    </row>
    <row r="1793" spans="1:9" ht="50.45">
      <c r="A1793" s="193">
        <v>45958</v>
      </c>
      <c r="B1793" s="145" t="s">
        <v>832</v>
      </c>
      <c r="C1793" s="150">
        <v>2025</v>
      </c>
      <c r="D1793" s="201" t="s">
        <v>1431</v>
      </c>
      <c r="E1793" s="144" t="s">
        <v>2591</v>
      </c>
      <c r="F1793" s="139" t="s">
        <v>88</v>
      </c>
      <c r="G1793" s="144" t="s">
        <v>3334</v>
      </c>
      <c r="H1793" s="146" t="s">
        <v>26</v>
      </c>
      <c r="I1793" s="144" t="s">
        <v>2593</v>
      </c>
    </row>
    <row r="1794" spans="1:9" ht="25.5">
      <c r="A1794" s="193">
        <v>45958</v>
      </c>
      <c r="B1794" s="145" t="s">
        <v>832</v>
      </c>
      <c r="C1794" s="150">
        <v>2025</v>
      </c>
      <c r="D1794" s="201" t="s">
        <v>1431</v>
      </c>
      <c r="E1794" s="144" t="s">
        <v>2591</v>
      </c>
      <c r="F1794" s="139" t="s">
        <v>88</v>
      </c>
      <c r="G1794" s="144" t="s">
        <v>3335</v>
      </c>
      <c r="H1794" s="146" t="s">
        <v>26</v>
      </c>
      <c r="I1794" s="144" t="s">
        <v>2593</v>
      </c>
    </row>
    <row r="1795" spans="1:9" ht="25.5">
      <c r="A1795" s="193">
        <v>45958</v>
      </c>
      <c r="B1795" s="145" t="s">
        <v>832</v>
      </c>
      <c r="C1795" s="150">
        <v>2025</v>
      </c>
      <c r="D1795" s="201" t="s">
        <v>1431</v>
      </c>
      <c r="E1795" s="144" t="s">
        <v>2591</v>
      </c>
      <c r="F1795" s="141" t="s">
        <v>821</v>
      </c>
      <c r="G1795" s="144" t="s">
        <v>3336</v>
      </c>
      <c r="H1795" s="146" t="s">
        <v>26</v>
      </c>
      <c r="I1795" s="144" t="s">
        <v>2593</v>
      </c>
    </row>
    <row r="1796" spans="1:9" ht="25.5">
      <c r="A1796" s="193">
        <v>45958</v>
      </c>
      <c r="B1796" s="145" t="s">
        <v>832</v>
      </c>
      <c r="C1796" s="150">
        <v>2025</v>
      </c>
      <c r="D1796" s="201" t="s">
        <v>1431</v>
      </c>
      <c r="E1796" s="144" t="s">
        <v>1566</v>
      </c>
      <c r="F1796" s="139" t="s">
        <v>88</v>
      </c>
      <c r="G1796" s="144" t="s">
        <v>3337</v>
      </c>
      <c r="H1796" s="146" t="s">
        <v>26</v>
      </c>
      <c r="I1796" s="144" t="s">
        <v>2640</v>
      </c>
    </row>
    <row r="1797" spans="1:9" ht="25.5">
      <c r="A1797" s="193">
        <v>45958</v>
      </c>
      <c r="B1797" s="145" t="s">
        <v>832</v>
      </c>
      <c r="C1797" s="150">
        <v>2025</v>
      </c>
      <c r="D1797" s="201" t="s">
        <v>1431</v>
      </c>
      <c r="E1797" s="144" t="s">
        <v>1566</v>
      </c>
      <c r="F1797" s="139" t="s">
        <v>88</v>
      </c>
      <c r="G1797" s="144" t="s">
        <v>3338</v>
      </c>
      <c r="H1797" s="146" t="s">
        <v>26</v>
      </c>
      <c r="I1797" s="144" t="s">
        <v>2640</v>
      </c>
    </row>
    <row r="1798" spans="1:9" ht="14.1">
      <c r="A1798" s="193">
        <v>45958</v>
      </c>
      <c r="B1798" s="145" t="s">
        <v>832</v>
      </c>
      <c r="C1798" s="150">
        <v>2025</v>
      </c>
      <c r="D1798" s="201" t="s">
        <v>1431</v>
      </c>
      <c r="E1798" s="144" t="s">
        <v>1566</v>
      </c>
      <c r="F1798" s="139" t="s">
        <v>88</v>
      </c>
      <c r="G1798" s="144" t="s">
        <v>3339</v>
      </c>
      <c r="H1798" s="146" t="s">
        <v>26</v>
      </c>
      <c r="I1798" s="144" t="s">
        <v>2640</v>
      </c>
    </row>
    <row r="1799" spans="1:9" ht="25.5">
      <c r="A1799" s="193">
        <v>45959</v>
      </c>
      <c r="B1799" s="145" t="s">
        <v>832</v>
      </c>
      <c r="C1799" s="150">
        <v>2025</v>
      </c>
      <c r="D1799" s="201" t="s">
        <v>1431</v>
      </c>
      <c r="E1799" s="144" t="s">
        <v>1508</v>
      </c>
      <c r="F1799" s="142" t="s">
        <v>872</v>
      </c>
      <c r="G1799" s="144" t="s">
        <v>3340</v>
      </c>
      <c r="H1799" s="146" t="s">
        <v>130</v>
      </c>
      <c r="I1799" s="144" t="s">
        <v>1904</v>
      </c>
    </row>
    <row r="1800" spans="1:9" ht="25.5">
      <c r="A1800" s="193">
        <v>45959</v>
      </c>
      <c r="B1800" s="145" t="s">
        <v>832</v>
      </c>
      <c r="C1800" s="150">
        <v>2025</v>
      </c>
      <c r="D1800" s="201" t="s">
        <v>1431</v>
      </c>
      <c r="E1800" s="144" t="s">
        <v>21</v>
      </c>
      <c r="F1800" s="141" t="s">
        <v>821</v>
      </c>
      <c r="G1800" s="144" t="s">
        <v>3341</v>
      </c>
      <c r="H1800" s="146" t="s">
        <v>130</v>
      </c>
      <c r="I1800" s="144" t="s">
        <v>149</v>
      </c>
    </row>
    <row r="1801" spans="1:9" ht="38.1">
      <c r="A1801" s="193">
        <v>45959</v>
      </c>
      <c r="B1801" s="145" t="s">
        <v>832</v>
      </c>
      <c r="C1801" s="150">
        <v>2025</v>
      </c>
      <c r="D1801" s="201" t="s">
        <v>1431</v>
      </c>
      <c r="E1801" s="144" t="s">
        <v>1506</v>
      </c>
      <c r="F1801" s="139" t="s">
        <v>88</v>
      </c>
      <c r="G1801" s="144" t="s">
        <v>3342</v>
      </c>
      <c r="H1801" s="146" t="s">
        <v>26</v>
      </c>
      <c r="I1801" s="144" t="s">
        <v>3343</v>
      </c>
    </row>
    <row r="1802" spans="1:9" ht="25.5">
      <c r="A1802" s="193">
        <v>45959</v>
      </c>
      <c r="B1802" s="145" t="s">
        <v>832</v>
      </c>
      <c r="C1802" s="150">
        <v>2025</v>
      </c>
      <c r="D1802" s="201" t="s">
        <v>1431</v>
      </c>
      <c r="E1802" s="144" t="s">
        <v>216</v>
      </c>
      <c r="F1802" s="141" t="s">
        <v>821</v>
      </c>
      <c r="G1802" s="144" t="s">
        <v>3344</v>
      </c>
      <c r="H1802" s="146" t="s">
        <v>26</v>
      </c>
      <c r="I1802" s="144" t="s">
        <v>492</v>
      </c>
    </row>
    <row r="1803" spans="1:9" ht="14.1">
      <c r="A1803" s="193">
        <v>45959</v>
      </c>
      <c r="B1803" s="145" t="s">
        <v>832</v>
      </c>
      <c r="C1803" s="150">
        <v>2025</v>
      </c>
      <c r="D1803" s="201" t="s">
        <v>1431</v>
      </c>
      <c r="E1803" s="144" t="s">
        <v>21</v>
      </c>
      <c r="F1803" s="141" t="s">
        <v>821</v>
      </c>
      <c r="G1803" s="144" t="s">
        <v>3345</v>
      </c>
      <c r="H1803" s="146" t="s">
        <v>130</v>
      </c>
      <c r="I1803" s="144" t="s">
        <v>149</v>
      </c>
    </row>
    <row r="1804" spans="1:9" ht="50.45">
      <c r="A1804" s="193">
        <v>45959</v>
      </c>
      <c r="B1804" s="145" t="s">
        <v>832</v>
      </c>
      <c r="C1804" s="150">
        <v>2025</v>
      </c>
      <c r="D1804" s="201" t="s">
        <v>1431</v>
      </c>
      <c r="E1804" s="144" t="s">
        <v>1566</v>
      </c>
      <c r="F1804" s="139" t="s">
        <v>88</v>
      </c>
      <c r="G1804" s="144" t="s">
        <v>3346</v>
      </c>
      <c r="H1804" s="146" t="s">
        <v>26</v>
      </c>
      <c r="I1804" s="144" t="s">
        <v>1453</v>
      </c>
    </row>
    <row r="1805" spans="1:9" ht="25.5">
      <c r="A1805" s="193">
        <v>45959</v>
      </c>
      <c r="B1805" s="145" t="s">
        <v>832</v>
      </c>
      <c r="C1805" s="150">
        <v>2025</v>
      </c>
      <c r="D1805" s="201" t="s">
        <v>1431</v>
      </c>
      <c r="E1805" s="144" t="s">
        <v>1566</v>
      </c>
      <c r="F1805" s="139" t="s">
        <v>88</v>
      </c>
      <c r="G1805" s="144" t="s">
        <v>3347</v>
      </c>
      <c r="H1805" s="146" t="s">
        <v>26</v>
      </c>
      <c r="I1805" s="144" t="s">
        <v>1453</v>
      </c>
    </row>
    <row r="1806" spans="1:9" ht="14.1">
      <c r="A1806" s="193">
        <v>45959</v>
      </c>
      <c r="B1806" s="145" t="s">
        <v>832</v>
      </c>
      <c r="C1806" s="150">
        <v>2025</v>
      </c>
      <c r="D1806" s="201" t="s">
        <v>1431</v>
      </c>
      <c r="E1806" s="144" t="s">
        <v>1566</v>
      </c>
      <c r="F1806" s="139" t="s">
        <v>88</v>
      </c>
      <c r="G1806" s="144" t="s">
        <v>3348</v>
      </c>
      <c r="H1806" s="146" t="s">
        <v>26</v>
      </c>
      <c r="I1806" s="144" t="s">
        <v>1453</v>
      </c>
    </row>
    <row r="1807" spans="1:9" ht="25.5">
      <c r="A1807" s="193">
        <v>45960</v>
      </c>
      <c r="B1807" s="145" t="s">
        <v>832</v>
      </c>
      <c r="C1807" s="150">
        <v>2025</v>
      </c>
      <c r="D1807" s="201" t="s">
        <v>1431</v>
      </c>
      <c r="E1807" s="144" t="s">
        <v>988</v>
      </c>
      <c r="F1807" s="140" t="s">
        <v>1439</v>
      </c>
      <c r="G1807" s="144" t="s">
        <v>3349</v>
      </c>
      <c r="H1807" s="146" t="s">
        <v>130</v>
      </c>
      <c r="I1807" s="144" t="s">
        <v>452</v>
      </c>
    </row>
    <row r="1808" spans="1:9" ht="14.1">
      <c r="A1808" s="193">
        <v>45960</v>
      </c>
      <c r="B1808" s="145" t="s">
        <v>832</v>
      </c>
      <c r="C1808" s="150">
        <v>2025</v>
      </c>
      <c r="D1808" s="201" t="s">
        <v>1431</v>
      </c>
      <c r="E1808" s="144" t="s">
        <v>97</v>
      </c>
      <c r="F1808" s="141" t="s">
        <v>821</v>
      </c>
      <c r="G1808" s="144" t="s">
        <v>3350</v>
      </c>
      <c r="H1808" s="146" t="s">
        <v>130</v>
      </c>
      <c r="I1808" s="144" t="s">
        <v>158</v>
      </c>
    </row>
    <row r="1809" spans="1:9" ht="38.1">
      <c r="A1809" s="193">
        <v>45960</v>
      </c>
      <c r="B1809" s="145" t="s">
        <v>832</v>
      </c>
      <c r="C1809" s="150">
        <v>2025</v>
      </c>
      <c r="D1809" s="201" t="s">
        <v>1431</v>
      </c>
      <c r="E1809" s="144" t="s">
        <v>21</v>
      </c>
      <c r="F1809" s="141" t="s">
        <v>821</v>
      </c>
      <c r="G1809" s="144" t="s">
        <v>3351</v>
      </c>
      <c r="H1809" s="146" t="s">
        <v>130</v>
      </c>
      <c r="I1809" s="144" t="s">
        <v>149</v>
      </c>
    </row>
    <row r="1810" spans="1:9" ht="38.1">
      <c r="A1810" s="193">
        <v>45960</v>
      </c>
      <c r="B1810" s="145" t="s">
        <v>832</v>
      </c>
      <c r="C1810" s="150">
        <v>2025</v>
      </c>
      <c r="D1810" s="201" t="s">
        <v>1431</v>
      </c>
      <c r="E1810" s="144" t="s">
        <v>1506</v>
      </c>
      <c r="F1810" s="139" t="s">
        <v>88</v>
      </c>
      <c r="G1810" s="144" t="s">
        <v>3352</v>
      </c>
      <c r="H1810" s="146" t="s">
        <v>130</v>
      </c>
      <c r="I1810" s="144" t="s">
        <v>1904</v>
      </c>
    </row>
    <row r="1811" spans="1:9" ht="38.1">
      <c r="A1811" s="193">
        <v>45960</v>
      </c>
      <c r="B1811" s="145" t="s">
        <v>832</v>
      </c>
      <c r="C1811" s="150">
        <v>2025</v>
      </c>
      <c r="D1811" s="201" t="s">
        <v>1431</v>
      </c>
      <c r="E1811" s="144" t="s">
        <v>21</v>
      </c>
      <c r="F1811" s="141" t="s">
        <v>821</v>
      </c>
      <c r="G1811" s="144" t="s">
        <v>3353</v>
      </c>
      <c r="H1811" s="146" t="s">
        <v>130</v>
      </c>
      <c r="I1811" s="144" t="s">
        <v>149</v>
      </c>
    </row>
    <row r="1812" spans="1:9" ht="38.1">
      <c r="A1812" s="193">
        <v>45960</v>
      </c>
      <c r="B1812" s="145" t="s">
        <v>832</v>
      </c>
      <c r="C1812" s="150">
        <v>2025</v>
      </c>
      <c r="D1812" s="201" t="s">
        <v>1431</v>
      </c>
      <c r="E1812" s="144" t="s">
        <v>1506</v>
      </c>
      <c r="F1812" s="140" t="s">
        <v>1439</v>
      </c>
      <c r="G1812" s="144" t="s">
        <v>3354</v>
      </c>
      <c r="H1812" s="146" t="s">
        <v>26</v>
      </c>
      <c r="I1812" s="144" t="s">
        <v>1904</v>
      </c>
    </row>
    <row r="1813" spans="1:9" ht="25.5">
      <c r="A1813" s="193">
        <v>45960</v>
      </c>
      <c r="B1813" s="145" t="s">
        <v>832</v>
      </c>
      <c r="C1813" s="150">
        <v>2025</v>
      </c>
      <c r="D1813" s="201" t="s">
        <v>1431</v>
      </c>
      <c r="E1813" s="144" t="s">
        <v>1506</v>
      </c>
      <c r="F1813" s="139" t="s">
        <v>88</v>
      </c>
      <c r="G1813" s="144" t="s">
        <v>3355</v>
      </c>
      <c r="H1813" s="146" t="s">
        <v>26</v>
      </c>
      <c r="I1813" s="144" t="s">
        <v>1904</v>
      </c>
    </row>
    <row r="1814" spans="1:9" ht="25.5">
      <c r="A1814" s="193">
        <v>45960</v>
      </c>
      <c r="B1814" s="145" t="s">
        <v>832</v>
      </c>
      <c r="C1814" s="150">
        <v>2025</v>
      </c>
      <c r="D1814" s="201" t="s">
        <v>1431</v>
      </c>
      <c r="E1814" s="144" t="s">
        <v>2591</v>
      </c>
      <c r="F1814" s="140" t="s">
        <v>1439</v>
      </c>
      <c r="G1814" s="144" t="s">
        <v>3356</v>
      </c>
      <c r="H1814" s="146" t="s">
        <v>26</v>
      </c>
      <c r="I1814" s="144" t="s">
        <v>2593</v>
      </c>
    </row>
    <row r="1815" spans="1:9" ht="38.1">
      <c r="A1815" s="193">
        <v>45960</v>
      </c>
      <c r="B1815" s="145" t="s">
        <v>832</v>
      </c>
      <c r="C1815" s="150">
        <v>2025</v>
      </c>
      <c r="D1815" s="201" t="s">
        <v>1431</v>
      </c>
      <c r="E1815" s="144" t="s">
        <v>2591</v>
      </c>
      <c r="F1815" s="139" t="s">
        <v>88</v>
      </c>
      <c r="G1815" s="144" t="s">
        <v>3357</v>
      </c>
      <c r="H1815" s="146" t="s">
        <v>26</v>
      </c>
      <c r="I1815" s="144" t="s">
        <v>2593</v>
      </c>
    </row>
    <row r="1816" spans="1:9" ht="38.1">
      <c r="A1816" s="193">
        <v>45960</v>
      </c>
      <c r="B1816" s="145" t="s">
        <v>832</v>
      </c>
      <c r="C1816" s="150">
        <v>2025</v>
      </c>
      <c r="D1816" s="201" t="s">
        <v>1431</v>
      </c>
      <c r="E1816" s="144" t="s">
        <v>2591</v>
      </c>
      <c r="F1816" s="139" t="s">
        <v>88</v>
      </c>
      <c r="G1816" s="144" t="s">
        <v>3358</v>
      </c>
      <c r="H1816" s="146" t="s">
        <v>26</v>
      </c>
      <c r="I1816" s="144" t="s">
        <v>2593</v>
      </c>
    </row>
    <row r="1817" spans="1:9" ht="38.1">
      <c r="A1817" s="193">
        <v>45960</v>
      </c>
      <c r="B1817" s="145" t="s">
        <v>832</v>
      </c>
      <c r="C1817" s="150">
        <v>2025</v>
      </c>
      <c r="D1817" s="201" t="s">
        <v>1431</v>
      </c>
      <c r="E1817" s="144" t="s">
        <v>2591</v>
      </c>
      <c r="F1817" s="139" t="s">
        <v>88</v>
      </c>
      <c r="G1817" s="144" t="s">
        <v>3359</v>
      </c>
      <c r="H1817" s="146" t="s">
        <v>26</v>
      </c>
      <c r="I1817" s="144" t="s">
        <v>2593</v>
      </c>
    </row>
    <row r="1818" spans="1:9" ht="14.1">
      <c r="A1818" s="193">
        <v>45960</v>
      </c>
      <c r="B1818" s="145" t="s">
        <v>832</v>
      </c>
      <c r="C1818" s="150">
        <v>2025</v>
      </c>
      <c r="D1818" s="201" t="s">
        <v>2224</v>
      </c>
      <c r="E1818" s="144" t="s">
        <v>21</v>
      </c>
      <c r="F1818" s="141" t="s">
        <v>821</v>
      </c>
      <c r="G1818" s="144" t="s">
        <v>3360</v>
      </c>
      <c r="H1818" s="146" t="s">
        <v>130</v>
      </c>
      <c r="I1818" s="144" t="s">
        <v>149</v>
      </c>
    </row>
    <row r="1819" spans="1:9" ht="25.5">
      <c r="A1819" s="193">
        <v>45960</v>
      </c>
      <c r="B1819" s="145" t="s">
        <v>832</v>
      </c>
      <c r="C1819" s="150">
        <v>2025</v>
      </c>
      <c r="D1819" s="201" t="s">
        <v>2224</v>
      </c>
      <c r="E1819" s="144" t="s">
        <v>2591</v>
      </c>
      <c r="F1819" s="139" t="s">
        <v>88</v>
      </c>
      <c r="G1819" s="144" t="s">
        <v>3361</v>
      </c>
      <c r="H1819" s="146" t="s">
        <v>26</v>
      </c>
      <c r="I1819" s="144" t="s">
        <v>2593</v>
      </c>
    </row>
    <row r="1820" spans="1:9" ht="25.5">
      <c r="A1820" s="193">
        <v>45960</v>
      </c>
      <c r="B1820" s="145" t="s">
        <v>832</v>
      </c>
      <c r="C1820" s="150">
        <v>2025</v>
      </c>
      <c r="D1820" s="201" t="s">
        <v>2224</v>
      </c>
      <c r="E1820" s="144" t="s">
        <v>1566</v>
      </c>
      <c r="F1820" s="139" t="s">
        <v>88</v>
      </c>
      <c r="G1820" s="144" t="s">
        <v>3362</v>
      </c>
      <c r="H1820" s="146" t="s">
        <v>26</v>
      </c>
      <c r="I1820" s="144" t="s">
        <v>1453</v>
      </c>
    </row>
    <row r="1821" spans="1:9" ht="63">
      <c r="A1821" s="193">
        <v>45960</v>
      </c>
      <c r="B1821" s="145" t="s">
        <v>832</v>
      </c>
      <c r="C1821" s="150">
        <v>2025</v>
      </c>
      <c r="D1821" s="201" t="s">
        <v>1431</v>
      </c>
      <c r="E1821" s="144" t="s">
        <v>1566</v>
      </c>
      <c r="F1821" s="139" t="s">
        <v>88</v>
      </c>
      <c r="G1821" s="144" t="s">
        <v>3363</v>
      </c>
      <c r="H1821" s="146" t="s">
        <v>26</v>
      </c>
      <c r="I1821" s="144" t="s">
        <v>1453</v>
      </c>
    </row>
    <row r="1822" spans="1:9" ht="38.1">
      <c r="A1822" s="193">
        <v>45960</v>
      </c>
      <c r="B1822" s="145" t="s">
        <v>832</v>
      </c>
      <c r="C1822" s="150">
        <v>2025</v>
      </c>
      <c r="D1822" s="201" t="s">
        <v>1431</v>
      </c>
      <c r="E1822" s="144" t="s">
        <v>1566</v>
      </c>
      <c r="F1822" s="139" t="s">
        <v>88</v>
      </c>
      <c r="G1822" s="144" t="s">
        <v>3364</v>
      </c>
      <c r="H1822" s="146" t="s">
        <v>26</v>
      </c>
      <c r="I1822" s="144" t="s">
        <v>1453</v>
      </c>
    </row>
    <row r="1823" spans="1:9" ht="50.45">
      <c r="A1823" s="193">
        <v>45961</v>
      </c>
      <c r="B1823" s="145" t="s">
        <v>832</v>
      </c>
      <c r="C1823" s="150">
        <v>2025</v>
      </c>
      <c r="D1823" s="201" t="s">
        <v>1431</v>
      </c>
      <c r="E1823" s="144" t="s">
        <v>988</v>
      </c>
      <c r="F1823" s="140" t="s">
        <v>1439</v>
      </c>
      <c r="G1823" s="144" t="s">
        <v>3365</v>
      </c>
      <c r="H1823" s="146" t="s">
        <v>130</v>
      </c>
      <c r="I1823" s="144" t="s">
        <v>452</v>
      </c>
    </row>
    <row r="1824" spans="1:9" ht="25.5">
      <c r="A1824" s="193">
        <v>45961</v>
      </c>
      <c r="B1824" s="145" t="s">
        <v>832</v>
      </c>
      <c r="C1824" s="150">
        <v>2025</v>
      </c>
      <c r="D1824" s="201" t="s">
        <v>1431</v>
      </c>
      <c r="E1824" s="144" t="s">
        <v>1225</v>
      </c>
      <c r="F1824" s="140" t="s">
        <v>1439</v>
      </c>
      <c r="G1824" s="144" t="s">
        <v>3366</v>
      </c>
      <c r="H1824" s="146" t="s">
        <v>130</v>
      </c>
      <c r="I1824" s="144" t="s">
        <v>925</v>
      </c>
    </row>
    <row r="1825" spans="1:9" ht="14.1">
      <c r="A1825" s="193">
        <v>45961</v>
      </c>
      <c r="B1825" s="145" t="s">
        <v>832</v>
      </c>
      <c r="C1825" s="150">
        <v>2025</v>
      </c>
      <c r="D1825" s="201" t="s">
        <v>1431</v>
      </c>
      <c r="E1825" s="144" t="s">
        <v>988</v>
      </c>
      <c r="F1825" s="147" t="s">
        <v>859</v>
      </c>
      <c r="G1825" s="144" t="s">
        <v>3367</v>
      </c>
      <c r="H1825" s="146" t="s">
        <v>130</v>
      </c>
      <c r="I1825" s="144" t="s">
        <v>1996</v>
      </c>
    </row>
    <row r="1826" spans="1:9" ht="25.5">
      <c r="A1826" s="193">
        <v>45961</v>
      </c>
      <c r="B1826" s="145" t="s">
        <v>832</v>
      </c>
      <c r="C1826" s="150">
        <v>2025</v>
      </c>
      <c r="D1826" s="201" t="s">
        <v>1431</v>
      </c>
      <c r="E1826" s="144" t="s">
        <v>1506</v>
      </c>
      <c r="F1826" s="139" t="s">
        <v>88</v>
      </c>
      <c r="G1826" s="144" t="s">
        <v>3368</v>
      </c>
      <c r="H1826" s="146" t="s">
        <v>26</v>
      </c>
      <c r="I1826" s="144" t="s">
        <v>3343</v>
      </c>
    </row>
    <row r="1827" spans="1:9" ht="75.599999999999994">
      <c r="A1827" s="193">
        <v>45961</v>
      </c>
      <c r="B1827" s="145" t="s">
        <v>832</v>
      </c>
      <c r="C1827" s="150">
        <v>2025</v>
      </c>
      <c r="D1827" s="201" t="s">
        <v>1431</v>
      </c>
      <c r="E1827" s="144" t="s">
        <v>1506</v>
      </c>
      <c r="F1827" s="139" t="s">
        <v>88</v>
      </c>
      <c r="G1827" s="144" t="s">
        <v>3369</v>
      </c>
      <c r="H1827" s="146" t="s">
        <v>130</v>
      </c>
      <c r="I1827" s="144" t="s">
        <v>3343</v>
      </c>
    </row>
    <row r="1828" spans="1:9" ht="50.45">
      <c r="A1828" s="193">
        <v>45961</v>
      </c>
      <c r="B1828" s="145" t="s">
        <v>832</v>
      </c>
      <c r="C1828" s="150">
        <v>2025</v>
      </c>
      <c r="D1828" s="201" t="s">
        <v>1431</v>
      </c>
      <c r="E1828" s="144" t="s">
        <v>21</v>
      </c>
      <c r="F1828" s="141" t="s">
        <v>821</v>
      </c>
      <c r="G1828" s="144" t="s">
        <v>3370</v>
      </c>
      <c r="H1828" s="146" t="s">
        <v>26</v>
      </c>
      <c r="I1828" s="144" t="s">
        <v>149</v>
      </c>
    </row>
    <row r="1829" spans="1:9" ht="25.5">
      <c r="A1829" s="193">
        <v>45961</v>
      </c>
      <c r="B1829" s="145" t="s">
        <v>832</v>
      </c>
      <c r="C1829" s="150">
        <v>2025</v>
      </c>
      <c r="D1829" s="201" t="s">
        <v>1431</v>
      </c>
      <c r="E1829" s="144" t="s">
        <v>21</v>
      </c>
      <c r="F1829" s="141" t="s">
        <v>821</v>
      </c>
      <c r="G1829" s="144" t="s">
        <v>3371</v>
      </c>
      <c r="H1829" s="146" t="s">
        <v>130</v>
      </c>
      <c r="I1829" s="144" t="s">
        <v>149</v>
      </c>
    </row>
    <row r="1830" spans="1:9" ht="38.1">
      <c r="A1830" s="193">
        <v>45961</v>
      </c>
      <c r="B1830" s="145" t="s">
        <v>832</v>
      </c>
      <c r="C1830" s="150">
        <v>2025</v>
      </c>
      <c r="D1830" s="201" t="s">
        <v>1431</v>
      </c>
      <c r="E1830" s="144" t="s">
        <v>2591</v>
      </c>
      <c r="F1830" s="147" t="s">
        <v>859</v>
      </c>
      <c r="G1830" s="148" t="s">
        <v>3372</v>
      </c>
      <c r="H1830" s="146" t="s">
        <v>26</v>
      </c>
      <c r="I1830" s="144" t="s">
        <v>2593</v>
      </c>
    </row>
    <row r="1831" spans="1:9" ht="75.599999999999994">
      <c r="A1831" s="193">
        <v>45961</v>
      </c>
      <c r="B1831" s="145" t="s">
        <v>832</v>
      </c>
      <c r="C1831" s="150">
        <v>2025</v>
      </c>
      <c r="D1831" s="201" t="s">
        <v>1431</v>
      </c>
      <c r="E1831" s="144" t="s">
        <v>2591</v>
      </c>
      <c r="F1831" s="139" t="s">
        <v>88</v>
      </c>
      <c r="G1831" s="148" t="s">
        <v>3373</v>
      </c>
      <c r="H1831" s="146" t="s">
        <v>26</v>
      </c>
      <c r="I1831" s="144" t="s">
        <v>2593</v>
      </c>
    </row>
    <row r="1832" spans="1:9" ht="50.45">
      <c r="A1832" s="193">
        <v>45961</v>
      </c>
      <c r="B1832" s="145" t="s">
        <v>832</v>
      </c>
      <c r="C1832" s="150">
        <v>2025</v>
      </c>
      <c r="D1832" s="201" t="s">
        <v>1431</v>
      </c>
      <c r="E1832" s="144" t="s">
        <v>2591</v>
      </c>
      <c r="F1832" s="139" t="s">
        <v>88</v>
      </c>
      <c r="G1832" s="148" t="s">
        <v>3374</v>
      </c>
      <c r="H1832" s="146" t="s">
        <v>26</v>
      </c>
      <c r="I1832" s="144" t="s">
        <v>2593</v>
      </c>
    </row>
    <row r="1833" spans="1:9" ht="38.1">
      <c r="A1833" s="193">
        <v>45961</v>
      </c>
      <c r="B1833" s="145" t="s">
        <v>832</v>
      </c>
      <c r="C1833" s="150">
        <v>2025</v>
      </c>
      <c r="D1833" s="201" t="s">
        <v>1431</v>
      </c>
      <c r="E1833" s="144" t="s">
        <v>2591</v>
      </c>
      <c r="F1833" s="139" t="s">
        <v>88</v>
      </c>
      <c r="G1833" s="148" t="s">
        <v>3375</v>
      </c>
      <c r="H1833" s="146" t="s">
        <v>26</v>
      </c>
      <c r="I1833" s="144" t="s">
        <v>2593</v>
      </c>
    </row>
    <row r="1834" spans="1:9" ht="25.5">
      <c r="A1834" s="193">
        <v>45961</v>
      </c>
      <c r="B1834" s="145" t="s">
        <v>832</v>
      </c>
      <c r="C1834" s="150">
        <v>2025</v>
      </c>
      <c r="D1834" s="201" t="s">
        <v>1431</v>
      </c>
      <c r="E1834" s="144" t="s">
        <v>1566</v>
      </c>
      <c r="F1834" s="139" t="s">
        <v>88</v>
      </c>
      <c r="G1834" s="144" t="s">
        <v>3376</v>
      </c>
      <c r="H1834" s="146" t="s">
        <v>26</v>
      </c>
      <c r="I1834" s="144" t="s">
        <v>1588</v>
      </c>
    </row>
    <row r="1835" spans="1:9" ht="50.45">
      <c r="A1835" s="193">
        <v>45964</v>
      </c>
      <c r="B1835" s="145" t="s">
        <v>833</v>
      </c>
      <c r="C1835" s="150">
        <v>2025</v>
      </c>
      <c r="D1835" s="201" t="s">
        <v>1431</v>
      </c>
      <c r="E1835" s="144" t="s">
        <v>988</v>
      </c>
      <c r="F1835" s="147" t="s">
        <v>859</v>
      </c>
      <c r="G1835" s="144" t="s">
        <v>3377</v>
      </c>
      <c r="H1835" s="146" t="s">
        <v>130</v>
      </c>
      <c r="I1835" s="144" t="s">
        <v>921</v>
      </c>
    </row>
    <row r="1836" spans="1:9" ht="14.1">
      <c r="A1836" s="193">
        <v>45964</v>
      </c>
      <c r="B1836" s="145" t="s">
        <v>833</v>
      </c>
      <c r="C1836" s="150">
        <v>2025</v>
      </c>
      <c r="D1836" s="201" t="s">
        <v>1431</v>
      </c>
      <c r="E1836" s="144" t="s">
        <v>21</v>
      </c>
      <c r="F1836" s="141" t="s">
        <v>821</v>
      </c>
      <c r="G1836" s="144" t="s">
        <v>3378</v>
      </c>
      <c r="H1836" s="146" t="s">
        <v>130</v>
      </c>
      <c r="I1836" s="144" t="s">
        <v>149</v>
      </c>
    </row>
    <row r="1837" spans="1:9" ht="38.1">
      <c r="A1837" s="193">
        <v>45964</v>
      </c>
      <c r="B1837" s="145" t="s">
        <v>833</v>
      </c>
      <c r="C1837" s="150">
        <v>2025</v>
      </c>
      <c r="D1837" s="201" t="s">
        <v>1431</v>
      </c>
      <c r="E1837" s="144" t="s">
        <v>97</v>
      </c>
      <c r="F1837" s="141" t="s">
        <v>821</v>
      </c>
      <c r="G1837" s="144" t="s">
        <v>3379</v>
      </c>
      <c r="H1837" s="146" t="s">
        <v>130</v>
      </c>
      <c r="I1837" s="144" t="s">
        <v>158</v>
      </c>
    </row>
    <row r="1838" spans="1:9" ht="25.5">
      <c r="A1838" s="193">
        <v>45964</v>
      </c>
      <c r="B1838" s="145" t="s">
        <v>833</v>
      </c>
      <c r="C1838" s="150">
        <v>2025</v>
      </c>
      <c r="D1838" s="201" t="s">
        <v>1431</v>
      </c>
      <c r="E1838" s="144" t="s">
        <v>216</v>
      </c>
      <c r="F1838" s="141" t="s">
        <v>821</v>
      </c>
      <c r="G1838" s="144" t="s">
        <v>3380</v>
      </c>
      <c r="H1838" s="146" t="s">
        <v>130</v>
      </c>
      <c r="I1838" s="144" t="s">
        <v>492</v>
      </c>
    </row>
    <row r="1839" spans="1:9" ht="14.1">
      <c r="A1839" s="193">
        <v>45964</v>
      </c>
      <c r="B1839" s="145" t="s">
        <v>833</v>
      </c>
      <c r="C1839" s="150">
        <v>2025</v>
      </c>
      <c r="D1839" s="201" t="s">
        <v>1431</v>
      </c>
      <c r="E1839" s="144" t="s">
        <v>216</v>
      </c>
      <c r="F1839" s="141" t="s">
        <v>821</v>
      </c>
      <c r="G1839" s="144" t="s">
        <v>3381</v>
      </c>
      <c r="H1839" s="146" t="s">
        <v>130</v>
      </c>
      <c r="I1839" s="144" t="s">
        <v>492</v>
      </c>
    </row>
    <row r="1840" spans="1:9" ht="25.5">
      <c r="A1840" s="193">
        <v>45964</v>
      </c>
      <c r="B1840" s="145" t="s">
        <v>833</v>
      </c>
      <c r="C1840" s="150">
        <v>2025</v>
      </c>
      <c r="D1840" s="201" t="s">
        <v>1431</v>
      </c>
      <c r="E1840" s="144" t="s">
        <v>2591</v>
      </c>
      <c r="F1840" s="139" t="s">
        <v>88</v>
      </c>
      <c r="G1840" s="144" t="s">
        <v>3382</v>
      </c>
      <c r="H1840" s="146" t="s">
        <v>130</v>
      </c>
      <c r="I1840" s="144" t="s">
        <v>2593</v>
      </c>
    </row>
    <row r="1841" spans="1:9" ht="25.5">
      <c r="A1841" s="193">
        <v>45964</v>
      </c>
      <c r="B1841" s="145" t="s">
        <v>833</v>
      </c>
      <c r="C1841" s="150">
        <v>2025</v>
      </c>
      <c r="D1841" s="201" t="s">
        <v>1431</v>
      </c>
      <c r="E1841" s="144" t="s">
        <v>1225</v>
      </c>
      <c r="F1841" s="147" t="s">
        <v>859</v>
      </c>
      <c r="G1841" s="144" t="s">
        <v>3383</v>
      </c>
      <c r="H1841" s="146" t="s">
        <v>130</v>
      </c>
      <c r="I1841" s="144" t="s">
        <v>1904</v>
      </c>
    </row>
    <row r="1842" spans="1:9" ht="38.1">
      <c r="A1842" s="193">
        <v>45964</v>
      </c>
      <c r="B1842" s="145" t="s">
        <v>833</v>
      </c>
      <c r="C1842" s="150">
        <v>2025</v>
      </c>
      <c r="D1842" s="201" t="s">
        <v>2224</v>
      </c>
      <c r="E1842" s="144" t="s">
        <v>97</v>
      </c>
      <c r="F1842" s="139" t="s">
        <v>88</v>
      </c>
      <c r="G1842" s="144" t="s">
        <v>3384</v>
      </c>
      <c r="H1842" s="146" t="s">
        <v>26</v>
      </c>
      <c r="I1842" s="144" t="s">
        <v>158</v>
      </c>
    </row>
    <row r="1843" spans="1:9" ht="25.5">
      <c r="A1843" s="193">
        <v>45964</v>
      </c>
      <c r="B1843" s="145" t="s">
        <v>833</v>
      </c>
      <c r="C1843" s="150">
        <v>2025</v>
      </c>
      <c r="D1843" s="201" t="s">
        <v>2224</v>
      </c>
      <c r="E1843" s="144" t="s">
        <v>21</v>
      </c>
      <c r="F1843" s="141" t="s">
        <v>821</v>
      </c>
      <c r="G1843" s="144" t="s">
        <v>3385</v>
      </c>
      <c r="H1843" s="146" t="s">
        <v>130</v>
      </c>
      <c r="I1843" s="144" t="s">
        <v>149</v>
      </c>
    </row>
    <row r="1844" spans="1:9" ht="25.5">
      <c r="A1844" s="193">
        <v>45964</v>
      </c>
      <c r="B1844" s="145" t="s">
        <v>833</v>
      </c>
      <c r="C1844" s="150">
        <v>2025</v>
      </c>
      <c r="D1844" s="201" t="s">
        <v>2224</v>
      </c>
      <c r="E1844" s="144" t="s">
        <v>3386</v>
      </c>
      <c r="F1844" s="141" t="s">
        <v>821</v>
      </c>
      <c r="G1844" s="144" t="s">
        <v>3387</v>
      </c>
      <c r="H1844" s="146" t="s">
        <v>26</v>
      </c>
      <c r="I1844" s="144" t="s">
        <v>2735</v>
      </c>
    </row>
    <row r="1845" spans="1:9" ht="25.5">
      <c r="A1845" s="193">
        <v>45964</v>
      </c>
      <c r="B1845" s="145" t="s">
        <v>833</v>
      </c>
      <c r="C1845" s="150">
        <v>2025</v>
      </c>
      <c r="D1845" s="201" t="s">
        <v>1431</v>
      </c>
      <c r="E1845" s="144" t="s">
        <v>1608</v>
      </c>
      <c r="F1845" s="147" t="s">
        <v>859</v>
      </c>
      <c r="G1845" s="144" t="s">
        <v>3388</v>
      </c>
      <c r="H1845" s="146" t="s">
        <v>26</v>
      </c>
      <c r="I1845" s="144" t="s">
        <v>921</v>
      </c>
    </row>
    <row r="1846" spans="1:9" ht="25.5">
      <c r="A1846" s="193">
        <v>45964</v>
      </c>
      <c r="B1846" s="145" t="s">
        <v>833</v>
      </c>
      <c r="C1846" s="150">
        <v>2025</v>
      </c>
      <c r="D1846" s="201" t="s">
        <v>1431</v>
      </c>
      <c r="E1846" s="144" t="s">
        <v>1608</v>
      </c>
      <c r="F1846" s="141" t="s">
        <v>821</v>
      </c>
      <c r="G1846" s="144" t="s">
        <v>3389</v>
      </c>
      <c r="H1846" s="146" t="s">
        <v>26</v>
      </c>
      <c r="I1846" s="144" t="s">
        <v>158</v>
      </c>
    </row>
    <row r="1847" spans="1:9" ht="50.45">
      <c r="A1847" s="193">
        <v>45964</v>
      </c>
      <c r="B1847" s="145" t="s">
        <v>833</v>
      </c>
      <c r="C1847" s="150">
        <v>2025</v>
      </c>
      <c r="D1847" s="201" t="s">
        <v>1431</v>
      </c>
      <c r="E1847" s="144" t="s">
        <v>2591</v>
      </c>
      <c r="F1847" s="140" t="s">
        <v>1439</v>
      </c>
      <c r="G1847" s="144" t="s">
        <v>3390</v>
      </c>
      <c r="H1847" s="146" t="s">
        <v>26</v>
      </c>
      <c r="I1847" s="144" t="s">
        <v>2593</v>
      </c>
    </row>
    <row r="1848" spans="1:9" ht="25.5">
      <c r="A1848" s="193">
        <v>45964</v>
      </c>
      <c r="B1848" s="145" t="s">
        <v>833</v>
      </c>
      <c r="C1848" s="150">
        <v>2025</v>
      </c>
      <c r="D1848" s="201" t="s">
        <v>1431</v>
      </c>
      <c r="E1848" s="144" t="s">
        <v>2591</v>
      </c>
      <c r="F1848" s="139" t="s">
        <v>88</v>
      </c>
      <c r="G1848" s="148" t="s">
        <v>3391</v>
      </c>
      <c r="H1848" s="146" t="s">
        <v>26</v>
      </c>
      <c r="I1848" s="144" t="s">
        <v>2593</v>
      </c>
    </row>
    <row r="1849" spans="1:9" ht="25.5">
      <c r="A1849" s="193">
        <v>45964</v>
      </c>
      <c r="B1849" s="145" t="s">
        <v>833</v>
      </c>
      <c r="C1849" s="150">
        <v>2025</v>
      </c>
      <c r="D1849" s="201" t="s">
        <v>1431</v>
      </c>
      <c r="E1849" s="144" t="s">
        <v>2591</v>
      </c>
      <c r="F1849" s="140" t="s">
        <v>1439</v>
      </c>
      <c r="G1849" s="148" t="s">
        <v>3392</v>
      </c>
      <c r="H1849" s="146" t="s">
        <v>26</v>
      </c>
      <c r="I1849" s="144" t="s">
        <v>2593</v>
      </c>
    </row>
    <row r="1850" spans="1:9" ht="14.1">
      <c r="A1850" s="193">
        <v>45964</v>
      </c>
      <c r="B1850" s="145" t="s">
        <v>833</v>
      </c>
      <c r="C1850" s="150">
        <v>2025</v>
      </c>
      <c r="D1850" s="201" t="s">
        <v>1431</v>
      </c>
      <c r="E1850" s="144" t="s">
        <v>2591</v>
      </c>
      <c r="F1850" s="139" t="s">
        <v>88</v>
      </c>
      <c r="G1850" s="148" t="s">
        <v>3393</v>
      </c>
      <c r="H1850" s="146" t="s">
        <v>26</v>
      </c>
      <c r="I1850" s="144" t="s">
        <v>2593</v>
      </c>
    </row>
    <row r="1851" spans="1:9" ht="25.5">
      <c r="A1851" s="193">
        <v>45964</v>
      </c>
      <c r="B1851" s="145" t="s">
        <v>833</v>
      </c>
      <c r="C1851" s="150">
        <v>2025</v>
      </c>
      <c r="D1851" s="201" t="s">
        <v>1431</v>
      </c>
      <c r="E1851" s="144" t="s">
        <v>1566</v>
      </c>
      <c r="F1851" s="139" t="s">
        <v>88</v>
      </c>
      <c r="G1851" s="144" t="s">
        <v>3394</v>
      </c>
      <c r="H1851" s="146" t="s">
        <v>26</v>
      </c>
      <c r="I1851" s="144" t="s">
        <v>1588</v>
      </c>
    </row>
    <row r="1852" spans="1:9" ht="25.5">
      <c r="A1852" s="193">
        <v>45964</v>
      </c>
      <c r="B1852" s="145" t="s">
        <v>833</v>
      </c>
      <c r="C1852" s="150">
        <v>2025</v>
      </c>
      <c r="D1852" s="201" t="s">
        <v>1431</v>
      </c>
      <c r="E1852" s="144" t="s">
        <v>1566</v>
      </c>
      <c r="F1852" s="139" t="s">
        <v>88</v>
      </c>
      <c r="G1852" s="144" t="s">
        <v>3395</v>
      </c>
      <c r="H1852" s="146" t="s">
        <v>26</v>
      </c>
      <c r="I1852" s="144" t="s">
        <v>1588</v>
      </c>
    </row>
    <row r="1853" spans="1:9" ht="38.1">
      <c r="A1853" s="193">
        <v>45964</v>
      </c>
      <c r="B1853" s="145" t="s">
        <v>833</v>
      </c>
      <c r="C1853" s="150">
        <v>2025</v>
      </c>
      <c r="D1853" s="201" t="s">
        <v>1431</v>
      </c>
      <c r="E1853" s="144" t="s">
        <v>1566</v>
      </c>
      <c r="F1853" s="139" t="s">
        <v>88</v>
      </c>
      <c r="G1853" s="144" t="s">
        <v>3396</v>
      </c>
      <c r="H1853" s="146" t="s">
        <v>26</v>
      </c>
      <c r="I1853" s="144" t="s">
        <v>1588</v>
      </c>
    </row>
    <row r="1854" spans="1:9" ht="14.1">
      <c r="A1854" s="193">
        <v>45964</v>
      </c>
      <c r="B1854" s="145" t="s">
        <v>833</v>
      </c>
      <c r="C1854" s="150">
        <v>2025</v>
      </c>
      <c r="D1854" s="201" t="s">
        <v>1431</v>
      </c>
      <c r="E1854" s="144" t="s">
        <v>1566</v>
      </c>
      <c r="F1854" s="139" t="s">
        <v>88</v>
      </c>
      <c r="G1854" s="144" t="s">
        <v>3397</v>
      </c>
      <c r="H1854" s="146" t="s">
        <v>26</v>
      </c>
      <c r="I1854" s="144" t="s">
        <v>1588</v>
      </c>
    </row>
    <row r="1855" spans="1:9" ht="25.5">
      <c r="A1855" s="193">
        <v>45964</v>
      </c>
      <c r="B1855" s="145" t="s">
        <v>833</v>
      </c>
      <c r="C1855" s="150">
        <v>2025</v>
      </c>
      <c r="D1855" s="201" t="s">
        <v>1431</v>
      </c>
      <c r="E1855" s="144" t="s">
        <v>1566</v>
      </c>
      <c r="F1855" s="139" t="s">
        <v>88</v>
      </c>
      <c r="G1855" s="144" t="s">
        <v>3398</v>
      </c>
      <c r="H1855" s="146" t="s">
        <v>26</v>
      </c>
      <c r="I1855" s="144" t="s">
        <v>1588</v>
      </c>
    </row>
    <row r="1856" spans="1:9" ht="38.1">
      <c r="A1856" s="193">
        <v>45964</v>
      </c>
      <c r="B1856" s="145" t="s">
        <v>833</v>
      </c>
      <c r="C1856" s="150">
        <v>2025</v>
      </c>
      <c r="D1856" s="201" t="s">
        <v>1431</v>
      </c>
      <c r="E1856" s="144" t="s">
        <v>1566</v>
      </c>
      <c r="F1856" s="139" t="s">
        <v>88</v>
      </c>
      <c r="G1856" s="144" t="s">
        <v>3399</v>
      </c>
      <c r="H1856" s="146" t="s">
        <v>26</v>
      </c>
      <c r="I1856" s="144" t="s">
        <v>1588</v>
      </c>
    </row>
    <row r="1857" spans="1:9" ht="25.5">
      <c r="A1857" s="193">
        <v>45964</v>
      </c>
      <c r="B1857" s="145" t="s">
        <v>833</v>
      </c>
      <c r="C1857" s="150">
        <v>2025</v>
      </c>
      <c r="D1857" s="201" t="s">
        <v>1431</v>
      </c>
      <c r="E1857" s="144" t="s">
        <v>1566</v>
      </c>
      <c r="F1857" s="139" t="s">
        <v>88</v>
      </c>
      <c r="G1857" s="144" t="s">
        <v>3400</v>
      </c>
      <c r="H1857" s="146" t="s">
        <v>26</v>
      </c>
      <c r="I1857" s="144" t="s">
        <v>1588</v>
      </c>
    </row>
    <row r="1858" spans="1:9" ht="38.1">
      <c r="A1858" s="193">
        <v>45965</v>
      </c>
      <c r="B1858" s="145" t="s">
        <v>833</v>
      </c>
      <c r="C1858" s="150">
        <v>2025</v>
      </c>
      <c r="D1858" s="201" t="s">
        <v>1431</v>
      </c>
      <c r="E1858" s="144" t="s">
        <v>1225</v>
      </c>
      <c r="F1858" s="140" t="s">
        <v>1439</v>
      </c>
      <c r="G1858" s="144" t="s">
        <v>3401</v>
      </c>
      <c r="H1858" s="146" t="s">
        <v>130</v>
      </c>
      <c r="I1858" s="144" t="s">
        <v>925</v>
      </c>
    </row>
    <row r="1859" spans="1:9" ht="38.1">
      <c r="A1859" s="193">
        <v>45965</v>
      </c>
      <c r="B1859" s="145" t="s">
        <v>833</v>
      </c>
      <c r="C1859" s="150">
        <v>2025</v>
      </c>
      <c r="D1859" s="201" t="s">
        <v>1431</v>
      </c>
      <c r="E1859" s="144" t="s">
        <v>988</v>
      </c>
      <c r="F1859" s="139" t="s">
        <v>88</v>
      </c>
      <c r="G1859" s="144" t="s">
        <v>3402</v>
      </c>
      <c r="H1859" s="146" t="s">
        <v>130</v>
      </c>
      <c r="I1859" s="144" t="s">
        <v>2700</v>
      </c>
    </row>
    <row r="1860" spans="1:9" ht="50.45">
      <c r="A1860" s="193">
        <v>45965</v>
      </c>
      <c r="B1860" s="145" t="s">
        <v>833</v>
      </c>
      <c r="C1860" s="150">
        <v>2025</v>
      </c>
      <c r="D1860" s="201" t="s">
        <v>1431</v>
      </c>
      <c r="E1860" s="144" t="s">
        <v>1608</v>
      </c>
      <c r="F1860" s="147" t="s">
        <v>859</v>
      </c>
      <c r="G1860" s="144" t="s">
        <v>3403</v>
      </c>
      <c r="H1860" s="146" t="s">
        <v>130</v>
      </c>
      <c r="I1860" s="144" t="s">
        <v>1560</v>
      </c>
    </row>
    <row r="1861" spans="1:9" ht="25.5">
      <c r="A1861" s="193">
        <v>45965</v>
      </c>
      <c r="B1861" s="145" t="s">
        <v>833</v>
      </c>
      <c r="C1861" s="150">
        <v>2025</v>
      </c>
      <c r="D1861" s="201" t="s">
        <v>1431</v>
      </c>
      <c r="E1861" s="144" t="s">
        <v>216</v>
      </c>
      <c r="F1861" s="141" t="s">
        <v>821</v>
      </c>
      <c r="G1861" s="144" t="s">
        <v>3404</v>
      </c>
      <c r="H1861" s="146" t="s">
        <v>130</v>
      </c>
      <c r="I1861" s="144" t="s">
        <v>3405</v>
      </c>
    </row>
    <row r="1862" spans="1:9" ht="25.5">
      <c r="A1862" s="193">
        <v>45965</v>
      </c>
      <c r="B1862" s="145" t="s">
        <v>833</v>
      </c>
      <c r="C1862" s="150">
        <v>2025</v>
      </c>
      <c r="D1862" s="201" t="s">
        <v>1431</v>
      </c>
      <c r="E1862" s="144" t="s">
        <v>21</v>
      </c>
      <c r="F1862" s="141" t="s">
        <v>821</v>
      </c>
      <c r="G1862" s="144" t="s">
        <v>3406</v>
      </c>
      <c r="H1862" s="146" t="s">
        <v>130</v>
      </c>
      <c r="I1862" s="144" t="s">
        <v>149</v>
      </c>
    </row>
    <row r="1863" spans="1:9" ht="25.5">
      <c r="A1863" s="193">
        <v>45965</v>
      </c>
      <c r="B1863" s="145" t="s">
        <v>833</v>
      </c>
      <c r="C1863" s="150">
        <v>2025</v>
      </c>
      <c r="D1863" s="201" t="s">
        <v>2224</v>
      </c>
      <c r="E1863" s="144" t="s">
        <v>21</v>
      </c>
      <c r="F1863" s="141" t="s">
        <v>821</v>
      </c>
      <c r="G1863" s="144" t="s">
        <v>3407</v>
      </c>
      <c r="H1863" s="146" t="s">
        <v>130</v>
      </c>
      <c r="I1863" s="144" t="s">
        <v>149</v>
      </c>
    </row>
    <row r="1864" spans="1:9" ht="25.5">
      <c r="A1864" s="193">
        <v>45965</v>
      </c>
      <c r="B1864" s="145" t="s">
        <v>833</v>
      </c>
      <c r="C1864" s="150">
        <v>2025</v>
      </c>
      <c r="D1864" s="201" t="s">
        <v>2224</v>
      </c>
      <c r="E1864" s="144" t="s">
        <v>21</v>
      </c>
      <c r="F1864" s="141" t="s">
        <v>821</v>
      </c>
      <c r="G1864" s="144" t="s">
        <v>3408</v>
      </c>
      <c r="H1864" s="146" t="s">
        <v>130</v>
      </c>
      <c r="I1864" s="144" t="s">
        <v>2735</v>
      </c>
    </row>
    <row r="1865" spans="1:9" ht="38.1">
      <c r="A1865" s="193">
        <v>45965</v>
      </c>
      <c r="B1865" s="145" t="s">
        <v>833</v>
      </c>
      <c r="C1865" s="150">
        <v>2025</v>
      </c>
      <c r="D1865" s="201" t="s">
        <v>1431</v>
      </c>
      <c r="E1865" s="144" t="s">
        <v>1539</v>
      </c>
      <c r="F1865" s="141" t="s">
        <v>821</v>
      </c>
      <c r="G1865" s="144" t="s">
        <v>3409</v>
      </c>
      <c r="H1865" s="146" t="s">
        <v>130</v>
      </c>
      <c r="I1865" s="144" t="s">
        <v>59</v>
      </c>
    </row>
    <row r="1866" spans="1:9" ht="14.1">
      <c r="A1866" s="193">
        <v>45965</v>
      </c>
      <c r="B1866" s="145" t="s">
        <v>833</v>
      </c>
      <c r="C1866" s="150">
        <v>2025</v>
      </c>
      <c r="D1866" s="201" t="s">
        <v>1431</v>
      </c>
      <c r="E1866" s="144" t="s">
        <v>2591</v>
      </c>
      <c r="F1866" s="141" t="s">
        <v>821</v>
      </c>
      <c r="G1866" s="144" t="s">
        <v>3410</v>
      </c>
      <c r="H1866" s="146" t="s">
        <v>26</v>
      </c>
      <c r="I1866" s="144" t="s">
        <v>2593</v>
      </c>
    </row>
    <row r="1867" spans="1:9" ht="25.5">
      <c r="A1867" s="193">
        <v>45965</v>
      </c>
      <c r="B1867" s="145" t="s">
        <v>833</v>
      </c>
      <c r="C1867" s="150">
        <v>2025</v>
      </c>
      <c r="D1867" s="201" t="s">
        <v>1431</v>
      </c>
      <c r="E1867" s="144" t="s">
        <v>2591</v>
      </c>
      <c r="F1867" s="141" t="s">
        <v>821</v>
      </c>
      <c r="G1867" s="148" t="s">
        <v>3411</v>
      </c>
      <c r="H1867" s="146" t="s">
        <v>26</v>
      </c>
      <c r="I1867" s="144" t="s">
        <v>2593</v>
      </c>
    </row>
    <row r="1868" spans="1:9" ht="50.45">
      <c r="A1868" s="193">
        <v>45965</v>
      </c>
      <c r="B1868" s="145" t="s">
        <v>833</v>
      </c>
      <c r="C1868" s="150">
        <v>2025</v>
      </c>
      <c r="D1868" s="201" t="s">
        <v>1431</v>
      </c>
      <c r="E1868" s="144" t="s">
        <v>2591</v>
      </c>
      <c r="F1868" s="139" t="s">
        <v>88</v>
      </c>
      <c r="G1868" s="148" t="s">
        <v>3412</v>
      </c>
      <c r="H1868" s="146" t="s">
        <v>26</v>
      </c>
      <c r="I1868" s="144" t="s">
        <v>2593</v>
      </c>
    </row>
    <row r="1869" spans="1:9" ht="63">
      <c r="A1869" s="193">
        <v>45965</v>
      </c>
      <c r="B1869" s="145" t="s">
        <v>833</v>
      </c>
      <c r="C1869" s="150">
        <v>2025</v>
      </c>
      <c r="D1869" s="201" t="s">
        <v>1431</v>
      </c>
      <c r="E1869" s="144" t="s">
        <v>2591</v>
      </c>
      <c r="F1869" s="139" t="s">
        <v>88</v>
      </c>
      <c r="G1869" s="148" t="s">
        <v>3413</v>
      </c>
      <c r="H1869" s="146" t="s">
        <v>26</v>
      </c>
      <c r="I1869" s="144" t="s">
        <v>2593</v>
      </c>
    </row>
    <row r="1870" spans="1:9" ht="14.1">
      <c r="A1870" s="193">
        <v>45965</v>
      </c>
      <c r="B1870" s="145" t="s">
        <v>833</v>
      </c>
      <c r="C1870" s="150">
        <v>2025</v>
      </c>
      <c r="D1870" s="201" t="s">
        <v>1431</v>
      </c>
      <c r="E1870" s="144" t="s">
        <v>1566</v>
      </c>
      <c r="F1870" s="139" t="s">
        <v>88</v>
      </c>
      <c r="G1870" s="144" t="s">
        <v>3414</v>
      </c>
      <c r="H1870" s="146" t="s">
        <v>26</v>
      </c>
      <c r="I1870" s="144" t="s">
        <v>1453</v>
      </c>
    </row>
    <row r="1871" spans="1:9" ht="25.5">
      <c r="A1871" s="193">
        <v>45965</v>
      </c>
      <c r="B1871" s="145" t="s">
        <v>833</v>
      </c>
      <c r="C1871" s="150">
        <v>2025</v>
      </c>
      <c r="D1871" s="201" t="s">
        <v>1431</v>
      </c>
      <c r="E1871" s="144" t="s">
        <v>1566</v>
      </c>
      <c r="F1871" s="139" t="s">
        <v>88</v>
      </c>
      <c r="G1871" s="144" t="s">
        <v>3415</v>
      </c>
      <c r="H1871" s="146" t="s">
        <v>26</v>
      </c>
      <c r="I1871" s="144" t="s">
        <v>1453</v>
      </c>
    </row>
    <row r="1872" spans="1:9" ht="25.5">
      <c r="A1872" s="193">
        <v>45965</v>
      </c>
      <c r="B1872" s="145" t="s">
        <v>833</v>
      </c>
      <c r="C1872" s="150">
        <v>2025</v>
      </c>
      <c r="D1872" s="201" t="s">
        <v>1431</v>
      </c>
      <c r="E1872" s="144" t="s">
        <v>1566</v>
      </c>
      <c r="F1872" s="139" t="s">
        <v>88</v>
      </c>
      <c r="G1872" s="144" t="s">
        <v>3416</v>
      </c>
      <c r="H1872" s="146" t="s">
        <v>26</v>
      </c>
      <c r="I1872" s="144" t="s">
        <v>1453</v>
      </c>
    </row>
    <row r="1873" spans="1:9" ht="25.5">
      <c r="A1873" s="193">
        <v>45965</v>
      </c>
      <c r="B1873" s="145" t="s">
        <v>833</v>
      </c>
      <c r="C1873" s="150">
        <v>2025</v>
      </c>
      <c r="D1873" s="201" t="s">
        <v>1431</v>
      </c>
      <c r="E1873" s="144" t="s">
        <v>1566</v>
      </c>
      <c r="F1873" s="139" t="s">
        <v>88</v>
      </c>
      <c r="G1873" s="144" t="s">
        <v>3417</v>
      </c>
      <c r="H1873" s="146" t="s">
        <v>26</v>
      </c>
      <c r="I1873" s="144" t="s">
        <v>1453</v>
      </c>
    </row>
    <row r="1874" spans="1:9" ht="14.1">
      <c r="A1874" s="193">
        <v>45965</v>
      </c>
      <c r="B1874" s="145" t="s">
        <v>833</v>
      </c>
      <c r="C1874" s="150">
        <v>2025</v>
      </c>
      <c r="D1874" s="201" t="s">
        <v>1431</v>
      </c>
      <c r="E1874" s="144" t="s">
        <v>1566</v>
      </c>
      <c r="F1874" s="139" t="s">
        <v>88</v>
      </c>
      <c r="G1874" s="144" t="s">
        <v>3418</v>
      </c>
      <c r="H1874" s="146" t="s">
        <v>26</v>
      </c>
      <c r="I1874" s="144" t="s">
        <v>1453</v>
      </c>
    </row>
    <row r="1875" spans="1:9" ht="14.1">
      <c r="A1875" s="193">
        <v>45966</v>
      </c>
      <c r="B1875" s="145" t="s">
        <v>833</v>
      </c>
      <c r="C1875" s="150">
        <v>2025</v>
      </c>
      <c r="D1875" s="201" t="s">
        <v>1431</v>
      </c>
      <c r="E1875" s="144" t="s">
        <v>988</v>
      </c>
      <c r="F1875" s="139" t="s">
        <v>88</v>
      </c>
      <c r="G1875" s="144" t="s">
        <v>3419</v>
      </c>
      <c r="H1875" s="146" t="s">
        <v>26</v>
      </c>
      <c r="I1875" s="144" t="s">
        <v>2700</v>
      </c>
    </row>
    <row r="1876" spans="1:9" ht="25.5">
      <c r="A1876" s="193">
        <v>45966</v>
      </c>
      <c r="B1876" s="145" t="s">
        <v>833</v>
      </c>
      <c r="C1876" s="150">
        <v>2025</v>
      </c>
      <c r="D1876" s="201" t="s">
        <v>1431</v>
      </c>
      <c r="E1876" s="144" t="s">
        <v>2244</v>
      </c>
      <c r="F1876" s="141" t="s">
        <v>821</v>
      </c>
      <c r="G1876" s="144" t="s">
        <v>3420</v>
      </c>
      <c r="H1876" s="146" t="s">
        <v>130</v>
      </c>
      <c r="I1876" s="144" t="s">
        <v>3421</v>
      </c>
    </row>
    <row r="1877" spans="1:9" ht="25.5">
      <c r="A1877" s="193">
        <v>45966</v>
      </c>
      <c r="B1877" s="145" t="s">
        <v>833</v>
      </c>
      <c r="C1877" s="150">
        <v>2025</v>
      </c>
      <c r="D1877" s="201" t="s">
        <v>1431</v>
      </c>
      <c r="E1877" s="144" t="s">
        <v>21</v>
      </c>
      <c r="F1877" s="141" t="s">
        <v>821</v>
      </c>
      <c r="G1877" s="144" t="s">
        <v>3422</v>
      </c>
      <c r="H1877" s="146" t="s">
        <v>130</v>
      </c>
      <c r="I1877" s="144" t="s">
        <v>149</v>
      </c>
    </row>
    <row r="1878" spans="1:9" ht="25.5">
      <c r="A1878" s="193">
        <v>45966</v>
      </c>
      <c r="B1878" s="145" t="s">
        <v>833</v>
      </c>
      <c r="C1878" s="150">
        <v>2025</v>
      </c>
      <c r="D1878" s="201" t="s">
        <v>1431</v>
      </c>
      <c r="E1878" s="144" t="s">
        <v>21</v>
      </c>
      <c r="F1878" s="141" t="s">
        <v>821</v>
      </c>
      <c r="G1878" s="144" t="s">
        <v>3423</v>
      </c>
      <c r="H1878" s="146" t="s">
        <v>130</v>
      </c>
      <c r="I1878" s="144" t="s">
        <v>149</v>
      </c>
    </row>
    <row r="1879" spans="1:9" ht="38.1">
      <c r="A1879" s="193">
        <v>45966</v>
      </c>
      <c r="B1879" s="145" t="s">
        <v>833</v>
      </c>
      <c r="C1879" s="150">
        <v>2025</v>
      </c>
      <c r="D1879" s="201" t="s">
        <v>1431</v>
      </c>
      <c r="E1879" s="144" t="s">
        <v>1518</v>
      </c>
      <c r="F1879" s="139" t="s">
        <v>88</v>
      </c>
      <c r="G1879" s="144" t="s">
        <v>3424</v>
      </c>
      <c r="H1879" s="146" t="s">
        <v>26</v>
      </c>
      <c r="I1879" s="144" t="s">
        <v>1493</v>
      </c>
    </row>
    <row r="1880" spans="1:9" ht="50.45">
      <c r="A1880" s="193">
        <v>45966</v>
      </c>
      <c r="B1880" s="145" t="s">
        <v>833</v>
      </c>
      <c r="C1880" s="150">
        <v>2025</v>
      </c>
      <c r="D1880" s="201" t="s">
        <v>1431</v>
      </c>
      <c r="E1880" s="144" t="s">
        <v>21</v>
      </c>
      <c r="F1880" s="141" t="s">
        <v>821</v>
      </c>
      <c r="G1880" s="144" t="s">
        <v>3425</v>
      </c>
      <c r="H1880" s="146" t="s">
        <v>26</v>
      </c>
      <c r="I1880" s="144" t="s">
        <v>149</v>
      </c>
    </row>
    <row r="1881" spans="1:9" ht="25.5">
      <c r="A1881" s="193">
        <v>45966</v>
      </c>
      <c r="B1881" s="145" t="s">
        <v>833</v>
      </c>
      <c r="C1881" s="150">
        <v>2025</v>
      </c>
      <c r="D1881" s="201" t="s">
        <v>1431</v>
      </c>
      <c r="E1881" s="144" t="s">
        <v>2591</v>
      </c>
      <c r="F1881" s="139" t="s">
        <v>88</v>
      </c>
      <c r="G1881" s="148" t="s">
        <v>3426</v>
      </c>
      <c r="H1881" s="146" t="s">
        <v>26</v>
      </c>
      <c r="I1881" s="144" t="s">
        <v>2593</v>
      </c>
    </row>
    <row r="1882" spans="1:9" ht="50.45">
      <c r="A1882" s="193">
        <v>45966</v>
      </c>
      <c r="B1882" s="145" t="s">
        <v>833</v>
      </c>
      <c r="C1882" s="150">
        <v>2025</v>
      </c>
      <c r="D1882" s="201" t="s">
        <v>1431</v>
      </c>
      <c r="E1882" s="144" t="s">
        <v>2591</v>
      </c>
      <c r="F1882" s="139" t="s">
        <v>88</v>
      </c>
      <c r="G1882" s="144" t="s">
        <v>3427</v>
      </c>
      <c r="H1882" s="146" t="s">
        <v>26</v>
      </c>
      <c r="I1882" s="144" t="s">
        <v>2593</v>
      </c>
    </row>
    <row r="1883" spans="1:9" ht="38.1">
      <c r="A1883" s="193">
        <v>45966</v>
      </c>
      <c r="B1883" s="145" t="s">
        <v>833</v>
      </c>
      <c r="C1883" s="150">
        <v>2025</v>
      </c>
      <c r="D1883" s="201" t="s">
        <v>1431</v>
      </c>
      <c r="E1883" s="144" t="s">
        <v>2591</v>
      </c>
      <c r="F1883" s="147" t="s">
        <v>859</v>
      </c>
      <c r="G1883" s="144" t="s">
        <v>3428</v>
      </c>
      <c r="H1883" s="146" t="s">
        <v>26</v>
      </c>
      <c r="I1883" s="144" t="s">
        <v>2593</v>
      </c>
    </row>
    <row r="1884" spans="1:9" ht="25.5">
      <c r="A1884" s="193">
        <v>45966</v>
      </c>
      <c r="B1884" s="145" t="s">
        <v>833</v>
      </c>
      <c r="C1884" s="150">
        <v>2025</v>
      </c>
      <c r="D1884" s="201" t="s">
        <v>1431</v>
      </c>
      <c r="E1884" s="144" t="s">
        <v>2591</v>
      </c>
      <c r="F1884" s="141" t="s">
        <v>821</v>
      </c>
      <c r="G1884" s="148" t="s">
        <v>3429</v>
      </c>
      <c r="H1884" s="146" t="s">
        <v>26</v>
      </c>
      <c r="I1884" s="144" t="s">
        <v>2593</v>
      </c>
    </row>
    <row r="1885" spans="1:9" ht="38.1">
      <c r="A1885" s="193">
        <v>45966</v>
      </c>
      <c r="B1885" s="145" t="s">
        <v>833</v>
      </c>
      <c r="C1885" s="150">
        <v>2025</v>
      </c>
      <c r="D1885" s="201" t="s">
        <v>1431</v>
      </c>
      <c r="E1885" s="144" t="s">
        <v>2591</v>
      </c>
      <c r="F1885" s="139" t="s">
        <v>88</v>
      </c>
      <c r="G1885" s="148" t="s">
        <v>3430</v>
      </c>
      <c r="H1885" s="146" t="s">
        <v>26</v>
      </c>
      <c r="I1885" s="144" t="s">
        <v>2593</v>
      </c>
    </row>
    <row r="1886" spans="1:9" ht="25.5">
      <c r="A1886" s="193">
        <v>45966</v>
      </c>
      <c r="B1886" s="145" t="s">
        <v>833</v>
      </c>
      <c r="C1886" s="150">
        <v>2025</v>
      </c>
      <c r="D1886" s="201" t="s">
        <v>1431</v>
      </c>
      <c r="E1886" s="144" t="s">
        <v>1566</v>
      </c>
      <c r="F1886" s="139" t="s">
        <v>88</v>
      </c>
      <c r="G1886" s="144" t="s">
        <v>3431</v>
      </c>
      <c r="H1886" s="146" t="s">
        <v>26</v>
      </c>
      <c r="I1886" s="144" t="s">
        <v>1588</v>
      </c>
    </row>
    <row r="1887" spans="1:9" ht="25.5">
      <c r="A1887" s="193">
        <v>45966</v>
      </c>
      <c r="B1887" s="145" t="s">
        <v>833</v>
      </c>
      <c r="C1887" s="150">
        <v>2025</v>
      </c>
      <c r="D1887" s="201" t="s">
        <v>1431</v>
      </c>
      <c r="E1887" s="144" t="s">
        <v>1566</v>
      </c>
      <c r="F1887" s="139" t="s">
        <v>88</v>
      </c>
      <c r="G1887" s="144" t="s">
        <v>3432</v>
      </c>
      <c r="H1887" s="146" t="s">
        <v>26</v>
      </c>
      <c r="I1887" s="144" t="s">
        <v>1588</v>
      </c>
    </row>
    <row r="1888" spans="1:9" ht="38.1">
      <c r="A1888" s="193">
        <v>45966</v>
      </c>
      <c r="B1888" s="145" t="s">
        <v>833</v>
      </c>
      <c r="C1888" s="150">
        <v>2025</v>
      </c>
      <c r="D1888" s="201" t="s">
        <v>1431</v>
      </c>
      <c r="E1888" s="144" t="s">
        <v>1566</v>
      </c>
      <c r="F1888" s="139" t="s">
        <v>88</v>
      </c>
      <c r="G1888" s="144" t="s">
        <v>3433</v>
      </c>
      <c r="H1888" s="146" t="s">
        <v>26</v>
      </c>
      <c r="I1888" s="144" t="s">
        <v>1588</v>
      </c>
    </row>
    <row r="1889" spans="1:9" ht="25.5">
      <c r="A1889" s="193">
        <v>45967</v>
      </c>
      <c r="B1889" s="145" t="s">
        <v>833</v>
      </c>
      <c r="C1889" s="150">
        <v>2025</v>
      </c>
      <c r="D1889" s="201" t="s">
        <v>1431</v>
      </c>
      <c r="E1889" s="144" t="s">
        <v>1518</v>
      </c>
      <c r="F1889" s="141" t="s">
        <v>821</v>
      </c>
      <c r="G1889" s="144" t="s">
        <v>3434</v>
      </c>
      <c r="H1889" s="146" t="s">
        <v>130</v>
      </c>
      <c r="I1889" s="144" t="s">
        <v>1493</v>
      </c>
    </row>
    <row r="1890" spans="1:9" ht="75.599999999999994">
      <c r="A1890" s="193">
        <v>45967</v>
      </c>
      <c r="B1890" s="145" t="s">
        <v>833</v>
      </c>
      <c r="C1890" s="150">
        <v>2025</v>
      </c>
      <c r="D1890" s="201" t="s">
        <v>1431</v>
      </c>
      <c r="E1890" s="144" t="s">
        <v>1473</v>
      </c>
      <c r="F1890" s="147" t="s">
        <v>859</v>
      </c>
      <c r="G1890" s="144" t="s">
        <v>3435</v>
      </c>
      <c r="H1890" s="146" t="s">
        <v>26</v>
      </c>
      <c r="I1890" s="144" t="s">
        <v>1493</v>
      </c>
    </row>
    <row r="1891" spans="1:9" ht="38.1">
      <c r="A1891" s="193">
        <v>45967</v>
      </c>
      <c r="B1891" s="145" t="s">
        <v>833</v>
      </c>
      <c r="C1891" s="150">
        <v>2025</v>
      </c>
      <c r="D1891" s="201" t="s">
        <v>1431</v>
      </c>
      <c r="E1891" s="144" t="s">
        <v>2244</v>
      </c>
      <c r="F1891" s="139" t="s">
        <v>88</v>
      </c>
      <c r="G1891" s="144" t="s">
        <v>3436</v>
      </c>
      <c r="H1891" s="146" t="s">
        <v>26</v>
      </c>
      <c r="I1891" s="144" t="s">
        <v>1998</v>
      </c>
    </row>
    <row r="1892" spans="1:9" ht="25.5">
      <c r="A1892" s="193">
        <v>45967</v>
      </c>
      <c r="B1892" s="145" t="s">
        <v>833</v>
      </c>
      <c r="C1892" s="150">
        <v>2025</v>
      </c>
      <c r="D1892" s="201" t="s">
        <v>1431</v>
      </c>
      <c r="E1892" s="144" t="s">
        <v>21</v>
      </c>
      <c r="F1892" s="141" t="s">
        <v>821</v>
      </c>
      <c r="G1892" s="144" t="s">
        <v>3437</v>
      </c>
      <c r="H1892" s="146" t="s">
        <v>130</v>
      </c>
      <c r="I1892" s="144" t="s">
        <v>149</v>
      </c>
    </row>
    <row r="1893" spans="1:9" ht="38.1">
      <c r="A1893" s="193">
        <v>45967</v>
      </c>
      <c r="B1893" s="145" t="s">
        <v>833</v>
      </c>
      <c r="C1893" s="150">
        <v>2025</v>
      </c>
      <c r="D1893" s="201" t="s">
        <v>1431</v>
      </c>
      <c r="E1893" s="144" t="s">
        <v>21</v>
      </c>
      <c r="F1893" s="141" t="s">
        <v>821</v>
      </c>
      <c r="G1893" s="144" t="s">
        <v>3438</v>
      </c>
      <c r="H1893" s="146" t="s">
        <v>130</v>
      </c>
      <c r="I1893" s="144" t="s">
        <v>149</v>
      </c>
    </row>
    <row r="1894" spans="1:9" ht="25.5">
      <c r="A1894" s="193">
        <v>45967</v>
      </c>
      <c r="B1894" s="145" t="s">
        <v>833</v>
      </c>
      <c r="C1894" s="150">
        <v>2025</v>
      </c>
      <c r="D1894" s="201" t="s">
        <v>2224</v>
      </c>
      <c r="E1894" s="144" t="s">
        <v>988</v>
      </c>
      <c r="F1894" s="139" t="s">
        <v>88</v>
      </c>
      <c r="G1894" s="144" t="s">
        <v>3439</v>
      </c>
      <c r="H1894" s="146" t="s">
        <v>130</v>
      </c>
      <c r="I1894" s="144" t="s">
        <v>2568</v>
      </c>
    </row>
    <row r="1895" spans="1:9" ht="14.1">
      <c r="A1895" s="193">
        <v>45967</v>
      </c>
      <c r="B1895" s="145" t="s">
        <v>833</v>
      </c>
      <c r="C1895" s="150">
        <v>2025</v>
      </c>
      <c r="D1895" s="201" t="s">
        <v>1431</v>
      </c>
      <c r="E1895" s="144" t="s">
        <v>2591</v>
      </c>
      <c r="F1895" s="141" t="s">
        <v>821</v>
      </c>
      <c r="G1895" s="148" t="s">
        <v>3440</v>
      </c>
      <c r="H1895" s="146" t="s">
        <v>26</v>
      </c>
      <c r="I1895" s="144" t="s">
        <v>2593</v>
      </c>
    </row>
    <row r="1896" spans="1:9" ht="75.599999999999994">
      <c r="A1896" s="193">
        <v>45967</v>
      </c>
      <c r="B1896" s="145" t="s">
        <v>833</v>
      </c>
      <c r="C1896" s="150">
        <v>2025</v>
      </c>
      <c r="D1896" s="201" t="s">
        <v>1431</v>
      </c>
      <c r="E1896" s="144" t="s">
        <v>2591</v>
      </c>
      <c r="F1896" s="140" t="s">
        <v>1439</v>
      </c>
      <c r="G1896" s="148" t="s">
        <v>3441</v>
      </c>
      <c r="H1896" s="146" t="s">
        <v>26</v>
      </c>
      <c r="I1896" s="144" t="s">
        <v>2593</v>
      </c>
    </row>
    <row r="1897" spans="1:9" ht="25.5">
      <c r="A1897" s="193">
        <v>45967</v>
      </c>
      <c r="B1897" s="145" t="s">
        <v>833</v>
      </c>
      <c r="C1897" s="150">
        <v>2025</v>
      </c>
      <c r="D1897" s="201" t="s">
        <v>1431</v>
      </c>
      <c r="E1897" s="144" t="s">
        <v>2591</v>
      </c>
      <c r="F1897" s="139" t="s">
        <v>88</v>
      </c>
      <c r="G1897" s="148" t="s">
        <v>3442</v>
      </c>
      <c r="H1897" s="146" t="s">
        <v>26</v>
      </c>
      <c r="I1897" s="144" t="s">
        <v>2593</v>
      </c>
    </row>
    <row r="1898" spans="1:9" ht="50.45">
      <c r="A1898" s="193">
        <v>45967</v>
      </c>
      <c r="B1898" s="145" t="s">
        <v>833</v>
      </c>
      <c r="C1898" s="150">
        <v>2025</v>
      </c>
      <c r="D1898" s="201" t="s">
        <v>1431</v>
      </c>
      <c r="E1898" s="144" t="s">
        <v>2591</v>
      </c>
      <c r="F1898" s="139" t="s">
        <v>88</v>
      </c>
      <c r="G1898" s="148" t="s">
        <v>3443</v>
      </c>
      <c r="H1898" s="146" t="s">
        <v>26</v>
      </c>
      <c r="I1898" s="144" t="s">
        <v>2593</v>
      </c>
    </row>
    <row r="1899" spans="1:9" ht="50.45">
      <c r="A1899" s="193">
        <v>45967</v>
      </c>
      <c r="B1899" s="145" t="s">
        <v>833</v>
      </c>
      <c r="C1899" s="150">
        <v>2025</v>
      </c>
      <c r="D1899" s="201" t="s">
        <v>1431</v>
      </c>
      <c r="E1899" s="144" t="s">
        <v>2591</v>
      </c>
      <c r="F1899" s="139" t="s">
        <v>88</v>
      </c>
      <c r="G1899" s="148" t="s">
        <v>3444</v>
      </c>
      <c r="H1899" s="146" t="s">
        <v>26</v>
      </c>
      <c r="I1899" s="144" t="s">
        <v>2593</v>
      </c>
    </row>
    <row r="1900" spans="1:9" ht="87.95">
      <c r="A1900" s="193">
        <v>45967</v>
      </c>
      <c r="B1900" s="145" t="s">
        <v>833</v>
      </c>
      <c r="C1900" s="150">
        <v>2025</v>
      </c>
      <c r="D1900" s="201" t="s">
        <v>1431</v>
      </c>
      <c r="E1900" s="144" t="s">
        <v>2591</v>
      </c>
      <c r="F1900" s="139" t="s">
        <v>88</v>
      </c>
      <c r="G1900" s="148" t="s">
        <v>3445</v>
      </c>
      <c r="H1900" s="146" t="s">
        <v>26</v>
      </c>
      <c r="I1900" s="144" t="s">
        <v>2593</v>
      </c>
    </row>
    <row r="1901" spans="1:9" ht="25.5">
      <c r="A1901" s="193">
        <v>45967</v>
      </c>
      <c r="B1901" s="145" t="s">
        <v>833</v>
      </c>
      <c r="C1901" s="150">
        <v>2025</v>
      </c>
      <c r="D1901" s="201" t="s">
        <v>1431</v>
      </c>
      <c r="E1901" s="144" t="s">
        <v>2591</v>
      </c>
      <c r="F1901" s="139" t="s">
        <v>88</v>
      </c>
      <c r="G1901" s="148" t="s">
        <v>3446</v>
      </c>
      <c r="H1901" s="146" t="s">
        <v>26</v>
      </c>
      <c r="I1901" s="144" t="s">
        <v>2593</v>
      </c>
    </row>
    <row r="1902" spans="1:9" ht="14.1">
      <c r="A1902" s="193">
        <v>45967</v>
      </c>
      <c r="B1902" s="145" t="s">
        <v>833</v>
      </c>
      <c r="C1902" s="150">
        <v>2025</v>
      </c>
      <c r="D1902" s="201" t="s">
        <v>1431</v>
      </c>
      <c r="E1902" s="144" t="s">
        <v>1566</v>
      </c>
      <c r="F1902" s="139" t="s">
        <v>88</v>
      </c>
      <c r="G1902" s="144" t="s">
        <v>3447</v>
      </c>
      <c r="H1902" s="146" t="s">
        <v>26</v>
      </c>
      <c r="I1902" s="144" t="s">
        <v>2640</v>
      </c>
    </row>
    <row r="1903" spans="1:9" ht="25.5">
      <c r="A1903" s="193">
        <v>45967</v>
      </c>
      <c r="B1903" s="145" t="s">
        <v>833</v>
      </c>
      <c r="C1903" s="150">
        <v>2025</v>
      </c>
      <c r="D1903" s="201" t="s">
        <v>1431</v>
      </c>
      <c r="E1903" s="144" t="s">
        <v>1566</v>
      </c>
      <c r="F1903" s="139" t="s">
        <v>88</v>
      </c>
      <c r="G1903" s="144" t="s">
        <v>3448</v>
      </c>
      <c r="H1903" s="146" t="s">
        <v>26</v>
      </c>
      <c r="I1903" s="144" t="s">
        <v>2640</v>
      </c>
    </row>
    <row r="1904" spans="1:9" ht="38.1">
      <c r="A1904" s="193">
        <v>45968</v>
      </c>
      <c r="B1904" s="145" t="s">
        <v>833</v>
      </c>
      <c r="C1904" s="150">
        <v>2025</v>
      </c>
      <c r="D1904" s="201" t="s">
        <v>1431</v>
      </c>
      <c r="E1904" s="144" t="s">
        <v>988</v>
      </c>
      <c r="F1904" s="139" t="s">
        <v>88</v>
      </c>
      <c r="G1904" s="144" t="s">
        <v>3449</v>
      </c>
      <c r="H1904" s="146" t="s">
        <v>26</v>
      </c>
      <c r="I1904" s="144" t="s">
        <v>3176</v>
      </c>
    </row>
    <row r="1905" spans="1:9" ht="25.5">
      <c r="A1905" s="193">
        <v>45968</v>
      </c>
      <c r="B1905" s="145" t="s">
        <v>833</v>
      </c>
      <c r="C1905" s="150">
        <v>2025</v>
      </c>
      <c r="D1905" s="201" t="s">
        <v>1431</v>
      </c>
      <c r="E1905" s="144" t="s">
        <v>2244</v>
      </c>
      <c r="F1905" s="140" t="s">
        <v>1439</v>
      </c>
      <c r="G1905" s="144" t="s">
        <v>3450</v>
      </c>
      <c r="H1905" s="146" t="s">
        <v>130</v>
      </c>
      <c r="I1905" s="144" t="s">
        <v>1904</v>
      </c>
    </row>
    <row r="1906" spans="1:9" ht="38.1">
      <c r="A1906" s="193">
        <v>45968</v>
      </c>
      <c r="B1906" s="145" t="s">
        <v>833</v>
      </c>
      <c r="C1906" s="150">
        <v>2025</v>
      </c>
      <c r="D1906" s="201" t="s">
        <v>1431</v>
      </c>
      <c r="E1906" s="144" t="s">
        <v>2423</v>
      </c>
      <c r="F1906" s="139" t="s">
        <v>88</v>
      </c>
      <c r="G1906" s="144" t="s">
        <v>3451</v>
      </c>
      <c r="H1906" s="146" t="s">
        <v>130</v>
      </c>
      <c r="I1906" s="144" t="s">
        <v>59</v>
      </c>
    </row>
    <row r="1907" spans="1:9" ht="25.5">
      <c r="A1907" s="193">
        <v>45968</v>
      </c>
      <c r="B1907" s="145" t="s">
        <v>833</v>
      </c>
      <c r="C1907" s="150">
        <v>2025</v>
      </c>
      <c r="D1907" s="201" t="s">
        <v>1431</v>
      </c>
      <c r="E1907" s="144" t="s">
        <v>21</v>
      </c>
      <c r="F1907" s="141" t="s">
        <v>821</v>
      </c>
      <c r="G1907" s="144" t="s">
        <v>3452</v>
      </c>
      <c r="H1907" s="146" t="s">
        <v>130</v>
      </c>
      <c r="I1907" s="144" t="s">
        <v>149</v>
      </c>
    </row>
    <row r="1908" spans="1:9" ht="25.5">
      <c r="A1908" s="193">
        <v>45968</v>
      </c>
      <c r="B1908" s="145" t="s">
        <v>833</v>
      </c>
      <c r="C1908" s="150">
        <v>2025</v>
      </c>
      <c r="D1908" s="201" t="s">
        <v>2224</v>
      </c>
      <c r="E1908" s="144" t="s">
        <v>21</v>
      </c>
      <c r="F1908" s="141" t="s">
        <v>821</v>
      </c>
      <c r="G1908" s="144" t="s">
        <v>3453</v>
      </c>
      <c r="H1908" s="146" t="s">
        <v>130</v>
      </c>
      <c r="I1908" s="144" t="s">
        <v>149</v>
      </c>
    </row>
    <row r="1909" spans="1:9" ht="14.1">
      <c r="A1909" s="193">
        <v>45968</v>
      </c>
      <c r="B1909" s="145" t="s">
        <v>833</v>
      </c>
      <c r="C1909" s="150">
        <v>2025</v>
      </c>
      <c r="D1909" s="201" t="s">
        <v>1431</v>
      </c>
      <c r="E1909" s="144" t="s">
        <v>2591</v>
      </c>
      <c r="F1909" s="139" t="s">
        <v>88</v>
      </c>
      <c r="G1909" s="148" t="s">
        <v>3454</v>
      </c>
      <c r="H1909" s="146" t="s">
        <v>26</v>
      </c>
      <c r="I1909" s="144" t="s">
        <v>2593</v>
      </c>
    </row>
    <row r="1910" spans="1:9" ht="75.599999999999994">
      <c r="A1910" s="193">
        <v>45968</v>
      </c>
      <c r="B1910" s="145" t="s">
        <v>833</v>
      </c>
      <c r="C1910" s="150">
        <v>2025</v>
      </c>
      <c r="D1910" s="201" t="s">
        <v>1431</v>
      </c>
      <c r="E1910" s="144" t="s">
        <v>2591</v>
      </c>
      <c r="F1910" s="139" t="s">
        <v>88</v>
      </c>
      <c r="G1910" s="148" t="s">
        <v>3455</v>
      </c>
      <c r="H1910" s="146" t="s">
        <v>26</v>
      </c>
      <c r="I1910" s="144" t="s">
        <v>2593</v>
      </c>
    </row>
    <row r="1911" spans="1:9" ht="25.5">
      <c r="A1911" s="193">
        <v>45971</v>
      </c>
      <c r="B1911" s="145" t="s">
        <v>833</v>
      </c>
      <c r="C1911" s="150">
        <v>2025</v>
      </c>
      <c r="D1911" s="201" t="s">
        <v>1431</v>
      </c>
      <c r="E1911" s="144" t="s">
        <v>1506</v>
      </c>
      <c r="F1911" s="139" t="s">
        <v>88</v>
      </c>
      <c r="G1911" s="144" t="s">
        <v>3456</v>
      </c>
      <c r="H1911" s="146" t="s">
        <v>26</v>
      </c>
      <c r="I1911" s="144" t="s">
        <v>1904</v>
      </c>
    </row>
    <row r="1912" spans="1:9" ht="14.1">
      <c r="A1912" s="193">
        <v>45971</v>
      </c>
      <c r="B1912" s="145" t="s">
        <v>833</v>
      </c>
      <c r="C1912" s="150">
        <v>2025</v>
      </c>
      <c r="D1912" s="201" t="s">
        <v>1431</v>
      </c>
      <c r="E1912" s="144" t="s">
        <v>21</v>
      </c>
      <c r="F1912" s="141" t="s">
        <v>821</v>
      </c>
      <c r="G1912" s="144" t="s">
        <v>3457</v>
      </c>
      <c r="H1912" s="146" t="s">
        <v>130</v>
      </c>
      <c r="I1912" s="144" t="s">
        <v>149</v>
      </c>
    </row>
    <row r="1913" spans="1:9" ht="25.5">
      <c r="A1913" s="193">
        <v>45971</v>
      </c>
      <c r="B1913" s="145" t="s">
        <v>833</v>
      </c>
      <c r="C1913" s="150">
        <v>2025</v>
      </c>
      <c r="D1913" s="201" t="s">
        <v>1431</v>
      </c>
      <c r="E1913" s="144" t="s">
        <v>2591</v>
      </c>
      <c r="F1913" s="139" t="s">
        <v>88</v>
      </c>
      <c r="G1913" s="144" t="s">
        <v>3458</v>
      </c>
      <c r="H1913" s="146" t="s">
        <v>26</v>
      </c>
      <c r="I1913" s="144" t="s">
        <v>2593</v>
      </c>
    </row>
    <row r="1914" spans="1:9" ht="50.45">
      <c r="A1914" s="193">
        <v>45971</v>
      </c>
      <c r="B1914" s="145" t="s">
        <v>833</v>
      </c>
      <c r="C1914" s="150">
        <v>2025</v>
      </c>
      <c r="D1914" s="201" t="s">
        <v>1431</v>
      </c>
      <c r="E1914" s="144" t="s">
        <v>2591</v>
      </c>
      <c r="F1914" s="142" t="s">
        <v>872</v>
      </c>
      <c r="G1914" s="148" t="s">
        <v>3459</v>
      </c>
      <c r="H1914" s="146" t="s">
        <v>26</v>
      </c>
      <c r="I1914" s="144" t="s">
        <v>2593</v>
      </c>
    </row>
    <row r="1915" spans="1:9" ht="87.95">
      <c r="A1915" s="193">
        <v>45971</v>
      </c>
      <c r="B1915" s="145" t="s">
        <v>833</v>
      </c>
      <c r="C1915" s="150">
        <v>2025</v>
      </c>
      <c r="D1915" s="201" t="s">
        <v>1431</v>
      </c>
      <c r="E1915" s="144" t="s">
        <v>2591</v>
      </c>
      <c r="F1915" s="142" t="s">
        <v>872</v>
      </c>
      <c r="G1915" s="148" t="s">
        <v>3460</v>
      </c>
      <c r="H1915" s="146" t="s">
        <v>26</v>
      </c>
      <c r="I1915" s="144" t="s">
        <v>2593</v>
      </c>
    </row>
    <row r="1916" spans="1:9" ht="63">
      <c r="A1916" s="193">
        <v>45971</v>
      </c>
      <c r="B1916" s="145" t="s">
        <v>833</v>
      </c>
      <c r="C1916" s="150">
        <v>2025</v>
      </c>
      <c r="D1916" s="201" t="s">
        <v>1431</v>
      </c>
      <c r="E1916" s="144" t="s">
        <v>2591</v>
      </c>
      <c r="F1916" s="142" t="s">
        <v>872</v>
      </c>
      <c r="G1916" s="148" t="s">
        <v>3461</v>
      </c>
      <c r="H1916" s="146" t="s">
        <v>26</v>
      </c>
      <c r="I1916" s="144" t="s">
        <v>2593</v>
      </c>
    </row>
    <row r="1917" spans="1:9" ht="38.1">
      <c r="A1917" s="193">
        <v>45971</v>
      </c>
      <c r="B1917" s="145" t="s">
        <v>833</v>
      </c>
      <c r="C1917" s="150">
        <v>2025</v>
      </c>
      <c r="D1917" s="201" t="s">
        <v>1431</v>
      </c>
      <c r="E1917" s="144" t="s">
        <v>2591</v>
      </c>
      <c r="F1917" s="142" t="s">
        <v>872</v>
      </c>
      <c r="G1917" s="148" t="s">
        <v>3462</v>
      </c>
      <c r="H1917" s="146" t="s">
        <v>26</v>
      </c>
      <c r="I1917" s="144" t="s">
        <v>2593</v>
      </c>
    </row>
    <row r="1918" spans="1:9" ht="38.1">
      <c r="A1918" s="193">
        <v>45971</v>
      </c>
      <c r="B1918" s="145" t="s">
        <v>833</v>
      </c>
      <c r="C1918" s="150">
        <v>2025</v>
      </c>
      <c r="D1918" s="201" t="s">
        <v>1431</v>
      </c>
      <c r="E1918" s="144" t="s">
        <v>2591</v>
      </c>
      <c r="F1918" s="139" t="s">
        <v>88</v>
      </c>
      <c r="G1918" s="148" t="s">
        <v>3463</v>
      </c>
      <c r="H1918" s="146" t="s">
        <v>26</v>
      </c>
      <c r="I1918" s="144" t="s">
        <v>2593</v>
      </c>
    </row>
    <row r="1919" spans="1:9" ht="100.5">
      <c r="A1919" s="193">
        <v>45971</v>
      </c>
      <c r="B1919" s="145" t="s">
        <v>833</v>
      </c>
      <c r="C1919" s="150">
        <v>2025</v>
      </c>
      <c r="D1919" s="201" t="s">
        <v>1431</v>
      </c>
      <c r="E1919" s="144" t="s">
        <v>2591</v>
      </c>
      <c r="F1919" s="139" t="s">
        <v>88</v>
      </c>
      <c r="G1919" s="144" t="s">
        <v>3464</v>
      </c>
      <c r="H1919" s="146" t="s">
        <v>26</v>
      </c>
      <c r="I1919" s="144" t="s">
        <v>2593</v>
      </c>
    </row>
    <row r="1920" spans="1:9" ht="25.5">
      <c r="A1920" s="193">
        <v>45971</v>
      </c>
      <c r="B1920" s="145" t="s">
        <v>833</v>
      </c>
      <c r="C1920" s="150">
        <v>2025</v>
      </c>
      <c r="D1920" s="201" t="s">
        <v>1431</v>
      </c>
      <c r="E1920" s="144" t="s">
        <v>1566</v>
      </c>
      <c r="F1920" s="139" t="s">
        <v>88</v>
      </c>
      <c r="G1920" s="144" t="s">
        <v>3465</v>
      </c>
      <c r="H1920" s="146" t="s">
        <v>26</v>
      </c>
      <c r="I1920" s="144" t="s">
        <v>1453</v>
      </c>
    </row>
    <row r="1921" spans="1:9" ht="38.1">
      <c r="A1921" s="193">
        <v>45971</v>
      </c>
      <c r="B1921" s="145" t="s">
        <v>833</v>
      </c>
      <c r="C1921" s="150">
        <v>2025</v>
      </c>
      <c r="D1921" s="201" t="s">
        <v>1431</v>
      </c>
      <c r="E1921" s="144" t="s">
        <v>1566</v>
      </c>
      <c r="F1921" s="139" t="s">
        <v>88</v>
      </c>
      <c r="G1921" s="144" t="s">
        <v>3466</v>
      </c>
      <c r="H1921" s="146" t="s">
        <v>26</v>
      </c>
      <c r="I1921" s="144" t="s">
        <v>1453</v>
      </c>
    </row>
    <row r="1922" spans="1:9" ht="25.5">
      <c r="A1922" s="193">
        <v>45971</v>
      </c>
      <c r="B1922" s="145" t="s">
        <v>833</v>
      </c>
      <c r="C1922" s="150">
        <v>2025</v>
      </c>
      <c r="D1922" s="201" t="s">
        <v>1431</v>
      </c>
      <c r="E1922" s="144" t="s">
        <v>1566</v>
      </c>
      <c r="F1922" s="139" t="s">
        <v>88</v>
      </c>
      <c r="G1922" s="144" t="s">
        <v>3467</v>
      </c>
      <c r="H1922" s="146" t="s">
        <v>26</v>
      </c>
      <c r="I1922" s="144" t="s">
        <v>1453</v>
      </c>
    </row>
    <row r="1923" spans="1:9" ht="14.1">
      <c r="A1923" s="193">
        <v>45971</v>
      </c>
      <c r="B1923" s="145" t="s">
        <v>833</v>
      </c>
      <c r="C1923" s="150">
        <v>2025</v>
      </c>
      <c r="D1923" s="201" t="s">
        <v>1431</v>
      </c>
      <c r="E1923" s="144" t="s">
        <v>1566</v>
      </c>
      <c r="F1923" s="139" t="s">
        <v>88</v>
      </c>
      <c r="G1923" s="144" t="s">
        <v>3468</v>
      </c>
      <c r="H1923" s="146" t="s">
        <v>26</v>
      </c>
      <c r="I1923" s="144" t="s">
        <v>1453</v>
      </c>
    </row>
    <row r="1924" spans="1:9" ht="25.5">
      <c r="A1924" s="193">
        <v>45971</v>
      </c>
      <c r="B1924" s="145" t="s">
        <v>833</v>
      </c>
      <c r="C1924" s="150">
        <v>2025</v>
      </c>
      <c r="D1924" s="201" t="s">
        <v>2224</v>
      </c>
      <c r="E1924" s="144" t="s">
        <v>2591</v>
      </c>
      <c r="F1924" s="139" t="s">
        <v>88</v>
      </c>
      <c r="G1924" s="148" t="s">
        <v>3469</v>
      </c>
      <c r="H1924" s="146" t="s">
        <v>26</v>
      </c>
      <c r="I1924" s="144" t="s">
        <v>2593</v>
      </c>
    </row>
    <row r="1925" spans="1:9" ht="25.5">
      <c r="A1925" s="193">
        <v>45971</v>
      </c>
      <c r="B1925" s="145" t="s">
        <v>833</v>
      </c>
      <c r="C1925" s="150">
        <v>2025</v>
      </c>
      <c r="D1925" s="201" t="s">
        <v>2224</v>
      </c>
      <c r="E1925" s="144" t="s">
        <v>2591</v>
      </c>
      <c r="F1925" s="139" t="s">
        <v>88</v>
      </c>
      <c r="G1925" s="148" t="s">
        <v>3470</v>
      </c>
      <c r="H1925" s="146" t="s">
        <v>26</v>
      </c>
      <c r="I1925" s="144" t="s">
        <v>2593</v>
      </c>
    </row>
    <row r="1926" spans="1:9" ht="25.5">
      <c r="A1926" s="193">
        <v>45972</v>
      </c>
      <c r="B1926" s="145" t="s">
        <v>833</v>
      </c>
      <c r="C1926" s="150">
        <v>2025</v>
      </c>
      <c r="D1926" s="201" t="s">
        <v>1431</v>
      </c>
      <c r="E1926" s="144" t="s">
        <v>1506</v>
      </c>
      <c r="F1926" s="139" t="s">
        <v>88</v>
      </c>
      <c r="G1926" s="144" t="s">
        <v>3471</v>
      </c>
      <c r="H1926" s="146" t="s">
        <v>130</v>
      </c>
      <c r="I1926" s="144" t="s">
        <v>3343</v>
      </c>
    </row>
    <row r="1927" spans="1:9" ht="50.45">
      <c r="A1927" s="193">
        <v>45972</v>
      </c>
      <c r="B1927" s="145" t="s">
        <v>833</v>
      </c>
      <c r="C1927" s="150">
        <v>2025</v>
      </c>
      <c r="D1927" s="201" t="s">
        <v>1431</v>
      </c>
      <c r="E1927" s="144" t="s">
        <v>1539</v>
      </c>
      <c r="F1927" s="139" t="s">
        <v>88</v>
      </c>
      <c r="G1927" s="144" t="s">
        <v>3472</v>
      </c>
      <c r="H1927" s="146" t="s">
        <v>130</v>
      </c>
      <c r="I1927" s="144" t="s">
        <v>1541</v>
      </c>
    </row>
    <row r="1928" spans="1:9" ht="38.1">
      <c r="A1928" s="193">
        <v>45972</v>
      </c>
      <c r="B1928" s="145" t="s">
        <v>833</v>
      </c>
      <c r="C1928" s="150">
        <v>2025</v>
      </c>
      <c r="D1928" s="201" t="s">
        <v>1431</v>
      </c>
      <c r="E1928" s="144" t="s">
        <v>97</v>
      </c>
      <c r="F1928" s="141" t="s">
        <v>821</v>
      </c>
      <c r="G1928" s="144" t="s">
        <v>3473</v>
      </c>
      <c r="H1928" s="146" t="s">
        <v>130</v>
      </c>
      <c r="I1928" s="144" t="s">
        <v>158</v>
      </c>
    </row>
    <row r="1929" spans="1:9" ht="38.1">
      <c r="A1929" s="193">
        <v>45972</v>
      </c>
      <c r="B1929" s="145" t="s">
        <v>833</v>
      </c>
      <c r="C1929" s="150">
        <v>2025</v>
      </c>
      <c r="D1929" s="201" t="s">
        <v>2224</v>
      </c>
      <c r="E1929" s="144" t="s">
        <v>97</v>
      </c>
      <c r="F1929" s="141" t="s">
        <v>821</v>
      </c>
      <c r="G1929" s="144" t="s">
        <v>3474</v>
      </c>
      <c r="H1929" s="146" t="s">
        <v>130</v>
      </c>
      <c r="I1929" s="144" t="s">
        <v>158</v>
      </c>
    </row>
    <row r="1930" spans="1:9" ht="25.5">
      <c r="A1930" s="193">
        <v>45972</v>
      </c>
      <c r="B1930" s="145" t="s">
        <v>833</v>
      </c>
      <c r="C1930" s="150">
        <v>2025</v>
      </c>
      <c r="D1930" s="201" t="s">
        <v>1431</v>
      </c>
      <c r="E1930" s="144" t="s">
        <v>1608</v>
      </c>
      <c r="F1930" s="140" t="s">
        <v>1439</v>
      </c>
      <c r="G1930" s="144" t="s">
        <v>3475</v>
      </c>
      <c r="H1930" s="146" t="s">
        <v>26</v>
      </c>
      <c r="I1930" s="144" t="s">
        <v>1458</v>
      </c>
    </row>
    <row r="1931" spans="1:9" ht="25.5">
      <c r="A1931" s="193">
        <v>45972</v>
      </c>
      <c r="B1931" s="145" t="s">
        <v>833</v>
      </c>
      <c r="C1931" s="150">
        <v>2025</v>
      </c>
      <c r="D1931" s="201" t="s">
        <v>1431</v>
      </c>
      <c r="E1931" s="144" t="s">
        <v>1608</v>
      </c>
      <c r="F1931" s="140" t="s">
        <v>1439</v>
      </c>
      <c r="G1931" s="144" t="s">
        <v>3476</v>
      </c>
      <c r="H1931" s="146" t="s">
        <v>26</v>
      </c>
      <c r="I1931" s="144" t="s">
        <v>1458</v>
      </c>
    </row>
    <row r="1932" spans="1:9" ht="25.5">
      <c r="A1932" s="193">
        <v>45972</v>
      </c>
      <c r="B1932" s="145" t="s">
        <v>833</v>
      </c>
      <c r="C1932" s="150">
        <v>2025</v>
      </c>
      <c r="D1932" s="201" t="s">
        <v>1431</v>
      </c>
      <c r="E1932" s="144" t="s">
        <v>1608</v>
      </c>
      <c r="F1932" s="140" t="s">
        <v>1439</v>
      </c>
      <c r="G1932" s="144" t="s">
        <v>3477</v>
      </c>
      <c r="H1932" s="146" t="s">
        <v>26</v>
      </c>
      <c r="I1932" s="144" t="s">
        <v>1458</v>
      </c>
    </row>
    <row r="1933" spans="1:9" ht="63">
      <c r="A1933" s="193">
        <v>45972</v>
      </c>
      <c r="B1933" s="145" t="s">
        <v>833</v>
      </c>
      <c r="C1933" s="150">
        <v>2025</v>
      </c>
      <c r="D1933" s="201" t="s">
        <v>1431</v>
      </c>
      <c r="E1933" s="144" t="s">
        <v>2591</v>
      </c>
      <c r="F1933" s="139" t="s">
        <v>88</v>
      </c>
      <c r="G1933" s="144" t="s">
        <v>3478</v>
      </c>
      <c r="H1933" s="146" t="s">
        <v>26</v>
      </c>
      <c r="I1933" s="144" t="s">
        <v>2593</v>
      </c>
    </row>
    <row r="1934" spans="1:9" ht="14.1">
      <c r="A1934" s="193">
        <v>45972</v>
      </c>
      <c r="B1934" s="145" t="s">
        <v>833</v>
      </c>
      <c r="C1934" s="150">
        <v>2025</v>
      </c>
      <c r="D1934" s="201" t="s">
        <v>1431</v>
      </c>
      <c r="E1934" s="144" t="s">
        <v>2591</v>
      </c>
      <c r="F1934" s="139" t="s">
        <v>88</v>
      </c>
      <c r="G1934" s="148" t="s">
        <v>3479</v>
      </c>
      <c r="H1934" s="146" t="s">
        <v>26</v>
      </c>
      <c r="I1934" s="144" t="s">
        <v>2593</v>
      </c>
    </row>
    <row r="1935" spans="1:9" ht="38.1">
      <c r="A1935" s="193">
        <v>45972</v>
      </c>
      <c r="B1935" s="145" t="s">
        <v>833</v>
      </c>
      <c r="C1935" s="150">
        <v>2025</v>
      </c>
      <c r="D1935" s="201" t="s">
        <v>1431</v>
      </c>
      <c r="E1935" s="144" t="s">
        <v>2591</v>
      </c>
      <c r="F1935" s="139" t="s">
        <v>88</v>
      </c>
      <c r="G1935" s="148" t="s">
        <v>3480</v>
      </c>
      <c r="H1935" s="146" t="s">
        <v>26</v>
      </c>
      <c r="I1935" s="144" t="s">
        <v>2593</v>
      </c>
    </row>
    <row r="1936" spans="1:9" ht="50.45">
      <c r="A1936" s="193">
        <v>45972</v>
      </c>
      <c r="B1936" s="145" t="s">
        <v>833</v>
      </c>
      <c r="C1936" s="150">
        <v>2025</v>
      </c>
      <c r="D1936" s="201" t="s">
        <v>1431</v>
      </c>
      <c r="E1936" s="144" t="s">
        <v>2591</v>
      </c>
      <c r="F1936" s="139" t="s">
        <v>88</v>
      </c>
      <c r="G1936" s="148" t="s">
        <v>3481</v>
      </c>
      <c r="H1936" s="146" t="s">
        <v>26</v>
      </c>
      <c r="I1936" s="144" t="s">
        <v>2593</v>
      </c>
    </row>
    <row r="1937" spans="1:9" ht="25.5">
      <c r="A1937" s="193">
        <v>45972</v>
      </c>
      <c r="B1937" s="145" t="s">
        <v>833</v>
      </c>
      <c r="C1937" s="150">
        <v>2025</v>
      </c>
      <c r="D1937" s="201" t="s">
        <v>1431</v>
      </c>
      <c r="E1937" s="144" t="s">
        <v>2591</v>
      </c>
      <c r="F1937" s="139" t="s">
        <v>88</v>
      </c>
      <c r="G1937" s="148" t="s">
        <v>3482</v>
      </c>
      <c r="H1937" s="146" t="s">
        <v>26</v>
      </c>
      <c r="I1937" s="144" t="s">
        <v>2593</v>
      </c>
    </row>
    <row r="1938" spans="1:9" ht="38.1">
      <c r="A1938" s="193">
        <v>45972</v>
      </c>
      <c r="B1938" s="145" t="s">
        <v>833</v>
      </c>
      <c r="C1938" s="150">
        <v>2025</v>
      </c>
      <c r="D1938" s="201" t="s">
        <v>1431</v>
      </c>
      <c r="E1938" s="144" t="s">
        <v>2591</v>
      </c>
      <c r="F1938" s="139" t="s">
        <v>88</v>
      </c>
      <c r="G1938" s="148" t="s">
        <v>3483</v>
      </c>
      <c r="H1938" s="146" t="s">
        <v>26</v>
      </c>
      <c r="I1938" s="144" t="s">
        <v>2593</v>
      </c>
    </row>
    <row r="1939" spans="1:9" ht="25.5">
      <c r="A1939" s="193">
        <v>45972</v>
      </c>
      <c r="B1939" s="145" t="s">
        <v>833</v>
      </c>
      <c r="C1939" s="150">
        <v>2025</v>
      </c>
      <c r="D1939" s="201" t="s">
        <v>1431</v>
      </c>
      <c r="E1939" s="144" t="s">
        <v>2591</v>
      </c>
      <c r="F1939" s="141" t="s">
        <v>821</v>
      </c>
      <c r="G1939" s="148" t="s">
        <v>3484</v>
      </c>
      <c r="H1939" s="146" t="s">
        <v>26</v>
      </c>
      <c r="I1939" s="144" t="s">
        <v>2593</v>
      </c>
    </row>
    <row r="1940" spans="1:9" ht="25.5">
      <c r="A1940" s="193">
        <v>45972</v>
      </c>
      <c r="B1940" s="145" t="s">
        <v>833</v>
      </c>
      <c r="C1940" s="150">
        <v>2025</v>
      </c>
      <c r="D1940" s="201" t="s">
        <v>1431</v>
      </c>
      <c r="E1940" s="144" t="s">
        <v>2591</v>
      </c>
      <c r="F1940" s="142" t="s">
        <v>872</v>
      </c>
      <c r="G1940" s="148" t="s">
        <v>3485</v>
      </c>
      <c r="H1940" s="146" t="s">
        <v>26</v>
      </c>
      <c r="I1940" s="144" t="s">
        <v>2593</v>
      </c>
    </row>
    <row r="1941" spans="1:9" ht="63">
      <c r="A1941" s="193">
        <v>45972</v>
      </c>
      <c r="B1941" s="145" t="s">
        <v>833</v>
      </c>
      <c r="C1941" s="150">
        <v>2025</v>
      </c>
      <c r="D1941" s="201" t="s">
        <v>1431</v>
      </c>
      <c r="E1941" s="144" t="s">
        <v>2591</v>
      </c>
      <c r="F1941" s="139" t="s">
        <v>88</v>
      </c>
      <c r="G1941" s="148" t="s">
        <v>3486</v>
      </c>
      <c r="H1941" s="146" t="s">
        <v>26</v>
      </c>
      <c r="I1941" s="144" t="s">
        <v>2593</v>
      </c>
    </row>
    <row r="1942" spans="1:9" ht="14.1">
      <c r="A1942" s="193">
        <v>45972</v>
      </c>
      <c r="B1942" s="145" t="s">
        <v>833</v>
      </c>
      <c r="C1942" s="150">
        <v>2025</v>
      </c>
      <c r="D1942" s="201" t="s">
        <v>1431</v>
      </c>
      <c r="E1942" s="144" t="s">
        <v>1566</v>
      </c>
      <c r="F1942" s="139" t="s">
        <v>88</v>
      </c>
      <c r="G1942" s="144" t="s">
        <v>3487</v>
      </c>
      <c r="H1942" s="146" t="s">
        <v>26</v>
      </c>
      <c r="I1942" s="144" t="s">
        <v>1453</v>
      </c>
    </row>
    <row r="1943" spans="1:9" ht="25.5">
      <c r="A1943" s="193">
        <v>45972</v>
      </c>
      <c r="B1943" s="145" t="s">
        <v>833</v>
      </c>
      <c r="C1943" s="150">
        <v>2025</v>
      </c>
      <c r="D1943" s="201" t="s">
        <v>1431</v>
      </c>
      <c r="E1943" s="144" t="s">
        <v>1566</v>
      </c>
      <c r="F1943" s="139" t="s">
        <v>88</v>
      </c>
      <c r="G1943" s="144" t="s">
        <v>3488</v>
      </c>
      <c r="H1943" s="146" t="s">
        <v>26</v>
      </c>
      <c r="I1943" s="144" t="s">
        <v>1453</v>
      </c>
    </row>
    <row r="1944" spans="1:9" ht="38.1">
      <c r="A1944" s="193">
        <v>45972</v>
      </c>
      <c r="B1944" s="145" t="s">
        <v>833</v>
      </c>
      <c r="C1944" s="150">
        <v>2025</v>
      </c>
      <c r="D1944" s="201" t="s">
        <v>1431</v>
      </c>
      <c r="E1944" s="144" t="s">
        <v>1566</v>
      </c>
      <c r="F1944" s="139" t="s">
        <v>88</v>
      </c>
      <c r="G1944" s="144" t="s">
        <v>3489</v>
      </c>
      <c r="H1944" s="146" t="s">
        <v>26</v>
      </c>
      <c r="I1944" s="144" t="s">
        <v>1453</v>
      </c>
    </row>
    <row r="1945" spans="1:9" ht="50.45">
      <c r="A1945" s="193">
        <v>45973</v>
      </c>
      <c r="B1945" s="145" t="s">
        <v>833</v>
      </c>
      <c r="C1945" s="150">
        <v>2025</v>
      </c>
      <c r="D1945" s="201" t="s">
        <v>1431</v>
      </c>
      <c r="E1945" s="144" t="s">
        <v>1449</v>
      </c>
      <c r="F1945" s="147" t="s">
        <v>859</v>
      </c>
      <c r="G1945" s="144" t="s">
        <v>3490</v>
      </c>
      <c r="H1945" s="146" t="s">
        <v>130</v>
      </c>
      <c r="I1945" s="144" t="s">
        <v>3491</v>
      </c>
    </row>
    <row r="1946" spans="1:9" ht="38.1">
      <c r="A1946" s="193">
        <v>45973</v>
      </c>
      <c r="B1946" s="145" t="s">
        <v>833</v>
      </c>
      <c r="C1946" s="150">
        <v>2025</v>
      </c>
      <c r="D1946" s="201" t="s">
        <v>1431</v>
      </c>
      <c r="E1946" s="144" t="s">
        <v>3011</v>
      </c>
      <c r="F1946" s="147" t="s">
        <v>859</v>
      </c>
      <c r="G1946" s="144" t="s">
        <v>3492</v>
      </c>
      <c r="H1946" s="146" t="s">
        <v>130</v>
      </c>
      <c r="I1946" s="144" t="s">
        <v>2599</v>
      </c>
    </row>
    <row r="1947" spans="1:9" ht="38.1">
      <c r="A1947" s="193">
        <v>45973</v>
      </c>
      <c r="B1947" s="145" t="s">
        <v>833</v>
      </c>
      <c r="C1947" s="150">
        <v>2025</v>
      </c>
      <c r="D1947" s="201" t="s">
        <v>1431</v>
      </c>
      <c r="E1947" s="144" t="s">
        <v>21</v>
      </c>
      <c r="F1947" s="141" t="s">
        <v>821</v>
      </c>
      <c r="G1947" s="144" t="s">
        <v>3493</v>
      </c>
      <c r="H1947" s="146" t="s">
        <v>130</v>
      </c>
      <c r="I1947" s="144" t="s">
        <v>149</v>
      </c>
    </row>
    <row r="1948" spans="1:9" ht="38.1">
      <c r="A1948" s="193">
        <v>45973</v>
      </c>
      <c r="B1948" s="145" t="s">
        <v>833</v>
      </c>
      <c r="C1948" s="150">
        <v>2025</v>
      </c>
      <c r="D1948" s="201" t="s">
        <v>1431</v>
      </c>
      <c r="E1948" s="144" t="s">
        <v>2591</v>
      </c>
      <c r="F1948" s="139" t="s">
        <v>88</v>
      </c>
      <c r="G1948" s="144" t="s">
        <v>3494</v>
      </c>
      <c r="H1948" s="146" t="s">
        <v>26</v>
      </c>
      <c r="I1948" s="144" t="s">
        <v>2593</v>
      </c>
    </row>
    <row r="1949" spans="1:9" ht="38.1">
      <c r="A1949" s="193">
        <v>45973</v>
      </c>
      <c r="B1949" s="145" t="s">
        <v>833</v>
      </c>
      <c r="C1949" s="150">
        <v>2025</v>
      </c>
      <c r="D1949" s="201" t="s">
        <v>1431</v>
      </c>
      <c r="E1949" s="144" t="s">
        <v>2591</v>
      </c>
      <c r="F1949" s="139" t="s">
        <v>88</v>
      </c>
      <c r="G1949" s="148" t="s">
        <v>3495</v>
      </c>
      <c r="H1949" s="146" t="s">
        <v>26</v>
      </c>
      <c r="I1949" s="144" t="s">
        <v>2593</v>
      </c>
    </row>
    <row r="1950" spans="1:9" ht="25.5">
      <c r="A1950" s="193">
        <v>45973</v>
      </c>
      <c r="B1950" s="145" t="s">
        <v>833</v>
      </c>
      <c r="C1950" s="150">
        <v>2025</v>
      </c>
      <c r="D1950" s="201" t="s">
        <v>1431</v>
      </c>
      <c r="E1950" s="144" t="s">
        <v>2591</v>
      </c>
      <c r="F1950" s="139" t="s">
        <v>88</v>
      </c>
      <c r="G1950" s="148" t="s">
        <v>3496</v>
      </c>
      <c r="H1950" s="146" t="s">
        <v>26</v>
      </c>
      <c r="I1950" s="144" t="s">
        <v>2593</v>
      </c>
    </row>
    <row r="1951" spans="1:9" ht="25.5">
      <c r="A1951" s="193">
        <v>45973</v>
      </c>
      <c r="B1951" s="145" t="s">
        <v>833</v>
      </c>
      <c r="C1951" s="150">
        <v>2025</v>
      </c>
      <c r="D1951" s="201" t="s">
        <v>1431</v>
      </c>
      <c r="E1951" s="144" t="s">
        <v>2591</v>
      </c>
      <c r="F1951" s="139" t="s">
        <v>88</v>
      </c>
      <c r="G1951" s="148" t="s">
        <v>3497</v>
      </c>
      <c r="H1951" s="146" t="s">
        <v>26</v>
      </c>
      <c r="I1951" s="144" t="s">
        <v>2593</v>
      </c>
    </row>
    <row r="1952" spans="1:9" ht="75.599999999999994">
      <c r="A1952" s="193">
        <v>45973</v>
      </c>
      <c r="B1952" s="145" t="s">
        <v>833</v>
      </c>
      <c r="C1952" s="150">
        <v>2025</v>
      </c>
      <c r="D1952" s="201" t="s">
        <v>1431</v>
      </c>
      <c r="E1952" s="144" t="s">
        <v>2591</v>
      </c>
      <c r="F1952" s="139" t="s">
        <v>88</v>
      </c>
      <c r="G1952" s="148" t="s">
        <v>3498</v>
      </c>
      <c r="H1952" s="146" t="s">
        <v>26</v>
      </c>
      <c r="I1952" s="144" t="s">
        <v>2593</v>
      </c>
    </row>
    <row r="1953" spans="1:9" ht="87.95">
      <c r="A1953" s="193">
        <v>45973</v>
      </c>
      <c r="B1953" s="145" t="s">
        <v>833</v>
      </c>
      <c r="C1953" s="150">
        <v>2025</v>
      </c>
      <c r="D1953" s="201" t="s">
        <v>1431</v>
      </c>
      <c r="E1953" s="144" t="s">
        <v>1566</v>
      </c>
      <c r="F1953" s="139" t="s">
        <v>88</v>
      </c>
      <c r="G1953" s="144" t="s">
        <v>3499</v>
      </c>
      <c r="H1953" s="146" t="s">
        <v>26</v>
      </c>
      <c r="I1953" s="144" t="s">
        <v>1453</v>
      </c>
    </row>
    <row r="1954" spans="1:9" ht="25.5">
      <c r="A1954" s="193">
        <v>45974</v>
      </c>
      <c r="B1954" s="145" t="s">
        <v>833</v>
      </c>
      <c r="C1954" s="150">
        <v>2025</v>
      </c>
      <c r="D1954" s="201" t="s">
        <v>1431</v>
      </c>
      <c r="E1954" s="144" t="s">
        <v>988</v>
      </c>
      <c r="F1954" s="139" t="s">
        <v>88</v>
      </c>
      <c r="G1954" s="144" t="s">
        <v>3500</v>
      </c>
      <c r="H1954" s="146" t="s">
        <v>130</v>
      </c>
      <c r="I1954" s="144" t="s">
        <v>3164</v>
      </c>
    </row>
    <row r="1955" spans="1:9" ht="50.45">
      <c r="A1955" s="193">
        <v>45974</v>
      </c>
      <c r="B1955" s="145" t="s">
        <v>833</v>
      </c>
      <c r="C1955" s="150">
        <v>2025</v>
      </c>
      <c r="D1955" s="201" t="s">
        <v>1431</v>
      </c>
      <c r="E1955" s="144" t="s">
        <v>988</v>
      </c>
      <c r="F1955" s="139" t="s">
        <v>88</v>
      </c>
      <c r="G1955" s="144" t="s">
        <v>3501</v>
      </c>
      <c r="H1955" s="146" t="s">
        <v>130</v>
      </c>
      <c r="I1955" s="144" t="s">
        <v>3176</v>
      </c>
    </row>
    <row r="1956" spans="1:9" ht="38.1">
      <c r="A1956" s="193">
        <v>45974</v>
      </c>
      <c r="B1956" s="145" t="s">
        <v>833</v>
      </c>
      <c r="C1956" s="150">
        <v>2025</v>
      </c>
      <c r="D1956" s="201" t="s">
        <v>1431</v>
      </c>
      <c r="E1956" s="144" t="s">
        <v>2244</v>
      </c>
      <c r="F1956" s="140" t="s">
        <v>1439</v>
      </c>
      <c r="G1956" s="144" t="s">
        <v>3502</v>
      </c>
      <c r="H1956" s="146" t="s">
        <v>130</v>
      </c>
      <c r="I1956" s="144" t="s">
        <v>925</v>
      </c>
    </row>
    <row r="1957" spans="1:9" ht="25.5">
      <c r="A1957" s="193">
        <v>45974</v>
      </c>
      <c r="B1957" s="145" t="s">
        <v>833</v>
      </c>
      <c r="C1957" s="150">
        <v>2025</v>
      </c>
      <c r="D1957" s="201" t="s">
        <v>1431</v>
      </c>
      <c r="E1957" s="144" t="s">
        <v>377</v>
      </c>
      <c r="F1957" s="139" t="s">
        <v>88</v>
      </c>
      <c r="G1957" s="144" t="s">
        <v>3503</v>
      </c>
      <c r="H1957" s="146" t="s">
        <v>130</v>
      </c>
      <c r="I1957" s="144" t="s">
        <v>1904</v>
      </c>
    </row>
    <row r="1958" spans="1:9" ht="25.5">
      <c r="A1958" s="193">
        <v>45974</v>
      </c>
      <c r="B1958" s="145" t="s">
        <v>833</v>
      </c>
      <c r="C1958" s="150">
        <v>2025</v>
      </c>
      <c r="D1958" s="201" t="s">
        <v>1431</v>
      </c>
      <c r="E1958" s="144" t="s">
        <v>1506</v>
      </c>
      <c r="F1958" s="139" t="s">
        <v>88</v>
      </c>
      <c r="G1958" s="144" t="s">
        <v>3504</v>
      </c>
      <c r="H1958" s="146" t="s">
        <v>130</v>
      </c>
      <c r="I1958" s="144" t="s">
        <v>1904</v>
      </c>
    </row>
    <row r="1959" spans="1:9" ht="25.5">
      <c r="A1959" s="193">
        <v>45974</v>
      </c>
      <c r="B1959" s="145" t="s">
        <v>833</v>
      </c>
      <c r="C1959" s="150">
        <v>2025</v>
      </c>
      <c r="D1959" s="201" t="s">
        <v>1431</v>
      </c>
      <c r="E1959" s="144" t="s">
        <v>216</v>
      </c>
      <c r="F1959" s="141" t="s">
        <v>821</v>
      </c>
      <c r="G1959" s="144" t="s">
        <v>3505</v>
      </c>
      <c r="H1959" s="146" t="s">
        <v>26</v>
      </c>
      <c r="I1959" s="144" t="s">
        <v>492</v>
      </c>
    </row>
    <row r="1960" spans="1:9" ht="25.5">
      <c r="A1960" s="193">
        <v>45974</v>
      </c>
      <c r="B1960" s="145" t="s">
        <v>833</v>
      </c>
      <c r="C1960" s="150">
        <v>2025</v>
      </c>
      <c r="D1960" s="201" t="s">
        <v>1431</v>
      </c>
      <c r="E1960" s="144" t="s">
        <v>2591</v>
      </c>
      <c r="F1960" s="139" t="s">
        <v>88</v>
      </c>
      <c r="G1960" s="148" t="s">
        <v>3506</v>
      </c>
      <c r="H1960" s="146" t="s">
        <v>26</v>
      </c>
      <c r="I1960" s="144" t="s">
        <v>2593</v>
      </c>
    </row>
    <row r="1961" spans="1:9" ht="38.1">
      <c r="A1961" s="193">
        <v>45974</v>
      </c>
      <c r="B1961" s="145" t="s">
        <v>833</v>
      </c>
      <c r="C1961" s="150">
        <v>2025</v>
      </c>
      <c r="D1961" s="201" t="s">
        <v>1431</v>
      </c>
      <c r="E1961" s="144" t="s">
        <v>2591</v>
      </c>
      <c r="F1961" s="139" t="s">
        <v>88</v>
      </c>
      <c r="G1961" s="148" t="s">
        <v>3507</v>
      </c>
      <c r="H1961" s="146" t="s">
        <v>26</v>
      </c>
      <c r="I1961" s="144" t="s">
        <v>2593</v>
      </c>
    </row>
    <row r="1962" spans="1:9" ht="14.1">
      <c r="A1962" s="193">
        <v>45974</v>
      </c>
      <c r="B1962" s="145" t="s">
        <v>833</v>
      </c>
      <c r="C1962" s="150">
        <v>2025</v>
      </c>
      <c r="D1962" s="201" t="s">
        <v>1431</v>
      </c>
      <c r="E1962" s="144" t="s">
        <v>2591</v>
      </c>
      <c r="F1962" s="139" t="s">
        <v>88</v>
      </c>
      <c r="G1962" s="148" t="s">
        <v>3508</v>
      </c>
      <c r="H1962" s="146" t="s">
        <v>26</v>
      </c>
      <c r="I1962" s="144" t="s">
        <v>2593</v>
      </c>
    </row>
    <row r="1963" spans="1:9" ht="38.1">
      <c r="A1963" s="193">
        <v>45974</v>
      </c>
      <c r="B1963" s="145" t="s">
        <v>833</v>
      </c>
      <c r="C1963" s="150">
        <v>2025</v>
      </c>
      <c r="D1963" s="201" t="s">
        <v>1431</v>
      </c>
      <c r="E1963" s="144" t="s">
        <v>2591</v>
      </c>
      <c r="F1963" s="139" t="s">
        <v>88</v>
      </c>
      <c r="G1963" s="148" t="s">
        <v>3509</v>
      </c>
      <c r="H1963" s="146" t="s">
        <v>26</v>
      </c>
      <c r="I1963" s="144" t="s">
        <v>2593</v>
      </c>
    </row>
    <row r="1964" spans="1:9" ht="14.1">
      <c r="A1964" s="193">
        <v>45974</v>
      </c>
      <c r="B1964" s="145" t="s">
        <v>833</v>
      </c>
      <c r="C1964" s="150">
        <v>2025</v>
      </c>
      <c r="D1964" s="201" t="s">
        <v>1431</v>
      </c>
      <c r="E1964" s="144" t="s">
        <v>1566</v>
      </c>
      <c r="F1964" s="139" t="s">
        <v>88</v>
      </c>
      <c r="G1964" s="144" t="s">
        <v>3510</v>
      </c>
      <c r="H1964" s="146" t="s">
        <v>26</v>
      </c>
      <c r="I1964" s="144" t="s">
        <v>1453</v>
      </c>
    </row>
    <row r="1965" spans="1:9" ht="38.1">
      <c r="A1965" s="193">
        <v>45974</v>
      </c>
      <c r="B1965" s="145" t="s">
        <v>833</v>
      </c>
      <c r="C1965" s="150">
        <v>2025</v>
      </c>
      <c r="D1965" s="201" t="s">
        <v>1431</v>
      </c>
      <c r="E1965" s="144" t="s">
        <v>1566</v>
      </c>
      <c r="F1965" s="139" t="s">
        <v>88</v>
      </c>
      <c r="G1965" s="144" t="s">
        <v>3511</v>
      </c>
      <c r="H1965" s="146" t="s">
        <v>26</v>
      </c>
      <c r="I1965" s="144" t="s">
        <v>1453</v>
      </c>
    </row>
    <row r="1966" spans="1:9" ht="14.1">
      <c r="A1966" s="193">
        <v>45974</v>
      </c>
      <c r="B1966" s="145" t="s">
        <v>833</v>
      </c>
      <c r="C1966" s="150">
        <v>2025</v>
      </c>
      <c r="D1966" s="201" t="s">
        <v>1431</v>
      </c>
      <c r="E1966" s="144" t="s">
        <v>1566</v>
      </c>
      <c r="F1966" s="139" t="s">
        <v>88</v>
      </c>
      <c r="G1966" s="144" t="s">
        <v>3512</v>
      </c>
      <c r="H1966" s="146" t="s">
        <v>26</v>
      </c>
      <c r="I1966" s="144" t="s">
        <v>1453</v>
      </c>
    </row>
    <row r="1967" spans="1:9" ht="14.1">
      <c r="A1967" s="193">
        <v>45974</v>
      </c>
      <c r="B1967" s="145" t="s">
        <v>833</v>
      </c>
      <c r="C1967" s="150">
        <v>2025</v>
      </c>
      <c r="D1967" s="201" t="s">
        <v>1431</v>
      </c>
      <c r="E1967" s="144" t="s">
        <v>1566</v>
      </c>
      <c r="F1967" s="139" t="s">
        <v>88</v>
      </c>
      <c r="G1967" s="144" t="s">
        <v>3513</v>
      </c>
      <c r="H1967" s="146" t="s">
        <v>26</v>
      </c>
      <c r="I1967" s="144" t="s">
        <v>1453</v>
      </c>
    </row>
    <row r="1968" spans="1:9" ht="25.5">
      <c r="A1968" s="193">
        <v>45975</v>
      </c>
      <c r="B1968" s="145" t="s">
        <v>833</v>
      </c>
      <c r="C1968" s="150">
        <v>2025</v>
      </c>
      <c r="D1968" s="201" t="s">
        <v>1431</v>
      </c>
      <c r="E1968" s="144" t="s">
        <v>21</v>
      </c>
      <c r="F1968" s="141" t="s">
        <v>821</v>
      </c>
      <c r="G1968" s="144" t="s">
        <v>3514</v>
      </c>
      <c r="H1968" s="146" t="s">
        <v>130</v>
      </c>
      <c r="I1968" s="144" t="s">
        <v>149</v>
      </c>
    </row>
    <row r="1969" spans="1:9" ht="14.1">
      <c r="A1969" s="193">
        <v>45975</v>
      </c>
      <c r="B1969" s="145" t="s">
        <v>833</v>
      </c>
      <c r="C1969" s="150">
        <v>2025</v>
      </c>
      <c r="D1969" s="201" t="s">
        <v>1431</v>
      </c>
      <c r="E1969" s="144" t="s">
        <v>988</v>
      </c>
      <c r="F1969" s="139" t="s">
        <v>88</v>
      </c>
      <c r="G1969" s="144" t="s">
        <v>3515</v>
      </c>
      <c r="H1969" s="146" t="s">
        <v>130</v>
      </c>
      <c r="I1969" s="144" t="s">
        <v>3516</v>
      </c>
    </row>
    <row r="1970" spans="1:9" ht="25.5">
      <c r="A1970" s="193">
        <v>45975</v>
      </c>
      <c r="B1970" s="145" t="s">
        <v>833</v>
      </c>
      <c r="C1970" s="150">
        <v>2025</v>
      </c>
      <c r="D1970" s="201" t="s">
        <v>1431</v>
      </c>
      <c r="E1970" s="144" t="s">
        <v>216</v>
      </c>
      <c r="F1970" s="141" t="s">
        <v>821</v>
      </c>
      <c r="G1970" s="144" t="s">
        <v>3517</v>
      </c>
      <c r="H1970" s="146" t="s">
        <v>130</v>
      </c>
      <c r="I1970" s="144" t="s">
        <v>492</v>
      </c>
    </row>
    <row r="1971" spans="1:9" ht="38.1">
      <c r="A1971" s="193">
        <v>45975</v>
      </c>
      <c r="B1971" s="145" t="s">
        <v>833</v>
      </c>
      <c r="C1971" s="150">
        <v>2025</v>
      </c>
      <c r="D1971" s="201" t="s">
        <v>1431</v>
      </c>
      <c r="E1971" s="144" t="s">
        <v>2591</v>
      </c>
      <c r="F1971" s="139" t="s">
        <v>88</v>
      </c>
      <c r="G1971" s="144" t="s">
        <v>3518</v>
      </c>
      <c r="H1971" s="146" t="s">
        <v>26</v>
      </c>
      <c r="I1971" s="144" t="s">
        <v>2593</v>
      </c>
    </row>
    <row r="1972" spans="1:9" ht="25.5">
      <c r="A1972" s="193">
        <v>45975</v>
      </c>
      <c r="B1972" s="145" t="s">
        <v>833</v>
      </c>
      <c r="C1972" s="150">
        <v>2025</v>
      </c>
      <c r="D1972" s="201" t="s">
        <v>1431</v>
      </c>
      <c r="E1972" s="144" t="s">
        <v>2591</v>
      </c>
      <c r="F1972" s="139" t="s">
        <v>88</v>
      </c>
      <c r="G1972" s="144" t="s">
        <v>3519</v>
      </c>
      <c r="H1972" s="146" t="s">
        <v>26</v>
      </c>
      <c r="I1972" s="144" t="s">
        <v>2593</v>
      </c>
    </row>
    <row r="1973" spans="1:9" ht="38.1">
      <c r="A1973" s="193">
        <v>45975</v>
      </c>
      <c r="B1973" s="145" t="s">
        <v>833</v>
      </c>
      <c r="C1973" s="150">
        <v>2025</v>
      </c>
      <c r="D1973" s="201" t="s">
        <v>1431</v>
      </c>
      <c r="E1973" s="144" t="s">
        <v>2591</v>
      </c>
      <c r="F1973" s="139" t="s">
        <v>88</v>
      </c>
      <c r="G1973" s="144" t="s">
        <v>3520</v>
      </c>
      <c r="H1973" s="146" t="s">
        <v>26</v>
      </c>
      <c r="I1973" s="144" t="s">
        <v>2593</v>
      </c>
    </row>
    <row r="1974" spans="1:9" ht="75.599999999999994">
      <c r="A1974" s="193">
        <v>45975</v>
      </c>
      <c r="B1974" s="145" t="s">
        <v>833</v>
      </c>
      <c r="C1974" s="150">
        <v>2025</v>
      </c>
      <c r="D1974" s="201" t="s">
        <v>1431</v>
      </c>
      <c r="E1974" s="144" t="s">
        <v>2591</v>
      </c>
      <c r="F1974" s="139" t="s">
        <v>88</v>
      </c>
      <c r="G1974" s="144" t="s">
        <v>3521</v>
      </c>
      <c r="H1974" s="146" t="s">
        <v>26</v>
      </c>
      <c r="I1974" s="144" t="s">
        <v>2593</v>
      </c>
    </row>
    <row r="1975" spans="1:9" ht="25.5">
      <c r="A1975" s="193">
        <v>45975</v>
      </c>
      <c r="B1975" s="145" t="s">
        <v>833</v>
      </c>
      <c r="C1975" s="150">
        <v>2025</v>
      </c>
      <c r="D1975" s="201" t="s">
        <v>1431</v>
      </c>
      <c r="E1975" s="144" t="s">
        <v>2591</v>
      </c>
      <c r="F1975" s="139" t="s">
        <v>88</v>
      </c>
      <c r="G1975" s="144" t="s">
        <v>3522</v>
      </c>
      <c r="H1975" s="146" t="s">
        <v>26</v>
      </c>
      <c r="I1975" s="144" t="s">
        <v>2593</v>
      </c>
    </row>
    <row r="1976" spans="1:9" ht="25.5">
      <c r="A1976" s="193">
        <v>45975</v>
      </c>
      <c r="B1976" s="145" t="s">
        <v>833</v>
      </c>
      <c r="C1976" s="150">
        <v>2025</v>
      </c>
      <c r="D1976" s="201" t="s">
        <v>1431</v>
      </c>
      <c r="E1976" s="144" t="s">
        <v>2591</v>
      </c>
      <c r="F1976" s="139" t="s">
        <v>88</v>
      </c>
      <c r="G1976" s="144" t="s">
        <v>3523</v>
      </c>
      <c r="H1976" s="146" t="s">
        <v>26</v>
      </c>
      <c r="I1976" s="144" t="s">
        <v>2593</v>
      </c>
    </row>
    <row r="1977" spans="1:9" ht="38.1">
      <c r="A1977" s="193">
        <v>45975</v>
      </c>
      <c r="B1977" s="145" t="s">
        <v>833</v>
      </c>
      <c r="C1977" s="150">
        <v>2025</v>
      </c>
      <c r="D1977" s="201" t="s">
        <v>1431</v>
      </c>
      <c r="E1977" s="144" t="s">
        <v>2591</v>
      </c>
      <c r="F1977" s="139" t="s">
        <v>88</v>
      </c>
      <c r="G1977" s="144" t="s">
        <v>3524</v>
      </c>
      <c r="H1977" s="146" t="s">
        <v>26</v>
      </c>
      <c r="I1977" s="144" t="s">
        <v>2593</v>
      </c>
    </row>
    <row r="1978" spans="1:9" ht="25.5">
      <c r="A1978" s="193">
        <v>45975</v>
      </c>
      <c r="B1978" s="145" t="s">
        <v>833</v>
      </c>
      <c r="C1978" s="150">
        <v>2025</v>
      </c>
      <c r="D1978" s="201" t="s">
        <v>1431</v>
      </c>
      <c r="E1978" s="144" t="s">
        <v>2591</v>
      </c>
      <c r="F1978" s="147" t="s">
        <v>859</v>
      </c>
      <c r="G1978" s="144" t="s">
        <v>3525</v>
      </c>
      <c r="H1978" s="146" t="s">
        <v>26</v>
      </c>
      <c r="I1978" s="144" t="s">
        <v>2593</v>
      </c>
    </row>
    <row r="1979" spans="1:9" ht="38.1">
      <c r="A1979" s="193">
        <v>45975</v>
      </c>
      <c r="B1979" s="145" t="s">
        <v>833</v>
      </c>
      <c r="C1979" s="150">
        <v>2025</v>
      </c>
      <c r="D1979" s="201" t="s">
        <v>1431</v>
      </c>
      <c r="E1979" s="144" t="s">
        <v>1566</v>
      </c>
      <c r="F1979" s="139" t="s">
        <v>88</v>
      </c>
      <c r="G1979" s="144" t="s">
        <v>3526</v>
      </c>
      <c r="H1979" s="146" t="s">
        <v>26</v>
      </c>
      <c r="I1979" s="144" t="s">
        <v>1588</v>
      </c>
    </row>
    <row r="1980" spans="1:9" ht="63">
      <c r="A1980" s="193">
        <v>45975</v>
      </c>
      <c r="B1980" s="145" t="s">
        <v>833</v>
      </c>
      <c r="C1980" s="150">
        <v>2025</v>
      </c>
      <c r="D1980" s="201" t="s">
        <v>1431</v>
      </c>
      <c r="E1980" s="144" t="s">
        <v>1566</v>
      </c>
      <c r="F1980" s="139" t="s">
        <v>88</v>
      </c>
      <c r="G1980" s="144" t="s">
        <v>3527</v>
      </c>
      <c r="H1980" s="146" t="s">
        <v>26</v>
      </c>
      <c r="I1980" s="144" t="s">
        <v>1588</v>
      </c>
    </row>
    <row r="1981" spans="1:9" ht="75.599999999999994">
      <c r="A1981" s="193">
        <v>45975</v>
      </c>
      <c r="B1981" s="145" t="s">
        <v>833</v>
      </c>
      <c r="C1981" s="150">
        <v>2025</v>
      </c>
      <c r="D1981" s="201" t="s">
        <v>1431</v>
      </c>
      <c r="E1981" s="144" t="s">
        <v>1566</v>
      </c>
      <c r="F1981" s="139" t="s">
        <v>88</v>
      </c>
      <c r="G1981" s="144" t="s">
        <v>3528</v>
      </c>
      <c r="H1981" s="146" t="s">
        <v>26</v>
      </c>
      <c r="I1981" s="144" t="s">
        <v>1588</v>
      </c>
    </row>
    <row r="1982" spans="1:9" ht="75.599999999999994">
      <c r="A1982" s="193">
        <v>45975</v>
      </c>
      <c r="B1982" s="145" t="s">
        <v>833</v>
      </c>
      <c r="C1982" s="150">
        <v>2025</v>
      </c>
      <c r="D1982" s="201" t="s">
        <v>1431</v>
      </c>
      <c r="E1982" s="144" t="s">
        <v>1566</v>
      </c>
      <c r="F1982" s="139" t="s">
        <v>88</v>
      </c>
      <c r="G1982" s="144" t="s">
        <v>3529</v>
      </c>
      <c r="H1982" s="146" t="s">
        <v>26</v>
      </c>
      <c r="I1982" s="144" t="s">
        <v>1588</v>
      </c>
    </row>
    <row r="1983" spans="1:9" ht="38.1">
      <c r="A1983" s="193">
        <v>45975</v>
      </c>
      <c r="B1983" s="145" t="s">
        <v>833</v>
      </c>
      <c r="C1983" s="150">
        <v>2025</v>
      </c>
      <c r="D1983" s="201" t="s">
        <v>1431</v>
      </c>
      <c r="E1983" s="144" t="s">
        <v>1506</v>
      </c>
      <c r="F1983" s="139" t="s">
        <v>88</v>
      </c>
      <c r="G1983" s="144" t="s">
        <v>3530</v>
      </c>
      <c r="H1983" s="146" t="s">
        <v>130</v>
      </c>
      <c r="I1983" s="144" t="s">
        <v>1904</v>
      </c>
    </row>
    <row r="1984" spans="1:9" ht="38.1">
      <c r="A1984" s="193">
        <v>45975</v>
      </c>
      <c r="B1984" s="145" t="s">
        <v>833</v>
      </c>
      <c r="C1984" s="150">
        <v>2025</v>
      </c>
      <c r="D1984" s="201" t="s">
        <v>2224</v>
      </c>
      <c r="E1984" s="144" t="s">
        <v>2591</v>
      </c>
      <c r="F1984" s="147" t="s">
        <v>859</v>
      </c>
      <c r="G1984" s="148" t="s">
        <v>3531</v>
      </c>
      <c r="H1984" s="146" t="s">
        <v>26</v>
      </c>
      <c r="I1984" s="144" t="s">
        <v>2593</v>
      </c>
    </row>
    <row r="1985" spans="1:9" ht="50.45">
      <c r="A1985" s="193">
        <v>45975</v>
      </c>
      <c r="B1985" s="145" t="s">
        <v>833</v>
      </c>
      <c r="C1985" s="150">
        <v>2025</v>
      </c>
      <c r="D1985" s="201" t="s">
        <v>2224</v>
      </c>
      <c r="E1985" s="144" t="s">
        <v>2591</v>
      </c>
      <c r="F1985" s="139" t="s">
        <v>88</v>
      </c>
      <c r="G1985" s="148" t="s">
        <v>3532</v>
      </c>
      <c r="H1985" s="146" t="s">
        <v>26</v>
      </c>
      <c r="I1985" s="144" t="s">
        <v>2593</v>
      </c>
    </row>
    <row r="1986" spans="1:9" ht="38.1">
      <c r="A1986" s="193">
        <v>45975</v>
      </c>
      <c r="B1986" s="145" t="s">
        <v>833</v>
      </c>
      <c r="C1986" s="150">
        <v>2025</v>
      </c>
      <c r="D1986" s="201" t="s">
        <v>2224</v>
      </c>
      <c r="E1986" s="144" t="s">
        <v>21</v>
      </c>
      <c r="F1986" s="141" t="s">
        <v>821</v>
      </c>
      <c r="G1986" s="144" t="s">
        <v>3533</v>
      </c>
      <c r="H1986" s="146" t="s">
        <v>130</v>
      </c>
      <c r="I1986" s="144" t="s">
        <v>2568</v>
      </c>
    </row>
    <row r="1987" spans="1:9" ht="38.1">
      <c r="A1987" s="193">
        <v>45978</v>
      </c>
      <c r="B1987" s="145" t="s">
        <v>833</v>
      </c>
      <c r="C1987" s="150">
        <v>2025</v>
      </c>
      <c r="D1987" s="201" t="s">
        <v>1431</v>
      </c>
      <c r="E1987" s="144" t="s">
        <v>21</v>
      </c>
      <c r="F1987" s="141" t="s">
        <v>821</v>
      </c>
      <c r="G1987" s="144" t="s">
        <v>3534</v>
      </c>
      <c r="H1987" s="146" t="s">
        <v>130</v>
      </c>
      <c r="I1987" s="144" t="s">
        <v>149</v>
      </c>
    </row>
    <row r="1988" spans="1:9" ht="14.1">
      <c r="A1988" s="193">
        <v>45978</v>
      </c>
      <c r="B1988" s="145" t="s">
        <v>833</v>
      </c>
      <c r="C1988" s="150">
        <v>2025</v>
      </c>
      <c r="D1988" s="201" t="s">
        <v>1431</v>
      </c>
      <c r="E1988" s="144" t="s">
        <v>21</v>
      </c>
      <c r="F1988" s="141" t="s">
        <v>821</v>
      </c>
      <c r="G1988" s="144" t="s">
        <v>3535</v>
      </c>
      <c r="H1988" s="146" t="s">
        <v>130</v>
      </c>
      <c r="I1988" s="144" t="s">
        <v>149</v>
      </c>
    </row>
    <row r="1989" spans="1:9" ht="50.45">
      <c r="A1989" s="193">
        <v>45978</v>
      </c>
      <c r="B1989" s="145" t="s">
        <v>833</v>
      </c>
      <c r="C1989" s="150">
        <v>2025</v>
      </c>
      <c r="D1989" s="201" t="s">
        <v>1431</v>
      </c>
      <c r="E1989" s="144" t="s">
        <v>1506</v>
      </c>
      <c r="F1989" s="142" t="s">
        <v>872</v>
      </c>
      <c r="G1989" s="144" t="s">
        <v>3536</v>
      </c>
      <c r="H1989" s="146" t="s">
        <v>26</v>
      </c>
      <c r="I1989" s="144" t="s">
        <v>1904</v>
      </c>
    </row>
    <row r="1990" spans="1:9" ht="38.1">
      <c r="A1990" s="193">
        <v>45978</v>
      </c>
      <c r="B1990" s="145" t="s">
        <v>833</v>
      </c>
      <c r="C1990" s="150">
        <v>2025</v>
      </c>
      <c r="D1990" s="201" t="s">
        <v>1431</v>
      </c>
      <c r="E1990" s="144" t="s">
        <v>216</v>
      </c>
      <c r="F1990" s="141" t="s">
        <v>821</v>
      </c>
      <c r="G1990" s="144" t="s">
        <v>3537</v>
      </c>
      <c r="H1990" s="146" t="s">
        <v>130</v>
      </c>
      <c r="I1990" s="144" t="s">
        <v>492</v>
      </c>
    </row>
    <row r="1991" spans="1:9" ht="25.5">
      <c r="A1991" s="193">
        <v>45978</v>
      </c>
      <c r="B1991" s="145" t="s">
        <v>833</v>
      </c>
      <c r="C1991" s="150">
        <v>2025</v>
      </c>
      <c r="D1991" s="201" t="s">
        <v>2224</v>
      </c>
      <c r="E1991" s="144" t="s">
        <v>97</v>
      </c>
      <c r="F1991" s="141" t="s">
        <v>821</v>
      </c>
      <c r="G1991" s="144" t="s">
        <v>3538</v>
      </c>
      <c r="H1991" s="146" t="s">
        <v>130</v>
      </c>
      <c r="I1991" s="144" t="s">
        <v>158</v>
      </c>
    </row>
    <row r="1992" spans="1:9" ht="25.5">
      <c r="A1992" s="193">
        <v>45978</v>
      </c>
      <c r="B1992" s="145" t="s">
        <v>833</v>
      </c>
      <c r="C1992" s="150">
        <v>2025</v>
      </c>
      <c r="D1992" s="201" t="s">
        <v>1431</v>
      </c>
      <c r="E1992" s="144" t="s">
        <v>2591</v>
      </c>
      <c r="F1992" s="139" t="s">
        <v>88</v>
      </c>
      <c r="G1992" s="144" t="s">
        <v>3539</v>
      </c>
      <c r="H1992" s="146" t="s">
        <v>26</v>
      </c>
      <c r="I1992" s="144" t="s">
        <v>2593</v>
      </c>
    </row>
    <row r="1993" spans="1:9" ht="25.5">
      <c r="A1993" s="193">
        <v>45978</v>
      </c>
      <c r="B1993" s="145" t="s">
        <v>833</v>
      </c>
      <c r="C1993" s="150">
        <v>2025</v>
      </c>
      <c r="D1993" s="201" t="s">
        <v>1431</v>
      </c>
      <c r="E1993" s="144" t="s">
        <v>2591</v>
      </c>
      <c r="F1993" s="142" t="s">
        <v>872</v>
      </c>
      <c r="G1993" s="148" t="s">
        <v>3540</v>
      </c>
      <c r="H1993" s="146" t="s">
        <v>26</v>
      </c>
      <c r="I1993" s="144" t="s">
        <v>2593</v>
      </c>
    </row>
    <row r="1994" spans="1:9" ht="38.1">
      <c r="A1994" s="193">
        <v>45978</v>
      </c>
      <c r="B1994" s="145" t="s">
        <v>833</v>
      </c>
      <c r="C1994" s="150">
        <v>2025</v>
      </c>
      <c r="D1994" s="201" t="s">
        <v>1431</v>
      </c>
      <c r="E1994" s="144" t="s">
        <v>2591</v>
      </c>
      <c r="F1994" s="139" t="s">
        <v>88</v>
      </c>
      <c r="G1994" s="148" t="s">
        <v>3541</v>
      </c>
      <c r="H1994" s="146" t="s">
        <v>26</v>
      </c>
      <c r="I1994" s="144" t="s">
        <v>2593</v>
      </c>
    </row>
    <row r="1995" spans="1:9" ht="25.5">
      <c r="A1995" s="193">
        <v>45978</v>
      </c>
      <c r="B1995" s="145" t="s">
        <v>833</v>
      </c>
      <c r="C1995" s="150">
        <v>2025</v>
      </c>
      <c r="D1995" s="201" t="s">
        <v>1431</v>
      </c>
      <c r="E1995" s="144" t="s">
        <v>2591</v>
      </c>
      <c r="F1995" s="142" t="s">
        <v>872</v>
      </c>
      <c r="G1995" s="148" t="s">
        <v>3542</v>
      </c>
      <c r="H1995" s="146" t="s">
        <v>26</v>
      </c>
      <c r="I1995" s="144" t="s">
        <v>2593</v>
      </c>
    </row>
    <row r="1996" spans="1:9" ht="25.5">
      <c r="A1996" s="193">
        <v>45978</v>
      </c>
      <c r="B1996" s="145" t="s">
        <v>833</v>
      </c>
      <c r="C1996" s="150">
        <v>2025</v>
      </c>
      <c r="D1996" s="201" t="s">
        <v>1431</v>
      </c>
      <c r="E1996" s="144" t="s">
        <v>2591</v>
      </c>
      <c r="F1996" s="141" t="s">
        <v>821</v>
      </c>
      <c r="G1996" s="148" t="s">
        <v>3543</v>
      </c>
      <c r="H1996" s="146" t="s">
        <v>26</v>
      </c>
      <c r="I1996" s="144" t="s">
        <v>2593</v>
      </c>
    </row>
    <row r="1997" spans="1:9" ht="25.5">
      <c r="A1997" s="193">
        <v>45978</v>
      </c>
      <c r="B1997" s="145" t="s">
        <v>833</v>
      </c>
      <c r="C1997" s="150">
        <v>2025</v>
      </c>
      <c r="D1997" s="201" t="s">
        <v>1431</v>
      </c>
      <c r="E1997" s="144" t="s">
        <v>2591</v>
      </c>
      <c r="F1997" s="142" t="s">
        <v>872</v>
      </c>
      <c r="G1997" s="148" t="s">
        <v>3544</v>
      </c>
      <c r="H1997" s="146" t="s">
        <v>26</v>
      </c>
      <c r="I1997" s="144" t="s">
        <v>2593</v>
      </c>
    </row>
    <row r="1998" spans="1:9" ht="50.45">
      <c r="A1998" s="193">
        <v>45978</v>
      </c>
      <c r="B1998" s="145" t="s">
        <v>833</v>
      </c>
      <c r="C1998" s="150">
        <v>2025</v>
      </c>
      <c r="D1998" s="201" t="s">
        <v>1431</v>
      </c>
      <c r="E1998" s="144" t="s">
        <v>2591</v>
      </c>
      <c r="F1998" s="139" t="s">
        <v>88</v>
      </c>
      <c r="G1998" s="148" t="s">
        <v>3545</v>
      </c>
      <c r="H1998" s="146" t="s">
        <v>26</v>
      </c>
      <c r="I1998" s="144" t="s">
        <v>2593</v>
      </c>
    </row>
    <row r="1999" spans="1:9" ht="25.5">
      <c r="A1999" s="193">
        <v>45979</v>
      </c>
      <c r="B1999" s="145" t="s">
        <v>833</v>
      </c>
      <c r="C1999" s="150">
        <v>2025</v>
      </c>
      <c r="D1999" s="201" t="s">
        <v>1431</v>
      </c>
      <c r="E1999" s="144" t="s">
        <v>2591</v>
      </c>
      <c r="F1999" s="139" t="s">
        <v>88</v>
      </c>
      <c r="G1999" s="148" t="s">
        <v>3546</v>
      </c>
      <c r="H1999" s="146" t="s">
        <v>26</v>
      </c>
      <c r="I1999" s="144" t="s">
        <v>2593</v>
      </c>
    </row>
    <row r="2000" spans="1:9" ht="38.1">
      <c r="A2000" s="193">
        <v>45979</v>
      </c>
      <c r="B2000" s="145" t="s">
        <v>833</v>
      </c>
      <c r="C2000" s="150">
        <v>2025</v>
      </c>
      <c r="D2000" s="201" t="s">
        <v>1431</v>
      </c>
      <c r="E2000" s="144" t="s">
        <v>2591</v>
      </c>
      <c r="F2000" s="139" t="s">
        <v>88</v>
      </c>
      <c r="G2000" s="148" t="s">
        <v>3547</v>
      </c>
      <c r="H2000" s="146" t="s">
        <v>26</v>
      </c>
      <c r="I2000" s="144" t="s">
        <v>2593</v>
      </c>
    </row>
    <row r="2001" spans="1:9" ht="14.1">
      <c r="A2001" s="193">
        <v>45979</v>
      </c>
      <c r="B2001" s="145" t="s">
        <v>833</v>
      </c>
      <c r="C2001" s="150">
        <v>2025</v>
      </c>
      <c r="D2001" s="201" t="s">
        <v>1431</v>
      </c>
      <c r="E2001" s="144" t="s">
        <v>2591</v>
      </c>
      <c r="F2001" s="139" t="s">
        <v>88</v>
      </c>
      <c r="G2001" s="148" t="s">
        <v>3548</v>
      </c>
      <c r="H2001" s="146" t="s">
        <v>26</v>
      </c>
      <c r="I2001" s="144" t="s">
        <v>2593</v>
      </c>
    </row>
    <row r="2002" spans="1:9" ht="50.45">
      <c r="A2002" s="193">
        <v>45979</v>
      </c>
      <c r="B2002" s="145" t="s">
        <v>833</v>
      </c>
      <c r="C2002" s="150">
        <v>2025</v>
      </c>
      <c r="D2002" s="201" t="s">
        <v>1431</v>
      </c>
      <c r="E2002" s="144" t="s">
        <v>2591</v>
      </c>
      <c r="F2002" s="139" t="s">
        <v>88</v>
      </c>
      <c r="G2002" s="148" t="s">
        <v>3549</v>
      </c>
      <c r="H2002" s="146" t="s">
        <v>26</v>
      </c>
      <c r="I2002" s="144" t="s">
        <v>2593</v>
      </c>
    </row>
    <row r="2003" spans="1:9" ht="38.1">
      <c r="A2003" s="193">
        <v>45979</v>
      </c>
      <c r="B2003" s="145" t="s">
        <v>833</v>
      </c>
      <c r="C2003" s="150">
        <v>2025</v>
      </c>
      <c r="D2003" s="201" t="s">
        <v>1431</v>
      </c>
      <c r="E2003" s="144" t="s">
        <v>2591</v>
      </c>
      <c r="F2003" s="139" t="s">
        <v>88</v>
      </c>
      <c r="G2003" s="148" t="s">
        <v>3550</v>
      </c>
      <c r="H2003" s="146" t="s">
        <v>26</v>
      </c>
      <c r="I2003" s="144" t="s">
        <v>2593</v>
      </c>
    </row>
    <row r="2004" spans="1:9" ht="25.5">
      <c r="A2004" s="193">
        <v>45979</v>
      </c>
      <c r="B2004" s="145" t="s">
        <v>833</v>
      </c>
      <c r="C2004" s="150">
        <v>2025</v>
      </c>
      <c r="D2004" s="201" t="s">
        <v>1431</v>
      </c>
      <c r="E2004" s="144" t="s">
        <v>2591</v>
      </c>
      <c r="F2004" s="139" t="s">
        <v>88</v>
      </c>
      <c r="G2004" s="148" t="s">
        <v>3551</v>
      </c>
      <c r="H2004" s="146" t="s">
        <v>26</v>
      </c>
      <c r="I2004" s="144" t="s">
        <v>2593</v>
      </c>
    </row>
    <row r="2005" spans="1:9" ht="25.5">
      <c r="A2005" s="193">
        <v>45979</v>
      </c>
      <c r="B2005" s="145" t="s">
        <v>833</v>
      </c>
      <c r="C2005" s="150">
        <v>2025</v>
      </c>
      <c r="D2005" s="201" t="s">
        <v>2224</v>
      </c>
      <c r="E2005" s="144" t="s">
        <v>2591</v>
      </c>
      <c r="F2005" s="139" t="s">
        <v>88</v>
      </c>
      <c r="G2005" s="144" t="s">
        <v>3552</v>
      </c>
      <c r="H2005" s="146" t="s">
        <v>26</v>
      </c>
      <c r="I2005" s="144" t="s">
        <v>2593</v>
      </c>
    </row>
    <row r="2006" spans="1:9" ht="25.5">
      <c r="A2006" s="193">
        <v>45979</v>
      </c>
      <c r="B2006" s="145" t="s">
        <v>833</v>
      </c>
      <c r="C2006" s="150">
        <v>2025</v>
      </c>
      <c r="D2006" s="201" t="s">
        <v>1431</v>
      </c>
      <c r="E2006" s="144" t="s">
        <v>2591</v>
      </c>
      <c r="F2006" s="139" t="s">
        <v>88</v>
      </c>
      <c r="G2006" s="144" t="s">
        <v>3553</v>
      </c>
      <c r="H2006" s="146" t="s">
        <v>26</v>
      </c>
      <c r="I2006" s="144" t="s">
        <v>1453</v>
      </c>
    </row>
    <row r="2007" spans="1:9" ht="25.5">
      <c r="A2007" s="193">
        <v>45979</v>
      </c>
      <c r="B2007" s="145" t="s">
        <v>833</v>
      </c>
      <c r="C2007" s="150">
        <v>2025</v>
      </c>
      <c r="D2007" s="201" t="s">
        <v>1431</v>
      </c>
      <c r="E2007" s="144" t="s">
        <v>2591</v>
      </c>
      <c r="F2007" s="139" t="s">
        <v>88</v>
      </c>
      <c r="G2007" s="144" t="s">
        <v>3554</v>
      </c>
      <c r="H2007" s="146" t="s">
        <v>26</v>
      </c>
      <c r="I2007" s="144" t="s">
        <v>1453</v>
      </c>
    </row>
    <row r="2008" spans="1:9" ht="38.1">
      <c r="A2008" s="193">
        <v>45979</v>
      </c>
      <c r="B2008" s="145" t="s">
        <v>833</v>
      </c>
      <c r="C2008" s="150">
        <v>2025</v>
      </c>
      <c r="D2008" s="201" t="s">
        <v>1431</v>
      </c>
      <c r="E2008" s="144" t="s">
        <v>1432</v>
      </c>
      <c r="F2008" s="141" t="s">
        <v>821</v>
      </c>
      <c r="G2008" s="144" t="s">
        <v>3555</v>
      </c>
      <c r="H2008" s="146" t="s">
        <v>26</v>
      </c>
      <c r="I2008" s="144" t="s">
        <v>59</v>
      </c>
    </row>
    <row r="2009" spans="1:9" ht="75.599999999999994">
      <c r="A2009" s="193">
        <v>45979</v>
      </c>
      <c r="B2009" s="145" t="s">
        <v>833</v>
      </c>
      <c r="C2009" s="150">
        <v>2025</v>
      </c>
      <c r="D2009" s="201" t="s">
        <v>1431</v>
      </c>
      <c r="E2009" s="144" t="s">
        <v>1432</v>
      </c>
      <c r="F2009" s="141" t="s">
        <v>821</v>
      </c>
      <c r="G2009" s="144" t="s">
        <v>3556</v>
      </c>
      <c r="H2009" s="146" t="s">
        <v>26</v>
      </c>
      <c r="I2009" s="144" t="s">
        <v>59</v>
      </c>
    </row>
    <row r="2010" spans="1:9" ht="14.1">
      <c r="A2010" s="193">
        <v>45980</v>
      </c>
      <c r="B2010" s="145" t="s">
        <v>833</v>
      </c>
      <c r="C2010" s="150">
        <v>2025</v>
      </c>
      <c r="D2010" s="201" t="s">
        <v>1431</v>
      </c>
      <c r="E2010" s="144" t="s">
        <v>21</v>
      </c>
      <c r="F2010" s="141" t="s">
        <v>821</v>
      </c>
      <c r="G2010" s="144" t="s">
        <v>3557</v>
      </c>
      <c r="H2010" s="146" t="s">
        <v>130</v>
      </c>
      <c r="I2010" s="144" t="s">
        <v>149</v>
      </c>
    </row>
    <row r="2011" spans="1:9" ht="14.1">
      <c r="A2011" s="193">
        <v>45980</v>
      </c>
      <c r="B2011" s="145" t="s">
        <v>833</v>
      </c>
      <c r="C2011" s="150">
        <v>2025</v>
      </c>
      <c r="D2011" s="201" t="s">
        <v>1431</v>
      </c>
      <c r="E2011" s="144" t="s">
        <v>216</v>
      </c>
      <c r="F2011" s="141" t="s">
        <v>821</v>
      </c>
      <c r="G2011" s="144" t="s">
        <v>3558</v>
      </c>
      <c r="H2011" s="146" t="s">
        <v>130</v>
      </c>
      <c r="I2011" s="144" t="s">
        <v>492</v>
      </c>
    </row>
    <row r="2012" spans="1:9" ht="25.5">
      <c r="A2012" s="193">
        <v>45980</v>
      </c>
      <c r="B2012" s="145" t="s">
        <v>833</v>
      </c>
      <c r="C2012" s="150">
        <v>2025</v>
      </c>
      <c r="D2012" s="201" t="s">
        <v>1431</v>
      </c>
      <c r="E2012" s="144" t="s">
        <v>2244</v>
      </c>
      <c r="F2012" s="139" t="s">
        <v>88</v>
      </c>
      <c r="G2012" s="144" t="s">
        <v>3559</v>
      </c>
      <c r="H2012" s="146" t="s">
        <v>130</v>
      </c>
      <c r="I2012" s="144" t="s">
        <v>1904</v>
      </c>
    </row>
    <row r="2013" spans="1:9" ht="38.1">
      <c r="A2013" s="193">
        <v>45980</v>
      </c>
      <c r="B2013" s="145" t="s">
        <v>833</v>
      </c>
      <c r="C2013" s="150">
        <v>2025</v>
      </c>
      <c r="D2013" s="201" t="s">
        <v>1431</v>
      </c>
      <c r="E2013" s="144" t="s">
        <v>97</v>
      </c>
      <c r="F2013" s="141" t="s">
        <v>821</v>
      </c>
      <c r="G2013" s="144" t="s">
        <v>3560</v>
      </c>
      <c r="H2013" s="146" t="s">
        <v>130</v>
      </c>
      <c r="I2013" s="144" t="s">
        <v>3561</v>
      </c>
    </row>
    <row r="2014" spans="1:9" ht="14.1">
      <c r="A2014" s="193">
        <v>45980</v>
      </c>
      <c r="B2014" s="145" t="s">
        <v>833</v>
      </c>
      <c r="C2014" s="150">
        <v>2025</v>
      </c>
      <c r="D2014" s="201" t="s">
        <v>1431</v>
      </c>
      <c r="E2014" s="144" t="s">
        <v>2591</v>
      </c>
      <c r="F2014" s="139" t="s">
        <v>88</v>
      </c>
      <c r="G2014" s="144" t="s">
        <v>3562</v>
      </c>
      <c r="H2014" s="146" t="s">
        <v>26</v>
      </c>
      <c r="I2014" s="144" t="s">
        <v>2593</v>
      </c>
    </row>
    <row r="2015" spans="1:9" ht="25.5">
      <c r="A2015" s="193">
        <v>45980</v>
      </c>
      <c r="B2015" s="145" t="s">
        <v>833</v>
      </c>
      <c r="C2015" s="150">
        <v>2025</v>
      </c>
      <c r="D2015" s="201" t="s">
        <v>1431</v>
      </c>
      <c r="E2015" s="144" t="s">
        <v>2591</v>
      </c>
      <c r="F2015" s="141" t="s">
        <v>821</v>
      </c>
      <c r="G2015" s="148" t="s">
        <v>3563</v>
      </c>
      <c r="H2015" s="146" t="s">
        <v>26</v>
      </c>
      <c r="I2015" s="144" t="s">
        <v>2593</v>
      </c>
    </row>
    <row r="2016" spans="1:9" ht="50.45">
      <c r="A2016" s="193">
        <v>45980</v>
      </c>
      <c r="B2016" s="145" t="s">
        <v>833</v>
      </c>
      <c r="C2016" s="150">
        <v>2025</v>
      </c>
      <c r="D2016" s="201" t="s">
        <v>1431</v>
      </c>
      <c r="E2016" s="144" t="s">
        <v>2591</v>
      </c>
      <c r="F2016" s="139" t="s">
        <v>88</v>
      </c>
      <c r="G2016" s="148" t="s">
        <v>3564</v>
      </c>
      <c r="H2016" s="146" t="s">
        <v>26</v>
      </c>
      <c r="I2016" s="144" t="s">
        <v>2593</v>
      </c>
    </row>
    <row r="2017" spans="1:9" ht="25.5">
      <c r="A2017" s="193">
        <v>45980</v>
      </c>
      <c r="B2017" s="145" t="s">
        <v>833</v>
      </c>
      <c r="C2017" s="150">
        <v>2025</v>
      </c>
      <c r="D2017" s="201" t="s">
        <v>1431</v>
      </c>
      <c r="E2017" s="144" t="s">
        <v>1566</v>
      </c>
      <c r="F2017" s="139" t="s">
        <v>88</v>
      </c>
      <c r="G2017" s="144" t="s">
        <v>3565</v>
      </c>
      <c r="H2017" s="146" t="s">
        <v>26</v>
      </c>
      <c r="I2017" s="144" t="s">
        <v>1588</v>
      </c>
    </row>
    <row r="2018" spans="1:9" ht="25.5">
      <c r="A2018" s="193">
        <v>45980</v>
      </c>
      <c r="B2018" s="145" t="s">
        <v>833</v>
      </c>
      <c r="C2018" s="150">
        <v>2025</v>
      </c>
      <c r="D2018" s="201" t="s">
        <v>1431</v>
      </c>
      <c r="E2018" s="144" t="s">
        <v>1566</v>
      </c>
      <c r="F2018" s="139" t="s">
        <v>88</v>
      </c>
      <c r="G2018" s="144" t="s">
        <v>3566</v>
      </c>
      <c r="H2018" s="146" t="s">
        <v>26</v>
      </c>
      <c r="I2018" s="144" t="s">
        <v>1588</v>
      </c>
    </row>
    <row r="2019" spans="1:9" ht="50.45">
      <c r="A2019" s="193">
        <v>45980</v>
      </c>
      <c r="B2019" s="145" t="s">
        <v>833</v>
      </c>
      <c r="C2019" s="150">
        <v>2025</v>
      </c>
      <c r="D2019" s="201" t="s">
        <v>2224</v>
      </c>
      <c r="E2019" s="144" t="s">
        <v>2591</v>
      </c>
      <c r="F2019" s="139" t="s">
        <v>88</v>
      </c>
      <c r="G2019" s="148" t="s">
        <v>3567</v>
      </c>
      <c r="H2019" s="146" t="s">
        <v>26</v>
      </c>
      <c r="I2019" s="144" t="s">
        <v>2593</v>
      </c>
    </row>
    <row r="2020" spans="1:9" ht="87.95">
      <c r="A2020" s="193">
        <v>45980</v>
      </c>
      <c r="B2020" s="145" t="s">
        <v>833</v>
      </c>
      <c r="C2020" s="150">
        <v>2025</v>
      </c>
      <c r="D2020" s="201" t="s">
        <v>2224</v>
      </c>
      <c r="E2020" s="144" t="s">
        <v>2591</v>
      </c>
      <c r="F2020" s="139" t="s">
        <v>88</v>
      </c>
      <c r="G2020" s="148" t="s">
        <v>3568</v>
      </c>
      <c r="H2020" s="146" t="s">
        <v>26</v>
      </c>
      <c r="I2020" s="144" t="s">
        <v>2593</v>
      </c>
    </row>
    <row r="2021" spans="1:9" ht="25.5">
      <c r="A2021" s="193">
        <v>45982</v>
      </c>
      <c r="B2021" s="145" t="s">
        <v>833</v>
      </c>
      <c r="C2021" s="150">
        <v>2025</v>
      </c>
      <c r="D2021" s="201" t="s">
        <v>1431</v>
      </c>
      <c r="E2021" s="144" t="s">
        <v>21</v>
      </c>
      <c r="F2021" s="141" t="s">
        <v>821</v>
      </c>
      <c r="G2021" s="144" t="s">
        <v>3569</v>
      </c>
      <c r="H2021" s="146" t="s">
        <v>130</v>
      </c>
      <c r="I2021" s="144" t="s">
        <v>468</v>
      </c>
    </row>
    <row r="2022" spans="1:9" ht="25.5">
      <c r="A2022" s="193">
        <v>45982</v>
      </c>
      <c r="B2022" s="145" t="s">
        <v>833</v>
      </c>
      <c r="C2022" s="150">
        <v>2025</v>
      </c>
      <c r="D2022" s="201" t="s">
        <v>1431</v>
      </c>
      <c r="E2022" s="144" t="s">
        <v>216</v>
      </c>
      <c r="F2022" s="141" t="s">
        <v>821</v>
      </c>
      <c r="G2022" s="144" t="s">
        <v>3570</v>
      </c>
      <c r="H2022" s="146" t="s">
        <v>26</v>
      </c>
      <c r="I2022" s="144" t="s">
        <v>492</v>
      </c>
    </row>
    <row r="2023" spans="1:9" ht="38.1">
      <c r="A2023" s="193">
        <v>45982</v>
      </c>
      <c r="B2023" s="145" t="s">
        <v>833</v>
      </c>
      <c r="C2023" s="150">
        <v>2025</v>
      </c>
      <c r="D2023" s="201" t="s">
        <v>1431</v>
      </c>
      <c r="E2023" s="144" t="s">
        <v>1566</v>
      </c>
      <c r="F2023" s="139" t="s">
        <v>88</v>
      </c>
      <c r="G2023" s="144" t="s">
        <v>3571</v>
      </c>
      <c r="H2023" s="146" t="s">
        <v>26</v>
      </c>
      <c r="I2023" s="144" t="s">
        <v>2593</v>
      </c>
    </row>
    <row r="2024" spans="1:9" ht="87.95">
      <c r="A2024" s="193">
        <v>45982</v>
      </c>
      <c r="B2024" s="145" t="s">
        <v>833</v>
      </c>
      <c r="C2024" s="150">
        <v>2025</v>
      </c>
      <c r="D2024" s="201" t="s">
        <v>1431</v>
      </c>
      <c r="E2024" s="144" t="s">
        <v>1566</v>
      </c>
      <c r="F2024" s="139" t="s">
        <v>88</v>
      </c>
      <c r="G2024" s="144" t="s">
        <v>3572</v>
      </c>
      <c r="H2024" s="146" t="s">
        <v>26</v>
      </c>
      <c r="I2024" s="144" t="s">
        <v>2593</v>
      </c>
    </row>
    <row r="2025" spans="1:9" ht="138">
      <c r="A2025" s="193">
        <v>45982</v>
      </c>
      <c r="B2025" s="145" t="s">
        <v>833</v>
      </c>
      <c r="C2025" s="150">
        <v>2025</v>
      </c>
      <c r="D2025" s="201" t="s">
        <v>1431</v>
      </c>
      <c r="E2025" s="144" t="s">
        <v>1566</v>
      </c>
      <c r="F2025" s="139" t="s">
        <v>88</v>
      </c>
      <c r="G2025" s="144" t="s">
        <v>3573</v>
      </c>
      <c r="H2025" s="146" t="s">
        <v>26</v>
      </c>
      <c r="I2025" s="144" t="s">
        <v>2593</v>
      </c>
    </row>
    <row r="2026" spans="1:9" ht="38.1">
      <c r="A2026" s="193">
        <v>45985</v>
      </c>
      <c r="B2026" s="145" t="s">
        <v>833</v>
      </c>
      <c r="C2026" s="150">
        <v>2025</v>
      </c>
      <c r="D2026" s="201" t="s">
        <v>1431</v>
      </c>
      <c r="E2026" s="144" t="s">
        <v>2535</v>
      </c>
      <c r="F2026" s="139" t="s">
        <v>88</v>
      </c>
      <c r="G2026" s="144" t="s">
        <v>3574</v>
      </c>
      <c r="H2026" s="146" t="s">
        <v>130</v>
      </c>
      <c r="I2026" s="144" t="s">
        <v>578</v>
      </c>
    </row>
    <row r="2027" spans="1:9" ht="38.1">
      <c r="A2027" s="193">
        <v>45985</v>
      </c>
      <c r="B2027" s="145" t="s">
        <v>833</v>
      </c>
      <c r="C2027" s="150">
        <v>2025</v>
      </c>
      <c r="D2027" s="201" t="s">
        <v>1431</v>
      </c>
      <c r="E2027" s="144" t="s">
        <v>3386</v>
      </c>
      <c r="F2027" s="139" t="s">
        <v>88</v>
      </c>
      <c r="G2027" s="144" t="s">
        <v>3575</v>
      </c>
      <c r="H2027" s="146" t="s">
        <v>130</v>
      </c>
      <c r="I2027" s="144" t="s">
        <v>2382</v>
      </c>
    </row>
    <row r="2028" spans="1:9" ht="63">
      <c r="A2028" s="193">
        <v>45985</v>
      </c>
      <c r="B2028" s="145" t="s">
        <v>833</v>
      </c>
      <c r="C2028" s="150">
        <v>2025</v>
      </c>
      <c r="D2028" s="201" t="s">
        <v>1431</v>
      </c>
      <c r="E2028" s="144" t="s">
        <v>1506</v>
      </c>
      <c r="F2028" s="139" t="s">
        <v>88</v>
      </c>
      <c r="G2028" s="144" t="s">
        <v>3576</v>
      </c>
      <c r="H2028" s="146" t="s">
        <v>26</v>
      </c>
      <c r="I2028" s="144" t="s">
        <v>3343</v>
      </c>
    </row>
    <row r="2029" spans="1:9" ht="25.5">
      <c r="A2029" s="193">
        <v>45985</v>
      </c>
      <c r="B2029" s="145" t="s">
        <v>833</v>
      </c>
      <c r="C2029" s="150">
        <v>2025</v>
      </c>
      <c r="D2029" s="201" t="s">
        <v>1431</v>
      </c>
      <c r="E2029" s="144" t="s">
        <v>1506</v>
      </c>
      <c r="F2029" s="139" t="s">
        <v>88</v>
      </c>
      <c r="G2029" s="144" t="s">
        <v>3577</v>
      </c>
      <c r="H2029" s="146" t="s">
        <v>26</v>
      </c>
      <c r="I2029" s="144" t="s">
        <v>3343</v>
      </c>
    </row>
    <row r="2030" spans="1:9" ht="50.45">
      <c r="A2030" s="193">
        <v>45985</v>
      </c>
      <c r="B2030" s="145" t="s">
        <v>833</v>
      </c>
      <c r="C2030" s="150">
        <v>2025</v>
      </c>
      <c r="D2030" s="201" t="s">
        <v>1431</v>
      </c>
      <c r="E2030" s="144" t="s">
        <v>2591</v>
      </c>
      <c r="F2030" s="139" t="s">
        <v>88</v>
      </c>
      <c r="G2030" s="144" t="s">
        <v>3578</v>
      </c>
      <c r="H2030" s="146" t="s">
        <v>130</v>
      </c>
      <c r="I2030" s="144" t="s">
        <v>2593</v>
      </c>
    </row>
    <row r="2031" spans="1:9" ht="25.5">
      <c r="A2031" s="193">
        <v>45985</v>
      </c>
      <c r="B2031" s="145" t="s">
        <v>833</v>
      </c>
      <c r="C2031" s="150">
        <v>2025</v>
      </c>
      <c r="D2031" s="201" t="s">
        <v>1431</v>
      </c>
      <c r="E2031" s="144" t="s">
        <v>2591</v>
      </c>
      <c r="F2031" s="139" t="s">
        <v>88</v>
      </c>
      <c r="G2031" s="148" t="s">
        <v>3579</v>
      </c>
      <c r="H2031" s="146" t="s">
        <v>26</v>
      </c>
      <c r="I2031" s="144" t="s">
        <v>2593</v>
      </c>
    </row>
    <row r="2032" spans="1:9" ht="63">
      <c r="A2032" s="193">
        <v>45985</v>
      </c>
      <c r="B2032" s="145" t="s">
        <v>833</v>
      </c>
      <c r="C2032" s="150">
        <v>2025</v>
      </c>
      <c r="D2032" s="201" t="s">
        <v>1431</v>
      </c>
      <c r="E2032" s="144" t="s">
        <v>2591</v>
      </c>
      <c r="F2032" s="139" t="s">
        <v>88</v>
      </c>
      <c r="G2032" s="148" t="s">
        <v>3580</v>
      </c>
      <c r="H2032" s="146" t="s">
        <v>26</v>
      </c>
      <c r="I2032" s="144" t="s">
        <v>2593</v>
      </c>
    </row>
    <row r="2033" spans="1:9" ht="38.1">
      <c r="A2033" s="193">
        <v>45985</v>
      </c>
      <c r="B2033" s="145" t="s">
        <v>833</v>
      </c>
      <c r="C2033" s="150">
        <v>2025</v>
      </c>
      <c r="D2033" s="201" t="s">
        <v>1431</v>
      </c>
      <c r="E2033" s="144" t="s">
        <v>2591</v>
      </c>
      <c r="F2033" s="139" t="s">
        <v>88</v>
      </c>
      <c r="G2033" s="148" t="s">
        <v>3581</v>
      </c>
      <c r="H2033" s="146" t="s">
        <v>26</v>
      </c>
      <c r="I2033" s="144" t="s">
        <v>2593</v>
      </c>
    </row>
    <row r="2034" spans="1:9" ht="50.45">
      <c r="A2034" s="193">
        <v>45985</v>
      </c>
      <c r="B2034" s="145" t="s">
        <v>833</v>
      </c>
      <c r="C2034" s="150">
        <v>2025</v>
      </c>
      <c r="D2034" s="201" t="s">
        <v>1431</v>
      </c>
      <c r="E2034" s="144" t="s">
        <v>2591</v>
      </c>
      <c r="F2034" s="147" t="s">
        <v>859</v>
      </c>
      <c r="G2034" s="148" t="s">
        <v>3582</v>
      </c>
      <c r="H2034" s="146" t="s">
        <v>26</v>
      </c>
      <c r="I2034" s="144" t="s">
        <v>2593</v>
      </c>
    </row>
    <row r="2035" spans="1:9" ht="50.45">
      <c r="A2035" s="193">
        <v>45985</v>
      </c>
      <c r="B2035" s="145" t="s">
        <v>833</v>
      </c>
      <c r="C2035" s="150">
        <v>2025</v>
      </c>
      <c r="D2035" s="201" t="s">
        <v>1431</v>
      </c>
      <c r="E2035" s="144" t="s">
        <v>2591</v>
      </c>
      <c r="F2035" s="147" t="s">
        <v>859</v>
      </c>
      <c r="G2035" s="148" t="s">
        <v>3583</v>
      </c>
      <c r="H2035" s="146" t="s">
        <v>26</v>
      </c>
      <c r="I2035" s="144" t="s">
        <v>2593</v>
      </c>
    </row>
    <row r="2036" spans="1:9" ht="25.5">
      <c r="A2036" s="193">
        <v>45985</v>
      </c>
      <c r="B2036" s="145" t="s">
        <v>833</v>
      </c>
      <c r="C2036" s="150">
        <v>2025</v>
      </c>
      <c r="D2036" s="201" t="s">
        <v>2224</v>
      </c>
      <c r="E2036" s="144" t="s">
        <v>1432</v>
      </c>
      <c r="F2036" s="141" t="s">
        <v>821</v>
      </c>
      <c r="G2036" s="144" t="s">
        <v>3584</v>
      </c>
      <c r="H2036" s="146" t="s">
        <v>130</v>
      </c>
      <c r="I2036" s="144" t="s">
        <v>2568</v>
      </c>
    </row>
    <row r="2037" spans="1:9" ht="25.5">
      <c r="A2037" s="193">
        <v>45985</v>
      </c>
      <c r="B2037" s="145" t="s">
        <v>833</v>
      </c>
      <c r="C2037" s="150">
        <v>2025</v>
      </c>
      <c r="D2037" s="201" t="s">
        <v>1431</v>
      </c>
      <c r="E2037" s="144" t="s">
        <v>1608</v>
      </c>
      <c r="F2037" s="140" t="s">
        <v>1439</v>
      </c>
      <c r="G2037" s="144" t="s">
        <v>3585</v>
      </c>
      <c r="H2037" s="146" t="s">
        <v>26</v>
      </c>
      <c r="I2037" s="144" t="s">
        <v>1458</v>
      </c>
    </row>
    <row r="2038" spans="1:9" ht="25.5">
      <c r="A2038" s="193">
        <v>45985</v>
      </c>
      <c r="B2038" s="145" t="s">
        <v>833</v>
      </c>
      <c r="C2038" s="150">
        <v>2025</v>
      </c>
      <c r="D2038" s="201" t="s">
        <v>1431</v>
      </c>
      <c r="E2038" s="144" t="s">
        <v>1608</v>
      </c>
      <c r="F2038" s="140" t="s">
        <v>1439</v>
      </c>
      <c r="G2038" s="144" t="s">
        <v>3586</v>
      </c>
      <c r="H2038" s="146" t="s">
        <v>26</v>
      </c>
      <c r="I2038" s="144" t="s">
        <v>1458</v>
      </c>
    </row>
    <row r="2039" spans="1:9" ht="14.1">
      <c r="A2039" s="193">
        <v>45985</v>
      </c>
      <c r="B2039" s="145" t="s">
        <v>833</v>
      </c>
      <c r="C2039" s="150">
        <v>2025</v>
      </c>
      <c r="D2039" s="201" t="s">
        <v>1431</v>
      </c>
      <c r="E2039" s="144" t="s">
        <v>1608</v>
      </c>
      <c r="F2039" s="140" t="s">
        <v>1439</v>
      </c>
      <c r="G2039" s="144" t="s">
        <v>3587</v>
      </c>
      <c r="H2039" s="146" t="s">
        <v>26</v>
      </c>
      <c r="I2039" s="144" t="s">
        <v>1458</v>
      </c>
    </row>
    <row r="2040" spans="1:9" ht="14.1">
      <c r="A2040" s="193">
        <v>45985</v>
      </c>
      <c r="B2040" s="145" t="s">
        <v>833</v>
      </c>
      <c r="C2040" s="150">
        <v>2025</v>
      </c>
      <c r="D2040" s="201" t="s">
        <v>1431</v>
      </c>
      <c r="E2040" s="144" t="s">
        <v>1566</v>
      </c>
      <c r="F2040" s="139" t="s">
        <v>88</v>
      </c>
      <c r="G2040" s="144" t="s">
        <v>3588</v>
      </c>
      <c r="H2040" s="146" t="s">
        <v>26</v>
      </c>
      <c r="I2040" s="144" t="s">
        <v>1453</v>
      </c>
    </row>
    <row r="2041" spans="1:9" ht="14.1">
      <c r="A2041" s="193">
        <v>45985</v>
      </c>
      <c r="B2041" s="145" t="s">
        <v>833</v>
      </c>
      <c r="C2041" s="150">
        <v>2025</v>
      </c>
      <c r="D2041" s="201" t="s">
        <v>1431</v>
      </c>
      <c r="E2041" s="144" t="s">
        <v>1566</v>
      </c>
      <c r="F2041" s="139" t="s">
        <v>88</v>
      </c>
      <c r="G2041" s="144" t="s">
        <v>3589</v>
      </c>
      <c r="H2041" s="146" t="s">
        <v>26</v>
      </c>
      <c r="I2041" s="144" t="s">
        <v>1453</v>
      </c>
    </row>
    <row r="2042" spans="1:9" ht="14.1">
      <c r="A2042" s="193">
        <v>45985</v>
      </c>
      <c r="B2042" s="145" t="s">
        <v>833</v>
      </c>
      <c r="C2042" s="150">
        <v>2025</v>
      </c>
      <c r="D2042" s="201" t="s">
        <v>1431</v>
      </c>
      <c r="E2042" s="144" t="s">
        <v>1566</v>
      </c>
      <c r="F2042" s="139" t="s">
        <v>88</v>
      </c>
      <c r="G2042" s="144" t="s">
        <v>3590</v>
      </c>
      <c r="H2042" s="146" t="s">
        <v>26</v>
      </c>
      <c r="I2042" s="144" t="s">
        <v>1453</v>
      </c>
    </row>
    <row r="2043" spans="1:9" ht="14.1">
      <c r="A2043" s="193">
        <v>45985</v>
      </c>
      <c r="B2043" s="145" t="s">
        <v>833</v>
      </c>
      <c r="C2043" s="150">
        <v>2025</v>
      </c>
      <c r="D2043" s="201" t="s">
        <v>1431</v>
      </c>
      <c r="E2043" s="144" t="s">
        <v>1566</v>
      </c>
      <c r="F2043" s="139" t="s">
        <v>88</v>
      </c>
      <c r="G2043" s="144" t="s">
        <v>3591</v>
      </c>
      <c r="H2043" s="146" t="s">
        <v>26</v>
      </c>
      <c r="I2043" s="144" t="s">
        <v>1453</v>
      </c>
    </row>
    <row r="2044" spans="1:9" ht="25.5">
      <c r="A2044" s="193">
        <v>45985</v>
      </c>
      <c r="B2044" s="145" t="s">
        <v>833</v>
      </c>
      <c r="C2044" s="150">
        <v>2025</v>
      </c>
      <c r="D2044" s="201" t="s">
        <v>1431</v>
      </c>
      <c r="E2044" s="144" t="s">
        <v>1566</v>
      </c>
      <c r="F2044" s="139" t="s">
        <v>88</v>
      </c>
      <c r="G2044" s="144" t="s">
        <v>3592</v>
      </c>
      <c r="H2044" s="146" t="s">
        <v>26</v>
      </c>
      <c r="I2044" s="144" t="s">
        <v>1453</v>
      </c>
    </row>
    <row r="2045" spans="1:9" ht="25.5">
      <c r="A2045" s="193">
        <v>45985</v>
      </c>
      <c r="B2045" s="145" t="s">
        <v>833</v>
      </c>
      <c r="C2045" s="150">
        <v>2025</v>
      </c>
      <c r="D2045" s="201" t="s">
        <v>1431</v>
      </c>
      <c r="E2045" s="144" t="s">
        <v>1566</v>
      </c>
      <c r="F2045" s="139" t="s">
        <v>88</v>
      </c>
      <c r="G2045" s="144" t="s">
        <v>3593</v>
      </c>
      <c r="H2045" s="146" t="s">
        <v>26</v>
      </c>
      <c r="I2045" s="144" t="s">
        <v>1453</v>
      </c>
    </row>
    <row r="2046" spans="1:9" ht="25.5">
      <c r="A2046" s="193">
        <v>45986</v>
      </c>
      <c r="B2046" s="145" t="s">
        <v>833</v>
      </c>
      <c r="C2046" s="150">
        <v>2025</v>
      </c>
      <c r="D2046" s="201" t="s">
        <v>1431</v>
      </c>
      <c r="E2046" s="144" t="s">
        <v>2591</v>
      </c>
      <c r="F2046" s="139" t="s">
        <v>88</v>
      </c>
      <c r="G2046" s="144" t="s">
        <v>3594</v>
      </c>
      <c r="H2046" s="146" t="s">
        <v>26</v>
      </c>
      <c r="I2046" s="144" t="s">
        <v>2593</v>
      </c>
    </row>
    <row r="2047" spans="1:9" ht="25.5">
      <c r="A2047" s="193">
        <v>45986</v>
      </c>
      <c r="B2047" s="145" t="s">
        <v>833</v>
      </c>
      <c r="C2047" s="150">
        <v>2025</v>
      </c>
      <c r="D2047" s="201" t="s">
        <v>1431</v>
      </c>
      <c r="E2047" s="144" t="s">
        <v>2591</v>
      </c>
      <c r="F2047" s="139" t="s">
        <v>88</v>
      </c>
      <c r="G2047" s="144" t="s">
        <v>3595</v>
      </c>
      <c r="H2047" s="146" t="s">
        <v>26</v>
      </c>
      <c r="I2047" s="144" t="s">
        <v>2593</v>
      </c>
    </row>
    <row r="2048" spans="1:9" ht="38.1">
      <c r="A2048" s="193">
        <v>45986</v>
      </c>
      <c r="B2048" s="145" t="s">
        <v>833</v>
      </c>
      <c r="C2048" s="150">
        <v>2025</v>
      </c>
      <c r="D2048" s="201" t="s">
        <v>1431</v>
      </c>
      <c r="E2048" s="144" t="s">
        <v>988</v>
      </c>
      <c r="F2048" s="139" t="s">
        <v>88</v>
      </c>
      <c r="G2048" s="144" t="s">
        <v>3596</v>
      </c>
      <c r="H2048" s="146" t="s">
        <v>26</v>
      </c>
      <c r="I2048" s="144" t="s">
        <v>578</v>
      </c>
    </row>
    <row r="2049" spans="1:9" ht="25.5">
      <c r="A2049" s="193">
        <v>45987</v>
      </c>
      <c r="B2049" s="145" t="s">
        <v>833</v>
      </c>
      <c r="C2049" s="150">
        <v>2025</v>
      </c>
      <c r="D2049" s="201" t="s">
        <v>1431</v>
      </c>
      <c r="E2049" s="144" t="s">
        <v>1225</v>
      </c>
      <c r="F2049" s="140" t="s">
        <v>1439</v>
      </c>
      <c r="G2049" s="144" t="s">
        <v>3597</v>
      </c>
      <c r="H2049" s="146" t="s">
        <v>26</v>
      </c>
      <c r="I2049" s="144" t="s">
        <v>925</v>
      </c>
    </row>
    <row r="2050" spans="1:9" ht="38.1">
      <c r="A2050" s="193">
        <v>45987</v>
      </c>
      <c r="B2050" s="145" t="s">
        <v>833</v>
      </c>
      <c r="C2050" s="150">
        <v>2025</v>
      </c>
      <c r="D2050" s="201" t="s">
        <v>1431</v>
      </c>
      <c r="E2050" s="144" t="s">
        <v>1506</v>
      </c>
      <c r="F2050" s="139" t="s">
        <v>88</v>
      </c>
      <c r="G2050" s="144" t="s">
        <v>3598</v>
      </c>
      <c r="H2050" s="146" t="s">
        <v>26</v>
      </c>
      <c r="I2050" s="144" t="s">
        <v>3343</v>
      </c>
    </row>
    <row r="2051" spans="1:9" ht="25.5">
      <c r="A2051" s="193">
        <v>45987</v>
      </c>
      <c r="B2051" s="145" t="s">
        <v>833</v>
      </c>
      <c r="C2051" s="150">
        <v>2025</v>
      </c>
      <c r="D2051" s="201" t="s">
        <v>1431</v>
      </c>
      <c r="E2051" s="144" t="s">
        <v>216</v>
      </c>
      <c r="F2051" s="141" t="s">
        <v>821</v>
      </c>
      <c r="G2051" s="144" t="s">
        <v>3599</v>
      </c>
      <c r="H2051" s="146" t="s">
        <v>26</v>
      </c>
      <c r="I2051" s="144" t="s">
        <v>3600</v>
      </c>
    </row>
    <row r="2052" spans="1:9" ht="14.1">
      <c r="A2052" s="193">
        <v>45987</v>
      </c>
      <c r="B2052" s="145" t="s">
        <v>833</v>
      </c>
      <c r="C2052" s="150">
        <v>2025</v>
      </c>
      <c r="D2052" s="201" t="s">
        <v>1431</v>
      </c>
      <c r="E2052" s="144" t="s">
        <v>21</v>
      </c>
      <c r="F2052" s="141" t="s">
        <v>821</v>
      </c>
      <c r="G2052" s="144" t="s">
        <v>3601</v>
      </c>
      <c r="H2052" s="146" t="s">
        <v>26</v>
      </c>
      <c r="I2052" s="144" t="s">
        <v>468</v>
      </c>
    </row>
    <row r="2053" spans="1:9" ht="25.5">
      <c r="A2053" s="193">
        <v>45987</v>
      </c>
      <c r="B2053" s="145" t="s">
        <v>833</v>
      </c>
      <c r="C2053" s="150">
        <v>2025</v>
      </c>
      <c r="D2053" s="201" t="s">
        <v>1431</v>
      </c>
      <c r="E2053" s="144" t="s">
        <v>2591</v>
      </c>
      <c r="F2053" s="139" t="s">
        <v>88</v>
      </c>
      <c r="G2053" s="144" t="s">
        <v>3602</v>
      </c>
      <c r="H2053" s="146" t="s">
        <v>26</v>
      </c>
      <c r="I2053" s="144" t="s">
        <v>2593</v>
      </c>
    </row>
    <row r="2054" spans="1:9" ht="25.5">
      <c r="A2054" s="193">
        <v>45987</v>
      </c>
      <c r="B2054" s="145" t="s">
        <v>833</v>
      </c>
      <c r="C2054" s="150">
        <v>2025</v>
      </c>
      <c r="D2054" s="201" t="s">
        <v>1431</v>
      </c>
      <c r="E2054" s="144" t="s">
        <v>2591</v>
      </c>
      <c r="F2054" s="139" t="s">
        <v>88</v>
      </c>
      <c r="G2054" s="148" t="s">
        <v>3603</v>
      </c>
      <c r="H2054" s="146" t="s">
        <v>26</v>
      </c>
      <c r="I2054" s="144" t="s">
        <v>2593</v>
      </c>
    </row>
    <row r="2055" spans="1:9" ht="25.5">
      <c r="A2055" s="193">
        <v>45987</v>
      </c>
      <c r="B2055" s="145" t="s">
        <v>833</v>
      </c>
      <c r="C2055" s="150">
        <v>2025</v>
      </c>
      <c r="D2055" s="201" t="s">
        <v>1431</v>
      </c>
      <c r="E2055" s="144" t="s">
        <v>2591</v>
      </c>
      <c r="F2055" s="139" t="s">
        <v>88</v>
      </c>
      <c r="G2055" s="148" t="s">
        <v>3604</v>
      </c>
      <c r="H2055" s="146" t="s">
        <v>26</v>
      </c>
      <c r="I2055" s="144" t="s">
        <v>2593</v>
      </c>
    </row>
    <row r="2056" spans="1:9" ht="25.5">
      <c r="A2056" s="193">
        <v>45987</v>
      </c>
      <c r="B2056" s="145" t="s">
        <v>833</v>
      </c>
      <c r="C2056" s="150">
        <v>2025</v>
      </c>
      <c r="D2056" s="201" t="s">
        <v>1431</v>
      </c>
      <c r="E2056" s="144" t="s">
        <v>2591</v>
      </c>
      <c r="F2056" s="139" t="s">
        <v>88</v>
      </c>
      <c r="G2056" s="148" t="s">
        <v>3605</v>
      </c>
      <c r="H2056" s="146" t="s">
        <v>26</v>
      </c>
      <c r="I2056" s="144" t="s">
        <v>2593</v>
      </c>
    </row>
    <row r="2057" spans="1:9" ht="25.5">
      <c r="A2057" s="193">
        <v>45987</v>
      </c>
      <c r="B2057" s="145" t="s">
        <v>833</v>
      </c>
      <c r="C2057" s="150">
        <v>2025</v>
      </c>
      <c r="D2057" s="201" t="s">
        <v>1431</v>
      </c>
      <c r="E2057" s="144" t="s">
        <v>2591</v>
      </c>
      <c r="F2057" s="139" t="s">
        <v>88</v>
      </c>
      <c r="G2057" s="148" t="s">
        <v>3606</v>
      </c>
      <c r="H2057" s="146" t="s">
        <v>26</v>
      </c>
      <c r="I2057" s="144" t="s">
        <v>2593</v>
      </c>
    </row>
    <row r="2058" spans="1:9" ht="25.5">
      <c r="A2058" s="193">
        <v>45987</v>
      </c>
      <c r="B2058" s="145" t="s">
        <v>833</v>
      </c>
      <c r="C2058" s="150">
        <v>2025</v>
      </c>
      <c r="D2058" s="201" t="s">
        <v>1431</v>
      </c>
      <c r="E2058" s="144" t="s">
        <v>2591</v>
      </c>
      <c r="F2058" s="139" t="s">
        <v>88</v>
      </c>
      <c r="G2058" s="148" t="s">
        <v>3607</v>
      </c>
      <c r="H2058" s="146" t="s">
        <v>26</v>
      </c>
      <c r="I2058" s="144" t="s">
        <v>2593</v>
      </c>
    </row>
    <row r="2059" spans="1:9" ht="50.45">
      <c r="A2059" s="193">
        <v>45987</v>
      </c>
      <c r="B2059" s="145" t="s">
        <v>833</v>
      </c>
      <c r="C2059" s="150">
        <v>2025</v>
      </c>
      <c r="D2059" s="201" t="s">
        <v>1431</v>
      </c>
      <c r="E2059" s="144" t="s">
        <v>2591</v>
      </c>
      <c r="F2059" s="139" t="s">
        <v>88</v>
      </c>
      <c r="G2059" s="148" t="s">
        <v>3608</v>
      </c>
      <c r="H2059" s="146" t="s">
        <v>26</v>
      </c>
      <c r="I2059" s="144" t="s">
        <v>2593</v>
      </c>
    </row>
    <row r="2060" spans="1:9" ht="25.5">
      <c r="A2060" s="193">
        <v>45987</v>
      </c>
      <c r="B2060" s="145" t="s">
        <v>833</v>
      </c>
      <c r="C2060" s="150">
        <v>2025</v>
      </c>
      <c r="D2060" s="201" t="s">
        <v>1431</v>
      </c>
      <c r="E2060" s="144" t="s">
        <v>1566</v>
      </c>
      <c r="F2060" s="139" t="s">
        <v>88</v>
      </c>
      <c r="G2060" s="144" t="s">
        <v>3609</v>
      </c>
      <c r="H2060" s="146" t="s">
        <v>26</v>
      </c>
      <c r="I2060" s="144" t="s">
        <v>1453</v>
      </c>
    </row>
    <row r="2061" spans="1:9" ht="38.1">
      <c r="A2061" s="193">
        <v>45988</v>
      </c>
      <c r="B2061" s="145" t="s">
        <v>833</v>
      </c>
      <c r="C2061" s="150">
        <v>2025</v>
      </c>
      <c r="D2061" s="201" t="s">
        <v>1431</v>
      </c>
      <c r="E2061" s="144" t="s">
        <v>1566</v>
      </c>
      <c r="F2061" s="139" t="s">
        <v>88</v>
      </c>
      <c r="G2061" s="144" t="s">
        <v>3610</v>
      </c>
      <c r="H2061" s="146" t="s">
        <v>26</v>
      </c>
      <c r="I2061" s="144" t="s">
        <v>2640</v>
      </c>
    </row>
    <row r="2062" spans="1:9" ht="38.1">
      <c r="A2062" s="193">
        <v>45988</v>
      </c>
      <c r="B2062" s="145" t="s">
        <v>833</v>
      </c>
      <c r="C2062" s="150">
        <v>2025</v>
      </c>
      <c r="D2062" s="201" t="s">
        <v>1431</v>
      </c>
      <c r="E2062" s="144" t="s">
        <v>1566</v>
      </c>
      <c r="F2062" s="139" t="s">
        <v>88</v>
      </c>
      <c r="G2062" s="144" t="s">
        <v>3611</v>
      </c>
      <c r="H2062" s="146" t="s">
        <v>26</v>
      </c>
      <c r="I2062" s="144" t="s">
        <v>2640</v>
      </c>
    </row>
    <row r="2063" spans="1:9" ht="14.1">
      <c r="A2063" s="193">
        <v>45988</v>
      </c>
      <c r="B2063" s="145" t="s">
        <v>833</v>
      </c>
      <c r="C2063" s="150">
        <v>2025</v>
      </c>
      <c r="D2063" s="201" t="s">
        <v>1431</v>
      </c>
      <c r="E2063" s="144" t="s">
        <v>1566</v>
      </c>
      <c r="F2063" s="139" t="s">
        <v>88</v>
      </c>
      <c r="G2063" s="144" t="s">
        <v>3612</v>
      </c>
      <c r="H2063" s="146" t="s">
        <v>26</v>
      </c>
      <c r="I2063" s="144" t="s">
        <v>2640</v>
      </c>
    </row>
    <row r="2064" spans="1:9" ht="75.599999999999994">
      <c r="A2064" s="193">
        <v>45988</v>
      </c>
      <c r="B2064" s="145" t="s">
        <v>833</v>
      </c>
      <c r="C2064" s="150">
        <v>2025</v>
      </c>
      <c r="D2064" s="201" t="s">
        <v>1431</v>
      </c>
      <c r="E2064" s="144" t="s">
        <v>2591</v>
      </c>
      <c r="F2064" s="139" t="s">
        <v>88</v>
      </c>
      <c r="G2064" s="148" t="s">
        <v>3613</v>
      </c>
      <c r="H2064" s="146" t="s">
        <v>26</v>
      </c>
      <c r="I2064" s="144" t="s">
        <v>2593</v>
      </c>
    </row>
    <row r="2065" spans="1:9" ht="25.5">
      <c r="A2065" s="193">
        <v>45989</v>
      </c>
      <c r="B2065" s="145" t="s">
        <v>833</v>
      </c>
      <c r="C2065" s="150">
        <v>2025</v>
      </c>
      <c r="D2065" s="201" t="s">
        <v>1431</v>
      </c>
      <c r="E2065" s="144" t="s">
        <v>3011</v>
      </c>
      <c r="F2065" s="147" t="s">
        <v>859</v>
      </c>
      <c r="G2065" s="144" t="s">
        <v>3614</v>
      </c>
      <c r="H2065" s="146" t="s">
        <v>130</v>
      </c>
      <c r="I2065" s="144" t="s">
        <v>2599</v>
      </c>
    </row>
    <row r="2066" spans="1:9" ht="25.5">
      <c r="A2066" s="193">
        <v>45989</v>
      </c>
      <c r="B2066" s="145" t="s">
        <v>833</v>
      </c>
      <c r="C2066" s="150">
        <v>2025</v>
      </c>
      <c r="D2066" s="201" t="s">
        <v>1431</v>
      </c>
      <c r="E2066" s="144" t="s">
        <v>988</v>
      </c>
      <c r="F2066" s="139" t="s">
        <v>88</v>
      </c>
      <c r="G2066" s="144" t="s">
        <v>3615</v>
      </c>
      <c r="H2066" s="146" t="s">
        <v>26</v>
      </c>
      <c r="I2066" s="144" t="s">
        <v>3176</v>
      </c>
    </row>
    <row r="2067" spans="1:9" ht="50.45">
      <c r="A2067" s="193">
        <v>45989</v>
      </c>
      <c r="B2067" s="145" t="s">
        <v>833</v>
      </c>
      <c r="C2067" s="150">
        <v>2025</v>
      </c>
      <c r="D2067" s="201" t="s">
        <v>1431</v>
      </c>
      <c r="E2067" s="144" t="s">
        <v>1506</v>
      </c>
      <c r="F2067" s="139" t="s">
        <v>88</v>
      </c>
      <c r="G2067" s="144" t="s">
        <v>3616</v>
      </c>
      <c r="H2067" s="146" t="s">
        <v>26</v>
      </c>
      <c r="I2067" s="144" t="s">
        <v>3343</v>
      </c>
    </row>
    <row r="2068" spans="1:9" ht="38.1">
      <c r="A2068" s="193">
        <v>45989</v>
      </c>
      <c r="B2068" s="145" t="s">
        <v>833</v>
      </c>
      <c r="C2068" s="150">
        <v>2025</v>
      </c>
      <c r="D2068" s="201" t="s">
        <v>1431</v>
      </c>
      <c r="E2068" s="144" t="s">
        <v>1506</v>
      </c>
      <c r="F2068" s="139" t="s">
        <v>88</v>
      </c>
      <c r="G2068" s="144" t="s">
        <v>3617</v>
      </c>
      <c r="H2068" s="146" t="s">
        <v>26</v>
      </c>
      <c r="I2068" s="144" t="s">
        <v>3343</v>
      </c>
    </row>
    <row r="2069" spans="1:9" ht="25.5">
      <c r="A2069" s="193">
        <v>45989</v>
      </c>
      <c r="B2069" s="145" t="s">
        <v>833</v>
      </c>
      <c r="C2069" s="150">
        <v>2025</v>
      </c>
      <c r="D2069" s="201" t="s">
        <v>1431</v>
      </c>
      <c r="E2069" s="144" t="s">
        <v>216</v>
      </c>
      <c r="F2069" s="141" t="s">
        <v>821</v>
      </c>
      <c r="G2069" s="144" t="s">
        <v>3618</v>
      </c>
      <c r="H2069" s="146" t="s">
        <v>26</v>
      </c>
      <c r="I2069" s="144" t="s">
        <v>492</v>
      </c>
    </row>
    <row r="2070" spans="1:9" ht="25.5">
      <c r="A2070" s="193">
        <v>45989</v>
      </c>
      <c r="B2070" s="145" t="s">
        <v>833</v>
      </c>
      <c r="C2070" s="150">
        <v>2025</v>
      </c>
      <c r="D2070" s="201" t="s">
        <v>1431</v>
      </c>
      <c r="E2070" s="144" t="s">
        <v>2591</v>
      </c>
      <c r="F2070" s="142" t="s">
        <v>872</v>
      </c>
      <c r="G2070" s="144" t="s">
        <v>3619</v>
      </c>
      <c r="H2070" s="146" t="s">
        <v>26</v>
      </c>
      <c r="I2070" s="144" t="s">
        <v>2593</v>
      </c>
    </row>
    <row r="2071" spans="1:9" ht="25.5">
      <c r="A2071" s="193">
        <v>45989</v>
      </c>
      <c r="B2071" s="145" t="s">
        <v>833</v>
      </c>
      <c r="C2071" s="150">
        <v>2025</v>
      </c>
      <c r="D2071" s="201" t="s">
        <v>1431</v>
      </c>
      <c r="E2071" s="144" t="s">
        <v>2591</v>
      </c>
      <c r="F2071" s="139" t="s">
        <v>88</v>
      </c>
      <c r="G2071" s="144" t="s">
        <v>3620</v>
      </c>
      <c r="H2071" s="146" t="s">
        <v>26</v>
      </c>
      <c r="I2071" s="144" t="s">
        <v>2593</v>
      </c>
    </row>
    <row r="2072" spans="1:9" ht="25.5">
      <c r="A2072" s="193">
        <v>45989</v>
      </c>
      <c r="B2072" s="145" t="s">
        <v>833</v>
      </c>
      <c r="C2072" s="150">
        <v>2025</v>
      </c>
      <c r="D2072" s="201" t="s">
        <v>1431</v>
      </c>
      <c r="E2072" s="144" t="s">
        <v>2591</v>
      </c>
      <c r="F2072" s="139" t="s">
        <v>88</v>
      </c>
      <c r="G2072" s="144" t="s">
        <v>3621</v>
      </c>
      <c r="H2072" s="146" t="s">
        <v>26</v>
      </c>
      <c r="I2072" s="144" t="s">
        <v>2593</v>
      </c>
    </row>
    <row r="2073" spans="1:9" ht="25.5">
      <c r="A2073" s="193">
        <v>45989</v>
      </c>
      <c r="B2073" s="145" t="s">
        <v>833</v>
      </c>
      <c r="C2073" s="150">
        <v>2025</v>
      </c>
      <c r="D2073" s="201" t="s">
        <v>2224</v>
      </c>
      <c r="E2073" s="144" t="s">
        <v>21</v>
      </c>
      <c r="F2073" s="141" t="s">
        <v>821</v>
      </c>
      <c r="G2073" s="144" t="s">
        <v>3622</v>
      </c>
      <c r="H2073" s="146" t="s">
        <v>130</v>
      </c>
      <c r="I2073" s="144" t="s">
        <v>2568</v>
      </c>
    </row>
    <row r="2074" spans="1:9" ht="38.1">
      <c r="A2074" s="193">
        <v>45989</v>
      </c>
      <c r="B2074" s="145" t="s">
        <v>833</v>
      </c>
      <c r="C2074" s="150">
        <v>2025</v>
      </c>
      <c r="D2074" s="201" t="s">
        <v>2224</v>
      </c>
      <c r="E2074" s="144" t="s">
        <v>21</v>
      </c>
      <c r="F2074" s="141" t="s">
        <v>821</v>
      </c>
      <c r="G2074" s="144" t="s">
        <v>3623</v>
      </c>
      <c r="H2074" s="146" t="s">
        <v>130</v>
      </c>
      <c r="I2074" s="144" t="s">
        <v>468</v>
      </c>
    </row>
    <row r="2075" spans="1:9" ht="38.1">
      <c r="A2075" s="193">
        <v>45989</v>
      </c>
      <c r="B2075" s="145" t="s">
        <v>833</v>
      </c>
      <c r="C2075" s="150">
        <v>2025</v>
      </c>
      <c r="D2075" s="201" t="s">
        <v>2224</v>
      </c>
      <c r="E2075" s="144" t="s">
        <v>21</v>
      </c>
      <c r="F2075" s="141" t="s">
        <v>821</v>
      </c>
      <c r="G2075" s="144" t="s">
        <v>3624</v>
      </c>
      <c r="H2075" s="146" t="s">
        <v>130</v>
      </c>
      <c r="I2075" s="144" t="s">
        <v>925</v>
      </c>
    </row>
    <row r="2076" spans="1:9" ht="25.5">
      <c r="A2076" s="193">
        <v>45992</v>
      </c>
      <c r="B2076" s="145" t="s">
        <v>834</v>
      </c>
      <c r="C2076" s="150">
        <v>2025</v>
      </c>
      <c r="D2076" s="201" t="s">
        <v>1431</v>
      </c>
      <c r="E2076" s="144" t="s">
        <v>2585</v>
      </c>
      <c r="F2076" s="139" t="s">
        <v>88</v>
      </c>
      <c r="G2076" s="144" t="s">
        <v>3625</v>
      </c>
      <c r="H2076" s="146" t="s">
        <v>26</v>
      </c>
      <c r="I2076" s="144" t="s">
        <v>3626</v>
      </c>
    </row>
    <row r="2077" spans="1:9" ht="25.5">
      <c r="A2077" s="193">
        <v>45992</v>
      </c>
      <c r="B2077" s="145" t="s">
        <v>834</v>
      </c>
      <c r="C2077" s="150">
        <v>2025</v>
      </c>
      <c r="D2077" s="201" t="s">
        <v>1431</v>
      </c>
      <c r="E2077" s="144" t="s">
        <v>21</v>
      </c>
      <c r="F2077" s="141" t="s">
        <v>821</v>
      </c>
      <c r="G2077" s="144" t="s">
        <v>3627</v>
      </c>
      <c r="H2077" s="146" t="s">
        <v>26</v>
      </c>
      <c r="I2077" s="144" t="s">
        <v>468</v>
      </c>
    </row>
    <row r="2078" spans="1:9" ht="25.5">
      <c r="A2078" s="193">
        <v>45992</v>
      </c>
      <c r="B2078" s="145" t="s">
        <v>834</v>
      </c>
      <c r="C2078" s="150">
        <v>2025</v>
      </c>
      <c r="D2078" s="201" t="s">
        <v>2197</v>
      </c>
      <c r="E2078" s="144" t="s">
        <v>2244</v>
      </c>
      <c r="F2078" s="147" t="s">
        <v>859</v>
      </c>
      <c r="G2078" s="144" t="s">
        <v>3628</v>
      </c>
      <c r="H2078" s="146" t="s">
        <v>26</v>
      </c>
      <c r="I2078" s="144" t="s">
        <v>1904</v>
      </c>
    </row>
    <row r="2079" spans="1:9" ht="25.5">
      <c r="A2079" s="193">
        <v>45992</v>
      </c>
      <c r="B2079" s="145" t="s">
        <v>834</v>
      </c>
      <c r="C2079" s="150">
        <v>2025</v>
      </c>
      <c r="D2079" s="201" t="s">
        <v>1431</v>
      </c>
      <c r="E2079" s="144" t="s">
        <v>21</v>
      </c>
      <c r="F2079" s="140" t="s">
        <v>1439</v>
      </c>
      <c r="G2079" s="144" t="s">
        <v>3629</v>
      </c>
      <c r="H2079" s="146" t="s">
        <v>26</v>
      </c>
      <c r="I2079" s="144" t="s">
        <v>149</v>
      </c>
    </row>
    <row r="2080" spans="1:9" ht="25.5">
      <c r="A2080" s="193">
        <v>45992</v>
      </c>
      <c r="B2080" s="145" t="s">
        <v>834</v>
      </c>
      <c r="C2080" s="150">
        <v>2025</v>
      </c>
      <c r="D2080" s="201" t="s">
        <v>1431</v>
      </c>
      <c r="E2080" s="144" t="s">
        <v>21</v>
      </c>
      <c r="F2080" s="141" t="s">
        <v>821</v>
      </c>
      <c r="G2080" s="144" t="s">
        <v>3630</v>
      </c>
      <c r="H2080" s="146" t="s">
        <v>26</v>
      </c>
      <c r="I2080" s="144" t="s">
        <v>149</v>
      </c>
    </row>
    <row r="2081" spans="1:9" ht="25.5">
      <c r="A2081" s="193">
        <v>45992</v>
      </c>
      <c r="B2081" s="145" t="s">
        <v>834</v>
      </c>
      <c r="C2081" s="150">
        <v>2025</v>
      </c>
      <c r="D2081" s="201" t="s">
        <v>1431</v>
      </c>
      <c r="E2081" s="144" t="s">
        <v>216</v>
      </c>
      <c r="F2081" s="141" t="s">
        <v>821</v>
      </c>
      <c r="G2081" s="144" t="s">
        <v>3631</v>
      </c>
      <c r="H2081" s="146" t="s">
        <v>26</v>
      </c>
      <c r="I2081" s="144" t="s">
        <v>492</v>
      </c>
    </row>
    <row r="2082" spans="1:9" ht="38.1">
      <c r="A2082" s="193">
        <v>45992</v>
      </c>
      <c r="B2082" s="145" t="s">
        <v>834</v>
      </c>
      <c r="C2082" s="150">
        <v>2025</v>
      </c>
      <c r="D2082" s="201" t="s">
        <v>1431</v>
      </c>
      <c r="E2082" s="144" t="s">
        <v>1449</v>
      </c>
      <c r="F2082" s="139" t="s">
        <v>88</v>
      </c>
      <c r="G2082" s="144" t="s">
        <v>3632</v>
      </c>
      <c r="H2082" s="146" t="s">
        <v>26</v>
      </c>
      <c r="I2082" s="144" t="s">
        <v>3343</v>
      </c>
    </row>
    <row r="2083" spans="1:9" ht="25.5">
      <c r="A2083" s="193">
        <v>45992</v>
      </c>
      <c r="B2083" s="145" t="s">
        <v>834</v>
      </c>
      <c r="C2083" s="150">
        <v>2025</v>
      </c>
      <c r="D2083" s="201" t="s">
        <v>1431</v>
      </c>
      <c r="E2083" s="144" t="s">
        <v>1566</v>
      </c>
      <c r="F2083" s="139" t="s">
        <v>88</v>
      </c>
      <c r="G2083" s="144" t="s">
        <v>3633</v>
      </c>
      <c r="H2083" s="146" t="s">
        <v>26</v>
      </c>
      <c r="I2083" s="144" t="s">
        <v>3634</v>
      </c>
    </row>
    <row r="2084" spans="1:9" ht="25.5">
      <c r="A2084" s="193">
        <v>45992</v>
      </c>
      <c r="B2084" s="145" t="s">
        <v>834</v>
      </c>
      <c r="C2084" s="150">
        <v>2025</v>
      </c>
      <c r="D2084" s="201" t="s">
        <v>1431</v>
      </c>
      <c r="E2084" s="144" t="s">
        <v>97</v>
      </c>
      <c r="F2084" s="141" t="s">
        <v>821</v>
      </c>
      <c r="G2084" s="144" t="s">
        <v>3635</v>
      </c>
      <c r="H2084" s="146" t="s">
        <v>26</v>
      </c>
      <c r="I2084" s="144" t="s">
        <v>3561</v>
      </c>
    </row>
    <row r="2085" spans="1:9" ht="38.1">
      <c r="A2085" s="193">
        <v>45992</v>
      </c>
      <c r="B2085" s="145" t="s">
        <v>834</v>
      </c>
      <c r="C2085" s="150">
        <v>2025</v>
      </c>
      <c r="D2085" s="201" t="s">
        <v>2224</v>
      </c>
      <c r="E2085" s="144" t="s">
        <v>3636</v>
      </c>
      <c r="F2085" s="139" t="s">
        <v>88</v>
      </c>
      <c r="G2085" s="144" t="s">
        <v>3637</v>
      </c>
      <c r="H2085" s="146" t="s">
        <v>26</v>
      </c>
      <c r="I2085" s="144" t="s">
        <v>3421</v>
      </c>
    </row>
    <row r="2086" spans="1:9" ht="50.45">
      <c r="A2086" s="193">
        <v>45992</v>
      </c>
      <c r="B2086" s="145" t="s">
        <v>834</v>
      </c>
      <c r="C2086" s="150">
        <v>2025</v>
      </c>
      <c r="D2086" s="201" t="s">
        <v>2224</v>
      </c>
      <c r="E2086" s="144" t="s">
        <v>21</v>
      </c>
      <c r="F2086" s="141" t="s">
        <v>821</v>
      </c>
      <c r="G2086" s="144" t="s">
        <v>3638</v>
      </c>
      <c r="H2086" s="146" t="s">
        <v>26</v>
      </c>
      <c r="I2086" s="144" t="s">
        <v>149</v>
      </c>
    </row>
    <row r="2087" spans="1:9" ht="14.1">
      <c r="A2087" s="193">
        <v>45992</v>
      </c>
      <c r="B2087" s="145" t="s">
        <v>834</v>
      </c>
      <c r="C2087" s="150">
        <v>2025</v>
      </c>
      <c r="D2087" s="201" t="s">
        <v>2224</v>
      </c>
      <c r="E2087" s="144" t="s">
        <v>1566</v>
      </c>
      <c r="F2087" s="139" t="s">
        <v>88</v>
      </c>
      <c r="G2087" s="144" t="s">
        <v>3639</v>
      </c>
      <c r="H2087" s="146" t="s">
        <v>26</v>
      </c>
      <c r="I2087" s="144" t="s">
        <v>2640</v>
      </c>
    </row>
    <row r="2088" spans="1:9" ht="25.5">
      <c r="A2088" s="193">
        <v>45992</v>
      </c>
      <c r="B2088" s="145" t="s">
        <v>834</v>
      </c>
      <c r="C2088" s="150">
        <v>2025</v>
      </c>
      <c r="D2088" s="201" t="s">
        <v>2224</v>
      </c>
      <c r="E2088" s="144" t="s">
        <v>1566</v>
      </c>
      <c r="F2088" s="139" t="s">
        <v>88</v>
      </c>
      <c r="G2088" s="144" t="s">
        <v>3640</v>
      </c>
      <c r="H2088" s="146" t="s">
        <v>26</v>
      </c>
      <c r="I2088" s="144" t="s">
        <v>2640</v>
      </c>
    </row>
    <row r="2089" spans="1:9" ht="14.1">
      <c r="A2089" s="193">
        <v>45992</v>
      </c>
      <c r="B2089" s="145" t="s">
        <v>834</v>
      </c>
      <c r="C2089" s="150">
        <v>2025</v>
      </c>
      <c r="D2089" s="201" t="s">
        <v>2224</v>
      </c>
      <c r="E2089" s="144" t="s">
        <v>1432</v>
      </c>
      <c r="F2089" s="141" t="s">
        <v>821</v>
      </c>
      <c r="G2089" s="144" t="s">
        <v>3641</v>
      </c>
      <c r="H2089" s="146" t="s">
        <v>26</v>
      </c>
      <c r="I2089" s="144" t="s">
        <v>59</v>
      </c>
    </row>
    <row r="2090" spans="1:9" ht="14.1">
      <c r="A2090" s="193">
        <v>45992</v>
      </c>
      <c r="B2090" s="145" t="s">
        <v>834</v>
      </c>
      <c r="C2090" s="150">
        <v>2025</v>
      </c>
      <c r="D2090" s="201" t="s">
        <v>2224</v>
      </c>
      <c r="E2090" s="144" t="s">
        <v>1449</v>
      </c>
      <c r="F2090" s="139" t="s">
        <v>88</v>
      </c>
      <c r="G2090" s="144" t="s">
        <v>3642</v>
      </c>
      <c r="H2090" s="146" t="s">
        <v>26</v>
      </c>
      <c r="I2090" s="144" t="s">
        <v>2593</v>
      </c>
    </row>
    <row r="2091" spans="1:9" ht="63">
      <c r="A2091" s="193">
        <v>45992</v>
      </c>
      <c r="B2091" s="145" t="s">
        <v>834</v>
      </c>
      <c r="C2091" s="150">
        <v>2025</v>
      </c>
      <c r="D2091" s="201" t="s">
        <v>1431</v>
      </c>
      <c r="E2091" s="144" t="s">
        <v>1449</v>
      </c>
      <c r="F2091" s="139" t="s">
        <v>88</v>
      </c>
      <c r="G2091" s="148" t="s">
        <v>3643</v>
      </c>
      <c r="H2091" s="146" t="s">
        <v>26</v>
      </c>
      <c r="I2091" s="144" t="s">
        <v>2593</v>
      </c>
    </row>
    <row r="2092" spans="1:9" ht="14.1">
      <c r="A2092" s="193">
        <v>45992</v>
      </c>
      <c r="B2092" s="145" t="s">
        <v>834</v>
      </c>
      <c r="C2092" s="150">
        <v>2025</v>
      </c>
      <c r="D2092" s="201" t="s">
        <v>1431</v>
      </c>
      <c r="E2092" s="144" t="s">
        <v>1449</v>
      </c>
      <c r="F2092" s="139" t="s">
        <v>88</v>
      </c>
      <c r="G2092" s="144" t="s">
        <v>3644</v>
      </c>
      <c r="H2092" s="146" t="s">
        <v>26</v>
      </c>
      <c r="I2092" s="144" t="s">
        <v>2593</v>
      </c>
    </row>
    <row r="2093" spans="1:9" ht="50.45">
      <c r="A2093" s="193">
        <v>45992</v>
      </c>
      <c r="B2093" s="145" t="s">
        <v>834</v>
      </c>
      <c r="C2093" s="150">
        <v>2025</v>
      </c>
      <c r="D2093" s="201" t="s">
        <v>1431</v>
      </c>
      <c r="E2093" s="144" t="s">
        <v>1449</v>
      </c>
      <c r="F2093" s="139" t="s">
        <v>88</v>
      </c>
      <c r="G2093" s="144" t="s">
        <v>3645</v>
      </c>
      <c r="H2093" s="146" t="s">
        <v>26</v>
      </c>
      <c r="I2093" s="144" t="s">
        <v>2593</v>
      </c>
    </row>
    <row r="2094" spans="1:9" ht="25.5">
      <c r="A2094" s="193">
        <v>45992</v>
      </c>
      <c r="B2094" s="145" t="s">
        <v>834</v>
      </c>
      <c r="C2094" s="150">
        <v>2025</v>
      </c>
      <c r="D2094" s="201" t="s">
        <v>1431</v>
      </c>
      <c r="E2094" s="144" t="s">
        <v>1449</v>
      </c>
      <c r="F2094" s="139" t="s">
        <v>88</v>
      </c>
      <c r="G2094" s="144" t="s">
        <v>3646</v>
      </c>
      <c r="H2094" s="146" t="s">
        <v>26</v>
      </c>
      <c r="I2094" s="144" t="s">
        <v>2593</v>
      </c>
    </row>
    <row r="2095" spans="1:9" ht="63">
      <c r="A2095" s="193">
        <v>45992</v>
      </c>
      <c r="B2095" s="145" t="s">
        <v>834</v>
      </c>
      <c r="C2095" s="150">
        <v>2025</v>
      </c>
      <c r="D2095" s="201" t="s">
        <v>1431</v>
      </c>
      <c r="E2095" s="144" t="s">
        <v>1566</v>
      </c>
      <c r="F2095" s="139" t="s">
        <v>88</v>
      </c>
      <c r="G2095" s="144" t="s">
        <v>3647</v>
      </c>
      <c r="H2095" s="146" t="s">
        <v>26</v>
      </c>
      <c r="I2095" s="144" t="s">
        <v>2640</v>
      </c>
    </row>
    <row r="2096" spans="1:9" ht="38.1">
      <c r="A2096" s="193">
        <v>45992</v>
      </c>
      <c r="B2096" s="145" t="s">
        <v>834</v>
      </c>
      <c r="C2096" s="150">
        <v>2025</v>
      </c>
      <c r="D2096" s="201" t="s">
        <v>1431</v>
      </c>
      <c r="E2096" s="144" t="s">
        <v>1566</v>
      </c>
      <c r="F2096" s="139" t="s">
        <v>88</v>
      </c>
      <c r="G2096" s="144" t="s">
        <v>3648</v>
      </c>
      <c r="H2096" s="146" t="s">
        <v>26</v>
      </c>
      <c r="I2096" s="144" t="s">
        <v>2640</v>
      </c>
    </row>
    <row r="2097" spans="1:9" ht="25.5">
      <c r="A2097" s="193">
        <v>45993</v>
      </c>
      <c r="B2097" s="145" t="s">
        <v>834</v>
      </c>
      <c r="C2097" s="150">
        <v>2025</v>
      </c>
      <c r="D2097" s="201" t="s">
        <v>1431</v>
      </c>
      <c r="E2097" s="144" t="s">
        <v>3011</v>
      </c>
      <c r="F2097" s="147" t="s">
        <v>859</v>
      </c>
      <c r="G2097" s="144" t="s">
        <v>3649</v>
      </c>
      <c r="H2097" s="146" t="s">
        <v>26</v>
      </c>
      <c r="I2097" s="144" t="s">
        <v>3626</v>
      </c>
    </row>
    <row r="2098" spans="1:9" ht="14.1">
      <c r="A2098" s="193">
        <v>45993</v>
      </c>
      <c r="B2098" s="145" t="s">
        <v>834</v>
      </c>
      <c r="C2098" s="150">
        <v>2025</v>
      </c>
      <c r="D2098" s="201" t="s">
        <v>1431</v>
      </c>
      <c r="E2098" s="144" t="s">
        <v>2595</v>
      </c>
      <c r="F2098" s="139" t="s">
        <v>88</v>
      </c>
      <c r="G2098" s="144" t="s">
        <v>3650</v>
      </c>
      <c r="H2098" s="146" t="s">
        <v>26</v>
      </c>
      <c r="I2098" s="144" t="s">
        <v>3516</v>
      </c>
    </row>
    <row r="2099" spans="1:9" ht="38.1">
      <c r="A2099" s="193">
        <v>45993</v>
      </c>
      <c r="B2099" s="145" t="s">
        <v>834</v>
      </c>
      <c r="C2099" s="150">
        <v>2025</v>
      </c>
      <c r="D2099" s="201" t="s">
        <v>1431</v>
      </c>
      <c r="E2099" s="144" t="s">
        <v>2595</v>
      </c>
      <c r="F2099" s="139" t="s">
        <v>88</v>
      </c>
      <c r="G2099" s="144" t="s">
        <v>3651</v>
      </c>
      <c r="H2099" s="146" t="s">
        <v>26</v>
      </c>
      <c r="I2099" s="144" t="s">
        <v>3516</v>
      </c>
    </row>
    <row r="2100" spans="1:9" ht="25.5">
      <c r="A2100" s="193">
        <v>45993</v>
      </c>
      <c r="B2100" s="145" t="s">
        <v>834</v>
      </c>
      <c r="C2100" s="150">
        <v>2025</v>
      </c>
      <c r="D2100" s="201" t="s">
        <v>1431</v>
      </c>
      <c r="E2100" s="144" t="s">
        <v>3011</v>
      </c>
      <c r="F2100" s="139" t="s">
        <v>88</v>
      </c>
      <c r="G2100" s="144" t="s">
        <v>3652</v>
      </c>
      <c r="H2100" s="146" t="s">
        <v>26</v>
      </c>
      <c r="I2100" s="144" t="s">
        <v>1543</v>
      </c>
    </row>
    <row r="2101" spans="1:9" ht="25.5">
      <c r="A2101" s="193">
        <v>45993</v>
      </c>
      <c r="B2101" s="145" t="s">
        <v>834</v>
      </c>
      <c r="C2101" s="150">
        <v>2025</v>
      </c>
      <c r="D2101" s="201" t="s">
        <v>1431</v>
      </c>
      <c r="E2101" s="144" t="s">
        <v>21</v>
      </c>
      <c r="F2101" s="139" t="s">
        <v>88</v>
      </c>
      <c r="G2101" s="144" t="s">
        <v>3653</v>
      </c>
      <c r="H2101" s="146" t="s">
        <v>26</v>
      </c>
      <c r="I2101" s="144" t="s">
        <v>1543</v>
      </c>
    </row>
    <row r="2102" spans="1:9" ht="38.1">
      <c r="A2102" s="193">
        <v>45993</v>
      </c>
      <c r="B2102" s="145" t="s">
        <v>834</v>
      </c>
      <c r="C2102" s="150">
        <v>2025</v>
      </c>
      <c r="D2102" s="201" t="s">
        <v>1431</v>
      </c>
      <c r="E2102" s="144" t="s">
        <v>1511</v>
      </c>
      <c r="F2102" s="139" t="s">
        <v>88</v>
      </c>
      <c r="G2102" s="144" t="s">
        <v>3654</v>
      </c>
      <c r="H2102" s="146" t="s">
        <v>26</v>
      </c>
      <c r="I2102" s="144" t="s">
        <v>1998</v>
      </c>
    </row>
    <row r="2103" spans="1:9" ht="25.5">
      <c r="A2103" s="193">
        <v>45993</v>
      </c>
      <c r="B2103" s="145" t="s">
        <v>834</v>
      </c>
      <c r="C2103" s="150">
        <v>2025</v>
      </c>
      <c r="D2103" s="201" t="s">
        <v>1431</v>
      </c>
      <c r="E2103" s="144" t="s">
        <v>3655</v>
      </c>
      <c r="F2103" s="139" t="s">
        <v>88</v>
      </c>
      <c r="G2103" s="144" t="s">
        <v>3656</v>
      </c>
      <c r="H2103" s="146" t="s">
        <v>26</v>
      </c>
      <c r="I2103" s="144" t="s">
        <v>3343</v>
      </c>
    </row>
    <row r="2104" spans="1:9" ht="38.1">
      <c r="A2104" s="193">
        <v>45993</v>
      </c>
      <c r="B2104" s="145" t="s">
        <v>834</v>
      </c>
      <c r="C2104" s="150">
        <v>2025</v>
      </c>
      <c r="D2104" s="201" t="s">
        <v>2224</v>
      </c>
      <c r="E2104" s="144" t="s">
        <v>1432</v>
      </c>
      <c r="F2104" s="141" t="s">
        <v>821</v>
      </c>
      <c r="G2104" s="144" t="s">
        <v>3657</v>
      </c>
      <c r="H2104" s="146" t="s">
        <v>26</v>
      </c>
      <c r="I2104" s="144" t="s">
        <v>59</v>
      </c>
    </row>
    <row r="2105" spans="1:9" ht="25.5">
      <c r="A2105" s="193">
        <v>45993</v>
      </c>
      <c r="B2105" s="145" t="s">
        <v>834</v>
      </c>
      <c r="C2105" s="150">
        <v>2025</v>
      </c>
      <c r="D2105" s="201" t="s">
        <v>2224</v>
      </c>
      <c r="E2105" s="144" t="s">
        <v>1449</v>
      </c>
      <c r="F2105" s="139" t="s">
        <v>88</v>
      </c>
      <c r="G2105" s="144" t="s">
        <v>3658</v>
      </c>
      <c r="H2105" s="146" t="s">
        <v>26</v>
      </c>
      <c r="I2105" s="144" t="s">
        <v>2593</v>
      </c>
    </row>
    <row r="2106" spans="1:9" ht="25.5">
      <c r="A2106" s="193">
        <v>45993</v>
      </c>
      <c r="B2106" s="145" t="s">
        <v>834</v>
      </c>
      <c r="C2106" s="150">
        <v>2025</v>
      </c>
      <c r="D2106" s="201" t="s">
        <v>2224</v>
      </c>
      <c r="E2106" s="144" t="s">
        <v>1566</v>
      </c>
      <c r="F2106" s="139" t="s">
        <v>88</v>
      </c>
      <c r="G2106" s="144" t="s">
        <v>3659</v>
      </c>
      <c r="H2106" s="146" t="s">
        <v>26</v>
      </c>
      <c r="I2106" s="144" t="s">
        <v>2640</v>
      </c>
    </row>
    <row r="2107" spans="1:9" ht="25.5">
      <c r="A2107" s="193">
        <v>45993</v>
      </c>
      <c r="B2107" s="145" t="s">
        <v>834</v>
      </c>
      <c r="C2107" s="150">
        <v>2025</v>
      </c>
      <c r="D2107" s="201" t="s">
        <v>1431</v>
      </c>
      <c r="E2107" s="144" t="s">
        <v>1608</v>
      </c>
      <c r="F2107" s="140" t="s">
        <v>1439</v>
      </c>
      <c r="G2107" s="144" t="s">
        <v>2849</v>
      </c>
      <c r="H2107" s="146" t="s">
        <v>26</v>
      </c>
      <c r="I2107" s="144" t="s">
        <v>1458</v>
      </c>
    </row>
    <row r="2108" spans="1:9" ht="14.1">
      <c r="A2108" s="193">
        <v>45993</v>
      </c>
      <c r="B2108" s="145" t="s">
        <v>834</v>
      </c>
      <c r="C2108" s="150">
        <v>2025</v>
      </c>
      <c r="D2108" s="201" t="s">
        <v>1431</v>
      </c>
      <c r="E2108" s="144" t="s">
        <v>1449</v>
      </c>
      <c r="F2108" s="139" t="s">
        <v>88</v>
      </c>
      <c r="G2108" s="148" t="s">
        <v>3660</v>
      </c>
      <c r="H2108" s="146" t="s">
        <v>26</v>
      </c>
      <c r="I2108" s="144" t="s">
        <v>2593</v>
      </c>
    </row>
    <row r="2109" spans="1:9" ht="25.5">
      <c r="A2109" s="193">
        <v>45993</v>
      </c>
      <c r="B2109" s="145" t="s">
        <v>834</v>
      </c>
      <c r="C2109" s="150">
        <v>2025</v>
      </c>
      <c r="D2109" s="201" t="s">
        <v>1431</v>
      </c>
      <c r="E2109" s="144" t="s">
        <v>1449</v>
      </c>
      <c r="F2109" s="139" t="s">
        <v>88</v>
      </c>
      <c r="G2109" s="148" t="s">
        <v>3661</v>
      </c>
      <c r="H2109" s="146" t="s">
        <v>26</v>
      </c>
      <c r="I2109" s="144" t="s">
        <v>2593</v>
      </c>
    </row>
    <row r="2110" spans="1:9" ht="63">
      <c r="A2110" s="193">
        <v>45993</v>
      </c>
      <c r="B2110" s="145" t="s">
        <v>834</v>
      </c>
      <c r="C2110" s="150">
        <v>2025</v>
      </c>
      <c r="D2110" s="201" t="s">
        <v>1431</v>
      </c>
      <c r="E2110" s="144" t="s">
        <v>1449</v>
      </c>
      <c r="F2110" s="139" t="s">
        <v>88</v>
      </c>
      <c r="G2110" s="148" t="s">
        <v>3662</v>
      </c>
      <c r="H2110" s="146" t="s">
        <v>26</v>
      </c>
      <c r="I2110" s="144" t="s">
        <v>2593</v>
      </c>
    </row>
    <row r="2111" spans="1:9" ht="25.5">
      <c r="A2111" s="193">
        <v>45993</v>
      </c>
      <c r="B2111" s="145" t="s">
        <v>834</v>
      </c>
      <c r="C2111" s="150">
        <v>2025</v>
      </c>
      <c r="D2111" s="201" t="s">
        <v>1431</v>
      </c>
      <c r="E2111" s="144" t="s">
        <v>1449</v>
      </c>
      <c r="F2111" s="139" t="s">
        <v>88</v>
      </c>
      <c r="G2111" s="148" t="s">
        <v>3663</v>
      </c>
      <c r="H2111" s="146" t="s">
        <v>26</v>
      </c>
      <c r="I2111" s="144" t="s">
        <v>2593</v>
      </c>
    </row>
    <row r="2112" spans="1:9" ht="50.45">
      <c r="A2112" s="193">
        <v>45993</v>
      </c>
      <c r="B2112" s="145" t="s">
        <v>834</v>
      </c>
      <c r="C2112" s="150">
        <v>2025</v>
      </c>
      <c r="D2112" s="201" t="s">
        <v>1431</v>
      </c>
      <c r="E2112" s="144" t="s">
        <v>1449</v>
      </c>
      <c r="F2112" s="139" t="s">
        <v>88</v>
      </c>
      <c r="G2112" s="148" t="s">
        <v>3664</v>
      </c>
      <c r="H2112" s="146" t="s">
        <v>26</v>
      </c>
      <c r="I2112" s="144" t="s">
        <v>2593</v>
      </c>
    </row>
    <row r="2113" spans="1:9" ht="38.1">
      <c r="A2113" s="193">
        <v>45993</v>
      </c>
      <c r="B2113" s="145" t="s">
        <v>834</v>
      </c>
      <c r="C2113" s="150">
        <v>2025</v>
      </c>
      <c r="D2113" s="201" t="s">
        <v>1431</v>
      </c>
      <c r="E2113" s="144" t="s">
        <v>1449</v>
      </c>
      <c r="F2113" s="139" t="s">
        <v>88</v>
      </c>
      <c r="G2113" s="148" t="s">
        <v>3665</v>
      </c>
      <c r="H2113" s="146" t="s">
        <v>26</v>
      </c>
      <c r="I2113" s="144" t="s">
        <v>2593</v>
      </c>
    </row>
    <row r="2114" spans="1:9" ht="50.45">
      <c r="A2114" s="193">
        <v>45993</v>
      </c>
      <c r="B2114" s="145" t="s">
        <v>834</v>
      </c>
      <c r="C2114" s="150">
        <v>2025</v>
      </c>
      <c r="D2114" s="201" t="s">
        <v>1431</v>
      </c>
      <c r="E2114" s="144" t="s">
        <v>1449</v>
      </c>
      <c r="F2114" s="139" t="s">
        <v>88</v>
      </c>
      <c r="G2114" s="148" t="s">
        <v>3666</v>
      </c>
      <c r="H2114" s="146" t="s">
        <v>26</v>
      </c>
      <c r="I2114" s="144" t="s">
        <v>2593</v>
      </c>
    </row>
    <row r="2115" spans="1:9" ht="14.1">
      <c r="A2115" s="193">
        <v>45993</v>
      </c>
      <c r="B2115" s="145" t="s">
        <v>834</v>
      </c>
      <c r="C2115" s="150">
        <v>2025</v>
      </c>
      <c r="D2115" s="201" t="s">
        <v>1431</v>
      </c>
      <c r="E2115" s="144" t="s">
        <v>1566</v>
      </c>
      <c r="F2115" s="139" t="s">
        <v>88</v>
      </c>
      <c r="G2115" s="144" t="s">
        <v>3667</v>
      </c>
      <c r="H2115" s="146" t="s">
        <v>26</v>
      </c>
      <c r="I2115" s="144" t="s">
        <v>2640</v>
      </c>
    </row>
    <row r="2116" spans="1:9" ht="14.1">
      <c r="A2116" s="193">
        <v>45994</v>
      </c>
      <c r="B2116" s="145" t="s">
        <v>834</v>
      </c>
      <c r="C2116" s="150">
        <v>2025</v>
      </c>
      <c r="D2116" s="201" t="s">
        <v>1431</v>
      </c>
      <c r="E2116" s="144" t="s">
        <v>1566</v>
      </c>
      <c r="F2116" s="139" t="s">
        <v>88</v>
      </c>
      <c r="G2116" s="144" t="s">
        <v>3668</v>
      </c>
      <c r="H2116" s="146" t="s">
        <v>26</v>
      </c>
      <c r="I2116" s="144" t="s">
        <v>3626</v>
      </c>
    </row>
    <row r="2117" spans="1:9" ht="14.1">
      <c r="A2117" s="193">
        <v>45994</v>
      </c>
      <c r="B2117" s="145" t="s">
        <v>834</v>
      </c>
      <c r="C2117" s="150">
        <v>2025</v>
      </c>
      <c r="D2117" s="201" t="s">
        <v>1431</v>
      </c>
      <c r="E2117" s="144" t="s">
        <v>1511</v>
      </c>
      <c r="F2117" s="139" t="s">
        <v>88</v>
      </c>
      <c r="G2117" s="144" t="s">
        <v>3669</v>
      </c>
      <c r="H2117" s="146" t="s">
        <v>26</v>
      </c>
      <c r="I2117" s="144" t="s">
        <v>2700</v>
      </c>
    </row>
    <row r="2118" spans="1:9" ht="25.5">
      <c r="A2118" s="193">
        <v>45994</v>
      </c>
      <c r="B2118" s="145" t="s">
        <v>834</v>
      </c>
      <c r="C2118" s="150">
        <v>2025</v>
      </c>
      <c r="D2118" s="201" t="s">
        <v>1431</v>
      </c>
      <c r="E2118" s="144" t="s">
        <v>1432</v>
      </c>
      <c r="F2118" s="139" t="s">
        <v>88</v>
      </c>
      <c r="G2118" s="144" t="s">
        <v>3670</v>
      </c>
      <c r="H2118" s="146" t="s">
        <v>26</v>
      </c>
      <c r="I2118" s="144" t="s">
        <v>925</v>
      </c>
    </row>
    <row r="2119" spans="1:9" ht="38.1">
      <c r="A2119" s="193">
        <v>45994</v>
      </c>
      <c r="B2119" s="145" t="s">
        <v>834</v>
      </c>
      <c r="C2119" s="150">
        <v>2025</v>
      </c>
      <c r="D2119" s="201" t="s">
        <v>1431</v>
      </c>
      <c r="E2119" s="144" t="s">
        <v>1608</v>
      </c>
      <c r="F2119" s="139" t="s">
        <v>88</v>
      </c>
      <c r="G2119" s="144" t="s">
        <v>3671</v>
      </c>
      <c r="H2119" s="146" t="s">
        <v>26</v>
      </c>
      <c r="I2119" s="144" t="s">
        <v>2599</v>
      </c>
    </row>
    <row r="2120" spans="1:9" ht="25.5">
      <c r="A2120" s="193">
        <v>45994</v>
      </c>
      <c r="B2120" s="145" t="s">
        <v>834</v>
      </c>
      <c r="C2120" s="150">
        <v>2025</v>
      </c>
      <c r="D2120" s="201" t="s">
        <v>1431</v>
      </c>
      <c r="E2120" s="144" t="s">
        <v>3655</v>
      </c>
      <c r="F2120" s="139" t="s">
        <v>88</v>
      </c>
      <c r="G2120" s="144" t="s">
        <v>3672</v>
      </c>
      <c r="H2120" s="146" t="s">
        <v>26</v>
      </c>
      <c r="I2120" s="144" t="s">
        <v>3343</v>
      </c>
    </row>
    <row r="2121" spans="1:9" ht="25.5">
      <c r="A2121" s="193">
        <v>45994</v>
      </c>
      <c r="B2121" s="145" t="s">
        <v>834</v>
      </c>
      <c r="C2121" s="150">
        <v>2025</v>
      </c>
      <c r="D2121" s="201" t="s">
        <v>1431</v>
      </c>
      <c r="E2121" s="144" t="s">
        <v>3655</v>
      </c>
      <c r="F2121" s="139" t="s">
        <v>88</v>
      </c>
      <c r="G2121" s="144" t="s">
        <v>3673</v>
      </c>
      <c r="H2121" s="146" t="s">
        <v>26</v>
      </c>
      <c r="I2121" s="144" t="s">
        <v>3343</v>
      </c>
    </row>
    <row r="2122" spans="1:9" ht="38.1">
      <c r="A2122" s="193">
        <v>45994</v>
      </c>
      <c r="B2122" s="145" t="s">
        <v>834</v>
      </c>
      <c r="C2122" s="150">
        <v>2025</v>
      </c>
      <c r="D2122" s="201" t="s">
        <v>1431</v>
      </c>
      <c r="E2122" s="144" t="s">
        <v>216</v>
      </c>
      <c r="F2122" s="141" t="s">
        <v>821</v>
      </c>
      <c r="G2122" s="144" t="s">
        <v>3674</v>
      </c>
      <c r="H2122" s="146" t="s">
        <v>26</v>
      </c>
      <c r="I2122" s="144" t="s">
        <v>492</v>
      </c>
    </row>
    <row r="2123" spans="1:9" ht="25.5">
      <c r="A2123" s="193">
        <v>45994</v>
      </c>
      <c r="B2123" s="145" t="s">
        <v>834</v>
      </c>
      <c r="C2123" s="150">
        <v>2025</v>
      </c>
      <c r="D2123" s="201" t="s">
        <v>1431</v>
      </c>
      <c r="E2123" s="144" t="s">
        <v>216</v>
      </c>
      <c r="F2123" s="141" t="s">
        <v>821</v>
      </c>
      <c r="G2123" s="144" t="s">
        <v>3675</v>
      </c>
      <c r="H2123" s="146" t="s">
        <v>26</v>
      </c>
      <c r="I2123" s="144" t="s">
        <v>492</v>
      </c>
    </row>
    <row r="2124" spans="1:9" ht="14.1">
      <c r="A2124" s="193">
        <v>45994</v>
      </c>
      <c r="B2124" s="145" t="s">
        <v>834</v>
      </c>
      <c r="C2124" s="150">
        <v>2025</v>
      </c>
      <c r="D2124" s="201" t="s">
        <v>1431</v>
      </c>
      <c r="E2124" s="144" t="s">
        <v>216</v>
      </c>
      <c r="F2124" s="141" t="s">
        <v>821</v>
      </c>
      <c r="G2124" s="144" t="s">
        <v>3676</v>
      </c>
      <c r="H2124" s="146" t="s">
        <v>26</v>
      </c>
      <c r="I2124" s="144" t="s">
        <v>492</v>
      </c>
    </row>
    <row r="2125" spans="1:9" ht="25.5">
      <c r="A2125" s="193">
        <v>45994</v>
      </c>
      <c r="B2125" s="145" t="s">
        <v>834</v>
      </c>
      <c r="C2125" s="150">
        <v>2025</v>
      </c>
      <c r="D2125" s="201" t="s">
        <v>1431</v>
      </c>
      <c r="E2125" s="144" t="s">
        <v>21</v>
      </c>
      <c r="F2125" s="141" t="s">
        <v>821</v>
      </c>
      <c r="G2125" s="144" t="s">
        <v>3677</v>
      </c>
      <c r="H2125" s="146" t="s">
        <v>26</v>
      </c>
      <c r="I2125" s="144" t="s">
        <v>468</v>
      </c>
    </row>
    <row r="2126" spans="1:9" ht="14.1">
      <c r="A2126" s="193">
        <v>45994</v>
      </c>
      <c r="B2126" s="145" t="s">
        <v>834</v>
      </c>
      <c r="C2126" s="150">
        <v>2025</v>
      </c>
      <c r="D2126" s="201" t="s">
        <v>1431</v>
      </c>
      <c r="E2126" s="144" t="s">
        <v>1449</v>
      </c>
      <c r="F2126" s="139" t="s">
        <v>88</v>
      </c>
      <c r="G2126" s="144" t="s">
        <v>3678</v>
      </c>
      <c r="H2126" s="146" t="s">
        <v>26</v>
      </c>
      <c r="I2126" s="144" t="s">
        <v>2593</v>
      </c>
    </row>
    <row r="2127" spans="1:9" ht="25.5">
      <c r="A2127" s="193">
        <v>45994</v>
      </c>
      <c r="B2127" s="145" t="s">
        <v>834</v>
      </c>
      <c r="C2127" s="150">
        <v>2025</v>
      </c>
      <c r="D2127" s="201" t="s">
        <v>2224</v>
      </c>
      <c r="E2127" s="144" t="s">
        <v>1511</v>
      </c>
      <c r="F2127" s="139" t="s">
        <v>88</v>
      </c>
      <c r="G2127" s="144" t="s">
        <v>3679</v>
      </c>
      <c r="H2127" s="146" t="s">
        <v>26</v>
      </c>
      <c r="I2127" s="144" t="s">
        <v>2568</v>
      </c>
    </row>
    <row r="2128" spans="1:9" ht="25.5">
      <c r="A2128" s="193">
        <v>45994</v>
      </c>
      <c r="B2128" s="145" t="s">
        <v>834</v>
      </c>
      <c r="C2128" s="150">
        <v>2025</v>
      </c>
      <c r="D2128" s="201" t="s">
        <v>2224</v>
      </c>
      <c r="E2128" s="144" t="s">
        <v>1511</v>
      </c>
      <c r="F2128" s="139" t="s">
        <v>88</v>
      </c>
      <c r="G2128" s="144" t="s">
        <v>3680</v>
      </c>
      <c r="H2128" s="146" t="s">
        <v>26</v>
      </c>
      <c r="I2128" s="144" t="s">
        <v>2568</v>
      </c>
    </row>
    <row r="2129" spans="1:9" ht="50.45">
      <c r="A2129" s="193">
        <v>45994</v>
      </c>
      <c r="B2129" s="145" t="s">
        <v>834</v>
      </c>
      <c r="C2129" s="150">
        <v>2025</v>
      </c>
      <c r="D2129" s="201" t="s">
        <v>2224</v>
      </c>
      <c r="E2129" s="144" t="s">
        <v>21</v>
      </c>
      <c r="F2129" s="141" t="s">
        <v>821</v>
      </c>
      <c r="G2129" s="144" t="s">
        <v>3681</v>
      </c>
      <c r="H2129" s="146" t="s">
        <v>26</v>
      </c>
      <c r="I2129" s="144" t="s">
        <v>468</v>
      </c>
    </row>
    <row r="2130" spans="1:9" ht="25.5">
      <c r="A2130" s="193">
        <v>45994</v>
      </c>
      <c r="B2130" s="145" t="s">
        <v>834</v>
      </c>
      <c r="C2130" s="150">
        <v>2025</v>
      </c>
      <c r="D2130" s="201" t="s">
        <v>2224</v>
      </c>
      <c r="E2130" s="144" t="s">
        <v>1432</v>
      </c>
      <c r="F2130" s="141" t="s">
        <v>821</v>
      </c>
      <c r="G2130" s="144" t="s">
        <v>3682</v>
      </c>
      <c r="H2130" s="146" t="s">
        <v>26</v>
      </c>
      <c r="I2130" s="144" t="s">
        <v>59</v>
      </c>
    </row>
    <row r="2131" spans="1:9" ht="38.1">
      <c r="A2131" s="193">
        <v>45994</v>
      </c>
      <c r="B2131" s="145" t="s">
        <v>834</v>
      </c>
      <c r="C2131" s="150">
        <v>2025</v>
      </c>
      <c r="D2131" s="201" t="s">
        <v>1431</v>
      </c>
      <c r="E2131" s="144" t="s">
        <v>1449</v>
      </c>
      <c r="F2131" s="139" t="s">
        <v>88</v>
      </c>
      <c r="G2131" s="148" t="s">
        <v>3683</v>
      </c>
      <c r="H2131" s="146" t="s">
        <v>26</v>
      </c>
      <c r="I2131" s="144" t="s">
        <v>2593</v>
      </c>
    </row>
    <row r="2132" spans="1:9" ht="50.45">
      <c r="A2132" s="193">
        <v>45994</v>
      </c>
      <c r="B2132" s="145" t="s">
        <v>834</v>
      </c>
      <c r="C2132" s="150">
        <v>2025</v>
      </c>
      <c r="D2132" s="201" t="s">
        <v>1431</v>
      </c>
      <c r="E2132" s="144" t="s">
        <v>1449</v>
      </c>
      <c r="F2132" s="142" t="s">
        <v>872</v>
      </c>
      <c r="G2132" s="148" t="s">
        <v>3684</v>
      </c>
      <c r="H2132" s="146" t="s">
        <v>26</v>
      </c>
      <c r="I2132" s="144" t="s">
        <v>2593</v>
      </c>
    </row>
    <row r="2133" spans="1:9" ht="38.1">
      <c r="A2133" s="193">
        <v>45994</v>
      </c>
      <c r="B2133" s="145" t="s">
        <v>834</v>
      </c>
      <c r="C2133" s="150">
        <v>2025</v>
      </c>
      <c r="D2133" s="201" t="s">
        <v>1431</v>
      </c>
      <c r="E2133" s="144" t="s">
        <v>1449</v>
      </c>
      <c r="F2133" s="139" t="s">
        <v>88</v>
      </c>
      <c r="G2133" s="148" t="s">
        <v>3685</v>
      </c>
      <c r="H2133" s="146" t="s">
        <v>26</v>
      </c>
      <c r="I2133" s="144" t="s">
        <v>2593</v>
      </c>
    </row>
    <row r="2134" spans="1:9" ht="63">
      <c r="A2134" s="193">
        <v>45994</v>
      </c>
      <c r="B2134" s="145" t="s">
        <v>834</v>
      </c>
      <c r="C2134" s="150">
        <v>2025</v>
      </c>
      <c r="D2134" s="201" t="s">
        <v>1431</v>
      </c>
      <c r="E2134" s="144" t="s">
        <v>1449</v>
      </c>
      <c r="F2134" s="139" t="s">
        <v>88</v>
      </c>
      <c r="G2134" s="148" t="s">
        <v>3686</v>
      </c>
      <c r="H2134" s="146" t="s">
        <v>26</v>
      </c>
      <c r="I2134" s="144" t="s">
        <v>2593</v>
      </c>
    </row>
    <row r="2135" spans="1:9" ht="75.599999999999994">
      <c r="A2135" s="193">
        <v>45994</v>
      </c>
      <c r="B2135" s="145" t="s">
        <v>834</v>
      </c>
      <c r="C2135" s="150">
        <v>2025</v>
      </c>
      <c r="D2135" s="201" t="s">
        <v>1431</v>
      </c>
      <c r="E2135" s="144" t="s">
        <v>1449</v>
      </c>
      <c r="F2135" s="147" t="s">
        <v>859</v>
      </c>
      <c r="G2135" s="148" t="s">
        <v>3687</v>
      </c>
      <c r="H2135" s="146" t="s">
        <v>26</v>
      </c>
      <c r="I2135" s="144" t="s">
        <v>2593</v>
      </c>
    </row>
    <row r="2136" spans="1:9" ht="63">
      <c r="A2136" s="193">
        <v>45994</v>
      </c>
      <c r="B2136" s="145" t="s">
        <v>834</v>
      </c>
      <c r="C2136" s="150">
        <v>2025</v>
      </c>
      <c r="D2136" s="201" t="s">
        <v>1431</v>
      </c>
      <c r="E2136" s="144" t="s">
        <v>1449</v>
      </c>
      <c r="F2136" s="139" t="s">
        <v>88</v>
      </c>
      <c r="G2136" s="148" t="s">
        <v>3688</v>
      </c>
      <c r="H2136" s="146" t="s">
        <v>26</v>
      </c>
      <c r="I2136" s="144" t="s">
        <v>2593</v>
      </c>
    </row>
    <row r="2137" spans="1:9" ht="25.5">
      <c r="A2137" s="193">
        <v>45994</v>
      </c>
      <c r="B2137" s="145" t="s">
        <v>834</v>
      </c>
      <c r="C2137" s="150">
        <v>2025</v>
      </c>
      <c r="D2137" s="201" t="s">
        <v>1431</v>
      </c>
      <c r="E2137" s="144" t="s">
        <v>1449</v>
      </c>
      <c r="F2137" s="139" t="s">
        <v>88</v>
      </c>
      <c r="G2137" s="148" t="s">
        <v>3689</v>
      </c>
      <c r="H2137" s="146" t="s">
        <v>26</v>
      </c>
      <c r="I2137" s="144" t="s">
        <v>2593</v>
      </c>
    </row>
    <row r="2138" spans="1:9" ht="14.1">
      <c r="A2138" s="193">
        <v>45994</v>
      </c>
      <c r="B2138" s="145" t="s">
        <v>834</v>
      </c>
      <c r="C2138" s="150">
        <v>2025</v>
      </c>
      <c r="D2138" s="201" t="s">
        <v>1431</v>
      </c>
      <c r="E2138" s="144" t="s">
        <v>1566</v>
      </c>
      <c r="F2138" s="139" t="s">
        <v>88</v>
      </c>
      <c r="G2138" s="144" t="s">
        <v>3690</v>
      </c>
      <c r="H2138" s="146" t="s">
        <v>26</v>
      </c>
      <c r="I2138" s="144" t="s">
        <v>1588</v>
      </c>
    </row>
    <row r="2139" spans="1:9" ht="25.5">
      <c r="A2139" s="193">
        <v>45995</v>
      </c>
      <c r="B2139" s="145" t="s">
        <v>834</v>
      </c>
      <c r="C2139" s="150">
        <v>2025</v>
      </c>
      <c r="D2139" s="201" t="s">
        <v>1431</v>
      </c>
      <c r="E2139" s="144" t="s">
        <v>2585</v>
      </c>
      <c r="F2139" s="147" t="s">
        <v>859</v>
      </c>
      <c r="G2139" s="144" t="s">
        <v>3691</v>
      </c>
      <c r="H2139" s="146" t="s">
        <v>26</v>
      </c>
      <c r="I2139" s="144" t="s">
        <v>3626</v>
      </c>
    </row>
    <row r="2140" spans="1:9" ht="25.5">
      <c r="A2140" s="193">
        <v>45995</v>
      </c>
      <c r="B2140" s="145" t="s">
        <v>834</v>
      </c>
      <c r="C2140" s="150">
        <v>2025</v>
      </c>
      <c r="D2140" s="201" t="s">
        <v>1431</v>
      </c>
      <c r="E2140" s="144" t="s">
        <v>3217</v>
      </c>
      <c r="F2140" s="139" t="s">
        <v>88</v>
      </c>
      <c r="G2140" s="144" t="s">
        <v>3692</v>
      </c>
      <c r="H2140" s="146" t="s">
        <v>26</v>
      </c>
      <c r="I2140" s="144" t="s">
        <v>1543</v>
      </c>
    </row>
    <row r="2141" spans="1:9" ht="14.1">
      <c r="A2141" s="193">
        <v>45995</v>
      </c>
      <c r="B2141" s="145" t="s">
        <v>834</v>
      </c>
      <c r="C2141" s="150">
        <v>2025</v>
      </c>
      <c r="D2141" s="201" t="s">
        <v>1431</v>
      </c>
      <c r="E2141" s="144" t="s">
        <v>3217</v>
      </c>
      <c r="F2141" s="139" t="s">
        <v>88</v>
      </c>
      <c r="G2141" s="144" t="s">
        <v>3693</v>
      </c>
      <c r="H2141" s="146" t="s">
        <v>26</v>
      </c>
      <c r="I2141" s="144" t="s">
        <v>1543</v>
      </c>
    </row>
    <row r="2142" spans="1:9" ht="25.5">
      <c r="A2142" s="193">
        <v>45995</v>
      </c>
      <c r="B2142" s="145" t="s">
        <v>834</v>
      </c>
      <c r="C2142" s="150">
        <v>2025</v>
      </c>
      <c r="D2142" s="201" t="s">
        <v>1431</v>
      </c>
      <c r="E2142" s="144" t="s">
        <v>3655</v>
      </c>
      <c r="F2142" s="139" t="s">
        <v>88</v>
      </c>
      <c r="G2142" s="144" t="s">
        <v>3694</v>
      </c>
      <c r="H2142" s="146" t="s">
        <v>26</v>
      </c>
      <c r="I2142" s="144" t="s">
        <v>1904</v>
      </c>
    </row>
    <row r="2143" spans="1:9" ht="14.1">
      <c r="A2143" s="193">
        <v>45995</v>
      </c>
      <c r="B2143" s="145" t="s">
        <v>834</v>
      </c>
      <c r="C2143" s="150">
        <v>2025</v>
      </c>
      <c r="D2143" s="201" t="s">
        <v>1431</v>
      </c>
      <c r="E2143" s="144" t="s">
        <v>1508</v>
      </c>
      <c r="F2143" s="139" t="s">
        <v>88</v>
      </c>
      <c r="G2143" s="144" t="s">
        <v>3695</v>
      </c>
      <c r="H2143" s="146" t="s">
        <v>26</v>
      </c>
      <c r="I2143" s="144" t="s">
        <v>3696</v>
      </c>
    </row>
    <row r="2144" spans="1:9" ht="25.5">
      <c r="A2144" s="193">
        <v>45995</v>
      </c>
      <c r="B2144" s="145" t="s">
        <v>834</v>
      </c>
      <c r="C2144" s="150">
        <v>2025</v>
      </c>
      <c r="D2144" s="201" t="s">
        <v>1431</v>
      </c>
      <c r="E2144" s="144" t="s">
        <v>216</v>
      </c>
      <c r="F2144" s="141" t="s">
        <v>821</v>
      </c>
      <c r="G2144" s="144" t="s">
        <v>3697</v>
      </c>
      <c r="H2144" s="146" t="s">
        <v>26</v>
      </c>
      <c r="I2144" s="144" t="s">
        <v>492</v>
      </c>
    </row>
    <row r="2145" spans="1:9" ht="14.1">
      <c r="A2145" s="193">
        <v>45995</v>
      </c>
      <c r="B2145" s="145" t="s">
        <v>834</v>
      </c>
      <c r="C2145" s="150">
        <v>2025</v>
      </c>
      <c r="D2145" s="201" t="s">
        <v>1431</v>
      </c>
      <c r="E2145" s="144" t="s">
        <v>1566</v>
      </c>
      <c r="F2145" s="139" t="s">
        <v>88</v>
      </c>
      <c r="G2145" s="144" t="s">
        <v>3698</v>
      </c>
      <c r="H2145" s="146" t="s">
        <v>26</v>
      </c>
      <c r="I2145" s="144" t="s">
        <v>2640</v>
      </c>
    </row>
    <row r="2146" spans="1:9" ht="25.5">
      <c r="A2146" s="193">
        <v>45995</v>
      </c>
      <c r="B2146" s="145" t="s">
        <v>834</v>
      </c>
      <c r="C2146" s="150">
        <v>2025</v>
      </c>
      <c r="D2146" s="201" t="s">
        <v>1431</v>
      </c>
      <c r="E2146" s="144" t="s">
        <v>1566</v>
      </c>
      <c r="F2146" s="139" t="s">
        <v>88</v>
      </c>
      <c r="G2146" s="144" t="s">
        <v>3699</v>
      </c>
      <c r="H2146" s="146" t="s">
        <v>26</v>
      </c>
      <c r="I2146" s="144" t="s">
        <v>2640</v>
      </c>
    </row>
    <row r="2147" spans="1:9" ht="25.5">
      <c r="A2147" s="193">
        <v>45995</v>
      </c>
      <c r="B2147" s="145" t="s">
        <v>834</v>
      </c>
      <c r="C2147" s="150">
        <v>2025</v>
      </c>
      <c r="D2147" s="201" t="s">
        <v>2224</v>
      </c>
      <c r="E2147" s="144" t="s">
        <v>2585</v>
      </c>
      <c r="F2147" s="147" t="s">
        <v>859</v>
      </c>
      <c r="G2147" s="144" t="s">
        <v>3700</v>
      </c>
      <c r="H2147" s="146" t="s">
        <v>26</v>
      </c>
      <c r="I2147" s="144" t="s">
        <v>2568</v>
      </c>
    </row>
    <row r="2148" spans="1:9" ht="25.5">
      <c r="A2148" s="193">
        <v>45995</v>
      </c>
      <c r="B2148" s="145" t="s">
        <v>834</v>
      </c>
      <c r="C2148" s="150">
        <v>2025</v>
      </c>
      <c r="D2148" s="201" t="s">
        <v>2224</v>
      </c>
      <c r="E2148" s="144" t="s">
        <v>1449</v>
      </c>
      <c r="F2148" s="139" t="s">
        <v>88</v>
      </c>
      <c r="G2148" s="144" t="s">
        <v>3701</v>
      </c>
      <c r="H2148" s="146" t="s">
        <v>26</v>
      </c>
      <c r="I2148" s="144" t="s">
        <v>2593</v>
      </c>
    </row>
    <row r="2149" spans="1:9" ht="14.1">
      <c r="A2149" s="193">
        <v>45995</v>
      </c>
      <c r="B2149" s="145" t="s">
        <v>834</v>
      </c>
      <c r="C2149" s="150">
        <v>2025</v>
      </c>
      <c r="D2149" s="201" t="s">
        <v>2224</v>
      </c>
      <c r="E2149" s="144" t="s">
        <v>21</v>
      </c>
      <c r="F2149" s="141" t="s">
        <v>821</v>
      </c>
      <c r="G2149" s="144" t="s">
        <v>3702</v>
      </c>
      <c r="H2149" s="146" t="s">
        <v>26</v>
      </c>
      <c r="I2149" s="144" t="s">
        <v>468</v>
      </c>
    </row>
    <row r="2150" spans="1:9" ht="38.1">
      <c r="A2150" s="193">
        <v>45995</v>
      </c>
      <c r="B2150" s="145" t="s">
        <v>834</v>
      </c>
      <c r="C2150" s="150">
        <v>2025</v>
      </c>
      <c r="D2150" s="201" t="s">
        <v>1431</v>
      </c>
      <c r="E2150" s="144" t="s">
        <v>2535</v>
      </c>
      <c r="F2150" s="139" t="s">
        <v>88</v>
      </c>
      <c r="G2150" s="144" t="s">
        <v>3703</v>
      </c>
      <c r="H2150" s="146" t="s">
        <v>26</v>
      </c>
      <c r="I2150" s="144" t="s">
        <v>2593</v>
      </c>
    </row>
    <row r="2151" spans="1:9" ht="87.95">
      <c r="A2151" s="193">
        <v>45995</v>
      </c>
      <c r="B2151" s="145" t="s">
        <v>834</v>
      </c>
      <c r="C2151" s="150">
        <v>2025</v>
      </c>
      <c r="D2151" s="201" t="s">
        <v>1431</v>
      </c>
      <c r="E2151" s="144" t="s">
        <v>1449</v>
      </c>
      <c r="F2151" s="139" t="s">
        <v>88</v>
      </c>
      <c r="G2151" s="148" t="s">
        <v>3704</v>
      </c>
      <c r="H2151" s="146" t="s">
        <v>26</v>
      </c>
      <c r="I2151" s="144" t="s">
        <v>2593</v>
      </c>
    </row>
    <row r="2152" spans="1:9" ht="63">
      <c r="A2152" s="193">
        <v>45995</v>
      </c>
      <c r="B2152" s="145" t="s">
        <v>834</v>
      </c>
      <c r="C2152" s="150">
        <v>2025</v>
      </c>
      <c r="D2152" s="201" t="s">
        <v>1431</v>
      </c>
      <c r="E2152" s="144" t="s">
        <v>1449</v>
      </c>
      <c r="F2152" s="139" t="s">
        <v>88</v>
      </c>
      <c r="G2152" s="148" t="s">
        <v>3705</v>
      </c>
      <c r="H2152" s="146" t="s">
        <v>26</v>
      </c>
      <c r="I2152" s="144" t="s">
        <v>2593</v>
      </c>
    </row>
    <row r="2153" spans="1:9" ht="14.1">
      <c r="A2153" s="193">
        <v>45995</v>
      </c>
      <c r="B2153" s="145" t="s">
        <v>834</v>
      </c>
      <c r="C2153" s="150">
        <v>2025</v>
      </c>
      <c r="D2153" s="201" t="s">
        <v>1431</v>
      </c>
      <c r="E2153" s="144" t="s">
        <v>1449</v>
      </c>
      <c r="F2153" s="139" t="s">
        <v>88</v>
      </c>
      <c r="G2153" s="144" t="s">
        <v>3706</v>
      </c>
      <c r="H2153" s="146" t="s">
        <v>26</v>
      </c>
      <c r="I2153" s="144" t="s">
        <v>2593</v>
      </c>
    </row>
    <row r="2154" spans="1:9" ht="14.1">
      <c r="A2154" s="193">
        <v>45995</v>
      </c>
      <c r="B2154" s="145" t="s">
        <v>834</v>
      </c>
      <c r="C2154" s="150">
        <v>2025</v>
      </c>
      <c r="D2154" s="201" t="s">
        <v>1431</v>
      </c>
      <c r="E2154" s="144" t="s">
        <v>1449</v>
      </c>
      <c r="F2154" s="139" t="s">
        <v>88</v>
      </c>
      <c r="G2154" s="144" t="s">
        <v>3707</v>
      </c>
      <c r="H2154" s="146" t="s">
        <v>26</v>
      </c>
      <c r="I2154" s="144" t="s">
        <v>2593</v>
      </c>
    </row>
    <row r="2155" spans="1:9" ht="14.1">
      <c r="A2155" s="193">
        <v>45995</v>
      </c>
      <c r="B2155" s="145" t="s">
        <v>834</v>
      </c>
      <c r="C2155" s="150">
        <v>2025</v>
      </c>
      <c r="D2155" s="201" t="s">
        <v>1431</v>
      </c>
      <c r="E2155" s="144" t="s">
        <v>1449</v>
      </c>
      <c r="F2155" s="139" t="s">
        <v>88</v>
      </c>
      <c r="G2155" s="144" t="s">
        <v>3708</v>
      </c>
      <c r="H2155" s="146" t="s">
        <v>26</v>
      </c>
      <c r="I2155" s="144" t="s">
        <v>2593</v>
      </c>
    </row>
    <row r="2156" spans="1:9" ht="25.5">
      <c r="A2156" s="193">
        <v>45995</v>
      </c>
      <c r="B2156" s="145" t="s">
        <v>834</v>
      </c>
      <c r="C2156" s="150">
        <v>2025</v>
      </c>
      <c r="D2156" s="201" t="s">
        <v>1431</v>
      </c>
      <c r="E2156" s="144" t="s">
        <v>1449</v>
      </c>
      <c r="F2156" s="139" t="s">
        <v>88</v>
      </c>
      <c r="G2156" s="144" t="s">
        <v>3709</v>
      </c>
      <c r="H2156" s="146" t="s">
        <v>26</v>
      </c>
      <c r="I2156" s="144" t="s">
        <v>2593</v>
      </c>
    </row>
    <row r="2157" spans="1:9" ht="14.1">
      <c r="A2157" s="193">
        <v>45995</v>
      </c>
      <c r="B2157" s="145" t="s">
        <v>834</v>
      </c>
      <c r="C2157" s="150">
        <v>2025</v>
      </c>
      <c r="D2157" s="201" t="s">
        <v>1431</v>
      </c>
      <c r="E2157" s="144" t="s">
        <v>1566</v>
      </c>
      <c r="F2157" s="139" t="s">
        <v>88</v>
      </c>
      <c r="G2157" s="144" t="s">
        <v>3710</v>
      </c>
      <c r="H2157" s="146" t="s">
        <v>26</v>
      </c>
      <c r="I2157" s="144" t="s">
        <v>2640</v>
      </c>
    </row>
    <row r="2158" spans="1:9" ht="75.599999999999994">
      <c r="A2158" s="193">
        <v>45995</v>
      </c>
      <c r="B2158" s="145" t="s">
        <v>834</v>
      </c>
      <c r="C2158" s="150">
        <v>2025</v>
      </c>
      <c r="D2158" s="201" t="s">
        <v>1431</v>
      </c>
      <c r="E2158" s="144" t="s">
        <v>1566</v>
      </c>
      <c r="F2158" s="139" t="s">
        <v>88</v>
      </c>
      <c r="G2158" s="144" t="s">
        <v>3711</v>
      </c>
      <c r="H2158" s="146" t="s">
        <v>26</v>
      </c>
      <c r="I2158" s="144" t="s">
        <v>2640</v>
      </c>
    </row>
    <row r="2159" spans="1:9" ht="50.45">
      <c r="A2159" s="193">
        <v>45995</v>
      </c>
      <c r="B2159" s="145" t="s">
        <v>834</v>
      </c>
      <c r="C2159" s="150">
        <v>2025</v>
      </c>
      <c r="D2159" s="201" t="s">
        <v>1431</v>
      </c>
      <c r="E2159" s="144" t="s">
        <v>1566</v>
      </c>
      <c r="F2159" s="139" t="s">
        <v>88</v>
      </c>
      <c r="G2159" s="144" t="s">
        <v>3712</v>
      </c>
      <c r="H2159" s="146" t="s">
        <v>26</v>
      </c>
      <c r="I2159" s="144" t="s">
        <v>2640</v>
      </c>
    </row>
    <row r="2160" spans="1:9" ht="25.5">
      <c r="A2160" s="193">
        <v>45996</v>
      </c>
      <c r="B2160" s="145" t="s">
        <v>834</v>
      </c>
      <c r="C2160" s="150">
        <v>2025</v>
      </c>
      <c r="D2160" s="201" t="s">
        <v>1431</v>
      </c>
      <c r="E2160" s="144" t="s">
        <v>21</v>
      </c>
      <c r="F2160" s="141" t="s">
        <v>821</v>
      </c>
      <c r="G2160" s="144" t="s">
        <v>3713</v>
      </c>
      <c r="H2160" s="146" t="s">
        <v>26</v>
      </c>
      <c r="I2160" s="144" t="s">
        <v>3626</v>
      </c>
    </row>
    <row r="2161" spans="1:9" ht="14.1">
      <c r="A2161" s="193">
        <v>45996</v>
      </c>
      <c r="B2161" s="145" t="s">
        <v>834</v>
      </c>
      <c r="C2161" s="150">
        <v>2025</v>
      </c>
      <c r="D2161" s="201" t="s">
        <v>1431</v>
      </c>
      <c r="E2161" s="144" t="s">
        <v>2437</v>
      </c>
      <c r="F2161" s="139" t="s">
        <v>88</v>
      </c>
      <c r="G2161" s="144" t="s">
        <v>3714</v>
      </c>
      <c r="H2161" s="146" t="s">
        <v>26</v>
      </c>
      <c r="I2161" s="144" t="s">
        <v>1543</v>
      </c>
    </row>
    <row r="2162" spans="1:9" ht="14.1">
      <c r="A2162" s="193">
        <v>45996</v>
      </c>
      <c r="B2162" s="145" t="s">
        <v>834</v>
      </c>
      <c r="C2162" s="150">
        <v>2025</v>
      </c>
      <c r="D2162" s="201" t="s">
        <v>1431</v>
      </c>
      <c r="E2162" s="144" t="s">
        <v>1449</v>
      </c>
      <c r="F2162" s="142" t="s">
        <v>872</v>
      </c>
      <c r="G2162" s="144" t="s">
        <v>3715</v>
      </c>
      <c r="H2162" s="146" t="s">
        <v>26</v>
      </c>
      <c r="I2162" s="144" t="s">
        <v>1904</v>
      </c>
    </row>
    <row r="2163" spans="1:9" ht="38.1">
      <c r="A2163" s="193">
        <v>45996</v>
      </c>
      <c r="B2163" s="145" t="s">
        <v>834</v>
      </c>
      <c r="C2163" s="150">
        <v>2025</v>
      </c>
      <c r="D2163" s="201" t="s">
        <v>1431</v>
      </c>
      <c r="E2163" s="144" t="s">
        <v>216</v>
      </c>
      <c r="F2163" s="141" t="s">
        <v>821</v>
      </c>
      <c r="G2163" s="144" t="s">
        <v>3716</v>
      </c>
      <c r="H2163" s="146" t="s">
        <v>26</v>
      </c>
      <c r="I2163" s="144" t="s">
        <v>492</v>
      </c>
    </row>
    <row r="2164" spans="1:9" ht="14.1">
      <c r="A2164" s="193">
        <v>45996</v>
      </c>
      <c r="B2164" s="145" t="s">
        <v>834</v>
      </c>
      <c r="C2164" s="150">
        <v>2025</v>
      </c>
      <c r="D2164" s="201" t="s">
        <v>1431</v>
      </c>
      <c r="E2164" s="144" t="s">
        <v>1566</v>
      </c>
      <c r="F2164" s="139" t="s">
        <v>88</v>
      </c>
      <c r="G2164" s="144" t="s">
        <v>3717</v>
      </c>
      <c r="H2164" s="146" t="s">
        <v>26</v>
      </c>
      <c r="I2164" s="144" t="s">
        <v>1588</v>
      </c>
    </row>
    <row r="2165" spans="1:9" ht="25.5">
      <c r="A2165" s="193">
        <v>45996</v>
      </c>
      <c r="B2165" s="145" t="s">
        <v>834</v>
      </c>
      <c r="C2165" s="150">
        <v>2025</v>
      </c>
      <c r="D2165" s="201" t="s">
        <v>2224</v>
      </c>
      <c r="E2165" s="144" t="s">
        <v>21</v>
      </c>
      <c r="F2165" s="141" t="s">
        <v>821</v>
      </c>
      <c r="G2165" s="144" t="s">
        <v>3718</v>
      </c>
      <c r="H2165" s="146" t="s">
        <v>26</v>
      </c>
      <c r="I2165" s="144" t="s">
        <v>2568</v>
      </c>
    </row>
    <row r="2166" spans="1:9" ht="14.1">
      <c r="A2166" s="193">
        <v>45996</v>
      </c>
      <c r="B2166" s="145" t="s">
        <v>834</v>
      </c>
      <c r="C2166" s="150">
        <v>2025</v>
      </c>
      <c r="D2166" s="201" t="s">
        <v>2224</v>
      </c>
      <c r="E2166" s="144" t="s">
        <v>21</v>
      </c>
      <c r="F2166" s="141" t="s">
        <v>821</v>
      </c>
      <c r="G2166" s="144" t="s">
        <v>3719</v>
      </c>
      <c r="H2166" s="146" t="s">
        <v>26</v>
      </c>
      <c r="I2166" s="144" t="s">
        <v>2568</v>
      </c>
    </row>
    <row r="2167" spans="1:9" ht="50.45">
      <c r="A2167" s="193">
        <v>45996</v>
      </c>
      <c r="B2167" s="145" t="s">
        <v>834</v>
      </c>
      <c r="C2167" s="150">
        <v>2025</v>
      </c>
      <c r="D2167" s="201" t="s">
        <v>2224</v>
      </c>
      <c r="E2167" s="144" t="s">
        <v>3655</v>
      </c>
      <c r="F2167" s="139" t="s">
        <v>88</v>
      </c>
      <c r="G2167" s="144" t="s">
        <v>3720</v>
      </c>
      <c r="H2167" s="146" t="s">
        <v>26</v>
      </c>
      <c r="I2167" s="144" t="s">
        <v>3721</v>
      </c>
    </row>
    <row r="2168" spans="1:9" ht="25.5">
      <c r="A2168" s="193">
        <v>45996</v>
      </c>
      <c r="B2168" s="145" t="s">
        <v>834</v>
      </c>
      <c r="C2168" s="150">
        <v>2025</v>
      </c>
      <c r="D2168" s="201" t="s">
        <v>2224</v>
      </c>
      <c r="E2168" s="144" t="s">
        <v>1432</v>
      </c>
      <c r="F2168" s="139" t="s">
        <v>88</v>
      </c>
      <c r="G2168" s="144" t="s">
        <v>3722</v>
      </c>
      <c r="H2168" s="146" t="s">
        <v>26</v>
      </c>
      <c r="I2168" s="144" t="s">
        <v>2568</v>
      </c>
    </row>
    <row r="2169" spans="1:9" ht="14.1">
      <c r="A2169" s="193">
        <v>45996</v>
      </c>
      <c r="B2169" s="145" t="s">
        <v>834</v>
      </c>
      <c r="C2169" s="150">
        <v>2025</v>
      </c>
      <c r="D2169" s="201" t="s">
        <v>1431</v>
      </c>
      <c r="E2169" s="144" t="s">
        <v>2585</v>
      </c>
      <c r="F2169" s="139" t="s">
        <v>88</v>
      </c>
      <c r="G2169" s="144" t="s">
        <v>3723</v>
      </c>
      <c r="H2169" s="146" t="s">
        <v>26</v>
      </c>
      <c r="I2169" s="144" t="s">
        <v>3626</v>
      </c>
    </row>
    <row r="2170" spans="1:9" ht="25.5">
      <c r="A2170" s="193">
        <v>45996</v>
      </c>
      <c r="B2170" s="145" t="s">
        <v>834</v>
      </c>
      <c r="C2170" s="150">
        <v>2025</v>
      </c>
      <c r="D2170" s="201" t="s">
        <v>1431</v>
      </c>
      <c r="E2170" s="144" t="s">
        <v>2595</v>
      </c>
      <c r="F2170" s="139" t="s">
        <v>88</v>
      </c>
      <c r="G2170" s="144" t="s">
        <v>3724</v>
      </c>
      <c r="H2170" s="146" t="s">
        <v>26</v>
      </c>
      <c r="I2170" s="144" t="s">
        <v>3725</v>
      </c>
    </row>
    <row r="2171" spans="1:9" ht="25.5">
      <c r="A2171" s="193">
        <v>45996</v>
      </c>
      <c r="B2171" s="145" t="s">
        <v>834</v>
      </c>
      <c r="C2171" s="150">
        <v>2025</v>
      </c>
      <c r="D2171" s="201" t="s">
        <v>1431</v>
      </c>
      <c r="E2171" s="144" t="s">
        <v>1608</v>
      </c>
      <c r="F2171" s="139" t="s">
        <v>88</v>
      </c>
      <c r="G2171" s="144" t="s">
        <v>3726</v>
      </c>
      <c r="H2171" s="146" t="s">
        <v>26</v>
      </c>
      <c r="I2171" s="144" t="s">
        <v>1458</v>
      </c>
    </row>
    <row r="2172" spans="1:9" ht="63">
      <c r="A2172" s="193">
        <v>45996</v>
      </c>
      <c r="B2172" s="145" t="s">
        <v>834</v>
      </c>
      <c r="C2172" s="150">
        <v>2025</v>
      </c>
      <c r="D2172" s="201" t="s">
        <v>1431</v>
      </c>
      <c r="E2172" s="144" t="s">
        <v>1449</v>
      </c>
      <c r="F2172" s="139" t="s">
        <v>88</v>
      </c>
      <c r="G2172" s="144" t="s">
        <v>3727</v>
      </c>
      <c r="H2172" s="146" t="s">
        <v>26</v>
      </c>
      <c r="I2172" s="144" t="s">
        <v>2593</v>
      </c>
    </row>
    <row r="2173" spans="1:9" ht="63">
      <c r="A2173" s="193">
        <v>45996</v>
      </c>
      <c r="B2173" s="145" t="s">
        <v>834</v>
      </c>
      <c r="C2173" s="150">
        <v>2025</v>
      </c>
      <c r="D2173" s="201" t="s">
        <v>1431</v>
      </c>
      <c r="E2173" s="144" t="s">
        <v>1449</v>
      </c>
      <c r="F2173" s="139" t="s">
        <v>88</v>
      </c>
      <c r="G2173" s="144" t="s">
        <v>3728</v>
      </c>
      <c r="H2173" s="146" t="s">
        <v>26</v>
      </c>
      <c r="I2173" s="144" t="s">
        <v>2593</v>
      </c>
    </row>
    <row r="2174" spans="1:9" ht="25.5">
      <c r="A2174" s="193">
        <v>45996</v>
      </c>
      <c r="B2174" s="145" t="s">
        <v>834</v>
      </c>
      <c r="C2174" s="150">
        <v>2025</v>
      </c>
      <c r="D2174" s="201" t="s">
        <v>1431</v>
      </c>
      <c r="E2174" s="144" t="s">
        <v>1449</v>
      </c>
      <c r="F2174" s="139" t="s">
        <v>88</v>
      </c>
      <c r="G2174" s="144" t="s">
        <v>3729</v>
      </c>
      <c r="H2174" s="146" t="s">
        <v>26</v>
      </c>
      <c r="I2174" s="144" t="s">
        <v>2593</v>
      </c>
    </row>
    <row r="2175" spans="1:9" ht="14.1">
      <c r="A2175" s="193">
        <v>45996</v>
      </c>
      <c r="B2175" s="145" t="s">
        <v>834</v>
      </c>
      <c r="C2175" s="150">
        <v>2025</v>
      </c>
      <c r="D2175" s="201" t="s">
        <v>1431</v>
      </c>
      <c r="E2175" s="144" t="s">
        <v>21</v>
      </c>
      <c r="F2175" s="141" t="s">
        <v>821</v>
      </c>
      <c r="G2175" s="144" t="s">
        <v>3730</v>
      </c>
      <c r="H2175" s="146" t="s">
        <v>26</v>
      </c>
      <c r="I2175" s="144" t="s">
        <v>468</v>
      </c>
    </row>
    <row r="2176" spans="1:9" ht="25.5">
      <c r="A2176" s="193">
        <v>45996</v>
      </c>
      <c r="B2176" s="145" t="s">
        <v>834</v>
      </c>
      <c r="C2176" s="150">
        <v>2025</v>
      </c>
      <c r="D2176" s="201" t="s">
        <v>1431</v>
      </c>
      <c r="E2176" s="144" t="s">
        <v>21</v>
      </c>
      <c r="F2176" s="141" t="s">
        <v>821</v>
      </c>
      <c r="G2176" s="144" t="s">
        <v>3731</v>
      </c>
      <c r="H2176" s="146" t="s">
        <v>26</v>
      </c>
      <c r="I2176" s="144" t="s">
        <v>468</v>
      </c>
    </row>
    <row r="2177" spans="1:9" ht="25.5">
      <c r="A2177" s="193">
        <v>45996</v>
      </c>
      <c r="B2177" s="145" t="s">
        <v>834</v>
      </c>
      <c r="C2177" s="150">
        <v>2025</v>
      </c>
      <c r="D2177" s="201" t="s">
        <v>1431</v>
      </c>
      <c r="E2177" s="144" t="s">
        <v>1566</v>
      </c>
      <c r="F2177" s="139" t="s">
        <v>88</v>
      </c>
      <c r="G2177" s="144" t="s">
        <v>3732</v>
      </c>
      <c r="H2177" s="146" t="s">
        <v>26</v>
      </c>
      <c r="I2177" s="144" t="s">
        <v>1588</v>
      </c>
    </row>
    <row r="2178" spans="1:9" ht="38.1">
      <c r="A2178" s="193">
        <v>45996</v>
      </c>
      <c r="B2178" s="145" t="s">
        <v>834</v>
      </c>
      <c r="C2178" s="150">
        <v>2025</v>
      </c>
      <c r="D2178" s="201" t="s">
        <v>1431</v>
      </c>
      <c r="E2178" s="144" t="s">
        <v>1566</v>
      </c>
      <c r="F2178" s="139" t="s">
        <v>88</v>
      </c>
      <c r="G2178" s="144" t="s">
        <v>3733</v>
      </c>
      <c r="H2178" s="146" t="s">
        <v>26</v>
      </c>
      <c r="I2178" s="144" t="s">
        <v>1588</v>
      </c>
    </row>
    <row r="2179" spans="1:9" ht="25.5">
      <c r="A2179" s="193">
        <v>45996</v>
      </c>
      <c r="B2179" s="145" t="s">
        <v>834</v>
      </c>
      <c r="C2179" s="150">
        <v>2025</v>
      </c>
      <c r="D2179" s="201" t="s">
        <v>1431</v>
      </c>
      <c r="E2179" s="144" t="s">
        <v>1566</v>
      </c>
      <c r="F2179" s="139" t="s">
        <v>88</v>
      </c>
      <c r="G2179" s="144" t="s">
        <v>3734</v>
      </c>
      <c r="H2179" s="146" t="s">
        <v>26</v>
      </c>
      <c r="I2179" s="144" t="s">
        <v>1588</v>
      </c>
    </row>
    <row r="2180" spans="1:9" ht="25.5">
      <c r="A2180" s="193">
        <v>45996</v>
      </c>
      <c r="B2180" s="145" t="s">
        <v>834</v>
      </c>
      <c r="C2180" s="150">
        <v>2025</v>
      </c>
      <c r="D2180" s="201" t="s">
        <v>1431</v>
      </c>
      <c r="E2180" s="144" t="s">
        <v>1566</v>
      </c>
      <c r="F2180" s="139" t="s">
        <v>88</v>
      </c>
      <c r="G2180" s="144" t="s">
        <v>3735</v>
      </c>
      <c r="H2180" s="146" t="s">
        <v>26</v>
      </c>
      <c r="I2180" s="144" t="s">
        <v>1588</v>
      </c>
    </row>
    <row r="2181" spans="1:9" ht="50.45">
      <c r="A2181" s="193">
        <v>45996</v>
      </c>
      <c r="B2181" s="145" t="s">
        <v>834</v>
      </c>
      <c r="C2181" s="150">
        <v>2025</v>
      </c>
      <c r="D2181" s="201" t="s">
        <v>2224</v>
      </c>
      <c r="E2181" s="144" t="s">
        <v>1566</v>
      </c>
      <c r="F2181" s="139" t="s">
        <v>88</v>
      </c>
      <c r="G2181" s="144" t="s">
        <v>3736</v>
      </c>
      <c r="H2181" s="146" t="s">
        <v>26</v>
      </c>
      <c r="I2181" s="144" t="s">
        <v>1588</v>
      </c>
    </row>
    <row r="2182" spans="1:9" ht="38.1">
      <c r="A2182" s="193">
        <v>46000</v>
      </c>
      <c r="B2182" s="145" t="s">
        <v>834</v>
      </c>
      <c r="C2182" s="150">
        <v>2025</v>
      </c>
      <c r="D2182" s="201" t="s">
        <v>1431</v>
      </c>
      <c r="E2182" s="144" t="s">
        <v>2585</v>
      </c>
      <c r="F2182" s="139" t="s">
        <v>88</v>
      </c>
      <c r="G2182" s="144" t="s">
        <v>3737</v>
      </c>
      <c r="H2182" s="146" t="s">
        <v>26</v>
      </c>
      <c r="I2182" s="144" t="s">
        <v>3626</v>
      </c>
    </row>
    <row r="2183" spans="1:9" ht="25.5">
      <c r="A2183" s="193">
        <v>46000</v>
      </c>
      <c r="B2183" s="145" t="s">
        <v>834</v>
      </c>
      <c r="C2183" s="150">
        <v>2025</v>
      </c>
      <c r="D2183" s="201" t="s">
        <v>1431</v>
      </c>
      <c r="E2183" s="144" t="s">
        <v>1432</v>
      </c>
      <c r="F2183" s="140" t="s">
        <v>1439</v>
      </c>
      <c r="G2183" s="144" t="s">
        <v>3738</v>
      </c>
      <c r="H2183" s="146" t="s">
        <v>130</v>
      </c>
      <c r="I2183" s="144" t="s">
        <v>925</v>
      </c>
    </row>
    <row r="2184" spans="1:9" ht="25.5">
      <c r="A2184" s="193">
        <v>46000</v>
      </c>
      <c r="B2184" s="145" t="s">
        <v>834</v>
      </c>
      <c r="C2184" s="150">
        <v>2025</v>
      </c>
      <c r="D2184" s="201" t="s">
        <v>1431</v>
      </c>
      <c r="E2184" s="144" t="s">
        <v>1511</v>
      </c>
      <c r="F2184" s="139" t="s">
        <v>88</v>
      </c>
      <c r="G2184" s="144" t="s">
        <v>3739</v>
      </c>
      <c r="H2184" s="146" t="s">
        <v>5511</v>
      </c>
      <c r="I2184" s="144" t="s">
        <v>3740</v>
      </c>
    </row>
    <row r="2185" spans="1:9" ht="25.5">
      <c r="A2185" s="193">
        <v>46000</v>
      </c>
      <c r="B2185" s="145" t="s">
        <v>834</v>
      </c>
      <c r="C2185" s="150">
        <v>2025</v>
      </c>
      <c r="D2185" s="201" t="s">
        <v>1431</v>
      </c>
      <c r="E2185" s="144" t="s">
        <v>1511</v>
      </c>
      <c r="F2185" s="139" t="s">
        <v>88</v>
      </c>
      <c r="G2185" s="144" t="s">
        <v>3741</v>
      </c>
      <c r="H2185" s="146" t="s">
        <v>130</v>
      </c>
      <c r="I2185" s="144" t="s">
        <v>3176</v>
      </c>
    </row>
    <row r="2186" spans="1:9" ht="25.5">
      <c r="A2186" s="193">
        <v>46000</v>
      </c>
      <c r="B2186" s="145" t="s">
        <v>834</v>
      </c>
      <c r="C2186" s="150">
        <v>2025</v>
      </c>
      <c r="D2186" s="201" t="s">
        <v>1431</v>
      </c>
      <c r="E2186" s="144" t="s">
        <v>2437</v>
      </c>
      <c r="F2186" s="140" t="s">
        <v>1439</v>
      </c>
      <c r="G2186" s="144" t="s">
        <v>3742</v>
      </c>
      <c r="H2186" s="146" t="s">
        <v>5511</v>
      </c>
      <c r="I2186" s="144" t="s">
        <v>1998</v>
      </c>
    </row>
    <row r="2187" spans="1:9" ht="25.5">
      <c r="A2187" s="193">
        <v>46000</v>
      </c>
      <c r="B2187" s="145" t="s">
        <v>834</v>
      </c>
      <c r="C2187" s="150">
        <v>2025</v>
      </c>
      <c r="D2187" s="201" t="s">
        <v>1431</v>
      </c>
      <c r="E2187" s="144" t="s">
        <v>1432</v>
      </c>
      <c r="F2187" s="140" t="s">
        <v>1439</v>
      </c>
      <c r="G2187" s="144" t="s">
        <v>3743</v>
      </c>
      <c r="H2187" s="146" t="s">
        <v>26</v>
      </c>
      <c r="I2187" s="144" t="s">
        <v>2150</v>
      </c>
    </row>
    <row r="2188" spans="1:9" ht="14.1">
      <c r="A2188" s="193">
        <v>46000</v>
      </c>
      <c r="B2188" s="145" t="s">
        <v>834</v>
      </c>
      <c r="C2188" s="150">
        <v>2025</v>
      </c>
      <c r="D2188" s="201" t="s">
        <v>1431</v>
      </c>
      <c r="E2188" s="144" t="s">
        <v>1449</v>
      </c>
      <c r="F2188" s="139" t="s">
        <v>88</v>
      </c>
      <c r="G2188" s="144" t="s">
        <v>3744</v>
      </c>
      <c r="H2188" s="146" t="s">
        <v>26</v>
      </c>
      <c r="I2188" s="144" t="s">
        <v>1904</v>
      </c>
    </row>
    <row r="2189" spans="1:9" ht="25.5">
      <c r="A2189" s="193">
        <v>46000</v>
      </c>
      <c r="B2189" s="145" t="s">
        <v>834</v>
      </c>
      <c r="C2189" s="150">
        <v>2025</v>
      </c>
      <c r="D2189" s="201" t="s">
        <v>1431</v>
      </c>
      <c r="E2189" s="144" t="s">
        <v>1449</v>
      </c>
      <c r="F2189" s="139" t="s">
        <v>88</v>
      </c>
      <c r="G2189" s="144" t="s">
        <v>3745</v>
      </c>
      <c r="H2189" s="146" t="s">
        <v>5511</v>
      </c>
      <c r="I2189" s="144" t="s">
        <v>1904</v>
      </c>
    </row>
    <row r="2190" spans="1:9" ht="25.5">
      <c r="A2190" s="193">
        <v>46000</v>
      </c>
      <c r="B2190" s="145" t="s">
        <v>834</v>
      </c>
      <c r="C2190" s="150">
        <v>2025</v>
      </c>
      <c r="D2190" s="201" t="s">
        <v>1431</v>
      </c>
      <c r="E2190" s="144" t="s">
        <v>216</v>
      </c>
      <c r="F2190" s="141" t="s">
        <v>821</v>
      </c>
      <c r="G2190" s="144" t="s">
        <v>3746</v>
      </c>
      <c r="H2190" s="146" t="s">
        <v>26</v>
      </c>
      <c r="I2190" s="144" t="s">
        <v>492</v>
      </c>
    </row>
    <row r="2191" spans="1:9" ht="25.5">
      <c r="A2191" s="193">
        <v>46000</v>
      </c>
      <c r="B2191" s="145" t="s">
        <v>834</v>
      </c>
      <c r="C2191" s="150">
        <v>2025</v>
      </c>
      <c r="D2191" s="201" t="s">
        <v>1431</v>
      </c>
      <c r="E2191" s="144" t="s">
        <v>216</v>
      </c>
      <c r="F2191" s="141" t="s">
        <v>821</v>
      </c>
      <c r="G2191" s="144" t="s">
        <v>3747</v>
      </c>
      <c r="H2191" s="146" t="s">
        <v>26</v>
      </c>
      <c r="I2191" s="144" t="s">
        <v>492</v>
      </c>
    </row>
    <row r="2192" spans="1:9" ht="25.5">
      <c r="A2192" s="193">
        <v>46000</v>
      </c>
      <c r="B2192" s="145" t="s">
        <v>834</v>
      </c>
      <c r="C2192" s="150">
        <v>2025</v>
      </c>
      <c r="D2192" s="201" t="s">
        <v>1431</v>
      </c>
      <c r="E2192" s="144" t="s">
        <v>1449</v>
      </c>
      <c r="F2192" s="139" t="s">
        <v>88</v>
      </c>
      <c r="G2192" s="144" t="s">
        <v>3748</v>
      </c>
      <c r="H2192" s="146" t="s">
        <v>26</v>
      </c>
      <c r="I2192" s="144" t="s">
        <v>2593</v>
      </c>
    </row>
    <row r="2193" spans="1:9" ht="25.5">
      <c r="A2193" s="193">
        <v>46000</v>
      </c>
      <c r="B2193" s="145" t="s">
        <v>834</v>
      </c>
      <c r="C2193" s="150">
        <v>2025</v>
      </c>
      <c r="D2193" s="201" t="s">
        <v>1431</v>
      </c>
      <c r="E2193" s="144" t="s">
        <v>1449</v>
      </c>
      <c r="F2193" s="139" t="s">
        <v>88</v>
      </c>
      <c r="G2193" s="144" t="s">
        <v>3749</v>
      </c>
      <c r="H2193" s="146" t="s">
        <v>26</v>
      </c>
      <c r="I2193" s="144" t="s">
        <v>2593</v>
      </c>
    </row>
    <row r="2194" spans="1:9" ht="38.1">
      <c r="A2194" s="193">
        <v>46000</v>
      </c>
      <c r="B2194" s="145" t="s">
        <v>834</v>
      </c>
      <c r="C2194" s="150">
        <v>2025</v>
      </c>
      <c r="D2194" s="201" t="s">
        <v>1431</v>
      </c>
      <c r="E2194" s="144" t="s">
        <v>216</v>
      </c>
      <c r="F2194" s="139" t="s">
        <v>88</v>
      </c>
      <c r="G2194" s="144" t="s">
        <v>3750</v>
      </c>
      <c r="H2194" s="146" t="s">
        <v>130</v>
      </c>
      <c r="I2194" s="144" t="s">
        <v>492</v>
      </c>
    </row>
    <row r="2195" spans="1:9" ht="38.1">
      <c r="A2195" s="193">
        <v>46000</v>
      </c>
      <c r="B2195" s="145" t="s">
        <v>834</v>
      </c>
      <c r="C2195" s="150">
        <v>2025</v>
      </c>
      <c r="D2195" s="201" t="s">
        <v>2224</v>
      </c>
      <c r="E2195" s="144" t="s">
        <v>1432</v>
      </c>
      <c r="F2195" s="141" t="s">
        <v>821</v>
      </c>
      <c r="G2195" s="144" t="s">
        <v>3751</v>
      </c>
      <c r="H2195" s="146" t="s">
        <v>5511</v>
      </c>
      <c r="I2195" s="144" t="s">
        <v>59</v>
      </c>
    </row>
    <row r="2196" spans="1:9" ht="14.1">
      <c r="A2196" s="193">
        <v>46000</v>
      </c>
      <c r="B2196" s="145" t="s">
        <v>834</v>
      </c>
      <c r="C2196" s="150">
        <v>2025</v>
      </c>
      <c r="D2196" s="201" t="s">
        <v>2224</v>
      </c>
      <c r="E2196" s="144" t="s">
        <v>1511</v>
      </c>
      <c r="F2196" s="139" t="s">
        <v>88</v>
      </c>
      <c r="G2196" s="144" t="s">
        <v>3752</v>
      </c>
      <c r="H2196" s="146" t="s">
        <v>130</v>
      </c>
      <c r="I2196" s="144" t="s">
        <v>2568</v>
      </c>
    </row>
    <row r="2197" spans="1:9" ht="14.1">
      <c r="A2197" s="193">
        <v>46000</v>
      </c>
      <c r="B2197" s="145" t="s">
        <v>834</v>
      </c>
      <c r="C2197" s="150">
        <v>2025</v>
      </c>
      <c r="D2197" s="201" t="s">
        <v>2224</v>
      </c>
      <c r="E2197" s="144" t="s">
        <v>1432</v>
      </c>
      <c r="F2197" s="141" t="s">
        <v>821</v>
      </c>
      <c r="G2197" s="144" t="s">
        <v>3753</v>
      </c>
      <c r="H2197" s="146" t="s">
        <v>5511</v>
      </c>
      <c r="I2197" s="144" t="s">
        <v>2593</v>
      </c>
    </row>
    <row r="2198" spans="1:9" ht="25.5">
      <c r="A2198" s="193">
        <v>46000</v>
      </c>
      <c r="B2198" s="145" t="s">
        <v>834</v>
      </c>
      <c r="C2198" s="150">
        <v>2025</v>
      </c>
      <c r="D2198" s="201" t="s">
        <v>2224</v>
      </c>
      <c r="E2198" s="144" t="s">
        <v>1449</v>
      </c>
      <c r="F2198" s="139" t="s">
        <v>88</v>
      </c>
      <c r="G2198" s="144" t="s">
        <v>3754</v>
      </c>
      <c r="H2198" s="146" t="s">
        <v>26</v>
      </c>
      <c r="I2198" s="144" t="s">
        <v>2593</v>
      </c>
    </row>
    <row r="2199" spans="1:9" ht="14.1">
      <c r="A2199" s="193">
        <v>46000</v>
      </c>
      <c r="B2199" s="145" t="s">
        <v>834</v>
      </c>
      <c r="C2199" s="150">
        <v>2025</v>
      </c>
      <c r="D2199" s="201" t="s">
        <v>1431</v>
      </c>
      <c r="E2199" s="144" t="s">
        <v>1566</v>
      </c>
      <c r="F2199" s="139" t="s">
        <v>88</v>
      </c>
      <c r="G2199" s="144" t="s">
        <v>3755</v>
      </c>
      <c r="H2199" s="146" t="s">
        <v>26</v>
      </c>
      <c r="I2199" s="144" t="s">
        <v>2640</v>
      </c>
    </row>
    <row r="2200" spans="1:9" ht="14.1">
      <c r="A2200" s="193">
        <v>46000</v>
      </c>
      <c r="B2200" s="145" t="s">
        <v>834</v>
      </c>
      <c r="C2200" s="150">
        <v>2025</v>
      </c>
      <c r="D2200" s="201" t="s">
        <v>1431</v>
      </c>
      <c r="E2200" s="144" t="s">
        <v>1566</v>
      </c>
      <c r="F2200" s="139" t="s">
        <v>88</v>
      </c>
      <c r="G2200" s="144" t="s">
        <v>3756</v>
      </c>
      <c r="H2200" s="146" t="s">
        <v>26</v>
      </c>
      <c r="I2200" s="144" t="s">
        <v>2640</v>
      </c>
    </row>
    <row r="2201" spans="1:9" ht="25.5">
      <c r="A2201" s="193">
        <v>46001</v>
      </c>
      <c r="B2201" s="145" t="s">
        <v>834</v>
      </c>
      <c r="C2201" s="150">
        <v>2025</v>
      </c>
      <c r="D2201" s="201" t="s">
        <v>1431</v>
      </c>
      <c r="E2201" s="144" t="s">
        <v>3217</v>
      </c>
      <c r="F2201" s="139" t="s">
        <v>88</v>
      </c>
      <c r="G2201" s="144" t="s">
        <v>3757</v>
      </c>
      <c r="H2201" s="146" t="s">
        <v>26</v>
      </c>
      <c r="I2201" s="144" t="s">
        <v>3758</v>
      </c>
    </row>
    <row r="2202" spans="1:9" ht="14.1">
      <c r="A2202" s="193">
        <v>46001</v>
      </c>
      <c r="B2202" s="145" t="s">
        <v>834</v>
      </c>
      <c r="C2202" s="150">
        <v>2025</v>
      </c>
      <c r="D2202" s="201" t="s">
        <v>1431</v>
      </c>
      <c r="E2202" s="144" t="s">
        <v>21</v>
      </c>
      <c r="F2202" s="141" t="s">
        <v>821</v>
      </c>
      <c r="G2202" s="144" t="s">
        <v>3759</v>
      </c>
      <c r="H2202" s="146" t="s">
        <v>26</v>
      </c>
      <c r="I2202" s="144" t="s">
        <v>468</v>
      </c>
    </row>
    <row r="2203" spans="1:9" ht="14.1">
      <c r="A2203" s="193">
        <v>46001</v>
      </c>
      <c r="B2203" s="145" t="s">
        <v>834</v>
      </c>
      <c r="C2203" s="150">
        <v>2025</v>
      </c>
      <c r="D2203" s="201" t="s">
        <v>1431</v>
      </c>
      <c r="E2203" s="144" t="s">
        <v>3011</v>
      </c>
      <c r="F2203" s="147" t="s">
        <v>859</v>
      </c>
      <c r="G2203" s="144" t="s">
        <v>3760</v>
      </c>
      <c r="H2203" s="146" t="s">
        <v>26</v>
      </c>
      <c r="I2203" s="144" t="s">
        <v>2599</v>
      </c>
    </row>
    <row r="2204" spans="1:9" ht="14.1">
      <c r="A2204" s="193">
        <v>46001</v>
      </c>
      <c r="B2204" s="145" t="s">
        <v>834</v>
      </c>
      <c r="C2204" s="150">
        <v>2025</v>
      </c>
      <c r="D2204" s="201" t="s">
        <v>1431</v>
      </c>
      <c r="E2204" s="144" t="s">
        <v>3217</v>
      </c>
      <c r="F2204" s="139" t="s">
        <v>88</v>
      </c>
      <c r="G2204" s="144" t="s">
        <v>3761</v>
      </c>
      <c r="H2204" s="146" t="s">
        <v>26</v>
      </c>
      <c r="I2204" s="144" t="s">
        <v>3758</v>
      </c>
    </row>
    <row r="2205" spans="1:9" ht="14.1">
      <c r="A2205" s="193">
        <v>46001</v>
      </c>
      <c r="B2205" s="145" t="s">
        <v>834</v>
      </c>
      <c r="C2205" s="150">
        <v>2025</v>
      </c>
      <c r="D2205" s="201" t="s">
        <v>1431</v>
      </c>
      <c r="E2205" s="144" t="s">
        <v>216</v>
      </c>
      <c r="F2205" s="141" t="s">
        <v>821</v>
      </c>
      <c r="G2205" s="144" t="s">
        <v>3762</v>
      </c>
      <c r="H2205" s="146" t="s">
        <v>26</v>
      </c>
      <c r="I2205" s="144" t="s">
        <v>492</v>
      </c>
    </row>
    <row r="2206" spans="1:9" ht="14.1">
      <c r="A2206" s="193">
        <v>46001</v>
      </c>
      <c r="B2206" s="145" t="s">
        <v>834</v>
      </c>
      <c r="C2206" s="150">
        <v>2025</v>
      </c>
      <c r="D2206" s="201" t="s">
        <v>1431</v>
      </c>
      <c r="E2206" s="144" t="s">
        <v>216</v>
      </c>
      <c r="F2206" s="141" t="s">
        <v>821</v>
      </c>
      <c r="G2206" s="144" t="s">
        <v>3763</v>
      </c>
      <c r="H2206" s="146" t="s">
        <v>26</v>
      </c>
      <c r="I2206" s="144" t="s">
        <v>492</v>
      </c>
    </row>
    <row r="2207" spans="1:9" ht="14.1">
      <c r="A2207" s="193">
        <v>46001</v>
      </c>
      <c r="B2207" s="145" t="s">
        <v>834</v>
      </c>
      <c r="C2207" s="150">
        <v>2025</v>
      </c>
      <c r="D2207" s="201" t="s">
        <v>1431</v>
      </c>
      <c r="E2207" s="144" t="s">
        <v>21</v>
      </c>
      <c r="F2207" s="141" t="s">
        <v>821</v>
      </c>
      <c r="G2207" s="144" t="s">
        <v>3764</v>
      </c>
      <c r="H2207" s="146" t="s">
        <v>26</v>
      </c>
      <c r="I2207" s="144" t="s">
        <v>468</v>
      </c>
    </row>
    <row r="2208" spans="1:9" ht="38.1">
      <c r="A2208" s="193">
        <v>46001</v>
      </c>
      <c r="B2208" s="145" t="s">
        <v>834</v>
      </c>
      <c r="C2208" s="150">
        <v>2025</v>
      </c>
      <c r="D2208" s="201" t="s">
        <v>1431</v>
      </c>
      <c r="E2208" s="144" t="s">
        <v>1566</v>
      </c>
      <c r="F2208" s="139" t="s">
        <v>88</v>
      </c>
      <c r="G2208" s="144" t="s">
        <v>3765</v>
      </c>
      <c r="H2208" s="146" t="s">
        <v>26</v>
      </c>
      <c r="I2208" s="144" t="s">
        <v>2700</v>
      </c>
    </row>
    <row r="2209" spans="1:9" ht="14.1">
      <c r="A2209" s="193">
        <v>46001</v>
      </c>
      <c r="B2209" s="145" t="s">
        <v>834</v>
      </c>
      <c r="C2209" s="150">
        <v>2025</v>
      </c>
      <c r="D2209" s="201" t="s">
        <v>2224</v>
      </c>
      <c r="E2209" s="144" t="s">
        <v>1432</v>
      </c>
      <c r="F2209" s="139" t="s">
        <v>88</v>
      </c>
      <c r="G2209" s="144" t="s">
        <v>3766</v>
      </c>
      <c r="H2209" s="146" t="s">
        <v>26</v>
      </c>
      <c r="I2209" s="144" t="s">
        <v>59</v>
      </c>
    </row>
    <row r="2210" spans="1:9" ht="14.1">
      <c r="A2210" s="193">
        <v>46001</v>
      </c>
      <c r="B2210" s="145" t="s">
        <v>834</v>
      </c>
      <c r="C2210" s="150">
        <v>2025</v>
      </c>
      <c r="D2210" s="201" t="s">
        <v>2224</v>
      </c>
      <c r="E2210" s="144" t="s">
        <v>21</v>
      </c>
      <c r="F2210" s="141" t="s">
        <v>821</v>
      </c>
      <c r="G2210" s="144" t="s">
        <v>3767</v>
      </c>
      <c r="H2210" s="146" t="s">
        <v>26</v>
      </c>
      <c r="I2210" s="144" t="s">
        <v>468</v>
      </c>
    </row>
    <row r="2211" spans="1:9" ht="14.1">
      <c r="A2211" s="193">
        <v>46001</v>
      </c>
      <c r="B2211" s="145" t="s">
        <v>834</v>
      </c>
      <c r="C2211" s="150">
        <v>2025</v>
      </c>
      <c r="D2211" s="201" t="s">
        <v>2224</v>
      </c>
      <c r="E2211" s="144" t="s">
        <v>1508</v>
      </c>
      <c r="F2211" s="139" t="s">
        <v>88</v>
      </c>
      <c r="G2211" s="144" t="s">
        <v>3768</v>
      </c>
      <c r="H2211" s="146" t="s">
        <v>26</v>
      </c>
      <c r="I2211" s="144" t="s">
        <v>3769</v>
      </c>
    </row>
    <row r="2212" spans="1:9" ht="25.5">
      <c r="A2212" s="193">
        <v>46003</v>
      </c>
      <c r="B2212" s="145" t="s">
        <v>834</v>
      </c>
      <c r="C2212" s="150">
        <v>2025</v>
      </c>
      <c r="D2212" s="201" t="s">
        <v>1431</v>
      </c>
      <c r="E2212" s="144" t="s">
        <v>1432</v>
      </c>
      <c r="F2212" s="140" t="s">
        <v>1439</v>
      </c>
      <c r="G2212" s="144" t="s">
        <v>3770</v>
      </c>
      <c r="H2212" s="146" t="s">
        <v>26</v>
      </c>
      <c r="I2212" s="144" t="s">
        <v>925</v>
      </c>
    </row>
    <row r="2213" spans="1:9" ht="14.1">
      <c r="A2213" s="193">
        <v>46003</v>
      </c>
      <c r="B2213" s="145" t="s">
        <v>834</v>
      </c>
      <c r="C2213" s="150">
        <v>2025</v>
      </c>
      <c r="D2213" s="201" t="s">
        <v>1431</v>
      </c>
      <c r="E2213" s="144" t="s">
        <v>1432</v>
      </c>
      <c r="F2213" s="140" t="s">
        <v>1439</v>
      </c>
      <c r="G2213" s="144" t="s">
        <v>3771</v>
      </c>
      <c r="H2213" s="146" t="s">
        <v>26</v>
      </c>
      <c r="I2213" s="144" t="s">
        <v>925</v>
      </c>
    </row>
    <row r="2214" spans="1:9" ht="25.5">
      <c r="A2214" s="193">
        <v>46003</v>
      </c>
      <c r="B2214" s="145" t="s">
        <v>834</v>
      </c>
      <c r="C2214" s="150">
        <v>2025</v>
      </c>
      <c r="D2214" s="201" t="s">
        <v>1431</v>
      </c>
      <c r="E2214" s="144" t="s">
        <v>3772</v>
      </c>
      <c r="F2214" s="139" t="s">
        <v>88</v>
      </c>
      <c r="G2214" s="144" t="s">
        <v>3773</v>
      </c>
      <c r="H2214" s="146" t="s">
        <v>130</v>
      </c>
      <c r="I2214" s="144" t="s">
        <v>3774</v>
      </c>
    </row>
    <row r="2215" spans="1:9" ht="25.5">
      <c r="A2215" s="193">
        <v>46003</v>
      </c>
      <c r="B2215" s="145" t="s">
        <v>834</v>
      </c>
      <c r="C2215" s="150">
        <v>2025</v>
      </c>
      <c r="D2215" s="201" t="s">
        <v>1431</v>
      </c>
      <c r="E2215" s="144" t="s">
        <v>3772</v>
      </c>
      <c r="F2215" s="139" t="s">
        <v>88</v>
      </c>
      <c r="G2215" s="144" t="s">
        <v>3775</v>
      </c>
      <c r="H2215" s="146" t="s">
        <v>130</v>
      </c>
      <c r="I2215" s="144" t="s">
        <v>3776</v>
      </c>
    </row>
    <row r="2216" spans="1:9" ht="25.5">
      <c r="A2216" s="193">
        <v>46003</v>
      </c>
      <c r="B2216" s="145" t="s">
        <v>834</v>
      </c>
      <c r="C2216" s="150">
        <v>2025</v>
      </c>
      <c r="D2216" s="201" t="s">
        <v>1431</v>
      </c>
      <c r="E2216" s="144" t="s">
        <v>1511</v>
      </c>
      <c r="F2216" s="139" t="s">
        <v>88</v>
      </c>
      <c r="G2216" s="144" t="s">
        <v>3777</v>
      </c>
      <c r="H2216" s="146" t="s">
        <v>130</v>
      </c>
      <c r="I2216" s="144" t="s">
        <v>1493</v>
      </c>
    </row>
    <row r="2217" spans="1:9" ht="14.1">
      <c r="A2217" s="193">
        <v>46003</v>
      </c>
      <c r="B2217" s="145" t="s">
        <v>834</v>
      </c>
      <c r="C2217" s="150">
        <v>2025</v>
      </c>
      <c r="D2217" s="201" t="s">
        <v>1431</v>
      </c>
      <c r="E2217" s="144" t="s">
        <v>2595</v>
      </c>
      <c r="F2217" s="139" t="s">
        <v>88</v>
      </c>
      <c r="G2217" s="144" t="s">
        <v>3778</v>
      </c>
      <c r="H2217" s="146" t="s">
        <v>130</v>
      </c>
      <c r="I2217" s="144" t="s">
        <v>3516</v>
      </c>
    </row>
    <row r="2218" spans="1:9" ht="25.5">
      <c r="A2218" s="193">
        <v>46003</v>
      </c>
      <c r="B2218" s="145" t="s">
        <v>834</v>
      </c>
      <c r="C2218" s="150">
        <v>2025</v>
      </c>
      <c r="D2218" s="201" t="s">
        <v>1431</v>
      </c>
      <c r="E2218" s="144" t="s">
        <v>216</v>
      </c>
      <c r="F2218" s="141" t="s">
        <v>821</v>
      </c>
      <c r="G2218" s="144" t="s">
        <v>3779</v>
      </c>
      <c r="H2218" s="146" t="s">
        <v>26</v>
      </c>
      <c r="I2218" s="144" t="s">
        <v>492</v>
      </c>
    </row>
    <row r="2219" spans="1:9" ht="25.5">
      <c r="A2219" s="193">
        <v>46003</v>
      </c>
      <c r="B2219" s="145" t="s">
        <v>834</v>
      </c>
      <c r="C2219" s="150">
        <v>2025</v>
      </c>
      <c r="D2219" s="201" t="s">
        <v>1431</v>
      </c>
      <c r="E2219" s="144" t="s">
        <v>216</v>
      </c>
      <c r="F2219" s="141" t="s">
        <v>821</v>
      </c>
      <c r="G2219" s="144" t="s">
        <v>3780</v>
      </c>
      <c r="H2219" s="146" t="s">
        <v>130</v>
      </c>
      <c r="I2219" s="144" t="s">
        <v>492</v>
      </c>
    </row>
    <row r="2220" spans="1:9" ht="25.5">
      <c r="A2220" s="193">
        <v>46003</v>
      </c>
      <c r="B2220" s="145" t="s">
        <v>834</v>
      </c>
      <c r="C2220" s="150">
        <v>2025</v>
      </c>
      <c r="D2220" s="201" t="s">
        <v>1431</v>
      </c>
      <c r="E2220" s="144" t="s">
        <v>1449</v>
      </c>
      <c r="F2220" s="139" t="s">
        <v>88</v>
      </c>
      <c r="G2220" s="144" t="s">
        <v>3781</v>
      </c>
      <c r="H2220" s="146" t="s">
        <v>26</v>
      </c>
      <c r="I2220" s="144" t="s">
        <v>2593</v>
      </c>
    </row>
    <row r="2221" spans="1:9" ht="50.45">
      <c r="A2221" s="193">
        <v>46003</v>
      </c>
      <c r="B2221" s="145" t="s">
        <v>834</v>
      </c>
      <c r="C2221" s="150">
        <v>2025</v>
      </c>
      <c r="D2221" s="201" t="s">
        <v>1431</v>
      </c>
      <c r="E2221" s="144" t="s">
        <v>1449</v>
      </c>
      <c r="F2221" s="139" t="s">
        <v>88</v>
      </c>
      <c r="G2221" s="144" t="s">
        <v>3782</v>
      </c>
      <c r="H2221" s="146" t="s">
        <v>26</v>
      </c>
      <c r="I2221" s="144" t="s">
        <v>2593</v>
      </c>
    </row>
    <row r="2222" spans="1:9" ht="25.5">
      <c r="A2222" s="193">
        <v>46003</v>
      </c>
      <c r="B2222" s="145" t="s">
        <v>834</v>
      </c>
      <c r="C2222" s="150">
        <v>2025</v>
      </c>
      <c r="D2222" s="201" t="s">
        <v>1431</v>
      </c>
      <c r="E2222" s="144" t="s">
        <v>1608</v>
      </c>
      <c r="F2222" s="141" t="s">
        <v>821</v>
      </c>
      <c r="G2222" s="144" t="s">
        <v>2849</v>
      </c>
      <c r="H2222" s="146" t="s">
        <v>26</v>
      </c>
      <c r="I2222" s="144" t="s">
        <v>3561</v>
      </c>
    </row>
    <row r="2223" spans="1:9" ht="25.5">
      <c r="A2223" s="193">
        <v>46003</v>
      </c>
      <c r="B2223" s="145" t="s">
        <v>834</v>
      </c>
      <c r="C2223" s="150">
        <v>2025</v>
      </c>
      <c r="D2223" s="201" t="s">
        <v>2224</v>
      </c>
      <c r="E2223" s="144" t="s">
        <v>1449</v>
      </c>
      <c r="F2223" s="139" t="s">
        <v>88</v>
      </c>
      <c r="G2223" s="144" t="s">
        <v>3783</v>
      </c>
      <c r="H2223" s="146" t="s">
        <v>26</v>
      </c>
      <c r="I2223" s="144" t="s">
        <v>2593</v>
      </c>
    </row>
    <row r="2224" spans="1:9" ht="38.1">
      <c r="A2224" s="193">
        <v>46003</v>
      </c>
      <c r="B2224" s="145" t="s">
        <v>834</v>
      </c>
      <c r="C2224" s="150">
        <v>2025</v>
      </c>
      <c r="D2224" s="201" t="s">
        <v>2224</v>
      </c>
      <c r="E2224" s="144" t="s">
        <v>1449</v>
      </c>
      <c r="F2224" s="139" t="s">
        <v>88</v>
      </c>
      <c r="G2224" s="144" t="s">
        <v>3784</v>
      </c>
      <c r="H2224" s="146" t="s">
        <v>26</v>
      </c>
      <c r="I2224" s="144" t="s">
        <v>2593</v>
      </c>
    </row>
    <row r="2225" spans="1:9" ht="25.5">
      <c r="A2225" s="193">
        <v>46007</v>
      </c>
      <c r="B2225" s="145" t="s">
        <v>834</v>
      </c>
      <c r="C2225" s="150">
        <v>2025</v>
      </c>
      <c r="D2225" s="201" t="s">
        <v>1431</v>
      </c>
      <c r="E2225" s="144" t="s">
        <v>2437</v>
      </c>
      <c r="F2225" s="140" t="s">
        <v>1439</v>
      </c>
      <c r="G2225" s="144" t="s">
        <v>3785</v>
      </c>
      <c r="H2225" s="146" t="s">
        <v>5511</v>
      </c>
      <c r="I2225" s="144" t="s">
        <v>1436</v>
      </c>
    </row>
    <row r="2226" spans="1:9" ht="14.1">
      <c r="A2226" s="193">
        <v>46007</v>
      </c>
      <c r="B2226" s="145" t="s">
        <v>834</v>
      </c>
      <c r="C2226" s="150">
        <v>2025</v>
      </c>
      <c r="D2226" s="201" t="s">
        <v>1431</v>
      </c>
      <c r="E2226" s="144" t="s">
        <v>2595</v>
      </c>
      <c r="F2226" s="139" t="s">
        <v>88</v>
      </c>
      <c r="G2226" s="144" t="s">
        <v>3786</v>
      </c>
      <c r="H2226" s="146" t="s">
        <v>5511</v>
      </c>
      <c r="I2226" s="144" t="s">
        <v>1436</v>
      </c>
    </row>
    <row r="2227" spans="1:9" ht="14.1">
      <c r="A2227" s="193">
        <v>46007</v>
      </c>
      <c r="B2227" s="145" t="s">
        <v>834</v>
      </c>
      <c r="C2227" s="150">
        <v>2025</v>
      </c>
      <c r="D2227" s="201" t="s">
        <v>1431</v>
      </c>
      <c r="E2227" s="144" t="s">
        <v>2595</v>
      </c>
      <c r="F2227" s="139" t="s">
        <v>88</v>
      </c>
      <c r="G2227" s="144" t="s">
        <v>3787</v>
      </c>
      <c r="H2227" s="146" t="s">
        <v>5511</v>
      </c>
      <c r="I2227" s="144" t="s">
        <v>1436</v>
      </c>
    </row>
    <row r="2228" spans="1:9" ht="25.5">
      <c r="A2228" s="193">
        <v>46007</v>
      </c>
      <c r="B2228" s="145" t="s">
        <v>834</v>
      </c>
      <c r="C2228" s="150">
        <v>2025</v>
      </c>
      <c r="D2228" s="201" t="s">
        <v>1431</v>
      </c>
      <c r="E2228" s="144" t="s">
        <v>3011</v>
      </c>
      <c r="F2228" s="147" t="s">
        <v>859</v>
      </c>
      <c r="G2228" s="144" t="s">
        <v>3788</v>
      </c>
      <c r="H2228" s="146" t="s">
        <v>5511</v>
      </c>
      <c r="I2228" s="144" t="s">
        <v>1436</v>
      </c>
    </row>
    <row r="2229" spans="1:9" ht="38.1">
      <c r="A2229" s="193">
        <v>46007</v>
      </c>
      <c r="B2229" s="145" t="s">
        <v>834</v>
      </c>
      <c r="C2229" s="150">
        <v>2025</v>
      </c>
      <c r="D2229" s="201" t="s">
        <v>1431</v>
      </c>
      <c r="E2229" s="144" t="s">
        <v>1432</v>
      </c>
      <c r="F2229" s="141" t="s">
        <v>821</v>
      </c>
      <c r="G2229" s="144" t="s">
        <v>3789</v>
      </c>
      <c r="H2229" s="146" t="s">
        <v>5511</v>
      </c>
      <c r="I2229" s="144" t="s">
        <v>1436</v>
      </c>
    </row>
    <row r="2230" spans="1:9" ht="25.5">
      <c r="A2230" s="193">
        <v>46007</v>
      </c>
      <c r="B2230" s="145" t="s">
        <v>834</v>
      </c>
      <c r="C2230" s="150">
        <v>2025</v>
      </c>
      <c r="D2230" s="201" t="s">
        <v>1431</v>
      </c>
      <c r="E2230" s="144" t="s">
        <v>1432</v>
      </c>
      <c r="F2230" s="147" t="s">
        <v>859</v>
      </c>
      <c r="G2230" s="144" t="s">
        <v>3790</v>
      </c>
      <c r="H2230" s="146" t="s">
        <v>5511</v>
      </c>
      <c r="I2230" s="144" t="s">
        <v>1436</v>
      </c>
    </row>
    <row r="2231" spans="1:9" ht="38.1">
      <c r="A2231" s="193">
        <v>46007</v>
      </c>
      <c r="B2231" s="145" t="s">
        <v>834</v>
      </c>
      <c r="C2231" s="150">
        <v>2025</v>
      </c>
      <c r="D2231" s="201" t="s">
        <v>1431</v>
      </c>
      <c r="E2231" s="144" t="s">
        <v>1518</v>
      </c>
      <c r="F2231" s="139" t="s">
        <v>88</v>
      </c>
      <c r="G2231" s="144" t="s">
        <v>3791</v>
      </c>
      <c r="H2231" s="146" t="s">
        <v>5511</v>
      </c>
      <c r="I2231" s="144" t="s">
        <v>1436</v>
      </c>
    </row>
    <row r="2232" spans="1:9" ht="25.5">
      <c r="A2232" s="193">
        <v>46007</v>
      </c>
      <c r="B2232" s="145" t="s">
        <v>834</v>
      </c>
      <c r="C2232" s="150">
        <v>2025</v>
      </c>
      <c r="D2232" s="201" t="s">
        <v>1431</v>
      </c>
      <c r="E2232" s="144" t="s">
        <v>216</v>
      </c>
      <c r="F2232" s="139" t="s">
        <v>88</v>
      </c>
      <c r="G2232" s="144" t="s">
        <v>3792</v>
      </c>
      <c r="H2232" s="146" t="s">
        <v>26</v>
      </c>
      <c r="I2232" s="144" t="s">
        <v>1436</v>
      </c>
    </row>
    <row r="2233" spans="1:9" ht="63">
      <c r="A2233" s="193">
        <v>46008</v>
      </c>
      <c r="B2233" s="145" t="s">
        <v>834</v>
      </c>
      <c r="C2233" s="150">
        <v>2025</v>
      </c>
      <c r="D2233" s="201" t="s">
        <v>1431</v>
      </c>
      <c r="E2233" s="144" t="s">
        <v>3772</v>
      </c>
      <c r="F2233" s="142" t="s">
        <v>872</v>
      </c>
      <c r="G2233" s="144" t="s">
        <v>3793</v>
      </c>
      <c r="H2233" s="146" t="s">
        <v>5511</v>
      </c>
      <c r="I2233" s="144" t="s">
        <v>1436</v>
      </c>
    </row>
    <row r="2234" spans="1:9" ht="25.5">
      <c r="A2234" s="193">
        <v>46008</v>
      </c>
      <c r="B2234" s="145" t="s">
        <v>834</v>
      </c>
      <c r="C2234" s="150">
        <v>2025</v>
      </c>
      <c r="D2234" s="201" t="s">
        <v>1431</v>
      </c>
      <c r="E2234" s="144" t="s">
        <v>2437</v>
      </c>
      <c r="F2234" s="139" t="s">
        <v>88</v>
      </c>
      <c r="G2234" s="144" t="s">
        <v>3794</v>
      </c>
      <c r="H2234" s="146" t="s">
        <v>5511</v>
      </c>
      <c r="I2234" s="144" t="s">
        <v>1436</v>
      </c>
    </row>
    <row r="2235" spans="1:9" ht="25.5">
      <c r="A2235" s="193">
        <v>46008</v>
      </c>
      <c r="B2235" s="145" t="s">
        <v>834</v>
      </c>
      <c r="C2235" s="150">
        <v>2025</v>
      </c>
      <c r="D2235" s="201" t="s">
        <v>1431</v>
      </c>
      <c r="E2235" s="144" t="s">
        <v>1518</v>
      </c>
      <c r="F2235" s="141" t="s">
        <v>821</v>
      </c>
      <c r="G2235" s="144" t="s">
        <v>3795</v>
      </c>
      <c r="H2235" s="146" t="s">
        <v>26</v>
      </c>
      <c r="I2235" s="144" t="s">
        <v>1436</v>
      </c>
    </row>
    <row r="2236" spans="1:9" ht="38.1">
      <c r="A2236" s="193">
        <v>46008</v>
      </c>
      <c r="B2236" s="145" t="s">
        <v>834</v>
      </c>
      <c r="C2236" s="150">
        <v>2025</v>
      </c>
      <c r="D2236" s="201" t="s">
        <v>1431</v>
      </c>
      <c r="E2236" s="144" t="s">
        <v>21</v>
      </c>
      <c r="F2236" s="141" t="s">
        <v>821</v>
      </c>
      <c r="G2236" s="144" t="s">
        <v>3796</v>
      </c>
      <c r="H2236" s="146" t="s">
        <v>26</v>
      </c>
      <c r="I2236" s="144" t="s">
        <v>1436</v>
      </c>
    </row>
    <row r="2237" spans="1:9" ht="25.5">
      <c r="A2237" s="193">
        <v>46008</v>
      </c>
      <c r="B2237" s="145" t="s">
        <v>834</v>
      </c>
      <c r="C2237" s="150">
        <v>2025</v>
      </c>
      <c r="D2237" s="201" t="s">
        <v>1431</v>
      </c>
      <c r="E2237" s="144" t="s">
        <v>21</v>
      </c>
      <c r="F2237" s="141" t="s">
        <v>821</v>
      </c>
      <c r="G2237" s="144" t="s">
        <v>3797</v>
      </c>
      <c r="H2237" s="146" t="s">
        <v>26</v>
      </c>
      <c r="I2237" s="144" t="s">
        <v>1436</v>
      </c>
    </row>
    <row r="2238" spans="1:9" ht="38.1">
      <c r="A2238" s="193">
        <v>46008</v>
      </c>
      <c r="B2238" s="145" t="s">
        <v>834</v>
      </c>
      <c r="C2238" s="150">
        <v>2025</v>
      </c>
      <c r="D2238" s="201" t="s">
        <v>1431</v>
      </c>
      <c r="E2238" s="144" t="s">
        <v>1511</v>
      </c>
      <c r="F2238" s="139" t="s">
        <v>88</v>
      </c>
      <c r="G2238" s="144" t="s">
        <v>3798</v>
      </c>
      <c r="H2238" s="146" t="s">
        <v>5511</v>
      </c>
      <c r="I2238" s="144" t="s">
        <v>1436</v>
      </c>
    </row>
    <row r="2239" spans="1:9" ht="14.1">
      <c r="A2239" s="193">
        <v>46009</v>
      </c>
      <c r="B2239" s="145" t="s">
        <v>834</v>
      </c>
      <c r="C2239" s="150">
        <v>2025</v>
      </c>
      <c r="D2239" s="201" t="s">
        <v>1431</v>
      </c>
      <c r="E2239" s="144" t="s">
        <v>3655</v>
      </c>
      <c r="F2239" s="139" t="s">
        <v>88</v>
      </c>
      <c r="G2239" s="144" t="s">
        <v>3799</v>
      </c>
      <c r="H2239" s="146" t="s">
        <v>26</v>
      </c>
      <c r="I2239" s="144" t="s">
        <v>1436</v>
      </c>
    </row>
    <row r="2240" spans="1:9" ht="14.1">
      <c r="A2240" s="193">
        <v>46009</v>
      </c>
      <c r="B2240" s="145" t="s">
        <v>834</v>
      </c>
      <c r="C2240" s="150">
        <v>2025</v>
      </c>
      <c r="D2240" s="201" t="s">
        <v>1431</v>
      </c>
      <c r="E2240" s="144" t="s">
        <v>216</v>
      </c>
      <c r="F2240" s="141" t="s">
        <v>821</v>
      </c>
      <c r="G2240" s="144" t="s">
        <v>3800</v>
      </c>
      <c r="H2240" s="146" t="s">
        <v>26</v>
      </c>
      <c r="I2240" s="144" t="s">
        <v>1436</v>
      </c>
    </row>
    <row r="2241" spans="1:9" ht="14.1">
      <c r="A2241" s="193">
        <v>46009</v>
      </c>
      <c r="B2241" s="145" t="s">
        <v>834</v>
      </c>
      <c r="C2241" s="150">
        <v>2025</v>
      </c>
      <c r="D2241" s="201" t="s">
        <v>1431</v>
      </c>
      <c r="E2241" s="144" t="s">
        <v>21</v>
      </c>
      <c r="F2241" s="141" t="s">
        <v>821</v>
      </c>
      <c r="G2241" s="144" t="s">
        <v>3801</v>
      </c>
      <c r="H2241" s="146" t="s">
        <v>26</v>
      </c>
      <c r="I2241" s="144" t="s">
        <v>1436</v>
      </c>
    </row>
    <row r="2242" spans="1:9" ht="14.1">
      <c r="A2242" s="193">
        <v>46009</v>
      </c>
      <c r="B2242" s="145" t="s">
        <v>834</v>
      </c>
      <c r="C2242" s="150">
        <v>2025</v>
      </c>
      <c r="D2242" s="201" t="s">
        <v>2224</v>
      </c>
      <c r="E2242" s="144" t="s">
        <v>21</v>
      </c>
      <c r="F2242" s="141" t="s">
        <v>821</v>
      </c>
      <c r="G2242" s="144" t="s">
        <v>3802</v>
      </c>
      <c r="H2242" s="146" t="s">
        <v>26</v>
      </c>
      <c r="I2242" s="144" t="s">
        <v>1436</v>
      </c>
    </row>
    <row r="2243" spans="1:9" ht="25.5">
      <c r="A2243" s="193">
        <v>46010</v>
      </c>
      <c r="B2243" s="145" t="s">
        <v>834</v>
      </c>
      <c r="C2243" s="150">
        <v>2025</v>
      </c>
      <c r="D2243" s="201" t="s">
        <v>1431</v>
      </c>
      <c r="E2243" s="144" t="s">
        <v>2595</v>
      </c>
      <c r="F2243" s="139" t="s">
        <v>88</v>
      </c>
      <c r="G2243" s="144" t="s">
        <v>3803</v>
      </c>
      <c r="H2243" s="146" t="s">
        <v>26</v>
      </c>
      <c r="I2243" s="144" t="s">
        <v>1436</v>
      </c>
    </row>
    <row r="2244" spans="1:9" ht="25.5">
      <c r="A2244" s="193">
        <v>46010</v>
      </c>
      <c r="B2244" s="145" t="s">
        <v>834</v>
      </c>
      <c r="C2244" s="150">
        <v>2025</v>
      </c>
      <c r="D2244" s="201" t="s">
        <v>1431</v>
      </c>
      <c r="E2244" s="144" t="s">
        <v>216</v>
      </c>
      <c r="F2244" s="139" t="s">
        <v>88</v>
      </c>
      <c r="G2244" s="144" t="s">
        <v>3804</v>
      </c>
      <c r="H2244" s="146" t="s">
        <v>26</v>
      </c>
      <c r="I2244" s="144" t="s">
        <v>1436</v>
      </c>
    </row>
    <row r="2245" spans="1:9" ht="14.1">
      <c r="A2245" s="193">
        <v>46010</v>
      </c>
      <c r="B2245" s="145" t="s">
        <v>834</v>
      </c>
      <c r="C2245" s="150">
        <v>2025</v>
      </c>
      <c r="D2245" s="201" t="s">
        <v>1431</v>
      </c>
      <c r="E2245" s="144" t="s">
        <v>1566</v>
      </c>
      <c r="F2245" s="139" t="s">
        <v>88</v>
      </c>
      <c r="G2245" s="144" t="s">
        <v>3805</v>
      </c>
      <c r="H2245" s="146" t="s">
        <v>26</v>
      </c>
      <c r="I2245" s="144" t="s">
        <v>1436</v>
      </c>
    </row>
    <row r="2246" spans="1:9" ht="14.1">
      <c r="A2246" s="193">
        <v>46013</v>
      </c>
      <c r="B2246" s="145" t="s">
        <v>834</v>
      </c>
      <c r="C2246" s="150">
        <v>2025</v>
      </c>
      <c r="D2246" s="201" t="s">
        <v>1431</v>
      </c>
      <c r="E2246" s="144" t="s">
        <v>1566</v>
      </c>
      <c r="F2246" s="139" t="s">
        <v>88</v>
      </c>
      <c r="G2246" s="144" t="s">
        <v>3806</v>
      </c>
      <c r="H2246" s="146" t="s">
        <v>26</v>
      </c>
      <c r="I2246" s="144" t="s">
        <v>1436</v>
      </c>
    </row>
    <row r="2247" spans="1:9" ht="14.1">
      <c r="A2247" s="193">
        <v>46013</v>
      </c>
      <c r="B2247" s="145" t="s">
        <v>834</v>
      </c>
      <c r="C2247" s="150">
        <v>2025</v>
      </c>
      <c r="D2247" s="201" t="s">
        <v>1431</v>
      </c>
      <c r="E2247" s="144" t="s">
        <v>21</v>
      </c>
      <c r="F2247" s="141" t="s">
        <v>821</v>
      </c>
      <c r="G2247" s="144" t="s">
        <v>3807</v>
      </c>
      <c r="H2247" s="146" t="s">
        <v>26</v>
      </c>
      <c r="I2247" s="144" t="s">
        <v>1436</v>
      </c>
    </row>
    <row r="2248" spans="1:9" ht="14.1">
      <c r="A2248" s="193">
        <v>46013</v>
      </c>
      <c r="B2248" s="145" t="s">
        <v>834</v>
      </c>
      <c r="C2248" s="150">
        <v>2025</v>
      </c>
      <c r="D2248" s="201" t="s">
        <v>1431</v>
      </c>
      <c r="E2248" s="144" t="s">
        <v>3808</v>
      </c>
      <c r="F2248" s="139" t="s">
        <v>88</v>
      </c>
      <c r="G2248" s="144" t="s">
        <v>3809</v>
      </c>
      <c r="H2248" s="146" t="s">
        <v>26</v>
      </c>
      <c r="I2248" s="144" t="s">
        <v>1436</v>
      </c>
    </row>
    <row r="2249" spans="1:9" ht="25.5">
      <c r="A2249" s="193">
        <v>46013</v>
      </c>
      <c r="B2249" s="145" t="s">
        <v>834</v>
      </c>
      <c r="C2249" s="150">
        <v>2025</v>
      </c>
      <c r="D2249" s="201" t="s">
        <v>2224</v>
      </c>
      <c r="E2249" s="144" t="s">
        <v>3655</v>
      </c>
      <c r="F2249" s="139" t="s">
        <v>88</v>
      </c>
      <c r="G2249" s="144" t="s">
        <v>3810</v>
      </c>
      <c r="H2249" s="146" t="s">
        <v>26</v>
      </c>
      <c r="I2249" s="144" t="s">
        <v>1436</v>
      </c>
    </row>
    <row r="2250" spans="1:9" ht="14.1">
      <c r="A2250" s="193">
        <v>46014</v>
      </c>
      <c r="B2250" s="145" t="s">
        <v>834</v>
      </c>
      <c r="C2250" s="150">
        <v>2025</v>
      </c>
      <c r="D2250" s="201" t="s">
        <v>1431</v>
      </c>
      <c r="E2250" s="144" t="s">
        <v>1511</v>
      </c>
      <c r="F2250" s="139" t="s">
        <v>88</v>
      </c>
      <c r="G2250" s="144" t="s">
        <v>3811</v>
      </c>
      <c r="H2250" s="146" t="s">
        <v>26</v>
      </c>
      <c r="I2250" s="144" t="s">
        <v>1436</v>
      </c>
    </row>
    <row r="2251" spans="1:9" ht="25.5">
      <c r="A2251" s="193">
        <v>46014</v>
      </c>
      <c r="B2251" s="145" t="s">
        <v>834</v>
      </c>
      <c r="C2251" s="150">
        <v>2025</v>
      </c>
      <c r="D2251" s="201" t="s">
        <v>1431</v>
      </c>
      <c r="E2251" s="144" t="s">
        <v>21</v>
      </c>
      <c r="F2251" s="141" t="s">
        <v>821</v>
      </c>
      <c r="G2251" s="144" t="s">
        <v>3812</v>
      </c>
      <c r="H2251" s="146" t="s">
        <v>130</v>
      </c>
      <c r="I2251" s="144" t="s">
        <v>1436</v>
      </c>
    </row>
    <row r="2252" spans="1:9" ht="14.1">
      <c r="A2252" s="193">
        <v>46017</v>
      </c>
      <c r="B2252" s="145" t="s">
        <v>834</v>
      </c>
      <c r="C2252" s="150">
        <v>2025</v>
      </c>
      <c r="D2252" s="201" t="s">
        <v>1431</v>
      </c>
      <c r="E2252" s="144" t="s">
        <v>3655</v>
      </c>
      <c r="F2252" s="139" t="s">
        <v>88</v>
      </c>
      <c r="G2252" s="144" t="s">
        <v>3813</v>
      </c>
      <c r="H2252" s="146" t="s">
        <v>26</v>
      </c>
      <c r="I2252" s="144" t="s">
        <v>1436</v>
      </c>
    </row>
    <row r="2253" spans="1:9" ht="14.1">
      <c r="A2253" s="193">
        <v>46017</v>
      </c>
      <c r="B2253" s="145" t="s">
        <v>834</v>
      </c>
      <c r="C2253" s="150">
        <v>2025</v>
      </c>
      <c r="D2253" s="201" t="s">
        <v>1431</v>
      </c>
      <c r="E2253" s="144" t="s">
        <v>1566</v>
      </c>
      <c r="F2253" s="139" t="s">
        <v>88</v>
      </c>
      <c r="G2253" s="144" t="s">
        <v>3814</v>
      </c>
      <c r="H2253" s="146" t="s">
        <v>26</v>
      </c>
      <c r="I2253" s="144" t="s">
        <v>1436</v>
      </c>
    </row>
    <row r="2254" spans="1:9" ht="38.1">
      <c r="A2254" s="193">
        <v>46017</v>
      </c>
      <c r="B2254" s="145" t="s">
        <v>834</v>
      </c>
      <c r="C2254" s="150">
        <v>2025</v>
      </c>
      <c r="D2254" s="201" t="s">
        <v>2224</v>
      </c>
      <c r="E2254" s="144" t="s">
        <v>216</v>
      </c>
      <c r="F2254" s="141" t="s">
        <v>821</v>
      </c>
      <c r="G2254" s="144" t="s">
        <v>3815</v>
      </c>
      <c r="H2254" s="146" t="s">
        <v>130</v>
      </c>
      <c r="I2254" s="144" t="s">
        <v>1436</v>
      </c>
    </row>
    <row r="2255" spans="1:9" ht="38.1">
      <c r="A2255" s="193">
        <v>46020</v>
      </c>
      <c r="B2255" s="145" t="s">
        <v>834</v>
      </c>
      <c r="C2255" s="150">
        <v>2025</v>
      </c>
      <c r="D2255" s="201" t="s">
        <v>1431</v>
      </c>
      <c r="E2255" s="144" t="s">
        <v>2585</v>
      </c>
      <c r="F2255" s="139" t="s">
        <v>88</v>
      </c>
      <c r="G2255" s="144" t="s">
        <v>3816</v>
      </c>
      <c r="H2255" s="146" t="s">
        <v>26</v>
      </c>
      <c r="I2255" s="144" t="s">
        <v>1436</v>
      </c>
    </row>
    <row r="2256" spans="1:9" ht="14.1">
      <c r="A2256" s="193">
        <v>46020</v>
      </c>
      <c r="B2256" s="145" t="s">
        <v>834</v>
      </c>
      <c r="C2256" s="150">
        <v>2025</v>
      </c>
      <c r="D2256" s="201" t="s">
        <v>1431</v>
      </c>
      <c r="E2256" s="144" t="s">
        <v>21</v>
      </c>
      <c r="F2256" s="141" t="s">
        <v>821</v>
      </c>
      <c r="G2256" s="144" t="s">
        <v>3817</v>
      </c>
      <c r="H2256" s="146" t="s">
        <v>26</v>
      </c>
      <c r="I2256" s="144" t="s">
        <v>1436</v>
      </c>
    </row>
    <row r="2257" spans="1:9" ht="25.5">
      <c r="A2257" s="193">
        <v>46020</v>
      </c>
      <c r="B2257" s="145" t="s">
        <v>834</v>
      </c>
      <c r="C2257" s="150">
        <v>2025</v>
      </c>
      <c r="D2257" s="201" t="s">
        <v>1431</v>
      </c>
      <c r="E2257" s="144" t="s">
        <v>21</v>
      </c>
      <c r="F2257" s="141" t="s">
        <v>821</v>
      </c>
      <c r="G2257" s="144" t="s">
        <v>3818</v>
      </c>
      <c r="H2257" s="146" t="s">
        <v>26</v>
      </c>
      <c r="I2257" s="144" t="s">
        <v>1436</v>
      </c>
    </row>
    <row r="2258" spans="1:9" ht="50.45">
      <c r="A2258" s="193">
        <v>46020</v>
      </c>
      <c r="B2258" s="145" t="s">
        <v>834</v>
      </c>
      <c r="C2258" s="150">
        <v>2025</v>
      </c>
      <c r="D2258" s="201" t="s">
        <v>1431</v>
      </c>
      <c r="E2258" s="144" t="s">
        <v>3655</v>
      </c>
      <c r="F2258" s="139" t="s">
        <v>88</v>
      </c>
      <c r="G2258" s="144" t="s">
        <v>3819</v>
      </c>
      <c r="H2258" s="146" t="s">
        <v>26</v>
      </c>
      <c r="I2258" s="144" t="s">
        <v>1436</v>
      </c>
    </row>
    <row r="2259" spans="1:9" ht="25.5">
      <c r="A2259" s="193">
        <v>46020</v>
      </c>
      <c r="B2259" s="145" t="s">
        <v>834</v>
      </c>
      <c r="C2259" s="150">
        <v>2025</v>
      </c>
      <c r="D2259" s="201" t="s">
        <v>1431</v>
      </c>
      <c r="E2259" s="144" t="s">
        <v>1449</v>
      </c>
      <c r="F2259" s="139" t="s">
        <v>88</v>
      </c>
      <c r="G2259" s="144" t="s">
        <v>3820</v>
      </c>
      <c r="H2259" s="146" t="s">
        <v>26</v>
      </c>
      <c r="I2259" s="144" t="s">
        <v>1436</v>
      </c>
    </row>
    <row r="2260" spans="1:9" ht="50.45">
      <c r="A2260" s="193">
        <v>46020</v>
      </c>
      <c r="B2260" s="145" t="s">
        <v>834</v>
      </c>
      <c r="C2260" s="150">
        <v>2025</v>
      </c>
      <c r="D2260" s="201" t="s">
        <v>1431</v>
      </c>
      <c r="E2260" s="144" t="s">
        <v>1449</v>
      </c>
      <c r="F2260" s="139" t="s">
        <v>88</v>
      </c>
      <c r="G2260" s="144" t="s">
        <v>3821</v>
      </c>
      <c r="H2260" s="146" t="s">
        <v>26</v>
      </c>
      <c r="I2260" s="144" t="s">
        <v>1436</v>
      </c>
    </row>
    <row r="2261" spans="1:9" ht="25.5">
      <c r="A2261" s="193">
        <v>46020</v>
      </c>
      <c r="B2261" s="145" t="s">
        <v>834</v>
      </c>
      <c r="C2261" s="150">
        <v>2025</v>
      </c>
      <c r="D2261" s="201" t="s">
        <v>1431</v>
      </c>
      <c r="E2261" s="144" t="s">
        <v>1449</v>
      </c>
      <c r="F2261" s="139" t="s">
        <v>88</v>
      </c>
      <c r="G2261" s="144" t="s">
        <v>3822</v>
      </c>
      <c r="H2261" s="146" t="s">
        <v>130</v>
      </c>
      <c r="I2261" s="144" t="s">
        <v>1436</v>
      </c>
    </row>
    <row r="2262" spans="1:9" ht="38.1">
      <c r="A2262" s="193">
        <v>46020</v>
      </c>
      <c r="B2262" s="145" t="s">
        <v>834</v>
      </c>
      <c r="C2262" s="150">
        <v>2025</v>
      </c>
      <c r="D2262" s="201" t="s">
        <v>2224</v>
      </c>
      <c r="E2262" s="144" t="s">
        <v>216</v>
      </c>
      <c r="F2262" s="141" t="s">
        <v>821</v>
      </c>
      <c r="G2262" s="144" t="s">
        <v>3823</v>
      </c>
      <c r="H2262" s="146" t="s">
        <v>26</v>
      </c>
      <c r="I2262" s="144" t="s">
        <v>1436</v>
      </c>
    </row>
    <row r="2263" spans="1:9" ht="25.5">
      <c r="A2263" s="193">
        <v>46021</v>
      </c>
      <c r="B2263" s="145" t="s">
        <v>834</v>
      </c>
      <c r="C2263" s="150">
        <v>2025</v>
      </c>
      <c r="D2263" s="201" t="s">
        <v>1431</v>
      </c>
      <c r="E2263" s="144" t="s">
        <v>21</v>
      </c>
      <c r="F2263" s="141" t="s">
        <v>821</v>
      </c>
      <c r="G2263" s="144" t="s">
        <v>3824</v>
      </c>
      <c r="H2263" s="146" t="s">
        <v>26</v>
      </c>
      <c r="I2263" s="144" t="s">
        <v>1436</v>
      </c>
    </row>
    <row r="2264" spans="1:9" ht="14.1">
      <c r="A2264" s="193">
        <v>46021</v>
      </c>
      <c r="B2264" s="145" t="s">
        <v>834</v>
      </c>
      <c r="C2264" s="150">
        <v>2025</v>
      </c>
      <c r="D2264" s="201" t="s">
        <v>1431</v>
      </c>
      <c r="E2264" s="144" t="s">
        <v>21</v>
      </c>
      <c r="F2264" s="141" t="s">
        <v>821</v>
      </c>
      <c r="G2264" s="144" t="s">
        <v>3825</v>
      </c>
      <c r="H2264" s="146" t="s">
        <v>26</v>
      </c>
      <c r="I2264" s="144" t="s">
        <v>1436</v>
      </c>
    </row>
    <row r="2265" spans="1:9" ht="14.1">
      <c r="A2265" s="193">
        <v>46021</v>
      </c>
      <c r="B2265" s="145" t="s">
        <v>834</v>
      </c>
      <c r="C2265" s="150">
        <v>2025</v>
      </c>
      <c r="D2265" s="201" t="s">
        <v>1431</v>
      </c>
      <c r="E2265" s="144" t="s">
        <v>21</v>
      </c>
      <c r="F2265" s="141" t="s">
        <v>821</v>
      </c>
      <c r="G2265" s="144" t="s">
        <v>3826</v>
      </c>
      <c r="H2265" s="146" t="s">
        <v>26</v>
      </c>
      <c r="I2265" s="144" t="s">
        <v>1436</v>
      </c>
    </row>
    <row r="2266" spans="1:9" ht="25.5">
      <c r="A2266" s="193">
        <v>46021</v>
      </c>
      <c r="B2266" s="145" t="s">
        <v>834</v>
      </c>
      <c r="C2266" s="150">
        <v>2025</v>
      </c>
      <c r="D2266" s="201" t="s">
        <v>1431</v>
      </c>
      <c r="E2266" s="144" t="s">
        <v>1436</v>
      </c>
      <c r="F2266" s="139" t="s">
        <v>88</v>
      </c>
      <c r="G2266" s="144" t="s">
        <v>3827</v>
      </c>
      <c r="H2266" s="146" t="s">
        <v>26</v>
      </c>
      <c r="I2266" s="144" t="s">
        <v>1436</v>
      </c>
    </row>
    <row r="2267" spans="1:9" ht="25.5">
      <c r="A2267" s="193">
        <v>46021</v>
      </c>
      <c r="B2267" s="145" t="s">
        <v>834</v>
      </c>
      <c r="C2267" s="150">
        <v>2025</v>
      </c>
      <c r="D2267" s="201" t="s">
        <v>1431</v>
      </c>
      <c r="E2267" s="144" t="s">
        <v>1436</v>
      </c>
      <c r="F2267" s="139" t="s">
        <v>88</v>
      </c>
      <c r="G2267" s="144" t="s">
        <v>3828</v>
      </c>
      <c r="H2267" s="146" t="s">
        <v>26</v>
      </c>
      <c r="I2267" s="144" t="s">
        <v>1436</v>
      </c>
    </row>
    <row r="2268" spans="1:9" ht="38.1">
      <c r="A2268" s="193">
        <v>46021</v>
      </c>
      <c r="B2268" s="145" t="s">
        <v>834</v>
      </c>
      <c r="C2268" s="150">
        <v>2025</v>
      </c>
      <c r="D2268" s="201" t="s">
        <v>1431</v>
      </c>
      <c r="E2268" s="144" t="s">
        <v>1436</v>
      </c>
      <c r="F2268" s="141" t="s">
        <v>821</v>
      </c>
      <c r="G2268" s="144" t="s">
        <v>3829</v>
      </c>
      <c r="H2268" s="146" t="s">
        <v>26</v>
      </c>
      <c r="I2268" s="144" t="s">
        <v>1436</v>
      </c>
    </row>
    <row r="2269" spans="1:9" ht="14.1">
      <c r="A2269" s="193">
        <v>46021</v>
      </c>
      <c r="B2269" s="145" t="s">
        <v>834</v>
      </c>
      <c r="C2269" s="150">
        <v>2025</v>
      </c>
      <c r="D2269" s="201" t="s">
        <v>2224</v>
      </c>
      <c r="E2269" s="144" t="s">
        <v>21</v>
      </c>
      <c r="F2269" s="141" t="s">
        <v>821</v>
      </c>
      <c r="G2269" s="144" t="s">
        <v>3830</v>
      </c>
      <c r="H2269" s="146" t="s">
        <v>26</v>
      </c>
      <c r="I2269" s="144" t="s">
        <v>1436</v>
      </c>
    </row>
    <row r="2270" spans="1:9" ht="14.1">
      <c r="A2270" s="193">
        <v>46027</v>
      </c>
      <c r="B2270" s="145" t="s">
        <v>823</v>
      </c>
      <c r="C2270" s="150" t="s">
        <v>5512</v>
      </c>
      <c r="D2270" s="201" t="s">
        <v>1431</v>
      </c>
      <c r="E2270" s="144" t="s">
        <v>1511</v>
      </c>
      <c r="F2270" s="139" t="s">
        <v>88</v>
      </c>
      <c r="G2270" s="144" t="s">
        <v>3811</v>
      </c>
      <c r="H2270" s="146" t="s">
        <v>26</v>
      </c>
      <c r="I2270" s="144" t="s">
        <v>2700</v>
      </c>
    </row>
    <row r="2271" spans="1:9" ht="14.1">
      <c r="A2271" s="193">
        <v>46027</v>
      </c>
      <c r="B2271" s="145" t="s">
        <v>823</v>
      </c>
      <c r="C2271" s="150" t="s">
        <v>5512</v>
      </c>
      <c r="D2271" s="201" t="s">
        <v>1431</v>
      </c>
      <c r="E2271" s="144" t="s">
        <v>21</v>
      </c>
      <c r="F2271" s="141" t="s">
        <v>821</v>
      </c>
      <c r="G2271" s="144" t="s">
        <v>3831</v>
      </c>
      <c r="H2271" s="146" t="s">
        <v>26</v>
      </c>
      <c r="I2271" s="144" t="s">
        <v>149</v>
      </c>
    </row>
    <row r="2272" spans="1:9" ht="25.5">
      <c r="A2272" s="193">
        <v>46027</v>
      </c>
      <c r="B2272" s="145" t="s">
        <v>823</v>
      </c>
      <c r="C2272" s="150" t="s">
        <v>5512</v>
      </c>
      <c r="D2272" s="201" t="s">
        <v>1431</v>
      </c>
      <c r="E2272" s="144" t="s">
        <v>216</v>
      </c>
      <c r="F2272" s="141" t="s">
        <v>821</v>
      </c>
      <c r="G2272" s="144" t="s">
        <v>3832</v>
      </c>
      <c r="H2272" s="146" t="s">
        <v>130</v>
      </c>
      <c r="I2272" s="144" t="s">
        <v>492</v>
      </c>
    </row>
    <row r="2273" spans="1:9" ht="25.5">
      <c r="A2273" s="193">
        <v>46027</v>
      </c>
      <c r="B2273" s="145" t="s">
        <v>823</v>
      </c>
      <c r="C2273" s="150" t="s">
        <v>5512</v>
      </c>
      <c r="D2273" s="201" t="s">
        <v>1431</v>
      </c>
      <c r="E2273" s="144" t="s">
        <v>1449</v>
      </c>
      <c r="F2273" s="139" t="s">
        <v>88</v>
      </c>
      <c r="G2273" s="144" t="s">
        <v>3833</v>
      </c>
      <c r="H2273" s="146" t="s">
        <v>26</v>
      </c>
      <c r="I2273" s="144" t="s">
        <v>2593</v>
      </c>
    </row>
    <row r="2274" spans="1:9" ht="14.1">
      <c r="A2274" s="193">
        <v>46027</v>
      </c>
      <c r="B2274" s="145" t="s">
        <v>823</v>
      </c>
      <c r="C2274" s="150" t="s">
        <v>5512</v>
      </c>
      <c r="D2274" s="201" t="s">
        <v>1431</v>
      </c>
      <c r="E2274" s="144" t="s">
        <v>1518</v>
      </c>
      <c r="F2274" s="141" t="s">
        <v>821</v>
      </c>
      <c r="G2274" s="144" t="s">
        <v>3834</v>
      </c>
      <c r="H2274" s="146" t="s">
        <v>26</v>
      </c>
      <c r="I2274" s="144" t="s">
        <v>1493</v>
      </c>
    </row>
    <row r="2275" spans="1:9" ht="14.1">
      <c r="A2275" s="193">
        <v>46027</v>
      </c>
      <c r="B2275" s="145" t="s">
        <v>823</v>
      </c>
      <c r="C2275" s="150" t="s">
        <v>5512</v>
      </c>
      <c r="D2275" s="201" t="s">
        <v>1431</v>
      </c>
      <c r="E2275" s="144" t="s">
        <v>1449</v>
      </c>
      <c r="F2275" s="139" t="s">
        <v>88</v>
      </c>
      <c r="G2275" s="144" t="s">
        <v>3835</v>
      </c>
      <c r="H2275" s="146" t="s">
        <v>130</v>
      </c>
      <c r="I2275" s="144" t="s">
        <v>3836</v>
      </c>
    </row>
    <row r="2276" spans="1:9" ht="25.5">
      <c r="A2276" s="193">
        <v>46028</v>
      </c>
      <c r="B2276" s="145" t="s">
        <v>823</v>
      </c>
      <c r="C2276" s="150" t="s">
        <v>5512</v>
      </c>
      <c r="D2276" s="201" t="s">
        <v>1431</v>
      </c>
      <c r="E2276" s="144" t="s">
        <v>21</v>
      </c>
      <c r="F2276" s="141" t="s">
        <v>821</v>
      </c>
      <c r="G2276" s="144" t="s">
        <v>3837</v>
      </c>
      <c r="H2276" s="146" t="s">
        <v>26</v>
      </c>
      <c r="I2276" s="144" t="s">
        <v>468</v>
      </c>
    </row>
    <row r="2277" spans="1:9" ht="25.5">
      <c r="A2277" s="193">
        <v>46028</v>
      </c>
      <c r="B2277" s="145" t="s">
        <v>823</v>
      </c>
      <c r="C2277" s="150" t="s">
        <v>5512</v>
      </c>
      <c r="D2277" s="201" t="s">
        <v>1431</v>
      </c>
      <c r="E2277" s="144" t="s">
        <v>3011</v>
      </c>
      <c r="F2277" s="147" t="s">
        <v>859</v>
      </c>
      <c r="G2277" s="144" t="s">
        <v>3838</v>
      </c>
      <c r="H2277" s="146" t="s">
        <v>130</v>
      </c>
      <c r="I2277" s="144" t="s">
        <v>3839</v>
      </c>
    </row>
    <row r="2278" spans="1:9" ht="25.5">
      <c r="A2278" s="193">
        <v>46028</v>
      </c>
      <c r="B2278" s="145" t="s">
        <v>823</v>
      </c>
      <c r="C2278" s="150" t="s">
        <v>5512</v>
      </c>
      <c r="D2278" s="201" t="s">
        <v>1431</v>
      </c>
      <c r="E2278" s="144" t="s">
        <v>21</v>
      </c>
      <c r="F2278" s="141" t="s">
        <v>821</v>
      </c>
      <c r="G2278" s="144" t="s">
        <v>3840</v>
      </c>
      <c r="H2278" s="146" t="s">
        <v>130</v>
      </c>
      <c r="I2278" s="144" t="s">
        <v>468</v>
      </c>
    </row>
    <row r="2279" spans="1:9" ht="14.1">
      <c r="A2279" s="193">
        <v>46028</v>
      </c>
      <c r="B2279" s="145" t="s">
        <v>823</v>
      </c>
      <c r="C2279" s="150" t="s">
        <v>5512</v>
      </c>
      <c r="D2279" s="201" t="s">
        <v>1431</v>
      </c>
      <c r="E2279" s="144" t="s">
        <v>2595</v>
      </c>
      <c r="F2279" s="139" t="s">
        <v>88</v>
      </c>
      <c r="G2279" s="144" t="s">
        <v>3841</v>
      </c>
      <c r="H2279" s="146" t="s">
        <v>130</v>
      </c>
      <c r="I2279" s="144" t="s">
        <v>921</v>
      </c>
    </row>
    <row r="2280" spans="1:9" ht="14.1">
      <c r="A2280" s="193">
        <v>46028</v>
      </c>
      <c r="B2280" s="145" t="s">
        <v>823</v>
      </c>
      <c r="C2280" s="150" t="s">
        <v>5512</v>
      </c>
      <c r="D2280" s="201" t="s">
        <v>1431</v>
      </c>
      <c r="E2280" s="144" t="s">
        <v>1608</v>
      </c>
      <c r="F2280" s="140" t="s">
        <v>1439</v>
      </c>
      <c r="G2280" s="144" t="s">
        <v>3842</v>
      </c>
      <c r="H2280" s="146" t="s">
        <v>26</v>
      </c>
      <c r="I2280" s="144" t="s">
        <v>1458</v>
      </c>
    </row>
    <row r="2281" spans="1:9" ht="14.1">
      <c r="A2281" s="193">
        <v>46028</v>
      </c>
      <c r="B2281" s="145" t="s">
        <v>823</v>
      </c>
      <c r="C2281" s="150" t="s">
        <v>5512</v>
      </c>
      <c r="D2281" s="201" t="s">
        <v>1431</v>
      </c>
      <c r="E2281" s="144" t="s">
        <v>1608</v>
      </c>
      <c r="F2281" s="140" t="s">
        <v>1439</v>
      </c>
      <c r="G2281" s="144" t="s">
        <v>3843</v>
      </c>
      <c r="H2281" s="146" t="s">
        <v>26</v>
      </c>
      <c r="I2281" s="144" t="s">
        <v>1458</v>
      </c>
    </row>
    <row r="2282" spans="1:9" ht="25.5">
      <c r="A2282" s="193">
        <v>46028</v>
      </c>
      <c r="B2282" s="145" t="s">
        <v>823</v>
      </c>
      <c r="C2282" s="150" t="s">
        <v>5512</v>
      </c>
      <c r="D2282" s="201" t="s">
        <v>1431</v>
      </c>
      <c r="E2282" s="144" t="s">
        <v>21</v>
      </c>
      <c r="F2282" s="141" t="s">
        <v>821</v>
      </c>
      <c r="G2282" s="144" t="s">
        <v>3844</v>
      </c>
      <c r="H2282" s="146" t="s">
        <v>130</v>
      </c>
      <c r="I2282" s="144" t="s">
        <v>468</v>
      </c>
    </row>
    <row r="2283" spans="1:9" ht="14.1">
      <c r="A2283" s="193">
        <v>46028</v>
      </c>
      <c r="B2283" s="145" t="s">
        <v>823</v>
      </c>
      <c r="C2283" s="150" t="s">
        <v>5512</v>
      </c>
      <c r="D2283" s="201" t="s">
        <v>1431</v>
      </c>
      <c r="E2283" s="144" t="s">
        <v>1449</v>
      </c>
      <c r="F2283" s="139" t="s">
        <v>88</v>
      </c>
      <c r="G2283" s="144" t="s">
        <v>3845</v>
      </c>
      <c r="H2283" s="146" t="s">
        <v>26</v>
      </c>
      <c r="I2283" s="144" t="s">
        <v>2739</v>
      </c>
    </row>
    <row r="2284" spans="1:9" ht="14.1">
      <c r="A2284" s="193">
        <v>46028</v>
      </c>
      <c r="B2284" s="145" t="s">
        <v>823</v>
      </c>
      <c r="C2284" s="150" t="s">
        <v>5512</v>
      </c>
      <c r="D2284" s="201" t="s">
        <v>1431</v>
      </c>
      <c r="E2284" s="144" t="s">
        <v>1539</v>
      </c>
      <c r="F2284" s="139" t="s">
        <v>88</v>
      </c>
      <c r="G2284" s="144" t="s">
        <v>3846</v>
      </c>
      <c r="H2284" s="146" t="s">
        <v>26</v>
      </c>
      <c r="I2284" s="144" t="s">
        <v>1541</v>
      </c>
    </row>
    <row r="2285" spans="1:9" ht="14.1">
      <c r="A2285" s="193">
        <v>46028</v>
      </c>
      <c r="B2285" s="145" t="s">
        <v>823</v>
      </c>
      <c r="C2285" s="150" t="s">
        <v>5512</v>
      </c>
      <c r="D2285" s="201" t="s">
        <v>1431</v>
      </c>
      <c r="E2285" s="144" t="s">
        <v>1511</v>
      </c>
      <c r="F2285" s="139" t="s">
        <v>88</v>
      </c>
      <c r="G2285" s="144" t="s">
        <v>3847</v>
      </c>
      <c r="H2285" s="146" t="s">
        <v>26</v>
      </c>
      <c r="I2285" s="144" t="s">
        <v>1493</v>
      </c>
    </row>
    <row r="2286" spans="1:9" ht="14.1">
      <c r="A2286" s="193">
        <v>46028</v>
      </c>
      <c r="B2286" s="145" t="s">
        <v>823</v>
      </c>
      <c r="C2286" s="150" t="s">
        <v>5512</v>
      </c>
      <c r="D2286" s="201" t="s">
        <v>2224</v>
      </c>
      <c r="E2286" s="144" t="s">
        <v>2585</v>
      </c>
      <c r="F2286" s="139" t="s">
        <v>88</v>
      </c>
      <c r="G2286" s="144" t="s">
        <v>3848</v>
      </c>
      <c r="H2286" s="146" t="s">
        <v>26</v>
      </c>
      <c r="I2286" s="144" t="s">
        <v>2568</v>
      </c>
    </row>
    <row r="2287" spans="1:9" ht="25.5">
      <c r="A2287" s="193">
        <v>46028</v>
      </c>
      <c r="B2287" s="145" t="s">
        <v>823</v>
      </c>
      <c r="C2287" s="150" t="s">
        <v>5512</v>
      </c>
      <c r="D2287" s="201" t="s">
        <v>2224</v>
      </c>
      <c r="E2287" s="144" t="s">
        <v>21</v>
      </c>
      <c r="F2287" s="141" t="s">
        <v>821</v>
      </c>
      <c r="G2287" s="144" t="s">
        <v>3849</v>
      </c>
      <c r="H2287" s="146" t="s">
        <v>130</v>
      </c>
      <c r="I2287" s="144" t="s">
        <v>468</v>
      </c>
    </row>
    <row r="2288" spans="1:9" ht="14.1">
      <c r="A2288" s="193">
        <v>46028</v>
      </c>
      <c r="B2288" s="145" t="s">
        <v>823</v>
      </c>
      <c r="C2288" s="150" t="s">
        <v>5512</v>
      </c>
      <c r="D2288" s="201" t="s">
        <v>2224</v>
      </c>
      <c r="E2288" s="144" t="s">
        <v>1449</v>
      </c>
      <c r="F2288" s="139" t="s">
        <v>88</v>
      </c>
      <c r="G2288" s="144" t="s">
        <v>3850</v>
      </c>
      <c r="H2288" s="146" t="s">
        <v>26</v>
      </c>
      <c r="I2288" s="144" t="s">
        <v>2739</v>
      </c>
    </row>
    <row r="2289" spans="1:9" ht="25.5">
      <c r="A2289" s="193">
        <v>46029</v>
      </c>
      <c r="B2289" s="145" t="s">
        <v>823</v>
      </c>
      <c r="C2289" s="150" t="s">
        <v>5512</v>
      </c>
      <c r="D2289" s="201" t="s">
        <v>1431</v>
      </c>
      <c r="E2289" s="144" t="s">
        <v>3217</v>
      </c>
      <c r="F2289" s="139" t="s">
        <v>88</v>
      </c>
      <c r="G2289" s="144" t="s">
        <v>3851</v>
      </c>
      <c r="H2289" s="146" t="s">
        <v>26</v>
      </c>
      <c r="I2289" s="144" t="s">
        <v>3852</v>
      </c>
    </row>
    <row r="2290" spans="1:9" ht="14.1">
      <c r="A2290" s="193">
        <v>46029</v>
      </c>
      <c r="B2290" s="145" t="s">
        <v>823</v>
      </c>
      <c r="C2290" s="150" t="s">
        <v>5512</v>
      </c>
      <c r="D2290" s="201" t="s">
        <v>1431</v>
      </c>
      <c r="E2290" s="144" t="s">
        <v>97</v>
      </c>
      <c r="F2290" s="141" t="s">
        <v>821</v>
      </c>
      <c r="G2290" s="144" t="s">
        <v>3853</v>
      </c>
      <c r="H2290" s="146" t="s">
        <v>26</v>
      </c>
      <c r="I2290" s="144" t="s">
        <v>3561</v>
      </c>
    </row>
    <row r="2291" spans="1:9" ht="25.5">
      <c r="A2291" s="193">
        <v>46029</v>
      </c>
      <c r="B2291" s="145" t="s">
        <v>823</v>
      </c>
      <c r="C2291" s="150" t="s">
        <v>5512</v>
      </c>
      <c r="D2291" s="201" t="s">
        <v>1431</v>
      </c>
      <c r="E2291" s="144" t="s">
        <v>1449</v>
      </c>
      <c r="F2291" s="141" t="s">
        <v>821</v>
      </c>
      <c r="G2291" s="144" t="s">
        <v>3854</v>
      </c>
      <c r="H2291" s="146" t="s">
        <v>26</v>
      </c>
      <c r="I2291" s="144" t="s">
        <v>2593</v>
      </c>
    </row>
    <row r="2292" spans="1:9" ht="50.45">
      <c r="A2292" s="193">
        <v>46029</v>
      </c>
      <c r="B2292" s="145" t="s">
        <v>823</v>
      </c>
      <c r="C2292" s="150" t="s">
        <v>5512</v>
      </c>
      <c r="D2292" s="201" t="s">
        <v>1431</v>
      </c>
      <c r="E2292" s="144" t="s">
        <v>1449</v>
      </c>
      <c r="F2292" s="139" t="s">
        <v>88</v>
      </c>
      <c r="G2292" s="144" t="s">
        <v>3855</v>
      </c>
      <c r="H2292" s="146" t="s">
        <v>26</v>
      </c>
      <c r="I2292" s="144" t="s">
        <v>2593</v>
      </c>
    </row>
    <row r="2293" spans="1:9" ht="14.1">
      <c r="A2293" s="193">
        <v>46029</v>
      </c>
      <c r="B2293" s="145" t="s">
        <v>823</v>
      </c>
      <c r="C2293" s="150" t="s">
        <v>5512</v>
      </c>
      <c r="D2293" s="201" t="s">
        <v>1431</v>
      </c>
      <c r="E2293" s="144" t="s">
        <v>1449</v>
      </c>
      <c r="F2293" s="141" t="s">
        <v>821</v>
      </c>
      <c r="G2293" s="144" t="s">
        <v>3856</v>
      </c>
      <c r="H2293" s="146" t="s">
        <v>130</v>
      </c>
      <c r="I2293" s="144" t="s">
        <v>2593</v>
      </c>
    </row>
    <row r="2294" spans="1:9" ht="25.5">
      <c r="A2294" s="193">
        <v>46029</v>
      </c>
      <c r="B2294" s="145" t="s">
        <v>823</v>
      </c>
      <c r="C2294" s="150" t="s">
        <v>5512</v>
      </c>
      <c r="D2294" s="201" t="s">
        <v>1431</v>
      </c>
      <c r="E2294" s="144" t="s">
        <v>2585</v>
      </c>
      <c r="F2294" s="139" t="s">
        <v>88</v>
      </c>
      <c r="G2294" s="144" t="s">
        <v>3857</v>
      </c>
      <c r="H2294" s="146" t="s">
        <v>26</v>
      </c>
      <c r="I2294" s="144" t="s">
        <v>452</v>
      </c>
    </row>
    <row r="2295" spans="1:9" ht="25.5">
      <c r="A2295" s="193">
        <v>46029</v>
      </c>
      <c r="B2295" s="145" t="s">
        <v>823</v>
      </c>
      <c r="C2295" s="150" t="s">
        <v>5512</v>
      </c>
      <c r="D2295" s="201" t="s">
        <v>1431</v>
      </c>
      <c r="E2295" s="144" t="s">
        <v>1225</v>
      </c>
      <c r="F2295" s="140" t="s">
        <v>1439</v>
      </c>
      <c r="G2295" s="144" t="s">
        <v>3858</v>
      </c>
      <c r="H2295" s="146" t="s">
        <v>130</v>
      </c>
      <c r="I2295" s="144" t="s">
        <v>925</v>
      </c>
    </row>
    <row r="2296" spans="1:9" ht="14.1">
      <c r="A2296" s="193">
        <v>46029</v>
      </c>
      <c r="B2296" s="145" t="s">
        <v>823</v>
      </c>
      <c r="C2296" s="150" t="s">
        <v>5512</v>
      </c>
      <c r="D2296" s="201" t="s">
        <v>1431</v>
      </c>
      <c r="E2296" s="144" t="s">
        <v>1566</v>
      </c>
      <c r="F2296" s="139" t="s">
        <v>88</v>
      </c>
      <c r="G2296" s="144" t="s">
        <v>3859</v>
      </c>
      <c r="H2296" s="146" t="s">
        <v>26</v>
      </c>
      <c r="I2296" s="144" t="s">
        <v>1453</v>
      </c>
    </row>
    <row r="2297" spans="1:9" ht="25.5">
      <c r="A2297" s="193">
        <v>46029</v>
      </c>
      <c r="B2297" s="145" t="s">
        <v>823</v>
      </c>
      <c r="C2297" s="150" t="s">
        <v>5512</v>
      </c>
      <c r="D2297" s="201" t="s">
        <v>1431</v>
      </c>
      <c r="E2297" s="144" t="s">
        <v>1608</v>
      </c>
      <c r="F2297" s="140" t="s">
        <v>1439</v>
      </c>
      <c r="G2297" s="144" t="s">
        <v>3860</v>
      </c>
      <c r="H2297" s="146" t="s">
        <v>26</v>
      </c>
      <c r="I2297" s="144" t="s">
        <v>1458</v>
      </c>
    </row>
    <row r="2298" spans="1:9" ht="25.5">
      <c r="A2298" s="193">
        <v>46029</v>
      </c>
      <c r="B2298" s="145" t="s">
        <v>823</v>
      </c>
      <c r="C2298" s="150" t="s">
        <v>5512</v>
      </c>
      <c r="D2298" s="201" t="s">
        <v>1431</v>
      </c>
      <c r="E2298" s="144" t="s">
        <v>1608</v>
      </c>
      <c r="F2298" s="140" t="s">
        <v>1439</v>
      </c>
      <c r="G2298" s="144" t="s">
        <v>3861</v>
      </c>
      <c r="H2298" s="146" t="s">
        <v>26</v>
      </c>
      <c r="I2298" s="144" t="s">
        <v>1458</v>
      </c>
    </row>
    <row r="2299" spans="1:9" ht="25.5">
      <c r="A2299" s="193">
        <v>46030</v>
      </c>
      <c r="B2299" s="145" t="s">
        <v>823</v>
      </c>
      <c r="C2299" s="150" t="s">
        <v>5512</v>
      </c>
      <c r="D2299" s="201" t="s">
        <v>1431</v>
      </c>
      <c r="E2299" s="144" t="s">
        <v>97</v>
      </c>
      <c r="F2299" s="141" t="s">
        <v>821</v>
      </c>
      <c r="G2299" s="144" t="s">
        <v>3862</v>
      </c>
      <c r="H2299" s="146" t="s">
        <v>130</v>
      </c>
      <c r="I2299" s="144" t="s">
        <v>158</v>
      </c>
    </row>
    <row r="2300" spans="1:9" ht="38.1">
      <c r="A2300" s="193">
        <v>46030</v>
      </c>
      <c r="B2300" s="145" t="s">
        <v>823</v>
      </c>
      <c r="C2300" s="150" t="s">
        <v>5512</v>
      </c>
      <c r="D2300" s="201" t="s">
        <v>1431</v>
      </c>
      <c r="E2300" s="144" t="s">
        <v>2244</v>
      </c>
      <c r="F2300" s="140" t="s">
        <v>1439</v>
      </c>
      <c r="G2300" s="144" t="s">
        <v>3863</v>
      </c>
      <c r="H2300" s="146" t="s">
        <v>26</v>
      </c>
      <c r="I2300" s="144" t="s">
        <v>1541</v>
      </c>
    </row>
    <row r="2301" spans="1:9" ht="25.5">
      <c r="A2301" s="193">
        <v>46030</v>
      </c>
      <c r="B2301" s="145" t="s">
        <v>823</v>
      </c>
      <c r="C2301" s="150" t="s">
        <v>5512</v>
      </c>
      <c r="D2301" s="201" t="s">
        <v>1431</v>
      </c>
      <c r="E2301" s="144" t="s">
        <v>1506</v>
      </c>
      <c r="F2301" s="139" t="s">
        <v>88</v>
      </c>
      <c r="G2301" s="144" t="s">
        <v>3864</v>
      </c>
      <c r="H2301" s="146" t="s">
        <v>26</v>
      </c>
      <c r="I2301" s="144" t="s">
        <v>1904</v>
      </c>
    </row>
    <row r="2302" spans="1:9" ht="25.5">
      <c r="A2302" s="193">
        <v>46030</v>
      </c>
      <c r="B2302" s="145" t="s">
        <v>823</v>
      </c>
      <c r="C2302" s="150" t="s">
        <v>5512</v>
      </c>
      <c r="D2302" s="201" t="s">
        <v>1431</v>
      </c>
      <c r="E2302" s="144" t="s">
        <v>21</v>
      </c>
      <c r="F2302" s="141" t="s">
        <v>821</v>
      </c>
      <c r="G2302" s="144" t="s">
        <v>3865</v>
      </c>
      <c r="H2302" s="146" t="s">
        <v>26</v>
      </c>
      <c r="I2302" s="144" t="s">
        <v>149</v>
      </c>
    </row>
    <row r="2303" spans="1:9" ht="25.5">
      <c r="A2303" s="193">
        <v>46030</v>
      </c>
      <c r="B2303" s="145" t="s">
        <v>823</v>
      </c>
      <c r="C2303" s="150" t="s">
        <v>5512</v>
      </c>
      <c r="D2303" s="201" t="s">
        <v>1431</v>
      </c>
      <c r="E2303" s="144" t="s">
        <v>97</v>
      </c>
      <c r="F2303" s="141" t="s">
        <v>821</v>
      </c>
      <c r="G2303" s="144" t="s">
        <v>3866</v>
      </c>
      <c r="H2303" s="146" t="s">
        <v>26</v>
      </c>
      <c r="I2303" s="144" t="s">
        <v>158</v>
      </c>
    </row>
    <row r="2304" spans="1:9" ht="38.1">
      <c r="A2304" s="193">
        <v>46030</v>
      </c>
      <c r="B2304" s="145" t="s">
        <v>823</v>
      </c>
      <c r="C2304" s="150" t="s">
        <v>5512</v>
      </c>
      <c r="D2304" s="201" t="s">
        <v>1431</v>
      </c>
      <c r="E2304" s="144" t="s">
        <v>97</v>
      </c>
      <c r="F2304" s="141" t="s">
        <v>821</v>
      </c>
      <c r="G2304" s="144" t="s">
        <v>3867</v>
      </c>
      <c r="H2304" s="146" t="s">
        <v>130</v>
      </c>
      <c r="I2304" s="144" t="s">
        <v>158</v>
      </c>
    </row>
    <row r="2305" spans="1:9" ht="25.5">
      <c r="A2305" s="193">
        <v>46030</v>
      </c>
      <c r="B2305" s="145" t="s">
        <v>823</v>
      </c>
      <c r="C2305" s="150" t="s">
        <v>5512</v>
      </c>
      <c r="D2305" s="201" t="s">
        <v>1431</v>
      </c>
      <c r="E2305" s="144" t="s">
        <v>1508</v>
      </c>
      <c r="F2305" s="139" t="s">
        <v>88</v>
      </c>
      <c r="G2305" s="144" t="s">
        <v>3868</v>
      </c>
      <c r="H2305" s="146" t="s">
        <v>26</v>
      </c>
      <c r="I2305" s="144" t="s">
        <v>2593</v>
      </c>
    </row>
    <row r="2306" spans="1:9" ht="14.1">
      <c r="A2306" s="193">
        <v>46030</v>
      </c>
      <c r="B2306" s="145" t="s">
        <v>823</v>
      </c>
      <c r="C2306" s="150" t="s">
        <v>5512</v>
      </c>
      <c r="D2306" s="201" t="s">
        <v>1431</v>
      </c>
      <c r="E2306" s="144" t="s">
        <v>2585</v>
      </c>
      <c r="F2306" s="139" t="s">
        <v>88</v>
      </c>
      <c r="G2306" s="144" t="s">
        <v>3869</v>
      </c>
      <c r="H2306" s="146" t="s">
        <v>26</v>
      </c>
      <c r="I2306" s="144" t="s">
        <v>452</v>
      </c>
    </row>
    <row r="2307" spans="1:9" ht="25.5">
      <c r="A2307" s="193">
        <v>46030</v>
      </c>
      <c r="B2307" s="145" t="s">
        <v>823</v>
      </c>
      <c r="C2307" s="150" t="s">
        <v>5512</v>
      </c>
      <c r="D2307" s="201" t="s">
        <v>2224</v>
      </c>
      <c r="E2307" s="144" t="s">
        <v>97</v>
      </c>
      <c r="F2307" s="139" t="s">
        <v>88</v>
      </c>
      <c r="G2307" s="144" t="s">
        <v>3870</v>
      </c>
      <c r="H2307" s="146" t="s">
        <v>130</v>
      </c>
      <c r="I2307" s="144" t="s">
        <v>158</v>
      </c>
    </row>
    <row r="2308" spans="1:9" ht="25.5">
      <c r="A2308" s="193">
        <v>46030</v>
      </c>
      <c r="B2308" s="145" t="s">
        <v>823</v>
      </c>
      <c r="C2308" s="150" t="s">
        <v>5512</v>
      </c>
      <c r="D2308" s="201" t="s">
        <v>2224</v>
      </c>
      <c r="E2308" s="144" t="s">
        <v>21</v>
      </c>
      <c r="F2308" s="141" t="s">
        <v>821</v>
      </c>
      <c r="G2308" s="144" t="s">
        <v>3871</v>
      </c>
      <c r="H2308" s="146" t="s">
        <v>130</v>
      </c>
      <c r="I2308" s="144" t="s">
        <v>149</v>
      </c>
    </row>
    <row r="2309" spans="1:9" ht="14.1">
      <c r="A2309" s="193">
        <v>46030</v>
      </c>
      <c r="B2309" s="145" t="s">
        <v>823</v>
      </c>
      <c r="C2309" s="150" t="s">
        <v>5512</v>
      </c>
      <c r="D2309" s="201" t="s">
        <v>1431</v>
      </c>
      <c r="E2309" s="144" t="s">
        <v>1449</v>
      </c>
      <c r="F2309" s="141" t="s">
        <v>821</v>
      </c>
      <c r="G2309" s="144" t="s">
        <v>3872</v>
      </c>
      <c r="H2309" s="146" t="s">
        <v>130</v>
      </c>
      <c r="I2309" s="144" t="s">
        <v>2593</v>
      </c>
    </row>
    <row r="2310" spans="1:9" ht="25.5">
      <c r="A2310" s="193">
        <v>46030</v>
      </c>
      <c r="B2310" s="145" t="s">
        <v>823</v>
      </c>
      <c r="C2310" s="150" t="s">
        <v>5512</v>
      </c>
      <c r="D2310" s="201" t="s">
        <v>1431</v>
      </c>
      <c r="E2310" s="144" t="s">
        <v>1225</v>
      </c>
      <c r="F2310" s="140" t="s">
        <v>1439</v>
      </c>
      <c r="G2310" s="144" t="s">
        <v>3858</v>
      </c>
      <c r="H2310" s="146" t="s">
        <v>130</v>
      </c>
      <c r="I2310" s="144" t="s">
        <v>238</v>
      </c>
    </row>
    <row r="2311" spans="1:9" ht="25.5">
      <c r="A2311" s="193">
        <v>46030</v>
      </c>
      <c r="B2311" s="145" t="s">
        <v>823</v>
      </c>
      <c r="C2311" s="150" t="s">
        <v>5512</v>
      </c>
      <c r="D2311" s="201" t="s">
        <v>1431</v>
      </c>
      <c r="E2311" s="144" t="s">
        <v>1608</v>
      </c>
      <c r="F2311" s="140" t="s">
        <v>1439</v>
      </c>
      <c r="G2311" s="144" t="s">
        <v>3873</v>
      </c>
      <c r="H2311" s="146" t="s">
        <v>26</v>
      </c>
      <c r="I2311" s="144" t="s">
        <v>1458</v>
      </c>
    </row>
    <row r="2312" spans="1:9" ht="25.5">
      <c r="A2312" s="193">
        <v>46030</v>
      </c>
      <c r="B2312" s="145" t="s">
        <v>823</v>
      </c>
      <c r="C2312" s="150" t="s">
        <v>5512</v>
      </c>
      <c r="D2312" s="201" t="s">
        <v>1431</v>
      </c>
      <c r="E2312" s="144" t="s">
        <v>1608</v>
      </c>
      <c r="F2312" s="140" t="s">
        <v>1439</v>
      </c>
      <c r="G2312" s="144" t="s">
        <v>3874</v>
      </c>
      <c r="H2312" s="146" t="s">
        <v>26</v>
      </c>
      <c r="I2312" s="144" t="s">
        <v>1458</v>
      </c>
    </row>
    <row r="2313" spans="1:9" ht="25.5">
      <c r="A2313" s="193">
        <v>46030</v>
      </c>
      <c r="B2313" s="145" t="s">
        <v>823</v>
      </c>
      <c r="C2313" s="150" t="s">
        <v>5512</v>
      </c>
      <c r="D2313" s="201" t="s">
        <v>1431</v>
      </c>
      <c r="E2313" s="144" t="s">
        <v>1608</v>
      </c>
      <c r="F2313" s="140" t="s">
        <v>1439</v>
      </c>
      <c r="G2313" s="144" t="s">
        <v>3875</v>
      </c>
      <c r="H2313" s="146" t="s">
        <v>26</v>
      </c>
      <c r="I2313" s="144" t="s">
        <v>1458</v>
      </c>
    </row>
    <row r="2314" spans="1:9" ht="25.5">
      <c r="A2314" s="193">
        <v>46030</v>
      </c>
      <c r="B2314" s="145" t="s">
        <v>823</v>
      </c>
      <c r="C2314" s="150" t="s">
        <v>5512</v>
      </c>
      <c r="D2314" s="201" t="s">
        <v>1431</v>
      </c>
      <c r="E2314" s="144" t="s">
        <v>1608</v>
      </c>
      <c r="F2314" s="140" t="s">
        <v>1439</v>
      </c>
      <c r="G2314" s="144" t="s">
        <v>3861</v>
      </c>
      <c r="H2314" s="146" t="s">
        <v>26</v>
      </c>
      <c r="I2314" s="144" t="s">
        <v>1458</v>
      </c>
    </row>
    <row r="2315" spans="1:9" ht="14.1">
      <c r="A2315" s="193">
        <v>46031</v>
      </c>
      <c r="B2315" s="145" t="s">
        <v>823</v>
      </c>
      <c r="C2315" s="150" t="s">
        <v>5512</v>
      </c>
      <c r="D2315" s="201" t="s">
        <v>1431</v>
      </c>
      <c r="E2315" s="144" t="s">
        <v>2595</v>
      </c>
      <c r="F2315" s="147" t="s">
        <v>859</v>
      </c>
      <c r="G2315" s="144" t="s">
        <v>3876</v>
      </c>
      <c r="H2315" s="146" t="s">
        <v>26</v>
      </c>
      <c r="I2315" s="144" t="s">
        <v>921</v>
      </c>
    </row>
    <row r="2316" spans="1:9" ht="14.1">
      <c r="A2316" s="193">
        <v>46031</v>
      </c>
      <c r="B2316" s="145" t="s">
        <v>823</v>
      </c>
      <c r="C2316" s="150" t="s">
        <v>5512</v>
      </c>
      <c r="D2316" s="201" t="s">
        <v>1431</v>
      </c>
      <c r="E2316" s="144" t="s">
        <v>216</v>
      </c>
      <c r="F2316" s="141" t="s">
        <v>821</v>
      </c>
      <c r="G2316" s="144" t="s">
        <v>3877</v>
      </c>
      <c r="H2316" s="146" t="s">
        <v>130</v>
      </c>
      <c r="I2316" s="144" t="s">
        <v>3600</v>
      </c>
    </row>
    <row r="2317" spans="1:9" ht="25.5">
      <c r="A2317" s="193">
        <v>46031</v>
      </c>
      <c r="B2317" s="145" t="s">
        <v>823</v>
      </c>
      <c r="C2317" s="150" t="s">
        <v>5512</v>
      </c>
      <c r="D2317" s="201" t="s">
        <v>1431</v>
      </c>
      <c r="E2317" s="144" t="s">
        <v>21</v>
      </c>
      <c r="F2317" s="141" t="s">
        <v>821</v>
      </c>
      <c r="G2317" s="144" t="s">
        <v>3878</v>
      </c>
      <c r="H2317" s="146" t="s">
        <v>130</v>
      </c>
      <c r="I2317" s="144" t="s">
        <v>149</v>
      </c>
    </row>
    <row r="2318" spans="1:9" ht="38.1">
      <c r="A2318" s="193">
        <v>46031</v>
      </c>
      <c r="B2318" s="145" t="s">
        <v>823</v>
      </c>
      <c r="C2318" s="150" t="s">
        <v>5512</v>
      </c>
      <c r="D2318" s="201" t="s">
        <v>1431</v>
      </c>
      <c r="E2318" s="144" t="s">
        <v>21</v>
      </c>
      <c r="F2318" s="141" t="s">
        <v>821</v>
      </c>
      <c r="G2318" s="144" t="s">
        <v>3879</v>
      </c>
      <c r="H2318" s="146" t="s">
        <v>130</v>
      </c>
      <c r="I2318" s="144" t="s">
        <v>149</v>
      </c>
    </row>
    <row r="2319" spans="1:9" ht="50.45">
      <c r="A2319" s="193">
        <v>46031</v>
      </c>
      <c r="B2319" s="145" t="s">
        <v>823</v>
      </c>
      <c r="C2319" s="150" t="s">
        <v>5512</v>
      </c>
      <c r="D2319" s="201" t="s">
        <v>1431</v>
      </c>
      <c r="E2319" s="144" t="s">
        <v>1566</v>
      </c>
      <c r="F2319" s="139" t="s">
        <v>88</v>
      </c>
      <c r="G2319" s="144" t="s">
        <v>3880</v>
      </c>
      <c r="H2319" s="146" t="s">
        <v>26</v>
      </c>
      <c r="I2319" s="144" t="s">
        <v>1453</v>
      </c>
    </row>
    <row r="2320" spans="1:9" ht="25.5">
      <c r="A2320" s="193">
        <v>46031</v>
      </c>
      <c r="B2320" s="145" t="s">
        <v>823</v>
      </c>
      <c r="C2320" s="150" t="s">
        <v>5512</v>
      </c>
      <c r="D2320" s="201" t="s">
        <v>3881</v>
      </c>
      <c r="E2320" s="144" t="s">
        <v>1506</v>
      </c>
      <c r="F2320" s="139" t="s">
        <v>88</v>
      </c>
      <c r="G2320" s="144" t="s">
        <v>3882</v>
      </c>
      <c r="H2320" s="146" t="s">
        <v>26</v>
      </c>
      <c r="I2320" s="144" t="s">
        <v>3883</v>
      </c>
    </row>
    <row r="2321" spans="1:9" ht="25.5">
      <c r="A2321" s="193">
        <v>46031</v>
      </c>
      <c r="B2321" s="145" t="s">
        <v>823</v>
      </c>
      <c r="C2321" s="150" t="s">
        <v>5512</v>
      </c>
      <c r="D2321" s="201" t="s">
        <v>2224</v>
      </c>
      <c r="E2321" s="144" t="s">
        <v>1449</v>
      </c>
      <c r="F2321" s="139" t="s">
        <v>88</v>
      </c>
      <c r="G2321" s="144" t="s">
        <v>3884</v>
      </c>
      <c r="H2321" s="146" t="s">
        <v>26</v>
      </c>
      <c r="I2321" s="144" t="s">
        <v>2593</v>
      </c>
    </row>
    <row r="2322" spans="1:9" ht="25.5">
      <c r="A2322" s="193">
        <v>46031</v>
      </c>
      <c r="B2322" s="145" t="s">
        <v>823</v>
      </c>
      <c r="C2322" s="150" t="s">
        <v>5512</v>
      </c>
      <c r="D2322" s="201" t="s">
        <v>2224</v>
      </c>
      <c r="E2322" s="144" t="s">
        <v>21</v>
      </c>
      <c r="F2322" s="141" t="s">
        <v>821</v>
      </c>
      <c r="G2322" s="144" t="s">
        <v>3885</v>
      </c>
      <c r="H2322" s="146" t="s">
        <v>26</v>
      </c>
      <c r="I2322" s="144" t="s">
        <v>149</v>
      </c>
    </row>
    <row r="2323" spans="1:9" ht="14.1">
      <c r="A2323" s="193">
        <v>46031</v>
      </c>
      <c r="B2323" s="145" t="s">
        <v>823</v>
      </c>
      <c r="C2323" s="150" t="s">
        <v>5512</v>
      </c>
      <c r="D2323" s="201" t="s">
        <v>3886</v>
      </c>
      <c r="E2323" s="144" t="s">
        <v>988</v>
      </c>
      <c r="F2323" s="139" t="s">
        <v>88</v>
      </c>
      <c r="G2323" s="144" t="s">
        <v>3887</v>
      </c>
      <c r="H2323" s="146" t="s">
        <v>26</v>
      </c>
      <c r="I2323" s="144" t="s">
        <v>3883</v>
      </c>
    </row>
    <row r="2324" spans="1:9" ht="25.5">
      <c r="A2324" s="193">
        <v>46031</v>
      </c>
      <c r="B2324" s="145" t="s">
        <v>823</v>
      </c>
      <c r="C2324" s="150" t="s">
        <v>5512</v>
      </c>
      <c r="D2324" s="201" t="s">
        <v>1431</v>
      </c>
      <c r="E2324" s="144" t="s">
        <v>377</v>
      </c>
      <c r="F2324" s="139" t="s">
        <v>88</v>
      </c>
      <c r="G2324" s="144" t="s">
        <v>3888</v>
      </c>
      <c r="H2324" s="146" t="s">
        <v>26</v>
      </c>
      <c r="I2324" s="144" t="s">
        <v>3247</v>
      </c>
    </row>
    <row r="2325" spans="1:9" ht="50.45">
      <c r="A2325" s="193">
        <v>46034</v>
      </c>
      <c r="B2325" s="145" t="s">
        <v>823</v>
      </c>
      <c r="C2325" s="150" t="s">
        <v>5512</v>
      </c>
      <c r="D2325" s="201" t="s">
        <v>1431</v>
      </c>
      <c r="E2325" s="144" t="s">
        <v>2535</v>
      </c>
      <c r="F2325" s="139" t="s">
        <v>88</v>
      </c>
      <c r="G2325" s="144" t="s">
        <v>3889</v>
      </c>
      <c r="H2325" s="146" t="s">
        <v>26</v>
      </c>
      <c r="I2325" s="144" t="s">
        <v>3516</v>
      </c>
    </row>
    <row r="2326" spans="1:9" ht="63">
      <c r="A2326" s="193">
        <v>46034</v>
      </c>
      <c r="B2326" s="145" t="s">
        <v>823</v>
      </c>
      <c r="C2326" s="150" t="s">
        <v>5512</v>
      </c>
      <c r="D2326" s="201" t="s">
        <v>1431</v>
      </c>
      <c r="E2326" s="144" t="s">
        <v>216</v>
      </c>
      <c r="F2326" s="141" t="s">
        <v>821</v>
      </c>
      <c r="G2326" s="144" t="s">
        <v>3890</v>
      </c>
      <c r="H2326" s="146" t="s">
        <v>26</v>
      </c>
      <c r="I2326" s="144" t="s">
        <v>3516</v>
      </c>
    </row>
    <row r="2327" spans="1:9" ht="63">
      <c r="A2327" s="193">
        <v>46034</v>
      </c>
      <c r="B2327" s="145" t="s">
        <v>823</v>
      </c>
      <c r="C2327" s="150" t="s">
        <v>5512</v>
      </c>
      <c r="D2327" s="201" t="s">
        <v>1431</v>
      </c>
      <c r="E2327" s="144" t="s">
        <v>1518</v>
      </c>
      <c r="F2327" s="147" t="s">
        <v>859</v>
      </c>
      <c r="G2327" s="144" t="s">
        <v>3891</v>
      </c>
      <c r="H2327" s="146" t="s">
        <v>26</v>
      </c>
      <c r="I2327" s="144" t="s">
        <v>3769</v>
      </c>
    </row>
    <row r="2328" spans="1:9" ht="25.5">
      <c r="A2328" s="193">
        <v>46034</v>
      </c>
      <c r="B2328" s="145" t="s">
        <v>823</v>
      </c>
      <c r="C2328" s="150" t="s">
        <v>5512</v>
      </c>
      <c r="D2328" s="201" t="s">
        <v>1431</v>
      </c>
      <c r="E2328" s="144" t="s">
        <v>216</v>
      </c>
      <c r="F2328" s="141" t="s">
        <v>821</v>
      </c>
      <c r="G2328" s="144" t="s">
        <v>3892</v>
      </c>
      <c r="H2328" s="146" t="s">
        <v>130</v>
      </c>
      <c r="I2328" s="144" t="s">
        <v>3600</v>
      </c>
    </row>
    <row r="2329" spans="1:9" ht="25.5">
      <c r="A2329" s="193">
        <v>46034</v>
      </c>
      <c r="B2329" s="145" t="s">
        <v>823</v>
      </c>
      <c r="C2329" s="150" t="s">
        <v>5512</v>
      </c>
      <c r="D2329" s="201" t="s">
        <v>1431</v>
      </c>
      <c r="E2329" s="144" t="s">
        <v>21</v>
      </c>
      <c r="F2329" s="141" t="s">
        <v>821</v>
      </c>
      <c r="G2329" s="144" t="s">
        <v>3893</v>
      </c>
      <c r="H2329" s="146" t="s">
        <v>26</v>
      </c>
      <c r="I2329" s="144" t="s">
        <v>468</v>
      </c>
    </row>
    <row r="2330" spans="1:9" ht="38.1">
      <c r="A2330" s="193">
        <v>46034</v>
      </c>
      <c r="B2330" s="145" t="s">
        <v>823</v>
      </c>
      <c r="C2330" s="150" t="s">
        <v>5512</v>
      </c>
      <c r="D2330" s="201" t="s">
        <v>1431</v>
      </c>
      <c r="E2330" s="144" t="s">
        <v>97</v>
      </c>
      <c r="F2330" s="141" t="s">
        <v>821</v>
      </c>
      <c r="G2330" s="144" t="s">
        <v>3894</v>
      </c>
      <c r="H2330" s="146" t="s">
        <v>26</v>
      </c>
      <c r="I2330" s="144" t="s">
        <v>3561</v>
      </c>
    </row>
    <row r="2331" spans="1:9" ht="14.1">
      <c r="A2331" s="193">
        <v>46034</v>
      </c>
      <c r="B2331" s="145" t="s">
        <v>823</v>
      </c>
      <c r="C2331" s="150" t="s">
        <v>5512</v>
      </c>
      <c r="D2331" s="201" t="s">
        <v>1431</v>
      </c>
      <c r="E2331" s="144" t="s">
        <v>1449</v>
      </c>
      <c r="F2331" s="141" t="s">
        <v>821</v>
      </c>
      <c r="G2331" s="144" t="s">
        <v>3895</v>
      </c>
      <c r="H2331" s="146" t="s">
        <v>130</v>
      </c>
      <c r="I2331" s="144" t="s">
        <v>2593</v>
      </c>
    </row>
    <row r="2332" spans="1:9" ht="25.5">
      <c r="A2332" s="193">
        <v>46034</v>
      </c>
      <c r="B2332" s="145" t="s">
        <v>823</v>
      </c>
      <c r="C2332" s="150" t="s">
        <v>5512</v>
      </c>
      <c r="D2332" s="201" t="s">
        <v>1431</v>
      </c>
      <c r="E2332" s="144" t="s">
        <v>1566</v>
      </c>
      <c r="F2332" s="139" t="s">
        <v>88</v>
      </c>
      <c r="G2332" s="144" t="s">
        <v>3896</v>
      </c>
      <c r="H2332" s="146" t="s">
        <v>26</v>
      </c>
      <c r="I2332" s="144" t="s">
        <v>1453</v>
      </c>
    </row>
    <row r="2333" spans="1:9" ht="25.5">
      <c r="A2333" s="193">
        <v>46034</v>
      </c>
      <c r="B2333" s="145" t="s">
        <v>823</v>
      </c>
      <c r="C2333" s="150" t="s">
        <v>5512</v>
      </c>
      <c r="D2333" s="201" t="s">
        <v>3886</v>
      </c>
      <c r="E2333" s="144" t="s">
        <v>21</v>
      </c>
      <c r="F2333" s="141" t="s">
        <v>821</v>
      </c>
      <c r="G2333" s="144" t="s">
        <v>3897</v>
      </c>
      <c r="H2333" s="146" t="s">
        <v>130</v>
      </c>
      <c r="I2333" s="144" t="s">
        <v>468</v>
      </c>
    </row>
    <row r="2334" spans="1:9" ht="38.1">
      <c r="A2334" s="193">
        <v>46034</v>
      </c>
      <c r="B2334" s="145" t="s">
        <v>823</v>
      </c>
      <c r="C2334" s="150" t="s">
        <v>5512</v>
      </c>
      <c r="D2334" s="201" t="s">
        <v>2224</v>
      </c>
      <c r="E2334" s="144" t="s">
        <v>21</v>
      </c>
      <c r="F2334" s="141" t="s">
        <v>821</v>
      </c>
      <c r="G2334" s="144" t="s">
        <v>3898</v>
      </c>
      <c r="H2334" s="146" t="s">
        <v>130</v>
      </c>
      <c r="I2334" s="144" t="s">
        <v>468</v>
      </c>
    </row>
    <row r="2335" spans="1:9" ht="38.1">
      <c r="A2335" s="193">
        <v>46034</v>
      </c>
      <c r="B2335" s="145" t="s">
        <v>823</v>
      </c>
      <c r="C2335" s="150" t="s">
        <v>5512</v>
      </c>
      <c r="D2335" s="201" t="s">
        <v>1431</v>
      </c>
      <c r="E2335" s="144" t="s">
        <v>1506</v>
      </c>
      <c r="F2335" s="139" t="s">
        <v>88</v>
      </c>
      <c r="G2335" s="144" t="s">
        <v>3899</v>
      </c>
      <c r="H2335" s="146" t="s">
        <v>26</v>
      </c>
      <c r="I2335" s="144" t="s">
        <v>3247</v>
      </c>
    </row>
    <row r="2336" spans="1:9" ht="38.1">
      <c r="A2336" s="193">
        <v>46034</v>
      </c>
      <c r="B2336" s="145" t="s">
        <v>823</v>
      </c>
      <c r="C2336" s="150" t="s">
        <v>5512</v>
      </c>
      <c r="D2336" s="201" t="s">
        <v>1431</v>
      </c>
      <c r="E2336" s="144" t="s">
        <v>1506</v>
      </c>
      <c r="F2336" s="139" t="s">
        <v>88</v>
      </c>
      <c r="G2336" s="144" t="s">
        <v>3900</v>
      </c>
      <c r="H2336" s="146" t="s">
        <v>26</v>
      </c>
      <c r="I2336" s="144" t="s">
        <v>3247</v>
      </c>
    </row>
    <row r="2337" spans="1:9" ht="38.1">
      <c r="A2337" s="193">
        <v>46034</v>
      </c>
      <c r="B2337" s="145" t="s">
        <v>823</v>
      </c>
      <c r="C2337" s="150" t="s">
        <v>5512</v>
      </c>
      <c r="D2337" s="201" t="s">
        <v>1431</v>
      </c>
      <c r="E2337" s="144" t="s">
        <v>1449</v>
      </c>
      <c r="F2337" s="139" t="s">
        <v>88</v>
      </c>
      <c r="G2337" s="144" t="s">
        <v>3901</v>
      </c>
      <c r="H2337" s="146" t="s">
        <v>130</v>
      </c>
      <c r="I2337" s="144" t="s">
        <v>2593</v>
      </c>
    </row>
    <row r="2338" spans="1:9" ht="38.1">
      <c r="A2338" s="193">
        <v>46034</v>
      </c>
      <c r="B2338" s="145" t="s">
        <v>823</v>
      </c>
      <c r="C2338" s="150" t="s">
        <v>5512</v>
      </c>
      <c r="D2338" s="201" t="s">
        <v>1431</v>
      </c>
      <c r="E2338" s="144" t="s">
        <v>1449</v>
      </c>
      <c r="F2338" s="139" t="s">
        <v>88</v>
      </c>
      <c r="G2338" s="144" t="s">
        <v>3902</v>
      </c>
      <c r="H2338" s="146" t="s">
        <v>26</v>
      </c>
      <c r="I2338" s="144" t="s">
        <v>2593</v>
      </c>
    </row>
    <row r="2339" spans="1:9" ht="25.5">
      <c r="A2339" s="193">
        <v>46034</v>
      </c>
      <c r="B2339" s="145" t="s">
        <v>823</v>
      </c>
      <c r="C2339" s="150" t="s">
        <v>5512</v>
      </c>
      <c r="D2339" s="201" t="s">
        <v>1431</v>
      </c>
      <c r="E2339" s="144" t="s">
        <v>1566</v>
      </c>
      <c r="F2339" s="139" t="s">
        <v>88</v>
      </c>
      <c r="G2339" s="144" t="s">
        <v>3903</v>
      </c>
      <c r="H2339" s="146" t="s">
        <v>26</v>
      </c>
      <c r="I2339" s="144" t="s">
        <v>1453</v>
      </c>
    </row>
    <row r="2340" spans="1:9" ht="14.1">
      <c r="A2340" s="193">
        <v>46034</v>
      </c>
      <c r="B2340" s="145" t="s">
        <v>823</v>
      </c>
      <c r="C2340" s="150" t="s">
        <v>5512</v>
      </c>
      <c r="D2340" s="201" t="s">
        <v>1431</v>
      </c>
      <c r="E2340" s="144" t="s">
        <v>1566</v>
      </c>
      <c r="F2340" s="139" t="s">
        <v>88</v>
      </c>
      <c r="G2340" s="144" t="s">
        <v>3904</v>
      </c>
      <c r="H2340" s="146" t="s">
        <v>26</v>
      </c>
      <c r="I2340" s="144" t="s">
        <v>1453</v>
      </c>
    </row>
    <row r="2341" spans="1:9" ht="25.5">
      <c r="A2341" s="193">
        <v>46034</v>
      </c>
      <c r="B2341" s="145" t="s">
        <v>823</v>
      </c>
      <c r="C2341" s="150" t="s">
        <v>5512</v>
      </c>
      <c r="D2341" s="201" t="s">
        <v>1431</v>
      </c>
      <c r="E2341" s="144" t="s">
        <v>1566</v>
      </c>
      <c r="F2341" s="139" t="s">
        <v>88</v>
      </c>
      <c r="G2341" s="144" t="s">
        <v>3905</v>
      </c>
      <c r="H2341" s="146" t="s">
        <v>26</v>
      </c>
      <c r="I2341" s="144" t="s">
        <v>1453</v>
      </c>
    </row>
    <row r="2342" spans="1:9" ht="14.1">
      <c r="A2342" s="193">
        <v>46034</v>
      </c>
      <c r="B2342" s="145" t="s">
        <v>823</v>
      </c>
      <c r="C2342" s="150" t="s">
        <v>5512</v>
      </c>
      <c r="D2342" s="201" t="s">
        <v>1431</v>
      </c>
      <c r="E2342" s="144" t="s">
        <v>1506</v>
      </c>
      <c r="F2342" s="139" t="s">
        <v>88</v>
      </c>
      <c r="G2342" s="144" t="s">
        <v>3906</v>
      </c>
      <c r="H2342" s="146" t="s">
        <v>130</v>
      </c>
      <c r="I2342" s="144" t="s">
        <v>3247</v>
      </c>
    </row>
    <row r="2343" spans="1:9" ht="38.1">
      <c r="A2343" s="193">
        <v>46034</v>
      </c>
      <c r="B2343" s="145" t="s">
        <v>823</v>
      </c>
      <c r="C2343" s="150" t="s">
        <v>5512</v>
      </c>
      <c r="D2343" s="201" t="s">
        <v>2224</v>
      </c>
      <c r="E2343" s="144" t="s">
        <v>988</v>
      </c>
      <c r="F2343" s="147" t="s">
        <v>859</v>
      </c>
      <c r="G2343" s="144" t="s">
        <v>3907</v>
      </c>
      <c r="H2343" s="146" t="s">
        <v>26</v>
      </c>
      <c r="I2343" s="144" t="s">
        <v>2568</v>
      </c>
    </row>
    <row r="2344" spans="1:9" ht="25.5">
      <c r="A2344" s="193">
        <v>46035</v>
      </c>
      <c r="B2344" s="145" t="s">
        <v>823</v>
      </c>
      <c r="C2344" s="150" t="s">
        <v>5512</v>
      </c>
      <c r="D2344" s="201" t="s">
        <v>1431</v>
      </c>
      <c r="E2344" s="144" t="s">
        <v>1608</v>
      </c>
      <c r="F2344" s="140" t="s">
        <v>1439</v>
      </c>
      <c r="G2344" s="144" t="s">
        <v>3908</v>
      </c>
      <c r="H2344" s="146" t="s">
        <v>26</v>
      </c>
      <c r="I2344" s="144" t="s">
        <v>2150</v>
      </c>
    </row>
    <row r="2345" spans="1:9" ht="25.5">
      <c r="A2345" s="193">
        <v>46035</v>
      </c>
      <c r="B2345" s="145" t="s">
        <v>823</v>
      </c>
      <c r="C2345" s="150" t="s">
        <v>5512</v>
      </c>
      <c r="D2345" s="201" t="s">
        <v>1431</v>
      </c>
      <c r="E2345" s="144" t="s">
        <v>1608</v>
      </c>
      <c r="F2345" s="140" t="s">
        <v>1439</v>
      </c>
      <c r="G2345" s="144" t="s">
        <v>3909</v>
      </c>
      <c r="H2345" s="146" t="s">
        <v>26</v>
      </c>
      <c r="I2345" s="144" t="s">
        <v>921</v>
      </c>
    </row>
    <row r="2346" spans="1:9" ht="25.5">
      <c r="A2346" s="193">
        <v>46035</v>
      </c>
      <c r="B2346" s="145" t="s">
        <v>823</v>
      </c>
      <c r="C2346" s="150" t="s">
        <v>5512</v>
      </c>
      <c r="D2346" s="201" t="s">
        <v>1431</v>
      </c>
      <c r="E2346" s="144" t="s">
        <v>1566</v>
      </c>
      <c r="F2346" s="139" t="s">
        <v>88</v>
      </c>
      <c r="G2346" s="144" t="s">
        <v>3910</v>
      </c>
      <c r="H2346" s="146" t="s">
        <v>26</v>
      </c>
      <c r="I2346" s="144" t="s">
        <v>1453</v>
      </c>
    </row>
    <row r="2347" spans="1:9" ht="14.1">
      <c r="A2347" s="193">
        <v>46035</v>
      </c>
      <c r="B2347" s="145" t="s">
        <v>823</v>
      </c>
      <c r="C2347" s="150" t="s">
        <v>5512</v>
      </c>
      <c r="D2347" s="201" t="s">
        <v>1431</v>
      </c>
      <c r="E2347" s="144" t="s">
        <v>3011</v>
      </c>
      <c r="F2347" s="147" t="s">
        <v>859</v>
      </c>
      <c r="G2347" s="144" t="s">
        <v>3911</v>
      </c>
      <c r="H2347" s="146" t="s">
        <v>26</v>
      </c>
      <c r="I2347" s="144" t="s">
        <v>3839</v>
      </c>
    </row>
    <row r="2348" spans="1:9" ht="38.1">
      <c r="A2348" s="193">
        <v>46035</v>
      </c>
      <c r="B2348" s="145" t="s">
        <v>823</v>
      </c>
      <c r="C2348" s="150" t="s">
        <v>5512</v>
      </c>
      <c r="D2348" s="201" t="s">
        <v>1431</v>
      </c>
      <c r="E2348" s="144" t="s">
        <v>3011</v>
      </c>
      <c r="F2348" s="147" t="s">
        <v>859</v>
      </c>
      <c r="G2348" s="144" t="s">
        <v>3912</v>
      </c>
      <c r="H2348" s="146" t="s">
        <v>130</v>
      </c>
      <c r="I2348" s="144" t="s">
        <v>3839</v>
      </c>
    </row>
    <row r="2349" spans="1:9" ht="25.5">
      <c r="A2349" s="193">
        <v>46035</v>
      </c>
      <c r="B2349" s="145" t="s">
        <v>823</v>
      </c>
      <c r="C2349" s="150" t="s">
        <v>5512</v>
      </c>
      <c r="D2349" s="201" t="s">
        <v>1431</v>
      </c>
      <c r="E2349" s="144" t="s">
        <v>377</v>
      </c>
      <c r="F2349" s="139" t="s">
        <v>88</v>
      </c>
      <c r="G2349" s="144" t="s">
        <v>3913</v>
      </c>
      <c r="H2349" s="146" t="s">
        <v>26</v>
      </c>
      <c r="I2349" s="144" t="s">
        <v>3247</v>
      </c>
    </row>
    <row r="2350" spans="1:9" ht="25.5">
      <c r="A2350" s="193">
        <v>46035</v>
      </c>
      <c r="B2350" s="145" t="s">
        <v>823</v>
      </c>
      <c r="C2350" s="150" t="s">
        <v>5512</v>
      </c>
      <c r="D2350" s="201" t="s">
        <v>1431</v>
      </c>
      <c r="E2350" s="144" t="s">
        <v>21</v>
      </c>
      <c r="F2350" s="141" t="s">
        <v>821</v>
      </c>
      <c r="G2350" s="144" t="s">
        <v>3914</v>
      </c>
      <c r="H2350" s="146" t="s">
        <v>130</v>
      </c>
      <c r="I2350" s="144" t="s">
        <v>468</v>
      </c>
    </row>
    <row r="2351" spans="1:9" ht="25.5">
      <c r="A2351" s="193">
        <v>46035</v>
      </c>
      <c r="B2351" s="145" t="s">
        <v>823</v>
      </c>
      <c r="C2351" s="150" t="s">
        <v>5512</v>
      </c>
      <c r="D2351" s="201" t="s">
        <v>1431</v>
      </c>
      <c r="E2351" s="144" t="s">
        <v>1511</v>
      </c>
      <c r="F2351" s="147" t="s">
        <v>859</v>
      </c>
      <c r="G2351" s="144" t="s">
        <v>3915</v>
      </c>
      <c r="H2351" s="146" t="s">
        <v>130</v>
      </c>
      <c r="I2351" s="144" t="s">
        <v>1493</v>
      </c>
    </row>
    <row r="2352" spans="1:9" ht="25.5">
      <c r="A2352" s="193">
        <v>46035</v>
      </c>
      <c r="B2352" s="145" t="s">
        <v>823</v>
      </c>
      <c r="C2352" s="150" t="s">
        <v>5512</v>
      </c>
      <c r="D2352" s="201" t="s">
        <v>2197</v>
      </c>
      <c r="E2352" s="144" t="s">
        <v>1225</v>
      </c>
      <c r="F2352" s="139" t="s">
        <v>88</v>
      </c>
      <c r="G2352" s="144" t="s">
        <v>3916</v>
      </c>
      <c r="H2352" s="146" t="s">
        <v>26</v>
      </c>
      <c r="I2352" s="144" t="s">
        <v>925</v>
      </c>
    </row>
    <row r="2353" spans="1:9" ht="25.5">
      <c r="A2353" s="193">
        <v>46035</v>
      </c>
      <c r="B2353" s="145" t="s">
        <v>823</v>
      </c>
      <c r="C2353" s="150" t="s">
        <v>5512</v>
      </c>
      <c r="D2353" s="201" t="s">
        <v>1431</v>
      </c>
      <c r="E2353" s="144" t="s">
        <v>1504</v>
      </c>
      <c r="F2353" s="139" t="s">
        <v>88</v>
      </c>
      <c r="G2353" s="144" t="s">
        <v>3917</v>
      </c>
      <c r="H2353" s="146" t="s">
        <v>130</v>
      </c>
      <c r="I2353" s="144" t="s">
        <v>921</v>
      </c>
    </row>
    <row r="2354" spans="1:9" ht="50.45">
      <c r="A2354" s="193">
        <v>46035</v>
      </c>
      <c r="B2354" s="145" t="s">
        <v>823</v>
      </c>
      <c r="C2354" s="150" t="s">
        <v>5512</v>
      </c>
      <c r="D2354" s="201" t="s">
        <v>1431</v>
      </c>
      <c r="E2354" s="144" t="s">
        <v>1506</v>
      </c>
      <c r="F2354" s="139" t="s">
        <v>88</v>
      </c>
      <c r="G2354" s="144" t="s">
        <v>3918</v>
      </c>
      <c r="H2354" s="146" t="s">
        <v>130</v>
      </c>
      <c r="I2354" s="144" t="s">
        <v>3247</v>
      </c>
    </row>
    <row r="2355" spans="1:9" ht="14.1">
      <c r="A2355" s="193">
        <v>46035</v>
      </c>
      <c r="B2355" s="145" t="s">
        <v>823</v>
      </c>
      <c r="C2355" s="150" t="s">
        <v>5512</v>
      </c>
      <c r="D2355" s="201" t="s">
        <v>1431</v>
      </c>
      <c r="E2355" s="144" t="s">
        <v>1518</v>
      </c>
      <c r="F2355" s="139" t="s">
        <v>88</v>
      </c>
      <c r="G2355" s="144" t="s">
        <v>3919</v>
      </c>
      <c r="H2355" s="146" t="s">
        <v>26</v>
      </c>
      <c r="I2355" s="144" t="s">
        <v>3920</v>
      </c>
    </row>
    <row r="2356" spans="1:9" ht="14.1">
      <c r="A2356" s="193">
        <v>46035</v>
      </c>
      <c r="B2356" s="145" t="s">
        <v>823</v>
      </c>
      <c r="C2356" s="150" t="s">
        <v>5512</v>
      </c>
      <c r="D2356" s="201" t="s">
        <v>1431</v>
      </c>
      <c r="E2356" s="144" t="s">
        <v>21</v>
      </c>
      <c r="F2356" s="141" t="s">
        <v>821</v>
      </c>
      <c r="G2356" s="144" t="s">
        <v>3921</v>
      </c>
      <c r="H2356" s="146" t="s">
        <v>130</v>
      </c>
      <c r="I2356" s="144" t="s">
        <v>468</v>
      </c>
    </row>
    <row r="2357" spans="1:9" ht="25.5">
      <c r="A2357" s="193">
        <v>46035</v>
      </c>
      <c r="B2357" s="145" t="s">
        <v>823</v>
      </c>
      <c r="C2357" s="150" t="s">
        <v>5512</v>
      </c>
      <c r="D2357" s="201" t="s">
        <v>1431</v>
      </c>
      <c r="E2357" s="144" t="s">
        <v>21</v>
      </c>
      <c r="F2357" s="141" t="s">
        <v>821</v>
      </c>
      <c r="G2357" s="144" t="s">
        <v>3922</v>
      </c>
      <c r="H2357" s="146" t="s">
        <v>130</v>
      </c>
      <c r="I2357" s="144" t="s">
        <v>468</v>
      </c>
    </row>
    <row r="2358" spans="1:9" ht="14.1">
      <c r="A2358" s="193">
        <v>46035</v>
      </c>
      <c r="B2358" s="145" t="s">
        <v>823</v>
      </c>
      <c r="C2358" s="150" t="s">
        <v>5512</v>
      </c>
      <c r="D2358" s="201" t="s">
        <v>1431</v>
      </c>
      <c r="E2358" s="144" t="s">
        <v>1449</v>
      </c>
      <c r="F2358" s="139" t="s">
        <v>88</v>
      </c>
      <c r="G2358" s="144" t="s">
        <v>3923</v>
      </c>
      <c r="H2358" s="146" t="s">
        <v>26</v>
      </c>
      <c r="I2358" s="144" t="s">
        <v>2593</v>
      </c>
    </row>
    <row r="2359" spans="1:9" ht="50.45">
      <c r="A2359" s="193">
        <v>46035</v>
      </c>
      <c r="B2359" s="145" t="s">
        <v>823</v>
      </c>
      <c r="C2359" s="150" t="s">
        <v>5512</v>
      </c>
      <c r="D2359" s="201" t="s">
        <v>1431</v>
      </c>
      <c r="E2359" s="144" t="s">
        <v>1449</v>
      </c>
      <c r="F2359" s="139" t="s">
        <v>88</v>
      </c>
      <c r="G2359" s="144" t="s">
        <v>3924</v>
      </c>
      <c r="H2359" s="146" t="s">
        <v>26</v>
      </c>
      <c r="I2359" s="144" t="s">
        <v>2593</v>
      </c>
    </row>
    <row r="2360" spans="1:9" ht="14.1">
      <c r="A2360" s="193">
        <v>46035</v>
      </c>
      <c r="B2360" s="145" t="s">
        <v>823</v>
      </c>
      <c r="C2360" s="150" t="s">
        <v>5512</v>
      </c>
      <c r="D2360" s="201" t="s">
        <v>2224</v>
      </c>
      <c r="E2360" s="144" t="s">
        <v>21</v>
      </c>
      <c r="F2360" s="141" t="s">
        <v>821</v>
      </c>
      <c r="G2360" s="144" t="s">
        <v>3925</v>
      </c>
      <c r="H2360" s="146" t="s">
        <v>26</v>
      </c>
      <c r="I2360" s="144" t="s">
        <v>468</v>
      </c>
    </row>
    <row r="2361" spans="1:9" ht="38.1">
      <c r="A2361" s="193">
        <v>46035</v>
      </c>
      <c r="B2361" s="145" t="s">
        <v>823</v>
      </c>
      <c r="C2361" s="150" t="s">
        <v>5512</v>
      </c>
      <c r="D2361" s="201" t="s">
        <v>3886</v>
      </c>
      <c r="E2361" s="144" t="s">
        <v>21</v>
      </c>
      <c r="F2361" s="141" t="s">
        <v>821</v>
      </c>
      <c r="G2361" s="144" t="s">
        <v>3926</v>
      </c>
      <c r="H2361" s="146" t="s">
        <v>26</v>
      </c>
      <c r="I2361" s="144" t="s">
        <v>468</v>
      </c>
    </row>
    <row r="2362" spans="1:9" ht="14.1">
      <c r="A2362" s="193">
        <v>46036</v>
      </c>
      <c r="B2362" s="145" t="s">
        <v>823</v>
      </c>
      <c r="C2362" s="150" t="s">
        <v>5512</v>
      </c>
      <c r="D2362" s="201" t="s">
        <v>1431</v>
      </c>
      <c r="E2362" s="144" t="s">
        <v>97</v>
      </c>
      <c r="F2362" s="139" t="s">
        <v>88</v>
      </c>
      <c r="G2362" s="144" t="s">
        <v>3927</v>
      </c>
      <c r="H2362" s="146" t="s">
        <v>130</v>
      </c>
      <c r="I2362" s="144" t="s">
        <v>452</v>
      </c>
    </row>
    <row r="2363" spans="1:9" ht="38.1">
      <c r="A2363" s="193">
        <v>46036</v>
      </c>
      <c r="B2363" s="145" t="s">
        <v>823</v>
      </c>
      <c r="C2363" s="150" t="s">
        <v>5512</v>
      </c>
      <c r="D2363" s="201" t="s">
        <v>1431</v>
      </c>
      <c r="E2363" s="144" t="s">
        <v>1449</v>
      </c>
      <c r="F2363" s="139" t="s">
        <v>88</v>
      </c>
      <c r="G2363" s="144" t="s">
        <v>3928</v>
      </c>
      <c r="H2363" s="146" t="s">
        <v>26</v>
      </c>
      <c r="I2363" s="144" t="s">
        <v>3516</v>
      </c>
    </row>
    <row r="2364" spans="1:9" ht="50.45">
      <c r="A2364" s="193">
        <v>46036</v>
      </c>
      <c r="B2364" s="145" t="s">
        <v>823</v>
      </c>
      <c r="C2364" s="150" t="s">
        <v>5512</v>
      </c>
      <c r="D2364" s="201" t="s">
        <v>1431</v>
      </c>
      <c r="E2364" s="144" t="s">
        <v>21</v>
      </c>
      <c r="F2364" s="141" t="s">
        <v>821</v>
      </c>
      <c r="G2364" s="144" t="s">
        <v>3929</v>
      </c>
      <c r="H2364" s="146" t="s">
        <v>26</v>
      </c>
      <c r="I2364" s="144" t="s">
        <v>3516</v>
      </c>
    </row>
    <row r="2365" spans="1:9" ht="25.5">
      <c r="A2365" s="193">
        <v>46036</v>
      </c>
      <c r="B2365" s="145" t="s">
        <v>823</v>
      </c>
      <c r="C2365" s="150" t="s">
        <v>5512</v>
      </c>
      <c r="D2365" s="201" t="s">
        <v>1431</v>
      </c>
      <c r="E2365" s="144" t="s">
        <v>21</v>
      </c>
      <c r="F2365" s="141" t="s">
        <v>821</v>
      </c>
      <c r="G2365" s="144" t="s">
        <v>3930</v>
      </c>
      <c r="H2365" s="146" t="s">
        <v>130</v>
      </c>
      <c r="I2365" s="144" t="s">
        <v>468</v>
      </c>
    </row>
    <row r="2366" spans="1:9" ht="25.5">
      <c r="A2366" s="193">
        <v>46036</v>
      </c>
      <c r="B2366" s="145" t="s">
        <v>823</v>
      </c>
      <c r="C2366" s="150" t="s">
        <v>5512</v>
      </c>
      <c r="D2366" s="201" t="s">
        <v>1431</v>
      </c>
      <c r="E2366" s="144" t="s">
        <v>2595</v>
      </c>
      <c r="F2366" s="139" t="s">
        <v>88</v>
      </c>
      <c r="G2366" s="144" t="s">
        <v>3931</v>
      </c>
      <c r="H2366" s="146" t="s">
        <v>26</v>
      </c>
      <c r="I2366" s="144" t="s">
        <v>3516</v>
      </c>
    </row>
    <row r="2367" spans="1:9" ht="14.1">
      <c r="A2367" s="193">
        <v>46036</v>
      </c>
      <c r="B2367" s="145" t="s">
        <v>823</v>
      </c>
      <c r="C2367" s="150" t="s">
        <v>5512</v>
      </c>
      <c r="D2367" s="201" t="s">
        <v>1431</v>
      </c>
      <c r="E2367" s="144" t="s">
        <v>1504</v>
      </c>
      <c r="F2367" s="139" t="s">
        <v>88</v>
      </c>
      <c r="G2367" s="144" t="s">
        <v>3932</v>
      </c>
      <c r="H2367" s="146" t="s">
        <v>26</v>
      </c>
      <c r="I2367" s="144" t="s">
        <v>3516</v>
      </c>
    </row>
    <row r="2368" spans="1:9" ht="38.1">
      <c r="A2368" s="193">
        <v>46036</v>
      </c>
      <c r="B2368" s="145" t="s">
        <v>823</v>
      </c>
      <c r="C2368" s="150" t="s">
        <v>5512</v>
      </c>
      <c r="D2368" s="201" t="s">
        <v>1431</v>
      </c>
      <c r="E2368" s="144" t="s">
        <v>21</v>
      </c>
      <c r="F2368" s="141" t="s">
        <v>821</v>
      </c>
      <c r="G2368" s="144" t="s">
        <v>3933</v>
      </c>
      <c r="H2368" s="146" t="s">
        <v>26</v>
      </c>
      <c r="I2368" s="144" t="s">
        <v>468</v>
      </c>
    </row>
    <row r="2369" spans="1:9" ht="14.1">
      <c r="A2369" s="193">
        <v>46036</v>
      </c>
      <c r="B2369" s="145" t="s">
        <v>823</v>
      </c>
      <c r="C2369" s="150" t="s">
        <v>5512</v>
      </c>
      <c r="D2369" s="201" t="s">
        <v>1431</v>
      </c>
      <c r="E2369" s="144" t="s">
        <v>3636</v>
      </c>
      <c r="F2369" s="140" t="s">
        <v>1439</v>
      </c>
      <c r="G2369" s="144" t="s">
        <v>3934</v>
      </c>
      <c r="H2369" s="146" t="s">
        <v>26</v>
      </c>
      <c r="I2369" s="144" t="s">
        <v>3421</v>
      </c>
    </row>
    <row r="2370" spans="1:9" ht="38.1">
      <c r="A2370" s="193">
        <v>46036</v>
      </c>
      <c r="B2370" s="145" t="s">
        <v>823</v>
      </c>
      <c r="C2370" s="150" t="s">
        <v>5512</v>
      </c>
      <c r="D2370" s="201" t="s">
        <v>1431</v>
      </c>
      <c r="E2370" s="144" t="s">
        <v>1508</v>
      </c>
      <c r="F2370" s="139" t="s">
        <v>88</v>
      </c>
      <c r="G2370" s="144" t="s">
        <v>3935</v>
      </c>
      <c r="H2370" s="146" t="s">
        <v>26</v>
      </c>
      <c r="I2370" s="144" t="s">
        <v>2593</v>
      </c>
    </row>
    <row r="2371" spans="1:9" ht="25.5">
      <c r="A2371" s="193">
        <v>46036</v>
      </c>
      <c r="B2371" s="145" t="s">
        <v>823</v>
      </c>
      <c r="C2371" s="150" t="s">
        <v>5512</v>
      </c>
      <c r="D2371" s="201" t="s">
        <v>1431</v>
      </c>
      <c r="E2371" s="144" t="s">
        <v>21</v>
      </c>
      <c r="F2371" s="141" t="s">
        <v>821</v>
      </c>
      <c r="G2371" s="144" t="s">
        <v>3936</v>
      </c>
      <c r="H2371" s="146" t="s">
        <v>130</v>
      </c>
      <c r="I2371" s="144" t="s">
        <v>468</v>
      </c>
    </row>
    <row r="2372" spans="1:9" ht="25.5">
      <c r="A2372" s="193">
        <v>46036</v>
      </c>
      <c r="B2372" s="145" t="s">
        <v>823</v>
      </c>
      <c r="C2372" s="150" t="s">
        <v>5512</v>
      </c>
      <c r="D2372" s="201" t="s">
        <v>2224</v>
      </c>
      <c r="E2372" s="144" t="s">
        <v>21</v>
      </c>
      <c r="F2372" s="141" t="s">
        <v>821</v>
      </c>
      <c r="G2372" s="144" t="s">
        <v>3937</v>
      </c>
      <c r="H2372" s="146" t="s">
        <v>130</v>
      </c>
      <c r="I2372" s="144" t="s">
        <v>468</v>
      </c>
    </row>
    <row r="2373" spans="1:9" ht="38.1">
      <c r="A2373" s="193">
        <v>46036</v>
      </c>
      <c r="B2373" s="145" t="s">
        <v>823</v>
      </c>
      <c r="C2373" s="150" t="s">
        <v>5512</v>
      </c>
      <c r="D2373" s="201" t="s">
        <v>2224</v>
      </c>
      <c r="E2373" s="144" t="s">
        <v>21</v>
      </c>
      <c r="F2373" s="139" t="s">
        <v>88</v>
      </c>
      <c r="G2373" s="144" t="s">
        <v>3938</v>
      </c>
      <c r="H2373" s="146" t="s">
        <v>26</v>
      </c>
      <c r="I2373" s="144" t="s">
        <v>2735</v>
      </c>
    </row>
    <row r="2374" spans="1:9" ht="38.1">
      <c r="A2374" s="193">
        <v>46036</v>
      </c>
      <c r="B2374" s="145" t="s">
        <v>823</v>
      </c>
      <c r="C2374" s="150" t="s">
        <v>5512</v>
      </c>
      <c r="D2374" s="201" t="s">
        <v>2224</v>
      </c>
      <c r="E2374" s="144" t="s">
        <v>1432</v>
      </c>
      <c r="F2374" s="139" t="s">
        <v>88</v>
      </c>
      <c r="G2374" s="144" t="s">
        <v>3939</v>
      </c>
      <c r="H2374" s="146" t="s">
        <v>26</v>
      </c>
      <c r="I2374" s="144" t="s">
        <v>158</v>
      </c>
    </row>
    <row r="2375" spans="1:9" ht="14.1">
      <c r="A2375" s="193">
        <v>46036</v>
      </c>
      <c r="B2375" s="145" t="s">
        <v>823</v>
      </c>
      <c r="C2375" s="150" t="s">
        <v>5512</v>
      </c>
      <c r="D2375" s="201" t="s">
        <v>1431</v>
      </c>
      <c r="E2375" s="144" t="s">
        <v>3011</v>
      </c>
      <c r="F2375" s="139" t="s">
        <v>88</v>
      </c>
      <c r="G2375" s="144" t="s">
        <v>3940</v>
      </c>
      <c r="H2375" s="146" t="s">
        <v>130</v>
      </c>
      <c r="I2375" s="144" t="s">
        <v>3839</v>
      </c>
    </row>
    <row r="2376" spans="1:9" ht="25.5">
      <c r="A2376" s="193">
        <v>46036</v>
      </c>
      <c r="B2376" s="145" t="s">
        <v>823</v>
      </c>
      <c r="C2376" s="150" t="s">
        <v>5512</v>
      </c>
      <c r="D2376" s="201" t="s">
        <v>1431</v>
      </c>
      <c r="E2376" s="144" t="s">
        <v>3636</v>
      </c>
      <c r="F2376" s="140" t="s">
        <v>1439</v>
      </c>
      <c r="G2376" s="144" t="s">
        <v>3941</v>
      </c>
      <c r="H2376" s="146" t="s">
        <v>26</v>
      </c>
      <c r="I2376" s="144" t="s">
        <v>3421</v>
      </c>
    </row>
    <row r="2377" spans="1:9" ht="25.5">
      <c r="A2377" s="193">
        <v>46036</v>
      </c>
      <c r="B2377" s="145" t="s">
        <v>823</v>
      </c>
      <c r="C2377" s="150" t="s">
        <v>5512</v>
      </c>
      <c r="D2377" s="201" t="s">
        <v>1431</v>
      </c>
      <c r="E2377" s="144" t="s">
        <v>21</v>
      </c>
      <c r="F2377" s="147" t="s">
        <v>859</v>
      </c>
      <c r="G2377" s="144" t="s">
        <v>3942</v>
      </c>
      <c r="H2377" s="146" t="s">
        <v>26</v>
      </c>
      <c r="I2377" s="144" t="s">
        <v>910</v>
      </c>
    </row>
    <row r="2378" spans="1:9" ht="50.45">
      <c r="A2378" s="193">
        <v>46036</v>
      </c>
      <c r="B2378" s="145" t="s">
        <v>823</v>
      </c>
      <c r="C2378" s="150" t="s">
        <v>5512</v>
      </c>
      <c r="D2378" s="201" t="s">
        <v>1431</v>
      </c>
      <c r="E2378" s="144" t="s">
        <v>1506</v>
      </c>
      <c r="F2378" s="139" t="s">
        <v>88</v>
      </c>
      <c r="G2378" s="144" t="s">
        <v>3943</v>
      </c>
      <c r="H2378" s="146" t="s">
        <v>26</v>
      </c>
      <c r="I2378" s="144" t="s">
        <v>1904</v>
      </c>
    </row>
    <row r="2379" spans="1:9" ht="14.1">
      <c r="A2379" s="193">
        <v>46036</v>
      </c>
      <c r="B2379" s="145" t="s">
        <v>823</v>
      </c>
      <c r="C2379" s="150" t="s">
        <v>5512</v>
      </c>
      <c r="D2379" s="201" t="s">
        <v>1431</v>
      </c>
      <c r="E2379" s="144" t="s">
        <v>1566</v>
      </c>
      <c r="F2379" s="139" t="s">
        <v>88</v>
      </c>
      <c r="G2379" s="144" t="s">
        <v>3944</v>
      </c>
      <c r="H2379" s="146" t="s">
        <v>26</v>
      </c>
      <c r="I2379" s="144" t="s">
        <v>1453</v>
      </c>
    </row>
    <row r="2380" spans="1:9" ht="14.1">
      <c r="A2380" s="193">
        <v>46036</v>
      </c>
      <c r="B2380" s="145" t="s">
        <v>823</v>
      </c>
      <c r="C2380" s="150" t="s">
        <v>5512</v>
      </c>
      <c r="D2380" s="201" t="s">
        <v>3881</v>
      </c>
      <c r="E2380" s="144" t="s">
        <v>97</v>
      </c>
      <c r="F2380" s="141" t="s">
        <v>821</v>
      </c>
      <c r="G2380" s="144" t="s">
        <v>3945</v>
      </c>
      <c r="H2380" s="146" t="s">
        <v>26</v>
      </c>
      <c r="I2380" s="144" t="s">
        <v>3883</v>
      </c>
    </row>
    <row r="2381" spans="1:9" ht="25.5">
      <c r="A2381" s="193">
        <v>46036</v>
      </c>
      <c r="B2381" s="145" t="s">
        <v>823</v>
      </c>
      <c r="C2381" s="150" t="s">
        <v>5512</v>
      </c>
      <c r="D2381" s="201" t="s">
        <v>3881</v>
      </c>
      <c r="E2381" s="144" t="s">
        <v>3946</v>
      </c>
      <c r="F2381" s="139" t="s">
        <v>88</v>
      </c>
      <c r="G2381" s="144" t="s">
        <v>3947</v>
      </c>
      <c r="H2381" s="146" t="s">
        <v>26</v>
      </c>
      <c r="I2381" s="144" t="s">
        <v>3883</v>
      </c>
    </row>
    <row r="2382" spans="1:9" ht="25.5">
      <c r="A2382" s="193">
        <v>46037</v>
      </c>
      <c r="B2382" s="145" t="s">
        <v>823</v>
      </c>
      <c r="C2382" s="150" t="s">
        <v>5512</v>
      </c>
      <c r="D2382" s="201" t="s">
        <v>1431</v>
      </c>
      <c r="E2382" s="144" t="s">
        <v>3011</v>
      </c>
      <c r="F2382" s="147" t="s">
        <v>859</v>
      </c>
      <c r="G2382" s="144" t="s">
        <v>3948</v>
      </c>
      <c r="H2382" s="146" t="s">
        <v>26</v>
      </c>
      <c r="I2382" s="144" t="s">
        <v>3839</v>
      </c>
    </row>
    <row r="2383" spans="1:9" ht="38.1">
      <c r="A2383" s="193">
        <v>46037</v>
      </c>
      <c r="B2383" s="145" t="s">
        <v>823</v>
      </c>
      <c r="C2383" s="150" t="s">
        <v>5512</v>
      </c>
      <c r="D2383" s="201" t="s">
        <v>1431</v>
      </c>
      <c r="E2383" s="144" t="s">
        <v>3011</v>
      </c>
      <c r="F2383" s="147" t="s">
        <v>859</v>
      </c>
      <c r="G2383" s="144" t="s">
        <v>3949</v>
      </c>
      <c r="H2383" s="146" t="s">
        <v>130</v>
      </c>
      <c r="I2383" s="144" t="s">
        <v>3839</v>
      </c>
    </row>
    <row r="2384" spans="1:9" ht="25.5">
      <c r="A2384" s="193">
        <v>46037</v>
      </c>
      <c r="B2384" s="145" t="s">
        <v>823</v>
      </c>
      <c r="C2384" s="150" t="s">
        <v>5512</v>
      </c>
      <c r="D2384" s="201" t="s">
        <v>1431</v>
      </c>
      <c r="E2384" s="144" t="s">
        <v>3950</v>
      </c>
      <c r="F2384" s="139" t="s">
        <v>88</v>
      </c>
      <c r="G2384" s="144" t="s">
        <v>3951</v>
      </c>
      <c r="H2384" s="146" t="s">
        <v>26</v>
      </c>
      <c r="I2384" s="144" t="s">
        <v>3852</v>
      </c>
    </row>
    <row r="2385" spans="1:9" ht="25.5">
      <c r="A2385" s="193">
        <v>46037</v>
      </c>
      <c r="B2385" s="145" t="s">
        <v>823</v>
      </c>
      <c r="C2385" s="150" t="s">
        <v>5512</v>
      </c>
      <c r="D2385" s="201" t="s">
        <v>1431</v>
      </c>
      <c r="E2385" s="144" t="s">
        <v>1506</v>
      </c>
      <c r="F2385" s="139" t="s">
        <v>88</v>
      </c>
      <c r="G2385" s="144" t="s">
        <v>3952</v>
      </c>
      <c r="H2385" s="146" t="s">
        <v>130</v>
      </c>
      <c r="I2385" s="144" t="s">
        <v>1493</v>
      </c>
    </row>
    <row r="2386" spans="1:9" ht="25.5">
      <c r="A2386" s="193">
        <v>46037</v>
      </c>
      <c r="B2386" s="145" t="s">
        <v>823</v>
      </c>
      <c r="C2386" s="150" t="s">
        <v>5512</v>
      </c>
      <c r="D2386" s="201" t="s">
        <v>1431</v>
      </c>
      <c r="E2386" s="144" t="s">
        <v>3636</v>
      </c>
      <c r="F2386" s="140" t="s">
        <v>1439</v>
      </c>
      <c r="G2386" s="144" t="s">
        <v>3953</v>
      </c>
      <c r="H2386" s="146" t="s">
        <v>130</v>
      </c>
      <c r="I2386" s="144" t="s">
        <v>3421</v>
      </c>
    </row>
    <row r="2387" spans="1:9" ht="38.1">
      <c r="A2387" s="193">
        <v>46037</v>
      </c>
      <c r="B2387" s="145" t="s">
        <v>823</v>
      </c>
      <c r="C2387" s="150" t="s">
        <v>5512</v>
      </c>
      <c r="D2387" s="201" t="s">
        <v>1431</v>
      </c>
      <c r="E2387" s="144" t="s">
        <v>1518</v>
      </c>
      <c r="F2387" s="139" t="s">
        <v>88</v>
      </c>
      <c r="G2387" s="144" t="s">
        <v>3954</v>
      </c>
      <c r="H2387" s="146" t="s">
        <v>26</v>
      </c>
      <c r="I2387" s="144" t="s">
        <v>1436</v>
      </c>
    </row>
    <row r="2388" spans="1:9" ht="25.5">
      <c r="A2388" s="193">
        <v>46037</v>
      </c>
      <c r="B2388" s="145" t="s">
        <v>823</v>
      </c>
      <c r="C2388" s="150" t="s">
        <v>5512</v>
      </c>
      <c r="D2388" s="201" t="s">
        <v>1431</v>
      </c>
      <c r="E2388" s="144" t="s">
        <v>1449</v>
      </c>
      <c r="F2388" s="147" t="s">
        <v>859</v>
      </c>
      <c r="G2388" s="144" t="s">
        <v>3955</v>
      </c>
      <c r="H2388" s="146" t="s">
        <v>26</v>
      </c>
      <c r="I2388" s="144" t="s">
        <v>2593</v>
      </c>
    </row>
    <row r="2389" spans="1:9" ht="25.5">
      <c r="A2389" s="193">
        <v>46037</v>
      </c>
      <c r="B2389" s="145" t="s">
        <v>823</v>
      </c>
      <c r="C2389" s="150" t="s">
        <v>5512</v>
      </c>
      <c r="D2389" s="201" t="s">
        <v>1431</v>
      </c>
      <c r="E2389" s="144" t="s">
        <v>1449</v>
      </c>
      <c r="F2389" s="139" t="s">
        <v>88</v>
      </c>
      <c r="G2389" s="144" t="s">
        <v>3956</v>
      </c>
      <c r="H2389" s="146" t="s">
        <v>26</v>
      </c>
      <c r="I2389" s="144" t="s">
        <v>2593</v>
      </c>
    </row>
    <row r="2390" spans="1:9" ht="25.5">
      <c r="A2390" s="193">
        <v>46037</v>
      </c>
      <c r="B2390" s="145" t="s">
        <v>823</v>
      </c>
      <c r="C2390" s="150" t="s">
        <v>5512</v>
      </c>
      <c r="D2390" s="201" t="s">
        <v>1431</v>
      </c>
      <c r="E2390" s="144" t="s">
        <v>1449</v>
      </c>
      <c r="F2390" s="141" t="s">
        <v>821</v>
      </c>
      <c r="G2390" s="144" t="s">
        <v>3957</v>
      </c>
      <c r="H2390" s="146" t="s">
        <v>26</v>
      </c>
      <c r="I2390" s="144" t="s">
        <v>2593</v>
      </c>
    </row>
    <row r="2391" spans="1:9" ht="25.5">
      <c r="A2391" s="193">
        <v>46037</v>
      </c>
      <c r="B2391" s="145" t="s">
        <v>823</v>
      </c>
      <c r="C2391" s="150" t="s">
        <v>5512</v>
      </c>
      <c r="D2391" s="201" t="s">
        <v>1431</v>
      </c>
      <c r="E2391" s="144" t="s">
        <v>1449</v>
      </c>
      <c r="F2391" s="142" t="s">
        <v>872</v>
      </c>
      <c r="G2391" s="144" t="s">
        <v>3958</v>
      </c>
      <c r="H2391" s="146" t="s">
        <v>26</v>
      </c>
      <c r="I2391" s="144" t="s">
        <v>2593</v>
      </c>
    </row>
    <row r="2392" spans="1:9" ht="25.5">
      <c r="A2392" s="193">
        <v>46037</v>
      </c>
      <c r="B2392" s="145" t="s">
        <v>823</v>
      </c>
      <c r="C2392" s="150" t="s">
        <v>5512</v>
      </c>
      <c r="D2392" s="201" t="s">
        <v>1431</v>
      </c>
      <c r="E2392" s="144" t="s">
        <v>1449</v>
      </c>
      <c r="F2392" s="139" t="s">
        <v>88</v>
      </c>
      <c r="G2392" s="144" t="s">
        <v>3959</v>
      </c>
      <c r="H2392" s="146" t="s">
        <v>26</v>
      </c>
      <c r="I2392" s="144" t="s">
        <v>2593</v>
      </c>
    </row>
    <row r="2393" spans="1:9" ht="14.1">
      <c r="A2393" s="193">
        <v>46037</v>
      </c>
      <c r="B2393" s="145" t="s">
        <v>823</v>
      </c>
      <c r="C2393" s="150" t="s">
        <v>5512</v>
      </c>
      <c r="D2393" s="201" t="s">
        <v>2224</v>
      </c>
      <c r="E2393" s="144" t="s">
        <v>1580</v>
      </c>
      <c r="F2393" s="140" t="s">
        <v>1439</v>
      </c>
      <c r="G2393" s="144" t="s">
        <v>3960</v>
      </c>
      <c r="H2393" s="146" t="s">
        <v>130</v>
      </c>
      <c r="I2393" s="144" t="s">
        <v>2568</v>
      </c>
    </row>
    <row r="2394" spans="1:9" ht="14.1">
      <c r="A2394" s="193">
        <v>46037</v>
      </c>
      <c r="B2394" s="145" t="s">
        <v>823</v>
      </c>
      <c r="C2394" s="150" t="s">
        <v>5512</v>
      </c>
      <c r="D2394" s="201" t="s">
        <v>2224</v>
      </c>
      <c r="E2394" s="144" t="s">
        <v>1449</v>
      </c>
      <c r="F2394" s="141" t="s">
        <v>821</v>
      </c>
      <c r="G2394" s="144" t="s">
        <v>3961</v>
      </c>
      <c r="H2394" s="146" t="s">
        <v>26</v>
      </c>
      <c r="I2394" s="144" t="s">
        <v>2593</v>
      </c>
    </row>
    <row r="2395" spans="1:9" ht="38.1">
      <c r="A2395" s="193">
        <v>46037</v>
      </c>
      <c r="B2395" s="145" t="s">
        <v>823</v>
      </c>
      <c r="C2395" s="150" t="s">
        <v>5512</v>
      </c>
      <c r="D2395" s="201" t="s">
        <v>2224</v>
      </c>
      <c r="E2395" s="144" t="s">
        <v>1449</v>
      </c>
      <c r="F2395" s="139" t="s">
        <v>88</v>
      </c>
      <c r="G2395" s="144" t="s">
        <v>3962</v>
      </c>
      <c r="H2395" s="146" t="s">
        <v>26</v>
      </c>
      <c r="I2395" s="144" t="s">
        <v>2593</v>
      </c>
    </row>
    <row r="2396" spans="1:9" ht="14.1">
      <c r="A2396" s="193">
        <v>46037</v>
      </c>
      <c r="B2396" s="145" t="s">
        <v>823</v>
      </c>
      <c r="C2396" s="150" t="s">
        <v>5512</v>
      </c>
      <c r="D2396" s="201" t="s">
        <v>2224</v>
      </c>
      <c r="E2396" s="144" t="s">
        <v>1566</v>
      </c>
      <c r="F2396" s="139" t="s">
        <v>88</v>
      </c>
      <c r="G2396" s="144" t="s">
        <v>3963</v>
      </c>
      <c r="H2396" s="146" t="s">
        <v>26</v>
      </c>
      <c r="I2396" s="144" t="s">
        <v>2640</v>
      </c>
    </row>
    <row r="2397" spans="1:9" ht="25.5">
      <c r="A2397" s="193">
        <v>46038</v>
      </c>
      <c r="B2397" s="145" t="s">
        <v>823</v>
      </c>
      <c r="C2397" s="150" t="s">
        <v>5512</v>
      </c>
      <c r="D2397" s="201" t="s">
        <v>1431</v>
      </c>
      <c r="E2397" s="144" t="s">
        <v>3011</v>
      </c>
      <c r="F2397" s="139" t="s">
        <v>88</v>
      </c>
      <c r="G2397" s="144" t="s">
        <v>3964</v>
      </c>
      <c r="H2397" s="146" t="s">
        <v>26</v>
      </c>
      <c r="I2397" s="144" t="s">
        <v>452</v>
      </c>
    </row>
    <row r="2398" spans="1:9" ht="14.1">
      <c r="A2398" s="193">
        <v>46038</v>
      </c>
      <c r="B2398" s="145" t="s">
        <v>823</v>
      </c>
      <c r="C2398" s="150" t="s">
        <v>5512</v>
      </c>
      <c r="D2398" s="201" t="s">
        <v>1431</v>
      </c>
      <c r="E2398" s="144" t="s">
        <v>2595</v>
      </c>
      <c r="F2398" s="139" t="s">
        <v>88</v>
      </c>
      <c r="G2398" s="144" t="s">
        <v>3965</v>
      </c>
      <c r="H2398" s="146" t="s">
        <v>130</v>
      </c>
      <c r="I2398" s="144" t="s">
        <v>578</v>
      </c>
    </row>
    <row r="2399" spans="1:9" ht="38.1">
      <c r="A2399" s="193">
        <v>46038</v>
      </c>
      <c r="B2399" s="145" t="s">
        <v>823</v>
      </c>
      <c r="C2399" s="150" t="s">
        <v>5512</v>
      </c>
      <c r="D2399" s="201" t="s">
        <v>1431</v>
      </c>
      <c r="E2399" s="144" t="s">
        <v>3011</v>
      </c>
      <c r="F2399" s="139" t="s">
        <v>88</v>
      </c>
      <c r="G2399" s="144" t="s">
        <v>3966</v>
      </c>
      <c r="H2399" s="146" t="s">
        <v>130</v>
      </c>
      <c r="I2399" s="144" t="s">
        <v>3836</v>
      </c>
    </row>
    <row r="2400" spans="1:9" ht="14.1">
      <c r="A2400" s="193">
        <v>46038</v>
      </c>
      <c r="B2400" s="145" t="s">
        <v>823</v>
      </c>
      <c r="C2400" s="150" t="s">
        <v>5512</v>
      </c>
      <c r="D2400" s="201" t="s">
        <v>1431</v>
      </c>
      <c r="E2400" s="144" t="s">
        <v>1449</v>
      </c>
      <c r="F2400" s="139" t="s">
        <v>88</v>
      </c>
      <c r="G2400" s="144" t="s">
        <v>3967</v>
      </c>
      <c r="H2400" s="146" t="s">
        <v>26</v>
      </c>
      <c r="I2400" s="144" t="s">
        <v>3836</v>
      </c>
    </row>
    <row r="2401" spans="1:9" ht="25.5">
      <c r="A2401" s="193">
        <v>46038</v>
      </c>
      <c r="B2401" s="145" t="s">
        <v>823</v>
      </c>
      <c r="C2401" s="150" t="s">
        <v>5512</v>
      </c>
      <c r="D2401" s="201" t="s">
        <v>1431</v>
      </c>
      <c r="E2401" s="144" t="s">
        <v>3011</v>
      </c>
      <c r="F2401" s="139" t="s">
        <v>88</v>
      </c>
      <c r="G2401" s="144" t="s">
        <v>3968</v>
      </c>
      <c r="H2401" s="146" t="s">
        <v>26</v>
      </c>
      <c r="I2401" s="144" t="s">
        <v>3836</v>
      </c>
    </row>
    <row r="2402" spans="1:9" ht="25.5">
      <c r="A2402" s="193">
        <v>46038</v>
      </c>
      <c r="B2402" s="145" t="s">
        <v>823</v>
      </c>
      <c r="C2402" s="150" t="s">
        <v>5512</v>
      </c>
      <c r="D2402" s="201" t="s">
        <v>1431</v>
      </c>
      <c r="E2402" s="144" t="s">
        <v>3011</v>
      </c>
      <c r="F2402" s="147" t="s">
        <v>859</v>
      </c>
      <c r="G2402" s="144" t="s">
        <v>3969</v>
      </c>
      <c r="H2402" s="146" t="s">
        <v>130</v>
      </c>
      <c r="I2402" s="144" t="s">
        <v>3839</v>
      </c>
    </row>
    <row r="2403" spans="1:9" ht="38.1">
      <c r="A2403" s="193">
        <v>46038</v>
      </c>
      <c r="B2403" s="145" t="s">
        <v>823</v>
      </c>
      <c r="C2403" s="150" t="s">
        <v>5512</v>
      </c>
      <c r="D2403" s="201" t="s">
        <v>1431</v>
      </c>
      <c r="E2403" s="144" t="s">
        <v>2595</v>
      </c>
      <c r="F2403" s="147" t="s">
        <v>859</v>
      </c>
      <c r="G2403" s="144" t="s">
        <v>3970</v>
      </c>
      <c r="H2403" s="146" t="s">
        <v>26</v>
      </c>
      <c r="I2403" s="144" t="s">
        <v>3516</v>
      </c>
    </row>
    <row r="2404" spans="1:9" ht="25.5">
      <c r="A2404" s="193">
        <v>46038</v>
      </c>
      <c r="B2404" s="145" t="s">
        <v>823</v>
      </c>
      <c r="C2404" s="150" t="s">
        <v>5512</v>
      </c>
      <c r="D2404" s="201" t="s">
        <v>1431</v>
      </c>
      <c r="E2404" s="144" t="s">
        <v>1504</v>
      </c>
      <c r="F2404" s="141" t="s">
        <v>821</v>
      </c>
      <c r="G2404" s="144" t="s">
        <v>3971</v>
      </c>
      <c r="H2404" s="146" t="s">
        <v>130</v>
      </c>
      <c r="I2404" s="144" t="s">
        <v>3516</v>
      </c>
    </row>
    <row r="2405" spans="1:9" ht="14.1">
      <c r="A2405" s="193">
        <v>46038</v>
      </c>
      <c r="B2405" s="145" t="s">
        <v>823</v>
      </c>
      <c r="C2405" s="150" t="s">
        <v>5512</v>
      </c>
      <c r="D2405" s="201" t="s">
        <v>1431</v>
      </c>
      <c r="E2405" s="144" t="s">
        <v>216</v>
      </c>
      <c r="F2405" s="141" t="s">
        <v>821</v>
      </c>
      <c r="G2405" s="144" t="s">
        <v>3972</v>
      </c>
      <c r="H2405" s="146" t="s">
        <v>130</v>
      </c>
      <c r="I2405" s="144" t="s">
        <v>3600</v>
      </c>
    </row>
    <row r="2406" spans="1:9" ht="14.1">
      <c r="A2406" s="193">
        <v>46038</v>
      </c>
      <c r="B2406" s="145" t="s">
        <v>823</v>
      </c>
      <c r="C2406" s="150" t="s">
        <v>5512</v>
      </c>
      <c r="D2406" s="201" t="s">
        <v>1431</v>
      </c>
      <c r="E2406" s="144" t="s">
        <v>97</v>
      </c>
      <c r="F2406" s="141" t="s">
        <v>821</v>
      </c>
      <c r="G2406" s="144" t="s">
        <v>3973</v>
      </c>
      <c r="H2406" s="146" t="s">
        <v>26</v>
      </c>
      <c r="I2406" s="144" t="s">
        <v>158</v>
      </c>
    </row>
    <row r="2407" spans="1:9" ht="25.5">
      <c r="A2407" s="193">
        <v>46038</v>
      </c>
      <c r="B2407" s="145" t="s">
        <v>823</v>
      </c>
      <c r="C2407" s="150" t="s">
        <v>5512</v>
      </c>
      <c r="D2407" s="201" t="s">
        <v>1431</v>
      </c>
      <c r="E2407" s="144" t="s">
        <v>97</v>
      </c>
      <c r="F2407" s="139" t="s">
        <v>88</v>
      </c>
      <c r="G2407" s="144" t="s">
        <v>3974</v>
      </c>
      <c r="H2407" s="146" t="s">
        <v>130</v>
      </c>
      <c r="I2407" s="144" t="s">
        <v>158</v>
      </c>
    </row>
    <row r="2408" spans="1:9" ht="14.1">
      <c r="A2408" s="193">
        <v>46038</v>
      </c>
      <c r="B2408" s="145" t="s">
        <v>823</v>
      </c>
      <c r="C2408" s="150" t="s">
        <v>5512</v>
      </c>
      <c r="D2408" s="201" t="s">
        <v>1431</v>
      </c>
      <c r="E2408" s="144" t="s">
        <v>2585</v>
      </c>
      <c r="F2408" s="139" t="s">
        <v>88</v>
      </c>
      <c r="G2408" s="144" t="s">
        <v>3975</v>
      </c>
      <c r="H2408" s="146" t="s">
        <v>26</v>
      </c>
      <c r="I2408" s="144" t="s">
        <v>452</v>
      </c>
    </row>
    <row r="2409" spans="1:9" ht="25.5">
      <c r="A2409" s="193">
        <v>46038</v>
      </c>
      <c r="B2409" s="145" t="s">
        <v>823</v>
      </c>
      <c r="C2409" s="150" t="s">
        <v>5512</v>
      </c>
      <c r="D2409" s="201" t="s">
        <v>1431</v>
      </c>
      <c r="E2409" s="144" t="s">
        <v>1449</v>
      </c>
      <c r="F2409" s="139" t="s">
        <v>88</v>
      </c>
      <c r="G2409" s="144" t="s">
        <v>3976</v>
      </c>
      <c r="H2409" s="146" t="s">
        <v>26</v>
      </c>
      <c r="I2409" s="144" t="s">
        <v>2593</v>
      </c>
    </row>
    <row r="2410" spans="1:9" ht="25.5">
      <c r="A2410" s="193">
        <v>46038</v>
      </c>
      <c r="B2410" s="145" t="s">
        <v>823</v>
      </c>
      <c r="C2410" s="150" t="s">
        <v>5512</v>
      </c>
      <c r="D2410" s="201" t="s">
        <v>1431</v>
      </c>
      <c r="E2410" s="144" t="s">
        <v>1566</v>
      </c>
      <c r="F2410" s="139" t="s">
        <v>88</v>
      </c>
      <c r="G2410" s="144" t="s">
        <v>3977</v>
      </c>
      <c r="H2410" s="146" t="s">
        <v>26</v>
      </c>
      <c r="I2410" s="144" t="s">
        <v>1453</v>
      </c>
    </row>
    <row r="2411" spans="1:9" ht="50.45">
      <c r="A2411" s="193">
        <v>46038</v>
      </c>
      <c r="B2411" s="145" t="s">
        <v>823</v>
      </c>
      <c r="C2411" s="150" t="s">
        <v>5512</v>
      </c>
      <c r="D2411" s="201" t="s">
        <v>3886</v>
      </c>
      <c r="E2411" s="144" t="s">
        <v>97</v>
      </c>
      <c r="F2411" s="141" t="s">
        <v>821</v>
      </c>
      <c r="G2411" s="144" t="s">
        <v>3978</v>
      </c>
      <c r="H2411" s="146" t="s">
        <v>130</v>
      </c>
      <c r="I2411" s="144" t="s">
        <v>3883</v>
      </c>
    </row>
    <row r="2412" spans="1:9" ht="14.1">
      <c r="A2412" s="193">
        <v>46038</v>
      </c>
      <c r="B2412" s="145" t="s">
        <v>823</v>
      </c>
      <c r="C2412" s="150" t="s">
        <v>5512</v>
      </c>
      <c r="D2412" s="201" t="s">
        <v>2224</v>
      </c>
      <c r="E2412" s="144" t="s">
        <v>21</v>
      </c>
      <c r="F2412" s="141" t="s">
        <v>821</v>
      </c>
      <c r="G2412" s="144" t="s">
        <v>3979</v>
      </c>
      <c r="H2412" s="146" t="s">
        <v>130</v>
      </c>
      <c r="I2412" s="144" t="s">
        <v>468</v>
      </c>
    </row>
    <row r="2413" spans="1:9" ht="14.1">
      <c r="A2413" s="193">
        <v>46041</v>
      </c>
      <c r="B2413" s="145" t="s">
        <v>823</v>
      </c>
      <c r="C2413" s="150" t="s">
        <v>5512</v>
      </c>
      <c r="D2413" s="201" t="s">
        <v>1431</v>
      </c>
      <c r="E2413" s="144" t="s">
        <v>2585</v>
      </c>
      <c r="F2413" s="139" t="s">
        <v>88</v>
      </c>
      <c r="G2413" s="144" t="s">
        <v>3980</v>
      </c>
      <c r="H2413" s="146" t="s">
        <v>26</v>
      </c>
      <c r="I2413" s="144" t="s">
        <v>452</v>
      </c>
    </row>
    <row r="2414" spans="1:9" ht="14.1">
      <c r="A2414" s="193">
        <v>46041</v>
      </c>
      <c r="B2414" s="145" t="s">
        <v>823</v>
      </c>
      <c r="C2414" s="150" t="s">
        <v>5512</v>
      </c>
      <c r="D2414" s="201" t="s">
        <v>1431</v>
      </c>
      <c r="E2414" s="144" t="s">
        <v>2585</v>
      </c>
      <c r="F2414" s="139" t="s">
        <v>88</v>
      </c>
      <c r="G2414" s="144" t="s">
        <v>3811</v>
      </c>
      <c r="H2414" s="146" t="s">
        <v>26</v>
      </c>
      <c r="I2414" s="144" t="s">
        <v>1493</v>
      </c>
    </row>
    <row r="2415" spans="1:9" ht="38.1">
      <c r="A2415" s="193">
        <v>46041</v>
      </c>
      <c r="B2415" s="145" t="s">
        <v>823</v>
      </c>
      <c r="C2415" s="150" t="s">
        <v>5512</v>
      </c>
      <c r="D2415" s="201" t="s">
        <v>1431</v>
      </c>
      <c r="E2415" s="144" t="s">
        <v>21</v>
      </c>
      <c r="F2415" s="139" t="s">
        <v>88</v>
      </c>
      <c r="G2415" s="144" t="s">
        <v>3981</v>
      </c>
      <c r="H2415" s="146" t="s">
        <v>26</v>
      </c>
      <c r="I2415" s="144" t="s">
        <v>3516</v>
      </c>
    </row>
    <row r="2416" spans="1:9" ht="25.5">
      <c r="A2416" s="193">
        <v>46041</v>
      </c>
      <c r="B2416" s="145" t="s">
        <v>823</v>
      </c>
      <c r="C2416" s="150" t="s">
        <v>5512</v>
      </c>
      <c r="D2416" s="201" t="s">
        <v>1431</v>
      </c>
      <c r="E2416" s="144" t="s">
        <v>1506</v>
      </c>
      <c r="F2416" s="139" t="s">
        <v>88</v>
      </c>
      <c r="G2416" s="144" t="s">
        <v>3982</v>
      </c>
      <c r="H2416" s="146" t="s">
        <v>26</v>
      </c>
      <c r="I2416" s="144" t="s">
        <v>1904</v>
      </c>
    </row>
    <row r="2417" spans="1:9" ht="25.5">
      <c r="A2417" s="193">
        <v>46041</v>
      </c>
      <c r="B2417" s="145" t="s">
        <v>823</v>
      </c>
      <c r="C2417" s="150" t="s">
        <v>5512</v>
      </c>
      <c r="D2417" s="201" t="s">
        <v>1431</v>
      </c>
      <c r="E2417" s="144" t="s">
        <v>216</v>
      </c>
      <c r="F2417" s="141" t="s">
        <v>821</v>
      </c>
      <c r="G2417" s="144" t="s">
        <v>3983</v>
      </c>
      <c r="H2417" s="146" t="s">
        <v>130</v>
      </c>
      <c r="I2417" s="144" t="s">
        <v>3600</v>
      </c>
    </row>
    <row r="2418" spans="1:9" ht="14.1">
      <c r="A2418" s="193">
        <v>46041</v>
      </c>
      <c r="B2418" s="145" t="s">
        <v>823</v>
      </c>
      <c r="C2418" s="150" t="s">
        <v>5512</v>
      </c>
      <c r="D2418" s="201" t="s">
        <v>1431</v>
      </c>
      <c r="E2418" s="144" t="s">
        <v>21</v>
      </c>
      <c r="F2418" s="141" t="s">
        <v>821</v>
      </c>
      <c r="G2418" s="144" t="s">
        <v>3984</v>
      </c>
      <c r="H2418" s="146" t="s">
        <v>130</v>
      </c>
      <c r="I2418" s="144" t="s">
        <v>468</v>
      </c>
    </row>
    <row r="2419" spans="1:9" ht="14.1">
      <c r="A2419" s="193">
        <v>46041</v>
      </c>
      <c r="B2419" s="145" t="s">
        <v>823</v>
      </c>
      <c r="C2419" s="150" t="s">
        <v>5512</v>
      </c>
      <c r="D2419" s="201" t="s">
        <v>1431</v>
      </c>
      <c r="E2419" s="144" t="s">
        <v>97</v>
      </c>
      <c r="F2419" s="141" t="s">
        <v>821</v>
      </c>
      <c r="G2419" s="144" t="s">
        <v>3985</v>
      </c>
      <c r="H2419" s="146" t="s">
        <v>26</v>
      </c>
      <c r="I2419" s="144" t="s">
        <v>158</v>
      </c>
    </row>
    <row r="2420" spans="1:9" ht="38.1">
      <c r="A2420" s="193">
        <v>46041</v>
      </c>
      <c r="B2420" s="145" t="s">
        <v>823</v>
      </c>
      <c r="C2420" s="150" t="s">
        <v>5512</v>
      </c>
      <c r="D2420" s="201" t="s">
        <v>1431</v>
      </c>
      <c r="E2420" s="144" t="s">
        <v>3986</v>
      </c>
      <c r="F2420" s="139" t="s">
        <v>88</v>
      </c>
      <c r="G2420" s="144" t="s">
        <v>3987</v>
      </c>
      <c r="H2420" s="146" t="s">
        <v>130</v>
      </c>
      <c r="I2420" s="144" t="s">
        <v>3516</v>
      </c>
    </row>
    <row r="2421" spans="1:9" ht="25.5">
      <c r="A2421" s="193">
        <v>46041</v>
      </c>
      <c r="B2421" s="145" t="s">
        <v>823</v>
      </c>
      <c r="C2421" s="150" t="s">
        <v>5512</v>
      </c>
      <c r="D2421" s="201" t="s">
        <v>1431</v>
      </c>
      <c r="E2421" s="144" t="s">
        <v>1566</v>
      </c>
      <c r="F2421" s="139" t="s">
        <v>88</v>
      </c>
      <c r="G2421" s="144" t="s">
        <v>3988</v>
      </c>
      <c r="H2421" s="146" t="s">
        <v>26</v>
      </c>
      <c r="I2421" s="144" t="s">
        <v>1453</v>
      </c>
    </row>
    <row r="2422" spans="1:9" ht="25.5">
      <c r="A2422" s="193">
        <v>46041</v>
      </c>
      <c r="B2422" s="145" t="s">
        <v>823</v>
      </c>
      <c r="C2422" s="150" t="s">
        <v>5512</v>
      </c>
      <c r="D2422" s="201" t="s">
        <v>1431</v>
      </c>
      <c r="E2422" s="144" t="s">
        <v>1566</v>
      </c>
      <c r="F2422" s="139" t="s">
        <v>88</v>
      </c>
      <c r="G2422" s="144" t="s">
        <v>3989</v>
      </c>
      <c r="H2422" s="146" t="s">
        <v>26</v>
      </c>
      <c r="I2422" s="144" t="s">
        <v>1453</v>
      </c>
    </row>
    <row r="2423" spans="1:9" ht="14.1">
      <c r="A2423" s="193">
        <v>46041</v>
      </c>
      <c r="B2423" s="145" t="s">
        <v>823</v>
      </c>
      <c r="C2423" s="150" t="s">
        <v>5512</v>
      </c>
      <c r="D2423" s="201" t="s">
        <v>3881</v>
      </c>
      <c r="E2423" s="144" t="s">
        <v>1225</v>
      </c>
      <c r="F2423" s="139" t="s">
        <v>88</v>
      </c>
      <c r="G2423" s="144" t="s">
        <v>3990</v>
      </c>
      <c r="H2423" s="146" t="s">
        <v>26</v>
      </c>
      <c r="I2423" s="144" t="s">
        <v>3883</v>
      </c>
    </row>
    <row r="2424" spans="1:9" ht="14.1">
      <c r="A2424" s="193">
        <v>46041</v>
      </c>
      <c r="B2424" s="145" t="s">
        <v>823</v>
      </c>
      <c r="C2424" s="150" t="s">
        <v>5512</v>
      </c>
      <c r="D2424" s="201" t="s">
        <v>3881</v>
      </c>
      <c r="E2424" s="144" t="s">
        <v>97</v>
      </c>
      <c r="F2424" s="141" t="s">
        <v>821</v>
      </c>
      <c r="G2424" s="144" t="s">
        <v>3991</v>
      </c>
      <c r="H2424" s="146" t="s">
        <v>26</v>
      </c>
      <c r="I2424" s="144" t="s">
        <v>3883</v>
      </c>
    </row>
    <row r="2425" spans="1:9" ht="14.1">
      <c r="A2425" s="193">
        <v>46041</v>
      </c>
      <c r="B2425" s="145" t="s">
        <v>823</v>
      </c>
      <c r="C2425" s="150" t="s">
        <v>5512</v>
      </c>
      <c r="D2425" s="201" t="s">
        <v>2224</v>
      </c>
      <c r="E2425" s="144" t="s">
        <v>1449</v>
      </c>
      <c r="F2425" s="139" t="s">
        <v>88</v>
      </c>
      <c r="G2425" s="144" t="s">
        <v>3992</v>
      </c>
      <c r="H2425" s="146" t="s">
        <v>26</v>
      </c>
      <c r="I2425" s="144" t="s">
        <v>2593</v>
      </c>
    </row>
    <row r="2426" spans="1:9" ht="25.5">
      <c r="A2426" s="193">
        <v>46041</v>
      </c>
      <c r="B2426" s="145" t="s">
        <v>823</v>
      </c>
      <c r="C2426" s="150" t="s">
        <v>5512</v>
      </c>
      <c r="D2426" s="201" t="s">
        <v>2224</v>
      </c>
      <c r="E2426" s="144" t="s">
        <v>1449</v>
      </c>
      <c r="F2426" s="147" t="s">
        <v>859</v>
      </c>
      <c r="G2426" s="144" t="s">
        <v>3993</v>
      </c>
      <c r="H2426" s="146" t="s">
        <v>130</v>
      </c>
      <c r="I2426" s="144" t="s">
        <v>2593</v>
      </c>
    </row>
    <row r="2427" spans="1:9" ht="25.5">
      <c r="A2427" s="193">
        <v>46041</v>
      </c>
      <c r="B2427" s="145" t="s">
        <v>823</v>
      </c>
      <c r="C2427" s="150" t="s">
        <v>5512</v>
      </c>
      <c r="D2427" s="201" t="s">
        <v>2224</v>
      </c>
      <c r="E2427" s="144" t="s">
        <v>1449</v>
      </c>
      <c r="F2427" s="139" t="s">
        <v>88</v>
      </c>
      <c r="G2427" s="144" t="s">
        <v>3994</v>
      </c>
      <c r="H2427" s="146" t="s">
        <v>26</v>
      </c>
      <c r="I2427" s="144" t="s">
        <v>2593</v>
      </c>
    </row>
    <row r="2428" spans="1:9" ht="25.5">
      <c r="A2428" s="193">
        <v>46041</v>
      </c>
      <c r="B2428" s="145" t="s">
        <v>823</v>
      </c>
      <c r="C2428" s="150" t="s">
        <v>5512</v>
      </c>
      <c r="D2428" s="201" t="s">
        <v>1431</v>
      </c>
      <c r="E2428" s="144" t="s">
        <v>1449</v>
      </c>
      <c r="F2428" s="139" t="s">
        <v>88</v>
      </c>
      <c r="G2428" s="144" t="s">
        <v>3995</v>
      </c>
      <c r="H2428" s="146" t="s">
        <v>26</v>
      </c>
      <c r="I2428" s="144" t="s">
        <v>2593</v>
      </c>
    </row>
    <row r="2429" spans="1:9" ht="25.5">
      <c r="A2429" s="193">
        <v>46041</v>
      </c>
      <c r="B2429" s="145" t="s">
        <v>823</v>
      </c>
      <c r="C2429" s="150" t="s">
        <v>5512</v>
      </c>
      <c r="D2429" s="201" t="s">
        <v>1431</v>
      </c>
      <c r="E2429" s="144" t="s">
        <v>1449</v>
      </c>
      <c r="F2429" s="139" t="s">
        <v>88</v>
      </c>
      <c r="G2429" s="144" t="s">
        <v>3996</v>
      </c>
      <c r="H2429" s="146" t="s">
        <v>26</v>
      </c>
      <c r="I2429" s="144" t="s">
        <v>2593</v>
      </c>
    </row>
    <row r="2430" spans="1:9" ht="38.1">
      <c r="A2430" s="193">
        <v>46041</v>
      </c>
      <c r="B2430" s="145" t="s">
        <v>823</v>
      </c>
      <c r="C2430" s="150" t="s">
        <v>5512</v>
      </c>
      <c r="D2430" s="201" t="s">
        <v>1431</v>
      </c>
      <c r="E2430" s="144" t="s">
        <v>1506</v>
      </c>
      <c r="F2430" s="139" t="s">
        <v>88</v>
      </c>
      <c r="G2430" s="144" t="s">
        <v>3997</v>
      </c>
      <c r="H2430" s="146" t="s">
        <v>26</v>
      </c>
      <c r="I2430" s="144" t="s">
        <v>1904</v>
      </c>
    </row>
    <row r="2431" spans="1:9" ht="38.1">
      <c r="A2431" s="193">
        <v>46041</v>
      </c>
      <c r="B2431" s="145" t="s">
        <v>823</v>
      </c>
      <c r="C2431" s="150" t="s">
        <v>5512</v>
      </c>
      <c r="D2431" s="201" t="s">
        <v>1431</v>
      </c>
      <c r="E2431" s="144" t="s">
        <v>2595</v>
      </c>
      <c r="F2431" s="139" t="s">
        <v>88</v>
      </c>
      <c r="G2431" s="144" t="s">
        <v>3998</v>
      </c>
      <c r="H2431" s="146" t="s">
        <v>26</v>
      </c>
      <c r="I2431" s="144" t="s">
        <v>3516</v>
      </c>
    </row>
    <row r="2432" spans="1:9" ht="38.1">
      <c r="A2432" s="193">
        <v>46042</v>
      </c>
      <c r="B2432" s="145" t="s">
        <v>823</v>
      </c>
      <c r="C2432" s="150" t="s">
        <v>5512</v>
      </c>
      <c r="D2432" s="201" t="s">
        <v>1431</v>
      </c>
      <c r="E2432" s="144" t="s">
        <v>1225</v>
      </c>
      <c r="F2432" s="140" t="s">
        <v>1439</v>
      </c>
      <c r="G2432" s="144" t="s">
        <v>3999</v>
      </c>
      <c r="H2432" s="146" t="s">
        <v>5511</v>
      </c>
      <c r="I2432" s="144" t="s">
        <v>4000</v>
      </c>
    </row>
    <row r="2433" spans="1:9" ht="25.5">
      <c r="A2433" s="193">
        <v>46042</v>
      </c>
      <c r="B2433" s="145" t="s">
        <v>823</v>
      </c>
      <c r="C2433" s="150" t="s">
        <v>5512</v>
      </c>
      <c r="D2433" s="201" t="s">
        <v>1431</v>
      </c>
      <c r="E2433" s="144" t="s">
        <v>3636</v>
      </c>
      <c r="F2433" s="140" t="s">
        <v>1439</v>
      </c>
      <c r="G2433" s="144" t="s">
        <v>4001</v>
      </c>
      <c r="H2433" s="146" t="s">
        <v>5511</v>
      </c>
      <c r="I2433" s="144" t="s">
        <v>3421</v>
      </c>
    </row>
    <row r="2434" spans="1:9" ht="25.5">
      <c r="A2434" s="193">
        <v>46042</v>
      </c>
      <c r="B2434" s="145" t="s">
        <v>823</v>
      </c>
      <c r="C2434" s="150" t="s">
        <v>5512</v>
      </c>
      <c r="D2434" s="201" t="s">
        <v>1431</v>
      </c>
      <c r="E2434" s="144" t="s">
        <v>1449</v>
      </c>
      <c r="F2434" s="139" t="s">
        <v>88</v>
      </c>
      <c r="G2434" s="144" t="s">
        <v>4002</v>
      </c>
      <c r="H2434" s="146" t="s">
        <v>26</v>
      </c>
      <c r="I2434" s="144" t="s">
        <v>3920</v>
      </c>
    </row>
    <row r="2435" spans="1:9" ht="25.5">
      <c r="A2435" s="193">
        <v>46042</v>
      </c>
      <c r="B2435" s="145" t="s">
        <v>823</v>
      </c>
      <c r="C2435" s="150" t="s">
        <v>5512</v>
      </c>
      <c r="D2435" s="201" t="s">
        <v>1431</v>
      </c>
      <c r="E2435" s="144" t="s">
        <v>216</v>
      </c>
      <c r="F2435" s="141" t="s">
        <v>821</v>
      </c>
      <c r="G2435" s="144" t="s">
        <v>4003</v>
      </c>
      <c r="H2435" s="146" t="s">
        <v>130</v>
      </c>
      <c r="I2435" s="144" t="s">
        <v>3600</v>
      </c>
    </row>
    <row r="2436" spans="1:9" ht="25.5">
      <c r="A2436" s="193">
        <v>46042</v>
      </c>
      <c r="B2436" s="145" t="s">
        <v>823</v>
      </c>
      <c r="C2436" s="150" t="s">
        <v>5512</v>
      </c>
      <c r="D2436" s="201" t="s">
        <v>1431</v>
      </c>
      <c r="E2436" s="144" t="s">
        <v>1449</v>
      </c>
      <c r="F2436" s="139" t="s">
        <v>88</v>
      </c>
      <c r="G2436" s="144" t="s">
        <v>4004</v>
      </c>
      <c r="H2436" s="146" t="s">
        <v>26</v>
      </c>
      <c r="I2436" s="144" t="s">
        <v>2739</v>
      </c>
    </row>
    <row r="2437" spans="1:9" ht="14.1">
      <c r="A2437" s="193">
        <v>46042</v>
      </c>
      <c r="B2437" s="145" t="s">
        <v>823</v>
      </c>
      <c r="C2437" s="150" t="s">
        <v>5512</v>
      </c>
      <c r="D2437" s="201" t="s">
        <v>1431</v>
      </c>
      <c r="E2437" s="144" t="s">
        <v>1566</v>
      </c>
      <c r="F2437" s="139" t="s">
        <v>88</v>
      </c>
      <c r="G2437" s="144" t="s">
        <v>4005</v>
      </c>
      <c r="H2437" s="146" t="s">
        <v>26</v>
      </c>
      <c r="I2437" s="144" t="s">
        <v>1453</v>
      </c>
    </row>
    <row r="2438" spans="1:9" ht="25.5">
      <c r="A2438" s="193">
        <v>46042</v>
      </c>
      <c r="B2438" s="145" t="s">
        <v>823</v>
      </c>
      <c r="C2438" s="150" t="s">
        <v>5512</v>
      </c>
      <c r="D2438" s="201" t="s">
        <v>2224</v>
      </c>
      <c r="E2438" s="144" t="s">
        <v>2434</v>
      </c>
      <c r="F2438" s="142" t="s">
        <v>872</v>
      </c>
      <c r="G2438" s="144" t="s">
        <v>4006</v>
      </c>
      <c r="H2438" s="146" t="s">
        <v>26</v>
      </c>
      <c r="I2438" s="144" t="s">
        <v>2735</v>
      </c>
    </row>
    <row r="2439" spans="1:9" ht="63">
      <c r="A2439" s="193">
        <v>46042</v>
      </c>
      <c r="B2439" s="145" t="s">
        <v>823</v>
      </c>
      <c r="C2439" s="150" t="s">
        <v>5512</v>
      </c>
      <c r="D2439" s="201" t="s">
        <v>2224</v>
      </c>
      <c r="E2439" s="144" t="s">
        <v>1449</v>
      </c>
      <c r="F2439" s="142" t="s">
        <v>872</v>
      </c>
      <c r="G2439" s="144" t="s">
        <v>4007</v>
      </c>
      <c r="H2439" s="146" t="s">
        <v>26</v>
      </c>
      <c r="I2439" s="144" t="s">
        <v>2735</v>
      </c>
    </row>
    <row r="2440" spans="1:9" ht="50.45">
      <c r="A2440" s="193">
        <v>46042</v>
      </c>
      <c r="B2440" s="145" t="s">
        <v>823</v>
      </c>
      <c r="C2440" s="150" t="s">
        <v>5512</v>
      </c>
      <c r="D2440" s="201" t="s">
        <v>1431</v>
      </c>
      <c r="E2440" s="144" t="s">
        <v>1432</v>
      </c>
      <c r="F2440" s="141" t="s">
        <v>821</v>
      </c>
      <c r="G2440" s="144" t="s">
        <v>4008</v>
      </c>
      <c r="H2440" s="146" t="s">
        <v>5511</v>
      </c>
      <c r="I2440" s="144" t="s">
        <v>59</v>
      </c>
    </row>
    <row r="2441" spans="1:9" ht="25.5">
      <c r="A2441" s="193">
        <v>46043</v>
      </c>
      <c r="B2441" s="145" t="s">
        <v>823</v>
      </c>
      <c r="C2441" s="150" t="s">
        <v>5512</v>
      </c>
      <c r="D2441" s="201" t="s">
        <v>1431</v>
      </c>
      <c r="E2441" s="144" t="s">
        <v>2585</v>
      </c>
      <c r="F2441" s="139" t="s">
        <v>88</v>
      </c>
      <c r="G2441" s="144" t="s">
        <v>4009</v>
      </c>
      <c r="H2441" s="146" t="s">
        <v>26</v>
      </c>
      <c r="I2441" s="144" t="s">
        <v>3626</v>
      </c>
    </row>
    <row r="2442" spans="1:9" ht="38.1">
      <c r="A2442" s="193">
        <v>46043</v>
      </c>
      <c r="B2442" s="145" t="s">
        <v>823</v>
      </c>
      <c r="C2442" s="150" t="s">
        <v>5512</v>
      </c>
      <c r="D2442" s="201" t="s">
        <v>1431</v>
      </c>
      <c r="E2442" s="144" t="s">
        <v>1506</v>
      </c>
      <c r="F2442" s="139" t="s">
        <v>88</v>
      </c>
      <c r="G2442" s="144" t="s">
        <v>4010</v>
      </c>
      <c r="H2442" s="146" t="s">
        <v>26</v>
      </c>
      <c r="I2442" s="144" t="s">
        <v>1904</v>
      </c>
    </row>
    <row r="2443" spans="1:9" ht="14.1">
      <c r="A2443" s="193">
        <v>46043</v>
      </c>
      <c r="B2443" s="145" t="s">
        <v>823</v>
      </c>
      <c r="C2443" s="150" t="s">
        <v>5512</v>
      </c>
      <c r="D2443" s="201" t="s">
        <v>1431</v>
      </c>
      <c r="E2443" s="144" t="s">
        <v>3011</v>
      </c>
      <c r="F2443" s="139" t="s">
        <v>88</v>
      </c>
      <c r="G2443" s="144" t="s">
        <v>4011</v>
      </c>
      <c r="H2443" s="146" t="s">
        <v>26</v>
      </c>
      <c r="I2443" s="144" t="s">
        <v>578</v>
      </c>
    </row>
    <row r="2444" spans="1:9" ht="25.5">
      <c r="A2444" s="193">
        <v>46043</v>
      </c>
      <c r="B2444" s="145" t="s">
        <v>823</v>
      </c>
      <c r="C2444" s="150" t="s">
        <v>5512</v>
      </c>
      <c r="D2444" s="201" t="s">
        <v>1431</v>
      </c>
      <c r="E2444" s="144" t="s">
        <v>1504</v>
      </c>
      <c r="F2444" s="139" t="s">
        <v>88</v>
      </c>
      <c r="G2444" s="144" t="s">
        <v>4012</v>
      </c>
      <c r="H2444" s="146" t="s">
        <v>26</v>
      </c>
      <c r="I2444" s="144" t="s">
        <v>578</v>
      </c>
    </row>
    <row r="2445" spans="1:9" ht="25.5">
      <c r="A2445" s="193">
        <v>46043</v>
      </c>
      <c r="B2445" s="145" t="s">
        <v>823</v>
      </c>
      <c r="C2445" s="150" t="s">
        <v>5512</v>
      </c>
      <c r="D2445" s="201" t="s">
        <v>1431</v>
      </c>
      <c r="E2445" s="144" t="s">
        <v>216</v>
      </c>
      <c r="F2445" s="141" t="s">
        <v>821</v>
      </c>
      <c r="G2445" s="144" t="s">
        <v>4013</v>
      </c>
      <c r="H2445" s="146" t="s">
        <v>130</v>
      </c>
      <c r="I2445" s="144" t="s">
        <v>3600</v>
      </c>
    </row>
    <row r="2446" spans="1:9" ht="14.1">
      <c r="A2446" s="193">
        <v>46043</v>
      </c>
      <c r="B2446" s="145" t="s">
        <v>823</v>
      </c>
      <c r="C2446" s="150" t="s">
        <v>5512</v>
      </c>
      <c r="D2446" s="201" t="s">
        <v>1431</v>
      </c>
      <c r="E2446" s="144" t="s">
        <v>21</v>
      </c>
      <c r="F2446" s="141" t="s">
        <v>821</v>
      </c>
      <c r="G2446" s="144" t="s">
        <v>4014</v>
      </c>
      <c r="H2446" s="146" t="s">
        <v>26</v>
      </c>
      <c r="I2446" s="144" t="s">
        <v>468</v>
      </c>
    </row>
    <row r="2447" spans="1:9" ht="14.1">
      <c r="A2447" s="193">
        <v>46043</v>
      </c>
      <c r="B2447" s="145" t="s">
        <v>823</v>
      </c>
      <c r="C2447" s="150" t="s">
        <v>5512</v>
      </c>
      <c r="D2447" s="201" t="s">
        <v>1431</v>
      </c>
      <c r="E2447" s="144" t="s">
        <v>97</v>
      </c>
      <c r="F2447" s="141" t="s">
        <v>821</v>
      </c>
      <c r="G2447" s="144" t="s">
        <v>4015</v>
      </c>
      <c r="H2447" s="146" t="s">
        <v>130</v>
      </c>
      <c r="I2447" s="144" t="s">
        <v>3561</v>
      </c>
    </row>
    <row r="2448" spans="1:9" ht="25.5">
      <c r="A2448" s="193">
        <v>46043</v>
      </c>
      <c r="B2448" s="145" t="s">
        <v>823</v>
      </c>
      <c r="C2448" s="150" t="s">
        <v>5512</v>
      </c>
      <c r="D2448" s="201" t="s">
        <v>1431</v>
      </c>
      <c r="E2448" s="144" t="s">
        <v>1449</v>
      </c>
      <c r="F2448" s="139" t="s">
        <v>88</v>
      </c>
      <c r="G2448" s="144" t="s">
        <v>4016</v>
      </c>
      <c r="H2448" s="146" t="s">
        <v>26</v>
      </c>
      <c r="I2448" s="144" t="s">
        <v>2593</v>
      </c>
    </row>
    <row r="2449" spans="1:9" ht="38.1">
      <c r="A2449" s="193">
        <v>46043</v>
      </c>
      <c r="B2449" s="145" t="s">
        <v>823</v>
      </c>
      <c r="C2449" s="150" t="s">
        <v>5512</v>
      </c>
      <c r="D2449" s="201" t="s">
        <v>1431</v>
      </c>
      <c r="E2449" s="144" t="s">
        <v>1449</v>
      </c>
      <c r="F2449" s="139" t="s">
        <v>88</v>
      </c>
      <c r="G2449" s="144" t="s">
        <v>4017</v>
      </c>
      <c r="H2449" s="146" t="s">
        <v>26</v>
      </c>
      <c r="I2449" s="144" t="s">
        <v>2593</v>
      </c>
    </row>
    <row r="2450" spans="1:9" ht="14.1">
      <c r="A2450" s="193">
        <v>46043</v>
      </c>
      <c r="B2450" s="145" t="s">
        <v>823</v>
      </c>
      <c r="C2450" s="150" t="s">
        <v>5512</v>
      </c>
      <c r="D2450" s="201" t="s">
        <v>1431</v>
      </c>
      <c r="E2450" s="144" t="s">
        <v>1449</v>
      </c>
      <c r="F2450" s="139" t="s">
        <v>88</v>
      </c>
      <c r="G2450" s="144" t="s">
        <v>4018</v>
      </c>
      <c r="H2450" s="146" t="s">
        <v>26</v>
      </c>
      <c r="I2450" s="144" t="s">
        <v>2593</v>
      </c>
    </row>
    <row r="2451" spans="1:9" ht="25.5">
      <c r="A2451" s="193">
        <v>46043</v>
      </c>
      <c r="B2451" s="145" t="s">
        <v>823</v>
      </c>
      <c r="C2451" s="150" t="s">
        <v>5512</v>
      </c>
      <c r="D2451" s="201" t="s">
        <v>1431</v>
      </c>
      <c r="E2451" s="144" t="s">
        <v>1566</v>
      </c>
      <c r="F2451" s="139" t="s">
        <v>88</v>
      </c>
      <c r="G2451" s="144" t="s">
        <v>4019</v>
      </c>
      <c r="H2451" s="146" t="s">
        <v>26</v>
      </c>
      <c r="I2451" s="144" t="s">
        <v>1453</v>
      </c>
    </row>
    <row r="2452" spans="1:9" ht="25.5">
      <c r="A2452" s="193">
        <v>46043</v>
      </c>
      <c r="B2452" s="145" t="s">
        <v>823</v>
      </c>
      <c r="C2452" s="150" t="s">
        <v>5512</v>
      </c>
      <c r="D2452" s="201" t="s">
        <v>1431</v>
      </c>
      <c r="E2452" s="144" t="s">
        <v>1566</v>
      </c>
      <c r="F2452" s="139" t="s">
        <v>88</v>
      </c>
      <c r="G2452" s="144" t="s">
        <v>4020</v>
      </c>
      <c r="H2452" s="146" t="s">
        <v>26</v>
      </c>
      <c r="I2452" s="144" t="s">
        <v>1453</v>
      </c>
    </row>
    <row r="2453" spans="1:9" ht="25.5">
      <c r="A2453" s="193">
        <v>46043</v>
      </c>
      <c r="B2453" s="145" t="s">
        <v>823</v>
      </c>
      <c r="C2453" s="150" t="s">
        <v>5512</v>
      </c>
      <c r="D2453" s="201" t="s">
        <v>2224</v>
      </c>
      <c r="E2453" s="144" t="s">
        <v>21</v>
      </c>
      <c r="F2453" s="141" t="s">
        <v>821</v>
      </c>
      <c r="G2453" s="144" t="s">
        <v>4021</v>
      </c>
      <c r="H2453" s="146" t="s">
        <v>130</v>
      </c>
      <c r="I2453" s="144" t="s">
        <v>468</v>
      </c>
    </row>
    <row r="2454" spans="1:9" ht="25.5">
      <c r="A2454" s="193">
        <v>46043</v>
      </c>
      <c r="B2454" s="145" t="s">
        <v>823</v>
      </c>
      <c r="C2454" s="150" t="s">
        <v>5512</v>
      </c>
      <c r="D2454" s="201" t="s">
        <v>1431</v>
      </c>
      <c r="E2454" s="144" t="s">
        <v>1506</v>
      </c>
      <c r="F2454" s="139" t="s">
        <v>88</v>
      </c>
      <c r="G2454" s="144" t="s">
        <v>4022</v>
      </c>
      <c r="H2454" s="146" t="s">
        <v>26</v>
      </c>
      <c r="I2454" s="144" t="s">
        <v>1904</v>
      </c>
    </row>
    <row r="2455" spans="1:9" ht="25.5">
      <c r="A2455" s="193">
        <v>46043</v>
      </c>
      <c r="B2455" s="145" t="s">
        <v>823</v>
      </c>
      <c r="C2455" s="150" t="s">
        <v>5512</v>
      </c>
      <c r="D2455" s="201" t="s">
        <v>1431</v>
      </c>
      <c r="E2455" s="144" t="s">
        <v>4023</v>
      </c>
      <c r="F2455" s="139" t="s">
        <v>88</v>
      </c>
      <c r="G2455" s="144" t="s">
        <v>4024</v>
      </c>
      <c r="H2455" s="146" t="s">
        <v>26</v>
      </c>
      <c r="I2455" s="144" t="s">
        <v>3836</v>
      </c>
    </row>
    <row r="2456" spans="1:9" ht="38.1">
      <c r="A2456" s="193">
        <v>46043</v>
      </c>
      <c r="B2456" s="145" t="s">
        <v>823</v>
      </c>
      <c r="C2456" s="150" t="s">
        <v>5512</v>
      </c>
      <c r="D2456" s="201" t="s">
        <v>1431</v>
      </c>
      <c r="E2456" s="144" t="s">
        <v>377</v>
      </c>
      <c r="F2456" s="139" t="s">
        <v>88</v>
      </c>
      <c r="G2456" s="144" t="s">
        <v>4025</v>
      </c>
      <c r="H2456" s="146" t="s">
        <v>26</v>
      </c>
      <c r="I2456" s="144" t="s">
        <v>4026</v>
      </c>
    </row>
    <row r="2457" spans="1:9" ht="25.5">
      <c r="A2457" s="193">
        <v>46043</v>
      </c>
      <c r="B2457" s="145" t="s">
        <v>823</v>
      </c>
      <c r="C2457" s="150" t="s">
        <v>5512</v>
      </c>
      <c r="D2457" s="201" t="s">
        <v>1431</v>
      </c>
      <c r="E2457" s="144" t="s">
        <v>1506</v>
      </c>
      <c r="F2457" s="139" t="s">
        <v>88</v>
      </c>
      <c r="G2457" s="144" t="s">
        <v>4027</v>
      </c>
      <c r="H2457" s="146" t="s">
        <v>26</v>
      </c>
      <c r="I2457" s="144" t="s">
        <v>1904</v>
      </c>
    </row>
    <row r="2458" spans="1:9" ht="25.5">
      <c r="A2458" s="193">
        <v>46043</v>
      </c>
      <c r="B2458" s="145" t="s">
        <v>823</v>
      </c>
      <c r="C2458" s="150" t="s">
        <v>5512</v>
      </c>
      <c r="D2458" s="201" t="s">
        <v>1431</v>
      </c>
      <c r="E2458" s="144" t="s">
        <v>1449</v>
      </c>
      <c r="F2458" s="140" t="s">
        <v>1439</v>
      </c>
      <c r="G2458" s="144" t="s">
        <v>4028</v>
      </c>
      <c r="H2458" s="146" t="s">
        <v>26</v>
      </c>
      <c r="I2458" s="144" t="s">
        <v>2593</v>
      </c>
    </row>
    <row r="2459" spans="1:9" ht="25.5">
      <c r="A2459" s="193">
        <v>46043</v>
      </c>
      <c r="B2459" s="145" t="s">
        <v>823</v>
      </c>
      <c r="C2459" s="150" t="s">
        <v>5512</v>
      </c>
      <c r="D2459" s="201" t="s">
        <v>1431</v>
      </c>
      <c r="E2459" s="144" t="s">
        <v>1449</v>
      </c>
      <c r="F2459" s="139" t="s">
        <v>88</v>
      </c>
      <c r="G2459" s="144" t="s">
        <v>4029</v>
      </c>
      <c r="H2459" s="146" t="s">
        <v>26</v>
      </c>
      <c r="I2459" s="144" t="s">
        <v>2593</v>
      </c>
    </row>
    <row r="2460" spans="1:9" ht="25.5">
      <c r="A2460" s="193">
        <v>46043</v>
      </c>
      <c r="B2460" s="145" t="s">
        <v>823</v>
      </c>
      <c r="C2460" s="150" t="s">
        <v>5512</v>
      </c>
      <c r="D2460" s="201" t="s">
        <v>1431</v>
      </c>
      <c r="E2460" s="144" t="s">
        <v>1449</v>
      </c>
      <c r="F2460" s="139" t="s">
        <v>88</v>
      </c>
      <c r="G2460" s="144" t="s">
        <v>4030</v>
      </c>
      <c r="H2460" s="146" t="s">
        <v>26</v>
      </c>
      <c r="I2460" s="144" t="s">
        <v>2593</v>
      </c>
    </row>
    <row r="2461" spans="1:9" ht="50.45">
      <c r="A2461" s="193">
        <v>46044</v>
      </c>
      <c r="B2461" s="145" t="s">
        <v>823</v>
      </c>
      <c r="C2461" s="150" t="s">
        <v>5512</v>
      </c>
      <c r="D2461" s="201" t="s">
        <v>1431</v>
      </c>
      <c r="E2461" s="144" t="s">
        <v>1504</v>
      </c>
      <c r="F2461" s="139" t="s">
        <v>88</v>
      </c>
      <c r="G2461" s="144" t="s">
        <v>4031</v>
      </c>
      <c r="H2461" s="146" t="s">
        <v>130</v>
      </c>
      <c r="I2461" s="144" t="s">
        <v>3516</v>
      </c>
    </row>
    <row r="2462" spans="1:9" ht="14.1">
      <c r="A2462" s="193">
        <v>46044</v>
      </c>
      <c r="B2462" s="145" t="s">
        <v>823</v>
      </c>
      <c r="C2462" s="150" t="s">
        <v>5512</v>
      </c>
      <c r="D2462" s="201" t="s">
        <v>1431</v>
      </c>
      <c r="E2462" s="144" t="s">
        <v>1518</v>
      </c>
      <c r="F2462" s="139" t="s">
        <v>88</v>
      </c>
      <c r="G2462" s="144" t="s">
        <v>4032</v>
      </c>
      <c r="H2462" s="146" t="s">
        <v>26</v>
      </c>
      <c r="I2462" s="144" t="s">
        <v>3920</v>
      </c>
    </row>
    <row r="2463" spans="1:9" ht="25.5">
      <c r="A2463" s="193">
        <v>46044</v>
      </c>
      <c r="B2463" s="145" t="s">
        <v>823</v>
      </c>
      <c r="C2463" s="150" t="s">
        <v>5512</v>
      </c>
      <c r="D2463" s="201" t="s">
        <v>1431</v>
      </c>
      <c r="E2463" s="144" t="s">
        <v>216</v>
      </c>
      <c r="F2463" s="141" t="s">
        <v>821</v>
      </c>
      <c r="G2463" s="144" t="s">
        <v>4033</v>
      </c>
      <c r="H2463" s="146" t="s">
        <v>130</v>
      </c>
      <c r="I2463" s="144" t="s">
        <v>3600</v>
      </c>
    </row>
    <row r="2464" spans="1:9" ht="25.5">
      <c r="A2464" s="193">
        <v>46044</v>
      </c>
      <c r="B2464" s="145" t="s">
        <v>823</v>
      </c>
      <c r="C2464" s="150" t="s">
        <v>5512</v>
      </c>
      <c r="D2464" s="201" t="s">
        <v>1431</v>
      </c>
      <c r="E2464" s="144" t="s">
        <v>216</v>
      </c>
      <c r="F2464" s="141" t="s">
        <v>821</v>
      </c>
      <c r="G2464" s="144" t="s">
        <v>4034</v>
      </c>
      <c r="H2464" s="146" t="s">
        <v>130</v>
      </c>
      <c r="I2464" s="144" t="s">
        <v>3600</v>
      </c>
    </row>
    <row r="2465" spans="1:9" ht="14.1">
      <c r="A2465" s="193">
        <v>46044</v>
      </c>
      <c r="B2465" s="145" t="s">
        <v>823</v>
      </c>
      <c r="C2465" s="150" t="s">
        <v>5512</v>
      </c>
      <c r="D2465" s="201" t="s">
        <v>1431</v>
      </c>
      <c r="E2465" s="144" t="s">
        <v>216</v>
      </c>
      <c r="F2465" s="141" t="s">
        <v>821</v>
      </c>
      <c r="G2465" s="144" t="s">
        <v>4035</v>
      </c>
      <c r="H2465" s="146" t="s">
        <v>130</v>
      </c>
      <c r="I2465" s="144" t="s">
        <v>3600</v>
      </c>
    </row>
    <row r="2466" spans="1:9" ht="14.1">
      <c r="A2466" s="193">
        <v>46044</v>
      </c>
      <c r="B2466" s="145" t="s">
        <v>823</v>
      </c>
      <c r="C2466" s="150" t="s">
        <v>5512</v>
      </c>
      <c r="D2466" s="201" t="s">
        <v>1431</v>
      </c>
      <c r="E2466" s="144" t="s">
        <v>21</v>
      </c>
      <c r="F2466" s="141" t="s">
        <v>821</v>
      </c>
      <c r="G2466" s="144" t="s">
        <v>4036</v>
      </c>
      <c r="H2466" s="146" t="s">
        <v>130</v>
      </c>
      <c r="I2466" s="144" t="s">
        <v>468</v>
      </c>
    </row>
    <row r="2467" spans="1:9" ht="14.1">
      <c r="A2467" s="193">
        <v>46044</v>
      </c>
      <c r="B2467" s="145" t="s">
        <v>823</v>
      </c>
      <c r="C2467" s="150" t="s">
        <v>5512</v>
      </c>
      <c r="D2467" s="201" t="s">
        <v>1431</v>
      </c>
      <c r="E2467" s="144" t="s">
        <v>97</v>
      </c>
      <c r="F2467" s="141" t="s">
        <v>821</v>
      </c>
      <c r="G2467" s="144" t="s">
        <v>4037</v>
      </c>
      <c r="H2467" s="146" t="s">
        <v>26</v>
      </c>
      <c r="I2467" s="144" t="s">
        <v>3561</v>
      </c>
    </row>
    <row r="2468" spans="1:9" ht="25.5">
      <c r="A2468" s="193">
        <v>46044</v>
      </c>
      <c r="B2468" s="145" t="s">
        <v>823</v>
      </c>
      <c r="C2468" s="150" t="s">
        <v>5512</v>
      </c>
      <c r="D2468" s="201" t="s">
        <v>1431</v>
      </c>
      <c r="E2468" s="144" t="s">
        <v>1449</v>
      </c>
      <c r="F2468" s="141" t="s">
        <v>821</v>
      </c>
      <c r="G2468" s="144" t="s">
        <v>4038</v>
      </c>
      <c r="H2468" s="146" t="s">
        <v>26</v>
      </c>
      <c r="I2468" s="144" t="s">
        <v>2593</v>
      </c>
    </row>
    <row r="2469" spans="1:9" ht="25.5">
      <c r="A2469" s="193">
        <v>46044</v>
      </c>
      <c r="B2469" s="145" t="s">
        <v>823</v>
      </c>
      <c r="C2469" s="150" t="s">
        <v>5512</v>
      </c>
      <c r="D2469" s="201" t="s">
        <v>1431</v>
      </c>
      <c r="E2469" s="144" t="s">
        <v>1449</v>
      </c>
      <c r="F2469" s="139" t="s">
        <v>88</v>
      </c>
      <c r="G2469" s="144" t="s">
        <v>4039</v>
      </c>
      <c r="H2469" s="146" t="s">
        <v>26</v>
      </c>
      <c r="I2469" s="144" t="s">
        <v>2593</v>
      </c>
    </row>
    <row r="2470" spans="1:9" ht="14.1">
      <c r="A2470" s="193">
        <v>46044</v>
      </c>
      <c r="B2470" s="145" t="s">
        <v>823</v>
      </c>
      <c r="C2470" s="150" t="s">
        <v>5512</v>
      </c>
      <c r="D2470" s="201" t="s">
        <v>1431</v>
      </c>
      <c r="E2470" s="144" t="s">
        <v>1566</v>
      </c>
      <c r="F2470" s="139" t="s">
        <v>88</v>
      </c>
      <c r="G2470" s="144" t="s">
        <v>4040</v>
      </c>
      <c r="H2470" s="146" t="s">
        <v>26</v>
      </c>
      <c r="I2470" s="144" t="s">
        <v>2640</v>
      </c>
    </row>
    <row r="2471" spans="1:9" ht="100.5">
      <c r="A2471" s="193">
        <v>46044</v>
      </c>
      <c r="B2471" s="145" t="s">
        <v>823</v>
      </c>
      <c r="C2471" s="150" t="s">
        <v>5512</v>
      </c>
      <c r="D2471" s="201" t="s">
        <v>1431</v>
      </c>
      <c r="E2471" s="144" t="s">
        <v>1566</v>
      </c>
      <c r="F2471" s="139" t="s">
        <v>88</v>
      </c>
      <c r="G2471" s="144" t="s">
        <v>4041</v>
      </c>
      <c r="H2471" s="146" t="s">
        <v>26</v>
      </c>
      <c r="I2471" s="144" t="s">
        <v>2640</v>
      </c>
    </row>
    <row r="2472" spans="1:9" ht="14.1">
      <c r="A2472" s="193">
        <v>46044</v>
      </c>
      <c r="B2472" s="145" t="s">
        <v>823</v>
      </c>
      <c r="C2472" s="150" t="s">
        <v>5512</v>
      </c>
      <c r="D2472" s="201" t="s">
        <v>3881</v>
      </c>
      <c r="E2472" s="144" t="s">
        <v>97</v>
      </c>
      <c r="F2472" s="141" t="s">
        <v>821</v>
      </c>
      <c r="G2472" s="144" t="s">
        <v>4042</v>
      </c>
      <c r="H2472" s="146" t="s">
        <v>26</v>
      </c>
      <c r="I2472" s="144" t="s">
        <v>3883</v>
      </c>
    </row>
    <row r="2473" spans="1:9" ht="25.5">
      <c r="A2473" s="193">
        <v>46044</v>
      </c>
      <c r="B2473" s="145" t="s">
        <v>823</v>
      </c>
      <c r="C2473" s="150" t="s">
        <v>5512</v>
      </c>
      <c r="D2473" s="201" t="s">
        <v>2224</v>
      </c>
      <c r="E2473" s="144" t="s">
        <v>21</v>
      </c>
      <c r="F2473" s="141" t="s">
        <v>821</v>
      </c>
      <c r="G2473" s="144" t="s">
        <v>4043</v>
      </c>
      <c r="H2473" s="146" t="s">
        <v>26</v>
      </c>
      <c r="I2473" s="144" t="s">
        <v>468</v>
      </c>
    </row>
    <row r="2474" spans="1:9" ht="75.599999999999994">
      <c r="A2474" s="193">
        <v>46044</v>
      </c>
      <c r="B2474" s="145" t="s">
        <v>823</v>
      </c>
      <c r="C2474" s="150" t="s">
        <v>5512</v>
      </c>
      <c r="D2474" s="201" t="s">
        <v>2224</v>
      </c>
      <c r="E2474" s="144" t="s">
        <v>1449</v>
      </c>
      <c r="F2474" s="147" t="s">
        <v>859</v>
      </c>
      <c r="G2474" s="144" t="s">
        <v>4044</v>
      </c>
      <c r="H2474" s="146" t="s">
        <v>26</v>
      </c>
      <c r="I2474" s="144" t="s">
        <v>2599</v>
      </c>
    </row>
    <row r="2475" spans="1:9" ht="50.45">
      <c r="A2475" s="193">
        <v>46044</v>
      </c>
      <c r="B2475" s="145" t="s">
        <v>823</v>
      </c>
      <c r="C2475" s="150" t="s">
        <v>5512</v>
      </c>
      <c r="D2475" s="201" t="s">
        <v>1431</v>
      </c>
      <c r="E2475" s="144" t="s">
        <v>3950</v>
      </c>
      <c r="F2475" s="139" t="s">
        <v>88</v>
      </c>
      <c r="G2475" s="144" t="s">
        <v>4045</v>
      </c>
      <c r="H2475" s="146" t="s">
        <v>26</v>
      </c>
      <c r="I2475" s="144" t="s">
        <v>3852</v>
      </c>
    </row>
    <row r="2476" spans="1:9" ht="25.5">
      <c r="A2476" s="193">
        <v>46044</v>
      </c>
      <c r="B2476" s="145" t="s">
        <v>823</v>
      </c>
      <c r="C2476" s="150" t="s">
        <v>5512</v>
      </c>
      <c r="D2476" s="201" t="s">
        <v>1431</v>
      </c>
      <c r="E2476" s="144" t="s">
        <v>2244</v>
      </c>
      <c r="F2476" s="139" t="s">
        <v>88</v>
      </c>
      <c r="G2476" s="144" t="s">
        <v>4046</v>
      </c>
      <c r="H2476" s="146" t="s">
        <v>26</v>
      </c>
      <c r="I2476" s="144" t="s">
        <v>1998</v>
      </c>
    </row>
    <row r="2477" spans="1:9" ht="25.5">
      <c r="A2477" s="193">
        <v>46044</v>
      </c>
      <c r="B2477" s="145" t="s">
        <v>823</v>
      </c>
      <c r="C2477" s="150" t="s">
        <v>5512</v>
      </c>
      <c r="D2477" s="201" t="s">
        <v>1431</v>
      </c>
      <c r="E2477" s="144" t="s">
        <v>1506</v>
      </c>
      <c r="F2477" s="139" t="s">
        <v>88</v>
      </c>
      <c r="G2477" s="144" t="s">
        <v>4047</v>
      </c>
      <c r="H2477" s="146" t="s">
        <v>26</v>
      </c>
      <c r="I2477" s="144" t="s">
        <v>1904</v>
      </c>
    </row>
    <row r="2478" spans="1:9" ht="38.1">
      <c r="A2478" s="193">
        <v>46044</v>
      </c>
      <c r="B2478" s="145" t="s">
        <v>823</v>
      </c>
      <c r="C2478" s="150" t="s">
        <v>5512</v>
      </c>
      <c r="D2478" s="201" t="s">
        <v>1431</v>
      </c>
      <c r="E2478" s="144" t="s">
        <v>21</v>
      </c>
      <c r="F2478" s="141" t="s">
        <v>821</v>
      </c>
      <c r="G2478" s="144" t="s">
        <v>4048</v>
      </c>
      <c r="H2478" s="146" t="s">
        <v>26</v>
      </c>
      <c r="I2478" s="144" t="s">
        <v>468</v>
      </c>
    </row>
    <row r="2479" spans="1:9" ht="14.1">
      <c r="A2479" s="193">
        <v>46044</v>
      </c>
      <c r="B2479" s="145" t="s">
        <v>823</v>
      </c>
      <c r="C2479" s="150" t="s">
        <v>5512</v>
      </c>
      <c r="D2479" s="201" t="s">
        <v>1431</v>
      </c>
      <c r="E2479" s="144" t="s">
        <v>1449</v>
      </c>
      <c r="F2479" s="139" t="s">
        <v>88</v>
      </c>
      <c r="G2479" s="144" t="s">
        <v>4049</v>
      </c>
      <c r="H2479" s="146" t="s">
        <v>26</v>
      </c>
      <c r="I2479" s="144" t="s">
        <v>3852</v>
      </c>
    </row>
    <row r="2480" spans="1:9" ht="14.1">
      <c r="A2480" s="193">
        <v>46044</v>
      </c>
      <c r="B2480" s="145" t="s">
        <v>823</v>
      </c>
      <c r="C2480" s="150" t="s">
        <v>5512</v>
      </c>
      <c r="D2480" s="201" t="s">
        <v>1431</v>
      </c>
      <c r="E2480" s="144" t="s">
        <v>1449</v>
      </c>
      <c r="F2480" s="139" t="s">
        <v>88</v>
      </c>
      <c r="G2480" s="144" t="s">
        <v>4050</v>
      </c>
      <c r="H2480" s="146" t="s">
        <v>130</v>
      </c>
      <c r="I2480" s="144" t="s">
        <v>1541</v>
      </c>
    </row>
    <row r="2481" spans="1:9" ht="25.5">
      <c r="A2481" s="193">
        <v>46044</v>
      </c>
      <c r="B2481" s="145" t="s">
        <v>823</v>
      </c>
      <c r="C2481" s="150" t="s">
        <v>5512</v>
      </c>
      <c r="D2481" s="201" t="s">
        <v>1431</v>
      </c>
      <c r="E2481" s="144" t="s">
        <v>1449</v>
      </c>
      <c r="F2481" s="139" t="s">
        <v>88</v>
      </c>
      <c r="G2481" s="144" t="s">
        <v>4051</v>
      </c>
      <c r="H2481" s="146" t="s">
        <v>26</v>
      </c>
      <c r="I2481" s="144" t="s">
        <v>2593</v>
      </c>
    </row>
    <row r="2482" spans="1:9" ht="14.1">
      <c r="A2482" s="193">
        <v>46044</v>
      </c>
      <c r="B2482" s="145" t="s">
        <v>823</v>
      </c>
      <c r="C2482" s="150" t="s">
        <v>5512</v>
      </c>
      <c r="D2482" s="201" t="s">
        <v>2224</v>
      </c>
      <c r="E2482" s="144" t="s">
        <v>1449</v>
      </c>
      <c r="F2482" s="139" t="s">
        <v>88</v>
      </c>
      <c r="G2482" s="144" t="s">
        <v>4052</v>
      </c>
      <c r="H2482" s="146" t="s">
        <v>26</v>
      </c>
      <c r="I2482" s="144" t="s">
        <v>2593</v>
      </c>
    </row>
    <row r="2483" spans="1:9" ht="14.1">
      <c r="A2483" s="193">
        <v>46045</v>
      </c>
      <c r="B2483" s="145" t="s">
        <v>823</v>
      </c>
      <c r="C2483" s="150" t="s">
        <v>5512</v>
      </c>
      <c r="D2483" s="201" t="s">
        <v>1431</v>
      </c>
      <c r="E2483" s="144" t="s">
        <v>2437</v>
      </c>
      <c r="F2483" s="139" t="s">
        <v>88</v>
      </c>
      <c r="G2483" s="144" t="s">
        <v>4053</v>
      </c>
      <c r="H2483" s="146" t="s">
        <v>26</v>
      </c>
      <c r="I2483" s="144" t="s">
        <v>4054</v>
      </c>
    </row>
    <row r="2484" spans="1:9" ht="14.1">
      <c r="A2484" s="193">
        <v>46045</v>
      </c>
      <c r="B2484" s="145" t="s">
        <v>823</v>
      </c>
      <c r="C2484" s="150" t="s">
        <v>5512</v>
      </c>
      <c r="D2484" s="201" t="s">
        <v>1431</v>
      </c>
      <c r="E2484" s="144" t="s">
        <v>216</v>
      </c>
      <c r="F2484" s="139" t="s">
        <v>88</v>
      </c>
      <c r="G2484" s="144" t="s">
        <v>4055</v>
      </c>
      <c r="H2484" s="146" t="s">
        <v>130</v>
      </c>
      <c r="I2484" s="144" t="s">
        <v>3600</v>
      </c>
    </row>
    <row r="2485" spans="1:9" ht="25.5">
      <c r="A2485" s="193">
        <v>46045</v>
      </c>
      <c r="B2485" s="145" t="s">
        <v>823</v>
      </c>
      <c r="C2485" s="150" t="s">
        <v>5512</v>
      </c>
      <c r="D2485" s="201" t="s">
        <v>1431</v>
      </c>
      <c r="E2485" s="144" t="s">
        <v>3011</v>
      </c>
      <c r="F2485" s="147" t="s">
        <v>859</v>
      </c>
      <c r="G2485" s="144" t="s">
        <v>4056</v>
      </c>
      <c r="H2485" s="146" t="s">
        <v>130</v>
      </c>
      <c r="I2485" s="144" t="s">
        <v>2599</v>
      </c>
    </row>
    <row r="2486" spans="1:9" ht="25.5">
      <c r="A2486" s="193">
        <v>46045</v>
      </c>
      <c r="B2486" s="145" t="s">
        <v>823</v>
      </c>
      <c r="C2486" s="150" t="s">
        <v>5512</v>
      </c>
      <c r="D2486" s="201" t="s">
        <v>1431</v>
      </c>
      <c r="E2486" s="144" t="s">
        <v>21</v>
      </c>
      <c r="F2486" s="141" t="s">
        <v>821</v>
      </c>
      <c r="G2486" s="144" t="s">
        <v>4057</v>
      </c>
      <c r="H2486" s="146" t="s">
        <v>26</v>
      </c>
      <c r="I2486" s="144" t="s">
        <v>468</v>
      </c>
    </row>
    <row r="2487" spans="1:9" ht="38.1">
      <c r="A2487" s="193">
        <v>46045</v>
      </c>
      <c r="B2487" s="145" t="s">
        <v>823</v>
      </c>
      <c r="C2487" s="150" t="s">
        <v>5512</v>
      </c>
      <c r="D2487" s="201" t="s">
        <v>1431</v>
      </c>
      <c r="E2487" s="144" t="s">
        <v>2437</v>
      </c>
      <c r="F2487" s="139" t="s">
        <v>88</v>
      </c>
      <c r="G2487" s="144" t="s">
        <v>4058</v>
      </c>
      <c r="H2487" s="146" t="s">
        <v>26</v>
      </c>
      <c r="I2487" s="144" t="s">
        <v>4054</v>
      </c>
    </row>
    <row r="2488" spans="1:9" ht="25.5">
      <c r="A2488" s="193">
        <v>46045</v>
      </c>
      <c r="B2488" s="145" t="s">
        <v>823</v>
      </c>
      <c r="C2488" s="150" t="s">
        <v>5512</v>
      </c>
      <c r="D2488" s="201" t="s">
        <v>1431</v>
      </c>
      <c r="E2488" s="144" t="s">
        <v>1504</v>
      </c>
      <c r="F2488" s="141" t="s">
        <v>821</v>
      </c>
      <c r="G2488" s="144" t="s">
        <v>4059</v>
      </c>
      <c r="H2488" s="146" t="s">
        <v>130</v>
      </c>
      <c r="I2488" s="144" t="s">
        <v>578</v>
      </c>
    </row>
    <row r="2489" spans="1:9" ht="38.1">
      <c r="A2489" s="193">
        <v>46045</v>
      </c>
      <c r="B2489" s="145" t="s">
        <v>823</v>
      </c>
      <c r="C2489" s="150" t="s">
        <v>5512</v>
      </c>
      <c r="D2489" s="201" t="s">
        <v>1431</v>
      </c>
      <c r="E2489" s="144" t="s">
        <v>2535</v>
      </c>
      <c r="F2489" s="139" t="s">
        <v>88</v>
      </c>
      <c r="G2489" s="144" t="s">
        <v>4060</v>
      </c>
      <c r="H2489" s="146" t="s">
        <v>26</v>
      </c>
      <c r="I2489" s="144" t="s">
        <v>3247</v>
      </c>
    </row>
    <row r="2490" spans="1:9" ht="14.1">
      <c r="A2490" s="193">
        <v>46045</v>
      </c>
      <c r="B2490" s="145" t="s">
        <v>823</v>
      </c>
      <c r="C2490" s="150" t="s">
        <v>5512</v>
      </c>
      <c r="D2490" s="201" t="s">
        <v>1431</v>
      </c>
      <c r="E2490" s="144" t="s">
        <v>216</v>
      </c>
      <c r="F2490" s="141" t="s">
        <v>821</v>
      </c>
      <c r="G2490" s="144" t="s">
        <v>4061</v>
      </c>
      <c r="H2490" s="146" t="s">
        <v>130</v>
      </c>
      <c r="I2490" s="144" t="s">
        <v>3600</v>
      </c>
    </row>
    <row r="2491" spans="1:9" ht="25.5">
      <c r="A2491" s="193">
        <v>46045</v>
      </c>
      <c r="B2491" s="145" t="s">
        <v>823</v>
      </c>
      <c r="C2491" s="150" t="s">
        <v>5512</v>
      </c>
      <c r="D2491" s="201" t="s">
        <v>1431</v>
      </c>
      <c r="E2491" s="144" t="s">
        <v>21</v>
      </c>
      <c r="F2491" s="141" t="s">
        <v>821</v>
      </c>
      <c r="G2491" s="144" t="s">
        <v>4062</v>
      </c>
      <c r="H2491" s="146" t="s">
        <v>26</v>
      </c>
      <c r="I2491" s="144" t="s">
        <v>468</v>
      </c>
    </row>
    <row r="2492" spans="1:9" ht="14.1">
      <c r="A2492" s="193">
        <v>46045</v>
      </c>
      <c r="B2492" s="145" t="s">
        <v>823</v>
      </c>
      <c r="C2492" s="150" t="s">
        <v>5512</v>
      </c>
      <c r="D2492" s="201" t="s">
        <v>1431</v>
      </c>
      <c r="E2492" s="144" t="s">
        <v>97</v>
      </c>
      <c r="F2492" s="141" t="s">
        <v>821</v>
      </c>
      <c r="G2492" s="144" t="s">
        <v>4063</v>
      </c>
      <c r="H2492" s="146" t="s">
        <v>26</v>
      </c>
      <c r="I2492" s="144" t="s">
        <v>158</v>
      </c>
    </row>
    <row r="2493" spans="1:9" ht="25.5">
      <c r="A2493" s="193">
        <v>46045</v>
      </c>
      <c r="B2493" s="145" t="s">
        <v>823</v>
      </c>
      <c r="C2493" s="150" t="s">
        <v>5512</v>
      </c>
      <c r="D2493" s="201" t="s">
        <v>1431</v>
      </c>
      <c r="E2493" s="144" t="s">
        <v>1566</v>
      </c>
      <c r="F2493" s="139" t="s">
        <v>88</v>
      </c>
      <c r="G2493" s="144" t="s">
        <v>4064</v>
      </c>
      <c r="H2493" s="146" t="s">
        <v>26</v>
      </c>
      <c r="I2493" s="144" t="s">
        <v>1453</v>
      </c>
    </row>
    <row r="2494" spans="1:9" ht="25.5">
      <c r="A2494" s="193">
        <v>46045</v>
      </c>
      <c r="B2494" s="145" t="s">
        <v>823</v>
      </c>
      <c r="C2494" s="150" t="s">
        <v>5512</v>
      </c>
      <c r="D2494" s="201" t="s">
        <v>1431</v>
      </c>
      <c r="E2494" s="144" t="s">
        <v>1566</v>
      </c>
      <c r="F2494" s="139" t="s">
        <v>88</v>
      </c>
      <c r="G2494" s="144" t="s">
        <v>4065</v>
      </c>
      <c r="H2494" s="146" t="s">
        <v>26</v>
      </c>
      <c r="I2494" s="144" t="s">
        <v>1453</v>
      </c>
    </row>
    <row r="2495" spans="1:9" ht="38.1">
      <c r="A2495" s="193">
        <v>46045</v>
      </c>
      <c r="B2495" s="145" t="s">
        <v>823</v>
      </c>
      <c r="C2495" s="150" t="s">
        <v>5512</v>
      </c>
      <c r="D2495" s="201" t="s">
        <v>2224</v>
      </c>
      <c r="E2495" s="144" t="s">
        <v>21</v>
      </c>
      <c r="F2495" s="141" t="s">
        <v>821</v>
      </c>
      <c r="G2495" s="144" t="s">
        <v>4066</v>
      </c>
      <c r="H2495" s="146" t="s">
        <v>130</v>
      </c>
      <c r="I2495" s="144" t="s">
        <v>468</v>
      </c>
    </row>
    <row r="2496" spans="1:9" ht="50.45">
      <c r="A2496" s="193">
        <v>46045</v>
      </c>
      <c r="B2496" s="145" t="s">
        <v>823</v>
      </c>
      <c r="C2496" s="150" t="s">
        <v>5512</v>
      </c>
      <c r="D2496" s="201" t="s">
        <v>2224</v>
      </c>
      <c r="E2496" s="144" t="s">
        <v>1449</v>
      </c>
      <c r="F2496" s="139" t="s">
        <v>88</v>
      </c>
      <c r="G2496" s="144" t="s">
        <v>4067</v>
      </c>
      <c r="H2496" s="146" t="s">
        <v>130</v>
      </c>
      <c r="I2496" s="144" t="s">
        <v>2739</v>
      </c>
    </row>
    <row r="2497" spans="1:9" ht="25.5">
      <c r="A2497" s="193">
        <v>46045</v>
      </c>
      <c r="B2497" s="145" t="s">
        <v>823</v>
      </c>
      <c r="C2497" s="150" t="s">
        <v>5512</v>
      </c>
      <c r="D2497" s="201" t="s">
        <v>2224</v>
      </c>
      <c r="E2497" s="144" t="s">
        <v>988</v>
      </c>
      <c r="F2497" s="141" t="s">
        <v>821</v>
      </c>
      <c r="G2497" s="144" t="s">
        <v>4068</v>
      </c>
      <c r="H2497" s="146" t="s">
        <v>130</v>
      </c>
      <c r="I2497" s="144" t="s">
        <v>3600</v>
      </c>
    </row>
    <row r="2498" spans="1:9" ht="14.1">
      <c r="A2498" s="193">
        <v>46045</v>
      </c>
      <c r="B2498" s="145" t="s">
        <v>823</v>
      </c>
      <c r="C2498" s="150" t="s">
        <v>5512</v>
      </c>
      <c r="D2498" s="201" t="s">
        <v>1431</v>
      </c>
      <c r="E2498" s="144" t="s">
        <v>216</v>
      </c>
      <c r="F2498" s="141" t="s">
        <v>821</v>
      </c>
      <c r="G2498" s="144" t="s">
        <v>4069</v>
      </c>
      <c r="H2498" s="146" t="s">
        <v>130</v>
      </c>
      <c r="I2498" s="144" t="s">
        <v>3600</v>
      </c>
    </row>
    <row r="2499" spans="1:9" ht="38.1">
      <c r="A2499" s="193">
        <v>46045</v>
      </c>
      <c r="B2499" s="145" t="s">
        <v>823</v>
      </c>
      <c r="C2499" s="150" t="s">
        <v>5512</v>
      </c>
      <c r="D2499" s="201" t="s">
        <v>1431</v>
      </c>
      <c r="E2499" s="144" t="s">
        <v>1449</v>
      </c>
      <c r="F2499" s="139" t="s">
        <v>88</v>
      </c>
      <c r="G2499" s="144" t="s">
        <v>4070</v>
      </c>
      <c r="H2499" s="146" t="s">
        <v>26</v>
      </c>
      <c r="I2499" s="144" t="s">
        <v>2739</v>
      </c>
    </row>
    <row r="2500" spans="1:9" ht="14.1">
      <c r="A2500" s="193">
        <v>46048</v>
      </c>
      <c r="B2500" s="145" t="s">
        <v>823</v>
      </c>
      <c r="C2500" s="150" t="s">
        <v>5512</v>
      </c>
      <c r="D2500" s="201" t="s">
        <v>1431</v>
      </c>
      <c r="E2500" s="144" t="s">
        <v>2585</v>
      </c>
      <c r="F2500" s="139" t="s">
        <v>88</v>
      </c>
      <c r="G2500" s="144" t="s">
        <v>4071</v>
      </c>
      <c r="H2500" s="146" t="s">
        <v>26</v>
      </c>
      <c r="I2500" s="144" t="s">
        <v>452</v>
      </c>
    </row>
    <row r="2501" spans="1:9" ht="14.1">
      <c r="A2501" s="193">
        <v>46048</v>
      </c>
      <c r="B2501" s="145" t="s">
        <v>823</v>
      </c>
      <c r="C2501" s="150" t="s">
        <v>5512</v>
      </c>
      <c r="D2501" s="201" t="s">
        <v>1431</v>
      </c>
      <c r="E2501" s="144" t="s">
        <v>1225</v>
      </c>
      <c r="F2501" s="147" t="s">
        <v>859</v>
      </c>
      <c r="G2501" s="144" t="s">
        <v>4072</v>
      </c>
      <c r="H2501" s="146" t="s">
        <v>26</v>
      </c>
      <c r="I2501" s="144" t="s">
        <v>4073</v>
      </c>
    </row>
    <row r="2502" spans="1:9" ht="25.5">
      <c r="A2502" s="193">
        <v>46048</v>
      </c>
      <c r="B2502" s="145" t="s">
        <v>823</v>
      </c>
      <c r="C2502" s="150" t="s">
        <v>5512</v>
      </c>
      <c r="D2502" s="201" t="s">
        <v>1431</v>
      </c>
      <c r="E2502" s="144" t="s">
        <v>21</v>
      </c>
      <c r="F2502" s="141" t="s">
        <v>821</v>
      </c>
      <c r="G2502" s="144" t="s">
        <v>4074</v>
      </c>
      <c r="H2502" s="146" t="s">
        <v>130</v>
      </c>
      <c r="I2502" s="144" t="s">
        <v>468</v>
      </c>
    </row>
    <row r="2503" spans="1:9" ht="25.5">
      <c r="A2503" s="193">
        <v>46048</v>
      </c>
      <c r="B2503" s="145" t="s">
        <v>823</v>
      </c>
      <c r="C2503" s="150" t="s">
        <v>5512</v>
      </c>
      <c r="D2503" s="201" t="s">
        <v>1431</v>
      </c>
      <c r="E2503" s="144" t="s">
        <v>1506</v>
      </c>
      <c r="F2503" s="139" t="s">
        <v>88</v>
      </c>
      <c r="G2503" s="144" t="s">
        <v>4075</v>
      </c>
      <c r="H2503" s="146" t="s">
        <v>26</v>
      </c>
      <c r="I2503" s="144" t="s">
        <v>1904</v>
      </c>
    </row>
    <row r="2504" spans="1:9" ht="25.5">
      <c r="A2504" s="193">
        <v>46048</v>
      </c>
      <c r="B2504" s="145" t="s">
        <v>823</v>
      </c>
      <c r="C2504" s="150" t="s">
        <v>5512</v>
      </c>
      <c r="D2504" s="201" t="s">
        <v>1431</v>
      </c>
      <c r="E2504" s="144" t="s">
        <v>1506</v>
      </c>
      <c r="F2504" s="147" t="s">
        <v>859</v>
      </c>
      <c r="G2504" s="144" t="s">
        <v>4076</v>
      </c>
      <c r="H2504" s="146" t="s">
        <v>26</v>
      </c>
      <c r="I2504" s="144" t="s">
        <v>1904</v>
      </c>
    </row>
    <row r="2505" spans="1:9" ht="25.5">
      <c r="A2505" s="193">
        <v>46048</v>
      </c>
      <c r="B2505" s="145" t="s">
        <v>823</v>
      </c>
      <c r="C2505" s="150" t="s">
        <v>5512</v>
      </c>
      <c r="D2505" s="201" t="s">
        <v>1431</v>
      </c>
      <c r="E2505" s="144" t="s">
        <v>21</v>
      </c>
      <c r="F2505" s="141" t="s">
        <v>821</v>
      </c>
      <c r="G2505" s="144" t="s">
        <v>4077</v>
      </c>
      <c r="H2505" s="146" t="s">
        <v>130</v>
      </c>
      <c r="I2505" s="144" t="s">
        <v>468</v>
      </c>
    </row>
    <row r="2506" spans="1:9" ht="38.1">
      <c r="A2506" s="193">
        <v>46048</v>
      </c>
      <c r="B2506" s="145" t="s">
        <v>823</v>
      </c>
      <c r="C2506" s="150" t="s">
        <v>5512</v>
      </c>
      <c r="D2506" s="201" t="s">
        <v>1431</v>
      </c>
      <c r="E2506" s="144" t="s">
        <v>1449</v>
      </c>
      <c r="F2506" s="139" t="s">
        <v>88</v>
      </c>
      <c r="G2506" s="144" t="s">
        <v>4078</v>
      </c>
      <c r="H2506" s="146" t="s">
        <v>26</v>
      </c>
      <c r="I2506" s="144" t="s">
        <v>2593</v>
      </c>
    </row>
    <row r="2507" spans="1:9" ht="14.1">
      <c r="A2507" s="193">
        <v>46048</v>
      </c>
      <c r="B2507" s="145" t="s">
        <v>823</v>
      </c>
      <c r="C2507" s="150" t="s">
        <v>5512</v>
      </c>
      <c r="D2507" s="201" t="s">
        <v>1431</v>
      </c>
      <c r="E2507" s="144" t="s">
        <v>1449</v>
      </c>
      <c r="F2507" s="139" t="s">
        <v>88</v>
      </c>
      <c r="G2507" s="144" t="s">
        <v>4079</v>
      </c>
      <c r="H2507" s="146" t="s">
        <v>26</v>
      </c>
      <c r="I2507" s="144" t="s">
        <v>2593</v>
      </c>
    </row>
    <row r="2508" spans="1:9" ht="14.1">
      <c r="A2508" s="193">
        <v>46048</v>
      </c>
      <c r="B2508" s="145" t="s">
        <v>823</v>
      </c>
      <c r="C2508" s="150" t="s">
        <v>5512</v>
      </c>
      <c r="D2508" s="201" t="s">
        <v>1431</v>
      </c>
      <c r="E2508" s="144" t="s">
        <v>1449</v>
      </c>
      <c r="F2508" s="139" t="s">
        <v>88</v>
      </c>
      <c r="G2508" s="144" t="s">
        <v>4080</v>
      </c>
      <c r="H2508" s="146" t="s">
        <v>26</v>
      </c>
      <c r="I2508" s="144" t="s">
        <v>2593</v>
      </c>
    </row>
    <row r="2509" spans="1:9" ht="25.5">
      <c r="A2509" s="193">
        <v>46048</v>
      </c>
      <c r="B2509" s="145" t="s">
        <v>823</v>
      </c>
      <c r="C2509" s="150" t="s">
        <v>5512</v>
      </c>
      <c r="D2509" s="201" t="s">
        <v>1431</v>
      </c>
      <c r="E2509" s="144" t="s">
        <v>1449</v>
      </c>
      <c r="F2509" s="147" t="s">
        <v>859</v>
      </c>
      <c r="G2509" s="144" t="s">
        <v>4081</v>
      </c>
      <c r="H2509" s="146" t="s">
        <v>26</v>
      </c>
      <c r="I2509" s="144" t="s">
        <v>2593</v>
      </c>
    </row>
    <row r="2510" spans="1:9" ht="38.1">
      <c r="A2510" s="193">
        <v>46048</v>
      </c>
      <c r="B2510" s="145" t="s">
        <v>823</v>
      </c>
      <c r="C2510" s="150" t="s">
        <v>5512</v>
      </c>
      <c r="D2510" s="201" t="s">
        <v>1431</v>
      </c>
      <c r="E2510" s="144" t="s">
        <v>1566</v>
      </c>
      <c r="F2510" s="139" t="s">
        <v>88</v>
      </c>
      <c r="G2510" s="144" t="s">
        <v>4082</v>
      </c>
      <c r="H2510" s="146" t="s">
        <v>26</v>
      </c>
      <c r="I2510" s="144" t="s">
        <v>1453</v>
      </c>
    </row>
    <row r="2511" spans="1:9" ht="25.5">
      <c r="A2511" s="193">
        <v>46048</v>
      </c>
      <c r="B2511" s="145" t="s">
        <v>823</v>
      </c>
      <c r="C2511" s="150" t="s">
        <v>5512</v>
      </c>
      <c r="D2511" s="201" t="s">
        <v>1431</v>
      </c>
      <c r="E2511" s="144" t="s">
        <v>1566</v>
      </c>
      <c r="F2511" s="139" t="s">
        <v>88</v>
      </c>
      <c r="G2511" s="144" t="s">
        <v>4083</v>
      </c>
      <c r="H2511" s="146" t="s">
        <v>26</v>
      </c>
      <c r="I2511" s="144" t="s">
        <v>1453</v>
      </c>
    </row>
    <row r="2512" spans="1:9" ht="63">
      <c r="A2512" s="193">
        <v>46048</v>
      </c>
      <c r="B2512" s="145" t="s">
        <v>823</v>
      </c>
      <c r="C2512" s="150" t="s">
        <v>5512</v>
      </c>
      <c r="D2512" s="201" t="s">
        <v>1431</v>
      </c>
      <c r="E2512" s="144" t="s">
        <v>1566</v>
      </c>
      <c r="F2512" s="139" t="s">
        <v>88</v>
      </c>
      <c r="G2512" s="144" t="s">
        <v>4084</v>
      </c>
      <c r="H2512" s="146" t="s">
        <v>26</v>
      </c>
      <c r="I2512" s="144" t="s">
        <v>1453</v>
      </c>
    </row>
    <row r="2513" spans="1:9" ht="25.5">
      <c r="A2513" s="193">
        <v>46048</v>
      </c>
      <c r="B2513" s="145" t="s">
        <v>823</v>
      </c>
      <c r="C2513" s="150" t="s">
        <v>5512</v>
      </c>
      <c r="D2513" s="201" t="s">
        <v>1431</v>
      </c>
      <c r="E2513" s="144" t="s">
        <v>216</v>
      </c>
      <c r="F2513" s="139" t="s">
        <v>88</v>
      </c>
      <c r="G2513" s="144" t="s">
        <v>4085</v>
      </c>
      <c r="H2513" s="146" t="s">
        <v>130</v>
      </c>
      <c r="I2513" s="144" t="s">
        <v>3600</v>
      </c>
    </row>
    <row r="2514" spans="1:9" ht="38.1">
      <c r="A2514" s="193">
        <v>46048</v>
      </c>
      <c r="B2514" s="145" t="s">
        <v>823</v>
      </c>
      <c r="C2514" s="150" t="s">
        <v>5512</v>
      </c>
      <c r="D2514" s="201" t="s">
        <v>2224</v>
      </c>
      <c r="E2514" s="144" t="s">
        <v>216</v>
      </c>
      <c r="F2514" s="141" t="s">
        <v>821</v>
      </c>
      <c r="G2514" s="144" t="s">
        <v>4086</v>
      </c>
      <c r="H2514" s="146" t="s">
        <v>130</v>
      </c>
      <c r="I2514" s="144" t="s">
        <v>3600</v>
      </c>
    </row>
    <row r="2515" spans="1:9" ht="38.1">
      <c r="A2515" s="193">
        <v>46048</v>
      </c>
      <c r="B2515" s="145" t="s">
        <v>823</v>
      </c>
      <c r="C2515" s="150" t="s">
        <v>5512</v>
      </c>
      <c r="D2515" s="201" t="s">
        <v>2224</v>
      </c>
      <c r="E2515" s="144" t="s">
        <v>21</v>
      </c>
      <c r="F2515" s="141" t="s">
        <v>821</v>
      </c>
      <c r="G2515" s="144" t="s">
        <v>4087</v>
      </c>
      <c r="H2515" s="146" t="s">
        <v>130</v>
      </c>
      <c r="I2515" s="144" t="s">
        <v>468</v>
      </c>
    </row>
    <row r="2516" spans="1:9" ht="25.5">
      <c r="A2516" s="193">
        <v>46048</v>
      </c>
      <c r="B2516" s="145" t="s">
        <v>823</v>
      </c>
      <c r="C2516" s="150" t="s">
        <v>5512</v>
      </c>
      <c r="D2516" s="201" t="s">
        <v>1431</v>
      </c>
      <c r="E2516" s="144" t="s">
        <v>1449</v>
      </c>
      <c r="F2516" s="139" t="s">
        <v>88</v>
      </c>
      <c r="G2516" s="144" t="s">
        <v>4088</v>
      </c>
      <c r="H2516" s="146" t="s">
        <v>26</v>
      </c>
      <c r="I2516" s="144" t="s">
        <v>2593</v>
      </c>
    </row>
    <row r="2517" spans="1:9" ht="25.5">
      <c r="A2517" s="193">
        <v>46048</v>
      </c>
      <c r="B2517" s="145" t="s">
        <v>823</v>
      </c>
      <c r="C2517" s="150" t="s">
        <v>5512</v>
      </c>
      <c r="D2517" s="201" t="s">
        <v>1431</v>
      </c>
      <c r="E2517" s="144" t="s">
        <v>1449</v>
      </c>
      <c r="F2517" s="139" t="s">
        <v>88</v>
      </c>
      <c r="G2517" s="144" t="s">
        <v>4089</v>
      </c>
      <c r="H2517" s="146" t="s">
        <v>26</v>
      </c>
      <c r="I2517" s="144" t="s">
        <v>2593</v>
      </c>
    </row>
    <row r="2518" spans="1:9" ht="14.1">
      <c r="A2518" s="193">
        <v>46049</v>
      </c>
      <c r="B2518" s="145" t="s">
        <v>823</v>
      </c>
      <c r="C2518" s="150" t="s">
        <v>5512</v>
      </c>
      <c r="D2518" s="201" t="s">
        <v>1431</v>
      </c>
      <c r="E2518" s="144" t="s">
        <v>1225</v>
      </c>
      <c r="F2518" s="140" t="s">
        <v>1439</v>
      </c>
      <c r="G2518" s="144" t="s">
        <v>4090</v>
      </c>
      <c r="H2518" s="146" t="s">
        <v>130</v>
      </c>
      <c r="I2518" s="144" t="s">
        <v>925</v>
      </c>
    </row>
    <row r="2519" spans="1:9" ht="38.1">
      <c r="A2519" s="193">
        <v>46049</v>
      </c>
      <c r="B2519" s="145" t="s">
        <v>823</v>
      </c>
      <c r="C2519" s="150" t="s">
        <v>5512</v>
      </c>
      <c r="D2519" s="201" t="s">
        <v>1431</v>
      </c>
      <c r="E2519" s="144" t="s">
        <v>3950</v>
      </c>
      <c r="F2519" s="140" t="s">
        <v>1439</v>
      </c>
      <c r="G2519" s="144" t="s">
        <v>4091</v>
      </c>
      <c r="H2519" s="146" t="s">
        <v>130</v>
      </c>
      <c r="I2519" s="144" t="s">
        <v>3852</v>
      </c>
    </row>
    <row r="2520" spans="1:9" ht="25.5">
      <c r="A2520" s="193">
        <v>46049</v>
      </c>
      <c r="B2520" s="145" t="s">
        <v>823</v>
      </c>
      <c r="C2520" s="150" t="s">
        <v>5512</v>
      </c>
      <c r="D2520" s="201" t="s">
        <v>1431</v>
      </c>
      <c r="E2520" s="144" t="s">
        <v>21</v>
      </c>
      <c r="F2520" s="141" t="s">
        <v>821</v>
      </c>
      <c r="G2520" s="144" t="s">
        <v>4092</v>
      </c>
      <c r="H2520" s="146" t="s">
        <v>130</v>
      </c>
      <c r="I2520" s="144" t="s">
        <v>468</v>
      </c>
    </row>
    <row r="2521" spans="1:9" ht="25.5">
      <c r="A2521" s="193">
        <v>46049</v>
      </c>
      <c r="B2521" s="145" t="s">
        <v>823</v>
      </c>
      <c r="C2521" s="150" t="s">
        <v>5512</v>
      </c>
      <c r="D2521" s="201" t="s">
        <v>1431</v>
      </c>
      <c r="E2521" s="144" t="s">
        <v>2244</v>
      </c>
      <c r="F2521" s="140" t="s">
        <v>1439</v>
      </c>
      <c r="G2521" s="144" t="s">
        <v>4093</v>
      </c>
      <c r="H2521" s="146" t="s">
        <v>130</v>
      </c>
      <c r="I2521" s="144" t="s">
        <v>916</v>
      </c>
    </row>
    <row r="2522" spans="1:9" ht="38.1">
      <c r="A2522" s="193">
        <v>46049</v>
      </c>
      <c r="B2522" s="145" t="s">
        <v>823</v>
      </c>
      <c r="C2522" s="150" t="s">
        <v>5512</v>
      </c>
      <c r="D2522" s="201" t="s">
        <v>1431</v>
      </c>
      <c r="E2522" s="144" t="s">
        <v>988</v>
      </c>
      <c r="F2522" s="141" t="s">
        <v>821</v>
      </c>
      <c r="G2522" s="144" t="s">
        <v>4094</v>
      </c>
      <c r="H2522" s="146" t="s">
        <v>130</v>
      </c>
      <c r="I2522" s="144" t="s">
        <v>1436</v>
      </c>
    </row>
    <row r="2523" spans="1:9" ht="63">
      <c r="A2523" s="193">
        <v>46049</v>
      </c>
      <c r="B2523" s="145" t="s">
        <v>823</v>
      </c>
      <c r="C2523" s="150" t="s">
        <v>5512</v>
      </c>
      <c r="D2523" s="201" t="s">
        <v>1431</v>
      </c>
      <c r="E2523" s="144" t="s">
        <v>1449</v>
      </c>
      <c r="F2523" s="139" t="s">
        <v>88</v>
      </c>
      <c r="G2523" s="144" t="s">
        <v>4095</v>
      </c>
      <c r="H2523" s="146" t="s">
        <v>26</v>
      </c>
      <c r="I2523" s="144" t="s">
        <v>2739</v>
      </c>
    </row>
    <row r="2524" spans="1:9" ht="38.1">
      <c r="A2524" s="193">
        <v>46049</v>
      </c>
      <c r="B2524" s="145" t="s">
        <v>823</v>
      </c>
      <c r="C2524" s="150" t="s">
        <v>5512</v>
      </c>
      <c r="D2524" s="201" t="s">
        <v>2224</v>
      </c>
      <c r="E2524" s="144" t="s">
        <v>1449</v>
      </c>
      <c r="F2524" s="139" t="s">
        <v>88</v>
      </c>
      <c r="G2524" s="144" t="s">
        <v>4096</v>
      </c>
      <c r="H2524" s="146" t="s">
        <v>26</v>
      </c>
      <c r="I2524" s="144" t="s">
        <v>2739</v>
      </c>
    </row>
    <row r="2525" spans="1:9" ht="63">
      <c r="A2525" s="193">
        <v>46049</v>
      </c>
      <c r="B2525" s="145" t="s">
        <v>823</v>
      </c>
      <c r="C2525" s="150" t="s">
        <v>5512</v>
      </c>
      <c r="D2525" s="201" t="s">
        <v>2224</v>
      </c>
      <c r="E2525" s="144" t="s">
        <v>21</v>
      </c>
      <c r="F2525" s="141" t="s">
        <v>821</v>
      </c>
      <c r="G2525" s="144" t="s">
        <v>4097</v>
      </c>
      <c r="H2525" s="146" t="s">
        <v>130</v>
      </c>
      <c r="I2525" s="144" t="s">
        <v>2735</v>
      </c>
    </row>
    <row r="2526" spans="1:9" ht="38.1">
      <c r="A2526" s="193">
        <v>46049</v>
      </c>
      <c r="B2526" s="145" t="s">
        <v>823</v>
      </c>
      <c r="C2526" s="150" t="s">
        <v>5512</v>
      </c>
      <c r="D2526" s="201" t="s">
        <v>1431</v>
      </c>
      <c r="E2526" s="144" t="s">
        <v>1566</v>
      </c>
      <c r="F2526" s="139" t="s">
        <v>88</v>
      </c>
      <c r="G2526" s="144" t="s">
        <v>4098</v>
      </c>
      <c r="H2526" s="146" t="s">
        <v>26</v>
      </c>
      <c r="I2526" s="144" t="s">
        <v>1453</v>
      </c>
    </row>
    <row r="2527" spans="1:9" ht="14.1">
      <c r="A2527" s="193">
        <v>46049</v>
      </c>
      <c r="B2527" s="145" t="s">
        <v>823</v>
      </c>
      <c r="C2527" s="150" t="s">
        <v>5512</v>
      </c>
      <c r="D2527" s="201" t="s">
        <v>1431</v>
      </c>
      <c r="E2527" s="144" t="s">
        <v>1566</v>
      </c>
      <c r="F2527" s="139" t="s">
        <v>88</v>
      </c>
      <c r="G2527" s="144" t="s">
        <v>4099</v>
      </c>
      <c r="H2527" s="146" t="s">
        <v>26</v>
      </c>
      <c r="I2527" s="144" t="s">
        <v>1453</v>
      </c>
    </row>
    <row r="2528" spans="1:9" ht="25.5">
      <c r="A2528" s="193">
        <v>46050</v>
      </c>
      <c r="B2528" s="145" t="s">
        <v>823</v>
      </c>
      <c r="C2528" s="150" t="s">
        <v>5512</v>
      </c>
      <c r="D2528" s="201" t="s">
        <v>1431</v>
      </c>
      <c r="E2528" s="144" t="s">
        <v>2585</v>
      </c>
      <c r="F2528" s="139" t="s">
        <v>88</v>
      </c>
      <c r="G2528" s="144" t="s">
        <v>4100</v>
      </c>
      <c r="H2528" s="146" t="s">
        <v>26</v>
      </c>
      <c r="I2528" s="144" t="s">
        <v>452</v>
      </c>
    </row>
    <row r="2529" spans="1:9" ht="14.1">
      <c r="A2529" s="193">
        <v>46050</v>
      </c>
      <c r="B2529" s="145" t="s">
        <v>823</v>
      </c>
      <c r="C2529" s="150" t="s">
        <v>5512</v>
      </c>
      <c r="D2529" s="201" t="s">
        <v>1431</v>
      </c>
      <c r="E2529" s="144" t="s">
        <v>1225</v>
      </c>
      <c r="F2529" s="140" t="s">
        <v>1439</v>
      </c>
      <c r="G2529" s="144" t="s">
        <v>4101</v>
      </c>
      <c r="H2529" s="146" t="s">
        <v>130</v>
      </c>
      <c r="I2529" s="144" t="s">
        <v>925</v>
      </c>
    </row>
    <row r="2530" spans="1:9" ht="25.5">
      <c r="A2530" s="193">
        <v>46050</v>
      </c>
      <c r="B2530" s="145" t="s">
        <v>823</v>
      </c>
      <c r="C2530" s="150" t="s">
        <v>5512</v>
      </c>
      <c r="D2530" s="201" t="s">
        <v>1431</v>
      </c>
      <c r="E2530" s="144" t="s">
        <v>2595</v>
      </c>
      <c r="F2530" s="140" t="s">
        <v>1439</v>
      </c>
      <c r="G2530" s="144" t="s">
        <v>4102</v>
      </c>
      <c r="H2530" s="146" t="s">
        <v>130</v>
      </c>
      <c r="I2530" s="144" t="s">
        <v>578</v>
      </c>
    </row>
    <row r="2531" spans="1:9" ht="25.5">
      <c r="A2531" s="193">
        <v>46050</v>
      </c>
      <c r="B2531" s="145" t="s">
        <v>823</v>
      </c>
      <c r="C2531" s="150" t="s">
        <v>5512</v>
      </c>
      <c r="D2531" s="201" t="s">
        <v>1431</v>
      </c>
      <c r="E2531" s="144" t="s">
        <v>3950</v>
      </c>
      <c r="F2531" s="139" t="s">
        <v>88</v>
      </c>
      <c r="G2531" s="144" t="s">
        <v>4103</v>
      </c>
      <c r="H2531" s="146" t="s">
        <v>130</v>
      </c>
      <c r="I2531" s="144" t="s">
        <v>3758</v>
      </c>
    </row>
    <row r="2532" spans="1:9" ht="25.5">
      <c r="A2532" s="193">
        <v>46050</v>
      </c>
      <c r="B2532" s="145" t="s">
        <v>823</v>
      </c>
      <c r="C2532" s="150" t="s">
        <v>5512</v>
      </c>
      <c r="D2532" s="201" t="s">
        <v>1431</v>
      </c>
      <c r="E2532" s="144" t="s">
        <v>1511</v>
      </c>
      <c r="F2532" s="139" t="s">
        <v>88</v>
      </c>
      <c r="G2532" s="144" t="s">
        <v>4104</v>
      </c>
      <c r="H2532" s="146" t="s">
        <v>130</v>
      </c>
      <c r="I2532" s="144" t="s">
        <v>4105</v>
      </c>
    </row>
    <row r="2533" spans="1:9" ht="14.1">
      <c r="A2533" s="193">
        <v>46050</v>
      </c>
      <c r="B2533" s="145" t="s">
        <v>823</v>
      </c>
      <c r="C2533" s="150" t="s">
        <v>5512</v>
      </c>
      <c r="D2533" s="201" t="s">
        <v>1431</v>
      </c>
      <c r="E2533" s="144" t="s">
        <v>1518</v>
      </c>
      <c r="F2533" s="141" t="s">
        <v>821</v>
      </c>
      <c r="G2533" s="144" t="s">
        <v>4106</v>
      </c>
      <c r="H2533" s="146" t="s">
        <v>26</v>
      </c>
      <c r="I2533" s="144" t="s">
        <v>3920</v>
      </c>
    </row>
    <row r="2534" spans="1:9" ht="25.5">
      <c r="A2534" s="193">
        <v>46050</v>
      </c>
      <c r="B2534" s="145" t="s">
        <v>823</v>
      </c>
      <c r="C2534" s="150" t="s">
        <v>5512</v>
      </c>
      <c r="D2534" s="201" t="s">
        <v>1431</v>
      </c>
      <c r="E2534" s="144" t="s">
        <v>21</v>
      </c>
      <c r="F2534" s="141" t="s">
        <v>821</v>
      </c>
      <c r="G2534" s="144" t="s">
        <v>4107</v>
      </c>
      <c r="H2534" s="146" t="s">
        <v>130</v>
      </c>
      <c r="I2534" s="144" t="s">
        <v>468</v>
      </c>
    </row>
    <row r="2535" spans="1:9" ht="25.5">
      <c r="A2535" s="193">
        <v>46050</v>
      </c>
      <c r="B2535" s="145" t="s">
        <v>823</v>
      </c>
      <c r="C2535" s="150" t="s">
        <v>5512</v>
      </c>
      <c r="D2535" s="201" t="s">
        <v>1431</v>
      </c>
      <c r="E2535" s="144" t="s">
        <v>1566</v>
      </c>
      <c r="F2535" s="139" t="s">
        <v>88</v>
      </c>
      <c r="G2535" s="144" t="s">
        <v>4108</v>
      </c>
      <c r="H2535" s="146" t="s">
        <v>26</v>
      </c>
      <c r="I2535" s="144" t="s">
        <v>1453</v>
      </c>
    </row>
    <row r="2536" spans="1:9" ht="50.45">
      <c r="A2536" s="193">
        <v>46050</v>
      </c>
      <c r="B2536" s="145" t="s">
        <v>823</v>
      </c>
      <c r="C2536" s="150" t="s">
        <v>5512</v>
      </c>
      <c r="D2536" s="201" t="s">
        <v>2224</v>
      </c>
      <c r="E2536" s="144" t="s">
        <v>21</v>
      </c>
      <c r="F2536" s="141" t="s">
        <v>821</v>
      </c>
      <c r="G2536" s="144" t="s">
        <v>4109</v>
      </c>
      <c r="H2536" s="146" t="s">
        <v>130</v>
      </c>
      <c r="I2536" s="144" t="s">
        <v>149</v>
      </c>
    </row>
    <row r="2537" spans="1:9" ht="25.5">
      <c r="A2537" s="193">
        <v>46050</v>
      </c>
      <c r="B2537" s="145" t="s">
        <v>823</v>
      </c>
      <c r="C2537" s="150" t="s">
        <v>5512</v>
      </c>
      <c r="D2537" s="201" t="s">
        <v>2224</v>
      </c>
      <c r="E2537" s="144" t="s">
        <v>988</v>
      </c>
      <c r="F2537" s="147" t="s">
        <v>859</v>
      </c>
      <c r="G2537" s="144" t="s">
        <v>4110</v>
      </c>
      <c r="H2537" s="146" t="s">
        <v>26</v>
      </c>
      <c r="I2537" s="144" t="s">
        <v>2568</v>
      </c>
    </row>
    <row r="2538" spans="1:9" ht="25.5">
      <c r="A2538" s="193">
        <v>46050</v>
      </c>
      <c r="B2538" s="145" t="s">
        <v>823</v>
      </c>
      <c r="C2538" s="150" t="s">
        <v>5512</v>
      </c>
      <c r="D2538" s="201" t="s">
        <v>2224</v>
      </c>
      <c r="E2538" s="144" t="s">
        <v>3011</v>
      </c>
      <c r="F2538" s="147" t="s">
        <v>859</v>
      </c>
      <c r="G2538" s="144" t="s">
        <v>4111</v>
      </c>
      <c r="H2538" s="146" t="s">
        <v>130</v>
      </c>
      <c r="I2538" s="144" t="s">
        <v>2568</v>
      </c>
    </row>
    <row r="2539" spans="1:9" ht="14.1">
      <c r="A2539" s="193">
        <v>46050</v>
      </c>
      <c r="B2539" s="145" t="s">
        <v>823</v>
      </c>
      <c r="C2539" s="150" t="s">
        <v>5512</v>
      </c>
      <c r="D2539" s="201" t="s">
        <v>2224</v>
      </c>
      <c r="E2539" s="144" t="s">
        <v>1566</v>
      </c>
      <c r="F2539" s="139" t="s">
        <v>88</v>
      </c>
      <c r="G2539" s="144" t="s">
        <v>4112</v>
      </c>
      <c r="H2539" s="146" t="s">
        <v>26</v>
      </c>
      <c r="I2539" s="144" t="s">
        <v>1453</v>
      </c>
    </row>
    <row r="2540" spans="1:9" ht="25.5">
      <c r="A2540" s="193">
        <v>46050</v>
      </c>
      <c r="B2540" s="145" t="s">
        <v>823</v>
      </c>
      <c r="C2540" s="150" t="s">
        <v>5512</v>
      </c>
      <c r="D2540" s="201" t="s">
        <v>1431</v>
      </c>
      <c r="E2540" s="144" t="s">
        <v>1449</v>
      </c>
      <c r="F2540" s="141" t="s">
        <v>821</v>
      </c>
      <c r="G2540" s="144" t="s">
        <v>4113</v>
      </c>
      <c r="H2540" s="146" t="s">
        <v>26</v>
      </c>
      <c r="I2540" s="144" t="s">
        <v>2593</v>
      </c>
    </row>
    <row r="2541" spans="1:9" ht="25.5">
      <c r="A2541" s="193">
        <v>46050</v>
      </c>
      <c r="B2541" s="145" t="s">
        <v>823</v>
      </c>
      <c r="C2541" s="150" t="s">
        <v>5512</v>
      </c>
      <c r="D2541" s="201" t="s">
        <v>1431</v>
      </c>
      <c r="E2541" s="144" t="s">
        <v>1449</v>
      </c>
      <c r="F2541" s="139" t="s">
        <v>88</v>
      </c>
      <c r="G2541" s="144" t="s">
        <v>4114</v>
      </c>
      <c r="H2541" s="146" t="s">
        <v>26</v>
      </c>
      <c r="I2541" s="144" t="s">
        <v>2593</v>
      </c>
    </row>
    <row r="2542" spans="1:9" ht="14.1">
      <c r="A2542" s="193">
        <v>46050</v>
      </c>
      <c r="B2542" s="145" t="s">
        <v>823</v>
      </c>
      <c r="C2542" s="150" t="s">
        <v>5512</v>
      </c>
      <c r="D2542" s="201" t="s">
        <v>1431</v>
      </c>
      <c r="E2542" s="144" t="s">
        <v>1449</v>
      </c>
      <c r="F2542" s="139" t="s">
        <v>88</v>
      </c>
      <c r="G2542" s="144" t="s">
        <v>4115</v>
      </c>
      <c r="H2542" s="146" t="s">
        <v>26</v>
      </c>
      <c r="I2542" s="144" t="s">
        <v>2593</v>
      </c>
    </row>
    <row r="2543" spans="1:9" ht="25.5">
      <c r="A2543" s="193">
        <v>46050</v>
      </c>
      <c r="B2543" s="145" t="s">
        <v>823</v>
      </c>
      <c r="C2543" s="150" t="s">
        <v>5512</v>
      </c>
      <c r="D2543" s="201" t="s">
        <v>1431</v>
      </c>
      <c r="E2543" s="144" t="s">
        <v>1449</v>
      </c>
      <c r="F2543" s="139" t="s">
        <v>88</v>
      </c>
      <c r="G2543" s="144" t="s">
        <v>4116</v>
      </c>
      <c r="H2543" s="146" t="s">
        <v>26</v>
      </c>
      <c r="I2543" s="144" t="s">
        <v>2593</v>
      </c>
    </row>
    <row r="2544" spans="1:9" ht="25.5">
      <c r="A2544" s="193">
        <v>46050</v>
      </c>
      <c r="B2544" s="145" t="s">
        <v>823</v>
      </c>
      <c r="C2544" s="150" t="s">
        <v>5512</v>
      </c>
      <c r="D2544" s="201" t="s">
        <v>2224</v>
      </c>
      <c r="E2544" s="144" t="s">
        <v>1506</v>
      </c>
      <c r="F2544" s="139" t="s">
        <v>88</v>
      </c>
      <c r="G2544" s="144" t="s">
        <v>4117</v>
      </c>
      <c r="H2544" s="146" t="s">
        <v>26</v>
      </c>
      <c r="I2544" s="144" t="s">
        <v>2568</v>
      </c>
    </row>
    <row r="2545" spans="1:9" ht="38.1">
      <c r="A2545" s="193">
        <v>46051</v>
      </c>
      <c r="B2545" s="145" t="s">
        <v>823</v>
      </c>
      <c r="C2545" s="150" t="s">
        <v>5512</v>
      </c>
      <c r="D2545" s="201" t="s">
        <v>1431</v>
      </c>
      <c r="E2545" s="144" t="s">
        <v>2585</v>
      </c>
      <c r="F2545" s="139" t="s">
        <v>88</v>
      </c>
      <c r="G2545" s="144" t="s">
        <v>4118</v>
      </c>
      <c r="H2545" s="146" t="s">
        <v>130</v>
      </c>
      <c r="I2545" s="144" t="s">
        <v>452</v>
      </c>
    </row>
    <row r="2546" spans="1:9" ht="14.1">
      <c r="A2546" s="193">
        <v>46051</v>
      </c>
      <c r="B2546" s="145" t="s">
        <v>823</v>
      </c>
      <c r="C2546" s="150" t="s">
        <v>5512</v>
      </c>
      <c r="D2546" s="201" t="s">
        <v>1431</v>
      </c>
      <c r="E2546" s="144" t="s">
        <v>2585</v>
      </c>
      <c r="F2546" s="139" t="s">
        <v>88</v>
      </c>
      <c r="G2546" s="144" t="s">
        <v>4119</v>
      </c>
      <c r="H2546" s="146" t="s">
        <v>26</v>
      </c>
      <c r="I2546" s="144" t="s">
        <v>452</v>
      </c>
    </row>
    <row r="2547" spans="1:9" ht="25.5">
      <c r="A2547" s="193">
        <v>46051</v>
      </c>
      <c r="B2547" s="145" t="s">
        <v>823</v>
      </c>
      <c r="C2547" s="150" t="s">
        <v>5512</v>
      </c>
      <c r="D2547" s="201" t="s">
        <v>1431</v>
      </c>
      <c r="E2547" s="144" t="s">
        <v>216</v>
      </c>
      <c r="F2547" s="141" t="s">
        <v>821</v>
      </c>
      <c r="G2547" s="144" t="s">
        <v>4120</v>
      </c>
      <c r="H2547" s="146" t="s">
        <v>130</v>
      </c>
      <c r="I2547" s="144" t="s">
        <v>3600</v>
      </c>
    </row>
    <row r="2548" spans="1:9" ht="25.5">
      <c r="A2548" s="193">
        <v>46051</v>
      </c>
      <c r="B2548" s="145" t="s">
        <v>823</v>
      </c>
      <c r="C2548" s="150" t="s">
        <v>5512</v>
      </c>
      <c r="D2548" s="201" t="s">
        <v>1431</v>
      </c>
      <c r="E2548" s="144" t="s">
        <v>216</v>
      </c>
      <c r="F2548" s="141" t="s">
        <v>821</v>
      </c>
      <c r="G2548" s="144" t="s">
        <v>4121</v>
      </c>
      <c r="H2548" s="146" t="s">
        <v>130</v>
      </c>
      <c r="I2548" s="144" t="s">
        <v>3600</v>
      </c>
    </row>
    <row r="2549" spans="1:9" ht="25.5">
      <c r="A2549" s="193">
        <v>46051</v>
      </c>
      <c r="B2549" s="145" t="s">
        <v>823</v>
      </c>
      <c r="C2549" s="150" t="s">
        <v>5512</v>
      </c>
      <c r="D2549" s="201" t="s">
        <v>1431</v>
      </c>
      <c r="E2549" s="144" t="s">
        <v>21</v>
      </c>
      <c r="F2549" s="141" t="s">
        <v>821</v>
      </c>
      <c r="G2549" s="144" t="s">
        <v>4122</v>
      </c>
      <c r="H2549" s="146" t="s">
        <v>130</v>
      </c>
      <c r="I2549" s="144" t="s">
        <v>468</v>
      </c>
    </row>
    <row r="2550" spans="1:9" ht="14.1">
      <c r="A2550" s="193">
        <v>46051</v>
      </c>
      <c r="B2550" s="145" t="s">
        <v>823</v>
      </c>
      <c r="C2550" s="150" t="s">
        <v>5512</v>
      </c>
      <c r="D2550" s="201" t="s">
        <v>1431</v>
      </c>
      <c r="E2550" s="144" t="s">
        <v>21</v>
      </c>
      <c r="F2550" s="141" t="s">
        <v>821</v>
      </c>
      <c r="G2550" s="144" t="s">
        <v>4123</v>
      </c>
      <c r="H2550" s="146" t="s">
        <v>130</v>
      </c>
      <c r="I2550" s="144" t="s">
        <v>468</v>
      </c>
    </row>
    <row r="2551" spans="1:9" ht="25.5">
      <c r="A2551" s="193">
        <v>46051</v>
      </c>
      <c r="B2551" s="145" t="s">
        <v>823</v>
      </c>
      <c r="C2551" s="150" t="s">
        <v>5512</v>
      </c>
      <c r="D2551" s="201" t="s">
        <v>1431</v>
      </c>
      <c r="E2551" s="144" t="s">
        <v>1449</v>
      </c>
      <c r="F2551" s="139" t="s">
        <v>88</v>
      </c>
      <c r="G2551" s="144" t="s">
        <v>4124</v>
      </c>
      <c r="H2551" s="146" t="s">
        <v>26</v>
      </c>
      <c r="I2551" s="144" t="s">
        <v>2593</v>
      </c>
    </row>
    <row r="2552" spans="1:9" ht="25.5">
      <c r="A2552" s="193">
        <v>46051</v>
      </c>
      <c r="B2552" s="145" t="s">
        <v>823</v>
      </c>
      <c r="C2552" s="150" t="s">
        <v>5512</v>
      </c>
      <c r="D2552" s="201" t="s">
        <v>1431</v>
      </c>
      <c r="E2552" s="144" t="s">
        <v>1566</v>
      </c>
      <c r="F2552" s="139" t="s">
        <v>88</v>
      </c>
      <c r="G2552" s="144" t="s">
        <v>4125</v>
      </c>
      <c r="H2552" s="146" t="s">
        <v>26</v>
      </c>
      <c r="I2552" s="144" t="s">
        <v>2640</v>
      </c>
    </row>
    <row r="2553" spans="1:9" ht="14.1">
      <c r="A2553" s="193">
        <v>46051</v>
      </c>
      <c r="B2553" s="145" t="s">
        <v>823</v>
      </c>
      <c r="C2553" s="150" t="s">
        <v>5512</v>
      </c>
      <c r="D2553" s="201" t="s">
        <v>1431</v>
      </c>
      <c r="E2553" s="144" t="s">
        <v>1566</v>
      </c>
      <c r="F2553" s="139" t="s">
        <v>88</v>
      </c>
      <c r="G2553" s="144" t="s">
        <v>4126</v>
      </c>
      <c r="H2553" s="146" t="s">
        <v>26</v>
      </c>
      <c r="I2553" s="144" t="s">
        <v>2640</v>
      </c>
    </row>
    <row r="2554" spans="1:9" ht="14.1">
      <c r="A2554" s="193">
        <v>46051</v>
      </c>
      <c r="B2554" s="145" t="s">
        <v>823</v>
      </c>
      <c r="C2554" s="150" t="s">
        <v>5512</v>
      </c>
      <c r="D2554" s="201" t="s">
        <v>1431</v>
      </c>
      <c r="E2554" s="144" t="s">
        <v>1566</v>
      </c>
      <c r="F2554" s="139" t="s">
        <v>88</v>
      </c>
      <c r="G2554" s="144" t="s">
        <v>4127</v>
      </c>
      <c r="H2554" s="146" t="s">
        <v>26</v>
      </c>
      <c r="I2554" s="144" t="s">
        <v>2640</v>
      </c>
    </row>
    <row r="2555" spans="1:9" ht="25.5">
      <c r="A2555" s="193">
        <v>46051</v>
      </c>
      <c r="B2555" s="145" t="s">
        <v>823</v>
      </c>
      <c r="C2555" s="150" t="s">
        <v>5512</v>
      </c>
      <c r="D2555" s="201" t="s">
        <v>3886</v>
      </c>
      <c r="E2555" s="144" t="s">
        <v>97</v>
      </c>
      <c r="F2555" s="141" t="s">
        <v>821</v>
      </c>
      <c r="G2555" s="144" t="s">
        <v>4128</v>
      </c>
      <c r="H2555" s="146" t="s">
        <v>26</v>
      </c>
      <c r="I2555" s="144" t="s">
        <v>3883</v>
      </c>
    </row>
    <row r="2556" spans="1:9" ht="14.1">
      <c r="A2556" s="193">
        <v>46051</v>
      </c>
      <c r="B2556" s="145" t="s">
        <v>823</v>
      </c>
      <c r="C2556" s="150" t="s">
        <v>5512</v>
      </c>
      <c r="D2556" s="201" t="s">
        <v>3881</v>
      </c>
      <c r="E2556" s="144" t="s">
        <v>97</v>
      </c>
      <c r="F2556" s="141" t="s">
        <v>821</v>
      </c>
      <c r="G2556" s="144" t="s">
        <v>4129</v>
      </c>
      <c r="H2556" s="146" t="s">
        <v>26</v>
      </c>
      <c r="I2556" s="144" t="s">
        <v>3883</v>
      </c>
    </row>
    <row r="2557" spans="1:9" ht="25.5">
      <c r="A2557" s="193">
        <v>46051</v>
      </c>
      <c r="B2557" s="145" t="s">
        <v>823</v>
      </c>
      <c r="C2557" s="150" t="s">
        <v>5512</v>
      </c>
      <c r="D2557" s="201" t="s">
        <v>2224</v>
      </c>
      <c r="E2557" s="144" t="s">
        <v>216</v>
      </c>
      <c r="F2557" s="141" t="s">
        <v>821</v>
      </c>
      <c r="G2557" s="144" t="s">
        <v>4130</v>
      </c>
      <c r="H2557" s="146" t="s">
        <v>130</v>
      </c>
      <c r="I2557" s="144" t="s">
        <v>2568</v>
      </c>
    </row>
    <row r="2558" spans="1:9" ht="14.1">
      <c r="A2558" s="193">
        <v>46051</v>
      </c>
      <c r="B2558" s="145" t="s">
        <v>823</v>
      </c>
      <c r="C2558" s="150" t="s">
        <v>5512</v>
      </c>
      <c r="D2558" s="201" t="s">
        <v>2224</v>
      </c>
      <c r="E2558" s="144" t="s">
        <v>97</v>
      </c>
      <c r="F2558" s="141" t="s">
        <v>821</v>
      </c>
      <c r="G2558" s="144" t="s">
        <v>4131</v>
      </c>
      <c r="H2558" s="146" t="s">
        <v>26</v>
      </c>
      <c r="I2558" s="144" t="s">
        <v>2735</v>
      </c>
    </row>
    <row r="2559" spans="1:9" ht="25.5">
      <c r="A2559" s="193">
        <v>46052</v>
      </c>
      <c r="B2559" s="145" t="s">
        <v>823</v>
      </c>
      <c r="C2559" s="150" t="s">
        <v>5512</v>
      </c>
      <c r="D2559" s="201" t="s">
        <v>1431</v>
      </c>
      <c r="E2559" s="144" t="s">
        <v>216</v>
      </c>
      <c r="F2559" s="141" t="s">
        <v>821</v>
      </c>
      <c r="G2559" s="144" t="s">
        <v>4132</v>
      </c>
      <c r="H2559" s="146" t="s">
        <v>130</v>
      </c>
      <c r="I2559" s="144" t="s">
        <v>492</v>
      </c>
    </row>
    <row r="2560" spans="1:9" ht="25.5">
      <c r="A2560" s="193">
        <v>46052</v>
      </c>
      <c r="B2560" s="145" t="s">
        <v>823</v>
      </c>
      <c r="C2560" s="150" t="s">
        <v>5512</v>
      </c>
      <c r="D2560" s="201" t="s">
        <v>1431</v>
      </c>
      <c r="E2560" s="144" t="s">
        <v>1506</v>
      </c>
      <c r="F2560" s="139" t="s">
        <v>88</v>
      </c>
      <c r="G2560" s="144" t="s">
        <v>4133</v>
      </c>
      <c r="H2560" s="146" t="s">
        <v>26</v>
      </c>
      <c r="I2560" s="144" t="s">
        <v>1904</v>
      </c>
    </row>
    <row r="2561" spans="1:9" ht="14.1">
      <c r="A2561" s="193">
        <v>46052</v>
      </c>
      <c r="B2561" s="145" t="s">
        <v>823</v>
      </c>
      <c r="C2561" s="150" t="s">
        <v>5512</v>
      </c>
      <c r="D2561" s="201" t="s">
        <v>1431</v>
      </c>
      <c r="E2561" s="144" t="s">
        <v>1518</v>
      </c>
      <c r="F2561" s="141" t="s">
        <v>821</v>
      </c>
      <c r="G2561" s="144" t="s">
        <v>4134</v>
      </c>
      <c r="H2561" s="146" t="s">
        <v>26</v>
      </c>
      <c r="I2561" s="144" t="s">
        <v>3920</v>
      </c>
    </row>
    <row r="2562" spans="1:9" ht="25.5">
      <c r="A2562" s="193">
        <v>46052</v>
      </c>
      <c r="B2562" s="145" t="s">
        <v>823</v>
      </c>
      <c r="C2562" s="150" t="s">
        <v>5512</v>
      </c>
      <c r="D2562" s="201" t="s">
        <v>1431</v>
      </c>
      <c r="E2562" s="144" t="s">
        <v>216</v>
      </c>
      <c r="F2562" s="141" t="s">
        <v>821</v>
      </c>
      <c r="G2562" s="144" t="s">
        <v>4135</v>
      </c>
      <c r="H2562" s="146" t="s">
        <v>130</v>
      </c>
      <c r="I2562" s="144" t="s">
        <v>492</v>
      </c>
    </row>
    <row r="2563" spans="1:9" ht="14.1">
      <c r="A2563" s="193">
        <v>46052</v>
      </c>
      <c r="B2563" s="145" t="s">
        <v>823</v>
      </c>
      <c r="C2563" s="150" t="s">
        <v>5512</v>
      </c>
      <c r="D2563" s="201" t="s">
        <v>1431</v>
      </c>
      <c r="E2563" s="144" t="s">
        <v>21</v>
      </c>
      <c r="F2563" s="141" t="s">
        <v>821</v>
      </c>
      <c r="G2563" s="144" t="s">
        <v>4136</v>
      </c>
      <c r="H2563" s="146" t="s">
        <v>26</v>
      </c>
      <c r="I2563" s="144" t="s">
        <v>468</v>
      </c>
    </row>
    <row r="2564" spans="1:9" ht="14.1">
      <c r="A2564" s="193">
        <v>46052</v>
      </c>
      <c r="B2564" s="145" t="s">
        <v>823</v>
      </c>
      <c r="C2564" s="150" t="s">
        <v>5512</v>
      </c>
      <c r="D2564" s="201" t="s">
        <v>1431</v>
      </c>
      <c r="E2564" s="144" t="s">
        <v>21</v>
      </c>
      <c r="F2564" s="141" t="s">
        <v>821</v>
      </c>
      <c r="G2564" s="144" t="s">
        <v>4137</v>
      </c>
      <c r="H2564" s="146" t="s">
        <v>130</v>
      </c>
      <c r="I2564" s="144" t="s">
        <v>468</v>
      </c>
    </row>
    <row r="2565" spans="1:9" ht="25.5">
      <c r="A2565" s="193">
        <v>46052</v>
      </c>
      <c r="B2565" s="145" t="s">
        <v>823</v>
      </c>
      <c r="C2565" s="150" t="s">
        <v>5512</v>
      </c>
      <c r="D2565" s="201" t="s">
        <v>1431</v>
      </c>
      <c r="E2565" s="144" t="s">
        <v>97</v>
      </c>
      <c r="F2565" s="141" t="s">
        <v>821</v>
      </c>
      <c r="G2565" s="144" t="s">
        <v>4138</v>
      </c>
      <c r="H2565" s="146" t="s">
        <v>130</v>
      </c>
      <c r="I2565" s="144" t="s">
        <v>158</v>
      </c>
    </row>
    <row r="2566" spans="1:9" ht="14.1">
      <c r="A2566" s="193">
        <v>46052</v>
      </c>
      <c r="B2566" s="145" t="s">
        <v>823</v>
      </c>
      <c r="C2566" s="150" t="s">
        <v>5512</v>
      </c>
      <c r="D2566" s="201" t="s">
        <v>2224</v>
      </c>
      <c r="E2566" s="144" t="s">
        <v>3011</v>
      </c>
      <c r="F2566" s="147" t="s">
        <v>859</v>
      </c>
      <c r="G2566" s="144" t="s">
        <v>4139</v>
      </c>
      <c r="H2566" s="146" t="s">
        <v>26</v>
      </c>
      <c r="I2566" s="144" t="s">
        <v>2568</v>
      </c>
    </row>
    <row r="2567" spans="1:9" ht="38.1">
      <c r="A2567" s="193">
        <v>46052</v>
      </c>
      <c r="B2567" s="145" t="s">
        <v>823</v>
      </c>
      <c r="C2567" s="150" t="s">
        <v>5512</v>
      </c>
      <c r="D2567" s="201" t="s">
        <v>2224</v>
      </c>
      <c r="E2567" s="144" t="s">
        <v>988</v>
      </c>
      <c r="F2567" s="139" t="s">
        <v>88</v>
      </c>
      <c r="G2567" s="144" t="s">
        <v>4140</v>
      </c>
      <c r="H2567" s="146" t="s">
        <v>26</v>
      </c>
      <c r="I2567" s="144" t="s">
        <v>2593</v>
      </c>
    </row>
    <row r="2568" spans="1:9" ht="14.1">
      <c r="A2568" s="193">
        <v>46052</v>
      </c>
      <c r="B2568" s="145" t="s">
        <v>823</v>
      </c>
      <c r="C2568" s="150" t="s">
        <v>5512</v>
      </c>
      <c r="D2568" s="201" t="s">
        <v>2224</v>
      </c>
      <c r="E2568" s="144" t="s">
        <v>97</v>
      </c>
      <c r="F2568" s="141" t="s">
        <v>821</v>
      </c>
      <c r="G2568" s="144" t="s">
        <v>4141</v>
      </c>
      <c r="H2568" s="146" t="s">
        <v>26</v>
      </c>
      <c r="I2568" s="144" t="s">
        <v>2593</v>
      </c>
    </row>
    <row r="2569" spans="1:9" ht="14.1">
      <c r="A2569" s="193">
        <v>46055</v>
      </c>
      <c r="B2569" s="145" t="s">
        <v>823</v>
      </c>
      <c r="C2569" s="150" t="s">
        <v>5512</v>
      </c>
      <c r="D2569" s="201" t="s">
        <v>1431</v>
      </c>
      <c r="E2569" s="144" t="s">
        <v>2585</v>
      </c>
      <c r="F2569" s="139" t="s">
        <v>88</v>
      </c>
      <c r="G2569" s="144" t="s">
        <v>4142</v>
      </c>
      <c r="H2569" s="146" t="s">
        <v>26</v>
      </c>
      <c r="I2569" s="144" t="s">
        <v>452</v>
      </c>
    </row>
    <row r="2570" spans="1:9" ht="25.5">
      <c r="A2570" s="193">
        <v>46055</v>
      </c>
      <c r="B2570" s="145" t="s">
        <v>823</v>
      </c>
      <c r="C2570" s="150" t="s">
        <v>5512</v>
      </c>
      <c r="D2570" s="201" t="s">
        <v>1431</v>
      </c>
      <c r="E2570" s="144" t="s">
        <v>2595</v>
      </c>
      <c r="F2570" s="139" t="s">
        <v>88</v>
      </c>
      <c r="G2570" s="144" t="s">
        <v>4143</v>
      </c>
      <c r="H2570" s="146" t="s">
        <v>26</v>
      </c>
      <c r="I2570" s="144" t="s">
        <v>3516</v>
      </c>
    </row>
    <row r="2571" spans="1:9" ht="25.5">
      <c r="A2571" s="193">
        <v>46055</v>
      </c>
      <c r="B2571" s="145" t="s">
        <v>823</v>
      </c>
      <c r="C2571" s="150" t="s">
        <v>5512</v>
      </c>
      <c r="D2571" s="201" t="s">
        <v>1431</v>
      </c>
      <c r="E2571" s="144" t="s">
        <v>1504</v>
      </c>
      <c r="F2571" s="139" t="s">
        <v>88</v>
      </c>
      <c r="G2571" s="144" t="s">
        <v>4144</v>
      </c>
      <c r="H2571" s="146" t="s">
        <v>26</v>
      </c>
      <c r="I2571" s="144" t="s">
        <v>3516</v>
      </c>
    </row>
    <row r="2572" spans="1:9" ht="25.5">
      <c r="A2572" s="193">
        <v>46055</v>
      </c>
      <c r="B2572" s="145" t="s">
        <v>823</v>
      </c>
      <c r="C2572" s="150" t="s">
        <v>5512</v>
      </c>
      <c r="D2572" s="201" t="s">
        <v>1431</v>
      </c>
      <c r="E2572" s="144" t="s">
        <v>1506</v>
      </c>
      <c r="F2572" s="139" t="s">
        <v>88</v>
      </c>
      <c r="G2572" s="144" t="s">
        <v>4145</v>
      </c>
      <c r="H2572" s="146" t="s">
        <v>26</v>
      </c>
      <c r="I2572" s="144" t="s">
        <v>1904</v>
      </c>
    </row>
    <row r="2573" spans="1:9" ht="14.1">
      <c r="A2573" s="193">
        <v>46055</v>
      </c>
      <c r="B2573" s="145" t="s">
        <v>823</v>
      </c>
      <c r="C2573" s="150" t="s">
        <v>5512</v>
      </c>
      <c r="D2573" s="201" t="s">
        <v>1431</v>
      </c>
      <c r="E2573" s="144" t="s">
        <v>1518</v>
      </c>
      <c r="F2573" s="141" t="s">
        <v>821</v>
      </c>
      <c r="G2573" s="144" t="s">
        <v>4106</v>
      </c>
      <c r="H2573" s="146" t="s">
        <v>26</v>
      </c>
      <c r="I2573" s="144" t="s">
        <v>1493</v>
      </c>
    </row>
    <row r="2574" spans="1:9" ht="25.5">
      <c r="A2574" s="193">
        <v>46055</v>
      </c>
      <c r="B2574" s="145" t="s">
        <v>823</v>
      </c>
      <c r="C2574" s="150" t="s">
        <v>5512</v>
      </c>
      <c r="D2574" s="201" t="s">
        <v>1431</v>
      </c>
      <c r="E2574" s="144" t="s">
        <v>216</v>
      </c>
      <c r="F2574" s="141" t="s">
        <v>821</v>
      </c>
      <c r="G2574" s="144" t="s">
        <v>4146</v>
      </c>
      <c r="H2574" s="146" t="s">
        <v>26</v>
      </c>
      <c r="I2574" s="144" t="s">
        <v>492</v>
      </c>
    </row>
    <row r="2575" spans="1:9" ht="14.1">
      <c r="A2575" s="193">
        <v>46055</v>
      </c>
      <c r="B2575" s="145" t="s">
        <v>823</v>
      </c>
      <c r="C2575" s="150" t="s">
        <v>5512</v>
      </c>
      <c r="D2575" s="201" t="s">
        <v>1431</v>
      </c>
      <c r="E2575" s="144" t="s">
        <v>216</v>
      </c>
      <c r="F2575" s="141" t="s">
        <v>821</v>
      </c>
      <c r="G2575" s="144" t="s">
        <v>4147</v>
      </c>
      <c r="H2575" s="146" t="s">
        <v>26</v>
      </c>
      <c r="I2575" s="144" t="s">
        <v>492</v>
      </c>
    </row>
    <row r="2576" spans="1:9" ht="25.5">
      <c r="A2576" s="193">
        <v>46055</v>
      </c>
      <c r="B2576" s="145" t="s">
        <v>823</v>
      </c>
      <c r="C2576" s="150" t="s">
        <v>5512</v>
      </c>
      <c r="D2576" s="201" t="s">
        <v>1431</v>
      </c>
      <c r="E2576" s="144" t="s">
        <v>216</v>
      </c>
      <c r="F2576" s="141" t="s">
        <v>821</v>
      </c>
      <c r="G2576" s="144" t="s">
        <v>4148</v>
      </c>
      <c r="H2576" s="146" t="s">
        <v>26</v>
      </c>
      <c r="I2576" s="144" t="s">
        <v>492</v>
      </c>
    </row>
    <row r="2577" spans="1:9" ht="25.5">
      <c r="A2577" s="193">
        <v>46055</v>
      </c>
      <c r="B2577" s="145" t="s">
        <v>823</v>
      </c>
      <c r="C2577" s="150" t="s">
        <v>5512</v>
      </c>
      <c r="D2577" s="201" t="s">
        <v>1431</v>
      </c>
      <c r="E2577" s="144" t="s">
        <v>21</v>
      </c>
      <c r="F2577" s="141" t="s">
        <v>821</v>
      </c>
      <c r="G2577" s="144" t="s">
        <v>4149</v>
      </c>
      <c r="H2577" s="146" t="s">
        <v>130</v>
      </c>
      <c r="I2577" s="144" t="s">
        <v>468</v>
      </c>
    </row>
    <row r="2578" spans="1:9" ht="14.1">
      <c r="A2578" s="193">
        <v>46055</v>
      </c>
      <c r="B2578" s="145" t="s">
        <v>823</v>
      </c>
      <c r="C2578" s="150" t="s">
        <v>5512</v>
      </c>
      <c r="D2578" s="201" t="s">
        <v>1431</v>
      </c>
      <c r="E2578" s="144" t="s">
        <v>1449</v>
      </c>
      <c r="F2578" s="147" t="s">
        <v>859</v>
      </c>
      <c r="G2578" s="144" t="s">
        <v>4150</v>
      </c>
      <c r="H2578" s="146" t="s">
        <v>26</v>
      </c>
      <c r="I2578" s="144" t="s">
        <v>2593</v>
      </c>
    </row>
    <row r="2579" spans="1:9" ht="25.5">
      <c r="A2579" s="193">
        <v>46055</v>
      </c>
      <c r="B2579" s="145" t="s">
        <v>823</v>
      </c>
      <c r="C2579" s="150" t="s">
        <v>5512</v>
      </c>
      <c r="D2579" s="201" t="s">
        <v>1431</v>
      </c>
      <c r="E2579" s="144" t="s">
        <v>1566</v>
      </c>
      <c r="F2579" s="139" t="s">
        <v>88</v>
      </c>
      <c r="G2579" s="144" t="s">
        <v>4151</v>
      </c>
      <c r="H2579" s="146" t="s">
        <v>26</v>
      </c>
      <c r="I2579" s="144" t="s">
        <v>1453</v>
      </c>
    </row>
    <row r="2580" spans="1:9" ht="25.5">
      <c r="A2580" s="193">
        <v>46055</v>
      </c>
      <c r="B2580" s="145" t="s">
        <v>823</v>
      </c>
      <c r="C2580" s="150" t="s">
        <v>5512</v>
      </c>
      <c r="D2580" s="201" t="s">
        <v>1431</v>
      </c>
      <c r="E2580" s="144" t="s">
        <v>1566</v>
      </c>
      <c r="F2580" s="139" t="s">
        <v>88</v>
      </c>
      <c r="G2580" s="144" t="s">
        <v>4152</v>
      </c>
      <c r="H2580" s="146" t="s">
        <v>26</v>
      </c>
      <c r="I2580" s="144" t="s">
        <v>1453</v>
      </c>
    </row>
    <row r="2581" spans="1:9" ht="25.5">
      <c r="A2581" s="193">
        <v>46055</v>
      </c>
      <c r="B2581" s="145" t="s">
        <v>823</v>
      </c>
      <c r="C2581" s="150" t="s">
        <v>5512</v>
      </c>
      <c r="D2581" s="201" t="s">
        <v>2224</v>
      </c>
      <c r="E2581" s="144" t="s">
        <v>1158</v>
      </c>
      <c r="F2581" s="147" t="s">
        <v>859</v>
      </c>
      <c r="G2581" s="144" t="s">
        <v>4153</v>
      </c>
      <c r="H2581" s="146" t="s">
        <v>26</v>
      </c>
      <c r="I2581" s="144" t="s">
        <v>2593</v>
      </c>
    </row>
    <row r="2582" spans="1:9" ht="14.1">
      <c r="A2582" s="193">
        <v>46055</v>
      </c>
      <c r="B2582" s="145" t="s">
        <v>823</v>
      </c>
      <c r="C2582" s="150" t="s">
        <v>5512</v>
      </c>
      <c r="D2582" s="201" t="s">
        <v>2224</v>
      </c>
      <c r="E2582" s="144" t="s">
        <v>216</v>
      </c>
      <c r="F2582" s="141" t="s">
        <v>821</v>
      </c>
      <c r="G2582" s="144" t="s">
        <v>4154</v>
      </c>
      <c r="H2582" s="146" t="s">
        <v>130</v>
      </c>
      <c r="I2582" s="144" t="s">
        <v>2568</v>
      </c>
    </row>
    <row r="2583" spans="1:9" ht="14.1">
      <c r="A2583" s="193">
        <v>46055</v>
      </c>
      <c r="B2583" s="145" t="s">
        <v>823</v>
      </c>
      <c r="C2583" s="150" t="s">
        <v>5512</v>
      </c>
      <c r="D2583" s="201" t="s">
        <v>2224</v>
      </c>
      <c r="E2583" s="144" t="s">
        <v>216</v>
      </c>
      <c r="F2583" s="141" t="s">
        <v>821</v>
      </c>
      <c r="G2583" s="144" t="s">
        <v>4155</v>
      </c>
      <c r="H2583" s="146" t="s">
        <v>130</v>
      </c>
      <c r="I2583" s="144" t="s">
        <v>2568</v>
      </c>
    </row>
    <row r="2584" spans="1:9" ht="14.1">
      <c r="A2584" s="193">
        <v>46055</v>
      </c>
      <c r="B2584" s="145" t="s">
        <v>823</v>
      </c>
      <c r="C2584" s="150" t="s">
        <v>5512</v>
      </c>
      <c r="D2584" s="201" t="s">
        <v>2224</v>
      </c>
      <c r="E2584" s="144" t="s">
        <v>1449</v>
      </c>
      <c r="F2584" s="139" t="s">
        <v>88</v>
      </c>
      <c r="G2584" s="144" t="s">
        <v>4156</v>
      </c>
      <c r="H2584" s="146" t="s">
        <v>26</v>
      </c>
      <c r="I2584" s="144" t="s">
        <v>2593</v>
      </c>
    </row>
    <row r="2585" spans="1:9" ht="14.1">
      <c r="A2585" s="193">
        <v>46055</v>
      </c>
      <c r="B2585" s="145" t="s">
        <v>823</v>
      </c>
      <c r="C2585" s="150" t="s">
        <v>5512</v>
      </c>
      <c r="D2585" s="201" t="s">
        <v>2224</v>
      </c>
      <c r="E2585" s="144" t="s">
        <v>1566</v>
      </c>
      <c r="F2585" s="139" t="s">
        <v>88</v>
      </c>
      <c r="G2585" s="144" t="s">
        <v>4157</v>
      </c>
      <c r="H2585" s="146" t="s">
        <v>26</v>
      </c>
      <c r="I2585" s="144" t="s">
        <v>1453</v>
      </c>
    </row>
    <row r="2586" spans="1:9" ht="14.1">
      <c r="A2586" s="193">
        <v>46055</v>
      </c>
      <c r="B2586" s="145" t="s">
        <v>823</v>
      </c>
      <c r="C2586" s="150" t="s">
        <v>5512</v>
      </c>
      <c r="D2586" s="201" t="s">
        <v>2224</v>
      </c>
      <c r="E2586" s="144" t="s">
        <v>1449</v>
      </c>
      <c r="F2586" s="139" t="s">
        <v>88</v>
      </c>
      <c r="G2586" s="144" t="s">
        <v>4158</v>
      </c>
      <c r="H2586" s="146" t="s">
        <v>26</v>
      </c>
      <c r="I2586" s="144" t="s">
        <v>2593</v>
      </c>
    </row>
    <row r="2587" spans="1:9" ht="14.1">
      <c r="A2587" s="193">
        <v>46055</v>
      </c>
      <c r="B2587" s="145" t="s">
        <v>824</v>
      </c>
      <c r="C2587" s="150" t="s">
        <v>5512</v>
      </c>
      <c r="D2587" s="201" t="s">
        <v>1431</v>
      </c>
      <c r="E2587" s="144" t="s">
        <v>2585</v>
      </c>
      <c r="F2587" s="139" t="s">
        <v>88</v>
      </c>
      <c r="G2587" s="144" t="s">
        <v>4142</v>
      </c>
      <c r="H2587" s="146" t="s">
        <v>26</v>
      </c>
      <c r="I2587" s="144" t="s">
        <v>452</v>
      </c>
    </row>
    <row r="2588" spans="1:9" ht="25.5">
      <c r="A2588" s="193">
        <v>46055</v>
      </c>
      <c r="B2588" s="145" t="s">
        <v>824</v>
      </c>
      <c r="C2588" s="150" t="s">
        <v>5512</v>
      </c>
      <c r="D2588" s="201" t="s">
        <v>1431</v>
      </c>
      <c r="E2588" s="144" t="s">
        <v>2595</v>
      </c>
      <c r="F2588" s="139" t="s">
        <v>88</v>
      </c>
      <c r="G2588" s="144" t="s">
        <v>4143</v>
      </c>
      <c r="H2588" s="146" t="s">
        <v>26</v>
      </c>
      <c r="I2588" s="144" t="s">
        <v>3516</v>
      </c>
    </row>
    <row r="2589" spans="1:9" ht="25.5">
      <c r="A2589" s="193">
        <v>46055</v>
      </c>
      <c r="B2589" s="145" t="s">
        <v>824</v>
      </c>
      <c r="C2589" s="150" t="s">
        <v>5512</v>
      </c>
      <c r="D2589" s="201" t="s">
        <v>1431</v>
      </c>
      <c r="E2589" s="144" t="s">
        <v>1504</v>
      </c>
      <c r="F2589" s="139" t="s">
        <v>88</v>
      </c>
      <c r="G2589" s="144" t="s">
        <v>4144</v>
      </c>
      <c r="H2589" s="146" t="s">
        <v>26</v>
      </c>
      <c r="I2589" s="144" t="s">
        <v>3516</v>
      </c>
    </row>
    <row r="2590" spans="1:9" ht="25.5">
      <c r="A2590" s="193">
        <v>46055</v>
      </c>
      <c r="B2590" s="145" t="s">
        <v>824</v>
      </c>
      <c r="C2590" s="150" t="s">
        <v>5512</v>
      </c>
      <c r="D2590" s="201" t="s">
        <v>1431</v>
      </c>
      <c r="E2590" s="144" t="s">
        <v>1506</v>
      </c>
      <c r="F2590" s="139" t="s">
        <v>88</v>
      </c>
      <c r="G2590" s="144" t="s">
        <v>4145</v>
      </c>
      <c r="H2590" s="146" t="s">
        <v>26</v>
      </c>
      <c r="I2590" s="144" t="s">
        <v>1904</v>
      </c>
    </row>
    <row r="2591" spans="1:9" ht="14.1">
      <c r="A2591" s="193">
        <v>46055</v>
      </c>
      <c r="B2591" s="145" t="s">
        <v>824</v>
      </c>
      <c r="C2591" s="150" t="s">
        <v>5512</v>
      </c>
      <c r="D2591" s="201" t="s">
        <v>1431</v>
      </c>
      <c r="E2591" s="144" t="s">
        <v>1518</v>
      </c>
      <c r="F2591" s="141" t="s">
        <v>821</v>
      </c>
      <c r="G2591" s="144" t="s">
        <v>4106</v>
      </c>
      <c r="H2591" s="146" t="s">
        <v>26</v>
      </c>
      <c r="I2591" s="144" t="s">
        <v>1493</v>
      </c>
    </row>
    <row r="2592" spans="1:9" ht="25.5">
      <c r="A2592" s="193">
        <v>46055</v>
      </c>
      <c r="B2592" s="145" t="s">
        <v>824</v>
      </c>
      <c r="C2592" s="150" t="s">
        <v>5512</v>
      </c>
      <c r="D2592" s="201" t="s">
        <v>1431</v>
      </c>
      <c r="E2592" s="144" t="s">
        <v>216</v>
      </c>
      <c r="F2592" s="141" t="s">
        <v>821</v>
      </c>
      <c r="G2592" s="144" t="s">
        <v>4146</v>
      </c>
      <c r="H2592" s="146" t="s">
        <v>26</v>
      </c>
      <c r="I2592" s="144" t="s">
        <v>492</v>
      </c>
    </row>
    <row r="2593" spans="1:9" ht="14.1">
      <c r="A2593" s="193">
        <v>46055</v>
      </c>
      <c r="B2593" s="145" t="s">
        <v>824</v>
      </c>
      <c r="C2593" s="150" t="s">
        <v>5512</v>
      </c>
      <c r="D2593" s="201" t="s">
        <v>1431</v>
      </c>
      <c r="E2593" s="144" t="s">
        <v>216</v>
      </c>
      <c r="F2593" s="141" t="s">
        <v>821</v>
      </c>
      <c r="G2593" s="144" t="s">
        <v>4147</v>
      </c>
      <c r="H2593" s="146" t="s">
        <v>26</v>
      </c>
      <c r="I2593" s="144" t="s">
        <v>492</v>
      </c>
    </row>
    <row r="2594" spans="1:9" ht="25.5">
      <c r="A2594" s="193">
        <v>46055</v>
      </c>
      <c r="B2594" s="145" t="s">
        <v>824</v>
      </c>
      <c r="C2594" s="150" t="s">
        <v>5512</v>
      </c>
      <c r="D2594" s="201" t="s">
        <v>1431</v>
      </c>
      <c r="E2594" s="144" t="s">
        <v>216</v>
      </c>
      <c r="F2594" s="141" t="s">
        <v>821</v>
      </c>
      <c r="G2594" s="144" t="s">
        <v>4148</v>
      </c>
      <c r="H2594" s="146" t="s">
        <v>26</v>
      </c>
      <c r="I2594" s="144" t="s">
        <v>492</v>
      </c>
    </row>
    <row r="2595" spans="1:9" ht="25.5">
      <c r="A2595" s="193">
        <v>46055</v>
      </c>
      <c r="B2595" s="145" t="s">
        <v>824</v>
      </c>
      <c r="C2595" s="150" t="s">
        <v>5512</v>
      </c>
      <c r="D2595" s="201" t="s">
        <v>1431</v>
      </c>
      <c r="E2595" s="144" t="s">
        <v>21</v>
      </c>
      <c r="F2595" s="141" t="s">
        <v>821</v>
      </c>
      <c r="G2595" s="144" t="s">
        <v>4149</v>
      </c>
      <c r="H2595" s="146" t="s">
        <v>130</v>
      </c>
      <c r="I2595" s="144" t="s">
        <v>468</v>
      </c>
    </row>
    <row r="2596" spans="1:9" ht="14.1">
      <c r="A2596" s="193">
        <v>46055</v>
      </c>
      <c r="B2596" s="145" t="s">
        <v>824</v>
      </c>
      <c r="C2596" s="150" t="s">
        <v>5512</v>
      </c>
      <c r="D2596" s="201" t="s">
        <v>1431</v>
      </c>
      <c r="E2596" s="144" t="s">
        <v>1449</v>
      </c>
      <c r="F2596" s="147" t="s">
        <v>859</v>
      </c>
      <c r="G2596" s="144" t="s">
        <v>4150</v>
      </c>
      <c r="H2596" s="146" t="s">
        <v>26</v>
      </c>
      <c r="I2596" s="144" t="s">
        <v>2593</v>
      </c>
    </row>
    <row r="2597" spans="1:9" ht="25.5">
      <c r="A2597" s="193">
        <v>46055</v>
      </c>
      <c r="B2597" s="145" t="s">
        <v>824</v>
      </c>
      <c r="C2597" s="150" t="s">
        <v>5512</v>
      </c>
      <c r="D2597" s="201" t="s">
        <v>1431</v>
      </c>
      <c r="E2597" s="144" t="s">
        <v>1566</v>
      </c>
      <c r="F2597" s="139" t="s">
        <v>88</v>
      </c>
      <c r="G2597" s="144" t="s">
        <v>4151</v>
      </c>
      <c r="H2597" s="146" t="s">
        <v>26</v>
      </c>
      <c r="I2597" s="144" t="s">
        <v>1453</v>
      </c>
    </row>
    <row r="2598" spans="1:9" ht="25.5">
      <c r="A2598" s="193">
        <v>46055</v>
      </c>
      <c r="B2598" s="145" t="s">
        <v>824</v>
      </c>
      <c r="C2598" s="150" t="s">
        <v>5512</v>
      </c>
      <c r="D2598" s="201" t="s">
        <v>1431</v>
      </c>
      <c r="E2598" s="144" t="s">
        <v>1566</v>
      </c>
      <c r="F2598" s="139" t="s">
        <v>88</v>
      </c>
      <c r="G2598" s="144" t="s">
        <v>4152</v>
      </c>
      <c r="H2598" s="146" t="s">
        <v>26</v>
      </c>
      <c r="I2598" s="144" t="s">
        <v>1453</v>
      </c>
    </row>
    <row r="2599" spans="1:9" ht="25.5">
      <c r="A2599" s="193">
        <v>46055</v>
      </c>
      <c r="B2599" s="145" t="s">
        <v>824</v>
      </c>
      <c r="C2599" s="150" t="s">
        <v>5512</v>
      </c>
      <c r="D2599" s="201" t="s">
        <v>2224</v>
      </c>
      <c r="E2599" s="144" t="s">
        <v>1449</v>
      </c>
      <c r="F2599" s="147" t="s">
        <v>859</v>
      </c>
      <c r="G2599" s="144" t="s">
        <v>4153</v>
      </c>
      <c r="H2599" s="146" t="s">
        <v>26</v>
      </c>
      <c r="I2599" s="144" t="s">
        <v>2593</v>
      </c>
    </row>
    <row r="2600" spans="1:9" ht="14.1">
      <c r="A2600" s="193">
        <v>46055</v>
      </c>
      <c r="B2600" s="145" t="s">
        <v>824</v>
      </c>
      <c r="C2600" s="150" t="s">
        <v>5512</v>
      </c>
      <c r="D2600" s="201" t="s">
        <v>2224</v>
      </c>
      <c r="E2600" s="144" t="s">
        <v>216</v>
      </c>
      <c r="F2600" s="141" t="s">
        <v>821</v>
      </c>
      <c r="G2600" s="144" t="s">
        <v>4154</v>
      </c>
      <c r="H2600" s="146" t="s">
        <v>130</v>
      </c>
      <c r="I2600" s="144" t="s">
        <v>2568</v>
      </c>
    </row>
    <row r="2601" spans="1:9" ht="14.1">
      <c r="A2601" s="193">
        <v>46055</v>
      </c>
      <c r="B2601" s="145" t="s">
        <v>824</v>
      </c>
      <c r="C2601" s="150" t="s">
        <v>5512</v>
      </c>
      <c r="D2601" s="201" t="s">
        <v>2224</v>
      </c>
      <c r="E2601" s="144" t="s">
        <v>216</v>
      </c>
      <c r="F2601" s="141" t="s">
        <v>821</v>
      </c>
      <c r="G2601" s="144" t="s">
        <v>4155</v>
      </c>
      <c r="H2601" s="146" t="s">
        <v>130</v>
      </c>
      <c r="I2601" s="144" t="s">
        <v>2568</v>
      </c>
    </row>
    <row r="2602" spans="1:9" ht="14.1">
      <c r="A2602" s="193">
        <v>46055</v>
      </c>
      <c r="B2602" s="145" t="s">
        <v>824</v>
      </c>
      <c r="C2602" s="150" t="s">
        <v>5512</v>
      </c>
      <c r="D2602" s="201" t="s">
        <v>2224</v>
      </c>
      <c r="E2602" s="144" t="s">
        <v>1449</v>
      </c>
      <c r="F2602" s="139" t="s">
        <v>88</v>
      </c>
      <c r="G2602" s="144" t="s">
        <v>4156</v>
      </c>
      <c r="H2602" s="146" t="s">
        <v>26</v>
      </c>
      <c r="I2602" s="144" t="s">
        <v>2593</v>
      </c>
    </row>
    <row r="2603" spans="1:9" ht="14.1">
      <c r="A2603" s="193">
        <v>46055</v>
      </c>
      <c r="B2603" s="145" t="s">
        <v>824</v>
      </c>
      <c r="C2603" s="150" t="s">
        <v>5512</v>
      </c>
      <c r="D2603" s="201" t="s">
        <v>2224</v>
      </c>
      <c r="E2603" s="144" t="s">
        <v>1566</v>
      </c>
      <c r="F2603" s="139" t="s">
        <v>88</v>
      </c>
      <c r="G2603" s="144" t="s">
        <v>4157</v>
      </c>
      <c r="H2603" s="146" t="s">
        <v>26</v>
      </c>
      <c r="I2603" s="144" t="s">
        <v>1453</v>
      </c>
    </row>
    <row r="2604" spans="1:9" ht="14.1">
      <c r="A2604" s="193">
        <v>46055</v>
      </c>
      <c r="B2604" s="145" t="s">
        <v>824</v>
      </c>
      <c r="C2604" s="150" t="s">
        <v>5512</v>
      </c>
      <c r="D2604" s="201" t="s">
        <v>2224</v>
      </c>
      <c r="E2604" s="144" t="s">
        <v>1449</v>
      </c>
      <c r="F2604" s="139" t="s">
        <v>88</v>
      </c>
      <c r="G2604" s="144" t="s">
        <v>4158</v>
      </c>
      <c r="H2604" s="146" t="s">
        <v>26</v>
      </c>
      <c r="I2604" s="144" t="s">
        <v>2593</v>
      </c>
    </row>
    <row r="2605" spans="1:9" ht="38.1">
      <c r="A2605" s="193">
        <v>46056</v>
      </c>
      <c r="B2605" s="145" t="s">
        <v>824</v>
      </c>
      <c r="C2605" s="150" t="s">
        <v>5512</v>
      </c>
      <c r="D2605" s="201" t="s">
        <v>1431</v>
      </c>
      <c r="E2605" s="144" t="s">
        <v>2585</v>
      </c>
      <c r="F2605" s="139" t="s">
        <v>88</v>
      </c>
      <c r="G2605" s="144" t="s">
        <v>4159</v>
      </c>
      <c r="H2605" s="146" t="s">
        <v>130</v>
      </c>
      <c r="I2605" s="144" t="s">
        <v>452</v>
      </c>
    </row>
    <row r="2606" spans="1:9" ht="38.1">
      <c r="A2606" s="193">
        <v>46056</v>
      </c>
      <c r="B2606" s="145" t="s">
        <v>824</v>
      </c>
      <c r="C2606" s="150" t="s">
        <v>5512</v>
      </c>
      <c r="D2606" s="201" t="s">
        <v>1431</v>
      </c>
      <c r="E2606" s="144" t="s">
        <v>2530</v>
      </c>
      <c r="F2606" s="142" t="s">
        <v>872</v>
      </c>
      <c r="G2606" s="144" t="s">
        <v>4160</v>
      </c>
      <c r="H2606" s="146" t="s">
        <v>130</v>
      </c>
      <c r="I2606" s="144" t="s">
        <v>1541</v>
      </c>
    </row>
    <row r="2607" spans="1:9" ht="50.45">
      <c r="A2607" s="193">
        <v>46056</v>
      </c>
      <c r="B2607" s="145" t="s">
        <v>824</v>
      </c>
      <c r="C2607" s="150" t="s">
        <v>5512</v>
      </c>
      <c r="D2607" s="201" t="s">
        <v>1431</v>
      </c>
      <c r="E2607" s="144" t="s">
        <v>21</v>
      </c>
      <c r="F2607" s="141" t="s">
        <v>821</v>
      </c>
      <c r="G2607" s="144" t="s">
        <v>4161</v>
      </c>
      <c r="H2607" s="146" t="s">
        <v>130</v>
      </c>
      <c r="I2607" s="144" t="s">
        <v>468</v>
      </c>
    </row>
    <row r="2608" spans="1:9" ht="25.5">
      <c r="A2608" s="193">
        <v>46056</v>
      </c>
      <c r="B2608" s="145" t="s">
        <v>824</v>
      </c>
      <c r="C2608" s="150" t="s">
        <v>5512</v>
      </c>
      <c r="D2608" s="201" t="s">
        <v>1431</v>
      </c>
      <c r="E2608" s="144" t="s">
        <v>1506</v>
      </c>
      <c r="F2608" s="142" t="s">
        <v>872</v>
      </c>
      <c r="G2608" s="144" t="s">
        <v>4162</v>
      </c>
      <c r="H2608" s="146" t="s">
        <v>26</v>
      </c>
      <c r="I2608" s="144" t="s">
        <v>1904</v>
      </c>
    </row>
    <row r="2609" spans="1:9" ht="38.1">
      <c r="A2609" s="193">
        <v>46056</v>
      </c>
      <c r="B2609" s="145" t="s">
        <v>824</v>
      </c>
      <c r="C2609" s="150" t="s">
        <v>5512</v>
      </c>
      <c r="D2609" s="201" t="s">
        <v>1431</v>
      </c>
      <c r="E2609" s="144" t="s">
        <v>1449</v>
      </c>
      <c r="F2609" s="139" t="s">
        <v>88</v>
      </c>
      <c r="G2609" s="144" t="s">
        <v>4163</v>
      </c>
      <c r="H2609" s="146" t="s">
        <v>26</v>
      </c>
      <c r="I2609" s="144" t="s">
        <v>2593</v>
      </c>
    </row>
    <row r="2610" spans="1:9" ht="25.5">
      <c r="A2610" s="193">
        <v>46056</v>
      </c>
      <c r="B2610" s="145" t="s">
        <v>824</v>
      </c>
      <c r="C2610" s="150" t="s">
        <v>5512</v>
      </c>
      <c r="D2610" s="201" t="s">
        <v>1431</v>
      </c>
      <c r="E2610" s="144" t="s">
        <v>1449</v>
      </c>
      <c r="F2610" s="141" t="s">
        <v>821</v>
      </c>
      <c r="G2610" s="144" t="s">
        <v>4164</v>
      </c>
      <c r="H2610" s="146" t="s">
        <v>26</v>
      </c>
      <c r="I2610" s="144" t="s">
        <v>2593</v>
      </c>
    </row>
    <row r="2611" spans="1:9" ht="25.5">
      <c r="A2611" s="193">
        <v>46056</v>
      </c>
      <c r="B2611" s="145" t="s">
        <v>824</v>
      </c>
      <c r="C2611" s="150" t="s">
        <v>5512</v>
      </c>
      <c r="D2611" s="201" t="s">
        <v>1431</v>
      </c>
      <c r="E2611" s="144" t="s">
        <v>1449</v>
      </c>
      <c r="F2611" s="141" t="s">
        <v>821</v>
      </c>
      <c r="G2611" s="144" t="s">
        <v>4165</v>
      </c>
      <c r="H2611" s="146" t="s">
        <v>26</v>
      </c>
      <c r="I2611" s="144" t="s">
        <v>2593</v>
      </c>
    </row>
    <row r="2612" spans="1:9" ht="25.5">
      <c r="A2612" s="193">
        <v>46056</v>
      </c>
      <c r="B2612" s="145" t="s">
        <v>824</v>
      </c>
      <c r="C2612" s="150" t="s">
        <v>5512</v>
      </c>
      <c r="D2612" s="201" t="s">
        <v>1431</v>
      </c>
      <c r="E2612" s="144" t="s">
        <v>1449</v>
      </c>
      <c r="F2612" s="139" t="s">
        <v>88</v>
      </c>
      <c r="G2612" s="144" t="s">
        <v>4166</v>
      </c>
      <c r="H2612" s="146" t="s">
        <v>26</v>
      </c>
      <c r="I2612" s="144" t="s">
        <v>2593</v>
      </c>
    </row>
    <row r="2613" spans="1:9" ht="25.5">
      <c r="A2613" s="193">
        <v>46056</v>
      </c>
      <c r="B2613" s="145" t="s">
        <v>824</v>
      </c>
      <c r="C2613" s="150" t="s">
        <v>5512</v>
      </c>
      <c r="D2613" s="201" t="s">
        <v>2224</v>
      </c>
      <c r="E2613" s="144" t="s">
        <v>21</v>
      </c>
      <c r="F2613" s="141" t="s">
        <v>821</v>
      </c>
      <c r="G2613" s="144" t="s">
        <v>4167</v>
      </c>
      <c r="H2613" s="146" t="s">
        <v>130</v>
      </c>
      <c r="I2613" s="144" t="s">
        <v>468</v>
      </c>
    </row>
    <row r="2614" spans="1:9" ht="25.5">
      <c r="A2614" s="193">
        <v>46056</v>
      </c>
      <c r="B2614" s="145" t="s">
        <v>824</v>
      </c>
      <c r="C2614" s="150" t="s">
        <v>5512</v>
      </c>
      <c r="D2614" s="201" t="s">
        <v>2224</v>
      </c>
      <c r="E2614" s="144" t="s">
        <v>21</v>
      </c>
      <c r="F2614" s="141" t="s">
        <v>821</v>
      </c>
      <c r="G2614" s="144" t="s">
        <v>4168</v>
      </c>
      <c r="H2614" s="146" t="s">
        <v>130</v>
      </c>
      <c r="I2614" s="144" t="s">
        <v>468</v>
      </c>
    </row>
    <row r="2615" spans="1:9" ht="25.5">
      <c r="A2615" s="193">
        <v>46056</v>
      </c>
      <c r="B2615" s="145" t="s">
        <v>824</v>
      </c>
      <c r="C2615" s="150" t="s">
        <v>5512</v>
      </c>
      <c r="D2615" s="201" t="s">
        <v>2224</v>
      </c>
      <c r="E2615" s="144" t="s">
        <v>1449</v>
      </c>
      <c r="F2615" s="139" t="s">
        <v>88</v>
      </c>
      <c r="G2615" s="144" t="s">
        <v>4169</v>
      </c>
      <c r="H2615" s="146" t="s">
        <v>26</v>
      </c>
      <c r="I2615" s="144" t="s">
        <v>2593</v>
      </c>
    </row>
    <row r="2616" spans="1:9" ht="14.1">
      <c r="A2616" s="193">
        <v>46056</v>
      </c>
      <c r="B2616" s="145" t="s">
        <v>824</v>
      </c>
      <c r="C2616" s="150" t="s">
        <v>5512</v>
      </c>
      <c r="D2616" s="201" t="s">
        <v>2224</v>
      </c>
      <c r="E2616" s="144" t="s">
        <v>1449</v>
      </c>
      <c r="F2616" s="139" t="s">
        <v>88</v>
      </c>
      <c r="G2616" s="144" t="s">
        <v>4115</v>
      </c>
      <c r="H2616" s="146" t="s">
        <v>26</v>
      </c>
      <c r="I2616" s="144" t="s">
        <v>2735</v>
      </c>
    </row>
    <row r="2617" spans="1:9" ht="14.1">
      <c r="A2617" s="193">
        <v>46056</v>
      </c>
      <c r="B2617" s="145" t="s">
        <v>824</v>
      </c>
      <c r="C2617" s="150" t="s">
        <v>5512</v>
      </c>
      <c r="D2617" s="201" t="s">
        <v>1431</v>
      </c>
      <c r="E2617" s="144" t="s">
        <v>1566</v>
      </c>
      <c r="F2617" s="139" t="s">
        <v>88</v>
      </c>
      <c r="G2617" s="144" t="s">
        <v>4170</v>
      </c>
      <c r="H2617" s="146" t="s">
        <v>26</v>
      </c>
      <c r="I2617" s="144" t="s">
        <v>1453</v>
      </c>
    </row>
    <row r="2618" spans="1:9" ht="25.5">
      <c r="A2618" s="193">
        <v>46056</v>
      </c>
      <c r="B2618" s="145" t="s">
        <v>824</v>
      </c>
      <c r="C2618" s="150" t="s">
        <v>5512</v>
      </c>
      <c r="D2618" s="201" t="s">
        <v>1431</v>
      </c>
      <c r="E2618" s="144" t="s">
        <v>1566</v>
      </c>
      <c r="F2618" s="139" t="s">
        <v>88</v>
      </c>
      <c r="G2618" s="144" t="s">
        <v>4171</v>
      </c>
      <c r="H2618" s="146" t="s">
        <v>26</v>
      </c>
      <c r="I2618" s="144" t="s">
        <v>1453</v>
      </c>
    </row>
    <row r="2619" spans="1:9" ht="25.5">
      <c r="A2619" s="193">
        <v>46056</v>
      </c>
      <c r="B2619" s="145" t="s">
        <v>824</v>
      </c>
      <c r="C2619" s="150" t="s">
        <v>5512</v>
      </c>
      <c r="D2619" s="201" t="s">
        <v>1431</v>
      </c>
      <c r="E2619" s="144" t="s">
        <v>1608</v>
      </c>
      <c r="F2619" s="140" t="s">
        <v>1439</v>
      </c>
      <c r="G2619" s="144" t="s">
        <v>4172</v>
      </c>
      <c r="H2619" s="146" t="s">
        <v>26</v>
      </c>
      <c r="I2619" s="144" t="s">
        <v>578</v>
      </c>
    </row>
    <row r="2620" spans="1:9" ht="25.5">
      <c r="A2620" s="193">
        <v>46056</v>
      </c>
      <c r="B2620" s="145" t="s">
        <v>824</v>
      </c>
      <c r="C2620" s="150" t="s">
        <v>5512</v>
      </c>
      <c r="D2620" s="201" t="s">
        <v>1431</v>
      </c>
      <c r="E2620" s="144" t="s">
        <v>1608</v>
      </c>
      <c r="F2620" s="140" t="s">
        <v>1439</v>
      </c>
      <c r="G2620" s="144" t="s">
        <v>3477</v>
      </c>
      <c r="H2620" s="146" t="s">
        <v>26</v>
      </c>
      <c r="I2620" s="144" t="s">
        <v>158</v>
      </c>
    </row>
    <row r="2621" spans="1:9" ht="25.5">
      <c r="A2621" s="193">
        <v>46057</v>
      </c>
      <c r="B2621" s="145" t="s">
        <v>824</v>
      </c>
      <c r="C2621" s="150" t="s">
        <v>5512</v>
      </c>
      <c r="D2621" s="201" t="s">
        <v>1431</v>
      </c>
      <c r="E2621" s="144" t="s">
        <v>2585</v>
      </c>
      <c r="F2621" s="139" t="s">
        <v>88</v>
      </c>
      <c r="G2621" s="144" t="s">
        <v>4173</v>
      </c>
      <c r="H2621" s="146" t="s">
        <v>130</v>
      </c>
      <c r="I2621" s="144" t="s">
        <v>452</v>
      </c>
    </row>
    <row r="2622" spans="1:9" ht="14.1">
      <c r="A2622" s="193">
        <v>46057</v>
      </c>
      <c r="B2622" s="145" t="s">
        <v>824</v>
      </c>
      <c r="C2622" s="150" t="s">
        <v>5512</v>
      </c>
      <c r="D2622" s="201" t="s">
        <v>1431</v>
      </c>
      <c r="E2622" s="144" t="s">
        <v>2595</v>
      </c>
      <c r="F2622" s="139" t="s">
        <v>88</v>
      </c>
      <c r="G2622" s="144" t="s">
        <v>4174</v>
      </c>
      <c r="H2622" s="146" t="s">
        <v>26</v>
      </c>
      <c r="I2622" s="144" t="s">
        <v>2700</v>
      </c>
    </row>
    <row r="2623" spans="1:9" ht="38.1">
      <c r="A2623" s="193">
        <v>46057</v>
      </c>
      <c r="B2623" s="145" t="s">
        <v>824</v>
      </c>
      <c r="C2623" s="150" t="s">
        <v>5512</v>
      </c>
      <c r="D2623" s="201" t="s">
        <v>1431</v>
      </c>
      <c r="E2623" s="144" t="s">
        <v>2530</v>
      </c>
      <c r="F2623" s="139" t="s">
        <v>88</v>
      </c>
      <c r="G2623" s="144" t="s">
        <v>4175</v>
      </c>
      <c r="H2623" s="146" t="s">
        <v>26</v>
      </c>
      <c r="I2623" s="144" t="s">
        <v>1541</v>
      </c>
    </row>
    <row r="2624" spans="1:9" ht="25.5">
      <c r="A2624" s="193">
        <v>46057</v>
      </c>
      <c r="B2624" s="145" t="s">
        <v>824</v>
      </c>
      <c r="C2624" s="150" t="s">
        <v>5512</v>
      </c>
      <c r="D2624" s="201" t="s">
        <v>1431</v>
      </c>
      <c r="E2624" s="144" t="s">
        <v>21</v>
      </c>
      <c r="F2624" s="141" t="s">
        <v>821</v>
      </c>
      <c r="G2624" s="144" t="s">
        <v>4176</v>
      </c>
      <c r="H2624" s="146" t="s">
        <v>130</v>
      </c>
      <c r="I2624" s="144" t="s">
        <v>3516</v>
      </c>
    </row>
    <row r="2625" spans="1:9" ht="25.5">
      <c r="A2625" s="193">
        <v>46057</v>
      </c>
      <c r="B2625" s="145" t="s">
        <v>824</v>
      </c>
      <c r="C2625" s="150" t="s">
        <v>5512</v>
      </c>
      <c r="D2625" s="201" t="s">
        <v>1431</v>
      </c>
      <c r="E2625" s="144" t="s">
        <v>1506</v>
      </c>
      <c r="F2625" s="139" t="s">
        <v>88</v>
      </c>
      <c r="G2625" s="144" t="s">
        <v>4177</v>
      </c>
      <c r="H2625" s="146" t="s">
        <v>26</v>
      </c>
      <c r="I2625" s="144" t="s">
        <v>1904</v>
      </c>
    </row>
    <row r="2626" spans="1:9" ht="25.5">
      <c r="A2626" s="193">
        <v>46057</v>
      </c>
      <c r="B2626" s="145" t="s">
        <v>824</v>
      </c>
      <c r="C2626" s="150" t="s">
        <v>5512</v>
      </c>
      <c r="D2626" s="201" t="s">
        <v>1431</v>
      </c>
      <c r="E2626" s="144" t="s">
        <v>1506</v>
      </c>
      <c r="F2626" s="139" t="s">
        <v>88</v>
      </c>
      <c r="G2626" s="144" t="s">
        <v>4178</v>
      </c>
      <c r="H2626" s="146" t="s">
        <v>26</v>
      </c>
      <c r="I2626" s="144" t="s">
        <v>1904</v>
      </c>
    </row>
    <row r="2627" spans="1:9" ht="38.1">
      <c r="A2627" s="193">
        <v>46057</v>
      </c>
      <c r="B2627" s="145" t="s">
        <v>824</v>
      </c>
      <c r="C2627" s="150" t="s">
        <v>5512</v>
      </c>
      <c r="D2627" s="201" t="s">
        <v>1431</v>
      </c>
      <c r="E2627" s="144" t="s">
        <v>21</v>
      </c>
      <c r="F2627" s="141" t="s">
        <v>821</v>
      </c>
      <c r="G2627" s="144" t="s">
        <v>4179</v>
      </c>
      <c r="H2627" s="146" t="s">
        <v>130</v>
      </c>
      <c r="I2627" s="144" t="s">
        <v>468</v>
      </c>
    </row>
    <row r="2628" spans="1:9" ht="38.1">
      <c r="A2628" s="193">
        <v>46057</v>
      </c>
      <c r="B2628" s="145" t="s">
        <v>824</v>
      </c>
      <c r="C2628" s="150" t="s">
        <v>5512</v>
      </c>
      <c r="D2628" s="201" t="s">
        <v>1431</v>
      </c>
      <c r="E2628" s="144" t="s">
        <v>1449</v>
      </c>
      <c r="F2628" s="139" t="s">
        <v>88</v>
      </c>
      <c r="G2628" s="144" t="s">
        <v>4180</v>
      </c>
      <c r="H2628" s="146" t="s">
        <v>26</v>
      </c>
      <c r="I2628" s="144" t="s">
        <v>2593</v>
      </c>
    </row>
    <row r="2629" spans="1:9" ht="50.45">
      <c r="A2629" s="193">
        <v>46057</v>
      </c>
      <c r="B2629" s="145" t="s">
        <v>824</v>
      </c>
      <c r="C2629" s="150" t="s">
        <v>5512</v>
      </c>
      <c r="D2629" s="201" t="s">
        <v>1431</v>
      </c>
      <c r="E2629" s="144" t="s">
        <v>1436</v>
      </c>
      <c r="F2629" s="139" t="s">
        <v>88</v>
      </c>
      <c r="G2629" s="144" t="s">
        <v>4181</v>
      </c>
      <c r="H2629" s="146" t="s">
        <v>130</v>
      </c>
      <c r="I2629" s="144" t="s">
        <v>3516</v>
      </c>
    </row>
    <row r="2630" spans="1:9" ht="25.5">
      <c r="A2630" s="193">
        <v>46057</v>
      </c>
      <c r="B2630" s="145" t="s">
        <v>824</v>
      </c>
      <c r="C2630" s="150" t="s">
        <v>5512</v>
      </c>
      <c r="D2630" s="201" t="s">
        <v>3881</v>
      </c>
      <c r="E2630" s="144" t="s">
        <v>1449</v>
      </c>
      <c r="F2630" s="139" t="s">
        <v>88</v>
      </c>
      <c r="G2630" s="144" t="s">
        <v>4182</v>
      </c>
      <c r="H2630" s="146" t="s">
        <v>26</v>
      </c>
      <c r="I2630" s="144" t="s">
        <v>4183</v>
      </c>
    </row>
    <row r="2631" spans="1:9" ht="25.5">
      <c r="A2631" s="193">
        <v>46057</v>
      </c>
      <c r="B2631" s="145" t="s">
        <v>824</v>
      </c>
      <c r="C2631" s="150" t="s">
        <v>5512</v>
      </c>
      <c r="D2631" s="201" t="s">
        <v>2224</v>
      </c>
      <c r="E2631" s="144" t="s">
        <v>21</v>
      </c>
      <c r="F2631" s="141" t="s">
        <v>821</v>
      </c>
      <c r="G2631" s="144" t="s">
        <v>4184</v>
      </c>
      <c r="H2631" s="146" t="s">
        <v>130</v>
      </c>
      <c r="I2631" s="144" t="s">
        <v>468</v>
      </c>
    </row>
    <row r="2632" spans="1:9" ht="38.1">
      <c r="A2632" s="193">
        <v>46057</v>
      </c>
      <c r="B2632" s="145" t="s">
        <v>824</v>
      </c>
      <c r="C2632" s="150" t="s">
        <v>5512</v>
      </c>
      <c r="D2632" s="201" t="s">
        <v>2224</v>
      </c>
      <c r="E2632" s="144" t="s">
        <v>1449</v>
      </c>
      <c r="F2632" s="139" t="s">
        <v>88</v>
      </c>
      <c r="G2632" s="144" t="s">
        <v>4185</v>
      </c>
      <c r="H2632" s="146" t="s">
        <v>26</v>
      </c>
      <c r="I2632" s="144" t="s">
        <v>2593</v>
      </c>
    </row>
    <row r="2633" spans="1:9" ht="14.1">
      <c r="A2633" s="193">
        <v>46057</v>
      </c>
      <c r="B2633" s="145" t="s">
        <v>824</v>
      </c>
      <c r="C2633" s="150" t="s">
        <v>5512</v>
      </c>
      <c r="D2633" s="201" t="s">
        <v>1431</v>
      </c>
      <c r="E2633" s="144" t="s">
        <v>1566</v>
      </c>
      <c r="F2633" s="139" t="s">
        <v>88</v>
      </c>
      <c r="G2633" s="144" t="s">
        <v>4186</v>
      </c>
      <c r="H2633" s="146" t="s">
        <v>26</v>
      </c>
      <c r="I2633" s="144" t="s">
        <v>1453</v>
      </c>
    </row>
    <row r="2634" spans="1:9" ht="14.1">
      <c r="A2634" s="193">
        <v>46057</v>
      </c>
      <c r="B2634" s="145" t="s">
        <v>824</v>
      </c>
      <c r="C2634" s="150" t="s">
        <v>5512</v>
      </c>
      <c r="D2634" s="201" t="s">
        <v>1431</v>
      </c>
      <c r="E2634" s="144" t="s">
        <v>1566</v>
      </c>
      <c r="F2634" s="139" t="s">
        <v>88</v>
      </c>
      <c r="G2634" s="144" t="s">
        <v>4187</v>
      </c>
      <c r="H2634" s="146" t="s">
        <v>26</v>
      </c>
      <c r="I2634" s="144" t="s">
        <v>1453</v>
      </c>
    </row>
    <row r="2635" spans="1:9" ht="25.5">
      <c r="A2635" s="193">
        <v>46057</v>
      </c>
      <c r="B2635" s="145" t="s">
        <v>824</v>
      </c>
      <c r="C2635" s="150" t="s">
        <v>5512</v>
      </c>
      <c r="D2635" s="201" t="s">
        <v>1431</v>
      </c>
      <c r="E2635" s="144" t="s">
        <v>1566</v>
      </c>
      <c r="F2635" s="139" t="s">
        <v>88</v>
      </c>
      <c r="G2635" s="144" t="s">
        <v>4188</v>
      </c>
      <c r="H2635" s="146" t="s">
        <v>26</v>
      </c>
      <c r="I2635" s="144" t="s">
        <v>1453</v>
      </c>
    </row>
    <row r="2636" spans="1:9" ht="14.1">
      <c r="A2636" s="193">
        <v>46058</v>
      </c>
      <c r="B2636" s="145" t="s">
        <v>824</v>
      </c>
      <c r="C2636" s="150" t="s">
        <v>5512</v>
      </c>
      <c r="D2636" s="201" t="s">
        <v>1431</v>
      </c>
      <c r="E2636" s="144" t="s">
        <v>2585</v>
      </c>
      <c r="F2636" s="139" t="s">
        <v>88</v>
      </c>
      <c r="G2636" s="144" t="s">
        <v>4189</v>
      </c>
      <c r="H2636" s="146" t="s">
        <v>26</v>
      </c>
      <c r="I2636" s="144" t="s">
        <v>452</v>
      </c>
    </row>
    <row r="2637" spans="1:9" ht="38.1">
      <c r="A2637" s="193">
        <v>46058</v>
      </c>
      <c r="B2637" s="145" t="s">
        <v>824</v>
      </c>
      <c r="C2637" s="150" t="s">
        <v>5512</v>
      </c>
      <c r="D2637" s="201" t="s">
        <v>1431</v>
      </c>
      <c r="E2637" s="144" t="s">
        <v>21</v>
      </c>
      <c r="F2637" s="141" t="s">
        <v>821</v>
      </c>
      <c r="G2637" s="144" t="s">
        <v>4190</v>
      </c>
      <c r="H2637" s="146" t="s">
        <v>130</v>
      </c>
      <c r="I2637" s="144" t="s">
        <v>3516</v>
      </c>
    </row>
    <row r="2638" spans="1:9" ht="14.1">
      <c r="A2638" s="193">
        <v>46058</v>
      </c>
      <c r="B2638" s="145" t="s">
        <v>824</v>
      </c>
      <c r="C2638" s="150" t="s">
        <v>5512</v>
      </c>
      <c r="D2638" s="201" t="s">
        <v>1431</v>
      </c>
      <c r="E2638" s="144" t="s">
        <v>2530</v>
      </c>
      <c r="F2638" s="139" t="s">
        <v>88</v>
      </c>
      <c r="G2638" s="144" t="s">
        <v>3811</v>
      </c>
      <c r="H2638" s="146" t="s">
        <v>26</v>
      </c>
      <c r="I2638" s="144" t="s">
        <v>1541</v>
      </c>
    </row>
    <row r="2639" spans="1:9" ht="25.5">
      <c r="A2639" s="193">
        <v>46058</v>
      </c>
      <c r="B2639" s="145" t="s">
        <v>824</v>
      </c>
      <c r="C2639" s="150" t="s">
        <v>5512</v>
      </c>
      <c r="D2639" s="201" t="s">
        <v>1431</v>
      </c>
      <c r="E2639" s="144" t="s">
        <v>922</v>
      </c>
      <c r="F2639" s="139" t="s">
        <v>88</v>
      </c>
      <c r="G2639" s="144" t="s">
        <v>4191</v>
      </c>
      <c r="H2639" s="146" t="s">
        <v>130</v>
      </c>
      <c r="I2639" s="144" t="s">
        <v>1541</v>
      </c>
    </row>
    <row r="2640" spans="1:9" ht="25.5">
      <c r="A2640" s="193">
        <v>46058</v>
      </c>
      <c r="B2640" s="145" t="s">
        <v>824</v>
      </c>
      <c r="C2640" s="150" t="s">
        <v>5512</v>
      </c>
      <c r="D2640" s="201" t="s">
        <v>1431</v>
      </c>
      <c r="E2640" s="144" t="s">
        <v>1506</v>
      </c>
      <c r="F2640" s="147" t="s">
        <v>859</v>
      </c>
      <c r="G2640" s="144" t="s">
        <v>4192</v>
      </c>
      <c r="H2640" s="146" t="s">
        <v>26</v>
      </c>
      <c r="I2640" s="144" t="s">
        <v>1904</v>
      </c>
    </row>
    <row r="2641" spans="1:9" ht="25.5">
      <c r="A2641" s="193">
        <v>46058</v>
      </c>
      <c r="B2641" s="145" t="s">
        <v>824</v>
      </c>
      <c r="C2641" s="150" t="s">
        <v>5512</v>
      </c>
      <c r="D2641" s="201" t="s">
        <v>1431</v>
      </c>
      <c r="E2641" s="144" t="s">
        <v>21</v>
      </c>
      <c r="F2641" s="141" t="s">
        <v>821</v>
      </c>
      <c r="G2641" s="144" t="s">
        <v>4193</v>
      </c>
      <c r="H2641" s="146" t="s">
        <v>130</v>
      </c>
      <c r="I2641" s="144" t="s">
        <v>468</v>
      </c>
    </row>
    <row r="2642" spans="1:9" ht="38.1">
      <c r="A2642" s="193">
        <v>46058</v>
      </c>
      <c r="B2642" s="145" t="s">
        <v>824</v>
      </c>
      <c r="C2642" s="150" t="s">
        <v>5512</v>
      </c>
      <c r="D2642" s="201" t="s">
        <v>1431</v>
      </c>
      <c r="E2642" s="144" t="s">
        <v>1449</v>
      </c>
      <c r="F2642" s="139" t="s">
        <v>88</v>
      </c>
      <c r="G2642" s="144" t="s">
        <v>4194</v>
      </c>
      <c r="H2642" s="146" t="s">
        <v>26</v>
      </c>
      <c r="I2642" s="144" t="s">
        <v>2593</v>
      </c>
    </row>
    <row r="2643" spans="1:9" ht="87.95">
      <c r="A2643" s="193">
        <v>46058</v>
      </c>
      <c r="B2643" s="145" t="s">
        <v>824</v>
      </c>
      <c r="C2643" s="150" t="s">
        <v>5512</v>
      </c>
      <c r="D2643" s="201" t="s">
        <v>1431</v>
      </c>
      <c r="E2643" s="144" t="s">
        <v>1566</v>
      </c>
      <c r="F2643" s="139" t="s">
        <v>88</v>
      </c>
      <c r="G2643" s="144" t="s">
        <v>4195</v>
      </c>
      <c r="H2643" s="146" t="s">
        <v>26</v>
      </c>
      <c r="I2643" s="144" t="s">
        <v>1588</v>
      </c>
    </row>
    <row r="2644" spans="1:9" ht="14.1">
      <c r="A2644" s="193">
        <v>46058</v>
      </c>
      <c r="B2644" s="145" t="s">
        <v>824</v>
      </c>
      <c r="C2644" s="150" t="s">
        <v>5512</v>
      </c>
      <c r="D2644" s="201" t="s">
        <v>2224</v>
      </c>
      <c r="E2644" s="144" t="s">
        <v>21</v>
      </c>
      <c r="F2644" s="141" t="s">
        <v>821</v>
      </c>
      <c r="G2644" s="144" t="s">
        <v>4196</v>
      </c>
      <c r="H2644" s="146" t="s">
        <v>130</v>
      </c>
      <c r="I2644" s="144" t="s">
        <v>2735</v>
      </c>
    </row>
    <row r="2645" spans="1:9" ht="14.1">
      <c r="A2645" s="193">
        <v>46059</v>
      </c>
      <c r="B2645" s="145" t="s">
        <v>824</v>
      </c>
      <c r="C2645" s="150" t="s">
        <v>5512</v>
      </c>
      <c r="D2645" s="201" t="s">
        <v>1431</v>
      </c>
      <c r="E2645" s="144" t="s">
        <v>1511</v>
      </c>
      <c r="F2645" s="139" t="s">
        <v>88</v>
      </c>
      <c r="G2645" s="144" t="s">
        <v>3811</v>
      </c>
      <c r="H2645" s="146" t="s">
        <v>26</v>
      </c>
      <c r="I2645" s="144" t="s">
        <v>2700</v>
      </c>
    </row>
    <row r="2646" spans="1:9" ht="38.1">
      <c r="A2646" s="193">
        <v>46059</v>
      </c>
      <c r="B2646" s="145" t="s">
        <v>824</v>
      </c>
      <c r="C2646" s="150" t="s">
        <v>5512</v>
      </c>
      <c r="D2646" s="201" t="s">
        <v>1431</v>
      </c>
      <c r="E2646" s="144" t="s">
        <v>1506</v>
      </c>
      <c r="F2646" s="139" t="s">
        <v>88</v>
      </c>
      <c r="G2646" s="144" t="s">
        <v>4197</v>
      </c>
      <c r="H2646" s="146" t="s">
        <v>26</v>
      </c>
      <c r="I2646" s="144" t="s">
        <v>3247</v>
      </c>
    </row>
    <row r="2647" spans="1:9" ht="25.5">
      <c r="A2647" s="193">
        <v>46059</v>
      </c>
      <c r="B2647" s="145" t="s">
        <v>824</v>
      </c>
      <c r="C2647" s="150" t="s">
        <v>5512</v>
      </c>
      <c r="D2647" s="201" t="s">
        <v>1431</v>
      </c>
      <c r="E2647" s="144" t="s">
        <v>1506</v>
      </c>
      <c r="F2647" s="139" t="s">
        <v>88</v>
      </c>
      <c r="G2647" s="144" t="s">
        <v>4198</v>
      </c>
      <c r="H2647" s="146" t="s">
        <v>26</v>
      </c>
      <c r="I2647" s="144" t="s">
        <v>3247</v>
      </c>
    </row>
    <row r="2648" spans="1:9" ht="14.1">
      <c r="A2648" s="193">
        <v>46059</v>
      </c>
      <c r="B2648" s="145" t="s">
        <v>824</v>
      </c>
      <c r="C2648" s="150" t="s">
        <v>5512</v>
      </c>
      <c r="D2648" s="201" t="s">
        <v>1431</v>
      </c>
      <c r="E2648" s="144" t="s">
        <v>21</v>
      </c>
      <c r="F2648" s="141" t="s">
        <v>821</v>
      </c>
      <c r="G2648" s="144" t="s">
        <v>4199</v>
      </c>
      <c r="H2648" s="146" t="s">
        <v>26</v>
      </c>
      <c r="I2648" s="144" t="s">
        <v>468</v>
      </c>
    </row>
    <row r="2649" spans="1:9" ht="25.5">
      <c r="A2649" s="193">
        <v>46059</v>
      </c>
      <c r="B2649" s="145" t="s">
        <v>824</v>
      </c>
      <c r="C2649" s="150" t="s">
        <v>5512</v>
      </c>
      <c r="D2649" s="201" t="s">
        <v>1431</v>
      </c>
      <c r="E2649" s="144" t="s">
        <v>1449</v>
      </c>
      <c r="F2649" s="140" t="s">
        <v>1439</v>
      </c>
      <c r="G2649" s="144" t="s">
        <v>4200</v>
      </c>
      <c r="H2649" s="146" t="s">
        <v>26</v>
      </c>
      <c r="I2649" s="144" t="s">
        <v>2593</v>
      </c>
    </row>
    <row r="2650" spans="1:9" ht="25.5">
      <c r="A2650" s="193">
        <v>46059</v>
      </c>
      <c r="B2650" s="145" t="s">
        <v>824</v>
      </c>
      <c r="C2650" s="150" t="s">
        <v>5512</v>
      </c>
      <c r="D2650" s="201" t="s">
        <v>1431</v>
      </c>
      <c r="E2650" s="144" t="s">
        <v>1449</v>
      </c>
      <c r="F2650" s="139" t="s">
        <v>88</v>
      </c>
      <c r="G2650" s="144" t="s">
        <v>4201</v>
      </c>
      <c r="H2650" s="146" t="s">
        <v>26</v>
      </c>
      <c r="I2650" s="144" t="s">
        <v>2593</v>
      </c>
    </row>
    <row r="2651" spans="1:9" ht="14.1">
      <c r="A2651" s="193">
        <v>46059</v>
      </c>
      <c r="B2651" s="145" t="s">
        <v>824</v>
      </c>
      <c r="C2651" s="150" t="s">
        <v>5512</v>
      </c>
      <c r="D2651" s="201" t="s">
        <v>1431</v>
      </c>
      <c r="E2651" s="144" t="s">
        <v>1566</v>
      </c>
      <c r="F2651" s="139" t="s">
        <v>88</v>
      </c>
      <c r="G2651" s="144" t="s">
        <v>4202</v>
      </c>
      <c r="H2651" s="146" t="s">
        <v>26</v>
      </c>
      <c r="I2651" s="144" t="s">
        <v>1453</v>
      </c>
    </row>
    <row r="2652" spans="1:9" ht="25.5">
      <c r="A2652" s="193">
        <v>46059</v>
      </c>
      <c r="B2652" s="145" t="s">
        <v>824</v>
      </c>
      <c r="C2652" s="150" t="s">
        <v>5512</v>
      </c>
      <c r="D2652" s="201" t="s">
        <v>1431</v>
      </c>
      <c r="E2652" s="144" t="s">
        <v>1566</v>
      </c>
      <c r="F2652" s="139" t="s">
        <v>88</v>
      </c>
      <c r="G2652" s="144" t="s">
        <v>4203</v>
      </c>
      <c r="H2652" s="146" t="s">
        <v>26</v>
      </c>
      <c r="I2652" s="144" t="s">
        <v>1453</v>
      </c>
    </row>
    <row r="2653" spans="1:9" ht="25.5">
      <c r="A2653" s="193">
        <v>46059</v>
      </c>
      <c r="B2653" s="145" t="s">
        <v>824</v>
      </c>
      <c r="C2653" s="150" t="s">
        <v>5512</v>
      </c>
      <c r="D2653" s="201" t="s">
        <v>1431</v>
      </c>
      <c r="E2653" s="144" t="s">
        <v>1566</v>
      </c>
      <c r="F2653" s="139" t="s">
        <v>88</v>
      </c>
      <c r="G2653" s="144" t="s">
        <v>4204</v>
      </c>
      <c r="H2653" s="146" t="s">
        <v>26</v>
      </c>
      <c r="I2653" s="144" t="s">
        <v>1453</v>
      </c>
    </row>
    <row r="2654" spans="1:9" ht="25.5">
      <c r="A2654" s="193">
        <v>46059</v>
      </c>
      <c r="B2654" s="145" t="s">
        <v>824</v>
      </c>
      <c r="C2654" s="150" t="s">
        <v>5512</v>
      </c>
      <c r="D2654" s="201" t="s">
        <v>1431</v>
      </c>
      <c r="E2654" s="144" t="s">
        <v>1566</v>
      </c>
      <c r="F2654" s="139" t="s">
        <v>88</v>
      </c>
      <c r="G2654" s="144" t="s">
        <v>4205</v>
      </c>
      <c r="H2654" s="146" t="s">
        <v>26</v>
      </c>
      <c r="I2654" s="144" t="s">
        <v>1453</v>
      </c>
    </row>
    <row r="2655" spans="1:9" ht="25.5">
      <c r="A2655" s="193">
        <v>46059</v>
      </c>
      <c r="B2655" s="145" t="s">
        <v>824</v>
      </c>
      <c r="C2655" s="150" t="s">
        <v>5512</v>
      </c>
      <c r="D2655" s="201" t="s">
        <v>1431</v>
      </c>
      <c r="E2655" s="144" t="s">
        <v>1566</v>
      </c>
      <c r="F2655" s="139" t="s">
        <v>88</v>
      </c>
      <c r="G2655" s="144" t="s">
        <v>4206</v>
      </c>
      <c r="H2655" s="146" t="s">
        <v>26</v>
      </c>
      <c r="I2655" s="144" t="s">
        <v>1453</v>
      </c>
    </row>
    <row r="2656" spans="1:9" ht="25.5">
      <c r="A2656" s="193">
        <v>46059</v>
      </c>
      <c r="B2656" s="145" t="s">
        <v>824</v>
      </c>
      <c r="C2656" s="150" t="s">
        <v>5512</v>
      </c>
      <c r="D2656" s="201" t="s">
        <v>2224</v>
      </c>
      <c r="E2656" s="144" t="s">
        <v>21</v>
      </c>
      <c r="F2656" s="141" t="s">
        <v>821</v>
      </c>
      <c r="G2656" s="144" t="s">
        <v>4207</v>
      </c>
      <c r="H2656" s="146" t="s">
        <v>26</v>
      </c>
      <c r="I2656" s="144" t="s">
        <v>468</v>
      </c>
    </row>
    <row r="2657" spans="1:9" ht="25.5">
      <c r="A2657" s="193">
        <v>46062</v>
      </c>
      <c r="B2657" s="145" t="s">
        <v>824</v>
      </c>
      <c r="C2657" s="150" t="s">
        <v>5512</v>
      </c>
      <c r="D2657" s="201" t="s">
        <v>1431</v>
      </c>
      <c r="E2657" s="144" t="s">
        <v>2585</v>
      </c>
      <c r="F2657" s="139" t="s">
        <v>88</v>
      </c>
      <c r="G2657" s="144" t="s">
        <v>4208</v>
      </c>
      <c r="H2657" s="146" t="s">
        <v>26</v>
      </c>
      <c r="I2657" s="144" t="s">
        <v>925</v>
      </c>
    </row>
    <row r="2658" spans="1:9" ht="38.1">
      <c r="A2658" s="193">
        <v>46062</v>
      </c>
      <c r="B2658" s="145" t="s">
        <v>824</v>
      </c>
      <c r="C2658" s="150" t="s">
        <v>5512</v>
      </c>
      <c r="D2658" s="201" t="s">
        <v>1431</v>
      </c>
      <c r="E2658" s="144" t="s">
        <v>216</v>
      </c>
      <c r="F2658" s="141" t="s">
        <v>821</v>
      </c>
      <c r="G2658" s="144" t="s">
        <v>4209</v>
      </c>
      <c r="H2658" s="146" t="s">
        <v>26</v>
      </c>
      <c r="I2658" s="144" t="s">
        <v>492</v>
      </c>
    </row>
    <row r="2659" spans="1:9" ht="25.5">
      <c r="A2659" s="193">
        <v>46062</v>
      </c>
      <c r="B2659" s="145" t="s">
        <v>824</v>
      </c>
      <c r="C2659" s="150" t="s">
        <v>5512</v>
      </c>
      <c r="D2659" s="201" t="s">
        <v>1431</v>
      </c>
      <c r="E2659" s="144" t="s">
        <v>2595</v>
      </c>
      <c r="F2659" s="141" t="s">
        <v>821</v>
      </c>
      <c r="G2659" s="144" t="s">
        <v>4210</v>
      </c>
      <c r="H2659" s="146" t="s">
        <v>26</v>
      </c>
      <c r="I2659" s="144" t="s">
        <v>492</v>
      </c>
    </row>
    <row r="2660" spans="1:9" ht="14.1">
      <c r="A2660" s="193">
        <v>46062</v>
      </c>
      <c r="B2660" s="145" t="s">
        <v>824</v>
      </c>
      <c r="C2660" s="150" t="s">
        <v>5512</v>
      </c>
      <c r="D2660" s="201" t="s">
        <v>1431</v>
      </c>
      <c r="E2660" s="144" t="s">
        <v>1511</v>
      </c>
      <c r="F2660" s="139" t="s">
        <v>88</v>
      </c>
      <c r="G2660" s="144" t="s">
        <v>4211</v>
      </c>
      <c r="H2660" s="146" t="s">
        <v>26</v>
      </c>
      <c r="I2660" s="144" t="s">
        <v>2700</v>
      </c>
    </row>
    <row r="2661" spans="1:9" ht="25.5">
      <c r="A2661" s="193">
        <v>46062</v>
      </c>
      <c r="B2661" s="145" t="s">
        <v>824</v>
      </c>
      <c r="C2661" s="150" t="s">
        <v>5512</v>
      </c>
      <c r="D2661" s="201" t="s">
        <v>1431</v>
      </c>
      <c r="E2661" s="144" t="s">
        <v>922</v>
      </c>
      <c r="F2661" s="139" t="s">
        <v>88</v>
      </c>
      <c r="G2661" s="144" t="s">
        <v>4212</v>
      </c>
      <c r="H2661" s="146" t="s">
        <v>26</v>
      </c>
      <c r="I2661" s="144" t="s">
        <v>1541</v>
      </c>
    </row>
    <row r="2662" spans="1:9" ht="25.5">
      <c r="A2662" s="193">
        <v>46062</v>
      </c>
      <c r="B2662" s="145" t="s">
        <v>824</v>
      </c>
      <c r="C2662" s="150" t="s">
        <v>5512</v>
      </c>
      <c r="D2662" s="201" t="s">
        <v>1431</v>
      </c>
      <c r="E2662" s="144" t="s">
        <v>1506</v>
      </c>
      <c r="F2662" s="139" t="s">
        <v>88</v>
      </c>
      <c r="G2662" s="144" t="s">
        <v>4213</v>
      </c>
      <c r="H2662" s="146" t="s">
        <v>26</v>
      </c>
      <c r="I2662" s="144" t="s">
        <v>3247</v>
      </c>
    </row>
    <row r="2663" spans="1:9" ht="38.1">
      <c r="A2663" s="193">
        <v>46062</v>
      </c>
      <c r="B2663" s="145" t="s">
        <v>824</v>
      </c>
      <c r="C2663" s="150" t="s">
        <v>5512</v>
      </c>
      <c r="D2663" s="201" t="s">
        <v>1431</v>
      </c>
      <c r="E2663" s="144" t="s">
        <v>1506</v>
      </c>
      <c r="F2663" s="139" t="s">
        <v>88</v>
      </c>
      <c r="G2663" s="144" t="s">
        <v>4214</v>
      </c>
      <c r="H2663" s="146" t="s">
        <v>26</v>
      </c>
      <c r="I2663" s="144" t="s">
        <v>3247</v>
      </c>
    </row>
    <row r="2664" spans="1:9" ht="38.1">
      <c r="A2664" s="193">
        <v>46062</v>
      </c>
      <c r="B2664" s="145" t="s">
        <v>824</v>
      </c>
      <c r="C2664" s="150" t="s">
        <v>5512</v>
      </c>
      <c r="D2664" s="201" t="s">
        <v>1431</v>
      </c>
      <c r="E2664" s="144" t="s">
        <v>1506</v>
      </c>
      <c r="F2664" s="139" t="s">
        <v>88</v>
      </c>
      <c r="G2664" s="144" t="s">
        <v>4215</v>
      </c>
      <c r="H2664" s="146" t="s">
        <v>26</v>
      </c>
      <c r="I2664" s="144" t="s">
        <v>3247</v>
      </c>
    </row>
    <row r="2665" spans="1:9" ht="25.5">
      <c r="A2665" s="193">
        <v>46062</v>
      </c>
      <c r="B2665" s="145" t="s">
        <v>824</v>
      </c>
      <c r="C2665" s="150" t="s">
        <v>5512</v>
      </c>
      <c r="D2665" s="201" t="s">
        <v>1431</v>
      </c>
      <c r="E2665" s="144" t="s">
        <v>1506</v>
      </c>
      <c r="F2665" s="139" t="s">
        <v>88</v>
      </c>
      <c r="G2665" s="144" t="s">
        <v>4216</v>
      </c>
      <c r="H2665" s="146" t="s">
        <v>26</v>
      </c>
      <c r="I2665" s="144" t="s">
        <v>3247</v>
      </c>
    </row>
    <row r="2666" spans="1:9" ht="14.1">
      <c r="A2666" s="193">
        <v>46062</v>
      </c>
      <c r="B2666" s="145" t="s">
        <v>824</v>
      </c>
      <c r="C2666" s="150" t="s">
        <v>5512</v>
      </c>
      <c r="D2666" s="201" t="s">
        <v>1431</v>
      </c>
      <c r="E2666" s="144" t="s">
        <v>216</v>
      </c>
      <c r="F2666" s="141" t="s">
        <v>821</v>
      </c>
      <c r="G2666" s="144" t="s">
        <v>4217</v>
      </c>
      <c r="H2666" s="146" t="s">
        <v>26</v>
      </c>
      <c r="I2666" s="144" t="s">
        <v>492</v>
      </c>
    </row>
    <row r="2667" spans="1:9" ht="14.1">
      <c r="A2667" s="193">
        <v>46062</v>
      </c>
      <c r="B2667" s="145" t="s">
        <v>824</v>
      </c>
      <c r="C2667" s="150" t="s">
        <v>5512</v>
      </c>
      <c r="D2667" s="201" t="s">
        <v>1431</v>
      </c>
      <c r="E2667" s="144" t="s">
        <v>21</v>
      </c>
      <c r="F2667" s="141" t="s">
        <v>821</v>
      </c>
      <c r="G2667" s="144" t="s">
        <v>4218</v>
      </c>
      <c r="H2667" s="146" t="s">
        <v>26</v>
      </c>
      <c r="I2667" s="144" t="s">
        <v>468</v>
      </c>
    </row>
    <row r="2668" spans="1:9" ht="14.1">
      <c r="A2668" s="193">
        <v>46062</v>
      </c>
      <c r="B2668" s="145" t="s">
        <v>824</v>
      </c>
      <c r="C2668" s="150" t="s">
        <v>5512</v>
      </c>
      <c r="D2668" s="201" t="s">
        <v>1431</v>
      </c>
      <c r="E2668" s="144" t="s">
        <v>1584</v>
      </c>
      <c r="F2668" s="141" t="s">
        <v>821</v>
      </c>
      <c r="G2668" s="144" t="s">
        <v>4219</v>
      </c>
      <c r="H2668" s="146" t="s">
        <v>26</v>
      </c>
      <c r="I2668" s="144" t="s">
        <v>158</v>
      </c>
    </row>
    <row r="2669" spans="1:9" ht="25.5">
      <c r="A2669" s="193">
        <v>46062</v>
      </c>
      <c r="B2669" s="145" t="s">
        <v>824</v>
      </c>
      <c r="C2669" s="150" t="s">
        <v>5512</v>
      </c>
      <c r="D2669" s="201" t="s">
        <v>1431</v>
      </c>
      <c r="E2669" s="144" t="s">
        <v>1449</v>
      </c>
      <c r="F2669" s="142" t="s">
        <v>872</v>
      </c>
      <c r="G2669" s="144" t="s">
        <v>4220</v>
      </c>
      <c r="H2669" s="146" t="s">
        <v>26</v>
      </c>
      <c r="I2669" s="144" t="s">
        <v>2593</v>
      </c>
    </row>
    <row r="2670" spans="1:9" ht="14.1">
      <c r="A2670" s="193">
        <v>46062</v>
      </c>
      <c r="B2670" s="145" t="s">
        <v>824</v>
      </c>
      <c r="C2670" s="150" t="s">
        <v>5512</v>
      </c>
      <c r="D2670" s="201" t="s">
        <v>1431</v>
      </c>
      <c r="E2670" s="144" t="s">
        <v>1566</v>
      </c>
      <c r="F2670" s="139" t="s">
        <v>88</v>
      </c>
      <c r="G2670" s="144" t="s">
        <v>4221</v>
      </c>
      <c r="H2670" s="146" t="s">
        <v>26</v>
      </c>
      <c r="I2670" s="144" t="s">
        <v>1453</v>
      </c>
    </row>
    <row r="2671" spans="1:9" ht="25.5">
      <c r="A2671" s="193">
        <v>46062</v>
      </c>
      <c r="B2671" s="145" t="s">
        <v>824</v>
      </c>
      <c r="C2671" s="150" t="s">
        <v>5512</v>
      </c>
      <c r="D2671" s="201" t="s">
        <v>1431</v>
      </c>
      <c r="E2671" s="144" t="s">
        <v>1566</v>
      </c>
      <c r="F2671" s="139" t="s">
        <v>88</v>
      </c>
      <c r="G2671" s="144" t="s">
        <v>4222</v>
      </c>
      <c r="H2671" s="146" t="s">
        <v>26</v>
      </c>
      <c r="I2671" s="144" t="s">
        <v>1453</v>
      </c>
    </row>
    <row r="2672" spans="1:9" ht="25.5">
      <c r="A2672" s="193">
        <v>46062</v>
      </c>
      <c r="B2672" s="145" t="s">
        <v>824</v>
      </c>
      <c r="C2672" s="150" t="s">
        <v>5512</v>
      </c>
      <c r="D2672" s="201" t="s">
        <v>1431</v>
      </c>
      <c r="E2672" s="144" t="s">
        <v>1566</v>
      </c>
      <c r="F2672" s="139" t="s">
        <v>88</v>
      </c>
      <c r="G2672" s="144" t="s">
        <v>4223</v>
      </c>
      <c r="H2672" s="146" t="s">
        <v>26</v>
      </c>
      <c r="I2672" s="144" t="s">
        <v>1453</v>
      </c>
    </row>
    <row r="2673" spans="1:9" ht="14.1">
      <c r="A2673" s="193">
        <v>46062</v>
      </c>
      <c r="B2673" s="145" t="s">
        <v>824</v>
      </c>
      <c r="C2673" s="150" t="s">
        <v>5512</v>
      </c>
      <c r="D2673" s="201" t="s">
        <v>1431</v>
      </c>
      <c r="E2673" s="144" t="s">
        <v>1566</v>
      </c>
      <c r="F2673" s="139" t="s">
        <v>88</v>
      </c>
      <c r="G2673" s="144" t="s">
        <v>4224</v>
      </c>
      <c r="H2673" s="146" t="s">
        <v>26</v>
      </c>
      <c r="I2673" s="144" t="s">
        <v>1453</v>
      </c>
    </row>
    <row r="2674" spans="1:9" ht="14.1">
      <c r="A2674" s="193">
        <v>46062</v>
      </c>
      <c r="B2674" s="145" t="s">
        <v>824</v>
      </c>
      <c r="C2674" s="150" t="s">
        <v>5512</v>
      </c>
      <c r="D2674" s="201" t="s">
        <v>1431</v>
      </c>
      <c r="E2674" s="144" t="s">
        <v>1566</v>
      </c>
      <c r="F2674" s="139" t="s">
        <v>88</v>
      </c>
      <c r="G2674" s="144" t="s">
        <v>4225</v>
      </c>
      <c r="H2674" s="146" t="s">
        <v>26</v>
      </c>
      <c r="I2674" s="144" t="s">
        <v>1453</v>
      </c>
    </row>
    <row r="2675" spans="1:9" ht="14.1">
      <c r="A2675" s="193">
        <v>46062</v>
      </c>
      <c r="B2675" s="145" t="s">
        <v>824</v>
      </c>
      <c r="C2675" s="150" t="s">
        <v>5512</v>
      </c>
      <c r="D2675" s="201" t="s">
        <v>1431</v>
      </c>
      <c r="E2675" s="144" t="s">
        <v>1566</v>
      </c>
      <c r="F2675" s="139" t="s">
        <v>88</v>
      </c>
      <c r="G2675" s="144" t="s">
        <v>4226</v>
      </c>
      <c r="H2675" s="146" t="s">
        <v>26</v>
      </c>
      <c r="I2675" s="144" t="s">
        <v>1453</v>
      </c>
    </row>
    <row r="2676" spans="1:9" ht="25.5">
      <c r="A2676" s="193">
        <v>46062</v>
      </c>
      <c r="B2676" s="145" t="s">
        <v>824</v>
      </c>
      <c r="C2676" s="150" t="s">
        <v>5512</v>
      </c>
      <c r="D2676" s="201" t="s">
        <v>2224</v>
      </c>
      <c r="E2676" s="144" t="s">
        <v>1432</v>
      </c>
      <c r="F2676" s="141" t="s">
        <v>821</v>
      </c>
      <c r="G2676" s="144" t="s">
        <v>4227</v>
      </c>
      <c r="H2676" s="146" t="s">
        <v>26</v>
      </c>
      <c r="I2676" s="144" t="s">
        <v>2568</v>
      </c>
    </row>
    <row r="2677" spans="1:9" ht="50.45">
      <c r="A2677" s="193">
        <v>46062</v>
      </c>
      <c r="B2677" s="145" t="s">
        <v>824</v>
      </c>
      <c r="C2677" s="150" t="s">
        <v>5512</v>
      </c>
      <c r="D2677" s="201" t="s">
        <v>1431</v>
      </c>
      <c r="E2677" s="144" t="s">
        <v>1449</v>
      </c>
      <c r="F2677" s="139" t="s">
        <v>88</v>
      </c>
      <c r="G2677" s="144" t="s">
        <v>4228</v>
      </c>
      <c r="H2677" s="146" t="s">
        <v>130</v>
      </c>
      <c r="I2677" s="144" t="s">
        <v>910</v>
      </c>
    </row>
    <row r="2678" spans="1:9" ht="25.5">
      <c r="A2678" s="193">
        <v>46062</v>
      </c>
      <c r="B2678" s="145" t="s">
        <v>824</v>
      </c>
      <c r="C2678" s="150" t="s">
        <v>5512</v>
      </c>
      <c r="D2678" s="201" t="s">
        <v>1431</v>
      </c>
      <c r="E2678" s="144" t="s">
        <v>2595</v>
      </c>
      <c r="F2678" s="139" t="s">
        <v>88</v>
      </c>
      <c r="G2678" s="144" t="s">
        <v>4229</v>
      </c>
      <c r="H2678" s="146" t="s">
        <v>26</v>
      </c>
      <c r="I2678" s="144" t="s">
        <v>468</v>
      </c>
    </row>
    <row r="2679" spans="1:9" ht="14.1">
      <c r="A2679" s="193">
        <v>46062</v>
      </c>
      <c r="B2679" s="145" t="s">
        <v>824</v>
      </c>
      <c r="C2679" s="150" t="s">
        <v>5512</v>
      </c>
      <c r="D2679" s="201" t="s">
        <v>1431</v>
      </c>
      <c r="E2679" s="144" t="s">
        <v>1449</v>
      </c>
      <c r="F2679" s="139" t="s">
        <v>88</v>
      </c>
      <c r="G2679" s="144" t="s">
        <v>4230</v>
      </c>
      <c r="H2679" s="146" t="s">
        <v>26</v>
      </c>
      <c r="I2679" s="144" t="s">
        <v>2593</v>
      </c>
    </row>
    <row r="2680" spans="1:9" ht="14.1">
      <c r="A2680" s="193">
        <v>46062</v>
      </c>
      <c r="B2680" s="145" t="s">
        <v>824</v>
      </c>
      <c r="C2680" s="150" t="s">
        <v>5512</v>
      </c>
      <c r="D2680" s="201" t="s">
        <v>1431</v>
      </c>
      <c r="E2680" s="144" t="s">
        <v>1449</v>
      </c>
      <c r="F2680" s="139" t="s">
        <v>88</v>
      </c>
      <c r="G2680" s="144" t="s">
        <v>4231</v>
      </c>
      <c r="H2680" s="146" t="s">
        <v>26</v>
      </c>
      <c r="I2680" s="144" t="s">
        <v>2593</v>
      </c>
    </row>
    <row r="2681" spans="1:9" ht="38.1">
      <c r="A2681" s="193">
        <v>46063</v>
      </c>
      <c r="B2681" s="145" t="s">
        <v>824</v>
      </c>
      <c r="C2681" s="150" t="s">
        <v>5512</v>
      </c>
      <c r="D2681" s="201" t="s">
        <v>1431</v>
      </c>
      <c r="E2681" s="144" t="s">
        <v>1225</v>
      </c>
      <c r="F2681" s="140" t="s">
        <v>1439</v>
      </c>
      <c r="G2681" s="144" t="s">
        <v>4232</v>
      </c>
      <c r="H2681" s="146" t="s">
        <v>130</v>
      </c>
      <c r="I2681" s="144" t="s">
        <v>925</v>
      </c>
    </row>
    <row r="2682" spans="1:9" ht="14.1">
      <c r="A2682" s="193">
        <v>46063</v>
      </c>
      <c r="B2682" s="145" t="s">
        <v>824</v>
      </c>
      <c r="C2682" s="150" t="s">
        <v>5512</v>
      </c>
      <c r="D2682" s="201" t="s">
        <v>1431</v>
      </c>
      <c r="E2682" s="144" t="s">
        <v>21</v>
      </c>
      <c r="F2682" s="141" t="s">
        <v>821</v>
      </c>
      <c r="G2682" s="144" t="s">
        <v>4233</v>
      </c>
      <c r="H2682" s="146" t="s">
        <v>130</v>
      </c>
      <c r="I2682" s="144" t="s">
        <v>149</v>
      </c>
    </row>
    <row r="2683" spans="1:9" ht="38.1">
      <c r="A2683" s="193">
        <v>46063</v>
      </c>
      <c r="B2683" s="145" t="s">
        <v>824</v>
      </c>
      <c r="C2683" s="150" t="s">
        <v>5512</v>
      </c>
      <c r="D2683" s="201" t="s">
        <v>1431</v>
      </c>
      <c r="E2683" s="144" t="s">
        <v>21</v>
      </c>
      <c r="F2683" s="141" t="s">
        <v>821</v>
      </c>
      <c r="G2683" s="144" t="s">
        <v>4234</v>
      </c>
      <c r="H2683" s="146" t="s">
        <v>130</v>
      </c>
      <c r="I2683" s="144" t="s">
        <v>1541</v>
      </c>
    </row>
    <row r="2684" spans="1:9" ht="38.1">
      <c r="A2684" s="193">
        <v>46063</v>
      </c>
      <c r="B2684" s="145" t="s">
        <v>824</v>
      </c>
      <c r="C2684" s="150" t="s">
        <v>5512</v>
      </c>
      <c r="D2684" s="201" t="s">
        <v>1431</v>
      </c>
      <c r="E2684" s="144" t="s">
        <v>1506</v>
      </c>
      <c r="F2684" s="139" t="s">
        <v>88</v>
      </c>
      <c r="G2684" s="144" t="s">
        <v>4235</v>
      </c>
      <c r="H2684" s="146" t="s">
        <v>26</v>
      </c>
      <c r="I2684" s="144" t="s">
        <v>3343</v>
      </c>
    </row>
    <row r="2685" spans="1:9" ht="38.1">
      <c r="A2685" s="193">
        <v>46063</v>
      </c>
      <c r="B2685" s="145" t="s">
        <v>824</v>
      </c>
      <c r="C2685" s="150" t="s">
        <v>5512</v>
      </c>
      <c r="D2685" s="201" t="s">
        <v>1431</v>
      </c>
      <c r="E2685" s="144" t="s">
        <v>1506</v>
      </c>
      <c r="F2685" s="139" t="s">
        <v>88</v>
      </c>
      <c r="G2685" s="144" t="s">
        <v>4236</v>
      </c>
      <c r="H2685" s="146" t="s">
        <v>26</v>
      </c>
      <c r="I2685" s="144" t="s">
        <v>3343</v>
      </c>
    </row>
    <row r="2686" spans="1:9" ht="38.1">
      <c r="A2686" s="193">
        <v>46063</v>
      </c>
      <c r="B2686" s="145" t="s">
        <v>824</v>
      </c>
      <c r="C2686" s="150" t="s">
        <v>5512</v>
      </c>
      <c r="D2686" s="201" t="s">
        <v>1431</v>
      </c>
      <c r="E2686" s="144" t="s">
        <v>1449</v>
      </c>
      <c r="F2686" s="139" t="s">
        <v>88</v>
      </c>
      <c r="G2686" s="144" t="s">
        <v>4237</v>
      </c>
      <c r="H2686" s="146" t="s">
        <v>26</v>
      </c>
      <c r="I2686" s="144" t="s">
        <v>2593</v>
      </c>
    </row>
    <row r="2687" spans="1:9" ht="25.5">
      <c r="A2687" s="193">
        <v>46063</v>
      </c>
      <c r="B2687" s="145" t="s">
        <v>824</v>
      </c>
      <c r="C2687" s="150" t="s">
        <v>5512</v>
      </c>
      <c r="D2687" s="201" t="s">
        <v>1431</v>
      </c>
      <c r="E2687" s="144" t="s">
        <v>1449</v>
      </c>
      <c r="F2687" s="140" t="s">
        <v>1439</v>
      </c>
      <c r="G2687" s="144" t="s">
        <v>4238</v>
      </c>
      <c r="H2687" s="146" t="s">
        <v>26</v>
      </c>
      <c r="I2687" s="144" t="s">
        <v>2593</v>
      </c>
    </row>
    <row r="2688" spans="1:9" ht="38.1">
      <c r="A2688" s="193">
        <v>46063</v>
      </c>
      <c r="B2688" s="145" t="s">
        <v>824</v>
      </c>
      <c r="C2688" s="150" t="s">
        <v>5512</v>
      </c>
      <c r="D2688" s="201" t="s">
        <v>1431</v>
      </c>
      <c r="E2688" s="144" t="s">
        <v>1449</v>
      </c>
      <c r="F2688" s="139" t="s">
        <v>88</v>
      </c>
      <c r="G2688" s="144" t="s">
        <v>4239</v>
      </c>
      <c r="H2688" s="146" t="s">
        <v>26</v>
      </c>
      <c r="I2688" s="144" t="s">
        <v>2593</v>
      </c>
    </row>
    <row r="2689" spans="1:9" ht="25.5">
      <c r="A2689" s="193">
        <v>46063</v>
      </c>
      <c r="B2689" s="145" t="s">
        <v>824</v>
      </c>
      <c r="C2689" s="150" t="s">
        <v>5512</v>
      </c>
      <c r="D2689" s="201" t="s">
        <v>1431</v>
      </c>
      <c r="E2689" s="144" t="s">
        <v>1449</v>
      </c>
      <c r="F2689" s="139" t="s">
        <v>88</v>
      </c>
      <c r="G2689" s="144" t="s">
        <v>4240</v>
      </c>
      <c r="H2689" s="146" t="s">
        <v>26</v>
      </c>
      <c r="I2689" s="144" t="s">
        <v>2593</v>
      </c>
    </row>
    <row r="2690" spans="1:9" ht="38.1">
      <c r="A2690" s="193">
        <v>46063</v>
      </c>
      <c r="B2690" s="145" t="s">
        <v>824</v>
      </c>
      <c r="C2690" s="150" t="s">
        <v>5512</v>
      </c>
      <c r="D2690" s="201" t="s">
        <v>1431</v>
      </c>
      <c r="E2690" s="144" t="s">
        <v>1449</v>
      </c>
      <c r="F2690" s="139" t="s">
        <v>88</v>
      </c>
      <c r="G2690" s="144" t="s">
        <v>4241</v>
      </c>
      <c r="H2690" s="146" t="s">
        <v>26</v>
      </c>
      <c r="I2690" s="144" t="s">
        <v>2593</v>
      </c>
    </row>
    <row r="2691" spans="1:9" ht="25.5">
      <c r="A2691" s="193">
        <v>46064</v>
      </c>
      <c r="B2691" s="145" t="s">
        <v>824</v>
      </c>
      <c r="C2691" s="150" t="s">
        <v>5512</v>
      </c>
      <c r="D2691" s="201" t="s">
        <v>1431</v>
      </c>
      <c r="E2691" s="144" t="s">
        <v>1225</v>
      </c>
      <c r="F2691" s="140" t="s">
        <v>1439</v>
      </c>
      <c r="G2691" s="144" t="s">
        <v>4242</v>
      </c>
      <c r="H2691" s="146" t="s">
        <v>26</v>
      </c>
      <c r="I2691" s="144" t="s">
        <v>925</v>
      </c>
    </row>
    <row r="2692" spans="1:9" ht="25.5">
      <c r="A2692" s="193">
        <v>46064</v>
      </c>
      <c r="B2692" s="145" t="s">
        <v>824</v>
      </c>
      <c r="C2692" s="150" t="s">
        <v>5512</v>
      </c>
      <c r="D2692" s="201" t="s">
        <v>1431</v>
      </c>
      <c r="E2692" s="144" t="s">
        <v>1511</v>
      </c>
      <c r="F2692" s="139" t="s">
        <v>88</v>
      </c>
      <c r="G2692" s="144" t="s">
        <v>4243</v>
      </c>
      <c r="H2692" s="146" t="s">
        <v>130</v>
      </c>
      <c r="I2692" s="144" t="s">
        <v>3852</v>
      </c>
    </row>
    <row r="2693" spans="1:9" ht="14.1">
      <c r="A2693" s="193">
        <v>46064</v>
      </c>
      <c r="B2693" s="145" t="s">
        <v>824</v>
      </c>
      <c r="C2693" s="150" t="s">
        <v>5512</v>
      </c>
      <c r="D2693" s="201" t="s">
        <v>1431</v>
      </c>
      <c r="E2693" s="144" t="s">
        <v>21</v>
      </c>
      <c r="F2693" s="141" t="s">
        <v>821</v>
      </c>
      <c r="G2693" s="144" t="s">
        <v>4244</v>
      </c>
      <c r="H2693" s="146" t="s">
        <v>130</v>
      </c>
      <c r="I2693" s="144" t="s">
        <v>1541</v>
      </c>
    </row>
    <row r="2694" spans="1:9" ht="14.1">
      <c r="A2694" s="193">
        <v>46064</v>
      </c>
      <c r="B2694" s="145" t="s">
        <v>824</v>
      </c>
      <c r="C2694" s="150" t="s">
        <v>5512</v>
      </c>
      <c r="D2694" s="201" t="s">
        <v>1431</v>
      </c>
      <c r="E2694" s="144" t="s">
        <v>21</v>
      </c>
      <c r="F2694" s="141" t="s">
        <v>821</v>
      </c>
      <c r="G2694" s="144" t="s">
        <v>4245</v>
      </c>
      <c r="H2694" s="146" t="s">
        <v>130</v>
      </c>
      <c r="I2694" s="144" t="s">
        <v>468</v>
      </c>
    </row>
    <row r="2695" spans="1:9" ht="25.5">
      <c r="A2695" s="193">
        <v>46064</v>
      </c>
      <c r="B2695" s="145" t="s">
        <v>824</v>
      </c>
      <c r="C2695" s="150" t="s">
        <v>5512</v>
      </c>
      <c r="D2695" s="201" t="s">
        <v>1431</v>
      </c>
      <c r="E2695" s="144" t="s">
        <v>1506</v>
      </c>
      <c r="F2695" s="139" t="s">
        <v>88</v>
      </c>
      <c r="G2695" s="144" t="s">
        <v>4246</v>
      </c>
      <c r="H2695" s="146" t="s">
        <v>26</v>
      </c>
      <c r="I2695" s="144" t="s">
        <v>3343</v>
      </c>
    </row>
    <row r="2696" spans="1:9" ht="25.5">
      <c r="A2696" s="193">
        <v>46064</v>
      </c>
      <c r="B2696" s="145" t="s">
        <v>824</v>
      </c>
      <c r="C2696" s="150" t="s">
        <v>5512</v>
      </c>
      <c r="D2696" s="201" t="s">
        <v>1431</v>
      </c>
      <c r="E2696" s="144" t="s">
        <v>216</v>
      </c>
      <c r="F2696" s="141" t="s">
        <v>821</v>
      </c>
      <c r="G2696" s="144" t="s">
        <v>4247</v>
      </c>
      <c r="H2696" s="146" t="s">
        <v>26</v>
      </c>
      <c r="I2696" s="144" t="s">
        <v>492</v>
      </c>
    </row>
    <row r="2697" spans="1:9" ht="38.1">
      <c r="A2697" s="193">
        <v>46064</v>
      </c>
      <c r="B2697" s="145" t="s">
        <v>824</v>
      </c>
      <c r="C2697" s="150" t="s">
        <v>5512</v>
      </c>
      <c r="D2697" s="201" t="s">
        <v>1431</v>
      </c>
      <c r="E2697" s="144" t="s">
        <v>1449</v>
      </c>
      <c r="F2697" s="139" t="s">
        <v>88</v>
      </c>
      <c r="G2697" s="144" t="s">
        <v>4248</v>
      </c>
      <c r="H2697" s="146" t="s">
        <v>26</v>
      </c>
      <c r="I2697" s="144" t="s">
        <v>2593</v>
      </c>
    </row>
    <row r="2698" spans="1:9" ht="14.1">
      <c r="A2698" s="193">
        <v>46064</v>
      </c>
      <c r="B2698" s="145" t="s">
        <v>824</v>
      </c>
      <c r="C2698" s="150" t="s">
        <v>5512</v>
      </c>
      <c r="D2698" s="201" t="s">
        <v>1431</v>
      </c>
      <c r="E2698" s="144" t="s">
        <v>1449</v>
      </c>
      <c r="F2698" s="141" t="s">
        <v>821</v>
      </c>
      <c r="G2698" s="144" t="s">
        <v>4249</v>
      </c>
      <c r="H2698" s="146" t="s">
        <v>26</v>
      </c>
      <c r="I2698" s="144" t="s">
        <v>2593</v>
      </c>
    </row>
    <row r="2699" spans="1:9" ht="50.45">
      <c r="A2699" s="193">
        <v>46064</v>
      </c>
      <c r="B2699" s="145" t="s">
        <v>824</v>
      </c>
      <c r="C2699" s="150" t="s">
        <v>5512</v>
      </c>
      <c r="D2699" s="201" t="s">
        <v>2224</v>
      </c>
      <c r="E2699" s="144" t="s">
        <v>1449</v>
      </c>
      <c r="F2699" s="147" t="s">
        <v>859</v>
      </c>
      <c r="G2699" s="144" t="s">
        <v>4250</v>
      </c>
      <c r="H2699" s="146" t="s">
        <v>130</v>
      </c>
      <c r="I2699" s="144" t="s">
        <v>2568</v>
      </c>
    </row>
    <row r="2700" spans="1:9" ht="25.5">
      <c r="A2700" s="193">
        <v>46064</v>
      </c>
      <c r="B2700" s="145" t="s">
        <v>824</v>
      </c>
      <c r="C2700" s="150" t="s">
        <v>5512</v>
      </c>
      <c r="D2700" s="201" t="s">
        <v>2224</v>
      </c>
      <c r="E2700" s="144" t="s">
        <v>21</v>
      </c>
      <c r="F2700" s="141" t="s">
        <v>821</v>
      </c>
      <c r="G2700" s="144" t="s">
        <v>4251</v>
      </c>
      <c r="H2700" s="146" t="s">
        <v>130</v>
      </c>
      <c r="I2700" s="144" t="s">
        <v>468</v>
      </c>
    </row>
    <row r="2701" spans="1:9" ht="25.5">
      <c r="A2701" s="193">
        <v>46064</v>
      </c>
      <c r="B2701" s="145" t="s">
        <v>824</v>
      </c>
      <c r="C2701" s="150" t="s">
        <v>5512</v>
      </c>
      <c r="D2701" s="201" t="s">
        <v>1431</v>
      </c>
      <c r="E2701" s="144" t="s">
        <v>1566</v>
      </c>
      <c r="F2701" s="139" t="s">
        <v>88</v>
      </c>
      <c r="G2701" s="144" t="s">
        <v>4252</v>
      </c>
      <c r="H2701" s="146" t="s">
        <v>26</v>
      </c>
      <c r="I2701" s="144" t="s">
        <v>1453</v>
      </c>
    </row>
    <row r="2702" spans="1:9" ht="25.5">
      <c r="A2702" s="193">
        <v>46064</v>
      </c>
      <c r="B2702" s="145" t="s">
        <v>824</v>
      </c>
      <c r="C2702" s="150" t="s">
        <v>5512</v>
      </c>
      <c r="D2702" s="201" t="s">
        <v>1431</v>
      </c>
      <c r="E2702" s="144" t="s">
        <v>1566</v>
      </c>
      <c r="F2702" s="139" t="s">
        <v>88</v>
      </c>
      <c r="G2702" s="144" t="s">
        <v>4253</v>
      </c>
      <c r="H2702" s="146" t="s">
        <v>26</v>
      </c>
      <c r="I2702" s="144" t="s">
        <v>1453</v>
      </c>
    </row>
    <row r="2703" spans="1:9" ht="25.5">
      <c r="A2703" s="193">
        <v>46064</v>
      </c>
      <c r="B2703" s="145" t="s">
        <v>824</v>
      </c>
      <c r="C2703" s="150" t="s">
        <v>5512</v>
      </c>
      <c r="D2703" s="201" t="s">
        <v>1431</v>
      </c>
      <c r="E2703" s="144" t="s">
        <v>1566</v>
      </c>
      <c r="F2703" s="139" t="s">
        <v>88</v>
      </c>
      <c r="G2703" s="144" t="s">
        <v>4254</v>
      </c>
      <c r="H2703" s="146" t="s">
        <v>26</v>
      </c>
      <c r="I2703" s="144" t="s">
        <v>1453</v>
      </c>
    </row>
    <row r="2704" spans="1:9" ht="14.1">
      <c r="A2704" s="193">
        <v>46065</v>
      </c>
      <c r="B2704" s="145" t="s">
        <v>824</v>
      </c>
      <c r="C2704" s="150" t="s">
        <v>5512</v>
      </c>
      <c r="D2704" s="201" t="s">
        <v>1431</v>
      </c>
      <c r="E2704" s="144" t="s">
        <v>2530</v>
      </c>
      <c r="F2704" s="139" t="s">
        <v>88</v>
      </c>
      <c r="G2704" s="144" t="s">
        <v>4255</v>
      </c>
      <c r="H2704" s="146" t="s">
        <v>26</v>
      </c>
      <c r="I2704" s="144" t="s">
        <v>2700</v>
      </c>
    </row>
    <row r="2705" spans="1:9" ht="25.5">
      <c r="A2705" s="193">
        <v>46065</v>
      </c>
      <c r="B2705" s="145" t="s">
        <v>824</v>
      </c>
      <c r="C2705" s="150" t="s">
        <v>5512</v>
      </c>
      <c r="D2705" s="201" t="s">
        <v>1431</v>
      </c>
      <c r="E2705" s="144" t="s">
        <v>216</v>
      </c>
      <c r="F2705" s="141" t="s">
        <v>821</v>
      </c>
      <c r="G2705" s="144" t="s">
        <v>4256</v>
      </c>
      <c r="H2705" s="146" t="s">
        <v>26</v>
      </c>
      <c r="I2705" s="144" t="s">
        <v>492</v>
      </c>
    </row>
    <row r="2706" spans="1:9" ht="25.5">
      <c r="A2706" s="193">
        <v>46065</v>
      </c>
      <c r="B2706" s="145" t="s">
        <v>824</v>
      </c>
      <c r="C2706" s="150" t="s">
        <v>5512</v>
      </c>
      <c r="D2706" s="201" t="s">
        <v>1431</v>
      </c>
      <c r="E2706" s="144" t="s">
        <v>1449</v>
      </c>
      <c r="F2706" s="147" t="s">
        <v>859</v>
      </c>
      <c r="G2706" s="144" t="s">
        <v>4257</v>
      </c>
      <c r="H2706" s="146" t="s">
        <v>26</v>
      </c>
      <c r="I2706" s="144" t="s">
        <v>2593</v>
      </c>
    </row>
    <row r="2707" spans="1:9" ht="25.5">
      <c r="A2707" s="193">
        <v>46065</v>
      </c>
      <c r="B2707" s="145" t="s">
        <v>824</v>
      </c>
      <c r="C2707" s="150" t="s">
        <v>5512</v>
      </c>
      <c r="D2707" s="201" t="s">
        <v>1431</v>
      </c>
      <c r="E2707" s="144" t="s">
        <v>1449</v>
      </c>
      <c r="F2707" s="141" t="s">
        <v>821</v>
      </c>
      <c r="G2707" s="144" t="s">
        <v>4258</v>
      </c>
      <c r="H2707" s="146" t="s">
        <v>130</v>
      </c>
      <c r="I2707" s="144" t="s">
        <v>2593</v>
      </c>
    </row>
    <row r="2708" spans="1:9" ht="14.1">
      <c r="A2708" s="193">
        <v>46065</v>
      </c>
      <c r="B2708" s="145" t="s">
        <v>824</v>
      </c>
      <c r="C2708" s="150" t="s">
        <v>5512</v>
      </c>
      <c r="D2708" s="201" t="s">
        <v>1431</v>
      </c>
      <c r="E2708" s="144" t="s">
        <v>1566</v>
      </c>
      <c r="F2708" s="139" t="s">
        <v>88</v>
      </c>
      <c r="G2708" s="144" t="s">
        <v>4259</v>
      </c>
      <c r="H2708" s="146" t="s">
        <v>26</v>
      </c>
      <c r="I2708" s="144" t="s">
        <v>1453</v>
      </c>
    </row>
    <row r="2709" spans="1:9" ht="25.5">
      <c r="A2709" s="193">
        <v>46065</v>
      </c>
      <c r="B2709" s="145" t="s">
        <v>824</v>
      </c>
      <c r="C2709" s="150" t="s">
        <v>5512</v>
      </c>
      <c r="D2709" s="201" t="s">
        <v>1431</v>
      </c>
      <c r="E2709" s="144" t="s">
        <v>1566</v>
      </c>
      <c r="F2709" s="139" t="s">
        <v>88</v>
      </c>
      <c r="G2709" s="144" t="s">
        <v>4260</v>
      </c>
      <c r="H2709" s="146" t="s">
        <v>26</v>
      </c>
      <c r="I2709" s="144" t="s">
        <v>1453</v>
      </c>
    </row>
    <row r="2710" spans="1:9" ht="25.5">
      <c r="A2710" s="193">
        <v>46065</v>
      </c>
      <c r="B2710" s="145" t="s">
        <v>824</v>
      </c>
      <c r="C2710" s="150" t="s">
        <v>5512</v>
      </c>
      <c r="D2710" s="201" t="s">
        <v>1431</v>
      </c>
      <c r="E2710" s="144" t="s">
        <v>1566</v>
      </c>
      <c r="F2710" s="139" t="s">
        <v>88</v>
      </c>
      <c r="G2710" s="144" t="s">
        <v>4261</v>
      </c>
      <c r="H2710" s="146" t="s">
        <v>26</v>
      </c>
      <c r="I2710" s="144" t="s">
        <v>1453</v>
      </c>
    </row>
    <row r="2711" spans="1:9" ht="25.5">
      <c r="A2711" s="193">
        <v>46065</v>
      </c>
      <c r="B2711" s="145" t="s">
        <v>824</v>
      </c>
      <c r="C2711" s="150" t="s">
        <v>5512</v>
      </c>
      <c r="D2711" s="201" t="s">
        <v>1431</v>
      </c>
      <c r="E2711" s="144" t="s">
        <v>1566</v>
      </c>
      <c r="F2711" s="139" t="s">
        <v>88</v>
      </c>
      <c r="G2711" s="144" t="s">
        <v>4262</v>
      </c>
      <c r="H2711" s="146" t="s">
        <v>26</v>
      </c>
      <c r="I2711" s="144" t="s">
        <v>1453</v>
      </c>
    </row>
    <row r="2712" spans="1:9" ht="14.1">
      <c r="A2712" s="193">
        <v>46065</v>
      </c>
      <c r="B2712" s="145" t="s">
        <v>824</v>
      </c>
      <c r="C2712" s="150" t="s">
        <v>5512</v>
      </c>
      <c r="D2712" s="201" t="s">
        <v>2224</v>
      </c>
      <c r="E2712" s="144" t="s">
        <v>1518</v>
      </c>
      <c r="F2712" s="141" t="s">
        <v>821</v>
      </c>
      <c r="G2712" s="144" t="s">
        <v>4263</v>
      </c>
      <c r="H2712" s="146" t="s">
        <v>130</v>
      </c>
      <c r="I2712" s="144" t="s">
        <v>1493</v>
      </c>
    </row>
    <row r="2713" spans="1:9" ht="14.1">
      <c r="A2713" s="193">
        <v>46065</v>
      </c>
      <c r="B2713" s="145" t="s">
        <v>824</v>
      </c>
      <c r="C2713" s="150" t="s">
        <v>5512</v>
      </c>
      <c r="D2713" s="201" t="s">
        <v>2224</v>
      </c>
      <c r="E2713" s="144" t="s">
        <v>21</v>
      </c>
      <c r="F2713" s="141" t="s">
        <v>821</v>
      </c>
      <c r="G2713" s="144" t="s">
        <v>4264</v>
      </c>
      <c r="H2713" s="146" t="s">
        <v>130</v>
      </c>
      <c r="I2713" s="144" t="s">
        <v>468</v>
      </c>
    </row>
    <row r="2714" spans="1:9" ht="25.5">
      <c r="A2714" s="193">
        <v>46065</v>
      </c>
      <c r="B2714" s="145" t="s">
        <v>824</v>
      </c>
      <c r="C2714" s="150" t="s">
        <v>5512</v>
      </c>
      <c r="D2714" s="201" t="s">
        <v>2224</v>
      </c>
      <c r="E2714" s="144" t="s">
        <v>1449</v>
      </c>
      <c r="F2714" s="147" t="s">
        <v>859</v>
      </c>
      <c r="G2714" s="144" t="s">
        <v>4265</v>
      </c>
      <c r="H2714" s="146" t="s">
        <v>26</v>
      </c>
      <c r="I2714" s="144" t="s">
        <v>2593</v>
      </c>
    </row>
    <row r="2715" spans="1:9" ht="25.5">
      <c r="A2715" s="193">
        <v>46065</v>
      </c>
      <c r="B2715" s="145" t="s">
        <v>824</v>
      </c>
      <c r="C2715" s="150" t="s">
        <v>5512</v>
      </c>
      <c r="D2715" s="201" t="s">
        <v>1431</v>
      </c>
      <c r="E2715" s="144" t="s">
        <v>1449</v>
      </c>
      <c r="F2715" s="139" t="s">
        <v>88</v>
      </c>
      <c r="G2715" s="144" t="s">
        <v>4266</v>
      </c>
      <c r="H2715" s="146" t="s">
        <v>26</v>
      </c>
      <c r="I2715" s="144" t="s">
        <v>2593</v>
      </c>
    </row>
    <row r="2716" spans="1:9" ht="25.5">
      <c r="A2716" s="193">
        <v>46065</v>
      </c>
      <c r="B2716" s="145" t="s">
        <v>824</v>
      </c>
      <c r="C2716" s="150" t="s">
        <v>5512</v>
      </c>
      <c r="D2716" s="201" t="s">
        <v>1431</v>
      </c>
      <c r="E2716" s="144" t="s">
        <v>1449</v>
      </c>
      <c r="F2716" s="141" t="s">
        <v>821</v>
      </c>
      <c r="G2716" s="144" t="s">
        <v>4267</v>
      </c>
      <c r="H2716" s="146" t="s">
        <v>26</v>
      </c>
      <c r="I2716" s="144" t="s">
        <v>2593</v>
      </c>
    </row>
    <row r="2717" spans="1:9" ht="14.1">
      <c r="A2717" s="193">
        <v>46065</v>
      </c>
      <c r="B2717" s="145" t="s">
        <v>824</v>
      </c>
      <c r="C2717" s="150" t="s">
        <v>5512</v>
      </c>
      <c r="D2717" s="201" t="s">
        <v>1431</v>
      </c>
      <c r="E2717" s="144" t="s">
        <v>1449</v>
      </c>
      <c r="F2717" s="139" t="s">
        <v>88</v>
      </c>
      <c r="G2717" s="144" t="s">
        <v>4268</v>
      </c>
      <c r="H2717" s="146" t="s">
        <v>26</v>
      </c>
      <c r="I2717" s="144" t="s">
        <v>2593</v>
      </c>
    </row>
    <row r="2718" spans="1:9" ht="25.5">
      <c r="A2718" s="193">
        <v>46065</v>
      </c>
      <c r="B2718" s="145" t="s">
        <v>824</v>
      </c>
      <c r="C2718" s="150" t="s">
        <v>5512</v>
      </c>
      <c r="D2718" s="201" t="s">
        <v>1431</v>
      </c>
      <c r="E2718" s="144" t="s">
        <v>1449</v>
      </c>
      <c r="F2718" s="139" t="s">
        <v>88</v>
      </c>
      <c r="G2718" s="144" t="s">
        <v>4269</v>
      </c>
      <c r="H2718" s="146" t="s">
        <v>26</v>
      </c>
      <c r="I2718" s="144" t="s">
        <v>2593</v>
      </c>
    </row>
    <row r="2719" spans="1:9" ht="14.1">
      <c r="A2719" s="193">
        <v>46065</v>
      </c>
      <c r="B2719" s="145" t="s">
        <v>824</v>
      </c>
      <c r="C2719" s="150" t="s">
        <v>5512</v>
      </c>
      <c r="D2719" s="201" t="s">
        <v>1431</v>
      </c>
      <c r="E2719" s="144" t="s">
        <v>1449</v>
      </c>
      <c r="F2719" s="142" t="s">
        <v>872</v>
      </c>
      <c r="G2719" s="144" t="s">
        <v>4270</v>
      </c>
      <c r="H2719" s="146" t="s">
        <v>26</v>
      </c>
      <c r="I2719" s="144" t="s">
        <v>2593</v>
      </c>
    </row>
    <row r="2720" spans="1:9" ht="14.1">
      <c r="A2720" s="193">
        <v>46066</v>
      </c>
      <c r="B2720" s="145" t="s">
        <v>824</v>
      </c>
      <c r="C2720" s="150" t="s">
        <v>5512</v>
      </c>
      <c r="D2720" s="201" t="s">
        <v>1431</v>
      </c>
      <c r="E2720" s="144" t="s">
        <v>2595</v>
      </c>
      <c r="F2720" s="141" t="s">
        <v>821</v>
      </c>
      <c r="G2720" s="144" t="s">
        <v>4271</v>
      </c>
      <c r="H2720" s="146" t="s">
        <v>130</v>
      </c>
      <c r="I2720" s="144" t="s">
        <v>3516</v>
      </c>
    </row>
    <row r="2721" spans="1:9" ht="25.5">
      <c r="A2721" s="193">
        <v>46066</v>
      </c>
      <c r="B2721" s="145" t="s">
        <v>824</v>
      </c>
      <c r="C2721" s="150" t="s">
        <v>5512</v>
      </c>
      <c r="D2721" s="201" t="s">
        <v>1431</v>
      </c>
      <c r="E2721" s="144" t="s">
        <v>2595</v>
      </c>
      <c r="F2721" s="141" t="s">
        <v>821</v>
      </c>
      <c r="G2721" s="144" t="s">
        <v>4272</v>
      </c>
      <c r="H2721" s="146" t="s">
        <v>130</v>
      </c>
      <c r="I2721" s="144" t="s">
        <v>3516</v>
      </c>
    </row>
    <row r="2722" spans="1:9" ht="25.5">
      <c r="A2722" s="193">
        <v>46066</v>
      </c>
      <c r="B2722" s="145" t="s">
        <v>824</v>
      </c>
      <c r="C2722" s="150" t="s">
        <v>5512</v>
      </c>
      <c r="D2722" s="201" t="s">
        <v>1431</v>
      </c>
      <c r="E2722" s="144" t="s">
        <v>1506</v>
      </c>
      <c r="F2722" s="139" t="s">
        <v>88</v>
      </c>
      <c r="G2722" s="144" t="s">
        <v>4273</v>
      </c>
      <c r="H2722" s="146" t="s">
        <v>26</v>
      </c>
      <c r="I2722" s="144" t="s">
        <v>1904</v>
      </c>
    </row>
    <row r="2723" spans="1:9" ht="25.5">
      <c r="A2723" s="193">
        <v>46066</v>
      </c>
      <c r="B2723" s="145" t="s">
        <v>824</v>
      </c>
      <c r="C2723" s="150" t="s">
        <v>5512</v>
      </c>
      <c r="D2723" s="201" t="s">
        <v>1431</v>
      </c>
      <c r="E2723" s="144" t="s">
        <v>21</v>
      </c>
      <c r="F2723" s="141" t="s">
        <v>821</v>
      </c>
      <c r="G2723" s="144" t="s">
        <v>4274</v>
      </c>
      <c r="H2723" s="146" t="s">
        <v>130</v>
      </c>
      <c r="I2723" s="144" t="s">
        <v>468</v>
      </c>
    </row>
    <row r="2724" spans="1:9" ht="25.5">
      <c r="A2724" s="193">
        <v>46066</v>
      </c>
      <c r="B2724" s="145" t="s">
        <v>824</v>
      </c>
      <c r="C2724" s="150" t="s">
        <v>5512</v>
      </c>
      <c r="D2724" s="201" t="s">
        <v>1431</v>
      </c>
      <c r="E2724" s="144" t="s">
        <v>1584</v>
      </c>
      <c r="F2724" s="141" t="s">
        <v>821</v>
      </c>
      <c r="G2724" s="144" t="s">
        <v>4275</v>
      </c>
      <c r="H2724" s="146" t="s">
        <v>26</v>
      </c>
      <c r="I2724" s="144" t="s">
        <v>158</v>
      </c>
    </row>
    <row r="2725" spans="1:9" ht="38.1">
      <c r="A2725" s="193">
        <v>46066</v>
      </c>
      <c r="B2725" s="145" t="s">
        <v>824</v>
      </c>
      <c r="C2725" s="150" t="s">
        <v>5512</v>
      </c>
      <c r="D2725" s="201" t="s">
        <v>1431</v>
      </c>
      <c r="E2725" s="144" t="s">
        <v>1566</v>
      </c>
      <c r="F2725" s="139" t="s">
        <v>88</v>
      </c>
      <c r="G2725" s="144" t="s">
        <v>4276</v>
      </c>
      <c r="H2725" s="146" t="s">
        <v>26</v>
      </c>
      <c r="I2725" s="144" t="s">
        <v>1453</v>
      </c>
    </row>
    <row r="2726" spans="1:9" ht="14.1">
      <c r="A2726" s="193">
        <v>46066</v>
      </c>
      <c r="B2726" s="145" t="s">
        <v>824</v>
      </c>
      <c r="C2726" s="150" t="s">
        <v>5512</v>
      </c>
      <c r="D2726" s="201" t="s">
        <v>2224</v>
      </c>
      <c r="E2726" s="144" t="s">
        <v>21</v>
      </c>
      <c r="F2726" s="141" t="s">
        <v>821</v>
      </c>
      <c r="G2726" s="144" t="s">
        <v>4277</v>
      </c>
      <c r="H2726" s="146" t="s">
        <v>26</v>
      </c>
      <c r="I2726" s="144" t="s">
        <v>468</v>
      </c>
    </row>
    <row r="2727" spans="1:9" ht="25.5">
      <c r="A2727" s="193">
        <v>46071</v>
      </c>
      <c r="B2727" s="145" t="s">
        <v>824</v>
      </c>
      <c r="C2727" s="150" t="s">
        <v>5512</v>
      </c>
      <c r="D2727" s="201" t="s">
        <v>1431</v>
      </c>
      <c r="E2727" s="144" t="s">
        <v>2595</v>
      </c>
      <c r="F2727" s="139" t="s">
        <v>88</v>
      </c>
      <c r="G2727" s="144" t="s">
        <v>4278</v>
      </c>
      <c r="H2727" s="146" t="s">
        <v>130</v>
      </c>
      <c r="I2727" s="144" t="s">
        <v>3516</v>
      </c>
    </row>
    <row r="2728" spans="1:9" ht="14.1">
      <c r="A2728" s="193">
        <v>46071</v>
      </c>
      <c r="B2728" s="145" t="s">
        <v>824</v>
      </c>
      <c r="C2728" s="150" t="s">
        <v>5512</v>
      </c>
      <c r="D2728" s="201" t="s">
        <v>1431</v>
      </c>
      <c r="E2728" s="144" t="s">
        <v>1506</v>
      </c>
      <c r="F2728" s="139" t="s">
        <v>88</v>
      </c>
      <c r="G2728" s="144" t="s">
        <v>4279</v>
      </c>
      <c r="H2728" s="146" t="s">
        <v>26</v>
      </c>
      <c r="I2728" s="144" t="s">
        <v>3343</v>
      </c>
    </row>
    <row r="2729" spans="1:9" ht="14.1">
      <c r="A2729" s="193">
        <v>46071</v>
      </c>
      <c r="B2729" s="145" t="s">
        <v>824</v>
      </c>
      <c r="C2729" s="150" t="s">
        <v>5512</v>
      </c>
      <c r="D2729" s="201" t="s">
        <v>1431</v>
      </c>
      <c r="E2729" s="144" t="s">
        <v>1506</v>
      </c>
      <c r="F2729" s="139" t="s">
        <v>88</v>
      </c>
      <c r="G2729" s="144" t="s">
        <v>4280</v>
      </c>
      <c r="H2729" s="146" t="s">
        <v>26</v>
      </c>
      <c r="I2729" s="144" t="s">
        <v>3343</v>
      </c>
    </row>
    <row r="2730" spans="1:9" ht="25.5">
      <c r="A2730" s="193">
        <v>46071</v>
      </c>
      <c r="B2730" s="145" t="s">
        <v>824</v>
      </c>
      <c r="C2730" s="150" t="s">
        <v>5512</v>
      </c>
      <c r="D2730" s="201" t="s">
        <v>1431</v>
      </c>
      <c r="E2730" s="144" t="s">
        <v>216</v>
      </c>
      <c r="F2730" s="141" t="s">
        <v>821</v>
      </c>
      <c r="G2730" s="144" t="s">
        <v>4281</v>
      </c>
      <c r="H2730" s="146" t="s">
        <v>130</v>
      </c>
      <c r="I2730" s="144" t="s">
        <v>492</v>
      </c>
    </row>
    <row r="2731" spans="1:9" ht="25.5">
      <c r="A2731" s="193">
        <v>46071</v>
      </c>
      <c r="B2731" s="145" t="s">
        <v>824</v>
      </c>
      <c r="C2731" s="150" t="s">
        <v>5512</v>
      </c>
      <c r="D2731" s="201" t="s">
        <v>1431</v>
      </c>
      <c r="E2731" s="144" t="s">
        <v>216</v>
      </c>
      <c r="F2731" s="141" t="s">
        <v>821</v>
      </c>
      <c r="G2731" s="144" t="s">
        <v>4282</v>
      </c>
      <c r="H2731" s="146" t="s">
        <v>26</v>
      </c>
      <c r="I2731" s="144" t="s">
        <v>492</v>
      </c>
    </row>
    <row r="2732" spans="1:9" ht="14.1">
      <c r="A2732" s="193">
        <v>46071</v>
      </c>
      <c r="B2732" s="145" t="s">
        <v>824</v>
      </c>
      <c r="C2732" s="150" t="s">
        <v>5512</v>
      </c>
      <c r="D2732" s="201" t="s">
        <v>2197</v>
      </c>
      <c r="E2732" s="144" t="s">
        <v>216</v>
      </c>
      <c r="F2732" s="141" t="s">
        <v>821</v>
      </c>
      <c r="G2732" s="144" t="s">
        <v>4283</v>
      </c>
      <c r="H2732" s="146" t="s">
        <v>130</v>
      </c>
      <c r="I2732" s="144" t="s">
        <v>492</v>
      </c>
    </row>
    <row r="2733" spans="1:9" ht="25.5">
      <c r="A2733" s="193">
        <v>46071</v>
      </c>
      <c r="B2733" s="145" t="s">
        <v>824</v>
      </c>
      <c r="C2733" s="150" t="s">
        <v>5512</v>
      </c>
      <c r="D2733" s="201" t="s">
        <v>1431</v>
      </c>
      <c r="E2733" s="144" t="s">
        <v>21</v>
      </c>
      <c r="F2733" s="141" t="s">
        <v>821</v>
      </c>
      <c r="G2733" s="144" t="s">
        <v>4284</v>
      </c>
      <c r="H2733" s="146" t="s">
        <v>130</v>
      </c>
      <c r="I2733" s="144" t="s">
        <v>149</v>
      </c>
    </row>
    <row r="2734" spans="1:9" ht="14.1">
      <c r="A2734" s="193">
        <v>46071</v>
      </c>
      <c r="B2734" s="145" t="s">
        <v>824</v>
      </c>
      <c r="C2734" s="150" t="s">
        <v>5512</v>
      </c>
      <c r="D2734" s="201" t="s">
        <v>1431</v>
      </c>
      <c r="E2734" s="144" t="s">
        <v>1449</v>
      </c>
      <c r="F2734" s="141" t="s">
        <v>821</v>
      </c>
      <c r="G2734" s="144" t="s">
        <v>4285</v>
      </c>
      <c r="H2734" s="146" t="s">
        <v>26</v>
      </c>
      <c r="I2734" s="144" t="s">
        <v>2593</v>
      </c>
    </row>
    <row r="2735" spans="1:9" ht="14.1">
      <c r="A2735" s="193">
        <v>46071</v>
      </c>
      <c r="B2735" s="145" t="s">
        <v>824</v>
      </c>
      <c r="C2735" s="150" t="s">
        <v>5512</v>
      </c>
      <c r="D2735" s="201" t="s">
        <v>1431</v>
      </c>
      <c r="E2735" s="144" t="s">
        <v>1449</v>
      </c>
      <c r="F2735" s="139" t="s">
        <v>88</v>
      </c>
      <c r="G2735" s="144" t="s">
        <v>4286</v>
      </c>
      <c r="H2735" s="146" t="s">
        <v>26</v>
      </c>
      <c r="I2735" s="144" t="s">
        <v>2593</v>
      </c>
    </row>
    <row r="2736" spans="1:9" ht="14.1">
      <c r="A2736" s="193">
        <v>46071</v>
      </c>
      <c r="B2736" s="145" t="s">
        <v>824</v>
      </c>
      <c r="C2736" s="150" t="s">
        <v>5512</v>
      </c>
      <c r="D2736" s="201" t="s">
        <v>1431</v>
      </c>
      <c r="E2736" s="144" t="s">
        <v>1449</v>
      </c>
      <c r="F2736" s="139" t="s">
        <v>88</v>
      </c>
      <c r="G2736" s="144" t="s">
        <v>4287</v>
      </c>
      <c r="H2736" s="146" t="s">
        <v>26</v>
      </c>
      <c r="I2736" s="144" t="s">
        <v>2593</v>
      </c>
    </row>
    <row r="2737" spans="1:9" ht="25.5">
      <c r="A2737" s="193">
        <v>46071</v>
      </c>
      <c r="B2737" s="145" t="s">
        <v>824</v>
      </c>
      <c r="C2737" s="150" t="s">
        <v>5512</v>
      </c>
      <c r="D2737" s="201" t="s">
        <v>1431</v>
      </c>
      <c r="E2737" s="144" t="s">
        <v>1449</v>
      </c>
      <c r="F2737" s="140" t="s">
        <v>1439</v>
      </c>
      <c r="G2737" s="144" t="s">
        <v>4288</v>
      </c>
      <c r="H2737" s="146" t="s">
        <v>26</v>
      </c>
      <c r="I2737" s="144" t="s">
        <v>2593</v>
      </c>
    </row>
    <row r="2738" spans="1:9" ht="25.5">
      <c r="A2738" s="193">
        <v>46071</v>
      </c>
      <c r="B2738" s="145" t="s">
        <v>824</v>
      </c>
      <c r="C2738" s="150" t="s">
        <v>5512</v>
      </c>
      <c r="D2738" s="201" t="s">
        <v>3881</v>
      </c>
      <c r="E2738" s="144" t="s">
        <v>988</v>
      </c>
      <c r="F2738" s="140" t="s">
        <v>1439</v>
      </c>
      <c r="G2738" s="144" t="s">
        <v>4289</v>
      </c>
      <c r="H2738" s="146" t="s">
        <v>130</v>
      </c>
      <c r="I2738" s="144" t="s">
        <v>4183</v>
      </c>
    </row>
    <row r="2739" spans="1:9" ht="38.1">
      <c r="A2739" s="193">
        <v>46071</v>
      </c>
      <c r="B2739" s="145" t="s">
        <v>824</v>
      </c>
      <c r="C2739" s="150" t="s">
        <v>5512</v>
      </c>
      <c r="D2739" s="201" t="s">
        <v>2224</v>
      </c>
      <c r="E2739" s="144" t="s">
        <v>1449</v>
      </c>
      <c r="F2739" s="139" t="s">
        <v>88</v>
      </c>
      <c r="G2739" s="144" t="s">
        <v>4290</v>
      </c>
      <c r="H2739" s="146" t="s">
        <v>26</v>
      </c>
      <c r="I2739" s="144" t="s">
        <v>2593</v>
      </c>
    </row>
    <row r="2740" spans="1:9" ht="25.5">
      <c r="A2740" s="193">
        <v>46071</v>
      </c>
      <c r="B2740" s="145" t="s">
        <v>824</v>
      </c>
      <c r="C2740" s="150" t="s">
        <v>5512</v>
      </c>
      <c r="D2740" s="201" t="s">
        <v>1431</v>
      </c>
      <c r="E2740" s="144" t="s">
        <v>1566</v>
      </c>
      <c r="F2740" s="139" t="s">
        <v>88</v>
      </c>
      <c r="G2740" s="144" t="s">
        <v>4291</v>
      </c>
      <c r="H2740" s="146" t="s">
        <v>26</v>
      </c>
      <c r="I2740" s="144" t="s">
        <v>1588</v>
      </c>
    </row>
    <row r="2741" spans="1:9" ht="14.1">
      <c r="A2741" s="193">
        <v>46071</v>
      </c>
      <c r="B2741" s="145" t="s">
        <v>824</v>
      </c>
      <c r="C2741" s="150" t="s">
        <v>5512</v>
      </c>
      <c r="D2741" s="201" t="s">
        <v>1431</v>
      </c>
      <c r="E2741" s="144" t="s">
        <v>1566</v>
      </c>
      <c r="F2741" s="139" t="s">
        <v>88</v>
      </c>
      <c r="G2741" s="144" t="s">
        <v>4292</v>
      </c>
      <c r="H2741" s="146" t="s">
        <v>26</v>
      </c>
      <c r="I2741" s="144" t="s">
        <v>1588</v>
      </c>
    </row>
    <row r="2742" spans="1:9" ht="38.1">
      <c r="A2742" s="193">
        <v>46071</v>
      </c>
      <c r="B2742" s="145" t="s">
        <v>824</v>
      </c>
      <c r="C2742" s="150" t="s">
        <v>5512</v>
      </c>
      <c r="D2742" s="201" t="s">
        <v>1431</v>
      </c>
      <c r="E2742" s="144" t="s">
        <v>1566</v>
      </c>
      <c r="F2742" s="139" t="s">
        <v>88</v>
      </c>
      <c r="G2742" s="144" t="s">
        <v>4293</v>
      </c>
      <c r="H2742" s="146" t="s">
        <v>26</v>
      </c>
      <c r="I2742" s="144" t="s">
        <v>1588</v>
      </c>
    </row>
    <row r="2743" spans="1:9" ht="350.45">
      <c r="A2743" s="193">
        <v>46071</v>
      </c>
      <c r="B2743" s="145" t="s">
        <v>824</v>
      </c>
      <c r="C2743" s="150" t="s">
        <v>5512</v>
      </c>
      <c r="D2743" s="201" t="s">
        <v>1431</v>
      </c>
      <c r="E2743" s="144" t="s">
        <v>1566</v>
      </c>
      <c r="F2743" s="139" t="s">
        <v>88</v>
      </c>
      <c r="G2743" s="144" t="s">
        <v>4294</v>
      </c>
      <c r="H2743" s="146" t="s">
        <v>26</v>
      </c>
      <c r="I2743" s="144" t="s">
        <v>1588</v>
      </c>
    </row>
    <row r="2744" spans="1:9" ht="14.1">
      <c r="A2744" s="193">
        <v>46071</v>
      </c>
      <c r="B2744" s="145" t="s">
        <v>824</v>
      </c>
      <c r="C2744" s="150" t="s">
        <v>5512</v>
      </c>
      <c r="D2744" s="201" t="s">
        <v>1431</v>
      </c>
      <c r="E2744" s="144" t="s">
        <v>216</v>
      </c>
      <c r="F2744" s="141" t="s">
        <v>821</v>
      </c>
      <c r="G2744" s="144" t="s">
        <v>4295</v>
      </c>
      <c r="H2744" s="146" t="s">
        <v>26</v>
      </c>
      <c r="I2744" s="144" t="s">
        <v>492</v>
      </c>
    </row>
    <row r="2745" spans="1:9" ht="25.5">
      <c r="A2745" s="193">
        <v>46071</v>
      </c>
      <c r="B2745" s="145" t="s">
        <v>824</v>
      </c>
      <c r="C2745" s="150" t="s">
        <v>5512</v>
      </c>
      <c r="D2745" s="201" t="s">
        <v>1431</v>
      </c>
      <c r="E2745" s="144" t="s">
        <v>1449</v>
      </c>
      <c r="F2745" s="139" t="s">
        <v>88</v>
      </c>
      <c r="G2745" s="144" t="s">
        <v>4296</v>
      </c>
      <c r="H2745" s="146" t="s">
        <v>26</v>
      </c>
      <c r="I2745" s="144" t="s">
        <v>2593</v>
      </c>
    </row>
    <row r="2746" spans="1:9" ht="14.1">
      <c r="A2746" s="193">
        <v>46071</v>
      </c>
      <c r="B2746" s="145" t="s">
        <v>824</v>
      </c>
      <c r="C2746" s="150" t="s">
        <v>5512</v>
      </c>
      <c r="D2746" s="201" t="s">
        <v>1431</v>
      </c>
      <c r="E2746" s="144" t="s">
        <v>1449</v>
      </c>
      <c r="F2746" s="139" t="s">
        <v>88</v>
      </c>
      <c r="G2746" s="144" t="s">
        <v>4297</v>
      </c>
      <c r="H2746" s="146" t="s">
        <v>26</v>
      </c>
      <c r="I2746" s="144" t="s">
        <v>2593</v>
      </c>
    </row>
    <row r="2747" spans="1:9" ht="50.45">
      <c r="A2747" s="193">
        <v>46071</v>
      </c>
      <c r="B2747" s="145" t="s">
        <v>824</v>
      </c>
      <c r="C2747" s="150" t="s">
        <v>5512</v>
      </c>
      <c r="D2747" s="201" t="s">
        <v>1431</v>
      </c>
      <c r="E2747" s="144" t="s">
        <v>1449</v>
      </c>
      <c r="F2747" s="139" t="s">
        <v>88</v>
      </c>
      <c r="G2747" s="144" t="s">
        <v>4298</v>
      </c>
      <c r="H2747" s="146" t="s">
        <v>26</v>
      </c>
      <c r="I2747" s="144" t="s">
        <v>2593</v>
      </c>
    </row>
    <row r="2748" spans="1:9" ht="14.1">
      <c r="A2748" s="193">
        <v>46071</v>
      </c>
      <c r="B2748" s="145" t="s">
        <v>824</v>
      </c>
      <c r="C2748" s="150" t="s">
        <v>5512</v>
      </c>
      <c r="D2748" s="201" t="s">
        <v>1431</v>
      </c>
      <c r="E2748" s="144" t="s">
        <v>1449</v>
      </c>
      <c r="F2748" s="139" t="s">
        <v>88</v>
      </c>
      <c r="G2748" s="144" t="s">
        <v>4299</v>
      </c>
      <c r="H2748" s="146" t="s">
        <v>26</v>
      </c>
      <c r="I2748" s="144" t="s">
        <v>2593</v>
      </c>
    </row>
    <row r="2749" spans="1:9" ht="14.1">
      <c r="A2749" s="193">
        <v>46071</v>
      </c>
      <c r="B2749" s="145" t="s">
        <v>824</v>
      </c>
      <c r="C2749" s="150" t="s">
        <v>5512</v>
      </c>
      <c r="D2749" s="201" t="s">
        <v>1431</v>
      </c>
      <c r="E2749" s="144" t="s">
        <v>1449</v>
      </c>
      <c r="F2749" s="139" t="s">
        <v>88</v>
      </c>
      <c r="G2749" s="144" t="s">
        <v>4300</v>
      </c>
      <c r="H2749" s="146" t="s">
        <v>26</v>
      </c>
      <c r="I2749" s="144" t="s">
        <v>2593</v>
      </c>
    </row>
    <row r="2750" spans="1:9" ht="14.1">
      <c r="A2750" s="193">
        <v>46071</v>
      </c>
      <c r="B2750" s="145" t="s">
        <v>824</v>
      </c>
      <c r="C2750" s="150" t="s">
        <v>5512</v>
      </c>
      <c r="D2750" s="201" t="s">
        <v>1431</v>
      </c>
      <c r="E2750" s="144" t="s">
        <v>1449</v>
      </c>
      <c r="F2750" s="141" t="s">
        <v>821</v>
      </c>
      <c r="G2750" s="144" t="s">
        <v>4301</v>
      </c>
      <c r="H2750" s="146" t="s">
        <v>26</v>
      </c>
      <c r="I2750" s="144" t="s">
        <v>2593</v>
      </c>
    </row>
    <row r="2751" spans="1:9" ht="25.5">
      <c r="A2751" s="193">
        <v>46072</v>
      </c>
      <c r="B2751" s="145" t="s">
        <v>824</v>
      </c>
      <c r="C2751" s="150" t="s">
        <v>5512</v>
      </c>
      <c r="D2751" s="201" t="s">
        <v>1431</v>
      </c>
      <c r="E2751" s="144" t="s">
        <v>2595</v>
      </c>
      <c r="F2751" s="141" t="s">
        <v>821</v>
      </c>
      <c r="G2751" s="144" t="s">
        <v>4302</v>
      </c>
      <c r="H2751" s="146" t="s">
        <v>130</v>
      </c>
      <c r="I2751" s="144" t="s">
        <v>3516</v>
      </c>
    </row>
    <row r="2752" spans="1:9" ht="14.1">
      <c r="A2752" s="193">
        <v>46072</v>
      </c>
      <c r="B2752" s="145" t="s">
        <v>824</v>
      </c>
      <c r="C2752" s="150" t="s">
        <v>5512</v>
      </c>
      <c r="D2752" s="201" t="s">
        <v>1431</v>
      </c>
      <c r="E2752" s="144" t="s">
        <v>1511</v>
      </c>
      <c r="F2752" s="139" t="s">
        <v>88</v>
      </c>
      <c r="G2752" s="144" t="s">
        <v>4303</v>
      </c>
      <c r="H2752" s="146" t="s">
        <v>26</v>
      </c>
      <c r="I2752" s="144" t="s">
        <v>3836</v>
      </c>
    </row>
    <row r="2753" spans="1:9" ht="25.5">
      <c r="A2753" s="193">
        <v>46072</v>
      </c>
      <c r="B2753" s="145" t="s">
        <v>824</v>
      </c>
      <c r="C2753" s="150" t="s">
        <v>5512</v>
      </c>
      <c r="D2753" s="201" t="s">
        <v>1431</v>
      </c>
      <c r="E2753" s="144" t="s">
        <v>1504</v>
      </c>
      <c r="F2753" s="141" t="s">
        <v>821</v>
      </c>
      <c r="G2753" s="144" t="s">
        <v>4304</v>
      </c>
      <c r="H2753" s="146" t="s">
        <v>130</v>
      </c>
      <c r="I2753" s="144" t="s">
        <v>3516</v>
      </c>
    </row>
    <row r="2754" spans="1:9" ht="14.1">
      <c r="A2754" s="193">
        <v>46072</v>
      </c>
      <c r="B2754" s="145" t="s">
        <v>824</v>
      </c>
      <c r="C2754" s="150" t="s">
        <v>5512</v>
      </c>
      <c r="D2754" s="201" t="s">
        <v>1431</v>
      </c>
      <c r="E2754" s="144" t="s">
        <v>1518</v>
      </c>
      <c r="F2754" s="141" t="s">
        <v>821</v>
      </c>
      <c r="G2754" s="144" t="s">
        <v>4032</v>
      </c>
      <c r="H2754" s="146" t="s">
        <v>26</v>
      </c>
      <c r="I2754" s="144" t="s">
        <v>1493</v>
      </c>
    </row>
    <row r="2755" spans="1:9" ht="25.5">
      <c r="A2755" s="193">
        <v>46072</v>
      </c>
      <c r="B2755" s="145" t="s">
        <v>824</v>
      </c>
      <c r="C2755" s="150" t="s">
        <v>5512</v>
      </c>
      <c r="D2755" s="201" t="s">
        <v>1431</v>
      </c>
      <c r="E2755" s="144" t="s">
        <v>216</v>
      </c>
      <c r="F2755" s="141" t="s">
        <v>821</v>
      </c>
      <c r="G2755" s="144" t="s">
        <v>4305</v>
      </c>
      <c r="H2755" s="146" t="s">
        <v>130</v>
      </c>
      <c r="I2755" s="144" t="s">
        <v>492</v>
      </c>
    </row>
    <row r="2756" spans="1:9" ht="14.1">
      <c r="A2756" s="193">
        <v>46072</v>
      </c>
      <c r="B2756" s="145" t="s">
        <v>824</v>
      </c>
      <c r="C2756" s="150" t="s">
        <v>5512</v>
      </c>
      <c r="D2756" s="201" t="s">
        <v>1431</v>
      </c>
      <c r="E2756" s="144" t="s">
        <v>1449</v>
      </c>
      <c r="F2756" s="139" t="s">
        <v>88</v>
      </c>
      <c r="G2756" s="144" t="s">
        <v>4306</v>
      </c>
      <c r="H2756" s="146" t="s">
        <v>26</v>
      </c>
      <c r="I2756" s="144" t="s">
        <v>2593</v>
      </c>
    </row>
    <row r="2757" spans="1:9" ht="14.1">
      <c r="A2757" s="193">
        <v>46072</v>
      </c>
      <c r="B2757" s="145" t="s">
        <v>824</v>
      </c>
      <c r="C2757" s="150" t="s">
        <v>5512</v>
      </c>
      <c r="D2757" s="201" t="s">
        <v>1431</v>
      </c>
      <c r="E2757" s="144" t="s">
        <v>1566</v>
      </c>
      <c r="F2757" s="139" t="s">
        <v>88</v>
      </c>
      <c r="G2757" s="144" t="s">
        <v>4307</v>
      </c>
      <c r="H2757" s="146" t="s">
        <v>26</v>
      </c>
      <c r="I2757" s="144" t="s">
        <v>2798</v>
      </c>
    </row>
    <row r="2758" spans="1:9" ht="25.5">
      <c r="A2758" s="193">
        <v>46072</v>
      </c>
      <c r="B2758" s="145" t="s">
        <v>824</v>
      </c>
      <c r="C2758" s="150" t="s">
        <v>5512</v>
      </c>
      <c r="D2758" s="201" t="s">
        <v>1431</v>
      </c>
      <c r="E2758" s="144" t="s">
        <v>1566</v>
      </c>
      <c r="F2758" s="139" t="s">
        <v>88</v>
      </c>
      <c r="G2758" s="144" t="s">
        <v>4308</v>
      </c>
      <c r="H2758" s="146" t="s">
        <v>26</v>
      </c>
      <c r="I2758" s="144" t="s">
        <v>2798</v>
      </c>
    </row>
    <row r="2759" spans="1:9" ht="14.1">
      <c r="A2759" s="193">
        <v>46073</v>
      </c>
      <c r="B2759" s="145" t="s">
        <v>824</v>
      </c>
      <c r="C2759" s="150" t="s">
        <v>5512</v>
      </c>
      <c r="D2759" s="201" t="s">
        <v>1431</v>
      </c>
      <c r="E2759" s="144" t="s">
        <v>2595</v>
      </c>
      <c r="F2759" s="141" t="s">
        <v>821</v>
      </c>
      <c r="G2759" s="144" t="s">
        <v>4309</v>
      </c>
      <c r="H2759" s="146" t="s">
        <v>130</v>
      </c>
      <c r="I2759" s="144" t="s">
        <v>3516</v>
      </c>
    </row>
    <row r="2760" spans="1:9" ht="14.1">
      <c r="A2760" s="193">
        <v>46073</v>
      </c>
      <c r="B2760" s="145" t="s">
        <v>824</v>
      </c>
      <c r="C2760" s="150" t="s">
        <v>5512</v>
      </c>
      <c r="D2760" s="201" t="s">
        <v>1431</v>
      </c>
      <c r="E2760" s="144" t="s">
        <v>922</v>
      </c>
      <c r="F2760" s="141" t="s">
        <v>821</v>
      </c>
      <c r="G2760" s="144" t="s">
        <v>4310</v>
      </c>
      <c r="H2760" s="146" t="s">
        <v>130</v>
      </c>
      <c r="I2760" s="144" t="s">
        <v>1541</v>
      </c>
    </row>
    <row r="2761" spans="1:9" ht="38.1">
      <c r="A2761" s="193">
        <v>46073</v>
      </c>
      <c r="B2761" s="145" t="s">
        <v>824</v>
      </c>
      <c r="C2761" s="150" t="s">
        <v>5512</v>
      </c>
      <c r="D2761" s="201" t="s">
        <v>1431</v>
      </c>
      <c r="E2761" s="144" t="s">
        <v>1506</v>
      </c>
      <c r="F2761" s="139" t="s">
        <v>88</v>
      </c>
      <c r="G2761" s="144" t="s">
        <v>4311</v>
      </c>
      <c r="H2761" s="146" t="s">
        <v>26</v>
      </c>
      <c r="I2761" s="144" t="s">
        <v>1904</v>
      </c>
    </row>
    <row r="2762" spans="1:9" ht="14.1">
      <c r="A2762" s="193">
        <v>46073</v>
      </c>
      <c r="B2762" s="145" t="s">
        <v>824</v>
      </c>
      <c r="C2762" s="150" t="s">
        <v>5512</v>
      </c>
      <c r="D2762" s="201" t="s">
        <v>1431</v>
      </c>
      <c r="E2762" s="144" t="s">
        <v>216</v>
      </c>
      <c r="F2762" s="141" t="s">
        <v>821</v>
      </c>
      <c r="G2762" s="144" t="s">
        <v>4312</v>
      </c>
      <c r="H2762" s="146" t="s">
        <v>26</v>
      </c>
      <c r="I2762" s="144" t="s">
        <v>492</v>
      </c>
    </row>
    <row r="2763" spans="1:9" ht="25.5">
      <c r="A2763" s="193">
        <v>46073</v>
      </c>
      <c r="B2763" s="145" t="s">
        <v>824</v>
      </c>
      <c r="C2763" s="150" t="s">
        <v>5512</v>
      </c>
      <c r="D2763" s="201" t="s">
        <v>1431</v>
      </c>
      <c r="E2763" s="144" t="s">
        <v>21</v>
      </c>
      <c r="F2763" s="141" t="s">
        <v>821</v>
      </c>
      <c r="G2763" s="144" t="s">
        <v>4313</v>
      </c>
      <c r="H2763" s="146" t="s">
        <v>130</v>
      </c>
      <c r="I2763" s="144" t="s">
        <v>149</v>
      </c>
    </row>
    <row r="2764" spans="1:9" ht="25.5">
      <c r="A2764" s="193">
        <v>46073</v>
      </c>
      <c r="B2764" s="145" t="s">
        <v>824</v>
      </c>
      <c r="C2764" s="150" t="s">
        <v>5512</v>
      </c>
      <c r="D2764" s="201" t="s">
        <v>1431</v>
      </c>
      <c r="E2764" s="144" t="s">
        <v>1449</v>
      </c>
      <c r="F2764" s="139" t="s">
        <v>88</v>
      </c>
      <c r="G2764" s="144" t="s">
        <v>4314</v>
      </c>
      <c r="H2764" s="146" t="s">
        <v>26</v>
      </c>
      <c r="I2764" s="144" t="s">
        <v>2593</v>
      </c>
    </row>
    <row r="2765" spans="1:9" ht="38.1">
      <c r="A2765" s="193">
        <v>46073</v>
      </c>
      <c r="B2765" s="145" t="s">
        <v>824</v>
      </c>
      <c r="C2765" s="150" t="s">
        <v>5512</v>
      </c>
      <c r="D2765" s="201" t="s">
        <v>1431</v>
      </c>
      <c r="E2765" s="144" t="s">
        <v>1449</v>
      </c>
      <c r="F2765" s="139" t="s">
        <v>88</v>
      </c>
      <c r="G2765" s="144" t="s">
        <v>4315</v>
      </c>
      <c r="H2765" s="146" t="s">
        <v>26</v>
      </c>
      <c r="I2765" s="144" t="s">
        <v>2593</v>
      </c>
    </row>
    <row r="2766" spans="1:9" ht="25.5">
      <c r="A2766" s="193">
        <v>46073</v>
      </c>
      <c r="B2766" s="145" t="s">
        <v>824</v>
      </c>
      <c r="C2766" s="150" t="s">
        <v>5512</v>
      </c>
      <c r="D2766" s="201" t="s">
        <v>1431</v>
      </c>
      <c r="E2766" s="144" t="s">
        <v>1449</v>
      </c>
      <c r="F2766" s="139" t="s">
        <v>88</v>
      </c>
      <c r="G2766" s="144" t="s">
        <v>4316</v>
      </c>
      <c r="H2766" s="146" t="s">
        <v>26</v>
      </c>
      <c r="I2766" s="144" t="s">
        <v>2593</v>
      </c>
    </row>
    <row r="2767" spans="1:9" ht="38.1">
      <c r="A2767" s="193">
        <v>46073</v>
      </c>
      <c r="B2767" s="145" t="s">
        <v>824</v>
      </c>
      <c r="C2767" s="150" t="s">
        <v>5512</v>
      </c>
      <c r="D2767" s="201" t="s">
        <v>1431</v>
      </c>
      <c r="E2767" s="144" t="s">
        <v>1449</v>
      </c>
      <c r="F2767" s="139" t="s">
        <v>88</v>
      </c>
      <c r="G2767" s="144" t="s">
        <v>4317</v>
      </c>
      <c r="H2767" s="146" t="s">
        <v>26</v>
      </c>
      <c r="I2767" s="144" t="s">
        <v>2593</v>
      </c>
    </row>
    <row r="2768" spans="1:9" ht="87.95">
      <c r="A2768" s="193">
        <v>46073</v>
      </c>
      <c r="B2768" s="145" t="s">
        <v>824</v>
      </c>
      <c r="C2768" s="150" t="s">
        <v>5512</v>
      </c>
      <c r="D2768" s="201" t="s">
        <v>1431</v>
      </c>
      <c r="E2768" s="144" t="s">
        <v>1566</v>
      </c>
      <c r="F2768" s="139" t="s">
        <v>88</v>
      </c>
      <c r="G2768" s="144" t="s">
        <v>4318</v>
      </c>
      <c r="H2768" s="146" t="s">
        <v>26</v>
      </c>
      <c r="I2768" s="144" t="s">
        <v>1453</v>
      </c>
    </row>
    <row r="2769" spans="1:9" ht="14.1">
      <c r="A2769" s="193">
        <v>46073</v>
      </c>
      <c r="B2769" s="145" t="s">
        <v>824</v>
      </c>
      <c r="C2769" s="150" t="s">
        <v>5512</v>
      </c>
      <c r="D2769" s="201" t="s">
        <v>1431</v>
      </c>
      <c r="E2769" s="144" t="s">
        <v>1539</v>
      </c>
      <c r="F2769" s="139" t="s">
        <v>88</v>
      </c>
      <c r="G2769" s="144" t="s">
        <v>4319</v>
      </c>
      <c r="H2769" s="146" t="s">
        <v>26</v>
      </c>
      <c r="I2769" s="144" t="s">
        <v>2798</v>
      </c>
    </row>
    <row r="2770" spans="1:9" ht="14.1">
      <c r="A2770" s="193">
        <v>46073</v>
      </c>
      <c r="B2770" s="145" t="s">
        <v>824</v>
      </c>
      <c r="C2770" s="150" t="s">
        <v>5512</v>
      </c>
      <c r="D2770" s="201" t="s">
        <v>3881</v>
      </c>
      <c r="E2770" s="144" t="s">
        <v>1584</v>
      </c>
      <c r="F2770" s="141" t="s">
        <v>821</v>
      </c>
      <c r="G2770" s="144" t="s">
        <v>4320</v>
      </c>
      <c r="H2770" s="146" t="s">
        <v>26</v>
      </c>
      <c r="I2770" s="144" t="s">
        <v>2813</v>
      </c>
    </row>
    <row r="2771" spans="1:9" ht="25.5">
      <c r="A2771" s="193">
        <v>46073</v>
      </c>
      <c r="B2771" s="145" t="s">
        <v>824</v>
      </c>
      <c r="C2771" s="150" t="s">
        <v>5512</v>
      </c>
      <c r="D2771" s="201" t="s">
        <v>2224</v>
      </c>
      <c r="E2771" s="144" t="s">
        <v>21</v>
      </c>
      <c r="F2771" s="141" t="s">
        <v>821</v>
      </c>
      <c r="G2771" s="144" t="s">
        <v>4321</v>
      </c>
      <c r="H2771" s="146" t="s">
        <v>130</v>
      </c>
      <c r="I2771" s="144" t="s">
        <v>2568</v>
      </c>
    </row>
    <row r="2772" spans="1:9" ht="14.1">
      <c r="A2772" s="193">
        <v>46073</v>
      </c>
      <c r="B2772" s="145" t="s">
        <v>824</v>
      </c>
      <c r="C2772" s="150" t="s">
        <v>5512</v>
      </c>
      <c r="D2772" s="201" t="s">
        <v>2224</v>
      </c>
      <c r="E2772" s="144" t="s">
        <v>21</v>
      </c>
      <c r="F2772" s="141" t="s">
        <v>821</v>
      </c>
      <c r="G2772" s="144" t="s">
        <v>4322</v>
      </c>
      <c r="H2772" s="146" t="s">
        <v>130</v>
      </c>
      <c r="I2772" s="144" t="s">
        <v>2735</v>
      </c>
    </row>
    <row r="2773" spans="1:9" ht="14.1">
      <c r="A2773" s="193">
        <v>46076</v>
      </c>
      <c r="B2773" s="145" t="s">
        <v>824</v>
      </c>
      <c r="C2773" s="150" t="s">
        <v>5512</v>
      </c>
      <c r="D2773" s="201" t="s">
        <v>1431</v>
      </c>
      <c r="E2773" s="144" t="s">
        <v>2595</v>
      </c>
      <c r="F2773" s="141" t="s">
        <v>821</v>
      </c>
      <c r="G2773" s="144" t="s">
        <v>4323</v>
      </c>
      <c r="H2773" s="146" t="s">
        <v>130</v>
      </c>
      <c r="I2773" s="144" t="s">
        <v>578</v>
      </c>
    </row>
    <row r="2774" spans="1:9" ht="14.1">
      <c r="A2774" s="193">
        <v>46076</v>
      </c>
      <c r="B2774" s="145" t="s">
        <v>824</v>
      </c>
      <c r="C2774" s="150" t="s">
        <v>5512</v>
      </c>
      <c r="D2774" s="201" t="s">
        <v>1431</v>
      </c>
      <c r="E2774" s="144" t="s">
        <v>2595</v>
      </c>
      <c r="F2774" s="141" t="s">
        <v>821</v>
      </c>
      <c r="G2774" s="144" t="s">
        <v>4324</v>
      </c>
      <c r="H2774" s="146" t="s">
        <v>130</v>
      </c>
      <c r="I2774" s="144" t="s">
        <v>578</v>
      </c>
    </row>
    <row r="2775" spans="1:9" ht="14.1">
      <c r="A2775" s="193">
        <v>46076</v>
      </c>
      <c r="B2775" s="145" t="s">
        <v>824</v>
      </c>
      <c r="C2775" s="150" t="s">
        <v>5512</v>
      </c>
      <c r="D2775" s="201" t="s">
        <v>1431</v>
      </c>
      <c r="E2775" s="144" t="s">
        <v>1506</v>
      </c>
      <c r="F2775" s="139" t="s">
        <v>88</v>
      </c>
      <c r="G2775" s="144" t="s">
        <v>4325</v>
      </c>
      <c r="H2775" s="146" t="s">
        <v>26</v>
      </c>
      <c r="I2775" s="144" t="s">
        <v>3247</v>
      </c>
    </row>
    <row r="2776" spans="1:9" ht="14.1">
      <c r="A2776" s="193">
        <v>46076</v>
      </c>
      <c r="B2776" s="145" t="s">
        <v>824</v>
      </c>
      <c r="C2776" s="150" t="s">
        <v>5512</v>
      </c>
      <c r="D2776" s="201" t="s">
        <v>1431</v>
      </c>
      <c r="E2776" s="144" t="s">
        <v>1506</v>
      </c>
      <c r="F2776" s="139" t="s">
        <v>88</v>
      </c>
      <c r="G2776" s="144" t="s">
        <v>4326</v>
      </c>
      <c r="H2776" s="146" t="s">
        <v>26</v>
      </c>
      <c r="I2776" s="144" t="s">
        <v>3247</v>
      </c>
    </row>
    <row r="2777" spans="1:9" ht="25.5">
      <c r="A2777" s="193">
        <v>46076</v>
      </c>
      <c r="B2777" s="145" t="s">
        <v>824</v>
      </c>
      <c r="C2777" s="150" t="s">
        <v>5512</v>
      </c>
      <c r="D2777" s="201" t="s">
        <v>1431</v>
      </c>
      <c r="E2777" s="144" t="s">
        <v>216</v>
      </c>
      <c r="F2777" s="141" t="s">
        <v>821</v>
      </c>
      <c r="G2777" s="144" t="s">
        <v>4327</v>
      </c>
      <c r="H2777" s="146" t="s">
        <v>130</v>
      </c>
      <c r="I2777" s="144" t="s">
        <v>492</v>
      </c>
    </row>
    <row r="2778" spans="1:9" ht="25.5">
      <c r="A2778" s="193">
        <v>46076</v>
      </c>
      <c r="B2778" s="145" t="s">
        <v>824</v>
      </c>
      <c r="C2778" s="150" t="s">
        <v>5512</v>
      </c>
      <c r="D2778" s="201" t="s">
        <v>1431</v>
      </c>
      <c r="E2778" s="144" t="s">
        <v>216</v>
      </c>
      <c r="F2778" s="141" t="s">
        <v>821</v>
      </c>
      <c r="G2778" s="144" t="s">
        <v>4328</v>
      </c>
      <c r="H2778" s="146" t="s">
        <v>130</v>
      </c>
      <c r="I2778" s="144" t="s">
        <v>492</v>
      </c>
    </row>
    <row r="2779" spans="1:9" ht="14.1">
      <c r="A2779" s="193">
        <v>46076</v>
      </c>
      <c r="B2779" s="145" t="s">
        <v>824</v>
      </c>
      <c r="C2779" s="150" t="s">
        <v>5512</v>
      </c>
      <c r="D2779" s="201" t="s">
        <v>1431</v>
      </c>
      <c r="E2779" s="144" t="s">
        <v>1449</v>
      </c>
      <c r="F2779" s="139" t="s">
        <v>88</v>
      </c>
      <c r="G2779" s="144" t="s">
        <v>4306</v>
      </c>
      <c r="H2779" s="146" t="s">
        <v>26</v>
      </c>
      <c r="I2779" s="144" t="s">
        <v>2593</v>
      </c>
    </row>
    <row r="2780" spans="1:9" ht="25.5">
      <c r="A2780" s="193">
        <v>46076</v>
      </c>
      <c r="B2780" s="145" t="s">
        <v>824</v>
      </c>
      <c r="C2780" s="150" t="s">
        <v>5512</v>
      </c>
      <c r="D2780" s="201" t="s">
        <v>1431</v>
      </c>
      <c r="E2780" s="144" t="s">
        <v>1449</v>
      </c>
      <c r="F2780" s="139" t="s">
        <v>88</v>
      </c>
      <c r="G2780" s="144" t="s">
        <v>4329</v>
      </c>
      <c r="H2780" s="146" t="s">
        <v>26</v>
      </c>
      <c r="I2780" s="144" t="s">
        <v>2593</v>
      </c>
    </row>
    <row r="2781" spans="1:9" ht="25.5">
      <c r="A2781" s="193">
        <v>46076</v>
      </c>
      <c r="B2781" s="145" t="s">
        <v>824</v>
      </c>
      <c r="C2781" s="150" t="s">
        <v>5512</v>
      </c>
      <c r="D2781" s="201" t="s">
        <v>1431</v>
      </c>
      <c r="E2781" s="144" t="s">
        <v>1449</v>
      </c>
      <c r="F2781" s="147" t="s">
        <v>859</v>
      </c>
      <c r="G2781" s="144" t="s">
        <v>4330</v>
      </c>
      <c r="H2781" s="146" t="s">
        <v>26</v>
      </c>
      <c r="I2781" s="144" t="s">
        <v>2593</v>
      </c>
    </row>
    <row r="2782" spans="1:9" ht="63">
      <c r="A2782" s="193">
        <v>46076</v>
      </c>
      <c r="B2782" s="145" t="s">
        <v>824</v>
      </c>
      <c r="C2782" s="150" t="s">
        <v>5512</v>
      </c>
      <c r="D2782" s="201" t="s">
        <v>1431</v>
      </c>
      <c r="E2782" s="144" t="s">
        <v>1449</v>
      </c>
      <c r="F2782" s="139" t="s">
        <v>88</v>
      </c>
      <c r="G2782" s="144" t="s">
        <v>4331</v>
      </c>
      <c r="H2782" s="146" t="s">
        <v>26</v>
      </c>
      <c r="I2782" s="144" t="s">
        <v>2593</v>
      </c>
    </row>
    <row r="2783" spans="1:9" ht="14.1">
      <c r="A2783" s="193">
        <v>46076</v>
      </c>
      <c r="B2783" s="145" t="s">
        <v>824</v>
      </c>
      <c r="C2783" s="150" t="s">
        <v>5512</v>
      </c>
      <c r="D2783" s="201" t="s">
        <v>2224</v>
      </c>
      <c r="E2783" s="144" t="s">
        <v>1449</v>
      </c>
      <c r="F2783" s="147" t="s">
        <v>859</v>
      </c>
      <c r="G2783" s="144" t="s">
        <v>4332</v>
      </c>
      <c r="H2783" s="146" t="s">
        <v>26</v>
      </c>
      <c r="I2783" s="144" t="s">
        <v>2593</v>
      </c>
    </row>
    <row r="2784" spans="1:9" ht="25.5">
      <c r="A2784" s="193">
        <v>46076</v>
      </c>
      <c r="B2784" s="145" t="s">
        <v>824</v>
      </c>
      <c r="C2784" s="150" t="s">
        <v>5512</v>
      </c>
      <c r="D2784" s="201" t="s">
        <v>1431</v>
      </c>
      <c r="E2784" s="144" t="s">
        <v>1566</v>
      </c>
      <c r="F2784" s="139" t="s">
        <v>88</v>
      </c>
      <c r="G2784" s="144" t="s">
        <v>4333</v>
      </c>
      <c r="H2784" s="146" t="s">
        <v>26</v>
      </c>
      <c r="I2784" s="144" t="s">
        <v>1453</v>
      </c>
    </row>
    <row r="2785" spans="1:9" ht="14.1">
      <c r="A2785" s="193">
        <v>46076</v>
      </c>
      <c r="B2785" s="145" t="s">
        <v>824</v>
      </c>
      <c r="C2785" s="150" t="s">
        <v>5512</v>
      </c>
      <c r="D2785" s="201" t="s">
        <v>1431</v>
      </c>
      <c r="E2785" s="144" t="s">
        <v>1566</v>
      </c>
      <c r="F2785" s="139" t="s">
        <v>88</v>
      </c>
      <c r="G2785" s="144" t="s">
        <v>3512</v>
      </c>
      <c r="H2785" s="146" t="s">
        <v>26</v>
      </c>
      <c r="I2785" s="144" t="s">
        <v>1453</v>
      </c>
    </row>
    <row r="2786" spans="1:9" ht="14.1">
      <c r="A2786" s="193">
        <v>46076</v>
      </c>
      <c r="B2786" s="145" t="s">
        <v>824</v>
      </c>
      <c r="C2786" s="150" t="s">
        <v>5512</v>
      </c>
      <c r="D2786" s="201" t="s">
        <v>1431</v>
      </c>
      <c r="E2786" s="144" t="s">
        <v>1566</v>
      </c>
      <c r="F2786" s="139" t="s">
        <v>88</v>
      </c>
      <c r="G2786" s="144" t="s">
        <v>4334</v>
      </c>
      <c r="H2786" s="146" t="s">
        <v>26</v>
      </c>
      <c r="I2786" s="144" t="s">
        <v>1453</v>
      </c>
    </row>
    <row r="2787" spans="1:9" ht="14.1">
      <c r="A2787" s="193">
        <v>46076</v>
      </c>
      <c r="B2787" s="145" t="s">
        <v>824</v>
      </c>
      <c r="C2787" s="150" t="s">
        <v>5512</v>
      </c>
      <c r="D2787" s="201" t="s">
        <v>1431</v>
      </c>
      <c r="E2787" s="144" t="s">
        <v>1449</v>
      </c>
      <c r="F2787" s="139" t="s">
        <v>88</v>
      </c>
      <c r="G2787" s="144" t="s">
        <v>4335</v>
      </c>
      <c r="H2787" s="146" t="s">
        <v>26</v>
      </c>
      <c r="I2787" s="144" t="s">
        <v>2593</v>
      </c>
    </row>
    <row r="2788" spans="1:9" ht="14.1">
      <c r="A2788" s="193">
        <v>46076</v>
      </c>
      <c r="B2788" s="145" t="s">
        <v>824</v>
      </c>
      <c r="C2788" s="150" t="s">
        <v>5512</v>
      </c>
      <c r="D2788" s="201" t="s">
        <v>1431</v>
      </c>
      <c r="E2788" s="144" t="s">
        <v>1449</v>
      </c>
      <c r="F2788" s="139" t="s">
        <v>88</v>
      </c>
      <c r="G2788" s="144" t="s">
        <v>4336</v>
      </c>
      <c r="H2788" s="146" t="s">
        <v>26</v>
      </c>
      <c r="I2788" s="144" t="s">
        <v>2593</v>
      </c>
    </row>
    <row r="2789" spans="1:9" ht="38.1">
      <c r="A2789" s="193">
        <v>46077</v>
      </c>
      <c r="B2789" s="145" t="s">
        <v>824</v>
      </c>
      <c r="C2789" s="150" t="s">
        <v>5512</v>
      </c>
      <c r="D2789" s="201" t="s">
        <v>1431</v>
      </c>
      <c r="E2789" s="144" t="s">
        <v>21</v>
      </c>
      <c r="F2789" s="141" t="s">
        <v>821</v>
      </c>
      <c r="G2789" s="144" t="s">
        <v>4337</v>
      </c>
      <c r="H2789" s="146" t="s">
        <v>130</v>
      </c>
      <c r="I2789" s="144" t="s">
        <v>149</v>
      </c>
    </row>
    <row r="2790" spans="1:9" ht="38.1">
      <c r="A2790" s="193">
        <v>46077</v>
      </c>
      <c r="B2790" s="145" t="s">
        <v>824</v>
      </c>
      <c r="C2790" s="150" t="s">
        <v>5512</v>
      </c>
      <c r="D2790" s="201" t="s">
        <v>1431</v>
      </c>
      <c r="E2790" s="144" t="s">
        <v>1560</v>
      </c>
      <c r="F2790" s="139" t="s">
        <v>88</v>
      </c>
      <c r="G2790" s="144" t="s">
        <v>4338</v>
      </c>
      <c r="H2790" s="146" t="s">
        <v>130</v>
      </c>
      <c r="I2790" s="144" t="s">
        <v>4339</v>
      </c>
    </row>
    <row r="2791" spans="1:9" ht="25.5">
      <c r="A2791" s="193">
        <v>46077</v>
      </c>
      <c r="B2791" s="145" t="s">
        <v>824</v>
      </c>
      <c r="C2791" s="150" t="s">
        <v>5512</v>
      </c>
      <c r="D2791" s="201" t="s">
        <v>1431</v>
      </c>
      <c r="E2791" s="144" t="s">
        <v>21</v>
      </c>
      <c r="F2791" s="139" t="s">
        <v>88</v>
      </c>
      <c r="G2791" s="144" t="s">
        <v>4340</v>
      </c>
      <c r="H2791" s="146" t="s">
        <v>130</v>
      </c>
      <c r="I2791" s="144" t="s">
        <v>149</v>
      </c>
    </row>
    <row r="2792" spans="1:9" ht="25.5">
      <c r="A2792" s="193">
        <v>46077</v>
      </c>
      <c r="B2792" s="145" t="s">
        <v>824</v>
      </c>
      <c r="C2792" s="150" t="s">
        <v>5512</v>
      </c>
      <c r="D2792" s="201" t="s">
        <v>1431</v>
      </c>
      <c r="E2792" s="144" t="s">
        <v>988</v>
      </c>
      <c r="F2792" s="139" t="s">
        <v>88</v>
      </c>
      <c r="G2792" s="144" t="s">
        <v>4341</v>
      </c>
      <c r="H2792" s="146" t="s">
        <v>130</v>
      </c>
      <c r="I2792" s="144" t="s">
        <v>916</v>
      </c>
    </row>
    <row r="2793" spans="1:9" ht="25.5">
      <c r="A2793" s="193">
        <v>46077</v>
      </c>
      <c r="B2793" s="145" t="s">
        <v>824</v>
      </c>
      <c r="C2793" s="150" t="s">
        <v>5512</v>
      </c>
      <c r="D2793" s="201" t="s">
        <v>1431</v>
      </c>
      <c r="E2793" s="144" t="s">
        <v>988</v>
      </c>
      <c r="F2793" s="139" t="s">
        <v>88</v>
      </c>
      <c r="G2793" s="144" t="s">
        <v>4342</v>
      </c>
      <c r="H2793" s="146" t="s">
        <v>130</v>
      </c>
      <c r="I2793" s="144" t="s">
        <v>2700</v>
      </c>
    </row>
    <row r="2794" spans="1:9" ht="25.5">
      <c r="A2794" s="193">
        <v>46077</v>
      </c>
      <c r="B2794" s="145" t="s">
        <v>824</v>
      </c>
      <c r="C2794" s="150" t="s">
        <v>5512</v>
      </c>
      <c r="D2794" s="201" t="s">
        <v>1431</v>
      </c>
      <c r="E2794" s="144" t="s">
        <v>1504</v>
      </c>
      <c r="F2794" s="139" t="s">
        <v>88</v>
      </c>
      <c r="G2794" s="144" t="s">
        <v>4343</v>
      </c>
      <c r="H2794" s="146" t="s">
        <v>130</v>
      </c>
      <c r="I2794" s="144" t="s">
        <v>3516</v>
      </c>
    </row>
    <row r="2795" spans="1:9" ht="38.1">
      <c r="A2795" s="193">
        <v>46077</v>
      </c>
      <c r="B2795" s="145" t="s">
        <v>824</v>
      </c>
      <c r="C2795" s="150" t="s">
        <v>5512</v>
      </c>
      <c r="D2795" s="201" t="s">
        <v>1431</v>
      </c>
      <c r="E2795" s="144" t="s">
        <v>1506</v>
      </c>
      <c r="F2795" s="139" t="s">
        <v>88</v>
      </c>
      <c r="G2795" s="144" t="s">
        <v>4344</v>
      </c>
      <c r="H2795" s="146" t="s">
        <v>26</v>
      </c>
      <c r="I2795" s="144" t="s">
        <v>3343</v>
      </c>
    </row>
    <row r="2796" spans="1:9" ht="25.5">
      <c r="A2796" s="193">
        <v>46077</v>
      </c>
      <c r="B2796" s="145" t="s">
        <v>824</v>
      </c>
      <c r="C2796" s="150" t="s">
        <v>5512</v>
      </c>
      <c r="D2796" s="201" t="s">
        <v>1431</v>
      </c>
      <c r="E2796" s="144" t="s">
        <v>1506</v>
      </c>
      <c r="F2796" s="139" t="s">
        <v>88</v>
      </c>
      <c r="G2796" s="144" t="s">
        <v>4345</v>
      </c>
      <c r="H2796" s="146" t="s">
        <v>26</v>
      </c>
      <c r="I2796" s="144" t="s">
        <v>3343</v>
      </c>
    </row>
    <row r="2797" spans="1:9" ht="14.1">
      <c r="A2797" s="193">
        <v>46077</v>
      </c>
      <c r="B2797" s="145" t="s">
        <v>824</v>
      </c>
      <c r="C2797" s="150" t="s">
        <v>5512</v>
      </c>
      <c r="D2797" s="201" t="s">
        <v>1431</v>
      </c>
      <c r="E2797" s="144" t="s">
        <v>1506</v>
      </c>
      <c r="F2797" s="139" t="s">
        <v>88</v>
      </c>
      <c r="G2797" s="144" t="s">
        <v>4346</v>
      </c>
      <c r="H2797" s="146" t="s">
        <v>26</v>
      </c>
      <c r="I2797" s="144" t="s">
        <v>3343</v>
      </c>
    </row>
    <row r="2798" spans="1:9" ht="25.5">
      <c r="A2798" s="193">
        <v>46077</v>
      </c>
      <c r="B2798" s="145" t="s">
        <v>824</v>
      </c>
      <c r="C2798" s="150" t="s">
        <v>5512</v>
      </c>
      <c r="D2798" s="201" t="s">
        <v>1431</v>
      </c>
      <c r="E2798" s="144" t="s">
        <v>1506</v>
      </c>
      <c r="F2798" s="139" t="s">
        <v>88</v>
      </c>
      <c r="G2798" s="144" t="s">
        <v>4347</v>
      </c>
      <c r="H2798" s="146" t="s">
        <v>26</v>
      </c>
      <c r="I2798" s="144" t="s">
        <v>3343</v>
      </c>
    </row>
    <row r="2799" spans="1:9" ht="25.5">
      <c r="A2799" s="193">
        <v>46077</v>
      </c>
      <c r="B2799" s="145" t="s">
        <v>824</v>
      </c>
      <c r="C2799" s="150" t="s">
        <v>5512</v>
      </c>
      <c r="D2799" s="201" t="s">
        <v>1431</v>
      </c>
      <c r="E2799" s="144" t="s">
        <v>1449</v>
      </c>
      <c r="F2799" s="139" t="s">
        <v>88</v>
      </c>
      <c r="G2799" s="144" t="s">
        <v>4348</v>
      </c>
      <c r="H2799" s="146" t="s">
        <v>26</v>
      </c>
      <c r="I2799" s="144" t="s">
        <v>2593</v>
      </c>
    </row>
    <row r="2800" spans="1:9" ht="25.5">
      <c r="A2800" s="193">
        <v>46077</v>
      </c>
      <c r="B2800" s="145" t="s">
        <v>824</v>
      </c>
      <c r="C2800" s="150" t="s">
        <v>5512</v>
      </c>
      <c r="D2800" s="201" t="s">
        <v>1431</v>
      </c>
      <c r="E2800" s="144" t="s">
        <v>1449</v>
      </c>
      <c r="F2800" s="139" t="s">
        <v>88</v>
      </c>
      <c r="G2800" s="144" t="s">
        <v>4349</v>
      </c>
      <c r="H2800" s="146" t="s">
        <v>26</v>
      </c>
      <c r="I2800" s="144" t="s">
        <v>2593</v>
      </c>
    </row>
    <row r="2801" spans="1:9" ht="14.1">
      <c r="A2801" s="193">
        <v>46077</v>
      </c>
      <c r="B2801" s="145" t="s">
        <v>824</v>
      </c>
      <c r="C2801" s="150" t="s">
        <v>5512</v>
      </c>
      <c r="D2801" s="201" t="s">
        <v>1431</v>
      </c>
      <c r="E2801" s="144" t="s">
        <v>1449</v>
      </c>
      <c r="F2801" s="139" t="s">
        <v>88</v>
      </c>
      <c r="G2801" s="144" t="s">
        <v>4350</v>
      </c>
      <c r="H2801" s="146" t="s">
        <v>26</v>
      </c>
      <c r="I2801" s="144" t="s">
        <v>2593</v>
      </c>
    </row>
    <row r="2802" spans="1:9" ht="25.5">
      <c r="A2802" s="193">
        <v>46077</v>
      </c>
      <c r="B2802" s="145" t="s">
        <v>824</v>
      </c>
      <c r="C2802" s="150" t="s">
        <v>5512</v>
      </c>
      <c r="D2802" s="201" t="s">
        <v>1431</v>
      </c>
      <c r="E2802" s="144" t="s">
        <v>1449</v>
      </c>
      <c r="F2802" s="139" t="s">
        <v>88</v>
      </c>
      <c r="G2802" s="144" t="s">
        <v>4351</v>
      </c>
      <c r="H2802" s="146" t="s">
        <v>26</v>
      </c>
      <c r="I2802" s="144" t="s">
        <v>2593</v>
      </c>
    </row>
    <row r="2803" spans="1:9" ht="14.1">
      <c r="A2803" s="193">
        <v>46077</v>
      </c>
      <c r="B2803" s="145" t="s">
        <v>824</v>
      </c>
      <c r="C2803" s="150" t="s">
        <v>5512</v>
      </c>
      <c r="D2803" s="201" t="s">
        <v>1431</v>
      </c>
      <c r="E2803" s="144" t="s">
        <v>1449</v>
      </c>
      <c r="F2803" s="139" t="s">
        <v>88</v>
      </c>
      <c r="G2803" s="144" t="s">
        <v>4352</v>
      </c>
      <c r="H2803" s="146" t="s">
        <v>26</v>
      </c>
      <c r="I2803" s="144" t="s">
        <v>2593</v>
      </c>
    </row>
    <row r="2804" spans="1:9" ht="38.1">
      <c r="A2804" s="193">
        <v>46077</v>
      </c>
      <c r="B2804" s="145" t="s">
        <v>824</v>
      </c>
      <c r="C2804" s="150" t="s">
        <v>5512</v>
      </c>
      <c r="D2804" s="201" t="s">
        <v>2224</v>
      </c>
      <c r="E2804" s="144" t="s">
        <v>1506</v>
      </c>
      <c r="F2804" s="139" t="s">
        <v>88</v>
      </c>
      <c r="G2804" s="144" t="s">
        <v>4353</v>
      </c>
      <c r="H2804" s="146" t="s">
        <v>26</v>
      </c>
      <c r="I2804" s="144" t="s">
        <v>2593</v>
      </c>
    </row>
    <row r="2805" spans="1:9" ht="14.1">
      <c r="A2805" s="193">
        <v>46077</v>
      </c>
      <c r="B2805" s="145" t="s">
        <v>824</v>
      </c>
      <c r="C2805" s="150" t="s">
        <v>5512</v>
      </c>
      <c r="D2805" s="201" t="s">
        <v>2224</v>
      </c>
      <c r="E2805" s="144" t="s">
        <v>1518</v>
      </c>
      <c r="F2805" s="139" t="s">
        <v>88</v>
      </c>
      <c r="G2805" s="144" t="s">
        <v>4354</v>
      </c>
      <c r="H2805" s="146" t="s">
        <v>26</v>
      </c>
      <c r="I2805" s="144" t="s">
        <v>1493</v>
      </c>
    </row>
    <row r="2806" spans="1:9" ht="25.5">
      <c r="A2806" s="193">
        <v>46078</v>
      </c>
      <c r="B2806" s="145" t="s">
        <v>824</v>
      </c>
      <c r="C2806" s="150" t="s">
        <v>5512</v>
      </c>
      <c r="D2806" s="201" t="s">
        <v>1431</v>
      </c>
      <c r="E2806" s="144" t="s">
        <v>1225</v>
      </c>
      <c r="F2806" s="147" t="s">
        <v>859</v>
      </c>
      <c r="G2806" s="144" t="s">
        <v>4355</v>
      </c>
      <c r="H2806" s="146" t="s">
        <v>130</v>
      </c>
      <c r="I2806" s="144" t="s">
        <v>4356</v>
      </c>
    </row>
    <row r="2807" spans="1:9" ht="25.5">
      <c r="A2807" s="193">
        <v>46078</v>
      </c>
      <c r="B2807" s="145" t="s">
        <v>824</v>
      </c>
      <c r="C2807" s="150" t="s">
        <v>5512</v>
      </c>
      <c r="D2807" s="201" t="s">
        <v>1431</v>
      </c>
      <c r="E2807" s="144" t="s">
        <v>2595</v>
      </c>
      <c r="F2807" s="139" t="s">
        <v>88</v>
      </c>
      <c r="G2807" s="144" t="s">
        <v>4357</v>
      </c>
      <c r="H2807" s="146" t="s">
        <v>26</v>
      </c>
      <c r="I2807" s="144" t="s">
        <v>3516</v>
      </c>
    </row>
    <row r="2808" spans="1:9" ht="25.5">
      <c r="A2808" s="193">
        <v>46078</v>
      </c>
      <c r="B2808" s="145" t="s">
        <v>824</v>
      </c>
      <c r="C2808" s="150" t="s">
        <v>5512</v>
      </c>
      <c r="D2808" s="201" t="s">
        <v>1431</v>
      </c>
      <c r="E2808" s="144" t="s">
        <v>1506</v>
      </c>
      <c r="F2808" s="139" t="s">
        <v>88</v>
      </c>
      <c r="G2808" s="144" t="s">
        <v>4358</v>
      </c>
      <c r="H2808" s="146" t="s">
        <v>26</v>
      </c>
      <c r="I2808" s="144" t="s">
        <v>3343</v>
      </c>
    </row>
    <row r="2809" spans="1:9" ht="25.5">
      <c r="A2809" s="193">
        <v>46078</v>
      </c>
      <c r="B2809" s="145" t="s">
        <v>824</v>
      </c>
      <c r="C2809" s="150" t="s">
        <v>5512</v>
      </c>
      <c r="D2809" s="201" t="s">
        <v>1431</v>
      </c>
      <c r="E2809" s="144" t="s">
        <v>1504</v>
      </c>
      <c r="F2809" s="139" t="s">
        <v>88</v>
      </c>
      <c r="G2809" s="144" t="s">
        <v>4359</v>
      </c>
      <c r="H2809" s="146" t="s">
        <v>130</v>
      </c>
      <c r="I2809" s="144" t="s">
        <v>3516</v>
      </c>
    </row>
    <row r="2810" spans="1:9" ht="14.1">
      <c r="A2810" s="193">
        <v>46078</v>
      </c>
      <c r="B2810" s="145" t="s">
        <v>824</v>
      </c>
      <c r="C2810" s="150" t="s">
        <v>5512</v>
      </c>
      <c r="D2810" s="201" t="s">
        <v>1431</v>
      </c>
      <c r="E2810" s="144" t="s">
        <v>21</v>
      </c>
      <c r="F2810" s="141" t="s">
        <v>821</v>
      </c>
      <c r="G2810" s="144" t="s">
        <v>4360</v>
      </c>
      <c r="H2810" s="146" t="s">
        <v>26</v>
      </c>
      <c r="I2810" s="144" t="s">
        <v>149</v>
      </c>
    </row>
    <row r="2811" spans="1:9" ht="14.1">
      <c r="A2811" s="193">
        <v>46078</v>
      </c>
      <c r="B2811" s="145" t="s">
        <v>824</v>
      </c>
      <c r="C2811" s="150" t="s">
        <v>5512</v>
      </c>
      <c r="D2811" s="201" t="s">
        <v>1431</v>
      </c>
      <c r="E2811" s="144" t="s">
        <v>21</v>
      </c>
      <c r="F2811" s="141" t="s">
        <v>821</v>
      </c>
      <c r="G2811" s="144" t="s">
        <v>4361</v>
      </c>
      <c r="H2811" s="146" t="s">
        <v>130</v>
      </c>
      <c r="I2811" s="144" t="s">
        <v>149</v>
      </c>
    </row>
    <row r="2812" spans="1:9" ht="14.1">
      <c r="A2812" s="193">
        <v>46078</v>
      </c>
      <c r="B2812" s="145" t="s">
        <v>824</v>
      </c>
      <c r="C2812" s="150" t="s">
        <v>5512</v>
      </c>
      <c r="D2812" s="201" t="s">
        <v>1431</v>
      </c>
      <c r="E2812" s="144" t="s">
        <v>1449</v>
      </c>
      <c r="F2812" s="139" t="s">
        <v>88</v>
      </c>
      <c r="G2812" s="144" t="s">
        <v>4362</v>
      </c>
      <c r="H2812" s="146" t="s">
        <v>26</v>
      </c>
      <c r="I2812" s="144" t="s">
        <v>2593</v>
      </c>
    </row>
    <row r="2813" spans="1:9" ht="25.5">
      <c r="A2813" s="193">
        <v>46078</v>
      </c>
      <c r="B2813" s="145" t="s">
        <v>824</v>
      </c>
      <c r="C2813" s="150" t="s">
        <v>5512</v>
      </c>
      <c r="D2813" s="201" t="s">
        <v>1431</v>
      </c>
      <c r="E2813" s="144" t="s">
        <v>1449</v>
      </c>
      <c r="F2813" s="139" t="s">
        <v>88</v>
      </c>
      <c r="G2813" s="144" t="s">
        <v>4363</v>
      </c>
      <c r="H2813" s="146" t="s">
        <v>26</v>
      </c>
      <c r="I2813" s="144" t="s">
        <v>2593</v>
      </c>
    </row>
    <row r="2814" spans="1:9" ht="87.95">
      <c r="A2814" s="193">
        <v>46078</v>
      </c>
      <c r="B2814" s="145" t="s">
        <v>824</v>
      </c>
      <c r="C2814" s="150" t="s">
        <v>5512</v>
      </c>
      <c r="D2814" s="201" t="s">
        <v>1431</v>
      </c>
      <c r="E2814" s="144" t="s">
        <v>1566</v>
      </c>
      <c r="F2814" s="139" t="s">
        <v>88</v>
      </c>
      <c r="G2814" s="144" t="s">
        <v>4364</v>
      </c>
      <c r="H2814" s="146" t="s">
        <v>26</v>
      </c>
      <c r="I2814" s="144" t="s">
        <v>1453</v>
      </c>
    </row>
    <row r="2815" spans="1:9" ht="25.5">
      <c r="A2815" s="193">
        <v>46078</v>
      </c>
      <c r="B2815" s="145" t="s">
        <v>824</v>
      </c>
      <c r="C2815" s="150" t="s">
        <v>5512</v>
      </c>
      <c r="D2815" s="201" t="s">
        <v>1431</v>
      </c>
      <c r="E2815" s="144" t="s">
        <v>1566</v>
      </c>
      <c r="F2815" s="139" t="s">
        <v>88</v>
      </c>
      <c r="G2815" s="144" t="s">
        <v>4365</v>
      </c>
      <c r="H2815" s="146" t="s">
        <v>26</v>
      </c>
      <c r="I2815" s="144" t="s">
        <v>1453</v>
      </c>
    </row>
    <row r="2816" spans="1:9" ht="25.5">
      <c r="A2816" s="193">
        <v>46079</v>
      </c>
      <c r="B2816" s="145" t="s">
        <v>824</v>
      </c>
      <c r="C2816" s="150" t="s">
        <v>5512</v>
      </c>
      <c r="D2816" s="201" t="s">
        <v>1431</v>
      </c>
      <c r="E2816" s="144" t="s">
        <v>988</v>
      </c>
      <c r="F2816" s="139" t="s">
        <v>88</v>
      </c>
      <c r="G2816" s="144" t="s">
        <v>4366</v>
      </c>
      <c r="H2816" s="146" t="s">
        <v>130</v>
      </c>
      <c r="I2816" s="144" t="s">
        <v>4367</v>
      </c>
    </row>
    <row r="2817" spans="1:9" ht="14.1">
      <c r="A2817" s="193">
        <v>46079</v>
      </c>
      <c r="B2817" s="145" t="s">
        <v>824</v>
      </c>
      <c r="C2817" s="150" t="s">
        <v>5512</v>
      </c>
      <c r="D2817" s="201" t="s">
        <v>1431</v>
      </c>
      <c r="E2817" s="144" t="s">
        <v>216</v>
      </c>
      <c r="F2817" s="141" t="s">
        <v>821</v>
      </c>
      <c r="G2817" s="144" t="s">
        <v>4368</v>
      </c>
      <c r="H2817" s="146" t="s">
        <v>130</v>
      </c>
      <c r="I2817" s="144" t="s">
        <v>492</v>
      </c>
    </row>
    <row r="2818" spans="1:9" ht="38.1">
      <c r="A2818" s="193">
        <v>46079</v>
      </c>
      <c r="B2818" s="145" t="s">
        <v>824</v>
      </c>
      <c r="C2818" s="150" t="s">
        <v>5512</v>
      </c>
      <c r="D2818" s="201" t="s">
        <v>1431</v>
      </c>
      <c r="E2818" s="144" t="s">
        <v>21</v>
      </c>
      <c r="F2818" s="141" t="s">
        <v>821</v>
      </c>
      <c r="G2818" s="144" t="s">
        <v>4369</v>
      </c>
      <c r="H2818" s="146" t="s">
        <v>130</v>
      </c>
      <c r="I2818" s="144" t="s">
        <v>149</v>
      </c>
    </row>
    <row r="2819" spans="1:9" ht="14.1">
      <c r="A2819" s="193">
        <v>46079</v>
      </c>
      <c r="B2819" s="145" t="s">
        <v>824</v>
      </c>
      <c r="C2819" s="150" t="s">
        <v>5512</v>
      </c>
      <c r="D2819" s="201" t="s">
        <v>1431</v>
      </c>
      <c r="E2819" s="144" t="s">
        <v>1449</v>
      </c>
      <c r="F2819" s="139" t="s">
        <v>88</v>
      </c>
      <c r="G2819" s="144" t="s">
        <v>4370</v>
      </c>
      <c r="H2819" s="146" t="s">
        <v>26</v>
      </c>
      <c r="I2819" s="144" t="s">
        <v>2593</v>
      </c>
    </row>
    <row r="2820" spans="1:9" ht="25.5">
      <c r="A2820" s="193">
        <v>46079</v>
      </c>
      <c r="B2820" s="145" t="s">
        <v>824</v>
      </c>
      <c r="C2820" s="150" t="s">
        <v>5512</v>
      </c>
      <c r="D2820" s="201" t="s">
        <v>1431</v>
      </c>
      <c r="E2820" s="144" t="s">
        <v>1449</v>
      </c>
      <c r="F2820" s="139" t="s">
        <v>88</v>
      </c>
      <c r="G2820" s="144" t="s">
        <v>4371</v>
      </c>
      <c r="H2820" s="146" t="s">
        <v>26</v>
      </c>
      <c r="I2820" s="144" t="s">
        <v>2593</v>
      </c>
    </row>
    <row r="2821" spans="1:9" ht="25.5">
      <c r="A2821" s="193">
        <v>46079</v>
      </c>
      <c r="B2821" s="145" t="s">
        <v>824</v>
      </c>
      <c r="C2821" s="150" t="s">
        <v>5512</v>
      </c>
      <c r="D2821" s="201" t="s">
        <v>1431</v>
      </c>
      <c r="E2821" s="144" t="s">
        <v>1449</v>
      </c>
      <c r="F2821" s="139" t="s">
        <v>88</v>
      </c>
      <c r="G2821" s="144" t="s">
        <v>4372</v>
      </c>
      <c r="H2821" s="146" t="s">
        <v>26</v>
      </c>
      <c r="I2821" s="144" t="s">
        <v>2593</v>
      </c>
    </row>
    <row r="2822" spans="1:9" ht="25.5">
      <c r="A2822" s="193">
        <v>46079</v>
      </c>
      <c r="B2822" s="145" t="s">
        <v>824</v>
      </c>
      <c r="C2822" s="150" t="s">
        <v>5512</v>
      </c>
      <c r="D2822" s="201" t="s">
        <v>1431</v>
      </c>
      <c r="E2822" s="144" t="s">
        <v>1566</v>
      </c>
      <c r="F2822" s="139" t="s">
        <v>88</v>
      </c>
      <c r="G2822" s="144" t="s">
        <v>4373</v>
      </c>
      <c r="H2822" s="146" t="s">
        <v>26</v>
      </c>
      <c r="I2822" s="144" t="s">
        <v>2798</v>
      </c>
    </row>
    <row r="2823" spans="1:9" ht="25.5">
      <c r="A2823" s="193">
        <v>46080</v>
      </c>
      <c r="B2823" s="145" t="s">
        <v>824</v>
      </c>
      <c r="C2823" s="150" t="s">
        <v>5512</v>
      </c>
      <c r="D2823" s="201" t="s">
        <v>1431</v>
      </c>
      <c r="E2823" s="144" t="s">
        <v>1511</v>
      </c>
      <c r="F2823" s="139" t="s">
        <v>88</v>
      </c>
      <c r="G2823" s="144" t="s">
        <v>4374</v>
      </c>
      <c r="H2823" s="146" t="s">
        <v>130</v>
      </c>
      <c r="I2823" s="144" t="s">
        <v>3836</v>
      </c>
    </row>
    <row r="2824" spans="1:9" ht="25.5">
      <c r="A2824" s="193">
        <v>46080</v>
      </c>
      <c r="B2824" s="145" t="s">
        <v>824</v>
      </c>
      <c r="C2824" s="150" t="s">
        <v>5512</v>
      </c>
      <c r="D2824" s="201" t="s">
        <v>1431</v>
      </c>
      <c r="E2824" s="144" t="s">
        <v>988</v>
      </c>
      <c r="F2824" s="141" t="s">
        <v>821</v>
      </c>
      <c r="G2824" s="144" t="s">
        <v>4375</v>
      </c>
      <c r="H2824" s="146" t="s">
        <v>130</v>
      </c>
      <c r="I2824" s="144" t="s">
        <v>4367</v>
      </c>
    </row>
    <row r="2825" spans="1:9" ht="25.5">
      <c r="A2825" s="193">
        <v>46080</v>
      </c>
      <c r="B2825" s="145" t="s">
        <v>824</v>
      </c>
      <c r="C2825" s="150" t="s">
        <v>5512</v>
      </c>
      <c r="D2825" s="201" t="s">
        <v>1431</v>
      </c>
      <c r="E2825" s="144" t="s">
        <v>1560</v>
      </c>
      <c r="F2825" s="141" t="s">
        <v>821</v>
      </c>
      <c r="G2825" s="144" t="s">
        <v>4376</v>
      </c>
      <c r="H2825" s="146" t="s">
        <v>130</v>
      </c>
      <c r="I2825" s="144" t="s">
        <v>4377</v>
      </c>
    </row>
    <row r="2826" spans="1:9" ht="50.45">
      <c r="A2826" s="193">
        <v>46080</v>
      </c>
      <c r="B2826" s="145" t="s">
        <v>824</v>
      </c>
      <c r="C2826" s="150" t="s">
        <v>5512</v>
      </c>
      <c r="D2826" s="201" t="s">
        <v>1431</v>
      </c>
      <c r="E2826" s="144" t="s">
        <v>917</v>
      </c>
      <c r="F2826" s="141" t="s">
        <v>821</v>
      </c>
      <c r="G2826" s="144" t="s">
        <v>4378</v>
      </c>
      <c r="H2826" s="146" t="s">
        <v>130</v>
      </c>
      <c r="I2826" s="144" t="s">
        <v>916</v>
      </c>
    </row>
    <row r="2827" spans="1:9" ht="25.5">
      <c r="A2827" s="193">
        <v>46080</v>
      </c>
      <c r="B2827" s="145" t="s">
        <v>824</v>
      </c>
      <c r="C2827" s="150" t="s">
        <v>5512</v>
      </c>
      <c r="D2827" s="201" t="s">
        <v>1431</v>
      </c>
      <c r="E2827" s="144" t="s">
        <v>1504</v>
      </c>
      <c r="F2827" s="139" t="s">
        <v>88</v>
      </c>
      <c r="G2827" s="144" t="s">
        <v>4379</v>
      </c>
      <c r="H2827" s="146" t="s">
        <v>130</v>
      </c>
      <c r="I2827" s="144" t="s">
        <v>3516</v>
      </c>
    </row>
    <row r="2828" spans="1:9" ht="14.1">
      <c r="A2828" s="193">
        <v>46080</v>
      </c>
      <c r="B2828" s="145" t="s">
        <v>824</v>
      </c>
      <c r="C2828" s="150" t="s">
        <v>5512</v>
      </c>
      <c r="D2828" s="201" t="s">
        <v>1431</v>
      </c>
      <c r="E2828" s="144" t="s">
        <v>1506</v>
      </c>
      <c r="F2828" s="139" t="s">
        <v>88</v>
      </c>
      <c r="G2828" s="144" t="s">
        <v>4380</v>
      </c>
      <c r="H2828" s="146" t="s">
        <v>26</v>
      </c>
      <c r="I2828" s="144" t="s">
        <v>3343</v>
      </c>
    </row>
    <row r="2829" spans="1:9" ht="14.1">
      <c r="A2829" s="193">
        <v>46080</v>
      </c>
      <c r="B2829" s="145" t="s">
        <v>824</v>
      </c>
      <c r="C2829" s="150" t="s">
        <v>5512</v>
      </c>
      <c r="D2829" s="201" t="s">
        <v>1431</v>
      </c>
      <c r="E2829" s="144" t="s">
        <v>1518</v>
      </c>
      <c r="F2829" s="141" t="s">
        <v>821</v>
      </c>
      <c r="G2829" s="144" t="s">
        <v>4381</v>
      </c>
      <c r="H2829" s="146" t="s">
        <v>26</v>
      </c>
      <c r="I2829" s="144" t="s">
        <v>3920</v>
      </c>
    </row>
    <row r="2830" spans="1:9" ht="25.5">
      <c r="A2830" s="193">
        <v>46080</v>
      </c>
      <c r="B2830" s="145" t="s">
        <v>824</v>
      </c>
      <c r="C2830" s="150" t="s">
        <v>5512</v>
      </c>
      <c r="D2830" s="201" t="s">
        <v>1431</v>
      </c>
      <c r="E2830" s="144" t="s">
        <v>1449</v>
      </c>
      <c r="F2830" s="139" t="s">
        <v>88</v>
      </c>
      <c r="G2830" s="144" t="s">
        <v>4382</v>
      </c>
      <c r="H2830" s="146" t="s">
        <v>26</v>
      </c>
      <c r="I2830" s="144" t="s">
        <v>2593</v>
      </c>
    </row>
    <row r="2831" spans="1:9" ht="14.1">
      <c r="A2831" s="193">
        <v>46080</v>
      </c>
      <c r="B2831" s="145" t="s">
        <v>824</v>
      </c>
      <c r="C2831" s="150" t="s">
        <v>5512</v>
      </c>
      <c r="D2831" s="201" t="s">
        <v>1431</v>
      </c>
      <c r="E2831" s="144" t="s">
        <v>1449</v>
      </c>
      <c r="F2831" s="139" t="s">
        <v>88</v>
      </c>
      <c r="G2831" s="144" t="s">
        <v>4383</v>
      </c>
      <c r="H2831" s="146" t="s">
        <v>26</v>
      </c>
      <c r="I2831" s="144" t="s">
        <v>2593</v>
      </c>
    </row>
    <row r="2832" spans="1:9" ht="14.1">
      <c r="A2832" s="193">
        <v>46080</v>
      </c>
      <c r="B2832" s="145" t="s">
        <v>824</v>
      </c>
      <c r="C2832" s="150" t="s">
        <v>5512</v>
      </c>
      <c r="D2832" s="201" t="s">
        <v>1431</v>
      </c>
      <c r="E2832" s="144" t="s">
        <v>1449</v>
      </c>
      <c r="F2832" s="139" t="s">
        <v>88</v>
      </c>
      <c r="G2832" s="144" t="s">
        <v>4384</v>
      </c>
      <c r="H2832" s="146" t="s">
        <v>26</v>
      </c>
      <c r="I2832" s="144" t="s">
        <v>2593</v>
      </c>
    </row>
    <row r="2833" spans="1:9" ht="14.1">
      <c r="A2833" s="193">
        <v>46080</v>
      </c>
      <c r="B2833" s="145" t="s">
        <v>824</v>
      </c>
      <c r="C2833" s="150" t="s">
        <v>5512</v>
      </c>
      <c r="D2833" s="201" t="s">
        <v>1431</v>
      </c>
      <c r="E2833" s="144" t="s">
        <v>1449</v>
      </c>
      <c r="F2833" s="141" t="s">
        <v>821</v>
      </c>
      <c r="G2833" s="144" t="s">
        <v>4385</v>
      </c>
      <c r="H2833" s="146" t="s">
        <v>26</v>
      </c>
      <c r="I2833" s="144" t="s">
        <v>2593</v>
      </c>
    </row>
    <row r="2834" spans="1:9" ht="50.45">
      <c r="A2834" s="193">
        <v>46080</v>
      </c>
      <c r="B2834" s="145" t="s">
        <v>824</v>
      </c>
      <c r="C2834" s="150" t="s">
        <v>5512</v>
      </c>
      <c r="D2834" s="201" t="s">
        <v>1431</v>
      </c>
      <c r="E2834" s="144" t="s">
        <v>1566</v>
      </c>
      <c r="F2834" s="139" t="s">
        <v>88</v>
      </c>
      <c r="G2834" s="144" t="s">
        <v>4386</v>
      </c>
      <c r="H2834" s="146" t="s">
        <v>26</v>
      </c>
      <c r="I2834" s="144" t="s">
        <v>1453</v>
      </c>
    </row>
    <row r="2835" spans="1:9" ht="14.1">
      <c r="A2835" s="193">
        <v>46080</v>
      </c>
      <c r="B2835" s="145" t="s">
        <v>824</v>
      </c>
      <c r="C2835" s="150" t="s">
        <v>5512</v>
      </c>
      <c r="D2835" s="201" t="s">
        <v>2224</v>
      </c>
      <c r="E2835" s="144" t="s">
        <v>1449</v>
      </c>
      <c r="F2835" s="147" t="s">
        <v>859</v>
      </c>
      <c r="G2835" s="144" t="s">
        <v>4387</v>
      </c>
      <c r="H2835" s="146" t="s">
        <v>26</v>
      </c>
      <c r="I2835" s="144" t="s">
        <v>2568</v>
      </c>
    </row>
    <row r="2836" spans="1:9" ht="25.5">
      <c r="A2836" s="193">
        <v>46080</v>
      </c>
      <c r="B2836" s="145" t="s">
        <v>824</v>
      </c>
      <c r="C2836" s="150" t="s">
        <v>5512</v>
      </c>
      <c r="D2836" s="201" t="s">
        <v>2224</v>
      </c>
      <c r="E2836" s="144" t="s">
        <v>4388</v>
      </c>
      <c r="F2836" s="139" t="s">
        <v>88</v>
      </c>
      <c r="G2836" s="144" t="s">
        <v>4389</v>
      </c>
      <c r="H2836" s="146" t="s">
        <v>130</v>
      </c>
      <c r="I2836" s="144" t="s">
        <v>2735</v>
      </c>
    </row>
    <row r="2837" spans="1:9" ht="25.5">
      <c r="A2837" s="193">
        <v>46080</v>
      </c>
      <c r="B2837" s="145" t="s">
        <v>824</v>
      </c>
      <c r="C2837" s="150" t="s">
        <v>5512</v>
      </c>
      <c r="D2837" s="201" t="s">
        <v>2224</v>
      </c>
      <c r="E2837" s="144" t="s">
        <v>1449</v>
      </c>
      <c r="F2837" s="139" t="s">
        <v>88</v>
      </c>
      <c r="G2837" s="144" t="s">
        <v>4390</v>
      </c>
      <c r="H2837" s="146" t="s">
        <v>26</v>
      </c>
      <c r="I2837" s="144" t="s">
        <v>2593</v>
      </c>
    </row>
    <row r="2838" spans="1:9" ht="25.5">
      <c r="A2838" s="193">
        <v>46083</v>
      </c>
      <c r="B2838" s="145" t="s">
        <v>825</v>
      </c>
      <c r="C2838" s="150" t="s">
        <v>5512</v>
      </c>
      <c r="D2838" s="201" t="s">
        <v>1431</v>
      </c>
      <c r="E2838" s="144" t="s">
        <v>1504</v>
      </c>
      <c r="F2838" s="139" t="s">
        <v>88</v>
      </c>
      <c r="G2838" s="144" t="s">
        <v>5513</v>
      </c>
      <c r="H2838" s="146" t="s">
        <v>26</v>
      </c>
      <c r="I2838" s="144" t="s">
        <v>3516</v>
      </c>
    </row>
    <row r="2839" spans="1:9" ht="14.1">
      <c r="A2839" s="193">
        <v>46083</v>
      </c>
      <c r="B2839" s="145" t="s">
        <v>825</v>
      </c>
      <c r="C2839" s="150" t="s">
        <v>5512</v>
      </c>
      <c r="D2839" s="201" t="s">
        <v>1431</v>
      </c>
      <c r="E2839" s="144" t="s">
        <v>1506</v>
      </c>
      <c r="F2839" s="139" t="s">
        <v>88</v>
      </c>
      <c r="G2839" s="144" t="s">
        <v>5514</v>
      </c>
      <c r="H2839" s="146" t="s">
        <v>26</v>
      </c>
      <c r="I2839" s="144" t="s">
        <v>3247</v>
      </c>
    </row>
    <row r="2840" spans="1:9" ht="14.1">
      <c r="A2840" s="193">
        <v>46083</v>
      </c>
      <c r="B2840" s="145" t="s">
        <v>825</v>
      </c>
      <c r="C2840" s="150" t="s">
        <v>5512</v>
      </c>
      <c r="D2840" s="201" t="s">
        <v>1431</v>
      </c>
      <c r="E2840" s="144" t="s">
        <v>216</v>
      </c>
      <c r="F2840" s="141" t="s">
        <v>821</v>
      </c>
      <c r="G2840" s="144" t="s">
        <v>5515</v>
      </c>
      <c r="H2840" s="146" t="s">
        <v>130</v>
      </c>
      <c r="I2840" s="144" t="s">
        <v>492</v>
      </c>
    </row>
    <row r="2841" spans="1:9" ht="25.5">
      <c r="A2841" s="193">
        <v>46083</v>
      </c>
      <c r="B2841" s="145" t="s">
        <v>825</v>
      </c>
      <c r="C2841" s="150" t="s">
        <v>5512</v>
      </c>
      <c r="D2841" s="201" t="s">
        <v>1431</v>
      </c>
      <c r="E2841" s="144" t="s">
        <v>216</v>
      </c>
      <c r="F2841" s="141" t="s">
        <v>821</v>
      </c>
      <c r="G2841" s="144" t="s">
        <v>5516</v>
      </c>
      <c r="H2841" s="146" t="s">
        <v>130</v>
      </c>
      <c r="I2841" s="144" t="s">
        <v>492</v>
      </c>
    </row>
    <row r="2842" spans="1:9" ht="14.1">
      <c r="A2842" s="193">
        <v>46083</v>
      </c>
      <c r="B2842" s="145" t="s">
        <v>825</v>
      </c>
      <c r="C2842" s="150" t="s">
        <v>5512</v>
      </c>
      <c r="D2842" s="201" t="s">
        <v>1431</v>
      </c>
      <c r="E2842" s="144" t="s">
        <v>1504</v>
      </c>
      <c r="F2842" s="141" t="s">
        <v>821</v>
      </c>
      <c r="G2842" s="144" t="s">
        <v>4393</v>
      </c>
      <c r="H2842" s="146" t="s">
        <v>130</v>
      </c>
      <c r="I2842" s="144" t="s">
        <v>492</v>
      </c>
    </row>
    <row r="2843" spans="1:9" ht="25.5">
      <c r="A2843" s="193">
        <v>46083</v>
      </c>
      <c r="B2843" s="145" t="s">
        <v>825</v>
      </c>
      <c r="C2843" s="150" t="s">
        <v>5512</v>
      </c>
      <c r="D2843" s="201" t="s">
        <v>1431</v>
      </c>
      <c r="E2843" s="144" t="s">
        <v>216</v>
      </c>
      <c r="F2843" s="141" t="s">
        <v>821</v>
      </c>
      <c r="G2843" s="144" t="s">
        <v>5517</v>
      </c>
      <c r="H2843" s="146" t="s">
        <v>26</v>
      </c>
      <c r="I2843" s="144" t="s">
        <v>492</v>
      </c>
    </row>
    <row r="2844" spans="1:9" ht="14.1">
      <c r="A2844" s="193">
        <v>46083</v>
      </c>
      <c r="B2844" s="145" t="s">
        <v>825</v>
      </c>
      <c r="C2844" s="150" t="s">
        <v>5512</v>
      </c>
      <c r="D2844" s="201" t="s">
        <v>1431</v>
      </c>
      <c r="E2844" s="144" t="s">
        <v>21</v>
      </c>
      <c r="F2844" s="141" t="s">
        <v>821</v>
      </c>
      <c r="G2844" s="144" t="s">
        <v>4395</v>
      </c>
      <c r="H2844" s="146" t="s">
        <v>130</v>
      </c>
      <c r="I2844" s="144" t="s">
        <v>468</v>
      </c>
    </row>
    <row r="2845" spans="1:9" ht="25.5">
      <c r="A2845" s="193">
        <v>46083</v>
      </c>
      <c r="B2845" s="145" t="s">
        <v>825</v>
      </c>
      <c r="C2845" s="150" t="s">
        <v>5512</v>
      </c>
      <c r="D2845" s="201" t="s">
        <v>1431</v>
      </c>
      <c r="E2845" s="144" t="s">
        <v>21</v>
      </c>
      <c r="F2845" s="141" t="s">
        <v>821</v>
      </c>
      <c r="G2845" s="144" t="s">
        <v>5518</v>
      </c>
      <c r="H2845" s="146" t="s">
        <v>26</v>
      </c>
      <c r="I2845" s="144" t="s">
        <v>468</v>
      </c>
    </row>
    <row r="2846" spans="1:9" ht="25.5">
      <c r="A2846" s="193">
        <v>46083</v>
      </c>
      <c r="B2846" s="145" t="s">
        <v>825</v>
      </c>
      <c r="C2846" s="150" t="s">
        <v>5512</v>
      </c>
      <c r="D2846" s="201" t="s">
        <v>1431</v>
      </c>
      <c r="E2846" s="144" t="s">
        <v>1449</v>
      </c>
      <c r="F2846" s="142" t="s">
        <v>872</v>
      </c>
      <c r="G2846" s="144" t="s">
        <v>5519</v>
      </c>
      <c r="H2846" s="146" t="s">
        <v>26</v>
      </c>
      <c r="I2846" s="144" t="s">
        <v>2593</v>
      </c>
    </row>
    <row r="2847" spans="1:9" ht="14.1">
      <c r="A2847" s="193">
        <v>46083</v>
      </c>
      <c r="B2847" s="145" t="s">
        <v>825</v>
      </c>
      <c r="C2847" s="150" t="s">
        <v>5512</v>
      </c>
      <c r="D2847" s="201" t="s">
        <v>1431</v>
      </c>
      <c r="E2847" s="144" t="s">
        <v>1449</v>
      </c>
      <c r="F2847" s="139" t="s">
        <v>88</v>
      </c>
      <c r="G2847" s="144" t="s">
        <v>5520</v>
      </c>
      <c r="H2847" s="146" t="s">
        <v>26</v>
      </c>
      <c r="I2847" s="144" t="s">
        <v>2593</v>
      </c>
    </row>
    <row r="2848" spans="1:9" ht="25.5">
      <c r="A2848" s="193">
        <v>46083</v>
      </c>
      <c r="B2848" s="145" t="s">
        <v>825</v>
      </c>
      <c r="C2848" s="150" t="s">
        <v>5512</v>
      </c>
      <c r="D2848" s="201" t="s">
        <v>1431</v>
      </c>
      <c r="E2848" s="144" t="s">
        <v>1449</v>
      </c>
      <c r="F2848" s="139" t="s">
        <v>88</v>
      </c>
      <c r="G2848" s="144" t="s">
        <v>5521</v>
      </c>
      <c r="H2848" s="146" t="s">
        <v>26</v>
      </c>
      <c r="I2848" s="144" t="s">
        <v>2593</v>
      </c>
    </row>
    <row r="2849" spans="1:9" ht="14.1">
      <c r="A2849" s="193">
        <v>46083</v>
      </c>
      <c r="B2849" s="145" t="s">
        <v>825</v>
      </c>
      <c r="C2849" s="150" t="s">
        <v>5512</v>
      </c>
      <c r="D2849" s="201" t="s">
        <v>1431</v>
      </c>
      <c r="E2849" s="144" t="s">
        <v>1449</v>
      </c>
      <c r="F2849" s="139" t="s">
        <v>88</v>
      </c>
      <c r="G2849" s="144" t="s">
        <v>5522</v>
      </c>
      <c r="H2849" s="146" t="s">
        <v>26</v>
      </c>
      <c r="I2849" s="144" t="s">
        <v>2593</v>
      </c>
    </row>
    <row r="2850" spans="1:9" ht="25.5">
      <c r="A2850" s="193">
        <v>46083</v>
      </c>
      <c r="B2850" s="145" t="s">
        <v>825</v>
      </c>
      <c r="C2850" s="150" t="s">
        <v>5512</v>
      </c>
      <c r="D2850" s="201" t="s">
        <v>1431</v>
      </c>
      <c r="E2850" s="144" t="s">
        <v>1449</v>
      </c>
      <c r="F2850" s="139" t="s">
        <v>88</v>
      </c>
      <c r="G2850" s="144" t="s">
        <v>5523</v>
      </c>
      <c r="H2850" s="146" t="s">
        <v>26</v>
      </c>
      <c r="I2850" s="144" t="s">
        <v>2593</v>
      </c>
    </row>
    <row r="2851" spans="1:9" ht="25.5">
      <c r="A2851" s="193">
        <v>46083</v>
      </c>
      <c r="B2851" s="145" t="s">
        <v>825</v>
      </c>
      <c r="C2851" s="150" t="s">
        <v>5512</v>
      </c>
      <c r="D2851" s="201" t="s">
        <v>1431</v>
      </c>
      <c r="E2851" s="144" t="s">
        <v>1449</v>
      </c>
      <c r="F2851" s="139" t="s">
        <v>88</v>
      </c>
      <c r="G2851" s="144" t="s">
        <v>5524</v>
      </c>
      <c r="H2851" s="146" t="s">
        <v>26</v>
      </c>
      <c r="I2851" s="144" t="s">
        <v>2593</v>
      </c>
    </row>
    <row r="2852" spans="1:9" ht="25.5">
      <c r="A2852" s="193">
        <v>46083</v>
      </c>
      <c r="B2852" s="145" t="s">
        <v>825</v>
      </c>
      <c r="C2852" s="150" t="s">
        <v>5512</v>
      </c>
      <c r="D2852" s="201" t="s">
        <v>1431</v>
      </c>
      <c r="E2852" s="144" t="s">
        <v>1449</v>
      </c>
      <c r="F2852" s="141" t="s">
        <v>821</v>
      </c>
      <c r="G2852" s="144" t="s">
        <v>5525</v>
      </c>
      <c r="H2852" s="146" t="s">
        <v>26</v>
      </c>
      <c r="I2852" s="144" t="s">
        <v>2593</v>
      </c>
    </row>
    <row r="2853" spans="1:9" ht="25.5">
      <c r="A2853" s="193">
        <v>46083</v>
      </c>
      <c r="B2853" s="145" t="s">
        <v>825</v>
      </c>
      <c r="C2853" s="150" t="s">
        <v>5512</v>
      </c>
      <c r="D2853" s="201" t="s">
        <v>1431</v>
      </c>
      <c r="E2853" s="144" t="s">
        <v>1566</v>
      </c>
      <c r="F2853" s="139" t="s">
        <v>88</v>
      </c>
      <c r="G2853" s="144" t="s">
        <v>5526</v>
      </c>
      <c r="H2853" s="146" t="s">
        <v>26</v>
      </c>
      <c r="I2853" s="144" t="s">
        <v>1453</v>
      </c>
    </row>
    <row r="2854" spans="1:9" ht="14.1">
      <c r="A2854" s="193">
        <v>46083</v>
      </c>
      <c r="B2854" s="145" t="s">
        <v>825</v>
      </c>
      <c r="C2854" s="150" t="s">
        <v>5512</v>
      </c>
      <c r="D2854" s="201" t="s">
        <v>1431</v>
      </c>
      <c r="E2854" s="144" t="s">
        <v>1566</v>
      </c>
      <c r="F2854" s="139" t="s">
        <v>88</v>
      </c>
      <c r="G2854" s="144" t="s">
        <v>5527</v>
      </c>
      <c r="H2854" s="146" t="s">
        <v>26</v>
      </c>
      <c r="I2854" s="144" t="s">
        <v>1453</v>
      </c>
    </row>
    <row r="2855" spans="1:9" ht="100.5">
      <c r="A2855" s="193">
        <v>46083</v>
      </c>
      <c r="B2855" s="145" t="s">
        <v>825</v>
      </c>
      <c r="C2855" s="150" t="s">
        <v>5512</v>
      </c>
      <c r="D2855" s="201" t="s">
        <v>1431</v>
      </c>
      <c r="E2855" s="144" t="s">
        <v>1566</v>
      </c>
      <c r="F2855" s="139" t="s">
        <v>88</v>
      </c>
      <c r="G2855" s="144" t="s">
        <v>5528</v>
      </c>
      <c r="H2855" s="146" t="s">
        <v>26</v>
      </c>
      <c r="I2855" s="144" t="s">
        <v>1453</v>
      </c>
    </row>
    <row r="2856" spans="1:9" ht="25.5">
      <c r="A2856" s="193">
        <v>46083</v>
      </c>
      <c r="B2856" s="145" t="s">
        <v>825</v>
      </c>
      <c r="C2856" s="150" t="s">
        <v>5512</v>
      </c>
      <c r="D2856" s="201" t="s">
        <v>1431</v>
      </c>
      <c r="E2856" s="144" t="s">
        <v>1566</v>
      </c>
      <c r="F2856" s="139" t="s">
        <v>88</v>
      </c>
      <c r="G2856" s="144" t="s">
        <v>5529</v>
      </c>
      <c r="H2856" s="146" t="s">
        <v>26</v>
      </c>
      <c r="I2856" s="144" t="s">
        <v>1453</v>
      </c>
    </row>
    <row r="2857" spans="1:9" ht="25.5">
      <c r="A2857" s="193">
        <v>46083</v>
      </c>
      <c r="B2857" s="145" t="s">
        <v>825</v>
      </c>
      <c r="C2857" s="150" t="s">
        <v>5512</v>
      </c>
      <c r="D2857" s="201" t="s">
        <v>2224</v>
      </c>
      <c r="E2857" s="144" t="s">
        <v>1449</v>
      </c>
      <c r="F2857" s="139" t="s">
        <v>88</v>
      </c>
      <c r="G2857" s="144" t="s">
        <v>5530</v>
      </c>
      <c r="H2857" s="146" t="s">
        <v>26</v>
      </c>
      <c r="I2857" s="144" t="s">
        <v>2568</v>
      </c>
    </row>
    <row r="2858" spans="1:9" ht="25.5">
      <c r="A2858" s="193">
        <v>46083</v>
      </c>
      <c r="B2858" s="145" t="s">
        <v>825</v>
      </c>
      <c r="C2858" s="150" t="s">
        <v>5512</v>
      </c>
      <c r="D2858" s="201" t="s">
        <v>2224</v>
      </c>
      <c r="E2858" s="144" t="s">
        <v>1449</v>
      </c>
      <c r="F2858" s="139" t="s">
        <v>88</v>
      </c>
      <c r="G2858" s="144" t="s">
        <v>5531</v>
      </c>
      <c r="H2858" s="146" t="s">
        <v>26</v>
      </c>
      <c r="I2858" s="144" t="s">
        <v>2568</v>
      </c>
    </row>
    <row r="2859" spans="1:9" ht="14.1">
      <c r="A2859" s="193">
        <v>46083</v>
      </c>
      <c r="B2859" s="145" t="s">
        <v>825</v>
      </c>
      <c r="C2859" s="150" t="s">
        <v>5512</v>
      </c>
      <c r="D2859" s="201" t="s">
        <v>2224</v>
      </c>
      <c r="E2859" s="144" t="s">
        <v>1449</v>
      </c>
      <c r="F2859" s="139" t="s">
        <v>88</v>
      </c>
      <c r="G2859" s="144" t="s">
        <v>5532</v>
      </c>
      <c r="H2859" s="146" t="s">
        <v>26</v>
      </c>
      <c r="I2859" s="144" t="s">
        <v>2593</v>
      </c>
    </row>
    <row r="2860" spans="1:9" ht="25.5">
      <c r="A2860" s="193">
        <v>46085</v>
      </c>
      <c r="B2860" s="145" t="s">
        <v>825</v>
      </c>
      <c r="C2860" s="150" t="s">
        <v>5512</v>
      </c>
      <c r="D2860" s="201" t="s">
        <v>1431</v>
      </c>
      <c r="E2860" s="144" t="s">
        <v>2595</v>
      </c>
      <c r="F2860" s="140" t="s">
        <v>1439</v>
      </c>
      <c r="G2860" s="144" t="s">
        <v>4397</v>
      </c>
      <c r="H2860" s="146" t="s">
        <v>130</v>
      </c>
      <c r="I2860" s="144" t="s">
        <v>3516</v>
      </c>
    </row>
    <row r="2861" spans="1:9" ht="38.1">
      <c r="A2861" s="193">
        <v>46085</v>
      </c>
      <c r="B2861" s="145" t="s">
        <v>825</v>
      </c>
      <c r="C2861" s="150" t="s">
        <v>5512</v>
      </c>
      <c r="D2861" s="201" t="s">
        <v>1431</v>
      </c>
      <c r="E2861" s="144" t="s">
        <v>2530</v>
      </c>
      <c r="F2861" s="139" t="s">
        <v>88</v>
      </c>
      <c r="G2861" s="144" t="s">
        <v>5533</v>
      </c>
      <c r="H2861" s="146" t="s">
        <v>130</v>
      </c>
      <c r="I2861" s="144" t="s">
        <v>4367</v>
      </c>
    </row>
    <row r="2862" spans="1:9" ht="25.5">
      <c r="A2862" s="193">
        <v>46085</v>
      </c>
      <c r="B2862" s="145" t="s">
        <v>825</v>
      </c>
      <c r="C2862" s="150" t="s">
        <v>5512</v>
      </c>
      <c r="D2862" s="201" t="s">
        <v>1431</v>
      </c>
      <c r="E2862" s="144" t="s">
        <v>1504</v>
      </c>
      <c r="F2862" s="139" t="s">
        <v>88</v>
      </c>
      <c r="G2862" s="144" t="s">
        <v>4399</v>
      </c>
      <c r="H2862" s="146" t="s">
        <v>26</v>
      </c>
      <c r="I2862" s="144" t="s">
        <v>3516</v>
      </c>
    </row>
    <row r="2863" spans="1:9" ht="25.5">
      <c r="A2863" s="193">
        <v>46085</v>
      </c>
      <c r="B2863" s="145" t="s">
        <v>825</v>
      </c>
      <c r="C2863" s="150" t="s">
        <v>5512</v>
      </c>
      <c r="D2863" s="201" t="s">
        <v>1431</v>
      </c>
      <c r="E2863" s="144" t="s">
        <v>216</v>
      </c>
      <c r="F2863" s="141" t="s">
        <v>821</v>
      </c>
      <c r="G2863" s="144" t="s">
        <v>5534</v>
      </c>
      <c r="H2863" s="146" t="s">
        <v>130</v>
      </c>
      <c r="I2863" s="144" t="s">
        <v>492</v>
      </c>
    </row>
    <row r="2864" spans="1:9" ht="25.5">
      <c r="A2864" s="193">
        <v>46085</v>
      </c>
      <c r="B2864" s="145" t="s">
        <v>825</v>
      </c>
      <c r="C2864" s="150" t="s">
        <v>5512</v>
      </c>
      <c r="D2864" s="201" t="s">
        <v>1431</v>
      </c>
      <c r="E2864" s="144" t="s">
        <v>216</v>
      </c>
      <c r="F2864" s="141" t="s">
        <v>821</v>
      </c>
      <c r="G2864" s="144" t="s">
        <v>5535</v>
      </c>
      <c r="H2864" s="146" t="s">
        <v>130</v>
      </c>
      <c r="I2864" s="144" t="s">
        <v>492</v>
      </c>
    </row>
    <row r="2865" spans="1:9" ht="25.5">
      <c r="A2865" s="193">
        <v>46085</v>
      </c>
      <c r="B2865" s="145" t="s">
        <v>825</v>
      </c>
      <c r="C2865" s="150" t="s">
        <v>5512</v>
      </c>
      <c r="D2865" s="201" t="s">
        <v>1431</v>
      </c>
      <c r="E2865" s="144" t="s">
        <v>1449</v>
      </c>
      <c r="F2865" s="139" t="s">
        <v>88</v>
      </c>
      <c r="G2865" s="144" t="s">
        <v>5536</v>
      </c>
      <c r="H2865" s="146" t="s">
        <v>26</v>
      </c>
      <c r="I2865" s="144" t="s">
        <v>2593</v>
      </c>
    </row>
    <row r="2866" spans="1:9" ht="14.1">
      <c r="A2866" s="193">
        <v>46085</v>
      </c>
      <c r="B2866" s="145" t="s">
        <v>825</v>
      </c>
      <c r="C2866" s="150" t="s">
        <v>5512</v>
      </c>
      <c r="D2866" s="201" t="s">
        <v>1431</v>
      </c>
      <c r="E2866" s="144" t="s">
        <v>1449</v>
      </c>
      <c r="F2866" s="139" t="s">
        <v>88</v>
      </c>
      <c r="G2866" s="144" t="s">
        <v>5537</v>
      </c>
      <c r="H2866" s="146" t="s">
        <v>26</v>
      </c>
      <c r="I2866" s="144" t="s">
        <v>2593</v>
      </c>
    </row>
    <row r="2867" spans="1:9" ht="25.5">
      <c r="A2867" s="193">
        <v>46085</v>
      </c>
      <c r="B2867" s="145" t="s">
        <v>825</v>
      </c>
      <c r="C2867" s="150" t="s">
        <v>5512</v>
      </c>
      <c r="D2867" s="201" t="s">
        <v>1431</v>
      </c>
      <c r="E2867" s="144" t="s">
        <v>1449</v>
      </c>
      <c r="F2867" s="142" t="s">
        <v>872</v>
      </c>
      <c r="G2867" s="144" t="s">
        <v>5538</v>
      </c>
      <c r="H2867" s="146" t="s">
        <v>26</v>
      </c>
      <c r="I2867" s="144" t="s">
        <v>2593</v>
      </c>
    </row>
    <row r="2868" spans="1:9" ht="25.5">
      <c r="A2868" s="193">
        <v>46085</v>
      </c>
      <c r="B2868" s="145" t="s">
        <v>825</v>
      </c>
      <c r="C2868" s="150" t="s">
        <v>5512</v>
      </c>
      <c r="D2868" s="201" t="s">
        <v>1431</v>
      </c>
      <c r="E2868" s="144" t="s">
        <v>1449</v>
      </c>
      <c r="F2868" s="139" t="s">
        <v>88</v>
      </c>
      <c r="G2868" s="144" t="s">
        <v>5539</v>
      </c>
      <c r="H2868" s="146" t="s">
        <v>26</v>
      </c>
      <c r="I2868" s="144" t="s">
        <v>2593</v>
      </c>
    </row>
    <row r="2869" spans="1:9" ht="63">
      <c r="A2869" s="193">
        <v>46085</v>
      </c>
      <c r="B2869" s="145" t="s">
        <v>825</v>
      </c>
      <c r="C2869" s="150" t="s">
        <v>5512</v>
      </c>
      <c r="D2869" s="201" t="s">
        <v>1431</v>
      </c>
      <c r="E2869" s="144" t="s">
        <v>1566</v>
      </c>
      <c r="F2869" s="139" t="s">
        <v>88</v>
      </c>
      <c r="G2869" s="144" t="s">
        <v>5540</v>
      </c>
      <c r="H2869" s="146" t="s">
        <v>26</v>
      </c>
      <c r="I2869" s="144" t="s">
        <v>1588</v>
      </c>
    </row>
    <row r="2870" spans="1:9" ht="50.45">
      <c r="A2870" s="193">
        <v>46085</v>
      </c>
      <c r="B2870" s="145" t="s">
        <v>825</v>
      </c>
      <c r="C2870" s="150" t="s">
        <v>5512</v>
      </c>
      <c r="D2870" s="201" t="s">
        <v>1431</v>
      </c>
      <c r="E2870" s="144" t="s">
        <v>1566</v>
      </c>
      <c r="F2870" s="139" t="s">
        <v>88</v>
      </c>
      <c r="G2870" s="144" t="s">
        <v>5541</v>
      </c>
      <c r="H2870" s="146" t="s">
        <v>26</v>
      </c>
      <c r="I2870" s="144" t="s">
        <v>1588</v>
      </c>
    </row>
    <row r="2871" spans="1:9" ht="14.1">
      <c r="A2871" s="193">
        <v>46085</v>
      </c>
      <c r="B2871" s="145" t="s">
        <v>825</v>
      </c>
      <c r="C2871" s="150" t="s">
        <v>5512</v>
      </c>
      <c r="D2871" s="201" t="s">
        <v>2224</v>
      </c>
      <c r="E2871" s="144" t="s">
        <v>1449</v>
      </c>
      <c r="F2871" s="141" t="s">
        <v>821</v>
      </c>
      <c r="G2871" s="144" t="s">
        <v>5542</v>
      </c>
      <c r="H2871" s="146" t="s">
        <v>26</v>
      </c>
      <c r="I2871" s="144" t="s">
        <v>2593</v>
      </c>
    </row>
    <row r="2872" spans="1:9" ht="25.5">
      <c r="A2872" s="193">
        <v>46085</v>
      </c>
      <c r="B2872" s="145" t="s">
        <v>825</v>
      </c>
      <c r="C2872" s="150" t="s">
        <v>5512</v>
      </c>
      <c r="D2872" s="201" t="s">
        <v>2224</v>
      </c>
      <c r="E2872" s="144" t="s">
        <v>1449</v>
      </c>
      <c r="F2872" s="139" t="s">
        <v>88</v>
      </c>
      <c r="G2872" s="144" t="s">
        <v>5543</v>
      </c>
      <c r="H2872" s="146" t="s">
        <v>26</v>
      </c>
      <c r="I2872" s="144" t="s">
        <v>2593</v>
      </c>
    </row>
    <row r="2873" spans="1:9" ht="25.5">
      <c r="A2873" s="193">
        <v>46085</v>
      </c>
      <c r="B2873" s="145" t="s">
        <v>825</v>
      </c>
      <c r="C2873" s="150" t="s">
        <v>5512</v>
      </c>
      <c r="D2873" s="201" t="s">
        <v>2224</v>
      </c>
      <c r="E2873" s="144" t="s">
        <v>1449</v>
      </c>
      <c r="F2873" s="147" t="s">
        <v>859</v>
      </c>
      <c r="G2873" s="144" t="s">
        <v>5544</v>
      </c>
      <c r="H2873" s="146" t="s">
        <v>26</v>
      </c>
      <c r="I2873" s="144" t="s">
        <v>2593</v>
      </c>
    </row>
    <row r="2874" spans="1:9" ht="14.1">
      <c r="A2874" s="193">
        <v>46086</v>
      </c>
      <c r="B2874" s="145" t="s">
        <v>825</v>
      </c>
      <c r="C2874" s="150" t="s">
        <v>5512</v>
      </c>
      <c r="D2874" s="201" t="s">
        <v>1431</v>
      </c>
      <c r="E2874" s="144" t="s">
        <v>1225</v>
      </c>
      <c r="F2874" s="147" t="s">
        <v>859</v>
      </c>
      <c r="G2874" s="144" t="s">
        <v>5545</v>
      </c>
      <c r="H2874" s="146" t="s">
        <v>130</v>
      </c>
      <c r="I2874" s="144" t="s">
        <v>5546</v>
      </c>
    </row>
    <row r="2875" spans="1:9" ht="25.5">
      <c r="A2875" s="193">
        <v>46086</v>
      </c>
      <c r="B2875" s="145" t="s">
        <v>825</v>
      </c>
      <c r="C2875" s="150" t="s">
        <v>5512</v>
      </c>
      <c r="D2875" s="201" t="s">
        <v>1431</v>
      </c>
      <c r="E2875" s="144" t="s">
        <v>1506</v>
      </c>
      <c r="F2875" s="139" t="s">
        <v>88</v>
      </c>
      <c r="G2875" s="144" t="s">
        <v>5547</v>
      </c>
      <c r="H2875" s="146" t="s">
        <v>26</v>
      </c>
      <c r="I2875" s="144" t="s">
        <v>1904</v>
      </c>
    </row>
    <row r="2876" spans="1:9" ht="25.5">
      <c r="A2876" s="193">
        <v>46086</v>
      </c>
      <c r="B2876" s="145" t="s">
        <v>825</v>
      </c>
      <c r="C2876" s="150" t="s">
        <v>5512</v>
      </c>
      <c r="D2876" s="201" t="s">
        <v>1431</v>
      </c>
      <c r="E2876" s="144" t="s">
        <v>216</v>
      </c>
      <c r="F2876" s="141" t="s">
        <v>821</v>
      </c>
      <c r="G2876" s="144" t="s">
        <v>5548</v>
      </c>
      <c r="H2876" s="146" t="s">
        <v>130</v>
      </c>
      <c r="I2876" s="144" t="s">
        <v>492</v>
      </c>
    </row>
    <row r="2877" spans="1:9" ht="25.5">
      <c r="A2877" s="193">
        <v>46086</v>
      </c>
      <c r="B2877" s="145" t="s">
        <v>825</v>
      </c>
      <c r="C2877" s="150" t="s">
        <v>5512</v>
      </c>
      <c r="D2877" s="201" t="s">
        <v>1431</v>
      </c>
      <c r="E2877" s="144" t="s">
        <v>1449</v>
      </c>
      <c r="F2877" s="139" t="s">
        <v>88</v>
      </c>
      <c r="G2877" s="144" t="s">
        <v>5549</v>
      </c>
      <c r="H2877" s="146" t="s">
        <v>26</v>
      </c>
      <c r="I2877" s="144" t="s">
        <v>2593</v>
      </c>
    </row>
    <row r="2878" spans="1:9" ht="14.1">
      <c r="A2878" s="193">
        <v>46086</v>
      </c>
      <c r="B2878" s="145" t="s">
        <v>825</v>
      </c>
      <c r="C2878" s="150" t="s">
        <v>5512</v>
      </c>
      <c r="D2878" s="201" t="s">
        <v>1431</v>
      </c>
      <c r="E2878" s="144" t="s">
        <v>1449</v>
      </c>
      <c r="F2878" s="139" t="s">
        <v>88</v>
      </c>
      <c r="G2878" s="144" t="s">
        <v>5550</v>
      </c>
      <c r="H2878" s="146" t="s">
        <v>26</v>
      </c>
      <c r="I2878" s="144" t="s">
        <v>2593</v>
      </c>
    </row>
    <row r="2879" spans="1:9" ht="38.1">
      <c r="A2879" s="193">
        <v>46086</v>
      </c>
      <c r="B2879" s="145" t="s">
        <v>825</v>
      </c>
      <c r="C2879" s="150" t="s">
        <v>5512</v>
      </c>
      <c r="D2879" s="201" t="s">
        <v>1431</v>
      </c>
      <c r="E2879" s="144" t="s">
        <v>1566</v>
      </c>
      <c r="F2879" s="139" t="s">
        <v>88</v>
      </c>
      <c r="G2879" s="144" t="s">
        <v>5551</v>
      </c>
      <c r="H2879" s="146" t="s">
        <v>26</v>
      </c>
      <c r="I2879" s="144" t="s">
        <v>2798</v>
      </c>
    </row>
    <row r="2880" spans="1:9" ht="25.5">
      <c r="A2880" s="193">
        <v>46086</v>
      </c>
      <c r="B2880" s="145" t="s">
        <v>825</v>
      </c>
      <c r="C2880" s="150" t="s">
        <v>5512</v>
      </c>
      <c r="D2880" s="201" t="s">
        <v>1431</v>
      </c>
      <c r="E2880" s="144" t="s">
        <v>1449</v>
      </c>
      <c r="F2880" s="139" t="s">
        <v>88</v>
      </c>
      <c r="G2880" s="144" t="s">
        <v>5552</v>
      </c>
      <c r="H2880" s="146" t="s">
        <v>26</v>
      </c>
      <c r="I2880" s="144" t="s">
        <v>2593</v>
      </c>
    </row>
    <row r="2881" spans="1:9" ht="25.5">
      <c r="A2881" s="193">
        <v>46086</v>
      </c>
      <c r="B2881" s="145" t="s">
        <v>825</v>
      </c>
      <c r="C2881" s="150" t="s">
        <v>5512</v>
      </c>
      <c r="D2881" s="201" t="s">
        <v>1431</v>
      </c>
      <c r="E2881" s="144" t="s">
        <v>1566</v>
      </c>
      <c r="F2881" s="139" t="s">
        <v>88</v>
      </c>
      <c r="G2881" s="144" t="s">
        <v>5553</v>
      </c>
      <c r="H2881" s="146" t="s">
        <v>26</v>
      </c>
      <c r="I2881" s="144" t="s">
        <v>2798</v>
      </c>
    </row>
    <row r="2882" spans="1:9" ht="14.1">
      <c r="A2882" s="193">
        <v>46086</v>
      </c>
      <c r="B2882" s="145" t="s">
        <v>825</v>
      </c>
      <c r="C2882" s="150" t="s">
        <v>5512</v>
      </c>
      <c r="D2882" s="201" t="s">
        <v>1431</v>
      </c>
      <c r="E2882" s="144" t="s">
        <v>1566</v>
      </c>
      <c r="F2882" s="139" t="s">
        <v>88</v>
      </c>
      <c r="G2882" s="144" t="s">
        <v>5554</v>
      </c>
      <c r="H2882" s="146" t="s">
        <v>26</v>
      </c>
      <c r="I2882" s="144" t="s">
        <v>2798</v>
      </c>
    </row>
    <row r="2883" spans="1:9" ht="25.5">
      <c r="A2883" s="193">
        <v>46086</v>
      </c>
      <c r="B2883" s="145" t="s">
        <v>825</v>
      </c>
      <c r="C2883" s="150" t="s">
        <v>5512</v>
      </c>
      <c r="D2883" s="201" t="s">
        <v>2224</v>
      </c>
      <c r="E2883" s="144" t="s">
        <v>1449</v>
      </c>
      <c r="F2883" s="142" t="s">
        <v>872</v>
      </c>
      <c r="G2883" s="144" t="s">
        <v>5555</v>
      </c>
      <c r="H2883" s="146" t="s">
        <v>26</v>
      </c>
      <c r="I2883" s="144" t="s">
        <v>2593</v>
      </c>
    </row>
    <row r="2884" spans="1:9" ht="14.1">
      <c r="A2884" s="193">
        <v>46086</v>
      </c>
      <c r="B2884" s="145" t="s">
        <v>825</v>
      </c>
      <c r="C2884" s="150" t="s">
        <v>5512</v>
      </c>
      <c r="D2884" s="201" t="s">
        <v>1431</v>
      </c>
      <c r="E2884" s="144" t="s">
        <v>1539</v>
      </c>
      <c r="F2884" s="141" t="s">
        <v>821</v>
      </c>
      <c r="G2884" s="144" t="s">
        <v>4401</v>
      </c>
      <c r="H2884" s="146" t="s">
        <v>130</v>
      </c>
      <c r="I2884" s="144" t="s">
        <v>2798</v>
      </c>
    </row>
    <row r="2885" spans="1:9" ht="14.1">
      <c r="A2885" s="193">
        <v>46087</v>
      </c>
      <c r="B2885" s="145" t="s">
        <v>825</v>
      </c>
      <c r="C2885" s="150" t="s">
        <v>5512</v>
      </c>
      <c r="D2885" s="201" t="s">
        <v>1431</v>
      </c>
      <c r="E2885" s="144" t="s">
        <v>988</v>
      </c>
      <c r="F2885" s="139" t="s">
        <v>88</v>
      </c>
      <c r="G2885" s="144" t="s">
        <v>5556</v>
      </c>
      <c r="H2885" s="146" t="s">
        <v>26</v>
      </c>
      <c r="I2885" s="144" t="s">
        <v>2700</v>
      </c>
    </row>
    <row r="2886" spans="1:9" ht="14.1">
      <c r="A2886" s="193">
        <v>46087</v>
      </c>
      <c r="B2886" s="145" t="s">
        <v>825</v>
      </c>
      <c r="C2886" s="150" t="s">
        <v>5512</v>
      </c>
      <c r="D2886" s="201" t="s">
        <v>1431</v>
      </c>
      <c r="E2886" s="144" t="s">
        <v>1511</v>
      </c>
      <c r="F2886" s="141" t="s">
        <v>821</v>
      </c>
      <c r="G2886" s="144" t="s">
        <v>5557</v>
      </c>
      <c r="H2886" s="146" t="s">
        <v>130</v>
      </c>
      <c r="I2886" s="144" t="s">
        <v>2700</v>
      </c>
    </row>
    <row r="2887" spans="1:9" ht="25.5">
      <c r="A2887" s="193">
        <v>46087</v>
      </c>
      <c r="B2887" s="145" t="s">
        <v>825</v>
      </c>
      <c r="C2887" s="150" t="s">
        <v>5512</v>
      </c>
      <c r="D2887" s="201" t="s">
        <v>1431</v>
      </c>
      <c r="E2887" s="144" t="s">
        <v>2530</v>
      </c>
      <c r="F2887" s="139" t="s">
        <v>88</v>
      </c>
      <c r="G2887" s="144" t="s">
        <v>5558</v>
      </c>
      <c r="H2887" s="146" t="s">
        <v>26</v>
      </c>
      <c r="I2887" s="144" t="s">
        <v>4367</v>
      </c>
    </row>
    <row r="2888" spans="1:9" ht="14.1">
      <c r="A2888" s="193">
        <v>46087</v>
      </c>
      <c r="B2888" s="145" t="s">
        <v>825</v>
      </c>
      <c r="C2888" s="150" t="s">
        <v>5512</v>
      </c>
      <c r="D2888" s="201" t="s">
        <v>1431</v>
      </c>
      <c r="E2888" s="144" t="s">
        <v>1560</v>
      </c>
      <c r="F2888" s="140" t="s">
        <v>1439</v>
      </c>
      <c r="G2888" s="144" t="s">
        <v>5559</v>
      </c>
      <c r="H2888" s="146" t="s">
        <v>130</v>
      </c>
      <c r="I2888" s="144" t="s">
        <v>4377</v>
      </c>
    </row>
    <row r="2889" spans="1:9" ht="14.1">
      <c r="A2889" s="193">
        <v>46087</v>
      </c>
      <c r="B2889" s="145" t="s">
        <v>825</v>
      </c>
      <c r="C2889" s="150" t="s">
        <v>5512</v>
      </c>
      <c r="D2889" s="201" t="s">
        <v>1431</v>
      </c>
      <c r="E2889" s="144" t="s">
        <v>1504</v>
      </c>
      <c r="F2889" s="141" t="s">
        <v>821</v>
      </c>
      <c r="G2889" s="144" t="s">
        <v>5560</v>
      </c>
      <c r="H2889" s="146" t="s">
        <v>130</v>
      </c>
      <c r="I2889" s="144" t="s">
        <v>578</v>
      </c>
    </row>
    <row r="2890" spans="1:9" ht="38.1">
      <c r="A2890" s="193">
        <v>46087</v>
      </c>
      <c r="B2890" s="145" t="s">
        <v>825</v>
      </c>
      <c r="C2890" s="150" t="s">
        <v>5512</v>
      </c>
      <c r="D2890" s="201" t="s">
        <v>1431</v>
      </c>
      <c r="E2890" s="144" t="s">
        <v>1506</v>
      </c>
      <c r="F2890" s="139" t="s">
        <v>88</v>
      </c>
      <c r="G2890" s="144" t="s">
        <v>5561</v>
      </c>
      <c r="H2890" s="146" t="s">
        <v>26</v>
      </c>
      <c r="I2890" s="144" t="s">
        <v>1904</v>
      </c>
    </row>
    <row r="2891" spans="1:9" ht="25.5">
      <c r="A2891" s="193">
        <v>46087</v>
      </c>
      <c r="B2891" s="145" t="s">
        <v>825</v>
      </c>
      <c r="C2891" s="150" t="s">
        <v>5512</v>
      </c>
      <c r="D2891" s="201" t="s">
        <v>1431</v>
      </c>
      <c r="E2891" s="144" t="s">
        <v>1506</v>
      </c>
      <c r="F2891" s="139" t="s">
        <v>88</v>
      </c>
      <c r="G2891" s="144" t="s">
        <v>5562</v>
      </c>
      <c r="H2891" s="146" t="s">
        <v>26</v>
      </c>
      <c r="I2891" s="144" t="s">
        <v>1904</v>
      </c>
    </row>
    <row r="2892" spans="1:9" ht="25.5">
      <c r="A2892" s="193">
        <v>46087</v>
      </c>
      <c r="B2892" s="145" t="s">
        <v>825</v>
      </c>
      <c r="C2892" s="150" t="s">
        <v>5512</v>
      </c>
      <c r="D2892" s="201" t="s">
        <v>1431</v>
      </c>
      <c r="E2892" s="144" t="s">
        <v>1506</v>
      </c>
      <c r="F2892" s="139" t="s">
        <v>88</v>
      </c>
      <c r="G2892" s="144" t="s">
        <v>5563</v>
      </c>
      <c r="H2892" s="146" t="s">
        <v>26</v>
      </c>
      <c r="I2892" s="144" t="s">
        <v>3247</v>
      </c>
    </row>
    <row r="2893" spans="1:9" ht="14.1">
      <c r="A2893" s="193">
        <v>46087</v>
      </c>
      <c r="B2893" s="145" t="s">
        <v>825</v>
      </c>
      <c r="C2893" s="150" t="s">
        <v>5512</v>
      </c>
      <c r="D2893" s="201" t="s">
        <v>1431</v>
      </c>
      <c r="E2893" s="144" t="s">
        <v>216</v>
      </c>
      <c r="F2893" s="141" t="s">
        <v>821</v>
      </c>
      <c r="G2893" s="144" t="s">
        <v>5564</v>
      </c>
      <c r="H2893" s="146" t="s">
        <v>130</v>
      </c>
      <c r="I2893" s="144" t="s">
        <v>492</v>
      </c>
    </row>
    <row r="2894" spans="1:9" ht="25.5">
      <c r="A2894" s="193">
        <v>46087</v>
      </c>
      <c r="B2894" s="145" t="s">
        <v>825</v>
      </c>
      <c r="C2894" s="150" t="s">
        <v>5512</v>
      </c>
      <c r="D2894" s="201" t="s">
        <v>1431</v>
      </c>
      <c r="E2894" s="144" t="s">
        <v>216</v>
      </c>
      <c r="F2894" s="141" t="s">
        <v>821</v>
      </c>
      <c r="G2894" s="144" t="s">
        <v>5565</v>
      </c>
      <c r="H2894" s="146" t="s">
        <v>130</v>
      </c>
      <c r="I2894" s="144" t="s">
        <v>492</v>
      </c>
    </row>
    <row r="2895" spans="1:9" ht="14.1">
      <c r="A2895" s="193">
        <v>46087</v>
      </c>
      <c r="B2895" s="145" t="s">
        <v>825</v>
      </c>
      <c r="C2895" s="150" t="s">
        <v>5512</v>
      </c>
      <c r="D2895" s="201" t="s">
        <v>1431</v>
      </c>
      <c r="E2895" s="144" t="s">
        <v>21</v>
      </c>
      <c r="F2895" s="141" t="s">
        <v>821</v>
      </c>
      <c r="G2895" s="144" t="s">
        <v>4405</v>
      </c>
      <c r="H2895" s="146" t="s">
        <v>130</v>
      </c>
      <c r="I2895" s="144" t="s">
        <v>468</v>
      </c>
    </row>
    <row r="2896" spans="1:9" ht="14.1">
      <c r="A2896" s="193">
        <v>46087</v>
      </c>
      <c r="B2896" s="145" t="s">
        <v>825</v>
      </c>
      <c r="C2896" s="150" t="s">
        <v>5512</v>
      </c>
      <c r="D2896" s="201" t="s">
        <v>1431</v>
      </c>
      <c r="E2896" s="144" t="s">
        <v>1449</v>
      </c>
      <c r="F2896" s="139" t="s">
        <v>88</v>
      </c>
      <c r="G2896" s="144" t="s">
        <v>5566</v>
      </c>
      <c r="H2896" s="146" t="s">
        <v>26</v>
      </c>
      <c r="I2896" s="144" t="s">
        <v>2593</v>
      </c>
    </row>
    <row r="2897" spans="1:9" ht="14.1">
      <c r="A2897" s="193">
        <v>46087</v>
      </c>
      <c r="B2897" s="145" t="s">
        <v>825</v>
      </c>
      <c r="C2897" s="150" t="s">
        <v>5512</v>
      </c>
      <c r="D2897" s="201" t="s">
        <v>1431</v>
      </c>
      <c r="E2897" s="144" t="s">
        <v>1449</v>
      </c>
      <c r="F2897" s="139" t="s">
        <v>88</v>
      </c>
      <c r="G2897" s="144" t="s">
        <v>5567</v>
      </c>
      <c r="H2897" s="146" t="s">
        <v>26</v>
      </c>
      <c r="I2897" s="144" t="s">
        <v>2593</v>
      </c>
    </row>
    <row r="2898" spans="1:9" ht="38.1">
      <c r="A2898" s="193">
        <v>46087</v>
      </c>
      <c r="B2898" s="145" t="s">
        <v>825</v>
      </c>
      <c r="C2898" s="150" t="s">
        <v>5512</v>
      </c>
      <c r="D2898" s="201" t="s">
        <v>1431</v>
      </c>
      <c r="E2898" s="144" t="s">
        <v>1449</v>
      </c>
      <c r="F2898" s="139" t="s">
        <v>88</v>
      </c>
      <c r="G2898" s="144" t="s">
        <v>5568</v>
      </c>
      <c r="H2898" s="146" t="s">
        <v>26</v>
      </c>
      <c r="I2898" s="144" t="s">
        <v>2593</v>
      </c>
    </row>
    <row r="2899" spans="1:9" ht="14.1">
      <c r="A2899" s="193">
        <v>46087</v>
      </c>
      <c r="B2899" s="145" t="s">
        <v>825</v>
      </c>
      <c r="C2899" s="150" t="s">
        <v>5512</v>
      </c>
      <c r="D2899" s="201" t="s">
        <v>1431</v>
      </c>
      <c r="E2899" s="144" t="s">
        <v>1449</v>
      </c>
      <c r="F2899" s="139" t="s">
        <v>88</v>
      </c>
      <c r="G2899" s="144" t="s">
        <v>5569</v>
      </c>
      <c r="H2899" s="146" t="s">
        <v>26</v>
      </c>
      <c r="I2899" s="144" t="s">
        <v>2593</v>
      </c>
    </row>
    <row r="2900" spans="1:9" ht="14.1">
      <c r="A2900" s="193">
        <v>46087</v>
      </c>
      <c r="B2900" s="145" t="s">
        <v>825</v>
      </c>
      <c r="C2900" s="150" t="s">
        <v>5512</v>
      </c>
      <c r="D2900" s="201" t="s">
        <v>1431</v>
      </c>
      <c r="E2900" s="144" t="s">
        <v>1566</v>
      </c>
      <c r="F2900" s="139" t="s">
        <v>88</v>
      </c>
      <c r="G2900" s="144" t="s">
        <v>5570</v>
      </c>
      <c r="H2900" s="146" t="s">
        <v>26</v>
      </c>
      <c r="I2900" s="144" t="s">
        <v>1453</v>
      </c>
    </row>
    <row r="2901" spans="1:9" ht="14.1">
      <c r="A2901" s="193">
        <v>46087</v>
      </c>
      <c r="B2901" s="145" t="s">
        <v>825</v>
      </c>
      <c r="C2901" s="150" t="s">
        <v>5512</v>
      </c>
      <c r="D2901" s="201" t="s">
        <v>1431</v>
      </c>
      <c r="E2901" s="144" t="s">
        <v>1566</v>
      </c>
      <c r="F2901" s="139" t="s">
        <v>88</v>
      </c>
      <c r="G2901" s="144" t="s">
        <v>5571</v>
      </c>
      <c r="H2901" s="146" t="s">
        <v>26</v>
      </c>
      <c r="I2901" s="144" t="s">
        <v>1453</v>
      </c>
    </row>
    <row r="2902" spans="1:9" ht="25.5">
      <c r="A2902" s="193">
        <v>46087</v>
      </c>
      <c r="B2902" s="145" t="s">
        <v>825</v>
      </c>
      <c r="C2902" s="150" t="s">
        <v>5512</v>
      </c>
      <c r="D2902" s="201" t="s">
        <v>1431</v>
      </c>
      <c r="E2902" s="144" t="s">
        <v>216</v>
      </c>
      <c r="F2902" s="140" t="s">
        <v>1439</v>
      </c>
      <c r="G2902" s="144" t="s">
        <v>5572</v>
      </c>
      <c r="H2902" s="146" t="s">
        <v>26</v>
      </c>
      <c r="I2902" s="144" t="s">
        <v>492</v>
      </c>
    </row>
    <row r="2903" spans="1:9" ht="25.5">
      <c r="A2903" s="193">
        <v>46087</v>
      </c>
      <c r="B2903" s="145" t="s">
        <v>825</v>
      </c>
      <c r="C2903" s="150" t="s">
        <v>5512</v>
      </c>
      <c r="D2903" s="201" t="s">
        <v>3886</v>
      </c>
      <c r="E2903" s="144" t="s">
        <v>21</v>
      </c>
      <c r="F2903" s="141" t="s">
        <v>821</v>
      </c>
      <c r="G2903" s="144" t="s">
        <v>5573</v>
      </c>
      <c r="H2903" s="146" t="s">
        <v>130</v>
      </c>
      <c r="I2903" s="144" t="s">
        <v>2813</v>
      </c>
    </row>
    <row r="2904" spans="1:9" ht="25.5">
      <c r="A2904" s="193">
        <v>46087</v>
      </c>
      <c r="B2904" s="145" t="s">
        <v>825</v>
      </c>
      <c r="C2904" s="150" t="s">
        <v>5512</v>
      </c>
      <c r="D2904" s="201" t="s">
        <v>1431</v>
      </c>
      <c r="E2904" s="144" t="s">
        <v>1584</v>
      </c>
      <c r="F2904" s="141" t="s">
        <v>821</v>
      </c>
      <c r="G2904" s="144" t="s">
        <v>5574</v>
      </c>
      <c r="H2904" s="146" t="s">
        <v>26</v>
      </c>
      <c r="I2904" s="144" t="s">
        <v>578</v>
      </c>
    </row>
    <row r="2905" spans="1:9" ht="38.1">
      <c r="A2905" s="193">
        <v>46087</v>
      </c>
      <c r="B2905" s="145" t="s">
        <v>825</v>
      </c>
      <c r="C2905" s="150" t="s">
        <v>5512</v>
      </c>
      <c r="D2905" s="201" t="s">
        <v>2224</v>
      </c>
      <c r="E2905" s="144" t="s">
        <v>1449</v>
      </c>
      <c r="F2905" s="139" t="s">
        <v>88</v>
      </c>
      <c r="G2905" s="144" t="s">
        <v>5575</v>
      </c>
      <c r="H2905" s="146" t="s">
        <v>26</v>
      </c>
      <c r="I2905" s="144" t="s">
        <v>2593</v>
      </c>
    </row>
    <row r="2906" spans="1:9" ht="14.1">
      <c r="A2906" s="193">
        <v>46087</v>
      </c>
      <c r="B2906" s="145" t="s">
        <v>825</v>
      </c>
      <c r="C2906" s="150" t="s">
        <v>5512</v>
      </c>
      <c r="D2906" s="201" t="s">
        <v>2224</v>
      </c>
      <c r="E2906" s="144" t="s">
        <v>1449</v>
      </c>
      <c r="F2906" s="147" t="s">
        <v>859</v>
      </c>
      <c r="G2906" s="144" t="s">
        <v>5576</v>
      </c>
      <c r="H2906" s="146" t="s">
        <v>26</v>
      </c>
      <c r="I2906" s="144" t="s">
        <v>2593</v>
      </c>
    </row>
    <row r="2907" spans="1:9" ht="25.5">
      <c r="A2907" s="193">
        <v>46090</v>
      </c>
      <c r="B2907" s="145" t="s">
        <v>825</v>
      </c>
      <c r="C2907" s="150" t="s">
        <v>5512</v>
      </c>
      <c r="D2907" s="201" t="s">
        <v>1431</v>
      </c>
      <c r="E2907" s="144" t="s">
        <v>2595</v>
      </c>
      <c r="F2907" s="139" t="s">
        <v>88</v>
      </c>
      <c r="G2907" s="144" t="s">
        <v>5577</v>
      </c>
      <c r="H2907" s="146" t="s">
        <v>26</v>
      </c>
      <c r="I2907" s="144" t="s">
        <v>3516</v>
      </c>
    </row>
    <row r="2908" spans="1:9" ht="25.5">
      <c r="A2908" s="193">
        <v>46090</v>
      </c>
      <c r="B2908" s="145" t="s">
        <v>825</v>
      </c>
      <c r="C2908" s="150" t="s">
        <v>5512</v>
      </c>
      <c r="D2908" s="201" t="s">
        <v>1431</v>
      </c>
      <c r="E2908" s="144" t="s">
        <v>1511</v>
      </c>
      <c r="F2908" s="139" t="s">
        <v>88</v>
      </c>
      <c r="G2908" s="144" t="s">
        <v>5578</v>
      </c>
      <c r="H2908" s="146" t="s">
        <v>26</v>
      </c>
      <c r="I2908" s="144" t="s">
        <v>1541</v>
      </c>
    </row>
    <row r="2909" spans="1:9" ht="14.1">
      <c r="A2909" s="193">
        <v>46090</v>
      </c>
      <c r="B2909" s="145" t="s">
        <v>825</v>
      </c>
      <c r="C2909" s="150" t="s">
        <v>5512</v>
      </c>
      <c r="D2909" s="201" t="s">
        <v>1431</v>
      </c>
      <c r="E2909" s="144" t="s">
        <v>1504</v>
      </c>
      <c r="F2909" s="141" t="s">
        <v>821</v>
      </c>
      <c r="G2909" s="144" t="s">
        <v>5579</v>
      </c>
      <c r="H2909" s="146" t="s">
        <v>26</v>
      </c>
      <c r="I2909" s="144" t="s">
        <v>3516</v>
      </c>
    </row>
    <row r="2910" spans="1:9" ht="25.5">
      <c r="A2910" s="193">
        <v>46090</v>
      </c>
      <c r="B2910" s="145" t="s">
        <v>825</v>
      </c>
      <c r="C2910" s="150" t="s">
        <v>5512</v>
      </c>
      <c r="D2910" s="201" t="s">
        <v>1431</v>
      </c>
      <c r="E2910" s="144" t="s">
        <v>1506</v>
      </c>
      <c r="F2910" s="139" t="s">
        <v>88</v>
      </c>
      <c r="G2910" s="144" t="s">
        <v>5580</v>
      </c>
      <c r="H2910" s="146" t="s">
        <v>26</v>
      </c>
      <c r="I2910" s="144" t="s">
        <v>1904</v>
      </c>
    </row>
    <row r="2911" spans="1:9" ht="25.5">
      <c r="A2911" s="193">
        <v>46090</v>
      </c>
      <c r="B2911" s="145" t="s">
        <v>825</v>
      </c>
      <c r="C2911" s="150" t="s">
        <v>5512</v>
      </c>
      <c r="D2911" s="201" t="s">
        <v>3886</v>
      </c>
      <c r="E2911" s="144" t="s">
        <v>216</v>
      </c>
      <c r="F2911" s="141" t="s">
        <v>821</v>
      </c>
      <c r="G2911" s="144" t="s">
        <v>5581</v>
      </c>
      <c r="H2911" s="146" t="s">
        <v>26</v>
      </c>
      <c r="I2911" s="144" t="s">
        <v>492</v>
      </c>
    </row>
    <row r="2912" spans="1:9" ht="25.5">
      <c r="A2912" s="193">
        <v>46090</v>
      </c>
      <c r="B2912" s="145" t="s">
        <v>825</v>
      </c>
      <c r="C2912" s="150" t="s">
        <v>5512</v>
      </c>
      <c r="D2912" s="201" t="s">
        <v>1431</v>
      </c>
      <c r="E2912" s="144" t="s">
        <v>21</v>
      </c>
      <c r="F2912" s="141" t="s">
        <v>821</v>
      </c>
      <c r="G2912" s="144" t="s">
        <v>4407</v>
      </c>
      <c r="H2912" s="146" t="s">
        <v>26</v>
      </c>
      <c r="I2912" s="144" t="s">
        <v>468</v>
      </c>
    </row>
    <row r="2913" spans="1:9" ht="25.5">
      <c r="A2913" s="193">
        <v>46090</v>
      </c>
      <c r="B2913" s="145" t="s">
        <v>825</v>
      </c>
      <c r="C2913" s="150" t="s">
        <v>5512</v>
      </c>
      <c r="D2913" s="201" t="s">
        <v>1431</v>
      </c>
      <c r="E2913" s="144" t="s">
        <v>1449</v>
      </c>
      <c r="F2913" s="141" t="s">
        <v>821</v>
      </c>
      <c r="G2913" s="144" t="s">
        <v>5582</v>
      </c>
      <c r="H2913" s="146" t="s">
        <v>26</v>
      </c>
      <c r="I2913" s="144" t="s">
        <v>2739</v>
      </c>
    </row>
    <row r="2914" spans="1:9" ht="25.5">
      <c r="A2914" s="193">
        <v>46090</v>
      </c>
      <c r="B2914" s="145" t="s">
        <v>825</v>
      </c>
      <c r="C2914" s="150" t="s">
        <v>5512</v>
      </c>
      <c r="D2914" s="201" t="s">
        <v>1431</v>
      </c>
      <c r="E2914" s="144" t="s">
        <v>1566</v>
      </c>
      <c r="F2914" s="139" t="s">
        <v>88</v>
      </c>
      <c r="G2914" s="144" t="s">
        <v>5583</v>
      </c>
      <c r="H2914" s="146" t="s">
        <v>26</v>
      </c>
      <c r="I2914" s="144" t="s">
        <v>1588</v>
      </c>
    </row>
    <row r="2915" spans="1:9" ht="25.5">
      <c r="A2915" s="193">
        <v>46090</v>
      </c>
      <c r="B2915" s="145" t="s">
        <v>825</v>
      </c>
      <c r="C2915" s="150" t="s">
        <v>5512</v>
      </c>
      <c r="D2915" s="201" t="s">
        <v>1431</v>
      </c>
      <c r="E2915" s="144" t="s">
        <v>1566</v>
      </c>
      <c r="F2915" s="139" t="s">
        <v>88</v>
      </c>
      <c r="G2915" s="144" t="s">
        <v>5584</v>
      </c>
      <c r="H2915" s="146" t="s">
        <v>26</v>
      </c>
      <c r="I2915" s="144" t="s">
        <v>1588</v>
      </c>
    </row>
    <row r="2916" spans="1:9" ht="25.5">
      <c r="A2916" s="193">
        <v>46090</v>
      </c>
      <c r="B2916" s="145" t="s">
        <v>825</v>
      </c>
      <c r="C2916" s="150" t="s">
        <v>5512</v>
      </c>
      <c r="D2916" s="201" t="s">
        <v>1431</v>
      </c>
      <c r="E2916" s="144" t="s">
        <v>216</v>
      </c>
      <c r="F2916" s="140" t="s">
        <v>1439</v>
      </c>
      <c r="G2916" s="144" t="s">
        <v>5585</v>
      </c>
      <c r="H2916" s="146" t="s">
        <v>26</v>
      </c>
      <c r="I2916" s="144" t="s">
        <v>492</v>
      </c>
    </row>
    <row r="2917" spans="1:9" ht="25.5">
      <c r="A2917" s="193">
        <v>46090</v>
      </c>
      <c r="B2917" s="145" t="s">
        <v>825</v>
      </c>
      <c r="C2917" s="150" t="s">
        <v>5512</v>
      </c>
      <c r="D2917" s="201" t="s">
        <v>2224</v>
      </c>
      <c r="E2917" s="144" t="s">
        <v>1158</v>
      </c>
      <c r="F2917" s="139" t="s">
        <v>88</v>
      </c>
      <c r="G2917" s="144" t="s">
        <v>5586</v>
      </c>
      <c r="H2917" s="146" t="s">
        <v>26</v>
      </c>
      <c r="I2917" s="144" t="s">
        <v>2568</v>
      </c>
    </row>
    <row r="2918" spans="1:9" ht="25.5">
      <c r="A2918" s="193">
        <v>46091</v>
      </c>
      <c r="B2918" s="145" t="s">
        <v>825</v>
      </c>
      <c r="C2918" s="150" t="s">
        <v>5512</v>
      </c>
      <c r="D2918" s="201" t="s">
        <v>1431</v>
      </c>
      <c r="E2918" s="144" t="s">
        <v>988</v>
      </c>
      <c r="F2918" s="141" t="s">
        <v>821</v>
      </c>
      <c r="G2918" s="144" t="s">
        <v>4411</v>
      </c>
      <c r="H2918" s="146" t="s">
        <v>26</v>
      </c>
      <c r="I2918" s="144" t="s">
        <v>4339</v>
      </c>
    </row>
    <row r="2919" spans="1:9" ht="25.5">
      <c r="A2919" s="193">
        <v>46091</v>
      </c>
      <c r="B2919" s="145" t="s">
        <v>825</v>
      </c>
      <c r="C2919" s="150" t="s">
        <v>5512</v>
      </c>
      <c r="D2919" s="201" t="s">
        <v>1431</v>
      </c>
      <c r="E2919" s="144" t="s">
        <v>216</v>
      </c>
      <c r="F2919" s="141" t="s">
        <v>821</v>
      </c>
      <c r="G2919" s="144" t="s">
        <v>5587</v>
      </c>
      <c r="H2919" s="146" t="s">
        <v>26</v>
      </c>
      <c r="I2919" s="144" t="s">
        <v>492</v>
      </c>
    </row>
    <row r="2920" spans="1:9" ht="25.5">
      <c r="A2920" s="193">
        <v>46091</v>
      </c>
      <c r="B2920" s="145" t="s">
        <v>825</v>
      </c>
      <c r="C2920" s="150" t="s">
        <v>5512</v>
      </c>
      <c r="D2920" s="201" t="s">
        <v>1431</v>
      </c>
      <c r="E2920" s="144" t="s">
        <v>1506</v>
      </c>
      <c r="F2920" s="139" t="s">
        <v>88</v>
      </c>
      <c r="G2920" s="144" t="s">
        <v>5588</v>
      </c>
      <c r="H2920" s="146" t="s">
        <v>26</v>
      </c>
      <c r="I2920" s="144" t="s">
        <v>1904</v>
      </c>
    </row>
    <row r="2921" spans="1:9" ht="25.5">
      <c r="A2921" s="193">
        <v>46091</v>
      </c>
      <c r="B2921" s="145" t="s">
        <v>825</v>
      </c>
      <c r="C2921" s="150" t="s">
        <v>5512</v>
      </c>
      <c r="D2921" s="201" t="s">
        <v>1431</v>
      </c>
      <c r="E2921" s="144" t="s">
        <v>1449</v>
      </c>
      <c r="F2921" s="139" t="s">
        <v>88</v>
      </c>
      <c r="G2921" s="144" t="s">
        <v>5589</v>
      </c>
      <c r="H2921" s="146" t="s">
        <v>26</v>
      </c>
      <c r="I2921" s="144" t="s">
        <v>2593</v>
      </c>
    </row>
    <row r="2922" spans="1:9" ht="14.1">
      <c r="A2922" s="193">
        <v>46091</v>
      </c>
      <c r="B2922" s="145" t="s">
        <v>825</v>
      </c>
      <c r="C2922" s="150" t="s">
        <v>5512</v>
      </c>
      <c r="D2922" s="201" t="s">
        <v>1431</v>
      </c>
      <c r="E2922" s="144" t="s">
        <v>1449</v>
      </c>
      <c r="F2922" s="139" t="s">
        <v>88</v>
      </c>
      <c r="G2922" s="144" t="s">
        <v>5590</v>
      </c>
      <c r="H2922" s="146" t="s">
        <v>26</v>
      </c>
      <c r="I2922" s="144" t="s">
        <v>2593</v>
      </c>
    </row>
    <row r="2923" spans="1:9" ht="38.1">
      <c r="A2923" s="193">
        <v>46091</v>
      </c>
      <c r="B2923" s="145" t="s">
        <v>825</v>
      </c>
      <c r="C2923" s="150" t="s">
        <v>5512</v>
      </c>
      <c r="D2923" s="201" t="s">
        <v>1431</v>
      </c>
      <c r="E2923" s="144" t="s">
        <v>1449</v>
      </c>
      <c r="F2923" s="139" t="s">
        <v>88</v>
      </c>
      <c r="G2923" s="144" t="s">
        <v>5591</v>
      </c>
      <c r="H2923" s="146" t="s">
        <v>26</v>
      </c>
      <c r="I2923" s="144" t="s">
        <v>2593</v>
      </c>
    </row>
    <row r="2924" spans="1:9" ht="14.1">
      <c r="A2924" s="193">
        <v>46091</v>
      </c>
      <c r="B2924" s="145" t="s">
        <v>825</v>
      </c>
      <c r="C2924" s="150" t="s">
        <v>5512</v>
      </c>
      <c r="D2924" s="201" t="s">
        <v>1431</v>
      </c>
      <c r="E2924" s="144" t="s">
        <v>1449</v>
      </c>
      <c r="F2924" s="139" t="s">
        <v>88</v>
      </c>
      <c r="G2924" s="144" t="s">
        <v>5592</v>
      </c>
      <c r="H2924" s="146" t="s">
        <v>26</v>
      </c>
      <c r="I2924" s="144" t="s">
        <v>2593</v>
      </c>
    </row>
    <row r="2925" spans="1:9" ht="14.1">
      <c r="A2925" s="193">
        <v>46091</v>
      </c>
      <c r="B2925" s="145" t="s">
        <v>825</v>
      </c>
      <c r="C2925" s="150" t="s">
        <v>5512</v>
      </c>
      <c r="D2925" s="201" t="s">
        <v>1431</v>
      </c>
      <c r="E2925" s="144" t="s">
        <v>1449</v>
      </c>
      <c r="F2925" s="139" t="s">
        <v>88</v>
      </c>
      <c r="G2925" s="144" t="s">
        <v>5593</v>
      </c>
      <c r="H2925" s="146" t="s">
        <v>26</v>
      </c>
      <c r="I2925" s="144" t="s">
        <v>2593</v>
      </c>
    </row>
    <row r="2926" spans="1:9" ht="14.1">
      <c r="A2926" s="193">
        <v>46091</v>
      </c>
      <c r="B2926" s="145" t="s">
        <v>825</v>
      </c>
      <c r="C2926" s="150" t="s">
        <v>5512</v>
      </c>
      <c r="D2926" s="201" t="s">
        <v>1431</v>
      </c>
      <c r="E2926" s="144" t="s">
        <v>1449</v>
      </c>
      <c r="F2926" s="139" t="s">
        <v>88</v>
      </c>
      <c r="G2926" s="144" t="s">
        <v>5594</v>
      </c>
      <c r="H2926" s="146" t="s">
        <v>26</v>
      </c>
      <c r="I2926" s="144" t="s">
        <v>2593</v>
      </c>
    </row>
    <row r="2927" spans="1:9" ht="25.5">
      <c r="A2927" s="193">
        <v>46091</v>
      </c>
      <c r="B2927" s="145" t="s">
        <v>825</v>
      </c>
      <c r="C2927" s="150" t="s">
        <v>5512</v>
      </c>
      <c r="D2927" s="201" t="s">
        <v>1431</v>
      </c>
      <c r="E2927" s="144" t="s">
        <v>1449</v>
      </c>
      <c r="F2927" s="139" t="s">
        <v>88</v>
      </c>
      <c r="G2927" s="144" t="s">
        <v>5595</v>
      </c>
      <c r="H2927" s="146" t="s">
        <v>26</v>
      </c>
      <c r="I2927" s="144" t="s">
        <v>2593</v>
      </c>
    </row>
    <row r="2928" spans="1:9" ht="38.1">
      <c r="A2928" s="193">
        <v>46091</v>
      </c>
      <c r="B2928" s="145" t="s">
        <v>825</v>
      </c>
      <c r="C2928" s="150" t="s">
        <v>5512</v>
      </c>
      <c r="D2928" s="201" t="s">
        <v>2224</v>
      </c>
      <c r="E2928" s="144" t="s">
        <v>21</v>
      </c>
      <c r="F2928" s="141" t="s">
        <v>821</v>
      </c>
      <c r="G2928" s="144" t="s">
        <v>5596</v>
      </c>
      <c r="H2928" s="146" t="s">
        <v>26</v>
      </c>
      <c r="I2928" s="144" t="s">
        <v>468</v>
      </c>
    </row>
    <row r="2929" spans="1:9" ht="63">
      <c r="A2929" s="193">
        <v>46091</v>
      </c>
      <c r="B2929" s="145" t="s">
        <v>825</v>
      </c>
      <c r="C2929" s="150" t="s">
        <v>5512</v>
      </c>
      <c r="D2929" s="201" t="s">
        <v>2224</v>
      </c>
      <c r="E2929" s="144" t="s">
        <v>1449</v>
      </c>
      <c r="F2929" s="139" t="s">
        <v>88</v>
      </c>
      <c r="G2929" s="144" t="s">
        <v>5597</v>
      </c>
      <c r="H2929" s="146" t="s">
        <v>26</v>
      </c>
      <c r="I2929" s="144" t="s">
        <v>2568</v>
      </c>
    </row>
    <row r="2930" spans="1:9" ht="14.1">
      <c r="A2930" s="193">
        <v>46092</v>
      </c>
      <c r="B2930" s="145" t="s">
        <v>825</v>
      </c>
      <c r="C2930" s="150" t="s">
        <v>5512</v>
      </c>
      <c r="D2930" s="201" t="s">
        <v>1431</v>
      </c>
      <c r="E2930" s="144" t="s">
        <v>2595</v>
      </c>
      <c r="F2930" s="139" t="s">
        <v>88</v>
      </c>
      <c r="G2930" s="144" t="s">
        <v>5598</v>
      </c>
      <c r="H2930" s="146" t="s">
        <v>26</v>
      </c>
      <c r="I2930" s="144" t="s">
        <v>3516</v>
      </c>
    </row>
    <row r="2931" spans="1:9" ht="38.1">
      <c r="A2931" s="193">
        <v>46092</v>
      </c>
      <c r="B2931" s="145" t="s">
        <v>825</v>
      </c>
      <c r="C2931" s="150" t="s">
        <v>5512</v>
      </c>
      <c r="D2931" s="201" t="s">
        <v>1431</v>
      </c>
      <c r="E2931" s="144" t="s">
        <v>2595</v>
      </c>
      <c r="F2931" s="139" t="s">
        <v>88</v>
      </c>
      <c r="G2931" s="144" t="s">
        <v>5599</v>
      </c>
      <c r="H2931" s="146" t="s">
        <v>26</v>
      </c>
      <c r="I2931" s="144" t="s">
        <v>3516</v>
      </c>
    </row>
    <row r="2932" spans="1:9" ht="25.5">
      <c r="A2932" s="193">
        <v>46092</v>
      </c>
      <c r="B2932" s="145" t="s">
        <v>825</v>
      </c>
      <c r="C2932" s="150" t="s">
        <v>5512</v>
      </c>
      <c r="D2932" s="201" t="s">
        <v>1431</v>
      </c>
      <c r="E2932" s="144" t="s">
        <v>988</v>
      </c>
      <c r="F2932" s="139" t="s">
        <v>88</v>
      </c>
      <c r="G2932" s="144" t="s">
        <v>5600</v>
      </c>
      <c r="H2932" s="146" t="s">
        <v>26</v>
      </c>
      <c r="I2932" s="144" t="s">
        <v>3836</v>
      </c>
    </row>
    <row r="2933" spans="1:9" ht="38.1">
      <c r="A2933" s="193">
        <v>46092</v>
      </c>
      <c r="B2933" s="145" t="s">
        <v>825</v>
      </c>
      <c r="C2933" s="150" t="s">
        <v>5512</v>
      </c>
      <c r="D2933" s="201" t="s">
        <v>1431</v>
      </c>
      <c r="E2933" s="144" t="s">
        <v>988</v>
      </c>
      <c r="F2933" s="139" t="s">
        <v>88</v>
      </c>
      <c r="G2933" s="144" t="s">
        <v>5601</v>
      </c>
      <c r="H2933" s="146" t="s">
        <v>26</v>
      </c>
      <c r="I2933" s="144" t="s">
        <v>4367</v>
      </c>
    </row>
    <row r="2934" spans="1:9" ht="25.5">
      <c r="A2934" s="193">
        <v>46092</v>
      </c>
      <c r="B2934" s="145" t="s">
        <v>825</v>
      </c>
      <c r="C2934" s="150" t="s">
        <v>5512</v>
      </c>
      <c r="D2934" s="201" t="s">
        <v>1431</v>
      </c>
      <c r="E2934" s="144" t="s">
        <v>1504</v>
      </c>
      <c r="F2934" s="139" t="s">
        <v>88</v>
      </c>
      <c r="G2934" s="144" t="s">
        <v>5602</v>
      </c>
      <c r="H2934" s="146" t="s">
        <v>26</v>
      </c>
      <c r="I2934" s="144" t="s">
        <v>3516</v>
      </c>
    </row>
    <row r="2935" spans="1:9" ht="25.5">
      <c r="A2935" s="193">
        <v>46092</v>
      </c>
      <c r="B2935" s="145" t="s">
        <v>825</v>
      </c>
      <c r="C2935" s="150" t="s">
        <v>5512</v>
      </c>
      <c r="D2935" s="201" t="s">
        <v>1431</v>
      </c>
      <c r="E2935" s="144" t="s">
        <v>1506</v>
      </c>
      <c r="F2935" s="139" t="s">
        <v>88</v>
      </c>
      <c r="G2935" s="144" t="s">
        <v>5603</v>
      </c>
      <c r="H2935" s="146" t="s">
        <v>26</v>
      </c>
      <c r="I2935" s="144" t="s">
        <v>3247</v>
      </c>
    </row>
    <row r="2936" spans="1:9" ht="50.45">
      <c r="A2936" s="193">
        <v>46092</v>
      </c>
      <c r="B2936" s="145" t="s">
        <v>825</v>
      </c>
      <c r="C2936" s="150" t="s">
        <v>5512</v>
      </c>
      <c r="D2936" s="201" t="s">
        <v>1431</v>
      </c>
      <c r="E2936" s="144" t="s">
        <v>1506</v>
      </c>
      <c r="F2936" s="139" t="s">
        <v>88</v>
      </c>
      <c r="G2936" s="144" t="s">
        <v>5604</v>
      </c>
      <c r="H2936" s="146" t="s">
        <v>26</v>
      </c>
      <c r="I2936" s="144" t="s">
        <v>3247</v>
      </c>
    </row>
    <row r="2937" spans="1:9" ht="14.1">
      <c r="A2937" s="193">
        <v>46092</v>
      </c>
      <c r="B2937" s="145" t="s">
        <v>825</v>
      </c>
      <c r="C2937" s="150" t="s">
        <v>5512</v>
      </c>
      <c r="D2937" s="201" t="s">
        <v>3886</v>
      </c>
      <c r="E2937" s="144" t="s">
        <v>216</v>
      </c>
      <c r="F2937" s="141" t="s">
        <v>821</v>
      </c>
      <c r="G2937" s="144" t="s">
        <v>5605</v>
      </c>
      <c r="H2937" s="146" t="s">
        <v>26</v>
      </c>
      <c r="I2937" s="144" t="s">
        <v>492</v>
      </c>
    </row>
    <row r="2938" spans="1:9" ht="14.1">
      <c r="A2938" s="193">
        <v>46092</v>
      </c>
      <c r="B2938" s="145" t="s">
        <v>825</v>
      </c>
      <c r="C2938" s="150" t="s">
        <v>5512</v>
      </c>
      <c r="D2938" s="201" t="s">
        <v>1431</v>
      </c>
      <c r="E2938" s="144" t="s">
        <v>21</v>
      </c>
      <c r="F2938" s="141" t="s">
        <v>821</v>
      </c>
      <c r="G2938" s="144" t="s">
        <v>5606</v>
      </c>
      <c r="H2938" s="146" t="s">
        <v>26</v>
      </c>
      <c r="I2938" s="144" t="s">
        <v>468</v>
      </c>
    </row>
    <row r="2939" spans="1:9" ht="25.5">
      <c r="A2939" s="193">
        <v>46092</v>
      </c>
      <c r="B2939" s="145" t="s">
        <v>825</v>
      </c>
      <c r="C2939" s="150" t="s">
        <v>5512</v>
      </c>
      <c r="D2939" s="201" t="s">
        <v>1431</v>
      </c>
      <c r="E2939" s="144" t="s">
        <v>21</v>
      </c>
      <c r="F2939" s="141" t="s">
        <v>821</v>
      </c>
      <c r="G2939" s="144" t="s">
        <v>5607</v>
      </c>
      <c r="H2939" s="146" t="s">
        <v>26</v>
      </c>
      <c r="I2939" s="144" t="s">
        <v>468</v>
      </c>
    </row>
    <row r="2940" spans="1:9" ht="14.1">
      <c r="A2940" s="193">
        <v>46092</v>
      </c>
      <c r="B2940" s="145" t="s">
        <v>825</v>
      </c>
      <c r="C2940" s="150" t="s">
        <v>5512</v>
      </c>
      <c r="D2940" s="201" t="s">
        <v>1431</v>
      </c>
      <c r="E2940" s="144" t="s">
        <v>1449</v>
      </c>
      <c r="F2940" s="139" t="s">
        <v>88</v>
      </c>
      <c r="G2940" s="144" t="s">
        <v>5608</v>
      </c>
      <c r="H2940" s="146" t="s">
        <v>26</v>
      </c>
      <c r="I2940" s="144" t="s">
        <v>2593</v>
      </c>
    </row>
    <row r="2941" spans="1:9" ht="25.5">
      <c r="A2941" s="193">
        <v>46092</v>
      </c>
      <c r="B2941" s="145" t="s">
        <v>825</v>
      </c>
      <c r="C2941" s="150" t="s">
        <v>5512</v>
      </c>
      <c r="D2941" s="201" t="s">
        <v>1431</v>
      </c>
      <c r="E2941" s="144" t="s">
        <v>1449</v>
      </c>
      <c r="F2941" s="139" t="s">
        <v>88</v>
      </c>
      <c r="G2941" s="144" t="s">
        <v>5609</v>
      </c>
      <c r="H2941" s="146" t="s">
        <v>26</v>
      </c>
      <c r="I2941" s="144" t="s">
        <v>2593</v>
      </c>
    </row>
    <row r="2942" spans="1:9" ht="25.5">
      <c r="A2942" s="193">
        <v>46092</v>
      </c>
      <c r="B2942" s="145" t="s">
        <v>825</v>
      </c>
      <c r="C2942" s="150" t="s">
        <v>5512</v>
      </c>
      <c r="D2942" s="201" t="s">
        <v>1431</v>
      </c>
      <c r="E2942" s="144" t="s">
        <v>1449</v>
      </c>
      <c r="F2942" s="139" t="s">
        <v>88</v>
      </c>
      <c r="G2942" s="144" t="s">
        <v>5610</v>
      </c>
      <c r="H2942" s="146" t="s">
        <v>26</v>
      </c>
      <c r="I2942" s="144" t="s">
        <v>2593</v>
      </c>
    </row>
    <row r="2943" spans="1:9" ht="25.5">
      <c r="A2943" s="193">
        <v>46093</v>
      </c>
      <c r="B2943" s="145" t="s">
        <v>825</v>
      </c>
      <c r="C2943" s="150" t="s">
        <v>5512</v>
      </c>
      <c r="D2943" s="201" t="s">
        <v>1431</v>
      </c>
      <c r="E2943" s="144" t="s">
        <v>1506</v>
      </c>
      <c r="F2943" s="139" t="s">
        <v>88</v>
      </c>
      <c r="G2943" s="144" t="s">
        <v>5611</v>
      </c>
      <c r="H2943" s="146" t="s">
        <v>26</v>
      </c>
      <c r="I2943" s="144" t="s">
        <v>1904</v>
      </c>
    </row>
    <row r="2944" spans="1:9" ht="25.5">
      <c r="A2944" s="193">
        <v>46093</v>
      </c>
      <c r="B2944" s="145" t="s">
        <v>825</v>
      </c>
      <c r="C2944" s="150" t="s">
        <v>5512</v>
      </c>
      <c r="D2944" s="201" t="s">
        <v>1431</v>
      </c>
      <c r="E2944" s="144" t="s">
        <v>1506</v>
      </c>
      <c r="F2944" s="139" t="s">
        <v>88</v>
      </c>
      <c r="G2944" s="144" t="s">
        <v>5612</v>
      </c>
      <c r="H2944" s="146" t="s">
        <v>26</v>
      </c>
      <c r="I2944" s="144" t="s">
        <v>1904</v>
      </c>
    </row>
    <row r="2945" spans="1:9" ht="25.5">
      <c r="A2945" s="193">
        <v>46093</v>
      </c>
      <c r="B2945" s="145" t="s">
        <v>825</v>
      </c>
      <c r="C2945" s="150" t="s">
        <v>5512</v>
      </c>
      <c r="D2945" s="201" t="s">
        <v>1431</v>
      </c>
      <c r="E2945" s="144" t="s">
        <v>21</v>
      </c>
      <c r="F2945" s="141" t="s">
        <v>821</v>
      </c>
      <c r="G2945" s="144" t="s">
        <v>4417</v>
      </c>
      <c r="H2945" s="146" t="s">
        <v>26</v>
      </c>
      <c r="I2945" s="144" t="s">
        <v>468</v>
      </c>
    </row>
    <row r="2946" spans="1:9" ht="14.1">
      <c r="A2946" s="193">
        <v>46093</v>
      </c>
      <c r="B2946" s="145" t="s">
        <v>825</v>
      </c>
      <c r="C2946" s="150" t="s">
        <v>5512</v>
      </c>
      <c r="D2946" s="201" t="s">
        <v>1431</v>
      </c>
      <c r="E2946" s="144" t="s">
        <v>1449</v>
      </c>
      <c r="F2946" s="139" t="s">
        <v>88</v>
      </c>
      <c r="G2946" s="144" t="s">
        <v>5569</v>
      </c>
      <c r="H2946" s="146" t="s">
        <v>26</v>
      </c>
      <c r="I2946" s="144" t="s">
        <v>2593</v>
      </c>
    </row>
    <row r="2947" spans="1:9" ht="25.5">
      <c r="A2947" s="193">
        <v>46093</v>
      </c>
      <c r="B2947" s="145" t="s">
        <v>825</v>
      </c>
      <c r="C2947" s="150" t="s">
        <v>5512</v>
      </c>
      <c r="D2947" s="201" t="s">
        <v>1431</v>
      </c>
      <c r="E2947" s="144" t="s">
        <v>1449</v>
      </c>
      <c r="F2947" s="139" t="s">
        <v>88</v>
      </c>
      <c r="G2947" s="144" t="s">
        <v>5613</v>
      </c>
      <c r="H2947" s="146" t="s">
        <v>26</v>
      </c>
      <c r="I2947" s="144" t="s">
        <v>2593</v>
      </c>
    </row>
    <row r="2948" spans="1:9" ht="14.1">
      <c r="A2948" s="193">
        <v>46093</v>
      </c>
      <c r="B2948" s="145" t="s">
        <v>825</v>
      </c>
      <c r="C2948" s="150" t="s">
        <v>5512</v>
      </c>
      <c r="D2948" s="201" t="s">
        <v>1431</v>
      </c>
      <c r="E2948" s="144" t="s">
        <v>1449</v>
      </c>
      <c r="F2948" s="139" t="s">
        <v>88</v>
      </c>
      <c r="G2948" s="144" t="s">
        <v>5614</v>
      </c>
      <c r="H2948" s="146" t="s">
        <v>26</v>
      </c>
      <c r="I2948" s="144" t="s">
        <v>2593</v>
      </c>
    </row>
    <row r="2949" spans="1:9" ht="14.1">
      <c r="A2949" s="193">
        <v>46093</v>
      </c>
      <c r="B2949" s="145" t="s">
        <v>825</v>
      </c>
      <c r="C2949" s="150" t="s">
        <v>5512</v>
      </c>
      <c r="D2949" s="201" t="s">
        <v>1431</v>
      </c>
      <c r="E2949" s="144" t="s">
        <v>1449</v>
      </c>
      <c r="F2949" s="139" t="s">
        <v>88</v>
      </c>
      <c r="G2949" s="144" t="s">
        <v>5615</v>
      </c>
      <c r="H2949" s="146" t="s">
        <v>26</v>
      </c>
      <c r="I2949" s="144" t="s">
        <v>2593</v>
      </c>
    </row>
    <row r="2950" spans="1:9" ht="14.1">
      <c r="A2950" s="193">
        <v>46093</v>
      </c>
      <c r="B2950" s="145" t="s">
        <v>825</v>
      </c>
      <c r="C2950" s="150" t="s">
        <v>5512</v>
      </c>
      <c r="D2950" s="201" t="s">
        <v>1431</v>
      </c>
      <c r="E2950" s="144" t="s">
        <v>1566</v>
      </c>
      <c r="F2950" s="139" t="s">
        <v>88</v>
      </c>
      <c r="G2950" s="144" t="s">
        <v>5616</v>
      </c>
      <c r="H2950" s="146" t="s">
        <v>26</v>
      </c>
      <c r="I2950" s="144" t="s">
        <v>2798</v>
      </c>
    </row>
    <row r="2951" spans="1:9" ht="14.1">
      <c r="A2951" s="193">
        <v>46093</v>
      </c>
      <c r="B2951" s="145" t="s">
        <v>825</v>
      </c>
      <c r="C2951" s="150" t="s">
        <v>5512</v>
      </c>
      <c r="D2951" s="201" t="s">
        <v>1431</v>
      </c>
      <c r="E2951" s="144" t="s">
        <v>1566</v>
      </c>
      <c r="F2951" s="139" t="s">
        <v>88</v>
      </c>
      <c r="G2951" s="144" t="s">
        <v>5617</v>
      </c>
      <c r="H2951" s="146" t="s">
        <v>26</v>
      </c>
      <c r="I2951" s="144" t="s">
        <v>2798</v>
      </c>
    </row>
    <row r="2952" spans="1:9" ht="25.5">
      <c r="A2952" s="193">
        <v>46093</v>
      </c>
      <c r="B2952" s="145" t="s">
        <v>825</v>
      </c>
      <c r="C2952" s="150" t="s">
        <v>5512</v>
      </c>
      <c r="D2952" s="201" t="s">
        <v>1431</v>
      </c>
      <c r="E2952" s="144" t="s">
        <v>1566</v>
      </c>
      <c r="F2952" s="139" t="s">
        <v>88</v>
      </c>
      <c r="G2952" s="144" t="s">
        <v>5618</v>
      </c>
      <c r="H2952" s="146" t="s">
        <v>26</v>
      </c>
      <c r="I2952" s="144" t="s">
        <v>2798</v>
      </c>
    </row>
    <row r="2953" spans="1:9" ht="50.45">
      <c r="A2953" s="193">
        <v>46093</v>
      </c>
      <c r="B2953" s="145" t="s">
        <v>825</v>
      </c>
      <c r="C2953" s="150" t="s">
        <v>5512</v>
      </c>
      <c r="D2953" s="201" t="s">
        <v>2224</v>
      </c>
      <c r="E2953" s="144" t="s">
        <v>1449</v>
      </c>
      <c r="F2953" s="139" t="s">
        <v>88</v>
      </c>
      <c r="G2953" s="144" t="s">
        <v>5619</v>
      </c>
      <c r="H2953" s="146" t="s">
        <v>26</v>
      </c>
      <c r="I2953" s="144" t="s">
        <v>2593</v>
      </c>
    </row>
    <row r="2954" spans="1:9" ht="38.1">
      <c r="A2954" s="193">
        <v>46094</v>
      </c>
      <c r="B2954" s="145" t="s">
        <v>825</v>
      </c>
      <c r="C2954" s="150" t="s">
        <v>5512</v>
      </c>
      <c r="D2954" s="201" t="s">
        <v>1431</v>
      </c>
      <c r="E2954" s="144" t="s">
        <v>988</v>
      </c>
      <c r="F2954" s="139" t="s">
        <v>88</v>
      </c>
      <c r="G2954" s="144" t="s">
        <v>5620</v>
      </c>
      <c r="H2954" s="146" t="s">
        <v>26</v>
      </c>
      <c r="I2954" s="144" t="s">
        <v>3836</v>
      </c>
    </row>
    <row r="2955" spans="1:9" ht="25.5">
      <c r="A2955" s="193">
        <v>46094</v>
      </c>
      <c r="B2955" s="145" t="s">
        <v>825</v>
      </c>
      <c r="C2955" s="150" t="s">
        <v>5512</v>
      </c>
      <c r="D2955" s="201" t="s">
        <v>1431</v>
      </c>
      <c r="E2955" s="144" t="s">
        <v>2423</v>
      </c>
      <c r="F2955" s="141" t="s">
        <v>821</v>
      </c>
      <c r="G2955" s="144" t="s">
        <v>5621</v>
      </c>
      <c r="H2955" s="146" t="s">
        <v>26</v>
      </c>
      <c r="I2955" s="144" t="s">
        <v>3516</v>
      </c>
    </row>
    <row r="2956" spans="1:9" ht="25.5">
      <c r="A2956" s="193">
        <v>46094</v>
      </c>
      <c r="B2956" s="145" t="s">
        <v>825</v>
      </c>
      <c r="C2956" s="150" t="s">
        <v>5512</v>
      </c>
      <c r="D2956" s="201" t="s">
        <v>1431</v>
      </c>
      <c r="E2956" s="144" t="s">
        <v>1504</v>
      </c>
      <c r="F2956" s="140" t="s">
        <v>1439</v>
      </c>
      <c r="G2956" s="144" t="s">
        <v>5622</v>
      </c>
      <c r="H2956" s="146" t="s">
        <v>26</v>
      </c>
      <c r="I2956" s="144" t="s">
        <v>3516</v>
      </c>
    </row>
    <row r="2957" spans="1:9" ht="25.5">
      <c r="A2957" s="193">
        <v>46094</v>
      </c>
      <c r="B2957" s="145" t="s">
        <v>825</v>
      </c>
      <c r="C2957" s="150" t="s">
        <v>5512</v>
      </c>
      <c r="D2957" s="201" t="s">
        <v>1431</v>
      </c>
      <c r="E2957" s="144" t="s">
        <v>1504</v>
      </c>
      <c r="F2957" s="141" t="s">
        <v>821</v>
      </c>
      <c r="G2957" s="144" t="s">
        <v>4421</v>
      </c>
      <c r="H2957" s="146" t="s">
        <v>26</v>
      </c>
      <c r="I2957" s="144" t="s">
        <v>3516</v>
      </c>
    </row>
    <row r="2958" spans="1:9" ht="25.5">
      <c r="A2958" s="193">
        <v>46094</v>
      </c>
      <c r="B2958" s="145" t="s">
        <v>825</v>
      </c>
      <c r="C2958" s="150" t="s">
        <v>5512</v>
      </c>
      <c r="D2958" s="201" t="s">
        <v>1431</v>
      </c>
      <c r="E2958" s="144" t="s">
        <v>216</v>
      </c>
      <c r="F2958" s="141" t="s">
        <v>821</v>
      </c>
      <c r="G2958" s="144" t="s">
        <v>5623</v>
      </c>
      <c r="H2958" s="146" t="s">
        <v>26</v>
      </c>
      <c r="I2958" s="144" t="s">
        <v>492</v>
      </c>
    </row>
    <row r="2959" spans="1:9" ht="14.1">
      <c r="A2959" s="193">
        <v>46094</v>
      </c>
      <c r="B2959" s="145" t="s">
        <v>825</v>
      </c>
      <c r="C2959" s="150" t="s">
        <v>5512</v>
      </c>
      <c r="D2959" s="201" t="s">
        <v>1431</v>
      </c>
      <c r="E2959" s="144" t="s">
        <v>21</v>
      </c>
      <c r="F2959" s="141" t="s">
        <v>821</v>
      </c>
      <c r="G2959" s="144" t="s">
        <v>5624</v>
      </c>
      <c r="H2959" s="146" t="s">
        <v>26</v>
      </c>
      <c r="I2959" s="144" t="s">
        <v>468</v>
      </c>
    </row>
    <row r="2960" spans="1:9" ht="14.1">
      <c r="A2960" s="193">
        <v>46094</v>
      </c>
      <c r="B2960" s="145" t="s">
        <v>825</v>
      </c>
      <c r="C2960" s="150" t="s">
        <v>5512</v>
      </c>
      <c r="D2960" s="201" t="s">
        <v>1431</v>
      </c>
      <c r="E2960" s="144" t="s">
        <v>1449</v>
      </c>
      <c r="F2960" s="139" t="s">
        <v>88</v>
      </c>
      <c r="G2960" s="144" t="s">
        <v>5625</v>
      </c>
      <c r="H2960" s="146" t="s">
        <v>26</v>
      </c>
      <c r="I2960" s="144" t="s">
        <v>154</v>
      </c>
    </row>
    <row r="2961" spans="1:9" ht="25.5">
      <c r="A2961" s="193">
        <v>46094</v>
      </c>
      <c r="B2961" s="145" t="s">
        <v>825</v>
      </c>
      <c r="C2961" s="150" t="s">
        <v>5512</v>
      </c>
      <c r="D2961" s="201" t="s">
        <v>1431</v>
      </c>
      <c r="E2961" s="144" t="s">
        <v>1449</v>
      </c>
      <c r="F2961" s="139" t="s">
        <v>88</v>
      </c>
      <c r="G2961" s="144" t="s">
        <v>5626</v>
      </c>
      <c r="H2961" s="146" t="s">
        <v>26</v>
      </c>
      <c r="I2961" s="144" t="s">
        <v>154</v>
      </c>
    </row>
    <row r="2962" spans="1:9" ht="25.5">
      <c r="A2962" s="193">
        <v>46094</v>
      </c>
      <c r="B2962" s="145" t="s">
        <v>825</v>
      </c>
      <c r="C2962" s="150" t="s">
        <v>5512</v>
      </c>
      <c r="D2962" s="201" t="s">
        <v>1431</v>
      </c>
      <c r="E2962" s="144" t="s">
        <v>1449</v>
      </c>
      <c r="F2962" s="139" t="s">
        <v>88</v>
      </c>
      <c r="G2962" s="144" t="s">
        <v>5627</v>
      </c>
      <c r="H2962" s="146" t="s">
        <v>26</v>
      </c>
      <c r="I2962" s="144" t="s">
        <v>154</v>
      </c>
    </row>
    <row r="2963" spans="1:9" ht="14.1">
      <c r="A2963" s="193">
        <v>46094</v>
      </c>
      <c r="B2963" s="145" t="s">
        <v>825</v>
      </c>
      <c r="C2963" s="150" t="s">
        <v>5512</v>
      </c>
      <c r="D2963" s="201" t="s">
        <v>1431</v>
      </c>
      <c r="E2963" s="144" t="s">
        <v>1566</v>
      </c>
      <c r="F2963" s="139" t="s">
        <v>88</v>
      </c>
      <c r="G2963" s="144" t="s">
        <v>5628</v>
      </c>
      <c r="H2963" s="146" t="s">
        <v>26</v>
      </c>
      <c r="I2963" s="144" t="s">
        <v>1453</v>
      </c>
    </row>
    <row r="2964" spans="1:9" ht="100.5">
      <c r="A2964" s="193">
        <v>46094</v>
      </c>
      <c r="B2964" s="145" t="s">
        <v>825</v>
      </c>
      <c r="C2964" s="150" t="s">
        <v>5512</v>
      </c>
      <c r="D2964" s="201" t="s">
        <v>1431</v>
      </c>
      <c r="E2964" s="144" t="s">
        <v>1566</v>
      </c>
      <c r="F2964" s="139" t="s">
        <v>88</v>
      </c>
      <c r="G2964" s="144" t="s">
        <v>5629</v>
      </c>
      <c r="H2964" s="146" t="s">
        <v>26</v>
      </c>
      <c r="I2964" s="144" t="s">
        <v>1453</v>
      </c>
    </row>
    <row r="2965" spans="1:9" ht="38.1">
      <c r="A2965" s="193">
        <v>46094</v>
      </c>
      <c r="B2965" s="145" t="s">
        <v>825</v>
      </c>
      <c r="C2965" s="150" t="s">
        <v>5512</v>
      </c>
      <c r="D2965" s="201" t="s">
        <v>1431</v>
      </c>
      <c r="E2965" s="144" t="s">
        <v>1566</v>
      </c>
      <c r="F2965" s="139" t="s">
        <v>88</v>
      </c>
      <c r="G2965" s="144" t="s">
        <v>5630</v>
      </c>
      <c r="H2965" s="146" t="s">
        <v>26</v>
      </c>
      <c r="I2965" s="144" t="s">
        <v>1453</v>
      </c>
    </row>
    <row r="2966" spans="1:9" ht="25.5">
      <c r="A2966" s="193">
        <v>46094</v>
      </c>
      <c r="B2966" s="145" t="s">
        <v>825</v>
      </c>
      <c r="C2966" s="150" t="s">
        <v>5512</v>
      </c>
      <c r="D2966" s="201" t="s">
        <v>3886</v>
      </c>
      <c r="E2966" s="144" t="s">
        <v>1449</v>
      </c>
      <c r="F2966" s="139" t="s">
        <v>88</v>
      </c>
      <c r="G2966" s="144" t="s">
        <v>5631</v>
      </c>
      <c r="H2966" s="146" t="s">
        <v>26</v>
      </c>
      <c r="I2966" s="144" t="s">
        <v>154</v>
      </c>
    </row>
    <row r="2967" spans="1:9" ht="14.1">
      <c r="A2967" s="193">
        <v>46094</v>
      </c>
      <c r="B2967" s="145" t="s">
        <v>825</v>
      </c>
      <c r="C2967" s="150" t="s">
        <v>5512</v>
      </c>
      <c r="D2967" s="201" t="s">
        <v>3886</v>
      </c>
      <c r="E2967" s="144" t="s">
        <v>1449</v>
      </c>
      <c r="F2967" s="139" t="s">
        <v>88</v>
      </c>
      <c r="G2967" s="144" t="s">
        <v>5632</v>
      </c>
      <c r="H2967" s="146" t="s">
        <v>26</v>
      </c>
      <c r="I2967" s="144" t="s">
        <v>154</v>
      </c>
    </row>
    <row r="2968" spans="1:9" ht="38.1">
      <c r="A2968" s="193">
        <v>46097</v>
      </c>
      <c r="B2968" s="145" t="s">
        <v>825</v>
      </c>
      <c r="C2968" s="150" t="s">
        <v>5512</v>
      </c>
      <c r="D2968" s="201" t="s">
        <v>1431</v>
      </c>
      <c r="E2968" s="144" t="s">
        <v>2585</v>
      </c>
      <c r="F2968" s="139" t="s">
        <v>88</v>
      </c>
      <c r="G2968" s="144" t="s">
        <v>5633</v>
      </c>
      <c r="H2968" s="146" t="s">
        <v>26</v>
      </c>
      <c r="I2968" s="144" t="s">
        <v>452</v>
      </c>
    </row>
    <row r="2969" spans="1:9" ht="25.5">
      <c r="A2969" s="193">
        <v>46097</v>
      </c>
      <c r="B2969" s="145" t="s">
        <v>825</v>
      </c>
      <c r="C2969" s="150" t="s">
        <v>5512</v>
      </c>
      <c r="D2969" s="201" t="s">
        <v>1431</v>
      </c>
      <c r="E2969" s="144" t="s">
        <v>1560</v>
      </c>
      <c r="F2969" s="141" t="s">
        <v>821</v>
      </c>
      <c r="G2969" s="144" t="s">
        <v>4423</v>
      </c>
      <c r="H2969" s="146" t="s">
        <v>26</v>
      </c>
      <c r="I2969" s="144" t="s">
        <v>4377</v>
      </c>
    </row>
    <row r="2970" spans="1:9" ht="14.1">
      <c r="A2970" s="193">
        <v>46097</v>
      </c>
      <c r="B2970" s="145" t="s">
        <v>825</v>
      </c>
      <c r="C2970" s="150" t="s">
        <v>5512</v>
      </c>
      <c r="D2970" s="201" t="s">
        <v>1431</v>
      </c>
      <c r="E2970" s="144" t="s">
        <v>988</v>
      </c>
      <c r="F2970" s="139" t="s">
        <v>88</v>
      </c>
      <c r="G2970" s="144" t="s">
        <v>5634</v>
      </c>
      <c r="H2970" s="146" t="s">
        <v>26</v>
      </c>
      <c r="I2970" s="144" t="s">
        <v>2700</v>
      </c>
    </row>
    <row r="2971" spans="1:9" ht="25.5">
      <c r="A2971" s="193">
        <v>46097</v>
      </c>
      <c r="B2971" s="145" t="s">
        <v>825</v>
      </c>
      <c r="C2971" s="150" t="s">
        <v>5512</v>
      </c>
      <c r="D2971" s="201" t="s">
        <v>1431</v>
      </c>
      <c r="E2971" s="144" t="s">
        <v>988</v>
      </c>
      <c r="F2971" s="141" t="s">
        <v>821</v>
      </c>
      <c r="G2971" s="144" t="s">
        <v>4425</v>
      </c>
      <c r="H2971" s="146" t="s">
        <v>26</v>
      </c>
      <c r="I2971" s="144" t="s">
        <v>4339</v>
      </c>
    </row>
    <row r="2972" spans="1:9" ht="25.5">
      <c r="A2972" s="193">
        <v>46097</v>
      </c>
      <c r="B2972" s="145" t="s">
        <v>825</v>
      </c>
      <c r="C2972" s="150" t="s">
        <v>5512</v>
      </c>
      <c r="D2972" s="201" t="s">
        <v>1431</v>
      </c>
      <c r="E2972" s="144" t="s">
        <v>988</v>
      </c>
      <c r="F2972" s="139" t="s">
        <v>88</v>
      </c>
      <c r="G2972" s="144" t="s">
        <v>5635</v>
      </c>
      <c r="H2972" s="146" t="s">
        <v>26</v>
      </c>
      <c r="I2972" s="144" t="s">
        <v>4339</v>
      </c>
    </row>
    <row r="2973" spans="1:9" ht="25.5">
      <c r="A2973" s="193">
        <v>46097</v>
      </c>
      <c r="B2973" s="145" t="s">
        <v>825</v>
      </c>
      <c r="C2973" s="150" t="s">
        <v>5512</v>
      </c>
      <c r="D2973" s="201" t="s">
        <v>1431</v>
      </c>
      <c r="E2973" s="144" t="s">
        <v>216</v>
      </c>
      <c r="F2973" s="141" t="s">
        <v>821</v>
      </c>
      <c r="G2973" s="144" t="s">
        <v>5636</v>
      </c>
      <c r="H2973" s="146" t="s">
        <v>26</v>
      </c>
      <c r="I2973" s="144" t="s">
        <v>492</v>
      </c>
    </row>
    <row r="2974" spans="1:9" ht="14.1">
      <c r="A2974" s="193">
        <v>46097</v>
      </c>
      <c r="B2974" s="145" t="s">
        <v>825</v>
      </c>
      <c r="C2974" s="150" t="s">
        <v>5512</v>
      </c>
      <c r="D2974" s="201" t="s">
        <v>1431</v>
      </c>
      <c r="E2974" s="144" t="s">
        <v>21</v>
      </c>
      <c r="F2974" s="141" t="s">
        <v>821</v>
      </c>
      <c r="G2974" s="144" t="s">
        <v>5637</v>
      </c>
      <c r="H2974" s="146" t="s">
        <v>26</v>
      </c>
      <c r="I2974" s="144" t="s">
        <v>468</v>
      </c>
    </row>
    <row r="2975" spans="1:9" ht="25.5">
      <c r="A2975" s="193">
        <v>46097</v>
      </c>
      <c r="B2975" s="145" t="s">
        <v>825</v>
      </c>
      <c r="C2975" s="150" t="s">
        <v>5512</v>
      </c>
      <c r="D2975" s="201" t="s">
        <v>1431</v>
      </c>
      <c r="E2975" s="144" t="s">
        <v>1449</v>
      </c>
      <c r="F2975" s="140" t="s">
        <v>1439</v>
      </c>
      <c r="G2975" s="144" t="s">
        <v>5638</v>
      </c>
      <c r="H2975" s="146" t="s">
        <v>26</v>
      </c>
      <c r="I2975" s="144" t="s">
        <v>2593</v>
      </c>
    </row>
    <row r="2976" spans="1:9" ht="14.1">
      <c r="A2976" s="193">
        <v>46097</v>
      </c>
      <c r="B2976" s="145" t="s">
        <v>825</v>
      </c>
      <c r="C2976" s="150" t="s">
        <v>5512</v>
      </c>
      <c r="D2976" s="201" t="s">
        <v>1431</v>
      </c>
      <c r="E2976" s="144" t="s">
        <v>1449</v>
      </c>
      <c r="F2976" s="139" t="s">
        <v>88</v>
      </c>
      <c r="G2976" s="144" t="s">
        <v>5639</v>
      </c>
      <c r="H2976" s="146" t="s">
        <v>26</v>
      </c>
      <c r="I2976" s="144" t="s">
        <v>2593</v>
      </c>
    </row>
    <row r="2977" spans="1:9" ht="25.5">
      <c r="A2977" s="193">
        <v>46097</v>
      </c>
      <c r="B2977" s="145" t="s">
        <v>825</v>
      </c>
      <c r="C2977" s="150" t="s">
        <v>5512</v>
      </c>
      <c r="D2977" s="201" t="s">
        <v>1431</v>
      </c>
      <c r="E2977" s="144" t="s">
        <v>1449</v>
      </c>
      <c r="F2977" s="139" t="s">
        <v>88</v>
      </c>
      <c r="G2977" s="144" t="s">
        <v>5640</v>
      </c>
      <c r="H2977" s="146" t="s">
        <v>26</v>
      </c>
      <c r="I2977" s="144" t="s">
        <v>2593</v>
      </c>
    </row>
    <row r="2978" spans="1:9" ht="14.1">
      <c r="A2978" s="193">
        <v>46097</v>
      </c>
      <c r="B2978" s="145" t="s">
        <v>825</v>
      </c>
      <c r="C2978" s="150" t="s">
        <v>5512</v>
      </c>
      <c r="D2978" s="201" t="s">
        <v>1431</v>
      </c>
      <c r="E2978" s="144" t="s">
        <v>1449</v>
      </c>
      <c r="F2978" s="139" t="s">
        <v>88</v>
      </c>
      <c r="G2978" s="144" t="s">
        <v>5641</v>
      </c>
      <c r="H2978" s="146" t="s">
        <v>26</v>
      </c>
      <c r="I2978" s="144" t="s">
        <v>2593</v>
      </c>
    </row>
    <row r="2979" spans="1:9" ht="14.1">
      <c r="A2979" s="193">
        <v>46097</v>
      </c>
      <c r="B2979" s="145" t="s">
        <v>825</v>
      </c>
      <c r="C2979" s="150" t="s">
        <v>5512</v>
      </c>
      <c r="D2979" s="201" t="s">
        <v>1431</v>
      </c>
      <c r="E2979" s="144" t="s">
        <v>1449</v>
      </c>
      <c r="F2979" s="139" t="s">
        <v>88</v>
      </c>
      <c r="G2979" s="144" t="s">
        <v>5642</v>
      </c>
      <c r="H2979" s="146" t="s">
        <v>26</v>
      </c>
      <c r="I2979" s="144" t="s">
        <v>2593</v>
      </c>
    </row>
    <row r="2980" spans="1:9" ht="14.1">
      <c r="A2980" s="193">
        <v>46097</v>
      </c>
      <c r="B2980" s="145" t="s">
        <v>825</v>
      </c>
      <c r="C2980" s="150" t="s">
        <v>5512</v>
      </c>
      <c r="D2980" s="201" t="s">
        <v>1431</v>
      </c>
      <c r="E2980" s="144" t="s">
        <v>1449</v>
      </c>
      <c r="F2980" s="139" t="s">
        <v>88</v>
      </c>
      <c r="G2980" s="144" t="s">
        <v>5643</v>
      </c>
      <c r="H2980" s="146" t="s">
        <v>26</v>
      </c>
      <c r="I2980" s="144" t="s">
        <v>2593</v>
      </c>
    </row>
    <row r="2981" spans="1:9" ht="14.1">
      <c r="A2981" s="193">
        <v>46097</v>
      </c>
      <c r="B2981" s="145" t="s">
        <v>825</v>
      </c>
      <c r="C2981" s="150" t="s">
        <v>5512</v>
      </c>
      <c r="D2981" s="201" t="s">
        <v>1431</v>
      </c>
      <c r="E2981" s="144" t="s">
        <v>1449</v>
      </c>
      <c r="F2981" s="140" t="s">
        <v>1439</v>
      </c>
      <c r="G2981" s="144" t="s">
        <v>5644</v>
      </c>
      <c r="H2981" s="146" t="s">
        <v>26</v>
      </c>
      <c r="I2981" s="144" t="s">
        <v>2593</v>
      </c>
    </row>
    <row r="2982" spans="1:9" ht="14.1">
      <c r="A2982" s="193">
        <v>46097</v>
      </c>
      <c r="B2982" s="145" t="s">
        <v>825</v>
      </c>
      <c r="C2982" s="150" t="s">
        <v>5512</v>
      </c>
      <c r="D2982" s="201" t="s">
        <v>1431</v>
      </c>
      <c r="E2982" s="144" t="s">
        <v>1566</v>
      </c>
      <c r="F2982" s="139" t="s">
        <v>88</v>
      </c>
      <c r="G2982" s="144" t="s">
        <v>5645</v>
      </c>
      <c r="H2982" s="146" t="s">
        <v>26</v>
      </c>
      <c r="I2982" s="144" t="s">
        <v>1453</v>
      </c>
    </row>
    <row r="2983" spans="1:9" ht="63">
      <c r="A2983" s="193">
        <v>46097</v>
      </c>
      <c r="B2983" s="145" t="s">
        <v>825</v>
      </c>
      <c r="C2983" s="150" t="s">
        <v>5512</v>
      </c>
      <c r="D2983" s="201" t="s">
        <v>1431</v>
      </c>
      <c r="E2983" s="144" t="s">
        <v>1566</v>
      </c>
      <c r="F2983" s="139" t="s">
        <v>88</v>
      </c>
      <c r="G2983" s="144" t="s">
        <v>5646</v>
      </c>
      <c r="H2983" s="146" t="s">
        <v>26</v>
      </c>
      <c r="I2983" s="144" t="s">
        <v>1453</v>
      </c>
    </row>
    <row r="2984" spans="1:9" ht="14.1">
      <c r="A2984" s="193">
        <v>46097</v>
      </c>
      <c r="B2984" s="145" t="s">
        <v>825</v>
      </c>
      <c r="C2984" s="150" t="s">
        <v>5512</v>
      </c>
      <c r="D2984" s="201" t="s">
        <v>2224</v>
      </c>
      <c r="E2984" s="144" t="s">
        <v>988</v>
      </c>
      <c r="F2984" s="139" t="s">
        <v>88</v>
      </c>
      <c r="G2984" s="144" t="s">
        <v>5647</v>
      </c>
      <c r="H2984" s="146" t="s">
        <v>26</v>
      </c>
      <c r="I2984" s="144" t="s">
        <v>2593</v>
      </c>
    </row>
    <row r="2985" spans="1:9" ht="25.5">
      <c r="A2985" s="193">
        <v>46097</v>
      </c>
      <c r="B2985" s="145" t="s">
        <v>825</v>
      </c>
      <c r="C2985" s="150" t="s">
        <v>5512</v>
      </c>
      <c r="D2985" s="201" t="s">
        <v>2224</v>
      </c>
      <c r="E2985" s="144" t="s">
        <v>988</v>
      </c>
      <c r="F2985" s="139" t="s">
        <v>88</v>
      </c>
      <c r="G2985" s="144" t="s">
        <v>5648</v>
      </c>
      <c r="H2985" s="146" t="s">
        <v>26</v>
      </c>
      <c r="I2985" s="144" t="s">
        <v>2593</v>
      </c>
    </row>
    <row r="2986" spans="1:9" ht="25.5">
      <c r="A2986" s="193">
        <v>46099</v>
      </c>
      <c r="B2986" s="145" t="s">
        <v>825</v>
      </c>
      <c r="C2986" s="150" t="s">
        <v>5512</v>
      </c>
      <c r="D2986" s="201" t="s">
        <v>1431</v>
      </c>
      <c r="E2986" s="144" t="s">
        <v>1225</v>
      </c>
      <c r="F2986" s="140" t="s">
        <v>1439</v>
      </c>
      <c r="G2986" s="144" t="s">
        <v>5649</v>
      </c>
      <c r="H2986" s="146" t="s">
        <v>26</v>
      </c>
      <c r="I2986" s="144" t="s">
        <v>925</v>
      </c>
    </row>
    <row r="2987" spans="1:9" ht="25.5">
      <c r="A2987" s="193">
        <v>46099</v>
      </c>
      <c r="B2987" s="145" t="s">
        <v>825</v>
      </c>
      <c r="C2987" s="150" t="s">
        <v>5512</v>
      </c>
      <c r="D2987" s="201" t="s">
        <v>1431</v>
      </c>
      <c r="E2987" s="144" t="s">
        <v>2530</v>
      </c>
      <c r="F2987" s="141" t="s">
        <v>821</v>
      </c>
      <c r="G2987" s="144" t="s">
        <v>4429</v>
      </c>
      <c r="H2987" s="146" t="s">
        <v>26</v>
      </c>
      <c r="I2987" s="144" t="s">
        <v>4339</v>
      </c>
    </row>
    <row r="2988" spans="1:9" ht="25.5">
      <c r="A2988" s="193">
        <v>46099</v>
      </c>
      <c r="B2988" s="145" t="s">
        <v>825</v>
      </c>
      <c r="C2988" s="150" t="s">
        <v>5512</v>
      </c>
      <c r="D2988" s="201" t="s">
        <v>1431</v>
      </c>
      <c r="E2988" s="144" t="s">
        <v>1506</v>
      </c>
      <c r="F2988" s="139" t="s">
        <v>88</v>
      </c>
      <c r="G2988" s="144" t="s">
        <v>5650</v>
      </c>
      <c r="H2988" s="146" t="s">
        <v>26</v>
      </c>
      <c r="I2988" s="144" t="s">
        <v>3247</v>
      </c>
    </row>
    <row r="2989" spans="1:9" ht="25.5">
      <c r="A2989" s="193">
        <v>46099</v>
      </c>
      <c r="B2989" s="145" t="s">
        <v>825</v>
      </c>
      <c r="C2989" s="150" t="s">
        <v>5512</v>
      </c>
      <c r="D2989" s="201" t="s">
        <v>1431</v>
      </c>
      <c r="E2989" s="144" t="s">
        <v>1449</v>
      </c>
      <c r="F2989" s="139" t="s">
        <v>88</v>
      </c>
      <c r="G2989" s="144" t="s">
        <v>5651</v>
      </c>
      <c r="H2989" s="146" t="s">
        <v>26</v>
      </c>
      <c r="I2989" s="144" t="s">
        <v>2593</v>
      </c>
    </row>
    <row r="2990" spans="1:9" ht="14.1">
      <c r="A2990" s="193">
        <v>46099</v>
      </c>
      <c r="B2990" s="145" t="s">
        <v>825</v>
      </c>
      <c r="C2990" s="150" t="s">
        <v>5512</v>
      </c>
      <c r="D2990" s="201" t="s">
        <v>1431</v>
      </c>
      <c r="E2990" s="144" t="s">
        <v>1449</v>
      </c>
      <c r="F2990" s="139" t="s">
        <v>88</v>
      </c>
      <c r="G2990" s="144" t="s">
        <v>5652</v>
      </c>
      <c r="H2990" s="146" t="s">
        <v>26</v>
      </c>
      <c r="I2990" s="144" t="s">
        <v>2593</v>
      </c>
    </row>
    <row r="2991" spans="1:9" ht="25.5">
      <c r="A2991" s="193">
        <v>46099</v>
      </c>
      <c r="B2991" s="145" t="s">
        <v>825</v>
      </c>
      <c r="C2991" s="150" t="s">
        <v>5512</v>
      </c>
      <c r="D2991" s="201" t="s">
        <v>1431</v>
      </c>
      <c r="E2991" s="144" t="s">
        <v>1449</v>
      </c>
      <c r="F2991" s="139" t="s">
        <v>88</v>
      </c>
      <c r="G2991" s="144" t="s">
        <v>5653</v>
      </c>
      <c r="H2991" s="146" t="s">
        <v>26</v>
      </c>
      <c r="I2991" s="144" t="s">
        <v>2593</v>
      </c>
    </row>
    <row r="2992" spans="1:9" ht="14.1">
      <c r="A2992" s="193">
        <v>46099</v>
      </c>
      <c r="B2992" s="145" t="s">
        <v>825</v>
      </c>
      <c r="C2992" s="150" t="s">
        <v>5512</v>
      </c>
      <c r="D2992" s="201" t="s">
        <v>1431</v>
      </c>
      <c r="E2992" s="144" t="s">
        <v>1566</v>
      </c>
      <c r="F2992" s="139" t="s">
        <v>88</v>
      </c>
      <c r="G2992" s="144" t="s">
        <v>5654</v>
      </c>
      <c r="H2992" s="146" t="s">
        <v>26</v>
      </c>
      <c r="I2992" s="144" t="s">
        <v>1453</v>
      </c>
    </row>
    <row r="2993" spans="1:9" ht="14.1">
      <c r="A2993" s="193">
        <v>46099</v>
      </c>
      <c r="B2993" s="145" t="s">
        <v>825</v>
      </c>
      <c r="C2993" s="150" t="s">
        <v>5512</v>
      </c>
      <c r="D2993" s="201" t="s">
        <v>1431</v>
      </c>
      <c r="E2993" s="144" t="s">
        <v>988</v>
      </c>
      <c r="F2993" s="139" t="s">
        <v>88</v>
      </c>
      <c r="G2993" s="144" t="s">
        <v>5655</v>
      </c>
      <c r="H2993" s="146" t="s">
        <v>26</v>
      </c>
      <c r="I2993" s="144" t="s">
        <v>452</v>
      </c>
    </row>
    <row r="2994" spans="1:9" ht="25.5">
      <c r="A2994" s="193">
        <v>46099</v>
      </c>
      <c r="B2994" s="145" t="s">
        <v>825</v>
      </c>
      <c r="C2994" s="150" t="s">
        <v>5512</v>
      </c>
      <c r="D2994" s="201" t="s">
        <v>2224</v>
      </c>
      <c r="E2994" s="144" t="s">
        <v>1449</v>
      </c>
      <c r="F2994" s="139" t="s">
        <v>88</v>
      </c>
      <c r="G2994" s="144" t="s">
        <v>5656</v>
      </c>
      <c r="H2994" s="146" t="s">
        <v>26</v>
      </c>
      <c r="I2994" s="144" t="s">
        <v>2593</v>
      </c>
    </row>
    <row r="2995" spans="1:9" ht="25.5">
      <c r="A2995" s="193">
        <v>46099</v>
      </c>
      <c r="B2995" s="145" t="s">
        <v>825</v>
      </c>
      <c r="C2995" s="150" t="s">
        <v>5512</v>
      </c>
      <c r="D2995" s="201" t="s">
        <v>2224</v>
      </c>
      <c r="E2995" s="144" t="s">
        <v>1449</v>
      </c>
      <c r="F2995" s="139" t="s">
        <v>88</v>
      </c>
      <c r="G2995" s="144" t="s">
        <v>5657</v>
      </c>
      <c r="H2995" s="146" t="s">
        <v>26</v>
      </c>
      <c r="I2995" s="144" t="s">
        <v>2593</v>
      </c>
    </row>
    <row r="2996" spans="1:9" ht="14.1">
      <c r="A2996" s="193">
        <v>46100</v>
      </c>
      <c r="B2996" s="145" t="s">
        <v>825</v>
      </c>
      <c r="C2996" s="150" t="s">
        <v>5512</v>
      </c>
      <c r="D2996" s="201" t="s">
        <v>1431</v>
      </c>
      <c r="E2996" s="144" t="s">
        <v>988</v>
      </c>
      <c r="F2996" s="139" t="s">
        <v>88</v>
      </c>
      <c r="G2996" s="144" t="s">
        <v>5658</v>
      </c>
      <c r="H2996" s="146" t="s">
        <v>26</v>
      </c>
      <c r="I2996" s="144" t="s">
        <v>2700</v>
      </c>
    </row>
    <row r="2997" spans="1:9" ht="14.1">
      <c r="A2997" s="193">
        <v>46100</v>
      </c>
      <c r="B2997" s="145" t="s">
        <v>825</v>
      </c>
      <c r="C2997" s="150" t="s">
        <v>5512</v>
      </c>
      <c r="D2997" s="201" t="s">
        <v>1431</v>
      </c>
      <c r="E2997" s="144" t="s">
        <v>988</v>
      </c>
      <c r="F2997" s="141" t="s">
        <v>821</v>
      </c>
      <c r="G2997" s="144" t="s">
        <v>4431</v>
      </c>
      <c r="H2997" s="146" t="s">
        <v>26</v>
      </c>
      <c r="I2997" s="144" t="s">
        <v>4339</v>
      </c>
    </row>
    <row r="2998" spans="1:9" ht="25.5">
      <c r="A2998" s="193">
        <v>46100</v>
      </c>
      <c r="B2998" s="145" t="s">
        <v>825</v>
      </c>
      <c r="C2998" s="150" t="s">
        <v>5512</v>
      </c>
      <c r="D2998" s="201" t="s">
        <v>1431</v>
      </c>
      <c r="E2998" s="144" t="s">
        <v>1506</v>
      </c>
      <c r="F2998" s="139" t="s">
        <v>88</v>
      </c>
      <c r="G2998" s="144" t="s">
        <v>5659</v>
      </c>
      <c r="H2998" s="146" t="s">
        <v>26</v>
      </c>
      <c r="I2998" s="144" t="s">
        <v>1904</v>
      </c>
    </row>
    <row r="2999" spans="1:9" ht="14.1">
      <c r="A2999" s="193">
        <v>46100</v>
      </c>
      <c r="B2999" s="145" t="s">
        <v>825</v>
      </c>
      <c r="C2999" s="150" t="s">
        <v>5512</v>
      </c>
      <c r="D2999" s="201" t="s">
        <v>1431</v>
      </c>
      <c r="E2999" s="144" t="s">
        <v>1449</v>
      </c>
      <c r="F2999" s="139" t="s">
        <v>88</v>
      </c>
      <c r="G2999" s="144" t="s">
        <v>5652</v>
      </c>
      <c r="H2999" s="146" t="s">
        <v>26</v>
      </c>
      <c r="I2999" s="144" t="s">
        <v>2593</v>
      </c>
    </row>
    <row r="3000" spans="1:9" ht="14.1">
      <c r="A3000" s="193">
        <v>46100</v>
      </c>
      <c r="B3000" s="145" t="s">
        <v>825</v>
      </c>
      <c r="C3000" s="150" t="s">
        <v>5512</v>
      </c>
      <c r="D3000" s="201" t="s">
        <v>1431</v>
      </c>
      <c r="E3000" s="144" t="s">
        <v>1449</v>
      </c>
      <c r="F3000" s="139" t="s">
        <v>88</v>
      </c>
      <c r="G3000" s="144" t="s">
        <v>5660</v>
      </c>
      <c r="H3000" s="146" t="s">
        <v>26</v>
      </c>
      <c r="I3000" s="144" t="s">
        <v>2593</v>
      </c>
    </row>
    <row r="3001" spans="1:9" ht="25.5">
      <c r="A3001" s="193">
        <v>46100</v>
      </c>
      <c r="B3001" s="145" t="s">
        <v>825</v>
      </c>
      <c r="C3001" s="150" t="s">
        <v>5512</v>
      </c>
      <c r="D3001" s="201" t="s">
        <v>1431</v>
      </c>
      <c r="E3001" s="144" t="s">
        <v>1566</v>
      </c>
      <c r="F3001" s="139" t="s">
        <v>88</v>
      </c>
      <c r="G3001" s="144" t="s">
        <v>5661</v>
      </c>
      <c r="H3001" s="146" t="s">
        <v>26</v>
      </c>
      <c r="I3001" s="144" t="s">
        <v>2798</v>
      </c>
    </row>
    <row r="3002" spans="1:9" ht="25.5">
      <c r="A3002" s="193">
        <v>46100</v>
      </c>
      <c r="B3002" s="145" t="s">
        <v>825</v>
      </c>
      <c r="C3002" s="150" t="s">
        <v>5512</v>
      </c>
      <c r="D3002" s="201" t="s">
        <v>3886</v>
      </c>
      <c r="E3002" s="144" t="s">
        <v>1449</v>
      </c>
      <c r="F3002" s="147" t="s">
        <v>859</v>
      </c>
      <c r="G3002" s="144" t="s">
        <v>5662</v>
      </c>
      <c r="H3002" s="146" t="s">
        <v>26</v>
      </c>
      <c r="I3002" s="144" t="s">
        <v>5663</v>
      </c>
    </row>
    <row r="3003" spans="1:9" ht="25.5">
      <c r="A3003" s="193">
        <v>46100</v>
      </c>
      <c r="B3003" s="145" t="s">
        <v>825</v>
      </c>
      <c r="C3003" s="150" t="s">
        <v>5512</v>
      </c>
      <c r="D3003" s="201" t="s">
        <v>3886</v>
      </c>
      <c r="E3003" s="144" t="s">
        <v>21</v>
      </c>
      <c r="F3003" s="141" t="s">
        <v>821</v>
      </c>
      <c r="G3003" s="144" t="s">
        <v>5664</v>
      </c>
      <c r="H3003" s="146" t="s">
        <v>26</v>
      </c>
      <c r="I3003" s="144" t="s">
        <v>5663</v>
      </c>
    </row>
    <row r="3004" spans="1:9" ht="25.5">
      <c r="A3004" s="193">
        <v>46100</v>
      </c>
      <c r="B3004" s="145" t="s">
        <v>825</v>
      </c>
      <c r="C3004" s="150" t="s">
        <v>5512</v>
      </c>
      <c r="D3004" s="201" t="s">
        <v>2224</v>
      </c>
      <c r="E3004" s="144" t="s">
        <v>1449</v>
      </c>
      <c r="F3004" s="139" t="s">
        <v>88</v>
      </c>
      <c r="G3004" s="144" t="s">
        <v>5665</v>
      </c>
      <c r="H3004" s="146" t="s">
        <v>26</v>
      </c>
      <c r="I3004" s="144" t="s">
        <v>2593</v>
      </c>
    </row>
    <row r="3005" spans="1:9" ht="14.1">
      <c r="A3005" s="193">
        <v>46101</v>
      </c>
      <c r="B3005" s="145" t="s">
        <v>825</v>
      </c>
      <c r="C3005" s="150" t="s">
        <v>5512</v>
      </c>
      <c r="D3005" s="201" t="s">
        <v>1431</v>
      </c>
      <c r="E3005" s="144" t="s">
        <v>2595</v>
      </c>
      <c r="F3005" s="141" t="s">
        <v>821</v>
      </c>
      <c r="G3005" s="144" t="s">
        <v>4433</v>
      </c>
      <c r="H3005" s="146" t="s">
        <v>26</v>
      </c>
      <c r="I3005" s="144" t="s">
        <v>3516</v>
      </c>
    </row>
    <row r="3006" spans="1:9" ht="25.5">
      <c r="A3006" s="193">
        <v>46101</v>
      </c>
      <c r="B3006" s="145" t="s">
        <v>825</v>
      </c>
      <c r="C3006" s="150" t="s">
        <v>5512</v>
      </c>
      <c r="D3006" s="201" t="s">
        <v>1431</v>
      </c>
      <c r="E3006" s="144" t="s">
        <v>2595</v>
      </c>
      <c r="F3006" s="139" t="s">
        <v>88</v>
      </c>
      <c r="G3006" s="144" t="s">
        <v>5666</v>
      </c>
      <c r="H3006" s="146" t="s">
        <v>26</v>
      </c>
      <c r="I3006" s="144" t="s">
        <v>3516</v>
      </c>
    </row>
    <row r="3007" spans="1:9" ht="14.1">
      <c r="A3007" s="193">
        <v>46101</v>
      </c>
      <c r="B3007" s="145" t="s">
        <v>825</v>
      </c>
      <c r="C3007" s="150" t="s">
        <v>5512</v>
      </c>
      <c r="D3007" s="201" t="s">
        <v>1431</v>
      </c>
      <c r="E3007" s="144" t="s">
        <v>988</v>
      </c>
      <c r="F3007" s="139" t="s">
        <v>88</v>
      </c>
      <c r="G3007" s="144" t="s">
        <v>5667</v>
      </c>
      <c r="H3007" s="146" t="s">
        <v>26</v>
      </c>
      <c r="I3007" s="144" t="s">
        <v>3852</v>
      </c>
    </row>
    <row r="3008" spans="1:9" ht="38.1">
      <c r="A3008" s="193">
        <v>46101</v>
      </c>
      <c r="B3008" s="145" t="s">
        <v>825</v>
      </c>
      <c r="C3008" s="150" t="s">
        <v>5512</v>
      </c>
      <c r="D3008" s="201" t="s">
        <v>1431</v>
      </c>
      <c r="E3008" s="144" t="s">
        <v>2423</v>
      </c>
      <c r="F3008" s="139" t="s">
        <v>88</v>
      </c>
      <c r="G3008" s="144" t="s">
        <v>5668</v>
      </c>
      <c r="H3008" s="146" t="s">
        <v>26</v>
      </c>
      <c r="I3008" s="144" t="s">
        <v>916</v>
      </c>
    </row>
    <row r="3009" spans="1:9" ht="14.1">
      <c r="A3009" s="193">
        <v>46101</v>
      </c>
      <c r="B3009" s="145" t="s">
        <v>825</v>
      </c>
      <c r="C3009" s="150" t="s">
        <v>5512</v>
      </c>
      <c r="D3009" s="201" t="s">
        <v>1431</v>
      </c>
      <c r="E3009" s="144" t="s">
        <v>21</v>
      </c>
      <c r="F3009" s="141" t="s">
        <v>821</v>
      </c>
      <c r="G3009" s="144" t="s">
        <v>5669</v>
      </c>
      <c r="H3009" s="146" t="s">
        <v>26</v>
      </c>
      <c r="I3009" s="144" t="s">
        <v>468</v>
      </c>
    </row>
    <row r="3010" spans="1:9" ht="14.1">
      <c r="A3010" s="193">
        <v>46101</v>
      </c>
      <c r="B3010" s="145" t="s">
        <v>825</v>
      </c>
      <c r="C3010" s="150" t="s">
        <v>5512</v>
      </c>
      <c r="D3010" s="201" t="s">
        <v>1431</v>
      </c>
      <c r="E3010" s="144" t="s">
        <v>21</v>
      </c>
      <c r="F3010" s="141" t="s">
        <v>821</v>
      </c>
      <c r="G3010" s="144" t="s">
        <v>5670</v>
      </c>
      <c r="H3010" s="146" t="s">
        <v>26</v>
      </c>
      <c r="I3010" s="144" t="s">
        <v>468</v>
      </c>
    </row>
    <row r="3011" spans="1:9" ht="14.1">
      <c r="A3011" s="193">
        <v>46101</v>
      </c>
      <c r="B3011" s="145" t="s">
        <v>825</v>
      </c>
      <c r="C3011" s="150" t="s">
        <v>5512</v>
      </c>
      <c r="D3011" s="201" t="s">
        <v>1431</v>
      </c>
      <c r="E3011" s="144" t="s">
        <v>1449</v>
      </c>
      <c r="F3011" s="139" t="s">
        <v>88</v>
      </c>
      <c r="G3011" s="144" t="s">
        <v>5671</v>
      </c>
      <c r="H3011" s="146" t="s">
        <v>26</v>
      </c>
      <c r="I3011" s="144" t="s">
        <v>2593</v>
      </c>
    </row>
    <row r="3012" spans="1:9" ht="25.5">
      <c r="A3012" s="193">
        <v>46101</v>
      </c>
      <c r="B3012" s="145" t="s">
        <v>825</v>
      </c>
      <c r="C3012" s="150" t="s">
        <v>5512</v>
      </c>
      <c r="D3012" s="201" t="s">
        <v>1431</v>
      </c>
      <c r="E3012" s="144" t="s">
        <v>1449</v>
      </c>
      <c r="F3012" s="139" t="s">
        <v>88</v>
      </c>
      <c r="G3012" s="144" t="s">
        <v>5672</v>
      </c>
      <c r="H3012" s="146" t="s">
        <v>26</v>
      </c>
      <c r="I3012" s="144" t="s">
        <v>2593</v>
      </c>
    </row>
    <row r="3013" spans="1:9" ht="25.5">
      <c r="A3013" s="193">
        <v>46101</v>
      </c>
      <c r="B3013" s="145" t="s">
        <v>825</v>
      </c>
      <c r="C3013" s="150" t="s">
        <v>5512</v>
      </c>
      <c r="D3013" s="201" t="s">
        <v>1431</v>
      </c>
      <c r="E3013" s="144" t="s">
        <v>1584</v>
      </c>
      <c r="F3013" s="141" t="s">
        <v>821</v>
      </c>
      <c r="G3013" s="144" t="s">
        <v>5673</v>
      </c>
      <c r="H3013" s="146" t="s">
        <v>26</v>
      </c>
      <c r="I3013" s="144" t="s">
        <v>158</v>
      </c>
    </row>
    <row r="3014" spans="1:9" ht="14.1">
      <c r="A3014" s="193">
        <v>46101</v>
      </c>
      <c r="B3014" s="145" t="s">
        <v>825</v>
      </c>
      <c r="C3014" s="150" t="s">
        <v>5512</v>
      </c>
      <c r="D3014" s="201" t="s">
        <v>1431</v>
      </c>
      <c r="E3014" s="144" t="s">
        <v>1566</v>
      </c>
      <c r="F3014" s="139" t="s">
        <v>88</v>
      </c>
      <c r="G3014" s="144" t="s">
        <v>1753</v>
      </c>
      <c r="H3014" s="146" t="s">
        <v>26</v>
      </c>
      <c r="I3014" s="144" t="s">
        <v>1453</v>
      </c>
    </row>
    <row r="3015" spans="1:9" ht="14.1">
      <c r="A3015" s="193">
        <v>46101</v>
      </c>
      <c r="B3015" s="145" t="s">
        <v>825</v>
      </c>
      <c r="C3015" s="150" t="s">
        <v>5512</v>
      </c>
      <c r="D3015" s="201" t="s">
        <v>1431</v>
      </c>
      <c r="E3015" s="144" t="s">
        <v>1566</v>
      </c>
      <c r="F3015" s="139" t="s">
        <v>88</v>
      </c>
      <c r="G3015" s="144" t="s">
        <v>5674</v>
      </c>
      <c r="H3015" s="146" t="s">
        <v>26</v>
      </c>
      <c r="I3015" s="144" t="s">
        <v>1453</v>
      </c>
    </row>
    <row r="3016" spans="1:9" ht="25.5">
      <c r="A3016" s="193">
        <v>46101</v>
      </c>
      <c r="B3016" s="145" t="s">
        <v>825</v>
      </c>
      <c r="C3016" s="150" t="s">
        <v>5512</v>
      </c>
      <c r="D3016" s="201" t="s">
        <v>1431</v>
      </c>
      <c r="E3016" s="144" t="s">
        <v>988</v>
      </c>
      <c r="F3016" s="139" t="s">
        <v>88</v>
      </c>
      <c r="G3016" s="144" t="s">
        <v>5675</v>
      </c>
      <c r="H3016" s="146" t="s">
        <v>26</v>
      </c>
      <c r="I3016" s="144" t="s">
        <v>452</v>
      </c>
    </row>
    <row r="3017" spans="1:9" ht="25.5">
      <c r="A3017" s="193">
        <v>46101</v>
      </c>
      <c r="B3017" s="145" t="s">
        <v>825</v>
      </c>
      <c r="C3017" s="150" t="s">
        <v>5512</v>
      </c>
      <c r="D3017" s="201" t="s">
        <v>1431</v>
      </c>
      <c r="E3017" s="144" t="s">
        <v>988</v>
      </c>
      <c r="F3017" s="139" t="s">
        <v>88</v>
      </c>
      <c r="G3017" s="144" t="s">
        <v>5676</v>
      </c>
      <c r="H3017" s="146" t="s">
        <v>26</v>
      </c>
      <c r="I3017" s="144" t="s">
        <v>452</v>
      </c>
    </row>
    <row r="3018" spans="1:9" ht="14.1">
      <c r="A3018" s="193">
        <v>46101</v>
      </c>
      <c r="B3018" s="145" t="s">
        <v>825</v>
      </c>
      <c r="C3018" s="150" t="s">
        <v>5512</v>
      </c>
      <c r="D3018" s="201" t="s">
        <v>2224</v>
      </c>
      <c r="E3018" s="144" t="s">
        <v>21</v>
      </c>
      <c r="F3018" s="141" t="s">
        <v>821</v>
      </c>
      <c r="G3018" s="144" t="s">
        <v>5677</v>
      </c>
      <c r="H3018" s="146" t="s">
        <v>26</v>
      </c>
      <c r="I3018" s="144" t="s">
        <v>468</v>
      </c>
    </row>
    <row r="3019" spans="1:9" ht="50.45">
      <c r="A3019" s="193">
        <v>46101</v>
      </c>
      <c r="B3019" s="145" t="s">
        <v>825</v>
      </c>
      <c r="C3019" s="150" t="s">
        <v>5512</v>
      </c>
      <c r="D3019" s="201" t="s">
        <v>2224</v>
      </c>
      <c r="E3019" s="144" t="s">
        <v>1449</v>
      </c>
      <c r="F3019" s="147" t="s">
        <v>859</v>
      </c>
      <c r="G3019" s="144" t="s">
        <v>5678</v>
      </c>
      <c r="H3019" s="146" t="s">
        <v>26</v>
      </c>
      <c r="I3019" s="144" t="s">
        <v>2593</v>
      </c>
    </row>
    <row r="3020" spans="1:9" ht="25.5">
      <c r="A3020" s="193">
        <v>46101</v>
      </c>
      <c r="B3020" s="145" t="s">
        <v>825</v>
      </c>
      <c r="C3020" s="150" t="s">
        <v>5512</v>
      </c>
      <c r="D3020" s="201" t="s">
        <v>2224</v>
      </c>
      <c r="E3020" s="144" t="s">
        <v>1566</v>
      </c>
      <c r="F3020" s="139" t="s">
        <v>88</v>
      </c>
      <c r="G3020" s="144" t="s">
        <v>5679</v>
      </c>
      <c r="H3020" s="146" t="s">
        <v>26</v>
      </c>
      <c r="I3020" s="144" t="s">
        <v>1588</v>
      </c>
    </row>
    <row r="3021" spans="1:9" ht="25.5">
      <c r="A3021" s="193">
        <v>46101</v>
      </c>
      <c r="B3021" s="145" t="s">
        <v>825</v>
      </c>
      <c r="C3021" s="150" t="s">
        <v>5512</v>
      </c>
      <c r="D3021" s="201" t="s">
        <v>1431</v>
      </c>
      <c r="E3021" s="144" t="s">
        <v>216</v>
      </c>
      <c r="F3021" s="141" t="s">
        <v>821</v>
      </c>
      <c r="G3021" s="144" t="s">
        <v>4435</v>
      </c>
      <c r="H3021" s="146" t="s">
        <v>26</v>
      </c>
      <c r="I3021" s="144" t="s">
        <v>492</v>
      </c>
    </row>
    <row r="3022" spans="1:9" ht="25.5">
      <c r="A3022" s="193">
        <v>46104</v>
      </c>
      <c r="B3022" s="145" t="s">
        <v>825</v>
      </c>
      <c r="C3022" s="150" t="s">
        <v>5512</v>
      </c>
      <c r="D3022" s="201" t="s">
        <v>1431</v>
      </c>
      <c r="E3022" s="144" t="s">
        <v>1506</v>
      </c>
      <c r="F3022" s="139" t="s">
        <v>88</v>
      </c>
      <c r="G3022" s="144" t="s">
        <v>5680</v>
      </c>
      <c r="H3022" s="146" t="s">
        <v>26</v>
      </c>
      <c r="I3022" s="144" t="s">
        <v>3247</v>
      </c>
    </row>
    <row r="3023" spans="1:9" ht="25.5">
      <c r="A3023" s="193">
        <v>46104</v>
      </c>
      <c r="B3023" s="145" t="s">
        <v>825</v>
      </c>
      <c r="C3023" s="150" t="s">
        <v>5512</v>
      </c>
      <c r="D3023" s="201" t="s">
        <v>1431</v>
      </c>
      <c r="E3023" s="144" t="s">
        <v>216</v>
      </c>
      <c r="F3023" s="141" t="s">
        <v>821</v>
      </c>
      <c r="G3023" s="144" t="s">
        <v>5681</v>
      </c>
      <c r="H3023" s="146" t="s">
        <v>26</v>
      </c>
      <c r="I3023" s="144" t="s">
        <v>492</v>
      </c>
    </row>
    <row r="3024" spans="1:9" ht="14.1">
      <c r="A3024" s="193">
        <v>46104</v>
      </c>
      <c r="B3024" s="145" t="s">
        <v>825</v>
      </c>
      <c r="C3024" s="150" t="s">
        <v>5512</v>
      </c>
      <c r="D3024" s="201" t="s">
        <v>1431</v>
      </c>
      <c r="E3024" s="144" t="s">
        <v>216</v>
      </c>
      <c r="F3024" s="141" t="s">
        <v>821</v>
      </c>
      <c r="G3024" s="144" t="s">
        <v>5682</v>
      </c>
      <c r="H3024" s="146" t="s">
        <v>26</v>
      </c>
      <c r="I3024" s="144" t="s">
        <v>492</v>
      </c>
    </row>
    <row r="3025" spans="1:9" ht="38.1">
      <c r="A3025" s="193">
        <v>46104</v>
      </c>
      <c r="B3025" s="145" t="s">
        <v>825</v>
      </c>
      <c r="C3025" s="150" t="s">
        <v>5512</v>
      </c>
      <c r="D3025" s="201" t="s">
        <v>1431</v>
      </c>
      <c r="E3025" s="144" t="s">
        <v>21</v>
      </c>
      <c r="F3025" s="141" t="s">
        <v>821</v>
      </c>
      <c r="G3025" s="144" t="s">
        <v>4437</v>
      </c>
      <c r="H3025" s="146" t="s">
        <v>130</v>
      </c>
      <c r="I3025" s="144" t="s">
        <v>468</v>
      </c>
    </row>
    <row r="3026" spans="1:9" ht="25.5">
      <c r="A3026" s="193">
        <v>46104</v>
      </c>
      <c r="B3026" s="145" t="s">
        <v>825</v>
      </c>
      <c r="C3026" s="150" t="s">
        <v>5512</v>
      </c>
      <c r="D3026" s="201" t="s">
        <v>1431</v>
      </c>
      <c r="E3026" s="144" t="s">
        <v>1449</v>
      </c>
      <c r="F3026" s="139" t="s">
        <v>88</v>
      </c>
      <c r="G3026" s="144" t="s">
        <v>5683</v>
      </c>
      <c r="H3026" s="146" t="s">
        <v>26</v>
      </c>
      <c r="I3026" s="144" t="s">
        <v>2593</v>
      </c>
    </row>
    <row r="3027" spans="1:9" ht="25.5">
      <c r="A3027" s="193">
        <v>46104</v>
      </c>
      <c r="B3027" s="145" t="s">
        <v>825</v>
      </c>
      <c r="C3027" s="150" t="s">
        <v>5512</v>
      </c>
      <c r="D3027" s="201" t="s">
        <v>1431</v>
      </c>
      <c r="E3027" s="144" t="s">
        <v>1449</v>
      </c>
      <c r="F3027" s="139" t="s">
        <v>88</v>
      </c>
      <c r="G3027" s="144" t="s">
        <v>5684</v>
      </c>
      <c r="H3027" s="146" t="s">
        <v>26</v>
      </c>
      <c r="I3027" s="144" t="s">
        <v>2593</v>
      </c>
    </row>
    <row r="3028" spans="1:9" ht="50.45">
      <c r="A3028" s="193">
        <v>46104</v>
      </c>
      <c r="B3028" s="145" t="s">
        <v>825</v>
      </c>
      <c r="C3028" s="150" t="s">
        <v>5512</v>
      </c>
      <c r="D3028" s="201" t="s">
        <v>1431</v>
      </c>
      <c r="E3028" s="144" t="s">
        <v>1449</v>
      </c>
      <c r="F3028" s="139" t="s">
        <v>88</v>
      </c>
      <c r="G3028" s="144" t="s">
        <v>5685</v>
      </c>
      <c r="H3028" s="146" t="s">
        <v>26</v>
      </c>
      <c r="I3028" s="144" t="s">
        <v>2593</v>
      </c>
    </row>
    <row r="3029" spans="1:9" ht="25.5">
      <c r="A3029" s="193">
        <v>46104</v>
      </c>
      <c r="B3029" s="145" t="s">
        <v>825</v>
      </c>
      <c r="C3029" s="150" t="s">
        <v>5512</v>
      </c>
      <c r="D3029" s="201" t="s">
        <v>1431</v>
      </c>
      <c r="E3029" s="144" t="s">
        <v>1449</v>
      </c>
      <c r="F3029" s="139" t="s">
        <v>88</v>
      </c>
      <c r="G3029" s="144" t="s">
        <v>5686</v>
      </c>
      <c r="H3029" s="146" t="s">
        <v>26</v>
      </c>
      <c r="I3029" s="144" t="s">
        <v>916</v>
      </c>
    </row>
    <row r="3030" spans="1:9" ht="50.45">
      <c r="A3030" s="193">
        <v>46104</v>
      </c>
      <c r="B3030" s="145" t="s">
        <v>825</v>
      </c>
      <c r="C3030" s="150" t="s">
        <v>5512</v>
      </c>
      <c r="D3030" s="201" t="s">
        <v>1431</v>
      </c>
      <c r="E3030" s="144" t="s">
        <v>1566</v>
      </c>
      <c r="F3030" s="139" t="s">
        <v>88</v>
      </c>
      <c r="G3030" s="144" t="s">
        <v>5687</v>
      </c>
      <c r="H3030" s="146" t="s">
        <v>26</v>
      </c>
      <c r="I3030" s="144" t="s">
        <v>1588</v>
      </c>
    </row>
    <row r="3031" spans="1:9" ht="38.1">
      <c r="A3031" s="193">
        <v>46104</v>
      </c>
      <c r="B3031" s="145" t="s">
        <v>825</v>
      </c>
      <c r="C3031" s="150" t="s">
        <v>5512</v>
      </c>
      <c r="D3031" s="201" t="s">
        <v>1431</v>
      </c>
      <c r="E3031" s="144" t="s">
        <v>1566</v>
      </c>
      <c r="F3031" s="139" t="s">
        <v>88</v>
      </c>
      <c r="G3031" s="144" t="s">
        <v>5688</v>
      </c>
      <c r="H3031" s="146" t="s">
        <v>26</v>
      </c>
      <c r="I3031" s="144" t="s">
        <v>1588</v>
      </c>
    </row>
    <row r="3032" spans="1:9" ht="63">
      <c r="A3032" s="193">
        <v>46104</v>
      </c>
      <c r="B3032" s="145" t="s">
        <v>825</v>
      </c>
      <c r="C3032" s="150" t="s">
        <v>5512</v>
      </c>
      <c r="D3032" s="201" t="s">
        <v>1431</v>
      </c>
      <c r="E3032" s="144" t="s">
        <v>1566</v>
      </c>
      <c r="F3032" s="139" t="s">
        <v>88</v>
      </c>
      <c r="G3032" s="144" t="s">
        <v>5689</v>
      </c>
      <c r="H3032" s="146" t="s">
        <v>26</v>
      </c>
      <c r="I3032" s="144" t="s">
        <v>1588</v>
      </c>
    </row>
    <row r="3033" spans="1:9" ht="63">
      <c r="A3033" s="193">
        <v>46104</v>
      </c>
      <c r="B3033" s="145" t="s">
        <v>825</v>
      </c>
      <c r="C3033" s="150" t="s">
        <v>5512</v>
      </c>
      <c r="D3033" s="201" t="s">
        <v>1431</v>
      </c>
      <c r="E3033" s="144" t="s">
        <v>1566</v>
      </c>
      <c r="F3033" s="139" t="s">
        <v>88</v>
      </c>
      <c r="G3033" s="144" t="s">
        <v>5690</v>
      </c>
      <c r="H3033" s="146" t="s">
        <v>26</v>
      </c>
      <c r="I3033" s="144" t="s">
        <v>1588</v>
      </c>
    </row>
    <row r="3034" spans="1:9" ht="25.5">
      <c r="A3034" s="193">
        <v>46104</v>
      </c>
      <c r="B3034" s="145" t="s">
        <v>825</v>
      </c>
      <c r="C3034" s="150" t="s">
        <v>5512</v>
      </c>
      <c r="D3034" s="201" t="s">
        <v>2224</v>
      </c>
      <c r="E3034" s="144" t="s">
        <v>2244</v>
      </c>
      <c r="F3034" s="139" t="s">
        <v>88</v>
      </c>
      <c r="G3034" s="144" t="s">
        <v>5691</v>
      </c>
      <c r="H3034" s="146" t="s">
        <v>26</v>
      </c>
      <c r="I3034" s="144" t="s">
        <v>916</v>
      </c>
    </row>
    <row r="3035" spans="1:9" ht="25.5">
      <c r="A3035" s="193">
        <v>46104</v>
      </c>
      <c r="B3035" s="145" t="s">
        <v>825</v>
      </c>
      <c r="C3035" s="150" t="s">
        <v>5512</v>
      </c>
      <c r="D3035" s="201" t="s">
        <v>2224</v>
      </c>
      <c r="E3035" s="144" t="s">
        <v>1449</v>
      </c>
      <c r="F3035" s="139" t="s">
        <v>88</v>
      </c>
      <c r="G3035" s="144" t="s">
        <v>5692</v>
      </c>
      <c r="H3035" s="146" t="s">
        <v>26</v>
      </c>
      <c r="I3035" s="144" t="s">
        <v>2593</v>
      </c>
    </row>
    <row r="3036" spans="1:9" ht="25.5">
      <c r="A3036" s="193">
        <v>46105</v>
      </c>
      <c r="B3036" s="145" t="s">
        <v>825</v>
      </c>
      <c r="C3036" s="150" t="s">
        <v>5512</v>
      </c>
      <c r="D3036" s="201" t="s">
        <v>1431</v>
      </c>
      <c r="E3036" s="144" t="s">
        <v>21</v>
      </c>
      <c r="F3036" s="141" t="s">
        <v>821</v>
      </c>
      <c r="G3036" s="144" t="s">
        <v>4439</v>
      </c>
      <c r="H3036" s="146" t="s">
        <v>26</v>
      </c>
      <c r="I3036" s="144" t="s">
        <v>468</v>
      </c>
    </row>
    <row r="3037" spans="1:9" ht="38.1">
      <c r="A3037" s="193">
        <v>46105</v>
      </c>
      <c r="B3037" s="145" t="s">
        <v>825</v>
      </c>
      <c r="C3037" s="150" t="s">
        <v>5512</v>
      </c>
      <c r="D3037" s="201" t="s">
        <v>1431</v>
      </c>
      <c r="E3037" s="144" t="s">
        <v>88</v>
      </c>
      <c r="F3037" s="139" t="s">
        <v>88</v>
      </c>
      <c r="G3037" s="144" t="s">
        <v>4441</v>
      </c>
      <c r="H3037" s="146" t="s">
        <v>130</v>
      </c>
      <c r="I3037" s="144" t="s">
        <v>1259</v>
      </c>
    </row>
    <row r="3038" spans="1:9" ht="25.5">
      <c r="A3038" s="193">
        <v>46105</v>
      </c>
      <c r="B3038" s="145" t="s">
        <v>825</v>
      </c>
      <c r="C3038" s="150" t="s">
        <v>5512</v>
      </c>
      <c r="D3038" s="201" t="s">
        <v>1431</v>
      </c>
      <c r="E3038" s="144" t="s">
        <v>216</v>
      </c>
      <c r="F3038" s="141" t="s">
        <v>821</v>
      </c>
      <c r="G3038" s="144" t="s">
        <v>4444</v>
      </c>
      <c r="H3038" s="146" t="s">
        <v>130</v>
      </c>
      <c r="I3038" s="144" t="s">
        <v>492</v>
      </c>
    </row>
    <row r="3039" spans="1:9" ht="25.5">
      <c r="A3039" s="193">
        <v>46105</v>
      </c>
      <c r="B3039" s="145" t="s">
        <v>825</v>
      </c>
      <c r="C3039" s="150" t="s">
        <v>5512</v>
      </c>
      <c r="D3039" s="201" t="s">
        <v>1431</v>
      </c>
      <c r="E3039" s="144" t="s">
        <v>1506</v>
      </c>
      <c r="F3039" s="139" t="s">
        <v>88</v>
      </c>
      <c r="G3039" s="144" t="s">
        <v>5693</v>
      </c>
      <c r="H3039" s="146" t="s">
        <v>26</v>
      </c>
      <c r="I3039" s="144" t="s">
        <v>1904</v>
      </c>
    </row>
    <row r="3040" spans="1:9" ht="25.5">
      <c r="A3040" s="193">
        <v>46105</v>
      </c>
      <c r="B3040" s="145" t="s">
        <v>825</v>
      </c>
      <c r="C3040" s="150" t="s">
        <v>5512</v>
      </c>
      <c r="D3040" s="201" t="s">
        <v>1431</v>
      </c>
      <c r="E3040" s="144" t="s">
        <v>1506</v>
      </c>
      <c r="F3040" s="139" t="s">
        <v>88</v>
      </c>
      <c r="G3040" s="144" t="s">
        <v>5694</v>
      </c>
      <c r="H3040" s="146" t="s">
        <v>26</v>
      </c>
      <c r="I3040" s="144" t="s">
        <v>1904</v>
      </c>
    </row>
    <row r="3041" spans="1:9" ht="50.45">
      <c r="A3041" s="193">
        <v>46105</v>
      </c>
      <c r="B3041" s="145" t="s">
        <v>825</v>
      </c>
      <c r="C3041" s="150" t="s">
        <v>5512</v>
      </c>
      <c r="D3041" s="201" t="s">
        <v>1431</v>
      </c>
      <c r="E3041" s="144" t="s">
        <v>1506</v>
      </c>
      <c r="F3041" s="139" t="s">
        <v>88</v>
      </c>
      <c r="G3041" s="144" t="s">
        <v>4446</v>
      </c>
      <c r="H3041" s="146" t="s">
        <v>130</v>
      </c>
      <c r="I3041" s="144" t="s">
        <v>1904</v>
      </c>
    </row>
    <row r="3042" spans="1:9" ht="25.5">
      <c r="A3042" s="193">
        <v>46105</v>
      </c>
      <c r="B3042" s="145" t="s">
        <v>825</v>
      </c>
      <c r="C3042" s="150" t="s">
        <v>5512</v>
      </c>
      <c r="D3042" s="201" t="s">
        <v>1431</v>
      </c>
      <c r="E3042" s="144" t="s">
        <v>1449</v>
      </c>
      <c r="F3042" s="139" t="s">
        <v>88</v>
      </c>
      <c r="G3042" s="144" t="s">
        <v>5695</v>
      </c>
      <c r="H3042" s="146" t="s">
        <v>26</v>
      </c>
      <c r="I3042" s="144" t="s">
        <v>2593</v>
      </c>
    </row>
    <row r="3043" spans="1:9" ht="38.1">
      <c r="A3043" s="193">
        <v>46105</v>
      </c>
      <c r="B3043" s="145" t="s">
        <v>825</v>
      </c>
      <c r="C3043" s="150" t="s">
        <v>5512</v>
      </c>
      <c r="D3043" s="201" t="s">
        <v>1431</v>
      </c>
      <c r="E3043" s="144" t="s">
        <v>3386</v>
      </c>
      <c r="F3043" s="139" t="s">
        <v>88</v>
      </c>
      <c r="G3043" s="144" t="s">
        <v>5696</v>
      </c>
      <c r="H3043" s="146" t="s">
        <v>26</v>
      </c>
      <c r="I3043" s="144" t="s">
        <v>2593</v>
      </c>
    </row>
    <row r="3044" spans="1:9" ht="38.1">
      <c r="A3044" s="193">
        <v>46105</v>
      </c>
      <c r="B3044" s="145" t="s">
        <v>825</v>
      </c>
      <c r="C3044" s="150" t="s">
        <v>5512</v>
      </c>
      <c r="D3044" s="201" t="s">
        <v>1431</v>
      </c>
      <c r="E3044" s="144" t="s">
        <v>1449</v>
      </c>
      <c r="F3044" s="139" t="s">
        <v>88</v>
      </c>
      <c r="G3044" s="144" t="s">
        <v>5697</v>
      </c>
      <c r="H3044" s="146" t="s">
        <v>26</v>
      </c>
      <c r="I3044" s="144" t="s">
        <v>2593</v>
      </c>
    </row>
    <row r="3045" spans="1:9" ht="50.45">
      <c r="A3045" s="193">
        <v>46105</v>
      </c>
      <c r="B3045" s="145" t="s">
        <v>825</v>
      </c>
      <c r="C3045" s="150" t="s">
        <v>5512</v>
      </c>
      <c r="D3045" s="201" t="s">
        <v>3881</v>
      </c>
      <c r="E3045" s="144" t="s">
        <v>1225</v>
      </c>
      <c r="F3045" s="147" t="s">
        <v>859</v>
      </c>
      <c r="G3045" s="144" t="s">
        <v>5698</v>
      </c>
      <c r="H3045" s="146" t="s">
        <v>26</v>
      </c>
      <c r="I3045" s="144" t="s">
        <v>5699</v>
      </c>
    </row>
    <row r="3046" spans="1:9" ht="14.1">
      <c r="A3046" s="193">
        <v>46106</v>
      </c>
      <c r="B3046" s="145" t="s">
        <v>825</v>
      </c>
      <c r="C3046" s="150" t="s">
        <v>5512</v>
      </c>
      <c r="D3046" s="201" t="s">
        <v>1431</v>
      </c>
      <c r="E3046" s="144" t="s">
        <v>2585</v>
      </c>
      <c r="F3046" s="139" t="s">
        <v>88</v>
      </c>
      <c r="G3046" s="144" t="s">
        <v>5700</v>
      </c>
      <c r="H3046" s="146" t="s">
        <v>26</v>
      </c>
      <c r="I3046" s="144" t="s">
        <v>452</v>
      </c>
    </row>
    <row r="3047" spans="1:9" ht="14.1">
      <c r="A3047" s="193">
        <v>46106</v>
      </c>
      <c r="B3047" s="145" t="s">
        <v>825</v>
      </c>
      <c r="C3047" s="150" t="s">
        <v>5512</v>
      </c>
      <c r="D3047" s="201" t="s">
        <v>1431</v>
      </c>
      <c r="E3047" s="144" t="s">
        <v>1506</v>
      </c>
      <c r="F3047" s="139" t="s">
        <v>88</v>
      </c>
      <c r="G3047" s="144" t="s">
        <v>5701</v>
      </c>
      <c r="H3047" s="146" t="s">
        <v>26</v>
      </c>
      <c r="I3047" s="144" t="s">
        <v>1904</v>
      </c>
    </row>
    <row r="3048" spans="1:9" ht="38.1">
      <c r="A3048" s="193">
        <v>46106</v>
      </c>
      <c r="B3048" s="145" t="s">
        <v>825</v>
      </c>
      <c r="C3048" s="150" t="s">
        <v>5512</v>
      </c>
      <c r="D3048" s="201" t="s">
        <v>1431</v>
      </c>
      <c r="E3048" s="144" t="s">
        <v>1566</v>
      </c>
      <c r="F3048" s="139" t="s">
        <v>88</v>
      </c>
      <c r="G3048" s="144" t="s">
        <v>5702</v>
      </c>
      <c r="H3048" s="146" t="s">
        <v>26</v>
      </c>
      <c r="I3048" s="144" t="s">
        <v>1453</v>
      </c>
    </row>
    <row r="3049" spans="1:9" ht="25.5">
      <c r="A3049" s="193">
        <v>46106</v>
      </c>
      <c r="B3049" s="145" t="s">
        <v>825</v>
      </c>
      <c r="C3049" s="150" t="s">
        <v>5512</v>
      </c>
      <c r="D3049" s="201" t="s">
        <v>1431</v>
      </c>
      <c r="E3049" s="144" t="s">
        <v>1449</v>
      </c>
      <c r="F3049" s="139" t="s">
        <v>88</v>
      </c>
      <c r="G3049" s="144" t="s">
        <v>5703</v>
      </c>
      <c r="H3049" s="146" t="s">
        <v>26</v>
      </c>
      <c r="I3049" s="144" t="s">
        <v>2593</v>
      </c>
    </row>
    <row r="3050" spans="1:9" ht="25.5">
      <c r="A3050" s="193">
        <v>46106</v>
      </c>
      <c r="B3050" s="145" t="s">
        <v>825</v>
      </c>
      <c r="C3050" s="150" t="s">
        <v>5512</v>
      </c>
      <c r="D3050" s="201" t="s">
        <v>1431</v>
      </c>
      <c r="E3050" s="144" t="s">
        <v>1449</v>
      </c>
      <c r="F3050" s="139" t="s">
        <v>88</v>
      </c>
      <c r="G3050" s="144" t="s">
        <v>5704</v>
      </c>
      <c r="H3050" s="146" t="s">
        <v>26</v>
      </c>
      <c r="I3050" s="144" t="s">
        <v>2593</v>
      </c>
    </row>
    <row r="3051" spans="1:9" ht="25.5">
      <c r="A3051" s="193">
        <v>46106</v>
      </c>
      <c r="B3051" s="145" t="s">
        <v>825</v>
      </c>
      <c r="C3051" s="150" t="s">
        <v>5512</v>
      </c>
      <c r="D3051" s="201" t="s">
        <v>1431</v>
      </c>
      <c r="E3051" s="144" t="s">
        <v>1449</v>
      </c>
      <c r="F3051" s="139" t="s">
        <v>88</v>
      </c>
      <c r="G3051" s="144" t="s">
        <v>5705</v>
      </c>
      <c r="H3051" s="146" t="s">
        <v>26</v>
      </c>
      <c r="I3051" s="144" t="s">
        <v>2593</v>
      </c>
    </row>
    <row r="3052" spans="1:9" ht="25.5">
      <c r="A3052" s="193">
        <v>46106</v>
      </c>
      <c r="B3052" s="145" t="s">
        <v>825</v>
      </c>
      <c r="C3052" s="150" t="s">
        <v>5512</v>
      </c>
      <c r="D3052" s="201" t="s">
        <v>1431</v>
      </c>
      <c r="E3052" s="144" t="s">
        <v>1449</v>
      </c>
      <c r="F3052" s="139" t="s">
        <v>88</v>
      </c>
      <c r="G3052" s="144" t="s">
        <v>5706</v>
      </c>
      <c r="H3052" s="146" t="s">
        <v>26</v>
      </c>
      <c r="I3052" s="144" t="s">
        <v>2593</v>
      </c>
    </row>
    <row r="3053" spans="1:9" ht="25.5">
      <c r="A3053" s="193">
        <v>46106</v>
      </c>
      <c r="B3053" s="145" t="s">
        <v>825</v>
      </c>
      <c r="C3053" s="150" t="s">
        <v>5512</v>
      </c>
      <c r="D3053" s="201" t="s">
        <v>2224</v>
      </c>
      <c r="E3053" s="144" t="s">
        <v>1566</v>
      </c>
      <c r="F3053" s="142" t="s">
        <v>872</v>
      </c>
      <c r="G3053" s="144" t="s">
        <v>5707</v>
      </c>
      <c r="H3053" s="146" t="s">
        <v>26</v>
      </c>
      <c r="I3053" s="144" t="s">
        <v>1453</v>
      </c>
    </row>
    <row r="3054" spans="1:9" ht="38.1">
      <c r="A3054" s="193">
        <v>46106</v>
      </c>
      <c r="B3054" s="145" t="s">
        <v>825</v>
      </c>
      <c r="C3054" s="150" t="s">
        <v>5512</v>
      </c>
      <c r="D3054" s="201" t="s">
        <v>1431</v>
      </c>
      <c r="E3054" s="144" t="s">
        <v>1495</v>
      </c>
      <c r="F3054" s="139" t="s">
        <v>88</v>
      </c>
      <c r="G3054" s="144" t="s">
        <v>5708</v>
      </c>
      <c r="H3054" s="146" t="s">
        <v>26</v>
      </c>
      <c r="I3054" s="144" t="s">
        <v>3516</v>
      </c>
    </row>
    <row r="3055" spans="1:9" ht="38.1">
      <c r="A3055" s="193">
        <v>46107</v>
      </c>
      <c r="B3055" s="145" t="s">
        <v>825</v>
      </c>
      <c r="C3055" s="150" t="s">
        <v>5512</v>
      </c>
      <c r="D3055" s="201" t="s">
        <v>1431</v>
      </c>
      <c r="E3055" s="144" t="s">
        <v>2595</v>
      </c>
      <c r="F3055" s="139" t="s">
        <v>88</v>
      </c>
      <c r="G3055" s="144" t="s">
        <v>5709</v>
      </c>
      <c r="H3055" s="146" t="s">
        <v>130</v>
      </c>
      <c r="I3055" s="144" t="s">
        <v>3516</v>
      </c>
    </row>
    <row r="3056" spans="1:9" ht="38.1">
      <c r="A3056" s="193">
        <v>46107</v>
      </c>
      <c r="B3056" s="145" t="s">
        <v>825</v>
      </c>
      <c r="C3056" s="150" t="s">
        <v>5512</v>
      </c>
      <c r="D3056" s="201" t="s">
        <v>1431</v>
      </c>
      <c r="E3056" s="144" t="s">
        <v>988</v>
      </c>
      <c r="F3056" s="139" t="s">
        <v>88</v>
      </c>
      <c r="G3056" s="144" t="s">
        <v>5710</v>
      </c>
      <c r="H3056" s="146" t="s">
        <v>26</v>
      </c>
      <c r="I3056" s="144" t="s">
        <v>2700</v>
      </c>
    </row>
    <row r="3057" spans="1:9" ht="25.5">
      <c r="A3057" s="193">
        <v>46107</v>
      </c>
      <c r="B3057" s="145" t="s">
        <v>825</v>
      </c>
      <c r="C3057" s="150" t="s">
        <v>5512</v>
      </c>
      <c r="D3057" s="201" t="s">
        <v>1431</v>
      </c>
      <c r="E3057" s="144" t="s">
        <v>2530</v>
      </c>
      <c r="F3057" s="139" t="s">
        <v>88</v>
      </c>
      <c r="G3057" s="144" t="s">
        <v>4451</v>
      </c>
      <c r="H3057" s="146" t="s">
        <v>130</v>
      </c>
      <c r="I3057" s="144" t="s">
        <v>4339</v>
      </c>
    </row>
    <row r="3058" spans="1:9" ht="25.5">
      <c r="A3058" s="193">
        <v>46107</v>
      </c>
      <c r="B3058" s="145" t="s">
        <v>825</v>
      </c>
      <c r="C3058" s="150" t="s">
        <v>5512</v>
      </c>
      <c r="D3058" s="201" t="s">
        <v>1431</v>
      </c>
      <c r="E3058" s="144" t="s">
        <v>1506</v>
      </c>
      <c r="F3058" s="139" t="s">
        <v>88</v>
      </c>
      <c r="G3058" s="144" t="s">
        <v>5711</v>
      </c>
      <c r="H3058" s="146" t="s">
        <v>26</v>
      </c>
      <c r="I3058" s="144" t="s">
        <v>1904</v>
      </c>
    </row>
    <row r="3059" spans="1:9" ht="25.5">
      <c r="A3059" s="193">
        <v>46107</v>
      </c>
      <c r="B3059" s="145" t="s">
        <v>825</v>
      </c>
      <c r="C3059" s="150" t="s">
        <v>5512</v>
      </c>
      <c r="D3059" s="201" t="s">
        <v>1431</v>
      </c>
      <c r="E3059" s="144" t="s">
        <v>1506</v>
      </c>
      <c r="F3059" s="139" t="s">
        <v>88</v>
      </c>
      <c r="G3059" s="144" t="s">
        <v>5712</v>
      </c>
      <c r="H3059" s="146" t="s">
        <v>26</v>
      </c>
      <c r="I3059" s="144" t="s">
        <v>1904</v>
      </c>
    </row>
    <row r="3060" spans="1:9" ht="25.5">
      <c r="A3060" s="193">
        <v>46107</v>
      </c>
      <c r="B3060" s="145" t="s">
        <v>825</v>
      </c>
      <c r="C3060" s="150" t="s">
        <v>5512</v>
      </c>
      <c r="D3060" s="201" t="s">
        <v>1431</v>
      </c>
      <c r="E3060" s="144" t="s">
        <v>216</v>
      </c>
      <c r="F3060" s="141" t="s">
        <v>821</v>
      </c>
      <c r="G3060" s="144" t="s">
        <v>5713</v>
      </c>
      <c r="H3060" s="146" t="s">
        <v>26</v>
      </c>
      <c r="I3060" s="144" t="s">
        <v>492</v>
      </c>
    </row>
    <row r="3061" spans="1:9" ht="25.5">
      <c r="A3061" s="193">
        <v>46107</v>
      </c>
      <c r="B3061" s="145" t="s">
        <v>825</v>
      </c>
      <c r="C3061" s="150" t="s">
        <v>5512</v>
      </c>
      <c r="D3061" s="201" t="s">
        <v>1431</v>
      </c>
      <c r="E3061" s="144" t="s">
        <v>21</v>
      </c>
      <c r="F3061" s="141" t="s">
        <v>821</v>
      </c>
      <c r="G3061" s="144" t="s">
        <v>5714</v>
      </c>
      <c r="H3061" s="146" t="s">
        <v>26</v>
      </c>
      <c r="I3061" s="144" t="s">
        <v>468</v>
      </c>
    </row>
    <row r="3062" spans="1:9" ht="25.5">
      <c r="A3062" s="193">
        <v>46107</v>
      </c>
      <c r="B3062" s="145" t="s">
        <v>825</v>
      </c>
      <c r="C3062" s="150" t="s">
        <v>5512</v>
      </c>
      <c r="D3062" s="201" t="s">
        <v>1431</v>
      </c>
      <c r="E3062" s="144" t="s">
        <v>1566</v>
      </c>
      <c r="F3062" s="139" t="s">
        <v>88</v>
      </c>
      <c r="G3062" s="144" t="s">
        <v>5715</v>
      </c>
      <c r="H3062" s="146" t="s">
        <v>26</v>
      </c>
      <c r="I3062" s="144" t="s">
        <v>2798</v>
      </c>
    </row>
    <row r="3063" spans="1:9" ht="25.5">
      <c r="A3063" s="193">
        <v>46107</v>
      </c>
      <c r="B3063" s="145" t="s">
        <v>825</v>
      </c>
      <c r="C3063" s="150" t="s">
        <v>5512</v>
      </c>
      <c r="D3063" s="201" t="s">
        <v>1431</v>
      </c>
      <c r="E3063" s="144" t="s">
        <v>1566</v>
      </c>
      <c r="F3063" s="139" t="s">
        <v>88</v>
      </c>
      <c r="G3063" s="144" t="s">
        <v>5716</v>
      </c>
      <c r="H3063" s="146" t="s">
        <v>26</v>
      </c>
      <c r="I3063" s="144" t="s">
        <v>2798</v>
      </c>
    </row>
    <row r="3064" spans="1:9" ht="100.5">
      <c r="A3064" s="193">
        <v>46107</v>
      </c>
      <c r="B3064" s="145" t="s">
        <v>825</v>
      </c>
      <c r="C3064" s="150" t="s">
        <v>5512</v>
      </c>
      <c r="D3064" s="201" t="s">
        <v>1431</v>
      </c>
      <c r="E3064" s="144" t="s">
        <v>1566</v>
      </c>
      <c r="F3064" s="139" t="s">
        <v>88</v>
      </c>
      <c r="G3064" s="144" t="s">
        <v>5717</v>
      </c>
      <c r="H3064" s="146" t="s">
        <v>26</v>
      </c>
      <c r="I3064" s="144" t="s">
        <v>2798</v>
      </c>
    </row>
    <row r="3065" spans="1:9" ht="25.5">
      <c r="A3065" s="193">
        <v>46107</v>
      </c>
      <c r="B3065" s="145" t="s">
        <v>825</v>
      </c>
      <c r="C3065" s="150" t="s">
        <v>5512</v>
      </c>
      <c r="D3065" s="201" t="s">
        <v>1431</v>
      </c>
      <c r="E3065" s="144" t="s">
        <v>1449</v>
      </c>
      <c r="F3065" s="139" t="s">
        <v>88</v>
      </c>
      <c r="G3065" s="144" t="s">
        <v>5718</v>
      </c>
      <c r="H3065" s="146" t="s">
        <v>26</v>
      </c>
      <c r="I3065" s="144" t="s">
        <v>2593</v>
      </c>
    </row>
    <row r="3066" spans="1:9" ht="25.5">
      <c r="A3066" s="193">
        <v>46107</v>
      </c>
      <c r="B3066" s="145" t="s">
        <v>825</v>
      </c>
      <c r="C3066" s="150" t="s">
        <v>5512</v>
      </c>
      <c r="D3066" s="201" t="s">
        <v>1431</v>
      </c>
      <c r="E3066" s="144" t="s">
        <v>1449</v>
      </c>
      <c r="F3066" s="141" t="s">
        <v>821</v>
      </c>
      <c r="G3066" s="144" t="s">
        <v>5719</v>
      </c>
      <c r="H3066" s="146" t="s">
        <v>26</v>
      </c>
      <c r="I3066" s="144" t="s">
        <v>2593</v>
      </c>
    </row>
    <row r="3067" spans="1:9" ht="14.1">
      <c r="A3067" s="193">
        <v>46107</v>
      </c>
      <c r="B3067" s="145" t="s">
        <v>825</v>
      </c>
      <c r="C3067" s="150" t="s">
        <v>5512</v>
      </c>
      <c r="D3067" s="201" t="s">
        <v>2224</v>
      </c>
      <c r="E3067" s="144" t="s">
        <v>1449</v>
      </c>
      <c r="F3067" s="141" t="s">
        <v>821</v>
      </c>
      <c r="G3067" s="144" t="s">
        <v>5720</v>
      </c>
      <c r="H3067" s="146" t="s">
        <v>130</v>
      </c>
      <c r="I3067" s="144" t="s">
        <v>2593</v>
      </c>
    </row>
    <row r="3068" spans="1:9" ht="87.95">
      <c r="A3068" s="193">
        <v>46107</v>
      </c>
      <c r="B3068" s="145" t="s">
        <v>825</v>
      </c>
      <c r="C3068" s="150" t="s">
        <v>5512</v>
      </c>
      <c r="D3068" s="201" t="s">
        <v>2224</v>
      </c>
      <c r="E3068" s="144" t="s">
        <v>1580</v>
      </c>
      <c r="F3068" s="141" t="s">
        <v>821</v>
      </c>
      <c r="G3068" s="144" t="s">
        <v>5721</v>
      </c>
      <c r="H3068" s="146" t="s">
        <v>130</v>
      </c>
      <c r="I3068" s="144" t="s">
        <v>2735</v>
      </c>
    </row>
    <row r="3069" spans="1:9" ht="38.1">
      <c r="A3069" s="193">
        <v>46108</v>
      </c>
      <c r="B3069" s="145" t="s">
        <v>825</v>
      </c>
      <c r="C3069" s="150" t="s">
        <v>5512</v>
      </c>
      <c r="D3069" s="201" t="s">
        <v>1431</v>
      </c>
      <c r="E3069" s="144" t="s">
        <v>216</v>
      </c>
      <c r="F3069" s="141" t="s">
        <v>821</v>
      </c>
      <c r="G3069" s="144" t="s">
        <v>5722</v>
      </c>
      <c r="H3069" s="146" t="s">
        <v>26</v>
      </c>
      <c r="I3069" s="144" t="s">
        <v>492</v>
      </c>
    </row>
    <row r="3070" spans="1:9" ht="50.45">
      <c r="A3070" s="193">
        <v>46108</v>
      </c>
      <c r="B3070" s="145" t="s">
        <v>825</v>
      </c>
      <c r="C3070" s="150" t="s">
        <v>5512</v>
      </c>
      <c r="D3070" s="201" t="s">
        <v>1431</v>
      </c>
      <c r="E3070" s="144" t="s">
        <v>1508</v>
      </c>
      <c r="F3070" s="139" t="s">
        <v>88</v>
      </c>
      <c r="G3070" s="144" t="s">
        <v>5723</v>
      </c>
      <c r="H3070" s="146" t="s">
        <v>26</v>
      </c>
      <c r="I3070" s="144" t="s">
        <v>1904</v>
      </c>
    </row>
    <row r="3071" spans="1:9" ht="25.5">
      <c r="A3071" s="193">
        <v>46108</v>
      </c>
      <c r="B3071" s="145" t="s">
        <v>825</v>
      </c>
      <c r="C3071" s="150" t="s">
        <v>5512</v>
      </c>
      <c r="D3071" s="201" t="s">
        <v>1431</v>
      </c>
      <c r="E3071" s="144" t="s">
        <v>1566</v>
      </c>
      <c r="F3071" s="139" t="s">
        <v>88</v>
      </c>
      <c r="G3071" s="144" t="s">
        <v>5724</v>
      </c>
      <c r="H3071" s="146" t="s">
        <v>26</v>
      </c>
      <c r="I3071" s="144" t="s">
        <v>1588</v>
      </c>
    </row>
    <row r="3072" spans="1:9" ht="87.95">
      <c r="A3072" s="193">
        <v>46108</v>
      </c>
      <c r="B3072" s="145" t="s">
        <v>825</v>
      </c>
      <c r="C3072" s="150" t="s">
        <v>5512</v>
      </c>
      <c r="D3072" s="201" t="s">
        <v>1431</v>
      </c>
      <c r="E3072" s="144" t="s">
        <v>1566</v>
      </c>
      <c r="F3072" s="139" t="s">
        <v>88</v>
      </c>
      <c r="G3072" s="144" t="s">
        <v>5725</v>
      </c>
      <c r="H3072" s="146" t="s">
        <v>26</v>
      </c>
      <c r="I3072" s="144" t="s">
        <v>1588</v>
      </c>
    </row>
    <row r="3073" spans="1:9" ht="14.1">
      <c r="A3073" s="193">
        <v>46108</v>
      </c>
      <c r="B3073" s="145" t="s">
        <v>825</v>
      </c>
      <c r="C3073" s="150" t="s">
        <v>5512</v>
      </c>
      <c r="D3073" s="201" t="s">
        <v>1431</v>
      </c>
      <c r="E3073" s="144" t="s">
        <v>1449</v>
      </c>
      <c r="F3073" s="139" t="s">
        <v>88</v>
      </c>
      <c r="G3073" s="144" t="s">
        <v>5726</v>
      </c>
      <c r="H3073" s="146" t="s">
        <v>26</v>
      </c>
      <c r="I3073" s="144" t="s">
        <v>2593</v>
      </c>
    </row>
    <row r="3074" spans="1:9" ht="25.5">
      <c r="A3074" s="193">
        <v>46108</v>
      </c>
      <c r="B3074" s="145" t="s">
        <v>825</v>
      </c>
      <c r="C3074" s="150" t="s">
        <v>5512</v>
      </c>
      <c r="D3074" s="201" t="s">
        <v>1431</v>
      </c>
      <c r="E3074" s="144" t="s">
        <v>1449</v>
      </c>
      <c r="F3074" s="139" t="s">
        <v>88</v>
      </c>
      <c r="G3074" s="144" t="s">
        <v>5727</v>
      </c>
      <c r="H3074" s="146" t="s">
        <v>130</v>
      </c>
      <c r="I3074" s="144" t="s">
        <v>2593</v>
      </c>
    </row>
    <row r="3075" spans="1:9" ht="14.1">
      <c r="A3075" s="193">
        <v>46108</v>
      </c>
      <c r="B3075" s="145" t="s">
        <v>825</v>
      </c>
      <c r="C3075" s="150" t="s">
        <v>5512</v>
      </c>
      <c r="D3075" s="201" t="s">
        <v>3886</v>
      </c>
      <c r="E3075" s="144" t="s">
        <v>21</v>
      </c>
      <c r="F3075" s="141" t="s">
        <v>821</v>
      </c>
      <c r="G3075" s="144" t="s">
        <v>5728</v>
      </c>
      <c r="H3075" s="146" t="s">
        <v>130</v>
      </c>
      <c r="I3075" s="144" t="s">
        <v>2813</v>
      </c>
    </row>
    <row r="3076" spans="1:9" ht="14.1">
      <c r="A3076" s="193">
        <v>46108</v>
      </c>
      <c r="B3076" s="145" t="s">
        <v>825</v>
      </c>
      <c r="C3076" s="150" t="s">
        <v>5512</v>
      </c>
      <c r="D3076" s="201" t="s">
        <v>2224</v>
      </c>
      <c r="E3076" s="144" t="s">
        <v>1580</v>
      </c>
      <c r="F3076" s="140" t="s">
        <v>1439</v>
      </c>
      <c r="G3076" s="144" t="s">
        <v>5729</v>
      </c>
      <c r="H3076" s="146" t="s">
        <v>130</v>
      </c>
      <c r="I3076" s="144" t="s">
        <v>2568</v>
      </c>
    </row>
    <row r="3077" spans="1:9" ht="50.45">
      <c r="A3077" s="193">
        <v>46108</v>
      </c>
      <c r="B3077" s="145" t="s">
        <v>825</v>
      </c>
      <c r="C3077" s="150" t="s">
        <v>5512</v>
      </c>
      <c r="D3077" s="201" t="s">
        <v>2224</v>
      </c>
      <c r="E3077" s="144" t="s">
        <v>1566</v>
      </c>
      <c r="F3077" s="139" t="s">
        <v>88</v>
      </c>
      <c r="G3077" s="144" t="s">
        <v>5730</v>
      </c>
      <c r="H3077" s="146" t="s">
        <v>130</v>
      </c>
      <c r="I3077" s="144" t="s">
        <v>1588</v>
      </c>
    </row>
    <row r="3078" spans="1:9" ht="25.5">
      <c r="A3078" s="193">
        <v>46108</v>
      </c>
      <c r="B3078" s="145" t="s">
        <v>825</v>
      </c>
      <c r="C3078" s="150" t="s">
        <v>5512</v>
      </c>
      <c r="D3078" s="201" t="s">
        <v>2224</v>
      </c>
      <c r="E3078" s="144" t="s">
        <v>1566</v>
      </c>
      <c r="F3078" s="139" t="s">
        <v>88</v>
      </c>
      <c r="G3078" s="144" t="s">
        <v>5731</v>
      </c>
      <c r="H3078" s="146" t="s">
        <v>26</v>
      </c>
      <c r="I3078" s="144" t="s">
        <v>1588</v>
      </c>
    </row>
    <row r="3079" spans="1:9" ht="25.5">
      <c r="A3079" s="193">
        <v>46111</v>
      </c>
      <c r="B3079" s="145" t="s">
        <v>825</v>
      </c>
      <c r="C3079" s="150" t="s">
        <v>5512</v>
      </c>
      <c r="D3079" s="201" t="s">
        <v>1431</v>
      </c>
      <c r="E3079" s="144" t="s">
        <v>988</v>
      </c>
      <c r="F3079" s="141" t="s">
        <v>821</v>
      </c>
      <c r="G3079" s="144" t="s">
        <v>5732</v>
      </c>
      <c r="H3079" s="146" t="s">
        <v>130</v>
      </c>
      <c r="I3079" s="144" t="s">
        <v>3852</v>
      </c>
    </row>
    <row r="3080" spans="1:9" ht="14.1">
      <c r="A3080" s="193">
        <v>46111</v>
      </c>
      <c r="B3080" s="145" t="s">
        <v>825</v>
      </c>
      <c r="C3080" s="150" t="s">
        <v>5512</v>
      </c>
      <c r="D3080" s="201" t="s">
        <v>1431</v>
      </c>
      <c r="E3080" s="144" t="s">
        <v>988</v>
      </c>
      <c r="F3080" s="139" t="s">
        <v>88</v>
      </c>
      <c r="G3080" s="144" t="s">
        <v>5733</v>
      </c>
      <c r="H3080" s="146" t="s">
        <v>26</v>
      </c>
      <c r="I3080" s="144" t="s">
        <v>2700</v>
      </c>
    </row>
    <row r="3081" spans="1:9" ht="14.1">
      <c r="A3081" s="193">
        <v>46111</v>
      </c>
      <c r="B3081" s="145" t="s">
        <v>825</v>
      </c>
      <c r="C3081" s="150" t="s">
        <v>5512</v>
      </c>
      <c r="D3081" s="201" t="s">
        <v>1431</v>
      </c>
      <c r="E3081" s="144" t="s">
        <v>1504</v>
      </c>
      <c r="F3081" s="141" t="s">
        <v>821</v>
      </c>
      <c r="G3081" s="144" t="s">
        <v>4453</v>
      </c>
      <c r="H3081" s="146" t="s">
        <v>130</v>
      </c>
      <c r="I3081" s="144" t="s">
        <v>3516</v>
      </c>
    </row>
    <row r="3082" spans="1:9" ht="14.1">
      <c r="A3082" s="193">
        <v>46111</v>
      </c>
      <c r="B3082" s="145" t="s">
        <v>825</v>
      </c>
      <c r="C3082" s="150" t="s">
        <v>5512</v>
      </c>
      <c r="D3082" s="201" t="s">
        <v>1431</v>
      </c>
      <c r="E3082" s="144" t="s">
        <v>1506</v>
      </c>
      <c r="F3082" s="139" t="s">
        <v>88</v>
      </c>
      <c r="G3082" s="144" t="s">
        <v>5734</v>
      </c>
      <c r="H3082" s="146" t="s">
        <v>26</v>
      </c>
      <c r="I3082" s="144" t="s">
        <v>1904</v>
      </c>
    </row>
    <row r="3083" spans="1:9" ht="25.5">
      <c r="A3083" s="193">
        <v>46111</v>
      </c>
      <c r="B3083" s="145" t="s">
        <v>825</v>
      </c>
      <c r="C3083" s="150" t="s">
        <v>5512</v>
      </c>
      <c r="D3083" s="201" t="s">
        <v>1431</v>
      </c>
      <c r="E3083" s="144" t="s">
        <v>216</v>
      </c>
      <c r="F3083" s="141" t="s">
        <v>821</v>
      </c>
      <c r="G3083" s="144" t="s">
        <v>5735</v>
      </c>
      <c r="H3083" s="146" t="s">
        <v>130</v>
      </c>
      <c r="I3083" s="144" t="s">
        <v>492</v>
      </c>
    </row>
    <row r="3084" spans="1:9" ht="25.5">
      <c r="A3084" s="193">
        <v>46111</v>
      </c>
      <c r="B3084" s="145" t="s">
        <v>825</v>
      </c>
      <c r="C3084" s="150" t="s">
        <v>5512</v>
      </c>
      <c r="D3084" s="201" t="s">
        <v>1431</v>
      </c>
      <c r="E3084" s="144" t="s">
        <v>216</v>
      </c>
      <c r="F3084" s="141" t="s">
        <v>821</v>
      </c>
      <c r="G3084" s="144" t="s">
        <v>5736</v>
      </c>
      <c r="H3084" s="146" t="s">
        <v>26</v>
      </c>
      <c r="I3084" s="144" t="s">
        <v>492</v>
      </c>
    </row>
    <row r="3085" spans="1:9" ht="38.1">
      <c r="A3085" s="193">
        <v>46111</v>
      </c>
      <c r="B3085" s="145" t="s">
        <v>825</v>
      </c>
      <c r="C3085" s="150" t="s">
        <v>5512</v>
      </c>
      <c r="D3085" s="201" t="s">
        <v>1431</v>
      </c>
      <c r="E3085" s="144" t="s">
        <v>21</v>
      </c>
      <c r="F3085" s="141" t="s">
        <v>821</v>
      </c>
      <c r="G3085" s="144" t="s">
        <v>5737</v>
      </c>
      <c r="H3085" s="146" t="s">
        <v>130</v>
      </c>
      <c r="I3085" s="144" t="s">
        <v>468</v>
      </c>
    </row>
    <row r="3086" spans="1:9" ht="14.1">
      <c r="A3086" s="193">
        <v>46111</v>
      </c>
      <c r="B3086" s="145" t="s">
        <v>825</v>
      </c>
      <c r="C3086" s="150" t="s">
        <v>5512</v>
      </c>
      <c r="D3086" s="201" t="s">
        <v>1431</v>
      </c>
      <c r="E3086" s="144" t="s">
        <v>1449</v>
      </c>
      <c r="F3086" s="147" t="s">
        <v>859</v>
      </c>
      <c r="G3086" s="144" t="s">
        <v>5738</v>
      </c>
      <c r="H3086" s="146" t="s">
        <v>26</v>
      </c>
      <c r="I3086" s="144" t="s">
        <v>2593</v>
      </c>
    </row>
    <row r="3087" spans="1:9" ht="38.1">
      <c r="A3087" s="193">
        <v>46111</v>
      </c>
      <c r="B3087" s="145" t="s">
        <v>825</v>
      </c>
      <c r="C3087" s="150" t="s">
        <v>5512</v>
      </c>
      <c r="D3087" s="201" t="s">
        <v>1431</v>
      </c>
      <c r="E3087" s="144" t="s">
        <v>1449</v>
      </c>
      <c r="F3087" s="139" t="s">
        <v>88</v>
      </c>
      <c r="G3087" s="144" t="s">
        <v>5739</v>
      </c>
      <c r="H3087" s="146" t="s">
        <v>26</v>
      </c>
      <c r="I3087" s="144" t="s">
        <v>2593</v>
      </c>
    </row>
    <row r="3088" spans="1:9" ht="25.5">
      <c r="A3088" s="193">
        <v>46111</v>
      </c>
      <c r="B3088" s="145" t="s">
        <v>825</v>
      </c>
      <c r="C3088" s="150" t="s">
        <v>5512</v>
      </c>
      <c r="D3088" s="201" t="s">
        <v>1431</v>
      </c>
      <c r="E3088" s="144" t="s">
        <v>1449</v>
      </c>
      <c r="F3088" s="139" t="s">
        <v>88</v>
      </c>
      <c r="G3088" s="144" t="s">
        <v>5740</v>
      </c>
      <c r="H3088" s="146" t="s">
        <v>26</v>
      </c>
      <c r="I3088" s="144" t="s">
        <v>2593</v>
      </c>
    </row>
    <row r="3089" spans="1:9" ht="14.1">
      <c r="A3089" s="193">
        <v>46111</v>
      </c>
      <c r="B3089" s="145" t="s">
        <v>825</v>
      </c>
      <c r="C3089" s="150" t="s">
        <v>5512</v>
      </c>
      <c r="D3089" s="201" t="s">
        <v>1431</v>
      </c>
      <c r="E3089" s="144" t="s">
        <v>1449</v>
      </c>
      <c r="F3089" s="139" t="s">
        <v>88</v>
      </c>
      <c r="G3089" s="144" t="s">
        <v>5741</v>
      </c>
      <c r="H3089" s="146" t="s">
        <v>26</v>
      </c>
      <c r="I3089" s="144" t="s">
        <v>2593</v>
      </c>
    </row>
    <row r="3090" spans="1:9" ht="25.5">
      <c r="A3090" s="193">
        <v>46111</v>
      </c>
      <c r="B3090" s="145" t="s">
        <v>825</v>
      </c>
      <c r="C3090" s="150" t="s">
        <v>5512</v>
      </c>
      <c r="D3090" s="201" t="s">
        <v>1431</v>
      </c>
      <c r="E3090" s="144" t="s">
        <v>1449</v>
      </c>
      <c r="F3090" s="139" t="s">
        <v>88</v>
      </c>
      <c r="G3090" s="144" t="s">
        <v>5742</v>
      </c>
      <c r="H3090" s="146" t="s">
        <v>26</v>
      </c>
      <c r="I3090" s="144" t="s">
        <v>2593</v>
      </c>
    </row>
    <row r="3091" spans="1:9" ht="25.5">
      <c r="A3091" s="193">
        <v>46111</v>
      </c>
      <c r="B3091" s="145" t="s">
        <v>825</v>
      </c>
      <c r="C3091" s="150" t="s">
        <v>5512</v>
      </c>
      <c r="D3091" s="201" t="s">
        <v>1431</v>
      </c>
      <c r="E3091" s="144" t="s">
        <v>1449</v>
      </c>
      <c r="F3091" s="139" t="s">
        <v>88</v>
      </c>
      <c r="G3091" s="144" t="s">
        <v>5743</v>
      </c>
      <c r="H3091" s="146" t="s">
        <v>26</v>
      </c>
      <c r="I3091" s="144" t="s">
        <v>2593</v>
      </c>
    </row>
    <row r="3092" spans="1:9" ht="25.5">
      <c r="A3092" s="193">
        <v>46111</v>
      </c>
      <c r="B3092" s="145" t="s">
        <v>825</v>
      </c>
      <c r="C3092" s="150" t="s">
        <v>5512</v>
      </c>
      <c r="D3092" s="201" t="s">
        <v>1431</v>
      </c>
      <c r="E3092" s="144" t="s">
        <v>1566</v>
      </c>
      <c r="F3092" s="139" t="s">
        <v>88</v>
      </c>
      <c r="G3092" s="144" t="s">
        <v>5724</v>
      </c>
      <c r="H3092" s="146" t="s">
        <v>26</v>
      </c>
      <c r="I3092" s="144" t="s">
        <v>1453</v>
      </c>
    </row>
    <row r="3093" spans="1:9" ht="87.95">
      <c r="A3093" s="193">
        <v>46111</v>
      </c>
      <c r="B3093" s="145" t="s">
        <v>825</v>
      </c>
      <c r="C3093" s="150" t="s">
        <v>5512</v>
      </c>
      <c r="D3093" s="201" t="s">
        <v>1431</v>
      </c>
      <c r="E3093" s="144" t="s">
        <v>1566</v>
      </c>
      <c r="F3093" s="139" t="s">
        <v>88</v>
      </c>
      <c r="G3093" s="144" t="s">
        <v>5725</v>
      </c>
      <c r="H3093" s="146" t="s">
        <v>26</v>
      </c>
      <c r="I3093" s="144" t="s">
        <v>1453</v>
      </c>
    </row>
    <row r="3094" spans="1:9" ht="25.5">
      <c r="A3094" s="193">
        <v>46111</v>
      </c>
      <c r="B3094" s="145" t="s">
        <v>825</v>
      </c>
      <c r="C3094" s="150" t="s">
        <v>5512</v>
      </c>
      <c r="D3094" s="201" t="s">
        <v>2224</v>
      </c>
      <c r="E3094" s="144" t="s">
        <v>1506</v>
      </c>
      <c r="F3094" s="141" t="s">
        <v>821</v>
      </c>
      <c r="G3094" s="144" t="s">
        <v>5744</v>
      </c>
      <c r="H3094" s="146" t="s">
        <v>130</v>
      </c>
      <c r="I3094" s="144" t="s">
        <v>492</v>
      </c>
    </row>
    <row r="3095" spans="1:9" ht="14.1">
      <c r="A3095" s="193">
        <v>46111</v>
      </c>
      <c r="B3095" s="145" t="s">
        <v>825</v>
      </c>
      <c r="C3095" s="150" t="s">
        <v>5512</v>
      </c>
      <c r="D3095" s="201" t="s">
        <v>2224</v>
      </c>
      <c r="E3095" s="144" t="s">
        <v>1449</v>
      </c>
      <c r="F3095" s="139" t="s">
        <v>88</v>
      </c>
      <c r="G3095" s="144" t="s">
        <v>5745</v>
      </c>
      <c r="H3095" s="146" t="s">
        <v>26</v>
      </c>
      <c r="I3095" s="144" t="s">
        <v>2593</v>
      </c>
    </row>
    <row r="3096" spans="1:9" ht="38.1">
      <c r="A3096" s="193">
        <v>46112</v>
      </c>
      <c r="B3096" s="145" t="s">
        <v>825</v>
      </c>
      <c r="C3096" s="150" t="s">
        <v>5512</v>
      </c>
      <c r="D3096" s="201" t="s">
        <v>5746</v>
      </c>
      <c r="E3096" s="144" t="s">
        <v>1436</v>
      </c>
      <c r="F3096" s="139" t="s">
        <v>88</v>
      </c>
      <c r="G3096" s="144" t="s">
        <v>5747</v>
      </c>
      <c r="H3096" s="146" t="s">
        <v>26</v>
      </c>
      <c r="I3096" s="144" t="s">
        <v>1904</v>
      </c>
    </row>
    <row r="3097" spans="1:9" ht="63">
      <c r="A3097" s="193">
        <v>46112</v>
      </c>
      <c r="B3097" s="145" t="s">
        <v>825</v>
      </c>
      <c r="C3097" s="150" t="s">
        <v>5512</v>
      </c>
      <c r="D3097" s="201" t="s">
        <v>1431</v>
      </c>
      <c r="E3097" s="144" t="s">
        <v>1506</v>
      </c>
      <c r="F3097" s="139" t="s">
        <v>88</v>
      </c>
      <c r="G3097" s="144" t="s">
        <v>5748</v>
      </c>
      <c r="H3097" s="146" t="s">
        <v>130</v>
      </c>
      <c r="I3097" s="144" t="s">
        <v>3247</v>
      </c>
    </row>
    <row r="3098" spans="1:9" ht="25.5">
      <c r="A3098" s="193">
        <v>46112</v>
      </c>
      <c r="B3098" s="145" t="s">
        <v>825</v>
      </c>
      <c r="C3098" s="150" t="s">
        <v>5512</v>
      </c>
      <c r="D3098" s="201" t="s">
        <v>1431</v>
      </c>
      <c r="E3098" s="144" t="s">
        <v>216</v>
      </c>
      <c r="F3098" s="141" t="s">
        <v>821</v>
      </c>
      <c r="G3098" s="144" t="s">
        <v>5749</v>
      </c>
      <c r="H3098" s="146" t="s">
        <v>130</v>
      </c>
      <c r="I3098" s="144" t="s">
        <v>492</v>
      </c>
    </row>
    <row r="3099" spans="1:9" ht="38.1">
      <c r="A3099" s="193">
        <v>46112</v>
      </c>
      <c r="B3099" s="145" t="s">
        <v>825</v>
      </c>
      <c r="C3099" s="150" t="s">
        <v>5512</v>
      </c>
      <c r="D3099" s="201" t="s">
        <v>1431</v>
      </c>
      <c r="E3099" s="144" t="s">
        <v>1566</v>
      </c>
      <c r="F3099" s="139" t="s">
        <v>88</v>
      </c>
      <c r="G3099" s="144" t="s">
        <v>5750</v>
      </c>
      <c r="H3099" s="146" t="s">
        <v>26</v>
      </c>
      <c r="I3099" s="144" t="s">
        <v>1453</v>
      </c>
    </row>
    <row r="3100" spans="1:9" ht="25.5">
      <c r="A3100" s="193">
        <v>46112</v>
      </c>
      <c r="B3100" s="145" t="s">
        <v>825</v>
      </c>
      <c r="C3100" s="150" t="s">
        <v>5512</v>
      </c>
      <c r="D3100" s="201" t="s">
        <v>1431</v>
      </c>
      <c r="E3100" s="144" t="s">
        <v>1449</v>
      </c>
      <c r="F3100" s="139" t="s">
        <v>88</v>
      </c>
      <c r="G3100" s="144" t="s">
        <v>5751</v>
      </c>
      <c r="H3100" s="146" t="s">
        <v>26</v>
      </c>
      <c r="I3100" s="144" t="s">
        <v>2593</v>
      </c>
    </row>
    <row r="3101" spans="1:9" ht="25.5">
      <c r="A3101" s="193">
        <v>46112</v>
      </c>
      <c r="B3101" s="145" t="s">
        <v>825</v>
      </c>
      <c r="C3101" s="150" t="s">
        <v>5512</v>
      </c>
      <c r="D3101" s="201" t="s">
        <v>2224</v>
      </c>
      <c r="E3101" s="144" t="s">
        <v>216</v>
      </c>
      <c r="F3101" s="141" t="s">
        <v>821</v>
      </c>
      <c r="G3101" s="144" t="s">
        <v>5752</v>
      </c>
      <c r="H3101" s="146" t="s">
        <v>130</v>
      </c>
      <c r="I3101" s="144" t="s">
        <v>492</v>
      </c>
    </row>
    <row r="3102" spans="1:9" ht="25.5">
      <c r="A3102" s="193">
        <v>46113</v>
      </c>
      <c r="B3102" s="145" t="s">
        <v>826</v>
      </c>
      <c r="C3102" s="150" t="s">
        <v>5512</v>
      </c>
      <c r="D3102" s="201" t="s">
        <v>1431</v>
      </c>
      <c r="E3102" s="144" t="s">
        <v>1225</v>
      </c>
      <c r="F3102" s="140" t="s">
        <v>1439</v>
      </c>
      <c r="G3102" s="144" t="s">
        <v>5753</v>
      </c>
      <c r="H3102" s="146" t="s">
        <v>130</v>
      </c>
      <c r="I3102" s="144" t="s">
        <v>4356</v>
      </c>
    </row>
    <row r="3103" spans="1:9" ht="25.5">
      <c r="A3103" s="193">
        <v>46113</v>
      </c>
      <c r="B3103" s="145" t="s">
        <v>826</v>
      </c>
      <c r="C3103" s="150" t="s">
        <v>5512</v>
      </c>
      <c r="D3103" s="201" t="s">
        <v>1431</v>
      </c>
      <c r="E3103" s="144" t="s">
        <v>988</v>
      </c>
      <c r="F3103" s="139" t="s">
        <v>88</v>
      </c>
      <c r="G3103" s="144" t="s">
        <v>5754</v>
      </c>
      <c r="H3103" s="146" t="s">
        <v>26</v>
      </c>
      <c r="I3103" s="144" t="s">
        <v>2700</v>
      </c>
    </row>
    <row r="3104" spans="1:9" ht="25.5">
      <c r="A3104" s="193">
        <v>46113</v>
      </c>
      <c r="B3104" s="145" t="s">
        <v>826</v>
      </c>
      <c r="C3104" s="150" t="s">
        <v>5512</v>
      </c>
      <c r="D3104" s="201" t="s">
        <v>1431</v>
      </c>
      <c r="E3104" s="144" t="s">
        <v>1506</v>
      </c>
      <c r="F3104" s="139" t="s">
        <v>88</v>
      </c>
      <c r="G3104" s="144" t="s">
        <v>5755</v>
      </c>
      <c r="H3104" s="146" t="s">
        <v>26</v>
      </c>
      <c r="I3104" s="144" t="s">
        <v>1904</v>
      </c>
    </row>
    <row r="3105" spans="1:9" ht="38.1">
      <c r="A3105" s="193">
        <v>46113</v>
      </c>
      <c r="B3105" s="145" t="s">
        <v>826</v>
      </c>
      <c r="C3105" s="150" t="s">
        <v>5512</v>
      </c>
      <c r="D3105" s="201" t="s">
        <v>1431</v>
      </c>
      <c r="E3105" s="144" t="s">
        <v>1506</v>
      </c>
      <c r="F3105" s="139" t="s">
        <v>88</v>
      </c>
      <c r="G3105" s="144" t="s">
        <v>5756</v>
      </c>
      <c r="H3105" s="146" t="s">
        <v>26</v>
      </c>
      <c r="I3105" s="144" t="s">
        <v>1904</v>
      </c>
    </row>
    <row r="3106" spans="1:9" ht="25.5">
      <c r="A3106" s="193">
        <v>46113</v>
      </c>
      <c r="B3106" s="145" t="s">
        <v>826</v>
      </c>
      <c r="C3106" s="150" t="s">
        <v>5512</v>
      </c>
      <c r="D3106" s="201" t="s">
        <v>1431</v>
      </c>
      <c r="E3106" s="144" t="s">
        <v>1506</v>
      </c>
      <c r="F3106" s="139" t="s">
        <v>88</v>
      </c>
      <c r="G3106" s="144" t="s">
        <v>5757</v>
      </c>
      <c r="H3106" s="146" t="s">
        <v>26</v>
      </c>
      <c r="I3106" s="144" t="s">
        <v>1904</v>
      </c>
    </row>
    <row r="3107" spans="1:9" ht="38.1">
      <c r="A3107" s="193">
        <v>46113</v>
      </c>
      <c r="B3107" s="145" t="s">
        <v>826</v>
      </c>
      <c r="C3107" s="150" t="s">
        <v>5512</v>
      </c>
      <c r="D3107" s="201" t="s">
        <v>1431</v>
      </c>
      <c r="E3107" s="144" t="s">
        <v>1506</v>
      </c>
      <c r="F3107" s="139" t="s">
        <v>88</v>
      </c>
      <c r="G3107" s="144" t="s">
        <v>5758</v>
      </c>
      <c r="H3107" s="146" t="s">
        <v>26</v>
      </c>
      <c r="I3107" s="144" t="s">
        <v>1904</v>
      </c>
    </row>
    <row r="3108" spans="1:9" ht="38.1">
      <c r="A3108" s="193">
        <v>46113</v>
      </c>
      <c r="B3108" s="145" t="s">
        <v>826</v>
      </c>
      <c r="C3108" s="150" t="s">
        <v>5512</v>
      </c>
      <c r="D3108" s="201" t="s">
        <v>1431</v>
      </c>
      <c r="E3108" s="144" t="s">
        <v>1518</v>
      </c>
      <c r="F3108" s="140" t="s">
        <v>1439</v>
      </c>
      <c r="G3108" s="144" t="s">
        <v>5759</v>
      </c>
      <c r="H3108" s="146" t="s">
        <v>26</v>
      </c>
      <c r="I3108" s="144" t="s">
        <v>118</v>
      </c>
    </row>
    <row r="3109" spans="1:9" ht="25.5">
      <c r="A3109" s="193">
        <v>46113</v>
      </c>
      <c r="B3109" s="145" t="s">
        <v>826</v>
      </c>
      <c r="C3109" s="150" t="s">
        <v>5512</v>
      </c>
      <c r="D3109" s="201" t="s">
        <v>1431</v>
      </c>
      <c r="E3109" s="144" t="s">
        <v>216</v>
      </c>
      <c r="F3109" s="141" t="s">
        <v>821</v>
      </c>
      <c r="G3109" s="144" t="s">
        <v>5760</v>
      </c>
      <c r="H3109" s="146" t="s">
        <v>130</v>
      </c>
      <c r="I3109" s="144" t="s">
        <v>492</v>
      </c>
    </row>
    <row r="3110" spans="1:9" ht="14.1">
      <c r="A3110" s="193">
        <v>46113</v>
      </c>
      <c r="B3110" s="145" t="s">
        <v>826</v>
      </c>
      <c r="C3110" s="150" t="s">
        <v>5512</v>
      </c>
      <c r="D3110" s="201" t="s">
        <v>1431</v>
      </c>
      <c r="E3110" s="144" t="s">
        <v>21</v>
      </c>
      <c r="F3110" s="141" t="s">
        <v>821</v>
      </c>
      <c r="G3110" s="144" t="s">
        <v>5761</v>
      </c>
      <c r="H3110" s="146" t="s">
        <v>130</v>
      </c>
      <c r="I3110" s="144" t="s">
        <v>468</v>
      </c>
    </row>
    <row r="3111" spans="1:9" ht="14.1">
      <c r="A3111" s="193">
        <v>46113</v>
      </c>
      <c r="B3111" s="145" t="s">
        <v>826</v>
      </c>
      <c r="C3111" s="150" t="s">
        <v>5512</v>
      </c>
      <c r="D3111" s="201" t="s">
        <v>1431</v>
      </c>
      <c r="E3111" s="144" t="s">
        <v>21</v>
      </c>
      <c r="F3111" s="141" t="s">
        <v>821</v>
      </c>
      <c r="G3111" s="144" t="s">
        <v>5762</v>
      </c>
      <c r="H3111" s="146" t="s">
        <v>26</v>
      </c>
      <c r="I3111" s="144" t="s">
        <v>468</v>
      </c>
    </row>
    <row r="3112" spans="1:9" ht="14.1">
      <c r="A3112" s="193">
        <v>46113</v>
      </c>
      <c r="B3112" s="145" t="s">
        <v>826</v>
      </c>
      <c r="C3112" s="150" t="s">
        <v>5512</v>
      </c>
      <c r="D3112" s="201" t="s">
        <v>1431</v>
      </c>
      <c r="E3112" s="144" t="s">
        <v>1566</v>
      </c>
      <c r="F3112" s="139" t="s">
        <v>88</v>
      </c>
      <c r="G3112" s="144" t="s">
        <v>5763</v>
      </c>
      <c r="H3112" s="146" t="s">
        <v>26</v>
      </c>
      <c r="I3112" s="144" t="s">
        <v>1453</v>
      </c>
    </row>
    <row r="3113" spans="1:9" ht="25.5">
      <c r="A3113" s="193">
        <v>46113</v>
      </c>
      <c r="B3113" s="145" t="s">
        <v>826</v>
      </c>
      <c r="C3113" s="150" t="s">
        <v>5512</v>
      </c>
      <c r="D3113" s="201" t="s">
        <v>1431</v>
      </c>
      <c r="E3113" s="144" t="s">
        <v>1566</v>
      </c>
      <c r="F3113" s="139" t="s">
        <v>88</v>
      </c>
      <c r="G3113" s="144" t="s">
        <v>5764</v>
      </c>
      <c r="H3113" s="146" t="s">
        <v>26</v>
      </c>
      <c r="I3113" s="144" t="s">
        <v>1453</v>
      </c>
    </row>
    <row r="3114" spans="1:9" ht="25.5">
      <c r="A3114" s="193">
        <v>46113</v>
      </c>
      <c r="B3114" s="145" t="s">
        <v>826</v>
      </c>
      <c r="C3114" s="150" t="s">
        <v>5512</v>
      </c>
      <c r="D3114" s="201" t="s">
        <v>1431</v>
      </c>
      <c r="E3114" s="144" t="s">
        <v>1566</v>
      </c>
      <c r="F3114" s="139" t="s">
        <v>88</v>
      </c>
      <c r="G3114" s="144" t="s">
        <v>5765</v>
      </c>
      <c r="H3114" s="146" t="s">
        <v>26</v>
      </c>
      <c r="I3114" s="144" t="s">
        <v>1453</v>
      </c>
    </row>
    <row r="3115" spans="1:9" ht="25.5">
      <c r="A3115" s="193">
        <v>46113</v>
      </c>
      <c r="B3115" s="145" t="s">
        <v>826</v>
      </c>
      <c r="C3115" s="150" t="s">
        <v>5512</v>
      </c>
      <c r="D3115" s="201" t="s">
        <v>1431</v>
      </c>
      <c r="E3115" s="144" t="s">
        <v>1449</v>
      </c>
      <c r="F3115" s="139" t="s">
        <v>88</v>
      </c>
      <c r="G3115" s="144" t="s">
        <v>5766</v>
      </c>
      <c r="H3115" s="146" t="s">
        <v>26</v>
      </c>
      <c r="I3115" s="144" t="s">
        <v>2593</v>
      </c>
    </row>
    <row r="3116" spans="1:9" ht="25.5">
      <c r="A3116" s="193">
        <v>46113</v>
      </c>
      <c r="B3116" s="145" t="s">
        <v>826</v>
      </c>
      <c r="C3116" s="150" t="s">
        <v>5512</v>
      </c>
      <c r="D3116" s="201" t="s">
        <v>1431</v>
      </c>
      <c r="E3116" s="144" t="s">
        <v>1449</v>
      </c>
      <c r="F3116" s="139" t="s">
        <v>88</v>
      </c>
      <c r="G3116" s="144" t="s">
        <v>5767</v>
      </c>
      <c r="H3116" s="146" t="s">
        <v>26</v>
      </c>
      <c r="I3116" s="144" t="s">
        <v>2593</v>
      </c>
    </row>
    <row r="3117" spans="1:9" ht="25.5">
      <c r="A3117" s="193">
        <v>46113</v>
      </c>
      <c r="B3117" s="145" t="s">
        <v>826</v>
      </c>
      <c r="C3117" s="150" t="s">
        <v>5512</v>
      </c>
      <c r="D3117" s="201" t="s">
        <v>3881</v>
      </c>
      <c r="E3117" s="144" t="s">
        <v>21</v>
      </c>
      <c r="F3117" s="141" t="s">
        <v>821</v>
      </c>
      <c r="G3117" s="144" t="s">
        <v>5768</v>
      </c>
      <c r="H3117" s="146" t="s">
        <v>130</v>
      </c>
      <c r="I3117" s="144" t="s">
        <v>2813</v>
      </c>
    </row>
    <row r="3118" spans="1:9" ht="25.5">
      <c r="A3118" s="193">
        <v>46113</v>
      </c>
      <c r="B3118" s="145" t="s">
        <v>826</v>
      </c>
      <c r="C3118" s="150" t="s">
        <v>5512</v>
      </c>
      <c r="D3118" s="201" t="s">
        <v>2224</v>
      </c>
      <c r="E3118" s="144" t="s">
        <v>216</v>
      </c>
      <c r="F3118" s="141" t="s">
        <v>821</v>
      </c>
      <c r="G3118" s="144" t="s">
        <v>5769</v>
      </c>
      <c r="H3118" s="146" t="s">
        <v>130</v>
      </c>
      <c r="I3118" s="144" t="s">
        <v>492</v>
      </c>
    </row>
    <row r="3119" spans="1:9" ht="50.45">
      <c r="A3119" s="193">
        <v>46114</v>
      </c>
      <c r="B3119" s="145" t="s">
        <v>826</v>
      </c>
      <c r="C3119" s="150" t="s">
        <v>5512</v>
      </c>
      <c r="D3119" s="201" t="s">
        <v>1431</v>
      </c>
      <c r="E3119" s="144" t="s">
        <v>1225</v>
      </c>
      <c r="F3119" s="140" t="s">
        <v>1439</v>
      </c>
      <c r="G3119" s="144" t="s">
        <v>5770</v>
      </c>
      <c r="H3119" s="146" t="s">
        <v>130</v>
      </c>
      <c r="I3119" s="144" t="s">
        <v>4356</v>
      </c>
    </row>
    <row r="3120" spans="1:9" ht="25.5">
      <c r="A3120" s="193">
        <v>46114</v>
      </c>
      <c r="B3120" s="145" t="s">
        <v>826</v>
      </c>
      <c r="C3120" s="150" t="s">
        <v>5512</v>
      </c>
      <c r="D3120" s="201" t="s">
        <v>1431</v>
      </c>
      <c r="E3120" s="144" t="s">
        <v>2423</v>
      </c>
      <c r="F3120" s="147" t="s">
        <v>859</v>
      </c>
      <c r="G3120" s="144" t="s">
        <v>5771</v>
      </c>
      <c r="H3120" s="146" t="s">
        <v>130</v>
      </c>
      <c r="I3120" s="144" t="s">
        <v>916</v>
      </c>
    </row>
    <row r="3121" spans="1:9" ht="38.1">
      <c r="A3121" s="193">
        <v>46114</v>
      </c>
      <c r="B3121" s="145" t="s">
        <v>826</v>
      </c>
      <c r="C3121" s="150" t="s">
        <v>5512</v>
      </c>
      <c r="D3121" s="201" t="s">
        <v>1431</v>
      </c>
      <c r="E3121" s="144" t="s">
        <v>1504</v>
      </c>
      <c r="F3121" s="141" t="s">
        <v>821</v>
      </c>
      <c r="G3121" s="144" t="s">
        <v>5772</v>
      </c>
      <c r="H3121" s="146" t="s">
        <v>130</v>
      </c>
      <c r="I3121" s="144" t="s">
        <v>3516</v>
      </c>
    </row>
    <row r="3122" spans="1:9" ht="38.1">
      <c r="A3122" s="193">
        <v>46114</v>
      </c>
      <c r="B3122" s="145" t="s">
        <v>826</v>
      </c>
      <c r="C3122" s="150" t="s">
        <v>5512</v>
      </c>
      <c r="D3122" s="201" t="s">
        <v>1431</v>
      </c>
      <c r="E3122" s="144" t="s">
        <v>1506</v>
      </c>
      <c r="F3122" s="139" t="s">
        <v>88</v>
      </c>
      <c r="G3122" s="144" t="s">
        <v>5773</v>
      </c>
      <c r="H3122" s="146" t="s">
        <v>130</v>
      </c>
      <c r="I3122" s="144" t="s">
        <v>1904</v>
      </c>
    </row>
    <row r="3123" spans="1:9" ht="38.1">
      <c r="A3123" s="193">
        <v>46114</v>
      </c>
      <c r="B3123" s="145" t="s">
        <v>826</v>
      </c>
      <c r="C3123" s="150" t="s">
        <v>5512</v>
      </c>
      <c r="D3123" s="201" t="s">
        <v>1431</v>
      </c>
      <c r="E3123" s="144" t="s">
        <v>1506</v>
      </c>
      <c r="F3123" s="139" t="s">
        <v>88</v>
      </c>
      <c r="G3123" s="144" t="s">
        <v>5774</v>
      </c>
      <c r="H3123" s="146" t="s">
        <v>130</v>
      </c>
      <c r="I3123" s="144" t="s">
        <v>1904</v>
      </c>
    </row>
    <row r="3124" spans="1:9" ht="38.1">
      <c r="A3124" s="193">
        <v>46114</v>
      </c>
      <c r="B3124" s="145" t="s">
        <v>826</v>
      </c>
      <c r="C3124" s="150" t="s">
        <v>5512</v>
      </c>
      <c r="D3124" s="201" t="s">
        <v>3886</v>
      </c>
      <c r="E3124" s="144" t="s">
        <v>216</v>
      </c>
      <c r="F3124" s="141" t="s">
        <v>821</v>
      </c>
      <c r="G3124" s="144" t="s">
        <v>5775</v>
      </c>
      <c r="H3124" s="146" t="s">
        <v>130</v>
      </c>
      <c r="I3124" s="144" t="s">
        <v>492</v>
      </c>
    </row>
    <row r="3125" spans="1:9" ht="14.1">
      <c r="A3125" s="193">
        <v>46114</v>
      </c>
      <c r="B3125" s="145" t="s">
        <v>826</v>
      </c>
      <c r="C3125" s="150" t="s">
        <v>5512</v>
      </c>
      <c r="D3125" s="201" t="s">
        <v>1431</v>
      </c>
      <c r="E3125" s="144" t="s">
        <v>216</v>
      </c>
      <c r="F3125" s="141" t="s">
        <v>821</v>
      </c>
      <c r="G3125" s="144" t="s">
        <v>5776</v>
      </c>
      <c r="H3125" s="146" t="s">
        <v>26</v>
      </c>
      <c r="I3125" s="144" t="s">
        <v>492</v>
      </c>
    </row>
    <row r="3126" spans="1:9" ht="14.1">
      <c r="A3126" s="193">
        <v>46114</v>
      </c>
      <c r="B3126" s="145" t="s">
        <v>826</v>
      </c>
      <c r="C3126" s="150" t="s">
        <v>5512</v>
      </c>
      <c r="D3126" s="201" t="s">
        <v>1431</v>
      </c>
      <c r="E3126" s="144" t="s">
        <v>21</v>
      </c>
      <c r="F3126" s="141" t="s">
        <v>821</v>
      </c>
      <c r="G3126" s="144" t="s">
        <v>5777</v>
      </c>
      <c r="H3126" s="146" t="s">
        <v>26</v>
      </c>
      <c r="I3126" s="144" t="s">
        <v>149</v>
      </c>
    </row>
    <row r="3127" spans="1:9" ht="25.5">
      <c r="A3127" s="193">
        <v>46114</v>
      </c>
      <c r="B3127" s="145" t="s">
        <v>826</v>
      </c>
      <c r="C3127" s="150" t="s">
        <v>5512</v>
      </c>
      <c r="D3127" s="201" t="s">
        <v>1431</v>
      </c>
      <c r="E3127" s="144" t="s">
        <v>1566</v>
      </c>
      <c r="F3127" s="139" t="s">
        <v>88</v>
      </c>
      <c r="G3127" s="144" t="s">
        <v>5778</v>
      </c>
      <c r="H3127" s="146" t="s">
        <v>26</v>
      </c>
      <c r="I3127" s="144" t="s">
        <v>2798</v>
      </c>
    </row>
    <row r="3128" spans="1:9" ht="25.5">
      <c r="A3128" s="193">
        <v>46114</v>
      </c>
      <c r="B3128" s="145" t="s">
        <v>826</v>
      </c>
      <c r="C3128" s="150" t="s">
        <v>5512</v>
      </c>
      <c r="D3128" s="201" t="s">
        <v>1431</v>
      </c>
      <c r="E3128" s="144" t="s">
        <v>1449</v>
      </c>
      <c r="F3128" s="139" t="s">
        <v>88</v>
      </c>
      <c r="G3128" s="144" t="s">
        <v>5779</v>
      </c>
      <c r="H3128" s="146" t="s">
        <v>26</v>
      </c>
      <c r="I3128" s="144" t="s">
        <v>2593</v>
      </c>
    </row>
    <row r="3129" spans="1:9" ht="38.1">
      <c r="A3129" s="193">
        <v>46114</v>
      </c>
      <c r="B3129" s="145" t="s">
        <v>826</v>
      </c>
      <c r="C3129" s="150" t="s">
        <v>5512</v>
      </c>
      <c r="D3129" s="201" t="s">
        <v>1431</v>
      </c>
      <c r="E3129" s="144" t="s">
        <v>1449</v>
      </c>
      <c r="F3129" s="139" t="s">
        <v>88</v>
      </c>
      <c r="G3129" s="144" t="s">
        <v>5780</v>
      </c>
      <c r="H3129" s="146" t="s">
        <v>26</v>
      </c>
      <c r="I3129" s="144" t="s">
        <v>2593</v>
      </c>
    </row>
    <row r="3130" spans="1:9" ht="25.5">
      <c r="A3130" s="193">
        <v>46114</v>
      </c>
      <c r="B3130" s="145" t="s">
        <v>826</v>
      </c>
      <c r="C3130" s="150" t="s">
        <v>5512</v>
      </c>
      <c r="D3130" s="201" t="s">
        <v>1431</v>
      </c>
      <c r="E3130" s="144" t="s">
        <v>1449</v>
      </c>
      <c r="F3130" s="139" t="s">
        <v>88</v>
      </c>
      <c r="G3130" s="144" t="s">
        <v>5781</v>
      </c>
      <c r="H3130" s="146" t="s">
        <v>26</v>
      </c>
      <c r="I3130" s="144" t="s">
        <v>2593</v>
      </c>
    </row>
    <row r="3131" spans="1:9" ht="25.5">
      <c r="A3131" s="193">
        <v>46114</v>
      </c>
      <c r="B3131" s="145" t="s">
        <v>826</v>
      </c>
      <c r="C3131" s="150" t="s">
        <v>5512</v>
      </c>
      <c r="D3131" s="201" t="s">
        <v>3881</v>
      </c>
      <c r="E3131" s="144" t="s">
        <v>21</v>
      </c>
      <c r="F3131" s="141" t="s">
        <v>821</v>
      </c>
      <c r="G3131" s="144" t="s">
        <v>5782</v>
      </c>
      <c r="H3131" s="146" t="s">
        <v>26</v>
      </c>
      <c r="I3131" s="144" t="s">
        <v>2813</v>
      </c>
    </row>
    <row r="3132" spans="1:9" ht="63">
      <c r="A3132" s="193">
        <v>46114</v>
      </c>
      <c r="B3132" s="145" t="s">
        <v>826</v>
      </c>
      <c r="C3132" s="150" t="s">
        <v>5512</v>
      </c>
      <c r="D3132" s="201" t="s">
        <v>2224</v>
      </c>
      <c r="E3132" s="144" t="s">
        <v>216</v>
      </c>
      <c r="F3132" s="141" t="s">
        <v>821</v>
      </c>
      <c r="G3132" s="144" t="s">
        <v>5783</v>
      </c>
      <c r="H3132" s="146" t="s">
        <v>26</v>
      </c>
      <c r="I3132" s="144" t="s">
        <v>2568</v>
      </c>
    </row>
    <row r="3133" spans="1:9" ht="14.1">
      <c r="A3133" s="193">
        <v>46118</v>
      </c>
      <c r="B3133" s="145" t="s">
        <v>826</v>
      </c>
      <c r="C3133" s="150" t="s">
        <v>5512</v>
      </c>
      <c r="D3133" s="201" t="s">
        <v>1431</v>
      </c>
      <c r="E3133" s="144" t="s">
        <v>2530</v>
      </c>
      <c r="F3133" s="139" t="s">
        <v>88</v>
      </c>
      <c r="G3133" s="144" t="s">
        <v>5784</v>
      </c>
      <c r="H3133" s="146" t="s">
        <v>26</v>
      </c>
      <c r="I3133" s="144" t="s">
        <v>4339</v>
      </c>
    </row>
    <row r="3134" spans="1:9" ht="14.1">
      <c r="A3134" s="193">
        <v>46118</v>
      </c>
      <c r="B3134" s="145" t="s">
        <v>826</v>
      </c>
      <c r="C3134" s="150" t="s">
        <v>5512</v>
      </c>
      <c r="D3134" s="201" t="s">
        <v>1431</v>
      </c>
      <c r="E3134" s="144" t="s">
        <v>21</v>
      </c>
      <c r="F3134" s="141" t="s">
        <v>821</v>
      </c>
      <c r="G3134" s="144" t="s">
        <v>5785</v>
      </c>
      <c r="H3134" s="146" t="s">
        <v>26</v>
      </c>
      <c r="I3134" s="144" t="s">
        <v>4339</v>
      </c>
    </row>
    <row r="3135" spans="1:9" ht="14.1">
      <c r="A3135" s="193">
        <v>46118</v>
      </c>
      <c r="B3135" s="145" t="s">
        <v>826</v>
      </c>
      <c r="C3135" s="150" t="s">
        <v>5512</v>
      </c>
      <c r="D3135" s="201" t="s">
        <v>1431</v>
      </c>
      <c r="E3135" s="144" t="s">
        <v>216</v>
      </c>
      <c r="F3135" s="139" t="s">
        <v>88</v>
      </c>
      <c r="G3135" s="144" t="s">
        <v>5786</v>
      </c>
      <c r="H3135" s="146" t="s">
        <v>26</v>
      </c>
      <c r="I3135" s="144" t="s">
        <v>916</v>
      </c>
    </row>
    <row r="3136" spans="1:9" ht="25.5">
      <c r="A3136" s="193">
        <v>46118</v>
      </c>
      <c r="B3136" s="145" t="s">
        <v>826</v>
      </c>
      <c r="C3136" s="150" t="s">
        <v>5512</v>
      </c>
      <c r="D3136" s="201" t="s">
        <v>1431</v>
      </c>
      <c r="E3136" s="144" t="s">
        <v>1560</v>
      </c>
      <c r="F3136" s="141" t="s">
        <v>821</v>
      </c>
      <c r="G3136" s="144" t="s">
        <v>5787</v>
      </c>
      <c r="H3136" s="146" t="s">
        <v>26</v>
      </c>
      <c r="I3136" s="144" t="s">
        <v>5788</v>
      </c>
    </row>
    <row r="3137" spans="1:9" ht="25.5">
      <c r="A3137" s="193">
        <v>46118</v>
      </c>
      <c r="B3137" s="145" t="s">
        <v>826</v>
      </c>
      <c r="C3137" s="150" t="s">
        <v>5512</v>
      </c>
      <c r="D3137" s="201" t="s">
        <v>1431</v>
      </c>
      <c r="E3137" s="144" t="s">
        <v>2423</v>
      </c>
      <c r="F3137" s="139" t="s">
        <v>88</v>
      </c>
      <c r="G3137" s="144" t="s">
        <v>5789</v>
      </c>
      <c r="H3137" s="146" t="s">
        <v>26</v>
      </c>
      <c r="I3137" s="144" t="s">
        <v>916</v>
      </c>
    </row>
    <row r="3138" spans="1:9" ht="14.1">
      <c r="A3138" s="193">
        <v>46118</v>
      </c>
      <c r="B3138" s="145" t="s">
        <v>826</v>
      </c>
      <c r="C3138" s="150" t="s">
        <v>5512</v>
      </c>
      <c r="D3138" s="201" t="s">
        <v>1431</v>
      </c>
      <c r="E3138" s="144" t="s">
        <v>1504</v>
      </c>
      <c r="F3138" s="141" t="s">
        <v>821</v>
      </c>
      <c r="G3138" s="144" t="s">
        <v>5790</v>
      </c>
      <c r="H3138" s="146" t="s">
        <v>26</v>
      </c>
      <c r="I3138" s="144" t="s">
        <v>3516</v>
      </c>
    </row>
    <row r="3139" spans="1:9" ht="25.5">
      <c r="A3139" s="193">
        <v>46118</v>
      </c>
      <c r="B3139" s="145" t="s">
        <v>826</v>
      </c>
      <c r="C3139" s="150" t="s">
        <v>5512</v>
      </c>
      <c r="D3139" s="201" t="s">
        <v>1431</v>
      </c>
      <c r="E3139" s="144" t="s">
        <v>1506</v>
      </c>
      <c r="F3139" s="139" t="s">
        <v>88</v>
      </c>
      <c r="G3139" s="144" t="s">
        <v>5791</v>
      </c>
      <c r="H3139" s="146" t="s">
        <v>26</v>
      </c>
      <c r="I3139" s="144" t="s">
        <v>1904</v>
      </c>
    </row>
    <row r="3140" spans="1:9" ht="25.5">
      <c r="A3140" s="193">
        <v>46118</v>
      </c>
      <c r="B3140" s="145" t="s">
        <v>826</v>
      </c>
      <c r="C3140" s="150" t="s">
        <v>5512</v>
      </c>
      <c r="D3140" s="201" t="s">
        <v>1431</v>
      </c>
      <c r="E3140" s="144" t="s">
        <v>1506</v>
      </c>
      <c r="F3140" s="139" t="s">
        <v>88</v>
      </c>
      <c r="G3140" s="144" t="s">
        <v>5792</v>
      </c>
      <c r="H3140" s="146" t="s">
        <v>26</v>
      </c>
      <c r="I3140" s="144" t="s">
        <v>1904</v>
      </c>
    </row>
    <row r="3141" spans="1:9" ht="14.1">
      <c r="A3141" s="193">
        <v>46118</v>
      </c>
      <c r="B3141" s="145" t="s">
        <v>826</v>
      </c>
      <c r="C3141" s="150" t="s">
        <v>5512</v>
      </c>
      <c r="D3141" s="201" t="s">
        <v>1431</v>
      </c>
      <c r="E3141" s="144" t="s">
        <v>1506</v>
      </c>
      <c r="F3141" s="139" t="s">
        <v>88</v>
      </c>
      <c r="G3141" s="144" t="s">
        <v>5793</v>
      </c>
      <c r="H3141" s="146" t="s">
        <v>26</v>
      </c>
      <c r="I3141" s="144" t="s">
        <v>1904</v>
      </c>
    </row>
    <row r="3142" spans="1:9" ht="25.5">
      <c r="A3142" s="193">
        <v>46118</v>
      </c>
      <c r="B3142" s="145" t="s">
        <v>826</v>
      </c>
      <c r="C3142" s="150" t="s">
        <v>5512</v>
      </c>
      <c r="D3142" s="201" t="s">
        <v>1431</v>
      </c>
      <c r="E3142" s="144" t="s">
        <v>1518</v>
      </c>
      <c r="F3142" s="141" t="s">
        <v>821</v>
      </c>
      <c r="G3142" s="144" t="s">
        <v>5794</v>
      </c>
      <c r="H3142" s="146" t="s">
        <v>26</v>
      </c>
      <c r="I3142" s="144" t="s">
        <v>118</v>
      </c>
    </row>
    <row r="3143" spans="1:9" ht="25.5">
      <c r="A3143" s="193">
        <v>46118</v>
      </c>
      <c r="B3143" s="145" t="s">
        <v>826</v>
      </c>
      <c r="C3143" s="150" t="s">
        <v>5512</v>
      </c>
      <c r="D3143" s="201" t="s">
        <v>1431</v>
      </c>
      <c r="E3143" s="144" t="s">
        <v>21</v>
      </c>
      <c r="F3143" s="141" t="s">
        <v>821</v>
      </c>
      <c r="G3143" s="144" t="s">
        <v>5795</v>
      </c>
      <c r="H3143" s="146" t="s">
        <v>26</v>
      </c>
      <c r="I3143" s="144" t="s">
        <v>468</v>
      </c>
    </row>
    <row r="3144" spans="1:9" ht="38.1">
      <c r="A3144" s="193">
        <v>46118</v>
      </c>
      <c r="B3144" s="145" t="s">
        <v>826</v>
      </c>
      <c r="C3144" s="150" t="s">
        <v>5512</v>
      </c>
      <c r="D3144" s="201" t="s">
        <v>1431</v>
      </c>
      <c r="E3144" s="144" t="s">
        <v>1566</v>
      </c>
      <c r="F3144" s="139" t="s">
        <v>88</v>
      </c>
      <c r="G3144" s="144" t="s">
        <v>5796</v>
      </c>
      <c r="H3144" s="146" t="s">
        <v>26</v>
      </c>
      <c r="I3144" s="144" t="s">
        <v>1453</v>
      </c>
    </row>
    <row r="3145" spans="1:9" ht="14.1">
      <c r="A3145" s="193">
        <v>46118</v>
      </c>
      <c r="B3145" s="145" t="s">
        <v>826</v>
      </c>
      <c r="C3145" s="150" t="s">
        <v>5512</v>
      </c>
      <c r="D3145" s="201" t="s">
        <v>1431</v>
      </c>
      <c r="E3145" s="144" t="s">
        <v>1449</v>
      </c>
      <c r="F3145" s="139" t="s">
        <v>88</v>
      </c>
      <c r="G3145" s="144" t="s">
        <v>5797</v>
      </c>
      <c r="H3145" s="146" t="s">
        <v>26</v>
      </c>
      <c r="I3145" s="144" t="s">
        <v>2593</v>
      </c>
    </row>
    <row r="3146" spans="1:9" ht="25.5">
      <c r="A3146" s="193">
        <v>46118</v>
      </c>
      <c r="B3146" s="145" t="s">
        <v>826</v>
      </c>
      <c r="C3146" s="150" t="s">
        <v>5512</v>
      </c>
      <c r="D3146" s="201" t="s">
        <v>1431</v>
      </c>
      <c r="E3146" s="144" t="s">
        <v>1449</v>
      </c>
      <c r="F3146" s="139" t="s">
        <v>88</v>
      </c>
      <c r="G3146" s="144" t="s">
        <v>5798</v>
      </c>
      <c r="H3146" s="146" t="s">
        <v>26</v>
      </c>
      <c r="I3146" s="144" t="s">
        <v>2593</v>
      </c>
    </row>
    <row r="3147" spans="1:9" ht="25.5">
      <c r="A3147" s="193">
        <v>46118</v>
      </c>
      <c r="B3147" s="145" t="s">
        <v>826</v>
      </c>
      <c r="C3147" s="150" t="s">
        <v>5512</v>
      </c>
      <c r="D3147" s="201" t="s">
        <v>1431</v>
      </c>
      <c r="E3147" s="144" t="s">
        <v>1449</v>
      </c>
      <c r="F3147" s="139" t="s">
        <v>88</v>
      </c>
      <c r="G3147" s="144" t="s">
        <v>5799</v>
      </c>
      <c r="H3147" s="146" t="s">
        <v>26</v>
      </c>
      <c r="I3147" s="144" t="s">
        <v>2593</v>
      </c>
    </row>
    <row r="3148" spans="1:9" ht="25.5">
      <c r="A3148" s="193">
        <v>46118</v>
      </c>
      <c r="B3148" s="145" t="s">
        <v>826</v>
      </c>
      <c r="C3148" s="150" t="s">
        <v>5512</v>
      </c>
      <c r="D3148" s="201" t="s">
        <v>1431</v>
      </c>
      <c r="E3148" s="144" t="s">
        <v>1449</v>
      </c>
      <c r="F3148" s="139" t="s">
        <v>88</v>
      </c>
      <c r="G3148" s="144" t="s">
        <v>5800</v>
      </c>
      <c r="H3148" s="146" t="s">
        <v>26</v>
      </c>
      <c r="I3148" s="144" t="s">
        <v>2593</v>
      </c>
    </row>
    <row r="3149" spans="1:9" ht="38.1">
      <c r="A3149" s="193">
        <v>46118</v>
      </c>
      <c r="B3149" s="145" t="s">
        <v>826</v>
      </c>
      <c r="C3149" s="150" t="s">
        <v>5512</v>
      </c>
      <c r="D3149" s="201" t="s">
        <v>1431</v>
      </c>
      <c r="E3149" s="144" t="s">
        <v>21</v>
      </c>
      <c r="F3149" s="141" t="s">
        <v>821</v>
      </c>
      <c r="G3149" s="144" t="s">
        <v>5801</v>
      </c>
      <c r="H3149" s="146" t="s">
        <v>26</v>
      </c>
      <c r="I3149" s="144" t="s">
        <v>468</v>
      </c>
    </row>
    <row r="3150" spans="1:9" ht="38.1">
      <c r="A3150" s="193">
        <v>46118</v>
      </c>
      <c r="B3150" s="145" t="s">
        <v>826</v>
      </c>
      <c r="C3150" s="150" t="s">
        <v>5512</v>
      </c>
      <c r="D3150" s="201" t="s">
        <v>2224</v>
      </c>
      <c r="E3150" s="144" t="s">
        <v>216</v>
      </c>
      <c r="F3150" s="141" t="s">
        <v>821</v>
      </c>
      <c r="G3150" s="144" t="s">
        <v>5802</v>
      </c>
      <c r="H3150" s="146" t="s">
        <v>26</v>
      </c>
      <c r="I3150" s="144" t="s">
        <v>2568</v>
      </c>
    </row>
    <row r="3151" spans="1:9" ht="14.1">
      <c r="A3151" s="193">
        <v>46119</v>
      </c>
      <c r="B3151" s="145" t="s">
        <v>826</v>
      </c>
      <c r="C3151" s="150" t="s">
        <v>5512</v>
      </c>
      <c r="D3151" s="201" t="s">
        <v>1431</v>
      </c>
      <c r="E3151" s="144" t="s">
        <v>21</v>
      </c>
      <c r="F3151" s="141" t="s">
        <v>821</v>
      </c>
      <c r="G3151" s="144" t="s">
        <v>5803</v>
      </c>
      <c r="H3151" s="146" t="s">
        <v>26</v>
      </c>
      <c r="I3151" s="144" t="s">
        <v>468</v>
      </c>
    </row>
    <row r="3152" spans="1:9" ht="25.5">
      <c r="A3152" s="193">
        <v>46119</v>
      </c>
      <c r="B3152" s="145" t="s">
        <v>826</v>
      </c>
      <c r="C3152" s="150" t="s">
        <v>5512</v>
      </c>
      <c r="D3152" s="201" t="s">
        <v>1431</v>
      </c>
      <c r="E3152" s="144" t="s">
        <v>1449</v>
      </c>
      <c r="F3152" s="139" t="s">
        <v>88</v>
      </c>
      <c r="G3152" s="144" t="s">
        <v>5804</v>
      </c>
      <c r="H3152" s="146" t="s">
        <v>26</v>
      </c>
      <c r="I3152" s="144" t="s">
        <v>468</v>
      </c>
    </row>
    <row r="3153" spans="1:9" ht="14.1">
      <c r="A3153" s="193">
        <v>46119</v>
      </c>
      <c r="B3153" s="145" t="s">
        <v>826</v>
      </c>
      <c r="C3153" s="150" t="s">
        <v>5512</v>
      </c>
      <c r="D3153" s="201" t="s">
        <v>1431</v>
      </c>
      <c r="E3153" s="144" t="s">
        <v>1449</v>
      </c>
      <c r="F3153" s="139" t="s">
        <v>88</v>
      </c>
      <c r="G3153" s="144" t="s">
        <v>5805</v>
      </c>
      <c r="H3153" s="146" t="s">
        <v>26</v>
      </c>
      <c r="I3153" s="144" t="s">
        <v>2640</v>
      </c>
    </row>
    <row r="3154" spans="1:9" ht="14.1">
      <c r="A3154" s="193">
        <v>46119</v>
      </c>
      <c r="B3154" s="145" t="s">
        <v>826</v>
      </c>
      <c r="C3154" s="150" t="s">
        <v>5512</v>
      </c>
      <c r="D3154" s="201" t="s">
        <v>1431</v>
      </c>
      <c r="E3154" s="144" t="s">
        <v>1449</v>
      </c>
      <c r="F3154" s="139" t="s">
        <v>88</v>
      </c>
      <c r="G3154" s="144" t="s">
        <v>5806</v>
      </c>
      <c r="H3154" s="146" t="s">
        <v>26</v>
      </c>
      <c r="I3154" s="144" t="s">
        <v>154</v>
      </c>
    </row>
    <row r="3155" spans="1:9" ht="14.1">
      <c r="A3155" s="193">
        <v>46119</v>
      </c>
      <c r="B3155" s="145" t="s">
        <v>826</v>
      </c>
      <c r="C3155" s="150" t="s">
        <v>5512</v>
      </c>
      <c r="D3155" s="201" t="s">
        <v>1431</v>
      </c>
      <c r="E3155" s="144" t="s">
        <v>1449</v>
      </c>
      <c r="F3155" s="139" t="s">
        <v>88</v>
      </c>
      <c r="G3155" s="144" t="s">
        <v>5807</v>
      </c>
      <c r="H3155" s="146" t="s">
        <v>26</v>
      </c>
      <c r="I3155" s="144" t="s">
        <v>154</v>
      </c>
    </row>
    <row r="3156" spans="1:9" ht="14.1">
      <c r="A3156" s="193">
        <v>46119</v>
      </c>
      <c r="B3156" s="145" t="s">
        <v>826</v>
      </c>
      <c r="C3156" s="150" t="s">
        <v>5512</v>
      </c>
      <c r="D3156" s="201" t="s">
        <v>1431</v>
      </c>
      <c r="E3156" s="144" t="s">
        <v>1449</v>
      </c>
      <c r="F3156" s="139" t="s">
        <v>88</v>
      </c>
      <c r="G3156" s="144" t="s">
        <v>3859</v>
      </c>
      <c r="H3156" s="146" t="s">
        <v>26</v>
      </c>
      <c r="I3156" s="144" t="s">
        <v>154</v>
      </c>
    </row>
    <row r="3157" spans="1:9" ht="25.5">
      <c r="A3157" s="193">
        <v>46120</v>
      </c>
      <c r="B3157" s="145" t="s">
        <v>826</v>
      </c>
      <c r="C3157" s="150" t="s">
        <v>5512</v>
      </c>
      <c r="D3157" s="201" t="s">
        <v>1431</v>
      </c>
      <c r="E3157" s="144" t="s">
        <v>21</v>
      </c>
      <c r="F3157" s="141" t="s">
        <v>821</v>
      </c>
      <c r="G3157" s="144" t="s">
        <v>5808</v>
      </c>
      <c r="H3157" s="146" t="s">
        <v>26</v>
      </c>
      <c r="I3157" s="144" t="s">
        <v>452</v>
      </c>
    </row>
    <row r="3158" spans="1:9" ht="14.1">
      <c r="A3158" s="193">
        <v>46120</v>
      </c>
      <c r="B3158" s="145" t="s">
        <v>826</v>
      </c>
      <c r="C3158" s="150" t="s">
        <v>5512</v>
      </c>
      <c r="D3158" s="201" t="s">
        <v>1431</v>
      </c>
      <c r="E3158" s="144" t="s">
        <v>988</v>
      </c>
      <c r="F3158" s="139" t="s">
        <v>88</v>
      </c>
      <c r="G3158" s="144" t="s">
        <v>5809</v>
      </c>
      <c r="H3158" s="146" t="s">
        <v>26</v>
      </c>
      <c r="I3158" s="144" t="s">
        <v>1453</v>
      </c>
    </row>
    <row r="3159" spans="1:9" ht="14.1">
      <c r="A3159" s="193">
        <v>46120</v>
      </c>
      <c r="B3159" s="145" t="s">
        <v>826</v>
      </c>
      <c r="C3159" s="150" t="s">
        <v>5512</v>
      </c>
      <c r="D3159" s="201" t="s">
        <v>1431</v>
      </c>
      <c r="E3159" s="144" t="s">
        <v>4023</v>
      </c>
      <c r="F3159" s="139" t="s">
        <v>88</v>
      </c>
      <c r="G3159" s="144" t="s">
        <v>5810</v>
      </c>
      <c r="H3159" s="146" t="s">
        <v>26</v>
      </c>
      <c r="I3159" s="144" t="s">
        <v>4339</v>
      </c>
    </row>
    <row r="3160" spans="1:9" ht="38.1">
      <c r="A3160" s="193">
        <v>46120</v>
      </c>
      <c r="B3160" s="145" t="s">
        <v>826</v>
      </c>
      <c r="C3160" s="150" t="s">
        <v>5512</v>
      </c>
      <c r="D3160" s="201" t="s">
        <v>1431</v>
      </c>
      <c r="E3160" s="144" t="s">
        <v>1506</v>
      </c>
      <c r="F3160" s="139" t="s">
        <v>88</v>
      </c>
      <c r="G3160" s="144" t="s">
        <v>5811</v>
      </c>
      <c r="H3160" s="146" t="s">
        <v>26</v>
      </c>
      <c r="I3160" s="144" t="s">
        <v>3247</v>
      </c>
    </row>
    <row r="3161" spans="1:9" ht="25.5">
      <c r="A3161" s="193">
        <v>46120</v>
      </c>
      <c r="B3161" s="145" t="s">
        <v>826</v>
      </c>
      <c r="C3161" s="150" t="s">
        <v>5512</v>
      </c>
      <c r="D3161" s="201" t="s">
        <v>1431</v>
      </c>
      <c r="E3161" s="144" t="s">
        <v>216</v>
      </c>
      <c r="F3161" s="141" t="s">
        <v>821</v>
      </c>
      <c r="G3161" s="144" t="s">
        <v>5713</v>
      </c>
      <c r="H3161" s="146" t="s">
        <v>26</v>
      </c>
      <c r="I3161" s="144" t="s">
        <v>492</v>
      </c>
    </row>
    <row r="3162" spans="1:9" ht="25.5">
      <c r="A3162" s="193">
        <v>46120</v>
      </c>
      <c r="B3162" s="145" t="s">
        <v>826</v>
      </c>
      <c r="C3162" s="150" t="s">
        <v>5512</v>
      </c>
      <c r="D3162" s="201" t="s">
        <v>1431</v>
      </c>
      <c r="E3162" s="144" t="s">
        <v>1449</v>
      </c>
      <c r="F3162" s="139" t="s">
        <v>88</v>
      </c>
      <c r="G3162" s="144" t="s">
        <v>5812</v>
      </c>
      <c r="H3162" s="146" t="s">
        <v>26</v>
      </c>
      <c r="I3162" s="144" t="s">
        <v>154</v>
      </c>
    </row>
    <row r="3163" spans="1:9" ht="14.1">
      <c r="A3163" s="193">
        <v>46120</v>
      </c>
      <c r="B3163" s="145" t="s">
        <v>826</v>
      </c>
      <c r="C3163" s="150" t="s">
        <v>5512</v>
      </c>
      <c r="D3163" s="201" t="s">
        <v>1431</v>
      </c>
      <c r="E3163" s="144" t="s">
        <v>1449</v>
      </c>
      <c r="F3163" s="139" t="s">
        <v>88</v>
      </c>
      <c r="G3163" s="144" t="s">
        <v>5813</v>
      </c>
      <c r="H3163" s="146" t="s">
        <v>26</v>
      </c>
      <c r="I3163" s="144" t="s">
        <v>154</v>
      </c>
    </row>
    <row r="3164" spans="1:9" ht="14.1">
      <c r="A3164" s="193">
        <v>46120</v>
      </c>
      <c r="B3164" s="145" t="s">
        <v>826</v>
      </c>
      <c r="C3164" s="150" t="s">
        <v>5512</v>
      </c>
      <c r="D3164" s="201" t="s">
        <v>1431</v>
      </c>
      <c r="E3164" s="144" t="s">
        <v>1449</v>
      </c>
      <c r="F3164" s="139" t="s">
        <v>88</v>
      </c>
      <c r="G3164" s="144" t="s">
        <v>5814</v>
      </c>
      <c r="H3164" s="146" t="s">
        <v>26</v>
      </c>
      <c r="I3164" s="144" t="s">
        <v>154</v>
      </c>
    </row>
    <row r="3165" spans="1:9" ht="25.5">
      <c r="A3165" s="193">
        <v>46120</v>
      </c>
      <c r="B3165" s="145" t="s">
        <v>826</v>
      </c>
      <c r="C3165" s="150" t="s">
        <v>5512</v>
      </c>
      <c r="D3165" s="201" t="s">
        <v>2224</v>
      </c>
      <c r="E3165" s="144" t="s">
        <v>216</v>
      </c>
      <c r="F3165" s="140" t="s">
        <v>1439</v>
      </c>
      <c r="G3165" s="144" t="s">
        <v>5815</v>
      </c>
      <c r="H3165" s="146" t="s">
        <v>26</v>
      </c>
      <c r="I3165" s="144" t="s">
        <v>2568</v>
      </c>
    </row>
    <row r="3166" spans="1:9" ht="25.5">
      <c r="A3166" s="193">
        <v>46120</v>
      </c>
      <c r="B3166" s="145" t="s">
        <v>826</v>
      </c>
      <c r="C3166" s="150" t="s">
        <v>5512</v>
      </c>
      <c r="D3166" s="201" t="s">
        <v>2224</v>
      </c>
      <c r="E3166" s="144" t="s">
        <v>1449</v>
      </c>
      <c r="F3166" s="139" t="s">
        <v>88</v>
      </c>
      <c r="G3166" s="144" t="s">
        <v>5816</v>
      </c>
      <c r="H3166" s="146" t="s">
        <v>26</v>
      </c>
      <c r="I3166" s="144" t="s">
        <v>154</v>
      </c>
    </row>
    <row r="3167" spans="1:9" ht="25.5">
      <c r="A3167" s="193">
        <v>46121</v>
      </c>
      <c r="B3167" s="145" t="s">
        <v>826</v>
      </c>
      <c r="C3167" s="150" t="s">
        <v>5512</v>
      </c>
      <c r="D3167" s="201" t="s">
        <v>1431</v>
      </c>
      <c r="E3167" s="144" t="s">
        <v>1506</v>
      </c>
      <c r="F3167" s="139" t="s">
        <v>88</v>
      </c>
      <c r="G3167" s="144" t="s">
        <v>5817</v>
      </c>
      <c r="H3167" s="146" t="s">
        <v>26</v>
      </c>
      <c r="I3167" s="144" t="s">
        <v>1904</v>
      </c>
    </row>
    <row r="3168" spans="1:9" ht="38.1">
      <c r="A3168" s="193">
        <v>46121</v>
      </c>
      <c r="B3168" s="145" t="s">
        <v>826</v>
      </c>
      <c r="C3168" s="150" t="s">
        <v>5512</v>
      </c>
      <c r="D3168" s="201" t="s">
        <v>1431</v>
      </c>
      <c r="E3168" s="144" t="s">
        <v>216</v>
      </c>
      <c r="F3168" s="141" t="s">
        <v>821</v>
      </c>
      <c r="G3168" s="144" t="s">
        <v>5818</v>
      </c>
      <c r="H3168" s="146" t="s">
        <v>26</v>
      </c>
      <c r="I3168" s="144" t="s">
        <v>492</v>
      </c>
    </row>
    <row r="3169" spans="1:9" ht="14.1">
      <c r="A3169" s="193">
        <v>46121</v>
      </c>
      <c r="B3169" s="145" t="s">
        <v>826</v>
      </c>
      <c r="C3169" s="150" t="s">
        <v>5512</v>
      </c>
      <c r="D3169" s="201" t="s">
        <v>1431</v>
      </c>
      <c r="E3169" s="144" t="s">
        <v>1449</v>
      </c>
      <c r="F3169" s="139" t="s">
        <v>88</v>
      </c>
      <c r="G3169" s="144" t="s">
        <v>5819</v>
      </c>
      <c r="H3169" s="146" t="s">
        <v>26</v>
      </c>
      <c r="I3169" s="144" t="s">
        <v>154</v>
      </c>
    </row>
    <row r="3170" spans="1:9" ht="14.1">
      <c r="A3170" s="193">
        <v>46121</v>
      </c>
      <c r="B3170" s="145" t="s">
        <v>826</v>
      </c>
      <c r="C3170" s="150" t="s">
        <v>5512</v>
      </c>
      <c r="D3170" s="201" t="s">
        <v>1431</v>
      </c>
      <c r="E3170" s="144" t="s">
        <v>1449</v>
      </c>
      <c r="F3170" s="139" t="s">
        <v>88</v>
      </c>
      <c r="G3170" s="144" t="s">
        <v>5820</v>
      </c>
      <c r="H3170" s="146" t="s">
        <v>26</v>
      </c>
      <c r="I3170" s="144" t="s">
        <v>154</v>
      </c>
    </row>
    <row r="3171" spans="1:9" ht="14.1">
      <c r="A3171" s="193">
        <v>46121</v>
      </c>
      <c r="B3171" s="145" t="s">
        <v>826</v>
      </c>
      <c r="C3171" s="150" t="s">
        <v>5512</v>
      </c>
      <c r="D3171" s="201" t="s">
        <v>1431</v>
      </c>
      <c r="E3171" s="144" t="s">
        <v>1449</v>
      </c>
      <c r="F3171" s="139" t="s">
        <v>88</v>
      </c>
      <c r="G3171" s="144" t="s">
        <v>5821</v>
      </c>
      <c r="H3171" s="146" t="s">
        <v>26</v>
      </c>
      <c r="I3171" s="144" t="s">
        <v>154</v>
      </c>
    </row>
    <row r="3172" spans="1:9" ht="14.1">
      <c r="A3172" s="193">
        <v>46121</v>
      </c>
      <c r="B3172" s="145" t="s">
        <v>826</v>
      </c>
      <c r="C3172" s="150" t="s">
        <v>5512</v>
      </c>
      <c r="D3172" s="201" t="s">
        <v>1431</v>
      </c>
      <c r="E3172" s="144" t="s">
        <v>1566</v>
      </c>
      <c r="F3172" s="139" t="s">
        <v>88</v>
      </c>
      <c r="G3172" s="144" t="s">
        <v>5822</v>
      </c>
      <c r="H3172" s="146" t="s">
        <v>26</v>
      </c>
      <c r="I3172" s="144" t="s">
        <v>2640</v>
      </c>
    </row>
    <row r="3173" spans="1:9" ht="25.5">
      <c r="A3173" s="193">
        <v>46121</v>
      </c>
      <c r="B3173" s="145" t="s">
        <v>826</v>
      </c>
      <c r="C3173" s="150" t="s">
        <v>5512</v>
      </c>
      <c r="D3173" s="201" t="s">
        <v>1431</v>
      </c>
      <c r="E3173" s="144" t="s">
        <v>1566</v>
      </c>
      <c r="F3173" s="139" t="s">
        <v>88</v>
      </c>
      <c r="G3173" s="144" t="s">
        <v>5823</v>
      </c>
      <c r="H3173" s="146" t="s">
        <v>26</v>
      </c>
      <c r="I3173" s="144" t="s">
        <v>2640</v>
      </c>
    </row>
    <row r="3174" spans="1:9" ht="25.5">
      <c r="A3174" s="193">
        <v>46121</v>
      </c>
      <c r="B3174" s="145" t="s">
        <v>826</v>
      </c>
      <c r="C3174" s="150" t="s">
        <v>5512</v>
      </c>
      <c r="D3174" s="201" t="s">
        <v>1431</v>
      </c>
      <c r="E3174" s="144" t="s">
        <v>1566</v>
      </c>
      <c r="F3174" s="139" t="s">
        <v>88</v>
      </c>
      <c r="G3174" s="144" t="s">
        <v>5824</v>
      </c>
      <c r="H3174" s="146" t="s">
        <v>26</v>
      </c>
      <c r="I3174" s="144" t="s">
        <v>2640</v>
      </c>
    </row>
    <row r="3175" spans="1:9" ht="50.45">
      <c r="A3175" s="193">
        <v>46122</v>
      </c>
      <c r="B3175" s="145" t="s">
        <v>826</v>
      </c>
      <c r="C3175" s="150" t="s">
        <v>5512</v>
      </c>
      <c r="D3175" s="201" t="s">
        <v>1431</v>
      </c>
      <c r="E3175" s="144" t="s">
        <v>21</v>
      </c>
      <c r="F3175" s="141" t="s">
        <v>821</v>
      </c>
      <c r="G3175" s="144" t="s">
        <v>5825</v>
      </c>
      <c r="H3175" s="146" t="s">
        <v>130</v>
      </c>
      <c r="I3175" s="144" t="s">
        <v>149</v>
      </c>
    </row>
    <row r="3176" spans="1:9" ht="25.5">
      <c r="A3176" s="193">
        <v>46122</v>
      </c>
      <c r="B3176" s="145" t="s">
        <v>826</v>
      </c>
      <c r="C3176" s="150" t="s">
        <v>5512</v>
      </c>
      <c r="D3176" s="201" t="s">
        <v>1431</v>
      </c>
      <c r="E3176" s="144" t="s">
        <v>1506</v>
      </c>
      <c r="F3176" s="139" t="s">
        <v>88</v>
      </c>
      <c r="G3176" s="144" t="s">
        <v>5826</v>
      </c>
      <c r="H3176" s="146" t="s">
        <v>26</v>
      </c>
      <c r="I3176" s="144" t="s">
        <v>1904</v>
      </c>
    </row>
    <row r="3177" spans="1:9" ht="25.5">
      <c r="A3177" s="193">
        <v>46122</v>
      </c>
      <c r="B3177" s="145" t="s">
        <v>826</v>
      </c>
      <c r="C3177" s="150" t="s">
        <v>5512</v>
      </c>
      <c r="D3177" s="201" t="s">
        <v>1431</v>
      </c>
      <c r="E3177" s="144" t="s">
        <v>216</v>
      </c>
      <c r="F3177" s="141" t="s">
        <v>821</v>
      </c>
      <c r="G3177" s="144" t="s">
        <v>5827</v>
      </c>
      <c r="H3177" s="146" t="s">
        <v>130</v>
      </c>
      <c r="I3177" s="144" t="s">
        <v>492</v>
      </c>
    </row>
    <row r="3178" spans="1:9" ht="14.1">
      <c r="A3178" s="193">
        <v>46122</v>
      </c>
      <c r="B3178" s="145" t="s">
        <v>826</v>
      </c>
      <c r="C3178" s="150" t="s">
        <v>5512</v>
      </c>
      <c r="D3178" s="201" t="s">
        <v>1431</v>
      </c>
      <c r="E3178" s="144" t="s">
        <v>1566</v>
      </c>
      <c r="F3178" s="139" t="s">
        <v>88</v>
      </c>
      <c r="G3178" s="144" t="s">
        <v>5828</v>
      </c>
      <c r="H3178" s="146" t="s">
        <v>26</v>
      </c>
      <c r="I3178" s="144" t="s">
        <v>1453</v>
      </c>
    </row>
    <row r="3179" spans="1:9" ht="14.1">
      <c r="A3179" s="193">
        <v>46122</v>
      </c>
      <c r="B3179" s="145" t="s">
        <v>826</v>
      </c>
      <c r="C3179" s="150" t="s">
        <v>5512</v>
      </c>
      <c r="D3179" s="201" t="s">
        <v>1431</v>
      </c>
      <c r="E3179" s="144" t="s">
        <v>1566</v>
      </c>
      <c r="F3179" s="139" t="s">
        <v>88</v>
      </c>
      <c r="G3179" s="144" t="s">
        <v>5829</v>
      </c>
      <c r="H3179" s="146" t="s">
        <v>26</v>
      </c>
      <c r="I3179" s="144" t="s">
        <v>1453</v>
      </c>
    </row>
    <row r="3180" spans="1:9" ht="14.1">
      <c r="A3180" s="193">
        <v>46122</v>
      </c>
      <c r="B3180" s="145" t="s">
        <v>826</v>
      </c>
      <c r="C3180" s="150" t="s">
        <v>5512</v>
      </c>
      <c r="D3180" s="201" t="s">
        <v>1431</v>
      </c>
      <c r="E3180" s="144" t="s">
        <v>1449</v>
      </c>
      <c r="F3180" s="141" t="s">
        <v>821</v>
      </c>
      <c r="G3180" s="144" t="s">
        <v>5830</v>
      </c>
      <c r="H3180" s="146" t="s">
        <v>26</v>
      </c>
      <c r="I3180" s="144" t="s">
        <v>154</v>
      </c>
    </row>
    <row r="3181" spans="1:9" ht="14.1">
      <c r="A3181" s="193">
        <v>46122</v>
      </c>
      <c r="B3181" s="145" t="s">
        <v>826</v>
      </c>
      <c r="C3181" s="150" t="s">
        <v>5512</v>
      </c>
      <c r="D3181" s="201" t="s">
        <v>1431</v>
      </c>
      <c r="E3181" s="144" t="s">
        <v>1449</v>
      </c>
      <c r="F3181" s="139" t="s">
        <v>88</v>
      </c>
      <c r="G3181" s="144" t="s">
        <v>5831</v>
      </c>
      <c r="H3181" s="146" t="s">
        <v>26</v>
      </c>
      <c r="I3181" s="144" t="s">
        <v>154</v>
      </c>
    </row>
    <row r="3182" spans="1:9" ht="14.1">
      <c r="A3182" s="193">
        <v>46122</v>
      </c>
      <c r="B3182" s="145" t="s">
        <v>826</v>
      </c>
      <c r="C3182" s="150" t="s">
        <v>5512</v>
      </c>
      <c r="D3182" s="201" t="s">
        <v>1431</v>
      </c>
      <c r="E3182" s="144" t="s">
        <v>1449</v>
      </c>
      <c r="F3182" s="139" t="s">
        <v>88</v>
      </c>
      <c r="G3182" s="144" t="s">
        <v>5832</v>
      </c>
      <c r="H3182" s="146" t="s">
        <v>26</v>
      </c>
      <c r="I3182" s="144" t="s">
        <v>154</v>
      </c>
    </row>
    <row r="3183" spans="1:9" ht="14.1">
      <c r="A3183" s="193">
        <v>46122</v>
      </c>
      <c r="B3183" s="145" t="s">
        <v>826</v>
      </c>
      <c r="C3183" s="150" t="s">
        <v>5512</v>
      </c>
      <c r="D3183" s="201" t="s">
        <v>1431</v>
      </c>
      <c r="E3183" s="144" t="s">
        <v>1449</v>
      </c>
      <c r="F3183" s="139" t="s">
        <v>88</v>
      </c>
      <c r="G3183" s="144" t="s">
        <v>5833</v>
      </c>
      <c r="H3183" s="146" t="s">
        <v>26</v>
      </c>
      <c r="I3183" s="144" t="s">
        <v>154</v>
      </c>
    </row>
    <row r="3184" spans="1:9" ht="14.1">
      <c r="A3184" s="193">
        <v>46122</v>
      </c>
      <c r="B3184" s="145" t="s">
        <v>826</v>
      </c>
      <c r="C3184" s="150" t="s">
        <v>5512</v>
      </c>
      <c r="D3184" s="201" t="s">
        <v>1431</v>
      </c>
      <c r="E3184" s="144" t="s">
        <v>1449</v>
      </c>
      <c r="F3184" s="139" t="s">
        <v>88</v>
      </c>
      <c r="G3184" s="144" t="s">
        <v>5834</v>
      </c>
      <c r="H3184" s="146" t="s">
        <v>26</v>
      </c>
      <c r="I3184" s="144" t="s">
        <v>154</v>
      </c>
    </row>
    <row r="3185" spans="1:9" ht="25.5">
      <c r="A3185" s="193">
        <v>46122</v>
      </c>
      <c r="B3185" s="145" t="s">
        <v>826</v>
      </c>
      <c r="C3185" s="150" t="s">
        <v>5512</v>
      </c>
      <c r="D3185" s="201" t="s">
        <v>1431</v>
      </c>
      <c r="E3185" s="144" t="s">
        <v>216</v>
      </c>
      <c r="F3185" s="141" t="s">
        <v>821</v>
      </c>
      <c r="G3185" s="144" t="s">
        <v>5835</v>
      </c>
      <c r="H3185" s="146" t="s">
        <v>130</v>
      </c>
      <c r="I3185" s="144" t="s">
        <v>492</v>
      </c>
    </row>
    <row r="3186" spans="1:9" ht="38.1">
      <c r="A3186" s="193">
        <v>46122</v>
      </c>
      <c r="B3186" s="145" t="s">
        <v>826</v>
      </c>
      <c r="C3186" s="150" t="s">
        <v>5512</v>
      </c>
      <c r="D3186" s="201" t="s">
        <v>2224</v>
      </c>
      <c r="E3186" s="144" t="s">
        <v>1449</v>
      </c>
      <c r="F3186" s="139" t="s">
        <v>88</v>
      </c>
      <c r="G3186" s="144" t="s">
        <v>5836</v>
      </c>
      <c r="H3186" s="146" t="s">
        <v>26</v>
      </c>
      <c r="I3186" s="144" t="s">
        <v>154</v>
      </c>
    </row>
    <row r="3187" spans="1:9" ht="25.5">
      <c r="A3187" s="193">
        <v>46122</v>
      </c>
      <c r="B3187" s="145" t="s">
        <v>826</v>
      </c>
      <c r="C3187" s="150" t="s">
        <v>5512</v>
      </c>
      <c r="D3187" s="201" t="s">
        <v>2224</v>
      </c>
      <c r="E3187" s="144" t="s">
        <v>1449</v>
      </c>
      <c r="F3187" s="139" t="s">
        <v>88</v>
      </c>
      <c r="G3187" s="144" t="s">
        <v>5837</v>
      </c>
      <c r="H3187" s="146" t="s">
        <v>26</v>
      </c>
      <c r="I3187" s="144" t="s">
        <v>154</v>
      </c>
    </row>
    <row r="3188" spans="1:9" ht="25.5">
      <c r="A3188" s="193">
        <v>46122</v>
      </c>
      <c r="B3188" s="145" t="s">
        <v>826</v>
      </c>
      <c r="C3188" s="150" t="s">
        <v>5512</v>
      </c>
      <c r="D3188" s="201" t="s">
        <v>2224</v>
      </c>
      <c r="E3188" s="144" t="s">
        <v>1449</v>
      </c>
      <c r="F3188" s="147" t="s">
        <v>859</v>
      </c>
      <c r="G3188" s="144" t="s">
        <v>5838</v>
      </c>
      <c r="H3188" s="146" t="s">
        <v>26</v>
      </c>
      <c r="I3188" s="144" t="s">
        <v>916</v>
      </c>
    </row>
    <row r="3189" spans="1:9" ht="38.1">
      <c r="A3189" s="193">
        <v>46125</v>
      </c>
      <c r="B3189" s="145" t="s">
        <v>826</v>
      </c>
      <c r="C3189" s="150" t="s">
        <v>5512</v>
      </c>
      <c r="D3189" s="201" t="s">
        <v>1431</v>
      </c>
      <c r="E3189" s="144" t="s">
        <v>2595</v>
      </c>
      <c r="F3189" s="139" t="s">
        <v>88</v>
      </c>
      <c r="G3189" s="144" t="s">
        <v>5839</v>
      </c>
      <c r="H3189" s="146" t="s">
        <v>130</v>
      </c>
      <c r="I3189" s="144" t="s">
        <v>3516</v>
      </c>
    </row>
    <row r="3190" spans="1:9" ht="50.45">
      <c r="A3190" s="193">
        <v>46125</v>
      </c>
      <c r="B3190" s="145" t="s">
        <v>826</v>
      </c>
      <c r="C3190" s="150" t="s">
        <v>5512</v>
      </c>
      <c r="D3190" s="201" t="s">
        <v>1431</v>
      </c>
      <c r="E3190" s="144" t="s">
        <v>1506</v>
      </c>
      <c r="F3190" s="139" t="s">
        <v>88</v>
      </c>
      <c r="G3190" s="144" t="s">
        <v>5840</v>
      </c>
      <c r="H3190" s="146" t="s">
        <v>26</v>
      </c>
      <c r="I3190" s="144" t="s">
        <v>3247</v>
      </c>
    </row>
    <row r="3191" spans="1:9" ht="38.1">
      <c r="A3191" s="193">
        <v>46125</v>
      </c>
      <c r="B3191" s="145" t="s">
        <v>826</v>
      </c>
      <c r="C3191" s="150" t="s">
        <v>5512</v>
      </c>
      <c r="D3191" s="201" t="s">
        <v>1431</v>
      </c>
      <c r="E3191" s="144" t="s">
        <v>216</v>
      </c>
      <c r="F3191" s="141" t="s">
        <v>821</v>
      </c>
      <c r="G3191" s="144" t="s">
        <v>5841</v>
      </c>
      <c r="H3191" s="146" t="s">
        <v>130</v>
      </c>
      <c r="I3191" s="144" t="s">
        <v>492</v>
      </c>
    </row>
    <row r="3192" spans="1:9" ht="14.1">
      <c r="A3192" s="193">
        <v>46125</v>
      </c>
      <c r="B3192" s="145" t="s">
        <v>826</v>
      </c>
      <c r="C3192" s="150" t="s">
        <v>5512</v>
      </c>
      <c r="D3192" s="201" t="s">
        <v>1431</v>
      </c>
      <c r="E3192" s="144" t="s">
        <v>1449</v>
      </c>
      <c r="F3192" s="139" t="s">
        <v>88</v>
      </c>
      <c r="G3192" s="144" t="s">
        <v>5842</v>
      </c>
      <c r="H3192" s="146" t="s">
        <v>26</v>
      </c>
      <c r="I3192" s="144" t="s">
        <v>154</v>
      </c>
    </row>
    <row r="3193" spans="1:9" ht="14.1">
      <c r="A3193" s="193">
        <v>46125</v>
      </c>
      <c r="B3193" s="145" t="s">
        <v>826</v>
      </c>
      <c r="C3193" s="150" t="s">
        <v>5512</v>
      </c>
      <c r="D3193" s="201" t="s">
        <v>1431</v>
      </c>
      <c r="E3193" s="144" t="s">
        <v>1449</v>
      </c>
      <c r="F3193" s="139" t="s">
        <v>88</v>
      </c>
      <c r="G3193" s="144" t="s">
        <v>5843</v>
      </c>
      <c r="H3193" s="146" t="s">
        <v>26</v>
      </c>
      <c r="I3193" s="144" t="s">
        <v>154</v>
      </c>
    </row>
    <row r="3194" spans="1:9" ht="25.5">
      <c r="A3194" s="193">
        <v>46125</v>
      </c>
      <c r="B3194" s="145" t="s">
        <v>826</v>
      </c>
      <c r="C3194" s="150" t="s">
        <v>5512</v>
      </c>
      <c r="D3194" s="201" t="s">
        <v>1431</v>
      </c>
      <c r="E3194" s="144" t="s">
        <v>1449</v>
      </c>
      <c r="F3194" s="139" t="s">
        <v>88</v>
      </c>
      <c r="G3194" s="144" t="s">
        <v>5844</v>
      </c>
      <c r="H3194" s="146" t="s">
        <v>26</v>
      </c>
      <c r="I3194" s="144" t="s">
        <v>154</v>
      </c>
    </row>
    <row r="3195" spans="1:9" ht="25.5">
      <c r="A3195" s="193">
        <v>46125</v>
      </c>
      <c r="B3195" s="145" t="s">
        <v>826</v>
      </c>
      <c r="C3195" s="150" t="s">
        <v>5512</v>
      </c>
      <c r="D3195" s="201" t="s">
        <v>1431</v>
      </c>
      <c r="E3195" s="144" t="s">
        <v>1566</v>
      </c>
      <c r="F3195" s="139" t="s">
        <v>88</v>
      </c>
      <c r="G3195" s="144" t="s">
        <v>5845</v>
      </c>
      <c r="H3195" s="146" t="s">
        <v>26</v>
      </c>
      <c r="I3195" s="144" t="s">
        <v>2640</v>
      </c>
    </row>
    <row r="3196" spans="1:9" ht="38.1">
      <c r="A3196" s="193">
        <v>46125</v>
      </c>
      <c r="B3196" s="145" t="s">
        <v>826</v>
      </c>
      <c r="C3196" s="150" t="s">
        <v>5512</v>
      </c>
      <c r="D3196" s="201" t="s">
        <v>1431</v>
      </c>
      <c r="E3196" s="144" t="s">
        <v>1566</v>
      </c>
      <c r="F3196" s="139" t="s">
        <v>88</v>
      </c>
      <c r="G3196" s="144" t="s">
        <v>5846</v>
      </c>
      <c r="H3196" s="146" t="s">
        <v>26</v>
      </c>
      <c r="I3196" s="144" t="s">
        <v>2640</v>
      </c>
    </row>
    <row r="3197" spans="1:9" ht="38.1">
      <c r="A3197" s="193">
        <v>46125</v>
      </c>
      <c r="B3197" s="145" t="s">
        <v>826</v>
      </c>
      <c r="C3197" s="150" t="s">
        <v>5512</v>
      </c>
      <c r="D3197" s="201" t="s">
        <v>1431</v>
      </c>
      <c r="E3197" s="144" t="s">
        <v>1566</v>
      </c>
      <c r="F3197" s="139" t="s">
        <v>88</v>
      </c>
      <c r="G3197" s="144" t="s">
        <v>5847</v>
      </c>
      <c r="H3197" s="146" t="s">
        <v>26</v>
      </c>
      <c r="I3197" s="144" t="s">
        <v>2640</v>
      </c>
    </row>
    <row r="3198" spans="1:9" ht="25.5">
      <c r="A3198" s="193">
        <v>46125</v>
      </c>
      <c r="B3198" s="145" t="s">
        <v>826</v>
      </c>
      <c r="C3198" s="150" t="s">
        <v>5512</v>
      </c>
      <c r="D3198" s="201" t="s">
        <v>1431</v>
      </c>
      <c r="E3198" s="144" t="s">
        <v>1566</v>
      </c>
      <c r="F3198" s="147" t="s">
        <v>859</v>
      </c>
      <c r="G3198" s="144" t="s">
        <v>5848</v>
      </c>
      <c r="H3198" s="146" t="s">
        <v>26</v>
      </c>
      <c r="I3198" s="144" t="s">
        <v>2640</v>
      </c>
    </row>
    <row r="3199" spans="1:9" ht="38.1">
      <c r="A3199" s="193">
        <v>46125</v>
      </c>
      <c r="B3199" s="145" t="s">
        <v>826</v>
      </c>
      <c r="C3199" s="150" t="s">
        <v>5512</v>
      </c>
      <c r="D3199" s="201" t="s">
        <v>2224</v>
      </c>
      <c r="E3199" s="144" t="s">
        <v>216</v>
      </c>
      <c r="F3199" s="141" t="s">
        <v>821</v>
      </c>
      <c r="G3199" s="144" t="s">
        <v>5849</v>
      </c>
      <c r="H3199" s="146" t="s">
        <v>130</v>
      </c>
      <c r="I3199" s="144" t="s">
        <v>492</v>
      </c>
    </row>
    <row r="3200" spans="1:9" ht="63">
      <c r="A3200" s="193">
        <v>46125</v>
      </c>
      <c r="B3200" s="145" t="s">
        <v>826</v>
      </c>
      <c r="C3200" s="150" t="s">
        <v>5512</v>
      </c>
      <c r="D3200" s="201" t="s">
        <v>2224</v>
      </c>
      <c r="E3200" s="144" t="s">
        <v>1449</v>
      </c>
      <c r="F3200" s="147" t="s">
        <v>859</v>
      </c>
      <c r="G3200" s="144" t="s">
        <v>5850</v>
      </c>
      <c r="H3200" s="146" t="s">
        <v>130</v>
      </c>
      <c r="I3200" s="144" t="s">
        <v>2568</v>
      </c>
    </row>
    <row r="3201" spans="1:9" ht="38.1">
      <c r="A3201" s="193">
        <v>46126</v>
      </c>
      <c r="B3201" s="145" t="s">
        <v>826</v>
      </c>
      <c r="C3201" s="150" t="s">
        <v>5512</v>
      </c>
      <c r="D3201" s="201" t="s">
        <v>1431</v>
      </c>
      <c r="E3201" s="144" t="s">
        <v>1225</v>
      </c>
      <c r="F3201" s="140" t="s">
        <v>1439</v>
      </c>
      <c r="G3201" s="144" t="s">
        <v>5851</v>
      </c>
      <c r="H3201" s="146" t="s">
        <v>26</v>
      </c>
      <c r="I3201" s="144" t="s">
        <v>4356</v>
      </c>
    </row>
    <row r="3202" spans="1:9" ht="14.1">
      <c r="A3202" s="193">
        <v>46126</v>
      </c>
      <c r="B3202" s="145" t="s">
        <v>826</v>
      </c>
      <c r="C3202" s="150" t="s">
        <v>5512</v>
      </c>
      <c r="D3202" s="201" t="s">
        <v>1431</v>
      </c>
      <c r="E3202" s="144" t="s">
        <v>1608</v>
      </c>
      <c r="F3202" s="140" t="s">
        <v>1439</v>
      </c>
      <c r="G3202" s="144" t="s">
        <v>5852</v>
      </c>
      <c r="H3202" s="146" t="s">
        <v>26</v>
      </c>
      <c r="I3202" s="144" t="s">
        <v>2599</v>
      </c>
    </row>
    <row r="3203" spans="1:9" ht="14.1">
      <c r="A3203" s="193">
        <v>46126</v>
      </c>
      <c r="B3203" s="145" t="s">
        <v>826</v>
      </c>
      <c r="C3203" s="150" t="s">
        <v>5512</v>
      </c>
      <c r="D3203" s="201" t="s">
        <v>1431</v>
      </c>
      <c r="E3203" s="144" t="s">
        <v>1506</v>
      </c>
      <c r="F3203" s="139" t="s">
        <v>88</v>
      </c>
      <c r="G3203" s="144" t="s">
        <v>5853</v>
      </c>
      <c r="H3203" s="146" t="s">
        <v>26</v>
      </c>
      <c r="I3203" s="144" t="s">
        <v>208</v>
      </c>
    </row>
    <row r="3204" spans="1:9" ht="25.5">
      <c r="A3204" s="193">
        <v>46126</v>
      </c>
      <c r="B3204" s="145" t="s">
        <v>826</v>
      </c>
      <c r="C3204" s="150" t="s">
        <v>5512</v>
      </c>
      <c r="D3204" s="201" t="s">
        <v>1431</v>
      </c>
      <c r="E3204" s="144" t="s">
        <v>1506</v>
      </c>
      <c r="F3204" s="139" t="s">
        <v>88</v>
      </c>
      <c r="G3204" s="144" t="s">
        <v>5854</v>
      </c>
      <c r="H3204" s="146" t="s">
        <v>130</v>
      </c>
      <c r="I3204" s="144" t="s">
        <v>208</v>
      </c>
    </row>
    <row r="3205" spans="1:9" ht="25.5">
      <c r="A3205" s="193">
        <v>46126</v>
      </c>
      <c r="B3205" s="145" t="s">
        <v>826</v>
      </c>
      <c r="C3205" s="150" t="s">
        <v>5512</v>
      </c>
      <c r="D3205" s="201" t="s">
        <v>1431</v>
      </c>
      <c r="E3205" s="144" t="s">
        <v>216</v>
      </c>
      <c r="F3205" s="141" t="s">
        <v>821</v>
      </c>
      <c r="G3205" s="144" t="s">
        <v>5855</v>
      </c>
      <c r="H3205" s="146" t="s">
        <v>130</v>
      </c>
      <c r="I3205" s="144" t="s">
        <v>492</v>
      </c>
    </row>
    <row r="3206" spans="1:9" ht="14.1">
      <c r="A3206" s="193">
        <v>46126</v>
      </c>
      <c r="B3206" s="145" t="s">
        <v>826</v>
      </c>
      <c r="C3206" s="150" t="s">
        <v>5512</v>
      </c>
      <c r="D3206" s="201" t="s">
        <v>1431</v>
      </c>
      <c r="E3206" s="144" t="s">
        <v>1449</v>
      </c>
      <c r="F3206" s="139" t="s">
        <v>88</v>
      </c>
      <c r="G3206" s="144" t="s">
        <v>5856</v>
      </c>
      <c r="H3206" s="146" t="s">
        <v>26</v>
      </c>
      <c r="I3206" s="144" t="s">
        <v>154</v>
      </c>
    </row>
    <row r="3207" spans="1:9" ht="25.5">
      <c r="A3207" s="193">
        <v>46126</v>
      </c>
      <c r="B3207" s="145" t="s">
        <v>826</v>
      </c>
      <c r="C3207" s="150" t="s">
        <v>5512</v>
      </c>
      <c r="D3207" s="201" t="s">
        <v>1431</v>
      </c>
      <c r="E3207" s="144" t="s">
        <v>1449</v>
      </c>
      <c r="F3207" s="139" t="s">
        <v>88</v>
      </c>
      <c r="G3207" s="144" t="s">
        <v>5857</v>
      </c>
      <c r="H3207" s="146" t="s">
        <v>26</v>
      </c>
      <c r="I3207" s="144" t="s">
        <v>154</v>
      </c>
    </row>
    <row r="3208" spans="1:9" ht="14.1">
      <c r="A3208" s="193">
        <v>46126</v>
      </c>
      <c r="B3208" s="145" t="s">
        <v>826</v>
      </c>
      <c r="C3208" s="150" t="s">
        <v>5512</v>
      </c>
      <c r="D3208" s="201" t="s">
        <v>1431</v>
      </c>
      <c r="E3208" s="144" t="s">
        <v>1449</v>
      </c>
      <c r="F3208" s="139" t="s">
        <v>88</v>
      </c>
      <c r="G3208" s="144" t="s">
        <v>5858</v>
      </c>
      <c r="H3208" s="146" t="s">
        <v>26</v>
      </c>
      <c r="I3208" s="144" t="s">
        <v>154</v>
      </c>
    </row>
    <row r="3209" spans="1:9" ht="25.5">
      <c r="A3209" s="193">
        <v>46126</v>
      </c>
      <c r="B3209" s="145" t="s">
        <v>826</v>
      </c>
      <c r="C3209" s="150" t="s">
        <v>5512</v>
      </c>
      <c r="D3209" s="201" t="s">
        <v>1431</v>
      </c>
      <c r="E3209" s="144" t="s">
        <v>1449</v>
      </c>
      <c r="F3209" s="139" t="s">
        <v>88</v>
      </c>
      <c r="G3209" s="144" t="s">
        <v>5859</v>
      </c>
      <c r="H3209" s="146" t="s">
        <v>26</v>
      </c>
      <c r="I3209" s="144" t="s">
        <v>154</v>
      </c>
    </row>
    <row r="3210" spans="1:9" ht="25.5">
      <c r="A3210" s="193">
        <v>46126</v>
      </c>
      <c r="B3210" s="145" t="s">
        <v>826</v>
      </c>
      <c r="C3210" s="150" t="s">
        <v>5512</v>
      </c>
      <c r="D3210" s="201" t="s">
        <v>1431</v>
      </c>
      <c r="E3210" s="144" t="s">
        <v>1449</v>
      </c>
      <c r="F3210" s="139" t="s">
        <v>88</v>
      </c>
      <c r="G3210" s="144" t="s">
        <v>5860</v>
      </c>
      <c r="H3210" s="146" t="s">
        <v>26</v>
      </c>
      <c r="I3210" s="144" t="s">
        <v>154</v>
      </c>
    </row>
    <row r="3211" spans="1:9" ht="25.5">
      <c r="A3211" s="193">
        <v>46126</v>
      </c>
      <c r="B3211" s="145" t="s">
        <v>826</v>
      </c>
      <c r="C3211" s="150" t="s">
        <v>5512</v>
      </c>
      <c r="D3211" s="201" t="s">
        <v>2224</v>
      </c>
      <c r="E3211" s="144" t="s">
        <v>1449</v>
      </c>
      <c r="F3211" s="139" t="s">
        <v>88</v>
      </c>
      <c r="G3211" s="144" t="s">
        <v>5861</v>
      </c>
      <c r="H3211" s="146" t="s">
        <v>26</v>
      </c>
      <c r="I3211" s="144" t="s">
        <v>154</v>
      </c>
    </row>
    <row r="3212" spans="1:9" ht="25.5">
      <c r="A3212" s="193">
        <v>46127</v>
      </c>
      <c r="B3212" s="145" t="s">
        <v>826</v>
      </c>
      <c r="C3212" s="150" t="s">
        <v>5512</v>
      </c>
      <c r="D3212" s="201" t="s">
        <v>1431</v>
      </c>
      <c r="E3212" s="144" t="s">
        <v>4023</v>
      </c>
      <c r="F3212" s="139" t="s">
        <v>88</v>
      </c>
      <c r="G3212" s="144" t="s">
        <v>5862</v>
      </c>
      <c r="H3212" s="146" t="s">
        <v>26</v>
      </c>
      <c r="I3212" s="144" t="s">
        <v>4339</v>
      </c>
    </row>
    <row r="3213" spans="1:9" ht="25.5">
      <c r="A3213" s="193">
        <v>46127</v>
      </c>
      <c r="B3213" s="145" t="s">
        <v>826</v>
      </c>
      <c r="C3213" s="150" t="s">
        <v>5512</v>
      </c>
      <c r="D3213" s="201" t="s">
        <v>1431</v>
      </c>
      <c r="E3213" s="144" t="s">
        <v>2423</v>
      </c>
      <c r="F3213" s="141" t="s">
        <v>821</v>
      </c>
      <c r="G3213" s="144" t="s">
        <v>5863</v>
      </c>
      <c r="H3213" s="146" t="s">
        <v>130</v>
      </c>
      <c r="I3213" s="144" t="s">
        <v>916</v>
      </c>
    </row>
    <row r="3214" spans="1:9" ht="38.1">
      <c r="A3214" s="193">
        <v>46127</v>
      </c>
      <c r="B3214" s="145" t="s">
        <v>826</v>
      </c>
      <c r="C3214" s="150" t="s">
        <v>5512</v>
      </c>
      <c r="D3214" s="201" t="s">
        <v>1431</v>
      </c>
      <c r="E3214" s="144" t="s">
        <v>216</v>
      </c>
      <c r="F3214" s="141" t="s">
        <v>821</v>
      </c>
      <c r="G3214" s="144" t="s">
        <v>5864</v>
      </c>
      <c r="H3214" s="146" t="s">
        <v>130</v>
      </c>
      <c r="I3214" s="144" t="s">
        <v>492</v>
      </c>
    </row>
    <row r="3215" spans="1:9" ht="25.5">
      <c r="A3215" s="193">
        <v>46127</v>
      </c>
      <c r="B3215" s="145" t="s">
        <v>826</v>
      </c>
      <c r="C3215" s="150" t="s">
        <v>5512</v>
      </c>
      <c r="D3215" s="201" t="s">
        <v>1431</v>
      </c>
      <c r="E3215" s="144" t="s">
        <v>21</v>
      </c>
      <c r="F3215" s="141" t="s">
        <v>821</v>
      </c>
      <c r="G3215" s="144" t="s">
        <v>5865</v>
      </c>
      <c r="H3215" s="146" t="s">
        <v>130</v>
      </c>
      <c r="I3215" s="144" t="s">
        <v>468</v>
      </c>
    </row>
    <row r="3216" spans="1:9" ht="25.5">
      <c r="A3216" s="193">
        <v>46127</v>
      </c>
      <c r="B3216" s="145" t="s">
        <v>826</v>
      </c>
      <c r="C3216" s="150" t="s">
        <v>5512</v>
      </c>
      <c r="D3216" s="201" t="s">
        <v>1431</v>
      </c>
      <c r="E3216" s="144" t="s">
        <v>1449</v>
      </c>
      <c r="F3216" s="139" t="s">
        <v>88</v>
      </c>
      <c r="G3216" s="144" t="s">
        <v>5866</v>
      </c>
      <c r="H3216" s="146" t="s">
        <v>26</v>
      </c>
      <c r="I3216" s="144" t="s">
        <v>154</v>
      </c>
    </row>
    <row r="3217" spans="1:9" ht="25.5">
      <c r="A3217" s="193">
        <v>46127</v>
      </c>
      <c r="B3217" s="145" t="s">
        <v>826</v>
      </c>
      <c r="C3217" s="150" t="s">
        <v>5512</v>
      </c>
      <c r="D3217" s="201" t="s">
        <v>1431</v>
      </c>
      <c r="E3217" s="144" t="s">
        <v>1449</v>
      </c>
      <c r="F3217" s="139" t="s">
        <v>88</v>
      </c>
      <c r="G3217" s="144" t="s">
        <v>5867</v>
      </c>
      <c r="H3217" s="146" t="s">
        <v>26</v>
      </c>
      <c r="I3217" s="144" t="s">
        <v>154</v>
      </c>
    </row>
    <row r="3218" spans="1:9" ht="14.1">
      <c r="A3218" s="193">
        <v>46127</v>
      </c>
      <c r="B3218" s="145" t="s">
        <v>826</v>
      </c>
      <c r="C3218" s="150" t="s">
        <v>5512</v>
      </c>
      <c r="D3218" s="201" t="s">
        <v>1431</v>
      </c>
      <c r="E3218" s="144" t="s">
        <v>1449</v>
      </c>
      <c r="F3218" s="139" t="s">
        <v>88</v>
      </c>
      <c r="G3218" s="144" t="s">
        <v>5868</v>
      </c>
      <c r="H3218" s="146" t="s">
        <v>26</v>
      </c>
      <c r="I3218" s="144" t="s">
        <v>154</v>
      </c>
    </row>
    <row r="3219" spans="1:9" ht="25.5">
      <c r="A3219" s="193">
        <v>46127</v>
      </c>
      <c r="B3219" s="145" t="s">
        <v>826</v>
      </c>
      <c r="C3219" s="150" t="s">
        <v>5512</v>
      </c>
      <c r="D3219" s="201" t="s">
        <v>1431</v>
      </c>
      <c r="E3219" s="144" t="s">
        <v>1449</v>
      </c>
      <c r="F3219" s="139" t="s">
        <v>88</v>
      </c>
      <c r="G3219" s="144" t="s">
        <v>5869</v>
      </c>
      <c r="H3219" s="146" t="s">
        <v>130</v>
      </c>
      <c r="I3219" s="144" t="s">
        <v>154</v>
      </c>
    </row>
    <row r="3220" spans="1:9" ht="14.1">
      <c r="A3220" s="193">
        <v>46127</v>
      </c>
      <c r="B3220" s="145" t="s">
        <v>826</v>
      </c>
      <c r="C3220" s="150" t="s">
        <v>5512</v>
      </c>
      <c r="D3220" s="201" t="s">
        <v>3881</v>
      </c>
      <c r="E3220" s="144" t="s">
        <v>216</v>
      </c>
      <c r="F3220" s="141" t="s">
        <v>821</v>
      </c>
      <c r="G3220" s="144" t="s">
        <v>5870</v>
      </c>
      <c r="H3220" s="146" t="s">
        <v>130</v>
      </c>
      <c r="I3220" s="144" t="s">
        <v>2813</v>
      </c>
    </row>
    <row r="3221" spans="1:9" ht="14.1">
      <c r="A3221" s="193">
        <v>46127</v>
      </c>
      <c r="B3221" s="145" t="s">
        <v>826</v>
      </c>
      <c r="C3221" s="150" t="s">
        <v>5512</v>
      </c>
      <c r="D3221" s="201" t="s">
        <v>2224</v>
      </c>
      <c r="E3221" s="144" t="s">
        <v>1449</v>
      </c>
      <c r="F3221" s="139" t="s">
        <v>88</v>
      </c>
      <c r="G3221" s="144" t="s">
        <v>5871</v>
      </c>
      <c r="H3221" s="146" t="s">
        <v>26</v>
      </c>
      <c r="I3221" s="144" t="s">
        <v>154</v>
      </c>
    </row>
    <row r="3222" spans="1:9" ht="63">
      <c r="A3222" s="193">
        <v>46128</v>
      </c>
      <c r="B3222" s="145" t="s">
        <v>826</v>
      </c>
      <c r="C3222" s="150" t="s">
        <v>5512</v>
      </c>
      <c r="D3222" s="201" t="s">
        <v>1431</v>
      </c>
      <c r="E3222" s="144" t="s">
        <v>1225</v>
      </c>
      <c r="F3222" s="140" t="s">
        <v>1439</v>
      </c>
      <c r="G3222" s="144" t="s">
        <v>4457</v>
      </c>
      <c r="H3222" s="146" t="s">
        <v>26</v>
      </c>
      <c r="I3222" s="144" t="s">
        <v>4356</v>
      </c>
    </row>
    <row r="3223" spans="1:9" ht="38.1">
      <c r="A3223" s="193">
        <v>46128</v>
      </c>
      <c r="B3223" s="145" t="s">
        <v>826</v>
      </c>
      <c r="C3223" s="150" t="s">
        <v>5512</v>
      </c>
      <c r="D3223" s="201" t="s">
        <v>1431</v>
      </c>
      <c r="E3223" s="144" t="s">
        <v>2423</v>
      </c>
      <c r="F3223" s="139" t="s">
        <v>88</v>
      </c>
      <c r="G3223" s="144" t="s">
        <v>5872</v>
      </c>
      <c r="H3223" s="146" t="s">
        <v>26</v>
      </c>
      <c r="I3223" s="144" t="s">
        <v>916</v>
      </c>
    </row>
    <row r="3224" spans="1:9" ht="38.1">
      <c r="A3224" s="193">
        <v>46128</v>
      </c>
      <c r="B3224" s="145" t="s">
        <v>826</v>
      </c>
      <c r="C3224" s="150" t="s">
        <v>5512</v>
      </c>
      <c r="D3224" s="201" t="s">
        <v>1431</v>
      </c>
      <c r="E3224" s="144" t="s">
        <v>1506</v>
      </c>
      <c r="F3224" s="139" t="s">
        <v>88</v>
      </c>
      <c r="G3224" s="144" t="s">
        <v>5873</v>
      </c>
      <c r="H3224" s="146" t="s">
        <v>26</v>
      </c>
      <c r="I3224" s="144" t="s">
        <v>208</v>
      </c>
    </row>
    <row r="3225" spans="1:9" ht="14.1">
      <c r="A3225" s="193">
        <v>46128</v>
      </c>
      <c r="B3225" s="145" t="s">
        <v>826</v>
      </c>
      <c r="C3225" s="150" t="s">
        <v>5512</v>
      </c>
      <c r="D3225" s="201" t="s">
        <v>1431</v>
      </c>
      <c r="E3225" s="144" t="s">
        <v>1566</v>
      </c>
      <c r="F3225" s="139" t="s">
        <v>88</v>
      </c>
      <c r="G3225" s="144" t="s">
        <v>5874</v>
      </c>
      <c r="H3225" s="146" t="s">
        <v>26</v>
      </c>
      <c r="I3225" s="144" t="s">
        <v>2640</v>
      </c>
    </row>
    <row r="3226" spans="1:9" ht="14.1">
      <c r="A3226" s="193">
        <v>46128</v>
      </c>
      <c r="B3226" s="145" t="s">
        <v>826</v>
      </c>
      <c r="C3226" s="150" t="s">
        <v>5512</v>
      </c>
      <c r="D3226" s="201" t="s">
        <v>1431</v>
      </c>
      <c r="E3226" s="144" t="s">
        <v>1449</v>
      </c>
      <c r="F3226" s="139" t="s">
        <v>88</v>
      </c>
      <c r="G3226" s="144" t="s">
        <v>5875</v>
      </c>
      <c r="H3226" s="146" t="s">
        <v>26</v>
      </c>
      <c r="I3226" s="144" t="s">
        <v>154</v>
      </c>
    </row>
    <row r="3227" spans="1:9" ht="25.5">
      <c r="A3227" s="193">
        <v>46128</v>
      </c>
      <c r="B3227" s="145" t="s">
        <v>826</v>
      </c>
      <c r="C3227" s="150" t="s">
        <v>5512</v>
      </c>
      <c r="D3227" s="201" t="s">
        <v>1431</v>
      </c>
      <c r="E3227" s="144" t="s">
        <v>1449</v>
      </c>
      <c r="F3227" s="139" t="s">
        <v>88</v>
      </c>
      <c r="G3227" s="144" t="s">
        <v>5876</v>
      </c>
      <c r="H3227" s="146" t="s">
        <v>26</v>
      </c>
      <c r="I3227" s="144" t="s">
        <v>154</v>
      </c>
    </row>
    <row r="3228" spans="1:9" ht="14.1">
      <c r="A3228" s="193">
        <v>46128</v>
      </c>
      <c r="B3228" s="145" t="s">
        <v>826</v>
      </c>
      <c r="C3228" s="150" t="s">
        <v>5512</v>
      </c>
      <c r="D3228" s="201" t="s">
        <v>1431</v>
      </c>
      <c r="E3228" s="144" t="s">
        <v>1449</v>
      </c>
      <c r="F3228" s="139" t="s">
        <v>88</v>
      </c>
      <c r="G3228" s="144" t="s">
        <v>5877</v>
      </c>
      <c r="H3228" s="146" t="s">
        <v>26</v>
      </c>
      <c r="I3228" s="144" t="s">
        <v>154</v>
      </c>
    </row>
    <row r="3229" spans="1:9" ht="25.5">
      <c r="A3229" s="193">
        <v>46128</v>
      </c>
      <c r="B3229" s="145" t="s">
        <v>826</v>
      </c>
      <c r="C3229" s="150" t="s">
        <v>5512</v>
      </c>
      <c r="D3229" s="201" t="s">
        <v>1431</v>
      </c>
      <c r="E3229" s="144" t="s">
        <v>988</v>
      </c>
      <c r="F3229" s="139" t="s">
        <v>88</v>
      </c>
      <c r="G3229" s="144" t="s">
        <v>5878</v>
      </c>
      <c r="H3229" s="146" t="s">
        <v>26</v>
      </c>
      <c r="I3229" s="144" t="s">
        <v>2700</v>
      </c>
    </row>
    <row r="3230" spans="1:9" ht="38.1">
      <c r="A3230" s="193">
        <v>46129</v>
      </c>
      <c r="B3230" s="145" t="s">
        <v>826</v>
      </c>
      <c r="C3230" s="150" t="s">
        <v>5512</v>
      </c>
      <c r="D3230" s="201" t="s">
        <v>1431</v>
      </c>
      <c r="E3230" s="144" t="s">
        <v>21</v>
      </c>
      <c r="F3230" s="141" t="s">
        <v>821</v>
      </c>
      <c r="G3230" s="144" t="s">
        <v>5879</v>
      </c>
      <c r="H3230" s="146" t="s">
        <v>130</v>
      </c>
      <c r="I3230" s="144" t="s">
        <v>452</v>
      </c>
    </row>
    <row r="3231" spans="1:9" ht="25.5">
      <c r="A3231" s="193">
        <v>46129</v>
      </c>
      <c r="B3231" s="145" t="s">
        <v>826</v>
      </c>
      <c r="C3231" s="150" t="s">
        <v>5512</v>
      </c>
      <c r="D3231" s="201" t="s">
        <v>1431</v>
      </c>
      <c r="E3231" s="144" t="s">
        <v>1225</v>
      </c>
      <c r="F3231" s="140" t="s">
        <v>1439</v>
      </c>
      <c r="G3231" s="144" t="s">
        <v>5880</v>
      </c>
      <c r="H3231" s="146" t="s">
        <v>130</v>
      </c>
      <c r="I3231" s="144" t="s">
        <v>4356</v>
      </c>
    </row>
    <row r="3232" spans="1:9" ht="14.1">
      <c r="A3232" s="193">
        <v>46129</v>
      </c>
      <c r="B3232" s="145" t="s">
        <v>826</v>
      </c>
      <c r="C3232" s="150" t="s">
        <v>5512</v>
      </c>
      <c r="D3232" s="201" t="s">
        <v>1431</v>
      </c>
      <c r="E3232" s="144" t="s">
        <v>988</v>
      </c>
      <c r="F3232" s="139" t="s">
        <v>88</v>
      </c>
      <c r="G3232" s="144" t="s">
        <v>5881</v>
      </c>
      <c r="H3232" s="146" t="s">
        <v>26</v>
      </c>
      <c r="I3232" s="144" t="s">
        <v>2700</v>
      </c>
    </row>
    <row r="3233" spans="1:9" ht="38.1">
      <c r="A3233" s="193">
        <v>46129</v>
      </c>
      <c r="B3233" s="145" t="s">
        <v>826</v>
      </c>
      <c r="C3233" s="150" t="s">
        <v>5512</v>
      </c>
      <c r="D3233" s="201" t="s">
        <v>1431</v>
      </c>
      <c r="E3233" s="144" t="s">
        <v>216</v>
      </c>
      <c r="F3233" s="141" t="s">
        <v>821</v>
      </c>
      <c r="G3233" s="144" t="s">
        <v>5882</v>
      </c>
      <c r="H3233" s="146" t="s">
        <v>130</v>
      </c>
      <c r="I3233" s="144" t="s">
        <v>492</v>
      </c>
    </row>
    <row r="3234" spans="1:9" ht="14.1">
      <c r="A3234" s="193">
        <v>46129</v>
      </c>
      <c r="B3234" s="145" t="s">
        <v>826</v>
      </c>
      <c r="C3234" s="150" t="s">
        <v>5512</v>
      </c>
      <c r="D3234" s="201" t="s">
        <v>1431</v>
      </c>
      <c r="E3234" s="144" t="s">
        <v>1566</v>
      </c>
      <c r="F3234" s="139" t="s">
        <v>88</v>
      </c>
      <c r="G3234" s="144" t="s">
        <v>5883</v>
      </c>
      <c r="H3234" s="146" t="s">
        <v>26</v>
      </c>
      <c r="I3234" s="144" t="s">
        <v>1588</v>
      </c>
    </row>
    <row r="3235" spans="1:9" ht="38.1">
      <c r="A3235" s="193">
        <v>46129</v>
      </c>
      <c r="B3235" s="145" t="s">
        <v>826</v>
      </c>
      <c r="C3235" s="150" t="s">
        <v>5512</v>
      </c>
      <c r="D3235" s="201" t="s">
        <v>1431</v>
      </c>
      <c r="E3235" s="144" t="s">
        <v>1566</v>
      </c>
      <c r="F3235" s="139" t="s">
        <v>88</v>
      </c>
      <c r="G3235" s="144" t="s">
        <v>5884</v>
      </c>
      <c r="H3235" s="146" t="s">
        <v>26</v>
      </c>
      <c r="I3235" s="144" t="s">
        <v>1588</v>
      </c>
    </row>
    <row r="3236" spans="1:9" ht="14.1">
      <c r="A3236" s="193">
        <v>46129</v>
      </c>
      <c r="B3236" s="145" t="s">
        <v>826</v>
      </c>
      <c r="C3236" s="150" t="s">
        <v>5512</v>
      </c>
      <c r="D3236" s="201" t="s">
        <v>1431</v>
      </c>
      <c r="E3236" s="144" t="s">
        <v>1449</v>
      </c>
      <c r="F3236" s="139" t="s">
        <v>88</v>
      </c>
      <c r="G3236" s="144" t="s">
        <v>5885</v>
      </c>
      <c r="H3236" s="146" t="s">
        <v>26</v>
      </c>
      <c r="I3236" s="144" t="s">
        <v>154</v>
      </c>
    </row>
    <row r="3237" spans="1:9" ht="25.5">
      <c r="A3237" s="193">
        <v>46129</v>
      </c>
      <c r="B3237" s="145" t="s">
        <v>826</v>
      </c>
      <c r="C3237" s="150" t="s">
        <v>5512</v>
      </c>
      <c r="D3237" s="201" t="s">
        <v>1431</v>
      </c>
      <c r="E3237" s="144" t="s">
        <v>1449</v>
      </c>
      <c r="F3237" s="139" t="s">
        <v>88</v>
      </c>
      <c r="G3237" s="144" t="s">
        <v>5886</v>
      </c>
      <c r="H3237" s="146" t="s">
        <v>26</v>
      </c>
      <c r="I3237" s="144" t="s">
        <v>154</v>
      </c>
    </row>
    <row r="3238" spans="1:9" ht="14.1">
      <c r="A3238" s="193">
        <v>46129</v>
      </c>
      <c r="B3238" s="145" t="s">
        <v>826</v>
      </c>
      <c r="C3238" s="150" t="s">
        <v>5512</v>
      </c>
      <c r="D3238" s="201" t="s">
        <v>1431</v>
      </c>
      <c r="E3238" s="144" t="s">
        <v>1449</v>
      </c>
      <c r="F3238" s="139" t="s">
        <v>88</v>
      </c>
      <c r="G3238" s="144" t="s">
        <v>5887</v>
      </c>
      <c r="H3238" s="146" t="s">
        <v>26</v>
      </c>
      <c r="I3238" s="144" t="s">
        <v>154</v>
      </c>
    </row>
    <row r="3239" spans="1:9" ht="14.1">
      <c r="A3239" s="193">
        <v>46129</v>
      </c>
      <c r="B3239" s="145" t="s">
        <v>826</v>
      </c>
      <c r="C3239" s="150" t="s">
        <v>5512</v>
      </c>
      <c r="D3239" s="201" t="s">
        <v>1431</v>
      </c>
      <c r="E3239" s="144" t="s">
        <v>1449</v>
      </c>
      <c r="F3239" s="139" t="s">
        <v>88</v>
      </c>
      <c r="G3239" s="144" t="s">
        <v>5888</v>
      </c>
      <c r="H3239" s="146" t="s">
        <v>26</v>
      </c>
      <c r="I3239" s="144" t="s">
        <v>154</v>
      </c>
    </row>
    <row r="3240" spans="1:9" ht="14.1">
      <c r="A3240" s="193">
        <v>46129</v>
      </c>
      <c r="B3240" s="145" t="s">
        <v>826</v>
      </c>
      <c r="C3240" s="150" t="s">
        <v>5512</v>
      </c>
      <c r="D3240" s="201" t="s">
        <v>1431</v>
      </c>
      <c r="E3240" s="144" t="s">
        <v>1449</v>
      </c>
      <c r="F3240" s="139" t="s">
        <v>88</v>
      </c>
      <c r="G3240" s="144" t="s">
        <v>5889</v>
      </c>
      <c r="H3240" s="146" t="s">
        <v>26</v>
      </c>
      <c r="I3240" s="144" t="s">
        <v>154</v>
      </c>
    </row>
    <row r="3241" spans="1:9" ht="14.1">
      <c r="A3241" s="193">
        <v>46129</v>
      </c>
      <c r="B3241" s="145" t="s">
        <v>826</v>
      </c>
      <c r="C3241" s="150" t="s">
        <v>5512</v>
      </c>
      <c r="D3241" s="201" t="s">
        <v>3886</v>
      </c>
      <c r="E3241" s="144" t="s">
        <v>21</v>
      </c>
      <c r="F3241" s="141" t="s">
        <v>821</v>
      </c>
      <c r="G3241" s="144" t="s">
        <v>5890</v>
      </c>
      <c r="H3241" s="146" t="s">
        <v>130</v>
      </c>
      <c r="I3241" s="144" t="s">
        <v>1436</v>
      </c>
    </row>
    <row r="3242" spans="1:9" ht="25.5">
      <c r="A3242" s="193">
        <v>46129</v>
      </c>
      <c r="B3242" s="145" t="s">
        <v>826</v>
      </c>
      <c r="C3242" s="150" t="s">
        <v>5512</v>
      </c>
      <c r="D3242" s="201" t="s">
        <v>2224</v>
      </c>
      <c r="E3242" s="144" t="s">
        <v>216</v>
      </c>
      <c r="F3242" s="141" t="s">
        <v>821</v>
      </c>
      <c r="G3242" s="144" t="s">
        <v>5891</v>
      </c>
      <c r="H3242" s="146" t="s">
        <v>130</v>
      </c>
      <c r="I3242" s="144" t="s">
        <v>492</v>
      </c>
    </row>
    <row r="3243" spans="1:9" ht="25.5">
      <c r="A3243" s="193">
        <v>46129</v>
      </c>
      <c r="B3243" s="145" t="s">
        <v>826</v>
      </c>
      <c r="C3243" s="150" t="s">
        <v>5512</v>
      </c>
      <c r="D3243" s="201" t="s">
        <v>2224</v>
      </c>
      <c r="E3243" s="144" t="s">
        <v>1449</v>
      </c>
      <c r="F3243" s="147" t="s">
        <v>859</v>
      </c>
      <c r="G3243" s="144" t="s">
        <v>5892</v>
      </c>
      <c r="H3243" s="146" t="s">
        <v>26</v>
      </c>
      <c r="I3243" s="144" t="s">
        <v>154</v>
      </c>
    </row>
    <row r="3244" spans="1:9" ht="14.1">
      <c r="A3244" s="193">
        <v>46132</v>
      </c>
      <c r="B3244" s="145" t="s">
        <v>826</v>
      </c>
      <c r="C3244" s="150" t="s">
        <v>5512</v>
      </c>
      <c r="D3244" s="201" t="s">
        <v>1431</v>
      </c>
      <c r="E3244" s="144" t="s">
        <v>1506</v>
      </c>
      <c r="F3244" s="139" t="s">
        <v>88</v>
      </c>
      <c r="G3244" s="144" t="s">
        <v>5893</v>
      </c>
      <c r="H3244" s="146" t="s">
        <v>26</v>
      </c>
      <c r="I3244" s="144" t="s">
        <v>208</v>
      </c>
    </row>
    <row r="3245" spans="1:9" ht="14.1">
      <c r="A3245" s="193">
        <v>46132</v>
      </c>
      <c r="B3245" s="145" t="s">
        <v>826</v>
      </c>
      <c r="C3245" s="150" t="s">
        <v>5512</v>
      </c>
      <c r="D3245" s="201" t="s">
        <v>1431</v>
      </c>
      <c r="E3245" s="144" t="s">
        <v>1506</v>
      </c>
      <c r="F3245" s="139" t="s">
        <v>88</v>
      </c>
      <c r="G3245" s="144" t="s">
        <v>5894</v>
      </c>
      <c r="H3245" s="146" t="s">
        <v>26</v>
      </c>
      <c r="I3245" s="144" t="s">
        <v>208</v>
      </c>
    </row>
    <row r="3246" spans="1:9" ht="50.45">
      <c r="A3246" s="193">
        <v>46132</v>
      </c>
      <c r="B3246" s="145" t="s">
        <v>826</v>
      </c>
      <c r="C3246" s="150" t="s">
        <v>5512</v>
      </c>
      <c r="D3246" s="201" t="s">
        <v>1431</v>
      </c>
      <c r="E3246" s="144" t="s">
        <v>5895</v>
      </c>
      <c r="F3246" s="141" t="s">
        <v>821</v>
      </c>
      <c r="G3246" s="144" t="s">
        <v>5896</v>
      </c>
      <c r="H3246" s="146" t="s">
        <v>130</v>
      </c>
      <c r="I3246" s="144" t="s">
        <v>492</v>
      </c>
    </row>
    <row r="3247" spans="1:9" ht="25.5">
      <c r="A3247" s="193">
        <v>46132</v>
      </c>
      <c r="B3247" s="145" t="s">
        <v>826</v>
      </c>
      <c r="C3247" s="150" t="s">
        <v>5512</v>
      </c>
      <c r="D3247" s="201" t="s">
        <v>1431</v>
      </c>
      <c r="E3247" s="144" t="s">
        <v>216</v>
      </c>
      <c r="F3247" s="141" t="s">
        <v>821</v>
      </c>
      <c r="G3247" s="144" t="s">
        <v>5897</v>
      </c>
      <c r="H3247" s="146" t="s">
        <v>130</v>
      </c>
      <c r="I3247" s="144" t="s">
        <v>492</v>
      </c>
    </row>
    <row r="3248" spans="1:9" ht="25.5">
      <c r="A3248" s="193">
        <v>46132</v>
      </c>
      <c r="B3248" s="145" t="s">
        <v>826</v>
      </c>
      <c r="C3248" s="150" t="s">
        <v>5512</v>
      </c>
      <c r="D3248" s="201" t="s">
        <v>1431</v>
      </c>
      <c r="E3248" s="144" t="s">
        <v>1566</v>
      </c>
      <c r="F3248" s="139" t="s">
        <v>88</v>
      </c>
      <c r="G3248" s="144" t="s">
        <v>5898</v>
      </c>
      <c r="H3248" s="146" t="s">
        <v>26</v>
      </c>
      <c r="I3248" s="144" t="s">
        <v>2640</v>
      </c>
    </row>
    <row r="3249" spans="1:9" ht="25.5">
      <c r="A3249" s="193">
        <v>46132</v>
      </c>
      <c r="B3249" s="145" t="s">
        <v>826</v>
      </c>
      <c r="C3249" s="150" t="s">
        <v>5512</v>
      </c>
      <c r="D3249" s="201" t="s">
        <v>1431</v>
      </c>
      <c r="E3249" s="144" t="s">
        <v>1566</v>
      </c>
      <c r="F3249" s="139" t="s">
        <v>88</v>
      </c>
      <c r="G3249" s="144" t="s">
        <v>5899</v>
      </c>
      <c r="H3249" s="146" t="s">
        <v>26</v>
      </c>
      <c r="I3249" s="144" t="s">
        <v>2640</v>
      </c>
    </row>
    <row r="3250" spans="1:9" ht="14.1">
      <c r="A3250" s="193">
        <v>46132</v>
      </c>
      <c r="B3250" s="145" t="s">
        <v>826</v>
      </c>
      <c r="C3250" s="150" t="s">
        <v>5512</v>
      </c>
      <c r="D3250" s="201" t="s">
        <v>1431</v>
      </c>
      <c r="E3250" s="144" t="s">
        <v>1449</v>
      </c>
      <c r="F3250" s="139" t="s">
        <v>88</v>
      </c>
      <c r="G3250" s="144" t="s">
        <v>5900</v>
      </c>
      <c r="H3250" s="146" t="s">
        <v>26</v>
      </c>
      <c r="I3250" s="144" t="s">
        <v>154</v>
      </c>
    </row>
    <row r="3251" spans="1:9" ht="14.1">
      <c r="A3251" s="193">
        <v>46132</v>
      </c>
      <c r="B3251" s="145" t="s">
        <v>826</v>
      </c>
      <c r="C3251" s="150" t="s">
        <v>5512</v>
      </c>
      <c r="D3251" s="201" t="s">
        <v>1431</v>
      </c>
      <c r="E3251" s="144" t="s">
        <v>1449</v>
      </c>
      <c r="F3251" s="139" t="s">
        <v>88</v>
      </c>
      <c r="G3251" s="144" t="s">
        <v>5901</v>
      </c>
      <c r="H3251" s="146" t="s">
        <v>26</v>
      </c>
      <c r="I3251" s="144" t="s">
        <v>154</v>
      </c>
    </row>
    <row r="3252" spans="1:9" ht="14.1">
      <c r="A3252" s="193">
        <v>46132</v>
      </c>
      <c r="B3252" s="145" t="s">
        <v>826</v>
      </c>
      <c r="C3252" s="150" t="s">
        <v>5512</v>
      </c>
      <c r="D3252" s="201" t="s">
        <v>1431</v>
      </c>
      <c r="E3252" s="144" t="s">
        <v>1449</v>
      </c>
      <c r="F3252" s="139" t="s">
        <v>88</v>
      </c>
      <c r="G3252" s="144" t="s">
        <v>5902</v>
      </c>
      <c r="H3252" s="146" t="s">
        <v>26</v>
      </c>
      <c r="I3252" s="144" t="s">
        <v>154</v>
      </c>
    </row>
    <row r="3253" spans="1:9" ht="25.5">
      <c r="A3253" s="193">
        <v>46132</v>
      </c>
      <c r="B3253" s="145" t="s">
        <v>826</v>
      </c>
      <c r="C3253" s="150" t="s">
        <v>5512</v>
      </c>
      <c r="D3253" s="201" t="s">
        <v>1431</v>
      </c>
      <c r="E3253" s="144" t="s">
        <v>1449</v>
      </c>
      <c r="F3253" s="139" t="s">
        <v>88</v>
      </c>
      <c r="G3253" s="144" t="s">
        <v>5903</v>
      </c>
      <c r="H3253" s="146" t="s">
        <v>26</v>
      </c>
      <c r="I3253" s="144" t="s">
        <v>154</v>
      </c>
    </row>
    <row r="3254" spans="1:9" ht="14.1">
      <c r="A3254" s="193">
        <v>46132</v>
      </c>
      <c r="B3254" s="145" t="s">
        <v>826</v>
      </c>
      <c r="C3254" s="150" t="s">
        <v>5512</v>
      </c>
      <c r="D3254" s="201" t="s">
        <v>1431</v>
      </c>
      <c r="E3254" s="144" t="s">
        <v>1449</v>
      </c>
      <c r="F3254" s="139" t="s">
        <v>88</v>
      </c>
      <c r="G3254" s="144" t="s">
        <v>5904</v>
      </c>
      <c r="H3254" s="146" t="s">
        <v>26</v>
      </c>
      <c r="I3254" s="144" t="s">
        <v>154</v>
      </c>
    </row>
    <row r="3255" spans="1:9" ht="25.5">
      <c r="A3255" s="193">
        <v>46132</v>
      </c>
      <c r="B3255" s="145" t="s">
        <v>826</v>
      </c>
      <c r="C3255" s="150" t="s">
        <v>5512</v>
      </c>
      <c r="D3255" s="201" t="s">
        <v>1431</v>
      </c>
      <c r="E3255" s="144" t="s">
        <v>1506</v>
      </c>
      <c r="F3255" s="139" t="s">
        <v>88</v>
      </c>
      <c r="G3255" s="144" t="s">
        <v>5905</v>
      </c>
      <c r="H3255" s="146" t="s">
        <v>130</v>
      </c>
      <c r="I3255" s="144" t="s">
        <v>1436</v>
      </c>
    </row>
    <row r="3256" spans="1:9" ht="38.1">
      <c r="A3256" s="193">
        <v>46132</v>
      </c>
      <c r="B3256" s="145" t="s">
        <v>826</v>
      </c>
      <c r="C3256" s="150" t="s">
        <v>5512</v>
      </c>
      <c r="D3256" s="201" t="s">
        <v>2224</v>
      </c>
      <c r="E3256" s="144" t="s">
        <v>1449</v>
      </c>
      <c r="F3256" s="147" t="s">
        <v>859</v>
      </c>
      <c r="G3256" s="144" t="s">
        <v>5906</v>
      </c>
      <c r="H3256" s="146" t="s">
        <v>26</v>
      </c>
      <c r="I3256" s="144" t="s">
        <v>154</v>
      </c>
    </row>
    <row r="3257" spans="1:9" ht="38.1">
      <c r="A3257" s="193">
        <v>46132</v>
      </c>
      <c r="B3257" s="145" t="s">
        <v>826</v>
      </c>
      <c r="C3257" s="150" t="s">
        <v>5512</v>
      </c>
      <c r="D3257" s="201" t="s">
        <v>1431</v>
      </c>
      <c r="E3257" s="144" t="s">
        <v>1566</v>
      </c>
      <c r="F3257" s="139" t="s">
        <v>88</v>
      </c>
      <c r="G3257" s="144" t="s">
        <v>5907</v>
      </c>
      <c r="H3257" s="146" t="s">
        <v>26</v>
      </c>
      <c r="I3257" s="144" t="s">
        <v>2640</v>
      </c>
    </row>
    <row r="3258" spans="1:9" ht="14.1">
      <c r="A3258" s="193">
        <v>46132</v>
      </c>
      <c r="B3258" s="145" t="s">
        <v>826</v>
      </c>
      <c r="C3258" s="150" t="s">
        <v>5512</v>
      </c>
      <c r="D3258" s="201" t="s">
        <v>1431</v>
      </c>
      <c r="E3258" s="144" t="s">
        <v>1566</v>
      </c>
      <c r="F3258" s="139" t="s">
        <v>88</v>
      </c>
      <c r="G3258" s="144" t="s">
        <v>5908</v>
      </c>
      <c r="H3258" s="146" t="s">
        <v>26</v>
      </c>
      <c r="I3258" s="144" t="s">
        <v>2640</v>
      </c>
    </row>
    <row r="3259" spans="1:9" ht="25.5">
      <c r="A3259" s="193">
        <v>46134</v>
      </c>
      <c r="B3259" s="145" t="s">
        <v>826</v>
      </c>
      <c r="C3259" s="150" t="s">
        <v>5512</v>
      </c>
      <c r="D3259" s="201" t="s">
        <v>1431</v>
      </c>
      <c r="E3259" s="144" t="s">
        <v>1225</v>
      </c>
      <c r="F3259" s="140" t="s">
        <v>1439</v>
      </c>
      <c r="G3259" s="144" t="s">
        <v>5909</v>
      </c>
      <c r="H3259" s="146" t="s">
        <v>26</v>
      </c>
      <c r="I3259" s="144" t="s">
        <v>925</v>
      </c>
    </row>
    <row r="3260" spans="1:9" ht="14.1">
      <c r="A3260" s="193">
        <v>46134</v>
      </c>
      <c r="B3260" s="145" t="s">
        <v>826</v>
      </c>
      <c r="C3260" s="150" t="s">
        <v>5512</v>
      </c>
      <c r="D3260" s="201" t="s">
        <v>1431</v>
      </c>
      <c r="E3260" s="144" t="s">
        <v>988</v>
      </c>
      <c r="F3260" s="139" t="s">
        <v>88</v>
      </c>
      <c r="G3260" s="144" t="s">
        <v>5910</v>
      </c>
      <c r="H3260" s="146" t="s">
        <v>26</v>
      </c>
      <c r="I3260" s="144" t="s">
        <v>2700</v>
      </c>
    </row>
    <row r="3261" spans="1:9" ht="50.45">
      <c r="A3261" s="193">
        <v>46134</v>
      </c>
      <c r="B3261" s="145" t="s">
        <v>826</v>
      </c>
      <c r="C3261" s="150" t="s">
        <v>5512</v>
      </c>
      <c r="D3261" s="201" t="s">
        <v>1431</v>
      </c>
      <c r="E3261" s="144" t="s">
        <v>988</v>
      </c>
      <c r="F3261" s="139" t="s">
        <v>88</v>
      </c>
      <c r="G3261" s="144" t="s">
        <v>5911</v>
      </c>
      <c r="H3261" s="146" t="s">
        <v>130</v>
      </c>
      <c r="I3261" s="144" t="s">
        <v>2700</v>
      </c>
    </row>
    <row r="3262" spans="1:9" ht="38.1">
      <c r="A3262" s="193">
        <v>46134</v>
      </c>
      <c r="B3262" s="145" t="s">
        <v>826</v>
      </c>
      <c r="C3262" s="150" t="s">
        <v>5512</v>
      </c>
      <c r="D3262" s="201" t="s">
        <v>1431</v>
      </c>
      <c r="E3262" s="144" t="s">
        <v>2244</v>
      </c>
      <c r="F3262" s="142" t="s">
        <v>872</v>
      </c>
      <c r="G3262" s="144" t="s">
        <v>5912</v>
      </c>
      <c r="H3262" s="146" t="s">
        <v>26</v>
      </c>
      <c r="I3262" s="144" t="s">
        <v>1904</v>
      </c>
    </row>
    <row r="3263" spans="1:9" ht="25.5">
      <c r="A3263" s="193">
        <v>46134</v>
      </c>
      <c r="B3263" s="145" t="s">
        <v>826</v>
      </c>
      <c r="C3263" s="150" t="s">
        <v>5512</v>
      </c>
      <c r="D3263" s="201" t="s">
        <v>1431</v>
      </c>
      <c r="E3263" s="144" t="s">
        <v>1504</v>
      </c>
      <c r="F3263" s="141" t="s">
        <v>821</v>
      </c>
      <c r="G3263" s="144" t="s">
        <v>5913</v>
      </c>
      <c r="H3263" s="146" t="s">
        <v>26</v>
      </c>
      <c r="I3263" s="144" t="s">
        <v>5914</v>
      </c>
    </row>
    <row r="3264" spans="1:9" ht="25.5">
      <c r="A3264" s="193">
        <v>46134</v>
      </c>
      <c r="B3264" s="145" t="s">
        <v>826</v>
      </c>
      <c r="C3264" s="150" t="s">
        <v>5512</v>
      </c>
      <c r="D3264" s="201" t="s">
        <v>1431</v>
      </c>
      <c r="E3264" s="144" t="s">
        <v>1506</v>
      </c>
      <c r="F3264" s="141" t="s">
        <v>821</v>
      </c>
      <c r="G3264" s="144" t="s">
        <v>5915</v>
      </c>
      <c r="H3264" s="146" t="s">
        <v>130</v>
      </c>
      <c r="I3264" s="144" t="s">
        <v>208</v>
      </c>
    </row>
    <row r="3265" spans="1:9" ht="38.1">
      <c r="A3265" s="193">
        <v>46134</v>
      </c>
      <c r="B3265" s="145" t="s">
        <v>826</v>
      </c>
      <c r="C3265" s="150" t="s">
        <v>5512</v>
      </c>
      <c r="D3265" s="201" t="s">
        <v>1431</v>
      </c>
      <c r="E3265" s="144" t="s">
        <v>1518</v>
      </c>
      <c r="F3265" s="140" t="s">
        <v>1439</v>
      </c>
      <c r="G3265" s="144" t="s">
        <v>5916</v>
      </c>
      <c r="H3265" s="146" t="s">
        <v>130</v>
      </c>
      <c r="I3265" s="144" t="s">
        <v>118</v>
      </c>
    </row>
    <row r="3266" spans="1:9" ht="14.1">
      <c r="A3266" s="193">
        <v>46134</v>
      </c>
      <c r="B3266" s="145" t="s">
        <v>826</v>
      </c>
      <c r="C3266" s="150" t="s">
        <v>5512</v>
      </c>
      <c r="D3266" s="201" t="s">
        <v>1431</v>
      </c>
      <c r="E3266" s="144" t="s">
        <v>216</v>
      </c>
      <c r="F3266" s="141" t="s">
        <v>821</v>
      </c>
      <c r="G3266" s="144" t="s">
        <v>5917</v>
      </c>
      <c r="H3266" s="146" t="s">
        <v>130</v>
      </c>
      <c r="I3266" s="144" t="s">
        <v>492</v>
      </c>
    </row>
    <row r="3267" spans="1:9" ht="25.5">
      <c r="A3267" s="193">
        <v>46134</v>
      </c>
      <c r="B3267" s="145" t="s">
        <v>826</v>
      </c>
      <c r="C3267" s="150" t="s">
        <v>5512</v>
      </c>
      <c r="D3267" s="201" t="s">
        <v>1431</v>
      </c>
      <c r="E3267" s="144" t="s">
        <v>216</v>
      </c>
      <c r="F3267" s="141" t="s">
        <v>821</v>
      </c>
      <c r="G3267" s="144" t="s">
        <v>5918</v>
      </c>
      <c r="H3267" s="146" t="s">
        <v>26</v>
      </c>
      <c r="I3267" s="144" t="s">
        <v>492</v>
      </c>
    </row>
    <row r="3268" spans="1:9" ht="25.5">
      <c r="A3268" s="193">
        <v>46134</v>
      </c>
      <c r="B3268" s="145" t="s">
        <v>826</v>
      </c>
      <c r="C3268" s="150" t="s">
        <v>5512</v>
      </c>
      <c r="D3268" s="201" t="s">
        <v>1431</v>
      </c>
      <c r="E3268" s="144" t="s">
        <v>216</v>
      </c>
      <c r="F3268" s="141" t="s">
        <v>821</v>
      </c>
      <c r="G3268" s="144" t="s">
        <v>5919</v>
      </c>
      <c r="H3268" s="146" t="s">
        <v>26</v>
      </c>
      <c r="I3268" s="144" t="s">
        <v>492</v>
      </c>
    </row>
    <row r="3269" spans="1:9" ht="25.5">
      <c r="A3269" s="193">
        <v>46134</v>
      </c>
      <c r="B3269" s="145" t="s">
        <v>826</v>
      </c>
      <c r="C3269" s="150" t="s">
        <v>5512</v>
      </c>
      <c r="D3269" s="201" t="s">
        <v>1431</v>
      </c>
      <c r="E3269" s="144" t="s">
        <v>1449</v>
      </c>
      <c r="F3269" s="139" t="s">
        <v>88</v>
      </c>
      <c r="G3269" s="144" t="s">
        <v>5920</v>
      </c>
      <c r="H3269" s="146" t="s">
        <v>26</v>
      </c>
      <c r="I3269" s="144" t="s">
        <v>154</v>
      </c>
    </row>
    <row r="3270" spans="1:9" ht="25.5">
      <c r="A3270" s="193">
        <v>46134</v>
      </c>
      <c r="B3270" s="145" t="s">
        <v>826</v>
      </c>
      <c r="C3270" s="150" t="s">
        <v>5512</v>
      </c>
      <c r="D3270" s="201" t="s">
        <v>1431</v>
      </c>
      <c r="E3270" s="144" t="s">
        <v>1449</v>
      </c>
      <c r="F3270" s="139" t="s">
        <v>88</v>
      </c>
      <c r="G3270" s="144" t="s">
        <v>5921</v>
      </c>
      <c r="H3270" s="146" t="s">
        <v>26</v>
      </c>
      <c r="I3270" s="144" t="s">
        <v>154</v>
      </c>
    </row>
    <row r="3271" spans="1:9" ht="25.5">
      <c r="A3271" s="193">
        <v>46134</v>
      </c>
      <c r="B3271" s="145" t="s">
        <v>826</v>
      </c>
      <c r="C3271" s="150" t="s">
        <v>5512</v>
      </c>
      <c r="D3271" s="201" t="s">
        <v>1431</v>
      </c>
      <c r="E3271" s="144" t="s">
        <v>1449</v>
      </c>
      <c r="F3271" s="139" t="s">
        <v>88</v>
      </c>
      <c r="G3271" s="144" t="s">
        <v>5922</v>
      </c>
      <c r="H3271" s="146" t="s">
        <v>26</v>
      </c>
      <c r="I3271" s="144" t="s">
        <v>154</v>
      </c>
    </row>
    <row r="3272" spans="1:9" ht="25.5">
      <c r="A3272" s="193">
        <v>46134</v>
      </c>
      <c r="B3272" s="145" t="s">
        <v>826</v>
      </c>
      <c r="C3272" s="150" t="s">
        <v>5512</v>
      </c>
      <c r="D3272" s="201" t="s">
        <v>2224</v>
      </c>
      <c r="E3272" s="144" t="s">
        <v>1449</v>
      </c>
      <c r="F3272" s="147" t="s">
        <v>859</v>
      </c>
      <c r="G3272" s="144" t="s">
        <v>5923</v>
      </c>
      <c r="H3272" s="146" t="s">
        <v>26</v>
      </c>
      <c r="I3272" s="144" t="s">
        <v>154</v>
      </c>
    </row>
    <row r="3273" spans="1:9" ht="25.5">
      <c r="A3273" s="193">
        <v>46134</v>
      </c>
      <c r="B3273" s="145" t="s">
        <v>826</v>
      </c>
      <c r="C3273" s="150" t="s">
        <v>5512</v>
      </c>
      <c r="D3273" s="201" t="s">
        <v>1431</v>
      </c>
      <c r="E3273" s="144" t="s">
        <v>1566</v>
      </c>
      <c r="F3273" s="139" t="s">
        <v>88</v>
      </c>
      <c r="G3273" s="144" t="s">
        <v>5924</v>
      </c>
      <c r="H3273" s="146" t="s">
        <v>26</v>
      </c>
      <c r="I3273" s="144" t="s">
        <v>2640</v>
      </c>
    </row>
    <row r="3274" spans="1:9" ht="25.5">
      <c r="A3274" s="193">
        <v>46134</v>
      </c>
      <c r="B3274" s="145" t="s">
        <v>826</v>
      </c>
      <c r="C3274" s="150" t="s">
        <v>5512</v>
      </c>
      <c r="D3274" s="201" t="s">
        <v>1431</v>
      </c>
      <c r="E3274" s="144" t="s">
        <v>1566</v>
      </c>
      <c r="F3274" s="139" t="s">
        <v>88</v>
      </c>
      <c r="G3274" s="144" t="s">
        <v>5925</v>
      </c>
      <c r="H3274" s="146" t="s">
        <v>26</v>
      </c>
      <c r="I3274" s="144" t="s">
        <v>492</v>
      </c>
    </row>
    <row r="3275" spans="1:9" ht="63">
      <c r="A3275" s="193">
        <v>46135</v>
      </c>
      <c r="B3275" s="145" t="s">
        <v>826</v>
      </c>
      <c r="C3275" s="150" t="s">
        <v>5512</v>
      </c>
      <c r="D3275" s="201" t="s">
        <v>1431</v>
      </c>
      <c r="E3275" s="144" t="s">
        <v>1504</v>
      </c>
      <c r="F3275" s="141" t="s">
        <v>821</v>
      </c>
      <c r="G3275" s="144" t="s">
        <v>4479</v>
      </c>
      <c r="H3275" s="146" t="s">
        <v>130</v>
      </c>
      <c r="I3275" s="144" t="s">
        <v>492</v>
      </c>
    </row>
    <row r="3276" spans="1:9" ht="50.45">
      <c r="A3276" s="193">
        <v>46135</v>
      </c>
      <c r="B3276" s="145" t="s">
        <v>826</v>
      </c>
      <c r="C3276" s="150" t="s">
        <v>5512</v>
      </c>
      <c r="D3276" s="201" t="s">
        <v>1431</v>
      </c>
      <c r="E3276" s="144" t="s">
        <v>216</v>
      </c>
      <c r="F3276" s="141" t="s">
        <v>821</v>
      </c>
      <c r="G3276" s="144" t="s">
        <v>5926</v>
      </c>
      <c r="H3276" s="146" t="s">
        <v>130</v>
      </c>
      <c r="I3276" s="144" t="s">
        <v>492</v>
      </c>
    </row>
    <row r="3277" spans="1:9" ht="38.1">
      <c r="A3277" s="193">
        <v>46135</v>
      </c>
      <c r="B3277" s="145" t="s">
        <v>826</v>
      </c>
      <c r="C3277" s="150" t="s">
        <v>5512</v>
      </c>
      <c r="D3277" s="201" t="s">
        <v>1431</v>
      </c>
      <c r="E3277" s="144" t="s">
        <v>21</v>
      </c>
      <c r="F3277" s="141" t="s">
        <v>821</v>
      </c>
      <c r="G3277" s="144" t="s">
        <v>5927</v>
      </c>
      <c r="H3277" s="146" t="s">
        <v>130</v>
      </c>
      <c r="I3277" s="144" t="s">
        <v>2993</v>
      </c>
    </row>
    <row r="3278" spans="1:9" ht="50.45">
      <c r="A3278" s="193">
        <v>46135</v>
      </c>
      <c r="B3278" s="145" t="s">
        <v>826</v>
      </c>
      <c r="C3278" s="150" t="s">
        <v>5512</v>
      </c>
      <c r="D3278" s="201" t="s">
        <v>2224</v>
      </c>
      <c r="E3278" s="144" t="s">
        <v>21</v>
      </c>
      <c r="F3278" s="141" t="s">
        <v>821</v>
      </c>
      <c r="G3278" s="144" t="s">
        <v>4481</v>
      </c>
      <c r="H3278" s="146" t="s">
        <v>26</v>
      </c>
      <c r="I3278" s="144" t="s">
        <v>2993</v>
      </c>
    </row>
    <row r="3279" spans="1:9" ht="14.1">
      <c r="A3279" s="193">
        <v>46135</v>
      </c>
      <c r="B3279" s="145" t="s">
        <v>826</v>
      </c>
      <c r="C3279" s="150" t="s">
        <v>5512</v>
      </c>
      <c r="D3279" s="201" t="s">
        <v>2224</v>
      </c>
      <c r="E3279" s="144" t="s">
        <v>216</v>
      </c>
      <c r="F3279" s="141" t="s">
        <v>821</v>
      </c>
      <c r="G3279" s="144" t="s">
        <v>5928</v>
      </c>
      <c r="H3279" s="146" t="s">
        <v>130</v>
      </c>
      <c r="I3279" s="144" t="s">
        <v>492</v>
      </c>
    </row>
    <row r="3280" spans="1:9" ht="25.5">
      <c r="A3280" s="193">
        <v>46136</v>
      </c>
      <c r="B3280" s="145" t="s">
        <v>826</v>
      </c>
      <c r="C3280" s="150" t="s">
        <v>5512</v>
      </c>
      <c r="D3280" s="201" t="s">
        <v>1431</v>
      </c>
      <c r="E3280" s="144" t="s">
        <v>988</v>
      </c>
      <c r="F3280" s="139" t="s">
        <v>88</v>
      </c>
      <c r="G3280" s="144" t="s">
        <v>5929</v>
      </c>
      <c r="H3280" s="146" t="s">
        <v>26</v>
      </c>
      <c r="I3280" s="144" t="s">
        <v>2700</v>
      </c>
    </row>
    <row r="3281" spans="1:9" ht="63">
      <c r="A3281" s="193">
        <v>46136</v>
      </c>
      <c r="B3281" s="145" t="s">
        <v>826</v>
      </c>
      <c r="C3281" s="150" t="s">
        <v>5512</v>
      </c>
      <c r="D3281" s="201" t="s">
        <v>1431</v>
      </c>
      <c r="E3281" s="144" t="s">
        <v>21</v>
      </c>
      <c r="F3281" s="141" t="s">
        <v>821</v>
      </c>
      <c r="G3281" s="144" t="s">
        <v>4483</v>
      </c>
      <c r="H3281" s="146" t="s">
        <v>130</v>
      </c>
      <c r="I3281" s="144" t="s">
        <v>4339</v>
      </c>
    </row>
    <row r="3282" spans="1:9" ht="14.1">
      <c r="A3282" s="193">
        <v>46136</v>
      </c>
      <c r="B3282" s="145" t="s">
        <v>826</v>
      </c>
      <c r="C3282" s="150" t="s">
        <v>5512</v>
      </c>
      <c r="D3282" s="201" t="s">
        <v>1431</v>
      </c>
      <c r="E3282" s="144" t="s">
        <v>988</v>
      </c>
      <c r="F3282" s="139" t="s">
        <v>88</v>
      </c>
      <c r="G3282" s="144" t="s">
        <v>5930</v>
      </c>
      <c r="H3282" s="146" t="s">
        <v>26</v>
      </c>
      <c r="I3282" s="144" t="s">
        <v>4339</v>
      </c>
    </row>
    <row r="3283" spans="1:9" ht="38.1">
      <c r="A3283" s="193">
        <v>46136</v>
      </c>
      <c r="B3283" s="145" t="s">
        <v>826</v>
      </c>
      <c r="C3283" s="150" t="s">
        <v>5512</v>
      </c>
      <c r="D3283" s="201" t="s">
        <v>1431</v>
      </c>
      <c r="E3283" s="144" t="s">
        <v>988</v>
      </c>
      <c r="F3283" s="139" t="s">
        <v>88</v>
      </c>
      <c r="G3283" s="144" t="s">
        <v>5931</v>
      </c>
      <c r="H3283" s="146" t="s">
        <v>26</v>
      </c>
      <c r="I3283" s="144" t="s">
        <v>4339</v>
      </c>
    </row>
    <row r="3284" spans="1:9" ht="25.5">
      <c r="A3284" s="193">
        <v>46136</v>
      </c>
      <c r="B3284" s="145" t="s">
        <v>826</v>
      </c>
      <c r="C3284" s="150" t="s">
        <v>5512</v>
      </c>
      <c r="D3284" s="201" t="s">
        <v>1431</v>
      </c>
      <c r="E3284" s="144" t="s">
        <v>1506</v>
      </c>
      <c r="F3284" s="141" t="s">
        <v>821</v>
      </c>
      <c r="G3284" s="144" t="s">
        <v>4485</v>
      </c>
      <c r="H3284" s="146" t="s">
        <v>130</v>
      </c>
      <c r="I3284" s="144" t="s">
        <v>208</v>
      </c>
    </row>
    <row r="3285" spans="1:9" ht="38.1">
      <c r="A3285" s="193">
        <v>46136</v>
      </c>
      <c r="B3285" s="145" t="s">
        <v>826</v>
      </c>
      <c r="C3285" s="150" t="s">
        <v>5512</v>
      </c>
      <c r="D3285" s="201" t="s">
        <v>1431</v>
      </c>
      <c r="E3285" s="144" t="s">
        <v>216</v>
      </c>
      <c r="F3285" s="141" t="s">
        <v>821</v>
      </c>
      <c r="G3285" s="144" t="s">
        <v>5932</v>
      </c>
      <c r="H3285" s="146" t="s">
        <v>130</v>
      </c>
      <c r="I3285" s="144" t="s">
        <v>492</v>
      </c>
    </row>
    <row r="3286" spans="1:9" ht="38.1">
      <c r="A3286" s="193">
        <v>46136</v>
      </c>
      <c r="B3286" s="145" t="s">
        <v>826</v>
      </c>
      <c r="C3286" s="150" t="s">
        <v>5512</v>
      </c>
      <c r="D3286" s="201" t="s">
        <v>1431</v>
      </c>
      <c r="E3286" s="144" t="s">
        <v>216</v>
      </c>
      <c r="F3286" s="141" t="s">
        <v>821</v>
      </c>
      <c r="G3286" s="144" t="s">
        <v>5933</v>
      </c>
      <c r="H3286" s="146" t="s">
        <v>130</v>
      </c>
      <c r="I3286" s="144" t="s">
        <v>492</v>
      </c>
    </row>
    <row r="3287" spans="1:9" ht="25.5">
      <c r="A3287" s="193">
        <v>46136</v>
      </c>
      <c r="B3287" s="145" t="s">
        <v>826</v>
      </c>
      <c r="C3287" s="150" t="s">
        <v>5512</v>
      </c>
      <c r="D3287" s="201" t="s">
        <v>1431</v>
      </c>
      <c r="E3287" s="144" t="s">
        <v>216</v>
      </c>
      <c r="F3287" s="141" t="s">
        <v>821</v>
      </c>
      <c r="G3287" s="144" t="s">
        <v>5934</v>
      </c>
      <c r="H3287" s="146" t="s">
        <v>130</v>
      </c>
      <c r="I3287" s="144" t="s">
        <v>492</v>
      </c>
    </row>
    <row r="3288" spans="1:9" ht="25.5">
      <c r="A3288" s="193">
        <v>46136</v>
      </c>
      <c r="B3288" s="145" t="s">
        <v>826</v>
      </c>
      <c r="C3288" s="150" t="s">
        <v>5512</v>
      </c>
      <c r="D3288" s="201" t="s">
        <v>1431</v>
      </c>
      <c r="E3288" s="144" t="s">
        <v>216</v>
      </c>
      <c r="F3288" s="141" t="s">
        <v>821</v>
      </c>
      <c r="G3288" s="144" t="s">
        <v>5935</v>
      </c>
      <c r="H3288" s="146" t="s">
        <v>130</v>
      </c>
      <c r="I3288" s="144" t="s">
        <v>5936</v>
      </c>
    </row>
    <row r="3289" spans="1:9" ht="14.1">
      <c r="A3289" s="193">
        <v>46136</v>
      </c>
      <c r="B3289" s="145" t="s">
        <v>826</v>
      </c>
      <c r="C3289" s="150" t="s">
        <v>5512</v>
      </c>
      <c r="D3289" s="201" t="s">
        <v>1431</v>
      </c>
      <c r="E3289" s="144" t="s">
        <v>1449</v>
      </c>
      <c r="F3289" s="139" t="s">
        <v>88</v>
      </c>
      <c r="G3289" s="144" t="s">
        <v>5937</v>
      </c>
      <c r="H3289" s="146" t="s">
        <v>26</v>
      </c>
      <c r="I3289" s="144" t="s">
        <v>154</v>
      </c>
    </row>
    <row r="3290" spans="1:9" ht="25.5">
      <c r="A3290" s="193">
        <v>46136</v>
      </c>
      <c r="B3290" s="145" t="s">
        <v>826</v>
      </c>
      <c r="C3290" s="150" t="s">
        <v>5512</v>
      </c>
      <c r="D3290" s="201" t="s">
        <v>1431</v>
      </c>
      <c r="E3290" s="144" t="s">
        <v>1449</v>
      </c>
      <c r="F3290" s="139" t="s">
        <v>88</v>
      </c>
      <c r="G3290" s="144" t="s">
        <v>5938</v>
      </c>
      <c r="H3290" s="146" t="s">
        <v>26</v>
      </c>
      <c r="I3290" s="144" t="s">
        <v>154</v>
      </c>
    </row>
    <row r="3291" spans="1:9" ht="38.1">
      <c r="A3291" s="193">
        <v>46136</v>
      </c>
      <c r="B3291" s="145" t="s">
        <v>826</v>
      </c>
      <c r="C3291" s="150" t="s">
        <v>5512</v>
      </c>
      <c r="D3291" s="201" t="s">
        <v>2224</v>
      </c>
      <c r="E3291" s="144" t="s">
        <v>21</v>
      </c>
      <c r="F3291" s="141" t="s">
        <v>821</v>
      </c>
      <c r="G3291" s="144" t="s">
        <v>4482</v>
      </c>
      <c r="H3291" s="146" t="s">
        <v>26</v>
      </c>
      <c r="I3291" s="144" t="s">
        <v>2993</v>
      </c>
    </row>
    <row r="3292" spans="1:9" ht="25.5">
      <c r="A3292" s="193">
        <v>46139</v>
      </c>
      <c r="B3292" s="145" t="s">
        <v>826</v>
      </c>
      <c r="C3292" s="150" t="s">
        <v>5512</v>
      </c>
      <c r="D3292" s="201" t="s">
        <v>1431</v>
      </c>
      <c r="E3292" s="144" t="s">
        <v>21</v>
      </c>
      <c r="F3292" s="141" t="s">
        <v>821</v>
      </c>
      <c r="G3292" s="144" t="s">
        <v>5939</v>
      </c>
      <c r="H3292" s="146" t="s">
        <v>130</v>
      </c>
      <c r="I3292" s="144" t="s">
        <v>578</v>
      </c>
    </row>
    <row r="3293" spans="1:9" ht="25.5">
      <c r="A3293" s="193">
        <v>46139</v>
      </c>
      <c r="B3293" s="145" t="s">
        <v>826</v>
      </c>
      <c r="C3293" s="150" t="s">
        <v>5512</v>
      </c>
      <c r="D3293" s="201" t="s">
        <v>1431</v>
      </c>
      <c r="E3293" s="144" t="s">
        <v>1584</v>
      </c>
      <c r="F3293" s="141" t="s">
        <v>821</v>
      </c>
      <c r="G3293" s="144" t="s">
        <v>5940</v>
      </c>
      <c r="H3293" s="146" t="s">
        <v>130</v>
      </c>
      <c r="I3293" s="144" t="s">
        <v>578</v>
      </c>
    </row>
    <row r="3294" spans="1:9" ht="25.5">
      <c r="A3294" s="193">
        <v>46139</v>
      </c>
      <c r="B3294" s="145" t="s">
        <v>826</v>
      </c>
      <c r="C3294" s="150" t="s">
        <v>5512</v>
      </c>
      <c r="D3294" s="201" t="s">
        <v>1431</v>
      </c>
      <c r="E3294" s="144" t="s">
        <v>988</v>
      </c>
      <c r="F3294" s="139" t="s">
        <v>88</v>
      </c>
      <c r="G3294" s="144" t="s">
        <v>5941</v>
      </c>
      <c r="H3294" s="146" t="s">
        <v>26</v>
      </c>
      <c r="I3294" s="144" t="s">
        <v>1436</v>
      </c>
    </row>
    <row r="3295" spans="1:9" ht="25.5">
      <c r="A3295" s="193">
        <v>46139</v>
      </c>
      <c r="B3295" s="145" t="s">
        <v>826</v>
      </c>
      <c r="C3295" s="150" t="s">
        <v>5512</v>
      </c>
      <c r="D3295" s="201" t="s">
        <v>1431</v>
      </c>
      <c r="E3295" s="144" t="s">
        <v>216</v>
      </c>
      <c r="F3295" s="141" t="s">
        <v>821</v>
      </c>
      <c r="G3295" s="144" t="s">
        <v>5942</v>
      </c>
      <c r="H3295" s="146" t="s">
        <v>26</v>
      </c>
      <c r="I3295" s="144" t="s">
        <v>492</v>
      </c>
    </row>
    <row r="3296" spans="1:9" ht="25.5">
      <c r="A3296" s="193">
        <v>46139</v>
      </c>
      <c r="B3296" s="145" t="s">
        <v>826</v>
      </c>
      <c r="C3296" s="150" t="s">
        <v>5512</v>
      </c>
      <c r="D3296" s="201" t="s">
        <v>1431</v>
      </c>
      <c r="E3296" s="144" t="s">
        <v>21</v>
      </c>
      <c r="F3296" s="141" t="s">
        <v>821</v>
      </c>
      <c r="G3296" s="144" t="s">
        <v>4489</v>
      </c>
      <c r="H3296" s="146" t="s">
        <v>26</v>
      </c>
      <c r="I3296" s="144" t="s">
        <v>2993</v>
      </c>
    </row>
    <row r="3297" spans="1:9" ht="25.5">
      <c r="A3297" s="193">
        <v>46139</v>
      </c>
      <c r="B3297" s="145" t="s">
        <v>826</v>
      </c>
      <c r="C3297" s="150" t="s">
        <v>5512</v>
      </c>
      <c r="D3297" s="201" t="s">
        <v>1431</v>
      </c>
      <c r="E3297" s="144" t="s">
        <v>1449</v>
      </c>
      <c r="F3297" s="139" t="s">
        <v>88</v>
      </c>
      <c r="G3297" s="144" t="s">
        <v>5943</v>
      </c>
      <c r="H3297" s="146" t="s">
        <v>26</v>
      </c>
      <c r="I3297" s="144" t="s">
        <v>154</v>
      </c>
    </row>
    <row r="3298" spans="1:9" ht="38.1">
      <c r="A3298" s="193">
        <v>46139</v>
      </c>
      <c r="B3298" s="145" t="s">
        <v>826</v>
      </c>
      <c r="C3298" s="150" t="s">
        <v>5512</v>
      </c>
      <c r="D3298" s="201" t="s">
        <v>1431</v>
      </c>
      <c r="E3298" s="144" t="s">
        <v>1449</v>
      </c>
      <c r="F3298" s="139" t="s">
        <v>88</v>
      </c>
      <c r="G3298" s="144" t="s">
        <v>5944</v>
      </c>
      <c r="H3298" s="146" t="s">
        <v>26</v>
      </c>
      <c r="I3298" s="144" t="s">
        <v>154</v>
      </c>
    </row>
    <row r="3299" spans="1:9" ht="14.1">
      <c r="A3299" s="193">
        <v>46139</v>
      </c>
      <c r="B3299" s="145" t="s">
        <v>826</v>
      </c>
      <c r="C3299" s="150" t="s">
        <v>5512</v>
      </c>
      <c r="D3299" s="201" t="s">
        <v>1431</v>
      </c>
      <c r="E3299" s="144" t="s">
        <v>1539</v>
      </c>
      <c r="F3299" s="141" t="s">
        <v>821</v>
      </c>
      <c r="G3299" s="144" t="s">
        <v>5945</v>
      </c>
      <c r="H3299" s="146" t="s">
        <v>130</v>
      </c>
      <c r="I3299" s="144" t="s">
        <v>1327</v>
      </c>
    </row>
    <row r="3300" spans="1:9" ht="38.1">
      <c r="A3300" s="193">
        <v>46140</v>
      </c>
      <c r="B3300" s="145" t="s">
        <v>826</v>
      </c>
      <c r="C3300" s="150" t="s">
        <v>5512</v>
      </c>
      <c r="D3300" s="201" t="s">
        <v>1431</v>
      </c>
      <c r="E3300" s="144" t="s">
        <v>1511</v>
      </c>
      <c r="F3300" s="139" t="s">
        <v>88</v>
      </c>
      <c r="G3300" s="144" t="s">
        <v>5946</v>
      </c>
      <c r="H3300" s="146" t="s">
        <v>26</v>
      </c>
      <c r="I3300" s="144" t="s">
        <v>2700</v>
      </c>
    </row>
    <row r="3301" spans="1:9" ht="25.5">
      <c r="A3301" s="193">
        <v>46140</v>
      </c>
      <c r="B3301" s="145" t="s">
        <v>826</v>
      </c>
      <c r="C3301" s="150" t="s">
        <v>5512</v>
      </c>
      <c r="D3301" s="201" t="s">
        <v>1431</v>
      </c>
      <c r="E3301" s="144" t="s">
        <v>574</v>
      </c>
      <c r="F3301" s="139" t="s">
        <v>88</v>
      </c>
      <c r="G3301" s="144" t="s">
        <v>5947</v>
      </c>
      <c r="H3301" s="146" t="s">
        <v>26</v>
      </c>
      <c r="I3301" s="144" t="s">
        <v>3516</v>
      </c>
    </row>
    <row r="3302" spans="1:9" ht="50.45">
      <c r="A3302" s="193">
        <v>46140</v>
      </c>
      <c r="B3302" s="145" t="s">
        <v>826</v>
      </c>
      <c r="C3302" s="150" t="s">
        <v>5512</v>
      </c>
      <c r="D3302" s="201" t="s">
        <v>1431</v>
      </c>
      <c r="E3302" s="144" t="s">
        <v>216</v>
      </c>
      <c r="F3302" s="141" t="s">
        <v>821</v>
      </c>
      <c r="G3302" s="144" t="s">
        <v>5948</v>
      </c>
      <c r="H3302" s="146" t="s">
        <v>26</v>
      </c>
      <c r="I3302" s="144" t="s">
        <v>492</v>
      </c>
    </row>
    <row r="3303" spans="1:9" ht="25.5">
      <c r="A3303" s="193">
        <v>46140</v>
      </c>
      <c r="B3303" s="145" t="s">
        <v>826</v>
      </c>
      <c r="C3303" s="150" t="s">
        <v>5512</v>
      </c>
      <c r="D3303" s="201" t="s">
        <v>1431</v>
      </c>
      <c r="E3303" s="144" t="s">
        <v>1506</v>
      </c>
      <c r="F3303" s="139" t="s">
        <v>88</v>
      </c>
      <c r="G3303" s="144" t="s">
        <v>5949</v>
      </c>
      <c r="H3303" s="146" t="s">
        <v>26</v>
      </c>
      <c r="I3303" s="144" t="s">
        <v>3247</v>
      </c>
    </row>
    <row r="3304" spans="1:9" ht="25.5">
      <c r="A3304" s="193">
        <v>46140</v>
      </c>
      <c r="B3304" s="145" t="s">
        <v>826</v>
      </c>
      <c r="C3304" s="150" t="s">
        <v>5512</v>
      </c>
      <c r="D3304" s="201" t="s">
        <v>1431</v>
      </c>
      <c r="E3304" s="144" t="s">
        <v>1506</v>
      </c>
      <c r="F3304" s="139" t="s">
        <v>88</v>
      </c>
      <c r="G3304" s="144" t="s">
        <v>5950</v>
      </c>
      <c r="H3304" s="146" t="s">
        <v>26</v>
      </c>
      <c r="I3304" s="144" t="s">
        <v>3247</v>
      </c>
    </row>
    <row r="3305" spans="1:9" ht="25.5">
      <c r="A3305" s="193">
        <v>46140</v>
      </c>
      <c r="B3305" s="145" t="s">
        <v>826</v>
      </c>
      <c r="C3305" s="150" t="s">
        <v>5512</v>
      </c>
      <c r="D3305" s="201" t="s">
        <v>1431</v>
      </c>
      <c r="E3305" s="144" t="s">
        <v>1449</v>
      </c>
      <c r="F3305" s="139" t="s">
        <v>88</v>
      </c>
      <c r="G3305" s="144" t="s">
        <v>5951</v>
      </c>
      <c r="H3305" s="146" t="s">
        <v>26</v>
      </c>
      <c r="I3305" s="144" t="s">
        <v>154</v>
      </c>
    </row>
    <row r="3306" spans="1:9" ht="50.45">
      <c r="A3306" s="193">
        <v>46140</v>
      </c>
      <c r="B3306" s="145" t="s">
        <v>826</v>
      </c>
      <c r="C3306" s="150" t="s">
        <v>5512</v>
      </c>
      <c r="D3306" s="201" t="s">
        <v>1431</v>
      </c>
      <c r="E3306" s="144" t="s">
        <v>1508</v>
      </c>
      <c r="F3306" s="139" t="s">
        <v>88</v>
      </c>
      <c r="G3306" s="144" t="s">
        <v>4487</v>
      </c>
      <c r="H3306" s="146" t="s">
        <v>130</v>
      </c>
      <c r="I3306" s="144" t="s">
        <v>3769</v>
      </c>
    </row>
    <row r="3307" spans="1:9" ht="14.1">
      <c r="A3307" s="193">
        <v>46141</v>
      </c>
      <c r="B3307" s="145" t="s">
        <v>826</v>
      </c>
      <c r="C3307" s="150" t="s">
        <v>5512</v>
      </c>
      <c r="D3307" s="201" t="s">
        <v>1431</v>
      </c>
      <c r="E3307" s="144" t="s">
        <v>1511</v>
      </c>
      <c r="F3307" s="139" t="s">
        <v>88</v>
      </c>
      <c r="G3307" s="144" t="s">
        <v>5952</v>
      </c>
      <c r="H3307" s="146" t="s">
        <v>26</v>
      </c>
      <c r="I3307" s="144" t="s">
        <v>1436</v>
      </c>
    </row>
    <row r="3308" spans="1:9" ht="25.5">
      <c r="A3308" s="193">
        <v>46141</v>
      </c>
      <c r="B3308" s="145" t="s">
        <v>826</v>
      </c>
      <c r="C3308" s="150" t="s">
        <v>5512</v>
      </c>
      <c r="D3308" s="201" t="s">
        <v>1431</v>
      </c>
      <c r="E3308" s="144" t="s">
        <v>1518</v>
      </c>
      <c r="F3308" s="139" t="s">
        <v>88</v>
      </c>
      <c r="G3308" s="144" t="s">
        <v>5953</v>
      </c>
      <c r="H3308" s="146" t="s">
        <v>130</v>
      </c>
      <c r="I3308" s="144" t="s">
        <v>118</v>
      </c>
    </row>
    <row r="3309" spans="1:9" ht="38.1">
      <c r="A3309" s="193">
        <v>46141</v>
      </c>
      <c r="B3309" s="145" t="s">
        <v>826</v>
      </c>
      <c r="C3309" s="150" t="s">
        <v>5512</v>
      </c>
      <c r="D3309" s="201" t="s">
        <v>1431</v>
      </c>
      <c r="E3309" s="144" t="s">
        <v>216</v>
      </c>
      <c r="F3309" s="141" t="s">
        <v>821</v>
      </c>
      <c r="G3309" s="144" t="s">
        <v>5954</v>
      </c>
      <c r="H3309" s="146" t="s">
        <v>130</v>
      </c>
      <c r="I3309" s="144" t="s">
        <v>492</v>
      </c>
    </row>
    <row r="3310" spans="1:9" ht="50.45">
      <c r="A3310" s="193">
        <v>46141</v>
      </c>
      <c r="B3310" s="145" t="s">
        <v>826</v>
      </c>
      <c r="C3310" s="150" t="s">
        <v>5512</v>
      </c>
      <c r="D3310" s="201" t="s">
        <v>1431</v>
      </c>
      <c r="E3310" s="144" t="s">
        <v>216</v>
      </c>
      <c r="F3310" s="141" t="s">
        <v>821</v>
      </c>
      <c r="G3310" s="144" t="s">
        <v>4491</v>
      </c>
      <c r="H3310" s="146" t="s">
        <v>130</v>
      </c>
      <c r="I3310" s="144" t="s">
        <v>492</v>
      </c>
    </row>
    <row r="3311" spans="1:9" ht="25.5">
      <c r="A3311" s="193">
        <v>46141</v>
      </c>
      <c r="B3311" s="145" t="s">
        <v>826</v>
      </c>
      <c r="C3311" s="150" t="s">
        <v>5512</v>
      </c>
      <c r="D3311" s="201" t="s">
        <v>1431</v>
      </c>
      <c r="E3311" s="144" t="s">
        <v>21</v>
      </c>
      <c r="F3311" s="141" t="s">
        <v>821</v>
      </c>
      <c r="G3311" s="144" t="s">
        <v>5955</v>
      </c>
      <c r="H3311" s="146" t="s">
        <v>130</v>
      </c>
      <c r="I3311" s="144" t="s">
        <v>2993</v>
      </c>
    </row>
    <row r="3312" spans="1:9" ht="38.1">
      <c r="A3312" s="193">
        <v>46141</v>
      </c>
      <c r="B3312" s="145" t="s">
        <v>826</v>
      </c>
      <c r="C3312" s="150" t="s">
        <v>5512</v>
      </c>
      <c r="D3312" s="201" t="s">
        <v>1431</v>
      </c>
      <c r="E3312" s="144" t="s">
        <v>1449</v>
      </c>
      <c r="F3312" s="139" t="s">
        <v>88</v>
      </c>
      <c r="G3312" s="144" t="s">
        <v>5956</v>
      </c>
      <c r="H3312" s="146" t="s">
        <v>26</v>
      </c>
      <c r="I3312" s="144" t="s">
        <v>2739</v>
      </c>
    </row>
    <row r="3313" spans="1:9" ht="14.1">
      <c r="A3313" s="193">
        <v>46142</v>
      </c>
      <c r="B3313" s="145" t="s">
        <v>826</v>
      </c>
      <c r="C3313" s="150" t="s">
        <v>5512</v>
      </c>
      <c r="D3313" s="201" t="s">
        <v>1431</v>
      </c>
      <c r="E3313" s="144" t="s">
        <v>4023</v>
      </c>
      <c r="F3313" s="139" t="s">
        <v>88</v>
      </c>
      <c r="G3313" s="144" t="s">
        <v>5957</v>
      </c>
      <c r="H3313" s="146" t="s">
        <v>26</v>
      </c>
      <c r="I3313" s="144" t="s">
        <v>4339</v>
      </c>
    </row>
    <row r="3314" spans="1:9" ht="38.1">
      <c r="A3314" s="193">
        <v>46142</v>
      </c>
      <c r="B3314" s="145" t="s">
        <v>826</v>
      </c>
      <c r="C3314" s="150" t="s">
        <v>5512</v>
      </c>
      <c r="D3314" s="201" t="s">
        <v>2224</v>
      </c>
      <c r="E3314" s="144" t="s">
        <v>1158</v>
      </c>
      <c r="F3314" s="147" t="s">
        <v>859</v>
      </c>
      <c r="G3314" s="144" t="s">
        <v>5958</v>
      </c>
      <c r="H3314" s="146" t="s">
        <v>26</v>
      </c>
      <c r="I3314" s="144" t="s">
        <v>2568</v>
      </c>
    </row>
    <row r="3315" spans="1:9" ht="25.5">
      <c r="A3315" s="193">
        <v>46146</v>
      </c>
      <c r="B3315" s="145" t="s">
        <v>827</v>
      </c>
      <c r="C3315" s="150" t="s">
        <v>5512</v>
      </c>
      <c r="D3315" s="201" t="s">
        <v>1431</v>
      </c>
      <c r="E3315" s="144" t="s">
        <v>922</v>
      </c>
      <c r="F3315" s="141" t="s">
        <v>821</v>
      </c>
      <c r="G3315" s="144" t="s">
        <v>4496</v>
      </c>
      <c r="H3315" s="146" t="s">
        <v>130</v>
      </c>
      <c r="I3315" s="144" t="s">
        <v>4339</v>
      </c>
    </row>
    <row r="3316" spans="1:9" ht="50.45">
      <c r="A3316" s="193">
        <v>46146</v>
      </c>
      <c r="B3316" s="145" t="s">
        <v>827</v>
      </c>
      <c r="C3316" s="150" t="s">
        <v>5512</v>
      </c>
      <c r="D3316" s="201" t="s">
        <v>1431</v>
      </c>
      <c r="E3316" s="144" t="s">
        <v>216</v>
      </c>
      <c r="F3316" s="141" t="s">
        <v>821</v>
      </c>
      <c r="G3316" s="144" t="s">
        <v>5959</v>
      </c>
      <c r="H3316" s="146" t="s">
        <v>130</v>
      </c>
      <c r="I3316" s="144" t="s">
        <v>492</v>
      </c>
    </row>
    <row r="3317" spans="1:9" ht="38.1">
      <c r="A3317" s="193">
        <v>46146</v>
      </c>
      <c r="B3317" s="145" t="s">
        <v>827</v>
      </c>
      <c r="C3317" s="150" t="s">
        <v>5512</v>
      </c>
      <c r="D3317" s="201" t="s">
        <v>1431</v>
      </c>
      <c r="E3317" s="144" t="s">
        <v>1449</v>
      </c>
      <c r="F3317" s="139" t="s">
        <v>88</v>
      </c>
      <c r="G3317" s="144" t="s">
        <v>5960</v>
      </c>
      <c r="H3317" s="146" t="s">
        <v>26</v>
      </c>
      <c r="I3317" s="144" t="s">
        <v>154</v>
      </c>
    </row>
    <row r="3318" spans="1:9" ht="25.5">
      <c r="A3318" s="193">
        <v>46146</v>
      </c>
      <c r="B3318" s="145" t="s">
        <v>827</v>
      </c>
      <c r="C3318" s="150" t="s">
        <v>5512</v>
      </c>
      <c r="D3318" s="201" t="s">
        <v>1431</v>
      </c>
      <c r="E3318" s="144" t="s">
        <v>21</v>
      </c>
      <c r="F3318" s="141" t="s">
        <v>821</v>
      </c>
      <c r="G3318" s="144" t="s">
        <v>4494</v>
      </c>
      <c r="H3318" s="146" t="s">
        <v>26</v>
      </c>
      <c r="I3318" s="144" t="s">
        <v>154</v>
      </c>
    </row>
    <row r="3319" spans="1:9" ht="14.1">
      <c r="A3319" s="193">
        <v>46146</v>
      </c>
      <c r="B3319" s="145" t="s">
        <v>827</v>
      </c>
      <c r="C3319" s="150" t="s">
        <v>5512</v>
      </c>
      <c r="D3319" s="201" t="s">
        <v>1431</v>
      </c>
      <c r="E3319" s="144" t="s">
        <v>1449</v>
      </c>
      <c r="F3319" s="147" t="s">
        <v>859</v>
      </c>
      <c r="G3319" s="144" t="s">
        <v>5961</v>
      </c>
      <c r="H3319" s="146" t="s">
        <v>26</v>
      </c>
      <c r="I3319" s="144" t="s">
        <v>154</v>
      </c>
    </row>
    <row r="3320" spans="1:9" ht="25.5">
      <c r="A3320" s="193">
        <v>46146</v>
      </c>
      <c r="B3320" s="145" t="s">
        <v>827</v>
      </c>
      <c r="C3320" s="150" t="s">
        <v>5512</v>
      </c>
      <c r="D3320" s="201" t="s">
        <v>1431</v>
      </c>
      <c r="E3320" s="144" t="s">
        <v>1449</v>
      </c>
      <c r="F3320" s="147" t="s">
        <v>859</v>
      </c>
      <c r="G3320" s="144" t="s">
        <v>5962</v>
      </c>
      <c r="H3320" s="146" t="s">
        <v>26</v>
      </c>
      <c r="I3320" s="144" t="s">
        <v>154</v>
      </c>
    </row>
    <row r="3321" spans="1:9" ht="38.1">
      <c r="A3321" s="193">
        <v>46147</v>
      </c>
      <c r="B3321" s="145" t="s">
        <v>827</v>
      </c>
      <c r="C3321" s="150" t="s">
        <v>5512</v>
      </c>
      <c r="D3321" s="201" t="s">
        <v>1431</v>
      </c>
      <c r="E3321" s="144" t="s">
        <v>1225</v>
      </c>
      <c r="F3321" s="140" t="s">
        <v>1439</v>
      </c>
      <c r="G3321" s="144" t="s">
        <v>5963</v>
      </c>
      <c r="H3321" s="146" t="s">
        <v>26</v>
      </c>
      <c r="I3321" s="144" t="s">
        <v>1828</v>
      </c>
    </row>
    <row r="3322" spans="1:9" ht="38.1">
      <c r="A3322" s="193">
        <v>46147</v>
      </c>
      <c r="B3322" s="145" t="s">
        <v>827</v>
      </c>
      <c r="C3322" s="150" t="s">
        <v>5512</v>
      </c>
      <c r="D3322" s="201" t="s">
        <v>1431</v>
      </c>
      <c r="E3322" s="144" t="s">
        <v>21</v>
      </c>
      <c r="F3322" s="141" t="s">
        <v>821</v>
      </c>
      <c r="G3322" s="144" t="s">
        <v>4498</v>
      </c>
      <c r="H3322" s="146" t="s">
        <v>26</v>
      </c>
      <c r="I3322" s="144" t="s">
        <v>4339</v>
      </c>
    </row>
    <row r="3323" spans="1:9" ht="25.5">
      <c r="A3323" s="193">
        <v>46147</v>
      </c>
      <c r="B3323" s="145" t="s">
        <v>827</v>
      </c>
      <c r="C3323" s="150" t="s">
        <v>5512</v>
      </c>
      <c r="D3323" s="201" t="s">
        <v>1431</v>
      </c>
      <c r="E3323" s="144" t="s">
        <v>1449</v>
      </c>
      <c r="F3323" s="139" t="s">
        <v>88</v>
      </c>
      <c r="G3323" s="144" t="s">
        <v>5964</v>
      </c>
      <c r="H3323" s="146" t="s">
        <v>26</v>
      </c>
      <c r="I3323" s="144" t="s">
        <v>154</v>
      </c>
    </row>
    <row r="3324" spans="1:9" ht="25.5">
      <c r="A3324" s="193">
        <v>46147</v>
      </c>
      <c r="B3324" s="145" t="s">
        <v>827</v>
      </c>
      <c r="C3324" s="150" t="s">
        <v>5512</v>
      </c>
      <c r="D3324" s="201" t="s">
        <v>1431</v>
      </c>
      <c r="E3324" s="144" t="s">
        <v>1449</v>
      </c>
      <c r="F3324" s="139" t="s">
        <v>88</v>
      </c>
      <c r="G3324" s="144" t="s">
        <v>5965</v>
      </c>
      <c r="H3324" s="146" t="s">
        <v>26</v>
      </c>
      <c r="I3324" s="144" t="s">
        <v>154</v>
      </c>
    </row>
    <row r="3325" spans="1:9" ht="63">
      <c r="A3325" s="193">
        <v>46147</v>
      </c>
      <c r="B3325" s="145" t="s">
        <v>827</v>
      </c>
      <c r="C3325" s="150" t="s">
        <v>5512</v>
      </c>
      <c r="D3325" s="201" t="s">
        <v>1431</v>
      </c>
      <c r="E3325" s="144" t="s">
        <v>574</v>
      </c>
      <c r="F3325" s="139" t="s">
        <v>88</v>
      </c>
      <c r="G3325" s="144" t="s">
        <v>4500</v>
      </c>
      <c r="H3325" s="146" t="s">
        <v>130</v>
      </c>
      <c r="I3325" s="144" t="s">
        <v>3247</v>
      </c>
    </row>
    <row r="3326" spans="1:9" ht="50.45">
      <c r="A3326" s="193">
        <v>46148</v>
      </c>
      <c r="B3326" s="145" t="s">
        <v>827</v>
      </c>
      <c r="C3326" s="150" t="s">
        <v>5512</v>
      </c>
      <c r="D3326" s="201" t="s">
        <v>1431</v>
      </c>
      <c r="E3326" s="144" t="s">
        <v>1225</v>
      </c>
      <c r="F3326" s="140" t="s">
        <v>1439</v>
      </c>
      <c r="G3326" s="144" t="s">
        <v>5966</v>
      </c>
      <c r="H3326" s="146" t="s">
        <v>26</v>
      </c>
      <c r="I3326" s="144" t="s">
        <v>1828</v>
      </c>
    </row>
    <row r="3327" spans="1:9" ht="25.5">
      <c r="A3327" s="193">
        <v>46148</v>
      </c>
      <c r="B3327" s="145" t="s">
        <v>827</v>
      </c>
      <c r="C3327" s="150" t="s">
        <v>5512</v>
      </c>
      <c r="D3327" s="201" t="s">
        <v>1431</v>
      </c>
      <c r="E3327" s="144" t="s">
        <v>21</v>
      </c>
      <c r="F3327" s="141" t="s">
        <v>821</v>
      </c>
      <c r="G3327" s="144" t="s">
        <v>5967</v>
      </c>
      <c r="H3327" s="146" t="s">
        <v>26</v>
      </c>
      <c r="I3327" s="144" t="s">
        <v>4339</v>
      </c>
    </row>
    <row r="3328" spans="1:9" ht="38.1">
      <c r="A3328" s="193">
        <v>46148</v>
      </c>
      <c r="B3328" s="145" t="s">
        <v>827</v>
      </c>
      <c r="C3328" s="150" t="s">
        <v>5512</v>
      </c>
      <c r="D3328" s="201" t="s">
        <v>1431</v>
      </c>
      <c r="E3328" s="144" t="s">
        <v>216</v>
      </c>
      <c r="F3328" s="141" t="s">
        <v>821</v>
      </c>
      <c r="G3328" s="144" t="s">
        <v>5968</v>
      </c>
      <c r="H3328" s="146" t="s">
        <v>130</v>
      </c>
      <c r="I3328" s="144" t="s">
        <v>492</v>
      </c>
    </row>
    <row r="3329" spans="1:9" ht="25.5">
      <c r="A3329" s="193">
        <v>46148</v>
      </c>
      <c r="B3329" s="145" t="s">
        <v>827</v>
      </c>
      <c r="C3329" s="150" t="s">
        <v>5512</v>
      </c>
      <c r="D3329" s="201" t="s">
        <v>1431</v>
      </c>
      <c r="E3329" s="144" t="s">
        <v>216</v>
      </c>
      <c r="F3329" s="141" t="s">
        <v>821</v>
      </c>
      <c r="G3329" s="144" t="s">
        <v>5969</v>
      </c>
      <c r="H3329" s="146" t="s">
        <v>130</v>
      </c>
      <c r="I3329" s="144" t="s">
        <v>492</v>
      </c>
    </row>
    <row r="3330" spans="1:9" ht="38.1">
      <c r="A3330" s="193">
        <v>46148</v>
      </c>
      <c r="B3330" s="145" t="s">
        <v>827</v>
      </c>
      <c r="C3330" s="150" t="s">
        <v>5512</v>
      </c>
      <c r="D3330" s="201" t="s">
        <v>1431</v>
      </c>
      <c r="E3330" s="144" t="s">
        <v>1449</v>
      </c>
      <c r="F3330" s="139" t="s">
        <v>88</v>
      </c>
      <c r="G3330" s="144" t="s">
        <v>5970</v>
      </c>
      <c r="H3330" s="146" t="s">
        <v>26</v>
      </c>
      <c r="I3330" s="144" t="s">
        <v>154</v>
      </c>
    </row>
    <row r="3331" spans="1:9" ht="25.5">
      <c r="A3331" s="193">
        <v>46148</v>
      </c>
      <c r="B3331" s="145" t="s">
        <v>827</v>
      </c>
      <c r="C3331" s="150" t="s">
        <v>5512</v>
      </c>
      <c r="D3331" s="201" t="s">
        <v>1431</v>
      </c>
      <c r="E3331" s="144" t="s">
        <v>1449</v>
      </c>
      <c r="F3331" s="139" t="s">
        <v>88</v>
      </c>
      <c r="G3331" s="144" t="s">
        <v>5971</v>
      </c>
      <c r="H3331" s="146" t="s">
        <v>26</v>
      </c>
      <c r="I3331" s="144" t="s">
        <v>154</v>
      </c>
    </row>
    <row r="3332" spans="1:9" ht="14.1">
      <c r="A3332" s="193">
        <v>46148</v>
      </c>
      <c r="B3332" s="145" t="s">
        <v>827</v>
      </c>
      <c r="C3332" s="150" t="s">
        <v>5512</v>
      </c>
      <c r="D3332" s="201" t="s">
        <v>1431</v>
      </c>
      <c r="E3332" s="144" t="s">
        <v>1449</v>
      </c>
      <c r="F3332" s="139" t="s">
        <v>88</v>
      </c>
      <c r="G3332" s="144" t="s">
        <v>5972</v>
      </c>
      <c r="H3332" s="146" t="s">
        <v>130</v>
      </c>
      <c r="I3332" s="144" t="s">
        <v>154</v>
      </c>
    </row>
    <row r="3333" spans="1:9" ht="25.5">
      <c r="A3333" s="193">
        <v>46148</v>
      </c>
      <c r="B3333" s="145" t="s">
        <v>827</v>
      </c>
      <c r="C3333" s="150" t="s">
        <v>5512</v>
      </c>
      <c r="D3333" s="201" t="s">
        <v>2224</v>
      </c>
      <c r="E3333" s="144" t="s">
        <v>216</v>
      </c>
      <c r="F3333" s="141" t="s">
        <v>821</v>
      </c>
      <c r="G3333" s="144" t="s">
        <v>5973</v>
      </c>
      <c r="H3333" s="146" t="s">
        <v>130</v>
      </c>
      <c r="I3333" s="144" t="s">
        <v>2568</v>
      </c>
    </row>
    <row r="3334" spans="1:9" ht="14.1">
      <c r="A3334" s="193">
        <v>46149</v>
      </c>
      <c r="B3334" s="145" t="s">
        <v>827</v>
      </c>
      <c r="C3334" s="150" t="s">
        <v>5512</v>
      </c>
      <c r="D3334" s="201" t="s">
        <v>1431</v>
      </c>
      <c r="E3334" s="144" t="s">
        <v>21</v>
      </c>
      <c r="F3334" s="141" t="s">
        <v>821</v>
      </c>
      <c r="G3334" s="144" t="s">
        <v>5974</v>
      </c>
      <c r="H3334" s="146" t="s">
        <v>130</v>
      </c>
      <c r="I3334" s="144" t="s">
        <v>578</v>
      </c>
    </row>
    <row r="3335" spans="1:9" ht="75.599999999999994">
      <c r="A3335" s="193">
        <v>46149</v>
      </c>
      <c r="B3335" s="145" t="s">
        <v>827</v>
      </c>
      <c r="C3335" s="150" t="s">
        <v>5512</v>
      </c>
      <c r="D3335" s="201" t="s">
        <v>1431</v>
      </c>
      <c r="E3335" s="144" t="s">
        <v>216</v>
      </c>
      <c r="F3335" s="141" t="s">
        <v>821</v>
      </c>
      <c r="G3335" s="144" t="s">
        <v>4502</v>
      </c>
      <c r="H3335" s="146" t="s">
        <v>130</v>
      </c>
      <c r="I3335" s="144" t="s">
        <v>492</v>
      </c>
    </row>
    <row r="3336" spans="1:9" ht="25.5">
      <c r="A3336" s="193">
        <v>46149</v>
      </c>
      <c r="B3336" s="145" t="s">
        <v>827</v>
      </c>
      <c r="C3336" s="150" t="s">
        <v>5512</v>
      </c>
      <c r="D3336" s="201" t="s">
        <v>1431</v>
      </c>
      <c r="E3336" s="144" t="s">
        <v>216</v>
      </c>
      <c r="F3336" s="141" t="s">
        <v>821</v>
      </c>
      <c r="G3336" s="144" t="s">
        <v>5975</v>
      </c>
      <c r="H3336" s="146" t="s">
        <v>130</v>
      </c>
      <c r="I3336" s="144" t="s">
        <v>492</v>
      </c>
    </row>
    <row r="3337" spans="1:9" ht="38.1">
      <c r="A3337" s="193">
        <v>46149</v>
      </c>
      <c r="B3337" s="145" t="s">
        <v>827</v>
      </c>
      <c r="C3337" s="150" t="s">
        <v>5512</v>
      </c>
      <c r="D3337" s="201" t="s">
        <v>2224</v>
      </c>
      <c r="E3337" s="144" t="s">
        <v>1449</v>
      </c>
      <c r="F3337" s="139" t="s">
        <v>88</v>
      </c>
      <c r="G3337" s="144" t="s">
        <v>5976</v>
      </c>
      <c r="H3337" s="146" t="s">
        <v>26</v>
      </c>
      <c r="I3337" s="144" t="s">
        <v>154</v>
      </c>
    </row>
    <row r="3338" spans="1:9" ht="38.1">
      <c r="A3338" s="193">
        <v>46150</v>
      </c>
      <c r="B3338" s="145" t="s">
        <v>827</v>
      </c>
      <c r="C3338" s="150" t="s">
        <v>5512</v>
      </c>
      <c r="D3338" s="201" t="s">
        <v>1431</v>
      </c>
      <c r="E3338" s="144" t="s">
        <v>1449</v>
      </c>
      <c r="F3338" s="141" t="s">
        <v>821</v>
      </c>
      <c r="G3338" s="144" t="s">
        <v>4504</v>
      </c>
      <c r="H3338" s="146" t="s">
        <v>130</v>
      </c>
      <c r="I3338" s="144" t="s">
        <v>154</v>
      </c>
    </row>
    <row r="3339" spans="1:9" ht="25.5">
      <c r="A3339" s="193">
        <v>46150</v>
      </c>
      <c r="B3339" s="145" t="s">
        <v>827</v>
      </c>
      <c r="C3339" s="150" t="s">
        <v>5512</v>
      </c>
      <c r="D3339" s="201" t="s">
        <v>1431</v>
      </c>
      <c r="E3339" s="144" t="s">
        <v>216</v>
      </c>
      <c r="F3339" s="141" t="s">
        <v>821</v>
      </c>
      <c r="G3339" s="144" t="s">
        <v>5977</v>
      </c>
      <c r="H3339" s="146" t="s">
        <v>130</v>
      </c>
      <c r="I3339" s="144" t="s">
        <v>492</v>
      </c>
    </row>
    <row r="3340" spans="1:9" ht="38.1">
      <c r="A3340" s="193">
        <v>46150</v>
      </c>
      <c r="B3340" s="145" t="s">
        <v>827</v>
      </c>
      <c r="C3340" s="150" t="s">
        <v>5512</v>
      </c>
      <c r="D3340" s="201" t="s">
        <v>1431</v>
      </c>
      <c r="E3340" s="144" t="s">
        <v>216</v>
      </c>
      <c r="F3340" s="141" t="s">
        <v>821</v>
      </c>
      <c r="G3340" s="144" t="s">
        <v>5978</v>
      </c>
      <c r="H3340" s="146" t="s">
        <v>130</v>
      </c>
      <c r="I3340" s="144" t="s">
        <v>492</v>
      </c>
    </row>
    <row r="3341" spans="1:9" ht="25.5">
      <c r="A3341" s="193">
        <v>46153</v>
      </c>
      <c r="B3341" s="145" t="s">
        <v>827</v>
      </c>
      <c r="C3341" s="150" t="s">
        <v>5512</v>
      </c>
      <c r="D3341" s="201" t="s">
        <v>1431</v>
      </c>
      <c r="E3341" s="144" t="s">
        <v>21</v>
      </c>
      <c r="F3341" s="141" t="s">
        <v>821</v>
      </c>
      <c r="G3341" s="144" t="s">
        <v>4508</v>
      </c>
      <c r="H3341" s="146" t="s">
        <v>130</v>
      </c>
      <c r="I3341" s="144" t="s">
        <v>468</v>
      </c>
    </row>
    <row r="3342" spans="1:9" ht="25.5">
      <c r="A3342" s="193">
        <v>46153</v>
      </c>
      <c r="B3342" s="145" t="s">
        <v>827</v>
      </c>
      <c r="C3342" s="150" t="s">
        <v>5512</v>
      </c>
      <c r="D3342" s="201" t="s">
        <v>1431</v>
      </c>
      <c r="E3342" s="144" t="s">
        <v>1449</v>
      </c>
      <c r="F3342" s="139" t="s">
        <v>88</v>
      </c>
      <c r="G3342" s="144" t="s">
        <v>5979</v>
      </c>
      <c r="H3342" s="146" t="s">
        <v>26</v>
      </c>
      <c r="I3342" s="144" t="s">
        <v>154</v>
      </c>
    </row>
    <row r="3343" spans="1:9" ht="14.1">
      <c r="A3343" s="193">
        <v>46153</v>
      </c>
      <c r="B3343" s="145" t="s">
        <v>827</v>
      </c>
      <c r="C3343" s="150" t="s">
        <v>5512</v>
      </c>
      <c r="D3343" s="201" t="s">
        <v>1431</v>
      </c>
      <c r="E3343" s="144" t="s">
        <v>988</v>
      </c>
      <c r="F3343" s="139" t="s">
        <v>88</v>
      </c>
      <c r="G3343" s="144" t="s">
        <v>5980</v>
      </c>
      <c r="H3343" s="146" t="s">
        <v>130</v>
      </c>
      <c r="I3343" s="144" t="s">
        <v>2700</v>
      </c>
    </row>
    <row r="3344" spans="1:9" ht="14.1">
      <c r="A3344" s="193">
        <v>46153</v>
      </c>
      <c r="B3344" s="145" t="s">
        <v>827</v>
      </c>
      <c r="C3344" s="150" t="s">
        <v>5512</v>
      </c>
      <c r="D3344" s="201" t="s">
        <v>2224</v>
      </c>
      <c r="E3344" s="144" t="s">
        <v>1449</v>
      </c>
      <c r="F3344" s="147" t="s">
        <v>859</v>
      </c>
      <c r="G3344" s="144" t="s">
        <v>5981</v>
      </c>
      <c r="H3344" s="146" t="s">
        <v>26</v>
      </c>
      <c r="I3344" s="144" t="s">
        <v>154</v>
      </c>
    </row>
    <row r="3345" spans="1:9" ht="25.5">
      <c r="A3345" s="193">
        <v>46154</v>
      </c>
      <c r="B3345" s="145" t="s">
        <v>827</v>
      </c>
      <c r="C3345" s="150" t="s">
        <v>5512</v>
      </c>
      <c r="D3345" s="201" t="s">
        <v>1431</v>
      </c>
      <c r="E3345" s="144" t="s">
        <v>21</v>
      </c>
      <c r="F3345" s="141" t="s">
        <v>821</v>
      </c>
      <c r="G3345" s="144" t="s">
        <v>5982</v>
      </c>
      <c r="H3345" s="146" t="s">
        <v>26</v>
      </c>
      <c r="I3345" s="144" t="s">
        <v>468</v>
      </c>
    </row>
    <row r="3346" spans="1:9" ht="25.5">
      <c r="A3346" s="193">
        <v>46154</v>
      </c>
      <c r="B3346" s="145" t="s">
        <v>827</v>
      </c>
      <c r="C3346" s="150" t="s">
        <v>5512</v>
      </c>
      <c r="D3346" s="201" t="s">
        <v>1431</v>
      </c>
      <c r="E3346" s="144" t="s">
        <v>1506</v>
      </c>
      <c r="F3346" s="139" t="s">
        <v>88</v>
      </c>
      <c r="G3346" s="144" t="s">
        <v>5983</v>
      </c>
      <c r="H3346" s="146" t="s">
        <v>130</v>
      </c>
      <c r="I3346" s="144" t="s">
        <v>208</v>
      </c>
    </row>
    <row r="3347" spans="1:9" ht="50.45">
      <c r="A3347" s="193">
        <v>46154</v>
      </c>
      <c r="B3347" s="145" t="s">
        <v>827</v>
      </c>
      <c r="C3347" s="150" t="s">
        <v>5512</v>
      </c>
      <c r="D3347" s="201" t="s">
        <v>1431</v>
      </c>
      <c r="E3347" s="144" t="s">
        <v>1506</v>
      </c>
      <c r="F3347" s="139" t="s">
        <v>88</v>
      </c>
      <c r="G3347" s="144" t="s">
        <v>4510</v>
      </c>
      <c r="H3347" s="146" t="s">
        <v>130</v>
      </c>
      <c r="I3347" s="144" t="s">
        <v>208</v>
      </c>
    </row>
    <row r="3348" spans="1:9" ht="25.5">
      <c r="A3348" s="193">
        <v>46154</v>
      </c>
      <c r="B3348" s="145" t="s">
        <v>827</v>
      </c>
      <c r="C3348" s="150" t="s">
        <v>5512</v>
      </c>
      <c r="D3348" s="201" t="s">
        <v>1431</v>
      </c>
      <c r="E3348" s="144" t="s">
        <v>1566</v>
      </c>
      <c r="F3348" s="139" t="s">
        <v>88</v>
      </c>
      <c r="G3348" s="144" t="s">
        <v>5984</v>
      </c>
      <c r="H3348" s="146" t="s">
        <v>26</v>
      </c>
      <c r="I3348" s="144" t="s">
        <v>1453</v>
      </c>
    </row>
    <row r="3349" spans="1:9" ht="25.5">
      <c r="A3349" s="193">
        <v>46154</v>
      </c>
      <c r="B3349" s="145" t="s">
        <v>827</v>
      </c>
      <c r="C3349" s="150" t="s">
        <v>5512</v>
      </c>
      <c r="D3349" s="201" t="s">
        <v>1431</v>
      </c>
      <c r="E3349" s="144" t="s">
        <v>1566</v>
      </c>
      <c r="F3349" s="139" t="s">
        <v>88</v>
      </c>
      <c r="G3349" s="144" t="s">
        <v>5985</v>
      </c>
      <c r="H3349" s="146" t="s">
        <v>26</v>
      </c>
      <c r="I3349" s="144" t="s">
        <v>1453</v>
      </c>
    </row>
    <row r="3350" spans="1:9" ht="14.1">
      <c r="A3350" s="193">
        <v>46154</v>
      </c>
      <c r="B3350" s="145" t="s">
        <v>827</v>
      </c>
      <c r="C3350" s="150" t="s">
        <v>5512</v>
      </c>
      <c r="D3350" s="201" t="s">
        <v>1431</v>
      </c>
      <c r="E3350" s="144" t="s">
        <v>1449</v>
      </c>
      <c r="F3350" s="142" t="s">
        <v>872</v>
      </c>
      <c r="G3350" s="144" t="s">
        <v>5986</v>
      </c>
      <c r="H3350" s="146" t="s">
        <v>26</v>
      </c>
      <c r="I3350" s="144" t="s">
        <v>154</v>
      </c>
    </row>
    <row r="3351" spans="1:9" ht="25.5">
      <c r="A3351" s="193">
        <v>46154</v>
      </c>
      <c r="B3351" s="145" t="s">
        <v>827</v>
      </c>
      <c r="C3351" s="150" t="s">
        <v>5512</v>
      </c>
      <c r="D3351" s="201" t="s">
        <v>1431</v>
      </c>
      <c r="E3351" s="144" t="s">
        <v>1449</v>
      </c>
      <c r="F3351" s="139" t="s">
        <v>88</v>
      </c>
      <c r="G3351" s="144" t="s">
        <v>5987</v>
      </c>
      <c r="H3351" s="146" t="s">
        <v>26</v>
      </c>
      <c r="I3351" s="144" t="s">
        <v>154</v>
      </c>
    </row>
    <row r="3352" spans="1:9" ht="25.5">
      <c r="A3352" s="193">
        <v>46154</v>
      </c>
      <c r="B3352" s="145" t="s">
        <v>827</v>
      </c>
      <c r="C3352" s="150" t="s">
        <v>5512</v>
      </c>
      <c r="D3352" s="201" t="s">
        <v>1431</v>
      </c>
      <c r="E3352" s="144" t="s">
        <v>1449</v>
      </c>
      <c r="F3352" s="139" t="s">
        <v>88</v>
      </c>
      <c r="G3352" s="144" t="s">
        <v>5988</v>
      </c>
      <c r="H3352" s="146" t="s">
        <v>26</v>
      </c>
      <c r="I3352" s="144" t="s">
        <v>154</v>
      </c>
    </row>
    <row r="3353" spans="1:9" ht="25.5">
      <c r="A3353" s="193">
        <v>46154</v>
      </c>
      <c r="B3353" s="145" t="s">
        <v>827</v>
      </c>
      <c r="C3353" s="150" t="s">
        <v>5512</v>
      </c>
      <c r="D3353" s="201" t="s">
        <v>1431</v>
      </c>
      <c r="E3353" s="144" t="s">
        <v>1449</v>
      </c>
      <c r="F3353" s="139" t="s">
        <v>88</v>
      </c>
      <c r="G3353" s="144" t="s">
        <v>5989</v>
      </c>
      <c r="H3353" s="146" t="s">
        <v>26</v>
      </c>
      <c r="I3353" s="144" t="s">
        <v>154</v>
      </c>
    </row>
    <row r="3354" spans="1:9" ht="25.5">
      <c r="A3354" s="193">
        <v>46155</v>
      </c>
      <c r="B3354" s="145" t="s">
        <v>827</v>
      </c>
      <c r="C3354" s="150" t="s">
        <v>5512</v>
      </c>
      <c r="D3354" s="201" t="s">
        <v>1431</v>
      </c>
      <c r="E3354" s="144" t="s">
        <v>21</v>
      </c>
      <c r="F3354" s="141" t="s">
        <v>821</v>
      </c>
      <c r="G3354" s="144" t="s">
        <v>5990</v>
      </c>
      <c r="H3354" s="146" t="s">
        <v>130</v>
      </c>
      <c r="I3354" s="144" t="s">
        <v>2993</v>
      </c>
    </row>
    <row r="3355" spans="1:9" ht="25.5">
      <c r="A3355" s="193">
        <v>46155</v>
      </c>
      <c r="B3355" s="145" t="s">
        <v>827</v>
      </c>
      <c r="C3355" s="150" t="s">
        <v>5512</v>
      </c>
      <c r="D3355" s="201" t="s">
        <v>1431</v>
      </c>
      <c r="E3355" s="144" t="s">
        <v>21</v>
      </c>
      <c r="F3355" s="141" t="s">
        <v>821</v>
      </c>
      <c r="G3355" s="144" t="s">
        <v>5991</v>
      </c>
      <c r="H3355" s="146" t="s">
        <v>26</v>
      </c>
      <c r="I3355" s="144" t="s">
        <v>2993</v>
      </c>
    </row>
    <row r="3356" spans="1:9" ht="38.1">
      <c r="A3356" s="193">
        <v>46156</v>
      </c>
      <c r="B3356" s="145" t="s">
        <v>827</v>
      </c>
      <c r="C3356" s="150" t="s">
        <v>5512</v>
      </c>
      <c r="D3356" s="201" t="s">
        <v>1431</v>
      </c>
      <c r="E3356" s="144" t="s">
        <v>216</v>
      </c>
      <c r="F3356" s="141" t="s">
        <v>821</v>
      </c>
      <c r="G3356" s="144" t="s">
        <v>5992</v>
      </c>
      <c r="H3356" s="146" t="s">
        <v>130</v>
      </c>
      <c r="I3356" s="144" t="s">
        <v>4339</v>
      </c>
    </row>
    <row r="3357" spans="1:9" ht="14.1">
      <c r="A3357" s="193">
        <v>46156</v>
      </c>
      <c r="B3357" s="145" t="s">
        <v>827</v>
      </c>
      <c r="C3357" s="150" t="s">
        <v>5512</v>
      </c>
      <c r="D3357" s="201" t="s">
        <v>1431</v>
      </c>
      <c r="E3357" s="144" t="s">
        <v>216</v>
      </c>
      <c r="F3357" s="141" t="s">
        <v>821</v>
      </c>
      <c r="G3357" s="144" t="s">
        <v>4517</v>
      </c>
      <c r="H3357" s="146" t="s">
        <v>130</v>
      </c>
      <c r="I3357" s="144" t="s">
        <v>578</v>
      </c>
    </row>
    <row r="3358" spans="1:9" ht="63">
      <c r="A3358" s="193">
        <v>46156</v>
      </c>
      <c r="B3358" s="145" t="s">
        <v>827</v>
      </c>
      <c r="C3358" s="150" t="s">
        <v>5512</v>
      </c>
      <c r="D3358" s="201" t="s">
        <v>1431</v>
      </c>
      <c r="E3358" s="144" t="s">
        <v>2192</v>
      </c>
      <c r="F3358" s="139" t="s">
        <v>88</v>
      </c>
      <c r="G3358" s="144" t="s">
        <v>4520</v>
      </c>
      <c r="H3358" s="146" t="s">
        <v>26</v>
      </c>
      <c r="I3358" s="144" t="s">
        <v>158</v>
      </c>
    </row>
    <row r="3359" spans="1:9" ht="38.1">
      <c r="A3359" s="193">
        <v>46156</v>
      </c>
      <c r="B3359" s="145" t="s">
        <v>827</v>
      </c>
      <c r="C3359" s="150" t="s">
        <v>5512</v>
      </c>
      <c r="D3359" s="201" t="s">
        <v>1431</v>
      </c>
      <c r="E3359" s="144" t="s">
        <v>1449</v>
      </c>
      <c r="F3359" s="141" t="s">
        <v>821</v>
      </c>
      <c r="G3359" s="144" t="s">
        <v>4522</v>
      </c>
      <c r="H3359" s="146" t="s">
        <v>26</v>
      </c>
      <c r="I3359" s="144" t="s">
        <v>154</v>
      </c>
    </row>
    <row r="3360" spans="1:9" ht="14.1">
      <c r="A3360" s="193">
        <v>46156</v>
      </c>
      <c r="B3360" s="145" t="s">
        <v>827</v>
      </c>
      <c r="C3360" s="150" t="s">
        <v>5512</v>
      </c>
      <c r="D3360" s="201" t="s">
        <v>1431</v>
      </c>
      <c r="E3360" s="144" t="s">
        <v>988</v>
      </c>
      <c r="F3360" s="139" t="s">
        <v>88</v>
      </c>
      <c r="G3360" s="144" t="s">
        <v>5993</v>
      </c>
      <c r="H3360" s="146" t="s">
        <v>26</v>
      </c>
      <c r="I3360" s="144" t="s">
        <v>4339</v>
      </c>
    </row>
    <row r="3361" spans="1:9" ht="38.1">
      <c r="A3361" s="193">
        <v>46157</v>
      </c>
      <c r="B3361" s="145" t="s">
        <v>827</v>
      </c>
      <c r="C3361" s="150" t="s">
        <v>5512</v>
      </c>
      <c r="D3361" s="201" t="s">
        <v>1431</v>
      </c>
      <c r="E3361" s="144" t="s">
        <v>216</v>
      </c>
      <c r="F3361" s="141" t="s">
        <v>821</v>
      </c>
      <c r="G3361" s="144" t="s">
        <v>4526</v>
      </c>
      <c r="H3361" s="146" t="s">
        <v>130</v>
      </c>
      <c r="I3361" s="144" t="s">
        <v>4339</v>
      </c>
    </row>
    <row r="3362" spans="1:9" ht="14.1">
      <c r="A3362" s="193">
        <v>46157</v>
      </c>
      <c r="B3362" s="145" t="s">
        <v>827</v>
      </c>
      <c r="C3362" s="150" t="s">
        <v>5512</v>
      </c>
      <c r="D3362" s="201" t="s">
        <v>1431</v>
      </c>
      <c r="E3362" s="144" t="s">
        <v>21</v>
      </c>
      <c r="F3362" s="141" t="s">
        <v>821</v>
      </c>
      <c r="G3362" s="144" t="s">
        <v>5994</v>
      </c>
      <c r="H3362" s="146" t="s">
        <v>130</v>
      </c>
      <c r="I3362" s="144" t="s">
        <v>468</v>
      </c>
    </row>
    <row r="3363" spans="1:9" ht="38.1">
      <c r="A3363" s="193">
        <v>46157</v>
      </c>
      <c r="B3363" s="145" t="s">
        <v>827</v>
      </c>
      <c r="C3363" s="150" t="s">
        <v>5512</v>
      </c>
      <c r="D3363" s="201" t="s">
        <v>1431</v>
      </c>
      <c r="E3363" s="144" t="s">
        <v>1449</v>
      </c>
      <c r="F3363" s="139" t="s">
        <v>88</v>
      </c>
      <c r="G3363" s="144" t="s">
        <v>5995</v>
      </c>
      <c r="H3363" s="146" t="s">
        <v>26</v>
      </c>
      <c r="I3363" s="144" t="s">
        <v>154</v>
      </c>
    </row>
    <row r="3364" spans="1:9" ht="14.1">
      <c r="A3364" s="193">
        <v>46157</v>
      </c>
      <c r="B3364" s="145" t="s">
        <v>827</v>
      </c>
      <c r="C3364" s="150" t="s">
        <v>5512</v>
      </c>
      <c r="D3364" s="201" t="s">
        <v>1431</v>
      </c>
      <c r="E3364" s="144" t="s">
        <v>988</v>
      </c>
      <c r="F3364" s="139" t="s">
        <v>88</v>
      </c>
      <c r="G3364" s="144" t="s">
        <v>5993</v>
      </c>
      <c r="H3364" s="146" t="s">
        <v>26</v>
      </c>
      <c r="I3364" s="144" t="s">
        <v>4339</v>
      </c>
    </row>
    <row r="3365" spans="1:9" ht="14.1">
      <c r="A3365" s="193">
        <v>46157</v>
      </c>
      <c r="B3365" s="145" t="s">
        <v>827</v>
      </c>
      <c r="C3365" s="150" t="s">
        <v>5512</v>
      </c>
      <c r="D3365" s="201" t="s">
        <v>1431</v>
      </c>
      <c r="E3365" s="144" t="s">
        <v>988</v>
      </c>
      <c r="F3365" s="139" t="s">
        <v>88</v>
      </c>
      <c r="G3365" s="144" t="s">
        <v>5996</v>
      </c>
      <c r="H3365" s="146" t="s">
        <v>26</v>
      </c>
      <c r="I3365" s="144" t="s">
        <v>2700</v>
      </c>
    </row>
    <row r="3366" spans="1:9" ht="50.45">
      <c r="A3366" s="193">
        <v>46160</v>
      </c>
      <c r="B3366" s="145" t="s">
        <v>827</v>
      </c>
      <c r="C3366" s="150" t="s">
        <v>5512</v>
      </c>
      <c r="D3366" s="201" t="s">
        <v>1431</v>
      </c>
      <c r="E3366" s="144" t="s">
        <v>1506</v>
      </c>
      <c r="F3366" s="139" t="s">
        <v>88</v>
      </c>
      <c r="G3366" s="144" t="s">
        <v>4527</v>
      </c>
      <c r="H3366" s="146" t="s">
        <v>26</v>
      </c>
      <c r="I3366" s="144" t="s">
        <v>578</v>
      </c>
    </row>
    <row r="3367" spans="1:9" ht="25.5">
      <c r="A3367" s="193">
        <v>46160</v>
      </c>
      <c r="B3367" s="145" t="s">
        <v>827</v>
      </c>
      <c r="C3367" s="150" t="s">
        <v>5512</v>
      </c>
      <c r="D3367" s="201" t="s">
        <v>1431</v>
      </c>
      <c r="E3367" s="144" t="s">
        <v>21</v>
      </c>
      <c r="F3367" s="141" t="s">
        <v>821</v>
      </c>
      <c r="G3367" s="144" t="s">
        <v>5997</v>
      </c>
      <c r="H3367" s="146" t="s">
        <v>130</v>
      </c>
      <c r="I3367" s="144" t="s">
        <v>468</v>
      </c>
    </row>
    <row r="3368" spans="1:9" ht="25.5">
      <c r="A3368" s="193">
        <v>46160</v>
      </c>
      <c r="B3368" s="145" t="s">
        <v>827</v>
      </c>
      <c r="C3368" s="150" t="s">
        <v>5512</v>
      </c>
      <c r="D3368" s="201" t="s">
        <v>1431</v>
      </c>
      <c r="E3368" s="144" t="s">
        <v>21</v>
      </c>
      <c r="F3368" s="141" t="s">
        <v>821</v>
      </c>
      <c r="G3368" s="144" t="s">
        <v>5998</v>
      </c>
      <c r="H3368" s="146" t="s">
        <v>26</v>
      </c>
      <c r="I3368" s="144" t="s">
        <v>468</v>
      </c>
    </row>
    <row r="3369" spans="1:9" ht="25.5">
      <c r="A3369" s="193">
        <v>46160</v>
      </c>
      <c r="B3369" s="145" t="s">
        <v>827</v>
      </c>
      <c r="C3369" s="150" t="s">
        <v>5512</v>
      </c>
      <c r="D3369" s="201" t="s">
        <v>1431</v>
      </c>
      <c r="E3369" s="144" t="s">
        <v>216</v>
      </c>
      <c r="F3369" s="141" t="s">
        <v>821</v>
      </c>
      <c r="G3369" s="144" t="s">
        <v>5999</v>
      </c>
      <c r="H3369" s="146" t="s">
        <v>130</v>
      </c>
      <c r="I3369" s="144" t="s">
        <v>4339</v>
      </c>
    </row>
    <row r="3370" spans="1:9" ht="50.45">
      <c r="A3370" s="193">
        <v>46160</v>
      </c>
      <c r="B3370" s="145" t="s">
        <v>827</v>
      </c>
      <c r="C3370" s="150" t="s">
        <v>5512</v>
      </c>
      <c r="D3370" s="201" t="s">
        <v>1431</v>
      </c>
      <c r="E3370" s="144" t="s">
        <v>216</v>
      </c>
      <c r="F3370" s="141" t="s">
        <v>821</v>
      </c>
      <c r="G3370" s="144" t="s">
        <v>6000</v>
      </c>
      <c r="H3370" s="146" t="s">
        <v>130</v>
      </c>
      <c r="I3370" s="144" t="s">
        <v>578</v>
      </c>
    </row>
    <row r="3371" spans="1:9" ht="38.1">
      <c r="A3371" s="193">
        <v>46160</v>
      </c>
      <c r="B3371" s="145" t="s">
        <v>827</v>
      </c>
      <c r="C3371" s="150" t="s">
        <v>5512</v>
      </c>
      <c r="D3371" s="201" t="s">
        <v>1431</v>
      </c>
      <c r="E3371" s="144" t="s">
        <v>216</v>
      </c>
      <c r="F3371" s="141" t="s">
        <v>821</v>
      </c>
      <c r="G3371" s="144" t="s">
        <v>4533</v>
      </c>
      <c r="H3371" s="146" t="s">
        <v>130</v>
      </c>
      <c r="I3371" s="144" t="s">
        <v>492</v>
      </c>
    </row>
    <row r="3372" spans="1:9" ht="25.5">
      <c r="A3372" s="193">
        <v>46160</v>
      </c>
      <c r="B3372" s="145" t="s">
        <v>827</v>
      </c>
      <c r="C3372" s="150" t="s">
        <v>5512</v>
      </c>
      <c r="D3372" s="201" t="s">
        <v>1431</v>
      </c>
      <c r="E3372" s="144" t="s">
        <v>216</v>
      </c>
      <c r="F3372" s="141" t="s">
        <v>821</v>
      </c>
      <c r="G3372" s="144" t="s">
        <v>6001</v>
      </c>
      <c r="H3372" s="146" t="s">
        <v>130</v>
      </c>
      <c r="I3372" s="144" t="s">
        <v>492</v>
      </c>
    </row>
    <row r="3373" spans="1:9" ht="14.1">
      <c r="A3373" s="193">
        <v>46160</v>
      </c>
      <c r="B3373" s="145" t="s">
        <v>827</v>
      </c>
      <c r="C3373" s="150" t="s">
        <v>5512</v>
      </c>
      <c r="D3373" s="201" t="s">
        <v>1431</v>
      </c>
      <c r="E3373" s="144" t="s">
        <v>216</v>
      </c>
      <c r="F3373" s="141" t="s">
        <v>821</v>
      </c>
      <c r="G3373" s="144" t="s">
        <v>6002</v>
      </c>
      <c r="H3373" s="146" t="s">
        <v>130</v>
      </c>
      <c r="I3373" s="144" t="s">
        <v>492</v>
      </c>
    </row>
    <row r="3374" spans="1:9" ht="14.1">
      <c r="A3374" s="193">
        <v>46160</v>
      </c>
      <c r="B3374" s="145" t="s">
        <v>827</v>
      </c>
      <c r="C3374" s="150" t="s">
        <v>5512</v>
      </c>
      <c r="D3374" s="201" t="s">
        <v>2224</v>
      </c>
      <c r="E3374" s="144" t="s">
        <v>1158</v>
      </c>
      <c r="F3374" s="141" t="s">
        <v>821</v>
      </c>
      <c r="G3374" s="144" t="s">
        <v>6003</v>
      </c>
      <c r="H3374" s="146" t="s">
        <v>130</v>
      </c>
      <c r="I3374" s="144" t="s">
        <v>2568</v>
      </c>
    </row>
    <row r="3375" spans="1:9" ht="14.1">
      <c r="A3375" s="193">
        <v>46160</v>
      </c>
      <c r="B3375" s="145" t="s">
        <v>827</v>
      </c>
      <c r="C3375" s="150" t="s">
        <v>5512</v>
      </c>
      <c r="D3375" s="201" t="s">
        <v>2224</v>
      </c>
      <c r="E3375" s="144" t="s">
        <v>1449</v>
      </c>
      <c r="F3375" s="139" t="s">
        <v>88</v>
      </c>
      <c r="G3375" s="144" t="s">
        <v>6004</v>
      </c>
      <c r="H3375" s="146" t="s">
        <v>26</v>
      </c>
      <c r="I3375" s="144" t="s">
        <v>2739</v>
      </c>
    </row>
    <row r="3376" spans="1:9" ht="14.1">
      <c r="A3376" s="193">
        <v>46160</v>
      </c>
      <c r="B3376" s="145" t="s">
        <v>827</v>
      </c>
      <c r="C3376" s="150" t="s">
        <v>5512</v>
      </c>
      <c r="D3376" s="201" t="s">
        <v>2224</v>
      </c>
      <c r="E3376" s="144" t="s">
        <v>1449</v>
      </c>
      <c r="F3376" s="139" t="s">
        <v>88</v>
      </c>
      <c r="G3376" s="144" t="s">
        <v>6005</v>
      </c>
      <c r="H3376" s="146" t="s">
        <v>26</v>
      </c>
      <c r="I3376" s="144" t="s">
        <v>2739</v>
      </c>
    </row>
    <row r="3377" spans="1:9" ht="25.5">
      <c r="A3377" s="193">
        <v>46161</v>
      </c>
      <c r="B3377" s="145" t="s">
        <v>827</v>
      </c>
      <c r="C3377" s="150" t="s">
        <v>5512</v>
      </c>
      <c r="D3377" s="201" t="s">
        <v>1431</v>
      </c>
      <c r="E3377" s="144" t="s">
        <v>21</v>
      </c>
      <c r="F3377" s="141" t="s">
        <v>821</v>
      </c>
      <c r="G3377" s="144" t="s">
        <v>6006</v>
      </c>
      <c r="H3377" s="146" t="s">
        <v>26</v>
      </c>
      <c r="I3377" s="144" t="s">
        <v>468</v>
      </c>
    </row>
    <row r="3378" spans="1:9" ht="25.5">
      <c r="A3378" s="193">
        <v>46161</v>
      </c>
      <c r="B3378" s="145" t="s">
        <v>827</v>
      </c>
      <c r="C3378" s="150" t="s">
        <v>5512</v>
      </c>
      <c r="D3378" s="201" t="s">
        <v>1431</v>
      </c>
      <c r="E3378" s="144" t="s">
        <v>21</v>
      </c>
      <c r="F3378" s="141" t="s">
        <v>821</v>
      </c>
      <c r="G3378" s="144" t="s">
        <v>6007</v>
      </c>
      <c r="H3378" s="146" t="s">
        <v>130</v>
      </c>
      <c r="I3378" s="144" t="s">
        <v>468</v>
      </c>
    </row>
    <row r="3379" spans="1:9" ht="14.1">
      <c r="A3379" s="193">
        <v>46161</v>
      </c>
      <c r="B3379" s="145" t="s">
        <v>827</v>
      </c>
      <c r="C3379" s="150" t="s">
        <v>5512</v>
      </c>
      <c r="D3379" s="201" t="s">
        <v>1431</v>
      </c>
      <c r="E3379" s="144" t="s">
        <v>21</v>
      </c>
      <c r="F3379" s="141" t="s">
        <v>821</v>
      </c>
      <c r="G3379" s="144" t="s">
        <v>4538</v>
      </c>
      <c r="H3379" s="146" t="s">
        <v>130</v>
      </c>
      <c r="I3379" s="144" t="s">
        <v>468</v>
      </c>
    </row>
    <row r="3380" spans="1:9" ht="25.5">
      <c r="A3380" s="193">
        <v>46161</v>
      </c>
      <c r="B3380" s="145" t="s">
        <v>827</v>
      </c>
      <c r="C3380" s="150" t="s">
        <v>5512</v>
      </c>
      <c r="D3380" s="201" t="s">
        <v>1431</v>
      </c>
      <c r="E3380" s="144" t="s">
        <v>21</v>
      </c>
      <c r="F3380" s="141" t="s">
        <v>821</v>
      </c>
      <c r="G3380" s="144" t="s">
        <v>6008</v>
      </c>
      <c r="H3380" s="146" t="s">
        <v>130</v>
      </c>
      <c r="I3380" s="144" t="s">
        <v>468</v>
      </c>
    </row>
    <row r="3381" spans="1:9" ht="38.1">
      <c r="A3381" s="193">
        <v>46161</v>
      </c>
      <c r="B3381" s="145" t="s">
        <v>827</v>
      </c>
      <c r="C3381" s="150" t="s">
        <v>5512</v>
      </c>
      <c r="D3381" s="201" t="s">
        <v>1431</v>
      </c>
      <c r="E3381" s="144" t="s">
        <v>1518</v>
      </c>
      <c r="F3381" s="139" t="s">
        <v>88</v>
      </c>
      <c r="G3381" s="144" t="s">
        <v>6009</v>
      </c>
      <c r="H3381" s="146" t="s">
        <v>26</v>
      </c>
      <c r="I3381" s="144" t="s">
        <v>118</v>
      </c>
    </row>
    <row r="3382" spans="1:9" ht="14.1">
      <c r="A3382" s="193">
        <v>46161</v>
      </c>
      <c r="B3382" s="145" t="s">
        <v>827</v>
      </c>
      <c r="C3382" s="150" t="s">
        <v>5512</v>
      </c>
      <c r="D3382" s="201" t="s">
        <v>1431</v>
      </c>
      <c r="E3382" s="144" t="s">
        <v>1566</v>
      </c>
      <c r="F3382" s="139" t="s">
        <v>88</v>
      </c>
      <c r="G3382" s="144" t="s">
        <v>6010</v>
      </c>
      <c r="H3382" s="146" t="s">
        <v>26</v>
      </c>
      <c r="I3382" s="144" t="s">
        <v>1453</v>
      </c>
    </row>
    <row r="3383" spans="1:9" ht="25.5">
      <c r="A3383" s="193">
        <v>46161</v>
      </c>
      <c r="B3383" s="145" t="s">
        <v>827</v>
      </c>
      <c r="C3383" s="150" t="s">
        <v>5512</v>
      </c>
      <c r="D3383" s="201" t="s">
        <v>1431</v>
      </c>
      <c r="E3383" s="144" t="s">
        <v>1566</v>
      </c>
      <c r="F3383" s="139" t="s">
        <v>88</v>
      </c>
      <c r="G3383" s="144" t="s">
        <v>6011</v>
      </c>
      <c r="H3383" s="146" t="s">
        <v>26</v>
      </c>
      <c r="I3383" s="144" t="s">
        <v>1453</v>
      </c>
    </row>
    <row r="3384" spans="1:9" ht="25.5">
      <c r="A3384" s="193">
        <v>46161</v>
      </c>
      <c r="B3384" s="145" t="s">
        <v>827</v>
      </c>
      <c r="C3384" s="150" t="s">
        <v>5512</v>
      </c>
      <c r="D3384" s="201" t="s">
        <v>1431</v>
      </c>
      <c r="E3384" s="144" t="s">
        <v>1566</v>
      </c>
      <c r="F3384" s="139" t="s">
        <v>88</v>
      </c>
      <c r="G3384" s="144" t="s">
        <v>6012</v>
      </c>
      <c r="H3384" s="146" t="s">
        <v>26</v>
      </c>
      <c r="I3384" s="144" t="s">
        <v>1453</v>
      </c>
    </row>
    <row r="3385" spans="1:9" ht="14.1">
      <c r="A3385" s="193">
        <v>46161</v>
      </c>
      <c r="B3385" s="145" t="s">
        <v>827</v>
      </c>
      <c r="C3385" s="150" t="s">
        <v>5512</v>
      </c>
      <c r="D3385" s="201" t="s">
        <v>1431</v>
      </c>
      <c r="E3385" s="144" t="s">
        <v>1449</v>
      </c>
      <c r="F3385" s="139" t="s">
        <v>88</v>
      </c>
      <c r="G3385" s="144" t="s">
        <v>6013</v>
      </c>
      <c r="H3385" s="146" t="s">
        <v>26</v>
      </c>
      <c r="I3385" s="144" t="s">
        <v>2739</v>
      </c>
    </row>
    <row r="3386" spans="1:9" ht="14.1">
      <c r="A3386" s="193">
        <v>46161</v>
      </c>
      <c r="B3386" s="145" t="s">
        <v>827</v>
      </c>
      <c r="C3386" s="150" t="s">
        <v>5512</v>
      </c>
      <c r="D3386" s="201" t="s">
        <v>1431</v>
      </c>
      <c r="E3386" s="144" t="s">
        <v>1449</v>
      </c>
      <c r="F3386" s="139" t="s">
        <v>88</v>
      </c>
      <c r="G3386" s="144" t="s">
        <v>6014</v>
      </c>
      <c r="H3386" s="146" t="s">
        <v>26</v>
      </c>
      <c r="I3386" s="144" t="s">
        <v>2739</v>
      </c>
    </row>
    <row r="3387" spans="1:9" ht="38.1">
      <c r="A3387" s="193">
        <v>46161</v>
      </c>
      <c r="B3387" s="145" t="s">
        <v>827</v>
      </c>
      <c r="C3387" s="150" t="s">
        <v>5512</v>
      </c>
      <c r="D3387" s="201" t="s">
        <v>1431</v>
      </c>
      <c r="E3387" s="144" t="s">
        <v>1449</v>
      </c>
      <c r="F3387" s="139" t="s">
        <v>88</v>
      </c>
      <c r="G3387" s="144" t="s">
        <v>6015</v>
      </c>
      <c r="H3387" s="146" t="s">
        <v>26</v>
      </c>
      <c r="I3387" s="144" t="s">
        <v>2739</v>
      </c>
    </row>
    <row r="3388" spans="1:9" ht="38.1">
      <c r="A3388" s="193">
        <v>46161</v>
      </c>
      <c r="B3388" s="145" t="s">
        <v>827</v>
      </c>
      <c r="C3388" s="150" t="s">
        <v>5512</v>
      </c>
      <c r="D3388" s="201" t="s">
        <v>3881</v>
      </c>
      <c r="E3388" s="144" t="s">
        <v>21</v>
      </c>
      <c r="F3388" s="141" t="s">
        <v>821</v>
      </c>
      <c r="G3388" s="144" t="s">
        <v>6016</v>
      </c>
      <c r="H3388" s="146" t="s">
        <v>26</v>
      </c>
      <c r="I3388" s="144" t="s">
        <v>5663</v>
      </c>
    </row>
    <row r="3389" spans="1:9" ht="25.5">
      <c r="A3389" s="193">
        <v>46161</v>
      </c>
      <c r="B3389" s="145" t="s">
        <v>827</v>
      </c>
      <c r="C3389" s="150" t="s">
        <v>5512</v>
      </c>
      <c r="D3389" s="201" t="s">
        <v>2224</v>
      </c>
      <c r="E3389" s="144" t="s">
        <v>1449</v>
      </c>
      <c r="F3389" s="139" t="s">
        <v>88</v>
      </c>
      <c r="G3389" s="144" t="s">
        <v>6017</v>
      </c>
      <c r="H3389" s="146" t="s">
        <v>26</v>
      </c>
      <c r="I3389" s="144" t="s">
        <v>2739</v>
      </c>
    </row>
    <row r="3390" spans="1:9" ht="38.1">
      <c r="A3390" s="193">
        <v>46161</v>
      </c>
      <c r="B3390" s="145" t="s">
        <v>827</v>
      </c>
      <c r="C3390" s="150" t="s">
        <v>5512</v>
      </c>
      <c r="D3390" s="201" t="s">
        <v>2224</v>
      </c>
      <c r="E3390" s="144" t="s">
        <v>1449</v>
      </c>
      <c r="F3390" s="139" t="s">
        <v>88</v>
      </c>
      <c r="G3390" s="144" t="s">
        <v>6018</v>
      </c>
      <c r="H3390" s="146" t="s">
        <v>26</v>
      </c>
      <c r="I3390" s="144" t="s">
        <v>2739</v>
      </c>
    </row>
    <row r="3391" spans="1:9" ht="14.1">
      <c r="A3391" s="193">
        <v>46161</v>
      </c>
      <c r="B3391" s="145" t="s">
        <v>827</v>
      </c>
      <c r="C3391" s="150" t="s">
        <v>5512</v>
      </c>
      <c r="D3391" s="201" t="s">
        <v>2224</v>
      </c>
      <c r="E3391" s="144" t="s">
        <v>1449</v>
      </c>
      <c r="F3391" s="139" t="s">
        <v>88</v>
      </c>
      <c r="G3391" s="144" t="s">
        <v>6019</v>
      </c>
      <c r="H3391" s="146" t="s">
        <v>26</v>
      </c>
      <c r="I3391" s="144" t="s">
        <v>2739</v>
      </c>
    </row>
    <row r="3392" spans="1:9" ht="25.5">
      <c r="A3392" s="193">
        <v>46162</v>
      </c>
      <c r="B3392" s="145" t="s">
        <v>827</v>
      </c>
      <c r="C3392" s="150" t="s">
        <v>5512</v>
      </c>
      <c r="D3392" s="201" t="s">
        <v>1431</v>
      </c>
      <c r="E3392" s="144" t="s">
        <v>216</v>
      </c>
      <c r="F3392" s="141" t="s">
        <v>821</v>
      </c>
      <c r="G3392" s="144" t="s">
        <v>4542</v>
      </c>
      <c r="H3392" s="146" t="s">
        <v>130</v>
      </c>
      <c r="I3392" s="144" t="s">
        <v>4339</v>
      </c>
    </row>
    <row r="3393" spans="1:9" ht="14.1">
      <c r="A3393" s="193">
        <v>46162</v>
      </c>
      <c r="B3393" s="145" t="s">
        <v>827</v>
      </c>
      <c r="C3393" s="150" t="s">
        <v>5512</v>
      </c>
      <c r="D3393" s="201" t="s">
        <v>1431</v>
      </c>
      <c r="E3393" s="144" t="s">
        <v>216</v>
      </c>
      <c r="F3393" s="141" t="s">
        <v>821</v>
      </c>
      <c r="G3393" s="144" t="s">
        <v>4544</v>
      </c>
      <c r="H3393" s="146" t="s">
        <v>130</v>
      </c>
      <c r="I3393" s="144" t="s">
        <v>3516</v>
      </c>
    </row>
    <row r="3394" spans="1:9" ht="25.5">
      <c r="A3394" s="193">
        <v>46162</v>
      </c>
      <c r="B3394" s="145" t="s">
        <v>827</v>
      </c>
      <c r="C3394" s="150" t="s">
        <v>5512</v>
      </c>
      <c r="D3394" s="201" t="s">
        <v>1431</v>
      </c>
      <c r="E3394" s="144" t="s">
        <v>216</v>
      </c>
      <c r="F3394" s="141" t="s">
        <v>821</v>
      </c>
      <c r="G3394" s="144" t="s">
        <v>4546</v>
      </c>
      <c r="H3394" s="146" t="s">
        <v>130</v>
      </c>
      <c r="I3394" s="144" t="s">
        <v>3516</v>
      </c>
    </row>
    <row r="3395" spans="1:9" ht="25.5">
      <c r="A3395" s="193">
        <v>46162</v>
      </c>
      <c r="B3395" s="145" t="s">
        <v>827</v>
      </c>
      <c r="C3395" s="150" t="s">
        <v>5512</v>
      </c>
      <c r="D3395" s="201" t="s">
        <v>1431</v>
      </c>
      <c r="E3395" s="144" t="s">
        <v>1506</v>
      </c>
      <c r="F3395" s="139" t="s">
        <v>88</v>
      </c>
      <c r="G3395" s="144" t="s">
        <v>6020</v>
      </c>
      <c r="H3395" s="146" t="s">
        <v>130</v>
      </c>
      <c r="I3395" s="144" t="s">
        <v>208</v>
      </c>
    </row>
    <row r="3396" spans="1:9" ht="25.5">
      <c r="A3396" s="193">
        <v>46162</v>
      </c>
      <c r="B3396" s="145" t="s">
        <v>827</v>
      </c>
      <c r="C3396" s="150" t="s">
        <v>5512</v>
      </c>
      <c r="D3396" s="201" t="s">
        <v>1431</v>
      </c>
      <c r="E3396" s="144" t="s">
        <v>1506</v>
      </c>
      <c r="F3396" s="139" t="s">
        <v>88</v>
      </c>
      <c r="G3396" s="144" t="s">
        <v>6021</v>
      </c>
      <c r="H3396" s="146" t="s">
        <v>130</v>
      </c>
      <c r="I3396" s="144" t="s">
        <v>208</v>
      </c>
    </row>
    <row r="3397" spans="1:9" ht="14.1">
      <c r="A3397" s="193">
        <v>46162</v>
      </c>
      <c r="B3397" s="145" t="s">
        <v>827</v>
      </c>
      <c r="C3397" s="150" t="s">
        <v>5512</v>
      </c>
      <c r="D3397" s="201" t="s">
        <v>1431</v>
      </c>
      <c r="E3397" s="144" t="s">
        <v>216</v>
      </c>
      <c r="F3397" s="141" t="s">
        <v>821</v>
      </c>
      <c r="G3397" s="144" t="s">
        <v>6022</v>
      </c>
      <c r="H3397" s="146" t="s">
        <v>26</v>
      </c>
      <c r="I3397" s="144" t="s">
        <v>492</v>
      </c>
    </row>
    <row r="3398" spans="1:9" ht="14.1">
      <c r="A3398" s="193">
        <v>46162</v>
      </c>
      <c r="B3398" s="145" t="s">
        <v>827</v>
      </c>
      <c r="C3398" s="150" t="s">
        <v>5512</v>
      </c>
      <c r="D3398" s="201" t="s">
        <v>1431</v>
      </c>
      <c r="E3398" s="144" t="s">
        <v>21</v>
      </c>
      <c r="F3398" s="141" t="s">
        <v>821</v>
      </c>
      <c r="G3398" s="144" t="s">
        <v>6023</v>
      </c>
      <c r="H3398" s="146" t="s">
        <v>26</v>
      </c>
      <c r="I3398" s="144" t="s">
        <v>468</v>
      </c>
    </row>
    <row r="3399" spans="1:9" ht="14.1">
      <c r="A3399" s="193">
        <v>46162</v>
      </c>
      <c r="B3399" s="145" t="s">
        <v>827</v>
      </c>
      <c r="C3399" s="150" t="s">
        <v>5512</v>
      </c>
      <c r="D3399" s="201" t="s">
        <v>1431</v>
      </c>
      <c r="E3399" s="144" t="s">
        <v>21</v>
      </c>
      <c r="F3399" s="141" t="s">
        <v>821</v>
      </c>
      <c r="G3399" s="144" t="s">
        <v>6024</v>
      </c>
      <c r="H3399" s="146" t="s">
        <v>26</v>
      </c>
      <c r="I3399" s="144" t="s">
        <v>468</v>
      </c>
    </row>
    <row r="3400" spans="1:9" ht="25.5">
      <c r="A3400" s="193">
        <v>46162</v>
      </c>
      <c r="B3400" s="145" t="s">
        <v>827</v>
      </c>
      <c r="C3400" s="150" t="s">
        <v>5512</v>
      </c>
      <c r="D3400" s="201" t="s">
        <v>1431</v>
      </c>
      <c r="E3400" s="144" t="s">
        <v>1449</v>
      </c>
      <c r="F3400" s="139" t="s">
        <v>88</v>
      </c>
      <c r="G3400" s="144" t="s">
        <v>6025</v>
      </c>
      <c r="H3400" s="146" t="s">
        <v>26</v>
      </c>
      <c r="I3400" s="144" t="s">
        <v>2739</v>
      </c>
    </row>
    <row r="3401" spans="1:9" ht="25.5">
      <c r="A3401" s="193">
        <v>46162</v>
      </c>
      <c r="B3401" s="145" t="s">
        <v>827</v>
      </c>
      <c r="C3401" s="150" t="s">
        <v>5512</v>
      </c>
      <c r="D3401" s="201" t="s">
        <v>1431</v>
      </c>
      <c r="E3401" s="144" t="s">
        <v>1449</v>
      </c>
      <c r="F3401" s="141" t="s">
        <v>821</v>
      </c>
      <c r="G3401" s="144" t="s">
        <v>6026</v>
      </c>
      <c r="H3401" s="146" t="s">
        <v>26</v>
      </c>
      <c r="I3401" s="144" t="s">
        <v>2739</v>
      </c>
    </row>
    <row r="3402" spans="1:9" ht="50.45">
      <c r="A3402" s="193">
        <v>46162</v>
      </c>
      <c r="B3402" s="145" t="s">
        <v>827</v>
      </c>
      <c r="C3402" s="150" t="s">
        <v>5512</v>
      </c>
      <c r="D3402" s="201" t="s">
        <v>1431</v>
      </c>
      <c r="E3402" s="144" t="s">
        <v>1436</v>
      </c>
      <c r="F3402" s="139" t="s">
        <v>88</v>
      </c>
      <c r="G3402" s="144" t="s">
        <v>6027</v>
      </c>
      <c r="H3402" s="146" t="s">
        <v>130</v>
      </c>
      <c r="I3402" s="144" t="s">
        <v>59</v>
      </c>
    </row>
    <row r="3403" spans="1:9" ht="38.1">
      <c r="A3403" s="193">
        <v>46162</v>
      </c>
      <c r="B3403" s="145" t="s">
        <v>827</v>
      </c>
      <c r="C3403" s="150" t="s">
        <v>5512</v>
      </c>
      <c r="D3403" s="201" t="s">
        <v>2224</v>
      </c>
      <c r="E3403" s="144" t="s">
        <v>1449</v>
      </c>
      <c r="F3403" s="139" t="s">
        <v>88</v>
      </c>
      <c r="G3403" s="144" t="s">
        <v>6028</v>
      </c>
      <c r="H3403" s="146" t="s">
        <v>26</v>
      </c>
      <c r="I3403" s="144" t="s">
        <v>2568</v>
      </c>
    </row>
    <row r="3404" spans="1:9" ht="25.5">
      <c r="A3404" s="193">
        <v>46162</v>
      </c>
      <c r="B3404" s="145" t="s">
        <v>827</v>
      </c>
      <c r="C3404" s="150" t="s">
        <v>5512</v>
      </c>
      <c r="D3404" s="201" t="s">
        <v>2224</v>
      </c>
      <c r="E3404" s="144" t="s">
        <v>21</v>
      </c>
      <c r="F3404" s="141" t="s">
        <v>821</v>
      </c>
      <c r="G3404" s="144" t="s">
        <v>6029</v>
      </c>
      <c r="H3404" s="146" t="s">
        <v>130</v>
      </c>
      <c r="I3404" s="144" t="s">
        <v>2739</v>
      </c>
    </row>
    <row r="3405" spans="1:9" ht="38.1">
      <c r="A3405" s="193">
        <v>46163</v>
      </c>
      <c r="B3405" s="145" t="s">
        <v>827</v>
      </c>
      <c r="C3405" s="150" t="s">
        <v>5512</v>
      </c>
      <c r="D3405" s="201" t="s">
        <v>1431</v>
      </c>
      <c r="E3405" s="144" t="s">
        <v>216</v>
      </c>
      <c r="F3405" s="141" t="s">
        <v>821</v>
      </c>
      <c r="G3405" s="144" t="s">
        <v>6030</v>
      </c>
      <c r="H3405" s="146" t="s">
        <v>130</v>
      </c>
      <c r="I3405" s="144" t="s">
        <v>492</v>
      </c>
    </row>
    <row r="3406" spans="1:9" ht="50.45">
      <c r="A3406" s="193">
        <v>46163</v>
      </c>
      <c r="B3406" s="145" t="s">
        <v>827</v>
      </c>
      <c r="C3406" s="150" t="s">
        <v>5512</v>
      </c>
      <c r="D3406" s="201" t="s">
        <v>1431</v>
      </c>
      <c r="E3406" s="144" t="s">
        <v>2595</v>
      </c>
      <c r="F3406" s="139" t="s">
        <v>88</v>
      </c>
      <c r="G3406" s="144" t="s">
        <v>6031</v>
      </c>
      <c r="H3406" s="146" t="s">
        <v>130</v>
      </c>
      <c r="I3406" s="144" t="s">
        <v>921</v>
      </c>
    </row>
    <row r="3407" spans="1:9" ht="25.5">
      <c r="A3407" s="193">
        <v>46163</v>
      </c>
      <c r="B3407" s="145" t="s">
        <v>827</v>
      </c>
      <c r="C3407" s="150" t="s">
        <v>5512</v>
      </c>
      <c r="D3407" s="201" t="s">
        <v>1431</v>
      </c>
      <c r="E3407" s="144" t="s">
        <v>1584</v>
      </c>
      <c r="F3407" s="141" t="s">
        <v>821</v>
      </c>
      <c r="G3407" s="144" t="s">
        <v>4552</v>
      </c>
      <c r="H3407" s="146" t="s">
        <v>130</v>
      </c>
      <c r="I3407" s="144" t="s">
        <v>158</v>
      </c>
    </row>
    <row r="3408" spans="1:9" ht="38.1">
      <c r="A3408" s="193">
        <v>46163</v>
      </c>
      <c r="B3408" s="145" t="s">
        <v>827</v>
      </c>
      <c r="C3408" s="150" t="s">
        <v>5512</v>
      </c>
      <c r="D3408" s="201" t="s">
        <v>1431</v>
      </c>
      <c r="E3408" s="144" t="s">
        <v>21</v>
      </c>
      <c r="F3408" s="141" t="s">
        <v>821</v>
      </c>
      <c r="G3408" s="144" t="s">
        <v>6032</v>
      </c>
      <c r="H3408" s="146" t="s">
        <v>130</v>
      </c>
      <c r="I3408" s="144" t="s">
        <v>468</v>
      </c>
    </row>
    <row r="3409" spans="1:9" ht="25.5">
      <c r="A3409" s="193">
        <v>46163</v>
      </c>
      <c r="B3409" s="145" t="s">
        <v>827</v>
      </c>
      <c r="C3409" s="150" t="s">
        <v>5512</v>
      </c>
      <c r="D3409" s="201" t="s">
        <v>1431</v>
      </c>
      <c r="E3409" s="144" t="s">
        <v>2244</v>
      </c>
      <c r="F3409" s="139" t="s">
        <v>88</v>
      </c>
      <c r="G3409" s="144" t="s">
        <v>6033</v>
      </c>
      <c r="H3409" s="146" t="s">
        <v>130</v>
      </c>
      <c r="I3409" s="144" t="s">
        <v>1998</v>
      </c>
    </row>
    <row r="3410" spans="1:9" ht="25.5">
      <c r="A3410" s="193">
        <v>46163</v>
      </c>
      <c r="B3410" s="145" t="s">
        <v>827</v>
      </c>
      <c r="C3410" s="150" t="s">
        <v>5512</v>
      </c>
      <c r="D3410" s="201" t="s">
        <v>1431</v>
      </c>
      <c r="E3410" s="144" t="s">
        <v>88</v>
      </c>
      <c r="F3410" s="141" t="s">
        <v>821</v>
      </c>
      <c r="G3410" s="144" t="s">
        <v>6034</v>
      </c>
      <c r="H3410" s="146" t="s">
        <v>130</v>
      </c>
      <c r="I3410" s="144" t="s">
        <v>910</v>
      </c>
    </row>
    <row r="3411" spans="1:9" ht="14.1">
      <c r="A3411" s="193">
        <v>46163</v>
      </c>
      <c r="B3411" s="145" t="s">
        <v>827</v>
      </c>
      <c r="C3411" s="150" t="s">
        <v>5512</v>
      </c>
      <c r="D3411" s="201" t="s">
        <v>1431</v>
      </c>
      <c r="E3411" s="144" t="s">
        <v>1504</v>
      </c>
      <c r="F3411" s="141" t="s">
        <v>821</v>
      </c>
      <c r="G3411" s="144" t="s">
        <v>6035</v>
      </c>
      <c r="H3411" s="146" t="s">
        <v>130</v>
      </c>
      <c r="I3411" s="144" t="s">
        <v>492</v>
      </c>
    </row>
    <row r="3412" spans="1:9" ht="38.1">
      <c r="A3412" s="193">
        <v>46163</v>
      </c>
      <c r="B3412" s="145" t="s">
        <v>827</v>
      </c>
      <c r="C3412" s="150" t="s">
        <v>5512</v>
      </c>
      <c r="D3412" s="201" t="s">
        <v>1431</v>
      </c>
      <c r="E3412" s="144" t="s">
        <v>1504</v>
      </c>
      <c r="F3412" s="141" t="s">
        <v>821</v>
      </c>
      <c r="G3412" s="144" t="s">
        <v>4554</v>
      </c>
      <c r="H3412" s="146" t="s">
        <v>130</v>
      </c>
      <c r="I3412" s="144" t="s">
        <v>468</v>
      </c>
    </row>
    <row r="3413" spans="1:9" ht="25.5">
      <c r="A3413" s="193">
        <v>46163</v>
      </c>
      <c r="B3413" s="145" t="s">
        <v>827</v>
      </c>
      <c r="C3413" s="150" t="s">
        <v>5512</v>
      </c>
      <c r="D3413" s="201" t="s">
        <v>1431</v>
      </c>
      <c r="E3413" s="144" t="s">
        <v>1449</v>
      </c>
      <c r="F3413" s="139" t="s">
        <v>88</v>
      </c>
      <c r="G3413" s="144" t="s">
        <v>6036</v>
      </c>
      <c r="H3413" s="146" t="s">
        <v>26</v>
      </c>
      <c r="I3413" s="144" t="s">
        <v>2739</v>
      </c>
    </row>
    <row r="3414" spans="1:9" ht="38.1">
      <c r="A3414" s="193">
        <v>46163</v>
      </c>
      <c r="B3414" s="145" t="s">
        <v>827</v>
      </c>
      <c r="C3414" s="150" t="s">
        <v>5512</v>
      </c>
      <c r="D3414" s="201" t="s">
        <v>1431</v>
      </c>
      <c r="E3414" s="144" t="s">
        <v>1449</v>
      </c>
      <c r="F3414" s="139" t="s">
        <v>88</v>
      </c>
      <c r="G3414" s="144" t="s">
        <v>6037</v>
      </c>
      <c r="H3414" s="146" t="s">
        <v>26</v>
      </c>
      <c r="I3414" s="144" t="s">
        <v>2739</v>
      </c>
    </row>
    <row r="3415" spans="1:9" ht="50.45">
      <c r="A3415" s="193">
        <v>46163</v>
      </c>
      <c r="B3415" s="145" t="s">
        <v>827</v>
      </c>
      <c r="C3415" s="150" t="s">
        <v>5512</v>
      </c>
      <c r="D3415" s="201" t="s">
        <v>1431</v>
      </c>
      <c r="E3415" s="144" t="s">
        <v>1506</v>
      </c>
      <c r="F3415" s="139" t="s">
        <v>88</v>
      </c>
      <c r="G3415" s="144" t="s">
        <v>6038</v>
      </c>
      <c r="H3415" s="146" t="s">
        <v>26</v>
      </c>
      <c r="I3415" s="144" t="s">
        <v>208</v>
      </c>
    </row>
    <row r="3416" spans="1:9" ht="38.1">
      <c r="A3416" s="193">
        <v>46163</v>
      </c>
      <c r="B3416" s="145" t="s">
        <v>827</v>
      </c>
      <c r="C3416" s="150" t="s">
        <v>5512</v>
      </c>
      <c r="D3416" s="201" t="s">
        <v>2224</v>
      </c>
      <c r="E3416" s="144" t="s">
        <v>1432</v>
      </c>
      <c r="F3416" s="141" t="s">
        <v>821</v>
      </c>
      <c r="G3416" s="144" t="s">
        <v>6039</v>
      </c>
      <c r="H3416" s="146" t="s">
        <v>130</v>
      </c>
      <c r="I3416" s="144" t="s">
        <v>2568</v>
      </c>
    </row>
    <row r="3417" spans="1:9" ht="14.1">
      <c r="A3417" s="193">
        <v>46167</v>
      </c>
      <c r="B3417" s="145" t="s">
        <v>827</v>
      </c>
      <c r="C3417" s="150" t="s">
        <v>5512</v>
      </c>
      <c r="D3417" s="201" t="s">
        <v>1431</v>
      </c>
      <c r="E3417" s="144" t="s">
        <v>1504</v>
      </c>
      <c r="F3417" s="141" t="s">
        <v>821</v>
      </c>
      <c r="G3417" s="144" t="s">
        <v>6040</v>
      </c>
      <c r="H3417" s="146" t="s">
        <v>130</v>
      </c>
      <c r="I3417" s="144" t="s">
        <v>468</v>
      </c>
    </row>
    <row r="3418" spans="1:9" ht="25.5">
      <c r="A3418" s="193">
        <v>46167</v>
      </c>
      <c r="B3418" s="145" t="s">
        <v>827</v>
      </c>
      <c r="C3418" s="150" t="s">
        <v>5512</v>
      </c>
      <c r="D3418" s="201" t="s">
        <v>1431</v>
      </c>
      <c r="E3418" s="144" t="s">
        <v>1504</v>
      </c>
      <c r="F3418" s="141" t="s">
        <v>821</v>
      </c>
      <c r="G3418" s="144" t="s">
        <v>6041</v>
      </c>
      <c r="H3418" s="146" t="s">
        <v>130</v>
      </c>
      <c r="I3418" s="144" t="s">
        <v>3516</v>
      </c>
    </row>
    <row r="3419" spans="1:9" ht="25.5">
      <c r="A3419" s="193">
        <v>46167</v>
      </c>
      <c r="B3419" s="145" t="s">
        <v>827</v>
      </c>
      <c r="C3419" s="150" t="s">
        <v>5512</v>
      </c>
      <c r="D3419" s="201" t="s">
        <v>1431</v>
      </c>
      <c r="E3419" s="144" t="s">
        <v>21</v>
      </c>
      <c r="F3419" s="141" t="s">
        <v>821</v>
      </c>
      <c r="G3419" s="144" t="s">
        <v>6042</v>
      </c>
      <c r="H3419" s="146" t="s">
        <v>26</v>
      </c>
      <c r="I3419" s="144" t="s">
        <v>468</v>
      </c>
    </row>
    <row r="3420" spans="1:9" ht="50.45">
      <c r="A3420" s="193">
        <v>46167</v>
      </c>
      <c r="B3420" s="145" t="s">
        <v>827</v>
      </c>
      <c r="C3420" s="150" t="s">
        <v>5512</v>
      </c>
      <c r="D3420" s="201" t="s">
        <v>1431</v>
      </c>
      <c r="E3420" s="144" t="s">
        <v>21</v>
      </c>
      <c r="F3420" s="141" t="s">
        <v>821</v>
      </c>
      <c r="G3420" s="144" t="s">
        <v>6043</v>
      </c>
      <c r="H3420" s="146" t="s">
        <v>130</v>
      </c>
      <c r="I3420" s="144" t="s">
        <v>468</v>
      </c>
    </row>
    <row r="3421" spans="1:9" ht="25.5">
      <c r="A3421" s="193">
        <v>46167</v>
      </c>
      <c r="B3421" s="145" t="s">
        <v>827</v>
      </c>
      <c r="C3421" s="150" t="s">
        <v>5512</v>
      </c>
      <c r="D3421" s="201" t="s">
        <v>1431</v>
      </c>
      <c r="E3421" s="144" t="s">
        <v>216</v>
      </c>
      <c r="F3421" s="141" t="s">
        <v>821</v>
      </c>
      <c r="G3421" s="144" t="s">
        <v>4558</v>
      </c>
      <c r="H3421" s="146" t="s">
        <v>130</v>
      </c>
      <c r="I3421" s="144" t="s">
        <v>492</v>
      </c>
    </row>
    <row r="3422" spans="1:9" ht="25.5">
      <c r="A3422" s="193">
        <v>46167</v>
      </c>
      <c r="B3422" s="145" t="s">
        <v>827</v>
      </c>
      <c r="C3422" s="150" t="s">
        <v>5512</v>
      </c>
      <c r="D3422" s="201" t="s">
        <v>1431</v>
      </c>
      <c r="E3422" s="144" t="s">
        <v>21</v>
      </c>
      <c r="F3422" s="141" t="s">
        <v>821</v>
      </c>
      <c r="G3422" s="144" t="s">
        <v>6044</v>
      </c>
      <c r="H3422" s="146" t="s">
        <v>130</v>
      </c>
      <c r="I3422" s="144" t="s">
        <v>468</v>
      </c>
    </row>
    <row r="3423" spans="1:9" ht="25.5">
      <c r="A3423" s="193">
        <v>46167</v>
      </c>
      <c r="B3423" s="145" t="s">
        <v>827</v>
      </c>
      <c r="C3423" s="150" t="s">
        <v>5512</v>
      </c>
      <c r="D3423" s="201" t="s">
        <v>1431</v>
      </c>
      <c r="E3423" s="144" t="s">
        <v>1560</v>
      </c>
      <c r="F3423" s="139" t="s">
        <v>88</v>
      </c>
      <c r="G3423" s="144" t="s">
        <v>6045</v>
      </c>
      <c r="H3423" s="146" t="s">
        <v>130</v>
      </c>
      <c r="I3423" s="144" t="s">
        <v>2599</v>
      </c>
    </row>
    <row r="3424" spans="1:9" ht="38.1">
      <c r="A3424" s="193">
        <v>46168</v>
      </c>
      <c r="B3424" s="145" t="s">
        <v>827</v>
      </c>
      <c r="C3424" s="150" t="s">
        <v>5512</v>
      </c>
      <c r="D3424" s="201" t="s">
        <v>1431</v>
      </c>
      <c r="E3424" s="144" t="s">
        <v>88</v>
      </c>
      <c r="F3424" s="139" t="s">
        <v>88</v>
      </c>
      <c r="G3424" s="144" t="s">
        <v>4563</v>
      </c>
      <c r="H3424" s="146" t="s">
        <v>130</v>
      </c>
      <c r="I3424" s="144" t="s">
        <v>1259</v>
      </c>
    </row>
    <row r="3425" spans="1:9" ht="14.1">
      <c r="A3425" s="193">
        <v>46169</v>
      </c>
      <c r="B3425" s="145" t="s">
        <v>827</v>
      </c>
      <c r="C3425" s="150" t="s">
        <v>5512</v>
      </c>
      <c r="D3425" s="201" t="s">
        <v>1431</v>
      </c>
      <c r="E3425" s="144" t="s">
        <v>216</v>
      </c>
      <c r="F3425" s="141" t="s">
        <v>821</v>
      </c>
      <c r="G3425" s="144" t="s">
        <v>5515</v>
      </c>
      <c r="H3425" s="146" t="s">
        <v>26</v>
      </c>
      <c r="I3425" s="144" t="s">
        <v>492</v>
      </c>
    </row>
    <row r="3426" spans="1:9" ht="14.1">
      <c r="A3426" s="193">
        <v>46170</v>
      </c>
      <c r="B3426" s="145" t="s">
        <v>827</v>
      </c>
      <c r="C3426" s="150" t="s">
        <v>5512</v>
      </c>
      <c r="D3426" s="201" t="s">
        <v>1431</v>
      </c>
      <c r="E3426" s="144" t="s">
        <v>216</v>
      </c>
      <c r="F3426" s="141" t="s">
        <v>821</v>
      </c>
      <c r="G3426" s="144" t="s">
        <v>6046</v>
      </c>
      <c r="H3426" s="146" t="s">
        <v>130</v>
      </c>
      <c r="I3426" s="144" t="s">
        <v>492</v>
      </c>
    </row>
    <row r="3427" spans="1:9" ht="25.5">
      <c r="A3427" s="193">
        <v>46170</v>
      </c>
      <c r="B3427" s="145" t="s">
        <v>827</v>
      </c>
      <c r="C3427" s="150" t="s">
        <v>5512</v>
      </c>
      <c r="D3427" s="201" t="s">
        <v>1431</v>
      </c>
      <c r="E3427" s="144" t="s">
        <v>216</v>
      </c>
      <c r="F3427" s="141" t="s">
        <v>821</v>
      </c>
      <c r="G3427" s="144" t="s">
        <v>6047</v>
      </c>
      <c r="H3427" s="146" t="s">
        <v>130</v>
      </c>
      <c r="I3427" s="144" t="s">
        <v>492</v>
      </c>
    </row>
    <row r="3428" spans="1:9" ht="50.45">
      <c r="A3428" s="193">
        <v>46170</v>
      </c>
      <c r="B3428" s="145" t="s">
        <v>827</v>
      </c>
      <c r="C3428" s="150" t="s">
        <v>5512</v>
      </c>
      <c r="D3428" s="201" t="s">
        <v>1431</v>
      </c>
      <c r="E3428" s="144" t="s">
        <v>21</v>
      </c>
      <c r="F3428" s="141" t="s">
        <v>821</v>
      </c>
      <c r="G3428" s="144" t="s">
        <v>6048</v>
      </c>
      <c r="H3428" s="146" t="s">
        <v>130</v>
      </c>
      <c r="I3428" s="144" t="s">
        <v>468</v>
      </c>
    </row>
    <row r="3429" spans="1:9" ht="38.1">
      <c r="A3429" s="193">
        <v>46170</v>
      </c>
      <c r="B3429" s="145" t="s">
        <v>827</v>
      </c>
      <c r="C3429" s="150" t="s">
        <v>5512</v>
      </c>
      <c r="D3429" s="201" t="s">
        <v>1431</v>
      </c>
      <c r="E3429" s="144" t="s">
        <v>21</v>
      </c>
      <c r="F3429" s="141" t="s">
        <v>821</v>
      </c>
      <c r="G3429" s="144" t="s">
        <v>6049</v>
      </c>
      <c r="H3429" s="146" t="s">
        <v>26</v>
      </c>
      <c r="I3429" s="144" t="s">
        <v>468</v>
      </c>
    </row>
    <row r="3430" spans="1:9" ht="25.5">
      <c r="A3430" s="193">
        <v>46170</v>
      </c>
      <c r="B3430" s="145" t="s">
        <v>827</v>
      </c>
      <c r="C3430" s="150" t="s">
        <v>5512</v>
      </c>
      <c r="D3430" s="201" t="s">
        <v>1431</v>
      </c>
      <c r="E3430" s="144" t="s">
        <v>21</v>
      </c>
      <c r="F3430" s="141" t="s">
        <v>821</v>
      </c>
      <c r="G3430" s="144" t="s">
        <v>6050</v>
      </c>
      <c r="H3430" s="146" t="s">
        <v>26</v>
      </c>
      <c r="I3430" s="144" t="s">
        <v>468</v>
      </c>
    </row>
    <row r="3431" spans="1:9" ht="25.5">
      <c r="A3431" s="193">
        <v>46170</v>
      </c>
      <c r="B3431" s="145" t="s">
        <v>827</v>
      </c>
      <c r="C3431" s="150" t="s">
        <v>5512</v>
      </c>
      <c r="D3431" s="201" t="s">
        <v>1431</v>
      </c>
      <c r="E3431" s="144" t="s">
        <v>21</v>
      </c>
      <c r="F3431" s="141" t="s">
        <v>821</v>
      </c>
      <c r="G3431" s="144" t="s">
        <v>6051</v>
      </c>
      <c r="H3431" s="146" t="s">
        <v>26</v>
      </c>
      <c r="I3431" s="144" t="s">
        <v>468</v>
      </c>
    </row>
    <row r="3432" spans="1:9" ht="25.5">
      <c r="A3432" s="193">
        <v>46170</v>
      </c>
      <c r="B3432" s="145" t="s">
        <v>827</v>
      </c>
      <c r="C3432" s="150" t="s">
        <v>5512</v>
      </c>
      <c r="D3432" s="201" t="s">
        <v>1431</v>
      </c>
      <c r="E3432" s="144" t="s">
        <v>88</v>
      </c>
      <c r="F3432" s="139" t="s">
        <v>88</v>
      </c>
      <c r="G3432" s="144" t="s">
        <v>6052</v>
      </c>
      <c r="H3432" s="146" t="s">
        <v>26</v>
      </c>
      <c r="I3432" s="144" t="s">
        <v>1259</v>
      </c>
    </row>
    <row r="3433" spans="1:9" ht="25.5">
      <c r="A3433" s="193">
        <v>46170</v>
      </c>
      <c r="B3433" s="145" t="s">
        <v>827</v>
      </c>
      <c r="C3433" s="150" t="s">
        <v>5512</v>
      </c>
      <c r="D3433" s="201" t="s">
        <v>2224</v>
      </c>
      <c r="E3433" s="144" t="s">
        <v>88</v>
      </c>
      <c r="F3433" s="139" t="s">
        <v>88</v>
      </c>
      <c r="G3433" s="144" t="s">
        <v>4570</v>
      </c>
      <c r="H3433" s="146" t="s">
        <v>130</v>
      </c>
      <c r="I3433" s="144" t="s">
        <v>1259</v>
      </c>
    </row>
    <row r="3434" spans="1:9" ht="50.45">
      <c r="A3434" s="193">
        <v>46171</v>
      </c>
      <c r="B3434" s="145" t="s">
        <v>827</v>
      </c>
      <c r="C3434" s="150" t="s">
        <v>5512</v>
      </c>
      <c r="D3434" s="201" t="s">
        <v>1431</v>
      </c>
      <c r="E3434" s="144" t="s">
        <v>21</v>
      </c>
      <c r="F3434" s="141" t="s">
        <v>821</v>
      </c>
      <c r="G3434" s="144" t="s">
        <v>4576</v>
      </c>
      <c r="H3434" s="146" t="s">
        <v>130</v>
      </c>
      <c r="I3434" s="144" t="s">
        <v>578</v>
      </c>
    </row>
    <row r="3435" spans="1:9" ht="38.1">
      <c r="A3435" s="193">
        <v>46171</v>
      </c>
      <c r="B3435" s="145" t="s">
        <v>827</v>
      </c>
      <c r="C3435" s="150" t="s">
        <v>5512</v>
      </c>
      <c r="D3435" s="201" t="s">
        <v>1431</v>
      </c>
      <c r="E3435" s="144" t="s">
        <v>1504</v>
      </c>
      <c r="F3435" s="141" t="s">
        <v>821</v>
      </c>
      <c r="G3435" s="144" t="s">
        <v>4577</v>
      </c>
      <c r="H3435" s="146" t="s">
        <v>130</v>
      </c>
      <c r="I3435" s="144" t="s">
        <v>578</v>
      </c>
    </row>
    <row r="3436" spans="1:9" ht="25.5">
      <c r="A3436" s="193">
        <v>46171</v>
      </c>
      <c r="B3436" s="145" t="s">
        <v>827</v>
      </c>
      <c r="C3436" s="150" t="s">
        <v>5512</v>
      </c>
      <c r="D3436" s="201" t="s">
        <v>1431</v>
      </c>
      <c r="E3436" s="144" t="s">
        <v>21</v>
      </c>
      <c r="F3436" s="141" t="s">
        <v>821</v>
      </c>
      <c r="G3436" s="144" t="s">
        <v>6053</v>
      </c>
      <c r="H3436" s="146" t="s">
        <v>130</v>
      </c>
      <c r="I3436" s="144" t="s">
        <v>468</v>
      </c>
    </row>
    <row r="3437" spans="1:9" ht="25.5">
      <c r="A3437" s="193">
        <v>46171</v>
      </c>
      <c r="B3437" s="145" t="s">
        <v>827</v>
      </c>
      <c r="C3437" s="150" t="s">
        <v>5512</v>
      </c>
      <c r="D3437" s="201" t="s">
        <v>1431</v>
      </c>
      <c r="E3437" s="144" t="s">
        <v>1566</v>
      </c>
      <c r="F3437" s="139" t="s">
        <v>88</v>
      </c>
      <c r="G3437" s="144" t="s">
        <v>6054</v>
      </c>
      <c r="H3437" s="146" t="s">
        <v>26</v>
      </c>
      <c r="I3437" s="144" t="s">
        <v>1588</v>
      </c>
    </row>
    <row r="3438" spans="1:9" ht="25.5">
      <c r="A3438" s="193">
        <v>46171</v>
      </c>
      <c r="B3438" s="145" t="s">
        <v>827</v>
      </c>
      <c r="C3438" s="150" t="s">
        <v>5512</v>
      </c>
      <c r="D3438" s="201" t="s">
        <v>1431</v>
      </c>
      <c r="E3438" s="144" t="s">
        <v>1449</v>
      </c>
      <c r="F3438" s="139" t="s">
        <v>88</v>
      </c>
      <c r="G3438" s="144" t="s">
        <v>6055</v>
      </c>
      <c r="H3438" s="146" t="s">
        <v>26</v>
      </c>
      <c r="I3438" s="144" t="s">
        <v>6056</v>
      </c>
    </row>
    <row r="3439" spans="1:9" ht="38.1">
      <c r="A3439" s="193">
        <v>46171</v>
      </c>
      <c r="B3439" s="145" t="s">
        <v>827</v>
      </c>
      <c r="C3439" s="150" t="s">
        <v>5512</v>
      </c>
      <c r="D3439" s="201" t="s">
        <v>2224</v>
      </c>
      <c r="E3439" s="144" t="s">
        <v>1449</v>
      </c>
      <c r="F3439" s="139" t="s">
        <v>88</v>
      </c>
      <c r="G3439" s="144" t="s">
        <v>6057</v>
      </c>
      <c r="H3439" s="146" t="s">
        <v>26</v>
      </c>
      <c r="I3439" s="144" t="s">
        <v>6056</v>
      </c>
    </row>
    <row r="3440" spans="1:9" ht="38.1">
      <c r="A3440" s="193">
        <v>46171</v>
      </c>
      <c r="B3440" s="145" t="s">
        <v>827</v>
      </c>
      <c r="C3440" s="150" t="s">
        <v>5512</v>
      </c>
      <c r="D3440" s="201" t="s">
        <v>1431</v>
      </c>
      <c r="E3440" s="144" t="s">
        <v>1449</v>
      </c>
      <c r="F3440" s="139" t="s">
        <v>88</v>
      </c>
      <c r="G3440" s="144" t="s">
        <v>6058</v>
      </c>
      <c r="H3440" s="146" t="s">
        <v>130</v>
      </c>
      <c r="I3440" s="144" t="s">
        <v>2700</v>
      </c>
    </row>
    <row r="3441" spans="1:9" ht="38.1">
      <c r="A3441" s="193">
        <v>46174</v>
      </c>
      <c r="B3441" s="145" t="s">
        <v>829</v>
      </c>
      <c r="C3441" s="150" t="s">
        <v>5512</v>
      </c>
      <c r="D3441" s="201" t="s">
        <v>1431</v>
      </c>
      <c r="E3441" s="144" t="s">
        <v>216</v>
      </c>
      <c r="F3441" s="141" t="s">
        <v>821</v>
      </c>
      <c r="G3441" s="144" t="s">
        <v>4578</v>
      </c>
      <c r="H3441" s="146" t="s">
        <v>26</v>
      </c>
      <c r="I3441" s="144" t="s">
        <v>492</v>
      </c>
    </row>
    <row r="3442" spans="1:9" ht="25.5">
      <c r="A3442" s="193">
        <v>46174</v>
      </c>
      <c r="B3442" s="145" t="s">
        <v>828</v>
      </c>
      <c r="C3442" s="150" t="s">
        <v>5512</v>
      </c>
      <c r="D3442" s="201" t="s">
        <v>1431</v>
      </c>
      <c r="E3442" s="144" t="s">
        <v>1449</v>
      </c>
      <c r="F3442" s="139" t="s">
        <v>88</v>
      </c>
      <c r="G3442" s="144" t="s">
        <v>6059</v>
      </c>
      <c r="H3442" s="146" t="s">
        <v>26</v>
      </c>
      <c r="I3442" s="144" t="s">
        <v>6060</v>
      </c>
    </row>
    <row r="3443" spans="1:9" ht="25.5">
      <c r="A3443" s="193">
        <v>46174</v>
      </c>
      <c r="B3443" s="145" t="s">
        <v>828</v>
      </c>
      <c r="C3443" s="150" t="s">
        <v>5512</v>
      </c>
      <c r="D3443" s="201" t="s">
        <v>3881</v>
      </c>
      <c r="E3443" s="144" t="s">
        <v>1449</v>
      </c>
      <c r="F3443" s="141" t="s">
        <v>821</v>
      </c>
      <c r="G3443" s="144" t="s">
        <v>6061</v>
      </c>
      <c r="H3443" s="146" t="s">
        <v>26</v>
      </c>
      <c r="I3443" s="144" t="s">
        <v>2813</v>
      </c>
    </row>
    <row r="3444" spans="1:9" ht="14.1">
      <c r="A3444" s="193">
        <v>46174</v>
      </c>
      <c r="B3444" s="145" t="s">
        <v>828</v>
      </c>
      <c r="C3444" s="150" t="s">
        <v>5512</v>
      </c>
      <c r="D3444" s="201" t="s">
        <v>2224</v>
      </c>
      <c r="E3444" s="144" t="s">
        <v>1449</v>
      </c>
      <c r="F3444" s="141" t="s">
        <v>821</v>
      </c>
      <c r="G3444" s="144" t="s">
        <v>6062</v>
      </c>
      <c r="H3444" s="146" t="s">
        <v>26</v>
      </c>
      <c r="I3444" s="144" t="s">
        <v>4762</v>
      </c>
    </row>
    <row r="3445" spans="1:9" ht="25.5">
      <c r="A3445" s="193">
        <v>46174</v>
      </c>
      <c r="B3445" s="145" t="s">
        <v>828</v>
      </c>
      <c r="C3445" s="150" t="s">
        <v>5512</v>
      </c>
      <c r="D3445" s="201" t="s">
        <v>2224</v>
      </c>
      <c r="E3445" s="144" t="s">
        <v>1449</v>
      </c>
      <c r="F3445" s="139" t="s">
        <v>88</v>
      </c>
      <c r="G3445" s="144" t="s">
        <v>6063</v>
      </c>
      <c r="H3445" s="146" t="s">
        <v>26</v>
      </c>
      <c r="I3445" s="144" t="s">
        <v>4762</v>
      </c>
    </row>
    <row r="3446" spans="1:9" ht="38.1">
      <c r="A3446" s="193">
        <v>46175</v>
      </c>
      <c r="B3446" s="145" t="s">
        <v>828</v>
      </c>
      <c r="C3446" s="150" t="s">
        <v>5512</v>
      </c>
      <c r="D3446" s="201" t="s">
        <v>1431</v>
      </c>
      <c r="E3446" s="144" t="s">
        <v>2535</v>
      </c>
      <c r="F3446" s="139" t="s">
        <v>88</v>
      </c>
      <c r="G3446" s="144" t="s">
        <v>6064</v>
      </c>
      <c r="H3446" s="146" t="s">
        <v>130</v>
      </c>
      <c r="I3446" s="144" t="s">
        <v>578</v>
      </c>
    </row>
    <row r="3447" spans="1:9" ht="25.5">
      <c r="A3447" s="193">
        <v>46175</v>
      </c>
      <c r="B3447" s="145" t="s">
        <v>828</v>
      </c>
      <c r="C3447" s="150" t="s">
        <v>5512</v>
      </c>
      <c r="D3447" s="201" t="s">
        <v>1431</v>
      </c>
      <c r="E3447" s="144" t="s">
        <v>2244</v>
      </c>
      <c r="F3447" s="139" t="s">
        <v>88</v>
      </c>
      <c r="G3447" s="144" t="s">
        <v>6065</v>
      </c>
      <c r="H3447" s="146" t="s">
        <v>26</v>
      </c>
      <c r="I3447" s="144" t="s">
        <v>6066</v>
      </c>
    </row>
    <row r="3448" spans="1:9" ht="25.5">
      <c r="A3448" s="193">
        <v>46175</v>
      </c>
      <c r="B3448" s="145" t="s">
        <v>828</v>
      </c>
      <c r="C3448" s="150" t="s">
        <v>5512</v>
      </c>
      <c r="D3448" s="201" t="s">
        <v>1431</v>
      </c>
      <c r="E3448" s="144" t="s">
        <v>216</v>
      </c>
      <c r="F3448" s="141" t="s">
        <v>821</v>
      </c>
      <c r="G3448" s="144" t="s">
        <v>4579</v>
      </c>
      <c r="H3448" s="146" t="s">
        <v>130</v>
      </c>
      <c r="I3448" s="144" t="s">
        <v>492</v>
      </c>
    </row>
    <row r="3449" spans="1:9" ht="25.5">
      <c r="A3449" s="193">
        <v>46175</v>
      </c>
      <c r="B3449" s="145" t="s">
        <v>828</v>
      </c>
      <c r="C3449" s="150" t="s">
        <v>5512</v>
      </c>
      <c r="D3449" s="201" t="s">
        <v>1431</v>
      </c>
      <c r="E3449" s="144" t="s">
        <v>216</v>
      </c>
      <c r="F3449" s="141" t="s">
        <v>821</v>
      </c>
      <c r="G3449" s="144" t="s">
        <v>4580</v>
      </c>
      <c r="H3449" s="146" t="s">
        <v>130</v>
      </c>
      <c r="I3449" s="144" t="s">
        <v>492</v>
      </c>
    </row>
    <row r="3450" spans="1:9" ht="25.5">
      <c r="A3450" s="193">
        <v>46175</v>
      </c>
      <c r="B3450" s="145" t="s">
        <v>828</v>
      </c>
      <c r="C3450" s="150" t="s">
        <v>5512</v>
      </c>
      <c r="D3450" s="201" t="s">
        <v>1431</v>
      </c>
      <c r="E3450" s="144" t="s">
        <v>21</v>
      </c>
      <c r="F3450" s="141" t="s">
        <v>821</v>
      </c>
      <c r="G3450" s="144" t="s">
        <v>4581</v>
      </c>
      <c r="H3450" s="146" t="s">
        <v>130</v>
      </c>
      <c r="I3450" s="144" t="s">
        <v>149</v>
      </c>
    </row>
    <row r="3451" spans="1:9" ht="14.1">
      <c r="A3451" s="193">
        <v>46175</v>
      </c>
      <c r="B3451" s="145" t="s">
        <v>828</v>
      </c>
      <c r="C3451" s="150" t="s">
        <v>5512</v>
      </c>
      <c r="D3451" s="201" t="s">
        <v>1431</v>
      </c>
      <c r="E3451" s="144" t="s">
        <v>216</v>
      </c>
      <c r="F3451" s="141" t="s">
        <v>821</v>
      </c>
      <c r="G3451" s="144" t="s">
        <v>6067</v>
      </c>
      <c r="H3451" s="146" t="s">
        <v>26</v>
      </c>
      <c r="I3451" s="144" t="s">
        <v>492</v>
      </c>
    </row>
    <row r="3452" spans="1:9" ht="50.45">
      <c r="A3452" s="193">
        <v>46175</v>
      </c>
      <c r="B3452" s="145" t="s">
        <v>828</v>
      </c>
      <c r="C3452" s="150" t="s">
        <v>5512</v>
      </c>
      <c r="D3452" s="201" t="s">
        <v>1431</v>
      </c>
      <c r="E3452" s="144" t="s">
        <v>1449</v>
      </c>
      <c r="F3452" s="139" t="s">
        <v>88</v>
      </c>
      <c r="G3452" s="144" t="s">
        <v>6068</v>
      </c>
      <c r="H3452" s="146" t="s">
        <v>26</v>
      </c>
      <c r="I3452" s="144" t="s">
        <v>4762</v>
      </c>
    </row>
    <row r="3453" spans="1:9" ht="75.599999999999994">
      <c r="A3453" s="193">
        <v>46175</v>
      </c>
      <c r="B3453" s="145" t="s">
        <v>828</v>
      </c>
      <c r="C3453" s="150" t="s">
        <v>5512</v>
      </c>
      <c r="D3453" s="201" t="s">
        <v>1431</v>
      </c>
      <c r="E3453" s="144" t="s">
        <v>216</v>
      </c>
      <c r="F3453" s="141" t="s">
        <v>821</v>
      </c>
      <c r="G3453" s="144" t="s">
        <v>6069</v>
      </c>
      <c r="H3453" s="146" t="s">
        <v>130</v>
      </c>
      <c r="I3453" s="144" t="s">
        <v>492</v>
      </c>
    </row>
    <row r="3454" spans="1:9" ht="25.5">
      <c r="A3454" s="193">
        <v>46176</v>
      </c>
      <c r="B3454" s="145" t="s">
        <v>828</v>
      </c>
      <c r="C3454" s="150" t="s">
        <v>5512</v>
      </c>
      <c r="D3454" s="201" t="s">
        <v>1431</v>
      </c>
      <c r="E3454" s="144" t="s">
        <v>21</v>
      </c>
      <c r="F3454" s="141" t="s">
        <v>821</v>
      </c>
      <c r="G3454" s="144" t="s">
        <v>4582</v>
      </c>
      <c r="H3454" s="146" t="s">
        <v>130</v>
      </c>
      <c r="I3454" s="144" t="s">
        <v>3516</v>
      </c>
    </row>
    <row r="3455" spans="1:9" ht="25.5">
      <c r="A3455" s="193">
        <v>46176</v>
      </c>
      <c r="B3455" s="145" t="s">
        <v>828</v>
      </c>
      <c r="C3455" s="150" t="s">
        <v>5512</v>
      </c>
      <c r="D3455" s="201" t="s">
        <v>1431</v>
      </c>
      <c r="E3455" s="144" t="s">
        <v>216</v>
      </c>
      <c r="F3455" s="141" t="s">
        <v>821</v>
      </c>
      <c r="G3455" s="144" t="s">
        <v>4584</v>
      </c>
      <c r="H3455" s="146" t="s">
        <v>26</v>
      </c>
      <c r="I3455" s="144" t="s">
        <v>492</v>
      </c>
    </row>
    <row r="3456" spans="1:9" ht="14.1">
      <c r="A3456" s="193">
        <v>46176</v>
      </c>
      <c r="B3456" s="145" t="s">
        <v>828</v>
      </c>
      <c r="C3456" s="150" t="s">
        <v>5512</v>
      </c>
      <c r="D3456" s="201" t="s">
        <v>1431</v>
      </c>
      <c r="E3456" s="144" t="s">
        <v>216</v>
      </c>
      <c r="F3456" s="141" t="s">
        <v>821</v>
      </c>
      <c r="G3456" s="144" t="s">
        <v>4586</v>
      </c>
      <c r="H3456" s="146" t="s">
        <v>130</v>
      </c>
      <c r="I3456" s="144" t="s">
        <v>3516</v>
      </c>
    </row>
    <row r="3457" spans="1:9" ht="14.1">
      <c r="A3457" s="193">
        <v>46176</v>
      </c>
      <c r="B3457" s="145" t="s">
        <v>828</v>
      </c>
      <c r="C3457" s="150" t="s">
        <v>5512</v>
      </c>
      <c r="D3457" s="201" t="s">
        <v>1431</v>
      </c>
      <c r="E3457" s="144" t="s">
        <v>1506</v>
      </c>
      <c r="F3457" s="139" t="s">
        <v>88</v>
      </c>
      <c r="G3457" s="144" t="s">
        <v>6070</v>
      </c>
      <c r="H3457" s="146" t="s">
        <v>26</v>
      </c>
      <c r="I3457" s="144" t="s">
        <v>208</v>
      </c>
    </row>
    <row r="3458" spans="1:9" ht="38.1">
      <c r="A3458" s="193">
        <v>46176</v>
      </c>
      <c r="B3458" s="145" t="s">
        <v>828</v>
      </c>
      <c r="C3458" s="150" t="s">
        <v>5512</v>
      </c>
      <c r="D3458" s="201" t="s">
        <v>1431</v>
      </c>
      <c r="E3458" s="144" t="s">
        <v>1449</v>
      </c>
      <c r="F3458" s="139" t="s">
        <v>88</v>
      </c>
      <c r="G3458" s="144" t="s">
        <v>6071</v>
      </c>
      <c r="H3458" s="146" t="s">
        <v>26</v>
      </c>
      <c r="I3458" s="144" t="s">
        <v>4762</v>
      </c>
    </row>
    <row r="3459" spans="1:9" ht="25.5">
      <c r="A3459" s="193">
        <v>46176</v>
      </c>
      <c r="B3459" s="145" t="s">
        <v>828</v>
      </c>
      <c r="C3459" s="150" t="s">
        <v>5512</v>
      </c>
      <c r="D3459" s="201" t="s">
        <v>1431</v>
      </c>
      <c r="E3459" s="144" t="s">
        <v>1449</v>
      </c>
      <c r="F3459" s="141" t="s">
        <v>821</v>
      </c>
      <c r="G3459" s="144" t="s">
        <v>6072</v>
      </c>
      <c r="H3459" s="146" t="s">
        <v>26</v>
      </c>
      <c r="I3459" s="144" t="s">
        <v>4762</v>
      </c>
    </row>
    <row r="3460" spans="1:9" ht="25.5">
      <c r="A3460" s="193">
        <v>46178</v>
      </c>
      <c r="B3460" s="145" t="s">
        <v>828</v>
      </c>
      <c r="C3460" s="150" t="s">
        <v>5512</v>
      </c>
      <c r="D3460" s="201" t="s">
        <v>1431</v>
      </c>
      <c r="E3460" s="144" t="s">
        <v>2244</v>
      </c>
      <c r="F3460" s="141" t="s">
        <v>821</v>
      </c>
      <c r="G3460" s="144" t="s">
        <v>6073</v>
      </c>
      <c r="H3460" s="146" t="s">
        <v>130</v>
      </c>
      <c r="I3460" s="144" t="s">
        <v>6074</v>
      </c>
    </row>
    <row r="3461" spans="1:9" ht="14.1">
      <c r="A3461" s="193">
        <v>46178</v>
      </c>
      <c r="B3461" s="145" t="s">
        <v>828</v>
      </c>
      <c r="C3461" s="150" t="s">
        <v>5512</v>
      </c>
      <c r="D3461" s="201" t="s">
        <v>1431</v>
      </c>
      <c r="E3461" s="144" t="s">
        <v>1449</v>
      </c>
      <c r="F3461" s="139" t="s">
        <v>88</v>
      </c>
      <c r="G3461" s="144" t="s">
        <v>6075</v>
      </c>
      <c r="H3461" s="146" t="s">
        <v>26</v>
      </c>
      <c r="I3461" s="144" t="s">
        <v>4762</v>
      </c>
    </row>
    <row r="3462" spans="1:9" ht="14.1">
      <c r="A3462" s="193">
        <v>46178</v>
      </c>
      <c r="B3462" s="145" t="s">
        <v>828</v>
      </c>
      <c r="C3462" s="150" t="s">
        <v>5512</v>
      </c>
      <c r="D3462" s="201" t="s">
        <v>4941</v>
      </c>
      <c r="E3462" s="144" t="s">
        <v>1449</v>
      </c>
      <c r="F3462" s="141" t="s">
        <v>821</v>
      </c>
      <c r="G3462" s="144" t="s">
        <v>6076</v>
      </c>
      <c r="H3462" s="146" t="s">
        <v>130</v>
      </c>
      <c r="I3462" s="144" t="s">
        <v>4762</v>
      </c>
    </row>
    <row r="3463" spans="1:9" ht="38.1">
      <c r="A3463" s="193">
        <v>46178</v>
      </c>
      <c r="B3463" s="145" t="s">
        <v>828</v>
      </c>
      <c r="C3463" s="150" t="s">
        <v>5512</v>
      </c>
      <c r="D3463" s="201" t="s">
        <v>2224</v>
      </c>
      <c r="E3463" s="144" t="s">
        <v>1449</v>
      </c>
      <c r="F3463" s="139" t="s">
        <v>88</v>
      </c>
      <c r="G3463" s="144" t="s">
        <v>6077</v>
      </c>
      <c r="H3463" s="146" t="s">
        <v>26</v>
      </c>
      <c r="I3463" s="144" t="s">
        <v>1436</v>
      </c>
    </row>
    <row r="3464" spans="1:9" ht="25.5">
      <c r="A3464" s="193">
        <v>46178</v>
      </c>
      <c r="B3464" s="145" t="s">
        <v>828</v>
      </c>
      <c r="C3464" s="150" t="s">
        <v>5512</v>
      </c>
      <c r="D3464" s="201" t="s">
        <v>2224</v>
      </c>
      <c r="E3464" s="144" t="s">
        <v>1449</v>
      </c>
      <c r="F3464" s="139" t="s">
        <v>88</v>
      </c>
      <c r="G3464" s="144" t="s">
        <v>6078</v>
      </c>
      <c r="H3464" s="146" t="s">
        <v>26</v>
      </c>
      <c r="I3464" s="144" t="s">
        <v>4762</v>
      </c>
    </row>
    <row r="3465" spans="1:9" ht="25.5">
      <c r="A3465" s="193">
        <v>46178</v>
      </c>
      <c r="B3465" s="145" t="s">
        <v>828</v>
      </c>
      <c r="C3465" s="150" t="s">
        <v>5512</v>
      </c>
      <c r="D3465" s="201" t="s">
        <v>2224</v>
      </c>
      <c r="E3465" s="144" t="s">
        <v>1449</v>
      </c>
      <c r="F3465" s="139" t="s">
        <v>88</v>
      </c>
      <c r="G3465" s="144" t="s">
        <v>6079</v>
      </c>
      <c r="H3465" s="146" t="s">
        <v>26</v>
      </c>
      <c r="I3465" s="144" t="s">
        <v>4762</v>
      </c>
    </row>
    <row r="3466" spans="1:9" ht="25.5">
      <c r="A3466" s="193">
        <v>46181</v>
      </c>
      <c r="B3466" s="145" t="s">
        <v>828</v>
      </c>
      <c r="C3466" s="150" t="s">
        <v>5512</v>
      </c>
      <c r="D3466" s="201" t="s">
        <v>2224</v>
      </c>
      <c r="E3466" s="144" t="s">
        <v>1432</v>
      </c>
      <c r="F3466" s="141" t="s">
        <v>821</v>
      </c>
      <c r="G3466" s="144" t="s">
        <v>6080</v>
      </c>
      <c r="H3466" s="146" t="s">
        <v>130</v>
      </c>
      <c r="I3466" s="144" t="s">
        <v>2568</v>
      </c>
    </row>
    <row r="3467" spans="1:9" ht="14.1">
      <c r="A3467" s="193">
        <v>46183</v>
      </c>
      <c r="B3467" s="145" t="s">
        <v>828</v>
      </c>
      <c r="C3467" s="150" t="s">
        <v>5512</v>
      </c>
      <c r="D3467" s="201" t="s">
        <v>1431</v>
      </c>
      <c r="E3467" s="144" t="s">
        <v>574</v>
      </c>
      <c r="F3467" s="141" t="s">
        <v>821</v>
      </c>
      <c r="G3467" s="144" t="s">
        <v>4588</v>
      </c>
      <c r="H3467" s="146" t="s">
        <v>130</v>
      </c>
      <c r="I3467" s="144" t="s">
        <v>3516</v>
      </c>
    </row>
    <row r="3468" spans="1:9" ht="25.5">
      <c r="A3468" s="193">
        <v>46183</v>
      </c>
      <c r="B3468" s="145" t="s">
        <v>828</v>
      </c>
      <c r="C3468" s="150" t="s">
        <v>5512</v>
      </c>
      <c r="D3468" s="201" t="s">
        <v>1431</v>
      </c>
      <c r="E3468" s="144" t="s">
        <v>574</v>
      </c>
      <c r="F3468" s="139" t="s">
        <v>88</v>
      </c>
      <c r="G3468" s="144" t="s">
        <v>6081</v>
      </c>
      <c r="H3468" s="146" t="s">
        <v>26</v>
      </c>
      <c r="I3468" s="144" t="s">
        <v>3516</v>
      </c>
    </row>
    <row r="3469" spans="1:9" ht="14.1">
      <c r="A3469" s="193">
        <v>46183</v>
      </c>
      <c r="B3469" s="145" t="s">
        <v>828</v>
      </c>
      <c r="C3469" s="150" t="s">
        <v>5512</v>
      </c>
      <c r="D3469" s="201" t="s">
        <v>1431</v>
      </c>
      <c r="E3469" s="144" t="s">
        <v>216</v>
      </c>
      <c r="F3469" s="141" t="s">
        <v>821</v>
      </c>
      <c r="G3469" s="144" t="s">
        <v>6082</v>
      </c>
      <c r="H3469" s="146" t="s">
        <v>130</v>
      </c>
      <c r="I3469" s="144" t="s">
        <v>492</v>
      </c>
    </row>
    <row r="3470" spans="1:9" ht="14.1">
      <c r="A3470" s="193">
        <v>46183</v>
      </c>
      <c r="B3470" s="145" t="s">
        <v>828</v>
      </c>
      <c r="C3470" s="150" t="s">
        <v>5512</v>
      </c>
      <c r="D3470" s="201" t="s">
        <v>1431</v>
      </c>
      <c r="E3470" s="144" t="s">
        <v>21</v>
      </c>
      <c r="F3470" s="141" t="s">
        <v>821</v>
      </c>
      <c r="G3470" s="144" t="s">
        <v>4590</v>
      </c>
      <c r="H3470" s="146" t="s">
        <v>130</v>
      </c>
      <c r="I3470" s="144" t="s">
        <v>149</v>
      </c>
    </row>
    <row r="3471" spans="1:9" ht="38.1">
      <c r="A3471" s="193">
        <v>46183</v>
      </c>
      <c r="B3471" s="145" t="s">
        <v>828</v>
      </c>
      <c r="C3471" s="150" t="s">
        <v>5512</v>
      </c>
      <c r="D3471" s="201" t="s">
        <v>1431</v>
      </c>
      <c r="E3471" s="144" t="s">
        <v>1449</v>
      </c>
      <c r="F3471" s="147" t="s">
        <v>859</v>
      </c>
      <c r="G3471" s="144" t="s">
        <v>6083</v>
      </c>
      <c r="H3471" s="146" t="s">
        <v>26</v>
      </c>
      <c r="I3471" s="144" t="s">
        <v>1904</v>
      </c>
    </row>
    <row r="3472" spans="1:9" ht="38.1">
      <c r="A3472" s="193">
        <v>46183</v>
      </c>
      <c r="B3472" s="145" t="s">
        <v>828</v>
      </c>
      <c r="C3472" s="150" t="s">
        <v>5512</v>
      </c>
      <c r="D3472" s="201" t="s">
        <v>2224</v>
      </c>
      <c r="E3472" s="144" t="s">
        <v>988</v>
      </c>
      <c r="F3472" s="147" t="s">
        <v>859</v>
      </c>
      <c r="G3472" s="144" t="s">
        <v>6084</v>
      </c>
      <c r="H3472" s="146" t="s">
        <v>26</v>
      </c>
      <c r="I3472" s="144" t="s">
        <v>2568</v>
      </c>
    </row>
    <row r="3473" spans="1:9" ht="25.5">
      <c r="A3473" s="193">
        <v>46184</v>
      </c>
      <c r="B3473" s="145" t="s">
        <v>828</v>
      </c>
      <c r="C3473" s="150" t="s">
        <v>5512</v>
      </c>
      <c r="D3473" s="201" t="s">
        <v>1431</v>
      </c>
      <c r="E3473" s="144" t="s">
        <v>21</v>
      </c>
      <c r="F3473" s="141" t="s">
        <v>821</v>
      </c>
      <c r="G3473" s="144" t="s">
        <v>4591</v>
      </c>
      <c r="H3473" s="146" t="s">
        <v>26</v>
      </c>
      <c r="I3473" s="144" t="s">
        <v>468</v>
      </c>
    </row>
    <row r="3474" spans="1:9" ht="25.5">
      <c r="A3474" s="193">
        <v>46184</v>
      </c>
      <c r="B3474" s="145" t="s">
        <v>828</v>
      </c>
      <c r="C3474" s="150" t="s">
        <v>5512</v>
      </c>
      <c r="D3474" s="201" t="s">
        <v>1431</v>
      </c>
      <c r="E3474" s="144" t="s">
        <v>21</v>
      </c>
      <c r="F3474" s="141" t="s">
        <v>821</v>
      </c>
      <c r="G3474" s="144" t="s">
        <v>4592</v>
      </c>
      <c r="H3474" s="146" t="s">
        <v>26</v>
      </c>
      <c r="I3474" s="144" t="s">
        <v>468</v>
      </c>
    </row>
    <row r="3475" spans="1:9" ht="25.5">
      <c r="A3475" s="193">
        <v>46184</v>
      </c>
      <c r="B3475" s="145" t="s">
        <v>828</v>
      </c>
      <c r="C3475" s="150" t="s">
        <v>5512</v>
      </c>
      <c r="D3475" s="201" t="s">
        <v>1431</v>
      </c>
      <c r="E3475" s="144" t="s">
        <v>21</v>
      </c>
      <c r="F3475" s="141" t="s">
        <v>821</v>
      </c>
      <c r="G3475" s="144" t="s">
        <v>6085</v>
      </c>
      <c r="H3475" s="146" t="s">
        <v>26</v>
      </c>
      <c r="I3475" s="144" t="s">
        <v>468</v>
      </c>
    </row>
    <row r="3476" spans="1:9" ht="14.1">
      <c r="A3476" s="193">
        <v>46184</v>
      </c>
      <c r="B3476" s="145" t="s">
        <v>828</v>
      </c>
      <c r="C3476" s="150" t="s">
        <v>5512</v>
      </c>
      <c r="D3476" s="201" t="s">
        <v>1431</v>
      </c>
      <c r="E3476" s="144" t="s">
        <v>1449</v>
      </c>
      <c r="F3476" s="139" t="s">
        <v>88</v>
      </c>
      <c r="G3476" s="144" t="s">
        <v>6086</v>
      </c>
      <c r="H3476" s="146" t="s">
        <v>26</v>
      </c>
      <c r="I3476" s="144" t="s">
        <v>2739</v>
      </c>
    </row>
    <row r="3477" spans="1:9" ht="38.1">
      <c r="A3477" s="193">
        <v>46184</v>
      </c>
      <c r="B3477" s="145" t="s">
        <v>828</v>
      </c>
      <c r="C3477" s="150" t="s">
        <v>5512</v>
      </c>
      <c r="D3477" s="201" t="s">
        <v>1431</v>
      </c>
      <c r="E3477" s="144" t="s">
        <v>1449</v>
      </c>
      <c r="F3477" s="139" t="s">
        <v>88</v>
      </c>
      <c r="G3477" s="144" t="s">
        <v>6087</v>
      </c>
      <c r="H3477" s="146" t="s">
        <v>26</v>
      </c>
      <c r="I3477" s="144" t="s">
        <v>2739</v>
      </c>
    </row>
    <row r="3478" spans="1:9" ht="14.1">
      <c r="A3478" s="193">
        <v>46184</v>
      </c>
      <c r="B3478" s="145" t="s">
        <v>828</v>
      </c>
      <c r="C3478" s="150" t="s">
        <v>5512</v>
      </c>
      <c r="D3478" s="201" t="s">
        <v>1431</v>
      </c>
      <c r="E3478" s="144" t="s">
        <v>1449</v>
      </c>
      <c r="F3478" s="147" t="s">
        <v>859</v>
      </c>
      <c r="G3478" s="144" t="s">
        <v>6088</v>
      </c>
      <c r="H3478" s="146" t="s">
        <v>26</v>
      </c>
      <c r="I3478" s="144" t="s">
        <v>2739</v>
      </c>
    </row>
    <row r="3479" spans="1:9" ht="25.5">
      <c r="A3479" s="193">
        <v>46185</v>
      </c>
      <c r="B3479" s="145" t="s">
        <v>828</v>
      </c>
      <c r="C3479" s="150" t="s">
        <v>5512</v>
      </c>
      <c r="D3479" s="201" t="s">
        <v>1431</v>
      </c>
      <c r="E3479" s="144" t="s">
        <v>21</v>
      </c>
      <c r="F3479" s="141" t="s">
        <v>821</v>
      </c>
      <c r="G3479" s="144" t="s">
        <v>6089</v>
      </c>
      <c r="H3479" s="146" t="s">
        <v>130</v>
      </c>
      <c r="I3479" s="144" t="s">
        <v>4339</v>
      </c>
    </row>
    <row r="3480" spans="1:9" ht="25.5">
      <c r="A3480" s="193">
        <v>46185</v>
      </c>
      <c r="B3480" s="145" t="s">
        <v>828</v>
      </c>
      <c r="C3480" s="150" t="s">
        <v>5512</v>
      </c>
      <c r="D3480" s="201" t="s">
        <v>1431</v>
      </c>
      <c r="E3480" s="144" t="s">
        <v>1506</v>
      </c>
      <c r="F3480" s="141" t="s">
        <v>821</v>
      </c>
      <c r="G3480" s="144" t="s">
        <v>6090</v>
      </c>
      <c r="H3480" s="146" t="s">
        <v>26</v>
      </c>
      <c r="I3480" s="144" t="s">
        <v>208</v>
      </c>
    </row>
    <row r="3481" spans="1:9" ht="25.5">
      <c r="A3481" s="193">
        <v>46185</v>
      </c>
      <c r="B3481" s="145" t="s">
        <v>828</v>
      </c>
      <c r="C3481" s="150" t="s">
        <v>5512</v>
      </c>
      <c r="D3481" s="201" t="s">
        <v>1431</v>
      </c>
      <c r="E3481" s="144" t="s">
        <v>216</v>
      </c>
      <c r="F3481" s="141" t="s">
        <v>821</v>
      </c>
      <c r="G3481" s="144" t="s">
        <v>6091</v>
      </c>
      <c r="H3481" s="146" t="s">
        <v>130</v>
      </c>
      <c r="I3481" s="144" t="s">
        <v>492</v>
      </c>
    </row>
    <row r="3482" spans="1:9" ht="50.45">
      <c r="A3482" s="193">
        <v>46185</v>
      </c>
      <c r="B3482" s="145" t="s">
        <v>828</v>
      </c>
      <c r="C3482" s="150" t="s">
        <v>5512</v>
      </c>
      <c r="D3482" s="201" t="s">
        <v>1431</v>
      </c>
      <c r="E3482" s="144" t="s">
        <v>216</v>
      </c>
      <c r="F3482" s="141" t="s">
        <v>821</v>
      </c>
      <c r="G3482" s="144" t="s">
        <v>4594</v>
      </c>
      <c r="H3482" s="146" t="s">
        <v>130</v>
      </c>
      <c r="I3482" s="144" t="s">
        <v>492</v>
      </c>
    </row>
    <row r="3483" spans="1:9" ht="14.1">
      <c r="A3483" s="193">
        <v>46185</v>
      </c>
      <c r="B3483" s="145" t="s">
        <v>828</v>
      </c>
      <c r="C3483" s="150" t="s">
        <v>5512</v>
      </c>
      <c r="D3483" s="201" t="s">
        <v>1431</v>
      </c>
      <c r="E3483" s="144" t="s">
        <v>1449</v>
      </c>
      <c r="F3483" s="139" t="s">
        <v>88</v>
      </c>
      <c r="G3483" s="144" t="s">
        <v>6092</v>
      </c>
      <c r="H3483" s="146" t="s">
        <v>26</v>
      </c>
      <c r="I3483" s="144" t="s">
        <v>4762</v>
      </c>
    </row>
    <row r="3484" spans="1:9" ht="25.5">
      <c r="A3484" s="193">
        <v>46185</v>
      </c>
      <c r="B3484" s="145" t="s">
        <v>828</v>
      </c>
      <c r="C3484" s="150" t="s">
        <v>5512</v>
      </c>
      <c r="D3484" s="201" t="s">
        <v>1431</v>
      </c>
      <c r="E3484" s="144" t="s">
        <v>1449</v>
      </c>
      <c r="F3484" s="139" t="s">
        <v>88</v>
      </c>
      <c r="G3484" s="144" t="s">
        <v>6093</v>
      </c>
      <c r="H3484" s="146" t="s">
        <v>26</v>
      </c>
      <c r="I3484" s="144" t="s">
        <v>4762</v>
      </c>
    </row>
    <row r="3485" spans="1:9" ht="14.1">
      <c r="A3485" s="193">
        <v>46185</v>
      </c>
      <c r="B3485" s="145" t="s">
        <v>828</v>
      </c>
      <c r="C3485" s="150" t="s">
        <v>5512</v>
      </c>
      <c r="D3485" s="201" t="s">
        <v>3881</v>
      </c>
      <c r="E3485" s="144" t="s">
        <v>21</v>
      </c>
      <c r="F3485" s="141" t="s">
        <v>821</v>
      </c>
      <c r="G3485" s="144" t="s">
        <v>6094</v>
      </c>
      <c r="H3485" s="146" t="s">
        <v>130</v>
      </c>
      <c r="I3485" s="144" t="s">
        <v>2813</v>
      </c>
    </row>
    <row r="3486" spans="1:9" ht="25.5">
      <c r="A3486" s="193">
        <v>46185</v>
      </c>
      <c r="B3486" s="145" t="s">
        <v>828</v>
      </c>
      <c r="C3486" s="150" t="s">
        <v>5512</v>
      </c>
      <c r="D3486" s="201" t="s">
        <v>2224</v>
      </c>
      <c r="E3486" s="144" t="s">
        <v>1449</v>
      </c>
      <c r="F3486" s="139" t="s">
        <v>88</v>
      </c>
      <c r="G3486" s="144" t="s">
        <v>6095</v>
      </c>
      <c r="H3486" s="146" t="s">
        <v>26</v>
      </c>
      <c r="I3486" s="144" t="s">
        <v>4762</v>
      </c>
    </row>
    <row r="3487" spans="1:9" ht="14.1">
      <c r="A3487" s="193">
        <v>46185</v>
      </c>
      <c r="B3487" s="145" t="s">
        <v>828</v>
      </c>
      <c r="C3487" s="150" t="s">
        <v>5512</v>
      </c>
      <c r="D3487" s="201" t="s">
        <v>2224</v>
      </c>
      <c r="E3487" s="144" t="s">
        <v>1449</v>
      </c>
      <c r="F3487" s="139" t="s">
        <v>88</v>
      </c>
      <c r="G3487" s="144" t="s">
        <v>4894</v>
      </c>
      <c r="H3487" s="146" t="s">
        <v>26</v>
      </c>
      <c r="I3487" s="144" t="s">
        <v>4762</v>
      </c>
    </row>
    <row r="3488" spans="1:9" ht="25.5">
      <c r="A3488" s="193">
        <v>46188</v>
      </c>
      <c r="B3488" s="145" t="s">
        <v>828</v>
      </c>
      <c r="C3488" s="150" t="s">
        <v>5512</v>
      </c>
      <c r="D3488" s="201" t="s">
        <v>1431</v>
      </c>
      <c r="E3488" s="144" t="s">
        <v>1506</v>
      </c>
      <c r="F3488" s="139" t="s">
        <v>88</v>
      </c>
      <c r="G3488" s="144" t="s">
        <v>4598</v>
      </c>
      <c r="H3488" s="146" t="s">
        <v>26</v>
      </c>
      <c r="I3488" s="144" t="s">
        <v>208</v>
      </c>
    </row>
    <row r="3489" spans="1:9" ht="25.5">
      <c r="A3489" s="193">
        <v>46188</v>
      </c>
      <c r="B3489" s="145" t="s">
        <v>828</v>
      </c>
      <c r="C3489" s="150" t="s">
        <v>5512</v>
      </c>
      <c r="D3489" s="201" t="s">
        <v>1431</v>
      </c>
      <c r="E3489" s="144" t="s">
        <v>1506</v>
      </c>
      <c r="F3489" s="139" t="s">
        <v>88</v>
      </c>
      <c r="G3489" s="144" t="s">
        <v>6096</v>
      </c>
      <c r="H3489" s="146" t="s">
        <v>26</v>
      </c>
      <c r="I3489" s="144" t="s">
        <v>208</v>
      </c>
    </row>
    <row r="3490" spans="1:9" ht="14.1">
      <c r="A3490" s="193">
        <v>46188</v>
      </c>
      <c r="B3490" s="145" t="s">
        <v>828</v>
      </c>
      <c r="C3490" s="150" t="s">
        <v>5512</v>
      </c>
      <c r="D3490" s="201" t="s">
        <v>1431</v>
      </c>
      <c r="E3490" s="144" t="s">
        <v>1449</v>
      </c>
      <c r="F3490" s="139" t="s">
        <v>88</v>
      </c>
      <c r="G3490" s="144" t="s">
        <v>6097</v>
      </c>
      <c r="H3490" s="146" t="s">
        <v>26</v>
      </c>
      <c r="I3490" s="144" t="s">
        <v>4762</v>
      </c>
    </row>
    <row r="3491" spans="1:9" ht="25.5">
      <c r="A3491" s="193">
        <v>46188</v>
      </c>
      <c r="B3491" s="145" t="s">
        <v>828</v>
      </c>
      <c r="C3491" s="150" t="s">
        <v>5512</v>
      </c>
      <c r="D3491" s="201" t="s">
        <v>1431</v>
      </c>
      <c r="E3491" s="144" t="s">
        <v>1449</v>
      </c>
      <c r="F3491" s="139" t="s">
        <v>88</v>
      </c>
      <c r="G3491" s="144" t="s">
        <v>6098</v>
      </c>
      <c r="H3491" s="146" t="s">
        <v>26</v>
      </c>
      <c r="I3491" s="144" t="s">
        <v>4762</v>
      </c>
    </row>
    <row r="3492" spans="1:9" ht="14.1">
      <c r="A3492" s="193">
        <v>46188</v>
      </c>
      <c r="B3492" s="145" t="s">
        <v>828</v>
      </c>
      <c r="C3492" s="150" t="s">
        <v>5512</v>
      </c>
      <c r="D3492" s="201" t="s">
        <v>1431</v>
      </c>
      <c r="E3492" s="144" t="s">
        <v>216</v>
      </c>
      <c r="F3492" s="141" t="s">
        <v>821</v>
      </c>
      <c r="G3492" s="144" t="s">
        <v>4602</v>
      </c>
      <c r="H3492" s="146" t="s">
        <v>130</v>
      </c>
      <c r="I3492" s="144" t="s">
        <v>578</v>
      </c>
    </row>
    <row r="3493" spans="1:9" ht="14.1">
      <c r="A3493" s="193">
        <v>46188</v>
      </c>
      <c r="B3493" s="145" t="s">
        <v>828</v>
      </c>
      <c r="C3493" s="150" t="s">
        <v>5512</v>
      </c>
      <c r="D3493" s="201" t="s">
        <v>1431</v>
      </c>
      <c r="E3493" s="144" t="s">
        <v>21</v>
      </c>
      <c r="F3493" s="141" t="s">
        <v>821</v>
      </c>
      <c r="G3493" s="144" t="s">
        <v>4604</v>
      </c>
      <c r="H3493" s="146" t="s">
        <v>130</v>
      </c>
      <c r="I3493" s="144" t="s">
        <v>578</v>
      </c>
    </row>
    <row r="3494" spans="1:9" ht="25.5">
      <c r="A3494" s="193">
        <v>46188</v>
      </c>
      <c r="B3494" s="145" t="s">
        <v>828</v>
      </c>
      <c r="C3494" s="150" t="s">
        <v>5512</v>
      </c>
      <c r="D3494" s="201" t="s">
        <v>3881</v>
      </c>
      <c r="E3494" s="144" t="s">
        <v>21</v>
      </c>
      <c r="F3494" s="141" t="s">
        <v>821</v>
      </c>
      <c r="G3494" s="144" t="s">
        <v>4606</v>
      </c>
      <c r="H3494" s="146" t="s">
        <v>130</v>
      </c>
      <c r="I3494" s="144" t="s">
        <v>2813</v>
      </c>
    </row>
    <row r="3495" spans="1:9" ht="14.1">
      <c r="A3495" s="193">
        <v>46188</v>
      </c>
      <c r="B3495" s="145" t="s">
        <v>828</v>
      </c>
      <c r="C3495" s="150" t="s">
        <v>5512</v>
      </c>
      <c r="D3495" s="201" t="s">
        <v>3881</v>
      </c>
      <c r="E3495" s="144" t="s">
        <v>21</v>
      </c>
      <c r="F3495" s="141" t="s">
        <v>821</v>
      </c>
      <c r="G3495" s="144" t="s">
        <v>6099</v>
      </c>
      <c r="H3495" s="146" t="s">
        <v>130</v>
      </c>
      <c r="I3495" s="144" t="s">
        <v>2813</v>
      </c>
    </row>
    <row r="3496" spans="1:9" ht="14.1">
      <c r="A3496" s="193">
        <v>46188</v>
      </c>
      <c r="B3496" s="145" t="s">
        <v>828</v>
      </c>
      <c r="C3496" s="150" t="s">
        <v>5512</v>
      </c>
      <c r="D3496" s="201" t="s">
        <v>3881</v>
      </c>
      <c r="E3496" s="144" t="s">
        <v>1225</v>
      </c>
      <c r="F3496" s="140" t="s">
        <v>1439</v>
      </c>
      <c r="G3496" s="144" t="s">
        <v>6100</v>
      </c>
      <c r="H3496" s="146" t="s">
        <v>26</v>
      </c>
      <c r="I3496" s="144" t="s">
        <v>2813</v>
      </c>
    </row>
    <row r="3497" spans="1:9" ht="25.5">
      <c r="A3497" s="193">
        <v>46188</v>
      </c>
      <c r="B3497" s="145" t="s">
        <v>828</v>
      </c>
      <c r="C3497" s="150" t="s">
        <v>5512</v>
      </c>
      <c r="D3497" s="201" t="s">
        <v>2224</v>
      </c>
      <c r="E3497" s="144" t="s">
        <v>1449</v>
      </c>
      <c r="F3497" s="139" t="s">
        <v>88</v>
      </c>
      <c r="G3497" s="144" t="s">
        <v>6101</v>
      </c>
      <c r="H3497" s="146" t="s">
        <v>26</v>
      </c>
      <c r="I3497" s="144" t="s">
        <v>4762</v>
      </c>
    </row>
    <row r="3498" spans="1:9" ht="38.1">
      <c r="A3498" s="193">
        <v>46189</v>
      </c>
      <c r="B3498" s="145" t="s">
        <v>828</v>
      </c>
      <c r="C3498" s="150" t="s">
        <v>5512</v>
      </c>
      <c r="D3498" s="201" t="s">
        <v>1431</v>
      </c>
      <c r="E3498" s="144" t="s">
        <v>97</v>
      </c>
      <c r="F3498" s="141" t="s">
        <v>821</v>
      </c>
      <c r="G3498" s="144" t="s">
        <v>4609</v>
      </c>
      <c r="H3498" s="146" t="s">
        <v>130</v>
      </c>
      <c r="I3498" s="144" t="s">
        <v>3758</v>
      </c>
    </row>
    <row r="3499" spans="1:9" ht="25.5">
      <c r="A3499" s="193">
        <v>46189</v>
      </c>
      <c r="B3499" s="145" t="s">
        <v>828</v>
      </c>
      <c r="C3499" s="150" t="s">
        <v>5512</v>
      </c>
      <c r="D3499" s="201" t="s">
        <v>1431</v>
      </c>
      <c r="E3499" s="144" t="s">
        <v>88</v>
      </c>
      <c r="F3499" s="139" t="s">
        <v>88</v>
      </c>
      <c r="G3499" s="144" t="s">
        <v>4611</v>
      </c>
      <c r="H3499" s="146" t="s">
        <v>130</v>
      </c>
      <c r="I3499" s="144" t="s">
        <v>2700</v>
      </c>
    </row>
    <row r="3500" spans="1:9" ht="25.5">
      <c r="A3500" s="193">
        <v>46189</v>
      </c>
      <c r="B3500" s="145" t="s">
        <v>828</v>
      </c>
      <c r="C3500" s="150" t="s">
        <v>5512</v>
      </c>
      <c r="D3500" s="201" t="s">
        <v>1431</v>
      </c>
      <c r="E3500" s="144" t="s">
        <v>88</v>
      </c>
      <c r="F3500" s="139" t="s">
        <v>88</v>
      </c>
      <c r="G3500" s="144" t="s">
        <v>6102</v>
      </c>
      <c r="H3500" s="146" t="s">
        <v>130</v>
      </c>
      <c r="I3500" s="144" t="s">
        <v>914</v>
      </c>
    </row>
    <row r="3501" spans="1:9" ht="14.1">
      <c r="A3501" s="193">
        <v>46189</v>
      </c>
      <c r="B3501" s="145" t="s">
        <v>828</v>
      </c>
      <c r="C3501" s="150" t="s">
        <v>5512</v>
      </c>
      <c r="D3501" s="201" t="s">
        <v>1431</v>
      </c>
      <c r="E3501" s="144" t="s">
        <v>1225</v>
      </c>
      <c r="F3501" s="147" t="s">
        <v>859</v>
      </c>
      <c r="G3501" s="144" t="s">
        <v>6103</v>
      </c>
      <c r="H3501" s="146" t="s">
        <v>130</v>
      </c>
      <c r="I3501" s="144" t="s">
        <v>925</v>
      </c>
    </row>
    <row r="3502" spans="1:9" ht="38.1">
      <c r="A3502" s="193">
        <v>46189</v>
      </c>
      <c r="B3502" s="145" t="s">
        <v>828</v>
      </c>
      <c r="C3502" s="150" t="s">
        <v>5512</v>
      </c>
      <c r="D3502" s="201" t="s">
        <v>1431</v>
      </c>
      <c r="E3502" s="144" t="s">
        <v>1506</v>
      </c>
      <c r="F3502" s="139" t="s">
        <v>88</v>
      </c>
      <c r="G3502" s="144" t="s">
        <v>6104</v>
      </c>
      <c r="H3502" s="146" t="s">
        <v>26</v>
      </c>
      <c r="I3502" s="144" t="s">
        <v>208</v>
      </c>
    </row>
    <row r="3503" spans="1:9" ht="38.1">
      <c r="A3503" s="193">
        <v>46189</v>
      </c>
      <c r="B3503" s="145" t="s">
        <v>828</v>
      </c>
      <c r="C3503" s="150" t="s">
        <v>5512</v>
      </c>
      <c r="D3503" s="201" t="s">
        <v>1431</v>
      </c>
      <c r="E3503" s="144" t="s">
        <v>1518</v>
      </c>
      <c r="F3503" s="139" t="s">
        <v>88</v>
      </c>
      <c r="G3503" s="144" t="s">
        <v>4613</v>
      </c>
      <c r="H3503" s="146" t="s">
        <v>26</v>
      </c>
      <c r="I3503" s="144" t="s">
        <v>118</v>
      </c>
    </row>
    <row r="3504" spans="1:9" ht="38.1">
      <c r="A3504" s="193">
        <v>46189</v>
      </c>
      <c r="B3504" s="145" t="s">
        <v>828</v>
      </c>
      <c r="C3504" s="150" t="s">
        <v>5512</v>
      </c>
      <c r="D3504" s="201" t="s">
        <v>1431</v>
      </c>
      <c r="E3504" s="144" t="s">
        <v>216</v>
      </c>
      <c r="F3504" s="139" t="s">
        <v>88</v>
      </c>
      <c r="G3504" s="144" t="s">
        <v>4615</v>
      </c>
      <c r="H3504" s="146" t="s">
        <v>26</v>
      </c>
      <c r="I3504" s="144" t="s">
        <v>492</v>
      </c>
    </row>
    <row r="3505" spans="1:9" ht="50.45">
      <c r="A3505" s="193">
        <v>46189</v>
      </c>
      <c r="B3505" s="145" t="s">
        <v>828</v>
      </c>
      <c r="C3505" s="150" t="s">
        <v>5512</v>
      </c>
      <c r="D3505" s="201" t="s">
        <v>1431</v>
      </c>
      <c r="E3505" s="144" t="s">
        <v>1225</v>
      </c>
      <c r="F3505" s="139" t="s">
        <v>88</v>
      </c>
      <c r="G3505" s="144" t="s">
        <v>6105</v>
      </c>
      <c r="H3505" s="146" t="s">
        <v>130</v>
      </c>
      <c r="I3505" s="144" t="s">
        <v>925</v>
      </c>
    </row>
    <row r="3506" spans="1:9" ht="25.5">
      <c r="A3506" s="193">
        <v>46189</v>
      </c>
      <c r="B3506" s="145" t="s">
        <v>828</v>
      </c>
      <c r="C3506" s="150" t="s">
        <v>5512</v>
      </c>
      <c r="D3506" s="201" t="s">
        <v>2224</v>
      </c>
      <c r="E3506" s="144" t="s">
        <v>1580</v>
      </c>
      <c r="F3506" s="139" t="s">
        <v>88</v>
      </c>
      <c r="G3506" s="144" t="s">
        <v>6106</v>
      </c>
      <c r="H3506" s="146" t="s">
        <v>130</v>
      </c>
      <c r="I3506" s="144" t="s">
        <v>2568</v>
      </c>
    </row>
    <row r="3507" spans="1:9" ht="63">
      <c r="A3507" s="193">
        <v>46189</v>
      </c>
      <c r="B3507" s="145" t="s">
        <v>828</v>
      </c>
      <c r="C3507" s="150" t="s">
        <v>5512</v>
      </c>
      <c r="D3507" s="201" t="s">
        <v>2224</v>
      </c>
      <c r="E3507" s="144" t="s">
        <v>2192</v>
      </c>
      <c r="F3507" s="140" t="s">
        <v>1439</v>
      </c>
      <c r="G3507" s="144" t="s">
        <v>4617</v>
      </c>
      <c r="H3507" s="146" t="s">
        <v>130</v>
      </c>
      <c r="I3507" s="144" t="s">
        <v>2568</v>
      </c>
    </row>
    <row r="3508" spans="1:9" ht="25.5">
      <c r="A3508" s="193">
        <v>46190</v>
      </c>
      <c r="B3508" s="145" t="s">
        <v>828</v>
      </c>
      <c r="C3508" s="150" t="s">
        <v>5512</v>
      </c>
      <c r="D3508" s="201" t="s">
        <v>1431</v>
      </c>
      <c r="E3508" s="144" t="s">
        <v>574</v>
      </c>
      <c r="F3508" s="139" t="s">
        <v>88</v>
      </c>
      <c r="G3508" s="144" t="s">
        <v>6107</v>
      </c>
      <c r="H3508" s="146" t="s">
        <v>130</v>
      </c>
      <c r="I3508" s="144" t="s">
        <v>3516</v>
      </c>
    </row>
    <row r="3509" spans="1:9" ht="50.45">
      <c r="A3509" s="193">
        <v>46190</v>
      </c>
      <c r="B3509" s="145" t="s">
        <v>828</v>
      </c>
      <c r="C3509" s="150" t="s">
        <v>5512</v>
      </c>
      <c r="D3509" s="201" t="s">
        <v>1431</v>
      </c>
      <c r="E3509" s="144" t="s">
        <v>21</v>
      </c>
      <c r="F3509" s="141" t="s">
        <v>821</v>
      </c>
      <c r="G3509" s="144" t="s">
        <v>4621</v>
      </c>
      <c r="H3509" s="146" t="s">
        <v>130</v>
      </c>
      <c r="I3509" s="144" t="s">
        <v>3516</v>
      </c>
    </row>
    <row r="3510" spans="1:9" ht="38.1">
      <c r="A3510" s="193">
        <v>46190</v>
      </c>
      <c r="B3510" s="145" t="s">
        <v>828</v>
      </c>
      <c r="C3510" s="150" t="s">
        <v>5512</v>
      </c>
      <c r="D3510" s="201" t="s">
        <v>1431</v>
      </c>
      <c r="E3510" s="144" t="s">
        <v>216</v>
      </c>
      <c r="F3510" s="141" t="s">
        <v>821</v>
      </c>
      <c r="G3510" s="144" t="s">
        <v>6108</v>
      </c>
      <c r="H3510" s="146" t="s">
        <v>130</v>
      </c>
      <c r="I3510" s="144" t="s">
        <v>914</v>
      </c>
    </row>
    <row r="3511" spans="1:9" ht="25.5">
      <c r="A3511" s="193">
        <v>46190</v>
      </c>
      <c r="B3511" s="145" t="s">
        <v>828</v>
      </c>
      <c r="C3511" s="150" t="s">
        <v>5512</v>
      </c>
      <c r="D3511" s="201" t="s">
        <v>1431</v>
      </c>
      <c r="E3511" s="144" t="s">
        <v>1506</v>
      </c>
      <c r="F3511" s="139" t="s">
        <v>88</v>
      </c>
      <c r="G3511" s="144" t="s">
        <v>6109</v>
      </c>
      <c r="H3511" s="146" t="s">
        <v>26</v>
      </c>
      <c r="I3511" s="144" t="s">
        <v>208</v>
      </c>
    </row>
    <row r="3512" spans="1:9" ht="25.5">
      <c r="A3512" s="193">
        <v>46190</v>
      </c>
      <c r="B3512" s="145" t="s">
        <v>828</v>
      </c>
      <c r="C3512" s="150" t="s">
        <v>5512</v>
      </c>
      <c r="D3512" s="201" t="s">
        <v>1431</v>
      </c>
      <c r="E3512" s="144" t="s">
        <v>216</v>
      </c>
      <c r="F3512" s="141" t="s">
        <v>821</v>
      </c>
      <c r="G3512" s="144" t="s">
        <v>6110</v>
      </c>
      <c r="H3512" s="146" t="s">
        <v>130</v>
      </c>
      <c r="I3512" s="144" t="s">
        <v>492</v>
      </c>
    </row>
    <row r="3513" spans="1:9" ht="25.5">
      <c r="A3513" s="193">
        <v>46190</v>
      </c>
      <c r="B3513" s="145" t="s">
        <v>828</v>
      </c>
      <c r="C3513" s="150" t="s">
        <v>5512</v>
      </c>
      <c r="D3513" s="201" t="s">
        <v>1431</v>
      </c>
      <c r="E3513" s="144" t="s">
        <v>21</v>
      </c>
      <c r="F3513" s="141" t="s">
        <v>821</v>
      </c>
      <c r="G3513" s="144" t="s">
        <v>4624</v>
      </c>
      <c r="H3513" s="146" t="s">
        <v>26</v>
      </c>
      <c r="I3513" s="144" t="s">
        <v>468</v>
      </c>
    </row>
    <row r="3514" spans="1:9" ht="25.5">
      <c r="A3514" s="193">
        <v>46190</v>
      </c>
      <c r="B3514" s="145" t="s">
        <v>828</v>
      </c>
      <c r="C3514" s="150" t="s">
        <v>5512</v>
      </c>
      <c r="D3514" s="201" t="s">
        <v>1431</v>
      </c>
      <c r="E3514" s="144" t="s">
        <v>21</v>
      </c>
      <c r="F3514" s="141" t="s">
        <v>821</v>
      </c>
      <c r="G3514" s="144" t="s">
        <v>6111</v>
      </c>
      <c r="H3514" s="146" t="s">
        <v>130</v>
      </c>
      <c r="I3514" s="144" t="s">
        <v>468</v>
      </c>
    </row>
    <row r="3515" spans="1:9" ht="38.1">
      <c r="A3515" s="193">
        <v>46190</v>
      </c>
      <c r="B3515" s="145" t="s">
        <v>828</v>
      </c>
      <c r="C3515" s="150" t="s">
        <v>5512</v>
      </c>
      <c r="D3515" s="201" t="s">
        <v>1431</v>
      </c>
      <c r="E3515" s="144" t="s">
        <v>1449</v>
      </c>
      <c r="F3515" s="139" t="s">
        <v>88</v>
      </c>
      <c r="G3515" s="144" t="s">
        <v>6112</v>
      </c>
      <c r="H3515" s="146" t="s">
        <v>26</v>
      </c>
      <c r="I3515" s="144" t="s">
        <v>4762</v>
      </c>
    </row>
    <row r="3516" spans="1:9" ht="25.5">
      <c r="A3516" s="193">
        <v>46190</v>
      </c>
      <c r="B3516" s="145" t="s">
        <v>828</v>
      </c>
      <c r="C3516" s="150" t="s">
        <v>5512</v>
      </c>
      <c r="D3516" s="201" t="s">
        <v>1431</v>
      </c>
      <c r="E3516" s="144" t="s">
        <v>1449</v>
      </c>
      <c r="F3516" s="139" t="s">
        <v>88</v>
      </c>
      <c r="G3516" s="144" t="s">
        <v>6113</v>
      </c>
      <c r="H3516" s="146" t="s">
        <v>26</v>
      </c>
      <c r="I3516" s="144" t="s">
        <v>4762</v>
      </c>
    </row>
    <row r="3517" spans="1:9" ht="38.1">
      <c r="A3517" s="193">
        <v>46190</v>
      </c>
      <c r="B3517" s="145" t="s">
        <v>828</v>
      </c>
      <c r="C3517" s="150" t="s">
        <v>5512</v>
      </c>
      <c r="D3517" s="201" t="s">
        <v>1431</v>
      </c>
      <c r="E3517" s="144" t="s">
        <v>1449</v>
      </c>
      <c r="F3517" s="139" t="s">
        <v>88</v>
      </c>
      <c r="G3517" s="144" t="s">
        <v>6114</v>
      </c>
      <c r="H3517" s="146" t="s">
        <v>26</v>
      </c>
      <c r="I3517" s="144" t="s">
        <v>4762</v>
      </c>
    </row>
    <row r="3518" spans="1:9" ht="38.1">
      <c r="A3518" s="193">
        <v>46190</v>
      </c>
      <c r="B3518" s="145" t="s">
        <v>828</v>
      </c>
      <c r="C3518" s="150" t="s">
        <v>5512</v>
      </c>
      <c r="D3518" s="201" t="s">
        <v>3881</v>
      </c>
      <c r="E3518" s="144" t="s">
        <v>21</v>
      </c>
      <c r="F3518" s="141" t="s">
        <v>821</v>
      </c>
      <c r="G3518" s="144" t="s">
        <v>6115</v>
      </c>
      <c r="H3518" s="146" t="s">
        <v>130</v>
      </c>
      <c r="I3518" s="144" t="s">
        <v>2813</v>
      </c>
    </row>
    <row r="3519" spans="1:9" ht="38.1">
      <c r="A3519" s="193">
        <v>46190</v>
      </c>
      <c r="B3519" s="145" t="s">
        <v>828</v>
      </c>
      <c r="C3519" s="150" t="s">
        <v>5512</v>
      </c>
      <c r="D3519" s="201" t="s">
        <v>2224</v>
      </c>
      <c r="E3519" s="144" t="s">
        <v>1580</v>
      </c>
      <c r="F3519" s="140" t="s">
        <v>1439</v>
      </c>
      <c r="G3519" s="144" t="s">
        <v>6116</v>
      </c>
      <c r="H3519" s="146" t="s">
        <v>130</v>
      </c>
      <c r="I3519" s="144" t="s">
        <v>2568</v>
      </c>
    </row>
    <row r="3520" spans="1:9" ht="14.1">
      <c r="A3520" s="193">
        <v>46191</v>
      </c>
      <c r="B3520" s="145" t="s">
        <v>828</v>
      </c>
      <c r="C3520" s="150" t="s">
        <v>5512</v>
      </c>
      <c r="D3520" s="201" t="s">
        <v>1431</v>
      </c>
      <c r="E3520" s="144" t="s">
        <v>1511</v>
      </c>
      <c r="F3520" s="139" t="s">
        <v>88</v>
      </c>
      <c r="G3520" s="144" t="s">
        <v>6117</v>
      </c>
      <c r="H3520" s="146" t="s">
        <v>26</v>
      </c>
      <c r="I3520" s="144" t="s">
        <v>2700</v>
      </c>
    </row>
    <row r="3521" spans="1:9" ht="25.5">
      <c r="A3521" s="193">
        <v>46191</v>
      </c>
      <c r="B3521" s="145" t="s">
        <v>828</v>
      </c>
      <c r="C3521" s="150" t="s">
        <v>5512</v>
      </c>
      <c r="D3521" s="201" t="s">
        <v>1431</v>
      </c>
      <c r="E3521" s="144" t="s">
        <v>1511</v>
      </c>
      <c r="F3521" s="139" t="s">
        <v>88</v>
      </c>
      <c r="G3521" s="144" t="s">
        <v>6118</v>
      </c>
      <c r="H3521" s="146" t="s">
        <v>26</v>
      </c>
      <c r="I3521" s="144" t="s">
        <v>2700</v>
      </c>
    </row>
    <row r="3522" spans="1:9" ht="38.1">
      <c r="A3522" s="193">
        <v>46191</v>
      </c>
      <c r="B3522" s="145" t="s">
        <v>828</v>
      </c>
      <c r="C3522" s="150" t="s">
        <v>5512</v>
      </c>
      <c r="D3522" s="201" t="s">
        <v>1431</v>
      </c>
      <c r="E3522" s="144" t="s">
        <v>1506</v>
      </c>
      <c r="F3522" s="139" t="s">
        <v>88</v>
      </c>
      <c r="G3522" s="144" t="s">
        <v>4626</v>
      </c>
      <c r="H3522" s="146" t="s">
        <v>26</v>
      </c>
      <c r="I3522" s="144" t="s">
        <v>3153</v>
      </c>
    </row>
    <row r="3523" spans="1:9" ht="25.5">
      <c r="A3523" s="193">
        <v>46191</v>
      </c>
      <c r="B3523" s="145" t="s">
        <v>828</v>
      </c>
      <c r="C3523" s="150" t="s">
        <v>5512</v>
      </c>
      <c r="D3523" s="201" t="s">
        <v>1431</v>
      </c>
      <c r="E3523" s="144" t="s">
        <v>216</v>
      </c>
      <c r="F3523" s="141" t="s">
        <v>821</v>
      </c>
      <c r="G3523" s="144" t="s">
        <v>6119</v>
      </c>
      <c r="H3523" s="146" t="s">
        <v>26</v>
      </c>
      <c r="I3523" s="144" t="s">
        <v>492</v>
      </c>
    </row>
    <row r="3524" spans="1:9" ht="14.1">
      <c r="A3524" s="193">
        <v>46191</v>
      </c>
      <c r="B3524" s="145" t="s">
        <v>828</v>
      </c>
      <c r="C3524" s="150" t="s">
        <v>5512</v>
      </c>
      <c r="D3524" s="201" t="s">
        <v>1431</v>
      </c>
      <c r="E3524" s="144" t="s">
        <v>21</v>
      </c>
      <c r="F3524" s="141" t="s">
        <v>821</v>
      </c>
      <c r="G3524" s="144" t="s">
        <v>6120</v>
      </c>
      <c r="H3524" s="146" t="s">
        <v>26</v>
      </c>
      <c r="I3524" s="144" t="s">
        <v>468</v>
      </c>
    </row>
    <row r="3525" spans="1:9" ht="25.5">
      <c r="A3525" s="193">
        <v>46191</v>
      </c>
      <c r="B3525" s="145" t="s">
        <v>828</v>
      </c>
      <c r="C3525" s="150" t="s">
        <v>5512</v>
      </c>
      <c r="D3525" s="201" t="s">
        <v>1431</v>
      </c>
      <c r="E3525" s="144" t="s">
        <v>1566</v>
      </c>
      <c r="F3525" s="139" t="s">
        <v>88</v>
      </c>
      <c r="G3525" s="144" t="s">
        <v>6121</v>
      </c>
      <c r="H3525" s="146" t="s">
        <v>26</v>
      </c>
      <c r="I3525" s="144" t="s">
        <v>1453</v>
      </c>
    </row>
    <row r="3526" spans="1:9" ht="38.1">
      <c r="A3526" s="193">
        <v>46191</v>
      </c>
      <c r="B3526" s="145" t="s">
        <v>828</v>
      </c>
      <c r="C3526" s="150" t="s">
        <v>5512</v>
      </c>
      <c r="D3526" s="201" t="s">
        <v>1431</v>
      </c>
      <c r="E3526" s="144" t="s">
        <v>1449</v>
      </c>
      <c r="F3526" s="139" t="s">
        <v>88</v>
      </c>
      <c r="G3526" s="144" t="s">
        <v>6122</v>
      </c>
      <c r="H3526" s="146" t="s">
        <v>130</v>
      </c>
      <c r="I3526" s="144" t="s">
        <v>4762</v>
      </c>
    </row>
    <row r="3527" spans="1:9" ht="38.1">
      <c r="A3527" s="193">
        <v>46191</v>
      </c>
      <c r="B3527" s="145" t="s">
        <v>828</v>
      </c>
      <c r="C3527" s="150" t="s">
        <v>5512</v>
      </c>
      <c r="D3527" s="201" t="s">
        <v>1431</v>
      </c>
      <c r="E3527" s="144" t="s">
        <v>1449</v>
      </c>
      <c r="F3527" s="141" t="s">
        <v>821</v>
      </c>
      <c r="G3527" s="144" t="s">
        <v>6123</v>
      </c>
      <c r="H3527" s="146" t="s">
        <v>130</v>
      </c>
      <c r="I3527" s="144" t="s">
        <v>4762</v>
      </c>
    </row>
    <row r="3528" spans="1:9" ht="25.5">
      <c r="A3528" s="193">
        <v>46191</v>
      </c>
      <c r="B3528" s="145" t="s">
        <v>828</v>
      </c>
      <c r="C3528" s="150" t="s">
        <v>5512</v>
      </c>
      <c r="D3528" s="201" t="s">
        <v>3881</v>
      </c>
      <c r="E3528" s="144" t="s">
        <v>21</v>
      </c>
      <c r="F3528" s="141" t="s">
        <v>821</v>
      </c>
      <c r="G3528" s="144" t="s">
        <v>6124</v>
      </c>
      <c r="H3528" s="146" t="s">
        <v>130</v>
      </c>
      <c r="I3528" s="144" t="s">
        <v>2813</v>
      </c>
    </row>
    <row r="3529" spans="1:9" ht="25.5">
      <c r="A3529" s="193">
        <v>46192</v>
      </c>
      <c r="B3529" s="145" t="s">
        <v>828</v>
      </c>
      <c r="C3529" s="150" t="s">
        <v>5512</v>
      </c>
      <c r="D3529" s="201" t="s">
        <v>1431</v>
      </c>
      <c r="E3529" s="144" t="s">
        <v>1504</v>
      </c>
      <c r="F3529" s="141" t="s">
        <v>821</v>
      </c>
      <c r="G3529" s="144" t="s">
        <v>4630</v>
      </c>
      <c r="H3529" s="146" t="s">
        <v>130</v>
      </c>
      <c r="I3529" s="144" t="s">
        <v>492</v>
      </c>
    </row>
    <row r="3530" spans="1:9" ht="38.1">
      <c r="A3530" s="193">
        <v>46192</v>
      </c>
      <c r="B3530" s="145" t="s">
        <v>828</v>
      </c>
      <c r="C3530" s="150" t="s">
        <v>5512</v>
      </c>
      <c r="D3530" s="201" t="s">
        <v>1431</v>
      </c>
      <c r="E3530" s="144" t="s">
        <v>216</v>
      </c>
      <c r="F3530" s="141" t="s">
        <v>821</v>
      </c>
      <c r="G3530" s="144" t="s">
        <v>4628</v>
      </c>
      <c r="H3530" s="146" t="s">
        <v>130</v>
      </c>
      <c r="I3530" s="144" t="s">
        <v>492</v>
      </c>
    </row>
    <row r="3531" spans="1:9" ht="25.5">
      <c r="A3531" s="193">
        <v>46192</v>
      </c>
      <c r="B3531" s="145" t="s">
        <v>828</v>
      </c>
      <c r="C3531" s="150" t="s">
        <v>5512</v>
      </c>
      <c r="D3531" s="201" t="s">
        <v>1431</v>
      </c>
      <c r="E3531" s="144" t="s">
        <v>1560</v>
      </c>
      <c r="F3531" s="139" t="s">
        <v>88</v>
      </c>
      <c r="G3531" s="144" t="s">
        <v>6125</v>
      </c>
      <c r="H3531" s="146" t="s">
        <v>130</v>
      </c>
      <c r="I3531" s="144" t="s">
        <v>4762</v>
      </c>
    </row>
    <row r="3532" spans="1:9" ht="38.1">
      <c r="A3532" s="193">
        <v>46192</v>
      </c>
      <c r="B3532" s="145" t="s">
        <v>828</v>
      </c>
      <c r="C3532" s="150" t="s">
        <v>5512</v>
      </c>
      <c r="D3532" s="201" t="s">
        <v>1431</v>
      </c>
      <c r="E3532" s="144" t="s">
        <v>216</v>
      </c>
      <c r="F3532" s="141" t="s">
        <v>821</v>
      </c>
      <c r="G3532" s="144" t="s">
        <v>6126</v>
      </c>
      <c r="H3532" s="146" t="s">
        <v>130</v>
      </c>
      <c r="I3532" s="144" t="s">
        <v>492</v>
      </c>
    </row>
    <row r="3533" spans="1:9" ht="38.1">
      <c r="A3533" s="193">
        <v>46192</v>
      </c>
      <c r="B3533" s="145" t="s">
        <v>828</v>
      </c>
      <c r="C3533" s="150" t="s">
        <v>5512</v>
      </c>
      <c r="D3533" s="201" t="s">
        <v>2224</v>
      </c>
      <c r="E3533" s="144" t="s">
        <v>1449</v>
      </c>
      <c r="F3533" s="139" t="s">
        <v>88</v>
      </c>
      <c r="G3533" s="144" t="s">
        <v>6127</v>
      </c>
      <c r="H3533" s="146" t="s">
        <v>26</v>
      </c>
      <c r="I3533" s="144" t="s">
        <v>2568</v>
      </c>
    </row>
    <row r="3534" spans="1:9" ht="14.1">
      <c r="A3534" s="193">
        <v>46195</v>
      </c>
      <c r="B3534" s="145" t="s">
        <v>828</v>
      </c>
      <c r="C3534" s="150" t="s">
        <v>5512</v>
      </c>
      <c r="D3534" s="201" t="s">
        <v>1431</v>
      </c>
      <c r="E3534" s="144" t="s">
        <v>216</v>
      </c>
      <c r="F3534" s="141" t="s">
        <v>821</v>
      </c>
      <c r="G3534" s="144" t="s">
        <v>4632</v>
      </c>
      <c r="H3534" s="146" t="s">
        <v>130</v>
      </c>
      <c r="I3534" s="144" t="s">
        <v>492</v>
      </c>
    </row>
    <row r="3535" spans="1:9" ht="14.1">
      <c r="A3535" s="193">
        <v>46195</v>
      </c>
      <c r="B3535" s="145" t="s">
        <v>828</v>
      </c>
      <c r="C3535" s="150" t="s">
        <v>5512</v>
      </c>
      <c r="D3535" s="201" t="s">
        <v>1431</v>
      </c>
      <c r="E3535" s="144" t="s">
        <v>21</v>
      </c>
      <c r="F3535" s="141" t="s">
        <v>821</v>
      </c>
      <c r="G3535" s="144" t="s">
        <v>4634</v>
      </c>
      <c r="H3535" s="146" t="s">
        <v>130</v>
      </c>
      <c r="I3535" s="144" t="s">
        <v>468</v>
      </c>
    </row>
    <row r="3536" spans="1:9" ht="14.1">
      <c r="A3536" s="193">
        <v>46195</v>
      </c>
      <c r="B3536" s="145" t="s">
        <v>828</v>
      </c>
      <c r="C3536" s="150" t="s">
        <v>5512</v>
      </c>
      <c r="D3536" s="201" t="s">
        <v>1431</v>
      </c>
      <c r="E3536" s="144" t="s">
        <v>1506</v>
      </c>
      <c r="F3536" s="141" t="s">
        <v>821</v>
      </c>
      <c r="G3536" s="144" t="s">
        <v>4601</v>
      </c>
      <c r="H3536" s="146" t="s">
        <v>130</v>
      </c>
      <c r="I3536" s="144" t="s">
        <v>208</v>
      </c>
    </row>
    <row r="3537" spans="1:9" ht="14.1">
      <c r="A3537" s="193">
        <v>46195</v>
      </c>
      <c r="B3537" s="145" t="s">
        <v>828</v>
      </c>
      <c r="C3537" s="150" t="s">
        <v>5512</v>
      </c>
      <c r="D3537" s="201" t="s">
        <v>1431</v>
      </c>
      <c r="E3537" s="144" t="s">
        <v>1449</v>
      </c>
      <c r="F3537" s="139" t="s">
        <v>88</v>
      </c>
      <c r="G3537" s="144" t="s">
        <v>6128</v>
      </c>
      <c r="H3537" s="146" t="s">
        <v>26</v>
      </c>
      <c r="I3537" s="144" t="s">
        <v>2739</v>
      </c>
    </row>
    <row r="3538" spans="1:9" ht="14.1">
      <c r="A3538" s="193">
        <v>46195</v>
      </c>
      <c r="B3538" s="145" t="s">
        <v>828</v>
      </c>
      <c r="C3538" s="150" t="s">
        <v>5512</v>
      </c>
      <c r="D3538" s="201" t="s">
        <v>1431</v>
      </c>
      <c r="E3538" s="144" t="s">
        <v>1449</v>
      </c>
      <c r="F3538" s="139" t="s">
        <v>88</v>
      </c>
      <c r="G3538" s="144" t="s">
        <v>6129</v>
      </c>
      <c r="H3538" s="146" t="s">
        <v>26</v>
      </c>
      <c r="I3538" s="144" t="s">
        <v>2739</v>
      </c>
    </row>
    <row r="3539" spans="1:9" ht="25.5">
      <c r="A3539" s="193">
        <v>46195</v>
      </c>
      <c r="B3539" s="145" t="s">
        <v>828</v>
      </c>
      <c r="C3539" s="150" t="s">
        <v>5512</v>
      </c>
      <c r="D3539" s="201" t="s">
        <v>3881</v>
      </c>
      <c r="E3539" s="144" t="s">
        <v>1225</v>
      </c>
      <c r="F3539" s="140" t="s">
        <v>1439</v>
      </c>
      <c r="G3539" s="144" t="s">
        <v>6130</v>
      </c>
      <c r="H3539" s="146" t="s">
        <v>26</v>
      </c>
      <c r="I3539" s="144" t="s">
        <v>2813</v>
      </c>
    </row>
    <row r="3540" spans="1:9" ht="38.1">
      <c r="A3540" s="193">
        <v>46195</v>
      </c>
      <c r="B3540" s="145" t="s">
        <v>828</v>
      </c>
      <c r="C3540" s="150" t="s">
        <v>5512</v>
      </c>
      <c r="D3540" s="201" t="s">
        <v>2224</v>
      </c>
      <c r="E3540" s="144" t="s">
        <v>1449</v>
      </c>
      <c r="F3540" s="139" t="s">
        <v>88</v>
      </c>
      <c r="G3540" s="144" t="s">
        <v>6131</v>
      </c>
      <c r="H3540" s="146" t="s">
        <v>26</v>
      </c>
      <c r="I3540" s="144" t="s">
        <v>2568</v>
      </c>
    </row>
    <row r="3541" spans="1:9" ht="87.95">
      <c r="A3541" s="193">
        <v>46196</v>
      </c>
      <c r="B3541" s="145" t="s">
        <v>828</v>
      </c>
      <c r="C3541" s="150" t="s">
        <v>5512</v>
      </c>
      <c r="D3541" s="201" t="s">
        <v>1431</v>
      </c>
      <c r="E3541" s="144" t="s">
        <v>1506</v>
      </c>
      <c r="F3541" s="139" t="s">
        <v>88</v>
      </c>
      <c r="G3541" s="144" t="s">
        <v>4640</v>
      </c>
      <c r="H3541" s="146" t="s">
        <v>130</v>
      </c>
      <c r="I3541" s="144" t="s">
        <v>208</v>
      </c>
    </row>
    <row r="3542" spans="1:9" ht="113.1">
      <c r="A3542" s="193">
        <v>46196</v>
      </c>
      <c r="B3542" s="145" t="s">
        <v>828</v>
      </c>
      <c r="C3542" s="150" t="s">
        <v>5512</v>
      </c>
      <c r="D3542" s="201" t="s">
        <v>1431</v>
      </c>
      <c r="E3542" s="144" t="s">
        <v>1432</v>
      </c>
      <c r="F3542" s="139" t="s">
        <v>88</v>
      </c>
      <c r="G3542" s="144" t="s">
        <v>4638</v>
      </c>
      <c r="H3542" s="146" t="s">
        <v>130</v>
      </c>
      <c r="I3542" s="144" t="s">
        <v>158</v>
      </c>
    </row>
    <row r="3543" spans="1:9" ht="38.1">
      <c r="A3543" s="193">
        <v>46197</v>
      </c>
      <c r="B3543" s="145" t="s">
        <v>828</v>
      </c>
      <c r="C3543" s="150" t="s">
        <v>5512</v>
      </c>
      <c r="D3543" s="201" t="s">
        <v>1431</v>
      </c>
      <c r="E3543" s="144" t="s">
        <v>574</v>
      </c>
      <c r="F3543" s="139" t="s">
        <v>88</v>
      </c>
      <c r="G3543" s="144" t="s">
        <v>6132</v>
      </c>
      <c r="H3543" s="146" t="s">
        <v>26</v>
      </c>
      <c r="I3543" s="144" t="s">
        <v>3516</v>
      </c>
    </row>
    <row r="3544" spans="1:9" ht="25.5">
      <c r="A3544" s="193">
        <v>46197</v>
      </c>
      <c r="B3544" s="145" t="s">
        <v>828</v>
      </c>
      <c r="C3544" s="150" t="s">
        <v>5512</v>
      </c>
      <c r="D3544" s="201" t="s">
        <v>1431</v>
      </c>
      <c r="E3544" s="144" t="s">
        <v>1449</v>
      </c>
      <c r="F3544" s="141" t="s">
        <v>821</v>
      </c>
      <c r="G3544" s="144" t="s">
        <v>6133</v>
      </c>
      <c r="H3544" s="146" t="s">
        <v>26</v>
      </c>
      <c r="I3544" s="144" t="s">
        <v>2739</v>
      </c>
    </row>
    <row r="3545" spans="1:9" ht="25.5">
      <c r="A3545" s="193">
        <v>46197</v>
      </c>
      <c r="B3545" s="145" t="s">
        <v>828</v>
      </c>
      <c r="C3545" s="150" t="s">
        <v>5512</v>
      </c>
      <c r="D3545" s="201" t="s">
        <v>3881</v>
      </c>
      <c r="E3545" s="144" t="s">
        <v>1584</v>
      </c>
      <c r="F3545" s="141" t="s">
        <v>821</v>
      </c>
      <c r="G3545" s="144" t="s">
        <v>6134</v>
      </c>
      <c r="H3545" s="146" t="s">
        <v>130</v>
      </c>
      <c r="I3545" s="144" t="s">
        <v>2813</v>
      </c>
    </row>
    <row r="3546" spans="1:9" ht="38.1">
      <c r="A3546" s="193">
        <v>46198</v>
      </c>
      <c r="B3546" s="145" t="s">
        <v>828</v>
      </c>
      <c r="C3546" s="150" t="s">
        <v>5512</v>
      </c>
      <c r="D3546" s="201" t="s">
        <v>1431</v>
      </c>
      <c r="E3546" s="144" t="s">
        <v>1580</v>
      </c>
      <c r="F3546" s="140" t="s">
        <v>1439</v>
      </c>
      <c r="G3546" s="144" t="s">
        <v>6135</v>
      </c>
      <c r="H3546" s="146" t="s">
        <v>130</v>
      </c>
      <c r="I3546" s="144" t="s">
        <v>3725</v>
      </c>
    </row>
    <row r="3547" spans="1:9" ht="38.1">
      <c r="A3547" s="193">
        <v>46198</v>
      </c>
      <c r="B3547" s="145" t="s">
        <v>828</v>
      </c>
      <c r="C3547" s="150" t="s">
        <v>5512</v>
      </c>
      <c r="D3547" s="201" t="s">
        <v>1431</v>
      </c>
      <c r="E3547" s="144" t="s">
        <v>1449</v>
      </c>
      <c r="F3547" s="139" t="s">
        <v>88</v>
      </c>
      <c r="G3547" s="144" t="s">
        <v>6136</v>
      </c>
      <c r="H3547" s="146" t="s">
        <v>26</v>
      </c>
      <c r="I3547" s="144" t="s">
        <v>2739</v>
      </c>
    </row>
    <row r="3548" spans="1:9" ht="38.1">
      <c r="A3548" s="193">
        <v>46198</v>
      </c>
      <c r="B3548" s="145" t="s">
        <v>828</v>
      </c>
      <c r="C3548" s="150" t="s">
        <v>5512</v>
      </c>
      <c r="D3548" s="201" t="s">
        <v>1431</v>
      </c>
      <c r="E3548" s="144" t="s">
        <v>1449</v>
      </c>
      <c r="F3548" s="139" t="s">
        <v>88</v>
      </c>
      <c r="G3548" s="144" t="s">
        <v>6137</v>
      </c>
      <c r="H3548" s="146" t="s">
        <v>26</v>
      </c>
      <c r="I3548" s="144" t="s">
        <v>2739</v>
      </c>
    </row>
    <row r="3549" spans="1:9" ht="38.1">
      <c r="A3549" s="193">
        <v>46198</v>
      </c>
      <c r="B3549" s="145" t="s">
        <v>828</v>
      </c>
      <c r="C3549" s="150" t="s">
        <v>5512</v>
      </c>
      <c r="D3549" s="201" t="s">
        <v>1431</v>
      </c>
      <c r="E3549" s="144" t="s">
        <v>1449</v>
      </c>
      <c r="F3549" s="139" t="s">
        <v>88</v>
      </c>
      <c r="G3549" s="144" t="s">
        <v>4642</v>
      </c>
      <c r="H3549" s="146" t="s">
        <v>26</v>
      </c>
      <c r="I3549" s="144" t="s">
        <v>452</v>
      </c>
    </row>
    <row r="3550" spans="1:9" ht="25.5">
      <c r="A3550" s="193">
        <v>46198</v>
      </c>
      <c r="B3550" s="145" t="s">
        <v>828</v>
      </c>
      <c r="C3550" s="150" t="s">
        <v>5512</v>
      </c>
      <c r="D3550" s="201" t="s">
        <v>2224</v>
      </c>
      <c r="E3550" s="144" t="s">
        <v>1449</v>
      </c>
      <c r="F3550" s="139" t="s">
        <v>88</v>
      </c>
      <c r="G3550" s="144" t="s">
        <v>6138</v>
      </c>
      <c r="H3550" s="146" t="s">
        <v>26</v>
      </c>
      <c r="I3550" s="144" t="s">
        <v>2739</v>
      </c>
    </row>
    <row r="3551" spans="1:9" ht="25.5">
      <c r="A3551" s="193">
        <v>46198</v>
      </c>
      <c r="B3551" s="145" t="s">
        <v>828</v>
      </c>
      <c r="C3551" s="150" t="s">
        <v>5512</v>
      </c>
      <c r="D3551" s="201" t="s">
        <v>1431</v>
      </c>
      <c r="E3551" s="144" t="s">
        <v>1225</v>
      </c>
      <c r="F3551" s="140" t="s">
        <v>1439</v>
      </c>
      <c r="G3551" s="144" t="s">
        <v>6139</v>
      </c>
      <c r="H3551" s="146" t="s">
        <v>26</v>
      </c>
      <c r="I3551" s="144" t="s">
        <v>1998</v>
      </c>
    </row>
    <row r="3552" spans="1:9" ht="14.1">
      <c r="A3552" s="193">
        <v>46198</v>
      </c>
      <c r="B3552" s="145" t="s">
        <v>828</v>
      </c>
      <c r="C3552" s="150" t="s">
        <v>5512</v>
      </c>
      <c r="D3552" s="201" t="s">
        <v>1431</v>
      </c>
      <c r="E3552" s="144" t="s">
        <v>21</v>
      </c>
      <c r="F3552" s="141" t="s">
        <v>821</v>
      </c>
      <c r="G3552" s="144" t="s">
        <v>6140</v>
      </c>
      <c r="H3552" s="146" t="s">
        <v>130</v>
      </c>
      <c r="I3552" s="144" t="s">
        <v>468</v>
      </c>
    </row>
    <row r="3553" spans="1:9" ht="25.5">
      <c r="A3553" s="193">
        <v>46198</v>
      </c>
      <c r="B3553" s="145" t="s">
        <v>828</v>
      </c>
      <c r="C3553" s="150" t="s">
        <v>5512</v>
      </c>
      <c r="D3553" s="201" t="s">
        <v>1431</v>
      </c>
      <c r="E3553" s="144" t="s">
        <v>1449</v>
      </c>
      <c r="F3553" s="139" t="s">
        <v>88</v>
      </c>
      <c r="G3553" s="144" t="s">
        <v>6141</v>
      </c>
      <c r="H3553" s="146" t="s">
        <v>26</v>
      </c>
      <c r="I3553" s="144" t="s">
        <v>2739</v>
      </c>
    </row>
    <row r="3554" spans="1:9" ht="14.1">
      <c r="A3554" s="193">
        <v>46198</v>
      </c>
      <c r="B3554" s="145" t="s">
        <v>828</v>
      </c>
      <c r="C3554" s="150" t="s">
        <v>5512</v>
      </c>
      <c r="D3554" s="201" t="s">
        <v>1431</v>
      </c>
      <c r="E3554" s="144" t="s">
        <v>1449</v>
      </c>
      <c r="F3554" s="141" t="s">
        <v>821</v>
      </c>
      <c r="G3554" s="144" t="s">
        <v>6142</v>
      </c>
      <c r="H3554" s="146" t="s">
        <v>26</v>
      </c>
      <c r="I3554" s="144" t="s">
        <v>2739</v>
      </c>
    </row>
    <row r="3555" spans="1:9" ht="14.1">
      <c r="A3555" s="193">
        <v>46198</v>
      </c>
      <c r="B3555" s="145" t="s">
        <v>828</v>
      </c>
      <c r="C3555" s="150" t="s">
        <v>5512</v>
      </c>
      <c r="D3555" s="201" t="s">
        <v>1431</v>
      </c>
      <c r="E3555" s="144" t="s">
        <v>1432</v>
      </c>
      <c r="F3555" s="141" t="s">
        <v>821</v>
      </c>
      <c r="G3555" s="144" t="s">
        <v>6143</v>
      </c>
      <c r="H3555" s="146" t="s">
        <v>130</v>
      </c>
      <c r="I3555" s="144" t="s">
        <v>2568</v>
      </c>
    </row>
    <row r="3556" spans="1:9" ht="14.1">
      <c r="A3556" s="193">
        <v>46202</v>
      </c>
      <c r="B3556" s="145" t="s">
        <v>828</v>
      </c>
      <c r="C3556" s="150" t="s">
        <v>5512</v>
      </c>
      <c r="D3556" s="201" t="s">
        <v>1431</v>
      </c>
      <c r="E3556" s="144" t="s">
        <v>1158</v>
      </c>
      <c r="F3556" s="139" t="s">
        <v>88</v>
      </c>
      <c r="G3556" s="144" t="s">
        <v>6144</v>
      </c>
      <c r="H3556" s="146" t="s">
        <v>26</v>
      </c>
      <c r="I3556" s="144" t="s">
        <v>1436</v>
      </c>
    </row>
    <row r="3557" spans="1:9" ht="38.1">
      <c r="A3557" s="193">
        <v>46202</v>
      </c>
      <c r="B3557" s="145" t="s">
        <v>828</v>
      </c>
      <c r="C3557" s="150" t="s">
        <v>5512</v>
      </c>
      <c r="D3557" s="201" t="s">
        <v>1431</v>
      </c>
      <c r="E3557" s="144" t="s">
        <v>574</v>
      </c>
      <c r="F3557" s="139" t="s">
        <v>88</v>
      </c>
      <c r="G3557" s="144" t="s">
        <v>6145</v>
      </c>
      <c r="H3557" s="146" t="s">
        <v>26</v>
      </c>
      <c r="I3557" s="144" t="s">
        <v>578</v>
      </c>
    </row>
    <row r="3558" spans="1:9" ht="25.5">
      <c r="A3558" s="193">
        <v>46202</v>
      </c>
      <c r="B3558" s="145" t="s">
        <v>828</v>
      </c>
      <c r="C3558" s="150" t="s">
        <v>5512</v>
      </c>
      <c r="D3558" s="201" t="s">
        <v>1431</v>
      </c>
      <c r="E3558" s="144" t="s">
        <v>574</v>
      </c>
      <c r="F3558" s="139" t="s">
        <v>88</v>
      </c>
      <c r="G3558" s="144" t="s">
        <v>6146</v>
      </c>
      <c r="H3558" s="146" t="s">
        <v>26</v>
      </c>
      <c r="I3558" s="144" t="s">
        <v>578</v>
      </c>
    </row>
    <row r="3559" spans="1:9" ht="14.1">
      <c r="A3559" s="193">
        <v>46202</v>
      </c>
      <c r="B3559" s="145" t="s">
        <v>828</v>
      </c>
      <c r="C3559" s="150" t="s">
        <v>5512</v>
      </c>
      <c r="D3559" s="201" t="s">
        <v>1431</v>
      </c>
      <c r="E3559" s="144" t="s">
        <v>1511</v>
      </c>
      <c r="F3559" s="139" t="s">
        <v>88</v>
      </c>
      <c r="G3559" s="144" t="s">
        <v>6147</v>
      </c>
      <c r="H3559" s="146" t="s">
        <v>26</v>
      </c>
      <c r="I3559" s="144" t="s">
        <v>2593</v>
      </c>
    </row>
    <row r="3560" spans="1:9" ht="14.1">
      <c r="A3560" s="193">
        <v>46202</v>
      </c>
      <c r="B3560" s="145" t="s">
        <v>828</v>
      </c>
      <c r="C3560" s="150" t="s">
        <v>5512</v>
      </c>
      <c r="D3560" s="201" t="s">
        <v>1431</v>
      </c>
      <c r="E3560" s="144" t="s">
        <v>922</v>
      </c>
      <c r="F3560" s="139" t="s">
        <v>88</v>
      </c>
      <c r="G3560" s="144" t="s">
        <v>6148</v>
      </c>
      <c r="H3560" s="146" t="s">
        <v>26</v>
      </c>
      <c r="I3560" s="144" t="s">
        <v>4339</v>
      </c>
    </row>
    <row r="3561" spans="1:9" ht="25.5">
      <c r="A3561" s="193">
        <v>46202</v>
      </c>
      <c r="B3561" s="145" t="s">
        <v>828</v>
      </c>
      <c r="C3561" s="150" t="s">
        <v>5512</v>
      </c>
      <c r="D3561" s="201" t="s">
        <v>1431</v>
      </c>
      <c r="E3561" s="144" t="s">
        <v>1506</v>
      </c>
      <c r="F3561" s="139" t="s">
        <v>88</v>
      </c>
      <c r="G3561" s="144" t="s">
        <v>6149</v>
      </c>
      <c r="H3561" s="146" t="s">
        <v>26</v>
      </c>
      <c r="I3561" s="144" t="s">
        <v>208</v>
      </c>
    </row>
    <row r="3562" spans="1:9" ht="25.5">
      <c r="A3562" s="193">
        <v>46202</v>
      </c>
      <c r="B3562" s="145" t="s">
        <v>828</v>
      </c>
      <c r="C3562" s="150" t="s">
        <v>5512</v>
      </c>
      <c r="D3562" s="201" t="s">
        <v>1431</v>
      </c>
      <c r="E3562" s="144" t="s">
        <v>216</v>
      </c>
      <c r="F3562" s="141" t="s">
        <v>821</v>
      </c>
      <c r="G3562" s="144" t="s">
        <v>6150</v>
      </c>
      <c r="H3562" s="146" t="s">
        <v>26</v>
      </c>
      <c r="I3562" s="144" t="s">
        <v>492</v>
      </c>
    </row>
    <row r="3563" spans="1:9" ht="25.5">
      <c r="A3563" s="193">
        <v>46202</v>
      </c>
      <c r="B3563" s="145" t="s">
        <v>828</v>
      </c>
      <c r="C3563" s="150" t="s">
        <v>5512</v>
      </c>
      <c r="D3563" s="201" t="s">
        <v>1431</v>
      </c>
      <c r="E3563" s="144" t="s">
        <v>21</v>
      </c>
      <c r="F3563" s="141" t="s">
        <v>821</v>
      </c>
      <c r="G3563" s="144" t="s">
        <v>6151</v>
      </c>
      <c r="H3563" s="146" t="s">
        <v>26</v>
      </c>
      <c r="I3563" s="144" t="s">
        <v>468</v>
      </c>
    </row>
    <row r="3564" spans="1:9" ht="14.1">
      <c r="A3564" s="193">
        <v>46202</v>
      </c>
      <c r="B3564" s="145" t="s">
        <v>828</v>
      </c>
      <c r="C3564" s="150" t="s">
        <v>5512</v>
      </c>
      <c r="D3564" s="201" t="s">
        <v>1431</v>
      </c>
      <c r="E3564" s="144" t="s">
        <v>21</v>
      </c>
      <c r="F3564" s="141" t="s">
        <v>821</v>
      </c>
      <c r="G3564" s="144" t="s">
        <v>6152</v>
      </c>
      <c r="H3564" s="146" t="s">
        <v>26</v>
      </c>
      <c r="I3564" s="144" t="s">
        <v>468</v>
      </c>
    </row>
    <row r="3565" spans="1:9" ht="25.5">
      <c r="A3565" s="193">
        <v>46202</v>
      </c>
      <c r="B3565" s="145" t="s">
        <v>828</v>
      </c>
      <c r="C3565" s="150" t="s">
        <v>5512</v>
      </c>
      <c r="D3565" s="201" t="s">
        <v>1431</v>
      </c>
      <c r="E3565" s="144" t="s">
        <v>1449</v>
      </c>
      <c r="F3565" s="141" t="s">
        <v>821</v>
      </c>
      <c r="G3565" s="144" t="s">
        <v>6153</v>
      </c>
      <c r="H3565" s="146" t="s">
        <v>26</v>
      </c>
      <c r="I3565" s="144" t="s">
        <v>4762</v>
      </c>
    </row>
    <row r="3566" spans="1:9" ht="38.1">
      <c r="A3566" s="193">
        <v>46203</v>
      </c>
      <c r="B3566" s="145" t="s">
        <v>828</v>
      </c>
      <c r="C3566" s="150" t="s">
        <v>5512</v>
      </c>
      <c r="D3566" s="201" t="s">
        <v>1431</v>
      </c>
      <c r="E3566" s="144" t="s">
        <v>1449</v>
      </c>
      <c r="F3566" s="139" t="s">
        <v>88</v>
      </c>
      <c r="G3566" s="144" t="s">
        <v>6154</v>
      </c>
      <c r="H3566" s="146" t="s">
        <v>26</v>
      </c>
      <c r="I3566" s="144" t="s">
        <v>4762</v>
      </c>
    </row>
    <row r="3567" spans="1:9" ht="14.1">
      <c r="A3567" s="193">
        <v>46203</v>
      </c>
      <c r="B3567" s="145" t="s">
        <v>828</v>
      </c>
      <c r="C3567" s="150" t="s">
        <v>5512</v>
      </c>
      <c r="D3567" s="201" t="s">
        <v>1431</v>
      </c>
      <c r="E3567" s="144" t="s">
        <v>1449</v>
      </c>
      <c r="F3567" s="139" t="s">
        <v>88</v>
      </c>
      <c r="G3567" s="144" t="s">
        <v>6155</v>
      </c>
      <c r="H3567" s="146" t="s">
        <v>26</v>
      </c>
      <c r="I3567" s="144" t="s">
        <v>4762</v>
      </c>
    </row>
    <row r="3568" spans="1:9" ht="25.5">
      <c r="A3568" s="193">
        <v>46203</v>
      </c>
      <c r="B3568" s="145" t="s">
        <v>828</v>
      </c>
      <c r="C3568" s="150" t="s">
        <v>5512</v>
      </c>
      <c r="D3568" s="201" t="s">
        <v>2224</v>
      </c>
      <c r="E3568" s="144" t="s">
        <v>1449</v>
      </c>
      <c r="F3568" s="139" t="s">
        <v>88</v>
      </c>
      <c r="G3568" s="144" t="s">
        <v>6156</v>
      </c>
      <c r="H3568" s="146" t="s">
        <v>26</v>
      </c>
      <c r="I3568" s="144" t="s">
        <v>1436</v>
      </c>
    </row>
    <row r="3569" spans="1:9" ht="14.1">
      <c r="A3569" s="193">
        <v>46204</v>
      </c>
      <c r="B3569" s="145" t="s">
        <v>829</v>
      </c>
      <c r="C3569" s="150" t="s">
        <v>5512</v>
      </c>
      <c r="D3569" s="201" t="s">
        <v>1431</v>
      </c>
      <c r="E3569" s="144" t="s">
        <v>1511</v>
      </c>
      <c r="F3569" s="139" t="s">
        <v>88</v>
      </c>
      <c r="G3569" s="144" t="s">
        <v>6157</v>
      </c>
      <c r="H3569" s="146" t="s">
        <v>26</v>
      </c>
      <c r="I3569" s="144" t="s">
        <v>2700</v>
      </c>
    </row>
    <row r="3570" spans="1:9" ht="14.1">
      <c r="A3570" s="193">
        <v>46204</v>
      </c>
      <c r="B3570" s="145" t="s">
        <v>829</v>
      </c>
      <c r="C3570" s="150" t="s">
        <v>5512</v>
      </c>
      <c r="D3570" s="201" t="s">
        <v>1431</v>
      </c>
      <c r="E3570" s="144" t="s">
        <v>4023</v>
      </c>
      <c r="F3570" s="139" t="s">
        <v>88</v>
      </c>
      <c r="G3570" s="144" t="s">
        <v>6158</v>
      </c>
      <c r="H3570" s="146" t="s">
        <v>26</v>
      </c>
      <c r="I3570" s="144" t="s">
        <v>914</v>
      </c>
    </row>
    <row r="3571" spans="1:9" ht="25.5">
      <c r="A3571" s="193">
        <v>46204</v>
      </c>
      <c r="B3571" s="145" t="s">
        <v>829</v>
      </c>
      <c r="C3571" s="150" t="s">
        <v>5512</v>
      </c>
      <c r="D3571" s="201" t="s">
        <v>1431</v>
      </c>
      <c r="E3571" s="144" t="s">
        <v>1506</v>
      </c>
      <c r="F3571" s="139" t="s">
        <v>88</v>
      </c>
      <c r="G3571" s="144" t="s">
        <v>6159</v>
      </c>
      <c r="H3571" s="146" t="s">
        <v>26</v>
      </c>
      <c r="I3571" s="144" t="s">
        <v>4863</v>
      </c>
    </row>
    <row r="3572" spans="1:9" ht="50.45">
      <c r="A3572" s="193">
        <v>46204</v>
      </c>
      <c r="B3572" s="145" t="s">
        <v>829</v>
      </c>
      <c r="C3572" s="150" t="s">
        <v>5512</v>
      </c>
      <c r="D3572" s="201" t="s">
        <v>1431</v>
      </c>
      <c r="E3572" s="144" t="s">
        <v>216</v>
      </c>
      <c r="F3572" s="141" t="s">
        <v>821</v>
      </c>
      <c r="G3572" s="144" t="s">
        <v>4650</v>
      </c>
      <c r="H3572" s="146" t="s">
        <v>130</v>
      </c>
      <c r="I3572" s="144" t="s">
        <v>492</v>
      </c>
    </row>
    <row r="3573" spans="1:9" ht="25.5">
      <c r="A3573" s="193">
        <v>46204</v>
      </c>
      <c r="B3573" s="145" t="s">
        <v>829</v>
      </c>
      <c r="C3573" s="150" t="s">
        <v>5512</v>
      </c>
      <c r="D3573" s="201" t="s">
        <v>1431</v>
      </c>
      <c r="E3573" s="144" t="s">
        <v>1449</v>
      </c>
      <c r="F3573" s="139" t="s">
        <v>88</v>
      </c>
      <c r="G3573" s="144" t="s">
        <v>6160</v>
      </c>
      <c r="H3573" s="146" t="s">
        <v>26</v>
      </c>
      <c r="I3573" s="144" t="s">
        <v>4762</v>
      </c>
    </row>
    <row r="3574" spans="1:9" ht="25.5">
      <c r="A3574" s="193">
        <v>46204</v>
      </c>
      <c r="B3574" s="145" t="s">
        <v>829</v>
      </c>
      <c r="C3574" s="150" t="s">
        <v>5512</v>
      </c>
      <c r="D3574" s="201" t="s">
        <v>2224</v>
      </c>
      <c r="E3574" s="144" t="s">
        <v>1449</v>
      </c>
      <c r="F3574" s="139" t="s">
        <v>88</v>
      </c>
      <c r="G3574" s="144" t="s">
        <v>6161</v>
      </c>
      <c r="H3574" s="146" t="s">
        <v>26</v>
      </c>
      <c r="I3574" s="144" t="s">
        <v>4762</v>
      </c>
    </row>
    <row r="3575" spans="1:9" ht="14.1">
      <c r="A3575" s="193">
        <v>46205</v>
      </c>
      <c r="B3575" s="145" t="s">
        <v>829</v>
      </c>
      <c r="C3575" s="150" t="s">
        <v>5512</v>
      </c>
      <c r="D3575" s="201" t="s">
        <v>1431</v>
      </c>
      <c r="E3575" s="144" t="s">
        <v>1511</v>
      </c>
      <c r="F3575" s="139" t="s">
        <v>88</v>
      </c>
      <c r="G3575" s="144" t="s">
        <v>6162</v>
      </c>
      <c r="H3575" s="146" t="s">
        <v>26</v>
      </c>
      <c r="I3575" s="144" t="s">
        <v>2700</v>
      </c>
    </row>
    <row r="3576" spans="1:9" ht="25.5">
      <c r="A3576" s="193">
        <v>46205</v>
      </c>
      <c r="B3576" s="145" t="s">
        <v>829</v>
      </c>
      <c r="C3576" s="150" t="s">
        <v>5512</v>
      </c>
      <c r="D3576" s="201" t="s">
        <v>1431</v>
      </c>
      <c r="E3576" s="144" t="s">
        <v>21</v>
      </c>
      <c r="F3576" s="141" t="s">
        <v>821</v>
      </c>
      <c r="G3576" s="144" t="s">
        <v>4651</v>
      </c>
      <c r="H3576" s="146" t="s">
        <v>130</v>
      </c>
      <c r="I3576" s="144" t="s">
        <v>914</v>
      </c>
    </row>
    <row r="3577" spans="1:9" ht="38.1">
      <c r="A3577" s="193">
        <v>46205</v>
      </c>
      <c r="B3577" s="145" t="s">
        <v>829</v>
      </c>
      <c r="C3577" s="150" t="s">
        <v>5512</v>
      </c>
      <c r="D3577" s="201" t="s">
        <v>1431</v>
      </c>
      <c r="E3577" s="144" t="s">
        <v>216</v>
      </c>
      <c r="F3577" s="141" t="s">
        <v>821</v>
      </c>
      <c r="G3577" s="144" t="s">
        <v>6163</v>
      </c>
      <c r="H3577" s="146" t="s">
        <v>130</v>
      </c>
      <c r="I3577" s="144" t="s">
        <v>492</v>
      </c>
    </row>
    <row r="3578" spans="1:9" ht="25.5">
      <c r="A3578" s="193">
        <v>46205</v>
      </c>
      <c r="B3578" s="145" t="s">
        <v>829</v>
      </c>
      <c r="C3578" s="150" t="s">
        <v>5512</v>
      </c>
      <c r="D3578" s="201" t="s">
        <v>1431</v>
      </c>
      <c r="E3578" s="144" t="s">
        <v>216</v>
      </c>
      <c r="F3578" s="141" t="s">
        <v>821</v>
      </c>
      <c r="G3578" s="144" t="s">
        <v>4654</v>
      </c>
      <c r="H3578" s="146" t="s">
        <v>130</v>
      </c>
      <c r="I3578" s="144" t="s">
        <v>492</v>
      </c>
    </row>
    <row r="3579" spans="1:9" ht="25.5">
      <c r="A3579" s="193">
        <v>46205</v>
      </c>
      <c r="B3579" s="145" t="s">
        <v>829</v>
      </c>
      <c r="C3579" s="150" t="s">
        <v>5512</v>
      </c>
      <c r="D3579" s="201" t="s">
        <v>1431</v>
      </c>
      <c r="E3579" s="144" t="s">
        <v>21</v>
      </c>
      <c r="F3579" s="141" t="s">
        <v>821</v>
      </c>
      <c r="G3579" s="144" t="s">
        <v>4655</v>
      </c>
      <c r="H3579" s="146" t="s">
        <v>130</v>
      </c>
      <c r="I3579" s="144" t="s">
        <v>578</v>
      </c>
    </row>
    <row r="3580" spans="1:9" ht="25.5">
      <c r="A3580" s="193">
        <v>46205</v>
      </c>
      <c r="B3580" s="145" t="s">
        <v>829</v>
      </c>
      <c r="C3580" s="150" t="s">
        <v>5512</v>
      </c>
      <c r="D3580" s="201" t="s">
        <v>1431</v>
      </c>
      <c r="E3580" s="144" t="s">
        <v>1449</v>
      </c>
      <c r="F3580" s="139" t="s">
        <v>88</v>
      </c>
      <c r="G3580" s="144" t="s">
        <v>6164</v>
      </c>
      <c r="H3580" s="146" t="s">
        <v>26</v>
      </c>
      <c r="I3580" s="144" t="s">
        <v>4762</v>
      </c>
    </row>
    <row r="3581" spans="1:9" ht="25.5">
      <c r="A3581" s="193">
        <v>46206</v>
      </c>
      <c r="B3581" s="145" t="s">
        <v>829</v>
      </c>
      <c r="C3581" s="150" t="s">
        <v>5512</v>
      </c>
      <c r="D3581" s="201" t="s">
        <v>1431</v>
      </c>
      <c r="E3581" s="144" t="s">
        <v>1225</v>
      </c>
      <c r="F3581" s="140" t="s">
        <v>1439</v>
      </c>
      <c r="G3581" s="144" t="s">
        <v>6165</v>
      </c>
      <c r="H3581" s="146" t="s">
        <v>26</v>
      </c>
      <c r="I3581" s="144" t="s">
        <v>154</v>
      </c>
    </row>
    <row r="3582" spans="1:9" ht="38.1">
      <c r="A3582" s="193">
        <v>46206</v>
      </c>
      <c r="B3582" s="145" t="s">
        <v>829</v>
      </c>
      <c r="C3582" s="150" t="s">
        <v>5512</v>
      </c>
      <c r="D3582" s="201" t="s">
        <v>1431</v>
      </c>
      <c r="E3582" s="144" t="s">
        <v>216</v>
      </c>
      <c r="F3582" s="141" t="s">
        <v>821</v>
      </c>
      <c r="G3582" s="144" t="s">
        <v>6166</v>
      </c>
      <c r="H3582" s="146" t="s">
        <v>130</v>
      </c>
      <c r="I3582" s="144" t="s">
        <v>578</v>
      </c>
    </row>
    <row r="3583" spans="1:9" ht="38.1">
      <c r="A3583" s="193">
        <v>46206</v>
      </c>
      <c r="B3583" s="145" t="s">
        <v>829</v>
      </c>
      <c r="C3583" s="150" t="s">
        <v>5512</v>
      </c>
      <c r="D3583" s="201" t="s">
        <v>1431</v>
      </c>
      <c r="E3583" s="144" t="s">
        <v>21</v>
      </c>
      <c r="F3583" s="141" t="s">
        <v>821</v>
      </c>
      <c r="G3583" s="144" t="s">
        <v>6167</v>
      </c>
      <c r="H3583" s="146" t="s">
        <v>130</v>
      </c>
      <c r="I3583" s="144" t="s">
        <v>578</v>
      </c>
    </row>
    <row r="3584" spans="1:9" ht="38.1">
      <c r="A3584" s="193">
        <v>46206</v>
      </c>
      <c r="B3584" s="145" t="s">
        <v>829</v>
      </c>
      <c r="C3584" s="150" t="s">
        <v>5512</v>
      </c>
      <c r="D3584" s="201" t="s">
        <v>1431</v>
      </c>
      <c r="E3584" s="144" t="s">
        <v>21</v>
      </c>
      <c r="F3584" s="141" t="s">
        <v>821</v>
      </c>
      <c r="G3584" s="144" t="s">
        <v>4657</v>
      </c>
      <c r="H3584" s="146" t="s">
        <v>130</v>
      </c>
      <c r="I3584" s="144" t="s">
        <v>914</v>
      </c>
    </row>
    <row r="3585" spans="1:9" ht="38.1">
      <c r="A3585" s="193">
        <v>46206</v>
      </c>
      <c r="B3585" s="145" t="s">
        <v>829</v>
      </c>
      <c r="C3585" s="150" t="s">
        <v>5512</v>
      </c>
      <c r="D3585" s="201" t="s">
        <v>1431</v>
      </c>
      <c r="E3585" s="144" t="s">
        <v>1511</v>
      </c>
      <c r="F3585" s="139" t="s">
        <v>88</v>
      </c>
      <c r="G3585" s="144" t="s">
        <v>4658</v>
      </c>
      <c r="H3585" s="146" t="s">
        <v>26</v>
      </c>
      <c r="I3585" s="144" t="s">
        <v>2700</v>
      </c>
    </row>
    <row r="3586" spans="1:9" ht="25.5">
      <c r="A3586" s="193">
        <v>46206</v>
      </c>
      <c r="B3586" s="145" t="s">
        <v>829</v>
      </c>
      <c r="C3586" s="150" t="s">
        <v>5512</v>
      </c>
      <c r="D3586" s="201" t="s">
        <v>1431</v>
      </c>
      <c r="E3586" s="144" t="s">
        <v>216</v>
      </c>
      <c r="F3586" s="141" t="s">
        <v>821</v>
      </c>
      <c r="G3586" s="144" t="s">
        <v>6168</v>
      </c>
      <c r="H3586" s="146" t="s">
        <v>26</v>
      </c>
      <c r="I3586" s="144" t="s">
        <v>492</v>
      </c>
    </row>
    <row r="3587" spans="1:9" ht="25.5">
      <c r="A3587" s="193">
        <v>46206</v>
      </c>
      <c r="B3587" s="145" t="s">
        <v>829</v>
      </c>
      <c r="C3587" s="150" t="s">
        <v>5512</v>
      </c>
      <c r="D3587" s="201" t="s">
        <v>1431</v>
      </c>
      <c r="E3587" s="144" t="s">
        <v>216</v>
      </c>
      <c r="F3587" s="141" t="s">
        <v>821</v>
      </c>
      <c r="G3587" s="144" t="s">
        <v>6169</v>
      </c>
      <c r="H3587" s="146" t="s">
        <v>26</v>
      </c>
      <c r="I3587" s="144" t="s">
        <v>492</v>
      </c>
    </row>
    <row r="3588" spans="1:9" ht="25.5">
      <c r="A3588" s="193">
        <v>46206</v>
      </c>
      <c r="B3588" s="145" t="s">
        <v>829</v>
      </c>
      <c r="C3588" s="150" t="s">
        <v>5512</v>
      </c>
      <c r="D3588" s="201" t="s">
        <v>1431</v>
      </c>
      <c r="E3588" s="144" t="s">
        <v>21</v>
      </c>
      <c r="F3588" s="141" t="s">
        <v>821</v>
      </c>
      <c r="G3588" s="144" t="s">
        <v>6170</v>
      </c>
      <c r="H3588" s="146" t="s">
        <v>26</v>
      </c>
      <c r="I3588" s="144" t="s">
        <v>468</v>
      </c>
    </row>
    <row r="3589" spans="1:9" ht="14.1">
      <c r="A3589" s="193">
        <v>46206</v>
      </c>
      <c r="B3589" s="145" t="s">
        <v>829</v>
      </c>
      <c r="C3589" s="150" t="s">
        <v>5512</v>
      </c>
      <c r="D3589" s="201" t="s">
        <v>1431</v>
      </c>
      <c r="E3589" s="144" t="s">
        <v>216</v>
      </c>
      <c r="F3589" s="141" t="s">
        <v>821</v>
      </c>
      <c r="G3589" s="144" t="s">
        <v>4659</v>
      </c>
      <c r="H3589" s="146" t="s">
        <v>26</v>
      </c>
      <c r="I3589" s="144" t="s">
        <v>492</v>
      </c>
    </row>
    <row r="3590" spans="1:9" ht="14.1">
      <c r="A3590" s="193">
        <v>46206</v>
      </c>
      <c r="B3590" s="145" t="s">
        <v>829</v>
      </c>
      <c r="C3590" s="150" t="s">
        <v>5512</v>
      </c>
      <c r="D3590" s="201" t="s">
        <v>1431</v>
      </c>
      <c r="E3590" s="144" t="s">
        <v>1449</v>
      </c>
      <c r="F3590" s="139" t="s">
        <v>88</v>
      </c>
      <c r="G3590" s="144" t="s">
        <v>6171</v>
      </c>
      <c r="H3590" s="146" t="s">
        <v>26</v>
      </c>
      <c r="I3590" s="144" t="s">
        <v>916</v>
      </c>
    </row>
    <row r="3591" spans="1:9" ht="25.5">
      <c r="A3591" s="193">
        <v>46206</v>
      </c>
      <c r="B3591" s="145" t="s">
        <v>829</v>
      </c>
      <c r="C3591" s="150" t="s">
        <v>5512</v>
      </c>
      <c r="D3591" s="201" t="s">
        <v>2224</v>
      </c>
      <c r="E3591" s="144" t="s">
        <v>1432</v>
      </c>
      <c r="F3591" s="141" t="s">
        <v>821</v>
      </c>
      <c r="G3591" s="144" t="s">
        <v>6172</v>
      </c>
      <c r="H3591" s="146" t="s">
        <v>26</v>
      </c>
      <c r="I3591" s="144" t="s">
        <v>2568</v>
      </c>
    </row>
    <row r="3592" spans="1:9" ht="25.5">
      <c r="A3592" s="193">
        <v>46209</v>
      </c>
      <c r="B3592" s="145" t="s">
        <v>829</v>
      </c>
      <c r="C3592" s="150" t="s">
        <v>5512</v>
      </c>
      <c r="D3592" s="201" t="s">
        <v>1431</v>
      </c>
      <c r="E3592" s="144" t="s">
        <v>988</v>
      </c>
      <c r="F3592" s="139" t="s">
        <v>88</v>
      </c>
      <c r="G3592" s="144" t="s">
        <v>6173</v>
      </c>
      <c r="H3592" s="146" t="s">
        <v>26</v>
      </c>
      <c r="I3592" s="144" t="s">
        <v>3626</v>
      </c>
    </row>
    <row r="3593" spans="1:9" ht="38.1">
      <c r="A3593" s="193">
        <v>46209</v>
      </c>
      <c r="B3593" s="145" t="s">
        <v>829</v>
      </c>
      <c r="C3593" s="150" t="s">
        <v>5512</v>
      </c>
      <c r="D3593" s="201" t="s">
        <v>1431</v>
      </c>
      <c r="E3593" s="144" t="s">
        <v>216</v>
      </c>
      <c r="F3593" s="141" t="s">
        <v>821</v>
      </c>
      <c r="G3593" s="144" t="s">
        <v>6174</v>
      </c>
      <c r="H3593" s="146" t="s">
        <v>26</v>
      </c>
      <c r="I3593" s="144" t="s">
        <v>578</v>
      </c>
    </row>
    <row r="3594" spans="1:9" ht="14.1">
      <c r="A3594" s="193">
        <v>46209</v>
      </c>
      <c r="B3594" s="145" t="s">
        <v>829</v>
      </c>
      <c r="C3594" s="150" t="s">
        <v>5512</v>
      </c>
      <c r="D3594" s="201" t="s">
        <v>1431</v>
      </c>
      <c r="E3594" s="144" t="s">
        <v>988</v>
      </c>
      <c r="F3594" s="139" t="s">
        <v>88</v>
      </c>
      <c r="G3594" s="144" t="s">
        <v>6175</v>
      </c>
      <c r="H3594" s="146" t="s">
        <v>26</v>
      </c>
      <c r="I3594" s="144" t="s">
        <v>578</v>
      </c>
    </row>
    <row r="3595" spans="1:9" ht="25.5">
      <c r="A3595" s="193">
        <v>46209</v>
      </c>
      <c r="B3595" s="145" t="s">
        <v>829</v>
      </c>
      <c r="C3595" s="150" t="s">
        <v>5512</v>
      </c>
      <c r="D3595" s="201" t="s">
        <v>1431</v>
      </c>
      <c r="E3595" s="144" t="s">
        <v>216</v>
      </c>
      <c r="F3595" s="141" t="s">
        <v>821</v>
      </c>
      <c r="G3595" s="144" t="s">
        <v>6176</v>
      </c>
      <c r="H3595" s="146" t="s">
        <v>26</v>
      </c>
      <c r="I3595" s="144" t="s">
        <v>578</v>
      </c>
    </row>
    <row r="3596" spans="1:9" ht="38.1">
      <c r="A3596" s="193">
        <v>46209</v>
      </c>
      <c r="B3596" s="145" t="s">
        <v>829</v>
      </c>
      <c r="C3596" s="150" t="s">
        <v>5512</v>
      </c>
      <c r="D3596" s="201" t="s">
        <v>1431</v>
      </c>
      <c r="E3596" s="144" t="s">
        <v>1449</v>
      </c>
      <c r="F3596" s="139" t="s">
        <v>88</v>
      </c>
      <c r="G3596" s="144" t="s">
        <v>6177</v>
      </c>
      <c r="H3596" s="146" t="s">
        <v>26</v>
      </c>
      <c r="I3596" s="144" t="s">
        <v>2739</v>
      </c>
    </row>
    <row r="3597" spans="1:9" ht="25.5">
      <c r="A3597" s="193">
        <v>46209</v>
      </c>
      <c r="B3597" s="145" t="s">
        <v>829</v>
      </c>
      <c r="C3597" s="150" t="s">
        <v>5512</v>
      </c>
      <c r="D3597" s="201" t="s">
        <v>1431</v>
      </c>
      <c r="E3597" s="144" t="s">
        <v>1449</v>
      </c>
      <c r="F3597" s="139" t="s">
        <v>88</v>
      </c>
      <c r="G3597" s="144" t="s">
        <v>6178</v>
      </c>
      <c r="H3597" s="146" t="s">
        <v>26</v>
      </c>
      <c r="I3597" s="144" t="s">
        <v>2739</v>
      </c>
    </row>
    <row r="3598" spans="1:9" ht="25.5">
      <c r="A3598" s="193">
        <v>46209</v>
      </c>
      <c r="B3598" s="145" t="s">
        <v>829</v>
      </c>
      <c r="C3598" s="150" t="s">
        <v>5512</v>
      </c>
      <c r="D3598" s="201" t="s">
        <v>2224</v>
      </c>
      <c r="E3598" s="144" t="s">
        <v>1580</v>
      </c>
      <c r="F3598" s="140" t="s">
        <v>1439</v>
      </c>
      <c r="G3598" s="144" t="s">
        <v>6179</v>
      </c>
      <c r="H3598" s="146" t="s">
        <v>130</v>
      </c>
      <c r="I3598" s="144" t="s">
        <v>2568</v>
      </c>
    </row>
    <row r="3599" spans="1:9" ht="50.45">
      <c r="A3599" s="193">
        <v>46210</v>
      </c>
      <c r="B3599" s="145" t="s">
        <v>829</v>
      </c>
      <c r="C3599" s="150" t="s">
        <v>5512</v>
      </c>
      <c r="D3599" s="201" t="s">
        <v>1431</v>
      </c>
      <c r="E3599" s="144" t="s">
        <v>21</v>
      </c>
      <c r="F3599" s="141" t="s">
        <v>821</v>
      </c>
      <c r="G3599" s="144" t="s">
        <v>6180</v>
      </c>
      <c r="H3599" s="146" t="s">
        <v>26</v>
      </c>
      <c r="I3599" s="144" t="s">
        <v>468</v>
      </c>
    </row>
    <row r="3600" spans="1:9" ht="100.5">
      <c r="A3600" s="193">
        <v>46210</v>
      </c>
      <c r="B3600" s="145" t="s">
        <v>829</v>
      </c>
      <c r="C3600" s="150" t="s">
        <v>5512</v>
      </c>
      <c r="D3600" s="201" t="s">
        <v>1431</v>
      </c>
      <c r="E3600" s="144" t="s">
        <v>88</v>
      </c>
      <c r="F3600" s="139" t="s">
        <v>88</v>
      </c>
      <c r="G3600" s="144" t="s">
        <v>6181</v>
      </c>
      <c r="H3600" s="146" t="s">
        <v>130</v>
      </c>
      <c r="I3600" s="144" t="s">
        <v>1259</v>
      </c>
    </row>
    <row r="3601" spans="1:9" ht="38.1">
      <c r="A3601" s="193">
        <v>46210</v>
      </c>
      <c r="B3601" s="145" t="s">
        <v>829</v>
      </c>
      <c r="C3601" s="150" t="s">
        <v>5512</v>
      </c>
      <c r="D3601" s="201" t="s">
        <v>1431</v>
      </c>
      <c r="E3601" s="144" t="s">
        <v>88</v>
      </c>
      <c r="F3601" s="142" t="s">
        <v>872</v>
      </c>
      <c r="G3601" s="144" t="s">
        <v>6182</v>
      </c>
      <c r="H3601" s="146" t="s">
        <v>130</v>
      </c>
      <c r="I3601" s="144" t="s">
        <v>3164</v>
      </c>
    </row>
    <row r="3602" spans="1:9" ht="14.1">
      <c r="A3602" s="193">
        <v>46210</v>
      </c>
      <c r="B3602" s="145" t="s">
        <v>829</v>
      </c>
      <c r="C3602" s="150" t="s">
        <v>5512</v>
      </c>
      <c r="D3602" s="201" t="s">
        <v>1431</v>
      </c>
      <c r="E3602" s="144" t="s">
        <v>21</v>
      </c>
      <c r="F3602" s="139" t="s">
        <v>88</v>
      </c>
      <c r="G3602" s="144" t="s">
        <v>6183</v>
      </c>
      <c r="H3602" s="146" t="s">
        <v>130</v>
      </c>
      <c r="I3602" s="144" t="s">
        <v>921</v>
      </c>
    </row>
    <row r="3603" spans="1:9" ht="14.1">
      <c r="A3603" s="193">
        <v>46210</v>
      </c>
      <c r="B3603" s="145" t="s">
        <v>829</v>
      </c>
      <c r="C3603" s="150" t="s">
        <v>5512</v>
      </c>
      <c r="D3603" s="201" t="s">
        <v>1431</v>
      </c>
      <c r="E3603" s="144" t="s">
        <v>97</v>
      </c>
      <c r="F3603" s="141" t="s">
        <v>821</v>
      </c>
      <c r="G3603" s="144" t="s">
        <v>6184</v>
      </c>
      <c r="H3603" s="146" t="s">
        <v>130</v>
      </c>
      <c r="I3603" s="144" t="s">
        <v>158</v>
      </c>
    </row>
    <row r="3604" spans="1:9" ht="14.1">
      <c r="A3604" s="193">
        <v>46211</v>
      </c>
      <c r="B3604" s="145" t="s">
        <v>829</v>
      </c>
      <c r="C3604" s="150" t="s">
        <v>5512</v>
      </c>
      <c r="D3604" s="201" t="s">
        <v>1431</v>
      </c>
      <c r="E3604" s="144" t="s">
        <v>1511</v>
      </c>
      <c r="F3604" s="139" t="s">
        <v>88</v>
      </c>
      <c r="G3604" s="144" t="s">
        <v>6185</v>
      </c>
      <c r="H3604" s="146" t="s">
        <v>26</v>
      </c>
      <c r="I3604" s="144" t="s">
        <v>3626</v>
      </c>
    </row>
    <row r="3605" spans="1:9" ht="14.1">
      <c r="A3605" s="193">
        <v>46211</v>
      </c>
      <c r="B3605" s="145" t="s">
        <v>829</v>
      </c>
      <c r="C3605" s="150" t="s">
        <v>5512</v>
      </c>
      <c r="D3605" s="201" t="s">
        <v>1431</v>
      </c>
      <c r="E3605" s="144" t="s">
        <v>988</v>
      </c>
      <c r="F3605" s="139" t="s">
        <v>88</v>
      </c>
      <c r="G3605" s="144" t="s">
        <v>6186</v>
      </c>
      <c r="H3605" s="146" t="s">
        <v>26</v>
      </c>
      <c r="I3605" s="144" t="s">
        <v>914</v>
      </c>
    </row>
    <row r="3606" spans="1:9" ht="38.1">
      <c r="A3606" s="193">
        <v>46211</v>
      </c>
      <c r="B3606" s="145" t="s">
        <v>829</v>
      </c>
      <c r="C3606" s="150" t="s">
        <v>5512</v>
      </c>
      <c r="D3606" s="201" t="s">
        <v>1431</v>
      </c>
      <c r="E3606" s="144" t="s">
        <v>21</v>
      </c>
      <c r="F3606" s="141" t="s">
        <v>821</v>
      </c>
      <c r="G3606" s="144" t="s">
        <v>6187</v>
      </c>
      <c r="H3606" s="146" t="s">
        <v>26</v>
      </c>
      <c r="I3606" s="144" t="s">
        <v>914</v>
      </c>
    </row>
    <row r="3607" spans="1:9" ht="38.1">
      <c r="A3607" s="193">
        <v>46211</v>
      </c>
      <c r="B3607" s="145" t="s">
        <v>829</v>
      </c>
      <c r="C3607" s="150" t="s">
        <v>5512</v>
      </c>
      <c r="D3607" s="201" t="s">
        <v>1431</v>
      </c>
      <c r="E3607" s="144" t="s">
        <v>216</v>
      </c>
      <c r="F3607" s="141" t="s">
        <v>821</v>
      </c>
      <c r="G3607" s="144" t="s">
        <v>6188</v>
      </c>
      <c r="H3607" s="146" t="s">
        <v>26</v>
      </c>
      <c r="I3607" s="144" t="s">
        <v>492</v>
      </c>
    </row>
    <row r="3608" spans="1:9" ht="38.1">
      <c r="A3608" s="193">
        <v>46211</v>
      </c>
      <c r="B3608" s="145" t="s">
        <v>829</v>
      </c>
      <c r="C3608" s="150" t="s">
        <v>5512</v>
      </c>
      <c r="D3608" s="201" t="s">
        <v>1431</v>
      </c>
      <c r="E3608" s="144" t="s">
        <v>21</v>
      </c>
      <c r="F3608" s="141" t="s">
        <v>821</v>
      </c>
      <c r="G3608" s="144" t="s">
        <v>6189</v>
      </c>
      <c r="H3608" s="146" t="s">
        <v>130</v>
      </c>
      <c r="I3608" s="144" t="s">
        <v>468</v>
      </c>
    </row>
    <row r="3609" spans="1:9" ht="38.1">
      <c r="A3609" s="193">
        <v>46211</v>
      </c>
      <c r="B3609" s="145" t="s">
        <v>829</v>
      </c>
      <c r="C3609" s="150" t="s">
        <v>5512</v>
      </c>
      <c r="D3609" s="201" t="s">
        <v>2224</v>
      </c>
      <c r="E3609" s="144" t="s">
        <v>1580</v>
      </c>
      <c r="F3609" s="140" t="s">
        <v>1439</v>
      </c>
      <c r="G3609" s="144" t="s">
        <v>6190</v>
      </c>
      <c r="H3609" s="146" t="s">
        <v>26</v>
      </c>
      <c r="I3609" s="144" t="s">
        <v>2568</v>
      </c>
    </row>
    <row r="3610" spans="1:9" ht="25.5">
      <c r="A3610" s="193">
        <v>46213</v>
      </c>
      <c r="B3610" s="145" t="s">
        <v>829</v>
      </c>
      <c r="C3610" s="150" t="s">
        <v>5512</v>
      </c>
      <c r="D3610" s="201" t="s">
        <v>1431</v>
      </c>
      <c r="E3610" s="144" t="s">
        <v>922</v>
      </c>
      <c r="F3610" s="140" t="s">
        <v>1439</v>
      </c>
      <c r="G3610" s="144" t="s">
        <v>4665</v>
      </c>
      <c r="H3610" s="146" t="s">
        <v>26</v>
      </c>
      <c r="I3610" s="144" t="s">
        <v>914</v>
      </c>
    </row>
    <row r="3611" spans="1:9" ht="25.5">
      <c r="A3611" s="193">
        <v>46213</v>
      </c>
      <c r="B3611" s="145" t="s">
        <v>829</v>
      </c>
      <c r="C3611" s="150" t="s">
        <v>5512</v>
      </c>
      <c r="D3611" s="201" t="s">
        <v>1431</v>
      </c>
      <c r="E3611" s="144" t="s">
        <v>922</v>
      </c>
      <c r="F3611" s="141" t="s">
        <v>821</v>
      </c>
      <c r="G3611" s="144" t="s">
        <v>4663</v>
      </c>
      <c r="H3611" s="146" t="s">
        <v>26</v>
      </c>
      <c r="I3611" s="144" t="s">
        <v>914</v>
      </c>
    </row>
    <row r="3612" spans="1:9" ht="25.5">
      <c r="A3612" s="193">
        <v>46213</v>
      </c>
      <c r="B3612" s="145" t="s">
        <v>829</v>
      </c>
      <c r="C3612" s="150" t="s">
        <v>5512</v>
      </c>
      <c r="D3612" s="201" t="s">
        <v>1431</v>
      </c>
      <c r="E3612" s="144" t="s">
        <v>216</v>
      </c>
      <c r="F3612" s="141" t="s">
        <v>821</v>
      </c>
      <c r="G3612" s="144" t="s">
        <v>6191</v>
      </c>
      <c r="H3612" s="146" t="s">
        <v>26</v>
      </c>
      <c r="I3612" s="144" t="s">
        <v>492</v>
      </c>
    </row>
    <row r="3613" spans="1:9" ht="25.5">
      <c r="A3613" s="193">
        <v>46213</v>
      </c>
      <c r="B3613" s="145" t="s">
        <v>829</v>
      </c>
      <c r="C3613" s="150" t="s">
        <v>5512</v>
      </c>
      <c r="D3613" s="201" t="s">
        <v>1431</v>
      </c>
      <c r="E3613" s="144" t="s">
        <v>21</v>
      </c>
      <c r="F3613" s="141" t="s">
        <v>821</v>
      </c>
      <c r="G3613" s="144" t="s">
        <v>4666</v>
      </c>
      <c r="H3613" s="146" t="s">
        <v>26</v>
      </c>
      <c r="I3613" s="144" t="s">
        <v>149</v>
      </c>
    </row>
    <row r="3614" spans="1:9" ht="38.1">
      <c r="A3614" s="193">
        <v>46213</v>
      </c>
      <c r="B3614" s="145" t="s">
        <v>829</v>
      </c>
      <c r="C3614" s="150" t="s">
        <v>5512</v>
      </c>
      <c r="D3614" s="201" t="s">
        <v>1431</v>
      </c>
      <c r="E3614" s="144" t="s">
        <v>21</v>
      </c>
      <c r="F3614" s="141" t="s">
        <v>821</v>
      </c>
      <c r="G3614" s="144" t="s">
        <v>4667</v>
      </c>
      <c r="H3614" s="146" t="s">
        <v>26</v>
      </c>
      <c r="I3614" s="144" t="s">
        <v>149</v>
      </c>
    </row>
    <row r="3615" spans="1:9" ht="25.5">
      <c r="A3615" s="193">
        <v>46213</v>
      </c>
      <c r="B3615" s="145" t="s">
        <v>829</v>
      </c>
      <c r="C3615" s="150" t="s">
        <v>5512</v>
      </c>
      <c r="D3615" s="201" t="s">
        <v>1431</v>
      </c>
      <c r="E3615" s="144" t="s">
        <v>1449</v>
      </c>
      <c r="F3615" s="139" t="s">
        <v>88</v>
      </c>
      <c r="G3615" s="144" t="s">
        <v>6192</v>
      </c>
      <c r="H3615" s="146" t="s">
        <v>26</v>
      </c>
      <c r="I3615" s="144" t="s">
        <v>2739</v>
      </c>
    </row>
    <row r="3616" spans="1:9" ht="38.1">
      <c r="A3616" s="193">
        <v>46213</v>
      </c>
      <c r="B3616" s="145" t="s">
        <v>829</v>
      </c>
      <c r="C3616" s="150" t="s">
        <v>5512</v>
      </c>
      <c r="D3616" s="201" t="s">
        <v>1431</v>
      </c>
      <c r="E3616" s="144" t="s">
        <v>1566</v>
      </c>
      <c r="F3616" s="139" t="s">
        <v>88</v>
      </c>
      <c r="G3616" s="144" t="s">
        <v>6193</v>
      </c>
      <c r="H3616" s="146" t="s">
        <v>26</v>
      </c>
      <c r="I3616" s="144" t="s">
        <v>1453</v>
      </c>
    </row>
    <row r="3617" spans="1:9" ht="50.45">
      <c r="A3617" s="193">
        <v>46213</v>
      </c>
      <c r="B3617" s="145" t="s">
        <v>829</v>
      </c>
      <c r="C3617" s="150" t="s">
        <v>5512</v>
      </c>
      <c r="D3617" s="201" t="s">
        <v>1431</v>
      </c>
      <c r="E3617" s="144" t="s">
        <v>216</v>
      </c>
      <c r="F3617" s="141" t="s">
        <v>821</v>
      </c>
      <c r="G3617" s="144" t="s">
        <v>6194</v>
      </c>
      <c r="H3617" s="146" t="s">
        <v>130</v>
      </c>
      <c r="I3617" s="144" t="s">
        <v>492</v>
      </c>
    </row>
    <row r="3618" spans="1:9" ht="14.1">
      <c r="A3618" s="193">
        <v>46213</v>
      </c>
      <c r="B3618" s="145" t="s">
        <v>829</v>
      </c>
      <c r="C3618" s="150" t="s">
        <v>5512</v>
      </c>
      <c r="D3618" s="201" t="s">
        <v>1431</v>
      </c>
      <c r="E3618" s="144" t="s">
        <v>1580</v>
      </c>
      <c r="F3618" s="140" t="s">
        <v>1439</v>
      </c>
      <c r="G3618" s="144" t="s">
        <v>6195</v>
      </c>
      <c r="H3618" s="146" t="s">
        <v>130</v>
      </c>
      <c r="I3618" s="144" t="s">
        <v>1436</v>
      </c>
    </row>
    <row r="3619" spans="1:9" ht="14.1">
      <c r="A3619" s="193">
        <v>46216</v>
      </c>
      <c r="B3619" s="145" t="s">
        <v>829</v>
      </c>
      <c r="C3619" s="150" t="s">
        <v>5512</v>
      </c>
      <c r="D3619" s="201" t="s">
        <v>1431</v>
      </c>
      <c r="E3619" s="144" t="s">
        <v>1158</v>
      </c>
      <c r="F3619" s="139" t="s">
        <v>88</v>
      </c>
      <c r="G3619" s="144" t="s">
        <v>6196</v>
      </c>
      <c r="H3619" s="146" t="s">
        <v>26</v>
      </c>
      <c r="I3619" s="144" t="s">
        <v>6197</v>
      </c>
    </row>
    <row r="3620" spans="1:9" ht="50.45">
      <c r="A3620" s="193">
        <v>46216</v>
      </c>
      <c r="B3620" s="145" t="s">
        <v>829</v>
      </c>
      <c r="C3620" s="150" t="s">
        <v>5512</v>
      </c>
      <c r="D3620" s="201" t="s">
        <v>1431</v>
      </c>
      <c r="E3620" s="144" t="s">
        <v>21</v>
      </c>
      <c r="F3620" s="141" t="s">
        <v>821</v>
      </c>
      <c r="G3620" s="144" t="s">
        <v>4669</v>
      </c>
      <c r="H3620" s="146" t="s">
        <v>26</v>
      </c>
      <c r="I3620" s="144" t="s">
        <v>914</v>
      </c>
    </row>
    <row r="3621" spans="1:9" ht="25.5">
      <c r="A3621" s="193">
        <v>46216</v>
      </c>
      <c r="B3621" s="145" t="s">
        <v>829</v>
      </c>
      <c r="C3621" s="150" t="s">
        <v>5512</v>
      </c>
      <c r="D3621" s="201" t="s">
        <v>1431</v>
      </c>
      <c r="E3621" s="144" t="s">
        <v>21</v>
      </c>
      <c r="F3621" s="141" t="s">
        <v>821</v>
      </c>
      <c r="G3621" s="144" t="s">
        <v>4671</v>
      </c>
      <c r="H3621" s="146" t="s">
        <v>130</v>
      </c>
      <c r="I3621" s="144" t="s">
        <v>914</v>
      </c>
    </row>
    <row r="3622" spans="1:9" ht="14.1">
      <c r="A3622" s="193">
        <v>46216</v>
      </c>
      <c r="B3622" s="145" t="s">
        <v>829</v>
      </c>
      <c r="C3622" s="150" t="s">
        <v>5512</v>
      </c>
      <c r="D3622" s="201" t="s">
        <v>1431</v>
      </c>
      <c r="E3622" s="144" t="s">
        <v>216</v>
      </c>
      <c r="F3622" s="141" t="s">
        <v>821</v>
      </c>
      <c r="G3622" s="144" t="s">
        <v>6198</v>
      </c>
      <c r="H3622" s="146" t="s">
        <v>26</v>
      </c>
      <c r="I3622" s="144" t="s">
        <v>492</v>
      </c>
    </row>
    <row r="3623" spans="1:9" ht="25.5">
      <c r="A3623" s="193">
        <v>46216</v>
      </c>
      <c r="B3623" s="145" t="s">
        <v>829</v>
      </c>
      <c r="C3623" s="150" t="s">
        <v>5512</v>
      </c>
      <c r="D3623" s="201" t="s">
        <v>1431</v>
      </c>
      <c r="E3623" s="144" t="s">
        <v>216</v>
      </c>
      <c r="F3623" s="141" t="s">
        <v>821</v>
      </c>
      <c r="G3623" s="144" t="s">
        <v>4674</v>
      </c>
      <c r="H3623" s="146" t="s">
        <v>130</v>
      </c>
      <c r="I3623" s="144" t="s">
        <v>492</v>
      </c>
    </row>
    <row r="3624" spans="1:9" ht="25.5">
      <c r="A3624" s="193">
        <v>46216</v>
      </c>
      <c r="B3624" s="145" t="s">
        <v>829</v>
      </c>
      <c r="C3624" s="150" t="s">
        <v>5512</v>
      </c>
      <c r="D3624" s="201" t="s">
        <v>1431</v>
      </c>
      <c r="E3624" s="144" t="s">
        <v>21</v>
      </c>
      <c r="F3624" s="141" t="s">
        <v>821</v>
      </c>
      <c r="G3624" s="144" t="s">
        <v>4675</v>
      </c>
      <c r="H3624" s="146" t="s">
        <v>26</v>
      </c>
      <c r="I3624" s="144" t="s">
        <v>468</v>
      </c>
    </row>
    <row r="3625" spans="1:9" ht="38.1">
      <c r="A3625" s="193">
        <v>46216</v>
      </c>
      <c r="B3625" s="145" t="s">
        <v>829</v>
      </c>
      <c r="C3625" s="150" t="s">
        <v>5512</v>
      </c>
      <c r="D3625" s="201" t="s">
        <v>1431</v>
      </c>
      <c r="E3625" s="144" t="s">
        <v>21</v>
      </c>
      <c r="F3625" s="141" t="s">
        <v>821</v>
      </c>
      <c r="G3625" s="144" t="s">
        <v>4676</v>
      </c>
      <c r="H3625" s="146" t="s">
        <v>130</v>
      </c>
      <c r="I3625" s="144" t="s">
        <v>468</v>
      </c>
    </row>
    <row r="3626" spans="1:9" ht="38.1">
      <c r="A3626" s="193">
        <v>46216</v>
      </c>
      <c r="B3626" s="145" t="s">
        <v>829</v>
      </c>
      <c r="C3626" s="150" t="s">
        <v>5512</v>
      </c>
      <c r="D3626" s="201" t="s">
        <v>3881</v>
      </c>
      <c r="E3626" s="144" t="s">
        <v>1580</v>
      </c>
      <c r="F3626" s="140" t="s">
        <v>1439</v>
      </c>
      <c r="G3626" s="144" t="s">
        <v>6199</v>
      </c>
      <c r="H3626" s="146" t="s">
        <v>26</v>
      </c>
      <c r="I3626" s="144" t="s">
        <v>2813</v>
      </c>
    </row>
    <row r="3627" spans="1:9" ht="38.1">
      <c r="A3627" s="193">
        <v>46217</v>
      </c>
      <c r="B3627" s="145" t="s">
        <v>829</v>
      </c>
      <c r="C3627" s="150" t="s">
        <v>5512</v>
      </c>
      <c r="D3627" s="201" t="s">
        <v>1431</v>
      </c>
      <c r="E3627" s="144" t="s">
        <v>88</v>
      </c>
      <c r="F3627" s="139" t="s">
        <v>88</v>
      </c>
      <c r="G3627" s="144" t="s">
        <v>6200</v>
      </c>
      <c r="H3627" s="146" t="s">
        <v>130</v>
      </c>
      <c r="I3627" s="144" t="s">
        <v>6201</v>
      </c>
    </row>
    <row r="3628" spans="1:9" ht="14.1">
      <c r="A3628" s="193">
        <v>46217</v>
      </c>
      <c r="B3628" s="145" t="s">
        <v>829</v>
      </c>
      <c r="C3628" s="150" t="s">
        <v>5512</v>
      </c>
      <c r="D3628" s="201" t="s">
        <v>1431</v>
      </c>
      <c r="E3628" s="144" t="s">
        <v>21</v>
      </c>
      <c r="F3628" s="141" t="s">
        <v>821</v>
      </c>
      <c r="G3628" s="144" t="s">
        <v>4677</v>
      </c>
      <c r="H3628" s="146" t="s">
        <v>130</v>
      </c>
      <c r="I3628" s="144" t="s">
        <v>468</v>
      </c>
    </row>
    <row r="3629" spans="1:9" ht="50.45">
      <c r="A3629" s="193">
        <v>46217</v>
      </c>
      <c r="B3629" s="145" t="s">
        <v>829</v>
      </c>
      <c r="C3629" s="150" t="s">
        <v>5512</v>
      </c>
      <c r="D3629" s="201" t="s">
        <v>1431</v>
      </c>
      <c r="E3629" s="144" t="s">
        <v>88</v>
      </c>
      <c r="F3629" s="139" t="s">
        <v>88</v>
      </c>
      <c r="G3629" s="144" t="s">
        <v>6202</v>
      </c>
      <c r="H3629" s="146" t="s">
        <v>26</v>
      </c>
      <c r="I3629" s="144" t="s">
        <v>914</v>
      </c>
    </row>
    <row r="3630" spans="1:9" ht="14.1">
      <c r="A3630" s="193">
        <v>46217</v>
      </c>
      <c r="B3630" s="145" t="s">
        <v>829</v>
      </c>
      <c r="C3630" s="150" t="s">
        <v>5512</v>
      </c>
      <c r="D3630" s="201" t="s">
        <v>1431</v>
      </c>
      <c r="E3630" s="144" t="s">
        <v>88</v>
      </c>
      <c r="F3630" s="139" t="s">
        <v>88</v>
      </c>
      <c r="G3630" s="144" t="s">
        <v>6203</v>
      </c>
      <c r="H3630" s="146" t="s">
        <v>26</v>
      </c>
      <c r="I3630" s="144" t="s">
        <v>6066</v>
      </c>
    </row>
    <row r="3631" spans="1:9" ht="25.5">
      <c r="A3631" s="193">
        <v>46217</v>
      </c>
      <c r="B3631" s="145" t="s">
        <v>829</v>
      </c>
      <c r="C3631" s="150" t="s">
        <v>5512</v>
      </c>
      <c r="D3631" s="201" t="s">
        <v>1431</v>
      </c>
      <c r="E3631" s="144" t="s">
        <v>88</v>
      </c>
      <c r="F3631" s="139" t="s">
        <v>88</v>
      </c>
      <c r="G3631" s="144" t="s">
        <v>6204</v>
      </c>
      <c r="H3631" s="146" t="s">
        <v>26</v>
      </c>
      <c r="I3631" s="144" t="s">
        <v>6205</v>
      </c>
    </row>
    <row r="3632" spans="1:9" ht="25.5">
      <c r="A3632" s="193">
        <v>46217</v>
      </c>
      <c r="B3632" s="145" t="s">
        <v>829</v>
      </c>
      <c r="C3632" s="150" t="s">
        <v>5512</v>
      </c>
      <c r="D3632" s="201" t="s">
        <v>1431</v>
      </c>
      <c r="E3632" s="144" t="s">
        <v>21</v>
      </c>
      <c r="F3632" s="141" t="s">
        <v>821</v>
      </c>
      <c r="G3632" s="144" t="s">
        <v>6206</v>
      </c>
      <c r="H3632" s="146" t="s">
        <v>26</v>
      </c>
      <c r="I3632" s="144" t="s">
        <v>468</v>
      </c>
    </row>
    <row r="3633" spans="1:9" ht="50.45">
      <c r="A3633" s="193">
        <v>46217</v>
      </c>
      <c r="B3633" s="145" t="s">
        <v>829</v>
      </c>
      <c r="C3633" s="150" t="s">
        <v>5512</v>
      </c>
      <c r="D3633" s="201" t="s">
        <v>1431</v>
      </c>
      <c r="E3633" s="144" t="s">
        <v>1508</v>
      </c>
      <c r="F3633" s="139" t="s">
        <v>88</v>
      </c>
      <c r="G3633" s="144" t="s">
        <v>6207</v>
      </c>
      <c r="H3633" s="146" t="s">
        <v>130</v>
      </c>
      <c r="I3633" s="144" t="s">
        <v>3769</v>
      </c>
    </row>
    <row r="3634" spans="1:9" ht="87.95">
      <c r="A3634" s="193">
        <v>46217</v>
      </c>
      <c r="B3634" s="145" t="s">
        <v>829</v>
      </c>
      <c r="C3634" s="150" t="s">
        <v>5512</v>
      </c>
      <c r="D3634" s="201" t="s">
        <v>1431</v>
      </c>
      <c r="E3634" s="144" t="s">
        <v>216</v>
      </c>
      <c r="F3634" s="141" t="s">
        <v>821</v>
      </c>
      <c r="G3634" s="144" t="s">
        <v>4680</v>
      </c>
      <c r="H3634" s="146" t="s">
        <v>26</v>
      </c>
      <c r="I3634" s="144" t="s">
        <v>492</v>
      </c>
    </row>
    <row r="3635" spans="1:9" ht="100.5">
      <c r="A3635" s="193">
        <v>46217</v>
      </c>
      <c r="B3635" s="145" t="s">
        <v>829</v>
      </c>
      <c r="C3635" s="150" t="s">
        <v>5512</v>
      </c>
      <c r="D3635" s="201" t="s">
        <v>1431</v>
      </c>
      <c r="E3635" s="144" t="s">
        <v>216</v>
      </c>
      <c r="F3635" s="141" t="s">
        <v>821</v>
      </c>
      <c r="G3635" s="144" t="s">
        <v>6208</v>
      </c>
      <c r="H3635" s="146" t="s">
        <v>26</v>
      </c>
      <c r="I3635" s="144" t="s">
        <v>492</v>
      </c>
    </row>
    <row r="3636" spans="1:9" ht="25.5">
      <c r="A3636" s="193">
        <v>46217</v>
      </c>
      <c r="B3636" s="145" t="s">
        <v>829</v>
      </c>
      <c r="C3636" s="150" t="s">
        <v>5512</v>
      </c>
      <c r="D3636" s="201" t="s">
        <v>2224</v>
      </c>
      <c r="E3636" s="144" t="s">
        <v>1449</v>
      </c>
      <c r="F3636" s="139" t="s">
        <v>88</v>
      </c>
      <c r="G3636" s="144" t="s">
        <v>6209</v>
      </c>
      <c r="H3636" s="146" t="s">
        <v>26</v>
      </c>
      <c r="I3636" s="144" t="s">
        <v>6205</v>
      </c>
    </row>
    <row r="3637" spans="1:9" ht="25.5">
      <c r="A3637" s="193">
        <v>46218</v>
      </c>
      <c r="B3637" s="145" t="s">
        <v>829</v>
      </c>
      <c r="C3637" s="150" t="s">
        <v>5512</v>
      </c>
      <c r="D3637" s="201" t="s">
        <v>1431</v>
      </c>
      <c r="E3637" s="144" t="s">
        <v>988</v>
      </c>
      <c r="F3637" s="139" t="s">
        <v>88</v>
      </c>
      <c r="G3637" s="144" t="s">
        <v>6210</v>
      </c>
      <c r="H3637" s="146" t="s">
        <v>26</v>
      </c>
      <c r="I3637" s="144" t="s">
        <v>1493</v>
      </c>
    </row>
    <row r="3638" spans="1:9" ht="25.5">
      <c r="A3638" s="193">
        <v>46218</v>
      </c>
      <c r="B3638" s="145" t="s">
        <v>829</v>
      </c>
      <c r="C3638" s="150" t="s">
        <v>5512</v>
      </c>
      <c r="D3638" s="201" t="s">
        <v>1431</v>
      </c>
      <c r="E3638" s="144" t="s">
        <v>216</v>
      </c>
      <c r="F3638" s="141" t="s">
        <v>821</v>
      </c>
      <c r="G3638" s="144" t="s">
        <v>4682</v>
      </c>
      <c r="H3638" s="146" t="s">
        <v>130</v>
      </c>
      <c r="I3638" s="144" t="s">
        <v>6205</v>
      </c>
    </row>
    <row r="3639" spans="1:9" ht="38.1">
      <c r="A3639" s="193">
        <v>46218</v>
      </c>
      <c r="B3639" s="145" t="s">
        <v>829</v>
      </c>
      <c r="C3639" s="150" t="s">
        <v>5512</v>
      </c>
      <c r="D3639" s="201" t="s">
        <v>1431</v>
      </c>
      <c r="E3639" s="144" t="s">
        <v>1506</v>
      </c>
      <c r="F3639" s="141" t="s">
        <v>821</v>
      </c>
      <c r="G3639" s="144" t="s">
        <v>6211</v>
      </c>
      <c r="H3639" s="146" t="s">
        <v>26</v>
      </c>
      <c r="I3639" s="144" t="s">
        <v>208</v>
      </c>
    </row>
    <row r="3640" spans="1:9" ht="38.1">
      <c r="A3640" s="193">
        <v>46218</v>
      </c>
      <c r="B3640" s="145" t="s">
        <v>829</v>
      </c>
      <c r="C3640" s="150" t="s">
        <v>5512</v>
      </c>
      <c r="D3640" s="201" t="s">
        <v>1431</v>
      </c>
      <c r="E3640" s="144" t="s">
        <v>216</v>
      </c>
      <c r="F3640" s="141" t="s">
        <v>821</v>
      </c>
      <c r="G3640" s="144" t="s">
        <v>6212</v>
      </c>
      <c r="H3640" s="146" t="s">
        <v>26</v>
      </c>
      <c r="I3640" s="144" t="s">
        <v>492</v>
      </c>
    </row>
    <row r="3641" spans="1:9" ht="14.1">
      <c r="A3641" s="193">
        <v>46218</v>
      </c>
      <c r="B3641" s="145" t="s">
        <v>829</v>
      </c>
      <c r="C3641" s="150" t="s">
        <v>5512</v>
      </c>
      <c r="D3641" s="201" t="s">
        <v>1431</v>
      </c>
      <c r="E3641" s="144" t="s">
        <v>1449</v>
      </c>
      <c r="F3641" s="139" t="s">
        <v>88</v>
      </c>
      <c r="G3641" s="144" t="s">
        <v>6213</v>
      </c>
      <c r="H3641" s="146" t="s">
        <v>26</v>
      </c>
      <c r="I3641" s="144" t="s">
        <v>4762</v>
      </c>
    </row>
    <row r="3642" spans="1:9" ht="25.5">
      <c r="A3642" s="193">
        <v>46219</v>
      </c>
      <c r="B3642" s="145" t="s">
        <v>829</v>
      </c>
      <c r="C3642" s="150" t="s">
        <v>5512</v>
      </c>
      <c r="D3642" s="201" t="s">
        <v>1431</v>
      </c>
      <c r="E3642" s="144" t="s">
        <v>1508</v>
      </c>
      <c r="F3642" s="139" t="s">
        <v>88</v>
      </c>
      <c r="G3642" s="144" t="s">
        <v>6214</v>
      </c>
      <c r="H3642" s="146" t="s">
        <v>26</v>
      </c>
      <c r="I3642" s="144" t="s">
        <v>3769</v>
      </c>
    </row>
    <row r="3643" spans="1:9" ht="38.1">
      <c r="A3643" s="193">
        <v>46219</v>
      </c>
      <c r="B3643" s="145" t="s">
        <v>829</v>
      </c>
      <c r="C3643" s="150" t="s">
        <v>5512</v>
      </c>
      <c r="D3643" s="201" t="s">
        <v>2224</v>
      </c>
      <c r="E3643" s="144" t="s">
        <v>1158</v>
      </c>
      <c r="F3643" s="139" t="s">
        <v>88</v>
      </c>
      <c r="G3643" s="144" t="s">
        <v>6215</v>
      </c>
      <c r="H3643" s="146" t="s">
        <v>26</v>
      </c>
      <c r="I3643" s="144" t="s">
        <v>2568</v>
      </c>
    </row>
    <row r="3644" spans="1:9" ht="38.1">
      <c r="A3644" s="193">
        <v>46219</v>
      </c>
      <c r="B3644" s="145" t="s">
        <v>829</v>
      </c>
      <c r="C3644" s="150" t="s">
        <v>5512</v>
      </c>
      <c r="D3644" s="201" t="s">
        <v>2224</v>
      </c>
      <c r="E3644" s="144" t="s">
        <v>1347</v>
      </c>
      <c r="F3644" s="139" t="s">
        <v>88</v>
      </c>
      <c r="G3644" s="144" t="s">
        <v>6216</v>
      </c>
      <c r="H3644" s="146" t="s">
        <v>26</v>
      </c>
      <c r="I3644" s="144" t="s">
        <v>2568</v>
      </c>
    </row>
    <row r="3645" spans="1:9" ht="25.5">
      <c r="A3645" s="193">
        <v>46220</v>
      </c>
      <c r="B3645" s="145" t="s">
        <v>829</v>
      </c>
      <c r="C3645" s="150" t="s">
        <v>5512</v>
      </c>
      <c r="D3645" s="201" t="s">
        <v>1431</v>
      </c>
      <c r="E3645" s="144" t="s">
        <v>1449</v>
      </c>
      <c r="F3645" s="139" t="s">
        <v>88</v>
      </c>
      <c r="G3645" s="144" t="s">
        <v>6217</v>
      </c>
      <c r="H3645" s="146" t="s">
        <v>26</v>
      </c>
      <c r="I3645" s="144" t="s">
        <v>4762</v>
      </c>
    </row>
    <row r="3646" spans="1:9" ht="25.5">
      <c r="A3646" s="193">
        <v>46220</v>
      </c>
      <c r="B3646" s="145" t="s">
        <v>829</v>
      </c>
      <c r="C3646" s="150" t="s">
        <v>5512</v>
      </c>
      <c r="D3646" s="201" t="s">
        <v>1431</v>
      </c>
      <c r="E3646" s="144" t="s">
        <v>1449</v>
      </c>
      <c r="F3646" s="139" t="s">
        <v>88</v>
      </c>
      <c r="G3646" s="144" t="s">
        <v>6218</v>
      </c>
      <c r="H3646" s="146" t="s">
        <v>26</v>
      </c>
      <c r="I3646" s="144" t="s">
        <v>4762</v>
      </c>
    </row>
    <row r="3647" spans="1:9" ht="25.5">
      <c r="A3647" s="193">
        <v>46223</v>
      </c>
      <c r="B3647" s="145" t="s">
        <v>829</v>
      </c>
      <c r="C3647" s="150" t="s">
        <v>5512</v>
      </c>
      <c r="D3647" s="201" t="s">
        <v>1431</v>
      </c>
      <c r="E3647" s="144" t="s">
        <v>1158</v>
      </c>
      <c r="F3647" s="139" t="s">
        <v>88</v>
      </c>
      <c r="G3647" s="144" t="s">
        <v>6219</v>
      </c>
      <c r="H3647" s="146" t="s">
        <v>26</v>
      </c>
      <c r="I3647" s="144" t="s">
        <v>3626</v>
      </c>
    </row>
    <row r="3648" spans="1:9" ht="25.5">
      <c r="A3648" s="193">
        <v>46223</v>
      </c>
      <c r="B3648" s="145" t="s">
        <v>829</v>
      </c>
      <c r="C3648" s="150" t="s">
        <v>5512</v>
      </c>
      <c r="D3648" s="201" t="s">
        <v>1431</v>
      </c>
      <c r="E3648" s="144" t="s">
        <v>1225</v>
      </c>
      <c r="F3648" s="140" t="s">
        <v>1439</v>
      </c>
      <c r="G3648" s="144" t="s">
        <v>6220</v>
      </c>
      <c r="H3648" s="146" t="s">
        <v>26</v>
      </c>
      <c r="I3648" s="144" t="s">
        <v>154</v>
      </c>
    </row>
    <row r="3649" spans="1:9" ht="25.5">
      <c r="A3649" s="193">
        <v>46223</v>
      </c>
      <c r="B3649" s="145" t="s">
        <v>829</v>
      </c>
      <c r="C3649" s="150" t="s">
        <v>5512</v>
      </c>
      <c r="D3649" s="201" t="s">
        <v>1431</v>
      </c>
      <c r="E3649" s="144" t="s">
        <v>216</v>
      </c>
      <c r="F3649" s="141" t="s">
        <v>821</v>
      </c>
      <c r="G3649" s="144" t="s">
        <v>6221</v>
      </c>
      <c r="H3649" s="146" t="s">
        <v>130</v>
      </c>
      <c r="I3649" s="144" t="s">
        <v>578</v>
      </c>
    </row>
    <row r="3650" spans="1:9" ht="38.1">
      <c r="A3650" s="193">
        <v>46223</v>
      </c>
      <c r="B3650" s="145" t="s">
        <v>829</v>
      </c>
      <c r="C3650" s="150" t="s">
        <v>5512</v>
      </c>
      <c r="D3650" s="201" t="s">
        <v>1431</v>
      </c>
      <c r="E3650" s="144" t="s">
        <v>21</v>
      </c>
      <c r="F3650" s="141" t="s">
        <v>821</v>
      </c>
      <c r="G3650" s="144" t="s">
        <v>6222</v>
      </c>
      <c r="H3650" s="146" t="s">
        <v>26</v>
      </c>
      <c r="I3650" s="144" t="s">
        <v>914</v>
      </c>
    </row>
    <row r="3651" spans="1:9" ht="25.5">
      <c r="A3651" s="193">
        <v>46223</v>
      </c>
      <c r="B3651" s="145" t="s">
        <v>829</v>
      </c>
      <c r="C3651" s="150" t="s">
        <v>5512</v>
      </c>
      <c r="D3651" s="201" t="s">
        <v>1431</v>
      </c>
      <c r="E3651" s="144" t="s">
        <v>21</v>
      </c>
      <c r="F3651" s="141" t="s">
        <v>821</v>
      </c>
      <c r="G3651" s="144" t="s">
        <v>6223</v>
      </c>
      <c r="H3651" s="146" t="s">
        <v>130</v>
      </c>
      <c r="I3651" s="144" t="s">
        <v>914</v>
      </c>
    </row>
    <row r="3652" spans="1:9" ht="38.1">
      <c r="A3652" s="193">
        <v>46223</v>
      </c>
      <c r="B3652" s="145" t="s">
        <v>829</v>
      </c>
      <c r="C3652" s="150" t="s">
        <v>5512</v>
      </c>
      <c r="D3652" s="201" t="s">
        <v>1431</v>
      </c>
      <c r="E3652" s="144" t="s">
        <v>216</v>
      </c>
      <c r="F3652" s="141" t="s">
        <v>821</v>
      </c>
      <c r="G3652" s="144" t="s">
        <v>4684</v>
      </c>
      <c r="H3652" s="146" t="s">
        <v>26</v>
      </c>
      <c r="I3652" s="144" t="s">
        <v>492</v>
      </c>
    </row>
    <row r="3653" spans="1:9" ht="25.5">
      <c r="A3653" s="193">
        <v>46223</v>
      </c>
      <c r="B3653" s="145" t="s">
        <v>829</v>
      </c>
      <c r="C3653" s="150" t="s">
        <v>5512</v>
      </c>
      <c r="D3653" s="201" t="s">
        <v>1431</v>
      </c>
      <c r="E3653" s="144" t="s">
        <v>216</v>
      </c>
      <c r="F3653" s="141" t="s">
        <v>821</v>
      </c>
      <c r="G3653" s="144" t="s">
        <v>6224</v>
      </c>
      <c r="H3653" s="146" t="s">
        <v>130</v>
      </c>
      <c r="I3653" s="144" t="s">
        <v>492</v>
      </c>
    </row>
    <row r="3654" spans="1:9" ht="50.45">
      <c r="A3654" s="193">
        <v>46223</v>
      </c>
      <c r="B3654" s="145" t="s">
        <v>829</v>
      </c>
      <c r="C3654" s="150" t="s">
        <v>5512</v>
      </c>
      <c r="D3654" s="201" t="s">
        <v>1431</v>
      </c>
      <c r="E3654" s="144" t="s">
        <v>2192</v>
      </c>
      <c r="F3654" s="140" t="s">
        <v>1439</v>
      </c>
      <c r="G3654" s="144" t="s">
        <v>6225</v>
      </c>
      <c r="H3654" s="146" t="s">
        <v>130</v>
      </c>
      <c r="I3654" s="144" t="s">
        <v>492</v>
      </c>
    </row>
    <row r="3655" spans="1:9" ht="14.1">
      <c r="A3655" s="193">
        <v>46223</v>
      </c>
      <c r="B3655" s="145" t="s">
        <v>829</v>
      </c>
      <c r="C3655" s="150" t="s">
        <v>5512</v>
      </c>
      <c r="D3655" s="201" t="s">
        <v>1431</v>
      </c>
      <c r="E3655" s="144" t="s">
        <v>216</v>
      </c>
      <c r="F3655" s="141" t="s">
        <v>821</v>
      </c>
      <c r="G3655" s="144" t="s">
        <v>6226</v>
      </c>
      <c r="H3655" s="146" t="s">
        <v>130</v>
      </c>
      <c r="I3655" s="144" t="s">
        <v>158</v>
      </c>
    </row>
    <row r="3656" spans="1:9" ht="38.1">
      <c r="A3656" s="193">
        <v>46223</v>
      </c>
      <c r="B3656" s="145" t="s">
        <v>829</v>
      </c>
      <c r="C3656" s="150" t="s">
        <v>5512</v>
      </c>
      <c r="D3656" s="201" t="s">
        <v>1431</v>
      </c>
      <c r="E3656" s="144" t="s">
        <v>216</v>
      </c>
      <c r="F3656" s="141" t="s">
        <v>821</v>
      </c>
      <c r="G3656" s="144" t="s">
        <v>6227</v>
      </c>
      <c r="H3656" s="146" t="s">
        <v>130</v>
      </c>
      <c r="I3656" s="144" t="s">
        <v>492</v>
      </c>
    </row>
    <row r="3657" spans="1:9" ht="113.1">
      <c r="A3657" s="193">
        <v>46224</v>
      </c>
      <c r="B3657" s="145" t="s">
        <v>829</v>
      </c>
      <c r="C3657" s="150" t="s">
        <v>5512</v>
      </c>
      <c r="D3657" s="201" t="s">
        <v>1431</v>
      </c>
      <c r="E3657" s="144" t="s">
        <v>216</v>
      </c>
      <c r="F3657" s="141" t="s">
        <v>821</v>
      </c>
      <c r="G3657" s="144" t="s">
        <v>4685</v>
      </c>
      <c r="H3657" s="146" t="s">
        <v>130</v>
      </c>
      <c r="I3657" s="144" t="s">
        <v>492</v>
      </c>
    </row>
    <row r="3658" spans="1:9" ht="63">
      <c r="A3658" s="193">
        <v>46224</v>
      </c>
      <c r="B3658" s="145" t="s">
        <v>829</v>
      </c>
      <c r="C3658" s="150" t="s">
        <v>5512</v>
      </c>
      <c r="D3658" s="201" t="s">
        <v>1431</v>
      </c>
      <c r="E3658" s="144" t="s">
        <v>21</v>
      </c>
      <c r="F3658" s="141" t="s">
        <v>821</v>
      </c>
      <c r="G3658" s="144" t="s">
        <v>6228</v>
      </c>
      <c r="H3658" s="146" t="s">
        <v>130</v>
      </c>
      <c r="I3658" s="144" t="s">
        <v>468</v>
      </c>
    </row>
    <row r="3659" spans="1:9" ht="50.45">
      <c r="A3659" s="193">
        <v>46224</v>
      </c>
      <c r="B3659" s="145" t="s">
        <v>829</v>
      </c>
      <c r="C3659" s="150" t="s">
        <v>5512</v>
      </c>
      <c r="D3659" s="201" t="s">
        <v>1431</v>
      </c>
      <c r="E3659" s="144" t="s">
        <v>88</v>
      </c>
      <c r="F3659" s="139" t="s">
        <v>88</v>
      </c>
      <c r="G3659" s="144" t="s">
        <v>6229</v>
      </c>
      <c r="H3659" s="146" t="s">
        <v>130</v>
      </c>
      <c r="I3659" s="144" t="s">
        <v>1259</v>
      </c>
    </row>
    <row r="3660" spans="1:9" ht="38.1">
      <c r="A3660" s="193">
        <v>46225</v>
      </c>
      <c r="B3660" s="145" t="s">
        <v>829</v>
      </c>
      <c r="C3660" s="150" t="s">
        <v>5512</v>
      </c>
      <c r="D3660" s="201" t="s">
        <v>1431</v>
      </c>
      <c r="E3660" s="144" t="s">
        <v>1506</v>
      </c>
      <c r="F3660" s="139" t="s">
        <v>88</v>
      </c>
      <c r="G3660" s="144" t="s">
        <v>6230</v>
      </c>
      <c r="H3660" s="146" t="s">
        <v>26</v>
      </c>
      <c r="I3660" s="144" t="s">
        <v>76</v>
      </c>
    </row>
    <row r="3661" spans="1:9" ht="25.5">
      <c r="A3661" s="193">
        <v>46225</v>
      </c>
      <c r="B3661" s="145" t="s">
        <v>829</v>
      </c>
      <c r="C3661" s="150" t="s">
        <v>5512</v>
      </c>
      <c r="D3661" s="201" t="s">
        <v>1431</v>
      </c>
      <c r="E3661" s="144" t="s">
        <v>88</v>
      </c>
      <c r="F3661" s="139" t="s">
        <v>88</v>
      </c>
      <c r="G3661" s="144" t="s">
        <v>6231</v>
      </c>
      <c r="H3661" s="146" t="s">
        <v>26</v>
      </c>
      <c r="I3661" s="144" t="s">
        <v>6201</v>
      </c>
    </row>
    <row r="3662" spans="1:9" ht="63">
      <c r="A3662" s="193">
        <v>46225</v>
      </c>
      <c r="B3662" s="145" t="s">
        <v>829</v>
      </c>
      <c r="C3662" s="150" t="s">
        <v>5512</v>
      </c>
      <c r="D3662" s="201" t="s">
        <v>1431</v>
      </c>
      <c r="E3662" s="144" t="s">
        <v>216</v>
      </c>
      <c r="F3662" s="141" t="s">
        <v>821</v>
      </c>
      <c r="G3662" s="144" t="s">
        <v>4686</v>
      </c>
      <c r="H3662" s="146" t="s">
        <v>26</v>
      </c>
      <c r="I3662" s="144" t="s">
        <v>492</v>
      </c>
    </row>
    <row r="3663" spans="1:9" ht="63">
      <c r="A3663" s="193">
        <v>46225</v>
      </c>
      <c r="B3663" s="145" t="s">
        <v>829</v>
      </c>
      <c r="C3663" s="150" t="s">
        <v>5512</v>
      </c>
      <c r="D3663" s="201" t="s">
        <v>1431</v>
      </c>
      <c r="E3663" s="144" t="s">
        <v>2244</v>
      </c>
      <c r="F3663" s="139" t="s">
        <v>88</v>
      </c>
      <c r="G3663" s="144" t="s">
        <v>6232</v>
      </c>
      <c r="H3663" s="146" t="s">
        <v>130</v>
      </c>
      <c r="I3663" s="144" t="s">
        <v>916</v>
      </c>
    </row>
    <row r="3664" spans="1:9" ht="38.1">
      <c r="A3664" s="193">
        <v>46225</v>
      </c>
      <c r="B3664" s="145" t="s">
        <v>829</v>
      </c>
      <c r="C3664" s="150" t="s">
        <v>5512</v>
      </c>
      <c r="D3664" s="201" t="s">
        <v>1431</v>
      </c>
      <c r="E3664" s="144" t="s">
        <v>216</v>
      </c>
      <c r="F3664" s="141" t="s">
        <v>821</v>
      </c>
      <c r="G3664" s="144" t="s">
        <v>6233</v>
      </c>
      <c r="H3664" s="146" t="s">
        <v>130</v>
      </c>
      <c r="I3664" s="144" t="s">
        <v>1436</v>
      </c>
    </row>
    <row r="3665" spans="1:9" ht="38.1">
      <c r="A3665" s="193">
        <v>46225</v>
      </c>
      <c r="B3665" s="145" t="s">
        <v>829</v>
      </c>
      <c r="C3665" s="150" t="s">
        <v>5512</v>
      </c>
      <c r="D3665" s="201" t="s">
        <v>1431</v>
      </c>
      <c r="E3665" s="144" t="s">
        <v>1506</v>
      </c>
      <c r="F3665" s="139" t="s">
        <v>88</v>
      </c>
      <c r="G3665" s="144" t="s">
        <v>6234</v>
      </c>
      <c r="H3665" s="146" t="s">
        <v>26</v>
      </c>
      <c r="I3665" s="144" t="s">
        <v>1436</v>
      </c>
    </row>
    <row r="3666" spans="1:9" ht="75.599999999999994">
      <c r="A3666" s="193">
        <v>46225</v>
      </c>
      <c r="B3666" s="145" t="s">
        <v>829</v>
      </c>
      <c r="C3666" s="150" t="s">
        <v>5512</v>
      </c>
      <c r="D3666" s="201" t="s">
        <v>1431</v>
      </c>
      <c r="E3666" s="144" t="s">
        <v>216</v>
      </c>
      <c r="F3666" s="141" t="s">
        <v>821</v>
      </c>
      <c r="G3666" s="144" t="s">
        <v>4689</v>
      </c>
      <c r="H3666" s="146" t="s">
        <v>130</v>
      </c>
      <c r="I3666" s="144" t="s">
        <v>1436</v>
      </c>
    </row>
    <row r="3667" spans="1:9" ht="25.5">
      <c r="A3667" s="193">
        <v>46225</v>
      </c>
      <c r="B3667" s="145" t="s">
        <v>829</v>
      </c>
      <c r="C3667" s="150" t="s">
        <v>5512</v>
      </c>
      <c r="D3667" s="201" t="s">
        <v>1431</v>
      </c>
      <c r="E3667" s="144" t="s">
        <v>1566</v>
      </c>
      <c r="F3667" s="139" t="s">
        <v>88</v>
      </c>
      <c r="G3667" s="144" t="s">
        <v>6235</v>
      </c>
      <c r="H3667" s="146" t="s">
        <v>26</v>
      </c>
      <c r="I3667" s="144" t="s">
        <v>1436</v>
      </c>
    </row>
    <row r="3668" spans="1:9" ht="25.5">
      <c r="A3668" s="193">
        <v>46225</v>
      </c>
      <c r="B3668" s="145" t="s">
        <v>829</v>
      </c>
      <c r="C3668" s="150" t="s">
        <v>5512</v>
      </c>
      <c r="D3668" s="201" t="s">
        <v>1431</v>
      </c>
      <c r="E3668" s="144" t="s">
        <v>1449</v>
      </c>
      <c r="F3668" s="139" t="s">
        <v>88</v>
      </c>
      <c r="G3668" s="144" t="s">
        <v>6236</v>
      </c>
      <c r="H3668" s="146" t="s">
        <v>26</v>
      </c>
      <c r="I3668" s="144" t="s">
        <v>1436</v>
      </c>
    </row>
    <row r="3669" spans="1:9" ht="50.45">
      <c r="A3669" s="193">
        <v>46225</v>
      </c>
      <c r="B3669" s="145" t="s">
        <v>829</v>
      </c>
      <c r="C3669" s="150" t="s">
        <v>5512</v>
      </c>
      <c r="D3669" s="201" t="s">
        <v>3881</v>
      </c>
      <c r="E3669" s="144" t="s">
        <v>3011</v>
      </c>
      <c r="F3669" s="147" t="s">
        <v>859</v>
      </c>
      <c r="G3669" s="144" t="s">
        <v>6237</v>
      </c>
      <c r="H3669" s="146" t="s">
        <v>26</v>
      </c>
      <c r="I3669" s="144" t="s">
        <v>1436</v>
      </c>
    </row>
    <row r="3670" spans="1:9" ht="138">
      <c r="A3670" s="193">
        <v>46225</v>
      </c>
      <c r="B3670" s="145" t="s">
        <v>829</v>
      </c>
      <c r="C3670" s="150" t="s">
        <v>5512</v>
      </c>
      <c r="D3670" s="201" t="s">
        <v>2224</v>
      </c>
      <c r="E3670" s="144" t="s">
        <v>21</v>
      </c>
      <c r="F3670" s="141" t="s">
        <v>821</v>
      </c>
      <c r="G3670" s="144" t="s">
        <v>4690</v>
      </c>
      <c r="H3670" s="146" t="s">
        <v>130</v>
      </c>
      <c r="I3670" s="144" t="s">
        <v>1436</v>
      </c>
    </row>
    <row r="3671" spans="1:9" ht="63">
      <c r="A3671" s="193">
        <v>46225</v>
      </c>
      <c r="B3671" s="145" t="s">
        <v>829</v>
      </c>
      <c r="C3671" s="150" t="s">
        <v>5512</v>
      </c>
      <c r="D3671" s="201" t="s">
        <v>1431</v>
      </c>
      <c r="E3671" s="144" t="s">
        <v>88</v>
      </c>
      <c r="F3671" s="139" t="s">
        <v>88</v>
      </c>
      <c r="G3671" s="144" t="s">
        <v>6238</v>
      </c>
      <c r="H3671" s="146" t="s">
        <v>130</v>
      </c>
      <c r="I3671" s="144" t="s">
        <v>1436</v>
      </c>
    </row>
    <row r="3672" spans="1:9" ht="38.1">
      <c r="A3672" s="193">
        <v>46226</v>
      </c>
      <c r="B3672" s="145" t="s">
        <v>829</v>
      </c>
      <c r="C3672" s="150" t="s">
        <v>5512</v>
      </c>
      <c r="D3672" s="201" t="s">
        <v>1431</v>
      </c>
      <c r="E3672" s="144" t="s">
        <v>216</v>
      </c>
      <c r="F3672" s="141" t="s">
        <v>821</v>
      </c>
      <c r="G3672" s="144" t="s">
        <v>6239</v>
      </c>
      <c r="H3672" s="146" t="s">
        <v>130</v>
      </c>
      <c r="I3672" s="144" t="s">
        <v>492</v>
      </c>
    </row>
    <row r="3673" spans="1:9" ht="63">
      <c r="A3673" s="193">
        <v>46226</v>
      </c>
      <c r="B3673" s="145" t="s">
        <v>829</v>
      </c>
      <c r="C3673" s="150" t="s">
        <v>5512</v>
      </c>
      <c r="D3673" s="201" t="s">
        <v>1431</v>
      </c>
      <c r="E3673" s="144" t="s">
        <v>574</v>
      </c>
      <c r="F3673" s="139" t="s">
        <v>88</v>
      </c>
      <c r="G3673" s="144" t="s">
        <v>6240</v>
      </c>
      <c r="H3673" s="146" t="s">
        <v>130</v>
      </c>
      <c r="I3673" s="144" t="s">
        <v>578</v>
      </c>
    </row>
    <row r="3674" spans="1:9" ht="25.5">
      <c r="A3674" s="193">
        <v>46226</v>
      </c>
      <c r="B3674" s="145" t="s">
        <v>829</v>
      </c>
      <c r="C3674" s="150" t="s">
        <v>5512</v>
      </c>
      <c r="D3674" s="201" t="s">
        <v>1431</v>
      </c>
      <c r="E3674" s="144" t="s">
        <v>21</v>
      </c>
      <c r="F3674" s="141" t="s">
        <v>821</v>
      </c>
      <c r="G3674" s="144" t="s">
        <v>6241</v>
      </c>
      <c r="H3674" s="146" t="s">
        <v>26</v>
      </c>
      <c r="I3674" s="144" t="s">
        <v>468</v>
      </c>
    </row>
    <row r="3675" spans="1:9" ht="25.5">
      <c r="A3675" s="193">
        <v>46226</v>
      </c>
      <c r="B3675" s="145" t="s">
        <v>829</v>
      </c>
      <c r="C3675" s="150" t="s">
        <v>5512</v>
      </c>
      <c r="D3675" s="201" t="s">
        <v>1431</v>
      </c>
      <c r="E3675" s="144" t="s">
        <v>216</v>
      </c>
      <c r="F3675" s="141" t="s">
        <v>821</v>
      </c>
      <c r="G3675" s="144" t="s">
        <v>6242</v>
      </c>
      <c r="H3675" s="146" t="s">
        <v>26</v>
      </c>
      <c r="I3675" s="144" t="s">
        <v>492</v>
      </c>
    </row>
    <row r="3676" spans="1:9" ht="38.1">
      <c r="A3676" s="193">
        <v>46226</v>
      </c>
      <c r="B3676" s="145" t="s">
        <v>829</v>
      </c>
      <c r="C3676" s="150" t="s">
        <v>5512</v>
      </c>
      <c r="D3676" s="201" t="s">
        <v>1431</v>
      </c>
      <c r="E3676" s="144" t="s">
        <v>216</v>
      </c>
      <c r="F3676" s="141" t="s">
        <v>821</v>
      </c>
      <c r="G3676" s="144" t="s">
        <v>6243</v>
      </c>
      <c r="H3676" s="146" t="s">
        <v>130</v>
      </c>
      <c r="I3676" s="144" t="s">
        <v>492</v>
      </c>
    </row>
    <row r="3677" spans="1:9" ht="25.5">
      <c r="A3677" s="193">
        <v>46227</v>
      </c>
      <c r="B3677" s="145" t="s">
        <v>829</v>
      </c>
      <c r="C3677" s="150" t="s">
        <v>5512</v>
      </c>
      <c r="D3677" s="201" t="s">
        <v>1431</v>
      </c>
      <c r="E3677" s="144" t="s">
        <v>574</v>
      </c>
      <c r="F3677" s="139" t="s">
        <v>88</v>
      </c>
      <c r="G3677" s="144" t="s">
        <v>6244</v>
      </c>
      <c r="H3677" s="146" t="s">
        <v>130</v>
      </c>
      <c r="I3677" s="144" t="s">
        <v>578</v>
      </c>
    </row>
    <row r="3678" spans="1:9" ht="38.1">
      <c r="A3678" s="193">
        <v>46227</v>
      </c>
      <c r="B3678" s="145" t="s">
        <v>829</v>
      </c>
      <c r="C3678" s="150" t="s">
        <v>5512</v>
      </c>
      <c r="D3678" s="201" t="s">
        <v>1431</v>
      </c>
      <c r="E3678" s="144" t="s">
        <v>21</v>
      </c>
      <c r="F3678" s="141" t="s">
        <v>821</v>
      </c>
      <c r="G3678" s="144" t="s">
        <v>6245</v>
      </c>
      <c r="H3678" s="146" t="s">
        <v>130</v>
      </c>
      <c r="I3678" s="144" t="s">
        <v>468</v>
      </c>
    </row>
    <row r="3679" spans="1:9" ht="25.5">
      <c r="A3679" s="193">
        <v>46227</v>
      </c>
      <c r="B3679" s="145" t="s">
        <v>829</v>
      </c>
      <c r="C3679" s="150" t="s">
        <v>5512</v>
      </c>
      <c r="D3679" s="201" t="s">
        <v>1431</v>
      </c>
      <c r="E3679" s="144" t="s">
        <v>21</v>
      </c>
      <c r="F3679" s="141" t="s">
        <v>821</v>
      </c>
      <c r="G3679" s="144" t="s">
        <v>6246</v>
      </c>
      <c r="H3679" s="146" t="s">
        <v>26</v>
      </c>
      <c r="I3679" s="144" t="s">
        <v>468</v>
      </c>
    </row>
    <row r="3680" spans="1:9" ht="50.45">
      <c r="A3680" s="193">
        <v>46227</v>
      </c>
      <c r="B3680" s="145" t="s">
        <v>829</v>
      </c>
      <c r="C3680" s="150" t="s">
        <v>5512</v>
      </c>
      <c r="D3680" s="201" t="s">
        <v>1431</v>
      </c>
      <c r="E3680" s="144" t="s">
        <v>21</v>
      </c>
      <c r="F3680" s="141" t="s">
        <v>821</v>
      </c>
      <c r="G3680" s="144" t="s">
        <v>6247</v>
      </c>
      <c r="H3680" s="146" t="s">
        <v>26</v>
      </c>
      <c r="I3680" s="144" t="s">
        <v>468</v>
      </c>
    </row>
    <row r="3681" spans="1:9" ht="14.1">
      <c r="A3681" s="193">
        <v>46230</v>
      </c>
      <c r="B3681" s="145" t="s">
        <v>829</v>
      </c>
      <c r="C3681" s="150" t="s">
        <v>5512</v>
      </c>
      <c r="D3681" s="201" t="s">
        <v>1431</v>
      </c>
      <c r="E3681" s="144" t="s">
        <v>922</v>
      </c>
      <c r="F3681" s="139" t="s">
        <v>88</v>
      </c>
      <c r="G3681" s="144" t="s">
        <v>6248</v>
      </c>
      <c r="H3681" s="146" t="s">
        <v>26</v>
      </c>
      <c r="I3681" s="144" t="s">
        <v>914</v>
      </c>
    </row>
    <row r="3682" spans="1:9" ht="25.5">
      <c r="A3682" s="193">
        <v>46230</v>
      </c>
      <c r="B3682" s="145" t="s">
        <v>829</v>
      </c>
      <c r="C3682" s="150" t="s">
        <v>5512</v>
      </c>
      <c r="D3682" s="201" t="s">
        <v>1431</v>
      </c>
      <c r="E3682" s="144" t="s">
        <v>216</v>
      </c>
      <c r="F3682" s="141" t="s">
        <v>821</v>
      </c>
      <c r="G3682" s="144" t="s">
        <v>6249</v>
      </c>
      <c r="H3682" s="146" t="s">
        <v>130</v>
      </c>
      <c r="I3682" s="144" t="s">
        <v>492</v>
      </c>
    </row>
    <row r="3683" spans="1:9" ht="50.45">
      <c r="A3683" s="193">
        <v>46230</v>
      </c>
      <c r="B3683" s="145" t="s">
        <v>829</v>
      </c>
      <c r="C3683" s="150" t="s">
        <v>5512</v>
      </c>
      <c r="D3683" s="201" t="s">
        <v>1431</v>
      </c>
      <c r="E3683" s="144" t="s">
        <v>216</v>
      </c>
      <c r="F3683" s="141" t="s">
        <v>821</v>
      </c>
      <c r="G3683" s="144" t="s">
        <v>4705</v>
      </c>
      <c r="H3683" s="146" t="s">
        <v>26</v>
      </c>
      <c r="I3683" s="144" t="s">
        <v>492</v>
      </c>
    </row>
    <row r="3684" spans="1:9" ht="50.45">
      <c r="A3684" s="193">
        <v>46230</v>
      </c>
      <c r="B3684" s="145" t="s">
        <v>829</v>
      </c>
      <c r="C3684" s="150" t="s">
        <v>5512</v>
      </c>
      <c r="D3684" s="201" t="s">
        <v>1431</v>
      </c>
      <c r="E3684" s="144" t="s">
        <v>216</v>
      </c>
      <c r="F3684" s="141" t="s">
        <v>821</v>
      </c>
      <c r="G3684" s="144" t="s">
        <v>6250</v>
      </c>
      <c r="H3684" s="146" t="s">
        <v>26</v>
      </c>
      <c r="I3684" s="144" t="s">
        <v>492</v>
      </c>
    </row>
    <row r="3685" spans="1:9" ht="14.1">
      <c r="A3685" s="193">
        <v>46230</v>
      </c>
      <c r="B3685" s="145" t="s">
        <v>829</v>
      </c>
      <c r="C3685" s="150" t="s">
        <v>5512</v>
      </c>
      <c r="D3685" s="201" t="s">
        <v>1431</v>
      </c>
      <c r="E3685" s="144" t="s">
        <v>21</v>
      </c>
      <c r="F3685" s="141" t="s">
        <v>821</v>
      </c>
      <c r="G3685" s="144" t="s">
        <v>6251</v>
      </c>
      <c r="H3685" s="146" t="s">
        <v>26</v>
      </c>
      <c r="I3685" s="144" t="s">
        <v>149</v>
      </c>
    </row>
    <row r="3686" spans="1:9" ht="25.5">
      <c r="A3686" s="193">
        <v>46230</v>
      </c>
      <c r="B3686" s="145" t="s">
        <v>829</v>
      </c>
      <c r="C3686" s="150" t="s">
        <v>5512</v>
      </c>
      <c r="D3686" s="201" t="s">
        <v>1431</v>
      </c>
      <c r="E3686" s="144" t="s">
        <v>1449</v>
      </c>
      <c r="F3686" s="139" t="s">
        <v>88</v>
      </c>
      <c r="G3686" s="144" t="s">
        <v>6252</v>
      </c>
      <c r="H3686" s="146" t="s">
        <v>26</v>
      </c>
      <c r="I3686" s="144" t="s">
        <v>4762</v>
      </c>
    </row>
    <row r="3687" spans="1:9" ht="50.45">
      <c r="A3687" s="193">
        <v>46231</v>
      </c>
      <c r="B3687" s="145" t="s">
        <v>829</v>
      </c>
      <c r="C3687" s="150" t="s">
        <v>5512</v>
      </c>
      <c r="D3687" s="201" t="s">
        <v>1431</v>
      </c>
      <c r="E3687" s="144" t="s">
        <v>574</v>
      </c>
      <c r="F3687" s="139" t="s">
        <v>88</v>
      </c>
      <c r="G3687" s="144" t="s">
        <v>4711</v>
      </c>
      <c r="H3687" s="146" t="s">
        <v>26</v>
      </c>
      <c r="I3687" s="144" t="s">
        <v>578</v>
      </c>
    </row>
    <row r="3688" spans="1:9" ht="38.1">
      <c r="A3688" s="193">
        <v>46231</v>
      </c>
      <c r="B3688" s="145" t="s">
        <v>829</v>
      </c>
      <c r="C3688" s="150" t="s">
        <v>5512</v>
      </c>
      <c r="D3688" s="201" t="s">
        <v>1431</v>
      </c>
      <c r="E3688" s="144" t="s">
        <v>21</v>
      </c>
      <c r="F3688" s="141" t="s">
        <v>821</v>
      </c>
      <c r="G3688" s="144" t="s">
        <v>6253</v>
      </c>
      <c r="H3688" s="146" t="s">
        <v>26</v>
      </c>
      <c r="I3688" s="144" t="s">
        <v>468</v>
      </c>
    </row>
    <row r="3689" spans="1:9" ht="87.95">
      <c r="A3689" s="193">
        <v>46231</v>
      </c>
      <c r="B3689" s="145" t="s">
        <v>829</v>
      </c>
      <c r="C3689" s="150" t="s">
        <v>5512</v>
      </c>
      <c r="D3689" s="201" t="s">
        <v>1431</v>
      </c>
      <c r="E3689" s="144" t="s">
        <v>6254</v>
      </c>
      <c r="F3689" s="139" t="s">
        <v>88</v>
      </c>
      <c r="G3689" s="144" t="s">
        <v>4712</v>
      </c>
      <c r="H3689" s="146" t="s">
        <v>130</v>
      </c>
      <c r="I3689" s="144" t="s">
        <v>4339</v>
      </c>
    </row>
    <row r="3690" spans="1:9" ht="14.1">
      <c r="A3690" s="193">
        <v>46231</v>
      </c>
      <c r="B3690" s="145" t="s">
        <v>829</v>
      </c>
      <c r="C3690" s="150" t="s">
        <v>5512</v>
      </c>
      <c r="D3690" s="201" t="s">
        <v>1431</v>
      </c>
      <c r="E3690" s="144" t="s">
        <v>216</v>
      </c>
      <c r="F3690" s="141" t="s">
        <v>821</v>
      </c>
      <c r="G3690" s="144" t="s">
        <v>4713</v>
      </c>
      <c r="H3690" s="146" t="s">
        <v>130</v>
      </c>
      <c r="I3690" s="144" t="s">
        <v>492</v>
      </c>
    </row>
    <row r="3691" spans="1:9" ht="50.45">
      <c r="A3691" s="193">
        <v>46231</v>
      </c>
      <c r="B3691" s="145" t="s">
        <v>829</v>
      </c>
      <c r="C3691" s="150" t="s">
        <v>5512</v>
      </c>
      <c r="D3691" s="201" t="s">
        <v>1431</v>
      </c>
      <c r="E3691" s="144" t="s">
        <v>216</v>
      </c>
      <c r="F3691" s="141" t="s">
        <v>821</v>
      </c>
      <c r="G3691" s="144" t="s">
        <v>6255</v>
      </c>
      <c r="H3691" s="146" t="s">
        <v>130</v>
      </c>
      <c r="I3691" s="144" t="s">
        <v>492</v>
      </c>
    </row>
    <row r="3692" spans="1:9" ht="50.45">
      <c r="A3692" s="193">
        <v>46231</v>
      </c>
      <c r="B3692" s="145" t="s">
        <v>829</v>
      </c>
      <c r="C3692" s="150" t="s">
        <v>5512</v>
      </c>
      <c r="D3692" s="201" t="s">
        <v>1431</v>
      </c>
      <c r="E3692" s="144" t="s">
        <v>21</v>
      </c>
      <c r="F3692" s="141" t="s">
        <v>821</v>
      </c>
      <c r="G3692" s="144" t="s">
        <v>4716</v>
      </c>
      <c r="H3692" s="146" t="s">
        <v>26</v>
      </c>
      <c r="I3692" s="144" t="s">
        <v>468</v>
      </c>
    </row>
    <row r="3693" spans="1:9" ht="25.5">
      <c r="A3693" s="193">
        <v>46231</v>
      </c>
      <c r="B3693" s="145" t="s">
        <v>829</v>
      </c>
      <c r="C3693" s="150" t="s">
        <v>5512</v>
      </c>
      <c r="D3693" s="201" t="s">
        <v>1431</v>
      </c>
      <c r="E3693" s="144" t="s">
        <v>1566</v>
      </c>
      <c r="F3693" s="139" t="s">
        <v>88</v>
      </c>
      <c r="G3693" s="144" t="s">
        <v>6256</v>
      </c>
      <c r="H3693" s="146" t="s">
        <v>26</v>
      </c>
      <c r="I3693" s="144" t="s">
        <v>1453</v>
      </c>
    </row>
    <row r="3694" spans="1:9" ht="38.1">
      <c r="A3694" s="193">
        <v>46231</v>
      </c>
      <c r="B3694" s="145" t="s">
        <v>829</v>
      </c>
      <c r="C3694" s="150" t="s">
        <v>5512</v>
      </c>
      <c r="D3694" s="201" t="s">
        <v>1431</v>
      </c>
      <c r="E3694" s="144" t="s">
        <v>1566</v>
      </c>
      <c r="F3694" s="139" t="s">
        <v>88</v>
      </c>
      <c r="G3694" s="144" t="s">
        <v>6257</v>
      </c>
      <c r="H3694" s="146" t="s">
        <v>26</v>
      </c>
      <c r="I3694" s="144" t="s">
        <v>1453</v>
      </c>
    </row>
    <row r="3695" spans="1:9" ht="25.5">
      <c r="A3695" s="193">
        <v>46231</v>
      </c>
      <c r="B3695" s="145" t="s">
        <v>829</v>
      </c>
      <c r="C3695" s="150" t="s">
        <v>5512</v>
      </c>
      <c r="D3695" s="201" t="s">
        <v>1431</v>
      </c>
      <c r="E3695" s="144" t="s">
        <v>1566</v>
      </c>
      <c r="F3695" s="139" t="s">
        <v>88</v>
      </c>
      <c r="G3695" s="144" t="s">
        <v>6258</v>
      </c>
      <c r="H3695" s="146" t="s">
        <v>26</v>
      </c>
      <c r="I3695" s="144" t="s">
        <v>1453</v>
      </c>
    </row>
    <row r="3696" spans="1:9" ht="25.5">
      <c r="A3696" s="193">
        <v>46231</v>
      </c>
      <c r="B3696" s="145" t="s">
        <v>829</v>
      </c>
      <c r="C3696" s="150" t="s">
        <v>5512</v>
      </c>
      <c r="D3696" s="201" t="s">
        <v>1431</v>
      </c>
      <c r="E3696" s="144" t="s">
        <v>1449</v>
      </c>
      <c r="F3696" s="139" t="s">
        <v>88</v>
      </c>
      <c r="G3696" s="144" t="s">
        <v>6259</v>
      </c>
      <c r="H3696" s="146" t="s">
        <v>26</v>
      </c>
      <c r="I3696" s="144" t="s">
        <v>4762</v>
      </c>
    </row>
    <row r="3697" spans="1:9" ht="50.45">
      <c r="A3697" s="193">
        <v>46231</v>
      </c>
      <c r="B3697" s="145" t="s">
        <v>829</v>
      </c>
      <c r="C3697" s="150" t="s">
        <v>5512</v>
      </c>
      <c r="D3697" s="201" t="s">
        <v>1431</v>
      </c>
      <c r="E3697" s="144" t="s">
        <v>21</v>
      </c>
      <c r="F3697" s="141" t="s">
        <v>821</v>
      </c>
      <c r="G3697" s="144" t="s">
        <v>6260</v>
      </c>
      <c r="H3697" s="146" t="s">
        <v>130</v>
      </c>
      <c r="I3697" s="144" t="s">
        <v>468</v>
      </c>
    </row>
    <row r="3698" spans="1:9" ht="14.1">
      <c r="A3698" s="193">
        <v>46232</v>
      </c>
      <c r="B3698" s="145" t="s">
        <v>829</v>
      </c>
      <c r="C3698" s="150" t="s">
        <v>5512</v>
      </c>
      <c r="D3698" s="201" t="s">
        <v>1431</v>
      </c>
      <c r="E3698" s="144" t="s">
        <v>922</v>
      </c>
      <c r="F3698" s="139" t="s">
        <v>88</v>
      </c>
      <c r="G3698" s="144" t="s">
        <v>6261</v>
      </c>
      <c r="H3698" s="146" t="s">
        <v>26</v>
      </c>
      <c r="I3698" s="144" t="s">
        <v>914</v>
      </c>
    </row>
    <row r="3699" spans="1:9" ht="14.1">
      <c r="A3699" s="193">
        <v>46232</v>
      </c>
      <c r="B3699" s="145" t="s">
        <v>829</v>
      </c>
      <c r="C3699" s="150" t="s">
        <v>5512</v>
      </c>
      <c r="D3699" s="201" t="s">
        <v>1431</v>
      </c>
      <c r="E3699" s="144" t="s">
        <v>216</v>
      </c>
      <c r="F3699" s="141" t="s">
        <v>821</v>
      </c>
      <c r="G3699" s="144" t="s">
        <v>6262</v>
      </c>
      <c r="H3699" s="146" t="s">
        <v>130</v>
      </c>
      <c r="I3699" s="144" t="s">
        <v>578</v>
      </c>
    </row>
    <row r="3700" spans="1:9" ht="50.45">
      <c r="A3700" s="193">
        <v>46232</v>
      </c>
      <c r="B3700" s="145" t="s">
        <v>829</v>
      </c>
      <c r="C3700" s="150" t="s">
        <v>5512</v>
      </c>
      <c r="D3700" s="201" t="s">
        <v>1431</v>
      </c>
      <c r="E3700" s="144" t="s">
        <v>216</v>
      </c>
      <c r="F3700" s="141" t="s">
        <v>821</v>
      </c>
      <c r="G3700" s="144" t="s">
        <v>6263</v>
      </c>
      <c r="H3700" s="146" t="s">
        <v>130</v>
      </c>
      <c r="I3700" s="144" t="s">
        <v>492</v>
      </c>
    </row>
    <row r="3701" spans="1:9" ht="14.1">
      <c r="A3701" s="193">
        <v>46232</v>
      </c>
      <c r="B3701" s="145" t="s">
        <v>829</v>
      </c>
      <c r="C3701" s="150" t="s">
        <v>5512</v>
      </c>
      <c r="D3701" s="201" t="s">
        <v>1431</v>
      </c>
      <c r="E3701" s="144" t="s">
        <v>21</v>
      </c>
      <c r="F3701" s="141" t="s">
        <v>821</v>
      </c>
      <c r="G3701" s="144" t="s">
        <v>6264</v>
      </c>
      <c r="H3701" s="146" t="s">
        <v>26</v>
      </c>
      <c r="I3701" s="144" t="s">
        <v>468</v>
      </c>
    </row>
    <row r="3702" spans="1:9" ht="14.1">
      <c r="A3702" s="193">
        <v>46232</v>
      </c>
      <c r="B3702" s="145" t="s">
        <v>829</v>
      </c>
      <c r="C3702" s="150" t="s">
        <v>5512</v>
      </c>
      <c r="D3702" s="201" t="s">
        <v>2224</v>
      </c>
      <c r="E3702" s="144" t="s">
        <v>21</v>
      </c>
      <c r="F3702" s="141" t="s">
        <v>821</v>
      </c>
      <c r="G3702" s="144" t="s">
        <v>6265</v>
      </c>
      <c r="H3702" s="146" t="s">
        <v>26</v>
      </c>
      <c r="I3702" s="144" t="s">
        <v>468</v>
      </c>
    </row>
    <row r="3703" spans="1:9" ht="25.5">
      <c r="A3703" s="193">
        <v>46233</v>
      </c>
      <c r="B3703" s="145" t="s">
        <v>829</v>
      </c>
      <c r="C3703" s="150" t="s">
        <v>5512</v>
      </c>
      <c r="D3703" s="201" t="s">
        <v>1431</v>
      </c>
      <c r="E3703" s="144" t="s">
        <v>216</v>
      </c>
      <c r="F3703" s="141" t="s">
        <v>821</v>
      </c>
      <c r="G3703" s="144" t="s">
        <v>6266</v>
      </c>
      <c r="H3703" s="146" t="s">
        <v>130</v>
      </c>
      <c r="I3703" s="144" t="s">
        <v>914</v>
      </c>
    </row>
    <row r="3704" spans="1:9" ht="25.5">
      <c r="A3704" s="193">
        <v>46233</v>
      </c>
      <c r="B3704" s="145" t="s">
        <v>829</v>
      </c>
      <c r="C3704" s="150" t="s">
        <v>5512</v>
      </c>
      <c r="D3704" s="201" t="s">
        <v>1431</v>
      </c>
      <c r="E3704" s="144" t="s">
        <v>216</v>
      </c>
      <c r="F3704" s="141" t="s">
        <v>821</v>
      </c>
      <c r="G3704" s="144" t="s">
        <v>6267</v>
      </c>
      <c r="H3704" s="146" t="s">
        <v>26</v>
      </c>
      <c r="I3704" s="144" t="s">
        <v>492</v>
      </c>
    </row>
    <row r="3705" spans="1:9" ht="25.5">
      <c r="A3705" s="193">
        <v>46233</v>
      </c>
      <c r="B3705" s="145" t="s">
        <v>829</v>
      </c>
      <c r="C3705" s="150" t="s">
        <v>5512</v>
      </c>
      <c r="D3705" s="201" t="s">
        <v>1431</v>
      </c>
      <c r="E3705" s="144" t="s">
        <v>216</v>
      </c>
      <c r="F3705" s="141" t="s">
        <v>821</v>
      </c>
      <c r="G3705" s="144" t="s">
        <v>6268</v>
      </c>
      <c r="H3705" s="146" t="s">
        <v>26</v>
      </c>
      <c r="I3705" s="144" t="s">
        <v>492</v>
      </c>
    </row>
    <row r="3706" spans="1:9" ht="14.1">
      <c r="A3706" s="193">
        <v>46233</v>
      </c>
      <c r="B3706" s="145" t="s">
        <v>829</v>
      </c>
      <c r="C3706" s="150" t="s">
        <v>5512</v>
      </c>
      <c r="D3706" s="201" t="s">
        <v>1431</v>
      </c>
      <c r="E3706" s="144" t="s">
        <v>1449</v>
      </c>
      <c r="F3706" s="139" t="s">
        <v>88</v>
      </c>
      <c r="G3706" s="144" t="s">
        <v>6269</v>
      </c>
      <c r="H3706" s="146" t="s">
        <v>26</v>
      </c>
      <c r="I3706" s="144" t="s">
        <v>4762</v>
      </c>
    </row>
    <row r="3707" spans="1:9" ht="14.1">
      <c r="A3707" s="193">
        <v>46233</v>
      </c>
      <c r="B3707" s="145" t="s">
        <v>829</v>
      </c>
      <c r="C3707" s="150" t="s">
        <v>5512</v>
      </c>
      <c r="D3707" s="201" t="s">
        <v>1431</v>
      </c>
      <c r="E3707" s="144" t="s">
        <v>1449</v>
      </c>
      <c r="F3707" s="139" t="s">
        <v>88</v>
      </c>
      <c r="G3707" s="144" t="s">
        <v>6270</v>
      </c>
      <c r="H3707" s="146" t="s">
        <v>26</v>
      </c>
      <c r="I3707" s="144" t="s">
        <v>4762</v>
      </c>
    </row>
    <row r="3708" spans="1:9" ht="25.5">
      <c r="A3708" s="193">
        <v>46234</v>
      </c>
      <c r="B3708" s="145" t="s">
        <v>829</v>
      </c>
      <c r="C3708" s="150" t="s">
        <v>5512</v>
      </c>
      <c r="D3708" s="201" t="s">
        <v>1431</v>
      </c>
      <c r="E3708" s="144" t="s">
        <v>216</v>
      </c>
      <c r="F3708" s="141" t="s">
        <v>821</v>
      </c>
      <c r="G3708" s="144" t="s">
        <v>6271</v>
      </c>
      <c r="H3708" s="146" t="s">
        <v>26</v>
      </c>
      <c r="I3708" s="144" t="s">
        <v>492</v>
      </c>
    </row>
    <row r="3709" spans="1:9" ht="38.1">
      <c r="A3709" s="193">
        <v>46234</v>
      </c>
      <c r="B3709" s="145" t="s">
        <v>829</v>
      </c>
      <c r="C3709" s="150" t="s">
        <v>5512</v>
      </c>
      <c r="D3709" s="201" t="s">
        <v>1431</v>
      </c>
      <c r="E3709" s="144" t="s">
        <v>216</v>
      </c>
      <c r="F3709" s="141" t="s">
        <v>821</v>
      </c>
      <c r="G3709" s="144" t="s">
        <v>6272</v>
      </c>
      <c r="H3709" s="146" t="s">
        <v>130</v>
      </c>
      <c r="I3709" s="144" t="s">
        <v>492</v>
      </c>
    </row>
    <row r="3710" spans="1:9" ht="14.1">
      <c r="A3710" s="193">
        <v>46234</v>
      </c>
      <c r="B3710" s="145" t="s">
        <v>829</v>
      </c>
      <c r="C3710" s="150" t="s">
        <v>5512</v>
      </c>
      <c r="D3710" s="201" t="s">
        <v>1431</v>
      </c>
      <c r="E3710" s="144" t="s">
        <v>216</v>
      </c>
      <c r="F3710" s="141" t="s">
        <v>821</v>
      </c>
      <c r="G3710" s="144" t="s">
        <v>6273</v>
      </c>
      <c r="H3710" s="146" t="s">
        <v>26</v>
      </c>
      <c r="I3710" s="144" t="s">
        <v>492</v>
      </c>
    </row>
    <row r="3711" spans="1:9" ht="25.5">
      <c r="A3711" s="193">
        <v>46234</v>
      </c>
      <c r="B3711" s="145" t="s">
        <v>829</v>
      </c>
      <c r="C3711" s="150" t="s">
        <v>5512</v>
      </c>
      <c r="D3711" s="201" t="s">
        <v>1431</v>
      </c>
      <c r="E3711" s="144" t="s">
        <v>1449</v>
      </c>
      <c r="F3711" s="139" t="s">
        <v>88</v>
      </c>
      <c r="G3711" s="144" t="s">
        <v>6274</v>
      </c>
      <c r="H3711" s="146" t="s">
        <v>26</v>
      </c>
      <c r="I3711" s="144" t="s">
        <v>4762</v>
      </c>
    </row>
    <row r="3712" spans="1:9" ht="14.1">
      <c r="A3712" s="193">
        <v>46237</v>
      </c>
      <c r="B3712" s="145" t="s">
        <v>830</v>
      </c>
      <c r="C3712" s="150" t="s">
        <v>5512</v>
      </c>
      <c r="D3712" s="201" t="s">
        <v>1431</v>
      </c>
      <c r="E3712" s="144" t="s">
        <v>1511</v>
      </c>
      <c r="F3712" s="139" t="s">
        <v>88</v>
      </c>
      <c r="G3712" s="144" t="s">
        <v>3811</v>
      </c>
      <c r="H3712" s="146" t="s">
        <v>26</v>
      </c>
      <c r="I3712" s="144" t="s">
        <v>2700</v>
      </c>
    </row>
    <row r="3713" spans="1:9" ht="14.1">
      <c r="A3713" s="193">
        <v>46237</v>
      </c>
      <c r="B3713" s="145" t="s">
        <v>830</v>
      </c>
      <c r="C3713" s="150" t="s">
        <v>5512</v>
      </c>
      <c r="D3713" s="201" t="s">
        <v>1431</v>
      </c>
      <c r="E3713" s="144" t="s">
        <v>1504</v>
      </c>
      <c r="F3713" s="141" t="s">
        <v>821</v>
      </c>
      <c r="G3713" s="144" t="s">
        <v>6275</v>
      </c>
      <c r="H3713" s="146" t="s">
        <v>26</v>
      </c>
      <c r="I3713" s="144" t="s">
        <v>921</v>
      </c>
    </row>
    <row r="3714" spans="1:9" ht="25.5">
      <c r="A3714" s="193">
        <v>46237</v>
      </c>
      <c r="B3714" s="145" t="s">
        <v>830</v>
      </c>
      <c r="C3714" s="150" t="s">
        <v>5512</v>
      </c>
      <c r="D3714" s="201" t="s">
        <v>1431</v>
      </c>
      <c r="E3714" s="144" t="s">
        <v>1504</v>
      </c>
      <c r="F3714" s="141" t="s">
        <v>821</v>
      </c>
      <c r="G3714" s="144" t="s">
        <v>4720</v>
      </c>
      <c r="H3714" s="146" t="s">
        <v>26</v>
      </c>
      <c r="I3714" s="144" t="s">
        <v>921</v>
      </c>
    </row>
    <row r="3715" spans="1:9" ht="14.1">
      <c r="A3715" s="193">
        <v>46237</v>
      </c>
      <c r="B3715" s="145" t="s">
        <v>830</v>
      </c>
      <c r="C3715" s="150" t="s">
        <v>5512</v>
      </c>
      <c r="D3715" s="201" t="s">
        <v>3886</v>
      </c>
      <c r="E3715" s="144" t="s">
        <v>216</v>
      </c>
      <c r="F3715" s="141" t="s">
        <v>821</v>
      </c>
      <c r="G3715" s="144" t="s">
        <v>4722</v>
      </c>
      <c r="H3715" s="146" t="s">
        <v>26</v>
      </c>
      <c r="I3715" s="144" t="s">
        <v>492</v>
      </c>
    </row>
    <row r="3716" spans="1:9" ht="14.1">
      <c r="A3716" s="193">
        <v>46237</v>
      </c>
      <c r="B3716" s="145" t="s">
        <v>830</v>
      </c>
      <c r="C3716" s="150" t="s">
        <v>5512</v>
      </c>
      <c r="D3716" s="201" t="s">
        <v>1431</v>
      </c>
      <c r="E3716" s="144" t="s">
        <v>216</v>
      </c>
      <c r="F3716" s="141" t="s">
        <v>821</v>
      </c>
      <c r="G3716" s="144" t="s">
        <v>4723</v>
      </c>
      <c r="H3716" s="146" t="s">
        <v>26</v>
      </c>
      <c r="I3716" s="144" t="s">
        <v>492</v>
      </c>
    </row>
    <row r="3717" spans="1:9" ht="25.5">
      <c r="A3717" s="193">
        <v>46238</v>
      </c>
      <c r="B3717" s="145" t="s">
        <v>830</v>
      </c>
      <c r="C3717" s="150" t="s">
        <v>5512</v>
      </c>
      <c r="D3717" s="201" t="s">
        <v>1431</v>
      </c>
      <c r="E3717" s="144" t="s">
        <v>88</v>
      </c>
      <c r="F3717" s="139" t="s">
        <v>88</v>
      </c>
      <c r="G3717" s="144" t="s">
        <v>6276</v>
      </c>
      <c r="H3717" s="146" t="s">
        <v>26</v>
      </c>
      <c r="I3717" s="144" t="s">
        <v>3758</v>
      </c>
    </row>
    <row r="3718" spans="1:9" ht="25.5">
      <c r="A3718" s="193">
        <v>46238</v>
      </c>
      <c r="B3718" s="145" t="s">
        <v>830</v>
      </c>
      <c r="C3718" s="150" t="s">
        <v>5512</v>
      </c>
      <c r="D3718" s="201" t="s">
        <v>1431</v>
      </c>
      <c r="E3718" s="144" t="s">
        <v>21</v>
      </c>
      <c r="F3718" s="141" t="s">
        <v>821</v>
      </c>
      <c r="G3718" s="144" t="s">
        <v>4724</v>
      </c>
      <c r="H3718" s="146" t="s">
        <v>26</v>
      </c>
      <c r="I3718" s="144" t="s">
        <v>468</v>
      </c>
    </row>
    <row r="3719" spans="1:9" ht="63">
      <c r="A3719" s="193">
        <v>46238</v>
      </c>
      <c r="B3719" s="145" t="s">
        <v>830</v>
      </c>
      <c r="C3719" s="150" t="s">
        <v>5512</v>
      </c>
      <c r="D3719" s="201" t="s">
        <v>1431</v>
      </c>
      <c r="E3719" s="144" t="s">
        <v>97</v>
      </c>
      <c r="F3719" s="141" t="s">
        <v>821</v>
      </c>
      <c r="G3719" s="144" t="s">
        <v>4726</v>
      </c>
      <c r="H3719" s="146" t="s">
        <v>26</v>
      </c>
      <c r="I3719" s="144" t="s">
        <v>158</v>
      </c>
    </row>
    <row r="3720" spans="1:9" ht="38.1">
      <c r="A3720" s="193">
        <v>46238</v>
      </c>
      <c r="B3720" s="145" t="s">
        <v>830</v>
      </c>
      <c r="C3720" s="150" t="s">
        <v>5512</v>
      </c>
      <c r="D3720" s="201" t="s">
        <v>1431</v>
      </c>
      <c r="E3720" s="144" t="s">
        <v>2244</v>
      </c>
      <c r="F3720" s="139" t="s">
        <v>88</v>
      </c>
      <c r="G3720" s="144" t="s">
        <v>6277</v>
      </c>
      <c r="H3720" s="146" t="s">
        <v>26</v>
      </c>
      <c r="I3720" s="144" t="s">
        <v>6074</v>
      </c>
    </row>
    <row r="3721" spans="1:9" ht="38.1">
      <c r="A3721" s="193">
        <v>46238</v>
      </c>
      <c r="B3721" s="145" t="s">
        <v>830</v>
      </c>
      <c r="C3721" s="150" t="s">
        <v>5512</v>
      </c>
      <c r="D3721" s="201" t="s">
        <v>1431</v>
      </c>
      <c r="E3721" s="144" t="s">
        <v>216</v>
      </c>
      <c r="F3721" s="141" t="s">
        <v>821</v>
      </c>
      <c r="G3721" s="144" t="s">
        <v>4728</v>
      </c>
      <c r="H3721" s="146" t="s">
        <v>26</v>
      </c>
      <c r="I3721" s="144" t="s">
        <v>492</v>
      </c>
    </row>
    <row r="3722" spans="1:9" ht="63">
      <c r="A3722" s="193">
        <v>46238</v>
      </c>
      <c r="B3722" s="145" t="s">
        <v>830</v>
      </c>
      <c r="C3722" s="150" t="s">
        <v>5512</v>
      </c>
      <c r="D3722" s="201" t="s">
        <v>1431</v>
      </c>
      <c r="E3722" s="144" t="s">
        <v>216</v>
      </c>
      <c r="F3722" s="141" t="s">
        <v>821</v>
      </c>
      <c r="G3722" s="144" t="s">
        <v>4729</v>
      </c>
      <c r="H3722" s="146" t="s">
        <v>26</v>
      </c>
      <c r="I3722" s="144" t="s">
        <v>492</v>
      </c>
    </row>
    <row r="3723" spans="1:9" ht="50.45">
      <c r="A3723" s="193">
        <v>46238</v>
      </c>
      <c r="B3723" s="145" t="s">
        <v>830</v>
      </c>
      <c r="C3723" s="150" t="s">
        <v>5512</v>
      </c>
      <c r="D3723" s="201" t="s">
        <v>1431</v>
      </c>
      <c r="E3723" s="144" t="s">
        <v>216</v>
      </c>
      <c r="F3723" s="141" t="s">
        <v>821</v>
      </c>
      <c r="G3723" s="144" t="s">
        <v>4730</v>
      </c>
      <c r="H3723" s="146" t="s">
        <v>26</v>
      </c>
      <c r="I3723" s="144" t="s">
        <v>492</v>
      </c>
    </row>
    <row r="3724" spans="1:9" ht="25.5">
      <c r="A3724" s="193">
        <v>46238</v>
      </c>
      <c r="B3724" s="145" t="s">
        <v>830</v>
      </c>
      <c r="C3724" s="150" t="s">
        <v>5512</v>
      </c>
      <c r="D3724" s="201" t="s">
        <v>1431</v>
      </c>
      <c r="E3724" s="144" t="s">
        <v>1566</v>
      </c>
      <c r="F3724" s="139" t="s">
        <v>88</v>
      </c>
      <c r="G3724" s="144" t="s">
        <v>6278</v>
      </c>
      <c r="H3724" s="146" t="s">
        <v>26</v>
      </c>
      <c r="I3724" s="144" t="s">
        <v>1453</v>
      </c>
    </row>
    <row r="3725" spans="1:9" ht="14.1">
      <c r="A3725" s="193">
        <v>46238</v>
      </c>
      <c r="B3725" s="145" t="s">
        <v>830</v>
      </c>
      <c r="C3725" s="150" t="s">
        <v>5512</v>
      </c>
      <c r="D3725" s="201" t="s">
        <v>1431</v>
      </c>
      <c r="E3725" s="144" t="s">
        <v>1566</v>
      </c>
      <c r="F3725" s="139" t="s">
        <v>88</v>
      </c>
      <c r="G3725" s="144" t="s">
        <v>6279</v>
      </c>
      <c r="H3725" s="146" t="s">
        <v>26</v>
      </c>
      <c r="I3725" s="144" t="s">
        <v>1453</v>
      </c>
    </row>
    <row r="3726" spans="1:9" ht="38.1">
      <c r="A3726" s="193">
        <v>46238</v>
      </c>
      <c r="B3726" s="145" t="s">
        <v>830</v>
      </c>
      <c r="C3726" s="150" t="s">
        <v>5512</v>
      </c>
      <c r="D3726" s="201" t="s">
        <v>1431</v>
      </c>
      <c r="E3726" s="144" t="s">
        <v>1566</v>
      </c>
      <c r="F3726" s="139" t="s">
        <v>88</v>
      </c>
      <c r="G3726" s="144" t="s">
        <v>6280</v>
      </c>
      <c r="H3726" s="146" t="s">
        <v>26</v>
      </c>
      <c r="I3726" s="144" t="s">
        <v>1453</v>
      </c>
    </row>
    <row r="3727" spans="1:9" ht="25.5">
      <c r="A3727" s="193">
        <v>46238</v>
      </c>
      <c r="B3727" s="145" t="s">
        <v>830</v>
      </c>
      <c r="C3727" s="150" t="s">
        <v>5512</v>
      </c>
      <c r="D3727" s="201" t="s">
        <v>1431</v>
      </c>
      <c r="E3727" s="144" t="s">
        <v>1449</v>
      </c>
      <c r="F3727" s="139" t="s">
        <v>88</v>
      </c>
      <c r="G3727" s="144" t="s">
        <v>6281</v>
      </c>
      <c r="H3727" s="146" t="s">
        <v>26</v>
      </c>
      <c r="I3727" s="144" t="s">
        <v>2739</v>
      </c>
    </row>
    <row r="3728" spans="1:9" ht="87.95">
      <c r="A3728" s="193">
        <v>46238</v>
      </c>
      <c r="B3728" s="145" t="s">
        <v>830</v>
      </c>
      <c r="C3728" s="150" t="s">
        <v>5512</v>
      </c>
      <c r="D3728" s="201" t="s">
        <v>3881</v>
      </c>
      <c r="E3728" s="144" t="s">
        <v>1580</v>
      </c>
      <c r="F3728" s="140" t="s">
        <v>1439</v>
      </c>
      <c r="G3728" s="144" t="s">
        <v>6282</v>
      </c>
      <c r="H3728" s="146" t="s">
        <v>26</v>
      </c>
      <c r="I3728" s="144" t="s">
        <v>2739</v>
      </c>
    </row>
    <row r="3729" spans="1:9" ht="87.95">
      <c r="A3729" s="193">
        <v>46238</v>
      </c>
      <c r="B3729" s="145" t="s">
        <v>830</v>
      </c>
      <c r="C3729" s="150" t="s">
        <v>5512</v>
      </c>
      <c r="D3729" s="201" t="s">
        <v>2224</v>
      </c>
      <c r="E3729" s="144" t="s">
        <v>988</v>
      </c>
      <c r="F3729" s="139" t="s">
        <v>88</v>
      </c>
      <c r="G3729" s="144" t="s">
        <v>6283</v>
      </c>
      <c r="H3729" s="146" t="s">
        <v>26</v>
      </c>
      <c r="I3729" s="144" t="s">
        <v>2568</v>
      </c>
    </row>
    <row r="3730" spans="1:9" ht="38.1">
      <c r="A3730" s="193">
        <v>46238</v>
      </c>
      <c r="B3730" s="145" t="s">
        <v>830</v>
      </c>
      <c r="C3730" s="150" t="s">
        <v>5512</v>
      </c>
      <c r="D3730" s="201" t="s">
        <v>2224</v>
      </c>
      <c r="E3730" s="144" t="s">
        <v>1566</v>
      </c>
      <c r="F3730" s="139" t="s">
        <v>88</v>
      </c>
      <c r="G3730" s="144" t="s">
        <v>6284</v>
      </c>
      <c r="H3730" s="146" t="s">
        <v>26</v>
      </c>
      <c r="I3730" s="144" t="s">
        <v>1453</v>
      </c>
    </row>
    <row r="3731" spans="1:9" ht="25.5">
      <c r="A3731" s="193">
        <v>46239</v>
      </c>
      <c r="B3731" s="145" t="s">
        <v>830</v>
      </c>
      <c r="C3731" s="150" t="s">
        <v>5512</v>
      </c>
      <c r="D3731" s="201" t="s">
        <v>1431</v>
      </c>
      <c r="E3731" s="144" t="s">
        <v>988</v>
      </c>
      <c r="F3731" s="139" t="s">
        <v>88</v>
      </c>
      <c r="G3731" s="144" t="s">
        <v>6285</v>
      </c>
      <c r="H3731" s="146" t="s">
        <v>26</v>
      </c>
      <c r="I3731" s="144" t="s">
        <v>2700</v>
      </c>
    </row>
    <row r="3732" spans="1:9" ht="14.1">
      <c r="A3732" s="193">
        <v>46239</v>
      </c>
      <c r="B3732" s="145" t="s">
        <v>830</v>
      </c>
      <c r="C3732" s="150" t="s">
        <v>5512</v>
      </c>
      <c r="D3732" s="201" t="s">
        <v>1431</v>
      </c>
      <c r="E3732" s="144" t="s">
        <v>1566</v>
      </c>
      <c r="F3732" s="139" t="s">
        <v>88</v>
      </c>
      <c r="G3732" s="144" t="s">
        <v>6286</v>
      </c>
      <c r="H3732" s="146" t="s">
        <v>26</v>
      </c>
      <c r="I3732" s="144" t="s">
        <v>1453</v>
      </c>
    </row>
    <row r="3733" spans="1:9" ht="25.5">
      <c r="A3733" s="193">
        <v>46239</v>
      </c>
      <c r="B3733" s="145" t="s">
        <v>830</v>
      </c>
      <c r="C3733" s="150" t="s">
        <v>5512</v>
      </c>
      <c r="D3733" s="201" t="s">
        <v>1431</v>
      </c>
      <c r="E3733" s="144" t="s">
        <v>1566</v>
      </c>
      <c r="F3733" s="139" t="s">
        <v>88</v>
      </c>
      <c r="G3733" s="144" t="s">
        <v>6287</v>
      </c>
      <c r="H3733" s="146" t="s">
        <v>26</v>
      </c>
      <c r="I3733" s="144" t="s">
        <v>1453</v>
      </c>
    </row>
    <row r="3734" spans="1:9" ht="25.5">
      <c r="A3734" s="193">
        <v>46239</v>
      </c>
      <c r="B3734" s="145" t="s">
        <v>830</v>
      </c>
      <c r="C3734" s="150" t="s">
        <v>5512</v>
      </c>
      <c r="D3734" s="201" t="s">
        <v>1431</v>
      </c>
      <c r="E3734" s="144" t="s">
        <v>1449</v>
      </c>
      <c r="F3734" s="139" t="s">
        <v>88</v>
      </c>
      <c r="G3734" s="144" t="s">
        <v>6288</v>
      </c>
      <c r="H3734" s="146" t="s">
        <v>26</v>
      </c>
      <c r="I3734" s="144" t="s">
        <v>2739</v>
      </c>
    </row>
    <row r="3735" spans="1:9" ht="38.1">
      <c r="A3735" s="193">
        <v>46239</v>
      </c>
      <c r="B3735" s="145" t="s">
        <v>830</v>
      </c>
      <c r="C3735" s="150" t="s">
        <v>5512</v>
      </c>
      <c r="D3735" s="201" t="s">
        <v>1431</v>
      </c>
      <c r="E3735" s="144" t="s">
        <v>1449</v>
      </c>
      <c r="F3735" s="139" t="s">
        <v>88</v>
      </c>
      <c r="G3735" s="144" t="s">
        <v>6289</v>
      </c>
      <c r="H3735" s="146" t="s">
        <v>26</v>
      </c>
      <c r="I3735" s="144" t="s">
        <v>2739</v>
      </c>
    </row>
    <row r="3736" spans="1:9" ht="50.45">
      <c r="A3736" s="193">
        <v>46239</v>
      </c>
      <c r="B3736" s="145" t="s">
        <v>830</v>
      </c>
      <c r="C3736" s="150" t="s">
        <v>5512</v>
      </c>
      <c r="D3736" s="201" t="s">
        <v>1431</v>
      </c>
      <c r="E3736" s="144" t="s">
        <v>21</v>
      </c>
      <c r="F3736" s="141" t="s">
        <v>821</v>
      </c>
      <c r="G3736" s="144" t="s">
        <v>6290</v>
      </c>
      <c r="H3736" s="146" t="s">
        <v>26</v>
      </c>
      <c r="I3736" s="144" t="s">
        <v>2568</v>
      </c>
    </row>
    <row r="3737" spans="1:9" ht="38.1">
      <c r="A3737" s="193">
        <v>46240</v>
      </c>
      <c r="B3737" s="145" t="s">
        <v>830</v>
      </c>
      <c r="C3737" s="150" t="s">
        <v>5512</v>
      </c>
      <c r="D3737" s="201" t="s">
        <v>1431</v>
      </c>
      <c r="E3737" s="144" t="s">
        <v>574</v>
      </c>
      <c r="F3737" s="139" t="s">
        <v>88</v>
      </c>
      <c r="G3737" s="144" t="s">
        <v>6291</v>
      </c>
      <c r="H3737" s="146" t="s">
        <v>26</v>
      </c>
      <c r="I3737" s="144" t="s">
        <v>921</v>
      </c>
    </row>
    <row r="3738" spans="1:9" ht="38.1">
      <c r="A3738" s="193">
        <v>46240</v>
      </c>
      <c r="B3738" s="145" t="s">
        <v>830</v>
      </c>
      <c r="C3738" s="150" t="s">
        <v>5512</v>
      </c>
      <c r="D3738" s="201" t="s">
        <v>1431</v>
      </c>
      <c r="E3738" s="144" t="s">
        <v>574</v>
      </c>
      <c r="F3738" s="141" t="s">
        <v>821</v>
      </c>
      <c r="G3738" s="144" t="s">
        <v>4731</v>
      </c>
      <c r="H3738" s="146" t="s">
        <v>26</v>
      </c>
      <c r="I3738" s="144" t="s">
        <v>921</v>
      </c>
    </row>
    <row r="3739" spans="1:9" ht="38.1">
      <c r="A3739" s="193">
        <v>46240</v>
      </c>
      <c r="B3739" s="145" t="s">
        <v>830</v>
      </c>
      <c r="C3739" s="150" t="s">
        <v>5512</v>
      </c>
      <c r="D3739" s="201" t="s">
        <v>1431</v>
      </c>
      <c r="E3739" s="144" t="s">
        <v>21</v>
      </c>
      <c r="F3739" s="141" t="s">
        <v>821</v>
      </c>
      <c r="G3739" s="144" t="s">
        <v>4732</v>
      </c>
      <c r="H3739" s="146" t="s">
        <v>26</v>
      </c>
      <c r="I3739" s="144" t="s">
        <v>6074</v>
      </c>
    </row>
    <row r="3740" spans="1:9" ht="14.1">
      <c r="A3740" s="193">
        <v>46240</v>
      </c>
      <c r="B3740" s="145" t="s">
        <v>830</v>
      </c>
      <c r="C3740" s="150" t="s">
        <v>5512</v>
      </c>
      <c r="D3740" s="201" t="s">
        <v>1431</v>
      </c>
      <c r="E3740" s="144" t="s">
        <v>1449</v>
      </c>
      <c r="F3740" s="139" t="s">
        <v>88</v>
      </c>
      <c r="G3740" s="144" t="s">
        <v>6292</v>
      </c>
      <c r="H3740" s="146" t="s">
        <v>26</v>
      </c>
      <c r="I3740" s="144" t="s">
        <v>2739</v>
      </c>
    </row>
    <row r="3741" spans="1:9" ht="25.5">
      <c r="A3741" s="193">
        <v>46240</v>
      </c>
      <c r="B3741" s="145" t="s">
        <v>830</v>
      </c>
      <c r="C3741" s="150" t="s">
        <v>5512</v>
      </c>
      <c r="D3741" s="201" t="s">
        <v>1431</v>
      </c>
      <c r="E3741" s="144" t="s">
        <v>1449</v>
      </c>
      <c r="F3741" s="139" t="s">
        <v>88</v>
      </c>
      <c r="G3741" s="144" t="s">
        <v>6293</v>
      </c>
      <c r="H3741" s="146" t="s">
        <v>26</v>
      </c>
      <c r="I3741" s="144" t="s">
        <v>2739</v>
      </c>
    </row>
    <row r="3742" spans="1:9" ht="14.1">
      <c r="A3742" s="193">
        <v>46241</v>
      </c>
      <c r="B3742" s="145" t="s">
        <v>830</v>
      </c>
      <c r="C3742" s="150" t="s">
        <v>5512</v>
      </c>
      <c r="D3742" s="201" t="s">
        <v>1431</v>
      </c>
      <c r="E3742" s="144" t="s">
        <v>216</v>
      </c>
      <c r="F3742" s="141" t="s">
        <v>821</v>
      </c>
      <c r="G3742" s="144" t="s">
        <v>6294</v>
      </c>
      <c r="H3742" s="146" t="s">
        <v>130</v>
      </c>
      <c r="I3742" s="144" t="s">
        <v>492</v>
      </c>
    </row>
    <row r="3743" spans="1:9" ht="38.1">
      <c r="A3743" s="193">
        <v>46241</v>
      </c>
      <c r="B3743" s="145" t="s">
        <v>830</v>
      </c>
      <c r="C3743" s="150" t="s">
        <v>5512</v>
      </c>
      <c r="D3743" s="201" t="s">
        <v>1431</v>
      </c>
      <c r="E3743" s="144" t="s">
        <v>216</v>
      </c>
      <c r="F3743" s="141" t="s">
        <v>821</v>
      </c>
      <c r="G3743" s="144" t="s">
        <v>6295</v>
      </c>
      <c r="H3743" s="146" t="s">
        <v>26</v>
      </c>
      <c r="I3743" s="144" t="s">
        <v>492</v>
      </c>
    </row>
    <row r="3744" spans="1:9" ht="14.1">
      <c r="A3744" s="193">
        <v>46241</v>
      </c>
      <c r="B3744" s="145" t="s">
        <v>830</v>
      </c>
      <c r="C3744" s="150" t="s">
        <v>5512</v>
      </c>
      <c r="D3744" s="201" t="s">
        <v>1431</v>
      </c>
      <c r="E3744" s="144" t="s">
        <v>1566</v>
      </c>
      <c r="F3744" s="139" t="s">
        <v>88</v>
      </c>
      <c r="G3744" s="144" t="s">
        <v>6296</v>
      </c>
      <c r="H3744" s="146" t="s">
        <v>26</v>
      </c>
      <c r="I3744" s="144" t="s">
        <v>1453</v>
      </c>
    </row>
    <row r="3745" spans="1:9" ht="14.1">
      <c r="A3745" s="193">
        <v>46241</v>
      </c>
      <c r="B3745" s="145" t="s">
        <v>830</v>
      </c>
      <c r="C3745" s="150" t="s">
        <v>5512</v>
      </c>
      <c r="D3745" s="201" t="s">
        <v>1431</v>
      </c>
      <c r="E3745" s="144" t="s">
        <v>1449</v>
      </c>
      <c r="F3745" s="139" t="s">
        <v>88</v>
      </c>
      <c r="G3745" s="144" t="s">
        <v>6297</v>
      </c>
      <c r="H3745" s="146" t="s">
        <v>26</v>
      </c>
      <c r="I3745" s="144" t="s">
        <v>2739</v>
      </c>
    </row>
    <row r="3746" spans="1:9" ht="25.5">
      <c r="A3746" s="193">
        <v>46241</v>
      </c>
      <c r="B3746" s="145" t="s">
        <v>830</v>
      </c>
      <c r="C3746" s="150" t="s">
        <v>5512</v>
      </c>
      <c r="D3746" s="201" t="s">
        <v>1431</v>
      </c>
      <c r="E3746" s="144" t="s">
        <v>1449</v>
      </c>
      <c r="F3746" s="139" t="s">
        <v>88</v>
      </c>
      <c r="G3746" s="144" t="s">
        <v>6298</v>
      </c>
      <c r="H3746" s="146" t="s">
        <v>26</v>
      </c>
      <c r="I3746" s="144" t="s">
        <v>2739</v>
      </c>
    </row>
    <row r="3747" spans="1:9" ht="14.1">
      <c r="A3747" s="193">
        <v>46244</v>
      </c>
      <c r="B3747" s="145" t="s">
        <v>830</v>
      </c>
      <c r="C3747" s="150" t="s">
        <v>5512</v>
      </c>
      <c r="D3747" s="201" t="s">
        <v>1431</v>
      </c>
      <c r="E3747" s="144" t="s">
        <v>1511</v>
      </c>
      <c r="F3747" s="139" t="s">
        <v>88</v>
      </c>
      <c r="G3747" s="144" t="s">
        <v>6299</v>
      </c>
      <c r="H3747" s="146" t="s">
        <v>26</v>
      </c>
      <c r="I3747" s="144" t="s">
        <v>2700</v>
      </c>
    </row>
    <row r="3748" spans="1:9" ht="75.599999999999994">
      <c r="A3748" s="193">
        <v>46244</v>
      </c>
      <c r="B3748" s="145" t="s">
        <v>830</v>
      </c>
      <c r="C3748" s="150" t="s">
        <v>5512</v>
      </c>
      <c r="D3748" s="201" t="s">
        <v>1431</v>
      </c>
      <c r="E3748" s="144" t="s">
        <v>1506</v>
      </c>
      <c r="F3748" s="139" t="s">
        <v>88</v>
      </c>
      <c r="G3748" s="144" t="s">
        <v>6300</v>
      </c>
      <c r="H3748" s="146" t="s">
        <v>26</v>
      </c>
      <c r="I3748" s="144" t="s">
        <v>1436</v>
      </c>
    </row>
    <row r="3749" spans="1:9" ht="25.5">
      <c r="A3749" s="193">
        <v>46244</v>
      </c>
      <c r="B3749" s="145" t="s">
        <v>830</v>
      </c>
      <c r="C3749" s="150" t="s">
        <v>5512</v>
      </c>
      <c r="D3749" s="201" t="s">
        <v>1431</v>
      </c>
      <c r="E3749" s="144" t="s">
        <v>1566</v>
      </c>
      <c r="F3749" s="139" t="s">
        <v>88</v>
      </c>
      <c r="G3749" s="144" t="s">
        <v>6301</v>
      </c>
      <c r="H3749" s="146" t="s">
        <v>26</v>
      </c>
      <c r="I3749" s="144" t="s">
        <v>1453</v>
      </c>
    </row>
    <row r="3750" spans="1:9" ht="25.5">
      <c r="A3750" s="193">
        <v>46244</v>
      </c>
      <c r="B3750" s="145" t="s">
        <v>830</v>
      </c>
      <c r="C3750" s="150" t="s">
        <v>5512</v>
      </c>
      <c r="D3750" s="201" t="s">
        <v>1431</v>
      </c>
      <c r="E3750" s="144" t="s">
        <v>1566</v>
      </c>
      <c r="F3750" s="139" t="s">
        <v>88</v>
      </c>
      <c r="G3750" s="144" t="s">
        <v>6302</v>
      </c>
      <c r="H3750" s="146" t="s">
        <v>26</v>
      </c>
      <c r="I3750" s="144" t="s">
        <v>1453</v>
      </c>
    </row>
    <row r="3751" spans="1:9" ht="25.5">
      <c r="A3751" s="193">
        <v>46244</v>
      </c>
      <c r="B3751" s="145" t="s">
        <v>830</v>
      </c>
      <c r="C3751" s="150" t="s">
        <v>5512</v>
      </c>
      <c r="D3751" s="201" t="s">
        <v>3886</v>
      </c>
      <c r="E3751" s="144" t="s">
        <v>1580</v>
      </c>
      <c r="F3751" s="140" t="s">
        <v>1439</v>
      </c>
      <c r="G3751" s="144" t="s">
        <v>4733</v>
      </c>
      <c r="H3751" s="146" t="s">
        <v>130</v>
      </c>
      <c r="I3751" s="144" t="s">
        <v>2813</v>
      </c>
    </row>
    <row r="3752" spans="1:9" ht="25.5">
      <c r="A3752" s="193">
        <v>46244</v>
      </c>
      <c r="B3752" s="145" t="s">
        <v>830</v>
      </c>
      <c r="C3752" s="150" t="s">
        <v>5512</v>
      </c>
      <c r="D3752" s="201" t="s">
        <v>3881</v>
      </c>
      <c r="E3752" s="144" t="s">
        <v>1580</v>
      </c>
      <c r="F3752" s="140" t="s">
        <v>1439</v>
      </c>
      <c r="G3752" s="144" t="s">
        <v>4735</v>
      </c>
      <c r="H3752" s="146" t="s">
        <v>130</v>
      </c>
      <c r="I3752" s="144" t="s">
        <v>2813</v>
      </c>
    </row>
    <row r="3753" spans="1:9" ht="25.5">
      <c r="A3753" s="193">
        <v>46244</v>
      </c>
      <c r="B3753" s="145" t="s">
        <v>830</v>
      </c>
      <c r="C3753" s="150" t="s">
        <v>5512</v>
      </c>
      <c r="D3753" s="201" t="s">
        <v>3886</v>
      </c>
      <c r="E3753" s="144" t="s">
        <v>216</v>
      </c>
      <c r="F3753" s="141" t="s">
        <v>821</v>
      </c>
      <c r="G3753" s="144" t="s">
        <v>6303</v>
      </c>
      <c r="H3753" s="146" t="s">
        <v>130</v>
      </c>
      <c r="I3753" s="144" t="s">
        <v>492</v>
      </c>
    </row>
    <row r="3754" spans="1:9" ht="38.1">
      <c r="A3754" s="193">
        <v>46244</v>
      </c>
      <c r="B3754" s="145" t="s">
        <v>830</v>
      </c>
      <c r="C3754" s="150" t="s">
        <v>5512</v>
      </c>
      <c r="D3754" s="201" t="s">
        <v>1431</v>
      </c>
      <c r="E3754" s="144" t="s">
        <v>1449</v>
      </c>
      <c r="F3754" s="139" t="s">
        <v>88</v>
      </c>
      <c r="G3754" s="144" t="s">
        <v>4737</v>
      </c>
      <c r="H3754" s="146" t="s">
        <v>26</v>
      </c>
      <c r="I3754" s="144" t="s">
        <v>2739</v>
      </c>
    </row>
    <row r="3755" spans="1:9" ht="38.1">
      <c r="A3755" s="193">
        <v>46244</v>
      </c>
      <c r="B3755" s="145" t="s">
        <v>830</v>
      </c>
      <c r="C3755" s="150" t="s">
        <v>5512</v>
      </c>
      <c r="D3755" s="201" t="s">
        <v>2224</v>
      </c>
      <c r="E3755" s="144" t="s">
        <v>1518</v>
      </c>
      <c r="F3755" s="139" t="s">
        <v>88</v>
      </c>
      <c r="G3755" s="144" t="s">
        <v>4738</v>
      </c>
      <c r="H3755" s="146" t="s">
        <v>26</v>
      </c>
      <c r="I3755" s="144" t="s">
        <v>118</v>
      </c>
    </row>
    <row r="3756" spans="1:9" ht="63">
      <c r="A3756" s="193">
        <v>46245</v>
      </c>
      <c r="B3756" s="145" t="s">
        <v>830</v>
      </c>
      <c r="C3756" s="150" t="s">
        <v>5512</v>
      </c>
      <c r="D3756" s="201" t="s">
        <v>1431</v>
      </c>
      <c r="E3756" s="144" t="s">
        <v>1608</v>
      </c>
      <c r="F3756" s="139" t="s">
        <v>88</v>
      </c>
      <c r="G3756" s="144" t="s">
        <v>4739</v>
      </c>
      <c r="H3756" s="146" t="s">
        <v>130</v>
      </c>
      <c r="I3756" s="144" t="s">
        <v>916</v>
      </c>
    </row>
    <row r="3757" spans="1:9" ht="25.5">
      <c r="A3757" s="193">
        <v>46245</v>
      </c>
      <c r="B3757" s="145" t="s">
        <v>830</v>
      </c>
      <c r="C3757" s="150" t="s">
        <v>5512</v>
      </c>
      <c r="D3757" s="201" t="s">
        <v>1431</v>
      </c>
      <c r="E3757" s="144" t="s">
        <v>216</v>
      </c>
      <c r="F3757" s="141" t="s">
        <v>821</v>
      </c>
      <c r="G3757" s="144" t="s">
        <v>4740</v>
      </c>
      <c r="H3757" s="146" t="s">
        <v>130</v>
      </c>
      <c r="I3757" s="144" t="s">
        <v>492</v>
      </c>
    </row>
    <row r="3758" spans="1:9" ht="38.1">
      <c r="A3758" s="193">
        <v>46245</v>
      </c>
      <c r="B3758" s="145" t="s">
        <v>830</v>
      </c>
      <c r="C3758" s="150" t="s">
        <v>5512</v>
      </c>
      <c r="D3758" s="201" t="s">
        <v>1431</v>
      </c>
      <c r="E3758" s="144" t="s">
        <v>216</v>
      </c>
      <c r="F3758" s="141" t="s">
        <v>821</v>
      </c>
      <c r="G3758" s="144" t="s">
        <v>6304</v>
      </c>
      <c r="H3758" s="146" t="s">
        <v>130</v>
      </c>
      <c r="I3758" s="144" t="s">
        <v>492</v>
      </c>
    </row>
    <row r="3759" spans="1:9" ht="25.5">
      <c r="A3759" s="193">
        <v>46245</v>
      </c>
      <c r="B3759" s="145" t="s">
        <v>830</v>
      </c>
      <c r="C3759" s="150" t="s">
        <v>5512</v>
      </c>
      <c r="D3759" s="201" t="s">
        <v>1431</v>
      </c>
      <c r="E3759" s="144" t="s">
        <v>1566</v>
      </c>
      <c r="F3759" s="139" t="s">
        <v>88</v>
      </c>
      <c r="G3759" s="144" t="s">
        <v>6305</v>
      </c>
      <c r="H3759" s="146" t="s">
        <v>26</v>
      </c>
      <c r="I3759" s="144" t="s">
        <v>1453</v>
      </c>
    </row>
    <row r="3760" spans="1:9" ht="14.1">
      <c r="A3760" s="193">
        <v>46245</v>
      </c>
      <c r="B3760" s="145" t="s">
        <v>830</v>
      </c>
      <c r="C3760" s="150" t="s">
        <v>5512</v>
      </c>
      <c r="D3760" s="201" t="s">
        <v>1431</v>
      </c>
      <c r="E3760" s="144" t="s">
        <v>1449</v>
      </c>
      <c r="F3760" s="139" t="s">
        <v>88</v>
      </c>
      <c r="G3760" s="144" t="s">
        <v>6306</v>
      </c>
      <c r="H3760" s="146" t="s">
        <v>26</v>
      </c>
      <c r="I3760" s="144" t="s">
        <v>1453</v>
      </c>
    </row>
    <row r="3761" spans="1:9" ht="25.5">
      <c r="A3761" s="193">
        <v>46245</v>
      </c>
      <c r="B3761" s="145" t="s">
        <v>830</v>
      </c>
      <c r="C3761" s="150" t="s">
        <v>5512</v>
      </c>
      <c r="D3761" s="201" t="s">
        <v>1431</v>
      </c>
      <c r="E3761" s="144" t="s">
        <v>1449</v>
      </c>
      <c r="F3761" s="139" t="s">
        <v>88</v>
      </c>
      <c r="G3761" s="144" t="s">
        <v>6307</v>
      </c>
      <c r="H3761" s="146" t="s">
        <v>26</v>
      </c>
      <c r="I3761" s="144" t="s">
        <v>4762</v>
      </c>
    </row>
    <row r="3762" spans="1:9" ht="25.5">
      <c r="A3762" s="193">
        <v>46245</v>
      </c>
      <c r="B3762" s="145" t="s">
        <v>830</v>
      </c>
      <c r="C3762" s="150" t="s">
        <v>5512</v>
      </c>
      <c r="D3762" s="201" t="s">
        <v>1431</v>
      </c>
      <c r="E3762" s="144" t="s">
        <v>324</v>
      </c>
      <c r="F3762" s="139" t="s">
        <v>88</v>
      </c>
      <c r="G3762" s="144" t="s">
        <v>6308</v>
      </c>
      <c r="H3762" s="146" t="s">
        <v>130</v>
      </c>
      <c r="I3762" s="144" t="s">
        <v>916</v>
      </c>
    </row>
    <row r="3763" spans="1:9" ht="63">
      <c r="A3763" s="193">
        <v>46245</v>
      </c>
      <c r="B3763" s="145" t="s">
        <v>830</v>
      </c>
      <c r="C3763" s="150" t="s">
        <v>5512</v>
      </c>
      <c r="D3763" s="201" t="s">
        <v>2224</v>
      </c>
      <c r="E3763" s="144" t="s">
        <v>1518</v>
      </c>
      <c r="F3763" s="139" t="s">
        <v>88</v>
      </c>
      <c r="G3763" s="144" t="s">
        <v>4741</v>
      </c>
      <c r="H3763" s="146" t="s">
        <v>130</v>
      </c>
      <c r="I3763" s="144" t="s">
        <v>2568</v>
      </c>
    </row>
    <row r="3764" spans="1:9" ht="50.45">
      <c r="A3764" s="193">
        <v>46247</v>
      </c>
      <c r="B3764" s="145" t="s">
        <v>830</v>
      </c>
      <c r="C3764" s="150" t="s">
        <v>5512</v>
      </c>
      <c r="D3764" s="201" t="s">
        <v>1431</v>
      </c>
      <c r="E3764" s="144" t="s">
        <v>216</v>
      </c>
      <c r="F3764" s="141" t="s">
        <v>821</v>
      </c>
      <c r="G3764" s="144" t="s">
        <v>6309</v>
      </c>
      <c r="H3764" s="146" t="s">
        <v>130</v>
      </c>
      <c r="I3764" s="144" t="s">
        <v>492</v>
      </c>
    </row>
    <row r="3765" spans="1:9" ht="38.1">
      <c r="A3765" s="193">
        <v>46247</v>
      </c>
      <c r="B3765" s="145" t="s">
        <v>830</v>
      </c>
      <c r="C3765" s="150" t="s">
        <v>5512</v>
      </c>
      <c r="D3765" s="201" t="s">
        <v>1431</v>
      </c>
      <c r="E3765" s="144" t="s">
        <v>216</v>
      </c>
      <c r="F3765" s="141" t="s">
        <v>821</v>
      </c>
      <c r="G3765" s="144" t="s">
        <v>4743</v>
      </c>
      <c r="H3765" s="146" t="s">
        <v>130</v>
      </c>
      <c r="I3765" s="144" t="s">
        <v>492</v>
      </c>
    </row>
    <row r="3766" spans="1:9" ht="25.5">
      <c r="A3766" s="193">
        <v>46247</v>
      </c>
      <c r="B3766" s="145" t="s">
        <v>830</v>
      </c>
      <c r="C3766" s="150" t="s">
        <v>5512</v>
      </c>
      <c r="D3766" s="201" t="s">
        <v>1431</v>
      </c>
      <c r="E3766" s="144" t="s">
        <v>1449</v>
      </c>
      <c r="F3766" s="139" t="s">
        <v>88</v>
      </c>
      <c r="G3766" s="144" t="s">
        <v>6310</v>
      </c>
      <c r="H3766" s="146" t="s">
        <v>26</v>
      </c>
      <c r="I3766" s="144" t="s">
        <v>4762</v>
      </c>
    </row>
    <row r="3767" spans="1:9" ht="50.45">
      <c r="A3767" s="193">
        <v>46247</v>
      </c>
      <c r="B3767" s="145" t="s">
        <v>830</v>
      </c>
      <c r="C3767" s="150" t="s">
        <v>5512</v>
      </c>
      <c r="D3767" s="201" t="s">
        <v>2224</v>
      </c>
      <c r="E3767" s="144" t="s">
        <v>1580</v>
      </c>
      <c r="F3767" s="140" t="s">
        <v>1439</v>
      </c>
      <c r="G3767" s="144" t="s">
        <v>6311</v>
      </c>
      <c r="H3767" s="146" t="s">
        <v>130</v>
      </c>
      <c r="I3767" s="144" t="s">
        <v>2568</v>
      </c>
    </row>
    <row r="3768" spans="1:9" ht="50.45">
      <c r="A3768" s="193">
        <v>46247</v>
      </c>
      <c r="B3768" s="145" t="s">
        <v>830</v>
      </c>
      <c r="C3768" s="150" t="s">
        <v>5512</v>
      </c>
      <c r="D3768" s="201" t="s">
        <v>2224</v>
      </c>
      <c r="E3768" s="144" t="s">
        <v>21</v>
      </c>
      <c r="F3768" s="141" t="s">
        <v>821</v>
      </c>
      <c r="G3768" s="144" t="s">
        <v>6312</v>
      </c>
      <c r="H3768" s="146" t="s">
        <v>130</v>
      </c>
      <c r="I3768" s="144" t="s">
        <v>2568</v>
      </c>
    </row>
    <row r="3769" spans="1:9">
      <c r="A3769" s="194">
        <v>46237</v>
      </c>
      <c r="B3769" s="145" t="s">
        <v>830</v>
      </c>
      <c r="C3769" s="150" t="s">
        <v>5512</v>
      </c>
      <c r="D3769" s="201" t="s">
        <v>1431</v>
      </c>
      <c r="E3769" s="144" t="s">
        <v>1511</v>
      </c>
      <c r="F3769" s="187" t="s">
        <v>88</v>
      </c>
      <c r="G3769" s="144" t="s">
        <v>3811</v>
      </c>
      <c r="H3769" s="146" t="s">
        <v>26</v>
      </c>
      <c r="I3769" s="187" t="s">
        <v>185</v>
      </c>
    </row>
    <row r="3770" spans="1:9">
      <c r="A3770" s="194">
        <v>46237</v>
      </c>
      <c r="B3770" s="145" t="s">
        <v>830</v>
      </c>
      <c r="C3770" s="150" t="s">
        <v>5512</v>
      </c>
      <c r="D3770" s="201" t="s">
        <v>1431</v>
      </c>
      <c r="E3770" s="144" t="s">
        <v>1504</v>
      </c>
      <c r="F3770" s="187" t="s">
        <v>821</v>
      </c>
      <c r="G3770" s="144" t="s">
        <v>6275</v>
      </c>
      <c r="H3770" s="146" t="s">
        <v>26</v>
      </c>
      <c r="I3770" s="187" t="s">
        <v>921</v>
      </c>
    </row>
    <row r="3771" spans="1:9" ht="24">
      <c r="A3771" s="194">
        <v>46237</v>
      </c>
      <c r="B3771" s="145" t="s">
        <v>830</v>
      </c>
      <c r="C3771" s="150" t="s">
        <v>5512</v>
      </c>
      <c r="D3771" s="201" t="s">
        <v>1431</v>
      </c>
      <c r="E3771" s="144" t="s">
        <v>1504</v>
      </c>
      <c r="F3771" s="187" t="s">
        <v>821</v>
      </c>
      <c r="G3771" s="144" t="s">
        <v>4720</v>
      </c>
      <c r="H3771" s="146" t="s">
        <v>26</v>
      </c>
      <c r="I3771" s="187" t="s">
        <v>921</v>
      </c>
    </row>
    <row r="3772" spans="1:9">
      <c r="A3772" s="194">
        <v>46237</v>
      </c>
      <c r="B3772" s="145" t="s">
        <v>830</v>
      </c>
      <c r="C3772" s="150" t="s">
        <v>5512</v>
      </c>
      <c r="D3772" s="201" t="s">
        <v>3886</v>
      </c>
      <c r="E3772" s="144" t="s">
        <v>6313</v>
      </c>
      <c r="F3772" s="187" t="s">
        <v>821</v>
      </c>
      <c r="G3772" s="144" t="s">
        <v>4722</v>
      </c>
      <c r="H3772" s="146" t="s">
        <v>26</v>
      </c>
      <c r="I3772" s="187" t="s">
        <v>4834</v>
      </c>
    </row>
    <row r="3773" spans="1:9">
      <c r="A3773" s="194">
        <v>46237</v>
      </c>
      <c r="B3773" s="145" t="s">
        <v>830</v>
      </c>
      <c r="C3773" s="150" t="s">
        <v>5512</v>
      </c>
      <c r="D3773" s="201" t="s">
        <v>1431</v>
      </c>
      <c r="E3773" s="144" t="s">
        <v>4770</v>
      </c>
      <c r="F3773" s="187" t="s">
        <v>821</v>
      </c>
      <c r="G3773" s="144" t="s">
        <v>4723</v>
      </c>
      <c r="H3773" s="146" t="s">
        <v>26</v>
      </c>
      <c r="I3773" s="187" t="s">
        <v>4834</v>
      </c>
    </row>
    <row r="3774" spans="1:9" ht="24">
      <c r="A3774" s="194">
        <v>46238</v>
      </c>
      <c r="B3774" s="145" t="s">
        <v>830</v>
      </c>
      <c r="C3774" s="150" t="s">
        <v>5512</v>
      </c>
      <c r="D3774" s="201" t="s">
        <v>1431</v>
      </c>
      <c r="E3774" s="144" t="s">
        <v>88</v>
      </c>
      <c r="F3774" s="187" t="s">
        <v>88</v>
      </c>
      <c r="G3774" s="144" t="s">
        <v>6276</v>
      </c>
      <c r="H3774" s="146" t="s">
        <v>26</v>
      </c>
      <c r="I3774" s="187" t="s">
        <v>3758</v>
      </c>
    </row>
    <row r="3775" spans="1:9" ht="24">
      <c r="A3775" s="194">
        <v>46238</v>
      </c>
      <c r="B3775" s="145" t="s">
        <v>830</v>
      </c>
      <c r="C3775" s="150" t="s">
        <v>5512</v>
      </c>
      <c r="D3775" s="201" t="s">
        <v>1431</v>
      </c>
      <c r="E3775" s="144" t="s">
        <v>21</v>
      </c>
      <c r="F3775" s="187" t="s">
        <v>821</v>
      </c>
      <c r="G3775" s="144" t="s">
        <v>4724</v>
      </c>
      <c r="H3775" s="146" t="s">
        <v>26</v>
      </c>
      <c r="I3775" s="188" t="s">
        <v>468</v>
      </c>
    </row>
    <row r="3776" spans="1:9" ht="60">
      <c r="A3776" s="194">
        <v>46238</v>
      </c>
      <c r="B3776" s="145" t="s">
        <v>830</v>
      </c>
      <c r="C3776" s="150" t="s">
        <v>5512</v>
      </c>
      <c r="D3776" s="201" t="s">
        <v>1431</v>
      </c>
      <c r="E3776" s="144" t="s">
        <v>97</v>
      </c>
      <c r="F3776" s="187" t="s">
        <v>821</v>
      </c>
      <c r="G3776" s="144" t="s">
        <v>4726</v>
      </c>
      <c r="H3776" s="146" t="s">
        <v>26</v>
      </c>
      <c r="I3776" s="188" t="s">
        <v>158</v>
      </c>
    </row>
    <row r="3777" spans="1:9" ht="36">
      <c r="A3777" s="194">
        <v>46238</v>
      </c>
      <c r="B3777" s="145" t="s">
        <v>830</v>
      </c>
      <c r="C3777" s="150" t="s">
        <v>5512</v>
      </c>
      <c r="D3777" s="201" t="s">
        <v>1431</v>
      </c>
      <c r="E3777" s="144" t="s">
        <v>2244</v>
      </c>
      <c r="F3777" s="187" t="s">
        <v>88</v>
      </c>
      <c r="G3777" s="144" t="s">
        <v>6277</v>
      </c>
      <c r="H3777" s="146" t="s">
        <v>26</v>
      </c>
      <c r="I3777" s="188" t="s">
        <v>6074</v>
      </c>
    </row>
    <row r="3778" spans="1:9" ht="36">
      <c r="A3778" s="194">
        <v>46238</v>
      </c>
      <c r="B3778" s="145" t="s">
        <v>830</v>
      </c>
      <c r="C3778" s="150" t="s">
        <v>5512</v>
      </c>
      <c r="D3778" s="201" t="s">
        <v>1431</v>
      </c>
      <c r="E3778" s="144" t="s">
        <v>216</v>
      </c>
      <c r="F3778" s="187" t="s">
        <v>821</v>
      </c>
      <c r="G3778" s="144" t="s">
        <v>4728</v>
      </c>
      <c r="H3778" s="146" t="s">
        <v>26</v>
      </c>
      <c r="I3778" s="188" t="s">
        <v>4834</v>
      </c>
    </row>
    <row r="3779" spans="1:9" ht="60">
      <c r="A3779" s="194">
        <v>46238</v>
      </c>
      <c r="B3779" s="145" t="s">
        <v>830</v>
      </c>
      <c r="C3779" s="150" t="s">
        <v>5512</v>
      </c>
      <c r="D3779" s="201" t="s">
        <v>1431</v>
      </c>
      <c r="E3779" s="144" t="s">
        <v>216</v>
      </c>
      <c r="F3779" s="187" t="s">
        <v>821</v>
      </c>
      <c r="G3779" s="144" t="s">
        <v>4729</v>
      </c>
      <c r="H3779" s="146" t="s">
        <v>26</v>
      </c>
      <c r="I3779" s="188" t="s">
        <v>4834</v>
      </c>
    </row>
    <row r="3780" spans="1:9" ht="48">
      <c r="A3780" s="194">
        <v>46238</v>
      </c>
      <c r="B3780" s="145" t="s">
        <v>830</v>
      </c>
      <c r="C3780" s="150" t="s">
        <v>5512</v>
      </c>
      <c r="D3780" s="201" t="s">
        <v>1431</v>
      </c>
      <c r="E3780" s="144" t="s">
        <v>216</v>
      </c>
      <c r="F3780" s="187" t="s">
        <v>821</v>
      </c>
      <c r="G3780" s="144" t="s">
        <v>4730</v>
      </c>
      <c r="H3780" s="146" t="s">
        <v>26</v>
      </c>
      <c r="I3780" s="188" t="s">
        <v>4834</v>
      </c>
    </row>
    <row r="3781" spans="1:9" ht="24">
      <c r="A3781" s="194">
        <v>46238</v>
      </c>
      <c r="B3781" s="145" t="s">
        <v>830</v>
      </c>
      <c r="C3781" s="150" t="s">
        <v>5512</v>
      </c>
      <c r="D3781" s="201" t="s">
        <v>1431</v>
      </c>
      <c r="E3781" s="144" t="s">
        <v>1566</v>
      </c>
      <c r="F3781" s="187" t="s">
        <v>88</v>
      </c>
      <c r="G3781" s="144" t="s">
        <v>6278</v>
      </c>
      <c r="H3781" s="146" t="s">
        <v>26</v>
      </c>
      <c r="I3781" s="188" t="s">
        <v>4759</v>
      </c>
    </row>
    <row r="3782" spans="1:9">
      <c r="A3782" s="194">
        <v>46238</v>
      </c>
      <c r="B3782" s="145" t="s">
        <v>830</v>
      </c>
      <c r="C3782" s="150" t="s">
        <v>5512</v>
      </c>
      <c r="D3782" s="201" t="s">
        <v>1431</v>
      </c>
      <c r="E3782" s="144" t="s">
        <v>1566</v>
      </c>
      <c r="F3782" s="187" t="s">
        <v>88</v>
      </c>
      <c r="G3782" s="144" t="s">
        <v>6279</v>
      </c>
      <c r="H3782" s="146" t="s">
        <v>26</v>
      </c>
      <c r="I3782" s="187" t="s">
        <v>4759</v>
      </c>
    </row>
    <row r="3783" spans="1:9" ht="36">
      <c r="A3783" s="194">
        <v>46238</v>
      </c>
      <c r="B3783" s="145" t="s">
        <v>830</v>
      </c>
      <c r="C3783" s="150" t="s">
        <v>5512</v>
      </c>
      <c r="D3783" s="201" t="s">
        <v>1431</v>
      </c>
      <c r="E3783" s="144" t="s">
        <v>1566</v>
      </c>
      <c r="F3783" s="187" t="s">
        <v>88</v>
      </c>
      <c r="G3783" s="144" t="s">
        <v>6280</v>
      </c>
      <c r="H3783" s="146" t="s">
        <v>26</v>
      </c>
      <c r="I3783" s="187" t="s">
        <v>4759</v>
      </c>
    </row>
    <row r="3784" spans="1:9" ht="24">
      <c r="A3784" s="194">
        <v>46238</v>
      </c>
      <c r="B3784" s="145" t="s">
        <v>830</v>
      </c>
      <c r="C3784" s="150" t="s">
        <v>5512</v>
      </c>
      <c r="D3784" s="201" t="s">
        <v>1431</v>
      </c>
      <c r="E3784" s="144" t="s">
        <v>1449</v>
      </c>
      <c r="F3784" s="187" t="s">
        <v>88</v>
      </c>
      <c r="G3784" s="144" t="s">
        <v>6281</v>
      </c>
      <c r="H3784" s="146" t="s">
        <v>26</v>
      </c>
      <c r="I3784" s="188" t="s">
        <v>2739</v>
      </c>
    </row>
    <row r="3785" spans="1:9" ht="84">
      <c r="A3785" s="194">
        <v>46238</v>
      </c>
      <c r="B3785" s="145" t="s">
        <v>830</v>
      </c>
      <c r="C3785" s="150" t="s">
        <v>5512</v>
      </c>
      <c r="D3785" s="201" t="s">
        <v>3881</v>
      </c>
      <c r="E3785" s="144" t="s">
        <v>52</v>
      </c>
      <c r="F3785" s="187" t="s">
        <v>1439</v>
      </c>
      <c r="G3785" s="144" t="s">
        <v>6282</v>
      </c>
      <c r="H3785" s="146" t="s">
        <v>26</v>
      </c>
      <c r="I3785" s="188" t="s">
        <v>2739</v>
      </c>
    </row>
    <row r="3786" spans="1:9" ht="72">
      <c r="A3786" s="194">
        <v>46238</v>
      </c>
      <c r="B3786" s="145" t="s">
        <v>830</v>
      </c>
      <c r="C3786" s="150" t="s">
        <v>5512</v>
      </c>
      <c r="D3786" s="201" t="s">
        <v>2224</v>
      </c>
      <c r="E3786" s="144" t="s">
        <v>988</v>
      </c>
      <c r="F3786" s="187" t="s">
        <v>88</v>
      </c>
      <c r="G3786" s="144" t="s">
        <v>6283</v>
      </c>
      <c r="H3786" s="146" t="s">
        <v>26</v>
      </c>
      <c r="I3786" s="188" t="s">
        <v>2568</v>
      </c>
    </row>
    <row r="3787" spans="1:9" ht="36">
      <c r="A3787" s="194">
        <v>46238</v>
      </c>
      <c r="B3787" s="145" t="s">
        <v>830</v>
      </c>
      <c r="C3787" s="150" t="s">
        <v>5512</v>
      </c>
      <c r="D3787" s="201" t="s">
        <v>2224</v>
      </c>
      <c r="E3787" s="144" t="s">
        <v>1566</v>
      </c>
      <c r="F3787" s="187" t="s">
        <v>88</v>
      </c>
      <c r="G3787" s="144" t="s">
        <v>6284</v>
      </c>
      <c r="H3787" s="146" t="s">
        <v>26</v>
      </c>
      <c r="I3787" s="188" t="s">
        <v>4759</v>
      </c>
    </row>
    <row r="3788" spans="1:9" ht="24">
      <c r="A3788" s="195">
        <v>46239</v>
      </c>
      <c r="B3788" s="145" t="s">
        <v>830</v>
      </c>
      <c r="C3788" s="150" t="s">
        <v>5512</v>
      </c>
      <c r="D3788" s="201" t="s">
        <v>1431</v>
      </c>
      <c r="E3788" s="144" t="s">
        <v>988</v>
      </c>
      <c r="F3788" s="187" t="s">
        <v>88</v>
      </c>
      <c r="G3788" s="144" t="s">
        <v>6285</v>
      </c>
      <c r="H3788" s="146" t="s">
        <v>26</v>
      </c>
      <c r="I3788" s="188" t="s">
        <v>185</v>
      </c>
    </row>
    <row r="3789" spans="1:9">
      <c r="A3789" s="195">
        <v>46239</v>
      </c>
      <c r="B3789" s="145" t="s">
        <v>830</v>
      </c>
      <c r="C3789" s="150" t="s">
        <v>5512</v>
      </c>
      <c r="D3789" s="201" t="s">
        <v>1431</v>
      </c>
      <c r="E3789" s="144" t="s">
        <v>1566</v>
      </c>
      <c r="F3789" s="187" t="s">
        <v>88</v>
      </c>
      <c r="G3789" s="144" t="s">
        <v>6286</v>
      </c>
      <c r="H3789" s="146" t="s">
        <v>26</v>
      </c>
      <c r="I3789" s="188" t="s">
        <v>4759</v>
      </c>
    </row>
    <row r="3790" spans="1:9" ht="24">
      <c r="A3790" s="195">
        <v>46239</v>
      </c>
      <c r="B3790" s="145" t="s">
        <v>830</v>
      </c>
      <c r="C3790" s="150" t="s">
        <v>5512</v>
      </c>
      <c r="D3790" s="201" t="s">
        <v>1431</v>
      </c>
      <c r="E3790" s="144" t="s">
        <v>1566</v>
      </c>
      <c r="F3790" s="187" t="s">
        <v>88</v>
      </c>
      <c r="G3790" s="144" t="s">
        <v>6287</v>
      </c>
      <c r="H3790" s="146" t="s">
        <v>26</v>
      </c>
      <c r="I3790" s="188" t="s">
        <v>4759</v>
      </c>
    </row>
    <row r="3791" spans="1:9" ht="24">
      <c r="A3791" s="195">
        <v>46239</v>
      </c>
      <c r="B3791" s="145" t="s">
        <v>830</v>
      </c>
      <c r="C3791" s="150" t="s">
        <v>5512</v>
      </c>
      <c r="D3791" s="201" t="s">
        <v>1431</v>
      </c>
      <c r="E3791" s="144" t="s">
        <v>1449</v>
      </c>
      <c r="F3791" s="187" t="s">
        <v>88</v>
      </c>
      <c r="G3791" s="144" t="s">
        <v>6288</v>
      </c>
      <c r="H3791" s="146" t="s">
        <v>26</v>
      </c>
      <c r="I3791" s="188" t="s">
        <v>2739</v>
      </c>
    </row>
    <row r="3792" spans="1:9" ht="36">
      <c r="A3792" s="195">
        <v>46239</v>
      </c>
      <c r="B3792" s="145" t="s">
        <v>830</v>
      </c>
      <c r="C3792" s="150" t="s">
        <v>5512</v>
      </c>
      <c r="D3792" s="201" t="s">
        <v>1431</v>
      </c>
      <c r="E3792" s="144" t="s">
        <v>1449</v>
      </c>
      <c r="F3792" s="187" t="s">
        <v>88</v>
      </c>
      <c r="G3792" s="144" t="s">
        <v>6289</v>
      </c>
      <c r="H3792" s="146" t="s">
        <v>26</v>
      </c>
      <c r="I3792" s="188" t="s">
        <v>2739</v>
      </c>
    </row>
    <row r="3793" spans="1:9" ht="48">
      <c r="A3793" s="195">
        <v>46239</v>
      </c>
      <c r="B3793" s="145" t="s">
        <v>830</v>
      </c>
      <c r="C3793" s="150" t="s">
        <v>5512</v>
      </c>
      <c r="D3793" s="201" t="s">
        <v>1431</v>
      </c>
      <c r="E3793" s="144" t="s">
        <v>21</v>
      </c>
      <c r="F3793" s="187" t="s">
        <v>821</v>
      </c>
      <c r="G3793" s="144" t="s">
        <v>6290</v>
      </c>
      <c r="H3793" s="146" t="s">
        <v>26</v>
      </c>
      <c r="I3793" s="188" t="s">
        <v>2568</v>
      </c>
    </row>
    <row r="3794" spans="1:9" ht="36">
      <c r="A3794" s="194">
        <v>46240</v>
      </c>
      <c r="B3794" s="145" t="s">
        <v>830</v>
      </c>
      <c r="C3794" s="150" t="s">
        <v>5512</v>
      </c>
      <c r="D3794" s="201" t="s">
        <v>1431</v>
      </c>
      <c r="E3794" s="144" t="s">
        <v>1182</v>
      </c>
      <c r="F3794" s="187" t="s">
        <v>88</v>
      </c>
      <c r="G3794" s="144" t="s">
        <v>6291</v>
      </c>
      <c r="H3794" s="146" t="s">
        <v>26</v>
      </c>
      <c r="I3794" s="188" t="s">
        <v>921</v>
      </c>
    </row>
    <row r="3795" spans="1:9" ht="36">
      <c r="A3795" s="194">
        <v>46240</v>
      </c>
      <c r="B3795" s="145" t="s">
        <v>830</v>
      </c>
      <c r="C3795" s="150" t="s">
        <v>5512</v>
      </c>
      <c r="D3795" s="201" t="s">
        <v>1431</v>
      </c>
      <c r="E3795" s="144" t="s">
        <v>1182</v>
      </c>
      <c r="F3795" s="187" t="s">
        <v>821</v>
      </c>
      <c r="G3795" s="144" t="s">
        <v>4731</v>
      </c>
      <c r="H3795" s="146" t="s">
        <v>26</v>
      </c>
      <c r="I3795" s="188" t="s">
        <v>921</v>
      </c>
    </row>
    <row r="3796" spans="1:9" ht="36">
      <c r="A3796" s="194">
        <v>46240</v>
      </c>
      <c r="B3796" s="145" t="s">
        <v>830</v>
      </c>
      <c r="C3796" s="150" t="s">
        <v>5512</v>
      </c>
      <c r="D3796" s="201" t="s">
        <v>1431</v>
      </c>
      <c r="E3796" s="144" t="s">
        <v>21</v>
      </c>
      <c r="F3796" s="189" t="s">
        <v>821</v>
      </c>
      <c r="G3796" s="144" t="s">
        <v>4732</v>
      </c>
      <c r="H3796" s="146" t="s">
        <v>26</v>
      </c>
      <c r="I3796" s="188" t="s">
        <v>6074</v>
      </c>
    </row>
    <row r="3797" spans="1:9">
      <c r="A3797" s="194">
        <v>46240</v>
      </c>
      <c r="B3797" s="145" t="s">
        <v>830</v>
      </c>
      <c r="C3797" s="150" t="s">
        <v>5512</v>
      </c>
      <c r="D3797" s="201" t="s">
        <v>1431</v>
      </c>
      <c r="E3797" s="144" t="s">
        <v>1449</v>
      </c>
      <c r="F3797" s="189" t="s">
        <v>88</v>
      </c>
      <c r="G3797" s="144" t="s">
        <v>6292</v>
      </c>
      <c r="H3797" s="146" t="s">
        <v>26</v>
      </c>
      <c r="I3797" s="188" t="s">
        <v>2739</v>
      </c>
    </row>
    <row r="3798" spans="1:9" ht="24">
      <c r="A3798" s="194">
        <v>46240</v>
      </c>
      <c r="B3798" s="145" t="s">
        <v>830</v>
      </c>
      <c r="C3798" s="150" t="s">
        <v>5512</v>
      </c>
      <c r="D3798" s="201" t="s">
        <v>1431</v>
      </c>
      <c r="E3798" s="144" t="s">
        <v>1449</v>
      </c>
      <c r="F3798" s="189" t="s">
        <v>88</v>
      </c>
      <c r="G3798" s="144" t="s">
        <v>6293</v>
      </c>
      <c r="H3798" s="146" t="s">
        <v>26</v>
      </c>
      <c r="I3798" s="188" t="s">
        <v>2739</v>
      </c>
    </row>
    <row r="3799" spans="1:9">
      <c r="A3799" s="194">
        <v>46241</v>
      </c>
      <c r="B3799" s="145" t="s">
        <v>830</v>
      </c>
      <c r="C3799" s="150" t="s">
        <v>5512</v>
      </c>
      <c r="D3799" s="201" t="s">
        <v>1431</v>
      </c>
      <c r="E3799" s="144" t="s">
        <v>216</v>
      </c>
      <c r="F3799" s="189" t="s">
        <v>821</v>
      </c>
      <c r="G3799" s="144" t="s">
        <v>6294</v>
      </c>
      <c r="H3799" s="146" t="s">
        <v>26</v>
      </c>
      <c r="I3799" s="188" t="s">
        <v>4834</v>
      </c>
    </row>
    <row r="3800" spans="1:9" ht="36">
      <c r="A3800" s="194">
        <v>46241</v>
      </c>
      <c r="B3800" s="145" t="s">
        <v>830</v>
      </c>
      <c r="C3800" s="150" t="s">
        <v>5512</v>
      </c>
      <c r="D3800" s="201" t="s">
        <v>1431</v>
      </c>
      <c r="E3800" s="144" t="s">
        <v>216</v>
      </c>
      <c r="F3800" s="189" t="s">
        <v>821</v>
      </c>
      <c r="G3800" s="144" t="s">
        <v>6295</v>
      </c>
      <c r="H3800" s="146" t="s">
        <v>26</v>
      </c>
      <c r="I3800" s="188" t="s">
        <v>4834</v>
      </c>
    </row>
    <row r="3801" spans="1:9">
      <c r="A3801" s="194">
        <v>46241</v>
      </c>
      <c r="B3801" s="145" t="s">
        <v>830</v>
      </c>
      <c r="C3801" s="150" t="s">
        <v>5512</v>
      </c>
      <c r="D3801" s="201" t="s">
        <v>1431</v>
      </c>
      <c r="E3801" s="144" t="s">
        <v>1566</v>
      </c>
      <c r="F3801" s="189" t="s">
        <v>88</v>
      </c>
      <c r="G3801" s="144" t="s">
        <v>6296</v>
      </c>
      <c r="H3801" s="146" t="s">
        <v>26</v>
      </c>
      <c r="I3801" s="188" t="s">
        <v>4759</v>
      </c>
    </row>
    <row r="3802" spans="1:9">
      <c r="A3802" s="194">
        <v>46241</v>
      </c>
      <c r="B3802" s="145" t="s">
        <v>830</v>
      </c>
      <c r="C3802" s="150" t="s">
        <v>5512</v>
      </c>
      <c r="D3802" s="201" t="s">
        <v>1431</v>
      </c>
      <c r="E3802" s="144" t="s">
        <v>1449</v>
      </c>
      <c r="F3802" s="189" t="s">
        <v>88</v>
      </c>
      <c r="G3802" s="144" t="s">
        <v>6297</v>
      </c>
      <c r="H3802" s="146" t="s">
        <v>26</v>
      </c>
      <c r="I3802" s="188" t="s">
        <v>2739</v>
      </c>
    </row>
    <row r="3803" spans="1:9">
      <c r="A3803" s="194">
        <v>46241</v>
      </c>
      <c r="B3803" s="145" t="s">
        <v>830</v>
      </c>
      <c r="C3803" s="150" t="s">
        <v>5512</v>
      </c>
      <c r="D3803" s="201" t="s">
        <v>1431</v>
      </c>
      <c r="E3803" s="144" t="s">
        <v>1449</v>
      </c>
      <c r="F3803" s="187" t="s">
        <v>88</v>
      </c>
      <c r="G3803" s="144" t="s">
        <v>6298</v>
      </c>
      <c r="H3803" s="146" t="s">
        <v>26</v>
      </c>
      <c r="I3803" s="188" t="s">
        <v>2739</v>
      </c>
    </row>
    <row r="3804" spans="1:9">
      <c r="A3804" s="194">
        <v>46244</v>
      </c>
      <c r="B3804" s="145" t="s">
        <v>830</v>
      </c>
      <c r="C3804" s="150" t="s">
        <v>5512</v>
      </c>
      <c r="D3804" s="201" t="s">
        <v>1431</v>
      </c>
      <c r="E3804" s="144" t="s">
        <v>1511</v>
      </c>
      <c r="F3804" s="187" t="s">
        <v>88</v>
      </c>
      <c r="G3804" s="144" t="s">
        <v>6299</v>
      </c>
      <c r="H3804" s="146" t="s">
        <v>26</v>
      </c>
      <c r="I3804" s="188" t="s">
        <v>185</v>
      </c>
    </row>
    <row r="3805" spans="1:9" ht="72">
      <c r="A3805" s="194">
        <v>46244</v>
      </c>
      <c r="B3805" s="145" t="s">
        <v>830</v>
      </c>
      <c r="C3805" s="150" t="s">
        <v>5512</v>
      </c>
      <c r="D3805" s="201" t="s">
        <v>1431</v>
      </c>
      <c r="E3805" s="144" t="s">
        <v>1506</v>
      </c>
      <c r="F3805" s="187" t="s">
        <v>88</v>
      </c>
      <c r="G3805" s="144" t="s">
        <v>6300</v>
      </c>
      <c r="H3805" s="146" t="s">
        <v>26</v>
      </c>
      <c r="I3805" s="188"/>
    </row>
    <row r="3806" spans="1:9" ht="24">
      <c r="A3806" s="194">
        <v>46244</v>
      </c>
      <c r="B3806" s="145" t="s">
        <v>830</v>
      </c>
      <c r="C3806" s="150" t="s">
        <v>5512</v>
      </c>
      <c r="D3806" s="201" t="s">
        <v>1431</v>
      </c>
      <c r="E3806" s="144" t="s">
        <v>1566</v>
      </c>
      <c r="F3806" s="187" t="s">
        <v>88</v>
      </c>
      <c r="G3806" s="144" t="s">
        <v>6301</v>
      </c>
      <c r="H3806" s="146" t="s">
        <v>26</v>
      </c>
      <c r="I3806" s="188" t="s">
        <v>4759</v>
      </c>
    </row>
    <row r="3807" spans="1:9" ht="24">
      <c r="A3807" s="194">
        <v>46244</v>
      </c>
      <c r="B3807" s="145" t="s">
        <v>830</v>
      </c>
      <c r="C3807" s="150" t="s">
        <v>5512</v>
      </c>
      <c r="D3807" s="201" t="s">
        <v>1431</v>
      </c>
      <c r="E3807" s="144" t="s">
        <v>1566</v>
      </c>
      <c r="F3807" s="187" t="s">
        <v>88</v>
      </c>
      <c r="G3807" s="144" t="s">
        <v>6302</v>
      </c>
      <c r="H3807" s="146" t="s">
        <v>26</v>
      </c>
      <c r="I3807" s="188" t="s">
        <v>4759</v>
      </c>
    </row>
    <row r="3808" spans="1:9" ht="24">
      <c r="A3808" s="194">
        <v>46244</v>
      </c>
      <c r="B3808" s="145" t="s">
        <v>830</v>
      </c>
      <c r="C3808" s="150" t="s">
        <v>5512</v>
      </c>
      <c r="D3808" s="201" t="s">
        <v>3886</v>
      </c>
      <c r="E3808" s="144" t="s">
        <v>52</v>
      </c>
      <c r="F3808" s="187" t="s">
        <v>1439</v>
      </c>
      <c r="G3808" s="144" t="s">
        <v>4733</v>
      </c>
      <c r="H3808" s="146" t="s">
        <v>26</v>
      </c>
      <c r="I3808" s="188" t="s">
        <v>2813</v>
      </c>
    </row>
    <row r="3809" spans="1:9" ht="24">
      <c r="A3809" s="194">
        <v>46244</v>
      </c>
      <c r="B3809" s="145" t="s">
        <v>830</v>
      </c>
      <c r="C3809" s="150" t="s">
        <v>5512</v>
      </c>
      <c r="D3809" s="201" t="s">
        <v>3881</v>
      </c>
      <c r="E3809" s="144" t="s">
        <v>52</v>
      </c>
      <c r="F3809" s="187" t="s">
        <v>1439</v>
      </c>
      <c r="G3809" s="144" t="s">
        <v>4735</v>
      </c>
      <c r="H3809" s="146" t="s">
        <v>26</v>
      </c>
      <c r="I3809" s="188" t="s">
        <v>2813</v>
      </c>
    </row>
    <row r="3810" spans="1:9" ht="24">
      <c r="A3810" s="194">
        <v>46244</v>
      </c>
      <c r="B3810" s="145" t="s">
        <v>830</v>
      </c>
      <c r="C3810" s="150" t="s">
        <v>5512</v>
      </c>
      <c r="D3810" s="201" t="s">
        <v>3886</v>
      </c>
      <c r="E3810" s="144" t="s">
        <v>4770</v>
      </c>
      <c r="F3810" s="187" t="s">
        <v>821</v>
      </c>
      <c r="G3810" s="144" t="s">
        <v>4736</v>
      </c>
      <c r="H3810" s="146" t="s">
        <v>26</v>
      </c>
      <c r="I3810" s="188" t="s">
        <v>4834</v>
      </c>
    </row>
    <row r="3811" spans="1:9" ht="36">
      <c r="A3811" s="194">
        <v>46244</v>
      </c>
      <c r="B3811" s="145" t="s">
        <v>830</v>
      </c>
      <c r="C3811" s="150" t="s">
        <v>5512</v>
      </c>
      <c r="D3811" s="201" t="s">
        <v>1431</v>
      </c>
      <c r="E3811" s="144" t="s">
        <v>1449</v>
      </c>
      <c r="F3811" s="187" t="s">
        <v>88</v>
      </c>
      <c r="G3811" s="144" t="s">
        <v>4737</v>
      </c>
      <c r="H3811" s="146" t="s">
        <v>26</v>
      </c>
      <c r="I3811" s="188" t="s">
        <v>2739</v>
      </c>
    </row>
    <row r="3812" spans="1:9" ht="36">
      <c r="A3812" s="194">
        <v>46244</v>
      </c>
      <c r="B3812" s="145" t="s">
        <v>830</v>
      </c>
      <c r="C3812" s="150" t="s">
        <v>5512</v>
      </c>
      <c r="D3812" s="201" t="s">
        <v>2224</v>
      </c>
      <c r="E3812" s="144" t="s">
        <v>1518</v>
      </c>
      <c r="F3812" s="187" t="s">
        <v>88</v>
      </c>
      <c r="G3812" s="144" t="s">
        <v>4738</v>
      </c>
      <c r="H3812" s="146" t="s">
        <v>26</v>
      </c>
      <c r="I3812" s="188" t="s">
        <v>118</v>
      </c>
    </row>
    <row r="3813" spans="1:9" ht="48">
      <c r="A3813" s="194">
        <v>46245</v>
      </c>
      <c r="B3813" s="145" t="s">
        <v>830</v>
      </c>
      <c r="C3813" s="150" t="s">
        <v>5512</v>
      </c>
      <c r="D3813" s="201" t="s">
        <v>1431</v>
      </c>
      <c r="E3813" s="144" t="s">
        <v>1421</v>
      </c>
      <c r="F3813" s="187" t="s">
        <v>88</v>
      </c>
      <c r="G3813" s="144" t="s">
        <v>4739</v>
      </c>
      <c r="H3813" s="146" t="s">
        <v>26</v>
      </c>
      <c r="I3813" s="188" t="s">
        <v>916</v>
      </c>
    </row>
    <row r="3814" spans="1:9" ht="24">
      <c r="A3814" s="194">
        <v>46245</v>
      </c>
      <c r="B3814" s="145" t="s">
        <v>830</v>
      </c>
      <c r="C3814" s="150" t="s">
        <v>5512</v>
      </c>
      <c r="D3814" s="201" t="s">
        <v>1431</v>
      </c>
      <c r="E3814" s="144" t="s">
        <v>4770</v>
      </c>
      <c r="F3814" s="187" t="s">
        <v>821</v>
      </c>
      <c r="G3814" s="144" t="s">
        <v>4740</v>
      </c>
      <c r="H3814" s="146" t="s">
        <v>26</v>
      </c>
      <c r="I3814" s="188" t="s">
        <v>4834</v>
      </c>
    </row>
    <row r="3815" spans="1:9" ht="24">
      <c r="A3815" s="194">
        <v>46245</v>
      </c>
      <c r="B3815" s="145" t="s">
        <v>830</v>
      </c>
      <c r="C3815" s="150" t="s">
        <v>5512</v>
      </c>
      <c r="D3815" s="201" t="s">
        <v>1431</v>
      </c>
      <c r="E3815" s="144" t="s">
        <v>4770</v>
      </c>
      <c r="F3815" s="187" t="s">
        <v>821</v>
      </c>
      <c r="G3815" s="144" t="s">
        <v>6304</v>
      </c>
      <c r="H3815" s="146" t="s">
        <v>26</v>
      </c>
      <c r="I3815" s="188" t="s">
        <v>4834</v>
      </c>
    </row>
    <row r="3816" spans="1:9" ht="24">
      <c r="A3816" s="194">
        <v>46245</v>
      </c>
      <c r="B3816" s="145" t="s">
        <v>830</v>
      </c>
      <c r="C3816" s="150" t="s">
        <v>5512</v>
      </c>
      <c r="D3816" s="201" t="s">
        <v>1431</v>
      </c>
      <c r="E3816" s="144" t="s">
        <v>1566</v>
      </c>
      <c r="F3816" s="187" t="s">
        <v>88</v>
      </c>
      <c r="G3816" s="144" t="s">
        <v>6305</v>
      </c>
      <c r="H3816" s="146" t="s">
        <v>26</v>
      </c>
      <c r="I3816" s="188" t="s">
        <v>4759</v>
      </c>
    </row>
    <row r="3817" spans="1:9">
      <c r="A3817" s="194">
        <v>46245</v>
      </c>
      <c r="B3817" s="145" t="s">
        <v>830</v>
      </c>
      <c r="C3817" s="150" t="s">
        <v>5512</v>
      </c>
      <c r="D3817" s="201" t="s">
        <v>1431</v>
      </c>
      <c r="E3817" s="144" t="s">
        <v>1449</v>
      </c>
      <c r="F3817" s="187" t="s">
        <v>88</v>
      </c>
      <c r="G3817" s="144" t="s">
        <v>6306</v>
      </c>
      <c r="H3817" s="146" t="s">
        <v>26</v>
      </c>
      <c r="I3817" s="188" t="s">
        <v>4759</v>
      </c>
    </row>
    <row r="3818" spans="1:9" ht="24">
      <c r="A3818" s="194">
        <v>46245</v>
      </c>
      <c r="B3818" s="145" t="s">
        <v>830</v>
      </c>
      <c r="C3818" s="150" t="s">
        <v>5512</v>
      </c>
      <c r="D3818" s="201" t="s">
        <v>1431</v>
      </c>
      <c r="E3818" s="144" t="s">
        <v>1449</v>
      </c>
      <c r="F3818" s="187" t="s">
        <v>88</v>
      </c>
      <c r="G3818" s="144" t="s">
        <v>6307</v>
      </c>
      <c r="H3818" s="146" t="s">
        <v>26</v>
      </c>
      <c r="I3818" s="188" t="s">
        <v>4762</v>
      </c>
    </row>
    <row r="3819" spans="1:9" ht="24">
      <c r="A3819" s="194">
        <v>46245</v>
      </c>
      <c r="B3819" s="145" t="s">
        <v>830</v>
      </c>
      <c r="C3819" s="150" t="s">
        <v>5512</v>
      </c>
      <c r="D3819" s="201" t="s">
        <v>1431</v>
      </c>
      <c r="E3819" s="144" t="s">
        <v>324</v>
      </c>
      <c r="F3819" s="187" t="s">
        <v>88</v>
      </c>
      <c r="G3819" s="144" t="s">
        <v>6308</v>
      </c>
      <c r="H3819" s="146" t="s">
        <v>26</v>
      </c>
      <c r="I3819" s="188" t="s">
        <v>916</v>
      </c>
    </row>
    <row r="3820" spans="1:9" ht="60">
      <c r="A3820" s="194">
        <v>46245</v>
      </c>
      <c r="B3820" s="145" t="s">
        <v>830</v>
      </c>
      <c r="C3820" s="150" t="s">
        <v>5512</v>
      </c>
      <c r="D3820" s="201" t="s">
        <v>2224</v>
      </c>
      <c r="E3820" s="144" t="s">
        <v>1518</v>
      </c>
      <c r="F3820" s="187" t="s">
        <v>88</v>
      </c>
      <c r="G3820" s="144" t="s">
        <v>4741</v>
      </c>
      <c r="H3820" s="146" t="s">
        <v>26</v>
      </c>
      <c r="I3820" s="188" t="s">
        <v>2568</v>
      </c>
    </row>
    <row r="3821" spans="1:9" ht="48">
      <c r="A3821" s="194">
        <v>46247</v>
      </c>
      <c r="B3821" s="145" t="s">
        <v>830</v>
      </c>
      <c r="C3821" s="150" t="s">
        <v>5512</v>
      </c>
      <c r="D3821" s="201" t="s">
        <v>1431</v>
      </c>
      <c r="E3821" s="144" t="s">
        <v>4770</v>
      </c>
      <c r="F3821" s="187" t="s">
        <v>821</v>
      </c>
      <c r="G3821" s="144" t="s">
        <v>4742</v>
      </c>
      <c r="H3821" s="146" t="s">
        <v>26</v>
      </c>
      <c r="I3821" s="188" t="s">
        <v>4834</v>
      </c>
    </row>
    <row r="3822" spans="1:9" ht="36">
      <c r="A3822" s="194">
        <v>46247</v>
      </c>
      <c r="B3822" s="145" t="s">
        <v>830</v>
      </c>
      <c r="C3822" s="150" t="s">
        <v>5512</v>
      </c>
      <c r="D3822" s="201" t="s">
        <v>1431</v>
      </c>
      <c r="E3822" s="144" t="s">
        <v>4770</v>
      </c>
      <c r="F3822" s="187" t="s">
        <v>821</v>
      </c>
      <c r="G3822" s="144" t="s">
        <v>6314</v>
      </c>
      <c r="H3822" s="146" t="s">
        <v>26</v>
      </c>
      <c r="I3822" s="188" t="s">
        <v>4834</v>
      </c>
    </row>
    <row r="3823" spans="1:9" ht="24">
      <c r="A3823" s="194">
        <v>46247</v>
      </c>
      <c r="B3823" s="145" t="s">
        <v>830</v>
      </c>
      <c r="C3823" s="150" t="s">
        <v>5512</v>
      </c>
      <c r="D3823" s="201" t="s">
        <v>1431</v>
      </c>
      <c r="E3823" s="144" t="s">
        <v>1449</v>
      </c>
      <c r="F3823" s="187" t="s">
        <v>88</v>
      </c>
      <c r="G3823" s="144" t="s">
        <v>6310</v>
      </c>
      <c r="H3823" s="146" t="s">
        <v>26</v>
      </c>
      <c r="I3823" s="188" t="s">
        <v>4762</v>
      </c>
    </row>
    <row r="3824" spans="1:9" ht="48">
      <c r="A3824" s="194">
        <v>46247</v>
      </c>
      <c r="B3824" s="145" t="s">
        <v>830</v>
      </c>
      <c r="C3824" s="150" t="s">
        <v>5512</v>
      </c>
      <c r="D3824" s="201" t="s">
        <v>2224</v>
      </c>
      <c r="E3824" s="144" t="s">
        <v>52</v>
      </c>
      <c r="F3824" s="189" t="s">
        <v>1439</v>
      </c>
      <c r="G3824" s="144" t="s">
        <v>6311</v>
      </c>
      <c r="H3824" s="146" t="s">
        <v>26</v>
      </c>
      <c r="I3824" s="188" t="s">
        <v>2568</v>
      </c>
    </row>
    <row r="3825" spans="1:9" ht="48">
      <c r="A3825" s="194">
        <v>46247</v>
      </c>
      <c r="B3825" s="145" t="s">
        <v>830</v>
      </c>
      <c r="C3825" s="150" t="s">
        <v>5512</v>
      </c>
      <c r="D3825" s="201" t="s">
        <v>2224</v>
      </c>
      <c r="E3825" s="144" t="s">
        <v>21</v>
      </c>
      <c r="F3825" s="189" t="s">
        <v>821</v>
      </c>
      <c r="G3825" s="144" t="s">
        <v>6312</v>
      </c>
      <c r="H3825" s="146" t="s">
        <v>26</v>
      </c>
      <c r="I3825" s="188" t="s">
        <v>2568</v>
      </c>
    </row>
    <row r="3826" spans="1:9">
      <c r="A3826" s="194">
        <v>46248</v>
      </c>
      <c r="B3826" s="145" t="s">
        <v>830</v>
      </c>
      <c r="C3826" s="150" t="s">
        <v>5512</v>
      </c>
      <c r="D3826" s="201" t="s">
        <v>1431</v>
      </c>
      <c r="E3826" s="144" t="s">
        <v>988</v>
      </c>
      <c r="F3826" s="189" t="s">
        <v>88</v>
      </c>
      <c r="G3826" s="144" t="s">
        <v>6315</v>
      </c>
      <c r="H3826" s="146" t="s">
        <v>26</v>
      </c>
      <c r="I3826" s="188" t="s">
        <v>914</v>
      </c>
    </row>
    <row r="3827" spans="1:9" ht="24">
      <c r="A3827" s="194">
        <v>46248</v>
      </c>
      <c r="B3827" s="145" t="s">
        <v>830</v>
      </c>
      <c r="C3827" s="150" t="s">
        <v>5512</v>
      </c>
      <c r="D3827" s="201" t="s">
        <v>1431</v>
      </c>
      <c r="E3827" s="144" t="s">
        <v>4770</v>
      </c>
      <c r="F3827" s="189" t="s">
        <v>821</v>
      </c>
      <c r="G3827" s="144" t="s">
        <v>6316</v>
      </c>
      <c r="H3827" s="146" t="s">
        <v>26</v>
      </c>
      <c r="I3827" s="188" t="s">
        <v>914</v>
      </c>
    </row>
    <row r="3828" spans="1:9" ht="36">
      <c r="A3828" s="194">
        <v>46248</v>
      </c>
      <c r="B3828" s="145" t="s">
        <v>830</v>
      </c>
      <c r="C3828" s="150" t="s">
        <v>5512</v>
      </c>
      <c r="D3828" s="201" t="s">
        <v>1431</v>
      </c>
      <c r="E3828" s="144" t="s">
        <v>4770</v>
      </c>
      <c r="F3828" s="189" t="s">
        <v>821</v>
      </c>
      <c r="G3828" s="144" t="s">
        <v>6317</v>
      </c>
      <c r="H3828" s="146" t="s">
        <v>26</v>
      </c>
      <c r="I3828" s="188" t="s">
        <v>4834</v>
      </c>
    </row>
    <row r="3829" spans="1:9" ht="24">
      <c r="A3829" s="194">
        <v>46248</v>
      </c>
      <c r="B3829" s="145" t="s">
        <v>830</v>
      </c>
      <c r="C3829" s="150" t="s">
        <v>5512</v>
      </c>
      <c r="D3829" s="201" t="s">
        <v>1431</v>
      </c>
      <c r="E3829" s="144" t="s">
        <v>21</v>
      </c>
      <c r="F3829" s="189" t="s">
        <v>88</v>
      </c>
      <c r="G3829" s="144" t="s">
        <v>6318</v>
      </c>
      <c r="H3829" s="146" t="s">
        <v>26</v>
      </c>
      <c r="I3829" s="188" t="s">
        <v>468</v>
      </c>
    </row>
    <row r="3830" spans="1:9">
      <c r="A3830" s="194">
        <v>46248</v>
      </c>
      <c r="B3830" s="145" t="s">
        <v>830</v>
      </c>
      <c r="C3830" s="150" t="s">
        <v>5512</v>
      </c>
      <c r="D3830" s="201" t="s">
        <v>1431</v>
      </c>
      <c r="E3830" s="144" t="s">
        <v>1566</v>
      </c>
      <c r="F3830" s="189" t="s">
        <v>88</v>
      </c>
      <c r="G3830" s="144" t="s">
        <v>6319</v>
      </c>
      <c r="H3830" s="146" t="s">
        <v>26</v>
      </c>
      <c r="I3830" s="188" t="s">
        <v>2640</v>
      </c>
    </row>
    <row r="3831" spans="1:9">
      <c r="A3831" s="194">
        <v>46248</v>
      </c>
      <c r="B3831" s="145" t="s">
        <v>830</v>
      </c>
      <c r="C3831" s="150" t="s">
        <v>5512</v>
      </c>
      <c r="D3831" s="201" t="s">
        <v>1431</v>
      </c>
      <c r="E3831" s="144" t="s">
        <v>1449</v>
      </c>
      <c r="F3831" s="189" t="s">
        <v>88</v>
      </c>
      <c r="G3831" s="144" t="s">
        <v>6320</v>
      </c>
      <c r="H3831" s="146" t="s">
        <v>26</v>
      </c>
      <c r="I3831" s="188" t="s">
        <v>4762</v>
      </c>
    </row>
    <row r="3832" spans="1:9" ht="24">
      <c r="A3832" s="194">
        <v>46248</v>
      </c>
      <c r="B3832" s="145" t="s">
        <v>830</v>
      </c>
      <c r="C3832" s="150" t="s">
        <v>5512</v>
      </c>
      <c r="D3832" s="201" t="s">
        <v>1431</v>
      </c>
      <c r="E3832" s="144" t="s">
        <v>1449</v>
      </c>
      <c r="F3832" s="189" t="s">
        <v>88</v>
      </c>
      <c r="G3832" s="144" t="s">
        <v>6321</v>
      </c>
      <c r="H3832" s="146" t="s">
        <v>26</v>
      </c>
      <c r="I3832" s="188" t="s">
        <v>4762</v>
      </c>
    </row>
    <row r="3833" spans="1:9" ht="48">
      <c r="A3833" s="194">
        <v>46248</v>
      </c>
      <c r="B3833" s="145" t="s">
        <v>830</v>
      </c>
      <c r="C3833" s="150" t="s">
        <v>5512</v>
      </c>
      <c r="D3833" s="201" t="s">
        <v>1431</v>
      </c>
      <c r="E3833" s="144" t="s">
        <v>4770</v>
      </c>
      <c r="F3833" s="189" t="s">
        <v>821</v>
      </c>
      <c r="G3833" s="144" t="s">
        <v>6322</v>
      </c>
      <c r="H3833" s="146" t="s">
        <v>26</v>
      </c>
      <c r="I3833" s="188" t="s">
        <v>4834</v>
      </c>
    </row>
    <row r="3834" spans="1:9" ht="48">
      <c r="A3834" s="194">
        <v>46251</v>
      </c>
      <c r="B3834" s="145" t="s">
        <v>830</v>
      </c>
      <c r="C3834" s="150" t="s">
        <v>5512</v>
      </c>
      <c r="D3834" s="201" t="s">
        <v>1431</v>
      </c>
      <c r="E3834" s="144" t="s">
        <v>1182</v>
      </c>
      <c r="F3834" s="189" t="s">
        <v>88</v>
      </c>
      <c r="G3834" s="144" t="s">
        <v>6323</v>
      </c>
      <c r="H3834" s="146" t="s">
        <v>26</v>
      </c>
      <c r="I3834" s="188" t="s">
        <v>921</v>
      </c>
    </row>
    <row r="3835" spans="1:9" ht="24">
      <c r="A3835" s="194">
        <v>46251</v>
      </c>
      <c r="B3835" s="145" t="s">
        <v>830</v>
      </c>
      <c r="C3835" s="150" t="s">
        <v>5512</v>
      </c>
      <c r="D3835" s="201" t="s">
        <v>1431</v>
      </c>
      <c r="E3835" s="144" t="s">
        <v>6324</v>
      </c>
      <c r="F3835" s="189" t="s">
        <v>88</v>
      </c>
      <c r="G3835" s="144" t="s">
        <v>6325</v>
      </c>
      <c r="H3835" s="146" t="s">
        <v>26</v>
      </c>
      <c r="I3835" s="188" t="s">
        <v>921</v>
      </c>
    </row>
    <row r="3836" spans="1:9" ht="24">
      <c r="A3836" s="194">
        <v>46251</v>
      </c>
      <c r="B3836" s="145" t="s">
        <v>830</v>
      </c>
      <c r="C3836" s="150" t="s">
        <v>5512</v>
      </c>
      <c r="D3836" s="201" t="s">
        <v>1431</v>
      </c>
      <c r="E3836" s="144" t="s">
        <v>4791</v>
      </c>
      <c r="F3836" s="189" t="s">
        <v>821</v>
      </c>
      <c r="G3836" s="144" t="s">
        <v>6326</v>
      </c>
      <c r="H3836" s="146" t="s">
        <v>26</v>
      </c>
      <c r="I3836" s="188" t="s">
        <v>921</v>
      </c>
    </row>
    <row r="3837" spans="1:9" ht="36">
      <c r="A3837" s="194">
        <v>46251</v>
      </c>
      <c r="B3837" s="145" t="s">
        <v>830</v>
      </c>
      <c r="C3837" s="150" t="s">
        <v>5512</v>
      </c>
      <c r="D3837" s="201" t="s">
        <v>1431</v>
      </c>
      <c r="E3837" s="144" t="s">
        <v>1182</v>
      </c>
      <c r="F3837" s="189" t="s">
        <v>88</v>
      </c>
      <c r="G3837" s="144" t="s">
        <v>6327</v>
      </c>
      <c r="H3837" s="146" t="s">
        <v>26</v>
      </c>
      <c r="I3837" s="188" t="s">
        <v>921</v>
      </c>
    </row>
    <row r="3838" spans="1:9">
      <c r="A3838" s="194">
        <v>46251</v>
      </c>
      <c r="B3838" s="145" t="s">
        <v>830</v>
      </c>
      <c r="C3838" s="150" t="s">
        <v>5512</v>
      </c>
      <c r="D3838" s="201" t="s">
        <v>1431</v>
      </c>
      <c r="E3838" s="144" t="s">
        <v>1511</v>
      </c>
      <c r="F3838" s="189" t="s">
        <v>88</v>
      </c>
      <c r="G3838" s="144" t="s">
        <v>6328</v>
      </c>
      <c r="H3838" s="146" t="s">
        <v>26</v>
      </c>
      <c r="I3838" s="188" t="s">
        <v>185</v>
      </c>
    </row>
    <row r="3839" spans="1:9">
      <c r="A3839" s="194">
        <v>46251</v>
      </c>
      <c r="B3839" s="145" t="s">
        <v>830</v>
      </c>
      <c r="C3839" s="150" t="s">
        <v>5512</v>
      </c>
      <c r="D3839" s="201" t="s">
        <v>1431</v>
      </c>
      <c r="E3839" s="144" t="s">
        <v>1566</v>
      </c>
      <c r="F3839" s="189" t="s">
        <v>88</v>
      </c>
      <c r="G3839" s="144" t="s">
        <v>6329</v>
      </c>
      <c r="H3839" s="146" t="s">
        <v>26</v>
      </c>
      <c r="I3839" s="188" t="s">
        <v>4759</v>
      </c>
    </row>
    <row r="3840" spans="1:9" ht="24">
      <c r="A3840" s="194">
        <v>46251</v>
      </c>
      <c r="B3840" s="145" t="s">
        <v>830</v>
      </c>
      <c r="C3840" s="150" t="s">
        <v>5512</v>
      </c>
      <c r="D3840" s="201" t="s">
        <v>1431</v>
      </c>
      <c r="E3840" s="144" t="s">
        <v>1566</v>
      </c>
      <c r="F3840" s="189" t="s">
        <v>88</v>
      </c>
      <c r="G3840" s="144" t="s">
        <v>6330</v>
      </c>
      <c r="H3840" s="146" t="s">
        <v>26</v>
      </c>
      <c r="I3840" s="188" t="s">
        <v>4759</v>
      </c>
    </row>
    <row r="3841" spans="1:9">
      <c r="A3841" s="194">
        <v>46251</v>
      </c>
      <c r="B3841" s="145" t="s">
        <v>830</v>
      </c>
      <c r="C3841" s="150" t="s">
        <v>5512</v>
      </c>
      <c r="D3841" s="201" t="s">
        <v>1431</v>
      </c>
      <c r="E3841" s="144" t="s">
        <v>1566</v>
      </c>
      <c r="F3841" s="189" t="s">
        <v>88</v>
      </c>
      <c r="G3841" s="144" t="s">
        <v>6331</v>
      </c>
      <c r="H3841" s="146" t="s">
        <v>26</v>
      </c>
      <c r="I3841" s="188" t="s">
        <v>4759</v>
      </c>
    </row>
    <row r="3842" spans="1:9">
      <c r="A3842" s="194">
        <v>46251</v>
      </c>
      <c r="B3842" s="145" t="s">
        <v>830</v>
      </c>
      <c r="C3842" s="150" t="s">
        <v>5512</v>
      </c>
      <c r="D3842" s="201" t="s">
        <v>1431</v>
      </c>
      <c r="E3842" s="144" t="s">
        <v>1449</v>
      </c>
      <c r="F3842" s="189" t="s">
        <v>88</v>
      </c>
      <c r="G3842" s="144" t="s">
        <v>6332</v>
      </c>
      <c r="H3842" s="146" t="s">
        <v>26</v>
      </c>
      <c r="I3842" s="188" t="s">
        <v>154</v>
      </c>
    </row>
    <row r="3843" spans="1:9">
      <c r="A3843" s="194">
        <v>46251</v>
      </c>
      <c r="B3843" s="145" t="s">
        <v>830</v>
      </c>
      <c r="C3843" s="150" t="s">
        <v>5512</v>
      </c>
      <c r="D3843" s="201" t="s">
        <v>1431</v>
      </c>
      <c r="E3843" s="144" t="s">
        <v>1449</v>
      </c>
      <c r="F3843" s="189" t="s">
        <v>88</v>
      </c>
      <c r="G3843" s="144" t="s">
        <v>6333</v>
      </c>
      <c r="H3843" s="146" t="s">
        <v>26</v>
      </c>
      <c r="I3843" s="188" t="s">
        <v>154</v>
      </c>
    </row>
    <row r="3844" spans="1:9" ht="24">
      <c r="A3844" s="194">
        <v>46251</v>
      </c>
      <c r="B3844" s="145" t="s">
        <v>830</v>
      </c>
      <c r="C3844" s="150" t="s">
        <v>5512</v>
      </c>
      <c r="D3844" s="201" t="s">
        <v>1431</v>
      </c>
      <c r="E3844" s="144" t="s">
        <v>1449</v>
      </c>
      <c r="F3844" s="189" t="s">
        <v>88</v>
      </c>
      <c r="G3844" s="144" t="s">
        <v>6334</v>
      </c>
      <c r="H3844" s="146" t="s">
        <v>26</v>
      </c>
      <c r="I3844" s="188" t="s">
        <v>154</v>
      </c>
    </row>
    <row r="3845" spans="1:9" ht="24">
      <c r="A3845" s="194">
        <v>46251</v>
      </c>
      <c r="B3845" s="145" t="s">
        <v>830</v>
      </c>
      <c r="C3845" s="150" t="s">
        <v>5512</v>
      </c>
      <c r="D3845" s="201" t="s">
        <v>2224</v>
      </c>
      <c r="E3845" s="144" t="s">
        <v>1449</v>
      </c>
      <c r="F3845" s="189" t="s">
        <v>88</v>
      </c>
      <c r="G3845" s="144" t="s">
        <v>6335</v>
      </c>
      <c r="H3845" s="146" t="s">
        <v>26</v>
      </c>
      <c r="I3845" s="188" t="s">
        <v>4759</v>
      </c>
    </row>
    <row r="3846" spans="1:9">
      <c r="A3846" s="194">
        <v>46251</v>
      </c>
      <c r="B3846" s="145" t="s">
        <v>830</v>
      </c>
      <c r="C3846" s="150" t="s">
        <v>5512</v>
      </c>
      <c r="D3846" s="201" t="s">
        <v>1431</v>
      </c>
      <c r="E3846" s="144" t="s">
        <v>21</v>
      </c>
      <c r="F3846" s="189" t="s">
        <v>821</v>
      </c>
      <c r="G3846" s="144" t="s">
        <v>6336</v>
      </c>
      <c r="H3846" s="146" t="s">
        <v>26</v>
      </c>
      <c r="I3846" s="188" t="s">
        <v>468</v>
      </c>
    </row>
    <row r="3847" spans="1:9">
      <c r="A3847" s="194">
        <v>46252</v>
      </c>
      <c r="B3847" s="145" t="s">
        <v>830</v>
      </c>
      <c r="C3847" s="150" t="s">
        <v>5512</v>
      </c>
      <c r="D3847" s="201" t="s">
        <v>1431</v>
      </c>
      <c r="E3847" s="144" t="s">
        <v>1449</v>
      </c>
      <c r="F3847" s="189" t="s">
        <v>88</v>
      </c>
      <c r="G3847" s="144" t="s">
        <v>6337</v>
      </c>
      <c r="H3847" s="146" t="s">
        <v>26</v>
      </c>
      <c r="I3847" s="188" t="s">
        <v>154</v>
      </c>
    </row>
    <row r="3848" spans="1:9" ht="24">
      <c r="A3848" s="194">
        <v>46252</v>
      </c>
      <c r="B3848" s="145" t="s">
        <v>830</v>
      </c>
      <c r="C3848" s="150" t="s">
        <v>5512</v>
      </c>
      <c r="D3848" s="201" t="s">
        <v>1431</v>
      </c>
      <c r="E3848" s="144" t="s">
        <v>1449</v>
      </c>
      <c r="F3848" s="189" t="s">
        <v>88</v>
      </c>
      <c r="G3848" s="144" t="s">
        <v>6338</v>
      </c>
      <c r="H3848" s="146" t="s">
        <v>26</v>
      </c>
      <c r="I3848" s="188" t="s">
        <v>154</v>
      </c>
    </row>
    <row r="3849" spans="1:9" ht="24">
      <c r="A3849" s="194">
        <v>46252</v>
      </c>
      <c r="B3849" s="145" t="s">
        <v>830</v>
      </c>
      <c r="C3849" s="150" t="s">
        <v>5512</v>
      </c>
      <c r="D3849" s="201" t="s">
        <v>1431</v>
      </c>
      <c r="E3849" s="144" t="s">
        <v>1449</v>
      </c>
      <c r="F3849" s="189" t="s">
        <v>88</v>
      </c>
      <c r="G3849" s="144" t="s">
        <v>6339</v>
      </c>
      <c r="H3849" s="146" t="s">
        <v>26</v>
      </c>
      <c r="I3849" s="188" t="s">
        <v>154</v>
      </c>
    </row>
    <row r="3850" spans="1:9" ht="24">
      <c r="A3850" s="194">
        <v>46253</v>
      </c>
      <c r="B3850" s="145" t="s">
        <v>830</v>
      </c>
      <c r="C3850" s="150" t="s">
        <v>5512</v>
      </c>
      <c r="D3850" s="201" t="s">
        <v>1431</v>
      </c>
      <c r="E3850" s="144" t="s">
        <v>4791</v>
      </c>
      <c r="F3850" s="189" t="s">
        <v>821</v>
      </c>
      <c r="G3850" s="144" t="s">
        <v>6340</v>
      </c>
      <c r="H3850" s="146" t="s">
        <v>26</v>
      </c>
      <c r="I3850" s="188" t="s">
        <v>452</v>
      </c>
    </row>
    <row r="3851" spans="1:9">
      <c r="A3851" s="194">
        <v>46253</v>
      </c>
      <c r="B3851" s="145" t="s">
        <v>830</v>
      </c>
      <c r="C3851" s="150" t="s">
        <v>5512</v>
      </c>
      <c r="D3851" s="201" t="s">
        <v>1431</v>
      </c>
      <c r="E3851" s="144" t="s">
        <v>1511</v>
      </c>
      <c r="F3851" s="188" t="s">
        <v>88</v>
      </c>
      <c r="G3851" s="144" t="s">
        <v>6341</v>
      </c>
      <c r="H3851" s="146" t="s">
        <v>26</v>
      </c>
      <c r="I3851" s="188" t="s">
        <v>185</v>
      </c>
    </row>
    <row r="3852" spans="1:9" ht="36">
      <c r="A3852" s="194">
        <v>46253</v>
      </c>
      <c r="B3852" s="145" t="s">
        <v>830</v>
      </c>
      <c r="C3852" s="150" t="s">
        <v>5512</v>
      </c>
      <c r="D3852" s="201" t="s">
        <v>1431</v>
      </c>
      <c r="E3852" s="144" t="s">
        <v>4770</v>
      </c>
      <c r="F3852" s="188" t="s">
        <v>821</v>
      </c>
      <c r="G3852" s="144" t="s">
        <v>6342</v>
      </c>
      <c r="H3852" s="146" t="s">
        <v>26</v>
      </c>
      <c r="I3852" s="188" t="s">
        <v>4834</v>
      </c>
    </row>
    <row r="3853" spans="1:9" ht="24">
      <c r="A3853" s="194">
        <v>46253</v>
      </c>
      <c r="B3853" s="145" t="s">
        <v>830</v>
      </c>
      <c r="C3853" s="150" t="s">
        <v>5512</v>
      </c>
      <c r="D3853" s="201" t="s">
        <v>1431</v>
      </c>
      <c r="E3853" s="144" t="s">
        <v>1566</v>
      </c>
      <c r="F3853" s="188" t="s">
        <v>88</v>
      </c>
      <c r="G3853" s="144" t="s">
        <v>6343</v>
      </c>
      <c r="H3853" s="146" t="s">
        <v>26</v>
      </c>
      <c r="I3853" s="188" t="s">
        <v>1588</v>
      </c>
    </row>
    <row r="3854" spans="1:9" ht="36">
      <c r="A3854" s="194">
        <v>46253</v>
      </c>
      <c r="B3854" s="145" t="s">
        <v>830</v>
      </c>
      <c r="C3854" s="150" t="s">
        <v>5512</v>
      </c>
      <c r="D3854" s="201" t="s">
        <v>1431</v>
      </c>
      <c r="E3854" s="144" t="s">
        <v>1449</v>
      </c>
      <c r="F3854" s="188" t="s">
        <v>88</v>
      </c>
      <c r="G3854" s="144" t="s">
        <v>6344</v>
      </c>
      <c r="H3854" s="146" t="s">
        <v>26</v>
      </c>
      <c r="I3854" s="188" t="s">
        <v>154</v>
      </c>
    </row>
    <row r="3855" spans="1:9">
      <c r="A3855" s="196">
        <v>46254</v>
      </c>
      <c r="B3855" s="145" t="s">
        <v>830</v>
      </c>
      <c r="C3855" s="150" t="s">
        <v>5512</v>
      </c>
      <c r="D3855" s="201" t="s">
        <v>1431</v>
      </c>
      <c r="E3855" s="144" t="s">
        <v>1511</v>
      </c>
      <c r="F3855" s="189" t="s">
        <v>88</v>
      </c>
      <c r="G3855" s="144" t="s">
        <v>6345</v>
      </c>
      <c r="H3855" s="146" t="s">
        <v>26</v>
      </c>
      <c r="I3855" s="188" t="s">
        <v>6346</v>
      </c>
    </row>
    <row r="3856" spans="1:9" ht="36">
      <c r="A3856" s="194">
        <v>46254</v>
      </c>
      <c r="B3856" s="145" t="s">
        <v>830</v>
      </c>
      <c r="C3856" s="150" t="s">
        <v>5512</v>
      </c>
      <c r="D3856" s="201" t="s">
        <v>1431</v>
      </c>
      <c r="E3856" s="144" t="s">
        <v>1421</v>
      </c>
      <c r="F3856" s="189" t="s">
        <v>1439</v>
      </c>
      <c r="G3856" s="144" t="s">
        <v>6347</v>
      </c>
      <c r="H3856" s="146" t="s">
        <v>26</v>
      </c>
      <c r="I3856" s="188" t="s">
        <v>4377</v>
      </c>
    </row>
    <row r="3857" spans="1:9" ht="130.5">
      <c r="A3857" s="194">
        <v>46254</v>
      </c>
      <c r="B3857" s="145" t="s">
        <v>830</v>
      </c>
      <c r="C3857" s="150" t="s">
        <v>5512</v>
      </c>
      <c r="D3857" s="201" t="s">
        <v>1431</v>
      </c>
      <c r="E3857" s="144" t="s">
        <v>1182</v>
      </c>
      <c r="F3857" s="187" t="s">
        <v>88</v>
      </c>
      <c r="G3857" s="144" t="s">
        <v>6348</v>
      </c>
      <c r="H3857" s="146" t="s">
        <v>26</v>
      </c>
      <c r="I3857" s="188" t="s">
        <v>921</v>
      </c>
    </row>
    <row r="3858" spans="1:9">
      <c r="A3858" s="194">
        <v>46254</v>
      </c>
      <c r="B3858" s="145" t="s">
        <v>830</v>
      </c>
      <c r="C3858" s="150" t="s">
        <v>5512</v>
      </c>
      <c r="D3858" s="201" t="s">
        <v>1431</v>
      </c>
      <c r="E3858" s="144" t="s">
        <v>1566</v>
      </c>
      <c r="F3858" s="187" t="s">
        <v>88</v>
      </c>
      <c r="G3858" s="144" t="s">
        <v>6349</v>
      </c>
      <c r="H3858" s="146" t="s">
        <v>26</v>
      </c>
      <c r="I3858" s="188" t="s">
        <v>4759</v>
      </c>
    </row>
    <row r="3859" spans="1:9">
      <c r="A3859" s="194">
        <v>46254</v>
      </c>
      <c r="B3859" s="145" t="s">
        <v>830</v>
      </c>
      <c r="C3859" s="150" t="s">
        <v>5512</v>
      </c>
      <c r="D3859" s="201" t="s">
        <v>1431</v>
      </c>
      <c r="E3859" s="144" t="s">
        <v>1566</v>
      </c>
      <c r="F3859" s="187" t="s">
        <v>88</v>
      </c>
      <c r="G3859" s="144" t="s">
        <v>6350</v>
      </c>
      <c r="H3859" s="146" t="s">
        <v>26</v>
      </c>
      <c r="I3859" s="188" t="s">
        <v>4759</v>
      </c>
    </row>
    <row r="3860" spans="1:9" ht="36">
      <c r="A3860" s="197">
        <v>46255</v>
      </c>
      <c r="B3860" s="145" t="s">
        <v>830</v>
      </c>
      <c r="C3860" s="150" t="s">
        <v>5512</v>
      </c>
      <c r="D3860" s="201" t="s">
        <v>1431</v>
      </c>
      <c r="E3860" s="144" t="s">
        <v>52</v>
      </c>
      <c r="F3860" s="187" t="s">
        <v>1439</v>
      </c>
      <c r="G3860" s="144" t="s">
        <v>6351</v>
      </c>
      <c r="H3860" s="146" t="s">
        <v>26</v>
      </c>
      <c r="I3860" s="188" t="s">
        <v>6352</v>
      </c>
    </row>
    <row r="3861" spans="1:9">
      <c r="A3861" s="197">
        <v>46255</v>
      </c>
      <c r="B3861" s="145" t="s">
        <v>830</v>
      </c>
      <c r="C3861" s="150" t="s">
        <v>5512</v>
      </c>
      <c r="D3861" s="201" t="s">
        <v>1431</v>
      </c>
      <c r="E3861" s="144" t="s">
        <v>988</v>
      </c>
      <c r="F3861" s="187" t="s">
        <v>88</v>
      </c>
      <c r="G3861" s="144" t="s">
        <v>6353</v>
      </c>
      <c r="H3861" s="146" t="s">
        <v>26</v>
      </c>
      <c r="I3861" s="188" t="s">
        <v>452</v>
      </c>
    </row>
    <row r="3862" spans="1:9" ht="60">
      <c r="A3862" s="197">
        <v>46255</v>
      </c>
      <c r="B3862" s="145" t="s">
        <v>830</v>
      </c>
      <c r="C3862" s="150" t="s">
        <v>5512</v>
      </c>
      <c r="D3862" s="201" t="s">
        <v>1431</v>
      </c>
      <c r="E3862" s="144" t="s">
        <v>52</v>
      </c>
      <c r="F3862" s="187" t="s">
        <v>1439</v>
      </c>
      <c r="G3862" s="144" t="s">
        <v>6354</v>
      </c>
      <c r="H3862" s="146" t="s">
        <v>26</v>
      </c>
      <c r="I3862" s="188" t="s">
        <v>452</v>
      </c>
    </row>
    <row r="3863" spans="1:9" ht="48">
      <c r="A3863" s="197">
        <v>46255</v>
      </c>
      <c r="B3863" s="145" t="s">
        <v>830</v>
      </c>
      <c r="C3863" s="150" t="s">
        <v>5512</v>
      </c>
      <c r="D3863" s="201" t="s">
        <v>1431</v>
      </c>
      <c r="E3863" s="144" t="s">
        <v>4770</v>
      </c>
      <c r="F3863" s="187" t="s">
        <v>821</v>
      </c>
      <c r="G3863" s="144" t="s">
        <v>6355</v>
      </c>
      <c r="H3863" s="146" t="s">
        <v>26</v>
      </c>
      <c r="I3863" s="188" t="s">
        <v>4834</v>
      </c>
    </row>
    <row r="3864" spans="1:9" ht="36">
      <c r="A3864" s="197">
        <v>46255</v>
      </c>
      <c r="B3864" s="145" t="s">
        <v>830</v>
      </c>
      <c r="C3864" s="150" t="s">
        <v>5512</v>
      </c>
      <c r="D3864" s="201" t="s">
        <v>1431</v>
      </c>
      <c r="E3864" s="144" t="s">
        <v>4770</v>
      </c>
      <c r="F3864" s="187" t="s">
        <v>821</v>
      </c>
      <c r="G3864" s="144" t="s">
        <v>6356</v>
      </c>
      <c r="H3864" s="146" t="s">
        <v>26</v>
      </c>
      <c r="I3864" s="188" t="s">
        <v>4834</v>
      </c>
    </row>
    <row r="3865" spans="1:9" ht="24">
      <c r="A3865" s="197">
        <v>46255</v>
      </c>
      <c r="B3865" s="145" t="s">
        <v>830</v>
      </c>
      <c r="C3865" s="150" t="s">
        <v>5512</v>
      </c>
      <c r="D3865" s="201" t="s">
        <v>1431</v>
      </c>
      <c r="E3865" s="144" t="s">
        <v>4770</v>
      </c>
      <c r="F3865" s="187" t="s">
        <v>821</v>
      </c>
      <c r="G3865" s="144" t="s">
        <v>6357</v>
      </c>
      <c r="H3865" s="146" t="s">
        <v>26</v>
      </c>
      <c r="I3865" s="188" t="s">
        <v>4834</v>
      </c>
    </row>
    <row r="3866" spans="1:9" ht="24">
      <c r="A3866" s="197">
        <v>46255</v>
      </c>
      <c r="B3866" s="145" t="s">
        <v>830</v>
      </c>
      <c r="C3866" s="150" t="s">
        <v>5512</v>
      </c>
      <c r="D3866" s="201" t="s">
        <v>1431</v>
      </c>
      <c r="E3866" s="144" t="s">
        <v>1449</v>
      </c>
      <c r="F3866" s="187" t="s">
        <v>88</v>
      </c>
      <c r="G3866" s="144" t="s">
        <v>6358</v>
      </c>
      <c r="H3866" s="146" t="s">
        <v>26</v>
      </c>
      <c r="I3866" s="188" t="s">
        <v>154</v>
      </c>
    </row>
    <row r="3867" spans="1:9" ht="36">
      <c r="A3867" s="197">
        <v>46255</v>
      </c>
      <c r="B3867" s="145" t="s">
        <v>830</v>
      </c>
      <c r="C3867" s="150" t="s">
        <v>5512</v>
      </c>
      <c r="D3867" s="201" t="s">
        <v>1431</v>
      </c>
      <c r="E3867" s="144" t="s">
        <v>1449</v>
      </c>
      <c r="F3867" s="187" t="s">
        <v>88</v>
      </c>
      <c r="G3867" s="144" t="s">
        <v>6359</v>
      </c>
      <c r="H3867" s="146" t="s">
        <v>26</v>
      </c>
      <c r="I3867" s="188" t="s">
        <v>154</v>
      </c>
    </row>
    <row r="3868" spans="1:9">
      <c r="A3868" s="197">
        <v>46255</v>
      </c>
      <c r="B3868" s="145" t="s">
        <v>830</v>
      </c>
      <c r="C3868" s="150" t="s">
        <v>5512</v>
      </c>
      <c r="D3868" s="201" t="s">
        <v>1431</v>
      </c>
      <c r="E3868" s="144" t="s">
        <v>1449</v>
      </c>
      <c r="F3868" s="187" t="s">
        <v>821</v>
      </c>
      <c r="G3868" s="144" t="s">
        <v>6360</v>
      </c>
      <c r="H3868" s="146" t="s">
        <v>26</v>
      </c>
      <c r="I3868" s="188" t="s">
        <v>154</v>
      </c>
    </row>
    <row r="3869" spans="1:9" ht="24">
      <c r="A3869" s="194">
        <v>46258</v>
      </c>
      <c r="B3869" s="145" t="s">
        <v>830</v>
      </c>
      <c r="C3869" s="150" t="s">
        <v>5512</v>
      </c>
      <c r="D3869" s="201" t="s">
        <v>1431</v>
      </c>
      <c r="E3869" s="144" t="s">
        <v>988</v>
      </c>
      <c r="F3869" s="187" t="s">
        <v>88</v>
      </c>
      <c r="G3869" s="144" t="s">
        <v>6361</v>
      </c>
      <c r="H3869" s="146" t="s">
        <v>26</v>
      </c>
      <c r="I3869" s="188" t="s">
        <v>452</v>
      </c>
    </row>
    <row r="3870" spans="1:9" ht="24">
      <c r="A3870" s="194">
        <v>46258</v>
      </c>
      <c r="B3870" s="145" t="s">
        <v>830</v>
      </c>
      <c r="C3870" s="150" t="s">
        <v>5512</v>
      </c>
      <c r="D3870" s="201" t="s">
        <v>1431</v>
      </c>
      <c r="E3870" s="144" t="s">
        <v>988</v>
      </c>
      <c r="F3870" s="190" t="s">
        <v>88</v>
      </c>
      <c r="G3870" s="144" t="s">
        <v>6362</v>
      </c>
      <c r="H3870" s="146" t="s">
        <v>26</v>
      </c>
      <c r="I3870" s="188" t="s">
        <v>914</v>
      </c>
    </row>
    <row r="3871" spans="1:9" ht="24">
      <c r="A3871" s="194">
        <v>46258</v>
      </c>
      <c r="B3871" s="145" t="s">
        <v>830</v>
      </c>
      <c r="C3871" s="150" t="s">
        <v>5512</v>
      </c>
      <c r="D3871" s="201" t="s">
        <v>1431</v>
      </c>
      <c r="E3871" s="144" t="s">
        <v>6363</v>
      </c>
      <c r="F3871" s="187" t="s">
        <v>88</v>
      </c>
      <c r="G3871" s="144" t="s">
        <v>6364</v>
      </c>
      <c r="H3871" s="146" t="s">
        <v>26</v>
      </c>
      <c r="I3871" s="188" t="s">
        <v>208</v>
      </c>
    </row>
    <row r="3872" spans="1:9" ht="24">
      <c r="A3872" s="194">
        <v>46258</v>
      </c>
      <c r="B3872" s="145" t="s">
        <v>830</v>
      </c>
      <c r="C3872" s="150" t="s">
        <v>5512</v>
      </c>
      <c r="D3872" s="201" t="s">
        <v>1431</v>
      </c>
      <c r="E3872" s="144" t="s">
        <v>6363</v>
      </c>
      <c r="F3872" s="187" t="s">
        <v>88</v>
      </c>
      <c r="G3872" s="144" t="s">
        <v>5799</v>
      </c>
      <c r="H3872" s="146" t="s">
        <v>26</v>
      </c>
      <c r="I3872" s="188" t="s">
        <v>208</v>
      </c>
    </row>
    <row r="3873" spans="1:9" ht="24">
      <c r="A3873" s="194">
        <v>46258</v>
      </c>
      <c r="B3873" s="145" t="s">
        <v>830</v>
      </c>
      <c r="C3873" s="150" t="s">
        <v>5512</v>
      </c>
      <c r="D3873" s="201" t="s">
        <v>1431</v>
      </c>
      <c r="E3873" s="144" t="s">
        <v>4770</v>
      </c>
      <c r="F3873" s="187" t="s">
        <v>821</v>
      </c>
      <c r="G3873" s="144" t="s">
        <v>6365</v>
      </c>
      <c r="H3873" s="146" t="s">
        <v>26</v>
      </c>
      <c r="I3873" s="187" t="s">
        <v>4834</v>
      </c>
    </row>
    <row r="3874" spans="1:9" ht="84">
      <c r="A3874" s="194">
        <v>46258</v>
      </c>
      <c r="B3874" s="145" t="s">
        <v>830</v>
      </c>
      <c r="C3874" s="150" t="s">
        <v>5512</v>
      </c>
      <c r="D3874" s="201" t="s">
        <v>1431</v>
      </c>
      <c r="E3874" s="144" t="s">
        <v>4770</v>
      </c>
      <c r="F3874" s="187" t="s">
        <v>821</v>
      </c>
      <c r="G3874" s="144" t="s">
        <v>4744</v>
      </c>
      <c r="H3874" s="146" t="s">
        <v>4745</v>
      </c>
      <c r="I3874" s="187" t="s">
        <v>4834</v>
      </c>
    </row>
    <row r="3875" spans="1:9" ht="48">
      <c r="A3875" s="194">
        <v>46258</v>
      </c>
      <c r="B3875" s="145" t="s">
        <v>830</v>
      </c>
      <c r="C3875" s="150" t="s">
        <v>5512</v>
      </c>
      <c r="D3875" s="201" t="s">
        <v>1431</v>
      </c>
      <c r="E3875" s="144" t="s">
        <v>4770</v>
      </c>
      <c r="F3875" s="187" t="s">
        <v>821</v>
      </c>
      <c r="G3875" s="144" t="s">
        <v>6366</v>
      </c>
      <c r="H3875" s="146" t="s">
        <v>26</v>
      </c>
      <c r="I3875" s="187" t="s">
        <v>4834</v>
      </c>
    </row>
    <row r="3876" spans="1:9" ht="24">
      <c r="A3876" s="194">
        <v>46258</v>
      </c>
      <c r="B3876" s="145" t="s">
        <v>830</v>
      </c>
      <c r="C3876" s="150" t="s">
        <v>5512</v>
      </c>
      <c r="D3876" s="201" t="s">
        <v>1431</v>
      </c>
      <c r="E3876" s="144" t="s">
        <v>21</v>
      </c>
      <c r="F3876" s="187" t="s">
        <v>821</v>
      </c>
      <c r="G3876" s="144" t="s">
        <v>6367</v>
      </c>
      <c r="H3876" s="146" t="s">
        <v>4745</v>
      </c>
      <c r="I3876" s="187" t="s">
        <v>468</v>
      </c>
    </row>
    <row r="3877" spans="1:9" ht="48">
      <c r="A3877" s="194">
        <v>46258</v>
      </c>
      <c r="B3877" s="145" t="s">
        <v>830</v>
      </c>
      <c r="C3877" s="150" t="s">
        <v>5512</v>
      </c>
      <c r="D3877" s="201" t="s">
        <v>1431</v>
      </c>
      <c r="E3877" s="144" t="s">
        <v>4770</v>
      </c>
      <c r="F3877" s="187" t="s">
        <v>821</v>
      </c>
      <c r="G3877" s="144" t="s">
        <v>6368</v>
      </c>
      <c r="H3877" s="146" t="s">
        <v>26</v>
      </c>
      <c r="I3877" s="187" t="s">
        <v>4834</v>
      </c>
    </row>
    <row r="3878" spans="1:9" ht="24">
      <c r="A3878" s="194">
        <v>46258</v>
      </c>
      <c r="B3878" s="145" t="s">
        <v>830</v>
      </c>
      <c r="C3878" s="150" t="s">
        <v>5512</v>
      </c>
      <c r="D3878" s="201" t="s">
        <v>1431</v>
      </c>
      <c r="E3878" s="144" t="s">
        <v>1449</v>
      </c>
      <c r="F3878" s="189" t="s">
        <v>88</v>
      </c>
      <c r="G3878" s="144" t="s">
        <v>6369</v>
      </c>
      <c r="H3878" s="146" t="s">
        <v>26</v>
      </c>
      <c r="I3878" s="187" t="s">
        <v>4762</v>
      </c>
    </row>
    <row r="3879" spans="1:9">
      <c r="A3879" s="198">
        <v>46259</v>
      </c>
      <c r="B3879" s="145" t="s">
        <v>830</v>
      </c>
      <c r="C3879" s="150" t="s">
        <v>5512</v>
      </c>
      <c r="D3879" s="201" t="s">
        <v>2224</v>
      </c>
      <c r="E3879" s="144" t="s">
        <v>21</v>
      </c>
      <c r="F3879" s="189" t="s">
        <v>821</v>
      </c>
      <c r="G3879" s="144" t="s">
        <v>6370</v>
      </c>
      <c r="H3879" s="146" t="s">
        <v>4745</v>
      </c>
      <c r="I3879" s="187" t="s">
        <v>468</v>
      </c>
    </row>
    <row r="3880" spans="1:9" ht="24">
      <c r="A3880" s="194">
        <v>46260</v>
      </c>
      <c r="B3880" s="145" t="s">
        <v>830</v>
      </c>
      <c r="C3880" s="150" t="s">
        <v>5512</v>
      </c>
      <c r="D3880" s="201" t="s">
        <v>1431</v>
      </c>
      <c r="E3880" s="144" t="s">
        <v>1225</v>
      </c>
      <c r="F3880" s="187" t="s">
        <v>859</v>
      </c>
      <c r="G3880" s="144" t="s">
        <v>6371</v>
      </c>
      <c r="H3880" s="146" t="s">
        <v>26</v>
      </c>
      <c r="I3880" s="187" t="s">
        <v>1998</v>
      </c>
    </row>
    <row r="3881" spans="1:9" ht="36">
      <c r="A3881" s="194">
        <v>46260</v>
      </c>
      <c r="B3881" s="145" t="s">
        <v>830</v>
      </c>
      <c r="C3881" s="150" t="s">
        <v>5512</v>
      </c>
      <c r="D3881" s="201" t="s">
        <v>1431</v>
      </c>
      <c r="E3881" s="144" t="s">
        <v>4565</v>
      </c>
      <c r="F3881" s="189" t="s">
        <v>88</v>
      </c>
      <c r="G3881" s="144" t="s">
        <v>6372</v>
      </c>
      <c r="H3881" s="146" t="s">
        <v>4745</v>
      </c>
      <c r="I3881" s="187" t="s">
        <v>4377</v>
      </c>
    </row>
    <row r="3882" spans="1:9" ht="36">
      <c r="A3882" s="194">
        <v>46260</v>
      </c>
      <c r="B3882" s="145" t="s">
        <v>830</v>
      </c>
      <c r="C3882" s="150" t="s">
        <v>5512</v>
      </c>
      <c r="D3882" s="201" t="s">
        <v>1431</v>
      </c>
      <c r="E3882" s="144" t="s">
        <v>4770</v>
      </c>
      <c r="F3882" s="187" t="s">
        <v>821</v>
      </c>
      <c r="G3882" s="144" t="s">
        <v>4747</v>
      </c>
      <c r="H3882" s="146" t="s">
        <v>4745</v>
      </c>
      <c r="I3882" s="187" t="s">
        <v>4834</v>
      </c>
    </row>
    <row r="3883" spans="1:9" ht="24">
      <c r="A3883" s="194">
        <v>46260</v>
      </c>
      <c r="B3883" s="145" t="s">
        <v>830</v>
      </c>
      <c r="C3883" s="150" t="s">
        <v>5512</v>
      </c>
      <c r="D3883" s="201" t="s">
        <v>1431</v>
      </c>
      <c r="E3883" s="144" t="s">
        <v>1566</v>
      </c>
      <c r="F3883" s="187" t="s">
        <v>88</v>
      </c>
      <c r="G3883" s="144" t="s">
        <v>6373</v>
      </c>
      <c r="H3883" s="146" t="s">
        <v>26</v>
      </c>
      <c r="I3883" s="187" t="s">
        <v>4759</v>
      </c>
    </row>
    <row r="3884" spans="1:9">
      <c r="A3884" s="194">
        <v>46260</v>
      </c>
      <c r="B3884" s="145" t="s">
        <v>830</v>
      </c>
      <c r="C3884" s="150" t="s">
        <v>5512</v>
      </c>
      <c r="D3884" s="201" t="s">
        <v>1431</v>
      </c>
      <c r="E3884" s="144" t="s">
        <v>1566</v>
      </c>
      <c r="F3884" s="187" t="s">
        <v>88</v>
      </c>
      <c r="G3884" s="144" t="s">
        <v>6374</v>
      </c>
      <c r="H3884" s="146" t="s">
        <v>26</v>
      </c>
      <c r="I3884" s="187" t="s">
        <v>4759</v>
      </c>
    </row>
    <row r="3885" spans="1:9" ht="24">
      <c r="A3885" s="194">
        <v>46260</v>
      </c>
      <c r="B3885" s="145" t="s">
        <v>830</v>
      </c>
      <c r="C3885" s="150" t="s">
        <v>5512</v>
      </c>
      <c r="D3885" s="201" t="s">
        <v>1431</v>
      </c>
      <c r="E3885" s="144" t="s">
        <v>1449</v>
      </c>
      <c r="F3885" s="187" t="s">
        <v>88</v>
      </c>
      <c r="G3885" s="144" t="s">
        <v>6375</v>
      </c>
      <c r="H3885" s="146" t="s">
        <v>26</v>
      </c>
      <c r="I3885" s="187" t="s">
        <v>4762</v>
      </c>
    </row>
    <row r="3886" spans="1:9" ht="48">
      <c r="A3886" s="194">
        <v>46260</v>
      </c>
      <c r="B3886" s="145" t="s">
        <v>830</v>
      </c>
      <c r="C3886" s="150" t="s">
        <v>5512</v>
      </c>
      <c r="D3886" s="201" t="s">
        <v>3886</v>
      </c>
      <c r="E3886" s="144" t="s">
        <v>52</v>
      </c>
      <c r="F3886" s="187" t="s">
        <v>1439</v>
      </c>
      <c r="G3886" s="144" t="s">
        <v>6376</v>
      </c>
      <c r="H3886" s="146" t="s">
        <v>26</v>
      </c>
      <c r="I3886" s="187" t="s">
        <v>2813</v>
      </c>
    </row>
    <row r="3887" spans="1:9" ht="36">
      <c r="A3887" s="194">
        <v>46260</v>
      </c>
      <c r="B3887" s="145" t="s">
        <v>830</v>
      </c>
      <c r="C3887" s="150" t="s">
        <v>5512</v>
      </c>
      <c r="D3887" s="201" t="s">
        <v>1431</v>
      </c>
      <c r="E3887" s="144" t="s">
        <v>21</v>
      </c>
      <c r="F3887" s="187" t="s">
        <v>821</v>
      </c>
      <c r="G3887" s="144" t="s">
        <v>4746</v>
      </c>
      <c r="H3887" s="146" t="s">
        <v>4745</v>
      </c>
      <c r="I3887" s="187" t="s">
        <v>468</v>
      </c>
    </row>
    <row r="3888" spans="1:9" ht="24">
      <c r="A3888" s="64">
        <v>46261</v>
      </c>
      <c r="B3888" s="145" t="s">
        <v>830</v>
      </c>
      <c r="C3888" s="150" t="s">
        <v>5512</v>
      </c>
      <c r="D3888" s="225" t="s">
        <v>1431</v>
      </c>
      <c r="E3888" s="225" t="s">
        <v>1158</v>
      </c>
      <c r="F3888" s="187" t="s">
        <v>1439</v>
      </c>
      <c r="G3888" s="187" t="s">
        <v>6377</v>
      </c>
      <c r="H3888" s="12" t="s">
        <v>26</v>
      </c>
      <c r="I3888" s="187" t="s">
        <v>6378</v>
      </c>
    </row>
    <row r="3889" spans="1:9" ht="24">
      <c r="A3889" s="64">
        <v>46261</v>
      </c>
      <c r="B3889" s="145" t="s">
        <v>830</v>
      </c>
      <c r="C3889" s="150" t="s">
        <v>5512</v>
      </c>
      <c r="D3889" s="225" t="s">
        <v>1431</v>
      </c>
      <c r="E3889" s="225" t="s">
        <v>988</v>
      </c>
      <c r="F3889" s="187" t="s">
        <v>1439</v>
      </c>
      <c r="G3889" s="187" t="s">
        <v>6379</v>
      </c>
      <c r="H3889" s="12" t="s">
        <v>26</v>
      </c>
      <c r="I3889" s="188" t="s">
        <v>452</v>
      </c>
    </row>
    <row r="3890" spans="1:9">
      <c r="A3890" s="64">
        <v>46261</v>
      </c>
      <c r="B3890" s="145" t="s">
        <v>830</v>
      </c>
      <c r="C3890" s="150" t="s">
        <v>5512</v>
      </c>
      <c r="D3890" s="225" t="s">
        <v>1431</v>
      </c>
      <c r="E3890" s="225" t="s">
        <v>988</v>
      </c>
      <c r="F3890" s="187" t="s">
        <v>88</v>
      </c>
      <c r="G3890" s="187" t="s">
        <v>5655</v>
      </c>
      <c r="H3890" s="12" t="s">
        <v>26</v>
      </c>
      <c r="I3890" s="187" t="s">
        <v>452</v>
      </c>
    </row>
    <row r="3891" spans="1:9">
      <c r="A3891" s="64">
        <v>46261</v>
      </c>
      <c r="B3891" s="145" t="s">
        <v>830</v>
      </c>
      <c r="C3891" s="150" t="s">
        <v>5512</v>
      </c>
      <c r="D3891" s="225" t="s">
        <v>1431</v>
      </c>
      <c r="E3891" s="225" t="s">
        <v>988</v>
      </c>
      <c r="F3891" s="187" t="s">
        <v>88</v>
      </c>
      <c r="G3891" s="187" t="s">
        <v>6380</v>
      </c>
      <c r="H3891" s="12" t="s">
        <v>26</v>
      </c>
      <c r="I3891" s="187" t="s">
        <v>185</v>
      </c>
    </row>
    <row r="3892" spans="1:9">
      <c r="A3892" s="64">
        <v>46261</v>
      </c>
      <c r="B3892" s="145" t="s">
        <v>830</v>
      </c>
      <c r="C3892" s="150" t="s">
        <v>5512</v>
      </c>
      <c r="D3892" s="225" t="s">
        <v>1431</v>
      </c>
      <c r="E3892" s="225" t="s">
        <v>988</v>
      </c>
      <c r="F3892" s="187" t="s">
        <v>88</v>
      </c>
      <c r="G3892" s="187" t="s">
        <v>6381</v>
      </c>
      <c r="H3892" s="12" t="s">
        <v>26</v>
      </c>
      <c r="I3892" s="187" t="s">
        <v>914</v>
      </c>
    </row>
    <row r="3893" spans="1:9">
      <c r="A3893" s="64">
        <v>46261</v>
      </c>
      <c r="B3893" s="145" t="s">
        <v>830</v>
      </c>
      <c r="C3893" s="150" t="s">
        <v>5512</v>
      </c>
      <c r="D3893" s="225" t="s">
        <v>1431</v>
      </c>
      <c r="E3893" s="225" t="s">
        <v>6382</v>
      </c>
      <c r="F3893" s="187" t="s">
        <v>821</v>
      </c>
      <c r="G3893" s="220" t="s">
        <v>6383</v>
      </c>
      <c r="H3893" s="12" t="s">
        <v>26</v>
      </c>
      <c r="I3893" s="187" t="s">
        <v>578</v>
      </c>
    </row>
    <row r="3894" spans="1:9" ht="36">
      <c r="A3894" s="64">
        <v>46261</v>
      </c>
      <c r="B3894" s="145" t="s">
        <v>830</v>
      </c>
      <c r="C3894" s="150" t="s">
        <v>5512</v>
      </c>
      <c r="D3894" s="225" t="s">
        <v>1431</v>
      </c>
      <c r="E3894" s="225" t="s">
        <v>4770</v>
      </c>
      <c r="F3894" s="187" t="s">
        <v>821</v>
      </c>
      <c r="G3894" s="220" t="s">
        <v>6384</v>
      </c>
      <c r="H3894" s="12" t="s">
        <v>26</v>
      </c>
      <c r="I3894" s="187" t="s">
        <v>4834</v>
      </c>
    </row>
    <row r="3895" spans="1:9" ht="36">
      <c r="A3895" s="64">
        <v>46261</v>
      </c>
      <c r="B3895" s="145" t="s">
        <v>830</v>
      </c>
      <c r="C3895" s="150" t="s">
        <v>5512</v>
      </c>
      <c r="D3895" s="225" t="s">
        <v>1431</v>
      </c>
      <c r="E3895" s="225" t="s">
        <v>4770</v>
      </c>
      <c r="F3895" s="187" t="s">
        <v>821</v>
      </c>
      <c r="G3895" s="220" t="s">
        <v>6385</v>
      </c>
      <c r="H3895" s="12" t="s">
        <v>26</v>
      </c>
      <c r="I3895" s="187" t="s">
        <v>4834</v>
      </c>
    </row>
    <row r="3896" spans="1:9">
      <c r="A3896" s="64">
        <v>46261</v>
      </c>
      <c r="B3896" s="145" t="s">
        <v>830</v>
      </c>
      <c r="C3896" s="150" t="s">
        <v>5512</v>
      </c>
      <c r="D3896" s="225" t="s">
        <v>1431</v>
      </c>
      <c r="E3896" s="225" t="s">
        <v>1566</v>
      </c>
      <c r="F3896" s="187" t="s">
        <v>88</v>
      </c>
      <c r="G3896" s="226" t="s">
        <v>6386</v>
      </c>
      <c r="H3896" s="12" t="s">
        <v>26</v>
      </c>
      <c r="I3896" s="187" t="s">
        <v>4759</v>
      </c>
    </row>
    <row r="3897" spans="1:9">
      <c r="A3897" s="64">
        <v>46261</v>
      </c>
      <c r="B3897" s="145" t="s">
        <v>830</v>
      </c>
      <c r="C3897" s="150" t="s">
        <v>5512</v>
      </c>
      <c r="D3897" s="225" t="s">
        <v>1431</v>
      </c>
      <c r="E3897" s="225" t="s">
        <v>1566</v>
      </c>
      <c r="F3897" s="187" t="s">
        <v>88</v>
      </c>
      <c r="G3897" s="226" t="s">
        <v>6387</v>
      </c>
      <c r="H3897" s="12" t="s">
        <v>26</v>
      </c>
      <c r="I3897" s="187" t="s">
        <v>4759</v>
      </c>
    </row>
    <row r="3898" spans="1:9">
      <c r="A3898" s="64">
        <v>46261</v>
      </c>
      <c r="B3898" s="145" t="s">
        <v>830</v>
      </c>
      <c r="C3898" s="150" t="s">
        <v>5512</v>
      </c>
      <c r="D3898" s="225" t="s">
        <v>1431</v>
      </c>
      <c r="E3898" s="225" t="s">
        <v>1449</v>
      </c>
      <c r="F3898" s="187" t="s">
        <v>88</v>
      </c>
      <c r="G3898" s="226" t="s">
        <v>6388</v>
      </c>
      <c r="H3898" s="12" t="s">
        <v>26</v>
      </c>
      <c r="I3898" s="187" t="s">
        <v>154</v>
      </c>
    </row>
    <row r="3899" spans="1:9" ht="24">
      <c r="A3899" s="64">
        <v>46261</v>
      </c>
      <c r="B3899" s="145" t="s">
        <v>830</v>
      </c>
      <c r="C3899" s="150" t="s">
        <v>5512</v>
      </c>
      <c r="D3899" s="225" t="s">
        <v>3886</v>
      </c>
      <c r="E3899" s="225" t="s">
        <v>52</v>
      </c>
      <c r="F3899" s="187" t="s">
        <v>1439</v>
      </c>
      <c r="G3899" s="220" t="s">
        <v>6389</v>
      </c>
      <c r="H3899" s="12" t="s">
        <v>26</v>
      </c>
      <c r="I3899" s="187" t="s">
        <v>2813</v>
      </c>
    </row>
    <row r="3900" spans="1:9" ht="36">
      <c r="A3900" s="64">
        <v>46261</v>
      </c>
      <c r="B3900" s="145" t="s">
        <v>830</v>
      </c>
      <c r="C3900" s="150" t="s">
        <v>5512</v>
      </c>
      <c r="D3900" s="225" t="s">
        <v>2224</v>
      </c>
      <c r="E3900" s="225" t="s">
        <v>52</v>
      </c>
      <c r="F3900" s="187" t="s">
        <v>1439</v>
      </c>
      <c r="G3900" s="227" t="s">
        <v>6390</v>
      </c>
      <c r="H3900" s="12" t="s">
        <v>26</v>
      </c>
      <c r="I3900" s="187" t="s">
        <v>2568</v>
      </c>
    </row>
    <row r="3901" spans="1:9">
      <c r="A3901" s="64">
        <v>46261</v>
      </c>
      <c r="B3901" s="145" t="s">
        <v>830</v>
      </c>
      <c r="C3901" s="150" t="s">
        <v>5512</v>
      </c>
      <c r="D3901" s="225" t="s">
        <v>2224</v>
      </c>
      <c r="E3901" s="225" t="s">
        <v>1566</v>
      </c>
      <c r="F3901" s="187" t="s">
        <v>88</v>
      </c>
      <c r="G3901" s="226" t="s">
        <v>1753</v>
      </c>
      <c r="H3901" s="12" t="s">
        <v>26</v>
      </c>
      <c r="I3901" s="187" t="s">
        <v>2568</v>
      </c>
    </row>
    <row r="3902" spans="1:9" ht="24">
      <c r="A3902" s="64">
        <v>46262</v>
      </c>
      <c r="B3902" s="145" t="s">
        <v>830</v>
      </c>
      <c r="C3902" s="150" t="s">
        <v>5512</v>
      </c>
      <c r="D3902" s="12" t="s">
        <v>1431</v>
      </c>
      <c r="E3902" s="225" t="s">
        <v>4770</v>
      </c>
      <c r="F3902" s="187" t="s">
        <v>821</v>
      </c>
      <c r="G3902" s="220" t="s">
        <v>4748</v>
      </c>
      <c r="H3902" s="12" t="s">
        <v>26</v>
      </c>
      <c r="I3902" s="187" t="s">
        <v>3758</v>
      </c>
    </row>
    <row r="3903" spans="1:9" ht="24">
      <c r="A3903" s="64">
        <v>46262</v>
      </c>
      <c r="B3903" s="145" t="s">
        <v>830</v>
      </c>
      <c r="C3903" s="150" t="s">
        <v>5512</v>
      </c>
      <c r="D3903" s="12" t="s">
        <v>1431</v>
      </c>
      <c r="E3903" s="225" t="s">
        <v>4770</v>
      </c>
      <c r="F3903" s="187" t="s">
        <v>821</v>
      </c>
      <c r="G3903" s="220" t="s">
        <v>6391</v>
      </c>
      <c r="H3903" s="12" t="s">
        <v>26</v>
      </c>
      <c r="I3903" s="187" t="s">
        <v>914</v>
      </c>
    </row>
    <row r="3904" spans="1:9">
      <c r="A3904" s="64">
        <v>46262</v>
      </c>
      <c r="B3904" s="145" t="s">
        <v>830</v>
      </c>
      <c r="C3904" s="150" t="s">
        <v>5512</v>
      </c>
      <c r="D3904" s="12" t="s">
        <v>1431</v>
      </c>
      <c r="E3904" s="225" t="s">
        <v>1506</v>
      </c>
      <c r="F3904" s="187" t="s">
        <v>88</v>
      </c>
      <c r="G3904" s="228" t="s">
        <v>6392</v>
      </c>
      <c r="H3904" s="12" t="s">
        <v>26</v>
      </c>
      <c r="I3904" s="187" t="s">
        <v>208</v>
      </c>
    </row>
    <row r="3905" spans="1:9" ht="36">
      <c r="A3905" s="64">
        <v>46262</v>
      </c>
      <c r="B3905" s="145" t="s">
        <v>830</v>
      </c>
      <c r="C3905" s="150" t="s">
        <v>5512</v>
      </c>
      <c r="D3905" s="12" t="s">
        <v>1431</v>
      </c>
      <c r="E3905" s="225" t="s">
        <v>4770</v>
      </c>
      <c r="F3905" s="187" t="s">
        <v>821</v>
      </c>
      <c r="G3905" s="220" t="s">
        <v>6393</v>
      </c>
      <c r="H3905" s="12" t="s">
        <v>4745</v>
      </c>
      <c r="I3905" s="187" t="s">
        <v>4834</v>
      </c>
    </row>
    <row r="3906" spans="1:9" ht="36">
      <c r="A3906" s="64">
        <v>46262</v>
      </c>
      <c r="B3906" s="145" t="s">
        <v>830</v>
      </c>
      <c r="C3906" s="150" t="s">
        <v>5512</v>
      </c>
      <c r="D3906" s="12" t="s">
        <v>1431</v>
      </c>
      <c r="E3906" s="225" t="s">
        <v>21</v>
      </c>
      <c r="F3906" s="187" t="s">
        <v>821</v>
      </c>
      <c r="G3906" s="187" t="s">
        <v>4749</v>
      </c>
      <c r="H3906" s="12" t="s">
        <v>26</v>
      </c>
      <c r="I3906" s="187" t="s">
        <v>4810</v>
      </c>
    </row>
    <row r="3907" spans="1:9" ht="24">
      <c r="A3907" s="64">
        <v>46262</v>
      </c>
      <c r="B3907" s="145" t="s">
        <v>830</v>
      </c>
      <c r="C3907" s="150" t="s">
        <v>5512</v>
      </c>
      <c r="D3907" s="12" t="s">
        <v>1431</v>
      </c>
      <c r="E3907" s="225" t="s">
        <v>1566</v>
      </c>
      <c r="F3907" s="187" t="s">
        <v>88</v>
      </c>
      <c r="G3907" s="229" t="s">
        <v>6394</v>
      </c>
      <c r="H3907" s="12" t="s">
        <v>26</v>
      </c>
      <c r="I3907" s="187" t="s">
        <v>4759</v>
      </c>
    </row>
    <row r="3908" spans="1:9">
      <c r="A3908" s="64">
        <v>46262</v>
      </c>
      <c r="B3908" s="145" t="s">
        <v>830</v>
      </c>
      <c r="C3908" s="150" t="s">
        <v>5512</v>
      </c>
      <c r="D3908" s="12" t="s">
        <v>1431</v>
      </c>
      <c r="E3908" s="225" t="s">
        <v>1449</v>
      </c>
      <c r="F3908" s="189" t="s">
        <v>88</v>
      </c>
      <c r="G3908" s="226" t="s">
        <v>6395</v>
      </c>
      <c r="H3908" s="12" t="s">
        <v>26</v>
      </c>
      <c r="I3908" s="187" t="s">
        <v>154</v>
      </c>
    </row>
    <row r="3909" spans="1:9" ht="24">
      <c r="A3909" s="64">
        <v>46262</v>
      </c>
      <c r="B3909" s="145" t="s">
        <v>830</v>
      </c>
      <c r="C3909" s="150" t="s">
        <v>5512</v>
      </c>
      <c r="D3909" s="12" t="s">
        <v>1431</v>
      </c>
      <c r="E3909" s="225" t="s">
        <v>4770</v>
      </c>
      <c r="F3909" s="189" t="s">
        <v>821</v>
      </c>
      <c r="G3909" s="220" t="s">
        <v>4751</v>
      </c>
      <c r="H3909" s="12" t="s">
        <v>26</v>
      </c>
      <c r="I3909" s="187" t="s">
        <v>4834</v>
      </c>
    </row>
    <row r="3910" spans="1:9" ht="24">
      <c r="A3910" s="64">
        <v>46265</v>
      </c>
      <c r="B3910" s="145" t="s">
        <v>830</v>
      </c>
      <c r="C3910" s="150" t="s">
        <v>5512</v>
      </c>
      <c r="D3910" s="12" t="s">
        <v>1431</v>
      </c>
      <c r="E3910" s="225" t="s">
        <v>988</v>
      </c>
      <c r="F3910" s="187" t="s">
        <v>88</v>
      </c>
      <c r="G3910" s="230" t="s">
        <v>6396</v>
      </c>
      <c r="H3910" s="12" t="s">
        <v>26</v>
      </c>
      <c r="I3910" s="187" t="s">
        <v>914</v>
      </c>
    </row>
    <row r="3911" spans="1:9" ht="24">
      <c r="A3911" s="64">
        <v>46265</v>
      </c>
      <c r="B3911" s="145" t="s">
        <v>830</v>
      </c>
      <c r="C3911" s="150" t="s">
        <v>5512</v>
      </c>
      <c r="D3911" s="12" t="s">
        <v>1431</v>
      </c>
      <c r="E3911" s="225" t="s">
        <v>4770</v>
      </c>
      <c r="F3911" s="187" t="s">
        <v>821</v>
      </c>
      <c r="G3911" s="220" t="s">
        <v>4752</v>
      </c>
      <c r="H3911" s="12" t="s">
        <v>4745</v>
      </c>
      <c r="I3911" s="187" t="s">
        <v>6397</v>
      </c>
    </row>
    <row r="3912" spans="1:9" ht="48">
      <c r="A3912" s="64">
        <v>46265</v>
      </c>
      <c r="B3912" s="145" t="s">
        <v>830</v>
      </c>
      <c r="C3912" s="150" t="s">
        <v>5512</v>
      </c>
      <c r="D3912" s="12" t="s">
        <v>1431</v>
      </c>
      <c r="E3912" s="225" t="s">
        <v>4770</v>
      </c>
      <c r="F3912" s="187" t="s">
        <v>821</v>
      </c>
      <c r="G3912" s="187" t="s">
        <v>6398</v>
      </c>
      <c r="H3912" s="12" t="s">
        <v>4745</v>
      </c>
      <c r="I3912" s="187" t="s">
        <v>4834</v>
      </c>
    </row>
    <row r="3913" spans="1:9" ht="48">
      <c r="A3913" s="64">
        <v>46265</v>
      </c>
      <c r="B3913" s="145" t="s">
        <v>830</v>
      </c>
      <c r="C3913" s="150" t="s">
        <v>5512</v>
      </c>
      <c r="D3913" s="12" t="s">
        <v>1431</v>
      </c>
      <c r="E3913" s="225" t="s">
        <v>4770</v>
      </c>
      <c r="F3913" s="187" t="s">
        <v>821</v>
      </c>
      <c r="G3913" s="231" t="s">
        <v>6399</v>
      </c>
      <c r="H3913" s="12" t="s">
        <v>4745</v>
      </c>
      <c r="I3913" s="187" t="s">
        <v>4834</v>
      </c>
    </row>
    <row r="3914" spans="1:9" ht="24">
      <c r="A3914" s="64">
        <v>46265</v>
      </c>
      <c r="B3914" s="145" t="s">
        <v>830</v>
      </c>
      <c r="C3914" s="150" t="s">
        <v>5512</v>
      </c>
      <c r="D3914" s="12" t="s">
        <v>1431</v>
      </c>
      <c r="E3914" s="225" t="s">
        <v>21</v>
      </c>
      <c r="F3914" s="187" t="s">
        <v>821</v>
      </c>
      <c r="G3914" s="231" t="s">
        <v>4753</v>
      </c>
      <c r="H3914" s="12" t="s">
        <v>4745</v>
      </c>
      <c r="I3914" s="187" t="s">
        <v>468</v>
      </c>
    </row>
    <row r="3915" spans="1:9">
      <c r="A3915" s="64">
        <v>46265</v>
      </c>
      <c r="B3915" s="145" t="s">
        <v>830</v>
      </c>
      <c r="C3915" s="150" t="s">
        <v>5512</v>
      </c>
      <c r="D3915" s="12" t="s">
        <v>1431</v>
      </c>
      <c r="E3915" s="225" t="s">
        <v>1566</v>
      </c>
      <c r="F3915" s="187" t="s">
        <v>88</v>
      </c>
      <c r="G3915" s="231" t="s">
        <v>1753</v>
      </c>
      <c r="H3915" s="12" t="s">
        <v>26</v>
      </c>
      <c r="I3915" s="187" t="s">
        <v>4759</v>
      </c>
    </row>
    <row r="3916" spans="1:9" ht="14.25" customHeight="1">
      <c r="A3916" s="64">
        <v>46266</v>
      </c>
      <c r="B3916" s="145" t="s">
        <v>831</v>
      </c>
      <c r="C3916" s="150">
        <v>2026</v>
      </c>
      <c r="D3916" s="12" t="s">
        <v>1431</v>
      </c>
      <c r="E3916" s="225" t="s">
        <v>21</v>
      </c>
      <c r="F3916" s="187" t="s">
        <v>821</v>
      </c>
      <c r="G3916" s="231" t="s">
        <v>4754</v>
      </c>
      <c r="H3916" s="12" t="s">
        <v>26</v>
      </c>
      <c r="I3916" s="187" t="s">
        <v>468</v>
      </c>
    </row>
    <row r="3917" spans="1:9" ht="14.25" customHeight="1">
      <c r="A3917" s="64">
        <v>46266</v>
      </c>
      <c r="B3917" s="145" t="s">
        <v>831</v>
      </c>
      <c r="C3917" s="150">
        <v>2026</v>
      </c>
      <c r="D3917" s="12" t="s">
        <v>1431</v>
      </c>
      <c r="E3917" s="225" t="s">
        <v>377</v>
      </c>
      <c r="F3917" s="187" t="s">
        <v>88</v>
      </c>
      <c r="G3917" s="231" t="s">
        <v>4755</v>
      </c>
      <c r="H3917" s="12" t="s">
        <v>26</v>
      </c>
      <c r="I3917" s="187" t="s">
        <v>76</v>
      </c>
    </row>
    <row r="3918" spans="1:9" ht="14.25" customHeight="1">
      <c r="A3918" s="64">
        <v>46266</v>
      </c>
      <c r="B3918" s="145" t="s">
        <v>831</v>
      </c>
      <c r="C3918" s="150">
        <v>2026</v>
      </c>
      <c r="D3918" s="12" t="s">
        <v>1431</v>
      </c>
      <c r="E3918" s="225" t="s">
        <v>216</v>
      </c>
      <c r="F3918" s="187" t="s">
        <v>821</v>
      </c>
      <c r="G3918" s="231" t="s">
        <v>6400</v>
      </c>
      <c r="H3918" s="12" t="s">
        <v>26</v>
      </c>
      <c r="I3918" s="187" t="s">
        <v>492</v>
      </c>
    </row>
    <row r="3919" spans="1:9" ht="14.25" customHeight="1">
      <c r="A3919" s="64">
        <v>46266</v>
      </c>
      <c r="B3919" s="145" t="s">
        <v>831</v>
      </c>
      <c r="C3919" s="150">
        <v>2026</v>
      </c>
      <c r="D3919" s="12" t="s">
        <v>1431</v>
      </c>
      <c r="E3919" s="225" t="s">
        <v>216</v>
      </c>
      <c r="F3919" s="187" t="s">
        <v>821</v>
      </c>
      <c r="G3919" s="231" t="s">
        <v>4756</v>
      </c>
      <c r="H3919" s="12" t="s">
        <v>26</v>
      </c>
      <c r="I3919" s="187" t="s">
        <v>492</v>
      </c>
    </row>
    <row r="3920" spans="1:9" ht="14.25" customHeight="1">
      <c r="A3920" s="64">
        <v>46266</v>
      </c>
      <c r="B3920" s="145" t="s">
        <v>831</v>
      </c>
      <c r="C3920" s="150">
        <v>2026</v>
      </c>
      <c r="D3920" s="12" t="s">
        <v>1431</v>
      </c>
      <c r="E3920" s="225" t="s">
        <v>21</v>
      </c>
      <c r="F3920" s="187" t="s">
        <v>821</v>
      </c>
      <c r="G3920" s="231" t="s">
        <v>4757</v>
      </c>
      <c r="H3920" s="12" t="s">
        <v>26</v>
      </c>
      <c r="I3920" s="187" t="s">
        <v>468</v>
      </c>
    </row>
    <row r="3921" spans="1:9" ht="14.25" customHeight="1">
      <c r="A3921" s="64">
        <v>46266</v>
      </c>
      <c r="B3921" s="145" t="s">
        <v>831</v>
      </c>
      <c r="C3921" s="150">
        <v>2026</v>
      </c>
      <c r="D3921" s="12" t="s">
        <v>1431</v>
      </c>
      <c r="E3921" s="225" t="s">
        <v>1566</v>
      </c>
      <c r="F3921" s="187" t="s">
        <v>88</v>
      </c>
      <c r="G3921" s="231" t="s">
        <v>4758</v>
      </c>
      <c r="H3921" s="12" t="s">
        <v>26</v>
      </c>
      <c r="I3921" s="187" t="s">
        <v>4759</v>
      </c>
    </row>
    <row r="3922" spans="1:9" ht="14.25" customHeight="1">
      <c r="A3922" s="64">
        <v>46266</v>
      </c>
      <c r="B3922" s="145" t="s">
        <v>831</v>
      </c>
      <c r="C3922" s="150">
        <v>2026</v>
      </c>
      <c r="D3922" s="12" t="s">
        <v>1431</v>
      </c>
      <c r="E3922" s="225" t="s">
        <v>21</v>
      </c>
      <c r="F3922" s="187" t="s">
        <v>821</v>
      </c>
      <c r="G3922" s="231" t="s">
        <v>4760</v>
      </c>
      <c r="H3922" s="12" t="s">
        <v>26</v>
      </c>
      <c r="I3922" s="187" t="s">
        <v>468</v>
      </c>
    </row>
    <row r="3923" spans="1:9" ht="14.25" customHeight="1">
      <c r="A3923" s="64">
        <v>46267</v>
      </c>
      <c r="B3923" s="145" t="s">
        <v>831</v>
      </c>
      <c r="C3923" s="150">
        <v>2026</v>
      </c>
      <c r="D3923" s="12" t="s">
        <v>1431</v>
      </c>
      <c r="E3923" s="225" t="s">
        <v>4770</v>
      </c>
      <c r="F3923" s="187" t="s">
        <v>821</v>
      </c>
      <c r="G3923" s="231" t="s">
        <v>6401</v>
      </c>
      <c r="H3923" s="12" t="s">
        <v>26</v>
      </c>
      <c r="I3923" s="187" t="s">
        <v>492</v>
      </c>
    </row>
    <row r="3924" spans="1:9" ht="14.25" customHeight="1">
      <c r="A3924" s="64">
        <v>46267</v>
      </c>
      <c r="B3924" s="145" t="s">
        <v>831</v>
      </c>
      <c r="C3924" s="150">
        <v>2026</v>
      </c>
      <c r="D3924" s="12" t="s">
        <v>1431</v>
      </c>
      <c r="E3924" s="225" t="s">
        <v>21</v>
      </c>
      <c r="F3924" s="187" t="s">
        <v>821</v>
      </c>
      <c r="G3924" s="231" t="s">
        <v>6402</v>
      </c>
      <c r="H3924" s="12" t="s">
        <v>26</v>
      </c>
      <c r="I3924" s="187" t="s">
        <v>468</v>
      </c>
    </row>
    <row r="3925" spans="1:9" ht="14.25" customHeight="1">
      <c r="A3925" s="64">
        <v>46267</v>
      </c>
      <c r="B3925" s="145" t="s">
        <v>831</v>
      </c>
      <c r="C3925" s="150">
        <v>2026</v>
      </c>
      <c r="D3925" s="12" t="s">
        <v>1431</v>
      </c>
      <c r="E3925" s="225" t="s">
        <v>1449</v>
      </c>
      <c r="F3925" s="187" t="s">
        <v>88</v>
      </c>
      <c r="G3925" s="231" t="s">
        <v>4761</v>
      </c>
      <c r="H3925" s="12" t="s">
        <v>26</v>
      </c>
      <c r="I3925" s="187" t="s">
        <v>4762</v>
      </c>
    </row>
    <row r="3926" spans="1:9" ht="14.25" customHeight="1">
      <c r="A3926" s="64">
        <v>46267</v>
      </c>
      <c r="B3926" s="145" t="s">
        <v>831</v>
      </c>
      <c r="C3926" s="150">
        <v>2026</v>
      </c>
      <c r="D3926" s="12" t="s">
        <v>1431</v>
      </c>
      <c r="E3926" s="225" t="s">
        <v>1449</v>
      </c>
      <c r="F3926" s="187" t="s">
        <v>88</v>
      </c>
      <c r="G3926" s="231" t="s">
        <v>4763</v>
      </c>
      <c r="H3926" s="12" t="s">
        <v>26</v>
      </c>
      <c r="I3926" s="187" t="s">
        <v>4762</v>
      </c>
    </row>
    <row r="3927" spans="1:9" ht="14.25" customHeight="1">
      <c r="A3927" s="64">
        <v>46267</v>
      </c>
      <c r="B3927" s="145" t="s">
        <v>831</v>
      </c>
      <c r="C3927" s="150">
        <v>2026</v>
      </c>
      <c r="D3927" s="12" t="s">
        <v>3886</v>
      </c>
      <c r="E3927" s="225" t="s">
        <v>21</v>
      </c>
      <c r="F3927" s="187" t="s">
        <v>821</v>
      </c>
      <c r="G3927" s="231" t="s">
        <v>4764</v>
      </c>
      <c r="H3927" s="12" t="s">
        <v>26</v>
      </c>
      <c r="I3927" s="187" t="s">
        <v>2813</v>
      </c>
    </row>
    <row r="3928" spans="1:9" ht="14.25" customHeight="1">
      <c r="A3928" s="64">
        <v>46267</v>
      </c>
      <c r="B3928" s="145" t="s">
        <v>831</v>
      </c>
      <c r="C3928" s="150">
        <v>2026</v>
      </c>
      <c r="D3928" s="12" t="s">
        <v>2224</v>
      </c>
      <c r="E3928" s="225" t="s">
        <v>4765</v>
      </c>
      <c r="F3928" s="187" t="s">
        <v>821</v>
      </c>
      <c r="G3928" s="231" t="s">
        <v>4766</v>
      </c>
      <c r="H3928" s="12" t="s">
        <v>26</v>
      </c>
      <c r="I3928" s="187" t="s">
        <v>4767</v>
      </c>
    </row>
    <row r="3929" spans="1:9" ht="14.25" customHeight="1">
      <c r="A3929" s="64">
        <v>46268</v>
      </c>
      <c r="B3929" s="145" t="s">
        <v>831</v>
      </c>
      <c r="C3929" s="150">
        <v>2026</v>
      </c>
      <c r="D3929" s="12" t="s">
        <v>1431</v>
      </c>
      <c r="E3929" s="225" t="s">
        <v>1511</v>
      </c>
      <c r="F3929" s="187" t="s">
        <v>88</v>
      </c>
      <c r="G3929" s="231" t="s">
        <v>6403</v>
      </c>
      <c r="H3929" s="12" t="s">
        <v>26</v>
      </c>
      <c r="I3929" s="187" t="s">
        <v>185</v>
      </c>
    </row>
    <row r="3930" spans="1:9" ht="14.25" customHeight="1">
      <c r="A3930" s="64">
        <v>46268</v>
      </c>
      <c r="B3930" s="145" t="s">
        <v>831</v>
      </c>
      <c r="C3930" s="150">
        <v>2026</v>
      </c>
      <c r="D3930" s="12" t="s">
        <v>1431</v>
      </c>
      <c r="E3930" s="225" t="s">
        <v>21</v>
      </c>
      <c r="F3930" s="187" t="s">
        <v>821</v>
      </c>
      <c r="G3930" s="231" t="s">
        <v>6404</v>
      </c>
      <c r="H3930" s="12" t="s">
        <v>26</v>
      </c>
      <c r="I3930" s="187" t="s">
        <v>914</v>
      </c>
    </row>
    <row r="3931" spans="1:9" ht="14.25" customHeight="1">
      <c r="A3931" s="64">
        <v>46268</v>
      </c>
      <c r="B3931" s="145" t="s">
        <v>831</v>
      </c>
      <c r="C3931" s="150">
        <v>2026</v>
      </c>
      <c r="D3931" s="12" t="s">
        <v>1431</v>
      </c>
      <c r="E3931" s="225" t="s">
        <v>21</v>
      </c>
      <c r="F3931" s="187" t="s">
        <v>821</v>
      </c>
      <c r="G3931" s="231" t="s">
        <v>4768</v>
      </c>
      <c r="H3931" s="12" t="s">
        <v>26</v>
      </c>
      <c r="I3931" s="187" t="s">
        <v>4377</v>
      </c>
    </row>
    <row r="3932" spans="1:9" ht="14.25" customHeight="1">
      <c r="A3932" s="64">
        <v>46268</v>
      </c>
      <c r="B3932" s="145" t="s">
        <v>831</v>
      </c>
      <c r="C3932" s="150">
        <v>2026</v>
      </c>
      <c r="D3932" s="12" t="s">
        <v>1431</v>
      </c>
      <c r="E3932" s="225" t="s">
        <v>52</v>
      </c>
      <c r="F3932" s="187" t="s">
        <v>1439</v>
      </c>
      <c r="G3932" s="231" t="s">
        <v>4769</v>
      </c>
      <c r="H3932" s="12" t="s">
        <v>26</v>
      </c>
      <c r="I3932" s="187" t="s">
        <v>914</v>
      </c>
    </row>
    <row r="3933" spans="1:9" ht="14.25" customHeight="1">
      <c r="A3933" s="64">
        <v>46268</v>
      </c>
      <c r="B3933" s="145" t="s">
        <v>831</v>
      </c>
      <c r="C3933" s="150">
        <v>2026</v>
      </c>
      <c r="D3933" s="12" t="s">
        <v>1431</v>
      </c>
      <c r="E3933" s="225" t="s">
        <v>4770</v>
      </c>
      <c r="F3933" s="187" t="s">
        <v>821</v>
      </c>
      <c r="G3933" s="231" t="s">
        <v>4771</v>
      </c>
      <c r="H3933" s="12" t="s">
        <v>26</v>
      </c>
      <c r="I3933" s="187" t="s">
        <v>492</v>
      </c>
    </row>
    <row r="3934" spans="1:9" ht="14.25" customHeight="1">
      <c r="A3934" s="64">
        <v>46268</v>
      </c>
      <c r="B3934" s="145" t="s">
        <v>831</v>
      </c>
      <c r="C3934" s="150">
        <v>2026</v>
      </c>
      <c r="D3934" s="12" t="s">
        <v>1431</v>
      </c>
      <c r="E3934" s="225" t="s">
        <v>4770</v>
      </c>
      <c r="F3934" s="187" t="s">
        <v>821</v>
      </c>
      <c r="G3934" s="231" t="s">
        <v>6405</v>
      </c>
      <c r="H3934" s="12" t="s">
        <v>26</v>
      </c>
      <c r="I3934" s="187" t="s">
        <v>492</v>
      </c>
    </row>
    <row r="3935" spans="1:9" ht="14.25" customHeight="1">
      <c r="A3935" s="64">
        <v>46268</v>
      </c>
      <c r="B3935" s="145" t="s">
        <v>831</v>
      </c>
      <c r="C3935" s="150">
        <v>2026</v>
      </c>
      <c r="D3935" s="12" t="s">
        <v>1431</v>
      </c>
      <c r="E3935" s="225" t="s">
        <v>21</v>
      </c>
      <c r="F3935" s="187" t="s">
        <v>821</v>
      </c>
      <c r="G3935" s="231" t="s">
        <v>4772</v>
      </c>
      <c r="H3935" s="12" t="s">
        <v>26</v>
      </c>
      <c r="I3935" s="187" t="s">
        <v>21</v>
      </c>
    </row>
    <row r="3936" spans="1:9" ht="14.25" customHeight="1">
      <c r="A3936" s="64">
        <v>46268</v>
      </c>
      <c r="B3936" s="145" t="s">
        <v>831</v>
      </c>
      <c r="C3936" s="150">
        <v>2026</v>
      </c>
      <c r="D3936" s="12" t="s">
        <v>1431</v>
      </c>
      <c r="E3936" s="225" t="s">
        <v>1566</v>
      </c>
      <c r="F3936" s="187" t="s">
        <v>88</v>
      </c>
      <c r="G3936" s="231" t="s">
        <v>4773</v>
      </c>
      <c r="H3936" s="12" t="s">
        <v>26</v>
      </c>
      <c r="I3936" s="187" t="s">
        <v>4759</v>
      </c>
    </row>
    <row r="3937" spans="1:9" ht="14.25" customHeight="1">
      <c r="A3937" s="64">
        <v>46269</v>
      </c>
      <c r="B3937" s="145" t="s">
        <v>831</v>
      </c>
      <c r="C3937" s="150">
        <v>2026</v>
      </c>
      <c r="D3937" s="12" t="s">
        <v>1431</v>
      </c>
      <c r="E3937" s="225" t="s">
        <v>988</v>
      </c>
      <c r="F3937" s="187" t="s">
        <v>88</v>
      </c>
      <c r="G3937" s="231" t="s">
        <v>6406</v>
      </c>
      <c r="H3937" s="12" t="s">
        <v>26</v>
      </c>
      <c r="I3937" s="187" t="s">
        <v>185</v>
      </c>
    </row>
    <row r="3938" spans="1:9" ht="14.25" customHeight="1">
      <c r="A3938" s="64">
        <v>46269</v>
      </c>
      <c r="B3938" s="145" t="s">
        <v>831</v>
      </c>
      <c r="C3938" s="150">
        <v>2026</v>
      </c>
      <c r="D3938" s="12" t="s">
        <v>1431</v>
      </c>
      <c r="E3938" s="225" t="s">
        <v>4770</v>
      </c>
      <c r="F3938" s="187" t="s">
        <v>821</v>
      </c>
      <c r="G3938" s="231" t="s">
        <v>4774</v>
      </c>
      <c r="H3938" s="12" t="s">
        <v>26</v>
      </c>
      <c r="I3938" s="187" t="s">
        <v>492</v>
      </c>
    </row>
    <row r="3939" spans="1:9" ht="14.25" customHeight="1">
      <c r="A3939" s="64">
        <v>46269</v>
      </c>
      <c r="B3939" s="145" t="s">
        <v>831</v>
      </c>
      <c r="C3939" s="150">
        <v>2026</v>
      </c>
      <c r="D3939" s="12" t="s">
        <v>1431</v>
      </c>
      <c r="E3939" s="225" t="s">
        <v>21</v>
      </c>
      <c r="F3939" s="187" t="s">
        <v>821</v>
      </c>
      <c r="G3939" s="231" t="s">
        <v>6407</v>
      </c>
      <c r="H3939" s="12" t="s">
        <v>26</v>
      </c>
      <c r="I3939" s="187" t="s">
        <v>468</v>
      </c>
    </row>
    <row r="3940" spans="1:9" ht="14.25" customHeight="1">
      <c r="A3940" s="64">
        <v>46269</v>
      </c>
      <c r="B3940" s="145" t="s">
        <v>831</v>
      </c>
      <c r="C3940" s="150">
        <v>2026</v>
      </c>
      <c r="D3940" s="12" t="s">
        <v>1431</v>
      </c>
      <c r="E3940" s="225" t="s">
        <v>1566</v>
      </c>
      <c r="F3940" s="187" t="s">
        <v>88</v>
      </c>
      <c r="G3940" s="231" t="s">
        <v>4775</v>
      </c>
      <c r="H3940" s="12" t="s">
        <v>26</v>
      </c>
      <c r="I3940" s="187" t="s">
        <v>4759</v>
      </c>
    </row>
    <row r="3941" spans="1:9" ht="14.25" customHeight="1">
      <c r="A3941" s="64">
        <v>46269</v>
      </c>
      <c r="B3941" s="145" t="s">
        <v>831</v>
      </c>
      <c r="C3941" s="150">
        <v>2026</v>
      </c>
      <c r="D3941" s="12" t="s">
        <v>1431</v>
      </c>
      <c r="E3941" s="225" t="s">
        <v>1566</v>
      </c>
      <c r="F3941" s="187" t="s">
        <v>88</v>
      </c>
      <c r="G3941" s="231" t="s">
        <v>4776</v>
      </c>
      <c r="H3941" s="12" t="s">
        <v>26</v>
      </c>
      <c r="I3941" s="187" t="s">
        <v>4759</v>
      </c>
    </row>
    <row r="3942" spans="1:9" ht="14.25" customHeight="1">
      <c r="A3942" s="64">
        <v>46269</v>
      </c>
      <c r="B3942" s="145" t="s">
        <v>831</v>
      </c>
      <c r="C3942" s="150">
        <v>2026</v>
      </c>
      <c r="D3942" s="12" t="s">
        <v>1431</v>
      </c>
      <c r="E3942" s="225" t="s">
        <v>1449</v>
      </c>
      <c r="F3942" s="187" t="s">
        <v>88</v>
      </c>
      <c r="G3942" s="231" t="s">
        <v>4777</v>
      </c>
      <c r="H3942" s="12" t="s">
        <v>26</v>
      </c>
      <c r="I3942" s="187" t="s">
        <v>4762</v>
      </c>
    </row>
    <row r="3943" spans="1:9" ht="14.25" customHeight="1">
      <c r="A3943" s="64">
        <v>46273</v>
      </c>
      <c r="B3943" s="145" t="s">
        <v>831</v>
      </c>
      <c r="C3943" s="150">
        <v>2026</v>
      </c>
      <c r="D3943" s="12" t="s">
        <v>1431</v>
      </c>
      <c r="E3943" s="225" t="s">
        <v>574</v>
      </c>
      <c r="F3943" s="187" t="s">
        <v>88</v>
      </c>
      <c r="G3943" s="231" t="s">
        <v>4778</v>
      </c>
      <c r="H3943" s="12" t="s">
        <v>26</v>
      </c>
      <c r="I3943" s="187" t="s">
        <v>4779</v>
      </c>
    </row>
    <row r="3944" spans="1:9" ht="14.25" customHeight="1">
      <c r="A3944" s="64">
        <v>46273</v>
      </c>
      <c r="B3944" s="145" t="s">
        <v>831</v>
      </c>
      <c r="C3944" s="150">
        <v>2026</v>
      </c>
      <c r="D3944" s="12" t="s">
        <v>1431</v>
      </c>
      <c r="E3944" s="225" t="s">
        <v>574</v>
      </c>
      <c r="F3944" s="187" t="s">
        <v>88</v>
      </c>
      <c r="G3944" s="231" t="s">
        <v>4780</v>
      </c>
      <c r="H3944" s="12" t="s">
        <v>26</v>
      </c>
      <c r="I3944" s="187" t="s">
        <v>4779</v>
      </c>
    </row>
    <row r="3945" spans="1:9" ht="14.25" customHeight="1">
      <c r="A3945" s="64">
        <v>46273</v>
      </c>
      <c r="B3945" s="145" t="s">
        <v>831</v>
      </c>
      <c r="C3945" s="150">
        <v>2026</v>
      </c>
      <c r="D3945" s="12" t="s">
        <v>1431</v>
      </c>
      <c r="E3945" s="225" t="s">
        <v>1158</v>
      </c>
      <c r="F3945" s="187" t="s">
        <v>88</v>
      </c>
      <c r="G3945" s="231" t="s">
        <v>4781</v>
      </c>
      <c r="H3945" s="12" t="s">
        <v>26</v>
      </c>
      <c r="I3945" s="187" t="s">
        <v>452</v>
      </c>
    </row>
    <row r="3946" spans="1:9" ht="14.25" customHeight="1">
      <c r="A3946" s="64">
        <v>46273</v>
      </c>
      <c r="B3946" s="145" t="s">
        <v>831</v>
      </c>
      <c r="C3946" s="150">
        <v>2026</v>
      </c>
      <c r="D3946" s="12" t="s">
        <v>1431</v>
      </c>
      <c r="E3946" s="225" t="s">
        <v>4848</v>
      </c>
      <c r="F3946" s="187" t="s">
        <v>88</v>
      </c>
      <c r="G3946" s="231" t="s">
        <v>6408</v>
      </c>
      <c r="H3946" s="12" t="s">
        <v>26</v>
      </c>
      <c r="I3946" s="187" t="s">
        <v>4377</v>
      </c>
    </row>
    <row r="3947" spans="1:9" ht="14.25" customHeight="1">
      <c r="A3947" s="64">
        <v>46273</v>
      </c>
      <c r="B3947" s="145" t="s">
        <v>831</v>
      </c>
      <c r="C3947" s="150">
        <v>2026</v>
      </c>
      <c r="D3947" s="12" t="s">
        <v>1431</v>
      </c>
      <c r="E3947" s="225" t="s">
        <v>216</v>
      </c>
      <c r="F3947" s="187" t="s">
        <v>821</v>
      </c>
      <c r="G3947" s="231" t="s">
        <v>4782</v>
      </c>
      <c r="H3947" s="12" t="s">
        <v>26</v>
      </c>
      <c r="I3947" s="187" t="s">
        <v>492</v>
      </c>
    </row>
    <row r="3948" spans="1:9" ht="14.25" customHeight="1">
      <c r="A3948" s="64">
        <v>46273</v>
      </c>
      <c r="B3948" s="145" t="s">
        <v>831</v>
      </c>
      <c r="C3948" s="150">
        <v>2026</v>
      </c>
      <c r="D3948" s="12" t="s">
        <v>1431</v>
      </c>
      <c r="E3948" s="225" t="s">
        <v>21</v>
      </c>
      <c r="F3948" s="187" t="s">
        <v>821</v>
      </c>
      <c r="G3948" s="231" t="s">
        <v>4783</v>
      </c>
      <c r="H3948" s="12" t="s">
        <v>26</v>
      </c>
      <c r="I3948" s="187" t="s">
        <v>468</v>
      </c>
    </row>
    <row r="3949" spans="1:9" ht="14.25" customHeight="1">
      <c r="A3949" s="64">
        <v>46273</v>
      </c>
      <c r="B3949" s="145" t="s">
        <v>831</v>
      </c>
      <c r="C3949" s="150">
        <v>2026</v>
      </c>
      <c r="D3949" s="12" t="s">
        <v>1431</v>
      </c>
      <c r="E3949" s="225" t="s">
        <v>1449</v>
      </c>
      <c r="F3949" s="187" t="s">
        <v>88</v>
      </c>
      <c r="G3949" s="231" t="s">
        <v>4784</v>
      </c>
      <c r="H3949" s="12" t="s">
        <v>26</v>
      </c>
      <c r="I3949" s="187" t="s">
        <v>4762</v>
      </c>
    </row>
    <row r="3950" spans="1:9" ht="14.25" customHeight="1">
      <c r="A3950" s="64">
        <v>46273</v>
      </c>
      <c r="B3950" s="145" t="s">
        <v>831</v>
      </c>
      <c r="C3950" s="150">
        <v>2026</v>
      </c>
      <c r="D3950" s="12" t="s">
        <v>1431</v>
      </c>
      <c r="E3950" s="225" t="s">
        <v>1449</v>
      </c>
      <c r="F3950" s="187" t="s">
        <v>88</v>
      </c>
      <c r="G3950" s="231" t="s">
        <v>4785</v>
      </c>
      <c r="H3950" s="12" t="s">
        <v>26</v>
      </c>
      <c r="I3950" s="187" t="s">
        <v>4762</v>
      </c>
    </row>
    <row r="3951" spans="1:9" ht="14.25" customHeight="1">
      <c r="A3951" s="64">
        <v>46273</v>
      </c>
      <c r="B3951" s="145" t="s">
        <v>831</v>
      </c>
      <c r="C3951" s="150">
        <v>2026</v>
      </c>
      <c r="D3951" s="12" t="s">
        <v>1431</v>
      </c>
      <c r="E3951" s="225" t="s">
        <v>216</v>
      </c>
      <c r="F3951" s="187" t="s">
        <v>821</v>
      </c>
      <c r="G3951" s="231" t="s">
        <v>4786</v>
      </c>
      <c r="H3951" s="12" t="s">
        <v>26</v>
      </c>
      <c r="I3951" s="187" t="s">
        <v>492</v>
      </c>
    </row>
    <row r="3952" spans="1:9" ht="14.25" customHeight="1">
      <c r="A3952" s="64">
        <v>46273</v>
      </c>
      <c r="B3952" s="145" t="s">
        <v>831</v>
      </c>
      <c r="C3952" s="150">
        <v>2026</v>
      </c>
      <c r="D3952" s="12" t="s">
        <v>1431</v>
      </c>
      <c r="E3952" s="225" t="s">
        <v>4787</v>
      </c>
      <c r="F3952" s="187" t="s">
        <v>88</v>
      </c>
      <c r="G3952" s="231" t="s">
        <v>4788</v>
      </c>
      <c r="H3952" s="12" t="s">
        <v>26</v>
      </c>
      <c r="I3952" s="187" t="s">
        <v>185</v>
      </c>
    </row>
    <row r="3953" spans="1:9" ht="14.25" customHeight="1">
      <c r="A3953" s="64">
        <v>46273</v>
      </c>
      <c r="B3953" s="145" t="s">
        <v>831</v>
      </c>
      <c r="C3953" s="150">
        <v>2026</v>
      </c>
      <c r="D3953" s="12" t="s">
        <v>1431</v>
      </c>
      <c r="E3953" s="225" t="s">
        <v>216</v>
      </c>
      <c r="F3953" s="187" t="s">
        <v>821</v>
      </c>
      <c r="G3953" s="231" t="s">
        <v>6409</v>
      </c>
      <c r="H3953" s="12" t="s">
        <v>26</v>
      </c>
      <c r="I3953" s="187" t="s">
        <v>492</v>
      </c>
    </row>
    <row r="3954" spans="1:9" ht="14.25" customHeight="1">
      <c r="A3954" s="64">
        <v>46273</v>
      </c>
      <c r="B3954" s="145" t="s">
        <v>831</v>
      </c>
      <c r="C3954" s="150">
        <v>2026</v>
      </c>
      <c r="D3954" s="12" t="s">
        <v>1431</v>
      </c>
      <c r="E3954" s="225" t="s">
        <v>21</v>
      </c>
      <c r="F3954" s="187" t="s">
        <v>88</v>
      </c>
      <c r="G3954" s="231" t="s">
        <v>4789</v>
      </c>
      <c r="H3954" s="12" t="s">
        <v>26</v>
      </c>
      <c r="I3954" s="187" t="s">
        <v>468</v>
      </c>
    </row>
    <row r="3955" spans="1:9" ht="14.25" customHeight="1">
      <c r="A3955" s="64">
        <v>46273</v>
      </c>
      <c r="B3955" s="145" t="s">
        <v>831</v>
      </c>
      <c r="C3955" s="150">
        <v>2026</v>
      </c>
      <c r="D3955" s="12" t="s">
        <v>1431</v>
      </c>
      <c r="E3955" s="225" t="s">
        <v>4618</v>
      </c>
      <c r="F3955" s="187" t="s">
        <v>88</v>
      </c>
      <c r="G3955" s="231" t="s">
        <v>4790</v>
      </c>
      <c r="H3955" s="12" t="s">
        <v>26</v>
      </c>
      <c r="I3955" s="187"/>
    </row>
    <row r="3956" spans="1:9" ht="14.25" customHeight="1">
      <c r="A3956" s="64">
        <v>46274</v>
      </c>
      <c r="B3956" s="145" t="s">
        <v>831</v>
      </c>
      <c r="C3956" s="150">
        <v>2026</v>
      </c>
      <c r="D3956" s="12" t="s">
        <v>1431</v>
      </c>
      <c r="E3956" s="225" t="s">
        <v>4791</v>
      </c>
      <c r="F3956" s="187" t="s">
        <v>88</v>
      </c>
      <c r="G3956" s="231" t="s">
        <v>4792</v>
      </c>
      <c r="H3956" s="12" t="s">
        <v>26</v>
      </c>
      <c r="I3956" s="187" t="s">
        <v>4779</v>
      </c>
    </row>
    <row r="3957" spans="1:9" ht="14.25" customHeight="1">
      <c r="A3957" s="64">
        <v>46274</v>
      </c>
      <c r="B3957" s="145" t="s">
        <v>831</v>
      </c>
      <c r="C3957" s="150">
        <v>2026</v>
      </c>
      <c r="D3957" s="12" t="s">
        <v>1431</v>
      </c>
      <c r="E3957" s="225" t="s">
        <v>4770</v>
      </c>
      <c r="F3957" s="187" t="s">
        <v>821</v>
      </c>
      <c r="G3957" s="231" t="s">
        <v>6410</v>
      </c>
      <c r="H3957" s="12" t="s">
        <v>26</v>
      </c>
      <c r="I3957" s="187" t="s">
        <v>1493</v>
      </c>
    </row>
    <row r="3958" spans="1:9" ht="14.25" customHeight="1">
      <c r="A3958" s="64">
        <v>46274</v>
      </c>
      <c r="B3958" s="145" t="s">
        <v>831</v>
      </c>
      <c r="C3958" s="150">
        <v>2026</v>
      </c>
      <c r="D3958" s="12" t="s">
        <v>1431</v>
      </c>
      <c r="E3958" s="225" t="s">
        <v>4787</v>
      </c>
      <c r="F3958" s="187" t="s">
        <v>88</v>
      </c>
      <c r="G3958" s="231" t="s">
        <v>6411</v>
      </c>
      <c r="H3958" s="12" t="s">
        <v>26</v>
      </c>
      <c r="I3958" s="187" t="s">
        <v>185</v>
      </c>
    </row>
    <row r="3959" spans="1:9" ht="14.25" customHeight="1">
      <c r="A3959" s="64">
        <v>46274</v>
      </c>
      <c r="B3959" s="145" t="s">
        <v>831</v>
      </c>
      <c r="C3959" s="150">
        <v>2026</v>
      </c>
      <c r="D3959" s="12" t="s">
        <v>1431</v>
      </c>
      <c r="E3959" s="225" t="s">
        <v>21</v>
      </c>
      <c r="F3959" s="187" t="s">
        <v>821</v>
      </c>
      <c r="G3959" s="231" t="s">
        <v>4793</v>
      </c>
      <c r="H3959" s="12" t="s">
        <v>26</v>
      </c>
      <c r="I3959" s="187" t="s">
        <v>468</v>
      </c>
    </row>
    <row r="3960" spans="1:9" ht="14.25" customHeight="1">
      <c r="A3960" s="64">
        <v>46274</v>
      </c>
      <c r="B3960" s="145" t="s">
        <v>831</v>
      </c>
      <c r="C3960" s="150">
        <v>2026</v>
      </c>
      <c r="D3960" s="12" t="s">
        <v>1431</v>
      </c>
      <c r="E3960" s="225" t="s">
        <v>1566</v>
      </c>
      <c r="F3960" s="187" t="s">
        <v>88</v>
      </c>
      <c r="G3960" s="231" t="s">
        <v>4794</v>
      </c>
      <c r="H3960" s="12" t="s">
        <v>26</v>
      </c>
      <c r="I3960" s="187" t="s">
        <v>4759</v>
      </c>
    </row>
    <row r="3961" spans="1:9" ht="14.25" customHeight="1">
      <c r="A3961" s="64">
        <v>46274</v>
      </c>
      <c r="B3961" s="145" t="s">
        <v>831</v>
      </c>
      <c r="C3961" s="150">
        <v>2026</v>
      </c>
      <c r="D3961" s="12" t="s">
        <v>1431</v>
      </c>
      <c r="E3961" s="225" t="s">
        <v>1449</v>
      </c>
      <c r="F3961" s="187" t="s">
        <v>88</v>
      </c>
      <c r="G3961" s="231" t="s">
        <v>6412</v>
      </c>
      <c r="H3961" s="12" t="s">
        <v>26</v>
      </c>
      <c r="I3961" s="187" t="s">
        <v>2739</v>
      </c>
    </row>
    <row r="3962" spans="1:9" ht="14.25" customHeight="1">
      <c r="A3962" s="64">
        <v>46274</v>
      </c>
      <c r="B3962" s="145" t="s">
        <v>831</v>
      </c>
      <c r="C3962" s="150">
        <v>2026</v>
      </c>
      <c r="D3962" s="12" t="s">
        <v>2224</v>
      </c>
      <c r="E3962" s="225" t="s">
        <v>21</v>
      </c>
      <c r="F3962" s="187" t="s">
        <v>821</v>
      </c>
      <c r="G3962" s="231" t="s">
        <v>4795</v>
      </c>
      <c r="H3962" s="12" t="s">
        <v>26</v>
      </c>
      <c r="I3962" s="187" t="s">
        <v>2568</v>
      </c>
    </row>
    <row r="3963" spans="1:9" ht="14.25" customHeight="1">
      <c r="A3963" s="64">
        <v>46275</v>
      </c>
      <c r="B3963" s="145" t="s">
        <v>831</v>
      </c>
      <c r="C3963" s="150">
        <v>2026</v>
      </c>
      <c r="D3963" s="12" t="s">
        <v>1431</v>
      </c>
      <c r="E3963" s="225" t="s">
        <v>4565</v>
      </c>
      <c r="F3963" s="187" t="s">
        <v>821</v>
      </c>
      <c r="G3963" s="231" t="s">
        <v>6413</v>
      </c>
      <c r="H3963" s="12" t="s">
        <v>26</v>
      </c>
      <c r="I3963" s="187" t="s">
        <v>4377</v>
      </c>
    </row>
    <row r="3964" spans="1:9" ht="14.25" customHeight="1">
      <c r="A3964" s="64">
        <v>46275</v>
      </c>
      <c r="B3964" s="145" t="s">
        <v>831</v>
      </c>
      <c r="C3964" s="150">
        <v>2026</v>
      </c>
      <c r="D3964" s="12" t="s">
        <v>1431</v>
      </c>
      <c r="E3964" s="225" t="s">
        <v>4796</v>
      </c>
      <c r="F3964" s="187" t="s">
        <v>821</v>
      </c>
      <c r="G3964" s="231" t="s">
        <v>4797</v>
      </c>
      <c r="H3964" s="12" t="s">
        <v>26</v>
      </c>
      <c r="I3964" s="187" t="s">
        <v>468</v>
      </c>
    </row>
    <row r="3965" spans="1:9" ht="14.25" customHeight="1">
      <c r="A3965" s="64">
        <v>46275</v>
      </c>
      <c r="B3965" s="145" t="s">
        <v>831</v>
      </c>
      <c r="C3965" s="150">
        <v>2026</v>
      </c>
      <c r="D3965" s="12" t="s">
        <v>1431</v>
      </c>
      <c r="E3965" s="225" t="s">
        <v>1566</v>
      </c>
      <c r="F3965" s="187" t="s">
        <v>88</v>
      </c>
      <c r="G3965" s="231" t="s">
        <v>4798</v>
      </c>
      <c r="H3965" s="12" t="s">
        <v>26</v>
      </c>
      <c r="I3965" s="187" t="s">
        <v>4759</v>
      </c>
    </row>
    <row r="3966" spans="1:9" ht="14.25" customHeight="1">
      <c r="A3966" s="64">
        <v>46275</v>
      </c>
      <c r="B3966" s="145" t="s">
        <v>831</v>
      </c>
      <c r="C3966" s="150">
        <v>2026</v>
      </c>
      <c r="D3966" s="12" t="s">
        <v>1431</v>
      </c>
      <c r="E3966" s="225" t="s">
        <v>6414</v>
      </c>
      <c r="F3966" s="187" t="s">
        <v>88</v>
      </c>
      <c r="G3966" s="231" t="s">
        <v>6328</v>
      </c>
      <c r="H3966" s="12" t="s">
        <v>26</v>
      </c>
      <c r="I3966" s="187" t="s">
        <v>185</v>
      </c>
    </row>
    <row r="3967" spans="1:9" ht="14.25" customHeight="1">
      <c r="A3967" s="64">
        <v>46275</v>
      </c>
      <c r="B3967" s="145" t="s">
        <v>831</v>
      </c>
      <c r="C3967" s="150">
        <v>2026</v>
      </c>
      <c r="D3967" s="12" t="s">
        <v>2224</v>
      </c>
      <c r="E3967" s="225" t="s">
        <v>4799</v>
      </c>
      <c r="F3967" s="187" t="s">
        <v>821</v>
      </c>
      <c r="G3967" s="231" t="s">
        <v>4800</v>
      </c>
      <c r="H3967" s="12" t="s">
        <v>26</v>
      </c>
      <c r="I3967" s="187" t="s">
        <v>4767</v>
      </c>
    </row>
    <row r="3968" spans="1:9" ht="14.25" customHeight="1">
      <c r="A3968" s="64">
        <v>46276</v>
      </c>
      <c r="B3968" s="145" t="s">
        <v>831</v>
      </c>
      <c r="C3968" s="150">
        <v>2026</v>
      </c>
      <c r="D3968" s="12" t="s">
        <v>1431</v>
      </c>
      <c r="E3968" s="225" t="s">
        <v>4787</v>
      </c>
      <c r="F3968" s="187" t="s">
        <v>88</v>
      </c>
      <c r="G3968" s="231" t="s">
        <v>6117</v>
      </c>
      <c r="H3968" s="12" t="s">
        <v>26</v>
      </c>
      <c r="I3968" s="187" t="s">
        <v>452</v>
      </c>
    </row>
    <row r="3969" spans="1:9" ht="14.25" customHeight="1">
      <c r="A3969" s="64">
        <v>46276</v>
      </c>
      <c r="B3969" s="145" t="s">
        <v>831</v>
      </c>
      <c r="C3969" s="150">
        <v>2026</v>
      </c>
      <c r="D3969" s="12" t="s">
        <v>1431</v>
      </c>
      <c r="E3969" s="225" t="s">
        <v>1311</v>
      </c>
      <c r="F3969" s="187" t="s">
        <v>88</v>
      </c>
      <c r="G3969" s="231" t="s">
        <v>4801</v>
      </c>
      <c r="H3969" s="12" t="s">
        <v>26</v>
      </c>
      <c r="I3969" s="187" t="s">
        <v>259</v>
      </c>
    </row>
    <row r="3970" spans="1:9" ht="14.25" customHeight="1">
      <c r="A3970" s="64">
        <v>46276</v>
      </c>
      <c r="B3970" s="145" t="s">
        <v>831</v>
      </c>
      <c r="C3970" s="150">
        <v>2026</v>
      </c>
      <c r="D3970" s="12" t="s">
        <v>1431</v>
      </c>
      <c r="E3970" s="225" t="s">
        <v>1506</v>
      </c>
      <c r="F3970" s="187" t="s">
        <v>88</v>
      </c>
      <c r="G3970" s="231" t="s">
        <v>6415</v>
      </c>
      <c r="H3970" s="12" t="s">
        <v>26</v>
      </c>
      <c r="I3970" s="187" t="s">
        <v>208</v>
      </c>
    </row>
    <row r="3971" spans="1:9" ht="14.25" customHeight="1">
      <c r="A3971" s="64">
        <v>46276</v>
      </c>
      <c r="B3971" s="145" t="s">
        <v>831</v>
      </c>
      <c r="C3971" s="150">
        <v>2026</v>
      </c>
      <c r="D3971" s="12" t="s">
        <v>1431</v>
      </c>
      <c r="E3971" s="225" t="s">
        <v>4770</v>
      </c>
      <c r="F3971" s="187" t="s">
        <v>821</v>
      </c>
      <c r="G3971" s="231" t="s">
        <v>4802</v>
      </c>
      <c r="H3971" s="12" t="s">
        <v>26</v>
      </c>
      <c r="I3971" s="187" t="s">
        <v>492</v>
      </c>
    </row>
    <row r="3972" spans="1:9" ht="14.25" customHeight="1">
      <c r="A3972" s="64">
        <v>46276</v>
      </c>
      <c r="B3972" s="145" t="s">
        <v>831</v>
      </c>
      <c r="C3972" s="150">
        <v>2026</v>
      </c>
      <c r="D3972" s="12" t="s">
        <v>1431</v>
      </c>
      <c r="E3972" s="225" t="s">
        <v>21</v>
      </c>
      <c r="F3972" s="187" t="s">
        <v>821</v>
      </c>
      <c r="G3972" s="231" t="s">
        <v>4803</v>
      </c>
      <c r="H3972" s="12" t="s">
        <v>26</v>
      </c>
      <c r="I3972" s="187" t="s">
        <v>468</v>
      </c>
    </row>
    <row r="3973" spans="1:9" ht="14.25" customHeight="1">
      <c r="A3973" s="64">
        <v>46276</v>
      </c>
      <c r="B3973" s="145" t="s">
        <v>831</v>
      </c>
      <c r="C3973" s="150">
        <v>2026</v>
      </c>
      <c r="D3973" s="12" t="s">
        <v>1431</v>
      </c>
      <c r="E3973" s="225" t="s">
        <v>1449</v>
      </c>
      <c r="F3973" s="187" t="s">
        <v>821</v>
      </c>
      <c r="G3973" s="231" t="s">
        <v>4804</v>
      </c>
      <c r="H3973" s="12" t="s">
        <v>26</v>
      </c>
      <c r="I3973" s="187" t="s">
        <v>2739</v>
      </c>
    </row>
    <row r="3974" spans="1:9" ht="14.25" customHeight="1">
      <c r="A3974" s="64">
        <v>46276</v>
      </c>
      <c r="B3974" s="145" t="s">
        <v>831</v>
      </c>
      <c r="C3974" s="150">
        <v>2026</v>
      </c>
      <c r="D3974" s="12" t="s">
        <v>2224</v>
      </c>
      <c r="E3974" s="225" t="s">
        <v>21</v>
      </c>
      <c r="F3974" s="187" t="s">
        <v>821</v>
      </c>
      <c r="G3974" s="231" t="s">
        <v>4805</v>
      </c>
      <c r="H3974" s="12" t="s">
        <v>26</v>
      </c>
      <c r="I3974" s="187" t="s">
        <v>2568</v>
      </c>
    </row>
    <row r="3975" spans="1:9" ht="14.25" customHeight="1">
      <c r="A3975" s="64">
        <v>46276</v>
      </c>
      <c r="B3975" s="145" t="s">
        <v>831</v>
      </c>
      <c r="C3975" s="150">
        <v>2026</v>
      </c>
      <c r="D3975" s="12" t="s">
        <v>1431</v>
      </c>
      <c r="E3975" s="225"/>
      <c r="F3975" s="187" t="s">
        <v>872</v>
      </c>
      <c r="G3975" s="231" t="s">
        <v>4806</v>
      </c>
      <c r="H3975" s="12" t="s">
        <v>26</v>
      </c>
      <c r="I3975" s="187" t="s">
        <v>1998</v>
      </c>
    </row>
    <row r="3976" spans="1:9" ht="14.25" customHeight="1">
      <c r="A3976" s="64">
        <v>46279</v>
      </c>
      <c r="B3976" s="145" t="s">
        <v>831</v>
      </c>
      <c r="C3976" s="150">
        <v>2026</v>
      </c>
      <c r="D3976" s="12" t="s">
        <v>1431</v>
      </c>
      <c r="E3976" s="225" t="s">
        <v>21</v>
      </c>
      <c r="F3976" s="187" t="s">
        <v>821</v>
      </c>
      <c r="G3976" s="231" t="s">
        <v>4807</v>
      </c>
      <c r="H3976" s="12" t="s">
        <v>26</v>
      </c>
      <c r="I3976" s="187" t="s">
        <v>4779</v>
      </c>
    </row>
    <row r="3977" spans="1:9" ht="14.25" customHeight="1">
      <c r="A3977" s="64">
        <v>46279</v>
      </c>
      <c r="B3977" s="145" t="s">
        <v>831</v>
      </c>
      <c r="C3977" s="150">
        <v>2026</v>
      </c>
      <c r="D3977" s="12" t="s">
        <v>1431</v>
      </c>
      <c r="E3977" s="225" t="s">
        <v>4770</v>
      </c>
      <c r="F3977" s="187" t="s">
        <v>821</v>
      </c>
      <c r="G3977" s="231" t="s">
        <v>6416</v>
      </c>
      <c r="H3977" s="12" t="s">
        <v>26</v>
      </c>
      <c r="I3977" s="187" t="s">
        <v>492</v>
      </c>
    </row>
    <row r="3978" spans="1:9" ht="14.25" customHeight="1">
      <c r="A3978" s="64">
        <v>46279</v>
      </c>
      <c r="B3978" s="145" t="s">
        <v>831</v>
      </c>
      <c r="C3978" s="150">
        <v>2026</v>
      </c>
      <c r="D3978" s="12" t="s">
        <v>1431</v>
      </c>
      <c r="E3978" s="225" t="s">
        <v>21</v>
      </c>
      <c r="F3978" s="187" t="s">
        <v>821</v>
      </c>
      <c r="G3978" s="231" t="s">
        <v>6417</v>
      </c>
      <c r="H3978" s="12" t="s">
        <v>26</v>
      </c>
      <c r="I3978" s="187" t="s">
        <v>4810</v>
      </c>
    </row>
    <row r="3979" spans="1:9" ht="14.25" customHeight="1">
      <c r="A3979" s="64">
        <v>46279</v>
      </c>
      <c r="B3979" s="145" t="s">
        <v>831</v>
      </c>
      <c r="C3979" s="150">
        <v>2026</v>
      </c>
      <c r="D3979" s="12" t="s">
        <v>1431</v>
      </c>
      <c r="E3979" s="225" t="s">
        <v>1449</v>
      </c>
      <c r="F3979" s="187" t="s">
        <v>821</v>
      </c>
      <c r="G3979" s="231" t="s">
        <v>4808</v>
      </c>
      <c r="H3979" s="12" t="s">
        <v>26</v>
      </c>
      <c r="I3979" s="187" t="s">
        <v>2739</v>
      </c>
    </row>
    <row r="3980" spans="1:9" ht="14.25" customHeight="1">
      <c r="A3980" s="64">
        <v>46279</v>
      </c>
      <c r="B3980" s="145" t="s">
        <v>831</v>
      </c>
      <c r="C3980" s="150">
        <v>2026</v>
      </c>
      <c r="D3980" s="12" t="s">
        <v>2224</v>
      </c>
      <c r="E3980" s="225" t="s">
        <v>21</v>
      </c>
      <c r="F3980" s="187" t="s">
        <v>821</v>
      </c>
      <c r="G3980" s="231" t="s">
        <v>4809</v>
      </c>
      <c r="H3980" s="12" t="s">
        <v>26</v>
      </c>
      <c r="I3980" s="187" t="s">
        <v>4810</v>
      </c>
    </row>
    <row r="3981" spans="1:9" ht="14.25" customHeight="1">
      <c r="A3981" s="64">
        <v>46280</v>
      </c>
      <c r="B3981" s="145" t="s">
        <v>831</v>
      </c>
      <c r="C3981" s="150">
        <v>2026</v>
      </c>
      <c r="D3981" s="12" t="s">
        <v>1431</v>
      </c>
      <c r="E3981" s="225" t="s">
        <v>21</v>
      </c>
      <c r="F3981" s="187" t="s">
        <v>821</v>
      </c>
      <c r="G3981" s="231" t="s">
        <v>6418</v>
      </c>
      <c r="H3981" s="12" t="s">
        <v>26</v>
      </c>
      <c r="I3981" s="187" t="s">
        <v>468</v>
      </c>
    </row>
    <row r="3982" spans="1:9" ht="14.25" customHeight="1">
      <c r="A3982" s="64">
        <v>46280</v>
      </c>
      <c r="B3982" s="145" t="s">
        <v>831</v>
      </c>
      <c r="C3982" s="150">
        <v>2026</v>
      </c>
      <c r="D3982" s="12" t="s">
        <v>1431</v>
      </c>
      <c r="E3982" s="225" t="s">
        <v>21</v>
      </c>
      <c r="F3982" s="187" t="s">
        <v>821</v>
      </c>
      <c r="G3982" s="231" t="s">
        <v>4811</v>
      </c>
      <c r="H3982" s="12" t="s">
        <v>26</v>
      </c>
      <c r="I3982" s="187" t="s">
        <v>468</v>
      </c>
    </row>
    <row r="3983" spans="1:9" ht="14.25" customHeight="1">
      <c r="A3983" s="64">
        <v>46280</v>
      </c>
      <c r="B3983" s="145" t="s">
        <v>831</v>
      </c>
      <c r="C3983" s="150">
        <v>2026</v>
      </c>
      <c r="D3983" s="12" t="s">
        <v>1431</v>
      </c>
      <c r="E3983" s="225" t="s">
        <v>21</v>
      </c>
      <c r="F3983" s="187" t="s">
        <v>821</v>
      </c>
      <c r="G3983" s="231" t="s">
        <v>6419</v>
      </c>
      <c r="H3983" s="12" t="s">
        <v>26</v>
      </c>
      <c r="I3983" s="187" t="s">
        <v>468</v>
      </c>
    </row>
    <row r="3984" spans="1:9" ht="14.25" customHeight="1">
      <c r="A3984" s="64">
        <v>46280</v>
      </c>
      <c r="B3984" s="145" t="s">
        <v>831</v>
      </c>
      <c r="C3984" s="150">
        <v>2026</v>
      </c>
      <c r="D3984" s="12" t="s">
        <v>1431</v>
      </c>
      <c r="E3984" s="225" t="s">
        <v>21</v>
      </c>
      <c r="F3984" s="187" t="s">
        <v>821</v>
      </c>
      <c r="G3984" s="231" t="s">
        <v>6420</v>
      </c>
      <c r="H3984" s="12" t="s">
        <v>26</v>
      </c>
      <c r="I3984" s="187" t="s">
        <v>468</v>
      </c>
    </row>
    <row r="3985" spans="1:9" ht="14.25" customHeight="1">
      <c r="A3985" s="64">
        <v>46280</v>
      </c>
      <c r="B3985" s="145" t="s">
        <v>831</v>
      </c>
      <c r="C3985" s="150">
        <v>2026</v>
      </c>
      <c r="D3985" s="12" t="s">
        <v>1431</v>
      </c>
      <c r="E3985" s="225" t="s">
        <v>988</v>
      </c>
      <c r="F3985" s="187" t="s">
        <v>88</v>
      </c>
      <c r="G3985" s="231" t="s">
        <v>4812</v>
      </c>
      <c r="H3985" s="12" t="s">
        <v>26</v>
      </c>
      <c r="I3985" s="187" t="s">
        <v>914</v>
      </c>
    </row>
    <row r="3986" spans="1:9" ht="14.25" customHeight="1">
      <c r="A3986" s="64">
        <v>46280</v>
      </c>
      <c r="B3986" s="145" t="s">
        <v>831</v>
      </c>
      <c r="C3986" s="150">
        <v>2026</v>
      </c>
      <c r="D3986" s="12" t="s">
        <v>1431</v>
      </c>
      <c r="E3986" s="225" t="s">
        <v>4813</v>
      </c>
      <c r="F3986" s="187" t="s">
        <v>88</v>
      </c>
      <c r="G3986" s="231" t="s">
        <v>4814</v>
      </c>
      <c r="H3986" s="12" t="s">
        <v>26</v>
      </c>
      <c r="I3986" s="187"/>
    </row>
    <row r="3987" spans="1:9" ht="14.25" customHeight="1">
      <c r="A3987" s="64">
        <v>46280</v>
      </c>
      <c r="B3987" s="145" t="s">
        <v>831</v>
      </c>
      <c r="C3987" s="150">
        <v>2026</v>
      </c>
      <c r="D3987" s="12" t="s">
        <v>1431</v>
      </c>
      <c r="E3987" s="225" t="s">
        <v>4813</v>
      </c>
      <c r="F3987" s="187" t="s">
        <v>88</v>
      </c>
      <c r="G3987" s="231" t="s">
        <v>4815</v>
      </c>
      <c r="H3987" s="12" t="s">
        <v>26</v>
      </c>
      <c r="I3987" s="187"/>
    </row>
    <row r="3988" spans="1:9" ht="14.25" customHeight="1">
      <c r="A3988" s="64">
        <v>46280</v>
      </c>
      <c r="B3988" s="145" t="s">
        <v>831</v>
      </c>
      <c r="C3988" s="150">
        <v>2026</v>
      </c>
      <c r="D3988" s="12" t="s">
        <v>1431</v>
      </c>
      <c r="E3988" s="225" t="s">
        <v>6421</v>
      </c>
      <c r="F3988" s="187" t="s">
        <v>821</v>
      </c>
      <c r="G3988" s="231" t="s">
        <v>6422</v>
      </c>
      <c r="H3988" s="12" t="s">
        <v>26</v>
      </c>
      <c r="I3988" s="187" t="s">
        <v>4834</v>
      </c>
    </row>
    <row r="3989" spans="1:9" ht="14.25" customHeight="1">
      <c r="A3989" s="64">
        <v>46280</v>
      </c>
      <c r="B3989" s="145" t="s">
        <v>831</v>
      </c>
      <c r="C3989" s="150">
        <v>2026</v>
      </c>
      <c r="D3989" s="12" t="s">
        <v>1431</v>
      </c>
      <c r="E3989" s="225" t="s">
        <v>21</v>
      </c>
      <c r="F3989" s="187" t="s">
        <v>821</v>
      </c>
      <c r="G3989" s="231" t="s">
        <v>4816</v>
      </c>
      <c r="H3989" s="12" t="s">
        <v>26</v>
      </c>
      <c r="I3989" s="187" t="s">
        <v>468</v>
      </c>
    </row>
    <row r="3990" spans="1:9" ht="14.25" customHeight="1">
      <c r="A3990" s="64">
        <v>46280</v>
      </c>
      <c r="B3990" s="145" t="s">
        <v>831</v>
      </c>
      <c r="C3990" s="150">
        <v>2026</v>
      </c>
      <c r="D3990" s="12" t="s">
        <v>1431</v>
      </c>
      <c r="E3990" s="225" t="s">
        <v>21</v>
      </c>
      <c r="F3990" s="187" t="s">
        <v>821</v>
      </c>
      <c r="G3990" s="231" t="s">
        <v>4817</v>
      </c>
      <c r="H3990" s="12" t="s">
        <v>26</v>
      </c>
      <c r="I3990" s="187" t="s">
        <v>468</v>
      </c>
    </row>
    <row r="3991" spans="1:9" ht="14.25" customHeight="1">
      <c r="A3991" s="64">
        <v>46280</v>
      </c>
      <c r="B3991" s="145" t="s">
        <v>831</v>
      </c>
      <c r="C3991" s="150">
        <v>2026</v>
      </c>
      <c r="D3991" s="12" t="s">
        <v>1431</v>
      </c>
      <c r="E3991" s="225" t="s">
        <v>4818</v>
      </c>
      <c r="F3991" s="187" t="s">
        <v>88</v>
      </c>
      <c r="G3991" s="231" t="s">
        <v>4819</v>
      </c>
      <c r="H3991" s="12" t="s">
        <v>26</v>
      </c>
      <c r="I3991" s="187"/>
    </row>
    <row r="3992" spans="1:9" ht="14.25" customHeight="1">
      <c r="A3992" s="64">
        <v>46280</v>
      </c>
      <c r="B3992" s="145" t="s">
        <v>831</v>
      </c>
      <c r="C3992" s="150">
        <v>2026</v>
      </c>
      <c r="D3992" s="12" t="s">
        <v>2224</v>
      </c>
      <c r="E3992" s="225" t="s">
        <v>1518</v>
      </c>
      <c r="F3992" s="187" t="s">
        <v>88</v>
      </c>
      <c r="G3992" s="231" t="s">
        <v>4820</v>
      </c>
      <c r="H3992" s="12" t="s">
        <v>26</v>
      </c>
      <c r="I3992" s="187" t="s">
        <v>118</v>
      </c>
    </row>
    <row r="3993" spans="1:9" ht="14.25" customHeight="1">
      <c r="A3993" s="64">
        <v>46280</v>
      </c>
      <c r="B3993" s="145" t="s">
        <v>831</v>
      </c>
      <c r="C3993" s="150">
        <v>2026</v>
      </c>
      <c r="D3993" s="12" t="s">
        <v>2224</v>
      </c>
      <c r="E3993" s="225" t="s">
        <v>1432</v>
      </c>
      <c r="F3993" s="187" t="s">
        <v>821</v>
      </c>
      <c r="G3993" s="231" t="s">
        <v>4821</v>
      </c>
      <c r="H3993" s="12" t="s">
        <v>26</v>
      </c>
      <c r="I3993" s="187" t="s">
        <v>2568</v>
      </c>
    </row>
    <row r="3994" spans="1:9" ht="14.25" customHeight="1">
      <c r="A3994" s="64">
        <v>46281</v>
      </c>
      <c r="B3994" s="145" t="s">
        <v>831</v>
      </c>
      <c r="C3994" s="150">
        <v>2026</v>
      </c>
      <c r="D3994" s="12" t="s">
        <v>1431</v>
      </c>
      <c r="E3994" s="225" t="s">
        <v>988</v>
      </c>
      <c r="F3994" s="187" t="s">
        <v>1439</v>
      </c>
      <c r="G3994" s="231" t="s">
        <v>4822</v>
      </c>
      <c r="H3994" s="12" t="s">
        <v>26</v>
      </c>
      <c r="I3994" s="187" t="s">
        <v>1493</v>
      </c>
    </row>
    <row r="3995" spans="1:9" ht="14.25" customHeight="1">
      <c r="A3995" s="64">
        <v>46281</v>
      </c>
      <c r="B3995" s="145" t="s">
        <v>831</v>
      </c>
      <c r="C3995" s="150">
        <v>2026</v>
      </c>
      <c r="D3995" s="12" t="s">
        <v>1431</v>
      </c>
      <c r="E3995" s="225" t="s">
        <v>4813</v>
      </c>
      <c r="F3995" s="187" t="s">
        <v>88</v>
      </c>
      <c r="G3995" s="231" t="s">
        <v>4823</v>
      </c>
      <c r="H3995" s="12" t="s">
        <v>26</v>
      </c>
      <c r="I3995" s="187" t="s">
        <v>4779</v>
      </c>
    </row>
    <row r="3996" spans="1:9" ht="14.25" customHeight="1">
      <c r="A3996" s="64">
        <v>46281</v>
      </c>
      <c r="B3996" s="145" t="s">
        <v>831</v>
      </c>
      <c r="C3996" s="150">
        <v>2026</v>
      </c>
      <c r="D3996" s="12" t="s">
        <v>1431</v>
      </c>
      <c r="E3996" s="225" t="s">
        <v>4813</v>
      </c>
      <c r="F3996" s="187" t="s">
        <v>821</v>
      </c>
      <c r="G3996" s="231" t="s">
        <v>4824</v>
      </c>
      <c r="H3996" s="12" t="s">
        <v>26</v>
      </c>
      <c r="I3996" s="187" t="s">
        <v>4779</v>
      </c>
    </row>
    <row r="3997" spans="1:9" ht="14.25" customHeight="1">
      <c r="A3997" s="64">
        <v>46281</v>
      </c>
      <c r="B3997" s="145" t="s">
        <v>831</v>
      </c>
      <c r="C3997" s="150">
        <v>2026</v>
      </c>
      <c r="D3997" s="12" t="s">
        <v>1431</v>
      </c>
      <c r="E3997" s="225" t="s">
        <v>4813</v>
      </c>
      <c r="F3997" s="187" t="s">
        <v>821</v>
      </c>
      <c r="G3997" s="231" t="s">
        <v>4825</v>
      </c>
      <c r="H3997" s="12" t="s">
        <v>26</v>
      </c>
      <c r="I3997" s="187" t="s">
        <v>4779</v>
      </c>
    </row>
    <row r="3998" spans="1:9" ht="14.25" customHeight="1">
      <c r="A3998" s="64">
        <v>46281</v>
      </c>
      <c r="B3998" s="145" t="s">
        <v>831</v>
      </c>
      <c r="C3998" s="150">
        <v>2026</v>
      </c>
      <c r="D3998" s="12" t="s">
        <v>1431</v>
      </c>
      <c r="E3998" s="225" t="s">
        <v>1584</v>
      </c>
      <c r="F3998" s="187" t="s">
        <v>821</v>
      </c>
      <c r="G3998" s="231" t="s">
        <v>4826</v>
      </c>
      <c r="H3998" s="12" t="s">
        <v>26</v>
      </c>
      <c r="I3998" s="187" t="s">
        <v>4779</v>
      </c>
    </row>
    <row r="3999" spans="1:9" ht="14.25" customHeight="1">
      <c r="A3999" s="64">
        <v>46281</v>
      </c>
      <c r="B3999" s="145" t="s">
        <v>831</v>
      </c>
      <c r="C3999" s="150">
        <v>2026</v>
      </c>
      <c r="D3999" s="12" t="s">
        <v>1431</v>
      </c>
      <c r="E3999" s="225" t="s">
        <v>21</v>
      </c>
      <c r="F3999" s="187" t="s">
        <v>821</v>
      </c>
      <c r="G3999" s="231" t="s">
        <v>4827</v>
      </c>
      <c r="H3999" s="12" t="s">
        <v>26</v>
      </c>
      <c r="I3999" s="187" t="s">
        <v>468</v>
      </c>
    </row>
    <row r="4000" spans="1:9" ht="14.25" customHeight="1">
      <c r="A4000" s="64">
        <v>46281</v>
      </c>
      <c r="B4000" s="145" t="s">
        <v>831</v>
      </c>
      <c r="C4000" s="150">
        <v>2026</v>
      </c>
      <c r="D4000" s="12" t="s">
        <v>1431</v>
      </c>
      <c r="E4000" s="225" t="s">
        <v>1566</v>
      </c>
      <c r="F4000" s="187" t="s">
        <v>88</v>
      </c>
      <c r="G4000" s="231" t="s">
        <v>4828</v>
      </c>
      <c r="H4000" s="12" t="s">
        <v>26</v>
      </c>
      <c r="I4000" s="187" t="s">
        <v>4759</v>
      </c>
    </row>
    <row r="4001" spans="1:9" ht="14.25" customHeight="1">
      <c r="A4001" s="64">
        <v>46281</v>
      </c>
      <c r="B4001" s="145" t="s">
        <v>831</v>
      </c>
      <c r="C4001" s="150">
        <v>2026</v>
      </c>
      <c r="D4001" s="12" t="s">
        <v>1431</v>
      </c>
      <c r="E4001" s="225" t="s">
        <v>1566</v>
      </c>
      <c r="F4001" s="187" t="s">
        <v>88</v>
      </c>
      <c r="G4001" s="231" t="s">
        <v>4829</v>
      </c>
      <c r="H4001" s="12" t="s">
        <v>26</v>
      </c>
      <c r="I4001" s="187" t="s">
        <v>4759</v>
      </c>
    </row>
    <row r="4002" spans="1:9" ht="14.25" customHeight="1">
      <c r="A4002" s="64">
        <v>46281</v>
      </c>
      <c r="B4002" s="145" t="s">
        <v>831</v>
      </c>
      <c r="C4002" s="150">
        <v>2026</v>
      </c>
      <c r="D4002" s="12" t="s">
        <v>2224</v>
      </c>
      <c r="E4002" s="225" t="s">
        <v>1566</v>
      </c>
      <c r="F4002" s="187" t="s">
        <v>88</v>
      </c>
      <c r="G4002" s="231" t="s">
        <v>4830</v>
      </c>
      <c r="H4002" s="12" t="s">
        <v>26</v>
      </c>
      <c r="I4002" s="187" t="s">
        <v>4759</v>
      </c>
    </row>
    <row r="4003" spans="1:9" ht="14.25" customHeight="1">
      <c r="A4003" s="64">
        <v>46281</v>
      </c>
      <c r="B4003" s="145" t="s">
        <v>831</v>
      </c>
      <c r="C4003" s="150">
        <v>2026</v>
      </c>
      <c r="D4003" s="12" t="s">
        <v>2224</v>
      </c>
      <c r="E4003" s="225" t="s">
        <v>1449</v>
      </c>
      <c r="F4003" s="187" t="s">
        <v>88</v>
      </c>
      <c r="G4003" s="231" t="s">
        <v>4831</v>
      </c>
      <c r="H4003" s="12" t="s">
        <v>26</v>
      </c>
      <c r="I4003" s="187" t="s">
        <v>2739</v>
      </c>
    </row>
    <row r="4004" spans="1:9" ht="14.25" customHeight="1">
      <c r="A4004" s="64">
        <v>46282</v>
      </c>
      <c r="B4004" s="145" t="s">
        <v>831</v>
      </c>
      <c r="C4004" s="150">
        <v>2026</v>
      </c>
      <c r="D4004" s="12" t="s">
        <v>1431</v>
      </c>
      <c r="E4004" s="225" t="s">
        <v>1182</v>
      </c>
      <c r="F4004" s="187" t="s">
        <v>821</v>
      </c>
      <c r="G4004" s="231" t="s">
        <v>4832</v>
      </c>
      <c r="H4004" s="12" t="s">
        <v>26</v>
      </c>
      <c r="I4004" s="187" t="s">
        <v>4779</v>
      </c>
    </row>
    <row r="4005" spans="1:9" ht="14.25" customHeight="1">
      <c r="A4005" s="64">
        <v>46282</v>
      </c>
      <c r="B4005" s="145" t="s">
        <v>831</v>
      </c>
      <c r="C4005" s="150">
        <v>2026</v>
      </c>
      <c r="D4005" s="12" t="s">
        <v>1431</v>
      </c>
      <c r="E4005" s="225" t="s">
        <v>988</v>
      </c>
      <c r="F4005" s="187" t="s">
        <v>88</v>
      </c>
      <c r="G4005" s="231" t="s">
        <v>6423</v>
      </c>
      <c r="H4005" s="12" t="s">
        <v>26</v>
      </c>
      <c r="I4005" s="187" t="s">
        <v>185</v>
      </c>
    </row>
    <row r="4006" spans="1:9" ht="14.25" customHeight="1">
      <c r="A4006" s="64">
        <v>46282</v>
      </c>
      <c r="B4006" s="145" t="s">
        <v>831</v>
      </c>
      <c r="C4006" s="150">
        <v>2026</v>
      </c>
      <c r="D4006" s="12" t="s">
        <v>1431</v>
      </c>
      <c r="E4006" s="225" t="s">
        <v>988</v>
      </c>
      <c r="F4006" s="187" t="s">
        <v>88</v>
      </c>
      <c r="G4006" s="231" t="s">
        <v>6424</v>
      </c>
      <c r="H4006" s="12" t="s">
        <v>26</v>
      </c>
      <c r="I4006" s="187" t="s">
        <v>914</v>
      </c>
    </row>
    <row r="4007" spans="1:9" ht="14.25" customHeight="1">
      <c r="A4007" s="64">
        <v>46282</v>
      </c>
      <c r="B4007" s="145" t="s">
        <v>831</v>
      </c>
      <c r="C4007" s="150">
        <v>2026</v>
      </c>
      <c r="D4007" s="12" t="s">
        <v>1431</v>
      </c>
      <c r="E4007" s="225" t="s">
        <v>21</v>
      </c>
      <c r="F4007" s="187" t="s">
        <v>821</v>
      </c>
      <c r="G4007" s="231" t="s">
        <v>6425</v>
      </c>
      <c r="H4007" s="12" t="s">
        <v>26</v>
      </c>
      <c r="I4007" s="187" t="s">
        <v>468</v>
      </c>
    </row>
    <row r="4008" spans="1:9" ht="14.25" customHeight="1">
      <c r="A4008" s="64">
        <v>46282</v>
      </c>
      <c r="B4008" s="145" t="s">
        <v>831</v>
      </c>
      <c r="C4008" s="150">
        <v>2026</v>
      </c>
      <c r="D4008" s="12" t="s">
        <v>1431</v>
      </c>
      <c r="E4008" s="225" t="s">
        <v>21</v>
      </c>
      <c r="F4008" s="187" t="s">
        <v>821</v>
      </c>
      <c r="G4008" s="231" t="s">
        <v>6426</v>
      </c>
      <c r="H4008" s="12" t="s">
        <v>26</v>
      </c>
      <c r="I4008" s="187" t="s">
        <v>468</v>
      </c>
    </row>
    <row r="4009" spans="1:9" ht="14.25" customHeight="1">
      <c r="A4009" s="64">
        <v>46282</v>
      </c>
      <c r="B4009" s="145" t="s">
        <v>831</v>
      </c>
      <c r="C4009" s="150">
        <v>2026</v>
      </c>
      <c r="D4009" s="12" t="s">
        <v>2224</v>
      </c>
      <c r="E4009" s="225" t="s">
        <v>4770</v>
      </c>
      <c r="F4009" s="187" t="s">
        <v>821</v>
      </c>
      <c r="G4009" s="231" t="s">
        <v>4833</v>
      </c>
      <c r="H4009" s="12" t="s">
        <v>26</v>
      </c>
      <c r="I4009" s="187" t="s">
        <v>4834</v>
      </c>
    </row>
    <row r="4010" spans="1:9" ht="14.25" customHeight="1">
      <c r="A4010" s="64">
        <v>46282</v>
      </c>
      <c r="B4010" s="145" t="s">
        <v>831</v>
      </c>
      <c r="C4010" s="150">
        <v>2026</v>
      </c>
      <c r="D4010" s="12" t="s">
        <v>2224</v>
      </c>
      <c r="E4010" s="225" t="s">
        <v>21</v>
      </c>
      <c r="F4010" s="187" t="s">
        <v>821</v>
      </c>
      <c r="G4010" s="231" t="s">
        <v>4835</v>
      </c>
      <c r="H4010" s="12" t="s">
        <v>26</v>
      </c>
      <c r="I4010" s="187" t="s">
        <v>468</v>
      </c>
    </row>
    <row r="4011" spans="1:9" ht="14.25" customHeight="1">
      <c r="A4011" s="64">
        <v>46282</v>
      </c>
      <c r="B4011" s="145" t="s">
        <v>831</v>
      </c>
      <c r="C4011" s="150">
        <v>2026</v>
      </c>
      <c r="D4011" s="12" t="s">
        <v>2224</v>
      </c>
      <c r="E4011" s="225" t="s">
        <v>1449</v>
      </c>
      <c r="F4011" s="187" t="s">
        <v>88</v>
      </c>
      <c r="G4011" s="231" t="s">
        <v>4836</v>
      </c>
      <c r="H4011" s="12" t="s">
        <v>26</v>
      </c>
      <c r="I4011" s="187" t="s">
        <v>2739</v>
      </c>
    </row>
    <row r="4012" spans="1:9" ht="14.25" customHeight="1">
      <c r="A4012" s="64">
        <v>46283</v>
      </c>
      <c r="B4012" s="145" t="s">
        <v>831</v>
      </c>
      <c r="C4012" s="150">
        <v>2026</v>
      </c>
      <c r="D4012" s="12" t="s">
        <v>1431</v>
      </c>
      <c r="E4012" s="225" t="s">
        <v>988</v>
      </c>
      <c r="F4012" s="187" t="s">
        <v>88</v>
      </c>
      <c r="G4012" s="231" t="s">
        <v>4837</v>
      </c>
      <c r="H4012" s="12" t="s">
        <v>26</v>
      </c>
      <c r="I4012" s="187" t="s">
        <v>3758</v>
      </c>
    </row>
    <row r="4013" spans="1:9" ht="14.25" customHeight="1">
      <c r="A4013" s="64">
        <v>46283</v>
      </c>
      <c r="B4013" s="145" t="s">
        <v>831</v>
      </c>
      <c r="C4013" s="150">
        <v>2026</v>
      </c>
      <c r="D4013" s="12" t="s">
        <v>1431</v>
      </c>
      <c r="E4013" s="225" t="s">
        <v>4770</v>
      </c>
      <c r="F4013" s="187" t="s">
        <v>821</v>
      </c>
      <c r="G4013" s="231" t="s">
        <v>4838</v>
      </c>
      <c r="H4013" s="12" t="s">
        <v>26</v>
      </c>
      <c r="I4013" s="187" t="s">
        <v>4834</v>
      </c>
    </row>
    <row r="4014" spans="1:9" ht="14.25" customHeight="1">
      <c r="A4014" s="64">
        <v>46283</v>
      </c>
      <c r="B4014" s="145" t="s">
        <v>831</v>
      </c>
      <c r="C4014" s="150">
        <v>2026</v>
      </c>
      <c r="D4014" s="12" t="s">
        <v>1431</v>
      </c>
      <c r="E4014" s="225" t="s">
        <v>21</v>
      </c>
      <c r="F4014" s="187" t="s">
        <v>821</v>
      </c>
      <c r="G4014" s="231" t="s">
        <v>6427</v>
      </c>
      <c r="H4014" s="12" t="s">
        <v>26</v>
      </c>
      <c r="I4014" s="187" t="s">
        <v>468</v>
      </c>
    </row>
    <row r="4015" spans="1:9" ht="14.25" customHeight="1">
      <c r="A4015" s="64">
        <v>46283</v>
      </c>
      <c r="B4015" s="145" t="s">
        <v>831</v>
      </c>
      <c r="C4015" s="150">
        <v>2026</v>
      </c>
      <c r="D4015" s="12" t="s">
        <v>1431</v>
      </c>
      <c r="E4015" s="225" t="s">
        <v>21</v>
      </c>
      <c r="F4015" s="187" t="s">
        <v>821</v>
      </c>
      <c r="G4015" s="231" t="s">
        <v>4839</v>
      </c>
      <c r="H4015" s="12" t="s">
        <v>26</v>
      </c>
      <c r="I4015" s="187" t="s">
        <v>468</v>
      </c>
    </row>
    <row r="4016" spans="1:9" ht="14.25" customHeight="1">
      <c r="A4016" s="64">
        <v>46283</v>
      </c>
      <c r="B4016" s="145" t="s">
        <v>831</v>
      </c>
      <c r="C4016" s="150">
        <v>2026</v>
      </c>
      <c r="D4016" s="12" t="s">
        <v>1431</v>
      </c>
      <c r="E4016" s="225" t="s">
        <v>1449</v>
      </c>
      <c r="F4016" s="187" t="s">
        <v>88</v>
      </c>
      <c r="G4016" s="231" t="s">
        <v>4840</v>
      </c>
      <c r="H4016" s="12" t="s">
        <v>26</v>
      </c>
      <c r="I4016" s="187" t="s">
        <v>4762</v>
      </c>
    </row>
    <row r="4017" spans="1:9" ht="14.25" customHeight="1">
      <c r="A4017" s="64">
        <v>46283</v>
      </c>
      <c r="B4017" s="145" t="s">
        <v>831</v>
      </c>
      <c r="C4017" s="150">
        <v>2026</v>
      </c>
      <c r="D4017" s="12" t="s">
        <v>1431</v>
      </c>
      <c r="E4017" s="225" t="s">
        <v>1449</v>
      </c>
      <c r="F4017" s="187" t="s">
        <v>88</v>
      </c>
      <c r="G4017" s="231" t="s">
        <v>4841</v>
      </c>
      <c r="H4017" s="12" t="s">
        <v>26</v>
      </c>
      <c r="I4017" s="187" t="s">
        <v>4762</v>
      </c>
    </row>
    <row r="4018" spans="1:9" ht="14.25" customHeight="1">
      <c r="A4018" s="64">
        <v>46283</v>
      </c>
      <c r="B4018" s="145" t="s">
        <v>831</v>
      </c>
      <c r="C4018" s="150">
        <v>2026</v>
      </c>
      <c r="D4018" s="12" t="s">
        <v>1431</v>
      </c>
      <c r="E4018" s="225" t="s">
        <v>52</v>
      </c>
      <c r="F4018" s="187" t="s">
        <v>1439</v>
      </c>
      <c r="G4018" s="231" t="s">
        <v>4842</v>
      </c>
      <c r="H4018" s="12" t="s">
        <v>4745</v>
      </c>
      <c r="I4018" s="187"/>
    </row>
    <row r="4019" spans="1:9" ht="14.25" customHeight="1">
      <c r="A4019" s="64">
        <v>46283</v>
      </c>
      <c r="B4019" s="145" t="s">
        <v>831</v>
      </c>
      <c r="C4019" s="150">
        <v>2026</v>
      </c>
      <c r="D4019" s="12" t="s">
        <v>1431</v>
      </c>
      <c r="E4019" s="225" t="s">
        <v>1584</v>
      </c>
      <c r="F4019" s="187" t="s">
        <v>821</v>
      </c>
      <c r="G4019" s="231" t="s">
        <v>6428</v>
      </c>
      <c r="H4019" s="12" t="s">
        <v>26</v>
      </c>
      <c r="I4019" s="187" t="s">
        <v>158</v>
      </c>
    </row>
    <row r="4020" spans="1:9" ht="14.25" customHeight="1">
      <c r="A4020" s="64">
        <v>46283</v>
      </c>
      <c r="B4020" s="145" t="s">
        <v>831</v>
      </c>
      <c r="C4020" s="150">
        <v>2026</v>
      </c>
      <c r="D4020" s="12" t="s">
        <v>1431</v>
      </c>
      <c r="E4020" s="225" t="s">
        <v>1584</v>
      </c>
      <c r="F4020" s="187" t="s">
        <v>821</v>
      </c>
      <c r="G4020" s="231" t="s">
        <v>6429</v>
      </c>
      <c r="H4020" s="12" t="s">
        <v>26</v>
      </c>
      <c r="I4020" s="187" t="s">
        <v>158</v>
      </c>
    </row>
    <row r="4021" spans="1:9" ht="14.25" customHeight="1">
      <c r="A4021" s="64">
        <v>46283</v>
      </c>
      <c r="B4021" s="145" t="s">
        <v>831</v>
      </c>
      <c r="C4021" s="150">
        <v>2026</v>
      </c>
      <c r="D4021" s="12" t="s">
        <v>2224</v>
      </c>
      <c r="E4021" s="225" t="s">
        <v>4770</v>
      </c>
      <c r="F4021" s="187" t="s">
        <v>821</v>
      </c>
      <c r="G4021" s="231" t="s">
        <v>4843</v>
      </c>
      <c r="H4021" s="12" t="s">
        <v>26</v>
      </c>
      <c r="I4021" s="187" t="s">
        <v>4834</v>
      </c>
    </row>
    <row r="4022" spans="1:9" ht="14.25" customHeight="1">
      <c r="A4022" s="64">
        <v>46283</v>
      </c>
      <c r="B4022" s="145" t="s">
        <v>831</v>
      </c>
      <c r="C4022" s="150">
        <v>2026</v>
      </c>
      <c r="D4022" s="12" t="s">
        <v>2224</v>
      </c>
      <c r="E4022" s="225" t="s">
        <v>1449</v>
      </c>
      <c r="F4022" s="187" t="s">
        <v>88</v>
      </c>
      <c r="G4022" s="231" t="s">
        <v>4844</v>
      </c>
      <c r="H4022" s="12" t="s">
        <v>26</v>
      </c>
      <c r="I4022" s="187" t="s">
        <v>4762</v>
      </c>
    </row>
    <row r="4023" spans="1:9" ht="14.25" customHeight="1">
      <c r="A4023" s="64">
        <v>46286</v>
      </c>
      <c r="B4023" s="145" t="s">
        <v>831</v>
      </c>
      <c r="C4023" s="150">
        <v>2026</v>
      </c>
      <c r="D4023" s="12" t="s">
        <v>1431</v>
      </c>
      <c r="E4023" s="225" t="s">
        <v>4787</v>
      </c>
      <c r="F4023" s="187" t="s">
        <v>88</v>
      </c>
      <c r="G4023" s="231" t="s">
        <v>6430</v>
      </c>
      <c r="H4023" s="12" t="s">
        <v>26</v>
      </c>
      <c r="I4023" s="187" t="s">
        <v>6431</v>
      </c>
    </row>
    <row r="4024" spans="1:9" ht="14.25" customHeight="1">
      <c r="A4024" s="64">
        <v>46286</v>
      </c>
      <c r="B4024" s="145" t="s">
        <v>831</v>
      </c>
      <c r="C4024" s="150">
        <v>2026</v>
      </c>
      <c r="D4024" s="12" t="s">
        <v>1431</v>
      </c>
      <c r="E4024" s="225" t="s">
        <v>1566</v>
      </c>
      <c r="F4024" s="187" t="s">
        <v>88</v>
      </c>
      <c r="G4024" s="231" t="s">
        <v>4845</v>
      </c>
      <c r="H4024" s="12" t="s">
        <v>26</v>
      </c>
      <c r="I4024" s="187" t="s">
        <v>4759</v>
      </c>
    </row>
    <row r="4025" spans="1:9" ht="14.25" customHeight="1">
      <c r="A4025" s="64">
        <v>46286</v>
      </c>
      <c r="B4025" s="145" t="s">
        <v>831</v>
      </c>
      <c r="C4025" s="150">
        <v>2026</v>
      </c>
      <c r="D4025" s="12" t="s">
        <v>1431</v>
      </c>
      <c r="E4025" s="225" t="s">
        <v>1449</v>
      </c>
      <c r="F4025" s="187" t="s">
        <v>88</v>
      </c>
      <c r="G4025" s="231" t="s">
        <v>4846</v>
      </c>
      <c r="H4025" s="12" t="s">
        <v>26</v>
      </c>
      <c r="I4025" s="187" t="s">
        <v>2739</v>
      </c>
    </row>
    <row r="4026" spans="1:9" ht="14.25" customHeight="1">
      <c r="A4026" s="64">
        <v>46287</v>
      </c>
      <c r="B4026" s="145" t="s">
        <v>831</v>
      </c>
      <c r="C4026" s="150">
        <v>2026</v>
      </c>
      <c r="D4026" s="12" t="s">
        <v>1431</v>
      </c>
      <c r="E4026" s="225" t="s">
        <v>1506</v>
      </c>
      <c r="F4026" s="187" t="s">
        <v>88</v>
      </c>
      <c r="G4026" s="231" t="s">
        <v>4847</v>
      </c>
      <c r="H4026" s="12" t="s">
        <v>26</v>
      </c>
      <c r="I4026" s="187" t="s">
        <v>3740</v>
      </c>
    </row>
    <row r="4027" spans="1:9" ht="14.25" customHeight="1">
      <c r="A4027" s="64">
        <v>46287</v>
      </c>
      <c r="B4027" s="145" t="s">
        <v>831</v>
      </c>
      <c r="C4027" s="150">
        <v>2026</v>
      </c>
      <c r="D4027" s="12" t="s">
        <v>1431</v>
      </c>
      <c r="E4027" s="225" t="s">
        <v>4848</v>
      </c>
      <c r="F4027" s="187" t="s">
        <v>88</v>
      </c>
      <c r="G4027" s="231" t="s">
        <v>4849</v>
      </c>
      <c r="H4027" s="12" t="s">
        <v>26</v>
      </c>
      <c r="I4027" s="187" t="s">
        <v>2599</v>
      </c>
    </row>
    <row r="4028" spans="1:9" ht="14.25" customHeight="1">
      <c r="A4028" s="64">
        <v>46287</v>
      </c>
      <c r="B4028" s="145" t="s">
        <v>831</v>
      </c>
      <c r="C4028" s="150">
        <v>2026</v>
      </c>
      <c r="D4028" s="12" t="s">
        <v>1431</v>
      </c>
      <c r="E4028" s="225" t="s">
        <v>922</v>
      </c>
      <c r="F4028" s="187" t="s">
        <v>88</v>
      </c>
      <c r="G4028" s="231" t="s">
        <v>4850</v>
      </c>
      <c r="H4028" s="12" t="s">
        <v>26</v>
      </c>
      <c r="I4028" s="187" t="s">
        <v>4339</v>
      </c>
    </row>
    <row r="4029" spans="1:9" ht="14.25" customHeight="1">
      <c r="A4029" s="64">
        <v>46287</v>
      </c>
      <c r="B4029" s="145" t="s">
        <v>831</v>
      </c>
      <c r="C4029" s="150">
        <v>2026</v>
      </c>
      <c r="D4029" s="12" t="s">
        <v>1431</v>
      </c>
      <c r="E4029" s="225" t="s">
        <v>922</v>
      </c>
      <c r="F4029" s="187" t="s">
        <v>88</v>
      </c>
      <c r="G4029" s="231" t="s">
        <v>4851</v>
      </c>
      <c r="H4029" s="12" t="s">
        <v>26</v>
      </c>
      <c r="I4029" s="187" t="s">
        <v>4339</v>
      </c>
    </row>
    <row r="4030" spans="1:9" ht="14.25" customHeight="1">
      <c r="A4030" s="64">
        <v>46287</v>
      </c>
      <c r="B4030" s="145" t="s">
        <v>831</v>
      </c>
      <c r="C4030" s="150">
        <v>2026</v>
      </c>
      <c r="D4030" s="12" t="s">
        <v>1431</v>
      </c>
      <c r="E4030" s="225" t="s">
        <v>1504</v>
      </c>
      <c r="F4030" s="187" t="s">
        <v>821</v>
      </c>
      <c r="G4030" s="231" t="s">
        <v>4852</v>
      </c>
      <c r="H4030" s="12" t="s">
        <v>4745</v>
      </c>
      <c r="I4030" s="187" t="s">
        <v>158</v>
      </c>
    </row>
    <row r="4031" spans="1:9" ht="14.25" customHeight="1">
      <c r="A4031" s="64">
        <v>46287</v>
      </c>
      <c r="B4031" s="145" t="s">
        <v>831</v>
      </c>
      <c r="C4031" s="150">
        <v>2026</v>
      </c>
      <c r="D4031" s="12" t="s">
        <v>1431</v>
      </c>
      <c r="E4031" s="225" t="s">
        <v>216</v>
      </c>
      <c r="F4031" s="187" t="s">
        <v>821</v>
      </c>
      <c r="G4031" s="231" t="s">
        <v>4853</v>
      </c>
      <c r="H4031" s="12" t="s">
        <v>4745</v>
      </c>
      <c r="I4031" s="187" t="s">
        <v>492</v>
      </c>
    </row>
    <row r="4032" spans="1:9" ht="14.25" customHeight="1">
      <c r="A4032" s="64">
        <v>46287</v>
      </c>
      <c r="B4032" s="145" t="s">
        <v>831</v>
      </c>
      <c r="C4032" s="150">
        <v>2026</v>
      </c>
      <c r="D4032" s="12" t="s">
        <v>1431</v>
      </c>
      <c r="E4032" s="225" t="s">
        <v>216</v>
      </c>
      <c r="F4032" s="187" t="s">
        <v>821</v>
      </c>
      <c r="G4032" s="231" t="s">
        <v>4854</v>
      </c>
      <c r="H4032" s="12" t="s">
        <v>4745</v>
      </c>
      <c r="I4032" s="187" t="s">
        <v>492</v>
      </c>
    </row>
    <row r="4033" spans="1:9" ht="14.25" customHeight="1">
      <c r="A4033" s="64">
        <v>46287</v>
      </c>
      <c r="B4033" s="145" t="s">
        <v>831</v>
      </c>
      <c r="C4033" s="150">
        <v>2026</v>
      </c>
      <c r="D4033" s="12" t="s">
        <v>1431</v>
      </c>
      <c r="E4033" s="225" t="s">
        <v>97</v>
      </c>
      <c r="F4033" s="187" t="s">
        <v>821</v>
      </c>
      <c r="G4033" s="231" t="s">
        <v>4855</v>
      </c>
      <c r="H4033" s="12" t="s">
        <v>4745</v>
      </c>
      <c r="I4033" s="187" t="s">
        <v>158</v>
      </c>
    </row>
    <row r="4034" spans="1:9" ht="14.25" customHeight="1">
      <c r="A4034" s="64">
        <v>46287</v>
      </c>
      <c r="B4034" s="145" t="s">
        <v>831</v>
      </c>
      <c r="C4034" s="150">
        <v>2026</v>
      </c>
      <c r="D4034" s="12" t="s">
        <v>1431</v>
      </c>
      <c r="E4034" s="225" t="s">
        <v>1449</v>
      </c>
      <c r="F4034" s="187" t="s">
        <v>821</v>
      </c>
      <c r="G4034" s="231" t="s">
        <v>4856</v>
      </c>
      <c r="H4034" s="12" t="s">
        <v>26</v>
      </c>
      <c r="I4034" s="187" t="s">
        <v>2739</v>
      </c>
    </row>
    <row r="4035" spans="1:9" ht="14.25" customHeight="1">
      <c r="A4035" s="64">
        <v>46287</v>
      </c>
      <c r="B4035" s="145" t="s">
        <v>831</v>
      </c>
      <c r="C4035" s="150">
        <v>2026</v>
      </c>
      <c r="D4035" s="12" t="s">
        <v>1431</v>
      </c>
      <c r="E4035" s="225" t="s">
        <v>1449</v>
      </c>
      <c r="F4035" s="187" t="s">
        <v>88</v>
      </c>
      <c r="G4035" s="231" t="s">
        <v>4857</v>
      </c>
      <c r="H4035" s="12" t="s">
        <v>26</v>
      </c>
      <c r="I4035" s="187" t="s">
        <v>2739</v>
      </c>
    </row>
    <row r="4036" spans="1:9" ht="14.25" customHeight="1">
      <c r="A4036" s="64">
        <v>46287</v>
      </c>
      <c r="B4036" s="145" t="s">
        <v>831</v>
      </c>
      <c r="C4036" s="150">
        <v>2026</v>
      </c>
      <c r="D4036" s="12" t="s">
        <v>1431</v>
      </c>
      <c r="E4036" s="225" t="s">
        <v>1449</v>
      </c>
      <c r="F4036" s="187" t="s">
        <v>88</v>
      </c>
      <c r="G4036" s="231" t="s">
        <v>4858</v>
      </c>
      <c r="H4036" s="12" t="s">
        <v>26</v>
      </c>
      <c r="I4036" s="187" t="s">
        <v>2739</v>
      </c>
    </row>
    <row r="4037" spans="1:9" ht="14.25" customHeight="1">
      <c r="A4037" s="64">
        <v>46287</v>
      </c>
      <c r="B4037" s="145" t="s">
        <v>831</v>
      </c>
      <c r="C4037" s="150">
        <v>2026</v>
      </c>
      <c r="D4037" s="12" t="s">
        <v>2224</v>
      </c>
      <c r="E4037" s="225" t="s">
        <v>21</v>
      </c>
      <c r="F4037" s="187" t="s">
        <v>821</v>
      </c>
      <c r="G4037" s="231" t="s">
        <v>4859</v>
      </c>
      <c r="H4037" s="12" t="s">
        <v>26</v>
      </c>
      <c r="I4037" s="187" t="s">
        <v>468</v>
      </c>
    </row>
    <row r="4038" spans="1:9" ht="14.25" customHeight="1">
      <c r="A4038" s="64">
        <v>46288</v>
      </c>
      <c r="B4038" s="145" t="s">
        <v>831</v>
      </c>
      <c r="C4038" s="150">
        <v>2026</v>
      </c>
      <c r="D4038" s="12" t="s">
        <v>1431</v>
      </c>
      <c r="E4038" s="225" t="s">
        <v>216</v>
      </c>
      <c r="F4038" s="187" t="s">
        <v>821</v>
      </c>
      <c r="G4038" s="231" t="s">
        <v>4860</v>
      </c>
      <c r="H4038" s="12" t="s">
        <v>4745</v>
      </c>
      <c r="I4038" s="187" t="s">
        <v>158</v>
      </c>
    </row>
    <row r="4039" spans="1:9" ht="14.25" customHeight="1">
      <c r="A4039" s="64">
        <v>46288</v>
      </c>
      <c r="B4039" s="145" t="s">
        <v>831</v>
      </c>
      <c r="C4039" s="150">
        <v>2026</v>
      </c>
      <c r="D4039" s="12" t="s">
        <v>1431</v>
      </c>
      <c r="E4039" s="225" t="s">
        <v>574</v>
      </c>
      <c r="F4039" s="187" t="s">
        <v>88</v>
      </c>
      <c r="G4039" s="231" t="s">
        <v>4861</v>
      </c>
      <c r="H4039" s="12" t="s">
        <v>4745</v>
      </c>
      <c r="I4039" s="187" t="s">
        <v>578</v>
      </c>
    </row>
    <row r="4040" spans="1:9" ht="14.25" customHeight="1">
      <c r="A4040" s="64">
        <v>46288</v>
      </c>
      <c r="B4040" s="145" t="s">
        <v>831</v>
      </c>
      <c r="C4040" s="150">
        <v>2026</v>
      </c>
      <c r="D4040" s="12" t="s">
        <v>1431</v>
      </c>
      <c r="E4040" s="225" t="s">
        <v>3772</v>
      </c>
      <c r="F4040" s="187" t="s">
        <v>1439</v>
      </c>
      <c r="G4040" s="231" t="s">
        <v>4862</v>
      </c>
      <c r="H4040" s="12" t="s">
        <v>4745</v>
      </c>
      <c r="I4040" s="187" t="s">
        <v>4863</v>
      </c>
    </row>
    <row r="4041" spans="1:9" ht="14.25" customHeight="1">
      <c r="A4041" s="64">
        <v>46288</v>
      </c>
      <c r="B4041" s="145" t="s">
        <v>831</v>
      </c>
      <c r="C4041" s="150">
        <v>2026</v>
      </c>
      <c r="D4041" s="12" t="s">
        <v>1431</v>
      </c>
      <c r="E4041" s="225" t="s">
        <v>52</v>
      </c>
      <c r="F4041" s="187" t="s">
        <v>1439</v>
      </c>
      <c r="G4041" s="231" t="s">
        <v>4864</v>
      </c>
      <c r="H4041" s="12" t="s">
        <v>4745</v>
      </c>
      <c r="I4041" s="187" t="s">
        <v>2244</v>
      </c>
    </row>
    <row r="4042" spans="1:9" ht="14.25" customHeight="1">
      <c r="A4042" s="64">
        <v>46288</v>
      </c>
      <c r="B4042" s="145" t="s">
        <v>831</v>
      </c>
      <c r="C4042" s="150">
        <v>2026</v>
      </c>
      <c r="D4042" s="12" t="s">
        <v>1431</v>
      </c>
      <c r="E4042" s="225" t="s">
        <v>4904</v>
      </c>
      <c r="F4042" s="187" t="s">
        <v>88</v>
      </c>
      <c r="G4042" s="231" t="s">
        <v>6432</v>
      </c>
      <c r="H4042" s="12" t="s">
        <v>26</v>
      </c>
      <c r="I4042" s="187" t="s">
        <v>185</v>
      </c>
    </row>
    <row r="4043" spans="1:9" ht="14.25" customHeight="1">
      <c r="A4043" s="64">
        <v>46288</v>
      </c>
      <c r="B4043" s="145" t="s">
        <v>831</v>
      </c>
      <c r="C4043" s="150">
        <v>2026</v>
      </c>
      <c r="D4043" s="12" t="s">
        <v>1431</v>
      </c>
      <c r="E4043" s="225" t="s">
        <v>4904</v>
      </c>
      <c r="F4043" s="187" t="s">
        <v>88</v>
      </c>
      <c r="G4043" s="231" t="s">
        <v>5655</v>
      </c>
      <c r="H4043" s="12" t="s">
        <v>26</v>
      </c>
      <c r="I4043" s="187" t="s">
        <v>185</v>
      </c>
    </row>
    <row r="4044" spans="1:9" ht="14.25" customHeight="1">
      <c r="A4044" s="64">
        <v>46288</v>
      </c>
      <c r="B4044" s="145" t="s">
        <v>831</v>
      </c>
      <c r="C4044" s="150">
        <v>2026</v>
      </c>
      <c r="D4044" s="12" t="s">
        <v>1431</v>
      </c>
      <c r="E4044" s="225" t="s">
        <v>1432</v>
      </c>
      <c r="F4044" s="187" t="s">
        <v>821</v>
      </c>
      <c r="G4044" s="231" t="s">
        <v>4865</v>
      </c>
      <c r="H4044" s="12" t="s">
        <v>4745</v>
      </c>
      <c r="I4044" s="187" t="s">
        <v>158</v>
      </c>
    </row>
    <row r="4045" spans="1:9" ht="14.25" customHeight="1">
      <c r="A4045" s="64">
        <v>46288</v>
      </c>
      <c r="B4045" s="145" t="s">
        <v>831</v>
      </c>
      <c r="C4045" s="150">
        <v>2026</v>
      </c>
      <c r="D4045" s="12" t="s">
        <v>1431</v>
      </c>
      <c r="E4045" s="225" t="s">
        <v>216</v>
      </c>
      <c r="F4045" s="187" t="s">
        <v>821</v>
      </c>
      <c r="G4045" s="231" t="s">
        <v>6433</v>
      </c>
      <c r="H4045" s="12" t="s">
        <v>26</v>
      </c>
      <c r="I4045" s="187" t="s">
        <v>492</v>
      </c>
    </row>
    <row r="4046" spans="1:9" ht="14.25" customHeight="1">
      <c r="A4046" s="64">
        <v>46288</v>
      </c>
      <c r="B4046" s="145" t="s">
        <v>831</v>
      </c>
      <c r="C4046" s="150">
        <v>2026</v>
      </c>
      <c r="D4046" s="12" t="s">
        <v>2224</v>
      </c>
      <c r="E4046" s="225" t="s">
        <v>52</v>
      </c>
      <c r="F4046" s="187" t="s">
        <v>1439</v>
      </c>
      <c r="G4046" s="231" t="s">
        <v>4866</v>
      </c>
      <c r="H4046" s="12" t="s">
        <v>4745</v>
      </c>
      <c r="I4046" s="187" t="s">
        <v>4863</v>
      </c>
    </row>
    <row r="4047" spans="1:9" ht="14.25" customHeight="1">
      <c r="A4047" s="64">
        <v>46288</v>
      </c>
      <c r="B4047" s="145" t="s">
        <v>831</v>
      </c>
      <c r="C4047" s="150">
        <v>2026</v>
      </c>
      <c r="D4047" s="12" t="s">
        <v>2224</v>
      </c>
      <c r="E4047" s="225" t="s">
        <v>1432</v>
      </c>
      <c r="F4047" s="187" t="s">
        <v>821</v>
      </c>
      <c r="G4047" s="231" t="s">
        <v>4867</v>
      </c>
      <c r="H4047" s="12" t="s">
        <v>26</v>
      </c>
      <c r="I4047" s="187" t="s">
        <v>158</v>
      </c>
    </row>
    <row r="4048" spans="1:9" ht="14.25" customHeight="1">
      <c r="A4048" s="64">
        <v>46289</v>
      </c>
      <c r="B4048" s="145" t="s">
        <v>831</v>
      </c>
      <c r="C4048" s="150">
        <v>2026</v>
      </c>
      <c r="D4048" s="12" t="s">
        <v>1431</v>
      </c>
      <c r="E4048" s="225" t="s">
        <v>4868</v>
      </c>
      <c r="F4048" s="187" t="s">
        <v>88</v>
      </c>
      <c r="G4048" s="231" t="s">
        <v>4869</v>
      </c>
      <c r="H4048" s="12" t="s">
        <v>26</v>
      </c>
      <c r="I4048" s="187" t="s">
        <v>3758</v>
      </c>
    </row>
    <row r="4049" spans="1:9" ht="14.25" customHeight="1">
      <c r="A4049" s="64">
        <v>46289</v>
      </c>
      <c r="B4049" s="145" t="s">
        <v>831</v>
      </c>
      <c r="C4049" s="150">
        <v>2026</v>
      </c>
      <c r="D4049" s="12" t="s">
        <v>1431</v>
      </c>
      <c r="E4049" s="225" t="s">
        <v>988</v>
      </c>
      <c r="F4049" s="187" t="s">
        <v>88</v>
      </c>
      <c r="G4049" s="231" t="s">
        <v>6434</v>
      </c>
      <c r="H4049" s="12" t="s">
        <v>26</v>
      </c>
      <c r="I4049" s="187" t="s">
        <v>3758</v>
      </c>
    </row>
    <row r="4050" spans="1:9" ht="14.25" customHeight="1">
      <c r="A4050" s="64">
        <v>46289</v>
      </c>
      <c r="B4050" s="145" t="s">
        <v>831</v>
      </c>
      <c r="C4050" s="150">
        <v>2026</v>
      </c>
      <c r="D4050" s="12" t="s">
        <v>1431</v>
      </c>
      <c r="E4050" s="225" t="s">
        <v>4787</v>
      </c>
      <c r="F4050" s="187" t="s">
        <v>88</v>
      </c>
      <c r="G4050" s="231" t="s">
        <v>3811</v>
      </c>
      <c r="H4050" s="12" t="s">
        <v>26</v>
      </c>
      <c r="I4050" s="187" t="s">
        <v>6431</v>
      </c>
    </row>
    <row r="4051" spans="1:9" ht="14.25" customHeight="1">
      <c r="A4051" s="64">
        <v>46289</v>
      </c>
      <c r="B4051" s="145" t="s">
        <v>831</v>
      </c>
      <c r="C4051" s="150">
        <v>2026</v>
      </c>
      <c r="D4051" s="12" t="s">
        <v>1431</v>
      </c>
      <c r="E4051" s="225" t="s">
        <v>4770</v>
      </c>
      <c r="F4051" s="187" t="s">
        <v>821</v>
      </c>
      <c r="G4051" s="231" t="s">
        <v>4870</v>
      </c>
      <c r="H4051" s="12" t="s">
        <v>26</v>
      </c>
      <c r="I4051" s="187" t="s">
        <v>914</v>
      </c>
    </row>
    <row r="4052" spans="1:9" ht="14.25" customHeight="1">
      <c r="A4052" s="64">
        <v>46289</v>
      </c>
      <c r="B4052" s="145" t="s">
        <v>831</v>
      </c>
      <c r="C4052" s="150">
        <v>2026</v>
      </c>
      <c r="D4052" s="12" t="s">
        <v>1431</v>
      </c>
      <c r="E4052" s="225" t="s">
        <v>1182</v>
      </c>
      <c r="F4052" s="187" t="s">
        <v>88</v>
      </c>
      <c r="G4052" s="231" t="s">
        <v>4871</v>
      </c>
      <c r="H4052" s="12" t="s">
        <v>26</v>
      </c>
      <c r="I4052" s="187" t="s">
        <v>4779</v>
      </c>
    </row>
    <row r="4053" spans="1:9" ht="14.25" customHeight="1">
      <c r="A4053" s="64">
        <v>46289</v>
      </c>
      <c r="B4053" s="145" t="s">
        <v>831</v>
      </c>
      <c r="C4053" s="150">
        <v>2026</v>
      </c>
      <c r="D4053" s="12" t="s">
        <v>1431</v>
      </c>
      <c r="E4053" s="225" t="s">
        <v>21</v>
      </c>
      <c r="F4053" s="187" t="s">
        <v>821</v>
      </c>
      <c r="G4053" s="231" t="s">
        <v>4872</v>
      </c>
      <c r="H4053" s="12" t="s">
        <v>4745</v>
      </c>
      <c r="I4053" s="187" t="s">
        <v>468</v>
      </c>
    </row>
    <row r="4054" spans="1:9" ht="14.25" customHeight="1">
      <c r="A4054" s="64">
        <v>46289</v>
      </c>
      <c r="B4054" s="145" t="s">
        <v>831</v>
      </c>
      <c r="C4054" s="150">
        <v>2026</v>
      </c>
      <c r="D4054" s="12" t="s">
        <v>1431</v>
      </c>
      <c r="E4054" s="225" t="s">
        <v>1506</v>
      </c>
      <c r="F4054" s="187" t="s">
        <v>88</v>
      </c>
      <c r="G4054" s="231" t="s">
        <v>4873</v>
      </c>
      <c r="H4054" s="12" t="s">
        <v>26</v>
      </c>
      <c r="I4054" s="187" t="s">
        <v>3153</v>
      </c>
    </row>
    <row r="4055" spans="1:9" ht="14.25" customHeight="1">
      <c r="A4055" s="64">
        <v>46289</v>
      </c>
      <c r="B4055" s="145" t="s">
        <v>831</v>
      </c>
      <c r="C4055" s="150">
        <v>2026</v>
      </c>
      <c r="D4055" s="12" t="s">
        <v>1431</v>
      </c>
      <c r="E4055" s="225" t="s">
        <v>4770</v>
      </c>
      <c r="F4055" s="187" t="s">
        <v>821</v>
      </c>
      <c r="G4055" s="231" t="s">
        <v>4874</v>
      </c>
      <c r="H4055" s="12" t="s">
        <v>26</v>
      </c>
      <c r="I4055" s="187" t="s">
        <v>4834</v>
      </c>
    </row>
    <row r="4056" spans="1:9" ht="14.25" customHeight="1">
      <c r="A4056" s="64">
        <v>46289</v>
      </c>
      <c r="B4056" s="145" t="s">
        <v>831</v>
      </c>
      <c r="C4056" s="150">
        <v>2026</v>
      </c>
      <c r="D4056" s="12" t="s">
        <v>1431</v>
      </c>
      <c r="E4056" s="225" t="s">
        <v>21</v>
      </c>
      <c r="F4056" s="187" t="s">
        <v>821</v>
      </c>
      <c r="G4056" s="231" t="s">
        <v>4875</v>
      </c>
      <c r="H4056" s="12" t="s">
        <v>4745</v>
      </c>
      <c r="I4056" s="187" t="s">
        <v>468</v>
      </c>
    </row>
    <row r="4057" spans="1:9" ht="14.25" customHeight="1">
      <c r="A4057" s="64">
        <v>46289</v>
      </c>
      <c r="B4057" s="145" t="s">
        <v>831</v>
      </c>
      <c r="C4057" s="150">
        <v>2026</v>
      </c>
      <c r="D4057" s="12" t="s">
        <v>2224</v>
      </c>
      <c r="E4057" s="225" t="s">
        <v>1518</v>
      </c>
      <c r="F4057" s="187" t="s">
        <v>821</v>
      </c>
      <c r="G4057" s="231" t="s">
        <v>4876</v>
      </c>
      <c r="H4057" s="12" t="s">
        <v>26</v>
      </c>
      <c r="I4057" s="187" t="s">
        <v>118</v>
      </c>
    </row>
    <row r="4058" spans="1:9" ht="14.25" customHeight="1">
      <c r="A4058" s="64">
        <v>46289</v>
      </c>
      <c r="B4058" s="145" t="s">
        <v>831</v>
      </c>
      <c r="C4058" s="150">
        <v>2026</v>
      </c>
      <c r="D4058" s="12" t="s">
        <v>1431</v>
      </c>
      <c r="E4058" s="225" t="s">
        <v>1311</v>
      </c>
      <c r="F4058" s="187" t="s">
        <v>821</v>
      </c>
      <c r="G4058" s="231" t="s">
        <v>4877</v>
      </c>
      <c r="H4058" s="12" t="s">
        <v>4745</v>
      </c>
      <c r="I4058" s="187" t="s">
        <v>1327</v>
      </c>
    </row>
    <row r="4059" spans="1:9" ht="14.25" customHeight="1">
      <c r="A4059" s="64">
        <v>46290</v>
      </c>
      <c r="B4059" s="145" t="s">
        <v>831</v>
      </c>
      <c r="C4059" s="150">
        <v>2026</v>
      </c>
      <c r="D4059" s="12" t="s">
        <v>1431</v>
      </c>
      <c r="E4059" s="225" t="s">
        <v>1158</v>
      </c>
      <c r="F4059" s="187" t="s">
        <v>88</v>
      </c>
      <c r="G4059" s="231" t="s">
        <v>4878</v>
      </c>
      <c r="H4059" s="12" t="s">
        <v>26</v>
      </c>
      <c r="I4059" s="187" t="s">
        <v>452</v>
      </c>
    </row>
    <row r="4060" spans="1:9" ht="14.25" customHeight="1">
      <c r="A4060" s="64">
        <v>46290</v>
      </c>
      <c r="B4060" s="145" t="s">
        <v>831</v>
      </c>
      <c r="C4060" s="150">
        <v>2026</v>
      </c>
      <c r="D4060" s="12" t="s">
        <v>1431</v>
      </c>
      <c r="E4060" s="225" t="s">
        <v>1182</v>
      </c>
      <c r="F4060" s="187" t="s">
        <v>88</v>
      </c>
      <c r="G4060" s="231" t="s">
        <v>4879</v>
      </c>
      <c r="H4060" s="12" t="s">
        <v>26</v>
      </c>
      <c r="I4060" s="187" t="s">
        <v>4779</v>
      </c>
    </row>
    <row r="4061" spans="1:9" ht="14.25" customHeight="1">
      <c r="A4061" s="64">
        <v>46290</v>
      </c>
      <c r="B4061" s="145" t="s">
        <v>831</v>
      </c>
      <c r="C4061" s="150">
        <v>2026</v>
      </c>
      <c r="D4061" s="12" t="s">
        <v>1431</v>
      </c>
      <c r="E4061" s="225" t="s">
        <v>988</v>
      </c>
      <c r="F4061" s="187" t="s">
        <v>1439</v>
      </c>
      <c r="G4061" s="231" t="s">
        <v>4880</v>
      </c>
      <c r="H4061" s="12" t="s">
        <v>26</v>
      </c>
      <c r="I4061" s="187"/>
    </row>
    <row r="4062" spans="1:9" ht="14.25" customHeight="1">
      <c r="A4062" s="64">
        <v>46290</v>
      </c>
      <c r="B4062" s="145" t="s">
        <v>831</v>
      </c>
      <c r="C4062" s="150">
        <v>2026</v>
      </c>
      <c r="D4062" s="12" t="s">
        <v>1431</v>
      </c>
      <c r="E4062" s="225" t="s">
        <v>922</v>
      </c>
      <c r="F4062" s="187" t="s">
        <v>88</v>
      </c>
      <c r="G4062" s="231" t="s">
        <v>6424</v>
      </c>
      <c r="H4062" s="12" t="s">
        <v>26</v>
      </c>
      <c r="I4062" s="187" t="s">
        <v>914</v>
      </c>
    </row>
    <row r="4063" spans="1:9" ht="14.25" customHeight="1">
      <c r="A4063" s="64">
        <v>46290</v>
      </c>
      <c r="B4063" s="145" t="s">
        <v>831</v>
      </c>
      <c r="C4063" s="150">
        <v>2026</v>
      </c>
      <c r="D4063" s="12" t="s">
        <v>1431</v>
      </c>
      <c r="E4063" s="225" t="s">
        <v>922</v>
      </c>
      <c r="F4063" s="187" t="s">
        <v>88</v>
      </c>
      <c r="G4063" s="231" t="s">
        <v>5655</v>
      </c>
      <c r="H4063" s="12" t="s">
        <v>26</v>
      </c>
      <c r="I4063" s="187" t="s">
        <v>914</v>
      </c>
    </row>
    <row r="4064" spans="1:9" ht="14.25" customHeight="1">
      <c r="A4064" s="64">
        <v>46290</v>
      </c>
      <c r="B4064" s="145" t="s">
        <v>831</v>
      </c>
      <c r="C4064" s="150">
        <v>2026</v>
      </c>
      <c r="D4064" s="12" t="s">
        <v>1431</v>
      </c>
      <c r="E4064" s="225" t="s">
        <v>1608</v>
      </c>
      <c r="F4064" s="187" t="s">
        <v>1439</v>
      </c>
      <c r="G4064" s="231" t="s">
        <v>4882</v>
      </c>
      <c r="H4064" s="12" t="s">
        <v>26</v>
      </c>
      <c r="I4064" s="187" t="s">
        <v>4377</v>
      </c>
    </row>
    <row r="4065" spans="1:9" ht="14.25" customHeight="1">
      <c r="A4065" s="64">
        <v>46290</v>
      </c>
      <c r="B4065" s="145" t="s">
        <v>831</v>
      </c>
      <c r="C4065" s="150">
        <v>2026</v>
      </c>
      <c r="D4065" s="12" t="s">
        <v>1431</v>
      </c>
      <c r="E4065" s="225" t="s">
        <v>1518</v>
      </c>
      <c r="F4065" s="187" t="s">
        <v>88</v>
      </c>
      <c r="G4065" s="231" t="s">
        <v>4883</v>
      </c>
      <c r="H4065" s="12" t="s">
        <v>26</v>
      </c>
      <c r="I4065" s="187" t="s">
        <v>118</v>
      </c>
    </row>
    <row r="4066" spans="1:9" ht="14.25" customHeight="1">
      <c r="A4066" s="64">
        <v>46290</v>
      </c>
      <c r="B4066" s="145" t="s">
        <v>831</v>
      </c>
      <c r="C4066" s="150">
        <v>2026</v>
      </c>
      <c r="D4066" s="12" t="s">
        <v>1431</v>
      </c>
      <c r="E4066" s="225" t="s">
        <v>21</v>
      </c>
      <c r="F4066" s="187" t="s">
        <v>821</v>
      </c>
      <c r="G4066" s="231" t="s">
        <v>4884</v>
      </c>
      <c r="H4066" s="12" t="s">
        <v>4745</v>
      </c>
      <c r="I4066" s="187" t="s">
        <v>118</v>
      </c>
    </row>
    <row r="4067" spans="1:9" ht="14.25" customHeight="1">
      <c r="A4067" s="64">
        <v>46290</v>
      </c>
      <c r="B4067" s="145" t="s">
        <v>831</v>
      </c>
      <c r="C4067" s="150">
        <v>2026</v>
      </c>
      <c r="D4067" s="12" t="s">
        <v>1431</v>
      </c>
      <c r="E4067" s="225" t="s">
        <v>4770</v>
      </c>
      <c r="F4067" s="187" t="s">
        <v>821</v>
      </c>
      <c r="G4067" s="231" t="s">
        <v>4885</v>
      </c>
      <c r="H4067" s="12" t="s">
        <v>4745</v>
      </c>
      <c r="I4067" s="187" t="s">
        <v>4834</v>
      </c>
    </row>
    <row r="4068" spans="1:9" ht="14.25" customHeight="1">
      <c r="A4068" s="64">
        <v>46290</v>
      </c>
      <c r="B4068" s="145" t="s">
        <v>831</v>
      </c>
      <c r="C4068" s="150">
        <v>2026</v>
      </c>
      <c r="D4068" s="12" t="s">
        <v>1431</v>
      </c>
      <c r="E4068" s="225" t="s">
        <v>21</v>
      </c>
      <c r="F4068" s="187" t="s">
        <v>821</v>
      </c>
      <c r="G4068" s="231" t="s">
        <v>4886</v>
      </c>
      <c r="H4068" s="12" t="s">
        <v>4745</v>
      </c>
      <c r="I4068" s="187" t="s">
        <v>468</v>
      </c>
    </row>
    <row r="4069" spans="1:9" ht="14.25" customHeight="1">
      <c r="A4069" s="64">
        <v>46290</v>
      </c>
      <c r="B4069" s="145" t="s">
        <v>831</v>
      </c>
      <c r="C4069" s="150">
        <v>2026</v>
      </c>
      <c r="D4069" s="12" t="s">
        <v>1431</v>
      </c>
      <c r="E4069" s="225" t="s">
        <v>21</v>
      </c>
      <c r="F4069" s="187" t="s">
        <v>821</v>
      </c>
      <c r="G4069" s="231" t="s">
        <v>4887</v>
      </c>
      <c r="H4069" s="12" t="s">
        <v>4745</v>
      </c>
      <c r="I4069" s="187" t="s">
        <v>468</v>
      </c>
    </row>
    <row r="4070" spans="1:9" ht="14.25" customHeight="1">
      <c r="A4070" s="64">
        <v>46290</v>
      </c>
      <c r="B4070" s="145" t="s">
        <v>831</v>
      </c>
      <c r="C4070" s="150">
        <v>2026</v>
      </c>
      <c r="D4070" s="12" t="s">
        <v>1431</v>
      </c>
      <c r="E4070" s="225" t="s">
        <v>4770</v>
      </c>
      <c r="F4070" s="187" t="s">
        <v>821</v>
      </c>
      <c r="G4070" s="231" t="s">
        <v>4888</v>
      </c>
      <c r="H4070" s="12" t="s">
        <v>4745</v>
      </c>
      <c r="I4070" s="187" t="s">
        <v>4834</v>
      </c>
    </row>
    <row r="4071" spans="1:9" ht="14.25" customHeight="1">
      <c r="A4071" s="64">
        <v>46290</v>
      </c>
      <c r="B4071" s="145" t="s">
        <v>831</v>
      </c>
      <c r="C4071" s="150">
        <v>2026</v>
      </c>
      <c r="D4071" s="12" t="s">
        <v>1431</v>
      </c>
      <c r="E4071" s="225" t="s">
        <v>1449</v>
      </c>
      <c r="F4071" s="187" t="s">
        <v>88</v>
      </c>
      <c r="G4071" s="231" t="s">
        <v>4889</v>
      </c>
      <c r="H4071" s="12" t="s">
        <v>26</v>
      </c>
      <c r="I4071" s="187" t="s">
        <v>2739</v>
      </c>
    </row>
    <row r="4072" spans="1:9" ht="14.25" customHeight="1">
      <c r="A4072" s="64">
        <v>46290</v>
      </c>
      <c r="B4072" s="145" t="s">
        <v>831</v>
      </c>
      <c r="C4072" s="150">
        <v>2026</v>
      </c>
      <c r="D4072" s="12" t="s">
        <v>1431</v>
      </c>
      <c r="E4072" s="225" t="s">
        <v>1449</v>
      </c>
      <c r="F4072" s="187" t="s">
        <v>821</v>
      </c>
      <c r="G4072" s="231" t="s">
        <v>4890</v>
      </c>
      <c r="H4072" s="12" t="s">
        <v>26</v>
      </c>
      <c r="I4072" s="187" t="s">
        <v>2739</v>
      </c>
    </row>
    <row r="4073" spans="1:9" ht="14.25" customHeight="1">
      <c r="A4073" s="64">
        <v>46290</v>
      </c>
      <c r="B4073" s="145" t="s">
        <v>831</v>
      </c>
      <c r="C4073" s="150">
        <v>2026</v>
      </c>
      <c r="D4073" s="12" t="s">
        <v>2224</v>
      </c>
      <c r="E4073" s="225" t="s">
        <v>1432</v>
      </c>
      <c r="F4073" s="187" t="s">
        <v>821</v>
      </c>
      <c r="G4073" s="231" t="s">
        <v>4891</v>
      </c>
      <c r="H4073" s="12" t="s">
        <v>4745</v>
      </c>
      <c r="I4073" s="187" t="s">
        <v>4767</v>
      </c>
    </row>
    <row r="4074" spans="1:9" ht="14.25" customHeight="1">
      <c r="A4074" s="64">
        <v>46290</v>
      </c>
      <c r="B4074" s="145" t="s">
        <v>831</v>
      </c>
      <c r="C4074" s="150">
        <v>2026</v>
      </c>
      <c r="D4074" s="12" t="s">
        <v>2224</v>
      </c>
      <c r="E4074" s="225" t="s">
        <v>21</v>
      </c>
      <c r="F4074" s="187" t="s">
        <v>821</v>
      </c>
      <c r="G4074" s="231" t="s">
        <v>4892</v>
      </c>
      <c r="H4074" s="12" t="s">
        <v>4745</v>
      </c>
      <c r="I4074" s="187" t="s">
        <v>4893</v>
      </c>
    </row>
    <row r="4075" spans="1:9" ht="14.25" customHeight="1">
      <c r="A4075" s="64">
        <v>46290</v>
      </c>
      <c r="B4075" s="145" t="s">
        <v>831</v>
      </c>
      <c r="C4075" s="150">
        <v>2026</v>
      </c>
      <c r="D4075" s="12" t="s">
        <v>2224</v>
      </c>
      <c r="E4075" s="225" t="s">
        <v>1449</v>
      </c>
      <c r="F4075" s="187" t="s">
        <v>88</v>
      </c>
      <c r="G4075" s="231" t="s">
        <v>4894</v>
      </c>
      <c r="H4075" s="12" t="s">
        <v>26</v>
      </c>
      <c r="I4075" s="187" t="s">
        <v>2739</v>
      </c>
    </row>
    <row r="4076" spans="1:9" ht="14.25" customHeight="1">
      <c r="A4076" s="64">
        <v>46293</v>
      </c>
      <c r="B4076" s="64" t="s">
        <v>831</v>
      </c>
      <c r="C4076" s="275">
        <v>2026</v>
      </c>
      <c r="D4076" s="12" t="s">
        <v>1431</v>
      </c>
      <c r="E4076" s="12" t="s">
        <v>21</v>
      </c>
      <c r="F4076" s="187" t="s">
        <v>821</v>
      </c>
      <c r="G4076" s="276" t="s">
        <v>4895</v>
      </c>
      <c r="H4076" s="12" t="s">
        <v>26</v>
      </c>
      <c r="I4076" s="187" t="s">
        <v>4377</v>
      </c>
    </row>
    <row r="4077" spans="1:9" ht="14.25" customHeight="1">
      <c r="A4077" s="64">
        <v>46293</v>
      </c>
      <c r="B4077" s="64" t="s">
        <v>831</v>
      </c>
      <c r="C4077" s="275">
        <v>2026</v>
      </c>
      <c r="D4077" s="12" t="s">
        <v>1431</v>
      </c>
      <c r="E4077" s="12" t="s">
        <v>1518</v>
      </c>
      <c r="F4077" s="187" t="s">
        <v>821</v>
      </c>
      <c r="G4077" s="276" t="s">
        <v>4896</v>
      </c>
      <c r="H4077" s="12" t="s">
        <v>26</v>
      </c>
      <c r="I4077" s="187"/>
    </row>
    <row r="4078" spans="1:9" ht="14.25" customHeight="1">
      <c r="A4078" s="64">
        <v>46293</v>
      </c>
      <c r="B4078" s="64" t="s">
        <v>831</v>
      </c>
      <c r="C4078" s="275">
        <v>2026</v>
      </c>
      <c r="D4078" s="12" t="s">
        <v>2197</v>
      </c>
      <c r="E4078" s="12" t="s">
        <v>4770</v>
      </c>
      <c r="F4078" s="187" t="s">
        <v>821</v>
      </c>
      <c r="G4078" s="187" t="s">
        <v>6435</v>
      </c>
      <c r="H4078" s="12" t="s">
        <v>26</v>
      </c>
      <c r="I4078" s="187" t="s">
        <v>4834</v>
      </c>
    </row>
    <row r="4079" spans="1:9" ht="14.25" customHeight="1">
      <c r="A4079" s="64">
        <v>46293</v>
      </c>
      <c r="B4079" s="64" t="s">
        <v>831</v>
      </c>
      <c r="C4079" s="275">
        <v>2026</v>
      </c>
      <c r="D4079" s="12" t="s">
        <v>1431</v>
      </c>
      <c r="E4079" s="12" t="s">
        <v>4770</v>
      </c>
      <c r="F4079" s="187" t="s">
        <v>821</v>
      </c>
      <c r="G4079" s="187" t="s">
        <v>6436</v>
      </c>
      <c r="H4079" s="12" t="s">
        <v>26</v>
      </c>
      <c r="I4079" s="187" t="s">
        <v>4834</v>
      </c>
    </row>
    <row r="4080" spans="1:9" ht="14.25" customHeight="1">
      <c r="A4080" s="64">
        <v>46293</v>
      </c>
      <c r="B4080" s="64" t="s">
        <v>831</v>
      </c>
      <c r="C4080" s="275">
        <v>2026</v>
      </c>
      <c r="D4080" s="12" t="s">
        <v>1431</v>
      </c>
      <c r="E4080" s="12" t="s">
        <v>6382</v>
      </c>
      <c r="F4080" s="187" t="s">
        <v>821</v>
      </c>
      <c r="G4080" s="187" t="s">
        <v>6437</v>
      </c>
      <c r="H4080" s="12" t="s">
        <v>26</v>
      </c>
      <c r="I4080" s="187" t="s">
        <v>4834</v>
      </c>
    </row>
    <row r="4081" spans="1:9" ht="14.25" customHeight="1">
      <c r="A4081" s="64">
        <v>46293</v>
      </c>
      <c r="B4081" s="64" t="s">
        <v>831</v>
      </c>
      <c r="C4081" s="275">
        <v>2026</v>
      </c>
      <c r="D4081" s="12" t="s">
        <v>1431</v>
      </c>
      <c r="E4081" s="12" t="s">
        <v>4770</v>
      </c>
      <c r="F4081" s="187" t="s">
        <v>821</v>
      </c>
      <c r="G4081" s="220" t="s">
        <v>4897</v>
      </c>
      <c r="H4081" s="12" t="s">
        <v>26</v>
      </c>
      <c r="I4081" s="187" t="s">
        <v>4834</v>
      </c>
    </row>
    <row r="4082" spans="1:9" ht="14.25" customHeight="1">
      <c r="A4082" s="64">
        <v>46293</v>
      </c>
      <c r="B4082" s="64" t="s">
        <v>831</v>
      </c>
      <c r="C4082" s="275">
        <v>2026</v>
      </c>
      <c r="D4082" s="12" t="s">
        <v>1431</v>
      </c>
      <c r="E4082" s="12" t="s">
        <v>21</v>
      </c>
      <c r="F4082" s="187" t="s">
        <v>821</v>
      </c>
      <c r="G4082" s="220" t="s">
        <v>4898</v>
      </c>
      <c r="H4082" s="12" t="s">
        <v>4745</v>
      </c>
      <c r="I4082" s="187" t="s">
        <v>4810</v>
      </c>
    </row>
    <row r="4083" spans="1:9" ht="14.25" customHeight="1">
      <c r="A4083" s="64">
        <v>46293</v>
      </c>
      <c r="B4083" s="64" t="s">
        <v>831</v>
      </c>
      <c r="C4083" s="275">
        <v>2026</v>
      </c>
      <c r="D4083" s="12" t="s">
        <v>1431</v>
      </c>
      <c r="E4083" s="12" t="s">
        <v>1566</v>
      </c>
      <c r="F4083" s="187" t="s">
        <v>88</v>
      </c>
      <c r="G4083" s="226" t="s">
        <v>4899</v>
      </c>
      <c r="H4083" s="12" t="s">
        <v>26</v>
      </c>
      <c r="I4083" s="187" t="s">
        <v>1588</v>
      </c>
    </row>
    <row r="4084" spans="1:9" ht="14.25" customHeight="1">
      <c r="A4084" s="64">
        <v>46293</v>
      </c>
      <c r="B4084" s="64" t="s">
        <v>831</v>
      </c>
      <c r="C4084" s="275">
        <v>2026</v>
      </c>
      <c r="D4084" s="12" t="s">
        <v>1431</v>
      </c>
      <c r="E4084" s="12" t="s">
        <v>1566</v>
      </c>
      <c r="F4084" s="187" t="s">
        <v>88</v>
      </c>
      <c r="G4084" s="226" t="s">
        <v>3859</v>
      </c>
      <c r="H4084" s="12" t="s">
        <v>26</v>
      </c>
      <c r="I4084" s="187" t="s">
        <v>1588</v>
      </c>
    </row>
    <row r="4085" spans="1:9" ht="14.25" customHeight="1">
      <c r="A4085" s="64">
        <v>46293</v>
      </c>
      <c r="B4085" s="64" t="s">
        <v>831</v>
      </c>
      <c r="C4085" s="275">
        <v>2026</v>
      </c>
      <c r="D4085" s="12" t="s">
        <v>1431</v>
      </c>
      <c r="E4085" s="12" t="s">
        <v>1449</v>
      </c>
      <c r="F4085" s="187" t="s">
        <v>88</v>
      </c>
      <c r="G4085" s="226" t="s">
        <v>4900</v>
      </c>
      <c r="H4085" s="12" t="s">
        <v>26</v>
      </c>
      <c r="I4085" s="187" t="s">
        <v>2739</v>
      </c>
    </row>
    <row r="4086" spans="1:9" ht="14.25" customHeight="1">
      <c r="A4086" s="64">
        <v>46293</v>
      </c>
      <c r="B4086" s="64" t="s">
        <v>831</v>
      </c>
      <c r="C4086" s="275">
        <v>2026</v>
      </c>
      <c r="D4086" s="12" t="s">
        <v>1431</v>
      </c>
      <c r="E4086" s="12" t="s">
        <v>1449</v>
      </c>
      <c r="F4086" s="187" t="s">
        <v>88</v>
      </c>
      <c r="G4086" s="226" t="s">
        <v>4901</v>
      </c>
      <c r="H4086" s="12" t="s">
        <v>26</v>
      </c>
      <c r="I4086" s="187" t="s">
        <v>2739</v>
      </c>
    </row>
    <row r="4087" spans="1:9" ht="14.25" customHeight="1">
      <c r="A4087" s="64">
        <v>46293</v>
      </c>
      <c r="B4087" s="64" t="s">
        <v>831</v>
      </c>
      <c r="C4087" s="275">
        <v>2026</v>
      </c>
      <c r="D4087" s="12" t="s">
        <v>1431</v>
      </c>
      <c r="E4087" s="12" t="s">
        <v>1449</v>
      </c>
      <c r="F4087" s="12" t="s">
        <v>88</v>
      </c>
      <c r="G4087" s="226" t="s">
        <v>4902</v>
      </c>
      <c r="H4087" s="12" t="s">
        <v>26</v>
      </c>
      <c r="I4087" s="187" t="s">
        <v>2739</v>
      </c>
    </row>
    <row r="4088" spans="1:9" ht="14.25" customHeight="1">
      <c r="A4088" s="64">
        <v>46293</v>
      </c>
      <c r="B4088" s="64" t="s">
        <v>831</v>
      </c>
      <c r="C4088" s="275">
        <v>2026</v>
      </c>
      <c r="D4088" s="12" t="s">
        <v>3881</v>
      </c>
      <c r="E4088" s="12" t="s">
        <v>21</v>
      </c>
      <c r="F4088" s="187" t="s">
        <v>821</v>
      </c>
      <c r="G4088" s="187" t="s">
        <v>4903</v>
      </c>
      <c r="H4088" s="12" t="s">
        <v>4745</v>
      </c>
      <c r="I4088" s="187" t="s">
        <v>2813</v>
      </c>
    </row>
    <row r="4089" spans="1:9" ht="14.25" customHeight="1">
      <c r="A4089" s="64">
        <v>46294</v>
      </c>
      <c r="B4089" s="64" t="s">
        <v>831</v>
      </c>
      <c r="C4089" s="275">
        <v>2026</v>
      </c>
      <c r="D4089" s="12" t="s">
        <v>1431</v>
      </c>
      <c r="E4089" s="12" t="s">
        <v>4904</v>
      </c>
      <c r="F4089" s="187" t="s">
        <v>88</v>
      </c>
      <c r="G4089" s="226" t="s">
        <v>4905</v>
      </c>
      <c r="H4089" s="12" t="s">
        <v>26</v>
      </c>
      <c r="I4089" s="187" t="s">
        <v>185</v>
      </c>
    </row>
    <row r="4090" spans="1:9" ht="14.25" customHeight="1">
      <c r="A4090" s="64">
        <v>46294</v>
      </c>
      <c r="B4090" s="64" t="s">
        <v>831</v>
      </c>
      <c r="C4090" s="275">
        <v>2026</v>
      </c>
      <c r="D4090" s="12" t="s">
        <v>1431</v>
      </c>
      <c r="E4090" s="12" t="s">
        <v>4770</v>
      </c>
      <c r="F4090" s="187" t="s">
        <v>821</v>
      </c>
      <c r="G4090" s="187" t="s">
        <v>6438</v>
      </c>
      <c r="H4090" s="12" t="s">
        <v>26</v>
      </c>
      <c r="I4090" s="187" t="s">
        <v>4834</v>
      </c>
    </row>
    <row r="4091" spans="1:9" ht="14.25" customHeight="1">
      <c r="A4091" s="64">
        <v>46294</v>
      </c>
      <c r="B4091" s="64" t="s">
        <v>831</v>
      </c>
      <c r="C4091" s="275">
        <v>2026</v>
      </c>
      <c r="D4091" s="12" t="s">
        <v>1431</v>
      </c>
      <c r="E4091" s="12" t="s">
        <v>1566</v>
      </c>
      <c r="F4091" s="187" t="s">
        <v>88</v>
      </c>
      <c r="G4091" s="226" t="s">
        <v>4906</v>
      </c>
      <c r="H4091" s="12" t="s">
        <v>26</v>
      </c>
      <c r="I4091" s="187" t="s">
        <v>4759</v>
      </c>
    </row>
    <row r="4092" spans="1:9" ht="14.25" customHeight="1">
      <c r="A4092" s="64">
        <v>46294</v>
      </c>
      <c r="B4092" s="64" t="s">
        <v>831</v>
      </c>
      <c r="C4092" s="275">
        <v>2026</v>
      </c>
      <c r="D4092" s="12" t="s">
        <v>1431</v>
      </c>
      <c r="E4092" s="12" t="s">
        <v>1449</v>
      </c>
      <c r="F4092" s="187" t="s">
        <v>88</v>
      </c>
      <c r="G4092" s="226" t="s">
        <v>4907</v>
      </c>
      <c r="H4092" s="12" t="s">
        <v>26</v>
      </c>
      <c r="I4092" s="187" t="s">
        <v>2739</v>
      </c>
    </row>
    <row r="4093" spans="1:9" ht="14.25" customHeight="1">
      <c r="A4093" s="64">
        <v>46294</v>
      </c>
      <c r="B4093" s="64" t="s">
        <v>831</v>
      </c>
      <c r="C4093" s="275">
        <v>2026</v>
      </c>
      <c r="D4093" s="12" t="s">
        <v>2224</v>
      </c>
      <c r="E4093" s="12" t="s">
        <v>1518</v>
      </c>
      <c r="F4093" s="187" t="s">
        <v>88</v>
      </c>
      <c r="G4093" s="220" t="s">
        <v>4908</v>
      </c>
      <c r="H4093" s="12" t="s">
        <v>26</v>
      </c>
      <c r="I4093" s="187" t="s">
        <v>118</v>
      </c>
    </row>
    <row r="4094" spans="1:9" ht="14.25" customHeight="1">
      <c r="A4094" s="64">
        <v>46294</v>
      </c>
      <c r="B4094" s="64" t="s">
        <v>831</v>
      </c>
      <c r="C4094" s="275">
        <v>2026</v>
      </c>
      <c r="D4094" s="12" t="s">
        <v>2224</v>
      </c>
      <c r="E4094" s="12" t="s">
        <v>21</v>
      </c>
      <c r="F4094" s="187" t="s">
        <v>821</v>
      </c>
      <c r="G4094" s="187" t="s">
        <v>4909</v>
      </c>
      <c r="H4094" s="12" t="s">
        <v>26</v>
      </c>
      <c r="I4094" s="187" t="s">
        <v>468</v>
      </c>
    </row>
    <row r="4095" spans="1:9" ht="14.25" customHeight="1">
      <c r="A4095" s="64">
        <v>46294</v>
      </c>
      <c r="B4095" s="64" t="s">
        <v>831</v>
      </c>
      <c r="C4095" s="275">
        <v>2026</v>
      </c>
      <c r="D4095" s="12" t="s">
        <v>2224</v>
      </c>
      <c r="E4095" s="12" t="s">
        <v>1432</v>
      </c>
      <c r="F4095" s="187" t="s">
        <v>821</v>
      </c>
      <c r="G4095" s="220" t="s">
        <v>4910</v>
      </c>
      <c r="H4095" s="12" t="s">
        <v>26</v>
      </c>
      <c r="I4095" s="187" t="s">
        <v>2568</v>
      </c>
    </row>
    <row r="4096" spans="1:9" ht="14.25" customHeight="1">
      <c r="A4096" s="64">
        <v>46294</v>
      </c>
      <c r="B4096" s="64" t="s">
        <v>831</v>
      </c>
      <c r="C4096" s="275">
        <v>2026</v>
      </c>
      <c r="D4096" s="12" t="s">
        <v>1431</v>
      </c>
      <c r="E4096" s="187" t="s">
        <v>1182</v>
      </c>
      <c r="F4096" s="187" t="s">
        <v>88</v>
      </c>
      <c r="G4096" s="220" t="s">
        <v>4911</v>
      </c>
      <c r="H4096" s="12" t="s">
        <v>26</v>
      </c>
      <c r="I4096" s="187" t="s">
        <v>4779</v>
      </c>
    </row>
    <row r="4097" spans="1:9" ht="14.25" customHeight="1">
      <c r="A4097" s="64">
        <v>46294</v>
      </c>
      <c r="B4097" s="64" t="s">
        <v>831</v>
      </c>
      <c r="C4097" s="275">
        <v>2026</v>
      </c>
      <c r="D4097" s="12" t="s">
        <v>1431</v>
      </c>
      <c r="E4097" s="12" t="s">
        <v>21</v>
      </c>
      <c r="F4097" s="187" t="s">
        <v>821</v>
      </c>
      <c r="G4097" s="187" t="s">
        <v>4912</v>
      </c>
      <c r="H4097" s="12" t="s">
        <v>26</v>
      </c>
      <c r="I4097" s="187" t="s">
        <v>4779</v>
      </c>
    </row>
    <row r="4098" spans="1:9" ht="14.25" customHeight="1">
      <c r="A4098" s="64">
        <v>46295</v>
      </c>
      <c r="B4098" s="64" t="s">
        <v>831</v>
      </c>
      <c r="C4098" s="275">
        <v>2026</v>
      </c>
      <c r="D4098" s="12" t="s">
        <v>1431</v>
      </c>
      <c r="E4098" s="12" t="s">
        <v>52</v>
      </c>
      <c r="F4098" s="187" t="s">
        <v>1439</v>
      </c>
      <c r="G4098" s="277" t="s">
        <v>4913</v>
      </c>
      <c r="H4098" s="12" t="s">
        <v>4745</v>
      </c>
      <c r="I4098" s="187" t="s">
        <v>4914</v>
      </c>
    </row>
    <row r="4099" spans="1:9" ht="14.25" customHeight="1">
      <c r="A4099" s="64">
        <v>46295</v>
      </c>
      <c r="B4099" s="64" t="s">
        <v>831</v>
      </c>
      <c r="C4099" s="275">
        <v>2026</v>
      </c>
      <c r="D4099" s="12" t="s">
        <v>1431</v>
      </c>
      <c r="E4099" s="12" t="s">
        <v>4915</v>
      </c>
      <c r="F4099" s="187" t="s">
        <v>88</v>
      </c>
      <c r="G4099" s="277" t="s">
        <v>4916</v>
      </c>
      <c r="H4099" s="12" t="s">
        <v>4745</v>
      </c>
      <c r="I4099" s="187" t="s">
        <v>4917</v>
      </c>
    </row>
    <row r="4100" spans="1:9" ht="14.25" customHeight="1">
      <c r="A4100" s="64">
        <v>46295</v>
      </c>
      <c r="B4100" s="64" t="s">
        <v>831</v>
      </c>
      <c r="C4100" s="275">
        <v>2026</v>
      </c>
      <c r="D4100" s="12" t="s">
        <v>1431</v>
      </c>
      <c r="E4100" s="12" t="s">
        <v>4918</v>
      </c>
      <c r="F4100" s="187" t="s">
        <v>88</v>
      </c>
      <c r="G4100" s="277" t="s">
        <v>4919</v>
      </c>
      <c r="H4100" s="12" t="s">
        <v>4745</v>
      </c>
      <c r="I4100" s="187" t="s">
        <v>2700</v>
      </c>
    </row>
    <row r="4101" spans="1:9" ht="14.25" customHeight="1">
      <c r="A4101" s="64">
        <v>46295</v>
      </c>
      <c r="B4101" s="64" t="s">
        <v>831</v>
      </c>
      <c r="C4101" s="275">
        <v>2026</v>
      </c>
      <c r="D4101" s="12" t="s">
        <v>1431</v>
      </c>
      <c r="E4101" s="12" t="s">
        <v>1518</v>
      </c>
      <c r="F4101" s="187" t="s">
        <v>88</v>
      </c>
      <c r="G4101" s="187" t="s">
        <v>6439</v>
      </c>
      <c r="H4101" s="12" t="s">
        <v>26</v>
      </c>
      <c r="I4101" s="187" t="s">
        <v>118</v>
      </c>
    </row>
    <row r="4102" spans="1:9" ht="14.25" customHeight="1">
      <c r="A4102" s="64">
        <v>46295</v>
      </c>
      <c r="B4102" s="64" t="s">
        <v>831</v>
      </c>
      <c r="C4102" s="275">
        <v>2026</v>
      </c>
      <c r="D4102" s="12" t="s">
        <v>1431</v>
      </c>
      <c r="E4102" s="12" t="s">
        <v>216</v>
      </c>
      <c r="F4102" s="187" t="s">
        <v>821</v>
      </c>
      <c r="G4102" s="187" t="s">
        <v>4920</v>
      </c>
      <c r="H4102" s="12" t="s">
        <v>4745</v>
      </c>
      <c r="I4102" s="187" t="s">
        <v>492</v>
      </c>
    </row>
    <row r="4103" spans="1:9" ht="14.25" customHeight="1">
      <c r="A4103" s="64">
        <v>46295</v>
      </c>
      <c r="B4103" s="64" t="s">
        <v>831</v>
      </c>
      <c r="C4103" s="275">
        <v>2026</v>
      </c>
      <c r="D4103" s="12" t="s">
        <v>1431</v>
      </c>
      <c r="E4103" s="12" t="s">
        <v>216</v>
      </c>
      <c r="F4103" s="187" t="s">
        <v>821</v>
      </c>
      <c r="G4103" s="220" t="s">
        <v>6440</v>
      </c>
      <c r="H4103" s="12" t="s">
        <v>26</v>
      </c>
      <c r="I4103" s="187" t="s">
        <v>492</v>
      </c>
    </row>
    <row r="4104" spans="1:9" ht="14.25" customHeight="1">
      <c r="A4104" s="64">
        <v>46295</v>
      </c>
      <c r="B4104" s="64" t="s">
        <v>831</v>
      </c>
      <c r="C4104" s="275">
        <v>2026</v>
      </c>
      <c r="D4104" s="12" t="s">
        <v>1431</v>
      </c>
      <c r="E4104" s="12" t="s">
        <v>21</v>
      </c>
      <c r="F4104" s="187" t="s">
        <v>821</v>
      </c>
      <c r="G4104" s="187" t="s">
        <v>6441</v>
      </c>
      <c r="H4104" s="12" t="s">
        <v>26</v>
      </c>
      <c r="I4104" s="187" t="s">
        <v>468</v>
      </c>
    </row>
    <row r="4105" spans="1:9" ht="14.25" customHeight="1">
      <c r="A4105" s="64">
        <v>46295</v>
      </c>
      <c r="B4105" s="64" t="s">
        <v>831</v>
      </c>
      <c r="C4105" s="275">
        <v>2026</v>
      </c>
      <c r="D4105" s="12" t="s">
        <v>1431</v>
      </c>
      <c r="E4105" s="12" t="s">
        <v>1449</v>
      </c>
      <c r="F4105" s="187" t="s">
        <v>88</v>
      </c>
      <c r="G4105" s="278" t="s">
        <v>4921</v>
      </c>
      <c r="H4105" s="12" t="s">
        <v>26</v>
      </c>
      <c r="I4105" s="187" t="s">
        <v>4759</v>
      </c>
    </row>
    <row r="4106" spans="1:9" ht="14.25" customHeight="1">
      <c r="A4106" s="64">
        <v>46295</v>
      </c>
      <c r="B4106" s="64" t="s">
        <v>831</v>
      </c>
      <c r="C4106" s="275">
        <v>2026</v>
      </c>
      <c r="D4106" s="12" t="s">
        <v>1431</v>
      </c>
      <c r="E4106" s="12" t="s">
        <v>1449</v>
      </c>
      <c r="F4106" s="187" t="s">
        <v>88</v>
      </c>
      <c r="G4106" s="279" t="s">
        <v>4922</v>
      </c>
      <c r="H4106" s="12" t="s">
        <v>4745</v>
      </c>
      <c r="I4106" s="187" t="s">
        <v>4759</v>
      </c>
    </row>
    <row r="4107" spans="1:9" ht="14.25" customHeight="1">
      <c r="A4107" s="64">
        <v>46295</v>
      </c>
      <c r="B4107" s="64" t="s">
        <v>831</v>
      </c>
      <c r="C4107" s="275">
        <v>2026</v>
      </c>
      <c r="D4107" s="12" t="s">
        <v>1431</v>
      </c>
      <c r="E4107" s="12" t="s">
        <v>1449</v>
      </c>
      <c r="F4107" s="187" t="s">
        <v>88</v>
      </c>
      <c r="G4107" s="278" t="s">
        <v>4923</v>
      </c>
      <c r="H4107" s="12" t="s">
        <v>26</v>
      </c>
      <c r="I4107" s="187" t="s">
        <v>4759</v>
      </c>
    </row>
  </sheetData>
  <autoFilter ref="A1:I3915" xr:uid="{91112F30-C565-4FED-BB8F-FA99BD125BE0}"/>
  <conditionalFormatting sqref="D3888:D4075">
    <cfRule type="cellIs" dxfId="54" priority="56" operator="equal">
      <formula>"Terapia Infusional"</formula>
    </cfRule>
    <cfRule type="cellIs" dxfId="53" priority="57" operator="equal">
      <formula>"Oncologia"</formula>
    </cfRule>
    <cfRule type="cellIs" dxfId="52" priority="58" operator="equal">
      <formula>"Guanabara"</formula>
    </cfRule>
    <cfRule type="cellIs" dxfId="51" priority="59" operator="equal">
      <formula>"Nova Campinas"</formula>
    </cfRule>
    <cfRule type="cellIs" dxfId="50" priority="60" operator="equal">
      <formula>"CMI"</formula>
    </cfRule>
    <cfRule type="cellIs" dxfId="49" priority="61" operator="equal">
      <formula>"CMSC"</formula>
    </cfRule>
    <cfRule type="cellIs" dxfId="48" priority="62" operator="equal">
      <formula>"CSC"</formula>
    </cfRule>
    <cfRule type="cellIs" dxfId="47" priority="63" operator="equal">
      <formula>"HVC"</formula>
    </cfRule>
  </conditionalFormatting>
  <conditionalFormatting sqref="F3769:F4075">
    <cfRule type="cellIs" dxfId="46" priority="51" operator="equal">
      <formula>"Assistencial Médico"</formula>
    </cfRule>
    <cfRule type="cellIs" dxfId="45" priority="52" operator="equal">
      <formula>"Sistemas de Informações"</formula>
    </cfRule>
    <cfRule type="cellIs" dxfId="44" priority="53" operator="equal">
      <formula>"Fluxo do Paciente"</formula>
    </cfRule>
    <cfRule type="cellIs" dxfId="43" priority="54" operator="equal">
      <formula>"Infra e Hotelaria"</formula>
    </cfRule>
    <cfRule type="cellIs" dxfId="42" priority="55" operator="equal">
      <formula>"Assistencial"</formula>
    </cfRule>
  </conditionalFormatting>
  <conditionalFormatting sqref="H3888:H4075">
    <cfRule type="cellIs" dxfId="41" priority="48" operator="equal">
      <formula>"Concluído"</formula>
    </cfRule>
    <cfRule type="cellIs" dxfId="40" priority="49" operator="equal">
      <formula>"Aberto"</formula>
    </cfRule>
    <cfRule type="cellIs" dxfId="39" priority="50" operator="equal">
      <formula>"Em Andamento"</formula>
    </cfRule>
    <cfRule type="cellIs" dxfId="38" priority="64" stopIfTrue="1" operator="equal">
      <formula>"Baixa Criticidade"</formula>
    </cfRule>
    <cfRule type="cellIs" dxfId="37" priority="65" stopIfTrue="1" operator="equal">
      <formula>"Alta Criticidade"</formula>
    </cfRule>
  </conditionalFormatting>
  <conditionalFormatting sqref="H4076:H4107">
    <cfRule type="cellIs" dxfId="36" priority="21" stopIfTrue="1" operator="equal">
      <formula>"Alta Criticidade"</formula>
    </cfRule>
  </conditionalFormatting>
  <conditionalFormatting sqref="H4076:H4107">
    <cfRule type="cellIs" dxfId="35" priority="20" stopIfTrue="1" operator="equal">
      <formula>"Baixa Criticidade"</formula>
    </cfRule>
  </conditionalFormatting>
  <conditionalFormatting sqref="D4076:D4107">
    <cfRule type="cellIs" dxfId="34" priority="19" operator="equal">
      <formula>"HVC"</formula>
    </cfRule>
  </conditionalFormatting>
  <conditionalFormatting sqref="D4076:D4107">
    <cfRule type="cellIs" dxfId="33" priority="17" operator="equal">
      <formula>"CMSC"</formula>
    </cfRule>
  </conditionalFormatting>
  <conditionalFormatting sqref="F4076:F4107">
    <cfRule type="cellIs" dxfId="32" priority="7" operator="equal">
      <formula>"Assistencial Médico"</formula>
    </cfRule>
  </conditionalFormatting>
  <conditionalFormatting sqref="H4076:H4107">
    <cfRule type="cellIs" dxfId="31" priority="6" operator="equal">
      <formula>"Em Andamento"</formula>
    </cfRule>
  </conditionalFormatting>
  <conditionalFormatting sqref="F4076:F4107">
    <cfRule type="cellIs" dxfId="30" priority="11" operator="equal">
      <formula>"Assistencial"</formula>
    </cfRule>
  </conditionalFormatting>
  <conditionalFormatting sqref="F4076:F4107">
    <cfRule type="cellIs" dxfId="29" priority="10" operator="equal">
      <formula>"Infra e Hotelaria"</formula>
    </cfRule>
  </conditionalFormatting>
  <conditionalFormatting sqref="F4076:F4107">
    <cfRule type="cellIs" dxfId="28" priority="9" operator="equal">
      <formula>"Fluxo do Paciente"</formula>
    </cfRule>
  </conditionalFormatting>
  <conditionalFormatting sqref="F4076:F4107">
    <cfRule type="cellIs" dxfId="27" priority="8" operator="equal">
      <formula>"Sistemas de Informações"</formula>
    </cfRule>
  </conditionalFormatting>
  <conditionalFormatting sqref="H4076:H4107">
    <cfRule type="cellIs" dxfId="26" priority="4" operator="equal">
      <formula>"Concluído"</formula>
    </cfRule>
  </conditionalFormatting>
  <conditionalFormatting sqref="H4076:H4107">
    <cfRule type="cellIs" dxfId="25" priority="5" operator="equal">
      <formula>"Aberto"</formula>
    </cfRule>
  </conditionalFormatting>
  <conditionalFormatting sqref="D4076:D4107">
    <cfRule type="cellIs" dxfId="24" priority="12" operator="equal">
      <formula>"Terapia Infusional"</formula>
    </cfRule>
  </conditionalFormatting>
  <conditionalFormatting sqref="D4076:D4107">
    <cfRule type="cellIs" dxfId="23" priority="13" operator="equal">
      <formula>"Oncologia"</formula>
    </cfRule>
  </conditionalFormatting>
  <conditionalFormatting sqref="D4076:D4107">
    <cfRule type="cellIs" dxfId="22" priority="14" operator="equal">
      <formula>"Guanabara"</formula>
    </cfRule>
  </conditionalFormatting>
  <conditionalFormatting sqref="D4076:D4107">
    <cfRule type="cellIs" dxfId="21" priority="15" operator="equal">
      <formula>"Nova Campinas"</formula>
    </cfRule>
  </conditionalFormatting>
  <conditionalFormatting sqref="D4076:D4107">
    <cfRule type="cellIs" dxfId="20" priority="16" operator="equal">
      <formula>"CMI"</formula>
    </cfRule>
  </conditionalFormatting>
  <conditionalFormatting sqref="D4076:D4107">
    <cfRule type="cellIs" dxfId="19" priority="18" operator="equal">
      <formula>"CSC"</formula>
    </cfRule>
  </conditionalFormatting>
  <dataValidations count="4">
    <dataValidation type="list" allowBlank="1" showInputMessage="1" showErrorMessage="1" sqref="D3769:D4107" xr:uid="{6C31320D-A944-4709-98B9-A2EA425E954F}">
      <formula1>"HVC, CSC, CMSC, CMI, Nova Campinas, Guanabara, Oncologia, Terapia Infusional"</formula1>
    </dataValidation>
    <dataValidation allowBlank="1" showInputMessage="1" showErrorMessage="1" sqref="E3769:E4087 F4087 E4089:E4107" xr:uid="{85DCF61A-5106-45DA-826C-7098ECBD38B5}"/>
    <dataValidation type="list" allowBlank="1" showInputMessage="1" showErrorMessage="1" sqref="F3769:F4107" xr:uid="{E7EBD1ED-6E14-4D10-941E-64F129A52EA2}">
      <formula1>"Assistencial, Infra e Hotelaria, Fluxo do Paciente, Sistemas de Informações, Assistencial Médico"</formula1>
    </dataValidation>
    <dataValidation type="list" allowBlank="1" showInputMessage="1" showErrorMessage="1" sqref="H3769:H4075 H4076:H4107" xr:uid="{540E4F7C-9A0A-4B85-AE3C-BC0DB0E9FD48}">
      <formula1>"Aberto,Em Andamento,Concluído"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BA21-4DDF-48BF-8C0F-EA3E26F8EFC4}">
  <dimension ref="A1:F1092"/>
  <sheetViews>
    <sheetView showGridLines="0" topLeftCell="A1039" zoomScale="55" zoomScaleNormal="55" workbookViewId="0">
      <selection activeCell="D1052" sqref="D1052"/>
    </sheetView>
  </sheetViews>
  <sheetFormatPr defaultColWidth="8.625" defaultRowHeight="14.25"/>
  <cols>
    <col min="1" max="1" width="33.375" style="2" customWidth="1"/>
    <col min="2" max="2" width="43.375" style="2" customWidth="1"/>
    <col min="3" max="3" width="19.125" style="2" customWidth="1"/>
    <col min="4" max="4" width="53" style="2" customWidth="1"/>
    <col min="5" max="5" width="19.375" style="2" customWidth="1"/>
    <col min="6" max="6" width="21.75" style="2" customWidth="1"/>
    <col min="7" max="16384" width="8.625" style="2"/>
  </cols>
  <sheetData>
    <row r="1" spans="1:6" ht="30.75">
      <c r="A1" s="67" t="s">
        <v>6442</v>
      </c>
      <c r="B1" s="67" t="s">
        <v>6443</v>
      </c>
      <c r="C1" s="67" t="s">
        <v>6444</v>
      </c>
      <c r="D1" s="67" t="s">
        <v>6445</v>
      </c>
      <c r="E1" s="76" t="s">
        <v>6446</v>
      </c>
      <c r="F1" s="76" t="s">
        <v>6447</v>
      </c>
    </row>
    <row r="2" spans="1:6" ht="66.75">
      <c r="A2" s="81" t="s">
        <v>6448</v>
      </c>
      <c r="B2" s="81" t="s">
        <v>6449</v>
      </c>
      <c r="C2" s="92">
        <v>1</v>
      </c>
      <c r="D2" s="68" t="s">
        <v>6450</v>
      </c>
      <c r="E2" s="73" t="s">
        <v>6451</v>
      </c>
      <c r="F2" s="2" t="s">
        <v>117</v>
      </c>
    </row>
    <row r="3" spans="1:6" ht="66.75">
      <c r="A3" s="81" t="s">
        <v>6448</v>
      </c>
      <c r="B3" s="81" t="s">
        <v>6449</v>
      </c>
      <c r="C3" s="92">
        <v>2</v>
      </c>
      <c r="D3" s="68" t="s">
        <v>6452</v>
      </c>
      <c r="E3" s="73" t="s">
        <v>6451</v>
      </c>
      <c r="F3" s="2" t="s">
        <v>117</v>
      </c>
    </row>
    <row r="4" spans="1:6" ht="66.75">
      <c r="A4" s="81" t="s">
        <v>6448</v>
      </c>
      <c r="B4" s="81" t="s">
        <v>6449</v>
      </c>
      <c r="C4" s="92">
        <v>3</v>
      </c>
      <c r="D4" s="68" t="s">
        <v>6453</v>
      </c>
      <c r="E4" s="73" t="s">
        <v>6454</v>
      </c>
      <c r="F4" s="2" t="s">
        <v>23</v>
      </c>
    </row>
    <row r="5" spans="1:6" ht="66.75">
      <c r="A5" s="81" t="s">
        <v>6448</v>
      </c>
      <c r="B5" s="81" t="s">
        <v>6449</v>
      </c>
      <c r="C5" s="92">
        <v>4</v>
      </c>
      <c r="D5" s="68" t="s">
        <v>6455</v>
      </c>
      <c r="E5" s="73" t="s">
        <v>6454</v>
      </c>
      <c r="F5" s="2" t="s">
        <v>23</v>
      </c>
    </row>
    <row r="6" spans="1:6" ht="84">
      <c r="A6" s="81" t="s">
        <v>6448</v>
      </c>
      <c r="B6" s="81" t="s">
        <v>6456</v>
      </c>
      <c r="C6" s="92">
        <v>1</v>
      </c>
      <c r="D6" s="68" t="s">
        <v>6457</v>
      </c>
      <c r="E6" s="73" t="s">
        <v>6451</v>
      </c>
      <c r="F6" s="2" t="s">
        <v>117</v>
      </c>
    </row>
    <row r="7" spans="1:6" ht="91.5">
      <c r="A7" s="81" t="s">
        <v>6448</v>
      </c>
      <c r="B7" s="81" t="s">
        <v>6456</v>
      </c>
      <c r="C7" s="92">
        <v>2</v>
      </c>
      <c r="D7" s="69" t="s">
        <v>6458</v>
      </c>
      <c r="E7" s="73" t="s">
        <v>6454</v>
      </c>
      <c r="F7" s="2" t="s">
        <v>23</v>
      </c>
    </row>
    <row r="8" spans="1:6" ht="168">
      <c r="A8" s="81" t="s">
        <v>6448</v>
      </c>
      <c r="B8" s="81" t="s">
        <v>6456</v>
      </c>
      <c r="C8" s="92">
        <v>3</v>
      </c>
      <c r="D8" s="68" t="s">
        <v>6459</v>
      </c>
      <c r="E8" s="73" t="s">
        <v>6451</v>
      </c>
      <c r="F8" s="2" t="s">
        <v>117</v>
      </c>
    </row>
    <row r="9" spans="1:6" ht="84">
      <c r="A9" s="81" t="s">
        <v>6448</v>
      </c>
      <c r="B9" s="81" t="s">
        <v>6456</v>
      </c>
      <c r="C9" s="92">
        <v>4</v>
      </c>
      <c r="D9" s="68" t="s">
        <v>6460</v>
      </c>
      <c r="E9" s="73" t="s">
        <v>6454</v>
      </c>
      <c r="F9" s="2" t="s">
        <v>117</v>
      </c>
    </row>
    <row r="10" spans="1:6" ht="84">
      <c r="A10" s="81" t="s">
        <v>6448</v>
      </c>
      <c r="B10" s="81" t="s">
        <v>6456</v>
      </c>
      <c r="C10" s="92">
        <v>5</v>
      </c>
      <c r="D10" s="68" t="s">
        <v>6461</v>
      </c>
      <c r="E10" s="73" t="s">
        <v>6451</v>
      </c>
      <c r="F10" s="2" t="s">
        <v>23</v>
      </c>
    </row>
    <row r="11" spans="1:6" ht="84">
      <c r="A11" s="81" t="s">
        <v>6448</v>
      </c>
      <c r="B11" s="81" t="s">
        <v>6456</v>
      </c>
      <c r="C11" s="92">
        <v>6</v>
      </c>
      <c r="D11" s="68" t="s">
        <v>6462</v>
      </c>
      <c r="E11" s="73" t="s">
        <v>6454</v>
      </c>
      <c r="F11" s="2" t="s">
        <v>23</v>
      </c>
    </row>
    <row r="12" spans="1:6" ht="84">
      <c r="A12" s="81" t="s">
        <v>6448</v>
      </c>
      <c r="B12" s="81" t="s">
        <v>6456</v>
      </c>
      <c r="C12" s="92">
        <v>7</v>
      </c>
      <c r="D12" s="68" t="s">
        <v>6463</v>
      </c>
      <c r="E12" s="73" t="s">
        <v>6454</v>
      </c>
      <c r="F12" s="2" t="s">
        <v>23</v>
      </c>
    </row>
    <row r="13" spans="1:6" ht="84">
      <c r="A13" s="81" t="s">
        <v>6448</v>
      </c>
      <c r="B13" s="81" t="s">
        <v>6456</v>
      </c>
      <c r="C13" s="92">
        <v>8</v>
      </c>
      <c r="D13" s="68" t="s">
        <v>6464</v>
      </c>
      <c r="E13" s="73" t="s">
        <v>6454</v>
      </c>
      <c r="F13" s="2" t="s">
        <v>23</v>
      </c>
    </row>
    <row r="14" spans="1:6" ht="84">
      <c r="A14" s="81" t="s">
        <v>6448</v>
      </c>
      <c r="B14" s="81" t="s">
        <v>6456</v>
      </c>
      <c r="C14" s="92">
        <v>9</v>
      </c>
      <c r="D14" s="68" t="s">
        <v>6465</v>
      </c>
      <c r="E14" s="73" t="s">
        <v>6454</v>
      </c>
      <c r="F14" s="2" t="s">
        <v>23</v>
      </c>
    </row>
    <row r="15" spans="1:6" ht="50.25">
      <c r="A15" s="81" t="s">
        <v>6448</v>
      </c>
      <c r="B15" s="81" t="s">
        <v>6466</v>
      </c>
      <c r="C15" s="92">
        <v>1</v>
      </c>
      <c r="D15" s="68" t="s">
        <v>6467</v>
      </c>
      <c r="E15" s="73" t="s">
        <v>6454</v>
      </c>
      <c r="F15" s="2" t="s">
        <v>23</v>
      </c>
    </row>
    <row r="16" spans="1:6" ht="60.75">
      <c r="A16" s="81" t="s">
        <v>6448</v>
      </c>
      <c r="B16" s="81" t="s">
        <v>6466</v>
      </c>
      <c r="C16" s="92">
        <v>2</v>
      </c>
      <c r="D16" s="70" t="s">
        <v>6468</v>
      </c>
      <c r="E16" s="73" t="s">
        <v>6454</v>
      </c>
      <c r="F16" s="2" t="s">
        <v>23</v>
      </c>
    </row>
    <row r="17" spans="1:6" ht="66.75">
      <c r="A17" s="81" t="s">
        <v>6448</v>
      </c>
      <c r="B17" s="81" t="s">
        <v>6466</v>
      </c>
      <c r="C17" s="92">
        <v>3</v>
      </c>
      <c r="D17" s="68" t="s">
        <v>6469</v>
      </c>
      <c r="E17" s="73" t="s">
        <v>6451</v>
      </c>
      <c r="F17" s="2" t="s">
        <v>23</v>
      </c>
    </row>
    <row r="18" spans="1:6" ht="84">
      <c r="A18" s="81" t="s">
        <v>6448</v>
      </c>
      <c r="B18" s="81" t="s">
        <v>6470</v>
      </c>
      <c r="C18" s="92">
        <v>1</v>
      </c>
      <c r="D18" s="68" t="s">
        <v>6471</v>
      </c>
      <c r="E18" s="73" t="s">
        <v>6454</v>
      </c>
      <c r="F18" s="2" t="s">
        <v>23</v>
      </c>
    </row>
    <row r="19" spans="1:6" ht="84">
      <c r="A19" s="81" t="s">
        <v>6448</v>
      </c>
      <c r="B19" s="81" t="s">
        <v>6470</v>
      </c>
      <c r="C19" s="92">
        <v>2</v>
      </c>
      <c r="D19" s="68" t="s">
        <v>6472</v>
      </c>
      <c r="E19" s="73" t="s">
        <v>6454</v>
      </c>
      <c r="F19" s="2" t="s">
        <v>23</v>
      </c>
    </row>
    <row r="20" spans="1:6" ht="84">
      <c r="A20" s="81" t="s">
        <v>6448</v>
      </c>
      <c r="B20" s="81" t="s">
        <v>6470</v>
      </c>
      <c r="C20" s="92">
        <v>3</v>
      </c>
      <c r="D20" s="68" t="s">
        <v>6473</v>
      </c>
      <c r="E20" s="73" t="s">
        <v>6454</v>
      </c>
      <c r="F20" s="2" t="s">
        <v>23</v>
      </c>
    </row>
    <row r="21" spans="1:6" ht="84">
      <c r="A21" s="81" t="s">
        <v>6448</v>
      </c>
      <c r="B21" s="81" t="s">
        <v>6470</v>
      </c>
      <c r="C21" s="92">
        <v>4</v>
      </c>
      <c r="D21" s="68" t="s">
        <v>6474</v>
      </c>
      <c r="E21" s="73" t="s">
        <v>6454</v>
      </c>
      <c r="F21" s="2" t="s">
        <v>23</v>
      </c>
    </row>
    <row r="22" spans="1:6" ht="84">
      <c r="A22" s="81" t="s">
        <v>6448</v>
      </c>
      <c r="B22" s="81" t="s">
        <v>6470</v>
      </c>
      <c r="C22" s="92">
        <v>5</v>
      </c>
      <c r="D22" s="68" t="s">
        <v>6475</v>
      </c>
      <c r="E22" s="73" t="s">
        <v>6454</v>
      </c>
      <c r="F22" s="2" t="s">
        <v>23</v>
      </c>
    </row>
    <row r="23" spans="1:6" ht="66.75">
      <c r="A23" s="81" t="s">
        <v>6448</v>
      </c>
      <c r="B23" s="81" t="s">
        <v>6476</v>
      </c>
      <c r="C23" s="92">
        <v>1</v>
      </c>
      <c r="D23" s="68" t="s">
        <v>6477</v>
      </c>
      <c r="E23" s="73" t="s">
        <v>6454</v>
      </c>
      <c r="F23" s="2" t="s">
        <v>23</v>
      </c>
    </row>
    <row r="24" spans="1:6" ht="66.75">
      <c r="A24" s="81" t="s">
        <v>6448</v>
      </c>
      <c r="B24" s="81" t="s">
        <v>6476</v>
      </c>
      <c r="C24" s="92">
        <v>2</v>
      </c>
      <c r="D24" s="68" t="s">
        <v>6478</v>
      </c>
      <c r="E24" s="73" t="s">
        <v>6454</v>
      </c>
      <c r="F24" s="2" t="s">
        <v>23</v>
      </c>
    </row>
    <row r="25" spans="1:6" ht="66.75">
      <c r="A25" s="81" t="s">
        <v>6448</v>
      </c>
      <c r="B25" s="81" t="s">
        <v>6476</v>
      </c>
      <c r="C25" s="92">
        <v>3</v>
      </c>
      <c r="D25" s="68" t="s">
        <v>6479</v>
      </c>
      <c r="E25" s="73" t="s">
        <v>6454</v>
      </c>
      <c r="F25" s="2" t="s">
        <v>117</v>
      </c>
    </row>
    <row r="26" spans="1:6" ht="66.75">
      <c r="A26" s="81" t="s">
        <v>6448</v>
      </c>
      <c r="B26" s="81" t="s">
        <v>6476</v>
      </c>
      <c r="C26" s="92">
        <v>4</v>
      </c>
      <c r="D26" s="68" t="s">
        <v>6480</v>
      </c>
      <c r="E26" s="73" t="s">
        <v>6454</v>
      </c>
      <c r="F26" s="2" t="s">
        <v>23</v>
      </c>
    </row>
    <row r="27" spans="1:6" ht="66.75">
      <c r="A27" s="81" t="s">
        <v>6448</v>
      </c>
      <c r="B27" s="81" t="s">
        <v>6476</v>
      </c>
      <c r="C27" s="92">
        <v>5</v>
      </c>
      <c r="D27" s="68" t="s">
        <v>6481</v>
      </c>
      <c r="E27" s="73" t="s">
        <v>6454</v>
      </c>
      <c r="F27" s="2" t="s">
        <v>23</v>
      </c>
    </row>
    <row r="28" spans="1:6" ht="183.75">
      <c r="A28" s="81" t="s">
        <v>6448</v>
      </c>
      <c r="B28" s="81" t="s">
        <v>6482</v>
      </c>
      <c r="C28" s="92">
        <v>1</v>
      </c>
      <c r="D28" s="68" t="s">
        <v>6483</v>
      </c>
      <c r="E28" s="73" t="s">
        <v>6454</v>
      </c>
      <c r="F28" s="2" t="s">
        <v>117</v>
      </c>
    </row>
    <row r="29" spans="1:6" ht="50.25">
      <c r="A29" s="81" t="s">
        <v>6448</v>
      </c>
      <c r="B29" s="81" t="s">
        <v>6482</v>
      </c>
      <c r="C29" s="92">
        <v>2</v>
      </c>
      <c r="D29" s="68" t="s">
        <v>6484</v>
      </c>
      <c r="E29" s="73" t="s">
        <v>6454</v>
      </c>
      <c r="F29" s="2" t="s">
        <v>23</v>
      </c>
    </row>
    <row r="30" spans="1:6" ht="50.25">
      <c r="A30" s="81" t="s">
        <v>6448</v>
      </c>
      <c r="B30" s="81" t="s">
        <v>6482</v>
      </c>
      <c r="C30" s="92">
        <v>3</v>
      </c>
      <c r="D30" s="68" t="s">
        <v>6485</v>
      </c>
      <c r="E30" s="73" t="s">
        <v>6451</v>
      </c>
      <c r="F30" s="2" t="s">
        <v>117</v>
      </c>
    </row>
    <row r="31" spans="1:6" ht="50.25">
      <c r="A31" s="81" t="s">
        <v>6448</v>
      </c>
      <c r="B31" s="81" t="s">
        <v>6482</v>
      </c>
      <c r="C31" s="92">
        <v>4</v>
      </c>
      <c r="D31" s="68" t="s">
        <v>6486</v>
      </c>
      <c r="E31" s="73" t="s">
        <v>6454</v>
      </c>
      <c r="F31" s="2" t="s">
        <v>23</v>
      </c>
    </row>
    <row r="32" spans="1:6" ht="66.75">
      <c r="A32" s="81" t="s">
        <v>6448</v>
      </c>
      <c r="B32" s="81" t="s">
        <v>6487</v>
      </c>
      <c r="C32" s="92">
        <v>1</v>
      </c>
      <c r="D32" s="71" t="s">
        <v>6488</v>
      </c>
      <c r="E32" s="73" t="s">
        <v>6454</v>
      </c>
      <c r="F32" s="2" t="s">
        <v>23</v>
      </c>
    </row>
    <row r="33" spans="1:6" ht="66.75">
      <c r="A33" s="81" t="s">
        <v>6448</v>
      </c>
      <c r="B33" s="81" t="s">
        <v>6487</v>
      </c>
      <c r="C33" s="92">
        <v>2</v>
      </c>
      <c r="D33" s="71" t="s">
        <v>6489</v>
      </c>
      <c r="E33" s="73" t="s">
        <v>6454</v>
      </c>
      <c r="F33" s="2" t="s">
        <v>23</v>
      </c>
    </row>
    <row r="34" spans="1:6" ht="84">
      <c r="A34" s="81" t="s">
        <v>6448</v>
      </c>
      <c r="B34" s="81" t="s">
        <v>6487</v>
      </c>
      <c r="C34" s="92">
        <v>3</v>
      </c>
      <c r="D34" s="71" t="s">
        <v>6490</v>
      </c>
      <c r="E34" s="73" t="s">
        <v>6454</v>
      </c>
      <c r="F34" s="2" t="s">
        <v>23</v>
      </c>
    </row>
    <row r="35" spans="1:6" ht="66.75">
      <c r="A35" s="81" t="s">
        <v>6448</v>
      </c>
      <c r="B35" s="81" t="s">
        <v>6487</v>
      </c>
      <c r="C35" s="92">
        <v>4</v>
      </c>
      <c r="D35" s="71" t="s">
        <v>6491</v>
      </c>
      <c r="E35" s="73" t="s">
        <v>6454</v>
      </c>
      <c r="F35" s="2" t="s">
        <v>23</v>
      </c>
    </row>
    <row r="36" spans="1:6" ht="84">
      <c r="A36" s="81" t="s">
        <v>6448</v>
      </c>
      <c r="B36" s="81" t="s">
        <v>6492</v>
      </c>
      <c r="C36" s="92">
        <v>1</v>
      </c>
      <c r="D36" s="68" t="s">
        <v>6493</v>
      </c>
      <c r="E36" s="73" t="s">
        <v>6454</v>
      </c>
      <c r="F36" s="2" t="s">
        <v>23</v>
      </c>
    </row>
    <row r="37" spans="1:6" ht="84">
      <c r="A37" s="81" t="s">
        <v>6448</v>
      </c>
      <c r="B37" s="81" t="s">
        <v>6492</v>
      </c>
      <c r="C37" s="92">
        <v>2</v>
      </c>
      <c r="D37" s="68" t="s">
        <v>6494</v>
      </c>
      <c r="E37" s="73" t="s">
        <v>6451</v>
      </c>
      <c r="F37" s="2" t="s">
        <v>117</v>
      </c>
    </row>
    <row r="38" spans="1:6" ht="84">
      <c r="A38" s="81" t="s">
        <v>6448</v>
      </c>
      <c r="B38" s="81" t="s">
        <v>6492</v>
      </c>
      <c r="C38" s="92">
        <v>3</v>
      </c>
      <c r="D38" s="68" t="s">
        <v>6495</v>
      </c>
      <c r="E38" s="73" t="s">
        <v>6454</v>
      </c>
      <c r="F38" s="2" t="s">
        <v>23</v>
      </c>
    </row>
    <row r="39" spans="1:6" ht="100.5">
      <c r="A39" s="81" t="s">
        <v>6448</v>
      </c>
      <c r="B39" s="81" t="s">
        <v>6496</v>
      </c>
      <c r="C39" s="92">
        <v>1</v>
      </c>
      <c r="D39" s="68" t="s">
        <v>6497</v>
      </c>
      <c r="E39" s="73" t="s">
        <v>6454</v>
      </c>
      <c r="F39" s="2" t="s">
        <v>23</v>
      </c>
    </row>
    <row r="40" spans="1:6" ht="183.75">
      <c r="A40" s="81" t="s">
        <v>6448</v>
      </c>
      <c r="B40" s="81" t="s">
        <v>6496</v>
      </c>
      <c r="C40" s="92">
        <v>2</v>
      </c>
      <c r="D40" s="68" t="s">
        <v>6498</v>
      </c>
      <c r="E40" s="73" t="s">
        <v>6454</v>
      </c>
      <c r="F40" s="2" t="s">
        <v>23</v>
      </c>
    </row>
    <row r="41" spans="1:6" ht="100.5">
      <c r="A41" s="81" t="s">
        <v>6448</v>
      </c>
      <c r="B41" s="81" t="s">
        <v>6496</v>
      </c>
      <c r="C41" s="92">
        <v>3</v>
      </c>
      <c r="D41" s="68" t="s">
        <v>6499</v>
      </c>
      <c r="E41" s="73" t="s">
        <v>6454</v>
      </c>
      <c r="F41" s="2" t="s">
        <v>23</v>
      </c>
    </row>
    <row r="42" spans="1:6" ht="100.5">
      <c r="A42" s="81" t="s">
        <v>6448</v>
      </c>
      <c r="B42" s="81" t="s">
        <v>6496</v>
      </c>
      <c r="C42" s="92">
        <v>4</v>
      </c>
      <c r="D42" s="68" t="s">
        <v>6500</v>
      </c>
      <c r="E42" s="73" t="s">
        <v>6454</v>
      </c>
      <c r="F42" s="2" t="s">
        <v>117</v>
      </c>
    </row>
    <row r="43" spans="1:6" ht="100.5">
      <c r="A43" s="81" t="s">
        <v>6448</v>
      </c>
      <c r="B43" s="81" t="s">
        <v>6496</v>
      </c>
      <c r="C43" s="92">
        <v>5</v>
      </c>
      <c r="D43" s="68" t="s">
        <v>6501</v>
      </c>
      <c r="E43" s="73" t="s">
        <v>6454</v>
      </c>
      <c r="F43" s="2" t="s">
        <v>23</v>
      </c>
    </row>
    <row r="44" spans="1:6" ht="66.75">
      <c r="A44" s="81" t="s">
        <v>6448</v>
      </c>
      <c r="B44" s="81" t="s">
        <v>6502</v>
      </c>
      <c r="C44" s="92">
        <v>1</v>
      </c>
      <c r="D44" s="68" t="s">
        <v>6503</v>
      </c>
      <c r="E44" s="73" t="s">
        <v>6454</v>
      </c>
      <c r="F44" s="2" t="s">
        <v>23</v>
      </c>
    </row>
    <row r="45" spans="1:6" ht="66.75">
      <c r="A45" s="81" t="s">
        <v>6448</v>
      </c>
      <c r="B45" s="81" t="s">
        <v>6502</v>
      </c>
      <c r="C45" s="92">
        <v>2</v>
      </c>
      <c r="D45" s="68" t="s">
        <v>6504</v>
      </c>
      <c r="E45" s="73" t="s">
        <v>6454</v>
      </c>
      <c r="F45" s="2" t="s">
        <v>23</v>
      </c>
    </row>
    <row r="46" spans="1:6" ht="66.75">
      <c r="A46" s="81" t="s">
        <v>6448</v>
      </c>
      <c r="B46" s="81" t="s">
        <v>6502</v>
      </c>
      <c r="C46" s="92">
        <v>3</v>
      </c>
      <c r="D46" s="68" t="s">
        <v>6505</v>
      </c>
      <c r="E46" s="73" t="s">
        <v>6454</v>
      </c>
      <c r="F46" s="2" t="s">
        <v>117</v>
      </c>
    </row>
    <row r="47" spans="1:6" ht="66.75">
      <c r="A47" s="81" t="s">
        <v>6448</v>
      </c>
      <c r="B47" s="81" t="s">
        <v>6502</v>
      </c>
      <c r="C47" s="92">
        <v>4</v>
      </c>
      <c r="D47" s="68" t="s">
        <v>6506</v>
      </c>
      <c r="E47" s="73" t="s">
        <v>6451</v>
      </c>
      <c r="F47" s="2" t="s">
        <v>117</v>
      </c>
    </row>
    <row r="48" spans="1:6" ht="66.75">
      <c r="A48" s="81" t="s">
        <v>6448</v>
      </c>
      <c r="B48" s="81" t="s">
        <v>6502</v>
      </c>
      <c r="C48" s="92">
        <v>5</v>
      </c>
      <c r="D48" s="68" t="s">
        <v>6507</v>
      </c>
      <c r="E48" s="73" t="s">
        <v>6454</v>
      </c>
      <c r="F48" s="2" t="s">
        <v>117</v>
      </c>
    </row>
    <row r="49" spans="1:6" ht="50.25">
      <c r="A49" s="81" t="s">
        <v>6448</v>
      </c>
      <c r="B49" s="81" t="s">
        <v>6508</v>
      </c>
      <c r="C49" s="92">
        <v>1</v>
      </c>
      <c r="D49" s="68" t="s">
        <v>6509</v>
      </c>
      <c r="E49" s="73" t="s">
        <v>6454</v>
      </c>
      <c r="F49" s="2" t="s">
        <v>117</v>
      </c>
    </row>
    <row r="50" spans="1:6" ht="50.25">
      <c r="A50" s="81" t="s">
        <v>6448</v>
      </c>
      <c r="B50" s="81" t="s">
        <v>6508</v>
      </c>
      <c r="C50" s="92">
        <v>2</v>
      </c>
      <c r="D50" s="68" t="s">
        <v>6510</v>
      </c>
      <c r="E50" s="73" t="s">
        <v>6454</v>
      </c>
      <c r="F50" s="2" t="s">
        <v>23</v>
      </c>
    </row>
    <row r="51" spans="1:6" ht="50.25">
      <c r="A51" s="81" t="s">
        <v>6448</v>
      </c>
      <c r="B51" s="81" t="s">
        <v>6508</v>
      </c>
      <c r="C51" s="92">
        <v>3</v>
      </c>
      <c r="D51" s="68" t="s">
        <v>6511</v>
      </c>
      <c r="E51" s="73" t="s">
        <v>6454</v>
      </c>
      <c r="F51" s="2" t="s">
        <v>23</v>
      </c>
    </row>
    <row r="52" spans="1:6" ht="50.25">
      <c r="A52" s="81" t="s">
        <v>6448</v>
      </c>
      <c r="B52" s="81" t="s">
        <v>6508</v>
      </c>
      <c r="C52" s="92">
        <v>4</v>
      </c>
      <c r="D52" s="68" t="s">
        <v>6512</v>
      </c>
      <c r="E52" s="73" t="s">
        <v>6454</v>
      </c>
      <c r="F52" s="2" t="s">
        <v>23</v>
      </c>
    </row>
    <row r="53" spans="1:6" ht="84">
      <c r="A53" s="81" t="s">
        <v>6448</v>
      </c>
      <c r="B53" s="81" t="s">
        <v>6513</v>
      </c>
      <c r="C53" s="92">
        <v>1</v>
      </c>
      <c r="D53" s="68" t="s">
        <v>6514</v>
      </c>
      <c r="E53" s="73" t="s">
        <v>6454</v>
      </c>
      <c r="F53" s="2" t="s">
        <v>117</v>
      </c>
    </row>
    <row r="54" spans="1:6" ht="84">
      <c r="A54" s="81" t="s">
        <v>6448</v>
      </c>
      <c r="B54" s="81" t="s">
        <v>6513</v>
      </c>
      <c r="C54" s="92">
        <v>2</v>
      </c>
      <c r="D54" s="68" t="s">
        <v>6515</v>
      </c>
      <c r="E54" s="73" t="s">
        <v>6454</v>
      </c>
      <c r="F54" s="2" t="s">
        <v>117</v>
      </c>
    </row>
    <row r="55" spans="1:6" ht="84">
      <c r="A55" s="81" t="s">
        <v>6448</v>
      </c>
      <c r="B55" s="81" t="s">
        <v>6513</v>
      </c>
      <c r="C55" s="92">
        <v>3</v>
      </c>
      <c r="D55" s="68" t="s">
        <v>6516</v>
      </c>
      <c r="E55" s="73" t="s">
        <v>6454</v>
      </c>
      <c r="F55" s="2" t="s">
        <v>117</v>
      </c>
    </row>
    <row r="56" spans="1:6" ht="84">
      <c r="A56" s="81" t="s">
        <v>6448</v>
      </c>
      <c r="B56" s="81" t="s">
        <v>6513</v>
      </c>
      <c r="C56" s="92">
        <v>4</v>
      </c>
      <c r="D56" s="68" t="s">
        <v>6517</v>
      </c>
      <c r="E56" s="73" t="s">
        <v>6454</v>
      </c>
      <c r="F56" s="2" t="s">
        <v>117</v>
      </c>
    </row>
    <row r="57" spans="1:6" ht="84">
      <c r="A57" s="81" t="s">
        <v>6448</v>
      </c>
      <c r="B57" s="81" t="s">
        <v>6513</v>
      </c>
      <c r="C57" s="92">
        <v>5</v>
      </c>
      <c r="D57" s="68" t="s">
        <v>6518</v>
      </c>
      <c r="E57" s="73" t="s">
        <v>6454</v>
      </c>
      <c r="F57" s="2" t="s">
        <v>23</v>
      </c>
    </row>
    <row r="58" spans="1:6" ht="66.75">
      <c r="A58" s="81" t="s">
        <v>6448</v>
      </c>
      <c r="B58" s="81" t="s">
        <v>6519</v>
      </c>
      <c r="C58" s="92">
        <v>1</v>
      </c>
      <c r="D58" s="68" t="s">
        <v>6520</v>
      </c>
      <c r="E58" s="73" t="s">
        <v>6454</v>
      </c>
      <c r="F58" s="2" t="s">
        <v>23</v>
      </c>
    </row>
    <row r="59" spans="1:6" ht="66.75">
      <c r="A59" s="81" t="s">
        <v>6448</v>
      </c>
      <c r="B59" s="81" t="s">
        <v>6519</v>
      </c>
      <c r="C59" s="92">
        <v>2</v>
      </c>
      <c r="D59" s="68" t="s">
        <v>6521</v>
      </c>
      <c r="E59" s="73" t="s">
        <v>6454</v>
      </c>
      <c r="F59" s="2" t="s">
        <v>23</v>
      </c>
    </row>
    <row r="60" spans="1:6" ht="66.75">
      <c r="A60" s="81" t="s">
        <v>6448</v>
      </c>
      <c r="B60" s="81" t="s">
        <v>6519</v>
      </c>
      <c r="C60" s="92">
        <v>3</v>
      </c>
      <c r="D60" s="68" t="s">
        <v>6522</v>
      </c>
      <c r="E60" s="73" t="s">
        <v>6454</v>
      </c>
      <c r="F60" s="2" t="s">
        <v>117</v>
      </c>
    </row>
    <row r="61" spans="1:6" ht="66.75">
      <c r="A61" s="81" t="s">
        <v>6448</v>
      </c>
      <c r="B61" s="81" t="s">
        <v>6519</v>
      </c>
      <c r="C61" s="92">
        <v>4</v>
      </c>
      <c r="D61" s="68" t="s">
        <v>6523</v>
      </c>
      <c r="E61" s="73" t="s">
        <v>6454</v>
      </c>
      <c r="F61" s="2" t="s">
        <v>23</v>
      </c>
    </row>
    <row r="62" spans="1:6" ht="66.75">
      <c r="A62" s="81" t="s">
        <v>6448</v>
      </c>
      <c r="B62" s="81" t="s">
        <v>6519</v>
      </c>
      <c r="C62" s="92">
        <v>5</v>
      </c>
      <c r="D62" s="68" t="s">
        <v>6524</v>
      </c>
      <c r="E62" s="73" t="s">
        <v>6454</v>
      </c>
      <c r="F62" s="2" t="s">
        <v>117</v>
      </c>
    </row>
    <row r="63" spans="1:6" ht="66.75">
      <c r="A63" s="81" t="s">
        <v>6448</v>
      </c>
      <c r="B63" s="81" t="s">
        <v>6525</v>
      </c>
      <c r="C63" s="92">
        <v>1</v>
      </c>
      <c r="D63" s="68" t="s">
        <v>6526</v>
      </c>
      <c r="E63" s="73" t="s">
        <v>6454</v>
      </c>
      <c r="F63" s="2" t="s">
        <v>117</v>
      </c>
    </row>
    <row r="64" spans="1:6" ht="66.75">
      <c r="A64" s="81" t="s">
        <v>6448</v>
      </c>
      <c r="B64" s="81" t="s">
        <v>6525</v>
      </c>
      <c r="C64" s="92">
        <v>2</v>
      </c>
      <c r="D64" s="68" t="s">
        <v>6527</v>
      </c>
      <c r="E64" s="73" t="s">
        <v>6454</v>
      </c>
      <c r="F64" s="2" t="s">
        <v>117</v>
      </c>
    </row>
    <row r="65" spans="1:6" ht="66.75">
      <c r="A65" s="81" t="s">
        <v>6448</v>
      </c>
      <c r="B65" s="81" t="s">
        <v>6525</v>
      </c>
      <c r="C65" s="92">
        <v>3</v>
      </c>
      <c r="D65" s="68" t="s">
        <v>6528</v>
      </c>
      <c r="E65" s="73" t="s">
        <v>6454</v>
      </c>
      <c r="F65" s="2" t="s">
        <v>117</v>
      </c>
    </row>
    <row r="66" spans="1:6" ht="66.75">
      <c r="A66" s="81" t="s">
        <v>6448</v>
      </c>
      <c r="B66" s="81" t="s">
        <v>6525</v>
      </c>
      <c r="C66" s="92">
        <v>4</v>
      </c>
      <c r="D66" s="68" t="s">
        <v>6529</v>
      </c>
      <c r="E66" s="73" t="s">
        <v>6454</v>
      </c>
      <c r="F66" s="2" t="s">
        <v>117</v>
      </c>
    </row>
    <row r="67" spans="1:6" ht="66.75">
      <c r="A67" s="81" t="s">
        <v>6448</v>
      </c>
      <c r="B67" s="81" t="s">
        <v>6525</v>
      </c>
      <c r="C67" s="92">
        <v>5</v>
      </c>
      <c r="D67" s="68" t="s">
        <v>6530</v>
      </c>
      <c r="E67" s="73" t="s">
        <v>6454</v>
      </c>
      <c r="F67" s="2" t="s">
        <v>117</v>
      </c>
    </row>
    <row r="68" spans="1:6" ht="66.75">
      <c r="A68" s="81" t="s">
        <v>6448</v>
      </c>
      <c r="B68" s="81" t="s">
        <v>6525</v>
      </c>
      <c r="C68" s="92">
        <v>6</v>
      </c>
      <c r="D68" s="68" t="s">
        <v>6531</v>
      </c>
      <c r="E68" s="73" t="s">
        <v>6454</v>
      </c>
      <c r="F68" s="2" t="s">
        <v>23</v>
      </c>
    </row>
    <row r="69" spans="1:6" ht="66.75">
      <c r="A69" s="81" t="s">
        <v>6448</v>
      </c>
      <c r="B69" s="81" t="s">
        <v>6532</v>
      </c>
      <c r="C69" s="92">
        <v>1</v>
      </c>
      <c r="D69" s="68" t="s">
        <v>6533</v>
      </c>
      <c r="E69" s="73" t="s">
        <v>6454</v>
      </c>
      <c r="F69" s="2" t="s">
        <v>117</v>
      </c>
    </row>
    <row r="70" spans="1:6" ht="66.75">
      <c r="A70" s="81" t="s">
        <v>6448</v>
      </c>
      <c r="B70" s="81" t="s">
        <v>6532</v>
      </c>
      <c r="C70" s="92">
        <v>2</v>
      </c>
      <c r="D70" s="68" t="s">
        <v>6534</v>
      </c>
      <c r="E70" s="73" t="s">
        <v>6454</v>
      </c>
      <c r="F70" s="2" t="s">
        <v>23</v>
      </c>
    </row>
    <row r="71" spans="1:6" ht="66.75">
      <c r="A71" s="81" t="s">
        <v>6448</v>
      </c>
      <c r="B71" s="81" t="s">
        <v>6532</v>
      </c>
      <c r="C71" s="92">
        <v>3</v>
      </c>
      <c r="D71" s="68" t="s">
        <v>6535</v>
      </c>
      <c r="E71" s="73" t="s">
        <v>6454</v>
      </c>
      <c r="F71" s="2" t="s">
        <v>23</v>
      </c>
    </row>
    <row r="72" spans="1:6" ht="66.75">
      <c r="A72" s="81" t="s">
        <v>6448</v>
      </c>
      <c r="B72" s="81" t="s">
        <v>6532</v>
      </c>
      <c r="C72" s="92">
        <v>4</v>
      </c>
      <c r="D72" s="72" t="s">
        <v>6536</v>
      </c>
      <c r="E72" s="73" t="s">
        <v>6454</v>
      </c>
      <c r="F72" s="2" t="s">
        <v>23</v>
      </c>
    </row>
    <row r="73" spans="1:6" ht="66.75">
      <c r="A73" s="81" t="s">
        <v>6448</v>
      </c>
      <c r="B73" s="81" t="s">
        <v>6532</v>
      </c>
      <c r="C73" s="92">
        <v>5</v>
      </c>
      <c r="D73" s="68" t="s">
        <v>6537</v>
      </c>
      <c r="E73" s="73" t="s">
        <v>6454</v>
      </c>
      <c r="F73" s="2" t="s">
        <v>23</v>
      </c>
    </row>
    <row r="74" spans="1:6" ht="66.75">
      <c r="A74" s="81" t="s">
        <v>6448</v>
      </c>
      <c r="B74" s="81" t="s">
        <v>6538</v>
      </c>
      <c r="C74" s="92">
        <v>1</v>
      </c>
      <c r="D74" s="68" t="s">
        <v>6539</v>
      </c>
      <c r="E74" s="73" t="s">
        <v>6454</v>
      </c>
      <c r="F74" s="2" t="s">
        <v>117</v>
      </c>
    </row>
    <row r="75" spans="1:6" ht="66.75">
      <c r="A75" s="81" t="s">
        <v>6448</v>
      </c>
      <c r="B75" s="81" t="s">
        <v>6538</v>
      </c>
      <c r="C75" s="92">
        <v>2</v>
      </c>
      <c r="D75" s="68" t="s">
        <v>6540</v>
      </c>
      <c r="E75" s="73" t="s">
        <v>6454</v>
      </c>
      <c r="F75" s="2" t="s">
        <v>23</v>
      </c>
    </row>
    <row r="76" spans="1:6" ht="66.75">
      <c r="A76" s="81" t="s">
        <v>6448</v>
      </c>
      <c r="B76" s="81" t="s">
        <v>6538</v>
      </c>
      <c r="C76" s="92">
        <v>3</v>
      </c>
      <c r="D76" s="68" t="s">
        <v>6541</v>
      </c>
      <c r="E76" s="73" t="s">
        <v>6454</v>
      </c>
      <c r="F76" s="2" t="s">
        <v>23</v>
      </c>
    </row>
    <row r="77" spans="1:6" ht="66.75">
      <c r="A77" s="81" t="s">
        <v>6448</v>
      </c>
      <c r="B77" s="81" t="s">
        <v>6538</v>
      </c>
      <c r="C77" s="92">
        <v>4</v>
      </c>
      <c r="D77" s="68" t="s">
        <v>6542</v>
      </c>
      <c r="E77" s="73" t="s">
        <v>6454</v>
      </c>
      <c r="F77" s="2" t="s">
        <v>23</v>
      </c>
    </row>
    <row r="78" spans="1:6" ht="66.75">
      <c r="A78" s="81" t="s">
        <v>6448</v>
      </c>
      <c r="B78" s="81" t="s">
        <v>6538</v>
      </c>
      <c r="C78" s="92">
        <v>5</v>
      </c>
      <c r="D78" s="68" t="s">
        <v>6543</v>
      </c>
      <c r="E78" s="73" t="s">
        <v>6454</v>
      </c>
      <c r="F78" s="2" t="s">
        <v>23</v>
      </c>
    </row>
    <row r="79" spans="1:6" ht="66.75">
      <c r="A79" s="81" t="s">
        <v>6448</v>
      </c>
      <c r="B79" s="81" t="s">
        <v>6538</v>
      </c>
      <c r="C79" s="92">
        <v>6</v>
      </c>
      <c r="D79" s="68" t="s">
        <v>6544</v>
      </c>
      <c r="E79" s="73" t="s">
        <v>6454</v>
      </c>
      <c r="F79" s="2" t="s">
        <v>23</v>
      </c>
    </row>
    <row r="80" spans="1:6" ht="50.25">
      <c r="A80" s="81" t="s">
        <v>6448</v>
      </c>
      <c r="B80" s="81" t="s">
        <v>6545</v>
      </c>
      <c r="C80" s="92">
        <v>1</v>
      </c>
      <c r="D80" s="68" t="s">
        <v>6546</v>
      </c>
      <c r="E80" s="73" t="s">
        <v>6454</v>
      </c>
      <c r="F80" s="2" t="s">
        <v>117</v>
      </c>
    </row>
    <row r="81" spans="1:6" ht="50.25">
      <c r="A81" s="81" t="s">
        <v>6448</v>
      </c>
      <c r="B81" s="81" t="s">
        <v>6545</v>
      </c>
      <c r="C81" s="92">
        <v>2</v>
      </c>
      <c r="D81" s="68" t="s">
        <v>6547</v>
      </c>
      <c r="E81" s="73" t="s">
        <v>6454</v>
      </c>
      <c r="F81" s="2" t="s">
        <v>117</v>
      </c>
    </row>
    <row r="82" spans="1:6" ht="50.25">
      <c r="A82" s="81" t="s">
        <v>6448</v>
      </c>
      <c r="B82" s="81" t="s">
        <v>6545</v>
      </c>
      <c r="C82" s="92">
        <v>3</v>
      </c>
      <c r="D82" s="68" t="s">
        <v>6548</v>
      </c>
      <c r="E82" s="73" t="s">
        <v>6454</v>
      </c>
      <c r="F82" s="2" t="s">
        <v>23</v>
      </c>
    </row>
    <row r="83" spans="1:6" ht="66.75">
      <c r="A83" s="81" t="s">
        <v>6448</v>
      </c>
      <c r="B83" s="81" t="s">
        <v>6545</v>
      </c>
      <c r="C83" s="92">
        <v>4</v>
      </c>
      <c r="D83" s="68" t="s">
        <v>6549</v>
      </c>
      <c r="E83" s="73" t="s">
        <v>6454</v>
      </c>
      <c r="F83" s="2" t="s">
        <v>23</v>
      </c>
    </row>
    <row r="84" spans="1:6" ht="50.25">
      <c r="A84" s="81" t="s">
        <v>6448</v>
      </c>
      <c r="B84" s="81" t="s">
        <v>6545</v>
      </c>
      <c r="C84" s="92">
        <v>5</v>
      </c>
      <c r="D84" s="68" t="s">
        <v>6550</v>
      </c>
      <c r="E84" s="73" t="s">
        <v>6454</v>
      </c>
      <c r="F84" s="2" t="s">
        <v>117</v>
      </c>
    </row>
    <row r="85" spans="1:6" ht="84">
      <c r="A85" s="81" t="s">
        <v>6448</v>
      </c>
      <c r="B85" s="81" t="s">
        <v>6551</v>
      </c>
      <c r="C85" s="92">
        <v>1</v>
      </c>
      <c r="D85" s="68" t="s">
        <v>6552</v>
      </c>
      <c r="E85" s="73" t="s">
        <v>6454</v>
      </c>
      <c r="F85" s="2" t="s">
        <v>23</v>
      </c>
    </row>
    <row r="86" spans="1:6" ht="134.25">
      <c r="A86" s="81" t="s">
        <v>6448</v>
      </c>
      <c r="B86" s="81" t="s">
        <v>6551</v>
      </c>
      <c r="C86" s="92">
        <v>2</v>
      </c>
      <c r="D86" s="68" t="s">
        <v>6553</v>
      </c>
      <c r="E86" s="73" t="s">
        <v>6451</v>
      </c>
      <c r="F86" s="2" t="s">
        <v>117</v>
      </c>
    </row>
    <row r="87" spans="1:6" ht="84">
      <c r="A87" s="81" t="s">
        <v>6448</v>
      </c>
      <c r="B87" s="81" t="s">
        <v>6551</v>
      </c>
      <c r="C87" s="92">
        <v>3</v>
      </c>
      <c r="D87" s="68" t="s">
        <v>6554</v>
      </c>
      <c r="E87" s="73" t="s">
        <v>6451</v>
      </c>
      <c r="F87" s="2" t="s">
        <v>117</v>
      </c>
    </row>
    <row r="88" spans="1:6" ht="84">
      <c r="A88" s="81" t="s">
        <v>6448</v>
      </c>
      <c r="B88" s="81" t="s">
        <v>6551</v>
      </c>
      <c r="C88" s="92">
        <v>4</v>
      </c>
      <c r="D88" s="68" t="s">
        <v>6555</v>
      </c>
      <c r="E88" s="73" t="s">
        <v>6454</v>
      </c>
      <c r="F88" s="2" t="s">
        <v>23</v>
      </c>
    </row>
    <row r="89" spans="1:6" ht="100.5">
      <c r="A89" s="81" t="s">
        <v>6448</v>
      </c>
      <c r="B89" s="81" t="s">
        <v>6551</v>
      </c>
      <c r="C89" s="92">
        <v>5</v>
      </c>
      <c r="D89" s="68" t="s">
        <v>6556</v>
      </c>
      <c r="E89" s="73" t="s">
        <v>6454</v>
      </c>
      <c r="F89" s="2" t="s">
        <v>23</v>
      </c>
    </row>
    <row r="90" spans="1:6" ht="84">
      <c r="A90" s="81" t="s">
        <v>6448</v>
      </c>
      <c r="B90" s="81" t="s">
        <v>6551</v>
      </c>
      <c r="C90" s="92">
        <v>6</v>
      </c>
      <c r="D90" s="68" t="s">
        <v>6557</v>
      </c>
      <c r="E90" s="73" t="s">
        <v>6454</v>
      </c>
      <c r="F90" s="2" t="s">
        <v>117</v>
      </c>
    </row>
    <row r="91" spans="1:6" ht="66.75">
      <c r="A91" s="81" t="s">
        <v>6448</v>
      </c>
      <c r="B91" s="81" t="s">
        <v>6558</v>
      </c>
      <c r="C91" s="92">
        <v>1</v>
      </c>
      <c r="D91" s="71" t="s">
        <v>6559</v>
      </c>
      <c r="E91" s="73" t="s">
        <v>6454</v>
      </c>
      <c r="F91" s="2" t="s">
        <v>23</v>
      </c>
    </row>
    <row r="92" spans="1:6" ht="66.75">
      <c r="A92" s="81" t="s">
        <v>6448</v>
      </c>
      <c r="B92" s="81" t="s">
        <v>6558</v>
      </c>
      <c r="C92" s="92">
        <v>2</v>
      </c>
      <c r="D92" s="71" t="s">
        <v>6560</v>
      </c>
      <c r="E92" s="73" t="s">
        <v>6454</v>
      </c>
      <c r="F92" s="2" t="s">
        <v>23</v>
      </c>
    </row>
    <row r="93" spans="1:6" ht="66.75">
      <c r="A93" s="81" t="s">
        <v>6448</v>
      </c>
      <c r="B93" s="81" t="s">
        <v>6558</v>
      </c>
      <c r="C93" s="92">
        <v>3</v>
      </c>
      <c r="D93" s="71" t="s">
        <v>6561</v>
      </c>
      <c r="E93" s="73" t="s">
        <v>6451</v>
      </c>
      <c r="F93" s="2" t="s">
        <v>117</v>
      </c>
    </row>
    <row r="94" spans="1:6" ht="66.75">
      <c r="A94" s="81" t="s">
        <v>6448</v>
      </c>
      <c r="B94" s="81" t="s">
        <v>6558</v>
      </c>
      <c r="C94" s="92">
        <v>4</v>
      </c>
      <c r="D94" s="71" t="s">
        <v>6562</v>
      </c>
      <c r="E94" s="73" t="s">
        <v>6454</v>
      </c>
      <c r="F94" s="2" t="s">
        <v>23</v>
      </c>
    </row>
    <row r="95" spans="1:6" ht="168">
      <c r="A95" s="81" t="s">
        <v>6448</v>
      </c>
      <c r="B95" s="81" t="s">
        <v>6558</v>
      </c>
      <c r="C95" s="92">
        <v>5</v>
      </c>
      <c r="D95" s="71" t="s">
        <v>6563</v>
      </c>
      <c r="E95" s="73" t="s">
        <v>6451</v>
      </c>
      <c r="F95" s="2" t="s">
        <v>23</v>
      </c>
    </row>
    <row r="96" spans="1:6" ht="84">
      <c r="A96" s="81" t="s">
        <v>6448</v>
      </c>
      <c r="B96" s="81" t="s">
        <v>6564</v>
      </c>
      <c r="C96" s="92">
        <v>1</v>
      </c>
      <c r="D96" s="71" t="s">
        <v>6565</v>
      </c>
      <c r="E96" s="73" t="s">
        <v>6454</v>
      </c>
      <c r="F96" s="2" t="s">
        <v>23</v>
      </c>
    </row>
    <row r="97" spans="1:6" ht="84">
      <c r="A97" s="81" t="s">
        <v>6448</v>
      </c>
      <c r="B97" s="81" t="s">
        <v>6564</v>
      </c>
      <c r="C97" s="92">
        <v>2</v>
      </c>
      <c r="D97" s="71" t="s">
        <v>6566</v>
      </c>
      <c r="E97" s="73" t="s">
        <v>6451</v>
      </c>
      <c r="F97" s="2" t="s">
        <v>23</v>
      </c>
    </row>
    <row r="98" spans="1:6" ht="84">
      <c r="A98" s="81" t="s">
        <v>6448</v>
      </c>
      <c r="B98" s="81" t="s">
        <v>6564</v>
      </c>
      <c r="C98" s="92">
        <v>3</v>
      </c>
      <c r="D98" s="71" t="s">
        <v>6567</v>
      </c>
      <c r="E98" s="73" t="s">
        <v>6454</v>
      </c>
      <c r="F98" s="2" t="s">
        <v>117</v>
      </c>
    </row>
    <row r="99" spans="1:6" ht="84">
      <c r="A99" s="81" t="s">
        <v>6448</v>
      </c>
      <c r="B99" s="81" t="s">
        <v>6564</v>
      </c>
      <c r="C99" s="92">
        <v>4</v>
      </c>
      <c r="D99" s="71" t="s">
        <v>6568</v>
      </c>
      <c r="E99" s="73" t="s">
        <v>6454</v>
      </c>
      <c r="F99" s="2" t="s">
        <v>23</v>
      </c>
    </row>
    <row r="100" spans="1:6" ht="117">
      <c r="A100" s="81" t="s">
        <v>6448</v>
      </c>
      <c r="B100" s="81" t="s">
        <v>6569</v>
      </c>
      <c r="C100" s="92">
        <v>1</v>
      </c>
      <c r="D100" s="71" t="s">
        <v>6570</v>
      </c>
      <c r="E100" s="73" t="s">
        <v>6454</v>
      </c>
      <c r="F100" s="2" t="s">
        <v>23</v>
      </c>
    </row>
    <row r="101" spans="1:6" ht="200.25">
      <c r="A101" s="81" t="s">
        <v>6448</v>
      </c>
      <c r="B101" s="81" t="s">
        <v>6569</v>
      </c>
      <c r="C101" s="92">
        <v>2</v>
      </c>
      <c r="D101" s="71" t="s">
        <v>6571</v>
      </c>
      <c r="E101" s="73" t="s">
        <v>6454</v>
      </c>
      <c r="F101" s="2" t="s">
        <v>23</v>
      </c>
    </row>
    <row r="102" spans="1:6" ht="117">
      <c r="A102" s="81" t="s">
        <v>6448</v>
      </c>
      <c r="B102" s="81" t="s">
        <v>6569</v>
      </c>
      <c r="C102" s="92">
        <v>3</v>
      </c>
      <c r="D102" s="71" t="s">
        <v>6572</v>
      </c>
      <c r="E102" s="73" t="s">
        <v>6454</v>
      </c>
      <c r="F102" s="2" t="s">
        <v>23</v>
      </c>
    </row>
    <row r="103" spans="1:6" ht="117">
      <c r="A103" s="81" t="s">
        <v>6448</v>
      </c>
      <c r="B103" s="81" t="s">
        <v>6569</v>
      </c>
      <c r="C103" s="92">
        <v>4</v>
      </c>
      <c r="D103" s="71" t="s">
        <v>6573</v>
      </c>
      <c r="E103" s="73" t="s">
        <v>6454</v>
      </c>
      <c r="F103" s="2" t="s">
        <v>23</v>
      </c>
    </row>
    <row r="104" spans="1:6" ht="117">
      <c r="A104" s="81" t="s">
        <v>6448</v>
      </c>
      <c r="B104" s="81" t="s">
        <v>6569</v>
      </c>
      <c r="C104" s="92">
        <v>5</v>
      </c>
      <c r="D104" s="71" t="s">
        <v>6574</v>
      </c>
      <c r="E104" s="73" t="s">
        <v>6454</v>
      </c>
      <c r="F104" s="2" t="s">
        <v>23</v>
      </c>
    </row>
    <row r="105" spans="1:6" ht="117">
      <c r="A105" s="81" t="s">
        <v>6448</v>
      </c>
      <c r="B105" s="81" t="s">
        <v>6569</v>
      </c>
      <c r="C105" s="92">
        <v>6</v>
      </c>
      <c r="D105" s="71" t="s">
        <v>6575</v>
      </c>
      <c r="E105" s="73" t="s">
        <v>6454</v>
      </c>
      <c r="F105" s="2" t="s">
        <v>23</v>
      </c>
    </row>
    <row r="106" spans="1:6" ht="100.5">
      <c r="A106" s="81" t="s">
        <v>6448</v>
      </c>
      <c r="B106" s="81" t="s">
        <v>6576</v>
      </c>
      <c r="C106" s="92">
        <v>1</v>
      </c>
      <c r="D106" s="71" t="s">
        <v>6577</v>
      </c>
      <c r="E106" s="73" t="s">
        <v>6454</v>
      </c>
      <c r="F106" s="2" t="s">
        <v>117</v>
      </c>
    </row>
    <row r="107" spans="1:6" ht="100.5">
      <c r="A107" s="81" t="s">
        <v>6448</v>
      </c>
      <c r="B107" s="81" t="s">
        <v>6576</v>
      </c>
      <c r="C107" s="92">
        <v>2</v>
      </c>
      <c r="D107" s="71" t="s">
        <v>6578</v>
      </c>
      <c r="E107" s="73" t="s">
        <v>6454</v>
      </c>
      <c r="F107" s="2" t="s">
        <v>23</v>
      </c>
    </row>
    <row r="108" spans="1:6" ht="100.5">
      <c r="A108" s="81" t="s">
        <v>6448</v>
      </c>
      <c r="B108" s="81" t="s">
        <v>6576</v>
      </c>
      <c r="C108" s="92">
        <v>3</v>
      </c>
      <c r="D108" s="71" t="s">
        <v>6579</v>
      </c>
      <c r="E108" s="73" t="s">
        <v>6454</v>
      </c>
      <c r="F108" s="2" t="s">
        <v>23</v>
      </c>
    </row>
    <row r="109" spans="1:6" ht="100.5">
      <c r="A109" s="81" t="s">
        <v>6448</v>
      </c>
      <c r="B109" s="81" t="s">
        <v>6576</v>
      </c>
      <c r="C109" s="92">
        <v>4</v>
      </c>
      <c r="D109" s="71" t="s">
        <v>6580</v>
      </c>
      <c r="E109" s="73" t="s">
        <v>6454</v>
      </c>
      <c r="F109" s="2" t="s">
        <v>23</v>
      </c>
    </row>
    <row r="110" spans="1:6" ht="100.5">
      <c r="A110" s="81" t="s">
        <v>6448</v>
      </c>
      <c r="B110" s="81" t="s">
        <v>6576</v>
      </c>
      <c r="C110" s="92">
        <v>5</v>
      </c>
      <c r="D110" s="71" t="s">
        <v>6581</v>
      </c>
      <c r="E110" s="73" t="s">
        <v>6454</v>
      </c>
      <c r="F110" s="2" t="s">
        <v>23</v>
      </c>
    </row>
    <row r="111" spans="1:6" ht="117">
      <c r="A111" s="81" t="s">
        <v>6448</v>
      </c>
      <c r="B111" s="81" t="s">
        <v>6576</v>
      </c>
      <c r="C111" s="92">
        <v>6</v>
      </c>
      <c r="D111" s="71" t="s">
        <v>6582</v>
      </c>
      <c r="E111" s="73" t="s">
        <v>6454</v>
      </c>
      <c r="F111" s="2" t="s">
        <v>23</v>
      </c>
    </row>
    <row r="112" spans="1:6" ht="100.5">
      <c r="A112" s="81" t="s">
        <v>6448</v>
      </c>
      <c r="B112" s="81" t="s">
        <v>6576</v>
      </c>
      <c r="C112" s="92">
        <v>7</v>
      </c>
      <c r="D112" s="71" t="s">
        <v>6583</v>
      </c>
      <c r="E112" s="73" t="s">
        <v>6451</v>
      </c>
      <c r="F112" s="2" t="s">
        <v>23</v>
      </c>
    </row>
    <row r="113" spans="1:6" ht="84">
      <c r="A113" s="81" t="s">
        <v>6448</v>
      </c>
      <c r="B113" s="81" t="s">
        <v>6584</v>
      </c>
      <c r="C113" s="92">
        <v>1</v>
      </c>
      <c r="D113" s="71" t="s">
        <v>6585</v>
      </c>
      <c r="E113" s="74" t="s">
        <v>6451</v>
      </c>
      <c r="F113" s="2" t="s">
        <v>117</v>
      </c>
    </row>
    <row r="114" spans="1:6" ht="84">
      <c r="A114" s="81" t="s">
        <v>6448</v>
      </c>
      <c r="B114" s="81" t="s">
        <v>6584</v>
      </c>
      <c r="C114" s="92">
        <v>2</v>
      </c>
      <c r="D114" s="71" t="s">
        <v>6586</v>
      </c>
      <c r="E114" s="73" t="s">
        <v>6454</v>
      </c>
      <c r="F114" s="2" t="s">
        <v>23</v>
      </c>
    </row>
    <row r="115" spans="1:6" ht="84">
      <c r="A115" s="81" t="s">
        <v>6448</v>
      </c>
      <c r="B115" s="81" t="s">
        <v>6584</v>
      </c>
      <c r="C115" s="92">
        <v>3</v>
      </c>
      <c r="D115" s="71" t="s">
        <v>6587</v>
      </c>
      <c r="E115" s="73" t="s">
        <v>6454</v>
      </c>
      <c r="F115" s="2" t="s">
        <v>23</v>
      </c>
    </row>
    <row r="116" spans="1:6" ht="84">
      <c r="A116" s="81" t="s">
        <v>6448</v>
      </c>
      <c r="B116" s="81" t="s">
        <v>6584</v>
      </c>
      <c r="C116" s="92">
        <v>4</v>
      </c>
      <c r="D116" s="71" t="s">
        <v>6588</v>
      </c>
      <c r="E116" s="73" t="s">
        <v>6454</v>
      </c>
      <c r="F116" s="2" t="s">
        <v>23</v>
      </c>
    </row>
    <row r="117" spans="1:6" ht="100.5">
      <c r="A117" s="81" t="s">
        <v>6448</v>
      </c>
      <c r="B117" s="81" t="s">
        <v>6589</v>
      </c>
      <c r="C117" s="92">
        <v>1</v>
      </c>
      <c r="D117" s="71" t="s">
        <v>6590</v>
      </c>
      <c r="E117" s="73" t="s">
        <v>6454</v>
      </c>
      <c r="F117" s="2" t="s">
        <v>117</v>
      </c>
    </row>
    <row r="118" spans="1:6" ht="100.5">
      <c r="A118" s="81" t="s">
        <v>6448</v>
      </c>
      <c r="B118" s="81" t="s">
        <v>6589</v>
      </c>
      <c r="C118" s="92">
        <v>2</v>
      </c>
      <c r="D118" s="71" t="s">
        <v>6591</v>
      </c>
      <c r="E118" s="73" t="s">
        <v>6454</v>
      </c>
      <c r="F118" s="2" t="s">
        <v>117</v>
      </c>
    </row>
    <row r="119" spans="1:6" ht="100.5">
      <c r="A119" s="81" t="s">
        <v>6448</v>
      </c>
      <c r="B119" s="81" t="s">
        <v>6589</v>
      </c>
      <c r="C119" s="92">
        <v>3</v>
      </c>
      <c r="D119" s="71" t="s">
        <v>6592</v>
      </c>
      <c r="E119" s="73" t="s">
        <v>6454</v>
      </c>
      <c r="F119" s="2" t="s">
        <v>117</v>
      </c>
    </row>
    <row r="120" spans="1:6" ht="100.5">
      <c r="A120" s="81" t="s">
        <v>6448</v>
      </c>
      <c r="B120" s="81" t="s">
        <v>6589</v>
      </c>
      <c r="C120" s="92">
        <v>4</v>
      </c>
      <c r="D120" s="71" t="s">
        <v>6593</v>
      </c>
      <c r="E120" s="73" t="s">
        <v>6454</v>
      </c>
      <c r="F120" s="2" t="s">
        <v>117</v>
      </c>
    </row>
    <row r="121" spans="1:6" ht="100.5">
      <c r="A121" s="81" t="s">
        <v>6448</v>
      </c>
      <c r="B121" s="81" t="s">
        <v>6589</v>
      </c>
      <c r="C121" s="92">
        <v>5</v>
      </c>
      <c r="D121" s="71" t="s">
        <v>6594</v>
      </c>
      <c r="E121" s="73" t="s">
        <v>6454</v>
      </c>
      <c r="F121" s="2" t="s">
        <v>23</v>
      </c>
    </row>
    <row r="122" spans="1:6" ht="66.75">
      <c r="A122" s="81" t="s">
        <v>6448</v>
      </c>
      <c r="B122" s="81" t="s">
        <v>6595</v>
      </c>
      <c r="C122" s="92">
        <v>1</v>
      </c>
      <c r="D122" s="71" t="s">
        <v>6596</v>
      </c>
      <c r="E122" s="73" t="s">
        <v>6454</v>
      </c>
      <c r="F122" s="2" t="s">
        <v>117</v>
      </c>
    </row>
    <row r="123" spans="1:6" ht="66.75">
      <c r="A123" s="81" t="s">
        <v>6448</v>
      </c>
      <c r="B123" s="81" t="s">
        <v>6595</v>
      </c>
      <c r="C123" s="92">
        <v>2</v>
      </c>
      <c r="D123" s="71" t="s">
        <v>6597</v>
      </c>
      <c r="E123" s="73" t="s">
        <v>6454</v>
      </c>
      <c r="F123" s="2" t="s">
        <v>23</v>
      </c>
    </row>
    <row r="124" spans="1:6" ht="66.75">
      <c r="A124" s="81" t="s">
        <v>6448</v>
      </c>
      <c r="B124" s="81" t="s">
        <v>6595</v>
      </c>
      <c r="C124" s="92">
        <v>3</v>
      </c>
      <c r="D124" s="71" t="s">
        <v>6598</v>
      </c>
      <c r="E124" s="73" t="s">
        <v>6454</v>
      </c>
      <c r="F124" s="2" t="s">
        <v>23</v>
      </c>
    </row>
    <row r="125" spans="1:6" ht="84">
      <c r="A125" s="81" t="s">
        <v>6448</v>
      </c>
      <c r="B125" s="81" t="s">
        <v>6599</v>
      </c>
      <c r="C125" s="92">
        <v>1</v>
      </c>
      <c r="D125" s="71" t="s">
        <v>6600</v>
      </c>
      <c r="E125" s="73" t="s">
        <v>6454</v>
      </c>
      <c r="F125" s="2" t="s">
        <v>117</v>
      </c>
    </row>
    <row r="126" spans="1:6" ht="84">
      <c r="A126" s="81" t="s">
        <v>6448</v>
      </c>
      <c r="B126" s="81" t="s">
        <v>6599</v>
      </c>
      <c r="C126" s="92">
        <v>2</v>
      </c>
      <c r="D126" s="71" t="s">
        <v>6601</v>
      </c>
      <c r="E126" s="73" t="s">
        <v>6454</v>
      </c>
      <c r="F126" s="2" t="s">
        <v>117</v>
      </c>
    </row>
    <row r="127" spans="1:6" ht="84">
      <c r="A127" s="81" t="s">
        <v>6448</v>
      </c>
      <c r="B127" s="81" t="s">
        <v>6599</v>
      </c>
      <c r="C127" s="92">
        <v>3</v>
      </c>
      <c r="D127" s="71" t="s">
        <v>6602</v>
      </c>
      <c r="E127" s="73" t="s">
        <v>6454</v>
      </c>
      <c r="F127" s="2" t="s">
        <v>23</v>
      </c>
    </row>
    <row r="128" spans="1:6" ht="84">
      <c r="A128" s="81" t="s">
        <v>6448</v>
      </c>
      <c r="B128" s="81" t="s">
        <v>6599</v>
      </c>
      <c r="C128" s="92">
        <v>4</v>
      </c>
      <c r="D128" s="71" t="s">
        <v>6603</v>
      </c>
      <c r="E128" s="73" t="s">
        <v>6451</v>
      </c>
      <c r="F128" s="2" t="s">
        <v>23</v>
      </c>
    </row>
    <row r="129" spans="1:6" ht="84">
      <c r="A129" s="81" t="s">
        <v>6448</v>
      </c>
      <c r="B129" s="81" t="s">
        <v>6599</v>
      </c>
      <c r="C129" s="92">
        <v>5</v>
      </c>
      <c r="D129" s="71" t="s">
        <v>6604</v>
      </c>
      <c r="E129" s="73" t="s">
        <v>6454</v>
      </c>
      <c r="F129" s="2" t="s">
        <v>117</v>
      </c>
    </row>
    <row r="130" spans="1:6" ht="84">
      <c r="A130" s="81" t="s">
        <v>6448</v>
      </c>
      <c r="B130" s="73" t="s">
        <v>6605</v>
      </c>
      <c r="C130" s="92">
        <v>1</v>
      </c>
      <c r="D130" s="68" t="s">
        <v>6606</v>
      </c>
      <c r="E130" s="166" t="s">
        <v>6607</v>
      </c>
    </row>
    <row r="131" spans="1:6" ht="84">
      <c r="A131" s="81" t="s">
        <v>6448</v>
      </c>
      <c r="B131" s="73" t="s">
        <v>6605</v>
      </c>
      <c r="C131" s="92">
        <v>2</v>
      </c>
      <c r="D131" s="68" t="s">
        <v>6608</v>
      </c>
      <c r="E131" s="166" t="s">
        <v>6607</v>
      </c>
    </row>
    <row r="132" spans="1:6" ht="84">
      <c r="A132" s="81" t="s">
        <v>6448</v>
      </c>
      <c r="B132" s="73" t="s">
        <v>6605</v>
      </c>
      <c r="C132" s="92">
        <v>3</v>
      </c>
      <c r="D132" s="68" t="s">
        <v>6609</v>
      </c>
      <c r="E132" s="166" t="s">
        <v>6607</v>
      </c>
    </row>
    <row r="133" spans="1:6" ht="84">
      <c r="A133" s="81" t="s">
        <v>6448</v>
      </c>
      <c r="B133" s="73" t="s">
        <v>6605</v>
      </c>
      <c r="C133" s="92">
        <v>4</v>
      </c>
      <c r="D133" s="68" t="s">
        <v>6610</v>
      </c>
      <c r="E133" s="166" t="s">
        <v>6607</v>
      </c>
    </row>
    <row r="134" spans="1:6" ht="84">
      <c r="A134" s="81" t="s">
        <v>6448</v>
      </c>
      <c r="B134" s="73" t="s">
        <v>6605</v>
      </c>
      <c r="C134" s="92">
        <v>5</v>
      </c>
      <c r="D134" s="68" t="s">
        <v>6611</v>
      </c>
      <c r="E134" s="166" t="s">
        <v>6607</v>
      </c>
    </row>
    <row r="135" spans="1:6" ht="50.25">
      <c r="A135" s="81" t="s">
        <v>5163</v>
      </c>
      <c r="B135" s="81" t="s">
        <v>6612</v>
      </c>
      <c r="C135" s="92">
        <v>1</v>
      </c>
      <c r="D135" s="68" t="s">
        <v>6613</v>
      </c>
      <c r="E135" s="73" t="s">
        <v>6454</v>
      </c>
      <c r="F135" s="2" t="s">
        <v>23</v>
      </c>
    </row>
    <row r="136" spans="1:6" ht="50.25">
      <c r="A136" s="81" t="s">
        <v>5163</v>
      </c>
      <c r="B136" s="81" t="s">
        <v>6612</v>
      </c>
      <c r="C136" s="92">
        <v>2</v>
      </c>
      <c r="D136" s="68" t="s">
        <v>6614</v>
      </c>
      <c r="E136" s="73" t="s">
        <v>6454</v>
      </c>
      <c r="F136" s="2" t="s">
        <v>117</v>
      </c>
    </row>
    <row r="137" spans="1:6" ht="50.25">
      <c r="A137" s="81" t="s">
        <v>5163</v>
      </c>
      <c r="B137" s="81" t="s">
        <v>6612</v>
      </c>
      <c r="C137" s="92">
        <v>3</v>
      </c>
      <c r="D137" s="68" t="s">
        <v>6615</v>
      </c>
      <c r="E137" s="73" t="s">
        <v>6454</v>
      </c>
      <c r="F137" s="2" t="s">
        <v>117</v>
      </c>
    </row>
    <row r="138" spans="1:6" ht="50.25">
      <c r="A138" s="81" t="s">
        <v>5163</v>
      </c>
      <c r="B138" s="81" t="s">
        <v>6612</v>
      </c>
      <c r="C138" s="92">
        <v>4</v>
      </c>
      <c r="D138" s="68" t="s">
        <v>6616</v>
      </c>
      <c r="E138" s="73" t="s">
        <v>6454</v>
      </c>
      <c r="F138" s="2" t="s">
        <v>23</v>
      </c>
    </row>
    <row r="139" spans="1:6" ht="50.25">
      <c r="A139" s="81" t="s">
        <v>5163</v>
      </c>
      <c r="B139" s="81" t="s">
        <v>6612</v>
      </c>
      <c r="C139" s="92">
        <v>5</v>
      </c>
      <c r="D139" s="72" t="s">
        <v>6617</v>
      </c>
      <c r="E139" s="73" t="s">
        <v>6451</v>
      </c>
      <c r="F139" s="2" t="s">
        <v>23</v>
      </c>
    </row>
    <row r="140" spans="1:6" ht="50.25">
      <c r="A140" s="81" t="s">
        <v>5163</v>
      </c>
      <c r="B140" s="81" t="s">
        <v>6612</v>
      </c>
      <c r="C140" s="92">
        <v>6</v>
      </c>
      <c r="D140" s="75" t="s">
        <v>6618</v>
      </c>
      <c r="E140" s="73" t="s">
        <v>6451</v>
      </c>
      <c r="F140" s="2" t="s">
        <v>23</v>
      </c>
    </row>
    <row r="141" spans="1:6" ht="50.25">
      <c r="A141" s="81" t="s">
        <v>5163</v>
      </c>
      <c r="B141" s="81" t="s">
        <v>6619</v>
      </c>
      <c r="C141" s="92">
        <v>1</v>
      </c>
      <c r="D141" s="68" t="s">
        <v>6620</v>
      </c>
      <c r="E141" s="73" t="s">
        <v>6451</v>
      </c>
      <c r="F141" s="2" t="s">
        <v>23</v>
      </c>
    </row>
    <row r="142" spans="1:6" ht="50.25">
      <c r="A142" s="81" t="s">
        <v>5163</v>
      </c>
      <c r="B142" s="81" t="s">
        <v>6619</v>
      </c>
      <c r="C142" s="92">
        <v>2</v>
      </c>
      <c r="D142" s="68" t="s">
        <v>6621</v>
      </c>
      <c r="E142" s="73" t="s">
        <v>6454</v>
      </c>
      <c r="F142" s="2" t="s">
        <v>117</v>
      </c>
    </row>
    <row r="143" spans="1:6" ht="50.25">
      <c r="A143" s="81" t="s">
        <v>5163</v>
      </c>
      <c r="B143" s="81" t="s">
        <v>6619</v>
      </c>
      <c r="C143" s="92">
        <v>3</v>
      </c>
      <c r="D143" s="72" t="s">
        <v>6622</v>
      </c>
      <c r="E143" s="73" t="s">
        <v>6454</v>
      </c>
      <c r="F143" s="2" t="s">
        <v>23</v>
      </c>
    </row>
    <row r="144" spans="1:6" ht="50.25">
      <c r="A144" s="81" t="s">
        <v>5163</v>
      </c>
      <c r="B144" s="81" t="s">
        <v>6619</v>
      </c>
      <c r="C144" s="92">
        <v>4</v>
      </c>
      <c r="D144" s="72" t="s">
        <v>6623</v>
      </c>
      <c r="E144" s="73" t="s">
        <v>6454</v>
      </c>
      <c r="F144" s="2" t="s">
        <v>23</v>
      </c>
    </row>
    <row r="145" spans="1:6" ht="50.25">
      <c r="A145" s="81" t="s">
        <v>5163</v>
      </c>
      <c r="B145" s="81" t="s">
        <v>6619</v>
      </c>
      <c r="C145" s="92">
        <v>5</v>
      </c>
      <c r="D145" s="68" t="s">
        <v>6624</v>
      </c>
      <c r="E145" s="73" t="s">
        <v>6454</v>
      </c>
      <c r="F145" s="2" t="s">
        <v>23</v>
      </c>
    </row>
    <row r="146" spans="1:6" ht="66.75">
      <c r="A146" s="81" t="s">
        <v>5163</v>
      </c>
      <c r="B146" s="81" t="s">
        <v>6625</v>
      </c>
      <c r="C146" s="92">
        <v>1</v>
      </c>
      <c r="D146" s="68" t="s">
        <v>6626</v>
      </c>
      <c r="E146" s="73" t="s">
        <v>6451</v>
      </c>
      <c r="F146" s="2" t="s">
        <v>23</v>
      </c>
    </row>
    <row r="147" spans="1:6" ht="66.75">
      <c r="A147" s="81" t="s">
        <v>5163</v>
      </c>
      <c r="B147" s="81" t="s">
        <v>6625</v>
      </c>
      <c r="C147" s="92">
        <v>2</v>
      </c>
      <c r="D147" s="72" t="s">
        <v>6627</v>
      </c>
      <c r="E147" s="73" t="s">
        <v>6454</v>
      </c>
      <c r="F147" s="2" t="s">
        <v>23</v>
      </c>
    </row>
    <row r="148" spans="1:6" ht="66.75">
      <c r="A148" s="81" t="s">
        <v>5163</v>
      </c>
      <c r="B148" s="81" t="s">
        <v>6625</v>
      </c>
      <c r="C148" s="92">
        <v>3</v>
      </c>
      <c r="D148" s="68" t="s">
        <v>6628</v>
      </c>
      <c r="E148" s="73" t="s">
        <v>6454</v>
      </c>
      <c r="F148" s="2" t="s">
        <v>23</v>
      </c>
    </row>
    <row r="149" spans="1:6" ht="66.75">
      <c r="A149" s="81" t="s">
        <v>5163</v>
      </c>
      <c r="B149" s="81" t="s">
        <v>6625</v>
      </c>
      <c r="C149" s="92">
        <v>4</v>
      </c>
      <c r="D149" s="68" t="s">
        <v>6629</v>
      </c>
      <c r="E149" s="73" t="s">
        <v>6454</v>
      </c>
      <c r="F149" s="2" t="s">
        <v>23</v>
      </c>
    </row>
    <row r="150" spans="1:6" ht="66.75">
      <c r="A150" s="81" t="s">
        <v>5163</v>
      </c>
      <c r="B150" s="81" t="s">
        <v>6625</v>
      </c>
      <c r="C150" s="92">
        <v>5</v>
      </c>
      <c r="D150" s="72" t="s">
        <v>6630</v>
      </c>
      <c r="E150" s="73" t="s">
        <v>6451</v>
      </c>
      <c r="F150" s="2" t="s">
        <v>23</v>
      </c>
    </row>
    <row r="151" spans="1:6" ht="66.75">
      <c r="A151" s="81" t="s">
        <v>5163</v>
      </c>
      <c r="B151" s="81" t="s">
        <v>6631</v>
      </c>
      <c r="C151" s="92">
        <v>1</v>
      </c>
      <c r="D151" s="68" t="s">
        <v>6632</v>
      </c>
      <c r="E151" s="73" t="s">
        <v>6451</v>
      </c>
      <c r="F151" s="2" t="s">
        <v>23</v>
      </c>
    </row>
    <row r="152" spans="1:6" ht="66.75">
      <c r="A152" s="81" t="s">
        <v>5163</v>
      </c>
      <c r="B152" s="81" t="s">
        <v>6631</v>
      </c>
      <c r="C152" s="92">
        <v>2</v>
      </c>
      <c r="D152" s="68" t="s">
        <v>6633</v>
      </c>
      <c r="E152" s="73" t="s">
        <v>6451</v>
      </c>
      <c r="F152" s="2" t="s">
        <v>23</v>
      </c>
    </row>
    <row r="153" spans="1:6" ht="66.75">
      <c r="A153" s="81" t="s">
        <v>5163</v>
      </c>
      <c r="B153" s="81" t="s">
        <v>6631</v>
      </c>
      <c r="C153" s="92">
        <v>3</v>
      </c>
      <c r="D153" s="68" t="s">
        <v>6634</v>
      </c>
      <c r="E153" s="73" t="s">
        <v>6451</v>
      </c>
      <c r="F153" s="2" t="s">
        <v>23</v>
      </c>
    </row>
    <row r="154" spans="1:6" ht="100.5">
      <c r="A154" s="81" t="s">
        <v>5163</v>
      </c>
      <c r="B154" s="81" t="s">
        <v>6635</v>
      </c>
      <c r="C154" s="92">
        <v>1</v>
      </c>
      <c r="D154" s="68" t="s">
        <v>6636</v>
      </c>
      <c r="E154" s="73" t="s">
        <v>6454</v>
      </c>
      <c r="F154" s="2" t="s">
        <v>23</v>
      </c>
    </row>
    <row r="155" spans="1:6" ht="100.5">
      <c r="A155" s="81" t="s">
        <v>5163</v>
      </c>
      <c r="B155" s="81" t="s">
        <v>6635</v>
      </c>
      <c r="C155" s="92">
        <v>2</v>
      </c>
      <c r="D155" s="68" t="s">
        <v>6637</v>
      </c>
      <c r="E155" s="73" t="s">
        <v>6454</v>
      </c>
      <c r="F155" s="2" t="s">
        <v>117</v>
      </c>
    </row>
    <row r="156" spans="1:6" ht="150.75">
      <c r="A156" s="81" t="s">
        <v>5163</v>
      </c>
      <c r="B156" s="81" t="s">
        <v>6635</v>
      </c>
      <c r="C156" s="92">
        <v>3</v>
      </c>
      <c r="D156" s="68" t="s">
        <v>6638</v>
      </c>
      <c r="E156" s="73" t="s">
        <v>6454</v>
      </c>
      <c r="F156" s="2" t="s">
        <v>117</v>
      </c>
    </row>
    <row r="157" spans="1:6" ht="66.75">
      <c r="A157" s="81" t="s">
        <v>5163</v>
      </c>
      <c r="B157" s="81" t="s">
        <v>6635</v>
      </c>
      <c r="C157" s="92">
        <v>4</v>
      </c>
      <c r="D157" s="68" t="s">
        <v>6639</v>
      </c>
      <c r="E157" s="73" t="s">
        <v>6454</v>
      </c>
      <c r="F157" s="2" t="s">
        <v>117</v>
      </c>
    </row>
    <row r="158" spans="1:6" ht="50.25">
      <c r="A158" s="81" t="s">
        <v>5163</v>
      </c>
      <c r="B158" s="81" t="s">
        <v>6640</v>
      </c>
      <c r="C158" s="92">
        <v>1</v>
      </c>
      <c r="D158" s="68" t="s">
        <v>6641</v>
      </c>
      <c r="E158" s="73" t="s">
        <v>6454</v>
      </c>
      <c r="F158" s="2" t="s">
        <v>23</v>
      </c>
    </row>
    <row r="159" spans="1:6" ht="84">
      <c r="A159" s="81" t="s">
        <v>5163</v>
      </c>
      <c r="B159" s="81" t="s">
        <v>6640</v>
      </c>
      <c r="C159" s="92">
        <v>2</v>
      </c>
      <c r="D159" s="68" t="s">
        <v>6642</v>
      </c>
      <c r="E159" s="73" t="s">
        <v>6454</v>
      </c>
      <c r="F159" s="2" t="s">
        <v>23</v>
      </c>
    </row>
    <row r="160" spans="1:6" ht="50.25">
      <c r="A160" s="81" t="s">
        <v>5163</v>
      </c>
      <c r="B160" s="81" t="s">
        <v>6640</v>
      </c>
      <c r="C160" s="92">
        <v>3</v>
      </c>
      <c r="D160" s="68" t="s">
        <v>6643</v>
      </c>
      <c r="E160" s="73" t="s">
        <v>6454</v>
      </c>
      <c r="F160" s="2" t="s">
        <v>23</v>
      </c>
    </row>
    <row r="161" spans="1:6" ht="50.25">
      <c r="A161" s="81" t="s">
        <v>5163</v>
      </c>
      <c r="B161" s="81" t="s">
        <v>6640</v>
      </c>
      <c r="C161" s="92">
        <v>4</v>
      </c>
      <c r="D161" s="68" t="s">
        <v>6644</v>
      </c>
      <c r="E161" s="73" t="s">
        <v>6454</v>
      </c>
      <c r="F161" s="2" t="s">
        <v>23</v>
      </c>
    </row>
    <row r="162" spans="1:6" ht="100.5">
      <c r="A162" s="81" t="s">
        <v>5163</v>
      </c>
      <c r="B162" s="81" t="s">
        <v>6645</v>
      </c>
      <c r="C162" s="92">
        <v>1</v>
      </c>
      <c r="D162" s="68" t="s">
        <v>6646</v>
      </c>
      <c r="E162" s="73" t="s">
        <v>6454</v>
      </c>
      <c r="F162" s="2" t="s">
        <v>23</v>
      </c>
    </row>
    <row r="163" spans="1:6" ht="100.5">
      <c r="A163" s="81" t="s">
        <v>5163</v>
      </c>
      <c r="B163" s="81" t="s">
        <v>6645</v>
      </c>
      <c r="C163" s="92">
        <v>2</v>
      </c>
      <c r="D163" s="68" t="s">
        <v>6647</v>
      </c>
      <c r="E163" s="73" t="s">
        <v>6454</v>
      </c>
      <c r="F163" s="2" t="s">
        <v>23</v>
      </c>
    </row>
    <row r="164" spans="1:6" ht="100.5">
      <c r="A164" s="81" t="s">
        <v>5163</v>
      </c>
      <c r="B164" s="81" t="s">
        <v>6645</v>
      </c>
      <c r="C164" s="92">
        <v>3</v>
      </c>
      <c r="D164" s="68" t="s">
        <v>6648</v>
      </c>
      <c r="E164" s="73" t="s">
        <v>6454</v>
      </c>
      <c r="F164" s="2" t="s">
        <v>23</v>
      </c>
    </row>
    <row r="165" spans="1:6" ht="100.5">
      <c r="A165" s="81" t="s">
        <v>5163</v>
      </c>
      <c r="B165" s="81" t="s">
        <v>6645</v>
      </c>
      <c r="C165" s="92">
        <v>4</v>
      </c>
      <c r="D165" s="68" t="s">
        <v>6649</v>
      </c>
      <c r="E165" s="73" t="s">
        <v>6454</v>
      </c>
      <c r="F165" s="2" t="s">
        <v>23</v>
      </c>
    </row>
    <row r="166" spans="1:6" ht="100.5">
      <c r="A166" s="81" t="s">
        <v>5163</v>
      </c>
      <c r="B166" s="81" t="s">
        <v>6645</v>
      </c>
      <c r="C166" s="92">
        <v>5</v>
      </c>
      <c r="D166" s="68" t="s">
        <v>6650</v>
      </c>
      <c r="E166" s="73" t="s">
        <v>6454</v>
      </c>
      <c r="F166" s="2" t="s">
        <v>23</v>
      </c>
    </row>
    <row r="167" spans="1:6" ht="100.5">
      <c r="A167" s="81" t="s">
        <v>5163</v>
      </c>
      <c r="B167" s="81" t="s">
        <v>6645</v>
      </c>
      <c r="C167" s="92">
        <v>6</v>
      </c>
      <c r="D167" s="68" t="s">
        <v>6651</v>
      </c>
      <c r="E167" s="73" t="s">
        <v>6451</v>
      </c>
      <c r="F167" s="2" t="s">
        <v>23</v>
      </c>
    </row>
    <row r="168" spans="1:6" ht="66.75">
      <c r="A168" s="81" t="s">
        <v>5163</v>
      </c>
      <c r="B168" s="81" t="s">
        <v>6652</v>
      </c>
      <c r="C168" s="92">
        <v>1</v>
      </c>
      <c r="D168" s="68" t="s">
        <v>6653</v>
      </c>
      <c r="E168" s="73" t="s">
        <v>6454</v>
      </c>
      <c r="F168" s="2" t="s">
        <v>23</v>
      </c>
    </row>
    <row r="169" spans="1:6" ht="66.75">
      <c r="A169" s="81" t="s">
        <v>5163</v>
      </c>
      <c r="B169" s="81" t="s">
        <v>6652</v>
      </c>
      <c r="C169" s="92">
        <v>2</v>
      </c>
      <c r="D169" s="75" t="s">
        <v>6654</v>
      </c>
      <c r="E169" s="73" t="s">
        <v>6454</v>
      </c>
      <c r="F169" s="2" t="s">
        <v>117</v>
      </c>
    </row>
    <row r="170" spans="1:6" ht="66.75">
      <c r="A170" s="81" t="s">
        <v>5163</v>
      </c>
      <c r="B170" s="81" t="s">
        <v>6652</v>
      </c>
      <c r="C170" s="92">
        <v>3</v>
      </c>
      <c r="D170" s="68" t="s">
        <v>6655</v>
      </c>
      <c r="E170" s="73" t="s">
        <v>6454</v>
      </c>
      <c r="F170" s="2" t="s">
        <v>23</v>
      </c>
    </row>
    <row r="171" spans="1:6" ht="66.75">
      <c r="A171" s="81" t="s">
        <v>5163</v>
      </c>
      <c r="B171" s="81" t="s">
        <v>6652</v>
      </c>
      <c r="C171" s="92">
        <v>4</v>
      </c>
      <c r="D171" s="68" t="s">
        <v>6656</v>
      </c>
      <c r="E171" s="73" t="s">
        <v>6454</v>
      </c>
      <c r="F171" s="2" t="s">
        <v>117</v>
      </c>
    </row>
    <row r="172" spans="1:6" ht="84">
      <c r="A172" s="81" t="s">
        <v>5163</v>
      </c>
      <c r="B172" s="81" t="s">
        <v>6657</v>
      </c>
      <c r="C172" s="92">
        <v>1</v>
      </c>
      <c r="D172" s="68" t="s">
        <v>6658</v>
      </c>
      <c r="E172" s="73" t="s">
        <v>6454</v>
      </c>
      <c r="F172" s="2" t="s">
        <v>23</v>
      </c>
    </row>
    <row r="173" spans="1:6" ht="84">
      <c r="A173" s="81" t="s">
        <v>5163</v>
      </c>
      <c r="B173" s="81" t="s">
        <v>6657</v>
      </c>
      <c r="C173" s="92">
        <v>2</v>
      </c>
      <c r="D173" s="68" t="s">
        <v>6659</v>
      </c>
      <c r="E173" s="73" t="s">
        <v>6451</v>
      </c>
      <c r="F173" s="2" t="s">
        <v>23</v>
      </c>
    </row>
    <row r="174" spans="1:6" ht="117">
      <c r="A174" s="81" t="s">
        <v>5163</v>
      </c>
      <c r="B174" s="81" t="s">
        <v>6657</v>
      </c>
      <c r="C174" s="92">
        <v>3</v>
      </c>
      <c r="D174" s="68" t="s">
        <v>6660</v>
      </c>
      <c r="E174" s="73" t="s">
        <v>6451</v>
      </c>
      <c r="F174" s="2" t="s">
        <v>117</v>
      </c>
    </row>
    <row r="175" spans="1:6" ht="84">
      <c r="A175" s="81" t="s">
        <v>5163</v>
      </c>
      <c r="B175" s="81" t="s">
        <v>6657</v>
      </c>
      <c r="C175" s="92">
        <v>4</v>
      </c>
      <c r="D175" s="68" t="s">
        <v>6661</v>
      </c>
      <c r="E175" s="73" t="s">
        <v>6451</v>
      </c>
      <c r="F175" s="2" t="s">
        <v>23</v>
      </c>
    </row>
    <row r="176" spans="1:6" ht="84">
      <c r="A176" s="81" t="s">
        <v>5163</v>
      </c>
      <c r="B176" s="81" t="s">
        <v>6657</v>
      </c>
      <c r="C176" s="92">
        <v>5</v>
      </c>
      <c r="D176" s="68" t="s">
        <v>6662</v>
      </c>
      <c r="E176" s="73" t="s">
        <v>6454</v>
      </c>
      <c r="F176" s="2" t="s">
        <v>23</v>
      </c>
    </row>
    <row r="177" spans="1:6" ht="267.75">
      <c r="A177" s="81" t="s">
        <v>5163</v>
      </c>
      <c r="B177" s="81" t="s">
        <v>6663</v>
      </c>
      <c r="C177" s="92">
        <v>1</v>
      </c>
      <c r="D177" s="68" t="s">
        <v>6664</v>
      </c>
      <c r="E177" s="73" t="s">
        <v>6451</v>
      </c>
      <c r="F177" s="2" t="s">
        <v>117</v>
      </c>
    </row>
    <row r="178" spans="1:6" ht="100.5">
      <c r="A178" s="81" t="s">
        <v>5163</v>
      </c>
      <c r="B178" s="81" t="s">
        <v>6663</v>
      </c>
      <c r="C178" s="92">
        <v>2</v>
      </c>
      <c r="D178" s="68" t="s">
        <v>6665</v>
      </c>
      <c r="E178" s="73" t="s">
        <v>6451</v>
      </c>
      <c r="F178" s="2" t="s">
        <v>117</v>
      </c>
    </row>
    <row r="179" spans="1:6" ht="100.5">
      <c r="A179" s="81" t="s">
        <v>5163</v>
      </c>
      <c r="B179" s="81" t="s">
        <v>6663</v>
      </c>
      <c r="C179" s="92">
        <v>3</v>
      </c>
      <c r="D179" s="68" t="s">
        <v>6666</v>
      </c>
      <c r="E179" s="73" t="s">
        <v>6451</v>
      </c>
      <c r="F179" s="2" t="s">
        <v>23</v>
      </c>
    </row>
    <row r="180" spans="1:6" ht="100.5">
      <c r="A180" s="81" t="s">
        <v>5163</v>
      </c>
      <c r="B180" s="81" t="s">
        <v>6663</v>
      </c>
      <c r="C180" s="92">
        <v>4</v>
      </c>
      <c r="D180" s="68" t="s">
        <v>6667</v>
      </c>
      <c r="E180" s="73" t="s">
        <v>6451</v>
      </c>
      <c r="F180" s="2" t="s">
        <v>23</v>
      </c>
    </row>
    <row r="181" spans="1:6" ht="84">
      <c r="A181" s="81" t="s">
        <v>5163</v>
      </c>
      <c r="B181" s="81" t="s">
        <v>6668</v>
      </c>
      <c r="C181" s="92">
        <v>1</v>
      </c>
      <c r="D181" s="68" t="s">
        <v>6669</v>
      </c>
      <c r="E181" s="73" t="s">
        <v>6451</v>
      </c>
      <c r="F181" s="2" t="s">
        <v>23</v>
      </c>
    </row>
    <row r="182" spans="1:6" ht="84">
      <c r="A182" s="81" t="s">
        <v>5163</v>
      </c>
      <c r="B182" s="81" t="s">
        <v>6668</v>
      </c>
      <c r="C182" s="92">
        <v>2</v>
      </c>
      <c r="D182" s="68" t="s">
        <v>6670</v>
      </c>
      <c r="E182" s="73" t="s">
        <v>6451</v>
      </c>
      <c r="F182" s="2" t="s">
        <v>23</v>
      </c>
    </row>
    <row r="183" spans="1:6" ht="84">
      <c r="A183" s="81" t="s">
        <v>5163</v>
      </c>
      <c r="B183" s="81" t="s">
        <v>6668</v>
      </c>
      <c r="C183" s="92">
        <v>3</v>
      </c>
      <c r="D183" s="68" t="s">
        <v>6671</v>
      </c>
      <c r="E183" s="73" t="s">
        <v>6451</v>
      </c>
      <c r="F183" s="2" t="s">
        <v>23</v>
      </c>
    </row>
    <row r="184" spans="1:6" ht="84">
      <c r="A184" s="81" t="s">
        <v>5163</v>
      </c>
      <c r="B184" s="81" t="s">
        <v>6668</v>
      </c>
      <c r="C184" s="92">
        <v>4</v>
      </c>
      <c r="D184" s="68" t="s">
        <v>6672</v>
      </c>
      <c r="E184" s="73" t="s">
        <v>6454</v>
      </c>
      <c r="F184" s="2" t="s">
        <v>23</v>
      </c>
    </row>
    <row r="185" spans="1:6" ht="134.25">
      <c r="A185" s="81" t="s">
        <v>5163</v>
      </c>
      <c r="B185" s="81" t="s">
        <v>6673</v>
      </c>
      <c r="C185" s="92">
        <v>1</v>
      </c>
      <c r="D185" s="68" t="s">
        <v>6674</v>
      </c>
      <c r="E185" s="73" t="s">
        <v>6451</v>
      </c>
      <c r="F185" s="2" t="s">
        <v>23</v>
      </c>
    </row>
    <row r="186" spans="1:6" ht="66.75">
      <c r="A186" s="81" t="s">
        <v>5163</v>
      </c>
      <c r="B186" s="81" t="s">
        <v>6673</v>
      </c>
      <c r="C186" s="92">
        <v>2</v>
      </c>
      <c r="D186" s="68" t="s">
        <v>6675</v>
      </c>
      <c r="E186" s="73" t="s">
        <v>6454</v>
      </c>
      <c r="F186" s="2" t="s">
        <v>23</v>
      </c>
    </row>
    <row r="187" spans="1:6" ht="66.75">
      <c r="A187" s="81" t="s">
        <v>5163</v>
      </c>
      <c r="B187" s="81" t="s">
        <v>6673</v>
      </c>
      <c r="C187" s="92">
        <v>3</v>
      </c>
      <c r="D187" s="68" t="s">
        <v>6676</v>
      </c>
      <c r="E187" s="73" t="s">
        <v>6451</v>
      </c>
      <c r="F187" s="2" t="s">
        <v>23</v>
      </c>
    </row>
    <row r="188" spans="1:6" ht="84">
      <c r="A188" s="73" t="s">
        <v>6677</v>
      </c>
      <c r="B188" s="73" t="s">
        <v>6678</v>
      </c>
      <c r="C188" s="93">
        <v>1</v>
      </c>
      <c r="D188" s="73" t="s">
        <v>6679</v>
      </c>
      <c r="E188" s="89" t="s">
        <v>6454</v>
      </c>
      <c r="F188" s="2" t="s">
        <v>23</v>
      </c>
    </row>
    <row r="189" spans="1:6" ht="84">
      <c r="A189" s="73" t="s">
        <v>6677</v>
      </c>
      <c r="B189" s="73" t="s">
        <v>6678</v>
      </c>
      <c r="C189" s="93">
        <v>2</v>
      </c>
      <c r="D189" s="73" t="s">
        <v>6680</v>
      </c>
      <c r="E189" s="89" t="s">
        <v>6454</v>
      </c>
      <c r="F189" s="2" t="s">
        <v>23</v>
      </c>
    </row>
    <row r="190" spans="1:6" ht="84">
      <c r="A190" s="73" t="s">
        <v>6677</v>
      </c>
      <c r="B190" s="73" t="s">
        <v>6678</v>
      </c>
      <c r="C190" s="93">
        <v>3</v>
      </c>
      <c r="D190" s="73" t="s">
        <v>6681</v>
      </c>
      <c r="E190" s="89" t="s">
        <v>6454</v>
      </c>
      <c r="F190" s="2" t="s">
        <v>23</v>
      </c>
    </row>
    <row r="191" spans="1:6" ht="134.25">
      <c r="A191" s="73" t="s">
        <v>6677</v>
      </c>
      <c r="B191" s="73" t="s">
        <v>6678</v>
      </c>
      <c r="C191" s="93">
        <v>4</v>
      </c>
      <c r="D191" s="73" t="s">
        <v>6682</v>
      </c>
      <c r="E191" s="89" t="s">
        <v>6454</v>
      </c>
      <c r="F191" s="2" t="s">
        <v>23</v>
      </c>
    </row>
    <row r="192" spans="1:6" ht="117">
      <c r="A192" s="73" t="s">
        <v>6677</v>
      </c>
      <c r="B192" s="73" t="s">
        <v>6678</v>
      </c>
      <c r="C192" s="93">
        <v>5</v>
      </c>
      <c r="D192" s="73" t="s">
        <v>6683</v>
      </c>
      <c r="E192" s="89" t="s">
        <v>6454</v>
      </c>
      <c r="F192" s="2" t="s">
        <v>23</v>
      </c>
    </row>
    <row r="193" spans="1:6" ht="267.75">
      <c r="A193" s="73" t="s">
        <v>6677</v>
      </c>
      <c r="B193" s="73" t="s">
        <v>6678</v>
      </c>
      <c r="C193" s="93">
        <v>6</v>
      </c>
      <c r="D193" s="73" t="s">
        <v>6684</v>
      </c>
      <c r="E193" s="89" t="s">
        <v>6454</v>
      </c>
      <c r="F193" s="2" t="s">
        <v>117</v>
      </c>
    </row>
    <row r="194" spans="1:6" ht="50.25">
      <c r="A194" s="73" t="s">
        <v>6677</v>
      </c>
      <c r="B194" s="73" t="s">
        <v>6685</v>
      </c>
      <c r="C194" s="93">
        <v>1</v>
      </c>
      <c r="D194" s="73" t="s">
        <v>6686</v>
      </c>
      <c r="E194" s="89" t="s">
        <v>6687</v>
      </c>
      <c r="F194" s="2" t="s">
        <v>117</v>
      </c>
    </row>
    <row r="195" spans="1:6" ht="250.5">
      <c r="A195" s="73" t="s">
        <v>6677</v>
      </c>
      <c r="B195" s="73" t="s">
        <v>6685</v>
      </c>
      <c r="C195" s="93">
        <v>2</v>
      </c>
      <c r="D195" s="73" t="s">
        <v>6688</v>
      </c>
      <c r="E195" s="89" t="s">
        <v>6687</v>
      </c>
      <c r="F195" s="2" t="s">
        <v>117</v>
      </c>
    </row>
    <row r="196" spans="1:6" ht="150.75">
      <c r="A196" s="73" t="s">
        <v>6677</v>
      </c>
      <c r="B196" s="73" t="s">
        <v>6689</v>
      </c>
      <c r="C196" s="93">
        <v>1</v>
      </c>
      <c r="D196" s="73" t="s">
        <v>6690</v>
      </c>
      <c r="E196" s="89" t="s">
        <v>6454</v>
      </c>
      <c r="F196" s="2" t="s">
        <v>23</v>
      </c>
    </row>
    <row r="197" spans="1:6" ht="168">
      <c r="A197" s="73" t="s">
        <v>6677</v>
      </c>
      <c r="B197" s="73" t="s">
        <v>6689</v>
      </c>
      <c r="C197" s="93">
        <v>2</v>
      </c>
      <c r="D197" s="73" t="s">
        <v>6691</v>
      </c>
      <c r="E197" s="89" t="s">
        <v>6454</v>
      </c>
      <c r="F197" s="2" t="s">
        <v>23</v>
      </c>
    </row>
    <row r="198" spans="1:6" ht="66.75">
      <c r="A198" s="73" t="s">
        <v>6677</v>
      </c>
      <c r="B198" s="73" t="s">
        <v>6689</v>
      </c>
      <c r="C198" s="93">
        <v>3</v>
      </c>
      <c r="D198" s="73" t="s">
        <v>6692</v>
      </c>
      <c r="E198" s="89" t="s">
        <v>6454</v>
      </c>
      <c r="F198" s="2" t="s">
        <v>117</v>
      </c>
    </row>
    <row r="199" spans="1:6" ht="216.75">
      <c r="A199" s="73" t="s">
        <v>6677</v>
      </c>
      <c r="B199" s="73" t="s">
        <v>6693</v>
      </c>
      <c r="C199" s="93">
        <v>1</v>
      </c>
      <c r="D199" s="73" t="s">
        <v>6694</v>
      </c>
      <c r="E199" s="89" t="s">
        <v>6454</v>
      </c>
      <c r="F199" s="2" t="s">
        <v>23</v>
      </c>
    </row>
    <row r="200" spans="1:6" ht="66.75">
      <c r="A200" s="73" t="s">
        <v>6677</v>
      </c>
      <c r="B200" s="73" t="s">
        <v>6693</v>
      </c>
      <c r="C200" s="93">
        <v>2</v>
      </c>
      <c r="D200" s="73" t="s">
        <v>6695</v>
      </c>
      <c r="E200" s="89" t="s">
        <v>6454</v>
      </c>
      <c r="F200" s="2" t="s">
        <v>23</v>
      </c>
    </row>
    <row r="201" spans="1:6" ht="66.75">
      <c r="A201" s="73" t="s">
        <v>6677</v>
      </c>
      <c r="B201" s="73" t="s">
        <v>6693</v>
      </c>
      <c r="C201" s="93">
        <v>3</v>
      </c>
      <c r="D201" s="73" t="s">
        <v>6696</v>
      </c>
      <c r="E201" s="89" t="s">
        <v>6454</v>
      </c>
      <c r="F201" s="2" t="s">
        <v>23</v>
      </c>
    </row>
    <row r="202" spans="1:6" ht="66.75">
      <c r="A202" s="73" t="s">
        <v>6677</v>
      </c>
      <c r="B202" s="73" t="s">
        <v>6693</v>
      </c>
      <c r="C202" s="93">
        <v>4</v>
      </c>
      <c r="D202" s="73" t="s">
        <v>6697</v>
      </c>
      <c r="E202" s="89" t="s">
        <v>6454</v>
      </c>
      <c r="F202" s="2" t="s">
        <v>23</v>
      </c>
    </row>
    <row r="203" spans="1:6" ht="84">
      <c r="A203" s="73" t="s">
        <v>6677</v>
      </c>
      <c r="B203" s="73" t="s">
        <v>6693</v>
      </c>
      <c r="C203" s="93">
        <v>5</v>
      </c>
      <c r="D203" s="73" t="s">
        <v>6698</v>
      </c>
      <c r="E203" s="89" t="s">
        <v>6454</v>
      </c>
      <c r="F203" s="2" t="s">
        <v>117</v>
      </c>
    </row>
    <row r="204" spans="1:6" ht="66.75">
      <c r="A204" s="73" t="s">
        <v>6677</v>
      </c>
      <c r="B204" s="73" t="s">
        <v>6693</v>
      </c>
      <c r="C204" s="93">
        <v>1</v>
      </c>
      <c r="D204" s="73" t="s">
        <v>6699</v>
      </c>
      <c r="E204" s="89" t="s">
        <v>6454</v>
      </c>
      <c r="F204" s="2" t="s">
        <v>23</v>
      </c>
    </row>
    <row r="205" spans="1:6" ht="66.75">
      <c r="A205" s="73" t="s">
        <v>6677</v>
      </c>
      <c r="B205" s="73" t="s">
        <v>6693</v>
      </c>
      <c r="C205" s="93">
        <v>2</v>
      </c>
      <c r="D205" s="73" t="s">
        <v>6700</v>
      </c>
      <c r="E205" s="89" t="s">
        <v>6454</v>
      </c>
      <c r="F205" s="2" t="s">
        <v>23</v>
      </c>
    </row>
    <row r="206" spans="1:6" ht="66.75">
      <c r="A206" s="73" t="s">
        <v>6677</v>
      </c>
      <c r="B206" s="73" t="s">
        <v>6693</v>
      </c>
      <c r="C206" s="93">
        <v>3</v>
      </c>
      <c r="D206" s="73" t="s">
        <v>6701</v>
      </c>
      <c r="E206" s="89" t="s">
        <v>6454</v>
      </c>
      <c r="F206" s="2" t="s">
        <v>23</v>
      </c>
    </row>
    <row r="207" spans="1:6" ht="168">
      <c r="A207" s="73" t="s">
        <v>6677</v>
      </c>
      <c r="B207" s="73" t="s">
        <v>6702</v>
      </c>
      <c r="C207" s="93">
        <v>1</v>
      </c>
      <c r="D207" s="73" t="s">
        <v>6703</v>
      </c>
      <c r="E207" s="89" t="s">
        <v>6687</v>
      </c>
      <c r="F207" s="2" t="s">
        <v>23</v>
      </c>
    </row>
    <row r="208" spans="1:6" ht="50.25">
      <c r="A208" s="73" t="s">
        <v>6677</v>
      </c>
      <c r="B208" s="73" t="s">
        <v>6702</v>
      </c>
      <c r="C208" s="93">
        <v>2</v>
      </c>
      <c r="D208" s="73" t="s">
        <v>6704</v>
      </c>
      <c r="E208" s="89" t="s">
        <v>6687</v>
      </c>
      <c r="F208" s="2" t="s">
        <v>23</v>
      </c>
    </row>
    <row r="209" spans="1:6" ht="50.25">
      <c r="A209" s="73" t="s">
        <v>6677</v>
      </c>
      <c r="B209" s="73" t="s">
        <v>6702</v>
      </c>
      <c r="C209" s="93">
        <v>3</v>
      </c>
      <c r="D209" s="73" t="s">
        <v>6705</v>
      </c>
      <c r="E209" s="89" t="s">
        <v>6454</v>
      </c>
      <c r="F209" s="2" t="s">
        <v>23</v>
      </c>
    </row>
    <row r="210" spans="1:6" ht="50.25">
      <c r="A210" s="73" t="s">
        <v>6677</v>
      </c>
      <c r="B210" s="73" t="s">
        <v>6702</v>
      </c>
      <c r="C210" s="93">
        <v>4</v>
      </c>
      <c r="D210" s="73" t="s">
        <v>6706</v>
      </c>
      <c r="E210" s="89" t="s">
        <v>6454</v>
      </c>
      <c r="F210" s="2" t="s">
        <v>117</v>
      </c>
    </row>
    <row r="211" spans="1:6" ht="84">
      <c r="A211" s="73" t="s">
        <v>6677</v>
      </c>
      <c r="B211" s="73" t="s">
        <v>6707</v>
      </c>
      <c r="C211" s="93">
        <v>1</v>
      </c>
      <c r="D211" s="73" t="s">
        <v>6708</v>
      </c>
      <c r="E211" s="89" t="s">
        <v>6454</v>
      </c>
      <c r="F211" s="2" t="s">
        <v>23</v>
      </c>
    </row>
    <row r="212" spans="1:6" ht="84">
      <c r="A212" s="73" t="s">
        <v>6677</v>
      </c>
      <c r="B212" s="73" t="s">
        <v>6707</v>
      </c>
      <c r="C212" s="93">
        <v>2</v>
      </c>
      <c r="D212" s="73" t="s">
        <v>6709</v>
      </c>
      <c r="E212" s="89" t="s">
        <v>6454</v>
      </c>
      <c r="F212" s="2" t="s">
        <v>23</v>
      </c>
    </row>
    <row r="213" spans="1:6" ht="84">
      <c r="A213" s="73" t="s">
        <v>6677</v>
      </c>
      <c r="B213" s="73" t="s">
        <v>6707</v>
      </c>
      <c r="C213" s="93">
        <v>3</v>
      </c>
      <c r="D213" s="73" t="s">
        <v>6710</v>
      </c>
      <c r="E213" s="89" t="s">
        <v>6454</v>
      </c>
      <c r="F213" s="2" t="s">
        <v>23</v>
      </c>
    </row>
    <row r="214" spans="1:6" ht="84">
      <c r="A214" s="73" t="s">
        <v>6677</v>
      </c>
      <c r="B214" s="73" t="s">
        <v>6707</v>
      </c>
      <c r="C214" s="93">
        <v>4</v>
      </c>
      <c r="D214" s="73" t="s">
        <v>6711</v>
      </c>
      <c r="E214" s="89" t="s">
        <v>6454</v>
      </c>
      <c r="F214" s="2" t="s">
        <v>23</v>
      </c>
    </row>
    <row r="215" spans="1:6" ht="84">
      <c r="A215" s="73" t="s">
        <v>6677</v>
      </c>
      <c r="B215" s="73" t="s">
        <v>6707</v>
      </c>
      <c r="C215" s="93">
        <v>5</v>
      </c>
      <c r="D215" s="73" t="s">
        <v>6712</v>
      </c>
      <c r="E215" s="89" t="s">
        <v>6454</v>
      </c>
      <c r="F215" s="2" t="s">
        <v>23</v>
      </c>
    </row>
    <row r="216" spans="1:6" ht="84">
      <c r="A216" s="73" t="s">
        <v>6677</v>
      </c>
      <c r="B216" s="73" t="s">
        <v>6707</v>
      </c>
      <c r="C216" s="93">
        <v>6</v>
      </c>
      <c r="D216" s="73" t="s">
        <v>6713</v>
      </c>
      <c r="E216" s="89" t="s">
        <v>6454</v>
      </c>
      <c r="F216" s="2" t="s">
        <v>117</v>
      </c>
    </row>
    <row r="217" spans="1:6" ht="84">
      <c r="A217" s="73" t="s">
        <v>6677</v>
      </c>
      <c r="B217" s="73" t="s">
        <v>6714</v>
      </c>
      <c r="C217" s="93">
        <v>1</v>
      </c>
      <c r="D217" s="73" t="s">
        <v>6715</v>
      </c>
      <c r="E217" s="89" t="s">
        <v>6454</v>
      </c>
      <c r="F217" s="2" t="s">
        <v>23</v>
      </c>
    </row>
    <row r="218" spans="1:6" ht="84">
      <c r="A218" s="73" t="s">
        <v>6677</v>
      </c>
      <c r="B218" s="73" t="s">
        <v>6714</v>
      </c>
      <c r="C218" s="93">
        <v>2</v>
      </c>
      <c r="D218" s="73" t="s">
        <v>6716</v>
      </c>
      <c r="E218" s="89" t="s">
        <v>6454</v>
      </c>
      <c r="F218" s="2" t="s">
        <v>23</v>
      </c>
    </row>
    <row r="219" spans="1:6" ht="84">
      <c r="A219" s="73" t="s">
        <v>6677</v>
      </c>
      <c r="B219" s="73" t="s">
        <v>6714</v>
      </c>
      <c r="C219" s="94">
        <v>3</v>
      </c>
      <c r="D219" s="80" t="s">
        <v>6717</v>
      </c>
      <c r="E219" s="89" t="s">
        <v>6454</v>
      </c>
      <c r="F219" s="2" t="s">
        <v>23</v>
      </c>
    </row>
    <row r="220" spans="1:6" ht="84">
      <c r="A220" s="73" t="s">
        <v>6677</v>
      </c>
      <c r="B220" s="68" t="s">
        <v>6718</v>
      </c>
      <c r="C220" s="92">
        <v>1</v>
      </c>
      <c r="D220" s="68" t="s">
        <v>6719</v>
      </c>
      <c r="E220" s="89" t="s">
        <v>6454</v>
      </c>
      <c r="F220" s="2" t="s">
        <v>117</v>
      </c>
    </row>
    <row r="221" spans="1:6" ht="84">
      <c r="A221" s="73" t="s">
        <v>6677</v>
      </c>
      <c r="B221" s="68" t="s">
        <v>6718</v>
      </c>
      <c r="C221" s="92">
        <v>2</v>
      </c>
      <c r="D221" s="68" t="s">
        <v>6720</v>
      </c>
      <c r="E221" s="89" t="s">
        <v>6454</v>
      </c>
      <c r="F221" s="2" t="s">
        <v>23</v>
      </c>
    </row>
    <row r="222" spans="1:6" ht="267.75">
      <c r="A222" s="73" t="s">
        <v>6677</v>
      </c>
      <c r="B222" s="68" t="s">
        <v>6718</v>
      </c>
      <c r="C222" s="92">
        <v>3</v>
      </c>
      <c r="D222" s="68" t="s">
        <v>6721</v>
      </c>
      <c r="E222" s="89" t="s">
        <v>6454</v>
      </c>
      <c r="F222" s="2" t="s">
        <v>23</v>
      </c>
    </row>
    <row r="223" spans="1:6" ht="84">
      <c r="A223" s="73" t="s">
        <v>6677</v>
      </c>
      <c r="B223" s="68" t="s">
        <v>6718</v>
      </c>
      <c r="C223" s="92">
        <v>4</v>
      </c>
      <c r="D223" s="68" t="s">
        <v>6722</v>
      </c>
      <c r="E223" s="89" t="s">
        <v>6454</v>
      </c>
      <c r="F223" s="2" t="s">
        <v>23</v>
      </c>
    </row>
    <row r="224" spans="1:6" ht="84">
      <c r="A224" s="73" t="s">
        <v>6677</v>
      </c>
      <c r="B224" s="68" t="s">
        <v>6723</v>
      </c>
      <c r="C224" s="92">
        <v>1</v>
      </c>
      <c r="D224" s="68" t="s">
        <v>6724</v>
      </c>
      <c r="E224" s="89" t="s">
        <v>6454</v>
      </c>
      <c r="F224" s="2" t="s">
        <v>23</v>
      </c>
    </row>
    <row r="225" spans="1:6" ht="84">
      <c r="A225" s="73" t="s">
        <v>6677</v>
      </c>
      <c r="B225" s="68" t="s">
        <v>6723</v>
      </c>
      <c r="C225" s="92">
        <v>2</v>
      </c>
      <c r="D225" s="345" t="s">
        <v>6725</v>
      </c>
      <c r="E225" s="89" t="s">
        <v>6454</v>
      </c>
      <c r="F225" s="2" t="s">
        <v>23</v>
      </c>
    </row>
    <row r="226" spans="1:6" ht="84">
      <c r="A226" s="73" t="s">
        <v>6677</v>
      </c>
      <c r="B226" s="68" t="s">
        <v>6723</v>
      </c>
      <c r="C226" s="92">
        <v>3</v>
      </c>
      <c r="D226" s="68" t="s">
        <v>6726</v>
      </c>
      <c r="E226" s="89" t="s">
        <v>6454</v>
      </c>
      <c r="F226" s="2" t="s">
        <v>23</v>
      </c>
    </row>
    <row r="227" spans="1:6" ht="84">
      <c r="A227" s="73" t="s">
        <v>6677</v>
      </c>
      <c r="B227" s="68" t="s">
        <v>6723</v>
      </c>
      <c r="C227" s="92">
        <v>4</v>
      </c>
      <c r="D227" s="68" t="s">
        <v>6727</v>
      </c>
      <c r="E227" s="89" t="s">
        <v>6454</v>
      </c>
      <c r="F227" s="2" t="s">
        <v>23</v>
      </c>
    </row>
    <row r="228" spans="1:6" ht="200.25">
      <c r="A228" s="73" t="s">
        <v>6677</v>
      </c>
      <c r="B228" s="68" t="s">
        <v>6728</v>
      </c>
      <c r="C228" s="92">
        <v>1</v>
      </c>
      <c r="D228" s="68" t="s">
        <v>6729</v>
      </c>
      <c r="E228" s="89" t="s">
        <v>6454</v>
      </c>
      <c r="F228" s="2" t="s">
        <v>23</v>
      </c>
    </row>
    <row r="229" spans="1:6" ht="66.75">
      <c r="A229" s="73" t="s">
        <v>6677</v>
      </c>
      <c r="B229" s="68" t="s">
        <v>6728</v>
      </c>
      <c r="C229" s="92">
        <v>2</v>
      </c>
      <c r="D229" s="68" t="s">
        <v>6730</v>
      </c>
      <c r="E229" s="89" t="s">
        <v>6454</v>
      </c>
      <c r="F229" s="2" t="s">
        <v>117</v>
      </c>
    </row>
    <row r="230" spans="1:6" ht="183.75">
      <c r="A230" s="73" t="s">
        <v>6677</v>
      </c>
      <c r="B230" s="68" t="s">
        <v>6731</v>
      </c>
      <c r="C230" s="92">
        <v>1</v>
      </c>
      <c r="D230" s="68" t="s">
        <v>6732</v>
      </c>
      <c r="E230" s="89" t="s">
        <v>6454</v>
      </c>
      <c r="F230" s="2" t="s">
        <v>23</v>
      </c>
    </row>
    <row r="231" spans="1:6" ht="66.75">
      <c r="A231" s="73" t="s">
        <v>6677</v>
      </c>
      <c r="B231" s="68" t="s">
        <v>6731</v>
      </c>
      <c r="C231" s="92">
        <v>2</v>
      </c>
      <c r="D231" s="68" t="s">
        <v>6733</v>
      </c>
      <c r="E231" s="89" t="s">
        <v>6454</v>
      </c>
      <c r="F231" s="2" t="s">
        <v>23</v>
      </c>
    </row>
    <row r="232" spans="1:6" ht="66.75">
      <c r="A232" s="73" t="s">
        <v>6677</v>
      </c>
      <c r="B232" s="68" t="s">
        <v>6731</v>
      </c>
      <c r="C232" s="92">
        <v>3</v>
      </c>
      <c r="D232" s="68" t="s">
        <v>6734</v>
      </c>
      <c r="E232" s="89" t="s">
        <v>6454</v>
      </c>
      <c r="F232" s="2" t="s">
        <v>23</v>
      </c>
    </row>
    <row r="233" spans="1:6" ht="50.25">
      <c r="A233" s="73" t="s">
        <v>6677</v>
      </c>
      <c r="B233" s="68" t="s">
        <v>6735</v>
      </c>
      <c r="C233" s="92">
        <v>1</v>
      </c>
      <c r="D233" s="68" t="s">
        <v>6736</v>
      </c>
      <c r="E233" s="89" t="s">
        <v>6454</v>
      </c>
      <c r="F233" s="2" t="s">
        <v>23</v>
      </c>
    </row>
    <row r="234" spans="1:6" ht="84">
      <c r="A234" s="73" t="s">
        <v>6677</v>
      </c>
      <c r="B234" s="68" t="s">
        <v>6735</v>
      </c>
      <c r="C234" s="92">
        <v>2</v>
      </c>
      <c r="D234" s="68" t="s">
        <v>6737</v>
      </c>
      <c r="E234" s="89" t="s">
        <v>6687</v>
      </c>
      <c r="F234" s="2" t="s">
        <v>23</v>
      </c>
    </row>
    <row r="235" spans="1:6" ht="50.25">
      <c r="A235" s="73" t="s">
        <v>6677</v>
      </c>
      <c r="B235" s="68" t="s">
        <v>6735</v>
      </c>
      <c r="C235" s="92">
        <v>3</v>
      </c>
      <c r="D235" s="68" t="s">
        <v>6738</v>
      </c>
      <c r="E235" s="89" t="s">
        <v>6687</v>
      </c>
      <c r="F235" s="2" t="s">
        <v>23</v>
      </c>
    </row>
    <row r="236" spans="1:6" ht="66.75">
      <c r="A236" s="73" t="s">
        <v>6677</v>
      </c>
      <c r="B236" s="68" t="s">
        <v>6735</v>
      </c>
      <c r="C236" s="92">
        <v>4</v>
      </c>
      <c r="D236" s="68" t="s">
        <v>6739</v>
      </c>
      <c r="E236" s="89" t="s">
        <v>6687</v>
      </c>
      <c r="F236" s="2" t="s">
        <v>23</v>
      </c>
    </row>
    <row r="237" spans="1:6" ht="84">
      <c r="A237" s="73" t="s">
        <v>6677</v>
      </c>
      <c r="B237" s="68" t="s">
        <v>6740</v>
      </c>
      <c r="C237" s="92">
        <v>1</v>
      </c>
      <c r="D237" s="68" t="s">
        <v>6741</v>
      </c>
      <c r="E237" s="89" t="s">
        <v>6687</v>
      </c>
      <c r="F237" s="2" t="s">
        <v>23</v>
      </c>
    </row>
    <row r="238" spans="1:6" ht="200.25">
      <c r="A238" s="73" t="s">
        <v>6677</v>
      </c>
      <c r="B238" s="68" t="s">
        <v>6740</v>
      </c>
      <c r="C238" s="92">
        <v>2</v>
      </c>
      <c r="D238" s="68" t="s">
        <v>6742</v>
      </c>
      <c r="E238" s="89" t="s">
        <v>6687</v>
      </c>
      <c r="F238" s="2" t="s">
        <v>117</v>
      </c>
    </row>
    <row r="239" spans="1:6" ht="150.75">
      <c r="A239" s="73" t="s">
        <v>6677</v>
      </c>
      <c r="B239" s="68" t="s">
        <v>6740</v>
      </c>
      <c r="C239" s="92">
        <v>3</v>
      </c>
      <c r="D239" s="68" t="s">
        <v>6743</v>
      </c>
      <c r="E239" s="89" t="s">
        <v>6687</v>
      </c>
      <c r="F239" s="2" t="s">
        <v>23</v>
      </c>
    </row>
    <row r="240" spans="1:6" ht="84">
      <c r="A240" s="73" t="s">
        <v>6677</v>
      </c>
      <c r="B240" s="68" t="s">
        <v>6740</v>
      </c>
      <c r="C240" s="92">
        <v>4</v>
      </c>
      <c r="D240" s="68" t="s">
        <v>6744</v>
      </c>
      <c r="E240" s="89" t="s">
        <v>6687</v>
      </c>
      <c r="F240" s="2" t="s">
        <v>23</v>
      </c>
    </row>
    <row r="241" spans="1:6" ht="84">
      <c r="A241" s="73" t="s">
        <v>6677</v>
      </c>
      <c r="B241" s="68" t="s">
        <v>6740</v>
      </c>
      <c r="C241" s="92">
        <v>5</v>
      </c>
      <c r="D241" s="68" t="s">
        <v>6745</v>
      </c>
      <c r="E241" s="89" t="s">
        <v>6687</v>
      </c>
      <c r="F241" s="2" t="s">
        <v>23</v>
      </c>
    </row>
    <row r="242" spans="1:6" ht="72.75">
      <c r="A242" s="77" t="s">
        <v>6746</v>
      </c>
      <c r="B242" s="99" t="s">
        <v>6747</v>
      </c>
      <c r="C242" s="95">
        <v>1</v>
      </c>
      <c r="D242" s="77" t="s">
        <v>6748</v>
      </c>
      <c r="E242" s="73" t="s">
        <v>6454</v>
      </c>
    </row>
    <row r="243" spans="1:6" ht="72.75">
      <c r="A243" s="77" t="s">
        <v>6746</v>
      </c>
      <c r="B243" s="99" t="s">
        <v>6747</v>
      </c>
      <c r="C243" s="95">
        <v>2</v>
      </c>
      <c r="D243" s="77" t="s">
        <v>6749</v>
      </c>
      <c r="E243" s="73" t="s">
        <v>6454</v>
      </c>
    </row>
    <row r="244" spans="1:6" ht="72.75">
      <c r="A244" s="77" t="s">
        <v>6746</v>
      </c>
      <c r="B244" s="99" t="s">
        <v>6747</v>
      </c>
      <c r="C244" s="95">
        <v>3</v>
      </c>
      <c r="D244" s="77" t="s">
        <v>6750</v>
      </c>
      <c r="E244" s="73" t="s">
        <v>6451</v>
      </c>
    </row>
    <row r="245" spans="1:6" ht="72.75">
      <c r="A245" s="77" t="s">
        <v>6746</v>
      </c>
      <c r="B245" s="99" t="s">
        <v>6747</v>
      </c>
      <c r="C245" s="95">
        <v>4</v>
      </c>
      <c r="D245" s="77" t="s">
        <v>6751</v>
      </c>
      <c r="E245" s="73" t="s">
        <v>6454</v>
      </c>
    </row>
    <row r="246" spans="1:6" ht="72.75">
      <c r="A246" s="77" t="s">
        <v>6746</v>
      </c>
      <c r="B246" s="99" t="s">
        <v>6747</v>
      </c>
      <c r="C246" s="95">
        <v>5</v>
      </c>
      <c r="D246" s="77" t="s">
        <v>6752</v>
      </c>
      <c r="E246" s="73" t="s">
        <v>6454</v>
      </c>
    </row>
    <row r="247" spans="1:6" ht="72.75">
      <c r="A247" s="77" t="s">
        <v>6746</v>
      </c>
      <c r="B247" s="99" t="s">
        <v>6747</v>
      </c>
      <c r="C247" s="95">
        <v>6</v>
      </c>
      <c r="D247" s="77" t="s">
        <v>6753</v>
      </c>
      <c r="E247" s="73" t="s">
        <v>6451</v>
      </c>
    </row>
    <row r="248" spans="1:6" ht="57.95">
      <c r="A248" s="77" t="s">
        <v>6746</v>
      </c>
      <c r="B248" s="100" t="s">
        <v>6754</v>
      </c>
      <c r="C248" s="95">
        <v>1</v>
      </c>
      <c r="D248" s="77" t="s">
        <v>6755</v>
      </c>
      <c r="E248" s="73" t="s">
        <v>6451</v>
      </c>
    </row>
    <row r="249" spans="1:6" ht="43.5">
      <c r="A249" s="77" t="s">
        <v>6746</v>
      </c>
      <c r="B249" s="100" t="s">
        <v>6754</v>
      </c>
      <c r="C249" s="95">
        <v>2</v>
      </c>
      <c r="D249" s="77" t="s">
        <v>6756</v>
      </c>
      <c r="E249" s="73" t="s">
        <v>6454</v>
      </c>
    </row>
    <row r="250" spans="1:6" ht="43.5">
      <c r="A250" s="77" t="s">
        <v>6746</v>
      </c>
      <c r="B250" s="100" t="s">
        <v>6754</v>
      </c>
      <c r="C250" s="95">
        <v>3</v>
      </c>
      <c r="D250" s="77" t="s">
        <v>6757</v>
      </c>
      <c r="E250" s="73" t="s">
        <v>6454</v>
      </c>
    </row>
    <row r="251" spans="1:6" ht="43.5">
      <c r="A251" s="77" t="s">
        <v>6746</v>
      </c>
      <c r="B251" s="100" t="s">
        <v>6754</v>
      </c>
      <c r="C251" s="95">
        <v>4</v>
      </c>
      <c r="D251" s="77" t="s">
        <v>6758</v>
      </c>
      <c r="E251" s="73" t="s">
        <v>6454</v>
      </c>
    </row>
    <row r="252" spans="1:6" ht="43.5">
      <c r="A252" s="77" t="s">
        <v>6746</v>
      </c>
      <c r="B252" s="100" t="s">
        <v>6754</v>
      </c>
      <c r="C252" s="95">
        <v>5</v>
      </c>
      <c r="D252" s="77" t="s">
        <v>6759</v>
      </c>
      <c r="E252" s="73" t="s">
        <v>6451</v>
      </c>
    </row>
    <row r="253" spans="1:6" ht="57.95">
      <c r="A253" s="77" t="s">
        <v>6746</v>
      </c>
      <c r="B253" s="77" t="s">
        <v>6760</v>
      </c>
      <c r="C253" s="95">
        <v>1</v>
      </c>
      <c r="D253" s="77" t="s">
        <v>6761</v>
      </c>
      <c r="E253" s="73" t="s">
        <v>6451</v>
      </c>
    </row>
    <row r="254" spans="1:6" ht="57.95">
      <c r="A254" s="77" t="s">
        <v>6746</v>
      </c>
      <c r="B254" s="77" t="s">
        <v>6760</v>
      </c>
      <c r="C254" s="95">
        <v>2</v>
      </c>
      <c r="D254" s="77" t="s">
        <v>6762</v>
      </c>
      <c r="E254" s="73" t="s">
        <v>6451</v>
      </c>
    </row>
    <row r="255" spans="1:6" ht="57.95">
      <c r="A255" s="77" t="s">
        <v>6746</v>
      </c>
      <c r="B255" s="77" t="s">
        <v>6760</v>
      </c>
      <c r="C255" s="95">
        <v>3</v>
      </c>
      <c r="D255" s="77" t="s">
        <v>6763</v>
      </c>
      <c r="E255" s="73" t="s">
        <v>6451</v>
      </c>
    </row>
    <row r="256" spans="1:6" ht="87">
      <c r="A256" s="77" t="s">
        <v>6746</v>
      </c>
      <c r="B256" s="77" t="s">
        <v>6764</v>
      </c>
      <c r="C256" s="95">
        <v>1</v>
      </c>
      <c r="D256" s="77" t="s">
        <v>6765</v>
      </c>
      <c r="E256" s="73" t="s">
        <v>6454</v>
      </c>
    </row>
    <row r="257" spans="1:5" ht="72.75">
      <c r="A257" s="77" t="s">
        <v>6746</v>
      </c>
      <c r="B257" s="77" t="s">
        <v>6764</v>
      </c>
      <c r="C257" s="95">
        <v>2</v>
      </c>
      <c r="D257" s="77" t="s">
        <v>6766</v>
      </c>
      <c r="E257" s="73" t="s">
        <v>6454</v>
      </c>
    </row>
    <row r="258" spans="1:5" ht="201.75">
      <c r="A258" s="77" t="s">
        <v>6746</v>
      </c>
      <c r="B258" s="77" t="s">
        <v>6764</v>
      </c>
      <c r="C258" s="95">
        <v>3</v>
      </c>
      <c r="D258" s="77" t="s">
        <v>6767</v>
      </c>
      <c r="E258" s="73" t="s">
        <v>6454</v>
      </c>
    </row>
    <row r="259" spans="1:5" ht="72.75">
      <c r="A259" s="77" t="s">
        <v>6746</v>
      </c>
      <c r="B259" s="77" t="s">
        <v>6764</v>
      </c>
      <c r="C259" s="95">
        <v>4</v>
      </c>
      <c r="D259" s="77" t="s">
        <v>6768</v>
      </c>
      <c r="E259" s="73" t="s">
        <v>6454</v>
      </c>
    </row>
    <row r="260" spans="1:5" ht="87">
      <c r="A260" s="77" t="s">
        <v>6746</v>
      </c>
      <c r="B260" s="77" t="s">
        <v>6769</v>
      </c>
      <c r="C260" s="95">
        <v>1</v>
      </c>
      <c r="D260" s="79" t="s">
        <v>6770</v>
      </c>
      <c r="E260" s="167" t="s">
        <v>6454</v>
      </c>
    </row>
    <row r="261" spans="1:5" ht="87">
      <c r="A261" s="77" t="s">
        <v>6746</v>
      </c>
      <c r="B261" s="77" t="s">
        <v>6769</v>
      </c>
      <c r="C261" s="95">
        <v>2</v>
      </c>
      <c r="D261" s="77" t="s">
        <v>6771</v>
      </c>
      <c r="E261" s="73" t="s">
        <v>6454</v>
      </c>
    </row>
    <row r="262" spans="1:5" ht="87">
      <c r="A262" s="77" t="s">
        <v>6746</v>
      </c>
      <c r="B262" s="77" t="s">
        <v>6769</v>
      </c>
      <c r="C262" s="95">
        <v>3</v>
      </c>
      <c r="D262" s="77" t="s">
        <v>6772</v>
      </c>
      <c r="E262" s="73" t="s">
        <v>6451</v>
      </c>
    </row>
    <row r="263" spans="1:5" ht="87">
      <c r="A263" s="77" t="s">
        <v>6746</v>
      </c>
      <c r="B263" s="77" t="s">
        <v>6769</v>
      </c>
      <c r="C263" s="95">
        <v>4</v>
      </c>
      <c r="D263" s="77" t="s">
        <v>6773</v>
      </c>
      <c r="E263" s="73" t="s">
        <v>6454</v>
      </c>
    </row>
    <row r="264" spans="1:5" ht="87">
      <c r="A264" s="77" t="s">
        <v>6746</v>
      </c>
      <c r="B264" s="77" t="s">
        <v>6769</v>
      </c>
      <c r="C264" s="95">
        <v>5</v>
      </c>
      <c r="D264" s="77" t="s">
        <v>6774</v>
      </c>
      <c r="E264" s="73" t="s">
        <v>6454</v>
      </c>
    </row>
    <row r="265" spans="1:5" ht="87">
      <c r="A265" s="77" t="s">
        <v>6746</v>
      </c>
      <c r="B265" s="77" t="s">
        <v>6769</v>
      </c>
      <c r="C265" s="95">
        <v>6</v>
      </c>
      <c r="D265" s="77" t="s">
        <v>6775</v>
      </c>
      <c r="E265" s="73" t="s">
        <v>6451</v>
      </c>
    </row>
    <row r="266" spans="1:5" ht="57.95">
      <c r="A266" s="77" t="s">
        <v>6746</v>
      </c>
      <c r="B266" s="77" t="s">
        <v>6776</v>
      </c>
      <c r="C266" s="95">
        <v>1</v>
      </c>
      <c r="D266" s="77" t="s">
        <v>6777</v>
      </c>
      <c r="E266" s="73" t="s">
        <v>6454</v>
      </c>
    </row>
    <row r="267" spans="1:5" ht="57.95">
      <c r="A267" s="77" t="s">
        <v>6746</v>
      </c>
      <c r="B267" s="77" t="s">
        <v>6776</v>
      </c>
      <c r="C267" s="95">
        <v>2</v>
      </c>
      <c r="D267" s="77" t="s">
        <v>6778</v>
      </c>
      <c r="E267" s="73" t="s">
        <v>6454</v>
      </c>
    </row>
    <row r="268" spans="1:5" ht="57.95">
      <c r="A268" s="77" t="s">
        <v>6746</v>
      </c>
      <c r="B268" s="77" t="s">
        <v>6776</v>
      </c>
      <c r="C268" s="95">
        <v>3</v>
      </c>
      <c r="D268" s="77" t="s">
        <v>6779</v>
      </c>
      <c r="E268" s="73" t="s">
        <v>6454</v>
      </c>
    </row>
    <row r="269" spans="1:5" ht="57.95">
      <c r="A269" s="77" t="s">
        <v>6746</v>
      </c>
      <c r="B269" s="77" t="s">
        <v>6776</v>
      </c>
      <c r="C269" s="95">
        <v>4</v>
      </c>
      <c r="D269" s="77" t="s">
        <v>6780</v>
      </c>
      <c r="E269" s="73" t="s">
        <v>6454</v>
      </c>
    </row>
    <row r="270" spans="1:5" ht="57.95">
      <c r="A270" s="77" t="s">
        <v>6746</v>
      </c>
      <c r="B270" s="77" t="s">
        <v>6781</v>
      </c>
      <c r="C270" s="95">
        <v>1</v>
      </c>
      <c r="D270" s="77" t="s">
        <v>6782</v>
      </c>
      <c r="E270" s="73" t="s">
        <v>6454</v>
      </c>
    </row>
    <row r="271" spans="1:5" ht="57.95">
      <c r="A271" s="77" t="s">
        <v>6746</v>
      </c>
      <c r="B271" s="77" t="s">
        <v>6781</v>
      </c>
      <c r="C271" s="95">
        <v>2</v>
      </c>
      <c r="D271" s="77" t="s">
        <v>6783</v>
      </c>
      <c r="E271" s="73" t="s">
        <v>6451</v>
      </c>
    </row>
    <row r="272" spans="1:5" ht="57.95">
      <c r="A272" s="77" t="s">
        <v>6746</v>
      </c>
      <c r="B272" s="77" t="s">
        <v>6781</v>
      </c>
      <c r="C272" s="95">
        <v>3</v>
      </c>
      <c r="D272" s="77" t="s">
        <v>6784</v>
      </c>
      <c r="E272" s="73" t="s">
        <v>6454</v>
      </c>
    </row>
    <row r="273" spans="1:5" ht="57.95">
      <c r="A273" s="77" t="s">
        <v>6746</v>
      </c>
      <c r="B273" s="77" t="s">
        <v>6781</v>
      </c>
      <c r="C273" s="95">
        <v>4</v>
      </c>
      <c r="D273" s="77" t="s">
        <v>6785</v>
      </c>
      <c r="E273" s="73" t="s">
        <v>6454</v>
      </c>
    </row>
    <row r="274" spans="1:5" ht="101.45">
      <c r="A274" s="77" t="s">
        <v>6746</v>
      </c>
      <c r="B274" s="77" t="s">
        <v>6781</v>
      </c>
      <c r="C274" s="95">
        <v>5</v>
      </c>
      <c r="D274" s="77" t="s">
        <v>6786</v>
      </c>
      <c r="E274" s="73" t="s">
        <v>6454</v>
      </c>
    </row>
    <row r="275" spans="1:5" ht="57.95">
      <c r="A275" s="77" t="s">
        <v>6746</v>
      </c>
      <c r="B275" s="77" t="s">
        <v>6781</v>
      </c>
      <c r="C275" s="95">
        <v>6</v>
      </c>
      <c r="D275" s="77" t="s">
        <v>6787</v>
      </c>
      <c r="E275" s="73" t="s">
        <v>6454</v>
      </c>
    </row>
    <row r="276" spans="1:5" ht="43.5">
      <c r="A276" s="77" t="s">
        <v>6746</v>
      </c>
      <c r="B276" s="77" t="s">
        <v>6788</v>
      </c>
      <c r="C276" s="95">
        <v>1</v>
      </c>
      <c r="D276" s="77" t="s">
        <v>6789</v>
      </c>
      <c r="E276" s="73" t="s">
        <v>6454</v>
      </c>
    </row>
    <row r="277" spans="1:5" ht="43.5">
      <c r="A277" s="77" t="s">
        <v>6746</v>
      </c>
      <c r="B277" s="77" t="s">
        <v>6788</v>
      </c>
      <c r="C277" s="95">
        <v>2</v>
      </c>
      <c r="D277" s="77" t="s">
        <v>6790</v>
      </c>
      <c r="E277" s="73" t="s">
        <v>6454</v>
      </c>
    </row>
    <row r="278" spans="1:5" ht="43.5">
      <c r="A278" s="77" t="s">
        <v>6746</v>
      </c>
      <c r="B278" s="77" t="s">
        <v>6788</v>
      </c>
      <c r="C278" s="95">
        <v>3</v>
      </c>
      <c r="D278" s="77" t="s">
        <v>6791</v>
      </c>
      <c r="E278" s="73" t="s">
        <v>6454</v>
      </c>
    </row>
    <row r="279" spans="1:5" ht="57.95">
      <c r="A279" s="77" t="s">
        <v>6746</v>
      </c>
      <c r="B279" s="77" t="s">
        <v>6792</v>
      </c>
      <c r="C279" s="95">
        <v>1</v>
      </c>
      <c r="D279" s="77" t="s">
        <v>6793</v>
      </c>
      <c r="E279" s="73" t="s">
        <v>6454</v>
      </c>
    </row>
    <row r="280" spans="1:5" ht="57.95">
      <c r="A280" s="77" t="s">
        <v>6746</v>
      </c>
      <c r="B280" s="77" t="s">
        <v>6792</v>
      </c>
      <c r="C280" s="95">
        <v>2</v>
      </c>
      <c r="D280" s="77" t="s">
        <v>6794</v>
      </c>
      <c r="E280" s="73" t="s">
        <v>6454</v>
      </c>
    </row>
    <row r="281" spans="1:5" ht="57.95">
      <c r="A281" s="77" t="s">
        <v>6746</v>
      </c>
      <c r="B281" s="77" t="s">
        <v>6792</v>
      </c>
      <c r="C281" s="95">
        <v>3</v>
      </c>
      <c r="D281" s="79" t="s">
        <v>6795</v>
      </c>
      <c r="E281" s="168" t="s">
        <v>6454</v>
      </c>
    </row>
    <row r="282" spans="1:5" ht="57.95">
      <c r="A282" s="77" t="s">
        <v>6746</v>
      </c>
      <c r="B282" s="77" t="s">
        <v>6792</v>
      </c>
      <c r="C282" s="95">
        <v>4</v>
      </c>
      <c r="D282" s="77" t="s">
        <v>6796</v>
      </c>
      <c r="E282" s="168" t="s">
        <v>6454</v>
      </c>
    </row>
    <row r="283" spans="1:5" ht="57.95">
      <c r="A283" s="77" t="s">
        <v>6746</v>
      </c>
      <c r="B283" s="77" t="s">
        <v>6792</v>
      </c>
      <c r="C283" s="95">
        <v>5</v>
      </c>
      <c r="D283" s="77" t="s">
        <v>6797</v>
      </c>
      <c r="E283" s="73" t="s">
        <v>6454</v>
      </c>
    </row>
    <row r="284" spans="1:5" ht="57.95">
      <c r="A284" s="77" t="s">
        <v>6746</v>
      </c>
      <c r="B284" s="77" t="s">
        <v>6792</v>
      </c>
      <c r="C284" s="95">
        <v>6</v>
      </c>
      <c r="D284" s="77" t="s">
        <v>6798</v>
      </c>
      <c r="E284" s="73" t="s">
        <v>6454</v>
      </c>
    </row>
    <row r="285" spans="1:5" ht="87">
      <c r="A285" s="77" t="s">
        <v>6746</v>
      </c>
      <c r="B285" s="77" t="s">
        <v>6799</v>
      </c>
      <c r="C285" s="95">
        <v>1</v>
      </c>
      <c r="D285" s="77" t="s">
        <v>6800</v>
      </c>
      <c r="E285" s="73" t="s">
        <v>6454</v>
      </c>
    </row>
    <row r="286" spans="1:5" ht="72.75">
      <c r="A286" s="77" t="s">
        <v>6746</v>
      </c>
      <c r="B286" s="77" t="s">
        <v>6799</v>
      </c>
      <c r="C286" s="95">
        <v>2</v>
      </c>
      <c r="D286" s="77" t="s">
        <v>6801</v>
      </c>
      <c r="E286" s="73" t="s">
        <v>6454</v>
      </c>
    </row>
    <row r="287" spans="1:5" ht="72.75">
      <c r="A287" s="77" t="s">
        <v>6746</v>
      </c>
      <c r="B287" s="77" t="s">
        <v>6799</v>
      </c>
      <c r="C287" s="95">
        <v>3</v>
      </c>
      <c r="D287" s="77" t="s">
        <v>6802</v>
      </c>
      <c r="E287" s="73" t="s">
        <v>6454</v>
      </c>
    </row>
    <row r="288" spans="1:5" ht="72.75">
      <c r="A288" s="77" t="s">
        <v>6746</v>
      </c>
      <c r="B288" s="77" t="s">
        <v>6799</v>
      </c>
      <c r="C288" s="95">
        <v>4</v>
      </c>
      <c r="D288" s="77" t="s">
        <v>6803</v>
      </c>
      <c r="E288" s="73" t="s">
        <v>6454</v>
      </c>
    </row>
    <row r="289" spans="1:5" ht="116.1">
      <c r="A289" s="77" t="s">
        <v>6746</v>
      </c>
      <c r="B289" s="77" t="s">
        <v>6799</v>
      </c>
      <c r="C289" s="95">
        <v>5</v>
      </c>
      <c r="D289" s="77" t="s">
        <v>6804</v>
      </c>
      <c r="E289" s="73" t="s">
        <v>6454</v>
      </c>
    </row>
    <row r="290" spans="1:5" ht="43.5">
      <c r="A290" s="77" t="s">
        <v>6746</v>
      </c>
      <c r="B290" s="77" t="s">
        <v>6805</v>
      </c>
      <c r="C290" s="95">
        <v>1</v>
      </c>
      <c r="D290" s="77" t="s">
        <v>6806</v>
      </c>
      <c r="E290" s="73" t="s">
        <v>6454</v>
      </c>
    </row>
    <row r="291" spans="1:5" ht="144.94999999999999">
      <c r="A291" s="77" t="s">
        <v>6746</v>
      </c>
      <c r="B291" s="77" t="s">
        <v>6805</v>
      </c>
      <c r="C291" s="95">
        <v>2</v>
      </c>
      <c r="D291" s="77" t="s">
        <v>6807</v>
      </c>
      <c r="E291" s="73" t="s">
        <v>6454</v>
      </c>
    </row>
    <row r="292" spans="1:5" ht="43.5">
      <c r="A292" s="77" t="s">
        <v>6746</v>
      </c>
      <c r="B292" s="77" t="s">
        <v>6805</v>
      </c>
      <c r="C292" s="95">
        <v>3</v>
      </c>
      <c r="D292" s="77" t="s">
        <v>6808</v>
      </c>
      <c r="E292" s="73" t="s">
        <v>6454</v>
      </c>
    </row>
    <row r="293" spans="1:5" ht="43.5">
      <c r="A293" s="77" t="s">
        <v>6746</v>
      </c>
      <c r="B293" s="77" t="s">
        <v>6805</v>
      </c>
      <c r="C293" s="95">
        <v>4</v>
      </c>
      <c r="D293" s="77" t="s">
        <v>6809</v>
      </c>
      <c r="E293" s="73" t="s">
        <v>6454</v>
      </c>
    </row>
    <row r="294" spans="1:5" ht="43.5">
      <c r="A294" s="77" t="s">
        <v>6746</v>
      </c>
      <c r="B294" s="77" t="s">
        <v>6805</v>
      </c>
      <c r="C294" s="95">
        <v>5</v>
      </c>
      <c r="D294" s="77" t="s">
        <v>6810</v>
      </c>
      <c r="E294" s="73" t="s">
        <v>6454</v>
      </c>
    </row>
    <row r="295" spans="1:5" ht="29.25">
      <c r="A295" s="77" t="s">
        <v>6746</v>
      </c>
      <c r="B295" s="77" t="s">
        <v>6811</v>
      </c>
      <c r="C295" s="95">
        <v>1</v>
      </c>
      <c r="D295" s="77" t="s">
        <v>6812</v>
      </c>
      <c r="E295" s="73" t="s">
        <v>6454</v>
      </c>
    </row>
    <row r="296" spans="1:5" ht="29.25">
      <c r="A296" s="77" t="s">
        <v>6746</v>
      </c>
      <c r="B296" s="77" t="s">
        <v>6811</v>
      </c>
      <c r="C296" s="95">
        <v>2</v>
      </c>
      <c r="D296" s="77" t="s">
        <v>6813</v>
      </c>
      <c r="E296" s="73" t="s">
        <v>6454</v>
      </c>
    </row>
    <row r="297" spans="1:5" ht="29.25">
      <c r="A297" s="77" t="s">
        <v>6746</v>
      </c>
      <c r="B297" s="77" t="s">
        <v>6811</v>
      </c>
      <c r="C297" s="95">
        <v>3</v>
      </c>
      <c r="D297" s="77" t="s">
        <v>6814</v>
      </c>
      <c r="E297" s="73" t="s">
        <v>6454</v>
      </c>
    </row>
    <row r="298" spans="1:5" ht="29.25">
      <c r="A298" s="77" t="s">
        <v>6746</v>
      </c>
      <c r="B298" s="77" t="s">
        <v>6811</v>
      </c>
      <c r="C298" s="95">
        <v>4</v>
      </c>
      <c r="D298" s="77" t="s">
        <v>6815</v>
      </c>
      <c r="E298" s="73" t="s">
        <v>6454</v>
      </c>
    </row>
    <row r="299" spans="1:5" ht="29.25">
      <c r="A299" s="77" t="s">
        <v>6746</v>
      </c>
      <c r="B299" s="77" t="s">
        <v>6816</v>
      </c>
      <c r="C299" s="95">
        <v>1</v>
      </c>
      <c r="D299" s="77" t="s">
        <v>6817</v>
      </c>
      <c r="E299" s="73" t="s">
        <v>6454</v>
      </c>
    </row>
    <row r="300" spans="1:5" ht="29.25">
      <c r="A300" s="77" t="s">
        <v>6746</v>
      </c>
      <c r="B300" s="77" t="s">
        <v>6816</v>
      </c>
      <c r="C300" s="95">
        <v>2</v>
      </c>
      <c r="D300" s="77" t="s">
        <v>6818</v>
      </c>
      <c r="E300" s="73" t="s">
        <v>6454</v>
      </c>
    </row>
    <row r="301" spans="1:5" ht="29.25">
      <c r="A301" s="77" t="s">
        <v>6746</v>
      </c>
      <c r="B301" s="77" t="s">
        <v>6816</v>
      </c>
      <c r="C301" s="95">
        <v>3</v>
      </c>
      <c r="D301" s="77" t="s">
        <v>6819</v>
      </c>
      <c r="E301" s="73" t="s">
        <v>6454</v>
      </c>
    </row>
    <row r="302" spans="1:5" ht="43.5">
      <c r="A302" s="77" t="s">
        <v>6746</v>
      </c>
      <c r="B302" s="77" t="s">
        <v>6816</v>
      </c>
      <c r="C302" s="95">
        <v>4</v>
      </c>
      <c r="D302" s="77" t="s">
        <v>6820</v>
      </c>
      <c r="E302" s="73" t="s">
        <v>6454</v>
      </c>
    </row>
    <row r="303" spans="1:5" ht="116.1">
      <c r="A303" s="77" t="s">
        <v>6746</v>
      </c>
      <c r="B303" s="77" t="s">
        <v>6821</v>
      </c>
      <c r="C303" s="77">
        <v>1</v>
      </c>
      <c r="D303" s="77" t="s">
        <v>6822</v>
      </c>
      <c r="E303" s="73" t="s">
        <v>6454</v>
      </c>
    </row>
    <row r="304" spans="1:5" ht="43.5">
      <c r="A304" s="77" t="s">
        <v>6746</v>
      </c>
      <c r="B304" s="77" t="s">
        <v>6821</v>
      </c>
      <c r="C304" s="95">
        <v>2</v>
      </c>
      <c r="D304" s="77" t="s">
        <v>6823</v>
      </c>
      <c r="E304" s="73" t="s">
        <v>6454</v>
      </c>
    </row>
    <row r="305" spans="1:5" ht="43.5">
      <c r="A305" s="77" t="s">
        <v>6746</v>
      </c>
      <c r="B305" s="77" t="s">
        <v>6821</v>
      </c>
      <c r="C305" s="95">
        <v>3</v>
      </c>
      <c r="D305" s="77" t="s">
        <v>6824</v>
      </c>
      <c r="E305" s="73" t="s">
        <v>6454</v>
      </c>
    </row>
    <row r="306" spans="1:5" ht="43.5">
      <c r="A306" s="77" t="s">
        <v>6746</v>
      </c>
      <c r="B306" s="77" t="s">
        <v>6821</v>
      </c>
      <c r="C306" s="95">
        <v>4</v>
      </c>
      <c r="D306" s="77" t="s">
        <v>6825</v>
      </c>
      <c r="E306" s="73" t="s">
        <v>6454</v>
      </c>
    </row>
    <row r="307" spans="1:5" ht="57.95">
      <c r="A307" s="77" t="s">
        <v>6746</v>
      </c>
      <c r="B307" s="77" t="s">
        <v>6821</v>
      </c>
      <c r="C307" s="95">
        <v>5</v>
      </c>
      <c r="D307" s="77" t="s">
        <v>6826</v>
      </c>
      <c r="E307" s="73" t="s">
        <v>6454</v>
      </c>
    </row>
    <row r="308" spans="1:5" ht="57.95">
      <c r="A308" s="77" t="s">
        <v>6746</v>
      </c>
      <c r="B308" s="77" t="s">
        <v>6821</v>
      </c>
      <c r="C308" s="95">
        <v>6</v>
      </c>
      <c r="D308" s="77" t="s">
        <v>6827</v>
      </c>
      <c r="E308" s="73" t="s">
        <v>6454</v>
      </c>
    </row>
    <row r="309" spans="1:5" ht="72.75">
      <c r="A309" s="77" t="s">
        <v>6746</v>
      </c>
      <c r="B309" s="77" t="s">
        <v>6828</v>
      </c>
      <c r="C309" s="95">
        <v>1</v>
      </c>
      <c r="D309" s="77" t="s">
        <v>6829</v>
      </c>
      <c r="E309" s="73" t="s">
        <v>6451</v>
      </c>
    </row>
    <row r="310" spans="1:5" ht="72.75">
      <c r="A310" s="77" t="s">
        <v>6746</v>
      </c>
      <c r="B310" s="77" t="s">
        <v>6828</v>
      </c>
      <c r="C310" s="95">
        <v>2</v>
      </c>
      <c r="D310" s="77" t="s">
        <v>6830</v>
      </c>
      <c r="E310" s="73" t="s">
        <v>6451</v>
      </c>
    </row>
    <row r="311" spans="1:5" ht="72.75">
      <c r="A311" s="77" t="s">
        <v>6746</v>
      </c>
      <c r="B311" s="77" t="s">
        <v>6828</v>
      </c>
      <c r="C311" s="95">
        <v>3</v>
      </c>
      <c r="D311" s="77" t="s">
        <v>6831</v>
      </c>
      <c r="E311" s="73" t="s">
        <v>6451</v>
      </c>
    </row>
    <row r="312" spans="1:5" ht="72.75">
      <c r="A312" s="77" t="s">
        <v>6746</v>
      </c>
      <c r="B312" s="77" t="s">
        <v>6828</v>
      </c>
      <c r="C312" s="95">
        <v>4</v>
      </c>
      <c r="D312" s="77" t="s">
        <v>6832</v>
      </c>
      <c r="E312" s="73" t="s">
        <v>6454</v>
      </c>
    </row>
    <row r="313" spans="1:5" ht="72.75">
      <c r="A313" s="77" t="s">
        <v>6746</v>
      </c>
      <c r="B313" s="77" t="s">
        <v>6828</v>
      </c>
      <c r="C313" s="95">
        <v>5</v>
      </c>
      <c r="D313" s="77" t="s">
        <v>6833</v>
      </c>
      <c r="E313" s="73" t="s">
        <v>6451</v>
      </c>
    </row>
    <row r="314" spans="1:5" ht="72.75">
      <c r="A314" s="77" t="s">
        <v>6746</v>
      </c>
      <c r="B314" s="77" t="s">
        <v>6828</v>
      </c>
      <c r="C314" s="95">
        <v>6</v>
      </c>
      <c r="D314" s="77" t="s">
        <v>6834</v>
      </c>
      <c r="E314" s="73" t="s">
        <v>6451</v>
      </c>
    </row>
    <row r="315" spans="1:5" ht="72.75">
      <c r="A315" s="77" t="s">
        <v>6746</v>
      </c>
      <c r="B315" s="77" t="s">
        <v>6835</v>
      </c>
      <c r="C315" s="77">
        <v>1</v>
      </c>
      <c r="D315" s="77" t="s">
        <v>6836</v>
      </c>
      <c r="E315" s="73" t="s">
        <v>6454</v>
      </c>
    </row>
    <row r="316" spans="1:5" ht="87">
      <c r="A316" s="77" t="s">
        <v>6746</v>
      </c>
      <c r="B316" s="77" t="s">
        <v>6835</v>
      </c>
      <c r="C316" s="77">
        <v>2</v>
      </c>
      <c r="D316" s="77" t="s">
        <v>6837</v>
      </c>
      <c r="E316" s="73" t="s">
        <v>6454</v>
      </c>
    </row>
    <row r="317" spans="1:5" ht="72.75">
      <c r="A317" s="77" t="s">
        <v>6746</v>
      </c>
      <c r="B317" s="77" t="s">
        <v>6838</v>
      </c>
      <c r="C317" s="95">
        <v>1</v>
      </c>
      <c r="D317" s="77" t="s">
        <v>6839</v>
      </c>
      <c r="E317" s="73" t="s">
        <v>6454</v>
      </c>
    </row>
    <row r="318" spans="1:5" ht="72.75">
      <c r="A318" s="77" t="s">
        <v>6746</v>
      </c>
      <c r="B318" s="77" t="s">
        <v>6838</v>
      </c>
      <c r="C318" s="95">
        <v>2</v>
      </c>
      <c r="D318" s="77" t="s">
        <v>6840</v>
      </c>
      <c r="E318" s="73" t="s">
        <v>6454</v>
      </c>
    </row>
    <row r="319" spans="1:5" ht="72.75">
      <c r="A319" s="77" t="s">
        <v>6746</v>
      </c>
      <c r="B319" s="77" t="s">
        <v>6838</v>
      </c>
      <c r="C319" s="95">
        <v>3</v>
      </c>
      <c r="D319" s="77" t="s">
        <v>6841</v>
      </c>
      <c r="E319" s="73" t="s">
        <v>6451</v>
      </c>
    </row>
    <row r="320" spans="1:5" ht="72.75">
      <c r="A320" s="77" t="s">
        <v>6746</v>
      </c>
      <c r="B320" s="77" t="s">
        <v>6838</v>
      </c>
      <c r="C320" s="95">
        <v>4</v>
      </c>
      <c r="D320" s="77" t="s">
        <v>6842</v>
      </c>
      <c r="E320" s="73" t="s">
        <v>6454</v>
      </c>
    </row>
    <row r="321" spans="1:5" ht="72.75">
      <c r="A321" s="77" t="s">
        <v>6746</v>
      </c>
      <c r="B321" s="77" t="s">
        <v>6838</v>
      </c>
      <c r="C321" s="95">
        <v>5</v>
      </c>
      <c r="D321" s="77" t="s">
        <v>6843</v>
      </c>
      <c r="E321" s="73" t="s">
        <v>6454</v>
      </c>
    </row>
    <row r="322" spans="1:5" ht="72.75">
      <c r="A322" s="77" t="s">
        <v>6746</v>
      </c>
      <c r="B322" s="77" t="s">
        <v>6838</v>
      </c>
      <c r="C322" s="95">
        <v>6</v>
      </c>
      <c r="D322" s="77" t="s">
        <v>6844</v>
      </c>
      <c r="E322" s="73" t="s">
        <v>6454</v>
      </c>
    </row>
    <row r="323" spans="1:5" ht="201.75">
      <c r="A323" s="78" t="s">
        <v>6845</v>
      </c>
      <c r="B323" s="78" t="s">
        <v>6846</v>
      </c>
      <c r="C323" s="78">
        <v>1</v>
      </c>
      <c r="D323" s="78" t="s">
        <v>6847</v>
      </c>
      <c r="E323" s="169" t="s">
        <v>6451</v>
      </c>
    </row>
    <row r="324" spans="1:5" ht="43.5">
      <c r="A324" s="78" t="s">
        <v>6845</v>
      </c>
      <c r="B324" s="78" t="s">
        <v>6846</v>
      </c>
      <c r="C324" s="97">
        <v>2</v>
      </c>
      <c r="D324" s="82" t="s">
        <v>6848</v>
      </c>
      <c r="E324" s="184" t="s">
        <v>6451</v>
      </c>
    </row>
    <row r="325" spans="1:5" ht="43.5">
      <c r="A325" s="78" t="s">
        <v>6845</v>
      </c>
      <c r="B325" s="78" t="s">
        <v>6846</v>
      </c>
      <c r="C325" s="97">
        <v>3</v>
      </c>
      <c r="D325" s="82" t="s">
        <v>6849</v>
      </c>
      <c r="E325" s="169" t="s">
        <v>6451</v>
      </c>
    </row>
    <row r="326" spans="1:5" ht="43.5">
      <c r="A326" s="78" t="s">
        <v>6845</v>
      </c>
      <c r="B326" s="78" t="s">
        <v>6846</v>
      </c>
      <c r="C326" s="97">
        <v>4</v>
      </c>
      <c r="D326" s="82" t="s">
        <v>6850</v>
      </c>
      <c r="E326" s="68" t="s">
        <v>6454</v>
      </c>
    </row>
    <row r="327" spans="1:5" ht="43.5">
      <c r="A327" s="78" t="s">
        <v>6845</v>
      </c>
      <c r="B327" s="78" t="s">
        <v>6846</v>
      </c>
      <c r="C327" s="97">
        <v>5</v>
      </c>
      <c r="D327" s="82" t="s">
        <v>6851</v>
      </c>
      <c r="E327" s="68" t="s">
        <v>6454</v>
      </c>
    </row>
    <row r="328" spans="1:5" ht="43.5">
      <c r="A328" s="78" t="s">
        <v>6845</v>
      </c>
      <c r="B328" s="78" t="s">
        <v>6846</v>
      </c>
      <c r="C328" s="97">
        <v>6</v>
      </c>
      <c r="D328" s="82" t="s">
        <v>6852</v>
      </c>
      <c r="E328" s="68" t="s">
        <v>6451</v>
      </c>
    </row>
    <row r="329" spans="1:5" ht="43.5">
      <c r="A329" s="78" t="s">
        <v>6845</v>
      </c>
      <c r="B329" s="78" t="s">
        <v>6853</v>
      </c>
      <c r="C329" s="97">
        <v>1</v>
      </c>
      <c r="D329" s="82" t="s">
        <v>6854</v>
      </c>
      <c r="E329" s="68" t="s">
        <v>6454</v>
      </c>
    </row>
    <row r="330" spans="1:5" ht="43.5">
      <c r="A330" s="78" t="s">
        <v>6845</v>
      </c>
      <c r="B330" s="78" t="s">
        <v>6853</v>
      </c>
      <c r="C330" s="97">
        <v>2</v>
      </c>
      <c r="D330" s="82" t="s">
        <v>6855</v>
      </c>
      <c r="E330" s="68" t="s">
        <v>6454</v>
      </c>
    </row>
    <row r="331" spans="1:5" ht="43.5">
      <c r="A331" s="78" t="s">
        <v>6845</v>
      </c>
      <c r="B331" s="78" t="s">
        <v>6853</v>
      </c>
      <c r="C331" s="97">
        <v>3</v>
      </c>
      <c r="D331" s="82" t="s">
        <v>6856</v>
      </c>
      <c r="E331" s="68" t="s">
        <v>6454</v>
      </c>
    </row>
    <row r="332" spans="1:5" ht="43.5">
      <c r="A332" s="78" t="s">
        <v>6845</v>
      </c>
      <c r="B332" s="78" t="s">
        <v>6853</v>
      </c>
      <c r="C332" s="97">
        <v>4</v>
      </c>
      <c r="D332" s="82" t="s">
        <v>6857</v>
      </c>
      <c r="E332" s="68" t="s">
        <v>6454</v>
      </c>
    </row>
    <row r="333" spans="1:5" ht="144.94999999999999">
      <c r="A333" s="78" t="s">
        <v>6845</v>
      </c>
      <c r="B333" s="78" t="s">
        <v>6858</v>
      </c>
      <c r="C333" s="114">
        <v>1</v>
      </c>
      <c r="D333" s="83" t="s">
        <v>6859</v>
      </c>
      <c r="E333" s="68" t="s">
        <v>6451</v>
      </c>
    </row>
    <row r="334" spans="1:5" ht="43.5">
      <c r="A334" s="78" t="s">
        <v>6845</v>
      </c>
      <c r="B334" s="78" t="s">
        <v>6858</v>
      </c>
      <c r="C334" s="97">
        <v>2</v>
      </c>
      <c r="D334" s="82" t="s">
        <v>6860</v>
      </c>
      <c r="E334" s="68" t="s">
        <v>6451</v>
      </c>
    </row>
    <row r="335" spans="1:5" ht="43.5">
      <c r="A335" s="78" t="s">
        <v>6845</v>
      </c>
      <c r="B335" s="78" t="s">
        <v>6858</v>
      </c>
      <c r="C335" s="97">
        <v>3</v>
      </c>
      <c r="D335" s="82" t="s">
        <v>6861</v>
      </c>
      <c r="E335" s="68" t="s">
        <v>6451</v>
      </c>
    </row>
    <row r="336" spans="1:5" ht="43.5">
      <c r="A336" s="78" t="s">
        <v>6845</v>
      </c>
      <c r="B336" s="78" t="s">
        <v>6858</v>
      </c>
      <c r="C336" s="97">
        <v>4</v>
      </c>
      <c r="D336" s="82" t="s">
        <v>6862</v>
      </c>
      <c r="E336" s="68" t="s">
        <v>6451</v>
      </c>
    </row>
    <row r="337" spans="1:5" ht="43.5">
      <c r="A337" s="78" t="s">
        <v>6845</v>
      </c>
      <c r="B337" s="78" t="s">
        <v>6858</v>
      </c>
      <c r="C337" s="97">
        <v>5</v>
      </c>
      <c r="D337" s="82" t="s">
        <v>6863</v>
      </c>
      <c r="E337" s="68" t="s">
        <v>6454</v>
      </c>
    </row>
    <row r="338" spans="1:5" ht="43.5">
      <c r="A338" s="78" t="s">
        <v>6845</v>
      </c>
      <c r="B338" s="78" t="s">
        <v>6864</v>
      </c>
      <c r="C338" s="97">
        <v>1</v>
      </c>
      <c r="D338" s="82" t="s">
        <v>6865</v>
      </c>
      <c r="E338" s="68" t="s">
        <v>6451</v>
      </c>
    </row>
    <row r="339" spans="1:5" ht="43.5">
      <c r="A339" s="78" t="s">
        <v>6845</v>
      </c>
      <c r="B339" s="78" t="s">
        <v>6864</v>
      </c>
      <c r="C339" s="97">
        <v>2</v>
      </c>
      <c r="D339" s="82" t="s">
        <v>6866</v>
      </c>
      <c r="E339" s="68" t="s">
        <v>6451</v>
      </c>
    </row>
    <row r="340" spans="1:5" ht="201.75">
      <c r="A340" s="78" t="s">
        <v>6845</v>
      </c>
      <c r="B340" s="78" t="s">
        <v>6864</v>
      </c>
      <c r="C340" s="114">
        <v>3</v>
      </c>
      <c r="D340" s="83" t="s">
        <v>6867</v>
      </c>
      <c r="E340" s="68" t="s">
        <v>6451</v>
      </c>
    </row>
    <row r="341" spans="1:5" ht="43.5">
      <c r="A341" s="78" t="s">
        <v>6845</v>
      </c>
      <c r="B341" s="78" t="s">
        <v>6864</v>
      </c>
      <c r="C341" s="97">
        <v>4</v>
      </c>
      <c r="D341" s="82" t="s">
        <v>6868</v>
      </c>
      <c r="E341" s="68" t="s">
        <v>6451</v>
      </c>
    </row>
    <row r="342" spans="1:5" ht="43.5">
      <c r="A342" s="78" t="s">
        <v>6845</v>
      </c>
      <c r="B342" s="78" t="s">
        <v>6864</v>
      </c>
      <c r="C342" s="97">
        <v>5</v>
      </c>
      <c r="D342" s="82" t="s">
        <v>6869</v>
      </c>
      <c r="E342" s="68" t="s">
        <v>6451</v>
      </c>
    </row>
    <row r="343" spans="1:5" ht="57.75">
      <c r="A343" s="78" t="s">
        <v>6845</v>
      </c>
      <c r="B343" s="78" t="s">
        <v>6864</v>
      </c>
      <c r="C343" s="97">
        <v>6</v>
      </c>
      <c r="D343" s="82" t="s">
        <v>6870</v>
      </c>
      <c r="E343" s="68" t="s">
        <v>6451</v>
      </c>
    </row>
    <row r="344" spans="1:5" ht="43.5">
      <c r="A344" s="78" t="s">
        <v>6845</v>
      </c>
      <c r="B344" s="78" t="s">
        <v>6871</v>
      </c>
      <c r="C344" s="97">
        <v>1</v>
      </c>
      <c r="D344" s="82" t="s">
        <v>6872</v>
      </c>
      <c r="E344" s="68" t="s">
        <v>6454</v>
      </c>
    </row>
    <row r="345" spans="1:5" ht="43.5">
      <c r="A345" s="78" t="s">
        <v>6845</v>
      </c>
      <c r="B345" s="78" t="s">
        <v>6871</v>
      </c>
      <c r="C345" s="97">
        <v>2</v>
      </c>
      <c r="D345" s="82" t="s">
        <v>6873</v>
      </c>
      <c r="E345" s="68" t="s">
        <v>6451</v>
      </c>
    </row>
    <row r="346" spans="1:5" ht="43.5">
      <c r="A346" s="78" t="s">
        <v>6845</v>
      </c>
      <c r="B346" s="78" t="s">
        <v>6871</v>
      </c>
      <c r="C346" s="97">
        <v>3</v>
      </c>
      <c r="D346" s="82" t="s">
        <v>6874</v>
      </c>
      <c r="E346" s="68" t="s">
        <v>6454</v>
      </c>
    </row>
    <row r="347" spans="1:5" ht="43.5">
      <c r="A347" s="78" t="s">
        <v>6845</v>
      </c>
      <c r="B347" s="78" t="s">
        <v>6871</v>
      </c>
      <c r="C347" s="98">
        <v>4</v>
      </c>
      <c r="D347" s="83" t="s">
        <v>6875</v>
      </c>
      <c r="E347" s="68" t="s">
        <v>6454</v>
      </c>
    </row>
    <row r="348" spans="1:5" ht="43.5">
      <c r="A348" s="78" t="s">
        <v>6845</v>
      </c>
      <c r="B348" s="77" t="s">
        <v>6876</v>
      </c>
      <c r="C348" s="95">
        <v>1</v>
      </c>
      <c r="D348" s="77" t="s">
        <v>6877</v>
      </c>
      <c r="E348" s="68" t="s">
        <v>6454</v>
      </c>
    </row>
    <row r="349" spans="1:5" ht="57.95">
      <c r="A349" s="78" t="s">
        <v>6845</v>
      </c>
      <c r="B349" s="77" t="s">
        <v>6876</v>
      </c>
      <c r="C349" s="95">
        <v>2</v>
      </c>
      <c r="D349" s="77" t="s">
        <v>6878</v>
      </c>
      <c r="E349" s="68" t="s">
        <v>6454</v>
      </c>
    </row>
    <row r="350" spans="1:5" ht="57.95">
      <c r="A350" s="78" t="s">
        <v>6845</v>
      </c>
      <c r="B350" s="77" t="s">
        <v>6876</v>
      </c>
      <c r="C350" s="95">
        <v>3</v>
      </c>
      <c r="D350" s="77" t="s">
        <v>6879</v>
      </c>
      <c r="E350" s="68" t="s">
        <v>6454</v>
      </c>
    </row>
    <row r="351" spans="1:5" ht="201.75">
      <c r="A351" s="78" t="s">
        <v>6845</v>
      </c>
      <c r="B351" s="77" t="s">
        <v>6876</v>
      </c>
      <c r="C351" s="77">
        <v>4</v>
      </c>
      <c r="D351" s="77" t="s">
        <v>6880</v>
      </c>
      <c r="E351" s="68" t="s">
        <v>6454</v>
      </c>
    </row>
    <row r="352" spans="1:5" ht="72.75">
      <c r="A352" s="78" t="s">
        <v>6845</v>
      </c>
      <c r="B352" s="77" t="s">
        <v>6881</v>
      </c>
      <c r="C352" s="95">
        <v>1</v>
      </c>
      <c r="D352" s="77" t="s">
        <v>6882</v>
      </c>
      <c r="E352" s="68" t="s">
        <v>6454</v>
      </c>
    </row>
    <row r="353" spans="1:5" ht="57.95">
      <c r="A353" s="78" t="s">
        <v>6845</v>
      </c>
      <c r="B353" s="77" t="s">
        <v>6881</v>
      </c>
      <c r="C353" s="95">
        <v>2</v>
      </c>
      <c r="D353" s="77" t="s">
        <v>6883</v>
      </c>
      <c r="E353" s="68" t="s">
        <v>6454</v>
      </c>
    </row>
    <row r="354" spans="1:5" ht="72.75">
      <c r="A354" s="78" t="s">
        <v>6845</v>
      </c>
      <c r="B354" s="77" t="s">
        <v>6881</v>
      </c>
      <c r="C354" s="95">
        <v>3</v>
      </c>
      <c r="D354" s="77" t="s">
        <v>6884</v>
      </c>
      <c r="E354" s="68" t="s">
        <v>6454</v>
      </c>
    </row>
    <row r="355" spans="1:5" ht="43.5">
      <c r="A355" s="78" t="s">
        <v>6845</v>
      </c>
      <c r="B355" s="77" t="s">
        <v>6881</v>
      </c>
      <c r="C355" s="95">
        <v>4</v>
      </c>
      <c r="D355" s="77" t="s">
        <v>6885</v>
      </c>
      <c r="E355" s="68" t="s">
        <v>6454</v>
      </c>
    </row>
    <row r="356" spans="1:5" ht="101.45">
      <c r="A356" s="78" t="s">
        <v>6845</v>
      </c>
      <c r="B356" s="77" t="s">
        <v>6881</v>
      </c>
      <c r="C356" s="95">
        <v>5</v>
      </c>
      <c r="D356" s="77" t="s">
        <v>6886</v>
      </c>
      <c r="E356" s="68" t="s">
        <v>6454</v>
      </c>
    </row>
    <row r="357" spans="1:5" ht="43.5">
      <c r="A357" s="78" t="s">
        <v>6845</v>
      </c>
      <c r="B357" s="77" t="s">
        <v>6881</v>
      </c>
      <c r="C357" s="95">
        <v>6</v>
      </c>
      <c r="D357" s="77" t="s">
        <v>6887</v>
      </c>
      <c r="E357" s="68" t="s">
        <v>6454</v>
      </c>
    </row>
    <row r="358" spans="1:5" ht="57.95">
      <c r="A358" s="78" t="s">
        <v>6845</v>
      </c>
      <c r="B358" s="77" t="s">
        <v>6881</v>
      </c>
      <c r="C358" s="95">
        <v>7</v>
      </c>
      <c r="D358" s="77" t="s">
        <v>6888</v>
      </c>
      <c r="E358" s="68" t="s">
        <v>6454</v>
      </c>
    </row>
    <row r="359" spans="1:5" ht="43.5">
      <c r="A359" s="78" t="s">
        <v>6845</v>
      </c>
      <c r="B359" s="77" t="s">
        <v>6889</v>
      </c>
      <c r="C359" s="95">
        <v>1</v>
      </c>
      <c r="D359" s="77" t="s">
        <v>6890</v>
      </c>
      <c r="E359" s="68" t="s">
        <v>6454</v>
      </c>
    </row>
    <row r="360" spans="1:5" ht="43.5">
      <c r="A360" s="78" t="s">
        <v>6845</v>
      </c>
      <c r="B360" s="77" t="s">
        <v>6889</v>
      </c>
      <c r="C360" s="95">
        <v>2</v>
      </c>
      <c r="D360" s="77" t="s">
        <v>6891</v>
      </c>
      <c r="E360" s="68" t="s">
        <v>6454</v>
      </c>
    </row>
    <row r="361" spans="1:5" ht="43.5">
      <c r="A361" s="78" t="s">
        <v>6845</v>
      </c>
      <c r="B361" s="77" t="s">
        <v>6889</v>
      </c>
      <c r="C361" s="95">
        <v>3</v>
      </c>
      <c r="D361" s="77" t="s">
        <v>6892</v>
      </c>
      <c r="E361" s="68" t="s">
        <v>6454</v>
      </c>
    </row>
    <row r="362" spans="1:5" ht="43.5">
      <c r="A362" s="78" t="s">
        <v>6845</v>
      </c>
      <c r="B362" s="77" t="s">
        <v>6889</v>
      </c>
      <c r="C362" s="95">
        <v>4</v>
      </c>
      <c r="D362" s="77" t="s">
        <v>6893</v>
      </c>
      <c r="E362" s="68" t="s">
        <v>6451</v>
      </c>
    </row>
    <row r="363" spans="1:5" ht="57.95">
      <c r="A363" s="78" t="s">
        <v>6845</v>
      </c>
      <c r="B363" s="77" t="s">
        <v>6889</v>
      </c>
      <c r="C363" s="95">
        <v>5</v>
      </c>
      <c r="D363" s="77" t="s">
        <v>6894</v>
      </c>
      <c r="E363" s="68" t="s">
        <v>6451</v>
      </c>
    </row>
    <row r="364" spans="1:5" ht="43.5">
      <c r="A364" s="78" t="s">
        <v>6845</v>
      </c>
      <c r="B364" s="77" t="s">
        <v>6889</v>
      </c>
      <c r="C364" s="95">
        <v>6</v>
      </c>
      <c r="D364" s="77" t="s">
        <v>6895</v>
      </c>
      <c r="E364" s="68" t="s">
        <v>6454</v>
      </c>
    </row>
    <row r="365" spans="1:5" ht="43.5">
      <c r="A365" s="78" t="s">
        <v>6845</v>
      </c>
      <c r="B365" s="77" t="s">
        <v>6889</v>
      </c>
      <c r="C365" s="95">
        <v>7</v>
      </c>
      <c r="D365" s="77" t="s">
        <v>6896</v>
      </c>
      <c r="E365" s="68" t="s">
        <v>6451</v>
      </c>
    </row>
    <row r="366" spans="1:5" ht="43.5">
      <c r="A366" s="78" t="s">
        <v>6845</v>
      </c>
      <c r="B366" s="77" t="s">
        <v>6889</v>
      </c>
      <c r="C366" s="95">
        <v>8</v>
      </c>
      <c r="D366" s="77" t="s">
        <v>6897</v>
      </c>
      <c r="E366" s="68" t="s">
        <v>6451</v>
      </c>
    </row>
    <row r="367" spans="1:5" ht="57.95">
      <c r="A367" s="78" t="s">
        <v>6845</v>
      </c>
      <c r="B367" s="77" t="s">
        <v>6898</v>
      </c>
      <c r="C367" s="95">
        <v>1</v>
      </c>
      <c r="D367" s="77" t="s">
        <v>6899</v>
      </c>
      <c r="E367" s="68" t="s">
        <v>6454</v>
      </c>
    </row>
    <row r="368" spans="1:5" ht="43.5">
      <c r="A368" s="78" t="s">
        <v>6845</v>
      </c>
      <c r="B368" s="77" t="s">
        <v>6898</v>
      </c>
      <c r="C368" s="95">
        <v>2</v>
      </c>
      <c r="D368" s="77" t="s">
        <v>6900</v>
      </c>
      <c r="E368" s="68" t="s">
        <v>6454</v>
      </c>
    </row>
    <row r="369" spans="1:5" ht="29.25">
      <c r="A369" s="78" t="s">
        <v>6845</v>
      </c>
      <c r="B369" s="77" t="s">
        <v>6898</v>
      </c>
      <c r="C369" s="95">
        <v>3</v>
      </c>
      <c r="D369" s="77" t="s">
        <v>6901</v>
      </c>
      <c r="E369" s="68" t="s">
        <v>6454</v>
      </c>
    </row>
    <row r="370" spans="1:5" ht="29.25">
      <c r="A370" s="78" t="s">
        <v>6845</v>
      </c>
      <c r="B370" s="77" t="s">
        <v>6898</v>
      </c>
      <c r="C370" s="95">
        <v>4</v>
      </c>
      <c r="D370" s="77" t="s">
        <v>6902</v>
      </c>
      <c r="E370" s="68" t="s">
        <v>6454</v>
      </c>
    </row>
    <row r="371" spans="1:5" ht="57.95">
      <c r="A371" s="78" t="s">
        <v>6845</v>
      </c>
      <c r="B371" s="77" t="s">
        <v>6903</v>
      </c>
      <c r="C371" s="95">
        <v>1</v>
      </c>
      <c r="D371" s="77" t="s">
        <v>6904</v>
      </c>
      <c r="E371" s="68" t="s">
        <v>6454</v>
      </c>
    </row>
    <row r="372" spans="1:5" ht="57.95">
      <c r="A372" s="78" t="s">
        <v>6845</v>
      </c>
      <c r="B372" s="77" t="s">
        <v>6903</v>
      </c>
      <c r="C372" s="95">
        <v>2</v>
      </c>
      <c r="D372" s="77" t="s">
        <v>6905</v>
      </c>
      <c r="E372" s="68" t="s">
        <v>6454</v>
      </c>
    </row>
    <row r="373" spans="1:5" ht="57.95">
      <c r="A373" s="78" t="s">
        <v>6845</v>
      </c>
      <c r="B373" s="77" t="s">
        <v>6903</v>
      </c>
      <c r="C373" s="95">
        <v>3</v>
      </c>
      <c r="D373" s="77" t="s">
        <v>6906</v>
      </c>
      <c r="E373" s="68" t="s">
        <v>6454</v>
      </c>
    </row>
    <row r="374" spans="1:5" ht="57.95">
      <c r="A374" s="78" t="s">
        <v>6845</v>
      </c>
      <c r="B374" s="77" t="s">
        <v>6903</v>
      </c>
      <c r="C374" s="95">
        <v>4</v>
      </c>
      <c r="D374" s="77" t="s">
        <v>6907</v>
      </c>
      <c r="E374" s="68" t="s">
        <v>6454</v>
      </c>
    </row>
    <row r="375" spans="1:5" ht="57.95">
      <c r="A375" s="78" t="s">
        <v>6845</v>
      </c>
      <c r="B375" s="77" t="s">
        <v>6903</v>
      </c>
      <c r="C375" s="95">
        <v>5</v>
      </c>
      <c r="D375" s="77" t="s">
        <v>6908</v>
      </c>
      <c r="E375" s="68" t="s">
        <v>6454</v>
      </c>
    </row>
    <row r="376" spans="1:5" ht="57.95">
      <c r="A376" s="78" t="s">
        <v>6845</v>
      </c>
      <c r="B376" s="77" t="s">
        <v>6903</v>
      </c>
      <c r="C376" s="95">
        <v>6</v>
      </c>
      <c r="D376" s="77" t="s">
        <v>6909</v>
      </c>
      <c r="E376" s="68" t="s">
        <v>6454</v>
      </c>
    </row>
    <row r="377" spans="1:5" ht="43.5">
      <c r="A377" s="78" t="s">
        <v>6845</v>
      </c>
      <c r="B377" s="77" t="s">
        <v>6910</v>
      </c>
      <c r="C377" s="95">
        <v>1</v>
      </c>
      <c r="D377" s="77" t="s">
        <v>6911</v>
      </c>
      <c r="E377" s="68" t="s">
        <v>6454</v>
      </c>
    </row>
    <row r="378" spans="1:5" ht="43.5">
      <c r="A378" s="78" t="s">
        <v>6845</v>
      </c>
      <c r="B378" s="77" t="s">
        <v>6910</v>
      </c>
      <c r="C378" s="95">
        <v>2</v>
      </c>
      <c r="D378" s="77" t="s">
        <v>6912</v>
      </c>
      <c r="E378" s="68" t="s">
        <v>6454</v>
      </c>
    </row>
    <row r="379" spans="1:5" ht="43.5">
      <c r="A379" s="78" t="s">
        <v>6845</v>
      </c>
      <c r="B379" s="77" t="s">
        <v>6910</v>
      </c>
      <c r="C379" s="95">
        <v>3</v>
      </c>
      <c r="D379" s="77" t="s">
        <v>6913</v>
      </c>
      <c r="E379" s="68" t="s">
        <v>6454</v>
      </c>
    </row>
    <row r="380" spans="1:5" ht="43.5">
      <c r="A380" s="78" t="s">
        <v>6845</v>
      </c>
      <c r="B380" s="77" t="s">
        <v>6910</v>
      </c>
      <c r="C380" s="95">
        <v>4</v>
      </c>
      <c r="D380" s="77" t="s">
        <v>6914</v>
      </c>
      <c r="E380" s="68" t="s">
        <v>6454</v>
      </c>
    </row>
    <row r="381" spans="1:5" ht="43.5">
      <c r="A381" s="78" t="s">
        <v>6845</v>
      </c>
      <c r="B381" s="77" t="s">
        <v>6915</v>
      </c>
      <c r="C381" s="95">
        <v>1</v>
      </c>
      <c r="D381" s="77" t="s">
        <v>6916</v>
      </c>
      <c r="E381" s="68" t="s">
        <v>6454</v>
      </c>
    </row>
    <row r="382" spans="1:5" ht="43.5">
      <c r="A382" s="78" t="s">
        <v>6845</v>
      </c>
      <c r="B382" s="77" t="s">
        <v>6915</v>
      </c>
      <c r="C382" s="95">
        <v>2</v>
      </c>
      <c r="D382" s="77" t="s">
        <v>6917</v>
      </c>
      <c r="E382" s="68" t="s">
        <v>6454</v>
      </c>
    </row>
    <row r="383" spans="1:5" ht="43.5">
      <c r="A383" s="78" t="s">
        <v>6845</v>
      </c>
      <c r="B383" s="77" t="s">
        <v>6915</v>
      </c>
      <c r="C383" s="95">
        <v>3</v>
      </c>
      <c r="D383" s="77" t="s">
        <v>6918</v>
      </c>
      <c r="E383" s="68" t="s">
        <v>6451</v>
      </c>
    </row>
    <row r="384" spans="1:5" ht="43.5">
      <c r="A384" s="78" t="s">
        <v>6845</v>
      </c>
      <c r="B384" s="77" t="s">
        <v>6915</v>
      </c>
      <c r="C384" s="95">
        <v>4</v>
      </c>
      <c r="D384" s="77" t="s">
        <v>6919</v>
      </c>
      <c r="E384" s="68" t="s">
        <v>6454</v>
      </c>
    </row>
    <row r="385" spans="1:5" ht="43.5">
      <c r="A385" s="78" t="s">
        <v>6845</v>
      </c>
      <c r="B385" s="77" t="s">
        <v>6920</v>
      </c>
      <c r="C385" s="95">
        <v>1</v>
      </c>
      <c r="D385" s="77" t="s">
        <v>6921</v>
      </c>
      <c r="E385" s="68" t="s">
        <v>6454</v>
      </c>
    </row>
    <row r="386" spans="1:5" ht="43.5">
      <c r="A386" s="78" t="s">
        <v>6845</v>
      </c>
      <c r="B386" s="77" t="s">
        <v>6920</v>
      </c>
      <c r="C386" s="95">
        <v>2</v>
      </c>
      <c r="D386" s="77" t="s">
        <v>6922</v>
      </c>
      <c r="E386" s="68" t="s">
        <v>6454</v>
      </c>
    </row>
    <row r="387" spans="1:5" ht="43.5">
      <c r="A387" s="78" t="s">
        <v>6845</v>
      </c>
      <c r="B387" s="77" t="s">
        <v>6920</v>
      </c>
      <c r="C387" s="95">
        <v>3</v>
      </c>
      <c r="D387" s="77" t="s">
        <v>6923</v>
      </c>
      <c r="E387" s="68" t="s">
        <v>6454</v>
      </c>
    </row>
    <row r="388" spans="1:5" ht="72.75">
      <c r="A388" s="78" t="s">
        <v>6845</v>
      </c>
      <c r="B388" s="77" t="s">
        <v>6924</v>
      </c>
      <c r="C388" s="95">
        <v>1</v>
      </c>
      <c r="D388" s="77" t="s">
        <v>6925</v>
      </c>
      <c r="E388" s="68" t="s">
        <v>6451</v>
      </c>
    </row>
    <row r="389" spans="1:5" ht="72.75">
      <c r="A389" s="78" t="s">
        <v>6845</v>
      </c>
      <c r="B389" s="77" t="s">
        <v>6924</v>
      </c>
      <c r="C389" s="95">
        <v>2</v>
      </c>
      <c r="D389" s="77" t="s">
        <v>6926</v>
      </c>
      <c r="E389" s="68" t="s">
        <v>6451</v>
      </c>
    </row>
    <row r="390" spans="1:5" ht="72.75">
      <c r="A390" s="78" t="s">
        <v>6845</v>
      </c>
      <c r="B390" s="77" t="s">
        <v>6924</v>
      </c>
      <c r="C390" s="95">
        <v>3</v>
      </c>
      <c r="D390" s="77" t="s">
        <v>6927</v>
      </c>
      <c r="E390" s="68" t="s">
        <v>6451</v>
      </c>
    </row>
    <row r="391" spans="1:5" ht="72.75">
      <c r="A391" s="78" t="s">
        <v>6845</v>
      </c>
      <c r="B391" s="77" t="s">
        <v>6924</v>
      </c>
      <c r="C391" s="95">
        <v>4</v>
      </c>
      <c r="D391" s="77" t="s">
        <v>6928</v>
      </c>
      <c r="E391" s="68" t="s">
        <v>6451</v>
      </c>
    </row>
    <row r="392" spans="1:5" ht="72.75">
      <c r="A392" s="78" t="s">
        <v>6845</v>
      </c>
      <c r="B392" s="77" t="s">
        <v>6924</v>
      </c>
      <c r="C392" s="95">
        <v>5</v>
      </c>
      <c r="D392" s="77" t="s">
        <v>6929</v>
      </c>
      <c r="E392" s="68" t="s">
        <v>6451</v>
      </c>
    </row>
    <row r="393" spans="1:5" ht="72.75">
      <c r="A393" s="78" t="s">
        <v>6845</v>
      </c>
      <c r="B393" s="77" t="s">
        <v>6924</v>
      </c>
      <c r="C393" s="95">
        <v>6</v>
      </c>
      <c r="D393" s="77" t="s">
        <v>6930</v>
      </c>
      <c r="E393" s="68" t="s">
        <v>6451</v>
      </c>
    </row>
    <row r="394" spans="1:5" ht="72.75">
      <c r="A394" s="78" t="s">
        <v>6845</v>
      </c>
      <c r="B394" s="77" t="s">
        <v>6924</v>
      </c>
      <c r="C394" s="95">
        <v>7</v>
      </c>
      <c r="D394" s="77" t="s">
        <v>6931</v>
      </c>
      <c r="E394" s="68" t="s">
        <v>6454</v>
      </c>
    </row>
    <row r="395" spans="1:5" ht="43.5">
      <c r="A395" s="78" t="s">
        <v>6845</v>
      </c>
      <c r="B395" s="77" t="s">
        <v>6932</v>
      </c>
      <c r="C395" s="95">
        <v>1</v>
      </c>
      <c r="D395" s="77" t="s">
        <v>6933</v>
      </c>
      <c r="E395" s="68" t="s">
        <v>6454</v>
      </c>
    </row>
    <row r="396" spans="1:5" ht="43.5">
      <c r="A396" s="78" t="s">
        <v>6845</v>
      </c>
      <c r="B396" s="77" t="s">
        <v>6932</v>
      </c>
      <c r="C396" s="95">
        <v>2</v>
      </c>
      <c r="D396" s="77" t="s">
        <v>6934</v>
      </c>
      <c r="E396" s="68" t="s">
        <v>6454</v>
      </c>
    </row>
    <row r="397" spans="1:5" ht="43.5">
      <c r="A397" s="78" t="s">
        <v>6845</v>
      </c>
      <c r="B397" s="77" t="s">
        <v>6932</v>
      </c>
      <c r="C397" s="95">
        <v>3</v>
      </c>
      <c r="D397" s="77" t="s">
        <v>6935</v>
      </c>
      <c r="E397" s="68" t="s">
        <v>6454</v>
      </c>
    </row>
    <row r="398" spans="1:5" ht="43.5">
      <c r="A398" s="78" t="s">
        <v>6845</v>
      </c>
      <c r="B398" s="77" t="s">
        <v>6932</v>
      </c>
      <c r="C398" s="95">
        <v>4</v>
      </c>
      <c r="D398" s="77" t="s">
        <v>6936</v>
      </c>
      <c r="E398" s="68" t="s">
        <v>6454</v>
      </c>
    </row>
    <row r="399" spans="1:5" ht="43.5">
      <c r="A399" s="78" t="s">
        <v>6845</v>
      </c>
      <c r="B399" s="77" t="s">
        <v>6937</v>
      </c>
      <c r="C399" s="95">
        <v>1</v>
      </c>
      <c r="D399" s="77" t="s">
        <v>6938</v>
      </c>
      <c r="E399" s="68" t="s">
        <v>6454</v>
      </c>
    </row>
    <row r="400" spans="1:5" ht="43.5">
      <c r="A400" s="78" t="s">
        <v>6845</v>
      </c>
      <c r="B400" s="77" t="s">
        <v>6937</v>
      </c>
      <c r="C400" s="95">
        <v>2</v>
      </c>
      <c r="D400" s="77" t="s">
        <v>6939</v>
      </c>
      <c r="E400" s="68" t="s">
        <v>6454</v>
      </c>
    </row>
    <row r="401" spans="1:5" ht="43.5">
      <c r="A401" s="78" t="s">
        <v>6845</v>
      </c>
      <c r="B401" s="77" t="s">
        <v>6937</v>
      </c>
      <c r="C401" s="95">
        <v>3</v>
      </c>
      <c r="D401" s="77" t="s">
        <v>6940</v>
      </c>
      <c r="E401" s="68" t="s">
        <v>6451</v>
      </c>
    </row>
    <row r="402" spans="1:5" ht="57.95">
      <c r="A402" s="78" t="s">
        <v>6845</v>
      </c>
      <c r="B402" s="77" t="s">
        <v>6937</v>
      </c>
      <c r="C402" s="95">
        <v>4</v>
      </c>
      <c r="D402" s="77" t="s">
        <v>6941</v>
      </c>
      <c r="E402" s="68" t="s">
        <v>6454</v>
      </c>
    </row>
    <row r="403" spans="1:5" ht="43.5">
      <c r="A403" s="78" t="s">
        <v>6845</v>
      </c>
      <c r="B403" s="77" t="s">
        <v>6937</v>
      </c>
      <c r="C403" s="95">
        <v>5</v>
      </c>
      <c r="D403" s="77" t="s">
        <v>6942</v>
      </c>
      <c r="E403" s="68" t="s">
        <v>6454</v>
      </c>
    </row>
    <row r="404" spans="1:5" ht="43.5">
      <c r="A404" s="78" t="s">
        <v>6845</v>
      </c>
      <c r="B404" s="77" t="s">
        <v>6937</v>
      </c>
      <c r="C404" s="95">
        <v>6</v>
      </c>
      <c r="D404" s="77" t="s">
        <v>6943</v>
      </c>
      <c r="E404" s="68" t="s">
        <v>6454</v>
      </c>
    </row>
    <row r="405" spans="1:5" ht="57.95">
      <c r="A405" s="78" t="s">
        <v>6845</v>
      </c>
      <c r="B405" s="77" t="s">
        <v>6937</v>
      </c>
      <c r="C405" s="95">
        <v>7</v>
      </c>
      <c r="D405" s="77" t="s">
        <v>6944</v>
      </c>
      <c r="E405" s="68" t="s">
        <v>6451</v>
      </c>
    </row>
    <row r="406" spans="1:5" ht="57.95">
      <c r="A406" s="78" t="s">
        <v>6845</v>
      </c>
      <c r="B406" s="77" t="s">
        <v>6945</v>
      </c>
      <c r="C406" s="95">
        <v>1</v>
      </c>
      <c r="D406" s="77" t="s">
        <v>6946</v>
      </c>
      <c r="E406" s="68" t="s">
        <v>6451</v>
      </c>
    </row>
    <row r="407" spans="1:5" ht="130.5">
      <c r="A407" s="78" t="s">
        <v>6845</v>
      </c>
      <c r="B407" s="77" t="s">
        <v>6945</v>
      </c>
      <c r="C407" s="95">
        <v>2</v>
      </c>
      <c r="D407" s="77" t="s">
        <v>6947</v>
      </c>
      <c r="E407" s="68" t="s">
        <v>6454</v>
      </c>
    </row>
    <row r="408" spans="1:5" ht="72.75">
      <c r="A408" s="78" t="s">
        <v>6845</v>
      </c>
      <c r="B408" s="77" t="s">
        <v>6945</v>
      </c>
      <c r="C408" s="95">
        <v>3</v>
      </c>
      <c r="D408" s="77" t="s">
        <v>6948</v>
      </c>
      <c r="E408" s="68" t="s">
        <v>6451</v>
      </c>
    </row>
    <row r="409" spans="1:5" ht="57.95">
      <c r="A409" s="78" t="s">
        <v>6845</v>
      </c>
      <c r="B409" s="77" t="s">
        <v>6945</v>
      </c>
      <c r="C409" s="95">
        <v>4</v>
      </c>
      <c r="D409" s="77" t="s">
        <v>6949</v>
      </c>
      <c r="E409" s="68" t="s">
        <v>6451</v>
      </c>
    </row>
    <row r="410" spans="1:5" ht="57.95">
      <c r="A410" s="78" t="s">
        <v>6845</v>
      </c>
      <c r="B410" s="77" t="s">
        <v>6945</v>
      </c>
      <c r="C410" s="95">
        <v>5</v>
      </c>
      <c r="D410" s="77" t="s">
        <v>6950</v>
      </c>
      <c r="E410" s="68" t="s">
        <v>6451</v>
      </c>
    </row>
    <row r="411" spans="1:5" ht="101.45">
      <c r="A411" s="78" t="s">
        <v>6845</v>
      </c>
      <c r="B411" s="77" t="s">
        <v>6951</v>
      </c>
      <c r="C411" s="95">
        <v>1</v>
      </c>
      <c r="D411" s="77" t="s">
        <v>6952</v>
      </c>
      <c r="E411" s="68" t="s">
        <v>6454</v>
      </c>
    </row>
    <row r="412" spans="1:5" ht="101.45">
      <c r="A412" s="78" t="s">
        <v>6845</v>
      </c>
      <c r="B412" s="77" t="s">
        <v>6951</v>
      </c>
      <c r="C412" s="95">
        <v>2</v>
      </c>
      <c r="D412" s="77" t="s">
        <v>6953</v>
      </c>
      <c r="E412" s="68" t="s">
        <v>6454</v>
      </c>
    </row>
    <row r="413" spans="1:5" ht="101.45">
      <c r="A413" s="78" t="s">
        <v>6845</v>
      </c>
      <c r="B413" s="77" t="s">
        <v>6951</v>
      </c>
      <c r="C413" s="95">
        <v>3</v>
      </c>
      <c r="D413" s="77" t="s">
        <v>6954</v>
      </c>
      <c r="E413" s="68" t="s">
        <v>6454</v>
      </c>
    </row>
    <row r="414" spans="1:5" ht="101.45">
      <c r="A414" s="78" t="s">
        <v>6845</v>
      </c>
      <c r="B414" s="77" t="s">
        <v>6951</v>
      </c>
      <c r="C414" s="95">
        <v>4</v>
      </c>
      <c r="D414" s="77" t="s">
        <v>6955</v>
      </c>
      <c r="E414" s="68" t="s">
        <v>6454</v>
      </c>
    </row>
    <row r="415" spans="1:5" ht="101.45">
      <c r="A415" s="78" t="s">
        <v>6845</v>
      </c>
      <c r="B415" s="77" t="s">
        <v>6951</v>
      </c>
      <c r="C415" s="95">
        <v>5</v>
      </c>
      <c r="D415" s="77" t="s">
        <v>6956</v>
      </c>
      <c r="E415" s="68" t="s">
        <v>6454</v>
      </c>
    </row>
    <row r="416" spans="1:5" ht="57.95">
      <c r="A416" s="78" t="s">
        <v>6845</v>
      </c>
      <c r="B416" s="77" t="s">
        <v>6957</v>
      </c>
      <c r="C416" s="95">
        <v>1</v>
      </c>
      <c r="D416" s="77" t="s">
        <v>6958</v>
      </c>
      <c r="E416" s="68" t="s">
        <v>6451</v>
      </c>
    </row>
    <row r="417" spans="1:5" ht="57.95">
      <c r="A417" s="78" t="s">
        <v>6845</v>
      </c>
      <c r="B417" s="77" t="s">
        <v>6957</v>
      </c>
      <c r="C417" s="95">
        <v>2</v>
      </c>
      <c r="D417" s="77" t="s">
        <v>6959</v>
      </c>
      <c r="E417" s="68" t="s">
        <v>6451</v>
      </c>
    </row>
    <row r="418" spans="1:5" ht="57.95">
      <c r="A418" s="78" t="s">
        <v>6845</v>
      </c>
      <c r="B418" s="77" t="s">
        <v>6957</v>
      </c>
      <c r="C418" s="95">
        <v>3</v>
      </c>
      <c r="D418" s="77" t="s">
        <v>6960</v>
      </c>
      <c r="E418" s="68" t="s">
        <v>6451</v>
      </c>
    </row>
    <row r="419" spans="1:5" ht="72.75">
      <c r="A419" s="78" t="s">
        <v>6845</v>
      </c>
      <c r="B419" s="77" t="s">
        <v>6957</v>
      </c>
      <c r="C419" s="95">
        <v>4</v>
      </c>
      <c r="D419" s="77" t="s">
        <v>6961</v>
      </c>
      <c r="E419" s="68" t="s">
        <v>6454</v>
      </c>
    </row>
    <row r="420" spans="1:5" ht="57.95">
      <c r="A420" s="78" t="s">
        <v>6845</v>
      </c>
      <c r="B420" s="77" t="s">
        <v>6957</v>
      </c>
      <c r="C420" s="95">
        <v>5</v>
      </c>
      <c r="D420" s="77" t="s">
        <v>6962</v>
      </c>
      <c r="E420" s="170" t="s">
        <v>6454</v>
      </c>
    </row>
    <row r="421" spans="1:5" ht="57.95">
      <c r="A421" s="78" t="s">
        <v>6845</v>
      </c>
      <c r="B421" s="77" t="s">
        <v>6957</v>
      </c>
      <c r="C421" s="95">
        <v>6</v>
      </c>
      <c r="D421" s="77" t="s">
        <v>6963</v>
      </c>
      <c r="E421" s="68" t="s">
        <v>6451</v>
      </c>
    </row>
    <row r="422" spans="1:5" ht="72.75">
      <c r="A422" s="78" t="s">
        <v>6845</v>
      </c>
      <c r="B422" s="77" t="s">
        <v>6964</v>
      </c>
      <c r="C422" s="95">
        <v>1</v>
      </c>
      <c r="D422" s="77" t="s">
        <v>6965</v>
      </c>
      <c r="E422" s="68" t="s">
        <v>6454</v>
      </c>
    </row>
    <row r="423" spans="1:5" ht="72.75">
      <c r="A423" s="78" t="s">
        <v>6845</v>
      </c>
      <c r="B423" s="77" t="s">
        <v>6964</v>
      </c>
      <c r="C423" s="95">
        <v>2</v>
      </c>
      <c r="D423" s="77" t="s">
        <v>6966</v>
      </c>
      <c r="E423" s="68" t="s">
        <v>6454</v>
      </c>
    </row>
    <row r="424" spans="1:5" ht="72.75">
      <c r="A424" s="78" t="s">
        <v>6845</v>
      </c>
      <c r="B424" s="77" t="s">
        <v>6964</v>
      </c>
      <c r="C424" s="95">
        <v>3</v>
      </c>
      <c r="D424" s="77" t="s">
        <v>6967</v>
      </c>
      <c r="E424" s="68" t="s">
        <v>6451</v>
      </c>
    </row>
    <row r="425" spans="1:5" ht="72.75">
      <c r="A425" s="78" t="s">
        <v>6845</v>
      </c>
      <c r="B425" s="77" t="s">
        <v>6964</v>
      </c>
      <c r="C425" s="95">
        <v>4</v>
      </c>
      <c r="D425" s="77" t="s">
        <v>6968</v>
      </c>
      <c r="E425" s="68" t="s">
        <v>6451</v>
      </c>
    </row>
    <row r="426" spans="1:5" ht="72.75">
      <c r="A426" s="78" t="s">
        <v>6845</v>
      </c>
      <c r="B426" s="77" t="s">
        <v>6964</v>
      </c>
      <c r="C426" s="95">
        <v>5</v>
      </c>
      <c r="D426" s="77" t="s">
        <v>6969</v>
      </c>
      <c r="E426" s="68" t="s">
        <v>6451</v>
      </c>
    </row>
    <row r="427" spans="1:5" ht="72.75">
      <c r="A427" s="78" t="s">
        <v>6845</v>
      </c>
      <c r="B427" s="77" t="s">
        <v>6970</v>
      </c>
      <c r="C427" s="95">
        <v>1</v>
      </c>
      <c r="D427" s="77" t="s">
        <v>6971</v>
      </c>
      <c r="E427" s="68" t="s">
        <v>6451</v>
      </c>
    </row>
    <row r="428" spans="1:5" ht="72.75">
      <c r="A428" s="78" t="s">
        <v>6845</v>
      </c>
      <c r="B428" s="77" t="s">
        <v>6970</v>
      </c>
      <c r="C428" s="95">
        <v>2</v>
      </c>
      <c r="D428" s="77" t="s">
        <v>6972</v>
      </c>
      <c r="E428" s="68" t="s">
        <v>6451</v>
      </c>
    </row>
    <row r="429" spans="1:5" ht="72.75">
      <c r="A429" s="78" t="s">
        <v>6845</v>
      </c>
      <c r="B429" s="77" t="s">
        <v>6970</v>
      </c>
      <c r="C429" s="95">
        <v>3</v>
      </c>
      <c r="D429" s="77" t="s">
        <v>6973</v>
      </c>
      <c r="E429" s="68" t="s">
        <v>6451</v>
      </c>
    </row>
    <row r="430" spans="1:5" ht="72.75">
      <c r="A430" s="78" t="s">
        <v>6845</v>
      </c>
      <c r="B430" s="77" t="s">
        <v>6970</v>
      </c>
      <c r="C430" s="95">
        <v>4</v>
      </c>
      <c r="D430" s="77" t="s">
        <v>6974</v>
      </c>
      <c r="E430" s="68" t="s">
        <v>6451</v>
      </c>
    </row>
    <row r="431" spans="1:5" ht="72.75">
      <c r="A431" s="78" t="s">
        <v>6845</v>
      </c>
      <c r="B431" s="77" t="s">
        <v>6975</v>
      </c>
      <c r="C431" s="95">
        <v>1</v>
      </c>
      <c r="D431" s="77" t="s">
        <v>6976</v>
      </c>
      <c r="E431" s="68" t="s">
        <v>6451</v>
      </c>
    </row>
    <row r="432" spans="1:5" ht="72.75">
      <c r="A432" s="78" t="s">
        <v>6845</v>
      </c>
      <c r="B432" s="77" t="s">
        <v>6975</v>
      </c>
      <c r="C432" s="95">
        <v>2</v>
      </c>
      <c r="D432" s="77" t="s">
        <v>6977</v>
      </c>
      <c r="E432" s="68" t="s">
        <v>6451</v>
      </c>
    </row>
    <row r="433" spans="1:5" ht="72.75">
      <c r="A433" s="78" t="s">
        <v>6845</v>
      </c>
      <c r="B433" s="77" t="s">
        <v>6975</v>
      </c>
      <c r="C433" s="95">
        <v>3</v>
      </c>
      <c r="D433" s="77" t="s">
        <v>6978</v>
      </c>
      <c r="E433" s="68" t="s">
        <v>6451</v>
      </c>
    </row>
    <row r="434" spans="1:5" ht="72.75">
      <c r="A434" s="78" t="s">
        <v>6845</v>
      </c>
      <c r="B434" s="77" t="s">
        <v>6975</v>
      </c>
      <c r="C434" s="95">
        <v>4</v>
      </c>
      <c r="D434" s="77" t="s">
        <v>6979</v>
      </c>
      <c r="E434" s="68" t="s">
        <v>6451</v>
      </c>
    </row>
    <row r="435" spans="1:5" ht="72.75">
      <c r="A435" s="78" t="s">
        <v>6845</v>
      </c>
      <c r="B435" s="77" t="s">
        <v>6975</v>
      </c>
      <c r="C435" s="95">
        <v>5</v>
      </c>
      <c r="D435" s="77" t="s">
        <v>6980</v>
      </c>
      <c r="E435" s="68" t="s">
        <v>6451</v>
      </c>
    </row>
    <row r="436" spans="1:5" ht="72.75">
      <c r="A436" s="78" t="s">
        <v>6845</v>
      </c>
      <c r="B436" s="77" t="s">
        <v>6975</v>
      </c>
      <c r="C436" s="95">
        <v>6</v>
      </c>
      <c r="D436" s="77" t="s">
        <v>6981</v>
      </c>
      <c r="E436" s="68" t="s">
        <v>6451</v>
      </c>
    </row>
    <row r="437" spans="1:5" ht="43.5">
      <c r="A437" s="78" t="s">
        <v>6845</v>
      </c>
      <c r="B437" s="77" t="s">
        <v>6982</v>
      </c>
      <c r="C437" s="95">
        <v>1</v>
      </c>
      <c r="D437" s="77" t="s">
        <v>6983</v>
      </c>
      <c r="E437" s="68" t="s">
        <v>6451</v>
      </c>
    </row>
    <row r="438" spans="1:5" ht="57.95">
      <c r="A438" s="78" t="s">
        <v>6845</v>
      </c>
      <c r="B438" s="77" t="s">
        <v>6982</v>
      </c>
      <c r="C438" s="95">
        <v>2</v>
      </c>
      <c r="D438" s="77" t="s">
        <v>6984</v>
      </c>
      <c r="E438" s="68" t="s">
        <v>6451</v>
      </c>
    </row>
    <row r="439" spans="1:5" ht="43.5">
      <c r="A439" s="78" t="s">
        <v>6845</v>
      </c>
      <c r="B439" s="77" t="s">
        <v>6982</v>
      </c>
      <c r="C439" s="95">
        <v>3</v>
      </c>
      <c r="D439" s="77" t="s">
        <v>6985</v>
      </c>
      <c r="E439" s="68" t="s">
        <v>6451</v>
      </c>
    </row>
    <row r="440" spans="1:5" ht="87">
      <c r="A440" s="77" t="s">
        <v>6986</v>
      </c>
      <c r="B440" s="77" t="s">
        <v>6987</v>
      </c>
      <c r="C440" s="95">
        <v>1</v>
      </c>
      <c r="D440" s="84" t="s">
        <v>6988</v>
      </c>
      <c r="E440" s="178" t="s">
        <v>6451</v>
      </c>
    </row>
    <row r="441" spans="1:5" ht="72.75">
      <c r="A441" s="77" t="s">
        <v>6986</v>
      </c>
      <c r="B441" s="77" t="s">
        <v>6987</v>
      </c>
      <c r="C441" s="95">
        <v>2</v>
      </c>
      <c r="D441" s="84" t="s">
        <v>6989</v>
      </c>
      <c r="E441" s="172" t="s">
        <v>6451</v>
      </c>
    </row>
    <row r="442" spans="1:5" ht="87">
      <c r="A442" s="77" t="s">
        <v>6986</v>
      </c>
      <c r="B442" s="77" t="s">
        <v>6987</v>
      </c>
      <c r="C442" s="95">
        <v>3</v>
      </c>
      <c r="D442" s="84" t="s">
        <v>6990</v>
      </c>
      <c r="E442" s="172" t="s">
        <v>6454</v>
      </c>
    </row>
    <row r="443" spans="1:5" ht="130.5">
      <c r="A443" s="77" t="s">
        <v>6986</v>
      </c>
      <c r="B443" s="77" t="s">
        <v>6987</v>
      </c>
      <c r="C443" s="95">
        <v>4</v>
      </c>
      <c r="D443" s="84" t="s">
        <v>6991</v>
      </c>
      <c r="E443" s="172" t="s">
        <v>6454</v>
      </c>
    </row>
    <row r="444" spans="1:5" ht="87">
      <c r="A444" s="77" t="s">
        <v>6986</v>
      </c>
      <c r="B444" s="77" t="s">
        <v>6992</v>
      </c>
      <c r="C444" s="95">
        <v>1</v>
      </c>
      <c r="D444" s="84" t="s">
        <v>6993</v>
      </c>
      <c r="E444" s="172" t="s">
        <v>6451</v>
      </c>
    </row>
    <row r="445" spans="1:5" ht="72.75">
      <c r="A445" s="77" t="s">
        <v>6986</v>
      </c>
      <c r="B445" s="77" t="s">
        <v>6992</v>
      </c>
      <c r="C445" s="95">
        <v>2</v>
      </c>
      <c r="D445" s="84" t="s">
        <v>6994</v>
      </c>
      <c r="E445" s="172" t="s">
        <v>6454</v>
      </c>
    </row>
    <row r="446" spans="1:5" ht="72.75">
      <c r="A446" s="77" t="s">
        <v>6986</v>
      </c>
      <c r="B446" s="77" t="s">
        <v>6992</v>
      </c>
      <c r="C446" s="95">
        <v>3</v>
      </c>
      <c r="D446" s="84" t="s">
        <v>6995</v>
      </c>
      <c r="E446" s="172" t="s">
        <v>6454</v>
      </c>
    </row>
    <row r="447" spans="1:5" ht="72.75">
      <c r="A447" s="77" t="s">
        <v>6986</v>
      </c>
      <c r="B447" s="77" t="s">
        <v>6992</v>
      </c>
      <c r="C447" s="95">
        <v>4</v>
      </c>
      <c r="D447" s="84" t="s">
        <v>6996</v>
      </c>
      <c r="E447" s="172" t="s">
        <v>6451</v>
      </c>
    </row>
    <row r="448" spans="1:5" ht="72.75">
      <c r="A448" s="77" t="s">
        <v>6986</v>
      </c>
      <c r="B448" s="77" t="s">
        <v>6997</v>
      </c>
      <c r="C448" s="95">
        <v>1</v>
      </c>
      <c r="D448" s="84" t="s">
        <v>6998</v>
      </c>
      <c r="E448" s="172" t="s">
        <v>6451</v>
      </c>
    </row>
    <row r="449" spans="1:5" ht="72.75">
      <c r="A449" s="77" t="s">
        <v>6986</v>
      </c>
      <c r="B449" s="77" t="s">
        <v>6997</v>
      </c>
      <c r="C449" s="95">
        <v>2</v>
      </c>
      <c r="D449" s="84" t="s">
        <v>6999</v>
      </c>
      <c r="E449" s="172" t="s">
        <v>6451</v>
      </c>
    </row>
    <row r="450" spans="1:5" ht="72.75">
      <c r="A450" s="77" t="s">
        <v>6986</v>
      </c>
      <c r="B450" s="77" t="s">
        <v>6997</v>
      </c>
      <c r="C450" s="95">
        <v>3</v>
      </c>
      <c r="D450" s="84" t="s">
        <v>7000</v>
      </c>
      <c r="E450" s="172" t="s">
        <v>6454</v>
      </c>
    </row>
    <row r="451" spans="1:5" ht="87">
      <c r="A451" s="77" t="s">
        <v>6986</v>
      </c>
      <c r="B451" s="77" t="s">
        <v>6997</v>
      </c>
      <c r="C451" s="95">
        <v>4</v>
      </c>
      <c r="D451" s="84" t="s">
        <v>7001</v>
      </c>
      <c r="E451" s="172" t="s">
        <v>6451</v>
      </c>
    </row>
    <row r="452" spans="1:5" ht="72.75">
      <c r="A452" s="77" t="s">
        <v>6986</v>
      </c>
      <c r="B452" s="77" t="s">
        <v>6997</v>
      </c>
      <c r="C452" s="95">
        <v>5</v>
      </c>
      <c r="D452" s="84" t="s">
        <v>7002</v>
      </c>
      <c r="E452" s="172" t="s">
        <v>6451</v>
      </c>
    </row>
    <row r="453" spans="1:5" ht="72.75">
      <c r="A453" s="77" t="s">
        <v>6986</v>
      </c>
      <c r="B453" s="77" t="s">
        <v>6997</v>
      </c>
      <c r="C453" s="95">
        <v>6</v>
      </c>
      <c r="D453" s="84" t="s">
        <v>7003</v>
      </c>
      <c r="E453" s="172" t="s">
        <v>6454</v>
      </c>
    </row>
    <row r="454" spans="1:5" ht="72.75">
      <c r="A454" s="77" t="s">
        <v>6986</v>
      </c>
      <c r="B454" s="77" t="s">
        <v>7004</v>
      </c>
      <c r="C454" s="95">
        <v>1</v>
      </c>
      <c r="D454" s="84" t="s">
        <v>7005</v>
      </c>
      <c r="E454" s="172" t="s">
        <v>6454</v>
      </c>
    </row>
    <row r="455" spans="1:5" ht="72.75">
      <c r="A455" s="77" t="s">
        <v>6986</v>
      </c>
      <c r="B455" s="77" t="s">
        <v>7004</v>
      </c>
      <c r="C455" s="95">
        <v>2</v>
      </c>
      <c r="D455" s="84" t="s">
        <v>7006</v>
      </c>
      <c r="E455" s="172" t="s">
        <v>6451</v>
      </c>
    </row>
    <row r="456" spans="1:5" ht="116.1">
      <c r="A456" s="77" t="s">
        <v>6986</v>
      </c>
      <c r="B456" s="77" t="s">
        <v>7004</v>
      </c>
      <c r="C456" s="95">
        <v>3</v>
      </c>
      <c r="D456" s="84" t="s">
        <v>7007</v>
      </c>
      <c r="E456" s="172" t="s">
        <v>6451</v>
      </c>
    </row>
    <row r="457" spans="1:5" ht="72.75">
      <c r="A457" s="77" t="s">
        <v>6986</v>
      </c>
      <c r="B457" s="77" t="s">
        <v>7004</v>
      </c>
      <c r="C457" s="95">
        <v>4</v>
      </c>
      <c r="D457" s="84" t="s">
        <v>7008</v>
      </c>
      <c r="E457" s="172" t="s">
        <v>6451</v>
      </c>
    </row>
    <row r="458" spans="1:5" ht="116.1">
      <c r="A458" s="77" t="s">
        <v>6986</v>
      </c>
      <c r="B458" s="77" t="s">
        <v>7009</v>
      </c>
      <c r="C458" s="95">
        <v>1</v>
      </c>
      <c r="D458" s="84" t="s">
        <v>7010</v>
      </c>
      <c r="E458" s="172" t="s">
        <v>6454</v>
      </c>
    </row>
    <row r="459" spans="1:5" ht="116.1">
      <c r="A459" s="77" t="s">
        <v>6986</v>
      </c>
      <c r="B459" s="77" t="s">
        <v>7009</v>
      </c>
      <c r="C459" s="95">
        <v>2</v>
      </c>
      <c r="D459" s="84" t="s">
        <v>7011</v>
      </c>
      <c r="E459" s="172" t="s">
        <v>6451</v>
      </c>
    </row>
    <row r="460" spans="1:5" ht="116.1">
      <c r="A460" s="77" t="s">
        <v>6986</v>
      </c>
      <c r="B460" s="77" t="s">
        <v>7009</v>
      </c>
      <c r="C460" s="95">
        <v>3</v>
      </c>
      <c r="D460" s="84" t="s">
        <v>7012</v>
      </c>
      <c r="E460" s="172" t="s">
        <v>6454</v>
      </c>
    </row>
    <row r="461" spans="1:5" ht="116.1">
      <c r="A461" s="77" t="s">
        <v>6986</v>
      </c>
      <c r="B461" s="77" t="s">
        <v>7009</v>
      </c>
      <c r="C461" s="95">
        <v>4</v>
      </c>
      <c r="D461" s="84" t="s">
        <v>7013</v>
      </c>
      <c r="E461" s="172" t="s">
        <v>6451</v>
      </c>
    </row>
    <row r="462" spans="1:5" ht="72.75">
      <c r="A462" s="78" t="s">
        <v>7014</v>
      </c>
      <c r="B462" s="78" t="s">
        <v>7015</v>
      </c>
      <c r="C462" s="95">
        <v>1</v>
      </c>
      <c r="D462" s="77" t="s">
        <v>7016</v>
      </c>
      <c r="E462" s="171" t="s">
        <v>6454</v>
      </c>
    </row>
    <row r="463" spans="1:5" ht="72.75">
      <c r="A463" s="78" t="s">
        <v>7014</v>
      </c>
      <c r="B463" s="78" t="s">
        <v>7015</v>
      </c>
      <c r="C463" s="95">
        <v>2</v>
      </c>
      <c r="D463" s="77" t="s">
        <v>7017</v>
      </c>
      <c r="E463" s="171" t="s">
        <v>6454</v>
      </c>
    </row>
    <row r="464" spans="1:5" ht="72.75">
      <c r="A464" s="78" t="s">
        <v>7014</v>
      </c>
      <c r="B464" s="78" t="s">
        <v>7015</v>
      </c>
      <c r="C464" s="95">
        <v>3</v>
      </c>
      <c r="D464" s="77" t="s">
        <v>7018</v>
      </c>
      <c r="E464" s="171" t="s">
        <v>6454</v>
      </c>
    </row>
    <row r="465" spans="1:5" ht="72.75">
      <c r="A465" s="78" t="s">
        <v>7014</v>
      </c>
      <c r="B465" s="78" t="s">
        <v>7015</v>
      </c>
      <c r="C465" s="95">
        <v>4</v>
      </c>
      <c r="D465" s="77" t="s">
        <v>7019</v>
      </c>
      <c r="E465" s="171" t="s">
        <v>6454</v>
      </c>
    </row>
    <row r="466" spans="1:5" ht="72.75">
      <c r="A466" s="78" t="s">
        <v>7014</v>
      </c>
      <c r="B466" s="78" t="s">
        <v>7015</v>
      </c>
      <c r="C466" s="95">
        <v>5</v>
      </c>
      <c r="D466" s="77" t="s">
        <v>7020</v>
      </c>
      <c r="E466" s="171" t="s">
        <v>6454</v>
      </c>
    </row>
    <row r="467" spans="1:5" ht="43.5">
      <c r="A467" s="78" t="s">
        <v>7014</v>
      </c>
      <c r="B467" s="78" t="s">
        <v>7021</v>
      </c>
      <c r="C467" s="95">
        <v>1</v>
      </c>
      <c r="D467" s="77" t="s">
        <v>7022</v>
      </c>
      <c r="E467" s="171" t="s">
        <v>6454</v>
      </c>
    </row>
    <row r="468" spans="1:5" ht="43.5">
      <c r="A468" s="78" t="s">
        <v>7014</v>
      </c>
      <c r="B468" s="78" t="s">
        <v>7021</v>
      </c>
      <c r="C468" s="95">
        <v>2</v>
      </c>
      <c r="D468" s="77" t="s">
        <v>7023</v>
      </c>
      <c r="E468" s="171" t="s">
        <v>6454</v>
      </c>
    </row>
    <row r="469" spans="1:5" ht="43.5">
      <c r="A469" s="78" t="s">
        <v>7014</v>
      </c>
      <c r="B469" s="78" t="s">
        <v>7021</v>
      </c>
      <c r="C469" s="95">
        <v>3</v>
      </c>
      <c r="D469" s="77" t="s">
        <v>7024</v>
      </c>
      <c r="E469" s="171" t="s">
        <v>6454</v>
      </c>
    </row>
    <row r="470" spans="1:5" ht="43.5">
      <c r="A470" s="78" t="s">
        <v>7014</v>
      </c>
      <c r="B470" s="78" t="s">
        <v>7021</v>
      </c>
      <c r="C470" s="95">
        <v>4</v>
      </c>
      <c r="D470" s="77" t="s">
        <v>7025</v>
      </c>
      <c r="E470" s="171" t="s">
        <v>6454</v>
      </c>
    </row>
    <row r="471" spans="1:5" ht="43.5">
      <c r="A471" s="78" t="s">
        <v>7014</v>
      </c>
      <c r="B471" s="78" t="s">
        <v>7021</v>
      </c>
      <c r="C471" s="95">
        <v>5</v>
      </c>
      <c r="D471" s="77" t="s">
        <v>7026</v>
      </c>
      <c r="E471" s="171" t="s">
        <v>6454</v>
      </c>
    </row>
    <row r="472" spans="1:5" ht="72.75">
      <c r="A472" s="78" t="s">
        <v>7014</v>
      </c>
      <c r="B472" s="78" t="s">
        <v>7027</v>
      </c>
      <c r="C472" s="95">
        <v>1</v>
      </c>
      <c r="D472" s="77" t="s">
        <v>7028</v>
      </c>
      <c r="E472" s="171" t="s">
        <v>6454</v>
      </c>
    </row>
    <row r="473" spans="1:5" ht="72.75">
      <c r="A473" s="78" t="s">
        <v>7014</v>
      </c>
      <c r="B473" s="78" t="s">
        <v>7027</v>
      </c>
      <c r="C473" s="95">
        <v>2</v>
      </c>
      <c r="D473" s="77" t="s">
        <v>7029</v>
      </c>
      <c r="E473" s="171" t="s">
        <v>6454</v>
      </c>
    </row>
    <row r="474" spans="1:5" ht="72.75">
      <c r="A474" s="78" t="s">
        <v>7014</v>
      </c>
      <c r="B474" s="78" t="s">
        <v>7027</v>
      </c>
      <c r="C474" s="95">
        <v>3</v>
      </c>
      <c r="D474" s="77" t="s">
        <v>7030</v>
      </c>
      <c r="E474" s="171" t="s">
        <v>6454</v>
      </c>
    </row>
    <row r="475" spans="1:5" ht="72.75">
      <c r="A475" s="78" t="s">
        <v>7014</v>
      </c>
      <c r="B475" s="78" t="s">
        <v>7031</v>
      </c>
      <c r="C475" s="95">
        <v>1</v>
      </c>
      <c r="D475" s="77" t="s">
        <v>7032</v>
      </c>
      <c r="E475" s="171" t="s">
        <v>6454</v>
      </c>
    </row>
    <row r="476" spans="1:5" ht="72.75">
      <c r="A476" s="78" t="s">
        <v>7014</v>
      </c>
      <c r="B476" s="78" t="s">
        <v>7031</v>
      </c>
      <c r="C476" s="95">
        <v>2</v>
      </c>
      <c r="D476" s="77" t="s">
        <v>7033</v>
      </c>
      <c r="E476" s="171" t="s">
        <v>6454</v>
      </c>
    </row>
    <row r="477" spans="1:5" ht="72.75">
      <c r="A477" s="78" t="s">
        <v>7014</v>
      </c>
      <c r="B477" s="78" t="s">
        <v>7031</v>
      </c>
      <c r="C477" s="95">
        <v>3</v>
      </c>
      <c r="D477" s="77" t="s">
        <v>7034</v>
      </c>
      <c r="E477" s="171" t="s">
        <v>6454</v>
      </c>
    </row>
    <row r="478" spans="1:5" ht="174">
      <c r="A478" s="78" t="s">
        <v>7014</v>
      </c>
      <c r="B478" s="78" t="s">
        <v>7031</v>
      </c>
      <c r="C478" s="78">
        <v>4</v>
      </c>
      <c r="D478" s="78" t="s">
        <v>7035</v>
      </c>
      <c r="E478" s="172" t="s">
        <v>6454</v>
      </c>
    </row>
    <row r="479" spans="1:5" ht="43.5">
      <c r="A479" s="78" t="s">
        <v>7014</v>
      </c>
      <c r="B479" s="78" t="s">
        <v>7036</v>
      </c>
      <c r="C479" s="95">
        <v>1</v>
      </c>
      <c r="D479" s="77" t="s">
        <v>7037</v>
      </c>
      <c r="E479" s="172" t="s">
        <v>6454</v>
      </c>
    </row>
    <row r="480" spans="1:5" ht="43.5">
      <c r="A480" s="78" t="s">
        <v>7014</v>
      </c>
      <c r="B480" s="78" t="s">
        <v>7036</v>
      </c>
      <c r="C480" s="95">
        <v>2</v>
      </c>
      <c r="D480" s="77" t="s">
        <v>7038</v>
      </c>
      <c r="E480" s="172" t="s">
        <v>6454</v>
      </c>
    </row>
    <row r="481" spans="1:5" ht="43.5">
      <c r="A481" s="78" t="s">
        <v>7014</v>
      </c>
      <c r="B481" s="78" t="s">
        <v>7036</v>
      </c>
      <c r="C481" s="95">
        <v>3</v>
      </c>
      <c r="D481" s="77" t="s">
        <v>7039</v>
      </c>
      <c r="E481" s="172" t="s">
        <v>6451</v>
      </c>
    </row>
    <row r="482" spans="1:5" ht="57.95">
      <c r="A482" s="78" t="s">
        <v>7014</v>
      </c>
      <c r="B482" s="78" t="s">
        <v>7040</v>
      </c>
      <c r="C482" s="95">
        <v>1</v>
      </c>
      <c r="D482" s="77" t="s">
        <v>7041</v>
      </c>
      <c r="E482" s="172" t="s">
        <v>6454</v>
      </c>
    </row>
    <row r="483" spans="1:5" ht="72.75">
      <c r="A483" s="78" t="s">
        <v>7014</v>
      </c>
      <c r="B483" s="78" t="s">
        <v>7040</v>
      </c>
      <c r="C483" s="95">
        <v>2</v>
      </c>
      <c r="D483" s="77" t="s">
        <v>7042</v>
      </c>
      <c r="E483" s="172" t="s">
        <v>6454</v>
      </c>
    </row>
    <row r="484" spans="1:5" ht="57.95">
      <c r="A484" s="78" t="s">
        <v>7014</v>
      </c>
      <c r="B484" s="78" t="s">
        <v>7040</v>
      </c>
      <c r="C484" s="95">
        <v>3</v>
      </c>
      <c r="D484" s="77" t="s">
        <v>7043</v>
      </c>
      <c r="E484" s="172" t="s">
        <v>6451</v>
      </c>
    </row>
    <row r="485" spans="1:5" ht="57.95">
      <c r="A485" s="78" t="s">
        <v>7014</v>
      </c>
      <c r="B485" s="78" t="s">
        <v>7040</v>
      </c>
      <c r="C485" s="95">
        <v>4</v>
      </c>
      <c r="D485" s="77" t="s">
        <v>7044</v>
      </c>
      <c r="E485" s="172" t="s">
        <v>6454</v>
      </c>
    </row>
    <row r="486" spans="1:5" ht="101.45">
      <c r="A486" s="78" t="s">
        <v>7014</v>
      </c>
      <c r="B486" s="78" t="s">
        <v>7040</v>
      </c>
      <c r="C486" s="95">
        <v>5</v>
      </c>
      <c r="D486" s="77" t="s">
        <v>7045</v>
      </c>
      <c r="E486" s="172" t="s">
        <v>6454</v>
      </c>
    </row>
    <row r="487" spans="1:5" ht="57.95">
      <c r="A487" s="78" t="s">
        <v>7014</v>
      </c>
      <c r="B487" s="78" t="s">
        <v>7040</v>
      </c>
      <c r="C487" s="95">
        <v>6</v>
      </c>
      <c r="D487" s="77" t="s">
        <v>7046</v>
      </c>
      <c r="E487" s="172" t="s">
        <v>6454</v>
      </c>
    </row>
    <row r="488" spans="1:5" ht="57.95">
      <c r="A488" s="78" t="s">
        <v>7014</v>
      </c>
      <c r="B488" s="78" t="s">
        <v>7040</v>
      </c>
      <c r="C488" s="95">
        <v>7</v>
      </c>
      <c r="D488" s="77" t="s">
        <v>7047</v>
      </c>
      <c r="E488" s="172" t="s">
        <v>6454</v>
      </c>
    </row>
    <row r="489" spans="1:5" ht="57.95">
      <c r="A489" s="78" t="s">
        <v>7014</v>
      </c>
      <c r="B489" s="78" t="s">
        <v>7048</v>
      </c>
      <c r="C489" s="95">
        <v>1</v>
      </c>
      <c r="D489" s="77" t="s">
        <v>7049</v>
      </c>
      <c r="E489" s="172" t="s">
        <v>6454</v>
      </c>
    </row>
    <row r="490" spans="1:5" ht="130.5">
      <c r="A490" s="78" t="s">
        <v>7014</v>
      </c>
      <c r="B490" s="78" t="s">
        <v>7048</v>
      </c>
      <c r="C490" s="95">
        <v>2</v>
      </c>
      <c r="D490" s="77" t="s">
        <v>7050</v>
      </c>
      <c r="E490" s="172" t="s">
        <v>6454</v>
      </c>
    </row>
    <row r="491" spans="1:5" ht="57.95">
      <c r="A491" s="78" t="s">
        <v>7014</v>
      </c>
      <c r="B491" s="78" t="s">
        <v>7048</v>
      </c>
      <c r="C491" s="95">
        <v>3</v>
      </c>
      <c r="D491" s="77" t="s">
        <v>7051</v>
      </c>
      <c r="E491" s="172" t="s">
        <v>6454</v>
      </c>
    </row>
    <row r="492" spans="1:5" ht="87">
      <c r="A492" s="78" t="s">
        <v>7014</v>
      </c>
      <c r="B492" s="78" t="s">
        <v>7052</v>
      </c>
      <c r="C492" s="95">
        <v>1</v>
      </c>
      <c r="D492" s="77" t="s">
        <v>7053</v>
      </c>
      <c r="E492" s="172" t="s">
        <v>6454</v>
      </c>
    </row>
    <row r="493" spans="1:5" ht="87">
      <c r="A493" s="78" t="s">
        <v>7014</v>
      </c>
      <c r="B493" s="78" t="s">
        <v>7052</v>
      </c>
      <c r="C493" s="95">
        <v>2</v>
      </c>
      <c r="D493" s="77" t="s">
        <v>7054</v>
      </c>
      <c r="E493" s="172" t="s">
        <v>6454</v>
      </c>
    </row>
    <row r="494" spans="1:5" ht="87">
      <c r="A494" s="78" t="s">
        <v>7014</v>
      </c>
      <c r="B494" s="78" t="s">
        <v>7052</v>
      </c>
      <c r="C494" s="95">
        <v>3</v>
      </c>
      <c r="D494" s="77" t="s">
        <v>7055</v>
      </c>
      <c r="E494" s="172" t="s">
        <v>6451</v>
      </c>
    </row>
    <row r="495" spans="1:5" ht="87">
      <c r="A495" s="78" t="s">
        <v>7014</v>
      </c>
      <c r="B495" s="78" t="s">
        <v>7052</v>
      </c>
      <c r="C495" s="95">
        <v>4</v>
      </c>
      <c r="D495" s="77" t="s">
        <v>7056</v>
      </c>
      <c r="E495" s="172" t="s">
        <v>6451</v>
      </c>
    </row>
    <row r="496" spans="1:5" ht="72.75">
      <c r="A496" s="78" t="s">
        <v>7014</v>
      </c>
      <c r="B496" s="78" t="s">
        <v>7057</v>
      </c>
      <c r="C496" s="95">
        <v>1</v>
      </c>
      <c r="D496" s="77" t="s">
        <v>7058</v>
      </c>
      <c r="E496" s="172" t="s">
        <v>6454</v>
      </c>
    </row>
    <row r="497" spans="1:5" ht="72.75">
      <c r="A497" s="78" t="s">
        <v>7014</v>
      </c>
      <c r="B497" s="78" t="s">
        <v>7057</v>
      </c>
      <c r="C497" s="95">
        <v>2</v>
      </c>
      <c r="D497" s="77" t="s">
        <v>7059</v>
      </c>
      <c r="E497" s="172" t="s">
        <v>6454</v>
      </c>
    </row>
    <row r="498" spans="1:5" ht="72.75">
      <c r="A498" s="78" t="s">
        <v>7014</v>
      </c>
      <c r="B498" s="78" t="s">
        <v>7057</v>
      </c>
      <c r="C498" s="95">
        <v>3</v>
      </c>
      <c r="D498" s="77" t="s">
        <v>7060</v>
      </c>
      <c r="E498" s="172" t="s">
        <v>6454</v>
      </c>
    </row>
    <row r="499" spans="1:5" ht="72.75">
      <c r="A499" s="78" t="s">
        <v>7014</v>
      </c>
      <c r="B499" s="78" t="s">
        <v>7057</v>
      </c>
      <c r="C499" s="95">
        <v>4</v>
      </c>
      <c r="D499" s="77" t="s">
        <v>7061</v>
      </c>
      <c r="E499" s="172" t="s">
        <v>6454</v>
      </c>
    </row>
    <row r="500" spans="1:5" ht="72.75">
      <c r="A500" s="78" t="s">
        <v>7014</v>
      </c>
      <c r="B500" s="78" t="s">
        <v>7057</v>
      </c>
      <c r="C500" s="95">
        <v>5</v>
      </c>
      <c r="D500" s="77" t="s">
        <v>7062</v>
      </c>
      <c r="E500" s="172" t="s">
        <v>6451</v>
      </c>
    </row>
    <row r="501" spans="1:5" ht="72.75">
      <c r="A501" s="78" t="s">
        <v>7014</v>
      </c>
      <c r="B501" s="78" t="s">
        <v>7057</v>
      </c>
      <c r="C501" s="95">
        <v>6</v>
      </c>
      <c r="D501" s="77" t="s">
        <v>7063</v>
      </c>
      <c r="E501" s="172" t="s">
        <v>6451</v>
      </c>
    </row>
    <row r="502" spans="1:5" ht="87">
      <c r="A502" s="78" t="s">
        <v>7014</v>
      </c>
      <c r="B502" s="78" t="s">
        <v>7064</v>
      </c>
      <c r="C502" s="95">
        <v>1</v>
      </c>
      <c r="D502" s="77" t="s">
        <v>7065</v>
      </c>
      <c r="E502" s="172" t="s">
        <v>6451</v>
      </c>
    </row>
    <row r="503" spans="1:5" ht="87">
      <c r="A503" s="78" t="s">
        <v>7014</v>
      </c>
      <c r="B503" s="78" t="s">
        <v>7064</v>
      </c>
      <c r="C503" s="95">
        <v>2</v>
      </c>
      <c r="D503" s="77" t="s">
        <v>7066</v>
      </c>
      <c r="E503" s="172" t="s">
        <v>6451</v>
      </c>
    </row>
    <row r="504" spans="1:5" ht="87">
      <c r="A504" s="78" t="s">
        <v>7014</v>
      </c>
      <c r="B504" s="78" t="s">
        <v>7064</v>
      </c>
      <c r="C504" s="95">
        <v>3</v>
      </c>
      <c r="D504" s="77" t="s">
        <v>7067</v>
      </c>
      <c r="E504" s="172" t="s">
        <v>6454</v>
      </c>
    </row>
    <row r="505" spans="1:5" ht="87">
      <c r="A505" s="78" t="s">
        <v>7014</v>
      </c>
      <c r="B505" s="78" t="s">
        <v>7064</v>
      </c>
      <c r="C505" s="95">
        <v>4</v>
      </c>
      <c r="D505" s="77" t="s">
        <v>7068</v>
      </c>
      <c r="E505" s="172" t="s">
        <v>6451</v>
      </c>
    </row>
    <row r="506" spans="1:5" ht="57.95">
      <c r="A506" s="78" t="s">
        <v>7014</v>
      </c>
      <c r="B506" s="78" t="s">
        <v>7069</v>
      </c>
      <c r="C506" s="95">
        <v>1</v>
      </c>
      <c r="D506" s="77" t="s">
        <v>7070</v>
      </c>
      <c r="E506" s="172" t="s">
        <v>6454</v>
      </c>
    </row>
    <row r="507" spans="1:5" ht="57.95">
      <c r="A507" s="78" t="s">
        <v>7014</v>
      </c>
      <c r="B507" s="78" t="s">
        <v>7069</v>
      </c>
      <c r="C507" s="95">
        <v>2</v>
      </c>
      <c r="D507" s="77" t="s">
        <v>7071</v>
      </c>
      <c r="E507" s="172" t="s">
        <v>6454</v>
      </c>
    </row>
    <row r="508" spans="1:5" ht="57.95">
      <c r="A508" s="78" t="s">
        <v>7014</v>
      </c>
      <c r="B508" s="78" t="s">
        <v>7069</v>
      </c>
      <c r="C508" s="95">
        <v>3</v>
      </c>
      <c r="D508" s="77" t="s">
        <v>7072</v>
      </c>
      <c r="E508" s="172" t="s">
        <v>6454</v>
      </c>
    </row>
    <row r="509" spans="1:5" ht="57.95">
      <c r="A509" s="78" t="s">
        <v>7014</v>
      </c>
      <c r="B509" s="78" t="s">
        <v>7069</v>
      </c>
      <c r="C509" s="95">
        <v>4</v>
      </c>
      <c r="D509" s="77" t="s">
        <v>7073</v>
      </c>
      <c r="E509" s="172" t="s">
        <v>6454</v>
      </c>
    </row>
    <row r="510" spans="1:5" ht="116.1">
      <c r="A510" s="78" t="s">
        <v>7014</v>
      </c>
      <c r="B510" s="78" t="s">
        <v>7074</v>
      </c>
      <c r="C510" s="78">
        <v>1</v>
      </c>
      <c r="D510" s="78" t="s">
        <v>7075</v>
      </c>
      <c r="E510" s="173" t="s">
        <v>6454</v>
      </c>
    </row>
    <row r="511" spans="1:5" ht="72.75">
      <c r="A511" s="78" t="s">
        <v>7014</v>
      </c>
      <c r="B511" s="78" t="s">
        <v>7074</v>
      </c>
      <c r="C511" s="95">
        <v>2</v>
      </c>
      <c r="D511" s="77" t="s">
        <v>7076</v>
      </c>
      <c r="E511" s="173" t="s">
        <v>6454</v>
      </c>
    </row>
    <row r="512" spans="1:5" ht="72.75">
      <c r="A512" s="78" t="s">
        <v>7014</v>
      </c>
      <c r="B512" s="78" t="s">
        <v>7074</v>
      </c>
      <c r="C512" s="95">
        <v>3</v>
      </c>
      <c r="D512" s="77" t="s">
        <v>7077</v>
      </c>
      <c r="E512" s="173" t="s">
        <v>6454</v>
      </c>
    </row>
    <row r="513" spans="1:5" ht="72.75">
      <c r="A513" s="78" t="s">
        <v>7014</v>
      </c>
      <c r="B513" s="78" t="s">
        <v>7078</v>
      </c>
      <c r="C513" s="95">
        <v>1</v>
      </c>
      <c r="D513" s="77" t="s">
        <v>7079</v>
      </c>
      <c r="E513" s="172" t="s">
        <v>6454</v>
      </c>
    </row>
    <row r="514" spans="1:5" ht="57.95">
      <c r="A514" s="78" t="s">
        <v>7014</v>
      </c>
      <c r="B514" s="78" t="s">
        <v>7078</v>
      </c>
      <c r="C514" s="95">
        <v>2</v>
      </c>
      <c r="D514" s="77" t="s">
        <v>7080</v>
      </c>
      <c r="E514" s="172" t="s">
        <v>6454</v>
      </c>
    </row>
    <row r="515" spans="1:5" ht="43.5">
      <c r="A515" s="78" t="s">
        <v>7014</v>
      </c>
      <c r="B515" s="78" t="s">
        <v>7078</v>
      </c>
      <c r="C515" s="95">
        <v>3</v>
      </c>
      <c r="D515" s="77" t="s">
        <v>7081</v>
      </c>
      <c r="E515" s="172" t="s">
        <v>6454</v>
      </c>
    </row>
    <row r="516" spans="1:5" ht="43.5">
      <c r="A516" s="78" t="s">
        <v>7014</v>
      </c>
      <c r="B516" s="78" t="s">
        <v>7078</v>
      </c>
      <c r="C516" s="95">
        <v>4</v>
      </c>
      <c r="D516" s="77" t="s">
        <v>7082</v>
      </c>
      <c r="E516" s="172" t="s">
        <v>6454</v>
      </c>
    </row>
    <row r="517" spans="1:5" ht="72.75">
      <c r="A517" s="78" t="s">
        <v>7014</v>
      </c>
      <c r="B517" s="78" t="s">
        <v>7083</v>
      </c>
      <c r="C517" s="95">
        <v>1</v>
      </c>
      <c r="D517" s="77" t="s">
        <v>7084</v>
      </c>
      <c r="E517" s="172" t="s">
        <v>6454</v>
      </c>
    </row>
    <row r="518" spans="1:5" ht="72.75">
      <c r="A518" s="78" t="s">
        <v>7014</v>
      </c>
      <c r="B518" s="78" t="s">
        <v>7083</v>
      </c>
      <c r="C518" s="95">
        <v>2</v>
      </c>
      <c r="D518" s="77" t="s">
        <v>7085</v>
      </c>
      <c r="E518" s="172" t="s">
        <v>6454</v>
      </c>
    </row>
    <row r="519" spans="1:5" ht="72.75">
      <c r="A519" s="78" t="s">
        <v>7014</v>
      </c>
      <c r="B519" s="78" t="s">
        <v>7083</v>
      </c>
      <c r="C519" s="95">
        <v>3</v>
      </c>
      <c r="D519" s="77" t="s">
        <v>7086</v>
      </c>
      <c r="E519" s="172" t="s">
        <v>6451</v>
      </c>
    </row>
    <row r="520" spans="1:5" ht="72.75">
      <c r="A520" s="78" t="s">
        <v>7014</v>
      </c>
      <c r="B520" s="78" t="s">
        <v>7083</v>
      </c>
      <c r="C520" s="95">
        <v>4</v>
      </c>
      <c r="D520" s="77" t="s">
        <v>7087</v>
      </c>
      <c r="E520" s="172" t="s">
        <v>6451</v>
      </c>
    </row>
    <row r="521" spans="1:5" ht="72.75">
      <c r="A521" s="78" t="s">
        <v>7014</v>
      </c>
      <c r="B521" s="78" t="s">
        <v>7088</v>
      </c>
      <c r="C521" s="95">
        <v>1</v>
      </c>
      <c r="D521" s="77" t="s">
        <v>7089</v>
      </c>
      <c r="E521" s="172" t="s">
        <v>6454</v>
      </c>
    </row>
    <row r="522" spans="1:5" ht="72.75">
      <c r="A522" s="78" t="s">
        <v>7014</v>
      </c>
      <c r="B522" s="78" t="s">
        <v>7088</v>
      </c>
      <c r="C522" s="95">
        <v>2</v>
      </c>
      <c r="D522" s="77" t="s">
        <v>7090</v>
      </c>
      <c r="E522" s="172" t="s">
        <v>6454</v>
      </c>
    </row>
    <row r="523" spans="1:5" ht="72.75">
      <c r="A523" s="78" t="s">
        <v>7014</v>
      </c>
      <c r="B523" s="78" t="s">
        <v>7088</v>
      </c>
      <c r="C523" s="95">
        <v>3</v>
      </c>
      <c r="D523" s="77" t="s">
        <v>7091</v>
      </c>
      <c r="E523" s="172" t="s">
        <v>6454</v>
      </c>
    </row>
    <row r="524" spans="1:5" ht="72.75">
      <c r="A524" s="78" t="s">
        <v>7014</v>
      </c>
      <c r="B524" s="78" t="s">
        <v>7088</v>
      </c>
      <c r="C524" s="95">
        <v>4</v>
      </c>
      <c r="D524" s="77" t="s">
        <v>7092</v>
      </c>
      <c r="E524" s="172" t="s">
        <v>6454</v>
      </c>
    </row>
    <row r="525" spans="1:5" ht="130.5">
      <c r="A525" s="78" t="s">
        <v>7014</v>
      </c>
      <c r="B525" s="78" t="s">
        <v>7093</v>
      </c>
      <c r="C525" s="95">
        <v>1</v>
      </c>
      <c r="D525" s="77" t="s">
        <v>7094</v>
      </c>
      <c r="E525" s="172" t="s">
        <v>6454</v>
      </c>
    </row>
    <row r="526" spans="1:5" ht="101.45">
      <c r="A526" s="78" t="s">
        <v>7014</v>
      </c>
      <c r="B526" s="78" t="s">
        <v>7093</v>
      </c>
      <c r="C526" s="95">
        <v>2</v>
      </c>
      <c r="D526" s="77" t="s">
        <v>7095</v>
      </c>
      <c r="E526" s="172" t="s">
        <v>6454</v>
      </c>
    </row>
    <row r="527" spans="1:5" ht="101.45">
      <c r="A527" s="78" t="s">
        <v>7014</v>
      </c>
      <c r="B527" s="78" t="s">
        <v>7093</v>
      </c>
      <c r="C527" s="95">
        <v>3</v>
      </c>
      <c r="D527" s="77" t="s">
        <v>7096</v>
      </c>
      <c r="E527" s="172" t="s">
        <v>6454</v>
      </c>
    </row>
    <row r="528" spans="1:5" ht="101.45">
      <c r="A528" s="78" t="s">
        <v>7014</v>
      </c>
      <c r="B528" s="78" t="s">
        <v>7093</v>
      </c>
      <c r="C528" s="95">
        <v>4</v>
      </c>
      <c r="D528" s="77" t="s">
        <v>7097</v>
      </c>
      <c r="E528" s="172" t="s">
        <v>6451</v>
      </c>
    </row>
    <row r="529" spans="1:5" ht="101.45">
      <c r="A529" s="78" t="s">
        <v>7014</v>
      </c>
      <c r="B529" s="78" t="s">
        <v>7093</v>
      </c>
      <c r="C529" s="95">
        <v>5</v>
      </c>
      <c r="D529" s="77" t="s">
        <v>7098</v>
      </c>
      <c r="E529" s="172" t="s">
        <v>6454</v>
      </c>
    </row>
    <row r="530" spans="1:5" ht="101.45">
      <c r="A530" s="78" t="s">
        <v>7014</v>
      </c>
      <c r="B530" s="78" t="s">
        <v>7093</v>
      </c>
      <c r="C530" s="95">
        <v>6</v>
      </c>
      <c r="D530" s="77" t="s">
        <v>7099</v>
      </c>
      <c r="E530" s="172" t="s">
        <v>6454</v>
      </c>
    </row>
    <row r="531" spans="1:5" ht="43.5">
      <c r="A531" s="78" t="s">
        <v>7014</v>
      </c>
      <c r="B531" s="78" t="s">
        <v>7100</v>
      </c>
      <c r="C531" s="95">
        <v>1</v>
      </c>
      <c r="D531" s="77" t="s">
        <v>7101</v>
      </c>
      <c r="E531" s="172" t="s">
        <v>6454</v>
      </c>
    </row>
    <row r="532" spans="1:5" ht="43.5">
      <c r="A532" s="78" t="s">
        <v>7014</v>
      </c>
      <c r="B532" s="78" t="s">
        <v>7100</v>
      </c>
      <c r="C532" s="95">
        <v>2</v>
      </c>
      <c r="D532" s="77" t="s">
        <v>7102</v>
      </c>
      <c r="E532" s="172" t="s">
        <v>6454</v>
      </c>
    </row>
    <row r="533" spans="1:5" ht="72.75">
      <c r="A533" s="78" t="s">
        <v>7014</v>
      </c>
      <c r="B533" s="78" t="s">
        <v>7100</v>
      </c>
      <c r="C533" s="95">
        <v>3</v>
      </c>
      <c r="D533" s="77" t="s">
        <v>7103</v>
      </c>
      <c r="E533" s="172" t="s">
        <v>6454</v>
      </c>
    </row>
    <row r="534" spans="1:5" ht="43.5">
      <c r="A534" s="78" t="s">
        <v>7014</v>
      </c>
      <c r="B534" s="78" t="s">
        <v>7100</v>
      </c>
      <c r="C534" s="95">
        <v>4</v>
      </c>
      <c r="D534" s="77" t="s">
        <v>7104</v>
      </c>
      <c r="E534" s="172" t="s">
        <v>6454</v>
      </c>
    </row>
    <row r="535" spans="1:5" ht="57.95">
      <c r="A535" s="78" t="s">
        <v>7014</v>
      </c>
      <c r="B535" s="78" t="s">
        <v>7100</v>
      </c>
      <c r="C535" s="95">
        <v>5</v>
      </c>
      <c r="D535" s="77" t="s">
        <v>7105</v>
      </c>
      <c r="E535" s="172" t="s">
        <v>6454</v>
      </c>
    </row>
    <row r="536" spans="1:5" ht="43.5">
      <c r="A536" s="78" t="s">
        <v>7014</v>
      </c>
      <c r="B536" s="78" t="s">
        <v>7100</v>
      </c>
      <c r="C536" s="95">
        <v>6</v>
      </c>
      <c r="D536" s="77" t="s">
        <v>7106</v>
      </c>
      <c r="E536" s="172" t="s">
        <v>6454</v>
      </c>
    </row>
    <row r="537" spans="1:5" ht="57.95">
      <c r="A537" s="78" t="s">
        <v>7014</v>
      </c>
      <c r="B537" s="78" t="s">
        <v>7107</v>
      </c>
      <c r="C537" s="95">
        <v>1</v>
      </c>
      <c r="D537" s="77" t="s">
        <v>7108</v>
      </c>
      <c r="E537" s="172" t="s">
        <v>6451</v>
      </c>
    </row>
    <row r="538" spans="1:5" ht="57.95">
      <c r="A538" s="78" t="s">
        <v>7014</v>
      </c>
      <c r="B538" s="78" t="s">
        <v>7107</v>
      </c>
      <c r="C538" s="95">
        <v>2</v>
      </c>
      <c r="D538" s="77" t="s">
        <v>7109</v>
      </c>
      <c r="E538" s="172" t="s">
        <v>6451</v>
      </c>
    </row>
    <row r="539" spans="1:5" ht="57.95">
      <c r="A539" s="78" t="s">
        <v>7014</v>
      </c>
      <c r="B539" s="78" t="s">
        <v>7107</v>
      </c>
      <c r="C539" s="95">
        <v>3</v>
      </c>
      <c r="D539" s="77" t="s">
        <v>7110</v>
      </c>
      <c r="E539" s="172" t="s">
        <v>6451</v>
      </c>
    </row>
    <row r="540" spans="1:5" ht="57.95">
      <c r="A540" s="78" t="s">
        <v>7014</v>
      </c>
      <c r="B540" s="78" t="s">
        <v>7107</v>
      </c>
      <c r="C540" s="95">
        <v>4</v>
      </c>
      <c r="D540" s="77" t="s">
        <v>7111</v>
      </c>
      <c r="E540" s="172" t="s">
        <v>6451</v>
      </c>
    </row>
    <row r="541" spans="1:5" ht="57.95">
      <c r="A541" s="78" t="s">
        <v>7014</v>
      </c>
      <c r="B541" s="78" t="s">
        <v>7107</v>
      </c>
      <c r="C541" s="95">
        <v>5</v>
      </c>
      <c r="D541" s="77" t="s">
        <v>7112</v>
      </c>
      <c r="E541" s="172" t="s">
        <v>6451</v>
      </c>
    </row>
    <row r="542" spans="1:5" ht="72.75">
      <c r="A542" s="78" t="s">
        <v>7014</v>
      </c>
      <c r="B542" s="78" t="s">
        <v>7113</v>
      </c>
      <c r="C542" s="95">
        <v>1</v>
      </c>
      <c r="D542" s="77" t="s">
        <v>7114</v>
      </c>
      <c r="E542" s="172" t="s">
        <v>6454</v>
      </c>
    </row>
    <row r="543" spans="1:5" ht="72.75">
      <c r="A543" s="78" t="s">
        <v>7014</v>
      </c>
      <c r="B543" s="78" t="s">
        <v>7113</v>
      </c>
      <c r="C543" s="95">
        <v>2</v>
      </c>
      <c r="D543" s="77" t="s">
        <v>7115</v>
      </c>
      <c r="E543" s="172" t="s">
        <v>6454</v>
      </c>
    </row>
    <row r="544" spans="1:5" ht="72.75">
      <c r="A544" s="78" t="s">
        <v>7014</v>
      </c>
      <c r="B544" s="78" t="s">
        <v>7113</v>
      </c>
      <c r="C544" s="95">
        <v>3</v>
      </c>
      <c r="D544" s="77" t="s">
        <v>7116</v>
      </c>
      <c r="E544" s="172" t="s">
        <v>6454</v>
      </c>
    </row>
    <row r="545" spans="1:5" ht="72.75">
      <c r="A545" s="78" t="s">
        <v>7014</v>
      </c>
      <c r="B545" s="78" t="s">
        <v>7113</v>
      </c>
      <c r="C545" s="95">
        <v>4</v>
      </c>
      <c r="D545" s="77" t="s">
        <v>7117</v>
      </c>
      <c r="E545" s="172" t="s">
        <v>6454</v>
      </c>
    </row>
    <row r="546" spans="1:5" ht="72.75">
      <c r="A546" s="78" t="s">
        <v>7014</v>
      </c>
      <c r="B546" s="78" t="s">
        <v>7113</v>
      </c>
      <c r="C546" s="96">
        <v>5</v>
      </c>
      <c r="D546" s="78" t="s">
        <v>7118</v>
      </c>
      <c r="E546" s="172" t="s">
        <v>6454</v>
      </c>
    </row>
    <row r="547" spans="1:5" ht="57.95">
      <c r="A547" s="78" t="s">
        <v>7014</v>
      </c>
      <c r="B547" s="77" t="s">
        <v>7119</v>
      </c>
      <c r="C547" s="95">
        <v>1</v>
      </c>
      <c r="D547" s="77" t="s">
        <v>7120</v>
      </c>
      <c r="E547" s="185" t="s">
        <v>7121</v>
      </c>
    </row>
    <row r="548" spans="1:5" ht="144.94999999999999">
      <c r="A548" s="78" t="s">
        <v>7014</v>
      </c>
      <c r="B548" s="77" t="s">
        <v>7119</v>
      </c>
      <c r="C548" s="95">
        <v>2</v>
      </c>
      <c r="D548" s="77" t="s">
        <v>7122</v>
      </c>
      <c r="E548" s="185" t="s">
        <v>7121</v>
      </c>
    </row>
    <row r="549" spans="1:5" ht="144.94999999999999">
      <c r="A549" s="78" t="s">
        <v>7014</v>
      </c>
      <c r="B549" s="77" t="s">
        <v>7119</v>
      </c>
      <c r="C549" s="95">
        <v>3</v>
      </c>
      <c r="D549" s="77" t="s">
        <v>7123</v>
      </c>
      <c r="E549" s="185" t="s">
        <v>7121</v>
      </c>
    </row>
    <row r="550" spans="1:5" ht="57.95">
      <c r="A550" s="78" t="s">
        <v>7014</v>
      </c>
      <c r="B550" s="77" t="s">
        <v>7119</v>
      </c>
      <c r="C550" s="95">
        <v>4</v>
      </c>
      <c r="D550" s="77" t="s">
        <v>7124</v>
      </c>
      <c r="E550" s="185" t="s">
        <v>7121</v>
      </c>
    </row>
    <row r="551" spans="1:5" ht="57.95">
      <c r="A551" s="82" t="s">
        <v>7014</v>
      </c>
      <c r="B551" s="134" t="s">
        <v>7119</v>
      </c>
      <c r="C551" s="95">
        <v>5</v>
      </c>
      <c r="D551" s="77" t="s">
        <v>7125</v>
      </c>
      <c r="E551" s="185" t="s">
        <v>7121</v>
      </c>
    </row>
    <row r="552" spans="1:5" ht="130.5">
      <c r="A552" s="135" t="s">
        <v>7126</v>
      </c>
      <c r="B552" s="96" t="s">
        <v>7127</v>
      </c>
      <c r="C552" s="78">
        <v>1</v>
      </c>
      <c r="D552" s="78" t="s">
        <v>7128</v>
      </c>
      <c r="E552" s="75" t="s">
        <v>6451</v>
      </c>
    </row>
    <row r="553" spans="1:5" ht="43.5">
      <c r="A553" s="78" t="s">
        <v>7126</v>
      </c>
      <c r="B553" s="96" t="s">
        <v>7127</v>
      </c>
      <c r="C553" s="95">
        <v>2</v>
      </c>
      <c r="D553" s="77" t="s">
        <v>7129</v>
      </c>
      <c r="E553" s="75" t="s">
        <v>6451</v>
      </c>
    </row>
    <row r="554" spans="1:5" ht="43.5">
      <c r="A554" s="78" t="s">
        <v>7126</v>
      </c>
      <c r="B554" s="96" t="s">
        <v>7127</v>
      </c>
      <c r="C554" s="95">
        <v>3</v>
      </c>
      <c r="D554" s="77" t="s">
        <v>7130</v>
      </c>
      <c r="E554" s="68" t="s">
        <v>6454</v>
      </c>
    </row>
    <row r="555" spans="1:5" ht="43.5">
      <c r="A555" s="78" t="s">
        <v>7126</v>
      </c>
      <c r="B555" s="101" t="s">
        <v>7131</v>
      </c>
      <c r="C555" s="95">
        <v>1</v>
      </c>
      <c r="D555" s="77" t="s">
        <v>7132</v>
      </c>
      <c r="E555" s="75" t="s">
        <v>6451</v>
      </c>
    </row>
    <row r="556" spans="1:5" ht="43.5">
      <c r="A556" s="78" t="s">
        <v>7126</v>
      </c>
      <c r="B556" s="101" t="s">
        <v>7131</v>
      </c>
      <c r="C556" s="95">
        <v>2</v>
      </c>
      <c r="D556" s="77" t="s">
        <v>7133</v>
      </c>
      <c r="E556" s="75" t="s">
        <v>6451</v>
      </c>
    </row>
    <row r="557" spans="1:5" ht="144.94999999999999">
      <c r="A557" s="78" t="s">
        <v>7126</v>
      </c>
      <c r="B557" s="101" t="s">
        <v>7131</v>
      </c>
      <c r="C557" s="78">
        <v>3</v>
      </c>
      <c r="D557" s="78" t="s">
        <v>7134</v>
      </c>
      <c r="E557" s="75" t="s">
        <v>6451</v>
      </c>
    </row>
    <row r="558" spans="1:5" ht="43.5">
      <c r="A558" s="78" t="s">
        <v>7126</v>
      </c>
      <c r="B558" s="101" t="s">
        <v>7131</v>
      </c>
      <c r="C558" s="95">
        <v>4</v>
      </c>
      <c r="D558" s="77" t="s">
        <v>7135</v>
      </c>
      <c r="E558" s="68" t="s">
        <v>6451</v>
      </c>
    </row>
    <row r="559" spans="1:5" ht="57.95">
      <c r="A559" s="78" t="s">
        <v>7126</v>
      </c>
      <c r="B559" s="96" t="s">
        <v>7136</v>
      </c>
      <c r="C559" s="95">
        <v>1</v>
      </c>
      <c r="D559" s="77" t="s">
        <v>7137</v>
      </c>
      <c r="E559" s="68" t="s">
        <v>6454</v>
      </c>
    </row>
    <row r="560" spans="1:5" ht="57.95">
      <c r="A560" s="78" t="s">
        <v>7126</v>
      </c>
      <c r="B560" s="96" t="s">
        <v>7136</v>
      </c>
      <c r="C560" s="95">
        <v>2</v>
      </c>
      <c r="D560" s="77" t="s">
        <v>7138</v>
      </c>
      <c r="E560" s="68" t="s">
        <v>6454</v>
      </c>
    </row>
    <row r="561" spans="1:5" ht="57.95">
      <c r="A561" s="78" t="s">
        <v>7126</v>
      </c>
      <c r="B561" s="96" t="s">
        <v>7136</v>
      </c>
      <c r="C561" s="95">
        <v>3</v>
      </c>
      <c r="D561" s="77" t="s">
        <v>7139</v>
      </c>
      <c r="E561" s="68" t="s">
        <v>6454</v>
      </c>
    </row>
    <row r="562" spans="1:5" ht="57.95">
      <c r="A562" s="78" t="s">
        <v>7126</v>
      </c>
      <c r="B562" s="96" t="s">
        <v>7136</v>
      </c>
      <c r="C562" s="95">
        <v>4</v>
      </c>
      <c r="D562" s="77" t="s">
        <v>7140</v>
      </c>
      <c r="E562" s="68" t="s">
        <v>6454</v>
      </c>
    </row>
    <row r="563" spans="1:5" ht="57.95">
      <c r="A563" s="78" t="s">
        <v>7126</v>
      </c>
      <c r="B563" s="96" t="s">
        <v>7141</v>
      </c>
      <c r="C563" s="95">
        <v>1</v>
      </c>
      <c r="D563" s="77" t="s">
        <v>7142</v>
      </c>
      <c r="E563" s="68" t="s">
        <v>6454</v>
      </c>
    </row>
    <row r="564" spans="1:5" ht="43.5">
      <c r="A564" s="78" t="s">
        <v>7126</v>
      </c>
      <c r="B564" s="96" t="s">
        <v>7141</v>
      </c>
      <c r="C564" s="95">
        <v>2</v>
      </c>
      <c r="D564" s="77" t="s">
        <v>7143</v>
      </c>
      <c r="E564" s="68" t="s">
        <v>6451</v>
      </c>
    </row>
    <row r="565" spans="1:5" ht="29.25">
      <c r="A565" s="78" t="s">
        <v>7126</v>
      </c>
      <c r="B565" s="96" t="s">
        <v>7141</v>
      </c>
      <c r="C565" s="95">
        <v>3</v>
      </c>
      <c r="D565" s="77" t="s">
        <v>7144</v>
      </c>
      <c r="E565" s="68" t="s">
        <v>6454</v>
      </c>
    </row>
    <row r="566" spans="1:5" ht="29.25">
      <c r="A566" s="78" t="s">
        <v>7126</v>
      </c>
      <c r="B566" s="96" t="s">
        <v>7141</v>
      </c>
      <c r="C566" s="95">
        <v>4</v>
      </c>
      <c r="D566" s="77" t="s">
        <v>7145</v>
      </c>
      <c r="E566" s="68" t="s">
        <v>6451</v>
      </c>
    </row>
    <row r="567" spans="1:5" ht="43.5">
      <c r="A567" s="78" t="s">
        <v>7126</v>
      </c>
      <c r="B567" s="96" t="s">
        <v>7141</v>
      </c>
      <c r="C567" s="95">
        <v>5</v>
      </c>
      <c r="D567" s="77" t="s">
        <v>7146</v>
      </c>
      <c r="E567" s="68" t="s">
        <v>6454</v>
      </c>
    </row>
    <row r="568" spans="1:5" ht="43.5">
      <c r="A568" s="78" t="s">
        <v>7126</v>
      </c>
      <c r="B568" s="96" t="s">
        <v>7141</v>
      </c>
      <c r="C568" s="95">
        <v>6</v>
      </c>
      <c r="D568" s="77" t="s">
        <v>7147</v>
      </c>
      <c r="E568" s="68" t="s">
        <v>6454</v>
      </c>
    </row>
    <row r="569" spans="1:5" ht="43.5">
      <c r="A569" s="78" t="s">
        <v>7126</v>
      </c>
      <c r="B569" s="96" t="s">
        <v>7148</v>
      </c>
      <c r="C569" s="95">
        <v>1</v>
      </c>
      <c r="D569" s="77" t="s">
        <v>7149</v>
      </c>
      <c r="E569" s="68" t="s">
        <v>6454</v>
      </c>
    </row>
    <row r="570" spans="1:5" ht="43.5">
      <c r="A570" s="78" t="s">
        <v>7126</v>
      </c>
      <c r="B570" s="96" t="s">
        <v>7148</v>
      </c>
      <c r="C570" s="95">
        <v>2</v>
      </c>
      <c r="D570" s="77" t="s">
        <v>7150</v>
      </c>
      <c r="E570" s="68" t="s">
        <v>6454</v>
      </c>
    </row>
    <row r="571" spans="1:5" ht="216.75">
      <c r="A571" s="78" t="s">
        <v>7126</v>
      </c>
      <c r="B571" s="96" t="s">
        <v>7148</v>
      </c>
      <c r="C571" s="78">
        <v>3</v>
      </c>
      <c r="D571" s="78" t="s">
        <v>7151</v>
      </c>
      <c r="E571" s="68" t="s">
        <v>6451</v>
      </c>
    </row>
    <row r="572" spans="1:5" ht="43.5">
      <c r="A572" s="78" t="s">
        <v>7126</v>
      </c>
      <c r="B572" s="96" t="s">
        <v>7152</v>
      </c>
      <c r="C572" s="95">
        <v>1</v>
      </c>
      <c r="D572" s="77" t="s">
        <v>7153</v>
      </c>
      <c r="E572" s="68"/>
    </row>
    <row r="573" spans="1:5" ht="43.5">
      <c r="A573" s="78" t="s">
        <v>7126</v>
      </c>
      <c r="B573" s="96" t="s">
        <v>7152</v>
      </c>
      <c r="C573" s="95">
        <v>2</v>
      </c>
      <c r="D573" s="77" t="s">
        <v>7154</v>
      </c>
      <c r="E573" s="68"/>
    </row>
    <row r="574" spans="1:5" ht="43.5">
      <c r="A574" s="78" t="s">
        <v>7126</v>
      </c>
      <c r="B574" s="96" t="s">
        <v>7152</v>
      </c>
      <c r="C574" s="95">
        <v>3</v>
      </c>
      <c r="D574" s="77" t="s">
        <v>7155</v>
      </c>
      <c r="E574" s="68"/>
    </row>
    <row r="575" spans="1:5" ht="43.5">
      <c r="A575" s="78" t="s">
        <v>7126</v>
      </c>
      <c r="B575" s="96" t="s">
        <v>7152</v>
      </c>
      <c r="C575" s="95">
        <v>4</v>
      </c>
      <c r="D575" s="77" t="s">
        <v>7156</v>
      </c>
      <c r="E575" s="68"/>
    </row>
    <row r="576" spans="1:5" ht="43.5">
      <c r="A576" s="78" t="s">
        <v>7126</v>
      </c>
      <c r="B576" s="96" t="s">
        <v>7152</v>
      </c>
      <c r="C576" s="95">
        <v>5</v>
      </c>
      <c r="D576" s="77" t="s">
        <v>7157</v>
      </c>
      <c r="E576" s="68"/>
    </row>
    <row r="577" spans="1:5" ht="43.5">
      <c r="A577" s="78" t="s">
        <v>7126</v>
      </c>
      <c r="B577" s="96" t="s">
        <v>7152</v>
      </c>
      <c r="C577" s="95">
        <v>6</v>
      </c>
      <c r="D577" s="77" t="s">
        <v>7158</v>
      </c>
      <c r="E577" s="68"/>
    </row>
    <row r="578" spans="1:5" ht="43.5">
      <c r="A578" s="78" t="s">
        <v>7126</v>
      </c>
      <c r="B578" s="96" t="s">
        <v>7152</v>
      </c>
      <c r="C578" s="95">
        <v>7</v>
      </c>
      <c r="D578" s="77" t="s">
        <v>7159</v>
      </c>
      <c r="E578" s="68"/>
    </row>
    <row r="579" spans="1:5" ht="29.25">
      <c r="A579" s="78" t="s">
        <v>7126</v>
      </c>
      <c r="B579" s="96" t="s">
        <v>7160</v>
      </c>
      <c r="C579" s="95">
        <v>1</v>
      </c>
      <c r="D579" s="77" t="s">
        <v>7161</v>
      </c>
      <c r="E579" s="68" t="s">
        <v>6454</v>
      </c>
    </row>
    <row r="580" spans="1:5" ht="174">
      <c r="A580" s="78" t="s">
        <v>7126</v>
      </c>
      <c r="B580" s="96" t="s">
        <v>7160</v>
      </c>
      <c r="C580" s="95">
        <v>2</v>
      </c>
      <c r="D580" s="77" t="s">
        <v>7162</v>
      </c>
      <c r="E580" s="68"/>
    </row>
    <row r="581" spans="1:5" ht="43.5">
      <c r="A581" s="78" t="s">
        <v>7126</v>
      </c>
      <c r="B581" s="96" t="s">
        <v>7160</v>
      </c>
      <c r="C581" s="95">
        <v>3</v>
      </c>
      <c r="D581" s="77" t="s">
        <v>7163</v>
      </c>
      <c r="E581" s="68"/>
    </row>
    <row r="582" spans="1:5" ht="29.25">
      <c r="A582" s="78" t="s">
        <v>7126</v>
      </c>
      <c r="B582" s="96" t="s">
        <v>7160</v>
      </c>
      <c r="C582" s="95">
        <v>4</v>
      </c>
      <c r="D582" s="77" t="s">
        <v>7164</v>
      </c>
      <c r="E582" s="68"/>
    </row>
    <row r="583" spans="1:5" ht="43.5">
      <c r="A583" s="78" t="s">
        <v>7126</v>
      </c>
      <c r="B583" s="96" t="s">
        <v>7160</v>
      </c>
      <c r="C583" s="95">
        <v>5</v>
      </c>
      <c r="D583" s="77" t="s">
        <v>7165</v>
      </c>
      <c r="E583" s="68"/>
    </row>
    <row r="584" spans="1:5" ht="43.5">
      <c r="A584" s="78" t="s">
        <v>7126</v>
      </c>
      <c r="B584" s="96" t="s">
        <v>7166</v>
      </c>
      <c r="C584" s="95">
        <v>1</v>
      </c>
      <c r="D584" s="77" t="s">
        <v>7167</v>
      </c>
      <c r="E584" s="68" t="s">
        <v>6451</v>
      </c>
    </row>
    <row r="585" spans="1:5" ht="43.5">
      <c r="A585" s="78" t="s">
        <v>7126</v>
      </c>
      <c r="B585" s="96" t="s">
        <v>7166</v>
      </c>
      <c r="C585" s="95">
        <v>2</v>
      </c>
      <c r="D585" s="77" t="s">
        <v>7168</v>
      </c>
      <c r="E585" s="68" t="s">
        <v>6451</v>
      </c>
    </row>
    <row r="586" spans="1:5" ht="57.95">
      <c r="A586" s="78" t="s">
        <v>7126</v>
      </c>
      <c r="B586" s="96" t="s">
        <v>7166</v>
      </c>
      <c r="C586" s="95">
        <v>3</v>
      </c>
      <c r="D586" s="77" t="s">
        <v>7169</v>
      </c>
      <c r="E586" s="68"/>
    </row>
    <row r="587" spans="1:5" ht="43.5">
      <c r="A587" s="78" t="s">
        <v>7126</v>
      </c>
      <c r="B587" s="96" t="s">
        <v>7166</v>
      </c>
      <c r="C587" s="95">
        <v>4</v>
      </c>
      <c r="D587" s="77" t="s">
        <v>7170</v>
      </c>
      <c r="E587" s="68" t="s">
        <v>6454</v>
      </c>
    </row>
    <row r="588" spans="1:5" ht="43.5">
      <c r="A588" s="78" t="s">
        <v>7126</v>
      </c>
      <c r="B588" s="96" t="s">
        <v>7166</v>
      </c>
      <c r="C588" s="95">
        <v>5</v>
      </c>
      <c r="D588" s="77" t="s">
        <v>7171</v>
      </c>
      <c r="E588" s="68"/>
    </row>
    <row r="589" spans="1:5" ht="43.5">
      <c r="A589" s="78" t="s">
        <v>7126</v>
      </c>
      <c r="B589" s="96" t="s">
        <v>7166</v>
      </c>
      <c r="C589" s="95">
        <v>6</v>
      </c>
      <c r="D589" s="77" t="s">
        <v>7172</v>
      </c>
      <c r="E589" s="68" t="s">
        <v>6451</v>
      </c>
    </row>
    <row r="590" spans="1:5" ht="43.5">
      <c r="A590" s="78" t="s">
        <v>7126</v>
      </c>
      <c r="B590" s="96" t="s">
        <v>7166</v>
      </c>
      <c r="C590" s="95">
        <v>7</v>
      </c>
      <c r="D590" s="77" t="s">
        <v>7173</v>
      </c>
      <c r="E590" s="68" t="s">
        <v>6454</v>
      </c>
    </row>
    <row r="591" spans="1:5" ht="43.5">
      <c r="A591" s="78" t="s">
        <v>7126</v>
      </c>
      <c r="B591" s="96" t="s">
        <v>7174</v>
      </c>
      <c r="C591" s="95">
        <v>1</v>
      </c>
      <c r="D591" s="77" t="s">
        <v>7175</v>
      </c>
      <c r="E591" s="68" t="s">
        <v>6454</v>
      </c>
    </row>
    <row r="592" spans="1:5" ht="57.95">
      <c r="A592" s="78" t="s">
        <v>7126</v>
      </c>
      <c r="B592" s="96" t="s">
        <v>7174</v>
      </c>
      <c r="C592" s="95">
        <v>2</v>
      </c>
      <c r="D592" s="77" t="s">
        <v>7176</v>
      </c>
      <c r="E592" s="68" t="s">
        <v>6454</v>
      </c>
    </row>
    <row r="593" spans="1:5" ht="43.5">
      <c r="A593" s="78" t="s">
        <v>7126</v>
      </c>
      <c r="B593" s="96" t="s">
        <v>7174</v>
      </c>
      <c r="C593" s="95">
        <v>3</v>
      </c>
      <c r="D593" s="77" t="s">
        <v>7177</v>
      </c>
      <c r="E593" s="68"/>
    </row>
    <row r="594" spans="1:5" ht="57.95">
      <c r="A594" s="78" t="s">
        <v>7126</v>
      </c>
      <c r="B594" s="96" t="s">
        <v>7174</v>
      </c>
      <c r="C594" s="95">
        <v>4</v>
      </c>
      <c r="D594" s="77" t="s">
        <v>7178</v>
      </c>
      <c r="E594" s="68"/>
    </row>
    <row r="595" spans="1:5" ht="43.5">
      <c r="A595" s="78" t="s">
        <v>7126</v>
      </c>
      <c r="B595" s="96" t="s">
        <v>7174</v>
      </c>
      <c r="C595" s="95">
        <v>5</v>
      </c>
      <c r="D595" s="77" t="s">
        <v>7179</v>
      </c>
      <c r="E595" s="68" t="s">
        <v>6451</v>
      </c>
    </row>
    <row r="596" spans="1:5" ht="43.5">
      <c r="A596" s="78" t="s">
        <v>7126</v>
      </c>
      <c r="B596" s="96" t="s">
        <v>7174</v>
      </c>
      <c r="C596" s="95">
        <v>6</v>
      </c>
      <c r="D596" s="77" t="s">
        <v>7180</v>
      </c>
      <c r="E596" s="68"/>
    </row>
    <row r="597" spans="1:5" ht="57.95">
      <c r="A597" s="78" t="s">
        <v>7126</v>
      </c>
      <c r="B597" s="96" t="s">
        <v>7174</v>
      </c>
      <c r="C597" s="95">
        <v>7</v>
      </c>
      <c r="D597" s="77" t="s">
        <v>7181</v>
      </c>
      <c r="E597" s="68"/>
    </row>
    <row r="598" spans="1:5" ht="57.95">
      <c r="A598" s="78" t="s">
        <v>7126</v>
      </c>
      <c r="B598" s="96" t="s">
        <v>7182</v>
      </c>
      <c r="C598" s="95">
        <v>1</v>
      </c>
      <c r="D598" s="77" t="s">
        <v>7183</v>
      </c>
      <c r="E598" s="68"/>
    </row>
    <row r="599" spans="1:5" ht="159.6">
      <c r="A599" s="78" t="s">
        <v>7126</v>
      </c>
      <c r="B599" s="96" t="s">
        <v>7182</v>
      </c>
      <c r="C599" s="78">
        <v>2</v>
      </c>
      <c r="D599" s="78" t="s">
        <v>7184</v>
      </c>
      <c r="E599" s="68"/>
    </row>
    <row r="600" spans="1:5" ht="87">
      <c r="A600" s="78" t="s">
        <v>7126</v>
      </c>
      <c r="B600" s="96" t="s">
        <v>7182</v>
      </c>
      <c r="C600" s="78">
        <v>3</v>
      </c>
      <c r="D600" s="78" t="s">
        <v>7185</v>
      </c>
      <c r="E600" s="68"/>
    </row>
    <row r="601" spans="1:5" ht="57.95">
      <c r="A601" s="78" t="s">
        <v>7126</v>
      </c>
      <c r="B601" s="96" t="s">
        <v>7182</v>
      </c>
      <c r="C601" s="95">
        <v>4</v>
      </c>
      <c r="D601" s="77" t="s">
        <v>7186</v>
      </c>
      <c r="E601" s="68"/>
    </row>
    <row r="602" spans="1:5" ht="57.95">
      <c r="A602" s="78" t="s">
        <v>7126</v>
      </c>
      <c r="B602" s="96" t="s">
        <v>7182</v>
      </c>
      <c r="C602" s="95">
        <v>5</v>
      </c>
      <c r="D602" s="77" t="s">
        <v>7187</v>
      </c>
      <c r="E602" s="68"/>
    </row>
    <row r="603" spans="1:5" ht="72.75">
      <c r="A603" s="78" t="s">
        <v>7126</v>
      </c>
      <c r="B603" s="96" t="s">
        <v>7188</v>
      </c>
      <c r="C603" s="95">
        <v>1</v>
      </c>
      <c r="D603" s="77" t="s">
        <v>7189</v>
      </c>
      <c r="E603" s="68" t="s">
        <v>6451</v>
      </c>
    </row>
    <row r="604" spans="1:5" ht="72.75">
      <c r="A604" s="78" t="s">
        <v>7126</v>
      </c>
      <c r="B604" s="96" t="s">
        <v>7188</v>
      </c>
      <c r="C604" s="95">
        <v>2</v>
      </c>
      <c r="D604" s="77" t="s">
        <v>7190</v>
      </c>
      <c r="E604" s="68" t="s">
        <v>6451</v>
      </c>
    </row>
    <row r="605" spans="1:5" ht="72.75">
      <c r="A605" s="78" t="s">
        <v>7126</v>
      </c>
      <c r="B605" s="96" t="s">
        <v>7188</v>
      </c>
      <c r="C605" s="95">
        <v>3</v>
      </c>
      <c r="D605" s="77" t="s">
        <v>7191</v>
      </c>
      <c r="E605" s="68" t="s">
        <v>6451</v>
      </c>
    </row>
    <row r="606" spans="1:5" ht="72.75">
      <c r="A606" s="78" t="s">
        <v>7126</v>
      </c>
      <c r="B606" s="96" t="s">
        <v>7188</v>
      </c>
      <c r="C606" s="95">
        <v>4</v>
      </c>
      <c r="D606" s="77" t="s">
        <v>7192</v>
      </c>
      <c r="E606" s="68" t="s">
        <v>6451</v>
      </c>
    </row>
    <row r="607" spans="1:5" ht="72.75">
      <c r="A607" s="78" t="s">
        <v>7126</v>
      </c>
      <c r="B607" s="96" t="s">
        <v>7188</v>
      </c>
      <c r="C607" s="95">
        <v>5</v>
      </c>
      <c r="D607" s="77" t="s">
        <v>7193</v>
      </c>
      <c r="E607" s="68"/>
    </row>
    <row r="608" spans="1:5" ht="57.95">
      <c r="A608" s="78" t="s">
        <v>7126</v>
      </c>
      <c r="B608" s="96" t="s">
        <v>7194</v>
      </c>
      <c r="C608" s="95">
        <v>1</v>
      </c>
      <c r="D608" s="77" t="s">
        <v>7195</v>
      </c>
      <c r="E608" s="68" t="s">
        <v>6451</v>
      </c>
    </row>
    <row r="609" spans="1:5" ht="57.95">
      <c r="A609" s="78" t="s">
        <v>7126</v>
      </c>
      <c r="B609" s="96" t="s">
        <v>7194</v>
      </c>
      <c r="C609" s="95">
        <v>2</v>
      </c>
      <c r="D609" s="77" t="s">
        <v>7196</v>
      </c>
      <c r="E609" s="68"/>
    </row>
    <row r="610" spans="1:5" ht="144.94999999999999">
      <c r="A610" s="78" t="s">
        <v>7126</v>
      </c>
      <c r="B610" s="96" t="s">
        <v>7194</v>
      </c>
      <c r="C610" s="95">
        <v>3</v>
      </c>
      <c r="D610" s="77" t="s">
        <v>7197</v>
      </c>
      <c r="E610" s="75" t="s">
        <v>6451</v>
      </c>
    </row>
    <row r="611" spans="1:5" ht="57.95">
      <c r="A611" s="78" t="s">
        <v>7126</v>
      </c>
      <c r="B611" s="96" t="s">
        <v>7198</v>
      </c>
      <c r="C611" s="95">
        <v>1</v>
      </c>
      <c r="D611" s="77" t="s">
        <v>7199</v>
      </c>
      <c r="E611" s="68" t="s">
        <v>6454</v>
      </c>
    </row>
    <row r="612" spans="1:5" ht="57.95">
      <c r="A612" s="78" t="s">
        <v>7126</v>
      </c>
      <c r="B612" s="96" t="s">
        <v>7198</v>
      </c>
      <c r="C612" s="95">
        <v>2</v>
      </c>
      <c r="D612" s="77" t="s">
        <v>7200</v>
      </c>
      <c r="E612" s="68" t="s">
        <v>6454</v>
      </c>
    </row>
    <row r="613" spans="1:5" ht="216.75">
      <c r="A613" s="78" t="s">
        <v>7126</v>
      </c>
      <c r="B613" s="96" t="s">
        <v>7198</v>
      </c>
      <c r="C613" s="96">
        <v>3</v>
      </c>
      <c r="D613" s="78" t="s">
        <v>7201</v>
      </c>
      <c r="E613" s="68"/>
    </row>
    <row r="614" spans="1:5" ht="57.95">
      <c r="A614" s="78" t="s">
        <v>7126</v>
      </c>
      <c r="B614" s="96" t="s">
        <v>7198</v>
      </c>
      <c r="C614" s="95">
        <v>4</v>
      </c>
      <c r="D614" s="77" t="s">
        <v>7202</v>
      </c>
      <c r="E614" s="68" t="s">
        <v>6454</v>
      </c>
    </row>
    <row r="615" spans="1:5" ht="57.95">
      <c r="A615" s="78" t="s">
        <v>7126</v>
      </c>
      <c r="B615" s="96" t="s">
        <v>7198</v>
      </c>
      <c r="C615" s="95">
        <v>5</v>
      </c>
      <c r="D615" s="77" t="s">
        <v>7203</v>
      </c>
      <c r="E615" s="68" t="s">
        <v>6454</v>
      </c>
    </row>
    <row r="616" spans="1:5" ht="57.95">
      <c r="A616" s="78" t="s">
        <v>7126</v>
      </c>
      <c r="B616" s="96" t="s">
        <v>7198</v>
      </c>
      <c r="C616" s="95">
        <v>6</v>
      </c>
      <c r="D616" s="77" t="s">
        <v>7204</v>
      </c>
      <c r="E616" s="68" t="s">
        <v>6454</v>
      </c>
    </row>
    <row r="617" spans="1:5" ht="87">
      <c r="A617" s="78" t="s">
        <v>7126</v>
      </c>
      <c r="B617" s="96" t="s">
        <v>7205</v>
      </c>
      <c r="C617" s="95">
        <v>1</v>
      </c>
      <c r="D617" s="77" t="s">
        <v>7206</v>
      </c>
      <c r="E617" s="68" t="s">
        <v>6454</v>
      </c>
    </row>
    <row r="618" spans="1:5" ht="87">
      <c r="A618" s="78" t="s">
        <v>7126</v>
      </c>
      <c r="B618" s="96" t="s">
        <v>7205</v>
      </c>
      <c r="C618" s="95">
        <v>2</v>
      </c>
      <c r="D618" s="77" t="s">
        <v>7207</v>
      </c>
      <c r="E618" s="68"/>
    </row>
    <row r="619" spans="1:5" ht="87">
      <c r="A619" s="78" t="s">
        <v>7126</v>
      </c>
      <c r="B619" s="96" t="s">
        <v>7205</v>
      </c>
      <c r="C619" s="95">
        <v>3</v>
      </c>
      <c r="D619" s="77" t="s">
        <v>7208</v>
      </c>
      <c r="E619" s="68"/>
    </row>
    <row r="620" spans="1:5" ht="87">
      <c r="A620" s="78" t="s">
        <v>7126</v>
      </c>
      <c r="B620" s="96" t="s">
        <v>7205</v>
      </c>
      <c r="C620" s="95">
        <v>4</v>
      </c>
      <c r="D620" s="77" t="s">
        <v>7209</v>
      </c>
      <c r="E620" s="68"/>
    </row>
    <row r="621" spans="1:5" ht="87">
      <c r="A621" s="78" t="s">
        <v>7126</v>
      </c>
      <c r="B621" s="96" t="s">
        <v>7205</v>
      </c>
      <c r="C621" s="95">
        <v>5</v>
      </c>
      <c r="D621" s="77" t="s">
        <v>7210</v>
      </c>
      <c r="E621" s="68"/>
    </row>
    <row r="622" spans="1:5" ht="72.75">
      <c r="A622" s="78" t="s">
        <v>7126</v>
      </c>
      <c r="B622" s="78" t="s">
        <v>7211</v>
      </c>
      <c r="C622" s="95">
        <v>1</v>
      </c>
      <c r="D622" s="77" t="s">
        <v>7212</v>
      </c>
      <c r="E622" s="68" t="s">
        <v>6454</v>
      </c>
    </row>
    <row r="623" spans="1:5" ht="72.75">
      <c r="A623" s="78" t="s">
        <v>7126</v>
      </c>
      <c r="B623" s="78" t="s">
        <v>7211</v>
      </c>
      <c r="C623" s="95">
        <v>2</v>
      </c>
      <c r="D623" s="77" t="s">
        <v>7213</v>
      </c>
      <c r="E623" s="68"/>
    </row>
    <row r="624" spans="1:5" ht="72.75">
      <c r="A624" s="78" t="s">
        <v>7126</v>
      </c>
      <c r="B624" s="78" t="s">
        <v>7211</v>
      </c>
      <c r="C624" s="95">
        <v>3</v>
      </c>
      <c r="D624" s="77" t="s">
        <v>7214</v>
      </c>
      <c r="E624" s="68"/>
    </row>
    <row r="625" spans="1:5" ht="57.95">
      <c r="A625" s="78" t="s">
        <v>7126</v>
      </c>
      <c r="B625" s="96" t="s">
        <v>7215</v>
      </c>
      <c r="C625" s="95">
        <v>1</v>
      </c>
      <c r="D625" s="77" t="s">
        <v>7216</v>
      </c>
      <c r="E625" s="68" t="s">
        <v>6454</v>
      </c>
    </row>
    <row r="626" spans="1:5" ht="57.95">
      <c r="A626" s="78" t="s">
        <v>7126</v>
      </c>
      <c r="B626" s="96" t="s">
        <v>7215</v>
      </c>
      <c r="C626" s="95">
        <v>2</v>
      </c>
      <c r="D626" s="77" t="s">
        <v>7217</v>
      </c>
      <c r="E626" s="68" t="s">
        <v>6454</v>
      </c>
    </row>
    <row r="627" spans="1:5" ht="201.75">
      <c r="A627" s="78" t="s">
        <v>7126</v>
      </c>
      <c r="B627" s="96" t="s">
        <v>7215</v>
      </c>
      <c r="C627" s="95">
        <v>3</v>
      </c>
      <c r="D627" s="85" t="s">
        <v>7218</v>
      </c>
      <c r="E627" s="68" t="s">
        <v>6454</v>
      </c>
    </row>
    <row r="628" spans="1:5" ht="57.95">
      <c r="A628" s="78" t="s">
        <v>7126</v>
      </c>
      <c r="B628" s="96" t="s">
        <v>7215</v>
      </c>
      <c r="C628" s="95">
        <v>4</v>
      </c>
      <c r="D628" s="77" t="s">
        <v>7219</v>
      </c>
      <c r="E628" s="68" t="s">
        <v>6454</v>
      </c>
    </row>
    <row r="629" spans="1:5" ht="72.75">
      <c r="A629" s="78" t="s">
        <v>7126</v>
      </c>
      <c r="B629" s="96" t="s">
        <v>7215</v>
      </c>
      <c r="C629" s="95">
        <v>5</v>
      </c>
      <c r="D629" s="77" t="s">
        <v>7220</v>
      </c>
      <c r="E629" s="68" t="s">
        <v>6454</v>
      </c>
    </row>
    <row r="630" spans="1:5" ht="87">
      <c r="A630" s="78" t="s">
        <v>7126</v>
      </c>
      <c r="B630" s="96" t="s">
        <v>7221</v>
      </c>
      <c r="C630" s="95">
        <v>1</v>
      </c>
      <c r="D630" s="77" t="s">
        <v>7222</v>
      </c>
      <c r="E630" s="75" t="s">
        <v>6451</v>
      </c>
    </row>
    <row r="631" spans="1:5" ht="87">
      <c r="A631" s="78" t="s">
        <v>7126</v>
      </c>
      <c r="B631" s="96" t="s">
        <v>7221</v>
      </c>
      <c r="C631" s="95">
        <v>2</v>
      </c>
      <c r="D631" s="77" t="s">
        <v>7223</v>
      </c>
      <c r="E631" s="75" t="s">
        <v>6451</v>
      </c>
    </row>
    <row r="632" spans="1:5" ht="87">
      <c r="A632" s="78" t="s">
        <v>7126</v>
      </c>
      <c r="B632" s="96" t="s">
        <v>7221</v>
      </c>
      <c r="C632" s="95">
        <v>3</v>
      </c>
      <c r="D632" s="77" t="s">
        <v>7224</v>
      </c>
      <c r="E632" s="75" t="s">
        <v>6451</v>
      </c>
    </row>
    <row r="633" spans="1:5" ht="57.75">
      <c r="A633" s="78" t="s">
        <v>7126</v>
      </c>
      <c r="B633" s="96" t="s">
        <v>7225</v>
      </c>
      <c r="C633" s="95">
        <v>1</v>
      </c>
      <c r="D633" s="77" t="s">
        <v>7226</v>
      </c>
      <c r="E633" s="75" t="s">
        <v>6451</v>
      </c>
    </row>
    <row r="634" spans="1:5" ht="57.75">
      <c r="A634" s="78" t="s">
        <v>7126</v>
      </c>
      <c r="B634" s="96" t="s">
        <v>7225</v>
      </c>
      <c r="C634" s="95">
        <v>2</v>
      </c>
      <c r="D634" s="77" t="s">
        <v>7227</v>
      </c>
      <c r="E634" s="75" t="s">
        <v>6451</v>
      </c>
    </row>
    <row r="635" spans="1:5" ht="57.75">
      <c r="A635" s="78" t="s">
        <v>7126</v>
      </c>
      <c r="B635" s="96" t="s">
        <v>7225</v>
      </c>
      <c r="C635" s="95">
        <v>3</v>
      </c>
      <c r="D635" s="77" t="s">
        <v>7228</v>
      </c>
      <c r="E635" s="75" t="s">
        <v>6451</v>
      </c>
    </row>
    <row r="636" spans="1:5" ht="57.95">
      <c r="A636" s="78" t="s">
        <v>7126</v>
      </c>
      <c r="B636" s="102" t="s">
        <v>7229</v>
      </c>
      <c r="C636" s="95">
        <v>1</v>
      </c>
      <c r="D636" s="77" t="s">
        <v>7230</v>
      </c>
      <c r="E636" s="68" t="s">
        <v>6454</v>
      </c>
    </row>
    <row r="637" spans="1:5" ht="57.95">
      <c r="A637" s="78" t="s">
        <v>7126</v>
      </c>
      <c r="B637" s="102" t="s">
        <v>7229</v>
      </c>
      <c r="C637" s="95">
        <v>2</v>
      </c>
      <c r="D637" s="77" t="s">
        <v>7231</v>
      </c>
      <c r="E637" s="68" t="s">
        <v>6454</v>
      </c>
    </row>
    <row r="638" spans="1:5" ht="57.95">
      <c r="A638" s="78" t="s">
        <v>7126</v>
      </c>
      <c r="B638" s="102" t="s">
        <v>7229</v>
      </c>
      <c r="C638" s="95">
        <v>3</v>
      </c>
      <c r="D638" s="77" t="s">
        <v>7232</v>
      </c>
      <c r="E638" s="68" t="s">
        <v>6454</v>
      </c>
    </row>
    <row r="639" spans="1:5" ht="57.95">
      <c r="A639" s="78" t="s">
        <v>7126</v>
      </c>
      <c r="B639" s="102" t="s">
        <v>7229</v>
      </c>
      <c r="C639" s="95">
        <v>4</v>
      </c>
      <c r="D639" s="77" t="s">
        <v>7233</v>
      </c>
      <c r="E639" s="68" t="s">
        <v>6454</v>
      </c>
    </row>
    <row r="640" spans="1:5" ht="72.75">
      <c r="A640" s="78" t="s">
        <v>7126</v>
      </c>
      <c r="B640" s="102" t="s">
        <v>7234</v>
      </c>
      <c r="C640" s="95">
        <v>1</v>
      </c>
      <c r="D640" s="77" t="s">
        <v>7235</v>
      </c>
      <c r="E640" s="68" t="s">
        <v>6454</v>
      </c>
    </row>
    <row r="641" spans="1:5" ht="72.75">
      <c r="A641" s="78" t="s">
        <v>7126</v>
      </c>
      <c r="B641" s="102" t="s">
        <v>7234</v>
      </c>
      <c r="C641" s="95">
        <v>2</v>
      </c>
      <c r="D641" s="77" t="s">
        <v>7236</v>
      </c>
      <c r="E641" s="68" t="s">
        <v>6454</v>
      </c>
    </row>
    <row r="642" spans="1:5" ht="231">
      <c r="A642" s="78" t="s">
        <v>7126</v>
      </c>
      <c r="B642" s="102" t="s">
        <v>7234</v>
      </c>
      <c r="C642" s="95">
        <v>3</v>
      </c>
      <c r="D642" s="77" t="s">
        <v>7237</v>
      </c>
      <c r="E642" s="68" t="s">
        <v>6454</v>
      </c>
    </row>
    <row r="643" spans="1:5" ht="57.95">
      <c r="A643" s="78" t="s">
        <v>7126</v>
      </c>
      <c r="B643" s="103" t="s">
        <v>7238</v>
      </c>
      <c r="C643" s="95">
        <v>1</v>
      </c>
      <c r="D643" s="77" t="s">
        <v>7239</v>
      </c>
      <c r="E643" s="68" t="s">
        <v>6454</v>
      </c>
    </row>
    <row r="644" spans="1:5" ht="87">
      <c r="A644" s="78" t="s">
        <v>7126</v>
      </c>
      <c r="B644" s="103" t="s">
        <v>7238</v>
      </c>
      <c r="C644" s="95">
        <v>2</v>
      </c>
      <c r="D644" s="77" t="s">
        <v>7240</v>
      </c>
      <c r="E644" s="68" t="s">
        <v>6454</v>
      </c>
    </row>
    <row r="645" spans="1:5" ht="57.95">
      <c r="A645" s="78" t="s">
        <v>7126</v>
      </c>
      <c r="B645" s="103" t="s">
        <v>7238</v>
      </c>
      <c r="C645" s="95">
        <v>3</v>
      </c>
      <c r="D645" s="77" t="s">
        <v>7241</v>
      </c>
      <c r="E645" s="68"/>
    </row>
    <row r="646" spans="1:5" ht="87">
      <c r="A646" s="78" t="s">
        <v>7126</v>
      </c>
      <c r="B646" s="102" t="s">
        <v>7242</v>
      </c>
      <c r="C646" s="95">
        <v>1</v>
      </c>
      <c r="D646" s="77" t="s">
        <v>7243</v>
      </c>
      <c r="E646" s="68" t="s">
        <v>6451</v>
      </c>
    </row>
    <row r="647" spans="1:5" ht="174">
      <c r="A647" s="78" t="s">
        <v>7126</v>
      </c>
      <c r="B647" s="102" t="s">
        <v>7242</v>
      </c>
      <c r="C647" s="95">
        <v>2</v>
      </c>
      <c r="D647" s="77" t="s">
        <v>7244</v>
      </c>
      <c r="E647" s="68" t="s">
        <v>6451</v>
      </c>
    </row>
    <row r="648" spans="1:5" ht="72.75">
      <c r="A648" s="78" t="s">
        <v>7126</v>
      </c>
      <c r="B648" s="102" t="s">
        <v>7242</v>
      </c>
      <c r="C648" s="95">
        <v>3</v>
      </c>
      <c r="D648" s="77" t="s">
        <v>7245</v>
      </c>
      <c r="E648" s="68" t="s">
        <v>6451</v>
      </c>
    </row>
    <row r="649" spans="1:5" ht="72.75">
      <c r="A649" s="78" t="s">
        <v>7126</v>
      </c>
      <c r="B649" s="102" t="s">
        <v>7242</v>
      </c>
      <c r="C649" s="95">
        <v>4</v>
      </c>
      <c r="D649" s="77" t="s">
        <v>7246</v>
      </c>
      <c r="E649" s="68" t="s">
        <v>6451</v>
      </c>
    </row>
    <row r="650" spans="1:5" ht="72.75">
      <c r="A650" s="78" t="s">
        <v>7126</v>
      </c>
      <c r="B650" s="102" t="s">
        <v>7242</v>
      </c>
      <c r="C650" s="95">
        <v>5</v>
      </c>
      <c r="D650" s="77" t="s">
        <v>7247</v>
      </c>
      <c r="E650" s="68" t="s">
        <v>6451</v>
      </c>
    </row>
    <row r="651" spans="1:5" ht="72.75">
      <c r="A651" s="78" t="s">
        <v>7126</v>
      </c>
      <c r="B651" s="102" t="s">
        <v>7248</v>
      </c>
      <c r="C651" s="95">
        <v>1</v>
      </c>
      <c r="D651" s="77" t="s">
        <v>7249</v>
      </c>
      <c r="E651" s="68" t="s">
        <v>6451</v>
      </c>
    </row>
    <row r="652" spans="1:5" ht="72.75">
      <c r="A652" s="78" t="s">
        <v>7126</v>
      </c>
      <c r="B652" s="102" t="s">
        <v>7248</v>
      </c>
      <c r="C652" s="95">
        <v>2</v>
      </c>
      <c r="D652" s="77" t="s">
        <v>7250</v>
      </c>
      <c r="E652" s="68" t="s">
        <v>6451</v>
      </c>
    </row>
    <row r="653" spans="1:5" ht="188.45">
      <c r="A653" s="78" t="s">
        <v>7126</v>
      </c>
      <c r="B653" s="102" t="s">
        <v>7248</v>
      </c>
      <c r="C653" s="95">
        <v>3</v>
      </c>
      <c r="D653" s="77" t="s">
        <v>7251</v>
      </c>
      <c r="E653" s="68" t="s">
        <v>6451</v>
      </c>
    </row>
    <row r="654" spans="1:5" ht="72.75">
      <c r="A654" s="78" t="s">
        <v>7126</v>
      </c>
      <c r="B654" s="102" t="s">
        <v>7248</v>
      </c>
      <c r="C654" s="95">
        <v>4</v>
      </c>
      <c r="D654" s="77" t="s">
        <v>7252</v>
      </c>
      <c r="E654" s="68" t="s">
        <v>6451</v>
      </c>
    </row>
    <row r="655" spans="1:5" ht="72.75">
      <c r="A655" s="78" t="s">
        <v>7126</v>
      </c>
      <c r="B655" s="102" t="s">
        <v>7248</v>
      </c>
      <c r="C655" s="95">
        <v>5</v>
      </c>
      <c r="D655" s="77" t="s">
        <v>7253</v>
      </c>
      <c r="E655" s="68" t="s">
        <v>6451</v>
      </c>
    </row>
    <row r="656" spans="1:5" ht="72.75">
      <c r="A656" s="78" t="s">
        <v>7126</v>
      </c>
      <c r="B656" s="102" t="s">
        <v>7248</v>
      </c>
      <c r="C656" s="95">
        <v>6</v>
      </c>
      <c r="D656" s="77" t="s">
        <v>7254</v>
      </c>
      <c r="E656" s="68" t="s">
        <v>6451</v>
      </c>
    </row>
    <row r="657" spans="1:5" ht="57.95">
      <c r="A657" s="78" t="s">
        <v>7126</v>
      </c>
      <c r="B657" s="102" t="s">
        <v>7255</v>
      </c>
      <c r="C657" s="95">
        <v>1</v>
      </c>
      <c r="D657" s="77" t="s">
        <v>7256</v>
      </c>
      <c r="E657" s="68" t="s">
        <v>6454</v>
      </c>
    </row>
    <row r="658" spans="1:5" ht="57.95">
      <c r="A658" s="78" t="s">
        <v>7126</v>
      </c>
      <c r="B658" s="102" t="s">
        <v>7255</v>
      </c>
      <c r="C658" s="95">
        <v>2</v>
      </c>
      <c r="D658" s="77" t="s">
        <v>7257</v>
      </c>
      <c r="E658" s="68" t="s">
        <v>6454</v>
      </c>
    </row>
    <row r="659" spans="1:5" ht="57.95">
      <c r="A659" s="78" t="s">
        <v>7126</v>
      </c>
      <c r="B659" s="102" t="s">
        <v>7255</v>
      </c>
      <c r="C659" s="95">
        <v>3</v>
      </c>
      <c r="D659" s="77" t="s">
        <v>7258</v>
      </c>
      <c r="E659" s="68" t="s">
        <v>6454</v>
      </c>
    </row>
    <row r="660" spans="1:5" ht="57.95">
      <c r="A660" s="78" t="s">
        <v>7126</v>
      </c>
      <c r="B660" s="102" t="s">
        <v>7255</v>
      </c>
      <c r="C660" s="95">
        <v>4</v>
      </c>
      <c r="D660" s="77" t="s">
        <v>7259</v>
      </c>
      <c r="E660" s="68" t="s">
        <v>6451</v>
      </c>
    </row>
    <row r="661" spans="1:5" ht="57.95">
      <c r="A661" s="78" t="s">
        <v>7126</v>
      </c>
      <c r="B661" s="102" t="s">
        <v>7255</v>
      </c>
      <c r="C661" s="95">
        <v>5</v>
      </c>
      <c r="D661" s="77" t="s">
        <v>7260</v>
      </c>
      <c r="E661" s="68" t="s">
        <v>6451</v>
      </c>
    </row>
    <row r="662" spans="1:5" ht="57.95">
      <c r="A662" s="78" t="s">
        <v>7126</v>
      </c>
      <c r="B662" s="102" t="s">
        <v>7255</v>
      </c>
      <c r="C662" s="95">
        <v>6</v>
      </c>
      <c r="D662" s="77" t="s">
        <v>7261</v>
      </c>
      <c r="E662" s="68" t="s">
        <v>6451</v>
      </c>
    </row>
    <row r="663" spans="1:5" ht="57.95">
      <c r="A663" s="78" t="s">
        <v>7126</v>
      </c>
      <c r="B663" s="102" t="s">
        <v>7262</v>
      </c>
      <c r="C663" s="95">
        <v>1</v>
      </c>
      <c r="D663" s="77" t="s">
        <v>7263</v>
      </c>
      <c r="E663" s="68" t="s">
        <v>6454</v>
      </c>
    </row>
    <row r="664" spans="1:5" ht="116.1">
      <c r="A664" s="78" t="s">
        <v>7126</v>
      </c>
      <c r="B664" s="102" t="s">
        <v>7262</v>
      </c>
      <c r="C664" s="95">
        <v>2</v>
      </c>
      <c r="D664" s="77" t="s">
        <v>7264</v>
      </c>
      <c r="E664" s="68" t="s">
        <v>6454</v>
      </c>
    </row>
    <row r="665" spans="1:5" ht="87">
      <c r="A665" s="78" t="s">
        <v>7126</v>
      </c>
      <c r="B665" s="102" t="s">
        <v>7262</v>
      </c>
      <c r="C665" s="95">
        <v>3</v>
      </c>
      <c r="D665" s="77" t="s">
        <v>7265</v>
      </c>
      <c r="E665" s="68" t="s">
        <v>6451</v>
      </c>
    </row>
    <row r="666" spans="1:5" ht="87">
      <c r="A666" s="78" t="s">
        <v>7126</v>
      </c>
      <c r="B666" s="102" t="s">
        <v>7262</v>
      </c>
      <c r="C666" s="78">
        <v>4</v>
      </c>
      <c r="D666" s="78" t="s">
        <v>7266</v>
      </c>
      <c r="E666" s="68" t="s">
        <v>6451</v>
      </c>
    </row>
    <row r="667" spans="1:5" ht="87">
      <c r="A667" s="78" t="s">
        <v>7126</v>
      </c>
      <c r="B667" s="102" t="s">
        <v>7262</v>
      </c>
      <c r="C667" s="95">
        <v>5</v>
      </c>
      <c r="D667" s="77" t="s">
        <v>7267</v>
      </c>
      <c r="E667" s="68" t="s">
        <v>6451</v>
      </c>
    </row>
    <row r="668" spans="1:5" ht="57.95">
      <c r="A668" s="78" t="s">
        <v>7126</v>
      </c>
      <c r="B668" s="102" t="s">
        <v>7268</v>
      </c>
      <c r="C668" s="95">
        <v>1</v>
      </c>
      <c r="D668" s="77" t="s">
        <v>7269</v>
      </c>
      <c r="E668" s="68" t="s">
        <v>6451</v>
      </c>
    </row>
    <row r="669" spans="1:5" ht="57.95">
      <c r="A669" s="78" t="s">
        <v>7126</v>
      </c>
      <c r="B669" s="102" t="s">
        <v>7268</v>
      </c>
      <c r="C669" s="95">
        <v>2</v>
      </c>
      <c r="D669" s="77" t="s">
        <v>7270</v>
      </c>
      <c r="E669" s="68" t="s">
        <v>6451</v>
      </c>
    </row>
    <row r="670" spans="1:5" ht="87">
      <c r="A670" s="78" t="s">
        <v>7126</v>
      </c>
      <c r="B670" s="102" t="s">
        <v>7268</v>
      </c>
      <c r="C670" s="95">
        <v>3</v>
      </c>
      <c r="D670" s="77" t="s">
        <v>7271</v>
      </c>
      <c r="E670" s="68" t="s">
        <v>6451</v>
      </c>
    </row>
    <row r="671" spans="1:5" ht="57.95">
      <c r="A671" s="78" t="s">
        <v>7126</v>
      </c>
      <c r="B671" s="104" t="s">
        <v>7268</v>
      </c>
      <c r="C671" s="95">
        <v>4</v>
      </c>
      <c r="D671" s="77" t="s">
        <v>7272</v>
      </c>
      <c r="E671" s="68" t="s">
        <v>6451</v>
      </c>
    </row>
    <row r="672" spans="1:5" ht="57.95">
      <c r="A672" s="78" t="s">
        <v>7126</v>
      </c>
      <c r="B672" s="104" t="s">
        <v>7268</v>
      </c>
      <c r="C672" s="95">
        <v>5</v>
      </c>
      <c r="D672" s="77" t="s">
        <v>7273</v>
      </c>
      <c r="E672" s="68" t="s">
        <v>6451</v>
      </c>
    </row>
    <row r="673" spans="1:5" ht="87">
      <c r="A673" s="78" t="s">
        <v>7274</v>
      </c>
      <c r="B673" s="96" t="s">
        <v>7275</v>
      </c>
      <c r="C673" s="95">
        <v>1</v>
      </c>
      <c r="D673" s="77" t="s">
        <v>7276</v>
      </c>
      <c r="E673" s="68" t="s">
        <v>6454</v>
      </c>
    </row>
    <row r="674" spans="1:5" ht="87">
      <c r="A674" s="78" t="s">
        <v>7274</v>
      </c>
      <c r="B674" s="96" t="s">
        <v>7275</v>
      </c>
      <c r="C674" s="95">
        <v>2</v>
      </c>
      <c r="D674" s="77" t="s">
        <v>7277</v>
      </c>
      <c r="E674" s="68" t="s">
        <v>6454</v>
      </c>
    </row>
    <row r="675" spans="1:5" ht="87">
      <c r="A675" s="78" t="s">
        <v>7274</v>
      </c>
      <c r="B675" s="96" t="s">
        <v>7275</v>
      </c>
      <c r="C675" s="95">
        <v>3</v>
      </c>
      <c r="D675" s="77" t="s">
        <v>7278</v>
      </c>
      <c r="E675" s="68" t="s">
        <v>6451</v>
      </c>
    </row>
    <row r="676" spans="1:5" ht="87">
      <c r="A676" s="78" t="s">
        <v>7274</v>
      </c>
      <c r="B676" s="96" t="s">
        <v>7275</v>
      </c>
      <c r="C676" s="95">
        <v>4</v>
      </c>
      <c r="D676" s="77" t="s">
        <v>7279</v>
      </c>
      <c r="E676" s="68" t="s">
        <v>6451</v>
      </c>
    </row>
    <row r="677" spans="1:5" ht="87">
      <c r="A677" s="78" t="s">
        <v>7274</v>
      </c>
      <c r="B677" s="96" t="s">
        <v>7275</v>
      </c>
      <c r="C677" s="95">
        <v>5</v>
      </c>
      <c r="D677" s="77" t="s">
        <v>7280</v>
      </c>
      <c r="E677" s="68" t="s">
        <v>6451</v>
      </c>
    </row>
    <row r="678" spans="1:5" ht="87">
      <c r="A678" s="78" t="s">
        <v>7274</v>
      </c>
      <c r="B678" s="96" t="s">
        <v>7275</v>
      </c>
      <c r="C678" s="95">
        <v>6</v>
      </c>
      <c r="D678" s="77" t="s">
        <v>7281</v>
      </c>
      <c r="E678" s="68" t="s">
        <v>6454</v>
      </c>
    </row>
    <row r="679" spans="1:5" ht="72.75">
      <c r="A679" s="78" t="s">
        <v>7274</v>
      </c>
      <c r="B679" s="96" t="s">
        <v>7282</v>
      </c>
      <c r="C679" s="95">
        <v>1</v>
      </c>
      <c r="D679" s="77" t="s">
        <v>7283</v>
      </c>
      <c r="E679" s="68" t="s">
        <v>6454</v>
      </c>
    </row>
    <row r="680" spans="1:5" ht="72.75">
      <c r="A680" s="78" t="s">
        <v>7274</v>
      </c>
      <c r="B680" s="96" t="s">
        <v>7282</v>
      </c>
      <c r="C680" s="95">
        <v>2</v>
      </c>
      <c r="D680" s="77" t="s">
        <v>7284</v>
      </c>
      <c r="E680" s="68" t="s">
        <v>6451</v>
      </c>
    </row>
    <row r="681" spans="1:5" ht="72.75">
      <c r="A681" s="78" t="s">
        <v>7274</v>
      </c>
      <c r="B681" s="96" t="s">
        <v>7282</v>
      </c>
      <c r="C681" s="95">
        <v>3</v>
      </c>
      <c r="D681" s="77" t="s">
        <v>7285</v>
      </c>
      <c r="E681" s="68" t="s">
        <v>6454</v>
      </c>
    </row>
    <row r="682" spans="1:5" ht="72.75">
      <c r="A682" s="78" t="s">
        <v>7274</v>
      </c>
      <c r="B682" s="96" t="s">
        <v>7282</v>
      </c>
      <c r="C682" s="95">
        <v>4</v>
      </c>
      <c r="D682" s="77" t="s">
        <v>7286</v>
      </c>
      <c r="E682" s="68" t="s">
        <v>6454</v>
      </c>
    </row>
    <row r="683" spans="1:5" ht="87">
      <c r="A683" s="78" t="s">
        <v>7274</v>
      </c>
      <c r="B683" s="96" t="s">
        <v>7287</v>
      </c>
      <c r="C683" s="95">
        <v>1</v>
      </c>
      <c r="D683" s="77" t="s">
        <v>7288</v>
      </c>
      <c r="E683" s="68" t="s">
        <v>6451</v>
      </c>
    </row>
    <row r="684" spans="1:5" ht="87">
      <c r="A684" s="78" t="s">
        <v>7274</v>
      </c>
      <c r="B684" s="96" t="s">
        <v>7287</v>
      </c>
      <c r="C684" s="95">
        <v>2</v>
      </c>
      <c r="D684" s="77" t="s">
        <v>7289</v>
      </c>
      <c r="E684" s="68" t="s">
        <v>6454</v>
      </c>
    </row>
    <row r="685" spans="1:5" ht="87">
      <c r="A685" s="78" t="s">
        <v>7274</v>
      </c>
      <c r="B685" s="96" t="s">
        <v>7287</v>
      </c>
      <c r="C685" s="95">
        <v>3</v>
      </c>
      <c r="D685" s="77" t="s">
        <v>7290</v>
      </c>
      <c r="E685" s="68" t="s">
        <v>6454</v>
      </c>
    </row>
    <row r="686" spans="1:5" ht="87">
      <c r="A686" s="78" t="s">
        <v>7274</v>
      </c>
      <c r="B686" s="96" t="s">
        <v>7287</v>
      </c>
      <c r="C686" s="96">
        <v>4</v>
      </c>
      <c r="D686" s="78" t="s">
        <v>7291</v>
      </c>
      <c r="E686" s="68" t="s">
        <v>6454</v>
      </c>
    </row>
    <row r="687" spans="1:5" ht="87">
      <c r="A687" s="82" t="s">
        <v>7274</v>
      </c>
      <c r="B687" s="107" t="s">
        <v>7287</v>
      </c>
      <c r="C687" s="107">
        <v>5</v>
      </c>
      <c r="D687" s="82" t="s">
        <v>7292</v>
      </c>
      <c r="E687" s="68" t="s">
        <v>6454</v>
      </c>
    </row>
    <row r="688" spans="1:5" ht="303.75">
      <c r="A688" s="82" t="s">
        <v>7274</v>
      </c>
      <c r="B688" s="107" t="s">
        <v>7293</v>
      </c>
      <c r="C688" s="107">
        <v>1</v>
      </c>
      <c r="D688" s="82" t="s">
        <v>7294</v>
      </c>
      <c r="E688" s="68" t="s">
        <v>6451</v>
      </c>
    </row>
    <row r="689" spans="1:5" ht="72.75">
      <c r="A689" s="82" t="s">
        <v>7274</v>
      </c>
      <c r="B689" s="107" t="s">
        <v>7293</v>
      </c>
      <c r="C689" s="107">
        <v>2</v>
      </c>
      <c r="D689" s="82" t="s">
        <v>7295</v>
      </c>
      <c r="E689" s="68" t="s">
        <v>6451</v>
      </c>
    </row>
    <row r="690" spans="1:5" ht="72.75">
      <c r="A690" s="82" t="s">
        <v>7274</v>
      </c>
      <c r="B690" s="107" t="s">
        <v>7293</v>
      </c>
      <c r="C690" s="107">
        <v>3</v>
      </c>
      <c r="D690" s="82" t="s">
        <v>7296</v>
      </c>
      <c r="E690" s="68" t="s">
        <v>6454</v>
      </c>
    </row>
    <row r="691" spans="1:5" ht="57.95">
      <c r="A691" s="82" t="s">
        <v>7274</v>
      </c>
      <c r="B691" s="107" t="s">
        <v>7297</v>
      </c>
      <c r="C691" s="107">
        <v>1</v>
      </c>
      <c r="D691" s="82" t="s">
        <v>7298</v>
      </c>
      <c r="E691" s="68" t="s">
        <v>6454</v>
      </c>
    </row>
    <row r="692" spans="1:5" ht="57.95">
      <c r="A692" s="82" t="s">
        <v>7274</v>
      </c>
      <c r="B692" s="107" t="s">
        <v>7297</v>
      </c>
      <c r="C692" s="107">
        <v>2</v>
      </c>
      <c r="D692" s="82" t="s">
        <v>7299</v>
      </c>
      <c r="E692" s="68" t="s">
        <v>6454</v>
      </c>
    </row>
    <row r="693" spans="1:5" ht="57.95">
      <c r="A693" s="82" t="s">
        <v>7274</v>
      </c>
      <c r="B693" s="107" t="s">
        <v>7297</v>
      </c>
      <c r="C693" s="107">
        <v>3</v>
      </c>
      <c r="D693" s="82" t="s">
        <v>7300</v>
      </c>
      <c r="E693" s="68" t="s">
        <v>6451</v>
      </c>
    </row>
    <row r="694" spans="1:5" ht="57.95">
      <c r="A694" s="82" t="s">
        <v>7274</v>
      </c>
      <c r="B694" s="107" t="s">
        <v>7297</v>
      </c>
      <c r="C694" s="107">
        <v>4</v>
      </c>
      <c r="D694" s="82" t="s">
        <v>7301</v>
      </c>
      <c r="E694" s="68" t="s">
        <v>6454</v>
      </c>
    </row>
    <row r="695" spans="1:5" ht="57.95">
      <c r="A695" s="82" t="s">
        <v>7274</v>
      </c>
      <c r="B695" s="107" t="s">
        <v>7297</v>
      </c>
      <c r="C695" s="107">
        <v>5</v>
      </c>
      <c r="D695" s="82" t="s">
        <v>7302</v>
      </c>
      <c r="E695" s="68" t="s">
        <v>6454</v>
      </c>
    </row>
    <row r="696" spans="1:5" ht="72.75">
      <c r="A696" s="82" t="s">
        <v>7274</v>
      </c>
      <c r="B696" s="107" t="s">
        <v>7303</v>
      </c>
      <c r="C696" s="107">
        <v>1</v>
      </c>
      <c r="D696" s="82" t="s">
        <v>7304</v>
      </c>
      <c r="E696" s="68" t="s">
        <v>6451</v>
      </c>
    </row>
    <row r="697" spans="1:5" ht="72.75">
      <c r="A697" s="82" t="s">
        <v>7274</v>
      </c>
      <c r="B697" s="107" t="s">
        <v>7303</v>
      </c>
      <c r="C697" s="107">
        <v>2</v>
      </c>
      <c r="D697" s="82" t="s">
        <v>7305</v>
      </c>
      <c r="E697" s="68" t="s">
        <v>6451</v>
      </c>
    </row>
    <row r="698" spans="1:5" ht="72.75">
      <c r="A698" s="82" t="s">
        <v>7274</v>
      </c>
      <c r="B698" s="107" t="s">
        <v>7303</v>
      </c>
      <c r="C698" s="107">
        <v>3</v>
      </c>
      <c r="D698" s="82" t="s">
        <v>7306</v>
      </c>
      <c r="E698" s="68" t="s">
        <v>6454</v>
      </c>
    </row>
    <row r="699" spans="1:5" ht="72.75">
      <c r="A699" s="82" t="s">
        <v>7274</v>
      </c>
      <c r="B699" s="107" t="s">
        <v>7307</v>
      </c>
      <c r="C699" s="107">
        <v>1</v>
      </c>
      <c r="D699" s="82" t="s">
        <v>7308</v>
      </c>
      <c r="E699" s="68" t="s">
        <v>6454</v>
      </c>
    </row>
    <row r="700" spans="1:5" ht="72.75">
      <c r="A700" s="82" t="s">
        <v>7274</v>
      </c>
      <c r="B700" s="107" t="s">
        <v>7307</v>
      </c>
      <c r="C700" s="107">
        <v>2</v>
      </c>
      <c r="D700" s="82" t="s">
        <v>7309</v>
      </c>
      <c r="E700" s="68" t="s">
        <v>6454</v>
      </c>
    </row>
    <row r="701" spans="1:5" ht="288.75">
      <c r="A701" s="82" t="s">
        <v>7274</v>
      </c>
      <c r="B701" s="107" t="s">
        <v>7307</v>
      </c>
      <c r="C701" s="107">
        <v>3</v>
      </c>
      <c r="D701" s="82" t="s">
        <v>7310</v>
      </c>
      <c r="E701" s="68" t="s">
        <v>6451</v>
      </c>
    </row>
    <row r="702" spans="1:5" ht="72.75">
      <c r="A702" s="82" t="s">
        <v>7274</v>
      </c>
      <c r="B702" s="107" t="s">
        <v>7307</v>
      </c>
      <c r="C702" s="107">
        <v>4</v>
      </c>
      <c r="D702" s="82" t="s">
        <v>7311</v>
      </c>
      <c r="E702" s="68" t="s">
        <v>6454</v>
      </c>
    </row>
    <row r="703" spans="1:5" ht="72.75">
      <c r="A703" s="82" t="s">
        <v>7274</v>
      </c>
      <c r="B703" s="107" t="s">
        <v>7307</v>
      </c>
      <c r="C703" s="107">
        <v>5</v>
      </c>
      <c r="D703" s="82" t="s">
        <v>7312</v>
      </c>
      <c r="E703" s="68" t="s">
        <v>6454</v>
      </c>
    </row>
    <row r="704" spans="1:5" ht="72.75">
      <c r="A704" s="82" t="s">
        <v>7274</v>
      </c>
      <c r="B704" s="107" t="s">
        <v>7307</v>
      </c>
      <c r="C704" s="107">
        <v>6</v>
      </c>
      <c r="D704" s="82" t="s">
        <v>7313</v>
      </c>
      <c r="E704" s="68" t="s">
        <v>6454</v>
      </c>
    </row>
    <row r="705" spans="1:5" ht="43.5">
      <c r="A705" s="82" t="s">
        <v>7274</v>
      </c>
      <c r="B705" s="107" t="s">
        <v>7314</v>
      </c>
      <c r="C705" s="107">
        <v>1</v>
      </c>
      <c r="D705" s="82" t="s">
        <v>7315</v>
      </c>
      <c r="E705" s="68" t="s">
        <v>6454</v>
      </c>
    </row>
    <row r="706" spans="1:5" ht="43.5">
      <c r="A706" s="82" t="s">
        <v>7274</v>
      </c>
      <c r="B706" s="107" t="s">
        <v>7314</v>
      </c>
      <c r="C706" s="107">
        <v>2</v>
      </c>
      <c r="D706" s="82" t="s">
        <v>7316</v>
      </c>
      <c r="E706" s="68" t="s">
        <v>6454</v>
      </c>
    </row>
    <row r="707" spans="1:5" ht="43.5">
      <c r="A707" s="82" t="s">
        <v>7274</v>
      </c>
      <c r="B707" s="107" t="s">
        <v>7314</v>
      </c>
      <c r="C707" s="107">
        <v>3</v>
      </c>
      <c r="D707" s="82" t="s">
        <v>7317</v>
      </c>
      <c r="E707" s="68" t="s">
        <v>6454</v>
      </c>
    </row>
    <row r="708" spans="1:5" ht="57.95">
      <c r="A708" s="82" t="s">
        <v>7274</v>
      </c>
      <c r="B708" s="107" t="s">
        <v>7314</v>
      </c>
      <c r="C708" s="107">
        <v>4</v>
      </c>
      <c r="D708" s="82" t="s">
        <v>7318</v>
      </c>
      <c r="E708" s="68" t="s">
        <v>6454</v>
      </c>
    </row>
    <row r="709" spans="1:5" ht="116.1">
      <c r="A709" s="82" t="s">
        <v>7274</v>
      </c>
      <c r="B709" s="107" t="s">
        <v>7319</v>
      </c>
      <c r="C709" s="107">
        <v>1</v>
      </c>
      <c r="D709" s="82" t="s">
        <v>7320</v>
      </c>
      <c r="E709" s="68" t="s">
        <v>6451</v>
      </c>
    </row>
    <row r="710" spans="1:5" ht="101.45">
      <c r="A710" s="82" t="s">
        <v>7274</v>
      </c>
      <c r="B710" s="107" t="s">
        <v>7319</v>
      </c>
      <c r="C710" s="107">
        <v>2</v>
      </c>
      <c r="D710" s="82" t="s">
        <v>7321</v>
      </c>
      <c r="E710" s="68" t="s">
        <v>6454</v>
      </c>
    </row>
    <row r="711" spans="1:5" ht="101.45">
      <c r="A711" s="82" t="s">
        <v>7274</v>
      </c>
      <c r="B711" s="107" t="s">
        <v>7319</v>
      </c>
      <c r="C711" s="107">
        <v>3</v>
      </c>
      <c r="D711" s="82" t="s">
        <v>7322</v>
      </c>
      <c r="E711" s="68" t="s">
        <v>6451</v>
      </c>
    </row>
    <row r="712" spans="1:5" ht="101.45">
      <c r="A712" s="82" t="s">
        <v>7274</v>
      </c>
      <c r="B712" s="107" t="s">
        <v>7319</v>
      </c>
      <c r="C712" s="107">
        <v>4</v>
      </c>
      <c r="D712" s="82" t="s">
        <v>7323</v>
      </c>
      <c r="E712" s="68" t="s">
        <v>6451</v>
      </c>
    </row>
    <row r="713" spans="1:5" ht="101.45">
      <c r="A713" s="82" t="s">
        <v>7274</v>
      </c>
      <c r="B713" s="107" t="s">
        <v>7319</v>
      </c>
      <c r="C713" s="107">
        <v>5</v>
      </c>
      <c r="D713" s="82" t="s">
        <v>7324</v>
      </c>
      <c r="E713" s="68" t="s">
        <v>6454</v>
      </c>
    </row>
    <row r="714" spans="1:5" ht="101.45">
      <c r="A714" s="82" t="s">
        <v>7274</v>
      </c>
      <c r="B714" s="107" t="s">
        <v>7319</v>
      </c>
      <c r="C714" s="107">
        <v>6</v>
      </c>
      <c r="D714" s="82" t="s">
        <v>7325</v>
      </c>
      <c r="E714" s="68" t="s">
        <v>6451</v>
      </c>
    </row>
    <row r="715" spans="1:5" ht="72.75">
      <c r="A715" s="82" t="s">
        <v>3634</v>
      </c>
      <c r="B715" s="107" t="s">
        <v>7326</v>
      </c>
      <c r="C715" s="107">
        <v>1</v>
      </c>
      <c r="D715" s="82" t="s">
        <v>7327</v>
      </c>
      <c r="E715" s="73" t="s">
        <v>6454</v>
      </c>
    </row>
    <row r="716" spans="1:5" ht="43.5">
      <c r="A716" s="82" t="s">
        <v>3634</v>
      </c>
      <c r="B716" s="107" t="s">
        <v>7326</v>
      </c>
      <c r="C716" s="107">
        <v>2</v>
      </c>
      <c r="D716" s="82" t="s">
        <v>7328</v>
      </c>
      <c r="E716" s="73" t="s">
        <v>6454</v>
      </c>
    </row>
    <row r="717" spans="1:5" ht="43.5">
      <c r="A717" s="82" t="s">
        <v>3634</v>
      </c>
      <c r="B717" s="107" t="s">
        <v>7326</v>
      </c>
      <c r="C717" s="107">
        <v>3</v>
      </c>
      <c r="D717" s="82" t="s">
        <v>7329</v>
      </c>
      <c r="E717" s="73" t="s">
        <v>6454</v>
      </c>
    </row>
    <row r="718" spans="1:5" ht="43.5">
      <c r="A718" s="82" t="s">
        <v>3634</v>
      </c>
      <c r="B718" s="107" t="s">
        <v>7330</v>
      </c>
      <c r="C718" s="107">
        <v>1</v>
      </c>
      <c r="D718" s="82" t="s">
        <v>7331</v>
      </c>
      <c r="E718" s="73" t="s">
        <v>6451</v>
      </c>
    </row>
    <row r="719" spans="1:5" ht="57.95">
      <c r="A719" s="82" t="s">
        <v>3634</v>
      </c>
      <c r="B719" s="107" t="s">
        <v>7330</v>
      </c>
      <c r="C719" s="107">
        <v>2</v>
      </c>
      <c r="D719" s="82" t="s">
        <v>7332</v>
      </c>
      <c r="E719" s="73" t="s">
        <v>6454</v>
      </c>
    </row>
    <row r="720" spans="1:5" ht="43.5">
      <c r="A720" s="82" t="s">
        <v>3634</v>
      </c>
      <c r="B720" s="107" t="s">
        <v>7330</v>
      </c>
      <c r="C720" s="107">
        <v>3</v>
      </c>
      <c r="D720" s="82" t="s">
        <v>7333</v>
      </c>
      <c r="E720" s="73" t="s">
        <v>6454</v>
      </c>
    </row>
    <row r="721" spans="1:5" ht="43.5">
      <c r="A721" s="82" t="s">
        <v>3634</v>
      </c>
      <c r="B721" s="107" t="s">
        <v>7330</v>
      </c>
      <c r="C721" s="107">
        <v>4</v>
      </c>
      <c r="D721" s="82" t="s">
        <v>7334</v>
      </c>
      <c r="E721" s="73" t="s">
        <v>6451</v>
      </c>
    </row>
    <row r="722" spans="1:5" ht="43.5">
      <c r="A722" s="82" t="s">
        <v>3634</v>
      </c>
      <c r="B722" s="107" t="s">
        <v>7335</v>
      </c>
      <c r="C722" s="107">
        <v>1</v>
      </c>
      <c r="D722" s="82" t="s">
        <v>7336</v>
      </c>
      <c r="E722" s="73" t="s">
        <v>6451</v>
      </c>
    </row>
    <row r="723" spans="1:5" ht="57.95">
      <c r="A723" s="82" t="s">
        <v>3634</v>
      </c>
      <c r="B723" s="107" t="s">
        <v>7335</v>
      </c>
      <c r="C723" s="107">
        <v>2</v>
      </c>
      <c r="D723" s="82" t="s">
        <v>7337</v>
      </c>
      <c r="E723" s="73" t="s">
        <v>6454</v>
      </c>
    </row>
    <row r="724" spans="1:5" ht="43.5">
      <c r="A724" s="82" t="s">
        <v>3634</v>
      </c>
      <c r="B724" s="107" t="s">
        <v>7335</v>
      </c>
      <c r="C724" s="107">
        <v>3</v>
      </c>
      <c r="D724" s="86" t="s">
        <v>7338</v>
      </c>
      <c r="E724" s="73" t="s">
        <v>6454</v>
      </c>
    </row>
    <row r="725" spans="1:5" ht="43.5">
      <c r="A725" s="82" t="s">
        <v>3634</v>
      </c>
      <c r="B725" s="107" t="s">
        <v>7339</v>
      </c>
      <c r="C725" s="107">
        <v>1</v>
      </c>
      <c r="D725" s="82" t="s">
        <v>7340</v>
      </c>
      <c r="E725" s="73" t="s">
        <v>6454</v>
      </c>
    </row>
    <row r="726" spans="1:5" ht="57.75">
      <c r="A726" s="82" t="s">
        <v>3634</v>
      </c>
      <c r="B726" s="107" t="s">
        <v>7339</v>
      </c>
      <c r="C726" s="107">
        <v>2</v>
      </c>
      <c r="D726" s="82" t="s">
        <v>7341</v>
      </c>
      <c r="E726" s="73" t="s">
        <v>6454</v>
      </c>
    </row>
    <row r="727" spans="1:5" ht="43.5">
      <c r="A727" s="82" t="s">
        <v>3634</v>
      </c>
      <c r="B727" s="107" t="s">
        <v>7339</v>
      </c>
      <c r="C727" s="107">
        <v>3</v>
      </c>
      <c r="D727" s="82" t="s">
        <v>7342</v>
      </c>
      <c r="E727" s="73" t="s">
        <v>6454</v>
      </c>
    </row>
    <row r="728" spans="1:5" ht="57.95">
      <c r="A728" s="82" t="s">
        <v>3634</v>
      </c>
      <c r="B728" s="107" t="s">
        <v>7343</v>
      </c>
      <c r="C728" s="107">
        <v>1</v>
      </c>
      <c r="D728" s="82" t="s">
        <v>7344</v>
      </c>
      <c r="E728" s="73" t="s">
        <v>6454</v>
      </c>
    </row>
    <row r="729" spans="1:5" ht="57.95">
      <c r="A729" s="82" t="s">
        <v>3634</v>
      </c>
      <c r="B729" s="107" t="s">
        <v>7343</v>
      </c>
      <c r="C729" s="107">
        <v>2</v>
      </c>
      <c r="D729" s="82" t="s">
        <v>7345</v>
      </c>
      <c r="E729" s="73" t="s">
        <v>6454</v>
      </c>
    </row>
    <row r="730" spans="1:5" ht="57.95">
      <c r="A730" s="82" t="s">
        <v>3634</v>
      </c>
      <c r="B730" s="107" t="s">
        <v>7343</v>
      </c>
      <c r="C730" s="107">
        <v>3</v>
      </c>
      <c r="D730" s="82" t="s">
        <v>7346</v>
      </c>
      <c r="E730" s="73" t="s">
        <v>6454</v>
      </c>
    </row>
    <row r="731" spans="1:5" ht="72.75">
      <c r="A731" s="82" t="s">
        <v>3634</v>
      </c>
      <c r="B731" s="107" t="s">
        <v>7347</v>
      </c>
      <c r="C731" s="107">
        <v>1</v>
      </c>
      <c r="D731" s="82" t="s">
        <v>7348</v>
      </c>
      <c r="E731" s="73" t="s">
        <v>6454</v>
      </c>
    </row>
    <row r="732" spans="1:5" ht="57.95">
      <c r="A732" s="82" t="s">
        <v>3634</v>
      </c>
      <c r="B732" s="107" t="s">
        <v>7347</v>
      </c>
      <c r="C732" s="107">
        <v>2</v>
      </c>
      <c r="D732" s="82" t="s">
        <v>7349</v>
      </c>
      <c r="E732" s="73" t="s">
        <v>6454</v>
      </c>
    </row>
    <row r="733" spans="1:5" ht="43.5">
      <c r="A733" s="82" t="s">
        <v>3634</v>
      </c>
      <c r="B733" s="107" t="s">
        <v>7347</v>
      </c>
      <c r="C733" s="107">
        <v>3</v>
      </c>
      <c r="D733" s="86" t="s">
        <v>7350</v>
      </c>
      <c r="E733" s="73" t="s">
        <v>6451</v>
      </c>
    </row>
    <row r="734" spans="1:5" ht="144.94999999999999">
      <c r="A734" s="82" t="s">
        <v>3634</v>
      </c>
      <c r="B734" s="107" t="s">
        <v>7351</v>
      </c>
      <c r="C734" s="107">
        <v>1</v>
      </c>
      <c r="D734" s="82" t="s">
        <v>7352</v>
      </c>
      <c r="E734" s="73" t="s">
        <v>6454</v>
      </c>
    </row>
    <row r="735" spans="1:5" ht="57.95">
      <c r="A735" s="82" t="s">
        <v>3634</v>
      </c>
      <c r="B735" s="107" t="s">
        <v>7351</v>
      </c>
      <c r="C735" s="107">
        <v>2</v>
      </c>
      <c r="D735" s="82" t="s">
        <v>7353</v>
      </c>
      <c r="E735" s="73" t="s">
        <v>6454</v>
      </c>
    </row>
    <row r="736" spans="1:5" ht="144.94999999999999">
      <c r="A736" s="82" t="s">
        <v>3634</v>
      </c>
      <c r="B736" s="107" t="s">
        <v>7351</v>
      </c>
      <c r="C736" s="82">
        <v>3</v>
      </c>
      <c r="D736" s="82" t="s">
        <v>7354</v>
      </c>
      <c r="E736" s="73" t="s">
        <v>6454</v>
      </c>
    </row>
    <row r="737" spans="1:5" ht="101.45">
      <c r="A737" s="82" t="s">
        <v>3634</v>
      </c>
      <c r="B737" s="107" t="s">
        <v>7355</v>
      </c>
      <c r="C737" s="107">
        <v>1</v>
      </c>
      <c r="D737" s="82" t="s">
        <v>7356</v>
      </c>
      <c r="E737" s="73" t="s">
        <v>6454</v>
      </c>
    </row>
    <row r="738" spans="1:5" ht="130.5">
      <c r="A738" s="82" t="s">
        <v>3634</v>
      </c>
      <c r="B738" s="107" t="s">
        <v>7355</v>
      </c>
      <c r="C738" s="107">
        <v>2</v>
      </c>
      <c r="D738" s="82" t="s">
        <v>7357</v>
      </c>
      <c r="E738" s="73" t="s">
        <v>6454</v>
      </c>
    </row>
    <row r="739" spans="1:5" ht="72.75">
      <c r="A739" s="82" t="s">
        <v>3634</v>
      </c>
      <c r="B739" s="107" t="s">
        <v>7355</v>
      </c>
      <c r="C739" s="107">
        <v>3</v>
      </c>
      <c r="D739" s="82" t="s">
        <v>7358</v>
      </c>
      <c r="E739" s="73" t="s">
        <v>6454</v>
      </c>
    </row>
    <row r="740" spans="1:5" ht="72.75">
      <c r="A740" s="82" t="s">
        <v>3634</v>
      </c>
      <c r="B740" s="107" t="s">
        <v>7355</v>
      </c>
      <c r="C740" s="107">
        <v>4</v>
      </c>
      <c r="D740" s="82" t="s">
        <v>7359</v>
      </c>
      <c r="E740" s="73" t="s">
        <v>6451</v>
      </c>
    </row>
    <row r="741" spans="1:5" ht="57.95">
      <c r="A741" s="82" t="s">
        <v>3634</v>
      </c>
      <c r="B741" s="107" t="s">
        <v>7360</v>
      </c>
      <c r="C741" s="107">
        <v>1</v>
      </c>
      <c r="D741" s="82" t="s">
        <v>7361</v>
      </c>
      <c r="E741" s="73" t="s">
        <v>6454</v>
      </c>
    </row>
    <row r="742" spans="1:5" ht="57.95">
      <c r="A742" s="82" t="s">
        <v>3634</v>
      </c>
      <c r="B742" s="107" t="s">
        <v>7360</v>
      </c>
      <c r="C742" s="107">
        <v>2</v>
      </c>
      <c r="D742" s="82" t="s">
        <v>7362</v>
      </c>
      <c r="E742" s="73" t="s">
        <v>6454</v>
      </c>
    </row>
    <row r="743" spans="1:5" ht="57.95">
      <c r="A743" s="82" t="s">
        <v>3634</v>
      </c>
      <c r="B743" s="107" t="s">
        <v>7360</v>
      </c>
      <c r="C743" s="107">
        <v>3</v>
      </c>
      <c r="D743" s="82" t="s">
        <v>7363</v>
      </c>
      <c r="E743" s="73" t="s">
        <v>6454</v>
      </c>
    </row>
    <row r="744" spans="1:5" ht="84">
      <c r="A744" s="11" t="s">
        <v>7364</v>
      </c>
      <c r="B744" s="73" t="s">
        <v>7365</v>
      </c>
      <c r="C744" s="93">
        <v>1</v>
      </c>
      <c r="D744" s="73" t="s">
        <v>7366</v>
      </c>
      <c r="E744" s="73" t="s">
        <v>6454</v>
      </c>
    </row>
    <row r="745" spans="1:5" ht="152.25">
      <c r="A745" s="11" t="s">
        <v>7364</v>
      </c>
      <c r="B745" s="73" t="s">
        <v>7365</v>
      </c>
      <c r="C745" s="93">
        <v>2</v>
      </c>
      <c r="D745" s="346" t="s">
        <v>7367</v>
      </c>
      <c r="E745" s="73" t="s">
        <v>6454</v>
      </c>
    </row>
    <row r="746" spans="1:5" ht="66.75">
      <c r="A746" s="11" t="s">
        <v>7364</v>
      </c>
      <c r="B746" s="73" t="s">
        <v>7365</v>
      </c>
      <c r="C746" s="93">
        <v>3</v>
      </c>
      <c r="D746" s="73" t="s">
        <v>7368</v>
      </c>
      <c r="E746" s="73" t="s">
        <v>6454</v>
      </c>
    </row>
    <row r="747" spans="1:5" ht="50.25">
      <c r="A747" s="11" t="s">
        <v>7364</v>
      </c>
      <c r="B747" s="73" t="s">
        <v>7365</v>
      </c>
      <c r="C747" s="93">
        <v>4</v>
      </c>
      <c r="D747" s="73" t="s">
        <v>7369</v>
      </c>
      <c r="E747" s="73" t="s">
        <v>6454</v>
      </c>
    </row>
    <row r="748" spans="1:5" ht="66.75">
      <c r="A748" s="11" t="s">
        <v>7364</v>
      </c>
      <c r="B748" s="73" t="s">
        <v>7365</v>
      </c>
      <c r="C748" s="93">
        <v>5</v>
      </c>
      <c r="D748" s="73" t="s">
        <v>7370</v>
      </c>
      <c r="E748" s="73" t="s">
        <v>6454</v>
      </c>
    </row>
    <row r="749" spans="1:5" ht="50.25">
      <c r="A749" s="11" t="s">
        <v>7364</v>
      </c>
      <c r="B749" s="73" t="s">
        <v>7365</v>
      </c>
      <c r="C749" s="93">
        <v>6</v>
      </c>
      <c r="D749" s="73" t="s">
        <v>7371</v>
      </c>
      <c r="E749" s="73" t="s">
        <v>6454</v>
      </c>
    </row>
    <row r="750" spans="1:5" ht="50.25">
      <c r="A750" s="11" t="s">
        <v>7364</v>
      </c>
      <c r="B750" s="73" t="s">
        <v>7365</v>
      </c>
      <c r="C750" s="93">
        <v>7</v>
      </c>
      <c r="D750" s="73" t="s">
        <v>7372</v>
      </c>
      <c r="E750" s="73" t="s">
        <v>6454</v>
      </c>
    </row>
    <row r="751" spans="1:5" ht="216.75">
      <c r="A751" s="11" t="s">
        <v>7364</v>
      </c>
      <c r="B751" s="73" t="s">
        <v>7373</v>
      </c>
      <c r="C751" s="93">
        <v>1</v>
      </c>
      <c r="D751" s="73" t="s">
        <v>7374</v>
      </c>
      <c r="E751" s="73" t="s">
        <v>6454</v>
      </c>
    </row>
    <row r="752" spans="1:5" ht="84">
      <c r="A752" s="11" t="s">
        <v>7364</v>
      </c>
      <c r="B752" s="73" t="s">
        <v>7373</v>
      </c>
      <c r="C752" s="93">
        <v>2</v>
      </c>
      <c r="D752" s="73" t="s">
        <v>7375</v>
      </c>
      <c r="E752" s="73" t="s">
        <v>6454</v>
      </c>
    </row>
    <row r="753" spans="1:5" ht="117">
      <c r="A753" s="11" t="s">
        <v>7364</v>
      </c>
      <c r="B753" s="73" t="s">
        <v>7373</v>
      </c>
      <c r="C753" s="93">
        <v>3</v>
      </c>
      <c r="D753" s="73" t="s">
        <v>7376</v>
      </c>
      <c r="E753" s="73" t="s">
        <v>6454</v>
      </c>
    </row>
    <row r="754" spans="1:5" ht="66.75">
      <c r="A754" s="11" t="s">
        <v>7364</v>
      </c>
      <c r="B754" s="73" t="s">
        <v>7373</v>
      </c>
      <c r="C754" s="93">
        <v>4</v>
      </c>
      <c r="D754" s="73" t="s">
        <v>7377</v>
      </c>
      <c r="E754" s="73" t="s">
        <v>6454</v>
      </c>
    </row>
    <row r="755" spans="1:5" ht="66.75">
      <c r="A755" s="11" t="s">
        <v>7364</v>
      </c>
      <c r="B755" s="73" t="s">
        <v>7373</v>
      </c>
      <c r="C755" s="93">
        <v>5</v>
      </c>
      <c r="D755" s="73" t="s">
        <v>7378</v>
      </c>
      <c r="E755" s="73" t="s">
        <v>6454</v>
      </c>
    </row>
    <row r="756" spans="1:5" ht="100.5">
      <c r="A756" s="11" t="s">
        <v>7364</v>
      </c>
      <c r="B756" s="73" t="s">
        <v>7373</v>
      </c>
      <c r="C756" s="93">
        <v>6</v>
      </c>
      <c r="D756" s="73" t="s">
        <v>7379</v>
      </c>
      <c r="E756" s="73" t="s">
        <v>6454</v>
      </c>
    </row>
    <row r="757" spans="1:5" ht="66.75">
      <c r="A757" s="11" t="s">
        <v>7364</v>
      </c>
      <c r="B757" s="73" t="s">
        <v>7373</v>
      </c>
      <c r="C757" s="93">
        <v>7</v>
      </c>
      <c r="D757" s="73" t="s">
        <v>7380</v>
      </c>
      <c r="E757" s="73" t="s">
        <v>6454</v>
      </c>
    </row>
    <row r="758" spans="1:5" ht="66.75">
      <c r="A758" s="11" t="s">
        <v>7364</v>
      </c>
      <c r="B758" s="73" t="s">
        <v>7373</v>
      </c>
      <c r="C758" s="93">
        <v>8</v>
      </c>
      <c r="D758" s="73" t="s">
        <v>7381</v>
      </c>
      <c r="E758" s="73" t="s">
        <v>6454</v>
      </c>
    </row>
    <row r="759" spans="1:5" ht="66.75">
      <c r="A759" s="11" t="s">
        <v>7364</v>
      </c>
      <c r="B759" s="73" t="s">
        <v>7382</v>
      </c>
      <c r="C759" s="93">
        <v>1</v>
      </c>
      <c r="D759" s="73" t="s">
        <v>7383</v>
      </c>
      <c r="E759" s="73" t="s">
        <v>6454</v>
      </c>
    </row>
    <row r="760" spans="1:5" ht="50.25">
      <c r="A760" s="11" t="s">
        <v>7364</v>
      </c>
      <c r="B760" s="73" t="s">
        <v>7382</v>
      </c>
      <c r="C760" s="93">
        <v>2</v>
      </c>
      <c r="D760" s="73" t="s">
        <v>7384</v>
      </c>
      <c r="E760" s="73" t="s">
        <v>6454</v>
      </c>
    </row>
    <row r="761" spans="1:5" ht="50.25">
      <c r="A761" s="11" t="s">
        <v>7364</v>
      </c>
      <c r="B761" s="73" t="s">
        <v>7382</v>
      </c>
      <c r="C761" s="93">
        <v>3</v>
      </c>
      <c r="D761" s="73" t="s">
        <v>7385</v>
      </c>
      <c r="E761" s="73" t="s">
        <v>6454</v>
      </c>
    </row>
    <row r="762" spans="1:5" ht="50.25">
      <c r="A762" s="11" t="s">
        <v>7364</v>
      </c>
      <c r="B762" s="73" t="s">
        <v>7382</v>
      </c>
      <c r="C762" s="93">
        <v>4</v>
      </c>
      <c r="D762" s="346" t="s">
        <v>7386</v>
      </c>
      <c r="E762" s="73" t="s">
        <v>6454</v>
      </c>
    </row>
    <row r="763" spans="1:5" ht="50.25">
      <c r="A763" s="11" t="s">
        <v>7364</v>
      </c>
      <c r="B763" s="73" t="s">
        <v>7382</v>
      </c>
      <c r="C763" s="93">
        <v>5</v>
      </c>
      <c r="D763" s="73" t="s">
        <v>7387</v>
      </c>
      <c r="E763" s="73" t="s">
        <v>6454</v>
      </c>
    </row>
    <row r="764" spans="1:5" ht="84">
      <c r="A764" s="11" t="s">
        <v>7364</v>
      </c>
      <c r="B764" s="73" t="s">
        <v>7382</v>
      </c>
      <c r="C764" s="93">
        <v>6</v>
      </c>
      <c r="D764" s="73" t="s">
        <v>7388</v>
      </c>
      <c r="E764" s="73" t="s">
        <v>6454</v>
      </c>
    </row>
    <row r="765" spans="1:5" ht="100.5">
      <c r="A765" s="11" t="s">
        <v>7364</v>
      </c>
      <c r="B765" s="73" t="s">
        <v>7382</v>
      </c>
      <c r="C765" s="93">
        <v>1</v>
      </c>
      <c r="D765" s="73" t="s">
        <v>7389</v>
      </c>
      <c r="E765" s="73" t="s">
        <v>6454</v>
      </c>
    </row>
    <row r="766" spans="1:5" ht="50.25">
      <c r="A766" s="11" t="s">
        <v>7364</v>
      </c>
      <c r="B766" s="73" t="s">
        <v>7382</v>
      </c>
      <c r="C766" s="93">
        <v>2</v>
      </c>
      <c r="D766" s="73" t="s">
        <v>7390</v>
      </c>
      <c r="E766" s="73" t="s">
        <v>6454</v>
      </c>
    </row>
    <row r="767" spans="1:5" ht="50.25">
      <c r="A767" s="11" t="s">
        <v>7364</v>
      </c>
      <c r="B767" s="73" t="s">
        <v>7382</v>
      </c>
      <c r="C767" s="93">
        <v>3</v>
      </c>
      <c r="D767" s="73" t="s">
        <v>7391</v>
      </c>
      <c r="E767" s="73" t="s">
        <v>6454</v>
      </c>
    </row>
    <row r="768" spans="1:5" ht="84">
      <c r="A768" s="11" t="s">
        <v>7364</v>
      </c>
      <c r="B768" s="73" t="s">
        <v>7382</v>
      </c>
      <c r="C768" s="93">
        <v>1</v>
      </c>
      <c r="D768" s="73" t="s">
        <v>7392</v>
      </c>
      <c r="E768" s="73" t="s">
        <v>6454</v>
      </c>
    </row>
    <row r="769" spans="1:5" ht="50.25">
      <c r="A769" s="11" t="s">
        <v>7364</v>
      </c>
      <c r="B769" s="73" t="s">
        <v>7382</v>
      </c>
      <c r="C769" s="93">
        <v>2</v>
      </c>
      <c r="D769" s="73" t="s">
        <v>7393</v>
      </c>
      <c r="E769" s="73" t="s">
        <v>6454</v>
      </c>
    </row>
    <row r="770" spans="1:5" ht="66.75">
      <c r="A770" s="11" t="s">
        <v>7364</v>
      </c>
      <c r="B770" s="73" t="s">
        <v>7382</v>
      </c>
      <c r="C770" s="93">
        <v>3</v>
      </c>
      <c r="D770" s="73" t="s">
        <v>7394</v>
      </c>
      <c r="E770" s="73" t="s">
        <v>6454</v>
      </c>
    </row>
    <row r="771" spans="1:5" ht="66.75">
      <c r="A771" s="11" t="s">
        <v>7364</v>
      </c>
      <c r="B771" s="73" t="s">
        <v>7382</v>
      </c>
      <c r="C771" s="93">
        <v>4</v>
      </c>
      <c r="D771" s="73" t="s">
        <v>7395</v>
      </c>
      <c r="E771" s="73" t="s">
        <v>6454</v>
      </c>
    </row>
    <row r="772" spans="1:5" ht="84">
      <c r="A772" s="11" t="s">
        <v>7364</v>
      </c>
      <c r="B772" s="73" t="s">
        <v>7382</v>
      </c>
      <c r="C772" s="93">
        <v>1</v>
      </c>
      <c r="D772" s="73" t="s">
        <v>7396</v>
      </c>
      <c r="E772" s="73" t="s">
        <v>6454</v>
      </c>
    </row>
    <row r="773" spans="1:5" ht="117">
      <c r="A773" s="11" t="s">
        <v>7364</v>
      </c>
      <c r="B773" s="73" t="s">
        <v>7382</v>
      </c>
      <c r="C773" s="93">
        <v>2</v>
      </c>
      <c r="D773" s="73" t="s">
        <v>7397</v>
      </c>
      <c r="E773" s="73" t="s">
        <v>6454</v>
      </c>
    </row>
    <row r="774" spans="1:5" ht="84">
      <c r="A774" s="11" t="s">
        <v>7364</v>
      </c>
      <c r="B774" s="73" t="s">
        <v>7382</v>
      </c>
      <c r="C774" s="93">
        <v>3</v>
      </c>
      <c r="D774" s="73" t="s">
        <v>7398</v>
      </c>
      <c r="E774" s="73" t="s">
        <v>6454</v>
      </c>
    </row>
    <row r="775" spans="1:5" ht="50.25">
      <c r="A775" s="11" t="s">
        <v>7364</v>
      </c>
      <c r="B775" s="73" t="s">
        <v>7382</v>
      </c>
      <c r="C775" s="93">
        <v>4</v>
      </c>
      <c r="D775" s="73" t="s">
        <v>7399</v>
      </c>
      <c r="E775" s="73" t="s">
        <v>6454</v>
      </c>
    </row>
    <row r="776" spans="1:5" ht="84">
      <c r="A776" s="11" t="s">
        <v>7364</v>
      </c>
      <c r="B776" s="73" t="s">
        <v>7382</v>
      </c>
      <c r="C776" s="93">
        <v>5</v>
      </c>
      <c r="D776" s="73" t="s">
        <v>7400</v>
      </c>
      <c r="E776" s="73" t="s">
        <v>6454</v>
      </c>
    </row>
    <row r="777" spans="1:5" ht="50.25">
      <c r="A777" s="11" t="s">
        <v>7364</v>
      </c>
      <c r="B777" s="73" t="s">
        <v>7382</v>
      </c>
      <c r="C777" s="93">
        <v>6</v>
      </c>
      <c r="D777" s="73" t="s">
        <v>7401</v>
      </c>
      <c r="E777" s="73" t="s">
        <v>6454</v>
      </c>
    </row>
    <row r="778" spans="1:5" ht="66.75">
      <c r="A778" s="11" t="s">
        <v>7364</v>
      </c>
      <c r="B778" s="73" t="s">
        <v>7402</v>
      </c>
      <c r="C778" s="93">
        <v>1</v>
      </c>
      <c r="D778" s="73" t="s">
        <v>7403</v>
      </c>
      <c r="E778" s="73" t="s">
        <v>6454</v>
      </c>
    </row>
    <row r="779" spans="1:5" ht="84">
      <c r="A779" s="11" t="s">
        <v>7364</v>
      </c>
      <c r="B779" s="73" t="s">
        <v>7402</v>
      </c>
      <c r="C779" s="93">
        <v>2</v>
      </c>
      <c r="D779" s="73" t="s">
        <v>7404</v>
      </c>
      <c r="E779" s="73" t="s">
        <v>6454</v>
      </c>
    </row>
    <row r="780" spans="1:5" ht="66.75">
      <c r="A780" s="11" t="s">
        <v>7364</v>
      </c>
      <c r="B780" s="73" t="s">
        <v>7402</v>
      </c>
      <c r="C780" s="93">
        <v>3</v>
      </c>
      <c r="D780" s="73" t="s">
        <v>7405</v>
      </c>
      <c r="E780" s="73" t="s">
        <v>6454</v>
      </c>
    </row>
    <row r="781" spans="1:5" ht="121.5">
      <c r="A781" s="11" t="s">
        <v>7364</v>
      </c>
      <c r="B781" s="73" t="s">
        <v>7402</v>
      </c>
      <c r="C781" s="93">
        <v>4</v>
      </c>
      <c r="D781" s="136" t="s">
        <v>7406</v>
      </c>
      <c r="E781" s="73" t="s">
        <v>6451</v>
      </c>
    </row>
    <row r="782" spans="1:5" ht="66.75">
      <c r="A782" s="11" t="s">
        <v>7364</v>
      </c>
      <c r="B782" s="73" t="s">
        <v>7407</v>
      </c>
      <c r="C782" s="93">
        <v>1</v>
      </c>
      <c r="D782" s="73" t="s">
        <v>7408</v>
      </c>
      <c r="E782" s="73" t="s">
        <v>6454</v>
      </c>
    </row>
    <row r="783" spans="1:5" ht="66.75">
      <c r="A783" s="11" t="s">
        <v>7364</v>
      </c>
      <c r="B783" s="73" t="s">
        <v>7407</v>
      </c>
      <c r="C783" s="93">
        <v>2</v>
      </c>
      <c r="D783" s="73" t="s">
        <v>7409</v>
      </c>
      <c r="E783" s="73" t="s">
        <v>6454</v>
      </c>
    </row>
    <row r="784" spans="1:5" ht="66.75">
      <c r="A784" s="11" t="s">
        <v>7364</v>
      </c>
      <c r="B784" s="73" t="s">
        <v>7410</v>
      </c>
      <c r="C784" s="93">
        <v>1</v>
      </c>
      <c r="D784" s="73" t="s">
        <v>7411</v>
      </c>
      <c r="E784" s="73" t="s">
        <v>6454</v>
      </c>
    </row>
    <row r="785" spans="1:5" ht="66.75">
      <c r="A785" s="11" t="s">
        <v>7364</v>
      </c>
      <c r="B785" s="73" t="s">
        <v>7410</v>
      </c>
      <c r="C785" s="93">
        <v>2</v>
      </c>
      <c r="D785" s="73" t="s">
        <v>7412</v>
      </c>
      <c r="E785" s="73" t="s">
        <v>6454</v>
      </c>
    </row>
    <row r="786" spans="1:5" ht="100.5">
      <c r="A786" s="11" t="s">
        <v>7364</v>
      </c>
      <c r="B786" s="73" t="s">
        <v>7410</v>
      </c>
      <c r="C786" s="93">
        <v>3</v>
      </c>
      <c r="D786" s="73" t="s">
        <v>7413</v>
      </c>
      <c r="E786" s="73" t="s">
        <v>6454</v>
      </c>
    </row>
    <row r="787" spans="1:5" ht="318">
      <c r="A787" s="11" t="s">
        <v>7364</v>
      </c>
      <c r="B787" s="73" t="s">
        <v>7410</v>
      </c>
      <c r="C787" s="93">
        <v>4</v>
      </c>
      <c r="D787" s="73" t="s">
        <v>7414</v>
      </c>
      <c r="E787" s="73" t="s">
        <v>6454</v>
      </c>
    </row>
    <row r="788" spans="1:5" ht="244.5">
      <c r="A788" s="11" t="s">
        <v>7364</v>
      </c>
      <c r="B788" s="73" t="s">
        <v>7410</v>
      </c>
      <c r="C788" s="93">
        <v>5</v>
      </c>
      <c r="D788" s="137" t="s">
        <v>7415</v>
      </c>
      <c r="E788" s="73" t="s">
        <v>6451</v>
      </c>
    </row>
    <row r="789" spans="1:5" ht="150.75">
      <c r="A789" s="11" t="s">
        <v>7364</v>
      </c>
      <c r="B789" s="73" t="s">
        <v>7410</v>
      </c>
      <c r="C789" s="93">
        <v>6</v>
      </c>
      <c r="D789" s="73" t="s">
        <v>7416</v>
      </c>
      <c r="E789" s="73" t="s">
        <v>6454</v>
      </c>
    </row>
    <row r="790" spans="1:5" ht="66.75">
      <c r="A790" s="11" t="s">
        <v>7364</v>
      </c>
      <c r="B790" s="73" t="s">
        <v>7410</v>
      </c>
      <c r="C790" s="93">
        <v>7</v>
      </c>
      <c r="D790" s="73" t="s">
        <v>7417</v>
      </c>
      <c r="E790" s="73" t="s">
        <v>6454</v>
      </c>
    </row>
    <row r="791" spans="1:5" ht="66.75">
      <c r="A791" s="11" t="s">
        <v>7364</v>
      </c>
      <c r="B791" s="73" t="s">
        <v>7418</v>
      </c>
      <c r="C791" s="93">
        <v>1</v>
      </c>
      <c r="D791" s="73" t="s">
        <v>7419</v>
      </c>
      <c r="E791" s="73" t="s">
        <v>6454</v>
      </c>
    </row>
    <row r="792" spans="1:5" ht="84">
      <c r="A792" s="11" t="s">
        <v>7364</v>
      </c>
      <c r="B792" s="73" t="s">
        <v>7418</v>
      </c>
      <c r="C792" s="93">
        <v>2</v>
      </c>
      <c r="D792" s="73" t="s">
        <v>7420</v>
      </c>
      <c r="E792" s="73" t="s">
        <v>6454</v>
      </c>
    </row>
    <row r="793" spans="1:5" ht="66.75">
      <c r="A793" s="11" t="s">
        <v>7364</v>
      </c>
      <c r="B793" s="73" t="s">
        <v>7418</v>
      </c>
      <c r="C793" s="93">
        <v>3</v>
      </c>
      <c r="D793" s="73" t="s">
        <v>7421</v>
      </c>
      <c r="E793" s="73" t="s">
        <v>6454</v>
      </c>
    </row>
    <row r="794" spans="1:5" ht="66.75">
      <c r="A794" s="11" t="s">
        <v>7364</v>
      </c>
      <c r="B794" s="73" t="s">
        <v>7418</v>
      </c>
      <c r="C794" s="93">
        <v>4</v>
      </c>
      <c r="D794" s="136" t="s">
        <v>7422</v>
      </c>
      <c r="E794" s="73" t="s">
        <v>6451</v>
      </c>
    </row>
    <row r="795" spans="1:5" ht="50.25">
      <c r="A795" s="11" t="s">
        <v>7364</v>
      </c>
      <c r="B795" s="73" t="s">
        <v>7423</v>
      </c>
      <c r="C795" s="93">
        <v>1</v>
      </c>
      <c r="D795" s="73" t="s">
        <v>7424</v>
      </c>
      <c r="E795" s="73" t="s">
        <v>6454</v>
      </c>
    </row>
    <row r="796" spans="1:5" ht="66.75">
      <c r="A796" s="11" t="s">
        <v>7364</v>
      </c>
      <c r="B796" s="73" t="s">
        <v>7423</v>
      </c>
      <c r="C796" s="93">
        <v>2</v>
      </c>
      <c r="D796" s="73" t="s">
        <v>7425</v>
      </c>
      <c r="E796" s="73" t="s">
        <v>6454</v>
      </c>
    </row>
    <row r="797" spans="1:5" ht="66.75">
      <c r="A797" s="11" t="s">
        <v>7364</v>
      </c>
      <c r="B797" s="73" t="s">
        <v>7423</v>
      </c>
      <c r="C797" s="93">
        <v>3</v>
      </c>
      <c r="D797" s="73" t="s">
        <v>7426</v>
      </c>
      <c r="E797" s="73" t="s">
        <v>6454</v>
      </c>
    </row>
    <row r="798" spans="1:5" ht="50.25">
      <c r="A798" s="11" t="s">
        <v>7364</v>
      </c>
      <c r="B798" s="73" t="s">
        <v>7423</v>
      </c>
      <c r="C798" s="93">
        <v>4</v>
      </c>
      <c r="D798" s="73" t="s">
        <v>7427</v>
      </c>
      <c r="E798" s="73" t="s">
        <v>6454</v>
      </c>
    </row>
    <row r="799" spans="1:5" ht="50.25">
      <c r="A799" s="11" t="s">
        <v>7364</v>
      </c>
      <c r="B799" s="73" t="s">
        <v>7423</v>
      </c>
      <c r="C799" s="93">
        <v>5</v>
      </c>
      <c r="D799" s="73" t="s">
        <v>7428</v>
      </c>
      <c r="E799" s="73" t="s">
        <v>6454</v>
      </c>
    </row>
    <row r="800" spans="1:5" ht="66.75">
      <c r="A800" s="11" t="s">
        <v>7364</v>
      </c>
      <c r="B800" s="73" t="s">
        <v>7423</v>
      </c>
      <c r="C800" s="93">
        <v>6</v>
      </c>
      <c r="D800" s="73" t="s">
        <v>7429</v>
      </c>
      <c r="E800" s="73" t="s">
        <v>6454</v>
      </c>
    </row>
    <row r="801" spans="1:5" ht="50.25">
      <c r="A801" s="11" t="s">
        <v>7364</v>
      </c>
      <c r="B801" s="73" t="s">
        <v>7430</v>
      </c>
      <c r="C801" s="93">
        <v>1</v>
      </c>
      <c r="D801" s="108" t="s">
        <v>7431</v>
      </c>
      <c r="E801" s="186" t="s">
        <v>6607</v>
      </c>
    </row>
    <row r="802" spans="1:5" ht="60.75">
      <c r="A802" s="11" t="s">
        <v>7364</v>
      </c>
      <c r="B802" s="73" t="s">
        <v>7430</v>
      </c>
      <c r="C802" s="93">
        <v>2</v>
      </c>
      <c r="D802" s="108" t="s">
        <v>7432</v>
      </c>
      <c r="E802" s="186" t="s">
        <v>6607</v>
      </c>
    </row>
    <row r="803" spans="1:5" ht="50.25">
      <c r="A803" s="11" t="s">
        <v>7364</v>
      </c>
      <c r="B803" s="73" t="s">
        <v>7430</v>
      </c>
      <c r="C803" s="93">
        <v>3</v>
      </c>
      <c r="D803" s="108" t="s">
        <v>7433</v>
      </c>
      <c r="E803" s="186" t="s">
        <v>6607</v>
      </c>
    </row>
    <row r="804" spans="1:5" ht="50.25">
      <c r="A804" s="11" t="s">
        <v>7364</v>
      </c>
      <c r="B804" s="73" t="s">
        <v>7430</v>
      </c>
      <c r="C804" s="93">
        <v>4</v>
      </c>
      <c r="D804" s="108" t="s">
        <v>7434</v>
      </c>
      <c r="E804" s="186" t="s">
        <v>6607</v>
      </c>
    </row>
    <row r="805" spans="1:5" ht="91.5">
      <c r="A805" s="11" t="s">
        <v>7364</v>
      </c>
      <c r="B805" s="73" t="s">
        <v>7430</v>
      </c>
      <c r="C805" s="93">
        <v>5</v>
      </c>
      <c r="D805" s="108" t="s">
        <v>7435</v>
      </c>
      <c r="E805" s="186" t="s">
        <v>6607</v>
      </c>
    </row>
    <row r="806" spans="1:5" ht="84">
      <c r="A806" s="11" t="s">
        <v>7364</v>
      </c>
      <c r="B806" s="73" t="s">
        <v>7436</v>
      </c>
      <c r="C806" s="93">
        <v>1</v>
      </c>
      <c r="D806" s="73" t="s">
        <v>7437</v>
      </c>
      <c r="E806" s="73" t="s">
        <v>6454</v>
      </c>
    </row>
    <row r="807" spans="1:5" ht="117">
      <c r="A807" s="11" t="s">
        <v>7364</v>
      </c>
      <c r="B807" s="73" t="s">
        <v>7436</v>
      </c>
      <c r="C807" s="93">
        <v>2</v>
      </c>
      <c r="D807" s="73" t="s">
        <v>7438</v>
      </c>
      <c r="E807" s="73" t="s">
        <v>6454</v>
      </c>
    </row>
    <row r="808" spans="1:5" ht="168">
      <c r="A808" s="11" t="s">
        <v>7364</v>
      </c>
      <c r="B808" s="73" t="s">
        <v>7436</v>
      </c>
      <c r="C808" s="93">
        <v>3</v>
      </c>
      <c r="D808" s="73" t="s">
        <v>7439</v>
      </c>
      <c r="E808" s="73" t="s">
        <v>6454</v>
      </c>
    </row>
    <row r="809" spans="1:5" ht="100.5">
      <c r="A809" s="11" t="s">
        <v>7364</v>
      </c>
      <c r="B809" s="73" t="s">
        <v>7436</v>
      </c>
      <c r="C809" s="93">
        <v>4</v>
      </c>
      <c r="D809" s="73" t="s">
        <v>7440</v>
      </c>
      <c r="E809" s="73" t="s">
        <v>6454</v>
      </c>
    </row>
    <row r="810" spans="1:5" ht="117">
      <c r="A810" s="11" t="s">
        <v>7364</v>
      </c>
      <c r="B810" s="73" t="s">
        <v>7436</v>
      </c>
      <c r="C810" s="93">
        <v>5</v>
      </c>
      <c r="D810" s="73" t="s">
        <v>7441</v>
      </c>
      <c r="E810" s="73" t="s">
        <v>6454</v>
      </c>
    </row>
    <row r="811" spans="1:5" ht="100.5">
      <c r="A811" s="11" t="s">
        <v>7364</v>
      </c>
      <c r="B811" s="73" t="s">
        <v>7436</v>
      </c>
      <c r="C811" s="93">
        <v>6</v>
      </c>
      <c r="D811" s="73" t="s">
        <v>7442</v>
      </c>
      <c r="E811" s="73" t="s">
        <v>6454</v>
      </c>
    </row>
    <row r="812" spans="1:5" ht="66.75">
      <c r="A812" s="11" t="s">
        <v>7364</v>
      </c>
      <c r="B812" s="73" t="s">
        <v>7436</v>
      </c>
      <c r="C812" s="93">
        <v>7</v>
      </c>
      <c r="D812" s="73" t="s">
        <v>7443</v>
      </c>
      <c r="E812" s="73" t="s">
        <v>6454</v>
      </c>
    </row>
    <row r="813" spans="1:5" ht="66.75">
      <c r="A813" s="11" t="s">
        <v>7364</v>
      </c>
      <c r="B813" s="73" t="s">
        <v>7444</v>
      </c>
      <c r="C813" s="93">
        <v>1</v>
      </c>
      <c r="D813" s="73" t="s">
        <v>7445</v>
      </c>
      <c r="E813" s="73" t="s">
        <v>6454</v>
      </c>
    </row>
    <row r="814" spans="1:5" ht="66.75">
      <c r="A814" s="11" t="s">
        <v>7364</v>
      </c>
      <c r="B814" s="73" t="s">
        <v>7444</v>
      </c>
      <c r="C814" s="93">
        <v>2</v>
      </c>
      <c r="D814" s="136" t="s">
        <v>7446</v>
      </c>
      <c r="E814" s="73" t="s">
        <v>6451</v>
      </c>
    </row>
    <row r="815" spans="1:5" ht="66.75">
      <c r="A815" s="11" t="s">
        <v>7364</v>
      </c>
      <c r="B815" s="73" t="s">
        <v>7444</v>
      </c>
      <c r="C815" s="93">
        <v>3</v>
      </c>
      <c r="D815" s="73" t="s">
        <v>7447</v>
      </c>
      <c r="E815" s="73" t="s">
        <v>6454</v>
      </c>
    </row>
    <row r="816" spans="1:5" ht="150.75">
      <c r="A816" s="11" t="s">
        <v>7364</v>
      </c>
      <c r="B816" s="73" t="s">
        <v>7444</v>
      </c>
      <c r="C816" s="93">
        <v>4</v>
      </c>
      <c r="D816" s="73" t="s">
        <v>7448</v>
      </c>
      <c r="E816" s="73" t="s">
        <v>6454</v>
      </c>
    </row>
    <row r="817" spans="1:5" ht="150.75">
      <c r="A817" s="11" t="s">
        <v>7364</v>
      </c>
      <c r="B817" s="73" t="s">
        <v>7444</v>
      </c>
      <c r="C817" s="93">
        <v>5</v>
      </c>
      <c r="D817" s="73" t="s">
        <v>7449</v>
      </c>
      <c r="E817" s="73" t="s">
        <v>6454</v>
      </c>
    </row>
    <row r="818" spans="1:5" ht="100.5">
      <c r="A818" s="11" t="s">
        <v>7364</v>
      </c>
      <c r="B818" s="73" t="s">
        <v>7450</v>
      </c>
      <c r="C818" s="93">
        <v>1</v>
      </c>
      <c r="D818" s="73" t="s">
        <v>7451</v>
      </c>
      <c r="E818" s="73" t="s">
        <v>6454</v>
      </c>
    </row>
    <row r="819" spans="1:5" ht="66.75">
      <c r="A819" s="11" t="s">
        <v>7364</v>
      </c>
      <c r="B819" s="73" t="s">
        <v>7450</v>
      </c>
      <c r="C819" s="93">
        <v>2</v>
      </c>
      <c r="D819" s="73" t="s">
        <v>7452</v>
      </c>
      <c r="E819" s="73" t="s">
        <v>6454</v>
      </c>
    </row>
    <row r="820" spans="1:5" ht="250.5">
      <c r="A820" s="11" t="s">
        <v>7364</v>
      </c>
      <c r="B820" s="73" t="s">
        <v>7450</v>
      </c>
      <c r="C820" s="93">
        <v>3</v>
      </c>
      <c r="D820" s="73" t="s">
        <v>7453</v>
      </c>
      <c r="E820" s="73" t="s">
        <v>6454</v>
      </c>
    </row>
    <row r="821" spans="1:5" ht="50.25">
      <c r="A821" s="11" t="s">
        <v>7364</v>
      </c>
      <c r="B821" s="73" t="s">
        <v>7450</v>
      </c>
      <c r="C821" s="93">
        <v>4</v>
      </c>
      <c r="D821" s="73" t="s">
        <v>7454</v>
      </c>
      <c r="E821" s="73" t="s">
        <v>6454</v>
      </c>
    </row>
    <row r="822" spans="1:5" ht="117">
      <c r="A822" s="11" t="s">
        <v>7364</v>
      </c>
      <c r="B822" s="73" t="s">
        <v>7450</v>
      </c>
      <c r="C822" s="93">
        <v>5</v>
      </c>
      <c r="D822" s="73" t="s">
        <v>7455</v>
      </c>
      <c r="E822" s="73" t="s">
        <v>6454</v>
      </c>
    </row>
    <row r="823" spans="1:5" ht="76.5">
      <c r="A823" s="11" t="s">
        <v>7364</v>
      </c>
      <c r="B823" s="73" t="s">
        <v>7450</v>
      </c>
      <c r="C823" s="93">
        <v>6</v>
      </c>
      <c r="D823" s="109" t="s">
        <v>7456</v>
      </c>
      <c r="E823" s="186" t="s">
        <v>7457</v>
      </c>
    </row>
    <row r="824" spans="1:5" ht="100.5">
      <c r="A824" s="11" t="s">
        <v>7364</v>
      </c>
      <c r="B824" s="73" t="s">
        <v>7458</v>
      </c>
      <c r="C824" s="93">
        <v>1</v>
      </c>
      <c r="D824" s="73" t="s">
        <v>7459</v>
      </c>
      <c r="E824" s="73" t="s">
        <v>6454</v>
      </c>
    </row>
    <row r="825" spans="1:5" ht="100.5">
      <c r="A825" s="11" t="s">
        <v>7364</v>
      </c>
      <c r="B825" s="73" t="s">
        <v>7458</v>
      </c>
      <c r="C825" s="93">
        <v>2</v>
      </c>
      <c r="D825" s="73" t="s">
        <v>7460</v>
      </c>
      <c r="E825" s="73" t="s">
        <v>6454</v>
      </c>
    </row>
    <row r="826" spans="1:5" ht="134.25">
      <c r="A826" s="11" t="s">
        <v>7364</v>
      </c>
      <c r="B826" s="73" t="s">
        <v>7458</v>
      </c>
      <c r="C826" s="93">
        <v>3</v>
      </c>
      <c r="D826" s="73" t="s">
        <v>7461</v>
      </c>
      <c r="E826" s="73" t="s">
        <v>6454</v>
      </c>
    </row>
    <row r="827" spans="1:5" ht="100.5">
      <c r="A827" s="11" t="s">
        <v>7364</v>
      </c>
      <c r="B827" s="73" t="s">
        <v>7458</v>
      </c>
      <c r="C827" s="93">
        <v>4</v>
      </c>
      <c r="D827" s="73" t="s">
        <v>7462</v>
      </c>
      <c r="E827" s="73" t="s">
        <v>6454</v>
      </c>
    </row>
    <row r="828" spans="1:5" ht="66.75">
      <c r="A828" s="11" t="s">
        <v>7364</v>
      </c>
      <c r="B828" s="73" t="s">
        <v>7463</v>
      </c>
      <c r="C828" s="93">
        <v>1</v>
      </c>
      <c r="D828" s="73" t="s">
        <v>7464</v>
      </c>
      <c r="E828" s="73" t="s">
        <v>6454</v>
      </c>
    </row>
    <row r="829" spans="1:5" ht="66.75">
      <c r="A829" s="11" t="s">
        <v>7364</v>
      </c>
      <c r="B829" s="73" t="s">
        <v>7463</v>
      </c>
      <c r="C829" s="93">
        <v>2</v>
      </c>
      <c r="D829" s="73" t="s">
        <v>7465</v>
      </c>
      <c r="E829" s="73" t="s">
        <v>6454</v>
      </c>
    </row>
    <row r="830" spans="1:5" ht="66.75">
      <c r="A830" s="11" t="s">
        <v>7364</v>
      </c>
      <c r="B830" s="73" t="s">
        <v>7463</v>
      </c>
      <c r="C830" s="93">
        <v>3</v>
      </c>
      <c r="D830" s="73" t="s">
        <v>7466</v>
      </c>
      <c r="E830" s="73" t="s">
        <v>6454</v>
      </c>
    </row>
    <row r="831" spans="1:5" ht="66.75">
      <c r="A831" s="63" t="s">
        <v>7364</v>
      </c>
      <c r="B831" s="80" t="s">
        <v>7463</v>
      </c>
      <c r="C831" s="94">
        <v>4</v>
      </c>
      <c r="D831" s="80" t="s">
        <v>7467</v>
      </c>
      <c r="E831" s="73" t="s">
        <v>6454</v>
      </c>
    </row>
    <row r="832" spans="1:5" ht="66.75">
      <c r="A832" s="11" t="s">
        <v>7364</v>
      </c>
      <c r="B832" s="73" t="s">
        <v>7463</v>
      </c>
      <c r="C832" s="93">
        <v>5</v>
      </c>
      <c r="D832" s="73" t="s">
        <v>7468</v>
      </c>
      <c r="E832" s="73" t="s">
        <v>6454</v>
      </c>
    </row>
    <row r="833" spans="1:5" ht="66.75">
      <c r="A833" s="11" t="s">
        <v>7364</v>
      </c>
      <c r="B833" s="73" t="s">
        <v>7463</v>
      </c>
      <c r="C833" s="93">
        <v>6</v>
      </c>
      <c r="D833" s="73" t="s">
        <v>7469</v>
      </c>
      <c r="E833" s="73" t="s">
        <v>6454</v>
      </c>
    </row>
    <row r="834" spans="1:5" ht="66.75">
      <c r="A834" s="11" t="s">
        <v>7364</v>
      </c>
      <c r="B834" s="73" t="s">
        <v>7463</v>
      </c>
      <c r="C834" s="93">
        <v>7</v>
      </c>
      <c r="D834" s="73" t="s">
        <v>7470</v>
      </c>
      <c r="E834" s="73" t="s">
        <v>6454</v>
      </c>
    </row>
    <row r="835" spans="1:5" ht="84">
      <c r="A835" s="11" t="s">
        <v>7364</v>
      </c>
      <c r="B835" s="73" t="s">
        <v>7471</v>
      </c>
      <c r="C835" s="93">
        <v>1</v>
      </c>
      <c r="D835" s="73" t="s">
        <v>7472</v>
      </c>
      <c r="E835" s="73" t="s">
        <v>6454</v>
      </c>
    </row>
    <row r="836" spans="1:5" ht="168">
      <c r="A836" s="11" t="s">
        <v>7364</v>
      </c>
      <c r="B836" s="73" t="s">
        <v>7471</v>
      </c>
      <c r="C836" s="93">
        <v>2</v>
      </c>
      <c r="D836" s="73" t="s">
        <v>7473</v>
      </c>
      <c r="E836" s="73" t="s">
        <v>6454</v>
      </c>
    </row>
    <row r="837" spans="1:5" ht="84">
      <c r="A837" s="11" t="s">
        <v>7364</v>
      </c>
      <c r="B837" s="73" t="s">
        <v>7471</v>
      </c>
      <c r="C837" s="93">
        <v>3</v>
      </c>
      <c r="D837" s="73" t="s">
        <v>7474</v>
      </c>
      <c r="E837" s="73" t="s">
        <v>6454</v>
      </c>
    </row>
    <row r="838" spans="1:5" ht="84">
      <c r="A838" s="11" t="s">
        <v>7364</v>
      </c>
      <c r="B838" s="73" t="s">
        <v>7471</v>
      </c>
      <c r="C838" s="93">
        <v>4</v>
      </c>
      <c r="D838" s="73" t="s">
        <v>7475</v>
      </c>
      <c r="E838" s="73" t="s">
        <v>6454</v>
      </c>
    </row>
    <row r="839" spans="1:5" ht="84">
      <c r="A839" s="11" t="s">
        <v>7364</v>
      </c>
      <c r="B839" s="73" t="s">
        <v>7471</v>
      </c>
      <c r="C839" s="93">
        <v>5</v>
      </c>
      <c r="D839" s="73" t="s">
        <v>7476</v>
      </c>
      <c r="E839" s="73" t="s">
        <v>6454</v>
      </c>
    </row>
    <row r="840" spans="1:5" ht="66.75">
      <c r="A840" s="12" t="s">
        <v>7477</v>
      </c>
      <c r="B840" s="73" t="s">
        <v>7478</v>
      </c>
      <c r="C840" s="93">
        <v>1</v>
      </c>
      <c r="D840" s="110" t="s">
        <v>7479</v>
      </c>
      <c r="E840" s="174" t="s">
        <v>6454</v>
      </c>
    </row>
    <row r="841" spans="1:5" ht="66.75">
      <c r="A841" s="12" t="s">
        <v>7477</v>
      </c>
      <c r="B841" s="73" t="s">
        <v>7478</v>
      </c>
      <c r="C841" s="93">
        <v>2</v>
      </c>
      <c r="D841" s="110" t="s">
        <v>7480</v>
      </c>
      <c r="E841" s="174" t="s">
        <v>6454</v>
      </c>
    </row>
    <row r="842" spans="1:5" ht="66.75">
      <c r="A842" s="12" t="s">
        <v>7477</v>
      </c>
      <c r="B842" s="73" t="s">
        <v>7478</v>
      </c>
      <c r="C842" s="93">
        <v>3</v>
      </c>
      <c r="D842" s="110" t="s">
        <v>7481</v>
      </c>
      <c r="E842" s="174" t="s">
        <v>6451</v>
      </c>
    </row>
    <row r="843" spans="1:5" ht="84">
      <c r="A843" s="12" t="s">
        <v>7477</v>
      </c>
      <c r="B843" s="73" t="s">
        <v>7478</v>
      </c>
      <c r="C843" s="93">
        <v>4</v>
      </c>
      <c r="D843" s="110" t="s">
        <v>7482</v>
      </c>
      <c r="E843" s="174" t="s">
        <v>6454</v>
      </c>
    </row>
    <row r="844" spans="1:5" ht="183.75">
      <c r="A844" s="12" t="s">
        <v>7477</v>
      </c>
      <c r="B844" s="73" t="s">
        <v>7483</v>
      </c>
      <c r="C844" s="93">
        <v>1</v>
      </c>
      <c r="D844" s="110" t="s">
        <v>7484</v>
      </c>
      <c r="E844" s="174" t="s">
        <v>6454</v>
      </c>
    </row>
    <row r="845" spans="1:5" ht="150.75">
      <c r="A845" s="12" t="s">
        <v>7477</v>
      </c>
      <c r="B845" s="73" t="s">
        <v>7483</v>
      </c>
      <c r="C845" s="93">
        <v>2</v>
      </c>
      <c r="D845" s="110" t="s">
        <v>7485</v>
      </c>
      <c r="E845" s="174" t="s">
        <v>6454</v>
      </c>
    </row>
    <row r="846" spans="1:5" ht="150.75">
      <c r="A846" s="12" t="s">
        <v>7477</v>
      </c>
      <c r="B846" s="73" t="s">
        <v>7483</v>
      </c>
      <c r="C846" s="93">
        <v>3</v>
      </c>
      <c r="D846" s="110" t="s">
        <v>7486</v>
      </c>
      <c r="E846" s="174" t="s">
        <v>6451</v>
      </c>
    </row>
    <row r="847" spans="1:5" ht="150.75">
      <c r="A847" s="12" t="s">
        <v>7477</v>
      </c>
      <c r="B847" s="73" t="s">
        <v>7483</v>
      </c>
      <c r="C847" s="93">
        <v>4</v>
      </c>
      <c r="D847" s="110" t="s">
        <v>7487</v>
      </c>
      <c r="E847" s="174" t="s">
        <v>6454</v>
      </c>
    </row>
    <row r="848" spans="1:5" ht="150.75">
      <c r="A848" s="12" t="s">
        <v>7477</v>
      </c>
      <c r="B848" s="73" t="s">
        <v>7483</v>
      </c>
      <c r="C848" s="93">
        <v>5</v>
      </c>
      <c r="D848" s="110" t="s">
        <v>7488</v>
      </c>
      <c r="E848" s="174" t="s">
        <v>6451</v>
      </c>
    </row>
    <row r="849" spans="1:5" ht="150.75">
      <c r="A849" s="12" t="s">
        <v>7477</v>
      </c>
      <c r="B849" s="73" t="s">
        <v>7483</v>
      </c>
      <c r="C849" s="93">
        <v>6</v>
      </c>
      <c r="D849" s="110" t="s">
        <v>7489</v>
      </c>
      <c r="E849" s="174" t="s">
        <v>6451</v>
      </c>
    </row>
    <row r="850" spans="1:5" ht="84">
      <c r="A850" s="12" t="s">
        <v>7477</v>
      </c>
      <c r="B850" s="73" t="s">
        <v>7490</v>
      </c>
      <c r="C850" s="93">
        <v>1</v>
      </c>
      <c r="D850" s="110" t="s">
        <v>7491</v>
      </c>
      <c r="E850" s="174" t="s">
        <v>6451</v>
      </c>
    </row>
    <row r="851" spans="1:5" ht="168">
      <c r="A851" s="12" t="s">
        <v>7477</v>
      </c>
      <c r="B851" s="73" t="s">
        <v>7490</v>
      </c>
      <c r="C851" s="93">
        <v>2</v>
      </c>
      <c r="D851" s="110" t="s">
        <v>7492</v>
      </c>
      <c r="E851" s="174" t="s">
        <v>6451</v>
      </c>
    </row>
    <row r="852" spans="1:5" ht="84">
      <c r="A852" s="12" t="s">
        <v>7477</v>
      </c>
      <c r="B852" s="73" t="s">
        <v>7490</v>
      </c>
      <c r="C852" s="93">
        <v>3</v>
      </c>
      <c r="D852" s="110" t="s">
        <v>7493</v>
      </c>
      <c r="E852" s="174" t="s">
        <v>6451</v>
      </c>
    </row>
    <row r="853" spans="1:5" ht="84">
      <c r="A853" s="12" t="s">
        <v>7477</v>
      </c>
      <c r="B853" s="73" t="s">
        <v>7494</v>
      </c>
      <c r="C853" s="93">
        <v>1</v>
      </c>
      <c r="D853" s="110" t="s">
        <v>7495</v>
      </c>
      <c r="E853" s="174" t="s">
        <v>6451</v>
      </c>
    </row>
    <row r="854" spans="1:5" ht="84">
      <c r="A854" s="12" t="s">
        <v>7477</v>
      </c>
      <c r="B854" s="73" t="s">
        <v>7494</v>
      </c>
      <c r="C854" s="93">
        <v>2</v>
      </c>
      <c r="D854" s="110" t="s">
        <v>7496</v>
      </c>
      <c r="E854" s="174" t="s">
        <v>6451</v>
      </c>
    </row>
    <row r="855" spans="1:5" ht="84">
      <c r="A855" s="12" t="s">
        <v>7477</v>
      </c>
      <c r="B855" s="73" t="s">
        <v>7494</v>
      </c>
      <c r="C855" s="93">
        <v>3</v>
      </c>
      <c r="D855" s="110" t="s">
        <v>7497</v>
      </c>
      <c r="E855" s="174" t="s">
        <v>6451</v>
      </c>
    </row>
    <row r="856" spans="1:5" ht="84">
      <c r="A856" s="12" t="s">
        <v>7477</v>
      </c>
      <c r="B856" s="73" t="s">
        <v>7494</v>
      </c>
      <c r="C856" s="93">
        <v>4</v>
      </c>
      <c r="D856" s="110" t="s">
        <v>7498</v>
      </c>
      <c r="E856" s="174" t="s">
        <v>6451</v>
      </c>
    </row>
    <row r="857" spans="1:5" ht="84">
      <c r="A857" s="12" t="s">
        <v>7477</v>
      </c>
      <c r="B857" s="73" t="s">
        <v>7494</v>
      </c>
      <c r="C857" s="93">
        <v>5</v>
      </c>
      <c r="D857" s="110" t="s">
        <v>7499</v>
      </c>
      <c r="E857" s="174" t="s">
        <v>6451</v>
      </c>
    </row>
    <row r="858" spans="1:5" ht="84">
      <c r="A858" s="12" t="s">
        <v>7477</v>
      </c>
      <c r="B858" s="73" t="s">
        <v>7494</v>
      </c>
      <c r="C858" s="93">
        <v>6</v>
      </c>
      <c r="D858" s="110" t="s">
        <v>7500</v>
      </c>
      <c r="E858" s="174" t="s">
        <v>6451</v>
      </c>
    </row>
    <row r="859" spans="1:5" ht="117">
      <c r="A859" s="12" t="s">
        <v>7477</v>
      </c>
      <c r="B859" s="73" t="s">
        <v>7501</v>
      </c>
      <c r="C859" s="93">
        <v>1</v>
      </c>
      <c r="D859" s="110" t="s">
        <v>7502</v>
      </c>
      <c r="E859" s="174" t="s">
        <v>6451</v>
      </c>
    </row>
    <row r="860" spans="1:5" ht="66.75">
      <c r="A860" s="12" t="s">
        <v>7477</v>
      </c>
      <c r="B860" s="73" t="s">
        <v>7501</v>
      </c>
      <c r="C860" s="93">
        <v>2</v>
      </c>
      <c r="D860" s="110" t="s">
        <v>7503</v>
      </c>
      <c r="E860" s="174" t="s">
        <v>6451</v>
      </c>
    </row>
    <row r="861" spans="1:5" ht="66.75">
      <c r="A861" s="12" t="s">
        <v>7477</v>
      </c>
      <c r="B861" s="73" t="s">
        <v>7501</v>
      </c>
      <c r="C861" s="93">
        <v>3</v>
      </c>
      <c r="D861" s="110" t="s">
        <v>7504</v>
      </c>
      <c r="E861" s="174" t="s">
        <v>6451</v>
      </c>
    </row>
    <row r="862" spans="1:5" ht="134.25">
      <c r="A862" s="12" t="s">
        <v>7477</v>
      </c>
      <c r="B862" s="73" t="s">
        <v>7505</v>
      </c>
      <c r="C862" s="93">
        <v>1</v>
      </c>
      <c r="D862" s="110" t="s">
        <v>7506</v>
      </c>
      <c r="E862" s="174" t="s">
        <v>6451</v>
      </c>
    </row>
    <row r="863" spans="1:5" ht="84">
      <c r="A863" s="12" t="s">
        <v>7477</v>
      </c>
      <c r="B863" s="73" t="s">
        <v>7505</v>
      </c>
      <c r="C863" s="93">
        <v>2</v>
      </c>
      <c r="D863" s="110" t="s">
        <v>7507</v>
      </c>
      <c r="E863" s="174" t="s">
        <v>6451</v>
      </c>
    </row>
    <row r="864" spans="1:5" ht="84">
      <c r="A864" s="12" t="s">
        <v>7477</v>
      </c>
      <c r="B864" s="73" t="s">
        <v>7505</v>
      </c>
      <c r="C864" s="93">
        <v>3</v>
      </c>
      <c r="D864" s="110" t="s">
        <v>7508</v>
      </c>
      <c r="E864" s="92" t="s">
        <v>6451</v>
      </c>
    </row>
    <row r="865" spans="1:5" ht="84">
      <c r="A865" s="12" t="s">
        <v>7477</v>
      </c>
      <c r="B865" s="73" t="s">
        <v>7505</v>
      </c>
      <c r="C865" s="93">
        <v>4</v>
      </c>
      <c r="D865" s="110" t="s">
        <v>7509</v>
      </c>
      <c r="E865" s="92" t="s">
        <v>6451</v>
      </c>
    </row>
    <row r="866" spans="1:5" ht="100.5">
      <c r="A866" s="12" t="s">
        <v>7477</v>
      </c>
      <c r="B866" s="73" t="s">
        <v>7505</v>
      </c>
      <c r="C866" s="93">
        <v>5</v>
      </c>
      <c r="D866" s="110" t="s">
        <v>7510</v>
      </c>
      <c r="E866" s="92" t="s">
        <v>6451</v>
      </c>
    </row>
    <row r="867" spans="1:5" ht="84">
      <c r="A867" s="12" t="s">
        <v>7477</v>
      </c>
      <c r="B867" s="73" t="s">
        <v>7505</v>
      </c>
      <c r="C867" s="93">
        <v>6</v>
      </c>
      <c r="D867" s="110" t="s">
        <v>7511</v>
      </c>
      <c r="E867" s="92" t="s">
        <v>6451</v>
      </c>
    </row>
    <row r="868" spans="1:5" ht="134.25">
      <c r="A868" s="81" t="s">
        <v>7512</v>
      </c>
      <c r="B868" s="81" t="s">
        <v>7513</v>
      </c>
      <c r="C868" s="105">
        <v>1</v>
      </c>
      <c r="D868" s="68" t="s">
        <v>7514</v>
      </c>
      <c r="E868" s="68" t="s">
        <v>6454</v>
      </c>
    </row>
    <row r="869" spans="1:5" ht="84">
      <c r="A869" s="81" t="s">
        <v>7512</v>
      </c>
      <c r="B869" s="81" t="s">
        <v>7513</v>
      </c>
      <c r="C869" s="105">
        <v>2</v>
      </c>
      <c r="D869" s="68" t="s">
        <v>7515</v>
      </c>
      <c r="E869" s="68" t="s">
        <v>6454</v>
      </c>
    </row>
    <row r="870" spans="1:5" ht="134.25">
      <c r="A870" s="81" t="s">
        <v>7512</v>
      </c>
      <c r="B870" s="81" t="s">
        <v>7513</v>
      </c>
      <c r="C870" s="105">
        <v>3</v>
      </c>
      <c r="D870" s="68" t="s">
        <v>7516</v>
      </c>
      <c r="E870" s="68" t="s">
        <v>6454</v>
      </c>
    </row>
    <row r="871" spans="1:5" ht="84">
      <c r="A871" s="81" t="s">
        <v>7512</v>
      </c>
      <c r="B871" s="81" t="s">
        <v>7517</v>
      </c>
      <c r="C871" s="105">
        <v>1</v>
      </c>
      <c r="D871" s="68" t="s">
        <v>7518</v>
      </c>
      <c r="E871" s="68" t="s">
        <v>6451</v>
      </c>
    </row>
    <row r="872" spans="1:5" ht="84">
      <c r="A872" s="81" t="s">
        <v>7512</v>
      </c>
      <c r="B872" s="81" t="s">
        <v>7517</v>
      </c>
      <c r="C872" s="105">
        <v>2</v>
      </c>
      <c r="D872" s="68" t="s">
        <v>7519</v>
      </c>
      <c r="E872" s="68" t="s">
        <v>6451</v>
      </c>
    </row>
    <row r="873" spans="1:5" ht="84">
      <c r="A873" s="81" t="s">
        <v>7512</v>
      </c>
      <c r="B873" s="81" t="s">
        <v>7517</v>
      </c>
      <c r="C873" s="105">
        <v>3</v>
      </c>
      <c r="D873" s="68" t="s">
        <v>7520</v>
      </c>
      <c r="E873" s="68" t="s">
        <v>6451</v>
      </c>
    </row>
    <row r="874" spans="1:5" ht="84">
      <c r="A874" s="81" t="s">
        <v>7512</v>
      </c>
      <c r="B874" s="81" t="s">
        <v>7517</v>
      </c>
      <c r="C874" s="105">
        <v>4</v>
      </c>
      <c r="D874" s="68" t="s">
        <v>7521</v>
      </c>
      <c r="E874" s="68" t="s">
        <v>6451</v>
      </c>
    </row>
    <row r="875" spans="1:5" ht="84">
      <c r="A875" s="81" t="s">
        <v>7512</v>
      </c>
      <c r="B875" s="81" t="s">
        <v>7517</v>
      </c>
      <c r="C875" s="105">
        <v>5</v>
      </c>
      <c r="D875" s="68" t="s">
        <v>7522</v>
      </c>
      <c r="E875" s="68" t="s">
        <v>6451</v>
      </c>
    </row>
    <row r="876" spans="1:5" ht="84">
      <c r="A876" s="81" t="s">
        <v>7512</v>
      </c>
      <c r="B876" s="81" t="s">
        <v>7517</v>
      </c>
      <c r="C876" s="105">
        <v>6</v>
      </c>
      <c r="D876" s="68" t="s">
        <v>7523</v>
      </c>
      <c r="E876" s="68" t="s">
        <v>6451</v>
      </c>
    </row>
    <row r="877" spans="1:5" ht="100.5">
      <c r="A877" s="81" t="s">
        <v>7512</v>
      </c>
      <c r="B877" s="81" t="s">
        <v>7524</v>
      </c>
      <c r="C877" s="105">
        <v>1</v>
      </c>
      <c r="D877" s="68" t="s">
        <v>7525</v>
      </c>
      <c r="E877" s="68" t="s">
        <v>6451</v>
      </c>
    </row>
    <row r="878" spans="1:5" ht="100.5">
      <c r="A878" s="81" t="s">
        <v>7512</v>
      </c>
      <c r="B878" s="81" t="s">
        <v>7524</v>
      </c>
      <c r="C878" s="105">
        <v>2</v>
      </c>
      <c r="D878" s="68" t="s">
        <v>7526</v>
      </c>
      <c r="E878" s="68" t="s">
        <v>6454</v>
      </c>
    </row>
    <row r="879" spans="1:5" ht="100.5">
      <c r="A879" s="81" t="s">
        <v>7512</v>
      </c>
      <c r="B879" s="81" t="s">
        <v>7524</v>
      </c>
      <c r="C879" s="105">
        <v>3</v>
      </c>
      <c r="D879" s="68" t="s">
        <v>7527</v>
      </c>
      <c r="E879" s="68" t="s">
        <v>6454</v>
      </c>
    </row>
    <row r="880" spans="1:5" ht="100.5">
      <c r="A880" s="81" t="s">
        <v>7512</v>
      </c>
      <c r="B880" s="81" t="s">
        <v>7524</v>
      </c>
      <c r="C880" s="105">
        <v>4</v>
      </c>
      <c r="D880" s="68" t="s">
        <v>7528</v>
      </c>
      <c r="E880" s="68" t="s">
        <v>6451</v>
      </c>
    </row>
    <row r="881" spans="1:5" ht="100.5">
      <c r="A881" s="81" t="s">
        <v>7512</v>
      </c>
      <c r="B881" s="81" t="s">
        <v>7524</v>
      </c>
      <c r="C881" s="105">
        <v>5</v>
      </c>
      <c r="D881" s="68" t="s">
        <v>7529</v>
      </c>
      <c r="E881" s="68" t="s">
        <v>6454</v>
      </c>
    </row>
    <row r="882" spans="1:5" ht="66.75">
      <c r="A882" s="81" t="s">
        <v>7512</v>
      </c>
      <c r="B882" s="81" t="s">
        <v>7530</v>
      </c>
      <c r="C882" s="105">
        <v>1</v>
      </c>
      <c r="D882" s="68" t="s">
        <v>7531</v>
      </c>
      <c r="E882" s="68" t="s">
        <v>6454</v>
      </c>
    </row>
    <row r="883" spans="1:5" ht="66.75">
      <c r="A883" s="81" t="s">
        <v>7512</v>
      </c>
      <c r="B883" s="81" t="s">
        <v>7530</v>
      </c>
      <c r="C883" s="105">
        <v>2</v>
      </c>
      <c r="D883" s="68" t="s">
        <v>7532</v>
      </c>
      <c r="E883" s="68" t="s">
        <v>6454</v>
      </c>
    </row>
    <row r="884" spans="1:5" ht="66.75">
      <c r="A884" s="81" t="s">
        <v>7512</v>
      </c>
      <c r="B884" s="81" t="s">
        <v>7530</v>
      </c>
      <c r="C884" s="105">
        <v>3</v>
      </c>
      <c r="D884" s="68" t="s">
        <v>7533</v>
      </c>
      <c r="E884" s="68" t="s">
        <v>6451</v>
      </c>
    </row>
    <row r="885" spans="1:5" ht="100.5">
      <c r="A885" s="81" t="s">
        <v>7512</v>
      </c>
      <c r="B885" s="81" t="s">
        <v>7534</v>
      </c>
      <c r="C885" s="105">
        <v>1</v>
      </c>
      <c r="D885" s="68" t="s">
        <v>7535</v>
      </c>
      <c r="E885" s="68" t="s">
        <v>6451</v>
      </c>
    </row>
    <row r="886" spans="1:5" ht="100.5">
      <c r="A886" s="81" t="s">
        <v>7512</v>
      </c>
      <c r="B886" s="81" t="s">
        <v>7534</v>
      </c>
      <c r="C886" s="105">
        <v>2</v>
      </c>
      <c r="D886" s="68" t="s">
        <v>7536</v>
      </c>
      <c r="E886" s="68" t="s">
        <v>6451</v>
      </c>
    </row>
    <row r="887" spans="1:5" ht="100.5">
      <c r="A887" s="81" t="s">
        <v>7512</v>
      </c>
      <c r="B887" s="81" t="s">
        <v>7534</v>
      </c>
      <c r="C887" s="105">
        <v>3</v>
      </c>
      <c r="D887" s="68" t="s">
        <v>7537</v>
      </c>
      <c r="E887" s="68" t="s">
        <v>6451</v>
      </c>
    </row>
    <row r="888" spans="1:5" ht="100.5">
      <c r="A888" s="81" t="s">
        <v>7512</v>
      </c>
      <c r="B888" s="81" t="s">
        <v>7534</v>
      </c>
      <c r="C888" s="105">
        <v>4</v>
      </c>
      <c r="D888" s="68" t="s">
        <v>7538</v>
      </c>
      <c r="E888" s="68" t="s">
        <v>6451</v>
      </c>
    </row>
    <row r="889" spans="1:5" ht="134.25">
      <c r="A889" s="81" t="s">
        <v>7512</v>
      </c>
      <c r="B889" s="81" t="s">
        <v>7539</v>
      </c>
      <c r="C889" s="105">
        <v>1</v>
      </c>
      <c r="D889" s="68" t="s">
        <v>7540</v>
      </c>
      <c r="E889" s="68" t="s">
        <v>6454</v>
      </c>
    </row>
    <row r="890" spans="1:5" ht="168">
      <c r="A890" s="81" t="s">
        <v>7512</v>
      </c>
      <c r="B890" s="81" t="s">
        <v>7539</v>
      </c>
      <c r="C890" s="105">
        <v>2</v>
      </c>
      <c r="D890" s="68" t="s">
        <v>7541</v>
      </c>
      <c r="E890" s="68" t="s">
        <v>6454</v>
      </c>
    </row>
    <row r="891" spans="1:5" ht="66.75">
      <c r="A891" s="81" t="s">
        <v>7512</v>
      </c>
      <c r="B891" s="81" t="s">
        <v>7539</v>
      </c>
      <c r="C891" s="105">
        <v>3</v>
      </c>
      <c r="D891" s="68" t="s">
        <v>7542</v>
      </c>
      <c r="E891" s="68" t="s">
        <v>6454</v>
      </c>
    </row>
    <row r="892" spans="1:5" ht="66.75">
      <c r="A892" s="81" t="s">
        <v>7512</v>
      </c>
      <c r="B892" s="81" t="s">
        <v>7539</v>
      </c>
      <c r="C892" s="105">
        <v>4</v>
      </c>
      <c r="D892" s="68" t="s">
        <v>7543</v>
      </c>
      <c r="E892" s="68" t="s">
        <v>6454</v>
      </c>
    </row>
    <row r="893" spans="1:5" ht="84">
      <c r="A893" s="81" t="s">
        <v>7512</v>
      </c>
      <c r="B893" s="81" t="s">
        <v>7544</v>
      </c>
      <c r="C893" s="105">
        <v>1</v>
      </c>
      <c r="D893" s="68" t="s">
        <v>7545</v>
      </c>
      <c r="E893" s="68" t="s">
        <v>6454</v>
      </c>
    </row>
    <row r="894" spans="1:5" ht="84">
      <c r="A894" s="81" t="s">
        <v>7512</v>
      </c>
      <c r="B894" s="81" t="s">
        <v>7544</v>
      </c>
      <c r="C894" s="105">
        <v>2</v>
      </c>
      <c r="D894" s="68" t="s">
        <v>7546</v>
      </c>
      <c r="E894" s="68" t="s">
        <v>6451</v>
      </c>
    </row>
    <row r="895" spans="1:5" ht="84">
      <c r="A895" s="81" t="s">
        <v>7512</v>
      </c>
      <c r="B895" s="81" t="s">
        <v>7544</v>
      </c>
      <c r="C895" s="105">
        <v>3</v>
      </c>
      <c r="D895" s="68" t="s">
        <v>7547</v>
      </c>
      <c r="E895" s="68" t="s">
        <v>6451</v>
      </c>
    </row>
    <row r="896" spans="1:5" ht="84">
      <c r="A896" s="81" t="s">
        <v>7512</v>
      </c>
      <c r="B896" s="81" t="s">
        <v>7544</v>
      </c>
      <c r="C896" s="105">
        <v>4</v>
      </c>
      <c r="D896" s="68" t="s">
        <v>7548</v>
      </c>
      <c r="E896" s="68" t="s">
        <v>6451</v>
      </c>
    </row>
    <row r="897" spans="1:5" ht="84">
      <c r="A897" s="81" t="s">
        <v>7512</v>
      </c>
      <c r="B897" s="81" t="s">
        <v>7549</v>
      </c>
      <c r="C897" s="105">
        <v>1</v>
      </c>
      <c r="D897" s="68" t="s">
        <v>7550</v>
      </c>
      <c r="E897" s="68" t="s">
        <v>6451</v>
      </c>
    </row>
    <row r="898" spans="1:5" ht="84">
      <c r="A898" s="81" t="s">
        <v>7512</v>
      </c>
      <c r="B898" s="81" t="s">
        <v>7549</v>
      </c>
      <c r="C898" s="105">
        <v>2</v>
      </c>
      <c r="D898" s="68" t="s">
        <v>7551</v>
      </c>
      <c r="E898" s="68" t="s">
        <v>6451</v>
      </c>
    </row>
    <row r="899" spans="1:5" ht="200.25">
      <c r="A899" s="81" t="s">
        <v>7512</v>
      </c>
      <c r="B899" s="81" t="s">
        <v>7549</v>
      </c>
      <c r="C899" s="105">
        <v>3</v>
      </c>
      <c r="D899" s="68" t="s">
        <v>7552</v>
      </c>
      <c r="E899" s="68" t="s">
        <v>6451</v>
      </c>
    </row>
    <row r="900" spans="1:5" ht="84">
      <c r="A900" s="81" t="s">
        <v>7512</v>
      </c>
      <c r="B900" s="81" t="s">
        <v>7553</v>
      </c>
      <c r="C900" s="105">
        <v>1</v>
      </c>
      <c r="D900" s="68" t="s">
        <v>7554</v>
      </c>
      <c r="E900" s="68" t="s">
        <v>6454</v>
      </c>
    </row>
    <row r="901" spans="1:5" ht="84">
      <c r="A901" s="81" t="s">
        <v>7512</v>
      </c>
      <c r="B901" s="81" t="s">
        <v>7553</v>
      </c>
      <c r="C901" s="105">
        <v>2</v>
      </c>
      <c r="D901" s="68" t="s">
        <v>7555</v>
      </c>
      <c r="E901" s="68" t="s">
        <v>6454</v>
      </c>
    </row>
    <row r="902" spans="1:5" ht="84">
      <c r="A902" s="81" t="s">
        <v>7512</v>
      </c>
      <c r="B902" s="81" t="s">
        <v>7553</v>
      </c>
      <c r="C902" s="105">
        <v>3</v>
      </c>
      <c r="D902" s="68" t="s">
        <v>7556</v>
      </c>
      <c r="E902" s="68" t="s">
        <v>6454</v>
      </c>
    </row>
    <row r="903" spans="1:5" ht="84">
      <c r="A903" s="81" t="s">
        <v>7512</v>
      </c>
      <c r="B903" s="81" t="s">
        <v>7557</v>
      </c>
      <c r="C903" s="105">
        <v>1</v>
      </c>
      <c r="D903" s="68" t="s">
        <v>7558</v>
      </c>
      <c r="E903" s="68" t="s">
        <v>6454</v>
      </c>
    </row>
    <row r="904" spans="1:5" ht="84">
      <c r="A904" s="81" t="s">
        <v>7512</v>
      </c>
      <c r="B904" s="81" t="s">
        <v>7557</v>
      </c>
      <c r="C904" s="105">
        <v>2</v>
      </c>
      <c r="D904" s="68" t="s">
        <v>7559</v>
      </c>
      <c r="E904" s="68" t="s">
        <v>6454</v>
      </c>
    </row>
    <row r="905" spans="1:5" ht="84">
      <c r="A905" s="81" t="s">
        <v>7512</v>
      </c>
      <c r="B905" s="81" t="s">
        <v>7557</v>
      </c>
      <c r="C905" s="105">
        <v>3</v>
      </c>
      <c r="D905" s="68" t="s">
        <v>7560</v>
      </c>
      <c r="E905" s="68" t="s">
        <v>6454</v>
      </c>
    </row>
    <row r="906" spans="1:5" ht="84">
      <c r="A906" s="81" t="s">
        <v>7512</v>
      </c>
      <c r="B906" s="81" t="s">
        <v>7557</v>
      </c>
      <c r="C906" s="105">
        <v>4</v>
      </c>
      <c r="D906" s="68" t="s">
        <v>7561</v>
      </c>
      <c r="E906" s="68" t="s">
        <v>6451</v>
      </c>
    </row>
    <row r="907" spans="1:5" ht="84">
      <c r="A907" s="81" t="s">
        <v>7512</v>
      </c>
      <c r="B907" s="81" t="s">
        <v>7557</v>
      </c>
      <c r="C907" s="105">
        <v>5</v>
      </c>
      <c r="D907" s="68" t="s">
        <v>7562</v>
      </c>
      <c r="E907" s="68" t="s">
        <v>6451</v>
      </c>
    </row>
    <row r="908" spans="1:5" ht="84">
      <c r="A908" s="81" t="s">
        <v>7512</v>
      </c>
      <c r="B908" s="81" t="s">
        <v>7563</v>
      </c>
      <c r="C908" s="105">
        <v>1</v>
      </c>
      <c r="D908" s="68" t="s">
        <v>7564</v>
      </c>
      <c r="E908" s="68" t="s">
        <v>6451</v>
      </c>
    </row>
    <row r="909" spans="1:5" ht="84">
      <c r="A909" s="81" t="s">
        <v>7512</v>
      </c>
      <c r="B909" s="81" t="s">
        <v>7563</v>
      </c>
      <c r="C909" s="105">
        <v>2</v>
      </c>
      <c r="D909" s="68" t="s">
        <v>7565</v>
      </c>
      <c r="E909" s="68" t="s">
        <v>6454</v>
      </c>
    </row>
    <row r="910" spans="1:5" ht="84">
      <c r="A910" s="81" t="s">
        <v>7512</v>
      </c>
      <c r="B910" s="81" t="s">
        <v>7563</v>
      </c>
      <c r="C910" s="105">
        <v>3</v>
      </c>
      <c r="D910" s="68" t="s">
        <v>7566</v>
      </c>
      <c r="E910" s="68" t="s">
        <v>6451</v>
      </c>
    </row>
    <row r="911" spans="1:5" ht="84">
      <c r="A911" s="81" t="s">
        <v>7512</v>
      </c>
      <c r="B911" s="81" t="s">
        <v>7563</v>
      </c>
      <c r="C911" s="106">
        <v>4</v>
      </c>
      <c r="D911" s="81" t="s">
        <v>7567</v>
      </c>
      <c r="E911" s="68" t="s">
        <v>6451</v>
      </c>
    </row>
    <row r="912" spans="1:5" ht="84">
      <c r="A912" s="73" t="s">
        <v>7512</v>
      </c>
      <c r="B912" s="73" t="s">
        <v>7563</v>
      </c>
      <c r="C912" s="87">
        <v>5</v>
      </c>
      <c r="D912" s="73" t="s">
        <v>7568</v>
      </c>
      <c r="E912" s="68" t="s">
        <v>6451</v>
      </c>
    </row>
    <row r="913" spans="1:5" ht="100.5">
      <c r="A913" s="81" t="s">
        <v>7569</v>
      </c>
      <c r="B913" s="81" t="s">
        <v>7570</v>
      </c>
      <c r="C913" s="105">
        <v>1</v>
      </c>
      <c r="D913" s="68" t="s">
        <v>7571</v>
      </c>
      <c r="E913" s="93" t="s">
        <v>6454</v>
      </c>
    </row>
    <row r="914" spans="1:5" ht="117">
      <c r="A914" s="81" t="s">
        <v>7569</v>
      </c>
      <c r="B914" s="81" t="s">
        <v>7570</v>
      </c>
      <c r="C914" s="105">
        <v>2</v>
      </c>
      <c r="D914" s="68" t="s">
        <v>7572</v>
      </c>
      <c r="E914" s="93" t="s">
        <v>6454</v>
      </c>
    </row>
    <row r="915" spans="1:5" ht="100.5">
      <c r="A915" s="81" t="s">
        <v>7569</v>
      </c>
      <c r="B915" s="81" t="s">
        <v>7570</v>
      </c>
      <c r="C915" s="105">
        <v>3</v>
      </c>
      <c r="D915" s="68" t="s">
        <v>7573</v>
      </c>
      <c r="E915" s="93" t="s">
        <v>6454</v>
      </c>
    </row>
    <row r="916" spans="1:5" ht="100.5">
      <c r="A916" s="81" t="s">
        <v>7569</v>
      </c>
      <c r="B916" s="81" t="s">
        <v>7570</v>
      </c>
      <c r="C916" s="105">
        <v>4</v>
      </c>
      <c r="D916" s="68" t="s">
        <v>7574</v>
      </c>
      <c r="E916" s="93" t="s">
        <v>6454</v>
      </c>
    </row>
    <row r="917" spans="1:5" ht="100.5">
      <c r="A917" s="81" t="s">
        <v>7569</v>
      </c>
      <c r="B917" s="81" t="s">
        <v>7570</v>
      </c>
      <c r="C917" s="105">
        <v>5</v>
      </c>
      <c r="D917" s="68" t="s">
        <v>7575</v>
      </c>
      <c r="E917" s="93" t="s">
        <v>6454</v>
      </c>
    </row>
    <row r="918" spans="1:5" ht="66.75">
      <c r="A918" s="81" t="s">
        <v>7569</v>
      </c>
      <c r="B918" s="81" t="s">
        <v>7576</v>
      </c>
      <c r="C918" s="105">
        <v>1</v>
      </c>
      <c r="D918" s="68" t="s">
        <v>7577</v>
      </c>
      <c r="E918" s="93" t="s">
        <v>6454</v>
      </c>
    </row>
    <row r="919" spans="1:5" ht="66.75">
      <c r="A919" s="81" t="s">
        <v>7569</v>
      </c>
      <c r="B919" s="81" t="s">
        <v>7576</v>
      </c>
      <c r="C919" s="105">
        <v>2</v>
      </c>
      <c r="D919" s="68" t="s">
        <v>7578</v>
      </c>
      <c r="E919" s="93" t="s">
        <v>6454</v>
      </c>
    </row>
    <row r="920" spans="1:5" ht="66.75">
      <c r="A920" s="81" t="s">
        <v>7569</v>
      </c>
      <c r="B920" s="81" t="s">
        <v>7576</v>
      </c>
      <c r="C920" s="105">
        <v>3</v>
      </c>
      <c r="D920" s="68" t="s">
        <v>7579</v>
      </c>
      <c r="E920" s="93" t="s">
        <v>6454</v>
      </c>
    </row>
    <row r="921" spans="1:5" ht="66.75">
      <c r="A921" s="81" t="s">
        <v>7569</v>
      </c>
      <c r="B921" s="81" t="s">
        <v>7576</v>
      </c>
      <c r="C921" s="105">
        <v>4</v>
      </c>
      <c r="D921" s="68" t="s">
        <v>7580</v>
      </c>
      <c r="E921" s="93" t="s">
        <v>6454</v>
      </c>
    </row>
    <row r="922" spans="1:5" ht="66.75">
      <c r="A922" s="81" t="s">
        <v>7569</v>
      </c>
      <c r="B922" s="81" t="s">
        <v>7576</v>
      </c>
      <c r="C922" s="105">
        <v>5</v>
      </c>
      <c r="D922" s="68" t="s">
        <v>7581</v>
      </c>
      <c r="E922" s="93" t="s">
        <v>6454</v>
      </c>
    </row>
    <row r="923" spans="1:5" ht="84">
      <c r="A923" s="81" t="s">
        <v>7569</v>
      </c>
      <c r="B923" s="81" t="s">
        <v>7582</v>
      </c>
      <c r="C923" s="105">
        <v>1</v>
      </c>
      <c r="D923" s="68" t="s">
        <v>7583</v>
      </c>
      <c r="E923" s="93" t="s">
        <v>6454</v>
      </c>
    </row>
    <row r="924" spans="1:5" ht="66.75">
      <c r="A924" s="81" t="s">
        <v>7569</v>
      </c>
      <c r="B924" s="81" t="s">
        <v>7582</v>
      </c>
      <c r="C924" s="105">
        <v>2</v>
      </c>
      <c r="D924" s="68" t="s">
        <v>7584</v>
      </c>
      <c r="E924" s="93" t="s">
        <v>6454</v>
      </c>
    </row>
    <row r="925" spans="1:5" ht="66.75">
      <c r="A925" s="81" t="s">
        <v>7569</v>
      </c>
      <c r="B925" s="81" t="s">
        <v>7582</v>
      </c>
      <c r="C925" s="105">
        <v>3</v>
      </c>
      <c r="D925" s="68" t="s">
        <v>7585</v>
      </c>
      <c r="E925" s="93" t="s">
        <v>6454</v>
      </c>
    </row>
    <row r="926" spans="1:5" ht="183.75">
      <c r="A926" s="81" t="s">
        <v>7569</v>
      </c>
      <c r="B926" s="81" t="s">
        <v>7586</v>
      </c>
      <c r="C926" s="105">
        <v>1</v>
      </c>
      <c r="D926" s="68" t="s">
        <v>7587</v>
      </c>
      <c r="E926" s="93" t="s">
        <v>6454</v>
      </c>
    </row>
    <row r="927" spans="1:5" ht="100.5">
      <c r="A927" s="81" t="s">
        <v>7569</v>
      </c>
      <c r="B927" s="81" t="s">
        <v>7586</v>
      </c>
      <c r="C927" s="105">
        <v>2</v>
      </c>
      <c r="D927" s="68" t="s">
        <v>7588</v>
      </c>
      <c r="E927" s="93" t="s">
        <v>6454</v>
      </c>
    </row>
    <row r="928" spans="1:5" ht="100.5">
      <c r="A928" s="81" t="s">
        <v>7569</v>
      </c>
      <c r="B928" s="81" t="s">
        <v>7586</v>
      </c>
      <c r="C928" s="105">
        <v>3</v>
      </c>
      <c r="D928" s="72" t="s">
        <v>7589</v>
      </c>
      <c r="E928" s="93" t="s">
        <v>6454</v>
      </c>
    </row>
    <row r="929" spans="1:5" ht="100.5">
      <c r="A929" s="81" t="s">
        <v>7569</v>
      </c>
      <c r="B929" s="81" t="s">
        <v>7586</v>
      </c>
      <c r="C929" s="105">
        <v>4</v>
      </c>
      <c r="D929" s="68" t="s">
        <v>7590</v>
      </c>
      <c r="E929" s="93" t="s">
        <v>6454</v>
      </c>
    </row>
    <row r="930" spans="1:5" ht="100.5">
      <c r="A930" s="81" t="s">
        <v>7569</v>
      </c>
      <c r="B930" s="81" t="s">
        <v>7586</v>
      </c>
      <c r="C930" s="105">
        <v>5</v>
      </c>
      <c r="D930" s="68" t="s">
        <v>7591</v>
      </c>
      <c r="E930" s="93" t="s">
        <v>6454</v>
      </c>
    </row>
    <row r="931" spans="1:5" ht="84">
      <c r="A931" s="81" t="s">
        <v>7569</v>
      </c>
      <c r="B931" s="81" t="s">
        <v>7592</v>
      </c>
      <c r="C931" s="105">
        <v>1</v>
      </c>
      <c r="D931" s="68" t="s">
        <v>7593</v>
      </c>
      <c r="E931" s="93" t="s">
        <v>6454</v>
      </c>
    </row>
    <row r="932" spans="1:5" ht="84">
      <c r="A932" s="81" t="s">
        <v>7569</v>
      </c>
      <c r="B932" s="81" t="s">
        <v>7592</v>
      </c>
      <c r="C932" s="105">
        <v>2</v>
      </c>
      <c r="D932" s="68" t="s">
        <v>7594</v>
      </c>
      <c r="E932" s="93" t="s">
        <v>6454</v>
      </c>
    </row>
    <row r="933" spans="1:5" ht="250.5">
      <c r="A933" s="81" t="s">
        <v>7569</v>
      </c>
      <c r="B933" s="81" t="s">
        <v>7592</v>
      </c>
      <c r="C933" s="105">
        <v>3</v>
      </c>
      <c r="D933" s="68" t="s">
        <v>7595</v>
      </c>
      <c r="E933" s="93" t="s">
        <v>6454</v>
      </c>
    </row>
    <row r="934" spans="1:5" ht="84">
      <c r="A934" s="81" t="s">
        <v>7569</v>
      </c>
      <c r="B934" s="81" t="s">
        <v>7592</v>
      </c>
      <c r="C934" s="105">
        <v>4</v>
      </c>
      <c r="D934" s="68" t="s">
        <v>7596</v>
      </c>
      <c r="E934" s="93" t="s">
        <v>6454</v>
      </c>
    </row>
    <row r="935" spans="1:5" ht="150.75">
      <c r="A935" s="81" t="s">
        <v>7569</v>
      </c>
      <c r="B935" s="81" t="s">
        <v>7597</v>
      </c>
      <c r="C935" s="105">
        <v>1</v>
      </c>
      <c r="D935" s="68" t="s">
        <v>7598</v>
      </c>
      <c r="E935" s="93" t="s">
        <v>6454</v>
      </c>
    </row>
    <row r="936" spans="1:5" ht="351">
      <c r="A936" s="81" t="s">
        <v>7569</v>
      </c>
      <c r="B936" s="81" t="s">
        <v>7597</v>
      </c>
      <c r="C936" s="105">
        <v>2</v>
      </c>
      <c r="D936" s="68" t="s">
        <v>7599</v>
      </c>
      <c r="E936" s="93" t="s">
        <v>6454</v>
      </c>
    </row>
    <row r="937" spans="1:5" ht="100.5">
      <c r="A937" s="81" t="s">
        <v>7569</v>
      </c>
      <c r="B937" s="81" t="s">
        <v>7597</v>
      </c>
      <c r="C937" s="105">
        <v>3</v>
      </c>
      <c r="D937" s="68" t="s">
        <v>7600</v>
      </c>
      <c r="E937" s="93" t="s">
        <v>6454</v>
      </c>
    </row>
    <row r="938" spans="1:5" ht="100.5">
      <c r="A938" s="81" t="s">
        <v>7569</v>
      </c>
      <c r="B938" s="81" t="s">
        <v>7597</v>
      </c>
      <c r="C938" s="105">
        <v>4</v>
      </c>
      <c r="D938" s="68" t="s">
        <v>7601</v>
      </c>
      <c r="E938" s="93" t="s">
        <v>6454</v>
      </c>
    </row>
    <row r="939" spans="1:5" ht="100.5">
      <c r="A939" s="81" t="s">
        <v>7569</v>
      </c>
      <c r="B939" s="81" t="s">
        <v>7597</v>
      </c>
      <c r="C939" s="105">
        <v>5</v>
      </c>
      <c r="D939" s="68" t="s">
        <v>7602</v>
      </c>
      <c r="E939" s="93" t="s">
        <v>6454</v>
      </c>
    </row>
    <row r="940" spans="1:5" ht="100.5">
      <c r="A940" s="81" t="s">
        <v>7569</v>
      </c>
      <c r="B940" s="81" t="s">
        <v>7597</v>
      </c>
      <c r="C940" s="105">
        <v>6</v>
      </c>
      <c r="D940" s="68" t="s">
        <v>7603</v>
      </c>
      <c r="E940" s="93" t="s">
        <v>6454</v>
      </c>
    </row>
    <row r="941" spans="1:5" ht="100.5">
      <c r="A941" s="81" t="s">
        <v>7569</v>
      </c>
      <c r="B941" s="81" t="s">
        <v>7597</v>
      </c>
      <c r="C941" s="105">
        <v>7</v>
      </c>
      <c r="D941" s="68" t="s">
        <v>7604</v>
      </c>
      <c r="E941" s="93" t="s">
        <v>6454</v>
      </c>
    </row>
    <row r="942" spans="1:5" ht="100.5">
      <c r="A942" s="81" t="s">
        <v>7569</v>
      </c>
      <c r="B942" s="81" t="s">
        <v>7597</v>
      </c>
      <c r="C942" s="105">
        <v>8</v>
      </c>
      <c r="D942" s="68" t="s">
        <v>7605</v>
      </c>
      <c r="E942" s="93" t="s">
        <v>6454</v>
      </c>
    </row>
    <row r="943" spans="1:5" ht="84">
      <c r="A943" s="81" t="s">
        <v>7569</v>
      </c>
      <c r="B943" s="81" t="s">
        <v>7606</v>
      </c>
      <c r="C943" s="105">
        <v>1</v>
      </c>
      <c r="D943" s="68" t="s">
        <v>7607</v>
      </c>
      <c r="E943" s="93" t="s">
        <v>6454</v>
      </c>
    </row>
    <row r="944" spans="1:5" ht="84">
      <c r="A944" s="81" t="s">
        <v>7569</v>
      </c>
      <c r="B944" s="81" t="s">
        <v>7606</v>
      </c>
      <c r="C944" s="105">
        <v>2</v>
      </c>
      <c r="D944" s="68" t="s">
        <v>7608</v>
      </c>
      <c r="E944" s="93" t="s">
        <v>6454</v>
      </c>
    </row>
    <row r="945" spans="1:5" ht="84">
      <c r="A945" s="81" t="s">
        <v>7569</v>
      </c>
      <c r="B945" s="81" t="s">
        <v>7606</v>
      </c>
      <c r="C945" s="105">
        <v>3</v>
      </c>
      <c r="D945" s="68" t="s">
        <v>7609</v>
      </c>
      <c r="E945" s="93" t="s">
        <v>6454</v>
      </c>
    </row>
    <row r="946" spans="1:5" ht="84">
      <c r="A946" s="81" t="s">
        <v>7569</v>
      </c>
      <c r="B946" s="81" t="s">
        <v>7606</v>
      </c>
      <c r="C946" s="105">
        <v>4</v>
      </c>
      <c r="D946" s="68" t="s">
        <v>7610</v>
      </c>
      <c r="E946" s="93" t="s">
        <v>6454</v>
      </c>
    </row>
    <row r="947" spans="1:5" ht="84">
      <c r="A947" s="81" t="s">
        <v>7569</v>
      </c>
      <c r="B947" s="81" t="s">
        <v>7606</v>
      </c>
      <c r="C947" s="105">
        <v>5</v>
      </c>
      <c r="D947" s="68" t="s">
        <v>7611</v>
      </c>
      <c r="E947" s="93" t="s">
        <v>6454</v>
      </c>
    </row>
    <row r="948" spans="1:5" ht="50.25">
      <c r="A948" s="81" t="s">
        <v>7569</v>
      </c>
      <c r="B948" s="81" t="s">
        <v>7612</v>
      </c>
      <c r="C948" s="105">
        <v>1</v>
      </c>
      <c r="D948" s="68" t="s">
        <v>7613</v>
      </c>
      <c r="E948" s="93" t="s">
        <v>6454</v>
      </c>
    </row>
    <row r="949" spans="1:5" ht="50.25">
      <c r="A949" s="81" t="s">
        <v>7569</v>
      </c>
      <c r="B949" s="81" t="s">
        <v>7612</v>
      </c>
      <c r="C949" s="106">
        <v>2</v>
      </c>
      <c r="D949" s="81" t="s">
        <v>7614</v>
      </c>
      <c r="E949" s="93" t="s">
        <v>6454</v>
      </c>
    </row>
    <row r="950" spans="1:5" ht="50.25">
      <c r="A950" s="73" t="s">
        <v>7569</v>
      </c>
      <c r="B950" s="73" t="s">
        <v>7612</v>
      </c>
      <c r="C950" s="87">
        <v>3</v>
      </c>
      <c r="D950" s="73" t="s">
        <v>7615</v>
      </c>
      <c r="E950" s="93" t="s">
        <v>6454</v>
      </c>
    </row>
    <row r="951" spans="1:5" ht="66.75">
      <c r="A951" s="73" t="s">
        <v>7569</v>
      </c>
      <c r="B951" s="73" t="s">
        <v>7616</v>
      </c>
      <c r="C951" s="87">
        <v>1</v>
      </c>
      <c r="D951" s="73" t="s">
        <v>7617</v>
      </c>
      <c r="E951" s="93" t="s">
        <v>6454</v>
      </c>
    </row>
    <row r="952" spans="1:5" ht="84">
      <c r="A952" s="73" t="s">
        <v>7569</v>
      </c>
      <c r="B952" s="73" t="s">
        <v>7616</v>
      </c>
      <c r="C952" s="87">
        <v>2</v>
      </c>
      <c r="D952" s="73" t="s">
        <v>7618</v>
      </c>
      <c r="E952" s="93" t="s">
        <v>6454</v>
      </c>
    </row>
    <row r="953" spans="1:5" ht="66.75">
      <c r="A953" s="73" t="s">
        <v>7569</v>
      </c>
      <c r="B953" s="73" t="s">
        <v>7616</v>
      </c>
      <c r="C953" s="87">
        <v>3</v>
      </c>
      <c r="D953" s="73" t="s">
        <v>7619</v>
      </c>
      <c r="E953" s="93" t="s">
        <v>6454</v>
      </c>
    </row>
    <row r="954" spans="1:5" ht="50.25">
      <c r="A954" s="73" t="s">
        <v>7569</v>
      </c>
      <c r="B954" s="73" t="s">
        <v>7616</v>
      </c>
      <c r="C954" s="87">
        <v>4</v>
      </c>
      <c r="D954" s="73" t="s">
        <v>7620</v>
      </c>
      <c r="E954" s="93" t="s">
        <v>6454</v>
      </c>
    </row>
    <row r="955" spans="1:5" ht="84">
      <c r="A955" s="73" t="s">
        <v>7569</v>
      </c>
      <c r="B955" s="73" t="s">
        <v>7621</v>
      </c>
      <c r="C955" s="87">
        <v>1</v>
      </c>
      <c r="D955" s="73" t="s">
        <v>7622</v>
      </c>
      <c r="E955" s="93" t="s">
        <v>6454</v>
      </c>
    </row>
    <row r="956" spans="1:5" ht="84">
      <c r="A956" s="73" t="s">
        <v>7569</v>
      </c>
      <c r="B956" s="73" t="s">
        <v>7621</v>
      </c>
      <c r="C956" s="87">
        <v>2</v>
      </c>
      <c r="D956" s="73" t="s">
        <v>7623</v>
      </c>
      <c r="E956" s="93" t="s">
        <v>6454</v>
      </c>
    </row>
    <row r="957" spans="1:5" ht="84">
      <c r="A957" s="73" t="s">
        <v>7569</v>
      </c>
      <c r="B957" s="73" t="s">
        <v>7621</v>
      </c>
      <c r="C957" s="87">
        <v>3</v>
      </c>
      <c r="D957" s="73" t="s">
        <v>7624</v>
      </c>
      <c r="E957" s="93" t="s">
        <v>6454</v>
      </c>
    </row>
    <row r="958" spans="1:5" ht="84">
      <c r="A958" s="73" t="s">
        <v>7569</v>
      </c>
      <c r="B958" s="73" t="s">
        <v>7621</v>
      </c>
      <c r="C958" s="87">
        <v>4</v>
      </c>
      <c r="D958" s="73" t="s">
        <v>7625</v>
      </c>
      <c r="E958" s="93" t="s">
        <v>6454</v>
      </c>
    </row>
    <row r="959" spans="1:5" ht="84">
      <c r="A959" s="73" t="s">
        <v>7569</v>
      </c>
      <c r="B959" s="73" t="s">
        <v>7626</v>
      </c>
      <c r="C959" s="87">
        <v>1</v>
      </c>
      <c r="D959" s="73" t="s">
        <v>7627</v>
      </c>
      <c r="E959" s="93" t="s">
        <v>6454</v>
      </c>
    </row>
    <row r="960" spans="1:5" ht="84">
      <c r="A960" s="73" t="s">
        <v>7569</v>
      </c>
      <c r="B960" s="73" t="s">
        <v>7626</v>
      </c>
      <c r="C960" s="87">
        <v>2</v>
      </c>
      <c r="D960" s="73" t="s">
        <v>7628</v>
      </c>
      <c r="E960" s="93" t="s">
        <v>6454</v>
      </c>
    </row>
    <row r="961" spans="1:5" ht="84">
      <c r="A961" s="73" t="s">
        <v>7569</v>
      </c>
      <c r="B961" s="73" t="s">
        <v>7626</v>
      </c>
      <c r="C961" s="87">
        <v>3</v>
      </c>
      <c r="D961" s="73" t="s">
        <v>7629</v>
      </c>
      <c r="E961" s="93" t="s">
        <v>6454</v>
      </c>
    </row>
    <row r="962" spans="1:5" ht="84">
      <c r="A962" s="73" t="s">
        <v>7569</v>
      </c>
      <c r="B962" s="73" t="s">
        <v>7626</v>
      </c>
      <c r="C962" s="87">
        <v>4</v>
      </c>
      <c r="D962" s="73" t="s">
        <v>7630</v>
      </c>
      <c r="E962" s="93" t="s">
        <v>6454</v>
      </c>
    </row>
    <row r="963" spans="1:5" ht="84">
      <c r="A963" s="73" t="s">
        <v>7569</v>
      </c>
      <c r="B963" s="73" t="s">
        <v>7626</v>
      </c>
      <c r="C963" s="87">
        <v>5</v>
      </c>
      <c r="D963" s="73" t="s">
        <v>7631</v>
      </c>
      <c r="E963" s="93" t="s">
        <v>6454</v>
      </c>
    </row>
    <row r="964" spans="1:5" ht="84">
      <c r="A964" s="73" t="s">
        <v>7569</v>
      </c>
      <c r="B964" s="73" t="s">
        <v>7626</v>
      </c>
      <c r="C964" s="87">
        <v>6</v>
      </c>
      <c r="D964" s="73" t="s">
        <v>7632</v>
      </c>
      <c r="E964" s="93" t="s">
        <v>6454</v>
      </c>
    </row>
    <row r="965" spans="1:5" ht="84">
      <c r="A965" s="73" t="s">
        <v>7569</v>
      </c>
      <c r="B965" s="73" t="s">
        <v>7626</v>
      </c>
      <c r="C965" s="87">
        <v>7</v>
      </c>
      <c r="D965" s="136" t="s">
        <v>7633</v>
      </c>
      <c r="E965" s="93" t="s">
        <v>6451</v>
      </c>
    </row>
    <row r="966" spans="1:5" ht="66.75">
      <c r="A966" s="73" t="s">
        <v>7569</v>
      </c>
      <c r="B966" s="73" t="s">
        <v>7634</v>
      </c>
      <c r="C966" s="87">
        <v>1</v>
      </c>
      <c r="D966" s="73" t="s">
        <v>7635</v>
      </c>
      <c r="E966" s="93" t="s">
        <v>6454</v>
      </c>
    </row>
    <row r="967" spans="1:5" ht="66.75">
      <c r="A967" s="73" t="s">
        <v>7569</v>
      </c>
      <c r="B967" s="73" t="s">
        <v>7634</v>
      </c>
      <c r="C967" s="87">
        <v>2</v>
      </c>
      <c r="D967" s="73" t="s">
        <v>7636</v>
      </c>
      <c r="E967" s="93" t="s">
        <v>6454</v>
      </c>
    </row>
    <row r="968" spans="1:5" ht="66.75">
      <c r="A968" s="73" t="s">
        <v>7569</v>
      </c>
      <c r="B968" s="73" t="s">
        <v>7634</v>
      </c>
      <c r="C968" s="87">
        <v>3</v>
      </c>
      <c r="D968" s="73" t="s">
        <v>7637</v>
      </c>
      <c r="E968" s="93" t="s">
        <v>6454</v>
      </c>
    </row>
    <row r="969" spans="1:5" ht="66.75">
      <c r="A969" s="73" t="s">
        <v>7569</v>
      </c>
      <c r="B969" s="73" t="s">
        <v>7634</v>
      </c>
      <c r="C969" s="87">
        <v>4</v>
      </c>
      <c r="D969" s="73" t="s">
        <v>7638</v>
      </c>
      <c r="E969" s="93" t="s">
        <v>6454</v>
      </c>
    </row>
    <row r="970" spans="1:5" ht="66.75">
      <c r="A970" s="73" t="s">
        <v>7569</v>
      </c>
      <c r="B970" s="73" t="s">
        <v>7634</v>
      </c>
      <c r="C970" s="87">
        <v>5</v>
      </c>
      <c r="D970" s="73" t="s">
        <v>7639</v>
      </c>
      <c r="E970" s="93" t="s">
        <v>6454</v>
      </c>
    </row>
    <row r="971" spans="1:5" ht="66.75">
      <c r="A971" s="73" t="s">
        <v>7569</v>
      </c>
      <c r="B971" s="73" t="s">
        <v>7634</v>
      </c>
      <c r="C971" s="87">
        <v>6</v>
      </c>
      <c r="D971" s="73" t="s">
        <v>7640</v>
      </c>
      <c r="E971" s="93" t="s">
        <v>6454</v>
      </c>
    </row>
    <row r="972" spans="1:5" ht="66.75">
      <c r="A972" s="73" t="s">
        <v>7569</v>
      </c>
      <c r="B972" s="73" t="s">
        <v>7634</v>
      </c>
      <c r="C972" s="87">
        <v>7</v>
      </c>
      <c r="D972" s="73" t="s">
        <v>7641</v>
      </c>
      <c r="E972" s="93" t="s">
        <v>6454</v>
      </c>
    </row>
    <row r="973" spans="1:5" ht="50.25">
      <c r="A973" s="73" t="s">
        <v>7569</v>
      </c>
      <c r="B973" s="73" t="s">
        <v>7642</v>
      </c>
      <c r="C973" s="87">
        <v>1</v>
      </c>
      <c r="D973" s="73" t="s">
        <v>7643</v>
      </c>
      <c r="E973" s="93" t="s">
        <v>6454</v>
      </c>
    </row>
    <row r="974" spans="1:5" ht="50.25">
      <c r="A974" s="73" t="s">
        <v>7569</v>
      </c>
      <c r="B974" s="73" t="s">
        <v>7642</v>
      </c>
      <c r="C974" s="87">
        <v>2</v>
      </c>
      <c r="D974" s="73" t="s">
        <v>7644</v>
      </c>
      <c r="E974" s="93" t="s">
        <v>6454</v>
      </c>
    </row>
    <row r="975" spans="1:5" ht="50.25">
      <c r="A975" s="73" t="s">
        <v>7569</v>
      </c>
      <c r="B975" s="73" t="s">
        <v>7642</v>
      </c>
      <c r="C975" s="87">
        <v>3</v>
      </c>
      <c r="D975" s="73" t="s">
        <v>7645</v>
      </c>
      <c r="E975" s="111" t="s">
        <v>6454</v>
      </c>
    </row>
    <row r="976" spans="1:5" ht="50.25">
      <c r="A976" s="73" t="s">
        <v>7569</v>
      </c>
      <c r="B976" s="73" t="s">
        <v>7642</v>
      </c>
      <c r="C976" s="87">
        <v>4</v>
      </c>
      <c r="D976" s="73" t="s">
        <v>7646</v>
      </c>
      <c r="E976" s="93" t="s">
        <v>6454</v>
      </c>
    </row>
    <row r="977" spans="1:5" ht="66.75">
      <c r="A977" s="73" t="s">
        <v>7569</v>
      </c>
      <c r="B977" s="73" t="s">
        <v>7642</v>
      </c>
      <c r="C977" s="87">
        <v>5</v>
      </c>
      <c r="D977" s="73" t="s">
        <v>7647</v>
      </c>
      <c r="E977" s="93" t="s">
        <v>6451</v>
      </c>
    </row>
    <row r="978" spans="1:5" ht="66.75">
      <c r="A978" s="73" t="s">
        <v>7569</v>
      </c>
      <c r="B978" s="73" t="s">
        <v>7648</v>
      </c>
      <c r="C978" s="87">
        <v>1</v>
      </c>
      <c r="D978" s="73" t="s">
        <v>7649</v>
      </c>
      <c r="E978" s="93" t="s">
        <v>6451</v>
      </c>
    </row>
    <row r="979" spans="1:5" ht="66.75">
      <c r="A979" s="73" t="s">
        <v>7569</v>
      </c>
      <c r="B979" s="73" t="s">
        <v>7648</v>
      </c>
      <c r="C979" s="87">
        <v>2</v>
      </c>
      <c r="D979" s="73" t="s">
        <v>7650</v>
      </c>
      <c r="E979" s="93" t="s">
        <v>6454</v>
      </c>
    </row>
    <row r="980" spans="1:5" ht="66.75">
      <c r="A980" s="73" t="s">
        <v>7569</v>
      </c>
      <c r="B980" s="73" t="s">
        <v>7648</v>
      </c>
      <c r="C980" s="87">
        <v>3</v>
      </c>
      <c r="D980" s="73" t="s">
        <v>7651</v>
      </c>
      <c r="E980" s="93" t="s">
        <v>6451</v>
      </c>
    </row>
    <row r="981" spans="1:5" ht="66.75">
      <c r="A981" s="73" t="s">
        <v>7569</v>
      </c>
      <c r="B981" s="73" t="s">
        <v>7648</v>
      </c>
      <c r="C981" s="87">
        <v>4</v>
      </c>
      <c r="D981" s="73" t="s">
        <v>7652</v>
      </c>
      <c r="E981" s="93" t="s">
        <v>6454</v>
      </c>
    </row>
    <row r="982" spans="1:5" ht="66.75">
      <c r="A982" s="73" t="s">
        <v>7569</v>
      </c>
      <c r="B982" s="73" t="s">
        <v>7648</v>
      </c>
      <c r="C982" s="87">
        <v>5</v>
      </c>
      <c r="D982" s="73" t="s">
        <v>7653</v>
      </c>
      <c r="E982" s="93" t="s">
        <v>6454</v>
      </c>
    </row>
    <row r="983" spans="1:5" ht="100.5">
      <c r="A983" s="73" t="s">
        <v>7569</v>
      </c>
      <c r="B983" s="73" t="s">
        <v>7654</v>
      </c>
      <c r="C983" s="87">
        <v>1</v>
      </c>
      <c r="D983" s="73" t="s">
        <v>7655</v>
      </c>
      <c r="E983" s="93" t="s">
        <v>6454</v>
      </c>
    </row>
    <row r="984" spans="1:5" ht="100.5">
      <c r="A984" s="73" t="s">
        <v>7569</v>
      </c>
      <c r="B984" s="73" t="s">
        <v>7654</v>
      </c>
      <c r="C984" s="87">
        <v>2</v>
      </c>
      <c r="D984" s="73" t="s">
        <v>7656</v>
      </c>
      <c r="E984" s="93" t="s">
        <v>6454</v>
      </c>
    </row>
    <row r="985" spans="1:5" ht="100.5">
      <c r="A985" s="73" t="s">
        <v>7569</v>
      </c>
      <c r="B985" s="73" t="s">
        <v>7654</v>
      </c>
      <c r="C985" s="87">
        <v>3</v>
      </c>
      <c r="D985" s="73" t="s">
        <v>7657</v>
      </c>
      <c r="E985" s="93" t="s">
        <v>6454</v>
      </c>
    </row>
    <row r="986" spans="1:5" ht="100.5">
      <c r="A986" s="73" t="s">
        <v>7569</v>
      </c>
      <c r="B986" s="73" t="s">
        <v>7654</v>
      </c>
      <c r="C986" s="87">
        <v>4</v>
      </c>
      <c r="D986" s="73" t="s">
        <v>7658</v>
      </c>
      <c r="E986" s="93" t="s">
        <v>6454</v>
      </c>
    </row>
    <row r="987" spans="1:5" ht="100.5">
      <c r="A987" s="73" t="s">
        <v>7569</v>
      </c>
      <c r="B987" s="73" t="s">
        <v>7654</v>
      </c>
      <c r="C987" s="87">
        <v>5</v>
      </c>
      <c r="D987" s="73" t="s">
        <v>7659</v>
      </c>
      <c r="E987" s="93" t="s">
        <v>6454</v>
      </c>
    </row>
    <row r="988" spans="1:5" ht="100.5">
      <c r="A988" s="73" t="s">
        <v>7569</v>
      </c>
      <c r="B988" s="73" t="s">
        <v>7654</v>
      </c>
      <c r="C988" s="87">
        <v>6</v>
      </c>
      <c r="D988" s="73" t="s">
        <v>7660</v>
      </c>
      <c r="E988" s="93" t="s">
        <v>6454</v>
      </c>
    </row>
    <row r="989" spans="1:5" ht="351">
      <c r="A989" s="73" t="s">
        <v>7569</v>
      </c>
      <c r="B989" s="73" t="s">
        <v>7661</v>
      </c>
      <c r="C989" s="87">
        <v>1</v>
      </c>
      <c r="D989" s="73" t="s">
        <v>7662</v>
      </c>
      <c r="E989" s="93" t="s">
        <v>6454</v>
      </c>
    </row>
    <row r="990" spans="1:5" ht="100.5">
      <c r="A990" s="73" t="s">
        <v>7569</v>
      </c>
      <c r="B990" s="73" t="s">
        <v>7661</v>
      </c>
      <c r="C990" s="87">
        <v>2</v>
      </c>
      <c r="D990" s="73" t="s">
        <v>7663</v>
      </c>
      <c r="E990" s="93" t="s">
        <v>6451</v>
      </c>
    </row>
    <row r="991" spans="1:5" ht="100.5">
      <c r="A991" s="73" t="s">
        <v>7569</v>
      </c>
      <c r="B991" s="73" t="s">
        <v>7661</v>
      </c>
      <c r="C991" s="87">
        <v>3</v>
      </c>
      <c r="D991" s="73" t="s">
        <v>7664</v>
      </c>
      <c r="E991" s="93" t="s">
        <v>6454</v>
      </c>
    </row>
    <row r="992" spans="1:5" ht="100.5">
      <c r="A992" s="73" t="s">
        <v>7569</v>
      </c>
      <c r="B992" s="73" t="s">
        <v>7661</v>
      </c>
      <c r="C992" s="87">
        <v>4</v>
      </c>
      <c r="D992" s="73" t="s">
        <v>7665</v>
      </c>
      <c r="E992" s="93" t="s">
        <v>6454</v>
      </c>
    </row>
    <row r="993" spans="1:5" ht="100.5">
      <c r="A993" s="73" t="s">
        <v>7569</v>
      </c>
      <c r="B993" s="73" t="s">
        <v>7661</v>
      </c>
      <c r="C993" s="87">
        <v>5</v>
      </c>
      <c r="D993" s="73" t="s">
        <v>7666</v>
      </c>
      <c r="E993" s="93" t="s">
        <v>6454</v>
      </c>
    </row>
    <row r="994" spans="1:5" ht="100.5">
      <c r="A994" s="73" t="s">
        <v>7569</v>
      </c>
      <c r="B994" s="73" t="s">
        <v>7667</v>
      </c>
      <c r="C994" s="87">
        <v>1</v>
      </c>
      <c r="D994" s="73" t="s">
        <v>7668</v>
      </c>
      <c r="E994" s="93" t="s">
        <v>6454</v>
      </c>
    </row>
    <row r="995" spans="1:5" ht="100.5">
      <c r="A995" s="73" t="s">
        <v>7569</v>
      </c>
      <c r="B995" s="73" t="s">
        <v>7667</v>
      </c>
      <c r="C995" s="87">
        <v>2</v>
      </c>
      <c r="D995" s="73" t="s">
        <v>7669</v>
      </c>
      <c r="E995" s="93" t="s">
        <v>6454</v>
      </c>
    </row>
    <row r="996" spans="1:5" ht="100.5">
      <c r="A996" s="73" t="s">
        <v>7569</v>
      </c>
      <c r="B996" s="73" t="s">
        <v>7667</v>
      </c>
      <c r="C996" s="87">
        <v>3</v>
      </c>
      <c r="D996" s="73" t="s">
        <v>7670</v>
      </c>
      <c r="E996" s="93" t="s">
        <v>6454</v>
      </c>
    </row>
    <row r="997" spans="1:5" ht="100.5">
      <c r="A997" s="73" t="s">
        <v>7569</v>
      </c>
      <c r="B997" s="73" t="s">
        <v>7667</v>
      </c>
      <c r="C997" s="87">
        <v>4</v>
      </c>
      <c r="D997" s="73" t="s">
        <v>7671</v>
      </c>
      <c r="E997" s="93" t="s">
        <v>6454</v>
      </c>
    </row>
    <row r="998" spans="1:5" ht="100.5">
      <c r="A998" s="73" t="s">
        <v>7569</v>
      </c>
      <c r="B998" s="73" t="s">
        <v>7667</v>
      </c>
      <c r="C998" s="87">
        <v>5</v>
      </c>
      <c r="D998" s="73" t="s">
        <v>7672</v>
      </c>
      <c r="E998" s="93" t="s">
        <v>6454</v>
      </c>
    </row>
    <row r="999" spans="1:5" ht="100.5">
      <c r="A999" s="73" t="s">
        <v>7569</v>
      </c>
      <c r="B999" s="73" t="s">
        <v>7673</v>
      </c>
      <c r="C999" s="87">
        <v>1</v>
      </c>
      <c r="D999" s="136" t="s">
        <v>7674</v>
      </c>
      <c r="E999" s="93" t="s">
        <v>6454</v>
      </c>
    </row>
    <row r="1000" spans="1:5" ht="100.5">
      <c r="A1000" s="73" t="s">
        <v>7569</v>
      </c>
      <c r="B1000" s="73" t="s">
        <v>7673</v>
      </c>
      <c r="C1000" s="87">
        <v>2</v>
      </c>
      <c r="D1000" s="73" t="s">
        <v>7675</v>
      </c>
      <c r="E1000" s="93" t="s">
        <v>6454</v>
      </c>
    </row>
    <row r="1001" spans="1:5" ht="100.5">
      <c r="A1001" s="73" t="s">
        <v>7569</v>
      </c>
      <c r="B1001" s="73" t="s">
        <v>7673</v>
      </c>
      <c r="C1001" s="87">
        <v>3</v>
      </c>
      <c r="D1001" s="73" t="s">
        <v>7676</v>
      </c>
      <c r="E1001" s="93" t="s">
        <v>6454</v>
      </c>
    </row>
    <row r="1002" spans="1:5" ht="100.5">
      <c r="A1002" s="73" t="s">
        <v>7569</v>
      </c>
      <c r="B1002" s="73" t="s">
        <v>7673</v>
      </c>
      <c r="C1002" s="87">
        <v>4</v>
      </c>
      <c r="D1002" s="73" t="s">
        <v>7677</v>
      </c>
      <c r="E1002" s="93" t="s">
        <v>6454</v>
      </c>
    </row>
    <row r="1003" spans="1:5" ht="100.5">
      <c r="A1003" s="73" t="s">
        <v>7569</v>
      </c>
      <c r="B1003" s="73" t="s">
        <v>7673</v>
      </c>
      <c r="C1003" s="87">
        <v>5</v>
      </c>
      <c r="D1003" s="73" t="s">
        <v>7678</v>
      </c>
      <c r="E1003" s="93" t="s">
        <v>6454</v>
      </c>
    </row>
    <row r="1004" spans="1:5" ht="84">
      <c r="A1004" s="73" t="s">
        <v>7679</v>
      </c>
      <c r="B1004" s="73" t="s">
        <v>7680</v>
      </c>
      <c r="C1004" s="87">
        <v>1</v>
      </c>
      <c r="D1004" s="73" t="s">
        <v>7681</v>
      </c>
      <c r="E1004" s="73" t="s">
        <v>6454</v>
      </c>
    </row>
    <row r="1005" spans="1:5" ht="84">
      <c r="A1005" s="73" t="s">
        <v>7679</v>
      </c>
      <c r="B1005" s="73" t="s">
        <v>7680</v>
      </c>
      <c r="C1005" s="87">
        <v>2</v>
      </c>
      <c r="D1005" s="73" t="s">
        <v>7682</v>
      </c>
      <c r="E1005" s="73" t="s">
        <v>6454</v>
      </c>
    </row>
    <row r="1006" spans="1:5" ht="84">
      <c r="A1006" s="73" t="s">
        <v>7679</v>
      </c>
      <c r="B1006" s="73" t="s">
        <v>7680</v>
      </c>
      <c r="C1006" s="87">
        <v>3</v>
      </c>
      <c r="D1006" s="73" t="s">
        <v>7683</v>
      </c>
      <c r="E1006" s="73" t="s">
        <v>6454</v>
      </c>
    </row>
    <row r="1007" spans="1:5" ht="84">
      <c r="A1007" s="73" t="s">
        <v>7679</v>
      </c>
      <c r="B1007" s="73" t="s">
        <v>7680</v>
      </c>
      <c r="C1007" s="87">
        <v>4</v>
      </c>
      <c r="D1007" s="112" t="s">
        <v>7684</v>
      </c>
      <c r="E1007" s="175" t="s">
        <v>6607</v>
      </c>
    </row>
    <row r="1008" spans="1:5" ht="84">
      <c r="A1008" s="73" t="s">
        <v>7679</v>
      </c>
      <c r="B1008" s="73" t="s">
        <v>7685</v>
      </c>
      <c r="C1008" s="87">
        <v>1</v>
      </c>
      <c r="D1008" s="73" t="s">
        <v>7686</v>
      </c>
      <c r="E1008" s="73" t="s">
        <v>6454</v>
      </c>
    </row>
    <row r="1009" spans="1:5" ht="216.75">
      <c r="A1009" s="73" t="s">
        <v>7679</v>
      </c>
      <c r="B1009" s="73" t="s">
        <v>7685</v>
      </c>
      <c r="C1009" s="87">
        <v>2</v>
      </c>
      <c r="D1009" s="73" t="s">
        <v>7687</v>
      </c>
      <c r="E1009" s="73" t="s">
        <v>6454</v>
      </c>
    </row>
    <row r="1010" spans="1:5" ht="66.75">
      <c r="A1010" s="73" t="s">
        <v>7679</v>
      </c>
      <c r="B1010" s="73" t="s">
        <v>7685</v>
      </c>
      <c r="C1010" s="87">
        <v>3</v>
      </c>
      <c r="D1010" s="73" t="s">
        <v>7688</v>
      </c>
      <c r="E1010" s="73" t="s">
        <v>6454</v>
      </c>
    </row>
    <row r="1011" spans="1:5" ht="200.25">
      <c r="A1011" s="81" t="s">
        <v>7679</v>
      </c>
      <c r="B1011" s="81" t="s">
        <v>7689</v>
      </c>
      <c r="C1011" s="105">
        <v>1</v>
      </c>
      <c r="D1011" s="68" t="s">
        <v>7690</v>
      </c>
      <c r="E1011" s="73" t="s">
        <v>6454</v>
      </c>
    </row>
    <row r="1012" spans="1:5" ht="117">
      <c r="A1012" s="81" t="s">
        <v>7679</v>
      </c>
      <c r="B1012" s="81" t="s">
        <v>7689</v>
      </c>
      <c r="C1012" s="106">
        <v>2</v>
      </c>
      <c r="D1012" s="81" t="s">
        <v>7691</v>
      </c>
      <c r="E1012" s="73" t="s">
        <v>6454</v>
      </c>
    </row>
    <row r="1013" spans="1:5" ht="117">
      <c r="A1013" s="73" t="s">
        <v>7679</v>
      </c>
      <c r="B1013" s="73" t="s">
        <v>7689</v>
      </c>
      <c r="C1013" s="87">
        <v>3</v>
      </c>
      <c r="D1013" s="73" t="s">
        <v>7692</v>
      </c>
      <c r="E1013" s="73" t="s">
        <v>6454</v>
      </c>
    </row>
    <row r="1014" spans="1:5" ht="117">
      <c r="A1014" s="80" t="s">
        <v>7679</v>
      </c>
      <c r="B1014" s="80" t="s">
        <v>7689</v>
      </c>
      <c r="C1014" s="88">
        <v>4</v>
      </c>
      <c r="D1014" s="138" t="s">
        <v>7693</v>
      </c>
      <c r="E1014" s="73" t="s">
        <v>6451</v>
      </c>
    </row>
    <row r="1015" spans="1:5" ht="50.25">
      <c r="A1015" s="73" t="s">
        <v>7679</v>
      </c>
      <c r="B1015" s="73" t="s">
        <v>7694</v>
      </c>
      <c r="C1015" s="87">
        <v>1</v>
      </c>
      <c r="D1015" s="73" t="s">
        <v>7695</v>
      </c>
      <c r="E1015" s="73" t="s">
        <v>6454</v>
      </c>
    </row>
    <row r="1016" spans="1:5" ht="84">
      <c r="A1016" s="73" t="s">
        <v>7679</v>
      </c>
      <c r="B1016" s="73" t="s">
        <v>7694</v>
      </c>
      <c r="C1016" s="87">
        <v>2</v>
      </c>
      <c r="D1016" s="73" t="s">
        <v>7696</v>
      </c>
      <c r="E1016" s="73" t="s">
        <v>6454</v>
      </c>
    </row>
    <row r="1017" spans="1:5" ht="60.75">
      <c r="A1017" s="73" t="s">
        <v>7679</v>
      </c>
      <c r="B1017" s="73" t="s">
        <v>7694</v>
      </c>
      <c r="C1017" s="87">
        <v>3</v>
      </c>
      <c r="D1017" s="136" t="s">
        <v>7697</v>
      </c>
      <c r="E1017" s="73" t="s">
        <v>6451</v>
      </c>
    </row>
    <row r="1018" spans="1:5" ht="50.25">
      <c r="A1018" s="73" t="s">
        <v>7679</v>
      </c>
      <c r="B1018" s="73" t="s">
        <v>7694</v>
      </c>
      <c r="C1018" s="87">
        <v>4</v>
      </c>
      <c r="D1018" s="73" t="s">
        <v>7698</v>
      </c>
      <c r="E1018" s="73" t="s">
        <v>6454</v>
      </c>
    </row>
    <row r="1019" spans="1:5" ht="60.75">
      <c r="A1019" s="73" t="s">
        <v>7679</v>
      </c>
      <c r="B1019" s="73" t="s">
        <v>7694</v>
      </c>
      <c r="C1019" s="87">
        <v>5</v>
      </c>
      <c r="D1019" s="136" t="s">
        <v>7699</v>
      </c>
      <c r="E1019" s="73" t="s">
        <v>6451</v>
      </c>
    </row>
    <row r="1020" spans="1:5" ht="66.75">
      <c r="A1020" s="73" t="s">
        <v>7679</v>
      </c>
      <c r="B1020" s="81" t="s">
        <v>7700</v>
      </c>
      <c r="C1020" s="105">
        <v>1</v>
      </c>
      <c r="D1020" s="68" t="s">
        <v>7701</v>
      </c>
      <c r="E1020" s="73" t="s">
        <v>6454</v>
      </c>
    </row>
    <row r="1021" spans="1:5" ht="66.75">
      <c r="A1021" s="73" t="s">
        <v>7679</v>
      </c>
      <c r="B1021" s="81" t="s">
        <v>7700</v>
      </c>
      <c r="C1021" s="105">
        <v>2</v>
      </c>
      <c r="D1021" s="68" t="s">
        <v>7702</v>
      </c>
      <c r="E1021" s="73" t="s">
        <v>6454</v>
      </c>
    </row>
    <row r="1022" spans="1:5" ht="66.75">
      <c r="A1022" s="73" t="s">
        <v>7679</v>
      </c>
      <c r="B1022" s="81" t="s">
        <v>7700</v>
      </c>
      <c r="C1022" s="105">
        <v>3</v>
      </c>
      <c r="D1022" s="68" t="s">
        <v>7703</v>
      </c>
      <c r="E1022" s="73" t="s">
        <v>6454</v>
      </c>
    </row>
    <row r="1023" spans="1:5" ht="66.75">
      <c r="A1023" s="73" t="s">
        <v>7679</v>
      </c>
      <c r="B1023" s="81" t="s">
        <v>7700</v>
      </c>
      <c r="C1023" s="105">
        <v>4</v>
      </c>
      <c r="D1023" s="68" t="s">
        <v>7704</v>
      </c>
      <c r="E1023" s="73" t="s">
        <v>6451</v>
      </c>
    </row>
    <row r="1024" spans="1:5" ht="66.75">
      <c r="A1024" s="73" t="s">
        <v>7679</v>
      </c>
      <c r="B1024" s="81" t="s">
        <v>7700</v>
      </c>
      <c r="C1024" s="105">
        <v>5</v>
      </c>
      <c r="D1024" s="68" t="s">
        <v>7705</v>
      </c>
      <c r="E1024" s="73" t="s">
        <v>6451</v>
      </c>
    </row>
    <row r="1025" spans="1:5" ht="66.75">
      <c r="A1025" s="73" t="s">
        <v>7679</v>
      </c>
      <c r="B1025" s="81" t="s">
        <v>7700</v>
      </c>
      <c r="C1025" s="105">
        <v>6</v>
      </c>
      <c r="D1025" s="68" t="s">
        <v>7706</v>
      </c>
      <c r="E1025" s="73" t="s">
        <v>6451</v>
      </c>
    </row>
    <row r="1026" spans="1:5" ht="84">
      <c r="A1026" s="73" t="s">
        <v>7679</v>
      </c>
      <c r="B1026" s="81" t="s">
        <v>7700</v>
      </c>
      <c r="C1026" s="105">
        <v>7</v>
      </c>
      <c r="D1026" s="68" t="s">
        <v>7707</v>
      </c>
      <c r="E1026" s="73" t="s">
        <v>6451</v>
      </c>
    </row>
    <row r="1027" spans="1:5" ht="66.75">
      <c r="A1027" s="73" t="s">
        <v>7679</v>
      </c>
      <c r="B1027" s="81" t="s">
        <v>7700</v>
      </c>
      <c r="C1027" s="105">
        <v>8</v>
      </c>
      <c r="D1027" s="68" t="s">
        <v>7708</v>
      </c>
      <c r="E1027" s="73" t="s">
        <v>6451</v>
      </c>
    </row>
    <row r="1028" spans="1:5" ht="66.75">
      <c r="A1028" s="80" t="s">
        <v>7679</v>
      </c>
      <c r="B1028" s="81" t="s">
        <v>7700</v>
      </c>
      <c r="C1028" s="106">
        <v>9</v>
      </c>
      <c r="D1028" s="81" t="s">
        <v>7709</v>
      </c>
      <c r="E1028" s="73" t="s">
        <v>6451</v>
      </c>
    </row>
    <row r="1029" spans="1:5" ht="50.25">
      <c r="A1029" s="73" t="s">
        <v>7679</v>
      </c>
      <c r="B1029" s="73" t="s">
        <v>7710</v>
      </c>
      <c r="C1029" s="87">
        <v>1</v>
      </c>
      <c r="D1029" s="73" t="s">
        <v>7711</v>
      </c>
      <c r="E1029" s="73" t="s">
        <v>6454</v>
      </c>
    </row>
    <row r="1030" spans="1:5" ht="100.5">
      <c r="A1030" s="73" t="s">
        <v>7679</v>
      </c>
      <c r="B1030" s="73" t="s">
        <v>7710</v>
      </c>
      <c r="C1030" s="87">
        <v>2</v>
      </c>
      <c r="D1030" s="73" t="s">
        <v>7712</v>
      </c>
      <c r="E1030" s="73" t="s">
        <v>6454</v>
      </c>
    </row>
    <row r="1031" spans="1:5" ht="66.75">
      <c r="A1031" s="73" t="s">
        <v>7679</v>
      </c>
      <c r="B1031" s="73" t="s">
        <v>7710</v>
      </c>
      <c r="C1031" s="87">
        <v>3</v>
      </c>
      <c r="D1031" s="73" t="s">
        <v>7713</v>
      </c>
      <c r="E1031" s="73" t="s">
        <v>6454</v>
      </c>
    </row>
    <row r="1032" spans="1:5" ht="50.25">
      <c r="A1032" s="73" t="s">
        <v>7679</v>
      </c>
      <c r="B1032" s="73" t="s">
        <v>7710</v>
      </c>
      <c r="C1032" s="87">
        <v>4</v>
      </c>
      <c r="D1032" s="73" t="s">
        <v>7714</v>
      </c>
      <c r="E1032" s="73" t="s">
        <v>6454</v>
      </c>
    </row>
    <row r="1033" spans="1:5" ht="84">
      <c r="A1033" s="73" t="s">
        <v>7679</v>
      </c>
      <c r="B1033" s="73" t="s">
        <v>7710</v>
      </c>
      <c r="C1033" s="87">
        <v>5</v>
      </c>
      <c r="D1033" s="73" t="s">
        <v>7715</v>
      </c>
      <c r="E1033" s="73" t="s">
        <v>6454</v>
      </c>
    </row>
    <row r="1034" spans="1:5" ht="66.75">
      <c r="A1034" s="73" t="s">
        <v>7679</v>
      </c>
      <c r="B1034" s="73" t="s">
        <v>7710</v>
      </c>
      <c r="C1034" s="87">
        <v>6</v>
      </c>
      <c r="D1034" s="73" t="s">
        <v>7716</v>
      </c>
      <c r="E1034" s="73" t="s">
        <v>6454</v>
      </c>
    </row>
    <row r="1035" spans="1:5" ht="66.75">
      <c r="A1035" s="73" t="s">
        <v>7679</v>
      </c>
      <c r="B1035" s="73" t="s">
        <v>7710</v>
      </c>
      <c r="C1035" s="87">
        <v>7</v>
      </c>
      <c r="D1035" s="73" t="s">
        <v>7717</v>
      </c>
      <c r="E1035" s="73" t="s">
        <v>6454</v>
      </c>
    </row>
    <row r="1036" spans="1:5" ht="84">
      <c r="A1036" s="73" t="s">
        <v>7679</v>
      </c>
      <c r="B1036" s="73" t="s">
        <v>7718</v>
      </c>
      <c r="C1036" s="87">
        <v>1</v>
      </c>
      <c r="D1036" s="73" t="s">
        <v>7719</v>
      </c>
      <c r="E1036" s="73" t="s">
        <v>6454</v>
      </c>
    </row>
    <row r="1037" spans="1:5" ht="84">
      <c r="A1037" s="73" t="s">
        <v>7679</v>
      </c>
      <c r="B1037" s="73" t="s">
        <v>7718</v>
      </c>
      <c r="C1037" s="87">
        <v>2</v>
      </c>
      <c r="D1037" s="73" t="s">
        <v>7720</v>
      </c>
      <c r="E1037" s="73" t="s">
        <v>6454</v>
      </c>
    </row>
    <row r="1038" spans="1:5" ht="351">
      <c r="A1038" s="73" t="s">
        <v>7679</v>
      </c>
      <c r="B1038" s="73" t="s">
        <v>7718</v>
      </c>
      <c r="C1038" s="87">
        <v>3</v>
      </c>
      <c r="D1038" s="73" t="s">
        <v>7721</v>
      </c>
      <c r="E1038" s="73" t="s">
        <v>6451</v>
      </c>
    </row>
    <row r="1039" spans="1:5" ht="66.75">
      <c r="A1039" s="73" t="s">
        <v>7679</v>
      </c>
      <c r="B1039" s="73" t="s">
        <v>7722</v>
      </c>
      <c r="C1039" s="87">
        <v>1</v>
      </c>
      <c r="D1039" s="73" t="s">
        <v>7723</v>
      </c>
      <c r="E1039" s="73" t="s">
        <v>6451</v>
      </c>
    </row>
    <row r="1040" spans="1:5" ht="66.75">
      <c r="A1040" s="73" t="s">
        <v>7679</v>
      </c>
      <c r="B1040" s="73" t="s">
        <v>7722</v>
      </c>
      <c r="C1040" s="87">
        <v>2</v>
      </c>
      <c r="D1040" s="73" t="s">
        <v>7724</v>
      </c>
      <c r="E1040" s="73" t="s">
        <v>6451</v>
      </c>
    </row>
    <row r="1041" spans="1:5" ht="66.75">
      <c r="A1041" s="73" t="s">
        <v>7679</v>
      </c>
      <c r="B1041" s="73" t="s">
        <v>7722</v>
      </c>
      <c r="C1041" s="87">
        <v>3</v>
      </c>
      <c r="D1041" s="73" t="s">
        <v>7725</v>
      </c>
      <c r="E1041" s="73" t="s">
        <v>6454</v>
      </c>
    </row>
    <row r="1042" spans="1:5" ht="66.75">
      <c r="A1042" s="73" t="s">
        <v>7679</v>
      </c>
      <c r="B1042" s="73" t="s">
        <v>7722</v>
      </c>
      <c r="C1042" s="87">
        <v>4</v>
      </c>
      <c r="D1042" s="73" t="s">
        <v>7726</v>
      </c>
      <c r="E1042" s="73" t="s">
        <v>6454</v>
      </c>
    </row>
    <row r="1043" spans="1:5" ht="66.75">
      <c r="A1043" s="73" t="s">
        <v>7679</v>
      </c>
      <c r="B1043" s="73" t="s">
        <v>7722</v>
      </c>
      <c r="C1043" s="87">
        <v>5</v>
      </c>
      <c r="D1043" s="73" t="s">
        <v>7727</v>
      </c>
      <c r="E1043" s="73" t="s">
        <v>6454</v>
      </c>
    </row>
    <row r="1044" spans="1:5" ht="66.75">
      <c r="A1044" s="73" t="s">
        <v>7679</v>
      </c>
      <c r="B1044" s="73" t="s">
        <v>7722</v>
      </c>
      <c r="C1044" s="87">
        <v>6</v>
      </c>
      <c r="D1044" s="73" t="s">
        <v>7728</v>
      </c>
      <c r="E1044" s="73" t="s">
        <v>6454</v>
      </c>
    </row>
    <row r="1045" spans="1:5" ht="100.5">
      <c r="A1045" s="73" t="s">
        <v>7679</v>
      </c>
      <c r="B1045" s="73" t="s">
        <v>7729</v>
      </c>
      <c r="C1045" s="87">
        <v>1</v>
      </c>
      <c r="D1045" s="73" t="s">
        <v>7730</v>
      </c>
      <c r="E1045" s="73" t="s">
        <v>6454</v>
      </c>
    </row>
    <row r="1046" spans="1:5" ht="100.5">
      <c r="A1046" s="73" t="s">
        <v>7679</v>
      </c>
      <c r="B1046" s="73" t="s">
        <v>7729</v>
      </c>
      <c r="C1046" s="87">
        <v>2</v>
      </c>
      <c r="D1046" s="73" t="s">
        <v>7731</v>
      </c>
      <c r="E1046" s="73" t="s">
        <v>6454</v>
      </c>
    </row>
    <row r="1047" spans="1:5" ht="100.5">
      <c r="A1047" s="73" t="s">
        <v>7679</v>
      </c>
      <c r="B1047" s="73" t="s">
        <v>7729</v>
      </c>
      <c r="C1047" s="87">
        <v>3</v>
      </c>
      <c r="D1047" s="73" t="s">
        <v>7732</v>
      </c>
      <c r="E1047" s="73" t="s">
        <v>6451</v>
      </c>
    </row>
    <row r="1048" spans="1:5" ht="100.5">
      <c r="A1048" s="73" t="s">
        <v>7679</v>
      </c>
      <c r="B1048" s="73" t="s">
        <v>7733</v>
      </c>
      <c r="C1048" s="87">
        <v>1</v>
      </c>
      <c r="D1048" s="73" t="s">
        <v>7734</v>
      </c>
      <c r="E1048" s="73" t="s">
        <v>6451</v>
      </c>
    </row>
    <row r="1049" spans="1:5" ht="66.75">
      <c r="A1049" s="73" t="s">
        <v>7679</v>
      </c>
      <c r="B1049" s="73" t="s">
        <v>7733</v>
      </c>
      <c r="C1049" s="87">
        <v>2</v>
      </c>
      <c r="D1049" s="73" t="s">
        <v>7735</v>
      </c>
      <c r="E1049" s="73" t="s">
        <v>6454</v>
      </c>
    </row>
    <row r="1050" spans="1:5" ht="66.75">
      <c r="A1050" s="73" t="s">
        <v>7679</v>
      </c>
      <c r="B1050" s="73" t="s">
        <v>7733</v>
      </c>
      <c r="C1050" s="87">
        <v>3</v>
      </c>
      <c r="D1050" s="73" t="s">
        <v>7736</v>
      </c>
      <c r="E1050" s="73" t="s">
        <v>6451</v>
      </c>
    </row>
    <row r="1051" spans="1:5" ht="84">
      <c r="A1051" s="73" t="s">
        <v>7679</v>
      </c>
      <c r="B1051" s="73" t="s">
        <v>7737</v>
      </c>
      <c r="C1051" s="87">
        <v>1</v>
      </c>
      <c r="D1051" s="73" t="s">
        <v>7738</v>
      </c>
      <c r="E1051" s="73" t="s">
        <v>6454</v>
      </c>
    </row>
    <row r="1052" spans="1:5" ht="84">
      <c r="A1052" s="73" t="s">
        <v>7679</v>
      </c>
      <c r="B1052" s="73" t="s">
        <v>7737</v>
      </c>
      <c r="C1052" s="87">
        <v>2</v>
      </c>
      <c r="D1052" s="73" t="s">
        <v>7739</v>
      </c>
      <c r="E1052" s="73" t="s">
        <v>6454</v>
      </c>
    </row>
    <row r="1053" spans="1:5" ht="84">
      <c r="A1053" s="73" t="s">
        <v>7679</v>
      </c>
      <c r="B1053" s="73" t="s">
        <v>7737</v>
      </c>
      <c r="C1053" s="87">
        <v>3</v>
      </c>
      <c r="D1053" s="73" t="s">
        <v>7740</v>
      </c>
      <c r="E1053" s="73" t="s">
        <v>6454</v>
      </c>
    </row>
    <row r="1054" spans="1:5" ht="84">
      <c r="A1054" s="73" t="s">
        <v>7679</v>
      </c>
      <c r="B1054" s="73" t="s">
        <v>7741</v>
      </c>
      <c r="C1054" s="87">
        <v>1</v>
      </c>
      <c r="D1054" s="73" t="s">
        <v>7742</v>
      </c>
      <c r="E1054" s="12" t="s">
        <v>6454</v>
      </c>
    </row>
    <row r="1055" spans="1:5" ht="168">
      <c r="A1055" s="73" t="s">
        <v>7679</v>
      </c>
      <c r="B1055" s="73" t="s">
        <v>7741</v>
      </c>
      <c r="C1055" s="87">
        <v>2</v>
      </c>
      <c r="D1055" s="73" t="s">
        <v>7743</v>
      </c>
      <c r="E1055" s="12" t="s">
        <v>6454</v>
      </c>
    </row>
    <row r="1056" spans="1:5" ht="66.75">
      <c r="A1056" s="73" t="s">
        <v>7679</v>
      </c>
      <c r="B1056" s="73" t="s">
        <v>7741</v>
      </c>
      <c r="C1056" s="87">
        <v>3</v>
      </c>
      <c r="D1056" s="73" t="s">
        <v>7744</v>
      </c>
      <c r="E1056" s="12" t="s">
        <v>6454</v>
      </c>
    </row>
    <row r="1057" spans="1:5" ht="66.75">
      <c r="A1057" s="73" t="s">
        <v>7679</v>
      </c>
      <c r="B1057" s="73" t="s">
        <v>7745</v>
      </c>
      <c r="C1057" s="87">
        <v>1</v>
      </c>
      <c r="D1057" s="73" t="s">
        <v>7746</v>
      </c>
      <c r="E1057" s="12" t="s">
        <v>6454</v>
      </c>
    </row>
    <row r="1058" spans="1:5" ht="66.75">
      <c r="A1058" s="73" t="s">
        <v>7679</v>
      </c>
      <c r="B1058" s="73" t="s">
        <v>7745</v>
      </c>
      <c r="C1058" s="87">
        <v>2</v>
      </c>
      <c r="D1058" s="73" t="s">
        <v>7747</v>
      </c>
      <c r="E1058" s="12" t="s">
        <v>6454</v>
      </c>
    </row>
    <row r="1059" spans="1:5" ht="66.75">
      <c r="A1059" s="73" t="s">
        <v>7679</v>
      </c>
      <c r="B1059" s="73" t="s">
        <v>7745</v>
      </c>
      <c r="C1059" s="87">
        <v>3</v>
      </c>
      <c r="D1059" s="73" t="s">
        <v>7748</v>
      </c>
      <c r="E1059" s="12" t="s">
        <v>6454</v>
      </c>
    </row>
    <row r="1060" spans="1:5" ht="66.75">
      <c r="A1060" s="73" t="s">
        <v>7679</v>
      </c>
      <c r="B1060" s="73" t="s">
        <v>7749</v>
      </c>
      <c r="C1060" s="87">
        <v>1</v>
      </c>
      <c r="D1060" s="73" t="s">
        <v>7750</v>
      </c>
      <c r="E1060" s="12" t="s">
        <v>6454</v>
      </c>
    </row>
    <row r="1061" spans="1:5" ht="66.75">
      <c r="A1061" s="73" t="s">
        <v>7679</v>
      </c>
      <c r="B1061" s="73" t="s">
        <v>7749</v>
      </c>
      <c r="C1061" s="87">
        <v>2</v>
      </c>
      <c r="D1061" s="73" t="s">
        <v>7751</v>
      </c>
      <c r="E1061" s="12" t="s">
        <v>6454</v>
      </c>
    </row>
    <row r="1062" spans="1:5" ht="66.75">
      <c r="A1062" s="73" t="s">
        <v>7679</v>
      </c>
      <c r="B1062" s="73" t="s">
        <v>7749</v>
      </c>
      <c r="C1062" s="87">
        <v>3</v>
      </c>
      <c r="D1062" s="73" t="s">
        <v>7752</v>
      </c>
      <c r="E1062" s="12" t="s">
        <v>6454</v>
      </c>
    </row>
    <row r="1063" spans="1:5" ht="100.5">
      <c r="A1063" s="73" t="s">
        <v>7679</v>
      </c>
      <c r="B1063" s="73" t="s">
        <v>7749</v>
      </c>
      <c r="C1063" s="87">
        <v>4</v>
      </c>
      <c r="D1063" s="73" t="s">
        <v>7753</v>
      </c>
      <c r="E1063" s="12" t="s">
        <v>6454</v>
      </c>
    </row>
    <row r="1064" spans="1:5" ht="66.75">
      <c r="A1064" s="73" t="s">
        <v>7679</v>
      </c>
      <c r="B1064" s="73" t="s">
        <v>7749</v>
      </c>
      <c r="C1064" s="87">
        <v>5</v>
      </c>
      <c r="D1064" s="73" t="s">
        <v>7754</v>
      </c>
      <c r="E1064" s="12" t="s">
        <v>6454</v>
      </c>
    </row>
    <row r="1065" spans="1:5" ht="100.5">
      <c r="A1065" s="73" t="s">
        <v>7679</v>
      </c>
      <c r="B1065" s="73" t="s">
        <v>7755</v>
      </c>
      <c r="C1065" s="87">
        <v>1</v>
      </c>
      <c r="D1065" s="73" t="s">
        <v>7756</v>
      </c>
      <c r="E1065" s="12" t="s">
        <v>6454</v>
      </c>
    </row>
    <row r="1066" spans="1:5" ht="100.5">
      <c r="A1066" s="73" t="s">
        <v>7679</v>
      </c>
      <c r="B1066" s="73" t="s">
        <v>7755</v>
      </c>
      <c r="C1066" s="87">
        <v>2</v>
      </c>
      <c r="D1066" s="73" t="s">
        <v>7757</v>
      </c>
      <c r="E1066" s="12" t="s">
        <v>6454</v>
      </c>
    </row>
    <row r="1067" spans="1:5" ht="100.5">
      <c r="A1067" s="73" t="s">
        <v>7679</v>
      </c>
      <c r="B1067" s="73" t="s">
        <v>7755</v>
      </c>
      <c r="C1067" s="87">
        <v>3</v>
      </c>
      <c r="D1067" s="73" t="s">
        <v>7758</v>
      </c>
      <c r="E1067" s="12" t="s">
        <v>6454</v>
      </c>
    </row>
    <row r="1068" spans="1:5" ht="84">
      <c r="A1068" s="73" t="s">
        <v>7679</v>
      </c>
      <c r="B1068" s="73" t="s">
        <v>7759</v>
      </c>
      <c r="C1068" s="87">
        <v>1</v>
      </c>
      <c r="D1068" s="73" t="s">
        <v>7760</v>
      </c>
      <c r="E1068" s="12" t="s">
        <v>6454</v>
      </c>
    </row>
    <row r="1069" spans="1:5" ht="84">
      <c r="A1069" s="73" t="s">
        <v>7679</v>
      </c>
      <c r="B1069" s="73" t="s">
        <v>7759</v>
      </c>
      <c r="C1069" s="87">
        <v>2</v>
      </c>
      <c r="D1069" s="73" t="s">
        <v>7761</v>
      </c>
      <c r="E1069" s="12" t="s">
        <v>6454</v>
      </c>
    </row>
    <row r="1070" spans="1:5" ht="50.25">
      <c r="A1070" s="73" t="s">
        <v>7679</v>
      </c>
      <c r="B1070" s="73" t="s">
        <v>7759</v>
      </c>
      <c r="C1070" s="87">
        <v>3</v>
      </c>
      <c r="D1070" s="73" t="s">
        <v>7762</v>
      </c>
      <c r="E1070" s="12" t="s">
        <v>6454</v>
      </c>
    </row>
    <row r="1071" spans="1:5" ht="50.25">
      <c r="A1071" s="73" t="s">
        <v>7679</v>
      </c>
      <c r="B1071" s="73" t="s">
        <v>7759</v>
      </c>
      <c r="C1071" s="87">
        <v>4</v>
      </c>
      <c r="D1071" s="73" t="s">
        <v>7763</v>
      </c>
      <c r="E1071" s="12" t="s">
        <v>6454</v>
      </c>
    </row>
    <row r="1072" spans="1:5" ht="117">
      <c r="A1072" s="73" t="s">
        <v>7679</v>
      </c>
      <c r="B1072" s="73" t="s">
        <v>7764</v>
      </c>
      <c r="C1072" s="87">
        <v>1</v>
      </c>
      <c r="D1072" s="73" t="s">
        <v>7765</v>
      </c>
      <c r="E1072" s="12" t="s">
        <v>6454</v>
      </c>
    </row>
    <row r="1073" spans="1:5" ht="117">
      <c r="A1073" s="73" t="s">
        <v>7679</v>
      </c>
      <c r="B1073" s="73" t="s">
        <v>7764</v>
      </c>
      <c r="C1073" s="87">
        <v>2</v>
      </c>
      <c r="D1073" s="73" t="s">
        <v>7766</v>
      </c>
      <c r="E1073" s="12" t="s">
        <v>6454</v>
      </c>
    </row>
    <row r="1074" spans="1:5" ht="117">
      <c r="A1074" s="73" t="s">
        <v>7679</v>
      </c>
      <c r="B1074" s="73" t="s">
        <v>7764</v>
      </c>
      <c r="C1074" s="87">
        <v>3</v>
      </c>
      <c r="D1074" s="73" t="s">
        <v>7767</v>
      </c>
      <c r="E1074" s="12" t="s">
        <v>6454</v>
      </c>
    </row>
    <row r="1075" spans="1:5" ht="117">
      <c r="A1075" s="73" t="s">
        <v>7679</v>
      </c>
      <c r="B1075" s="73" t="s">
        <v>7764</v>
      </c>
      <c r="C1075" s="87">
        <v>4</v>
      </c>
      <c r="D1075" s="73" t="s">
        <v>7768</v>
      </c>
      <c r="E1075" s="12" t="s">
        <v>6454</v>
      </c>
    </row>
    <row r="1076" spans="1:5" ht="117">
      <c r="A1076" s="73" t="s">
        <v>7679</v>
      </c>
      <c r="B1076" s="73" t="s">
        <v>7764</v>
      </c>
      <c r="C1076" s="87">
        <v>5</v>
      </c>
      <c r="D1076" s="73" t="s">
        <v>7769</v>
      </c>
      <c r="E1076" s="12" t="s">
        <v>6454</v>
      </c>
    </row>
    <row r="1077" spans="1:5" ht="66.75">
      <c r="A1077" s="73" t="s">
        <v>7679</v>
      </c>
      <c r="B1077" s="73" t="s">
        <v>7770</v>
      </c>
      <c r="C1077" s="87">
        <v>1</v>
      </c>
      <c r="D1077" s="73" t="s">
        <v>7771</v>
      </c>
      <c r="E1077" s="12" t="s">
        <v>6451</v>
      </c>
    </row>
    <row r="1078" spans="1:5" ht="66.75">
      <c r="A1078" s="73" t="s">
        <v>7679</v>
      </c>
      <c r="B1078" s="73" t="s">
        <v>7770</v>
      </c>
      <c r="C1078" s="87">
        <v>2</v>
      </c>
      <c r="D1078" s="73" t="s">
        <v>7772</v>
      </c>
      <c r="E1078" s="12" t="s">
        <v>6454</v>
      </c>
    </row>
    <row r="1079" spans="1:5" ht="66.75">
      <c r="A1079" s="73" t="s">
        <v>7679</v>
      </c>
      <c r="B1079" s="73" t="s">
        <v>7770</v>
      </c>
      <c r="C1079" s="87">
        <v>3</v>
      </c>
      <c r="D1079" s="73" t="s">
        <v>7773</v>
      </c>
      <c r="E1079" s="12" t="s">
        <v>6451</v>
      </c>
    </row>
    <row r="1080" spans="1:5" ht="351">
      <c r="A1080" s="73" t="s">
        <v>7679</v>
      </c>
      <c r="B1080" s="73" t="s">
        <v>7774</v>
      </c>
      <c r="C1080" s="87">
        <v>1</v>
      </c>
      <c r="D1080" s="73" t="s">
        <v>7775</v>
      </c>
      <c r="E1080" s="12" t="s">
        <v>6454</v>
      </c>
    </row>
    <row r="1081" spans="1:5" ht="100.5">
      <c r="A1081" s="73" t="s">
        <v>7679</v>
      </c>
      <c r="B1081" s="73" t="s">
        <v>7774</v>
      </c>
      <c r="C1081" s="87">
        <v>2</v>
      </c>
      <c r="D1081" s="73" t="s">
        <v>7776</v>
      </c>
      <c r="E1081" s="12" t="s">
        <v>6451</v>
      </c>
    </row>
    <row r="1082" spans="1:5" ht="150.75">
      <c r="A1082" s="73" t="s">
        <v>7679</v>
      </c>
      <c r="B1082" s="73" t="s">
        <v>7774</v>
      </c>
      <c r="C1082" s="87">
        <v>3</v>
      </c>
      <c r="D1082" s="73" t="s">
        <v>7777</v>
      </c>
      <c r="E1082" s="12" t="s">
        <v>6454</v>
      </c>
    </row>
    <row r="1083" spans="1:5" ht="100.5">
      <c r="A1083" s="73" t="s">
        <v>7679</v>
      </c>
      <c r="B1083" s="73" t="s">
        <v>7774</v>
      </c>
      <c r="C1083" s="87">
        <v>4</v>
      </c>
      <c r="D1083" s="73" t="s">
        <v>7778</v>
      </c>
      <c r="E1083" s="12" t="s">
        <v>6454</v>
      </c>
    </row>
    <row r="1084" spans="1:5" ht="200.25">
      <c r="A1084" s="73" t="s">
        <v>7679</v>
      </c>
      <c r="B1084" s="73" t="s">
        <v>7779</v>
      </c>
      <c r="C1084" s="87">
        <v>1</v>
      </c>
      <c r="D1084" s="73" t="s">
        <v>7780</v>
      </c>
      <c r="E1084" s="12" t="s">
        <v>6454</v>
      </c>
    </row>
    <row r="1085" spans="1:5" ht="66.75">
      <c r="A1085" s="73" t="s">
        <v>7679</v>
      </c>
      <c r="B1085" s="73" t="s">
        <v>7779</v>
      </c>
      <c r="C1085" s="87">
        <v>2</v>
      </c>
      <c r="D1085" s="73" t="s">
        <v>7781</v>
      </c>
      <c r="E1085" s="12" t="s">
        <v>6454</v>
      </c>
    </row>
    <row r="1086" spans="1:5" ht="66.75">
      <c r="A1086" s="73" t="s">
        <v>7679</v>
      </c>
      <c r="B1086" s="73" t="s">
        <v>7779</v>
      </c>
      <c r="C1086" s="87">
        <v>3</v>
      </c>
      <c r="D1086" s="73" t="s">
        <v>7782</v>
      </c>
      <c r="E1086" s="12" t="s">
        <v>6454</v>
      </c>
    </row>
    <row r="1087" spans="1:5" ht="66.75">
      <c r="A1087" s="73" t="s">
        <v>7679</v>
      </c>
      <c r="B1087" s="73" t="s">
        <v>7779</v>
      </c>
      <c r="C1087" s="87">
        <v>4</v>
      </c>
      <c r="D1087" s="73" t="s">
        <v>7783</v>
      </c>
      <c r="E1087" s="12" t="s">
        <v>6454</v>
      </c>
    </row>
    <row r="1088" spans="1:5" ht="66.75">
      <c r="A1088" s="73" t="s">
        <v>7679</v>
      </c>
      <c r="B1088" s="73" t="s">
        <v>7779</v>
      </c>
      <c r="C1088" s="87">
        <v>5</v>
      </c>
      <c r="D1088" s="73" t="s">
        <v>7784</v>
      </c>
      <c r="E1088" s="12" t="s">
        <v>6454</v>
      </c>
    </row>
    <row r="1089" spans="1:5" ht="66.75">
      <c r="A1089" s="73" t="s">
        <v>7679</v>
      </c>
      <c r="B1089" s="73" t="s">
        <v>7779</v>
      </c>
      <c r="C1089" s="87">
        <v>6</v>
      </c>
      <c r="D1089" s="73" t="s">
        <v>7785</v>
      </c>
      <c r="E1089" s="12" t="s">
        <v>6454</v>
      </c>
    </row>
    <row r="1090" spans="1:5" ht="183.75">
      <c r="A1090" s="73" t="s">
        <v>7679</v>
      </c>
      <c r="B1090" s="73" t="s">
        <v>7786</v>
      </c>
      <c r="C1090" s="87">
        <v>1</v>
      </c>
      <c r="D1090" s="73" t="s">
        <v>7787</v>
      </c>
      <c r="E1090" s="12" t="s">
        <v>6454</v>
      </c>
    </row>
    <row r="1091" spans="1:5" ht="84">
      <c r="A1091" s="73" t="s">
        <v>7679</v>
      </c>
      <c r="B1091" s="73" t="s">
        <v>7786</v>
      </c>
      <c r="C1091" s="87">
        <v>2</v>
      </c>
      <c r="D1091" s="73" t="s">
        <v>7788</v>
      </c>
      <c r="E1091" s="12" t="s">
        <v>6454</v>
      </c>
    </row>
    <row r="1092" spans="1:5" ht="84">
      <c r="A1092" s="73" t="s">
        <v>7679</v>
      </c>
      <c r="B1092" s="73" t="s">
        <v>7786</v>
      </c>
      <c r="C1092" s="87">
        <v>3</v>
      </c>
      <c r="D1092" s="73" t="s">
        <v>7789</v>
      </c>
      <c r="E1092" s="12" t="s">
        <v>6454</v>
      </c>
    </row>
  </sheetData>
  <autoFilter ref="A1:E1092" xr:uid="{3ACBBA21-4DDF-48BF-8C0F-EA3E26F8EFC4}"/>
  <conditionalFormatting sqref="E2:E187">
    <cfRule type="containsText" dxfId="18" priority="6" operator="containsText" text="Conforme">
      <formula>NOT(ISERROR(SEARCH("Conforme",E2)))</formula>
    </cfRule>
  </conditionalFormatting>
  <conditionalFormatting sqref="E2:E241">
    <cfRule type="containsText" dxfId="17" priority="1" operator="containsText" text="Não Conforme">
      <formula>NOT(ISERROR(SEARCH("Não Conforme",E2)))</formula>
    </cfRule>
  </conditionalFormatting>
  <conditionalFormatting sqref="E188:E241">
    <cfRule type="containsText" dxfId="16" priority="2" operator="containsText" text="Conforme">
      <formula>NOT(ISERROR(SEARCH("Conforme",E188)))</formula>
    </cfRule>
  </conditionalFormatting>
  <dataValidations count="3">
    <dataValidation type="list" allowBlank="1" showInputMessage="1" showErrorMessage="1" promptTitle="Orientação" sqref="E913:E1006 E440:E546 E824:E839 E2:E129 E135:E322 E715:E800 E806:E822 E1008:E1092" xr:uid="{F7EE8F81-DAE9-4A68-8DCB-6372DFE6A408}">
      <formula1>"Conforme,Não Conforme"</formula1>
    </dataValidation>
    <dataValidation type="list" allowBlank="1" showInputMessage="1" showErrorMessage="1" sqref="E552:E714 E323:E439 E840:E912" xr:uid="{A7A0B4EA-C32A-47BD-AB4C-369A9786777E}">
      <formula1>"Conforme,Não Conforme"</formula1>
    </dataValidation>
    <dataValidation type="list" allowBlank="1" showInputMessage="1" showErrorMessage="1" sqref="F2:F1092" xr:uid="{2A27D122-72BB-45D9-AE63-B264E01E1654}">
      <formula1>"Sim, Não"</formula1>
    </dataValidation>
  </dataValidation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F846E-3296-44B6-BEAA-0CCEE0F19F06}">
  <dimension ref="A1:K23"/>
  <sheetViews>
    <sheetView showGridLines="0" topLeftCell="A13" workbookViewId="0">
      <selection activeCell="D22" sqref="D22"/>
    </sheetView>
  </sheetViews>
  <sheetFormatPr defaultRowHeight="14.1"/>
  <cols>
    <col min="1" max="3" width="34.125" customWidth="1"/>
    <col min="4" max="4" width="43.875" customWidth="1"/>
    <col min="5" max="9" width="34.125" customWidth="1"/>
    <col min="10" max="10" width="44.625" customWidth="1"/>
    <col min="11" max="11" width="34.125" customWidth="1"/>
  </cols>
  <sheetData>
    <row r="1" spans="1:11">
      <c r="A1" s="120" t="s">
        <v>7790</v>
      </c>
      <c r="B1" s="120" t="s">
        <v>7791</v>
      </c>
      <c r="C1" s="120" t="s">
        <v>7792</v>
      </c>
      <c r="D1" s="120" t="s">
        <v>7793</v>
      </c>
      <c r="E1" s="120" t="s">
        <v>7794</v>
      </c>
      <c r="F1" s="120" t="s">
        <v>7795</v>
      </c>
      <c r="G1" s="120" t="s">
        <v>7796</v>
      </c>
      <c r="H1" s="121" t="s">
        <v>25</v>
      </c>
      <c r="I1" s="120" t="s">
        <v>16</v>
      </c>
      <c r="J1" s="120" t="s">
        <v>7797</v>
      </c>
      <c r="K1" s="120" t="s">
        <v>7798</v>
      </c>
    </row>
    <row r="2" spans="1:11" ht="57.95">
      <c r="A2" s="122" t="s">
        <v>7799</v>
      </c>
      <c r="B2" s="123">
        <v>46238</v>
      </c>
      <c r="C2" s="122" t="s">
        <v>3634</v>
      </c>
      <c r="D2" s="124" t="s">
        <v>7800</v>
      </c>
      <c r="E2" s="124" t="s">
        <v>7801</v>
      </c>
      <c r="F2" s="124" t="s">
        <v>3634</v>
      </c>
      <c r="G2" s="124" t="s">
        <v>7802</v>
      </c>
      <c r="H2" s="121" t="s">
        <v>25</v>
      </c>
      <c r="I2" s="122" t="s">
        <v>4745</v>
      </c>
      <c r="J2" s="124" t="s">
        <v>7803</v>
      </c>
      <c r="K2" s="122" t="s">
        <v>7804</v>
      </c>
    </row>
    <row r="3" spans="1:11" ht="57.95">
      <c r="A3" s="125" t="s">
        <v>7805</v>
      </c>
      <c r="B3" s="126">
        <v>46238</v>
      </c>
      <c r="C3" s="125" t="s">
        <v>3634</v>
      </c>
      <c r="D3" s="127" t="s">
        <v>7806</v>
      </c>
      <c r="E3" s="127" t="s">
        <v>7807</v>
      </c>
      <c r="F3" s="127" t="s">
        <v>3634</v>
      </c>
      <c r="G3" s="127" t="s">
        <v>7802</v>
      </c>
      <c r="H3" s="121" t="s">
        <v>25</v>
      </c>
      <c r="I3" s="125" t="s">
        <v>4745</v>
      </c>
      <c r="J3" s="127" t="s">
        <v>7808</v>
      </c>
      <c r="K3" s="125" t="s">
        <v>7804</v>
      </c>
    </row>
    <row r="4" spans="1:11" ht="35.1">
      <c r="A4" s="122" t="s">
        <v>7809</v>
      </c>
      <c r="B4" s="123">
        <v>46238</v>
      </c>
      <c r="C4" s="122" t="s">
        <v>3634</v>
      </c>
      <c r="D4" s="124" t="s">
        <v>7810</v>
      </c>
      <c r="E4" s="124" t="s">
        <v>7811</v>
      </c>
      <c r="F4" s="124" t="s">
        <v>3634</v>
      </c>
      <c r="G4" s="124" t="s">
        <v>7802</v>
      </c>
      <c r="H4" s="121" t="s">
        <v>25</v>
      </c>
      <c r="I4" s="122" t="s">
        <v>4745</v>
      </c>
      <c r="J4" s="124" t="s">
        <v>7812</v>
      </c>
      <c r="K4" s="122" t="s">
        <v>7804</v>
      </c>
    </row>
    <row r="5" spans="1:11" ht="46.5">
      <c r="A5" s="125" t="s">
        <v>7813</v>
      </c>
      <c r="B5" s="126">
        <v>46238</v>
      </c>
      <c r="C5" s="125" t="s">
        <v>3634</v>
      </c>
      <c r="D5" s="127" t="s">
        <v>7814</v>
      </c>
      <c r="E5" s="127" t="s">
        <v>7815</v>
      </c>
      <c r="F5" s="127" t="s">
        <v>3634</v>
      </c>
      <c r="G5" s="127" t="s">
        <v>7802</v>
      </c>
      <c r="H5" s="121" t="s">
        <v>25</v>
      </c>
      <c r="I5" s="125" t="s">
        <v>4745</v>
      </c>
      <c r="J5" s="127" t="s">
        <v>7816</v>
      </c>
      <c r="K5" s="125" t="s">
        <v>7804</v>
      </c>
    </row>
    <row r="6" spans="1:11" ht="46.5">
      <c r="A6" s="122" t="s">
        <v>7817</v>
      </c>
      <c r="B6" s="123">
        <v>46238</v>
      </c>
      <c r="C6" s="122" t="s">
        <v>3634</v>
      </c>
      <c r="D6" s="124" t="s">
        <v>7818</v>
      </c>
      <c r="E6" s="124" t="s">
        <v>7819</v>
      </c>
      <c r="F6" s="124" t="s">
        <v>3634</v>
      </c>
      <c r="G6" s="124" t="s">
        <v>7802</v>
      </c>
      <c r="H6" s="121" t="s">
        <v>25</v>
      </c>
      <c r="I6" s="122" t="s">
        <v>4745</v>
      </c>
      <c r="J6" s="124" t="s">
        <v>7820</v>
      </c>
      <c r="K6" s="122" t="s">
        <v>7804</v>
      </c>
    </row>
    <row r="7" spans="1:11" ht="35.1">
      <c r="A7" s="125" t="s">
        <v>7821</v>
      </c>
      <c r="B7" s="126">
        <v>46238</v>
      </c>
      <c r="C7" s="125" t="s">
        <v>3634</v>
      </c>
      <c r="D7" s="127" t="s">
        <v>7822</v>
      </c>
      <c r="E7" s="127" t="s">
        <v>7823</v>
      </c>
      <c r="F7" s="127" t="s">
        <v>3634</v>
      </c>
      <c r="G7" s="127" t="s">
        <v>7802</v>
      </c>
      <c r="H7" s="121" t="s">
        <v>25</v>
      </c>
      <c r="I7" s="125" t="s">
        <v>4745</v>
      </c>
      <c r="J7" s="127" t="s">
        <v>7824</v>
      </c>
      <c r="K7" s="125" t="s">
        <v>7804</v>
      </c>
    </row>
    <row r="8" spans="1:11" ht="35.1">
      <c r="A8" s="122" t="s">
        <v>7825</v>
      </c>
      <c r="B8" s="123">
        <v>46238</v>
      </c>
      <c r="C8" s="122" t="s">
        <v>3634</v>
      </c>
      <c r="D8" s="124" t="s">
        <v>7826</v>
      </c>
      <c r="E8" s="124" t="s">
        <v>7827</v>
      </c>
      <c r="F8" s="124" t="s">
        <v>7364</v>
      </c>
      <c r="G8" s="124" t="s">
        <v>7802</v>
      </c>
      <c r="H8" s="121" t="s">
        <v>25</v>
      </c>
      <c r="I8" s="122" t="s">
        <v>4745</v>
      </c>
      <c r="J8" s="124" t="s">
        <v>7828</v>
      </c>
      <c r="K8" s="122" t="s">
        <v>7804</v>
      </c>
    </row>
    <row r="9" spans="1:11" ht="46.5">
      <c r="A9" s="125" t="s">
        <v>7829</v>
      </c>
      <c r="B9" s="126">
        <v>46238</v>
      </c>
      <c r="C9" s="125" t="s">
        <v>7364</v>
      </c>
      <c r="D9" s="127" t="s">
        <v>7830</v>
      </c>
      <c r="E9" s="127" t="s">
        <v>7831</v>
      </c>
      <c r="F9" s="127" t="s">
        <v>7832</v>
      </c>
      <c r="G9" s="127" t="s">
        <v>7833</v>
      </c>
      <c r="H9" s="121" t="s">
        <v>25</v>
      </c>
      <c r="I9" s="125" t="s">
        <v>5511</v>
      </c>
      <c r="J9" s="127" t="s">
        <v>7834</v>
      </c>
      <c r="K9" s="125" t="s">
        <v>7804</v>
      </c>
    </row>
    <row r="10" spans="1:11" ht="57.95">
      <c r="A10" s="122" t="s">
        <v>7835</v>
      </c>
      <c r="B10" s="123">
        <v>46238</v>
      </c>
      <c r="C10" s="122" t="s">
        <v>7364</v>
      </c>
      <c r="D10" s="124" t="s">
        <v>7836</v>
      </c>
      <c r="E10" s="124" t="s">
        <v>7837</v>
      </c>
      <c r="F10" s="124" t="s">
        <v>7838</v>
      </c>
      <c r="G10" s="124" t="s">
        <v>7833</v>
      </c>
      <c r="H10" s="121" t="s">
        <v>25</v>
      </c>
      <c r="I10" s="122" t="s">
        <v>5511</v>
      </c>
      <c r="J10" s="124" t="s">
        <v>7839</v>
      </c>
      <c r="K10" s="122" t="s">
        <v>7804</v>
      </c>
    </row>
    <row r="11" spans="1:11" ht="46.5">
      <c r="A11" s="125" t="s">
        <v>7840</v>
      </c>
      <c r="B11" s="126">
        <v>46238</v>
      </c>
      <c r="C11" s="125" t="s">
        <v>7364</v>
      </c>
      <c r="D11" s="127" t="s">
        <v>7841</v>
      </c>
      <c r="E11" s="127" t="s">
        <v>7838</v>
      </c>
      <c r="F11" s="127" t="s">
        <v>1506</v>
      </c>
      <c r="G11" s="127" t="s">
        <v>7833</v>
      </c>
      <c r="H11" s="121" t="s">
        <v>25</v>
      </c>
      <c r="I11" s="125" t="s">
        <v>5511</v>
      </c>
      <c r="J11" s="127" t="s">
        <v>7842</v>
      </c>
      <c r="K11" s="125" t="s">
        <v>7804</v>
      </c>
    </row>
    <row r="12" spans="1:11" ht="57.95">
      <c r="A12" s="122" t="s">
        <v>7843</v>
      </c>
      <c r="B12" s="123">
        <v>46238</v>
      </c>
      <c r="C12" s="122" t="s">
        <v>7364</v>
      </c>
      <c r="D12" s="124" t="s">
        <v>7844</v>
      </c>
      <c r="E12" s="124" t="s">
        <v>7845</v>
      </c>
      <c r="F12" s="124" t="s">
        <v>7846</v>
      </c>
      <c r="G12" s="124" t="s">
        <v>7833</v>
      </c>
      <c r="H12" s="121" t="s">
        <v>25</v>
      </c>
      <c r="I12" s="122" t="s">
        <v>5511</v>
      </c>
      <c r="J12" s="124" t="s">
        <v>7847</v>
      </c>
      <c r="K12" s="122" t="s">
        <v>7804</v>
      </c>
    </row>
    <row r="13" spans="1:11" ht="57.95">
      <c r="A13" s="125" t="s">
        <v>7848</v>
      </c>
      <c r="B13" s="126">
        <v>46238</v>
      </c>
      <c r="C13" s="125" t="s">
        <v>7364</v>
      </c>
      <c r="D13" s="127" t="s">
        <v>7849</v>
      </c>
      <c r="E13" s="127" t="s">
        <v>7850</v>
      </c>
      <c r="F13" s="127" t="s">
        <v>7832</v>
      </c>
      <c r="G13" s="127" t="s">
        <v>7833</v>
      </c>
      <c r="H13" s="121" t="s">
        <v>25</v>
      </c>
      <c r="I13" s="125" t="s">
        <v>5511</v>
      </c>
      <c r="J13" s="127" t="s">
        <v>7851</v>
      </c>
      <c r="K13" s="125" t="s">
        <v>7804</v>
      </c>
    </row>
    <row r="14" spans="1:11" ht="57.95">
      <c r="A14" s="122" t="s">
        <v>7852</v>
      </c>
      <c r="B14" s="123">
        <v>46238</v>
      </c>
      <c r="C14" s="122" t="s">
        <v>7364</v>
      </c>
      <c r="D14" s="124" t="s">
        <v>7853</v>
      </c>
      <c r="E14" s="124" t="s">
        <v>7854</v>
      </c>
      <c r="F14" s="124" t="s">
        <v>7855</v>
      </c>
      <c r="G14" s="124" t="s">
        <v>7833</v>
      </c>
      <c r="H14" s="121" t="s">
        <v>25</v>
      </c>
      <c r="I14" s="122" t="s">
        <v>5511</v>
      </c>
      <c r="J14" s="124" t="s">
        <v>7856</v>
      </c>
      <c r="K14" s="122" t="s">
        <v>7804</v>
      </c>
    </row>
    <row r="15" spans="1:11" ht="46.5">
      <c r="A15" s="125" t="s">
        <v>7857</v>
      </c>
      <c r="B15" s="126">
        <v>46238</v>
      </c>
      <c r="C15" s="125" t="s">
        <v>7364</v>
      </c>
      <c r="D15" s="127" t="s">
        <v>7858</v>
      </c>
      <c r="E15" s="127" t="s">
        <v>7859</v>
      </c>
      <c r="F15" s="127" t="s">
        <v>1506</v>
      </c>
      <c r="G15" s="127" t="s">
        <v>7860</v>
      </c>
      <c r="H15" s="121" t="s">
        <v>25</v>
      </c>
      <c r="I15" s="125" t="s">
        <v>4745</v>
      </c>
      <c r="J15" s="127" t="s">
        <v>7861</v>
      </c>
      <c r="K15" s="125" t="s">
        <v>7804</v>
      </c>
    </row>
    <row r="16" spans="1:11">
      <c r="A16" s="122" t="s">
        <v>7862</v>
      </c>
      <c r="B16" s="123">
        <v>46238</v>
      </c>
      <c r="C16" s="122" t="s">
        <v>7863</v>
      </c>
      <c r="D16" s="124" t="s">
        <v>7864</v>
      </c>
      <c r="E16" s="124" t="s">
        <v>7865</v>
      </c>
      <c r="F16" s="124" t="s">
        <v>7863</v>
      </c>
      <c r="G16" s="124" t="s">
        <v>7866</v>
      </c>
      <c r="H16" s="121" t="s">
        <v>25</v>
      </c>
      <c r="I16" s="122" t="s">
        <v>4745</v>
      </c>
      <c r="J16" s="124" t="s">
        <v>7867</v>
      </c>
      <c r="K16" s="122" t="s">
        <v>7804</v>
      </c>
    </row>
    <row r="17" spans="1:11" ht="23.45">
      <c r="A17" s="125" t="s">
        <v>7868</v>
      </c>
      <c r="B17" s="126">
        <v>46238</v>
      </c>
      <c r="C17" s="125" t="s">
        <v>7863</v>
      </c>
      <c r="D17" s="127" t="s">
        <v>7869</v>
      </c>
      <c r="E17" s="127" t="s">
        <v>7865</v>
      </c>
      <c r="F17" s="127" t="s">
        <v>7863</v>
      </c>
      <c r="G17" s="127" t="s">
        <v>7866</v>
      </c>
      <c r="H17" s="121" t="s">
        <v>25</v>
      </c>
      <c r="I17" s="125" t="s">
        <v>4745</v>
      </c>
      <c r="J17" s="127" t="s">
        <v>7867</v>
      </c>
      <c r="K17" s="125" t="s">
        <v>7804</v>
      </c>
    </row>
    <row r="18" spans="1:11" ht="23.45">
      <c r="A18" s="122" t="s">
        <v>7870</v>
      </c>
      <c r="B18" s="123">
        <v>46238</v>
      </c>
      <c r="C18" s="122" t="s">
        <v>7863</v>
      </c>
      <c r="D18" s="124" t="s">
        <v>7871</v>
      </c>
      <c r="E18" s="124" t="s">
        <v>7872</v>
      </c>
      <c r="F18" s="124" t="s">
        <v>7863</v>
      </c>
      <c r="G18" s="124" t="s">
        <v>7866</v>
      </c>
      <c r="H18" s="121" t="s">
        <v>25</v>
      </c>
      <c r="I18" s="122" t="s">
        <v>4745</v>
      </c>
      <c r="J18" s="124" t="s">
        <v>7867</v>
      </c>
      <c r="K18" s="122" t="s">
        <v>7804</v>
      </c>
    </row>
    <row r="19" spans="1:11">
      <c r="A19" s="125" t="s">
        <v>7873</v>
      </c>
      <c r="B19" s="126">
        <v>46238</v>
      </c>
      <c r="C19" s="125" t="s">
        <v>7863</v>
      </c>
      <c r="D19" s="127" t="s">
        <v>7874</v>
      </c>
      <c r="E19" s="127" t="s">
        <v>7875</v>
      </c>
      <c r="F19" s="127" t="s">
        <v>7863</v>
      </c>
      <c r="G19" s="127" t="s">
        <v>7866</v>
      </c>
      <c r="H19" s="121" t="s">
        <v>25</v>
      </c>
      <c r="I19" s="125" t="s">
        <v>4745</v>
      </c>
      <c r="J19" s="127" t="s">
        <v>7867</v>
      </c>
      <c r="K19" s="125" t="s">
        <v>7804</v>
      </c>
    </row>
    <row r="20" spans="1:11" ht="23.1">
      <c r="A20" s="128" t="s">
        <v>7876</v>
      </c>
      <c r="B20" s="133">
        <v>46239</v>
      </c>
      <c r="C20" s="128" t="s">
        <v>7679</v>
      </c>
      <c r="D20" s="129" t="s">
        <v>7877</v>
      </c>
      <c r="E20" s="129" t="s">
        <v>7878</v>
      </c>
      <c r="F20" s="129" t="s">
        <v>7679</v>
      </c>
      <c r="G20" s="127" t="s">
        <v>7866</v>
      </c>
      <c r="H20" s="130">
        <v>46241</v>
      </c>
      <c r="I20" s="128" t="s">
        <v>5511</v>
      </c>
      <c r="J20" s="129" t="s">
        <v>7879</v>
      </c>
      <c r="K20" s="128" t="s">
        <v>7804</v>
      </c>
    </row>
    <row r="21" spans="1:11" ht="23.1">
      <c r="A21" s="131" t="s">
        <v>7880</v>
      </c>
      <c r="B21" s="133">
        <v>46239</v>
      </c>
      <c r="C21" s="131" t="s">
        <v>7679</v>
      </c>
      <c r="D21" s="132" t="s">
        <v>7881</v>
      </c>
      <c r="E21" s="132" t="s">
        <v>7882</v>
      </c>
      <c r="F21" s="129" t="s">
        <v>7679</v>
      </c>
      <c r="G21" s="127" t="s">
        <v>7866</v>
      </c>
      <c r="H21" s="130">
        <v>46240</v>
      </c>
      <c r="I21" s="131" t="s">
        <v>26</v>
      </c>
      <c r="J21" s="132" t="s">
        <v>7883</v>
      </c>
      <c r="K21" s="131" t="s">
        <v>7804</v>
      </c>
    </row>
    <row r="22" spans="1:11" ht="23.1">
      <c r="A22" s="128" t="s">
        <v>7884</v>
      </c>
      <c r="B22" s="133">
        <v>46239</v>
      </c>
      <c r="C22" s="128" t="s">
        <v>7679</v>
      </c>
      <c r="D22" s="129" t="s">
        <v>7885</v>
      </c>
      <c r="E22" s="129" t="s">
        <v>7886</v>
      </c>
      <c r="F22" s="129" t="s">
        <v>7679</v>
      </c>
      <c r="G22" s="127" t="s">
        <v>7866</v>
      </c>
      <c r="H22" s="130">
        <v>46252</v>
      </c>
      <c r="I22" s="128" t="s">
        <v>7887</v>
      </c>
      <c r="J22" s="129" t="s">
        <v>7888</v>
      </c>
      <c r="K22" s="128" t="s">
        <v>7804</v>
      </c>
    </row>
    <row r="23" spans="1:11" ht="45.95">
      <c r="A23" s="131" t="s">
        <v>7889</v>
      </c>
      <c r="B23" s="133">
        <v>46239</v>
      </c>
      <c r="C23" s="131" t="s">
        <v>7679</v>
      </c>
      <c r="D23" s="132" t="s">
        <v>7890</v>
      </c>
      <c r="E23" s="132" t="s">
        <v>7891</v>
      </c>
      <c r="F23" s="129" t="s">
        <v>7679</v>
      </c>
      <c r="G23" s="127" t="s">
        <v>7866</v>
      </c>
      <c r="H23" s="130">
        <v>46264</v>
      </c>
      <c r="I23" s="131" t="s">
        <v>7887</v>
      </c>
      <c r="J23" s="132" t="s">
        <v>7892</v>
      </c>
      <c r="K23" s="131" t="s">
        <v>7804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4"/>
  <sheetViews>
    <sheetView workbookViewId="0">
      <selection activeCell="C12" sqref="C12"/>
    </sheetView>
  </sheetViews>
  <sheetFormatPr defaultRowHeight="14.25" customHeight="1"/>
  <cols>
    <col min="1" max="1" width="20" customWidth="1"/>
    <col min="3" max="3" width="31.875" customWidth="1"/>
    <col min="4" max="4" width="22.375" customWidth="1"/>
    <col min="5" max="5" width="16.625" customWidth="1"/>
    <col min="7" max="7" width="80" customWidth="1"/>
  </cols>
  <sheetData>
    <row r="1" spans="1:28" ht="27.95">
      <c r="A1" s="1" t="s">
        <v>16</v>
      </c>
      <c r="B1" s="1" t="s">
        <v>7893</v>
      </c>
      <c r="C1" s="1" t="s">
        <v>927</v>
      </c>
      <c r="D1" s="1" t="s">
        <v>7798</v>
      </c>
      <c r="E1" s="1" t="s">
        <v>7894</v>
      </c>
      <c r="F1" s="1"/>
      <c r="G1" s="4" t="s">
        <v>7895</v>
      </c>
      <c r="H1" s="1"/>
      <c r="I1" s="1"/>
      <c r="J1" s="1"/>
      <c r="K1" s="1"/>
      <c r="L1" s="1"/>
      <c r="M1" s="1"/>
      <c r="N1" s="1"/>
      <c r="O1" s="1"/>
      <c r="P1" s="1"/>
      <c r="Q1" s="1"/>
      <c r="R1" s="1"/>
      <c r="S1" s="1"/>
      <c r="T1" s="1"/>
      <c r="U1" s="1"/>
      <c r="V1" s="1"/>
      <c r="W1" s="1"/>
      <c r="X1" s="1"/>
      <c r="Y1" s="1"/>
      <c r="Z1" s="2"/>
      <c r="AA1" s="2"/>
      <c r="AB1" s="2"/>
    </row>
    <row r="2" spans="1:28" ht="14.1">
      <c r="A2" t="s">
        <v>7896</v>
      </c>
      <c r="B2" t="s">
        <v>7897</v>
      </c>
      <c r="C2" t="s">
        <v>7679</v>
      </c>
      <c r="D2" t="s">
        <v>7898</v>
      </c>
      <c r="E2" t="s">
        <v>7899</v>
      </c>
      <c r="G2" t="s">
        <v>7900</v>
      </c>
    </row>
    <row r="3" spans="1:28" ht="14.1">
      <c r="A3" t="s">
        <v>130</v>
      </c>
      <c r="B3" t="s">
        <v>7901</v>
      </c>
      <c r="C3" t="s">
        <v>7569</v>
      </c>
      <c r="D3" t="s">
        <v>7902</v>
      </c>
      <c r="E3" t="s">
        <v>7903</v>
      </c>
      <c r="G3" t="s">
        <v>7904</v>
      </c>
    </row>
    <row r="4" spans="1:28" ht="14.1">
      <c r="A4" t="s">
        <v>7905</v>
      </c>
      <c r="B4" t="s">
        <v>4943</v>
      </c>
      <c r="C4" t="s">
        <v>7274</v>
      </c>
      <c r="D4" t="s">
        <v>7906</v>
      </c>
      <c r="E4" t="s">
        <v>7907</v>
      </c>
      <c r="G4" t="s">
        <v>7908</v>
      </c>
    </row>
    <row r="5" spans="1:28" ht="14.1">
      <c r="A5" t="s">
        <v>26</v>
      </c>
      <c r="B5" t="s">
        <v>7909</v>
      </c>
      <c r="C5" t="s">
        <v>3634</v>
      </c>
      <c r="D5" t="s">
        <v>7910</v>
      </c>
      <c r="E5" t="s">
        <v>26</v>
      </c>
      <c r="G5" t="s">
        <v>7911</v>
      </c>
    </row>
    <row r="6" spans="1:28" ht="14.1">
      <c r="A6" t="s">
        <v>7912</v>
      </c>
      <c r="C6" t="s">
        <v>88</v>
      </c>
      <c r="D6" t="s">
        <v>7913</v>
      </c>
      <c r="E6" t="s">
        <v>7914</v>
      </c>
      <c r="G6" t="s">
        <v>7915</v>
      </c>
    </row>
    <row r="7" spans="1:28" ht="14.1">
      <c r="C7" t="s">
        <v>859</v>
      </c>
      <c r="D7" t="s">
        <v>4710</v>
      </c>
      <c r="G7" t="s">
        <v>7916</v>
      </c>
    </row>
    <row r="8" spans="1:28" ht="14.1">
      <c r="C8" t="s">
        <v>7917</v>
      </c>
      <c r="D8" t="s">
        <v>2244</v>
      </c>
    </row>
    <row r="9" spans="1:28" ht="14.1">
      <c r="C9" t="s">
        <v>1024</v>
      </c>
      <c r="D9" t="s">
        <v>7918</v>
      </c>
    </row>
    <row r="10" spans="1:28" ht="14.1">
      <c r="C10" t="s">
        <v>92</v>
      </c>
      <c r="D10" t="s">
        <v>7919</v>
      </c>
    </row>
    <row r="11" spans="1:28" ht="14.1">
      <c r="C11" t="s">
        <v>7920</v>
      </c>
      <c r="D11" t="s">
        <v>5241</v>
      </c>
    </row>
    <row r="12" spans="1:28" ht="14.25" customHeight="1">
      <c r="D12" t="s">
        <v>7921</v>
      </c>
    </row>
    <row r="13" spans="1:28" ht="14.25" customHeight="1">
      <c r="D13" t="s">
        <v>7922</v>
      </c>
    </row>
    <row r="14" spans="1:28" ht="14.25" customHeight="1">
      <c r="D14" t="s">
        <v>7923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0"/>
  <sheetViews>
    <sheetView workbookViewId="0"/>
  </sheetViews>
  <sheetFormatPr defaultRowHeight="14.1"/>
  <sheetData>
    <row r="1" spans="1:29" ht="42">
      <c r="A1" s="1" t="s">
        <v>7924</v>
      </c>
      <c r="B1" s="1" t="s">
        <v>7925</v>
      </c>
      <c r="C1" s="1" t="s">
        <v>7926</v>
      </c>
      <c r="D1" s="1" t="s">
        <v>7927</v>
      </c>
      <c r="E1" s="1"/>
      <c r="F1" s="1"/>
      <c r="G1" s="1"/>
      <c r="H1" s="1"/>
      <c r="I1" s="1"/>
      <c r="J1" s="1"/>
      <c r="K1" s="1"/>
      <c r="L1" s="1"/>
      <c r="M1" s="1"/>
      <c r="N1" s="1"/>
      <c r="O1" s="1"/>
      <c r="P1" s="1"/>
      <c r="Q1" s="1"/>
      <c r="R1" s="1"/>
      <c r="S1" s="1"/>
      <c r="T1" s="1"/>
      <c r="U1" s="1"/>
      <c r="V1" s="1"/>
      <c r="W1" s="1"/>
      <c r="X1" s="1"/>
      <c r="Y1" s="1"/>
      <c r="Z1" s="1"/>
      <c r="AA1" s="2"/>
      <c r="AB1" s="2"/>
      <c r="AC1" s="2"/>
    </row>
    <row r="2" spans="1:29">
      <c r="A2" t="s">
        <v>7928</v>
      </c>
      <c r="B2" t="s">
        <v>7929</v>
      </c>
      <c r="C2" t="s">
        <v>7930</v>
      </c>
      <c r="D2" t="s">
        <v>7931</v>
      </c>
    </row>
    <row r="3" spans="1:29">
      <c r="A3" t="s">
        <v>1</v>
      </c>
      <c r="B3" t="s">
        <v>7932</v>
      </c>
      <c r="C3" t="s">
        <v>7933</v>
      </c>
      <c r="D3" t="s">
        <v>7934</v>
      </c>
    </row>
    <row r="4" spans="1:29">
      <c r="A4" t="s">
        <v>7798</v>
      </c>
      <c r="B4" t="s">
        <v>7935</v>
      </c>
      <c r="C4" t="s">
        <v>7936</v>
      </c>
      <c r="D4" t="s">
        <v>7937</v>
      </c>
    </row>
    <row r="5" spans="1:29">
      <c r="A5" t="s">
        <v>2</v>
      </c>
      <c r="B5" t="s">
        <v>7938</v>
      </c>
      <c r="C5" t="s">
        <v>7939</v>
      </c>
      <c r="D5" t="s">
        <v>7940</v>
      </c>
    </row>
    <row r="6" spans="1:29">
      <c r="A6" t="s">
        <v>7941</v>
      </c>
      <c r="B6" t="s">
        <v>7942</v>
      </c>
      <c r="C6" t="s">
        <v>7943</v>
      </c>
      <c r="D6" t="s">
        <v>7944</v>
      </c>
    </row>
    <row r="7" spans="1:29">
      <c r="A7" t="s">
        <v>927</v>
      </c>
      <c r="B7" t="s">
        <v>7945</v>
      </c>
      <c r="C7" t="s">
        <v>7936</v>
      </c>
      <c r="D7" t="s">
        <v>7946</v>
      </c>
    </row>
    <row r="8" spans="1:29">
      <c r="A8" t="s">
        <v>7947</v>
      </c>
      <c r="B8" t="s">
        <v>7948</v>
      </c>
      <c r="C8" t="s">
        <v>7936</v>
      </c>
      <c r="D8" t="s">
        <v>7949</v>
      </c>
    </row>
    <row r="9" spans="1:29">
      <c r="A9" t="s">
        <v>1429</v>
      </c>
      <c r="B9" t="s">
        <v>7950</v>
      </c>
      <c r="C9" t="s">
        <v>7943</v>
      </c>
      <c r="D9" t="s">
        <v>7951</v>
      </c>
    </row>
    <row r="10" spans="1:29">
      <c r="A10" t="s">
        <v>7952</v>
      </c>
      <c r="B10" t="s">
        <v>7953</v>
      </c>
      <c r="C10" t="s">
        <v>7943</v>
      </c>
      <c r="D10" t="s">
        <v>7954</v>
      </c>
    </row>
    <row r="11" spans="1:29">
      <c r="A11" t="s">
        <v>6</v>
      </c>
      <c r="B11" t="s">
        <v>7955</v>
      </c>
      <c r="C11" t="s">
        <v>7943</v>
      </c>
      <c r="D11" t="s">
        <v>7956</v>
      </c>
    </row>
    <row r="12" spans="1:29">
      <c r="A12" t="s">
        <v>7957</v>
      </c>
      <c r="B12" t="s">
        <v>7958</v>
      </c>
      <c r="C12" t="s">
        <v>7939</v>
      </c>
      <c r="D12" t="s">
        <v>7959</v>
      </c>
    </row>
    <row r="13" spans="1:29">
      <c r="A13" t="s">
        <v>7960</v>
      </c>
      <c r="B13" t="s">
        <v>7961</v>
      </c>
      <c r="C13" t="s">
        <v>7962</v>
      </c>
      <c r="D13" t="s">
        <v>7963</v>
      </c>
    </row>
    <row r="14" spans="1:29">
      <c r="A14" t="s">
        <v>7964</v>
      </c>
      <c r="B14" t="s">
        <v>7961</v>
      </c>
      <c r="C14" t="s">
        <v>7962</v>
      </c>
      <c r="D14" t="s">
        <v>7963</v>
      </c>
    </row>
    <row r="15" spans="1:29">
      <c r="A15" t="s">
        <v>7965</v>
      </c>
      <c r="B15" t="s">
        <v>7966</v>
      </c>
      <c r="C15" t="s">
        <v>7933</v>
      </c>
      <c r="D15" t="s">
        <v>7967</v>
      </c>
    </row>
    <row r="16" spans="1:29">
      <c r="A16" t="s">
        <v>7968</v>
      </c>
      <c r="B16" t="s">
        <v>7969</v>
      </c>
      <c r="C16" t="s">
        <v>7933</v>
      </c>
      <c r="D16" t="s">
        <v>7970</v>
      </c>
    </row>
    <row r="17" spans="1:4">
      <c r="A17" t="s">
        <v>16</v>
      </c>
      <c r="B17" t="s">
        <v>7971</v>
      </c>
      <c r="C17" t="s">
        <v>7936</v>
      </c>
      <c r="D17" t="s">
        <v>7972</v>
      </c>
    </row>
    <row r="18" spans="1:4">
      <c r="A18" t="s">
        <v>7973</v>
      </c>
      <c r="B18" t="s">
        <v>7974</v>
      </c>
      <c r="C18" t="s">
        <v>7975</v>
      </c>
      <c r="D18" t="s">
        <v>7976</v>
      </c>
    </row>
    <row r="19" spans="1:4">
      <c r="A19" t="s">
        <v>7977</v>
      </c>
      <c r="B19" t="s">
        <v>7961</v>
      </c>
      <c r="C19" t="s">
        <v>7962</v>
      </c>
      <c r="D19" t="s">
        <v>7963</v>
      </c>
    </row>
    <row r="20" spans="1:4">
      <c r="A20" t="s">
        <v>7978</v>
      </c>
      <c r="B20" t="s">
        <v>7961</v>
      </c>
      <c r="C20" t="s">
        <v>7962</v>
      </c>
      <c r="D20" t="s">
        <v>7963</v>
      </c>
    </row>
    <row r="21" spans="1:4">
      <c r="A21" t="s">
        <v>7893</v>
      </c>
      <c r="B21" t="s">
        <v>7961</v>
      </c>
      <c r="C21" t="s">
        <v>7962</v>
      </c>
      <c r="D21" t="s">
        <v>7963</v>
      </c>
    </row>
    <row r="22" spans="1:4">
      <c r="A22" t="s">
        <v>18</v>
      </c>
      <c r="B22" t="s">
        <v>7961</v>
      </c>
      <c r="C22" t="s">
        <v>7962</v>
      </c>
      <c r="D22" t="s">
        <v>7963</v>
      </c>
    </row>
    <row r="23" spans="1:4">
      <c r="A23" t="s">
        <v>7979</v>
      </c>
      <c r="B23" t="s">
        <v>7961</v>
      </c>
      <c r="C23" t="s">
        <v>7962</v>
      </c>
      <c r="D23" t="s">
        <v>7963</v>
      </c>
    </row>
    <row r="24" spans="1:4">
      <c r="A24" t="s">
        <v>7980</v>
      </c>
      <c r="B24" t="s">
        <v>7961</v>
      </c>
      <c r="C24" t="s">
        <v>7962</v>
      </c>
      <c r="D24" t="s">
        <v>7963</v>
      </c>
    </row>
    <row r="25" spans="1:4">
      <c r="A25" t="s">
        <v>7981</v>
      </c>
      <c r="B25" t="s">
        <v>7961</v>
      </c>
      <c r="C25" t="s">
        <v>7962</v>
      </c>
      <c r="D25" t="s">
        <v>7963</v>
      </c>
    </row>
    <row r="26" spans="1:4">
      <c r="A26" t="s">
        <v>7982</v>
      </c>
      <c r="B26" t="s">
        <v>7961</v>
      </c>
      <c r="C26" t="s">
        <v>7962</v>
      </c>
      <c r="D26" t="s">
        <v>7963</v>
      </c>
    </row>
    <row r="27" spans="1:4">
      <c r="A27" t="s">
        <v>7983</v>
      </c>
      <c r="B27" t="s">
        <v>7961</v>
      </c>
      <c r="C27" t="s">
        <v>7962</v>
      </c>
      <c r="D27" t="s">
        <v>7963</v>
      </c>
    </row>
    <row r="28" spans="1:4">
      <c r="A28" t="s">
        <v>7894</v>
      </c>
      <c r="B28" t="s">
        <v>7984</v>
      </c>
      <c r="C28" t="s">
        <v>7985</v>
      </c>
      <c r="D28" t="s">
        <v>7986</v>
      </c>
    </row>
    <row r="29" spans="1:4">
      <c r="A29" t="s">
        <v>7987</v>
      </c>
      <c r="B29" t="s">
        <v>7961</v>
      </c>
      <c r="C29" t="s">
        <v>7962</v>
      </c>
      <c r="D29" t="s">
        <v>7963</v>
      </c>
    </row>
    <row r="30" spans="1:4">
      <c r="A30" t="s">
        <v>7988</v>
      </c>
      <c r="B30" t="s">
        <v>7961</v>
      </c>
      <c r="C30" t="s">
        <v>7962</v>
      </c>
      <c r="D30" t="s">
        <v>7963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23"/>
  <sheetViews>
    <sheetView workbookViewId="0">
      <selection activeCell="G7" sqref="G7"/>
    </sheetView>
  </sheetViews>
  <sheetFormatPr defaultRowHeight="14.1"/>
  <cols>
    <col min="1" max="2" width="24" customWidth="1"/>
  </cols>
  <sheetData>
    <row r="1" spans="1:29">
      <c r="A1" s="5" t="s">
        <v>7989</v>
      </c>
      <c r="B1" s="5" t="s">
        <v>7990</v>
      </c>
      <c r="C1" s="1"/>
      <c r="D1" s="1"/>
      <c r="E1" s="1"/>
      <c r="F1" s="1"/>
      <c r="G1" s="1"/>
      <c r="H1" s="1"/>
      <c r="I1" s="1"/>
      <c r="J1" s="1"/>
      <c r="K1" s="1"/>
      <c r="L1" s="1"/>
      <c r="M1" s="1"/>
      <c r="N1" s="1"/>
      <c r="O1" s="1"/>
      <c r="P1" s="1"/>
      <c r="Q1" s="1"/>
      <c r="R1" s="1"/>
      <c r="S1" s="1"/>
      <c r="T1" s="1"/>
      <c r="U1" s="1"/>
      <c r="V1" s="1"/>
      <c r="W1" s="1"/>
      <c r="X1" s="1"/>
      <c r="Y1" s="1"/>
      <c r="Z1" s="1"/>
      <c r="AA1" s="2"/>
      <c r="AB1" s="2"/>
      <c r="AC1" s="2"/>
    </row>
    <row r="2" spans="1:29">
      <c r="A2" t="s">
        <v>7991</v>
      </c>
      <c r="B2">
        <f>COUNTA(#REF!)</f>
        <v>1</v>
      </c>
    </row>
    <row r="3" spans="1:29">
      <c r="A3" t="s">
        <v>7992</v>
      </c>
      <c r="B3" t="e">
        <f>COUNTIF(#REF!,"Concluído")</f>
        <v>#REF!</v>
      </c>
    </row>
    <row r="4" spans="1:29">
      <c r="A4" t="s">
        <v>130</v>
      </c>
      <c r="B4" t="e">
        <f>COUNTIF(#REF!,"Em andamento")</f>
        <v>#REF!</v>
      </c>
    </row>
    <row r="5" spans="1:29">
      <c r="A5" t="s">
        <v>7993</v>
      </c>
      <c r="B5" t="e">
        <f>COUNTIF(#REF!,"Não iniciado")</f>
        <v>#REF!</v>
      </c>
    </row>
    <row r="6" spans="1:29">
      <c r="A6" t="s">
        <v>7994</v>
      </c>
      <c r="B6" t="e">
        <f>COUNTIF(#REF!,"Atrasado")</f>
        <v>#REF!</v>
      </c>
    </row>
    <row r="7" spans="1:29">
      <c r="A7" t="s">
        <v>7995</v>
      </c>
      <c r="B7" t="e">
        <f>COUNTIF(#REF!,"Vence em até 7 dias")</f>
        <v>#REF!</v>
      </c>
    </row>
    <row r="8" spans="1:29">
      <c r="A8" t="s">
        <v>7996</v>
      </c>
      <c r="B8" s="3">
        <f>IFERROR(B3/B2,0)</f>
        <v>0</v>
      </c>
    </row>
    <row r="10" spans="1:29">
      <c r="A10" s="6" t="s">
        <v>16</v>
      </c>
      <c r="B10" s="6" t="s">
        <v>820</v>
      </c>
    </row>
    <row r="11" spans="1:29">
      <c r="A11" t="s">
        <v>7896</v>
      </c>
      <c r="B11" t="e">
        <f>COUNTIF(#REF!,A11)</f>
        <v>#REF!</v>
      </c>
    </row>
    <row r="12" spans="1:29">
      <c r="A12" t="s">
        <v>130</v>
      </c>
      <c r="B12" t="e">
        <f>COUNTIF(#REF!,A12)</f>
        <v>#REF!</v>
      </c>
    </row>
    <row r="13" spans="1:29">
      <c r="A13" t="s">
        <v>7905</v>
      </c>
      <c r="B13" t="e">
        <f>COUNTIF(#REF!,A13)</f>
        <v>#REF!</v>
      </c>
    </row>
    <row r="14" spans="1:29">
      <c r="A14" t="s">
        <v>26</v>
      </c>
      <c r="B14" t="e">
        <f>COUNTIF(#REF!,A14)</f>
        <v>#REF!</v>
      </c>
    </row>
    <row r="15" spans="1:29">
      <c r="A15" t="s">
        <v>7912</v>
      </c>
      <c r="B15" t="e">
        <f>COUNTIF(#REF!,A15)</f>
        <v>#REF!</v>
      </c>
    </row>
    <row r="18" spans="1:2">
      <c r="A18" s="6" t="s">
        <v>7997</v>
      </c>
      <c r="B18" s="6" t="s">
        <v>820</v>
      </c>
    </row>
    <row r="19" spans="1:2">
      <c r="A19" t="s">
        <v>7899</v>
      </c>
      <c r="B19" t="e">
        <f>COUNTIF(#REF!,A19)</f>
        <v>#REF!</v>
      </c>
    </row>
    <row r="20" spans="1:2">
      <c r="A20" t="s">
        <v>7903</v>
      </c>
      <c r="B20" t="e">
        <f>COUNTIF(#REF!,A20)</f>
        <v>#REF!</v>
      </c>
    </row>
    <row r="21" spans="1:2">
      <c r="A21" t="s">
        <v>7907</v>
      </c>
      <c r="B21" t="e">
        <f>COUNTIF(#REF!,A21)</f>
        <v>#REF!</v>
      </c>
    </row>
    <row r="22" spans="1:2">
      <c r="A22" t="s">
        <v>26</v>
      </c>
      <c r="B22" t="e">
        <f>COUNTIF(#REF!,A22)</f>
        <v>#REF!</v>
      </c>
    </row>
    <row r="23" spans="1:2">
      <c r="A23" t="s">
        <v>7914</v>
      </c>
      <c r="B23" t="e">
        <f>COUNTIF(#REF!,A23)</f>
        <v>#REF!</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7C3B1F82581914DB38F7D491376AA73" ma:contentTypeVersion="3" ma:contentTypeDescription="Create a new document." ma:contentTypeScope="" ma:versionID="9bd02ce04bbec6224ca93da49a046392">
  <xsd:schema xmlns:xsd="http://www.w3.org/2001/XMLSchema" xmlns:xs="http://www.w3.org/2001/XMLSchema" xmlns:p="http://schemas.microsoft.com/office/2006/metadata/properties" xmlns:ns2="7db5e697-5fe2-47a7-aa93-41aad15f46e0" targetNamespace="http://schemas.microsoft.com/office/2006/metadata/properties" ma:root="true" ma:fieldsID="7fa26845f19e44db92862987e967ccb8" ns2:_="">
    <xsd:import namespace="7db5e697-5fe2-47a7-aa93-41aad15f46e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b5e697-5fe2-47a7-aa93-41aad15f46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4B7054-FD97-40CD-93C5-4D33605C82FC}"/>
</file>

<file path=customXml/itemProps2.xml><?xml version="1.0" encoding="utf-8"?>
<ds:datastoreItem xmlns:ds="http://schemas.openxmlformats.org/officeDocument/2006/customXml" ds:itemID="{4821DA78-CE7E-4012-8510-390B2E85460D}"/>
</file>

<file path=customXml/itemProps3.xml><?xml version="1.0" encoding="utf-8"?>
<ds:datastoreItem xmlns:ds="http://schemas.openxmlformats.org/officeDocument/2006/customXml" ds:itemID="{A034FC99-80F7-44C6-BA45-4D2A18146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2026-06-15T20:05:47Z</dcterms:created>
  <dcterms:modified xsi:type="dcterms:W3CDTF">2026-10-26T12:08:33Z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0x01010067C3B1F82581914DB38F7D491376AA73</vt:lpwstr>
  </property>
</Properties>
</file>